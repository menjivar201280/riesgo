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Cronograma y Actividades" sheetId="2" state="visible" r:id="rId2"/>
    <sheet xmlns:r="http://schemas.openxmlformats.org/officeDocument/2006/relationships" name="Linea de Tiempo - Hitos" sheetId="3" state="visible" r:id="rId3"/>
    <sheet xmlns:r="http://schemas.openxmlformats.org/officeDocument/2006/relationships" name="Instrucciones" sheetId="4" state="visible" r:id="rId4"/>
    <sheet xmlns:r="http://schemas.openxmlformats.org/officeDocument/2006/relationships" name="Configuración" sheetId="5" state="visible" r:id="rId5"/>
    <sheet xmlns:r="http://schemas.openxmlformats.org/officeDocument/2006/relationships" name="Calculos" sheetId="6" state="hidden" r:id="rId6"/>
  </sheets>
  <definedNames>
    <definedName name="SemanaActual">'Configuración'!$C$4</definedName>
    <definedName name="FechaRef">'Configuración'!$C$5</definedName>
    <definedName name="InicioCiclo">'Configuración'!$C$6</definedName>
    <definedName name="DiasAlerta">'Configuración'!$C$7</definedName>
    <definedName name="EvidenciaObligatoria">'Configuración'!$C$8</definedName>
    <definedName name="MetaFinal">'Configuración'!$C$9</definedName>
    <definedName name="PlanRef">'Configuración'!$C$12:$C$15</definedName>
    <definedName name="ListaPuestos">'Configuración'!$B$19:$B$22</definedName>
    <definedName name="ListaEstados">'Configuración'!$B$25:$B$27</definedName>
    <definedName name="ListaSemanas">'Configuración'!$B$30:$B$33</definedName>
    <definedName name="ListaSiNo">'Configuración'!$B$36:$B$37</definedName>
    <definedName name="rID">'Cronograma y Actividades'!$A$5:$A$1000</definedName>
    <definedName name="rArea">'Cronograma y Actividades'!$B$5:$B$1000</definedName>
    <definedName name="rResp">'Cronograma y Actividades'!$D$5:$D$1000</definedName>
    <definedName name="rFIni">'Cronograma y Actividades'!$E$5:$E$1000</definedName>
    <definedName name="rFLim">'Cronograma y Actividades'!$F$5:$F$1000</definedName>
    <definedName name="rPeso">'Cronograma y Actividades'!$G$5:$G$1000</definedName>
    <definedName name="rS1">'Cronograma y Actividades'!$H$5:$H$1000</definedName>
    <definedName name="rS2">'Cronograma y Actividades'!$I$5:$I$1000</definedName>
    <definedName name="rS3">'Cronograma y Actividades'!$J$5:$J$1000</definedName>
    <definedName name="rS4">'Cronograma y Actividades'!$K$5:$K$1000</definedName>
    <definedName name="rAvance">'Cronograma y Actividades'!$L$5:$L$1000</definedName>
    <definedName name="rEstado">'Cronograma y Actividades'!$M$5:$M$1000</definedName>
    <definedName name="rEvid">'Cronograma y Actividades'!$O$5:$O$1000</definedName>
    <definedName name="rValid">'Cronograma y Actividades'!$P$5:$P$1000</definedName>
    <definedName name="hSemana">'Linea de Tiempo - Hitos'!$B$5:$B$500</definedName>
    <definedName name="hFechaObj">'Linea de Tiempo - Hitos'!$C$5:$C$500</definedName>
    <definedName name="hArea">'Linea de Tiempo - Hitos'!$D$5:$D$500</definedName>
    <definedName name="hEstado">'Linea de Tiempo - Hitos'!$H$5:$H$500</definedName>
    <definedName name="hFechaReal">'Linea de Tiempo - Hitos'!$I$5:$I$500</definedName>
    <definedName name="_xlnm.Print_Titles" localSheetId="0">'Dashboard - Consolidado'!$1:$2</definedName>
    <definedName name="_xlnm.Print_Area" localSheetId="0">'Dashboard - Consolidado'!$A$1:$N$75</definedName>
    <definedName name="_xlnm.Print_Titles" localSheetId="1">'Cronograma y Actividades'!$4:$4</definedName>
    <definedName name="_xlnm.Print_Area" localSheetId="1">'Cronograma y Actividades'!$A$1:$P$104</definedName>
    <definedName name="_xlnm.Print_Titles" localSheetId="2">'Linea de Tiempo - Hitos'!$4:$4</definedName>
    <definedName name="_xlnm.Print_Area" localSheetId="2">'Linea de Tiempo - Hitos'!$A$1:$K$44</definedName>
  </definedNames>
  <calcPr calcId="124519" fullCalcOnLoad="1"/>
</workbook>
</file>

<file path=xl/styles.xml><?xml version="1.0" encoding="utf-8"?>
<styleSheet xmlns="http://schemas.openxmlformats.org/spreadsheetml/2006/main">
  <numFmts count="6">
    <numFmt numFmtId="164" formatCode="dd/mm/yyyy"/>
    <numFmt numFmtId="165" formatCode="yyyy-mm-dd"/>
    <numFmt numFmtId="166" formatCode="0.0%"/>
    <numFmt numFmtId="167" formatCode="0&quot; de 4&quot;"/>
    <numFmt numFmtId="168" formatCode="0%;;&quot;&quot;"/>
    <numFmt numFmtId="169" formatCode="+0%;-0%;0%"/>
  </numFmts>
  <fonts count="27">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7F6000"/>
      <sz val="9"/>
    </font>
    <font>
      <name val="Arial"/>
      <i val="1"/>
      <color rgb="001A1A1A"/>
      <sz val="8"/>
    </font>
    <font>
      <name val="Arial"/>
      <b val="1"/>
      <color rgb="001A1A1A"/>
      <sz val="9"/>
    </font>
    <font>
      <name val="Arial"/>
      <b val="1"/>
      <color rgb="00FFFFFF"/>
      <sz val="9"/>
    </font>
    <font>
      <name val="Arial"/>
      <b val="1"/>
      <color rgb="00FFFFFF"/>
      <sz val="16"/>
    </font>
    <font>
      <name val="Arial"/>
      <b val="1"/>
      <color rgb="001F3864"/>
      <sz val="11"/>
    </font>
    <font>
      <name val="Arial"/>
      <i val="1"/>
      <color rgb="001F3864"/>
      <sz val="9"/>
    </font>
    <font>
      <name val="Arial"/>
      <b val="1"/>
      <color rgb="001F3864"/>
      <sz val="24"/>
    </font>
    <font>
      <name val="Arial"/>
      <b val="1"/>
      <color rgb="00FFFFFF"/>
      <sz val="12"/>
    </font>
    <font>
      <name val="Arial"/>
      <color rgb="00FFFFFF"/>
      <sz val="9"/>
    </font>
    <font>
      <name val="Arial"/>
      <color rgb="00DDEBF7"/>
      <sz val="9"/>
    </font>
    <font>
      <name val="Arial"/>
      <b val="1"/>
      <color rgb="001F3864"/>
      <sz val="9"/>
    </font>
    <font>
      <name val="Arial"/>
      <i val="1"/>
      <color rgb="00404040"/>
      <sz val="9"/>
    </font>
    <font>
      <name val="Arial"/>
      <color rgb="00404040"/>
      <sz val="9"/>
    </font>
    <font>
      <name val="Arial"/>
      <i val="1"/>
      <color rgb="00404040"/>
      <sz val="8"/>
    </font>
    <font>
      <name val="Arial"/>
      <b val="1"/>
      <color rgb="00FFFFFF"/>
      <sz val="11"/>
    </font>
  </fonts>
  <fills count="9">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FFF7D6"/>
        <bgColor rgb="00FFF7D6"/>
      </patternFill>
    </fill>
    <fill>
      <patternFill patternType="solid">
        <fgColor rgb="00F2F2F2"/>
        <bgColor rgb="00F2F2F2"/>
      </patternFill>
    </fill>
    <fill>
      <patternFill patternType="solid">
        <fgColor rgb="00DDEBF7"/>
        <bgColor rgb="00DDEBF7"/>
      </patternFill>
    </fill>
    <fill>
      <patternFill patternType="solid">
        <fgColor rgb="00FFF2CC"/>
        <bgColor rgb="00FFF2CC"/>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75">
    <xf numFmtId="0" fontId="0" fillId="0" borderId="0" pivotButton="0" quotePrefix="0" xfId="0"/>
    <xf numFmtId="0" fontId="15" fillId="2" borderId="0" applyAlignment="1" pivotButton="0" quotePrefix="0" xfId="0">
      <alignment horizontal="left" vertical="center" wrapText="1"/>
    </xf>
    <xf numFmtId="0" fontId="5" fillId="0" borderId="0" applyAlignment="1" pivotButton="0" quotePrefix="0" xfId="0">
      <alignment horizontal="right"/>
    </xf>
    <xf numFmtId="167" fontId="16" fillId="0" borderId="0" applyAlignment="1" pivotButton="0" quotePrefix="0" xfId="0">
      <alignment horizontal="center" vertical="center" wrapText="1"/>
    </xf>
    <xf numFmtId="164" fontId="16"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18" fillId="8" borderId="1" applyAlignment="1" pivotButton="0" quotePrefix="0" xfId="0">
      <alignment horizontal="center" vertical="center" wrapText="1"/>
    </xf>
    <xf numFmtId="0" fontId="18" fillId="8" borderId="1" applyAlignment="1" pivotButton="0" quotePrefix="0" xfId="0">
      <alignment horizontal="center" vertical="center" wrapText="1"/>
    </xf>
    <xf numFmtId="1" fontId="18" fillId="8" borderId="1" applyAlignment="1" pivotButton="0" quotePrefix="0" xfId="0">
      <alignment horizontal="center" vertical="center" wrapText="1"/>
    </xf>
    <xf numFmtId="0" fontId="9" fillId="6" borderId="1" applyAlignment="1" pivotButton="0" quotePrefix="0" xfId="0">
      <alignment horizontal="center" vertical="center" wrapText="1"/>
    </xf>
    <xf numFmtId="167" fontId="18" fillId="8"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6" fillId="0" borderId="1" applyAlignment="1" pivotButton="0" quotePrefix="0" xfId="0">
      <alignment horizontal="center" vertical="center" wrapText="1"/>
    </xf>
    <xf numFmtId="0" fontId="19" fillId="2" borderId="0" applyAlignment="1" pivotButton="0" quotePrefix="0" xfId="0">
      <alignment horizontal="left" vertical="center" wrapText="1"/>
    </xf>
    <xf numFmtId="0" fontId="0" fillId="0" borderId="1" pivotButton="0" quotePrefix="0" xfId="0"/>
    <xf numFmtId="0" fontId="4" fillId="0" borderId="1" applyAlignment="1" pivotButton="0" quotePrefix="0" xfId="0">
      <alignment horizontal="left" vertical="center" wrapText="1"/>
    </xf>
    <xf numFmtId="9" fontId="8" fillId="0" borderId="1" applyAlignment="1" pivotButton="0" quotePrefix="0" xfId="0">
      <alignment horizontal="center" vertical="center" wrapText="1"/>
    </xf>
    <xf numFmtId="168" fontId="20"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6" borderId="1" applyAlignment="1" pivotButton="0" quotePrefix="0" xfId="0">
      <alignment horizontal="left" vertical="center" wrapText="1"/>
    </xf>
    <xf numFmtId="9" fontId="5" fillId="6" borderId="1" applyAlignment="1" pivotButton="0" quotePrefix="0" xfId="0">
      <alignment horizontal="center" vertical="center" wrapText="1"/>
    </xf>
    <xf numFmtId="168" fontId="21"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14" fillId="3" borderId="1" applyAlignment="1" pivotButton="0" quotePrefix="0" xfId="0">
      <alignment horizontal="center" vertical="center" wrapText="1"/>
    </xf>
    <xf numFmtId="0" fontId="22" fillId="6" borderId="1" applyAlignment="1" pivotButton="0" quotePrefix="0" xfId="0">
      <alignment horizontal="center" vertical="center" wrapText="1"/>
    </xf>
    <xf numFmtId="0" fontId="8" fillId="0" borderId="1" applyAlignment="1" pivotButton="0" quotePrefix="0" xfId="0">
      <alignment horizontal="left" vertical="center" wrapText="1"/>
    </xf>
    <xf numFmtId="169" fontId="8" fillId="0" borderId="1" applyAlignment="1" pivotButton="0" quotePrefix="0" xfId="0">
      <alignment horizontal="center" vertical="center" wrapText="1"/>
    </xf>
    <xf numFmtId="169" fontId="5" fillId="6" borderId="1" applyAlignment="1" pivotButton="0" quotePrefix="0" xfId="0">
      <alignment horizontal="center" vertical="center" wrapText="1"/>
    </xf>
    <xf numFmtId="0" fontId="23" fillId="8" borderId="1" applyAlignment="1" pivotButton="0" quotePrefix="0" xfId="0">
      <alignment horizontal="left" vertical="center" wrapText="1"/>
    </xf>
    <xf numFmtId="9" fontId="23" fillId="8" borderId="1" applyAlignment="1" pivotButton="0" quotePrefix="0" xfId="0">
      <alignment horizontal="center" vertical="center" wrapText="1"/>
    </xf>
    <xf numFmtId="169" fontId="5"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24" fillId="8" borderId="1" applyAlignment="1" pivotButton="0" quotePrefix="0" xfId="0">
      <alignment horizontal="left" vertical="center" wrapText="1"/>
    </xf>
    <xf numFmtId="9" fontId="24" fillId="8" borderId="1" applyAlignment="1" pivotButton="0" quotePrefix="0" xfId="0">
      <alignment horizontal="center" vertical="center" wrapText="1"/>
    </xf>
    <xf numFmtId="0" fontId="25" fillId="0" borderId="0"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 fillId="2" borderId="0" applyAlignment="1" pivotButton="0" quotePrefix="0" xfId="0">
      <alignment horizontal="left" vertical="center" wrapText="1"/>
    </xf>
    <xf numFmtId="0" fontId="9" fillId="6" borderId="0" applyAlignment="1" pivotButton="0" quotePrefix="0" xfId="0">
      <alignment horizontal="left" vertical="center" wrapText="1"/>
    </xf>
    <xf numFmtId="0" fontId="10" fillId="4" borderId="1" pivotButton="0" quotePrefix="0" xfId="0"/>
    <xf numFmtId="0" fontId="10" fillId="5" borderId="1" pivotButton="0" quotePrefix="0" xfId="0"/>
    <xf numFmtId="0" fontId="3" fillId="2"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4" fontId="8" fillId="4" borderId="1" applyAlignment="1" applyProtection="1" pivotButton="0" quotePrefix="0" xfId="0">
      <alignment horizontal="center" vertical="center" wrapText="1"/>
      <protection locked="0" hidden="0"/>
    </xf>
    <xf numFmtId="166"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6" fillId="5" borderId="1" applyAlignment="1" pivotButton="0" quotePrefix="0" xfId="0">
      <alignment horizontal="left" vertical="center" wrapText="1"/>
    </xf>
    <xf numFmtId="0" fontId="11" fillId="7" borderId="0" applyAlignment="1" pivotButton="0" quotePrefix="0" xfId="0">
      <alignment horizontal="left" vertical="center" wrapText="1"/>
    </xf>
    <xf numFmtId="0" fontId="12" fillId="0" borderId="0" pivotButton="0" quotePrefix="0" xfId="0"/>
    <xf numFmtId="0" fontId="26"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1" fontId="5" fillId="4" borderId="1" applyAlignment="1" applyProtection="1" pivotButton="0" quotePrefix="0" xfId="0">
      <alignment horizontal="center" vertical="center" wrapText="1"/>
      <protection locked="0" hidden="0"/>
    </xf>
    <xf numFmtId="164"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3" fillId="0" borderId="0" pivotButton="0" quotePrefix="0" xfId="0"/>
    <xf numFmtId="0" fontId="14" fillId="2" borderId="0" applyAlignment="1" pivotButton="0" quotePrefix="0" xfId="0">
      <alignment horizontal="center" vertical="center" wrapText="1"/>
    </xf>
    <xf numFmtId="166" fontId="0" fillId="0" borderId="0" pivotButton="0" quotePrefix="0" xfId="0"/>
    <xf numFmtId="1" fontId="0" fillId="0" borderId="0" pivotButton="0" quotePrefix="0" xfId="0"/>
  </cellXfs>
  <cellStyles count="1">
    <cellStyle name="Normal" xfId="0" builtinId="0" hidden="0"/>
  </cellStyles>
  <dxfs count="9">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0061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Avance ponderado por puesto</a:t>
            </a:r>
          </a:p>
        </rich>
      </tx>
    </title>
    <plotArea>
      <barChart>
        <barDir val="bar"/>
        <grouping val="clustered"/>
        <ser>
          <idx val="0"/>
          <order val="0"/>
          <spPr>
            <a:solidFill xmlns:a="http://schemas.openxmlformats.org/drawingml/2006/main">
              <a:srgbClr val="2E75B6"/>
            </a:solidFill>
            <a:ln xmlns:a="http://schemas.openxmlformats.org/drawingml/2006/main">
              <a:solidFill>
                <a:srgbClr val="2E75B6"/>
              </a:solidFill>
              <a:prstDash val="solid"/>
            </a:ln>
          </spPr>
          <cat>
            <numRef>
              <f>'Dashboard - Consolidado'!$B$16:$B$19</f>
            </numRef>
          </cat>
          <val>
            <numRef>
              <f>'Dashboard - Consolidado'!$D$16:$D$19</f>
            </numRef>
          </val>
        </ser>
        <dLbls>
          <numFmt formatCode="0%"/>
          <showLegendKey val="0"/>
          <showVal val="1"/>
          <showCatName val="0"/>
          <showSerName val="0"/>
          <showPercent val="0"/>
        </dLbls>
        <gapWidth val="15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general acumulado vs plan de referencia</a:t>
            </a:r>
          </a:p>
        </rich>
      </tx>
    </title>
    <plotArea>
      <barChart>
        <barDir val="col"/>
        <grouping val="clustered"/>
        <ser>
          <idx val="0"/>
          <order val="0"/>
          <tx>
            <strRef>
              <f>'Dashboard - Consolidado'!B29</f>
            </strRef>
          </tx>
          <spPr>
            <a:solidFill xmlns:a="http://schemas.openxmlformats.org/drawingml/2006/main">
              <a:srgbClr val="1F3864"/>
            </a:solidFill>
            <a:ln xmlns:a="http://schemas.openxmlformats.org/drawingml/2006/main">
              <a:prstDash val="solid"/>
            </a:ln>
          </spPr>
          <cat>
            <numRef>
              <f>'Dashboard - Consolidado'!$C$24:$F$24</f>
            </numRef>
          </cat>
          <val>
            <numRef>
              <f>'Dashboard - Consolidado'!$C$29:$F$29</f>
            </numRef>
          </val>
        </ser>
        <ser>
          <idx val="1"/>
          <order val="1"/>
          <tx>
            <strRef>
              <f>'Dashboard - Consolidado'!B30</f>
            </strRef>
          </tx>
          <spPr>
            <a:solidFill xmlns:a="http://schemas.openxmlformats.org/drawingml/2006/main">
              <a:srgbClr val="BFBFBF"/>
            </a:solidFill>
            <a:ln xmlns:a="http://schemas.openxmlformats.org/drawingml/2006/main">
              <a:prstDash val="solid"/>
            </a:ln>
          </spPr>
          <cat>
            <numRef>
              <f>'Dashboard - Consolidado'!$C$24:$F$24</f>
            </numRef>
          </cat>
          <val>
            <numRef>
              <f>'Dashboard - Consolidado'!$C$30:$F$30</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col>
      <colOff>0</colOff>
      <row>34</row>
      <rowOff>0</rowOff>
    </from>
    <ext cx="5580000" cy="2592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34</row>
      <rowOff>0</rowOff>
    </from>
    <ext cx="6300000" cy="259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ables/table1.xml><?xml version="1.0" encoding="utf-8"?>
<table xmlns="http://schemas.openxmlformats.org/spreadsheetml/2006/main" id="1" name="tblActividades" displayName="tblActividades" ref="A4:P104" headerRowCount="1">
  <autoFilter ref="A4:P104"/>
  <tableColumns count="16">
    <tableColumn id="1" name="ID Actividad"/>
    <tableColumn id="2" name="Área / Puesto"/>
    <tableColumn id="3" name="Macro Actividad"/>
    <tableColumn id="4" name="Responsable"/>
    <tableColumn id="5" name="Fecha de inicio"/>
    <tableColumn id="6" name="Fecha límite"/>
    <tableColumn id="7" name="Peso de actividad (%)"/>
    <tableColumn id="8" name="Avance Semana 1 (%)"/>
    <tableColumn id="9" name="Avance Semana 2 (%)"/>
    <tableColumn id="10" name="Avance Semana 3 (%)"/>
    <tableColumn id="11" name="Avance Semana 4 (%)"/>
    <tableColumn id="12" name="% de Avance Total Actual">
      <calculatedColumnFormula>IF(NOT((COUNTA(tblActividades[[#This Row],[ID Actividad]:[Avance Semana 4 (%)]])+COUNTA(tblActividades[[#This Row],[Última actualización]:[Evidencia / Observaciones]]))&gt;0),"",IFERROR(LOOKUP(2,1/(tblActividades[[#This Row],[Avance Semana 1 (%)]:[Avance Semana 4 (%)]]&lt;&gt;""),tblActividades[[#This Row],[Avance Semana 1 (%)]:[Avance Semana 4 (%)]]),0))</calculatedColumnFormula>
    </tableColumn>
    <tableColumn id="13" name="Estado">
      <calculatedColumnFormula>IF(tblActividades[[#This Row],[% de Avance Total Actual]]="","",IF(tblActividades[[#This Row],[% de Avance Total Actual]]&gt;=1,"Completado",IF(tblActividades[[#This Row],[% de Avance Total Actual]]&gt;0,"En curso","Pendiente")))</calculatedColumnFormula>
    </tableColumn>
    <tableColumn id="14" name="Última actualización"/>
    <tableColumn id="15" name="Evidencia / Observaciones"/>
    <tableColumn id="16" name="Validación de datos">
      <calculatedColumnFormula>IF(NOT((COUNTA(tblActividades[[#This Row],[ID Actividad]:[Avance Semana 4 (%)]])+COUNTA(tblActividades[[#This Row],[Última actualización]:[Evidencia / Observaciones]]))&gt;0),"",IF((IF(tblActividades[[#This Row],[ID Actividad]]="","Falta ID"&amp;" · ","")&amp;IF(AND(tblActividades[[#This Row],[ID Actividad]]&lt;&gt;"",COUNTIF($A$5:$A$1000,tblActividades[[#This Row],[ID Actividad]])&gt;1),"ID duplicado"&amp;" · ","")&amp;IF(tblActividades[[#This Row],[Área / Puesto]]="","Área sin seleccionar"&amp;" · ","")&amp;IF(AND(tblActividades[[#This Row],[Área / Puesto]]&lt;&gt;"",ISNA(MATCH(tblActividades[[#This Row],[Área / Puesto]],ListaPuestos,0))),"Área no válida"&amp;" · ","")&amp;IF(tblActividades[[#This Row],[Macro Actividad]]="","Macroactividad vacía"&amp;" · ","")&amp;IF(tblActividades[[#This Row],[Responsable]]="","Sin responsable"&amp;" · ","")&amp;IF(tblActividades[[#This Row],[Fecha de inicio]]="","Sin fecha de inicio"&amp;" · ","")&amp;IF(tblActividades[[#This Row],[Fecha límite]]="","Sin fecha límite"&amp;" · ","")&amp;IF(OR(AND(tblActividades[[#This Row],[Fecha de inicio]]&lt;&gt;"",NOT(ISNUMBER(tblActividades[[#This Row],[Fecha de inicio]]))),AND(tblActividades[[#This Row],[Fecha límite]]&lt;&gt;"",NOT(ISNUMBER(tblActividades[[#This Row],[Fecha límite]])))),"Fecha no válida"&amp;" · ","")&amp;IF(AND(ISNUMBER(tblActividades[[#This Row],[Fecha de inicio]]),ISNUMBER(tblActividades[[#This Row],[Fecha límite]]),tblActividades[[#This Row],[Fecha de inicio]]&gt;tblActividades[[#This Row],[Fecha límite]]),"Inicio posterior a fecha límite"&amp;" · ","")&amp;IF(tblActividades[[#This Row],[Peso de actividad (%)]]="","Peso vacío"&amp;" · ","")&amp;IF(AND(tblActividades[[#This Row],[Peso de actividad (%)]]&lt;&gt;"",OR(NOT(ISNUMBER(tblActividades[[#This Row],[Peso de actividad (%)]])),tblActividades[[#This Row],[Peso de actividad (%)]]&lt;=0,tblActividades[[#This Row],[Peso de actividad (%)]]&gt;1)),"Peso fuera de rango"&amp;" · ","")&amp;IF(AND(tblActividades[[#This Row],[Área / Puesto]]&lt;&gt;"",ABS(SUMIFS($G$5:$G$1000,$B$5:$B$1000,tblActividades[[#This Row],[Área / Puesto]])-1)&gt;0.0001),"Pesos del puesto suman "&amp;TEXT(SUMIFS($G$5:$G$1000,$B$5:$B$1000,tblActividades[[#This Row],[Área / Puesto]]),"0%")&amp;" · ","")&amp;IF((COUNTIF(tblActividades[[#This Row],[Avance Semana 1 (%)]:[Avance Semana 4 (%)]],"&gt;1")+COUNTIF(tblActividades[[#This Row],[Avance Semana 1 (%)]:[Avance Semana 4 (%)]],"&lt;0")+COUNTA(tblActividades[[#This Row],[Avance Semana 1 (%)]:[Avance Semana 4 (%)]])-COUNT(tblActividades[[#This Row],[Avance Semana 1 (%)]:[Avance Semana 4 (%)]]))&gt;0,"Avance fuera de rango 0-100%"&amp;" · ","")&amp;IF(OR(AND(tblActividades[[#This Row],[Avance Semana 2 (%)]]&lt;&gt;"",tblActividades[[#This Row],[Avance Semana 2 (%)]]&lt;tblActividades[[#This Row],[Avance Semana 1 (%)]]),AND(tblActividades[[#This Row],[Avance Semana 3 (%)]]&lt;&gt;"",tblActividades[[#This Row],[Avance Semana 3 (%)]]&lt;MAX(tblActividades[[#This Row],[Avance Semana 1 (%)]:[Avance Semana 2 (%)]])),AND(tblActividades[[#This Row],[Avance Semana 4 (%)]]&lt;&gt;"",tblActividades[[#This Row],[Avance Semana 4 (%)]]&lt;MAX(tblActividades[[#This Row],[Avance Semana 1 (%)]:[Avance Semana 3 (%)]]))),"Avance semanal decreciente"&amp;" · ","")&amp;IF(AND(ISNUMBER(tblActividades[[#This Row],[Fecha límite]]),tblActividades[[#This Row],[Fecha límite]]&lt;FechaRef,N(tblActividades[[#This Row],[% de Avance Total Actual]])&lt;1),"Vencida"&amp;" · ","")&amp;IF(AND(EvidenciaObligatoria="Sí",N(tblActividades[[#This Row],[% de Avance Total Actual]])&gt;=1,tblActividades[[#This Row],[Evidencia / Observaciones]]=""),"Completada sin evidencia"&amp;" · ",""))="","✔ OK","⚠ "&amp;LEFT(IF(tblActividades[[#This Row],[ID Actividad]]="","Falta ID"&amp;" · ","")&amp;IF(AND(tblActividades[[#This Row],[ID Actividad]]&lt;&gt;"",COUNTIF($A$5:$A$1000,tblActividades[[#This Row],[ID Actividad]])&gt;1),"ID duplicado"&amp;" · ","")&amp;IF(tblActividades[[#This Row],[Área / Puesto]]="","Área sin seleccionar"&amp;" · ","")&amp;IF(AND(tblActividades[[#This Row],[Área / Puesto]]&lt;&gt;"",ISNA(MATCH(tblActividades[[#This Row],[Área / Puesto]],ListaPuestos,0))),"Área no válida"&amp;" · ","")&amp;IF(tblActividades[[#This Row],[Macro Actividad]]="","Macroactividad vacía"&amp;" · ","")&amp;IF(tblActividades[[#This Row],[Responsable]]="","Sin responsable"&amp;" · ","")&amp;IF(tblActividades[[#This Row],[Fecha de inicio]]="","Sin fecha de inicio"&amp;" · ","")&amp;IF(tblActividades[[#This Row],[Fecha límite]]="","Sin fecha límite"&amp;" · ","")&amp;IF(OR(AND(tblActividades[[#This Row],[Fecha de inicio]]&lt;&gt;"",NOT(ISNUMBER(tblActividades[[#This Row],[Fecha de inicio]]))),AND(tblActividades[[#This Row],[Fecha límite]]&lt;&gt;"",NOT(ISNUMBER(tblActividades[[#This Row],[Fecha límite]])))),"Fecha no válida"&amp;" · ","")&amp;IF(AND(ISNUMBER(tblActividades[[#This Row],[Fecha de inicio]]),ISNUMBER(tblActividades[[#This Row],[Fecha límite]]),tblActividades[[#This Row],[Fecha de inicio]]&gt;tblActividades[[#This Row],[Fecha límite]]),"Inicio posterior a fecha límite"&amp;" · ","")&amp;IF(tblActividades[[#This Row],[Peso de actividad (%)]]="","Peso vacío"&amp;" · ","")&amp;IF(AND(tblActividades[[#This Row],[Peso de actividad (%)]]&lt;&gt;"",OR(NOT(ISNUMBER(tblActividades[[#This Row],[Peso de actividad (%)]])),tblActividades[[#This Row],[Peso de actividad (%)]]&lt;=0,tblActividades[[#This Row],[Peso de actividad (%)]]&gt;1)),"Peso fuera de rango"&amp;" · ","")&amp;IF(AND(tblActividades[[#This Row],[Área / Puesto]]&lt;&gt;"",ABS(SUMIFS($G$5:$G$1000,$B$5:$B$1000,tblActividades[[#This Row],[Área / Puesto]])-1)&gt;0.0001),"Pesos del puesto suman "&amp;TEXT(SUMIFS($G$5:$G$1000,$B$5:$B$1000,tblActividades[[#This Row],[Área / Puesto]]),"0%")&amp;" · ","")&amp;IF((COUNTIF(tblActividades[[#This Row],[Avance Semana 1 (%)]:[Avance Semana 4 (%)]],"&gt;1")+COUNTIF(tblActividades[[#This Row],[Avance Semana 1 (%)]:[Avance Semana 4 (%)]],"&lt;0")+COUNTA(tblActividades[[#This Row],[Avance Semana 1 (%)]:[Avance Semana 4 (%)]])-COUNT(tblActividades[[#This Row],[Avance Semana 1 (%)]:[Avance Semana 4 (%)]]))&gt;0,"Avance fuera de rango 0-100%"&amp;" · ","")&amp;IF(OR(AND(tblActividades[[#This Row],[Avance Semana 2 (%)]]&lt;&gt;"",tblActividades[[#This Row],[Avance Semana 2 (%)]]&lt;tblActividades[[#This Row],[Avance Semana 1 (%)]]),AND(tblActividades[[#This Row],[Avance Semana 3 (%)]]&lt;&gt;"",tblActividades[[#This Row],[Avance Semana 3 (%)]]&lt;MAX(tblActividades[[#This Row],[Avance Semana 1 (%)]:[Avance Semana 2 (%)]])),AND(tblActividades[[#This Row],[Avance Semana 4 (%)]]&lt;&gt;"",tblActividades[[#This Row],[Avance Semana 4 (%)]]&lt;MAX(tblActividades[[#This Row],[Avance Semana 1 (%)]:[Avance Semana 3 (%)]]))),"Avance semanal decreciente"&amp;" · ","")&amp;IF(AND(ISNUMBER(tblActividades[[#This Row],[Fecha límite]]),tblActividades[[#This Row],[Fecha límite]]&lt;FechaRef,N(tblActividades[[#This Row],[% de Avance Total Actual]])&lt;1),"Vencida"&amp;" · ","")&amp;IF(AND(EvidenciaObligatoria="Sí",N(tblActividades[[#This Row],[% de Avance Total Actual]])&gt;=1,tblActividades[[#This Row],[Evidencia / Observaciones]]=""),"Completada sin evidencia"&amp;" · ",""),LEN(IF(tblActividades[[#This Row],[ID Actividad]]="","Falta ID"&amp;" · ","")&amp;IF(AND(tblActividades[[#This Row],[ID Actividad]]&lt;&gt;"",COUNTIF($A$5:$A$1000,tblActividades[[#This Row],[ID Actividad]])&gt;1),"ID duplicado"&amp;" · ","")&amp;IF(tblActividades[[#This Row],[Área / Puesto]]="","Área sin seleccionar"&amp;" · ","")&amp;IF(AND(tblActividades[[#This Row],[Área / Puesto]]&lt;&gt;"",ISNA(MATCH(tblActividades[[#This Row],[Área / Puesto]],ListaPuestos,0))),"Área no válida"&amp;" · ","")&amp;IF(tblActividades[[#This Row],[Macro Actividad]]="","Macroactividad vacía"&amp;" · ","")&amp;IF(tblActividades[[#This Row],[Responsable]]="","Sin responsable"&amp;" · ","")&amp;IF(tblActividades[[#This Row],[Fecha de inicio]]="","Sin fecha de inicio"&amp;" · ","")&amp;IF(tblActividades[[#This Row],[Fecha límite]]="","Sin fecha límite"&amp;" · ","")&amp;IF(OR(AND(tblActividades[[#This Row],[Fecha de inicio]]&lt;&gt;"",NOT(ISNUMBER(tblActividades[[#This Row],[Fecha de inicio]]))),AND(tblActividades[[#This Row],[Fecha límite]]&lt;&gt;"",NOT(ISNUMBER(tblActividades[[#This Row],[Fecha límite]])))),"Fecha no válida"&amp;" · ","")&amp;IF(AND(ISNUMBER(tblActividades[[#This Row],[Fecha de inicio]]),ISNUMBER(tblActividades[[#This Row],[Fecha límite]]),tblActividades[[#This Row],[Fecha de inicio]]&gt;tblActividades[[#This Row],[Fecha límite]]),"Inicio posterior a fecha límite"&amp;" · ","")&amp;IF(tblActividades[[#This Row],[Peso de actividad (%)]]="","Peso vacío"&amp;" · ","")&amp;IF(AND(tblActividades[[#This Row],[Peso de actividad (%)]]&lt;&gt;"",OR(NOT(ISNUMBER(tblActividades[[#This Row],[Peso de actividad (%)]])),tblActividades[[#This Row],[Peso de actividad (%)]]&lt;=0,tblActividades[[#This Row],[Peso de actividad (%)]]&gt;1)),"Peso fuera de rango"&amp;" · ","")&amp;IF(AND(tblActividades[[#This Row],[Área / Puesto]]&lt;&gt;"",ABS(SUMIFS($G$5:$G$1000,$B$5:$B$1000,tblActividades[[#This Row],[Área / Puesto]])-1)&gt;0.0001),"Pesos del puesto suman "&amp;TEXT(SUMIFS($G$5:$G$1000,$B$5:$B$1000,tblActividades[[#This Row],[Área / Puesto]]),"0%")&amp;" · ","")&amp;IF((COUNTIF(tblActividades[[#This Row],[Avance Semana 1 (%)]:[Avance Semana 4 (%)]],"&gt;1")+COUNTIF(tblActividades[[#This Row],[Avance Semana 1 (%)]:[Avance Semana 4 (%)]],"&lt;0")+COUNTA(tblActividades[[#This Row],[Avance Semana 1 (%)]:[Avance Semana 4 (%)]])-COUNT(tblActividades[[#This Row],[Avance Semana 1 (%)]:[Avance Semana 4 (%)]]))&gt;0,"Avance fuera de rango 0-100%"&amp;" · ","")&amp;IF(OR(AND(tblActividades[[#This Row],[Avance Semana 2 (%)]]&lt;&gt;"",tblActividades[[#This Row],[Avance Semana 2 (%)]]&lt;tblActividades[[#This Row],[Avance Semana 1 (%)]]),AND(tblActividades[[#This Row],[Avance Semana 3 (%)]]&lt;&gt;"",tblActividades[[#This Row],[Avance Semana 3 (%)]]&lt;MAX(tblActividades[[#This Row],[Avance Semana 1 (%)]:[Avance Semana 2 (%)]])),AND(tblActividades[[#This Row],[Avance Semana 4 (%)]]&lt;&gt;"",tblActividades[[#This Row],[Avance Semana 4 (%)]]&lt;MAX(tblActividades[[#This Row],[Avance Semana 1 (%)]:[Avance Semana 3 (%)]]))),"Avance semanal decreciente"&amp;" · ","")&amp;IF(AND(ISNUMBER(tblActividades[[#This Row],[Fecha límite]]),tblActividades[[#This Row],[Fecha límite]]&lt;FechaRef,N(tblActividades[[#This Row],[% de Avance Total Actual]])&lt;1),"Vencida"&amp;" · ","")&amp;IF(AND(EvidenciaObligatoria="Sí",N(tblActividades[[#This Row],[% de Avance Total Actual]])&gt;=1,tblActividades[[#This Row],[Evidencia / Observaciones]]=""),"Completada sin evidencia"&amp;" · ",""))-3)))</calculatedColumnFormula>
    </tableColumn>
  </tableColumns>
  <tableStyleInfo name="TableStyleLight1" showRowStripes="0"/>
</table>
</file>

<file path=xl/tables/table2.xml><?xml version="1.0" encoding="utf-8"?>
<table xmlns="http://schemas.openxmlformats.org/spreadsheetml/2006/main" id="2" name="tblHitos" displayName="tblHitos" ref="A4:K44" headerRowCount="1">
  <autoFilter ref="A4:K44"/>
  <tableColumns count="11">
    <tableColumn id="1" name="ID Hito"/>
    <tableColumn id="2" name="Semana"/>
    <tableColumn id="3" name="Fecha objetivo"/>
    <tableColumn id="4" name="Área / Puesto"/>
    <tableColumn id="5" name="Entregable / Hito"/>
    <tableColumn id="6" name="Criterio de aceptación"/>
    <tableColumn id="7" name="Responsable"/>
    <tableColumn id="8" name="Estado"/>
    <tableColumn id="9" name="Fecha real de cumplimiento"/>
    <tableColumn id="10" name="Evidencia / Enlace"/>
    <tableColumn id="11"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B1:M74"/>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2"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s>
  <sheetData>
    <row r="1" ht="34" customHeight="1">
      <c r="B1" s="1" t="inlineStr">
        <is>
          <t>Dashboard Consolidado – Gestión de Riesgos · Ciclo de 4 semanas</t>
        </is>
      </c>
      <c r="C1" s="1" t="n"/>
      <c r="D1" s="1" t="n"/>
      <c r="E1" s="1" t="n"/>
      <c r="F1" s="1" t="n"/>
      <c r="G1" s="1" t="n"/>
      <c r="H1" s="1" t="n"/>
      <c r="I1" s="1" t="n"/>
      <c r="J1" s="1" t="n"/>
      <c r="K1" s="1" t="n"/>
      <c r="L1" s="1" t="n"/>
      <c r="M1" s="1" t="n"/>
    </row>
    <row r="2" ht="22" customHeight="1">
      <c r="B2" s="2" t="inlineStr">
        <is>
          <t>Semana actual:</t>
        </is>
      </c>
      <c r="C2" s="3">
        <f>SemanaActual</f>
        <v/>
      </c>
      <c r="D2" s="2" t="inlineStr">
        <is>
          <t>Fecha de corte:</t>
        </is>
      </c>
      <c r="E2" s="4">
        <f>FechaRef</f>
        <v/>
      </c>
      <c r="F2" s="5" t="inlineStr">
        <is>
          <t>Se actualiza automáticamente desde «Cronograma y Actividades». Semana y fecha de corte: hoja Configuración.</t>
        </is>
      </c>
      <c r="G2" s="5" t="n"/>
      <c r="H2" s="5" t="n"/>
      <c r="I2" s="5" t="n"/>
      <c r="J2" s="5" t="n"/>
      <c r="K2" s="5" t="n"/>
      <c r="L2" s="5" t="n"/>
      <c r="M2" s="5" t="n"/>
    </row>
    <row r="4" ht="20" customHeight="1">
      <c r="B4" s="6" t="inlineStr">
        <is>
          <t>Avance general del proyecto</t>
        </is>
      </c>
      <c r="C4" s="6" t="n"/>
      <c r="D4" s="6" t="n"/>
      <c r="E4" s="6" t="inlineStr">
        <is>
          <t>Meta de cumplimiento</t>
        </is>
      </c>
      <c r="F4" s="6" t="n"/>
      <c r="G4" s="6" t="n"/>
      <c r="H4" s="6" t="inlineStr">
        <is>
          <t>Macroactividades registradas</t>
        </is>
      </c>
      <c r="I4" s="6" t="n"/>
      <c r="J4" s="6" t="n"/>
      <c r="K4" s="6" t="inlineStr">
        <is>
          <t>Actividades completadas</t>
        </is>
      </c>
      <c r="L4" s="6" t="n"/>
      <c r="M4" s="6" t="n"/>
    </row>
    <row r="5" ht="38" customHeight="1">
      <c r="B5" s="7">
        <f>IF('Calculos'!$E$8,'Calculos'!$F$8,"No definitivo")</f>
        <v/>
      </c>
      <c r="C5" s="8" t="n"/>
      <c r="D5" s="8" t="n"/>
      <c r="E5" s="7">
        <f>MetaFinal</f>
        <v/>
      </c>
      <c r="F5" s="8" t="n"/>
      <c r="G5" s="8" t="n"/>
      <c r="H5" s="9">
        <f>'Calculos'!$B$11</f>
        <v/>
      </c>
      <c r="I5" s="8" t="n"/>
      <c r="J5" s="8" t="n"/>
      <c r="K5" s="9">
        <f>'Calculos'!$N$8</f>
        <v/>
      </c>
      <c r="L5" s="8" t="n"/>
      <c r="M5" s="8" t="n"/>
    </row>
    <row r="6" ht="18" customHeight="1">
      <c r="B6" s="10">
        <f>IF('Calculos'!$E$8,"Promedio simple de los 4 puestos",IF('Calculos'!$C$8=0,"Ningún puesto con datos válidos","Provisional "&amp;TEXT('Calculos'!$D$8,"0%")&amp;" ("&amp;'Calculos'!$C$8&amp;" de 4 puestos válidos)"))</f>
        <v/>
      </c>
      <c r="C6" s="10" t="n"/>
      <c r="D6" s="10" t="n"/>
      <c r="E6" s="10" t="inlineStr">
        <is>
          <t>Al cierre de la Semana 4</t>
        </is>
      </c>
      <c r="F6" s="10" t="n"/>
      <c r="G6" s="10" t="n"/>
      <c r="H6" s="10">
        <f>"Con área asignada: "&amp;'Calculos'!$B$8</f>
        <v/>
      </c>
      <c r="I6" s="10" t="n"/>
      <c r="J6" s="10" t="n"/>
      <c r="K6" s="10">
        <f>IF('Calculos'!$B$11=0,"—",TEXT('Calculos'!$N$8/'Calculos'!$B$11,"0%")&amp;" del total")</f>
        <v/>
      </c>
      <c r="L6" s="10" t="n"/>
      <c r="M6" s="10" t="n"/>
    </row>
    <row r="7" ht="8" customHeight="1"/>
    <row r="8" ht="20" customHeight="1">
      <c r="B8" s="6" t="inlineStr">
        <is>
          <t>Actividades en curso</t>
        </is>
      </c>
      <c r="C8" s="6" t="n"/>
      <c r="D8" s="6" t="n"/>
      <c r="E8" s="6" t="inlineStr">
        <is>
          <t>Actividades pendientes</t>
        </is>
      </c>
      <c r="F8" s="6" t="n"/>
      <c r="G8" s="6" t="n"/>
      <c r="H8" s="6" t="inlineStr">
        <is>
          <t>Puestos que alcanzaron el 100%</t>
        </is>
      </c>
      <c r="I8" s="6" t="n"/>
      <c r="J8" s="6" t="n"/>
      <c r="K8" s="6" t="inlineStr">
        <is>
          <t>Actividades con alertas</t>
        </is>
      </c>
      <c r="L8" s="6" t="n"/>
      <c r="M8" s="6" t="n"/>
    </row>
    <row r="9" ht="38" customHeight="1">
      <c r="B9" s="9">
        <f>'Calculos'!$O$8</f>
        <v/>
      </c>
      <c r="C9" s="8" t="n"/>
      <c r="D9" s="8" t="n"/>
      <c r="E9" s="9">
        <f>'Calculos'!$P$8</f>
        <v/>
      </c>
      <c r="F9" s="8" t="n"/>
      <c r="G9" s="8" t="n"/>
      <c r="H9" s="11">
        <f>'Calculos'!$B$12</f>
        <v/>
      </c>
      <c r="I9" s="8" t="n"/>
      <c r="J9" s="8" t="n"/>
      <c r="K9" s="9">
        <f>'Calculos'!$R$8</f>
        <v/>
      </c>
      <c r="L9" s="8" t="n"/>
      <c r="M9" s="8" t="n"/>
    </row>
    <row r="10" ht="18" customHeight="1">
      <c r="B10" s="10" t="inlineStr">
        <is>
          <t>Avance &gt; 0% y &lt; 100%</t>
        </is>
      </c>
      <c r="C10" s="10" t="n"/>
      <c r="D10" s="10" t="n"/>
      <c r="E10" s="10">
        <f>"De todas las actividades, vencidas: "&amp;'Calculos'!$Q$8</f>
        <v/>
      </c>
      <c r="F10" s="10" t="n"/>
      <c r="G10" s="10" t="n"/>
      <c r="H10" s="10" t="inlineStr">
        <is>
          <t>Con ponderación válida</t>
        </is>
      </c>
      <c r="I10" s="10" t="n"/>
      <c r="J10" s="10" t="n"/>
      <c r="K10" s="10">
        <f>"Próximas a vencer: "&amp;'Calculos'!$B$13</f>
        <v/>
      </c>
      <c r="L10" s="10" t="n"/>
      <c r="M10" s="10" t="n"/>
    </row>
    <row r="12" ht="30" customHeight="1">
      <c r="B12" s="12">
        <f>IF('Calculos'!$E$8,"Avance general vs meta 100%","Avance PROVISIONAL vs meta")</f>
        <v/>
      </c>
      <c r="C12" s="13">
        <f>IF('Calculos'!$E$8,'Calculos'!$F$8,N('Calculos'!$D$8))</f>
        <v/>
      </c>
      <c r="D12" s="14" t="n"/>
      <c r="E12" s="14" t="n"/>
      <c r="F12" s="14" t="n"/>
      <c r="G12" s="15">
        <f>IF('Calculos'!$B$11=0,"⚠ No hay actividades registradas. Registre actividades y pesos en «Cronograma y Actividades».",IF(NOT('Calculos'!$E$8),"⚠ Avance global NO definitivo: "&amp;(4-'Calculos'!$C$8)&amp;" puesto(s) sin actividades válidas o con pesos que no suman 100%.",IF('Calculos'!$M$8,"Proyecto: ¡Enhorabuena, completado anticipadamente!",IF('Calculos'!$L$8,"Proyecto completado: meta del 100% alcanzada.","Proyecto en ejecución – Semana "&amp;SemanaActual&amp;" de 4."))))</f>
        <v/>
      </c>
      <c r="H12" s="15" t="n"/>
      <c r="I12" s="15" t="n"/>
      <c r="J12" s="15" t="n"/>
      <c r="K12" s="15" t="n"/>
      <c r="L12" s="15" t="n"/>
      <c r="M12" s="15" t="n"/>
    </row>
    <row r="14" ht="24" customHeight="1">
      <c r="B14" s="16" t="inlineStr">
        <is>
          <t>Avance individual por puesto (ponderado por el peso de cada actividad)</t>
        </is>
      </c>
      <c r="C14" s="16" t="n"/>
      <c r="D14" s="16" t="n"/>
      <c r="E14" s="16" t="n"/>
      <c r="F14" s="16" t="n"/>
      <c r="G14" s="16" t="n"/>
      <c r="H14" s="16" t="n"/>
      <c r="I14" s="16" t="n"/>
      <c r="J14" s="16" t="n"/>
      <c r="K14" s="16" t="n"/>
      <c r="L14" s="16" t="n"/>
      <c r="M14" s="16" t="n"/>
    </row>
    <row r="15" ht="30" customHeight="1">
      <c r="B15" s="6" t="inlineStr">
        <is>
          <t>Puesto</t>
        </is>
      </c>
      <c r="C15" s="6" t="inlineStr">
        <is>
          <t>Avance ponderado</t>
        </is>
      </c>
      <c r="D15" s="6" t="inlineStr">
        <is>
          <t>Progreso</t>
        </is>
      </c>
      <c r="E15" s="6" t="inlineStr">
        <is>
          <t>Total actividades</t>
        </is>
      </c>
      <c r="F15" s="6" t="inlineStr">
        <is>
          <t>Completadas</t>
        </is>
      </c>
      <c r="G15" s="6" t="inlineStr">
        <is>
          <t>En curso</t>
        </is>
      </c>
      <c r="H15" s="6" t="inlineStr">
        <is>
          <t>Pendientes</t>
        </is>
      </c>
      <c r="I15" s="6" t="inlineStr">
        <is>
          <t>Vencidas</t>
        </is>
      </c>
      <c r="J15" s="6" t="inlineStr">
        <is>
          <t>Con alertas</t>
        </is>
      </c>
      <c r="K15" s="6" t="inlineStr">
        <is>
          <t>Estado general</t>
        </is>
      </c>
      <c r="L15" s="6" t="inlineStr">
        <is>
          <t>Mensaje de finalización</t>
        </is>
      </c>
      <c r="M15" s="17" t="n"/>
    </row>
    <row r="16" ht="28" customHeight="1">
      <c r="B16" s="18">
        <f>'Calculos'!A4</f>
        <v/>
      </c>
      <c r="C16" s="19">
        <f>IF('Calculos'!B4=0,"Sin actividades",IF(NOT('Calculos'!E4),"Revisar pesos",'Calculos'!F4))</f>
        <v/>
      </c>
      <c r="D16" s="20">
        <f>IF(ISNUMBER(C16),C16,0)</f>
        <v/>
      </c>
      <c r="E16" s="21">
        <f>'Calculos'!B4</f>
        <v/>
      </c>
      <c r="F16" s="21">
        <f>'Calculos'!N4</f>
        <v/>
      </c>
      <c r="G16" s="21">
        <f>'Calculos'!O4</f>
        <v/>
      </c>
      <c r="H16" s="21">
        <f>'Calculos'!P4</f>
        <v/>
      </c>
      <c r="I16" s="21">
        <f>'Calculos'!Q4</f>
        <v/>
      </c>
      <c r="J16" s="21">
        <f>'Calculos'!R4</f>
        <v/>
      </c>
      <c r="K16" s="21">
        <f>IF('Calculos'!B4=0,"Sin actividades",IF(NOT('Calculos'!E4),"Pesos suman "&amp;TEXT('Calculos'!C4,"0%")&amp;IF('Calculos'!D4&gt;0," / "&amp;'Calculos'!D4&amp;" vacío(s)",""),IF('Calculos'!L4,"Completado",IF('Calculos'!F4&gt;0,"En curso","Pendiente"))))</f>
        <v/>
      </c>
      <c r="L16" s="21">
        <f>IF('Calculos'!B4=0,"⚠ Registrar actividades",IF(NOT('Calculos'!E4),"⚠ Configurar ponderación al 100%",IF('Calculos'!M4,"¡Enhorabuena, completado anticipadamente!",IF('Calculos'!L4,"Completado","En ejecución"))))</f>
        <v/>
      </c>
      <c r="M16" s="21" t="n"/>
    </row>
    <row r="17" ht="28" customHeight="1">
      <c r="B17" s="18">
        <f>'Calculos'!A5</f>
        <v/>
      </c>
      <c r="C17" s="19">
        <f>IF('Calculos'!B5=0,"Sin actividades",IF(NOT('Calculos'!E5),"Revisar pesos",'Calculos'!F5))</f>
        <v/>
      </c>
      <c r="D17" s="20">
        <f>IF(ISNUMBER(C17),C17,0)</f>
        <v/>
      </c>
      <c r="E17" s="21">
        <f>'Calculos'!B5</f>
        <v/>
      </c>
      <c r="F17" s="21">
        <f>'Calculos'!N5</f>
        <v/>
      </c>
      <c r="G17" s="21">
        <f>'Calculos'!O5</f>
        <v/>
      </c>
      <c r="H17" s="21">
        <f>'Calculos'!P5</f>
        <v/>
      </c>
      <c r="I17" s="21">
        <f>'Calculos'!Q5</f>
        <v/>
      </c>
      <c r="J17" s="21">
        <f>'Calculos'!R5</f>
        <v/>
      </c>
      <c r="K17" s="21">
        <f>IF('Calculos'!B5=0,"Sin actividades",IF(NOT('Calculos'!E5),"Pesos suman "&amp;TEXT('Calculos'!C5,"0%")&amp;IF('Calculos'!D5&gt;0," / "&amp;'Calculos'!D5&amp;" vacío(s)",""),IF('Calculos'!L5,"Completado",IF('Calculos'!F5&gt;0,"En curso","Pendiente"))))</f>
        <v/>
      </c>
      <c r="L17" s="21">
        <f>IF('Calculos'!B5=0,"⚠ Registrar actividades",IF(NOT('Calculos'!E5),"⚠ Configurar ponderación al 100%",IF('Calculos'!M5,"¡Enhorabuena, completado anticipadamente!",IF('Calculos'!L5,"Completado","En ejecución"))))</f>
        <v/>
      </c>
      <c r="M17" s="21" t="n"/>
    </row>
    <row r="18" ht="28" customHeight="1">
      <c r="B18" s="18">
        <f>'Calculos'!A6</f>
        <v/>
      </c>
      <c r="C18" s="19">
        <f>IF('Calculos'!B6=0,"Sin actividades",IF(NOT('Calculos'!E6),"Revisar pesos",'Calculos'!F6))</f>
        <v/>
      </c>
      <c r="D18" s="20">
        <f>IF(ISNUMBER(C18),C18,0)</f>
        <v/>
      </c>
      <c r="E18" s="21">
        <f>'Calculos'!B6</f>
        <v/>
      </c>
      <c r="F18" s="21">
        <f>'Calculos'!N6</f>
        <v/>
      </c>
      <c r="G18" s="21">
        <f>'Calculos'!O6</f>
        <v/>
      </c>
      <c r="H18" s="21">
        <f>'Calculos'!P6</f>
        <v/>
      </c>
      <c r="I18" s="21">
        <f>'Calculos'!Q6</f>
        <v/>
      </c>
      <c r="J18" s="21">
        <f>'Calculos'!R6</f>
        <v/>
      </c>
      <c r="K18" s="21">
        <f>IF('Calculos'!B6=0,"Sin actividades",IF(NOT('Calculos'!E6),"Pesos suman "&amp;TEXT('Calculos'!C6,"0%")&amp;IF('Calculos'!D6&gt;0," / "&amp;'Calculos'!D6&amp;" vacío(s)",""),IF('Calculos'!L6,"Completado",IF('Calculos'!F6&gt;0,"En curso","Pendiente"))))</f>
        <v/>
      </c>
      <c r="L18" s="21">
        <f>IF('Calculos'!B6=0,"⚠ Registrar actividades",IF(NOT('Calculos'!E6),"⚠ Configurar ponderación al 100%",IF('Calculos'!M6,"¡Enhorabuena, completado anticipadamente!",IF('Calculos'!L6,"Completado","En ejecución"))))</f>
        <v/>
      </c>
      <c r="M18" s="21" t="n"/>
    </row>
    <row r="19" ht="28" customHeight="1">
      <c r="B19" s="18">
        <f>'Calculos'!A7</f>
        <v/>
      </c>
      <c r="C19" s="19">
        <f>IF('Calculos'!B7=0,"Sin actividades",IF(NOT('Calculos'!E7),"Revisar pesos",'Calculos'!F7))</f>
        <v/>
      </c>
      <c r="D19" s="20">
        <f>IF(ISNUMBER(C19),C19,0)</f>
        <v/>
      </c>
      <c r="E19" s="21">
        <f>'Calculos'!B7</f>
        <v/>
      </c>
      <c r="F19" s="21">
        <f>'Calculos'!N7</f>
        <v/>
      </c>
      <c r="G19" s="21">
        <f>'Calculos'!O7</f>
        <v/>
      </c>
      <c r="H19" s="21">
        <f>'Calculos'!P7</f>
        <v/>
      </c>
      <c r="I19" s="21">
        <f>'Calculos'!Q7</f>
        <v/>
      </c>
      <c r="J19" s="21">
        <f>'Calculos'!R7</f>
        <v/>
      </c>
      <c r="K19" s="21">
        <f>IF('Calculos'!B7=0,"Sin actividades",IF(NOT('Calculos'!E7),"Pesos suman "&amp;TEXT('Calculos'!C7,"0%")&amp;IF('Calculos'!D7&gt;0," / "&amp;'Calculos'!D7&amp;" vacío(s)",""),IF('Calculos'!L7,"Completado",IF('Calculos'!F7&gt;0,"En curso","Pendiente"))))</f>
        <v/>
      </c>
      <c r="L19" s="21">
        <f>IF('Calculos'!B7=0,"⚠ Registrar actividades",IF(NOT('Calculos'!E7),"⚠ Configurar ponderación al 100%",IF('Calculos'!M7,"¡Enhorabuena, completado anticipadamente!",IF('Calculos'!L7,"Completado","En ejecución"))))</f>
        <v/>
      </c>
      <c r="M19" s="21" t="n"/>
    </row>
    <row r="20" ht="28" customHeight="1">
      <c r="B20" s="22" t="inlineStr">
        <is>
          <t>Total proyecto</t>
        </is>
      </c>
      <c r="C20" s="23">
        <f>IF('Calculos'!$E$8,'Calculos'!$F$8,"No definitivo")</f>
        <v/>
      </c>
      <c r="D20" s="24">
        <f>IF(ISNUMBER(C20),C20,0)</f>
        <v/>
      </c>
      <c r="E20" s="25">
        <f>'Calculos'!B11</f>
        <v/>
      </c>
      <c r="F20" s="25">
        <f>'Calculos'!N8</f>
        <v/>
      </c>
      <c r="G20" s="25">
        <f>'Calculos'!O8</f>
        <v/>
      </c>
      <c r="H20" s="25">
        <f>'Calculos'!P8</f>
        <v/>
      </c>
      <c r="I20" s="25">
        <f>'Calculos'!Q8</f>
        <v/>
      </c>
      <c r="J20" s="25">
        <f>'Calculos'!R8</f>
        <v/>
      </c>
      <c r="K20" s="25">
        <f>IF('Calculos'!$E$8,"Promedio 4 puestos","No definitivo")</f>
        <v/>
      </c>
      <c r="L20" s="25">
        <f>IF(NOT('Calculos'!$E$8),"⚠ Completar configuración de todos los puestos",IF('Calculos'!$M$8,"¡Enhorabuena, completado anticipadamente!",IF('Calculos'!$L$8,"Completado","En ejecución")))</f>
        <v/>
      </c>
      <c r="M20" s="25" t="n"/>
    </row>
    <row r="22" ht="24" customHeight="1">
      <c r="B22" s="16" t="inlineStr">
        <is>
          <t>Seguimiento semanal: avance acumulado ponderado e incremento semanal</t>
        </is>
      </c>
      <c r="C22" s="16" t="n"/>
      <c r="D22" s="16" t="n"/>
      <c r="E22" s="16" t="n"/>
      <c r="F22" s="16" t="n"/>
      <c r="G22" s="16" t="n"/>
      <c r="H22" s="16" t="n"/>
      <c r="I22" s="16" t="n"/>
      <c r="J22" s="16" t="n"/>
      <c r="K22" s="16" t="n"/>
      <c r="L22" s="16" t="n"/>
      <c r="M22" s="16" t="n"/>
    </row>
    <row r="23">
      <c r="C23" s="26" t="inlineStr">
        <is>
          <t>Avance ACUMULADO ponderado al cierre de cada semana</t>
        </is>
      </c>
      <c r="D23" s="26" t="n"/>
      <c r="E23" s="26" t="n"/>
      <c r="F23" s="26" t="n"/>
      <c r="H23" s="26" t="inlineStr">
        <is>
          <t>INCREMENTO respecto a la semana anterior (puntos %)</t>
        </is>
      </c>
      <c r="I23" s="26" t="n"/>
      <c r="J23" s="26" t="n"/>
      <c r="K23" s="26" t="n"/>
      <c r="L23" s="26" t="inlineStr">
        <is>
          <t>Brecha vs meta 100%</t>
        </is>
      </c>
      <c r="M23" s="26" t="n"/>
    </row>
    <row r="24">
      <c r="B24" s="27" t="inlineStr">
        <is>
          <t>Puesto / Indicador</t>
        </is>
      </c>
      <c r="C24" s="27" t="inlineStr">
        <is>
          <t>Semana 1</t>
        </is>
      </c>
      <c r="D24" s="27" t="inlineStr">
        <is>
          <t>Semana 2</t>
        </is>
      </c>
      <c r="E24" s="27" t="inlineStr">
        <is>
          <t>Semana 3</t>
        </is>
      </c>
      <c r="F24" s="27" t="inlineStr">
        <is>
          <t>Semana 4</t>
        </is>
      </c>
      <c r="H24" s="27" t="inlineStr">
        <is>
          <t>Semana 1</t>
        </is>
      </c>
      <c r="I24" s="27" t="inlineStr">
        <is>
          <t>Semana 2</t>
        </is>
      </c>
      <c r="J24" s="27" t="inlineStr">
        <is>
          <t>Semana 3</t>
        </is>
      </c>
      <c r="K24" s="27" t="inlineStr">
        <is>
          <t>Semana 4</t>
        </is>
      </c>
      <c r="L24" s="27" t="inlineStr">
        <is>
          <t>Pendiente para la meta</t>
        </is>
      </c>
      <c r="M24" s="27" t="n"/>
    </row>
    <row r="25">
      <c r="B25" s="28">
        <f>'Calculos'!A4</f>
        <v/>
      </c>
      <c r="C25" s="19">
        <f>IF(NOT('Calculos'!G$10),"",IF('Calculos'!$E4,'Calculos'!G4,"–"))</f>
        <v/>
      </c>
      <c r="D25" s="19">
        <f>IF(NOT('Calculos'!H$10),"",IF('Calculos'!$E4,'Calculos'!H4,"–"))</f>
        <v/>
      </c>
      <c r="E25" s="19">
        <f>IF(NOT('Calculos'!I$10),"",IF('Calculos'!$E4,'Calculos'!I4,"–"))</f>
        <v/>
      </c>
      <c r="F25" s="19">
        <f>IF(NOT('Calculos'!J$10),"",IF('Calculos'!$E4,'Calculos'!J4,"–"))</f>
        <v/>
      </c>
      <c r="H25" s="29">
        <f>IF(ISNUMBER(C25),C25,"")</f>
        <v/>
      </c>
      <c r="I25" s="29">
        <f>IF(AND(ISNUMBER(D25),ISNUMBER(C25)),D25-C25,"")</f>
        <v/>
      </c>
      <c r="J25" s="29">
        <f>IF(AND(ISNUMBER(E25),ISNUMBER(D25)),E25-D25,"")</f>
        <v/>
      </c>
      <c r="K25" s="29">
        <f>IF(AND(ISNUMBER(F25),ISNUMBER(E25)),F25-E25,"")</f>
        <v/>
      </c>
      <c r="L25" s="19">
        <f>IFERROR(MetaFinal-LOOKUP(2,1/ISNUMBER(C25:F25),C25:F25),"")</f>
        <v/>
      </c>
      <c r="M25" s="21" t="n"/>
    </row>
    <row r="26">
      <c r="B26" s="28">
        <f>'Calculos'!A5</f>
        <v/>
      </c>
      <c r="C26" s="19">
        <f>IF(NOT('Calculos'!G$10),"",IF('Calculos'!$E5,'Calculos'!G5,"–"))</f>
        <v/>
      </c>
      <c r="D26" s="19">
        <f>IF(NOT('Calculos'!H$10),"",IF('Calculos'!$E5,'Calculos'!H5,"–"))</f>
        <v/>
      </c>
      <c r="E26" s="19">
        <f>IF(NOT('Calculos'!I$10),"",IF('Calculos'!$E5,'Calculos'!I5,"–"))</f>
        <v/>
      </c>
      <c r="F26" s="19">
        <f>IF(NOT('Calculos'!J$10),"",IF('Calculos'!$E5,'Calculos'!J5,"–"))</f>
        <v/>
      </c>
      <c r="H26" s="29">
        <f>IF(ISNUMBER(C26),C26,"")</f>
        <v/>
      </c>
      <c r="I26" s="29">
        <f>IF(AND(ISNUMBER(D26),ISNUMBER(C26)),D26-C26,"")</f>
        <v/>
      </c>
      <c r="J26" s="29">
        <f>IF(AND(ISNUMBER(E26),ISNUMBER(D26)),E26-D26,"")</f>
        <v/>
      </c>
      <c r="K26" s="29">
        <f>IF(AND(ISNUMBER(F26),ISNUMBER(E26)),F26-E26,"")</f>
        <v/>
      </c>
      <c r="L26" s="19">
        <f>IFERROR(MetaFinal-LOOKUP(2,1/ISNUMBER(C26:F26),C26:F26),"")</f>
        <v/>
      </c>
      <c r="M26" s="21" t="n"/>
    </row>
    <row r="27">
      <c r="B27" s="28">
        <f>'Calculos'!A6</f>
        <v/>
      </c>
      <c r="C27" s="19">
        <f>IF(NOT('Calculos'!G$10),"",IF('Calculos'!$E6,'Calculos'!G6,"–"))</f>
        <v/>
      </c>
      <c r="D27" s="19">
        <f>IF(NOT('Calculos'!H$10),"",IF('Calculos'!$E6,'Calculos'!H6,"–"))</f>
        <v/>
      </c>
      <c r="E27" s="19">
        <f>IF(NOT('Calculos'!I$10),"",IF('Calculos'!$E6,'Calculos'!I6,"–"))</f>
        <v/>
      </c>
      <c r="F27" s="19">
        <f>IF(NOT('Calculos'!J$10),"",IF('Calculos'!$E6,'Calculos'!J6,"–"))</f>
        <v/>
      </c>
      <c r="H27" s="29">
        <f>IF(ISNUMBER(C27),C27,"")</f>
        <v/>
      </c>
      <c r="I27" s="29">
        <f>IF(AND(ISNUMBER(D27),ISNUMBER(C27)),D27-C27,"")</f>
        <v/>
      </c>
      <c r="J27" s="29">
        <f>IF(AND(ISNUMBER(E27),ISNUMBER(D27)),E27-D27,"")</f>
        <v/>
      </c>
      <c r="K27" s="29">
        <f>IF(AND(ISNUMBER(F27),ISNUMBER(E27)),F27-E27,"")</f>
        <v/>
      </c>
      <c r="L27" s="19">
        <f>IFERROR(MetaFinal-LOOKUP(2,1/ISNUMBER(C27:F27),C27:F27),"")</f>
        <v/>
      </c>
      <c r="M27" s="21" t="n"/>
    </row>
    <row r="28">
      <c r="B28" s="28">
        <f>'Calculos'!A7</f>
        <v/>
      </c>
      <c r="C28" s="19">
        <f>IF(NOT('Calculos'!G$10),"",IF('Calculos'!$E7,'Calculos'!G7,"–"))</f>
        <v/>
      </c>
      <c r="D28" s="19">
        <f>IF(NOT('Calculos'!H$10),"",IF('Calculos'!$E7,'Calculos'!H7,"–"))</f>
        <v/>
      </c>
      <c r="E28" s="19">
        <f>IF(NOT('Calculos'!I$10),"",IF('Calculos'!$E7,'Calculos'!I7,"–"))</f>
        <v/>
      </c>
      <c r="F28" s="19">
        <f>IF(NOT('Calculos'!J$10),"",IF('Calculos'!$E7,'Calculos'!J7,"–"))</f>
        <v/>
      </c>
      <c r="H28" s="29">
        <f>IF(ISNUMBER(C28),C28,"")</f>
        <v/>
      </c>
      <c r="I28" s="29">
        <f>IF(AND(ISNUMBER(D28),ISNUMBER(C28)),D28-C28,"")</f>
        <v/>
      </c>
      <c r="J28" s="29">
        <f>IF(AND(ISNUMBER(E28),ISNUMBER(D28)),E28-D28,"")</f>
        <v/>
      </c>
      <c r="K28" s="29">
        <f>IF(AND(ISNUMBER(F28),ISNUMBER(E28)),F28-E28,"")</f>
        <v/>
      </c>
      <c r="L28" s="19">
        <f>IFERROR(MetaFinal-LOOKUP(2,1/ISNUMBER(C28:F28),C28:F28),"")</f>
        <v/>
      </c>
      <c r="M28" s="21" t="n"/>
    </row>
    <row r="29">
      <c r="B29" s="22" t="inlineStr">
        <is>
          <t>Avance general del proyecto</t>
        </is>
      </c>
      <c r="C29" s="23">
        <f>IF(NOT('Calculos'!G$10),"",IF('Calculos'!$E$8,'Calculos'!G8,"n/d"))</f>
        <v/>
      </c>
      <c r="D29" s="23">
        <f>IF(NOT('Calculos'!H$10),"",IF('Calculos'!$E$8,'Calculos'!H8,"n/d"))</f>
        <v/>
      </c>
      <c r="E29" s="23">
        <f>IF(NOT('Calculos'!I$10),"",IF('Calculos'!$E$8,'Calculos'!I8,"n/d"))</f>
        <v/>
      </c>
      <c r="F29" s="23">
        <f>IF(NOT('Calculos'!J$10),"",IF('Calculos'!$E$8,'Calculos'!J8,"n/d"))</f>
        <v/>
      </c>
      <c r="H29" s="30">
        <f>IF(ISNUMBER(C29),C29,"")</f>
        <v/>
      </c>
      <c r="I29" s="30">
        <f>IF(AND(ISNUMBER(D29),ISNUMBER(C29)),D29-C29,"")</f>
        <v/>
      </c>
      <c r="J29" s="30">
        <f>IF(AND(ISNUMBER(E29),ISNUMBER(D29)),E29-D29,"")</f>
        <v/>
      </c>
      <c r="K29" s="30">
        <f>IF(AND(ISNUMBER(F29),ISNUMBER(E29)),F29-E29,"")</f>
        <v/>
      </c>
      <c r="L29" s="23">
        <f>IFERROR(MetaFinal-LOOKUP(2,1/ISNUMBER(C29:F29),C29:F29),"")</f>
        <v/>
      </c>
      <c r="M29" s="25" t="n"/>
    </row>
    <row r="30">
      <c r="B30" s="31" t="inlineStr">
        <is>
          <t>Plan de referencia (supuesto)</t>
        </is>
      </c>
      <c r="C30" s="32">
        <f>INDEX(PlanRef,1)</f>
        <v/>
      </c>
      <c r="D30" s="32">
        <f>INDEX(PlanRef,2)</f>
        <v/>
      </c>
      <c r="E30" s="32">
        <f>INDEX(PlanRef,3)</f>
        <v/>
      </c>
      <c r="F30" s="32">
        <f>INDEX(PlanRef,4)</f>
        <v/>
      </c>
      <c r="H30" s="33" t="n"/>
      <c r="I30" s="33" t="n"/>
      <c r="J30" s="33" t="n"/>
      <c r="K30" s="33" t="n"/>
      <c r="L30" s="34" t="n"/>
      <c r="M30" s="34" t="n"/>
    </row>
    <row r="31">
      <c r="B31" s="35" t="inlineStr">
        <is>
          <t>Meta final</t>
        </is>
      </c>
      <c r="C31" s="36">
        <f>MetaFinal</f>
        <v/>
      </c>
      <c r="D31" s="36">
        <f>MetaFinal</f>
        <v/>
      </c>
      <c r="E31" s="36">
        <f>MetaFinal</f>
        <v/>
      </c>
      <c r="F31" s="36">
        <f>MetaFinal</f>
        <v/>
      </c>
      <c r="H31" s="33" t="n"/>
      <c r="I31" s="33" t="n"/>
      <c r="J31" s="33" t="n"/>
      <c r="K31" s="33" t="n"/>
      <c r="L31" s="34" t="n"/>
      <c r="M31" s="34" t="n"/>
    </row>
    <row r="33" ht="26" customHeight="1">
      <c r="B33" s="37" t="inlineStr">
        <is>
          <t>Lectura: el acumulado NO se suma entre semanas; el incremento es la diferencia entre semanas consecutivas. «–» = puesto sin configuración válida; «n/d» = avance global no definitivo; celda vacía = semana aún no alcanzada. Ámbar = acumulado por debajo del plan de referencia.</t>
        </is>
      </c>
      <c r="C33" s="37" t="n"/>
      <c r="D33" s="37" t="n"/>
      <c r="E33" s="37" t="n"/>
      <c r="F33" s="37" t="n"/>
      <c r="G33" s="37" t="n"/>
      <c r="H33" s="37" t="n"/>
      <c r="I33" s="37" t="n"/>
      <c r="J33" s="37" t="n"/>
      <c r="K33" s="37" t="n"/>
      <c r="L33" s="37" t="n"/>
      <c r="M33" s="37" t="n"/>
    </row>
    <row r="51" ht="24" customHeight="1">
      <c r="B51" s="16" t="inlineStr">
        <is>
          <t>Control de calidad de datos</t>
        </is>
      </c>
      <c r="C51" s="16" t="n"/>
      <c r="D51" s="16" t="n"/>
      <c r="E51" s="16" t="n"/>
      <c r="F51" s="16" t="n"/>
      <c r="G51" s="16" t="n"/>
      <c r="H51" s="16" t="n"/>
      <c r="I51" s="16" t="n"/>
      <c r="J51" s="16" t="n"/>
      <c r="K51" s="16" t="n"/>
      <c r="L51" s="16" t="n"/>
      <c r="M51" s="16" t="n"/>
    </row>
    <row r="52">
      <c r="B52" s="6" t="inlineStr">
        <is>
          <t>Verificación</t>
        </is>
      </c>
      <c r="C52" s="6" t="n"/>
      <c r="D52" s="6" t="n"/>
      <c r="E52" s="6" t="n"/>
      <c r="F52" s="6" t="n"/>
      <c r="G52" s="6" t="inlineStr">
        <is>
          <t>Casos</t>
        </is>
      </c>
      <c r="H52" s="6" t="inlineStr">
        <is>
          <t>Resultado</t>
        </is>
      </c>
      <c r="I52" s="6" t="inlineStr">
        <is>
          <t>Acción sugerida</t>
        </is>
      </c>
      <c r="J52" s="6" t="n"/>
      <c r="K52" s="6" t="n"/>
      <c r="L52" s="6" t="n"/>
      <c r="M52" s="6" t="n"/>
    </row>
    <row r="53" ht="20" customHeight="1">
      <c r="B53" s="28" t="inlineStr">
        <is>
          <t>Puestos sin actividades registradas</t>
        </is>
      </c>
      <c r="C53" s="28" t="n"/>
      <c r="D53" s="28" t="n"/>
      <c r="E53" s="28" t="n"/>
      <c r="F53" s="28" t="n"/>
      <c r="G53" s="38">
        <f>COUNTIF('Calculos'!B4:B7,0)</f>
        <v/>
      </c>
      <c r="H53" s="39">
        <f>IF(G53=0,"✔ OK",IF("crit"="warn","● Atención","⚠ Revisar"))</f>
        <v/>
      </c>
      <c r="I53" s="40" t="inlineStr">
        <is>
          <t>Registrar al menos una macroactividad por puesto.</t>
        </is>
      </c>
      <c r="J53" s="40" t="n"/>
      <c r="K53" s="40" t="n"/>
      <c r="L53" s="40" t="n"/>
      <c r="M53" s="40" t="n"/>
    </row>
    <row r="54" ht="20" customHeight="1">
      <c r="B54" s="28" t="inlineStr">
        <is>
          <t>Puestos cuya ponderación no suma 100% (o con pesos vacíos)</t>
        </is>
      </c>
      <c r="C54" s="28" t="n"/>
      <c r="D54" s="28" t="n"/>
      <c r="E54" s="28" t="n"/>
      <c r="F54" s="28" t="n"/>
      <c r="G54" s="38">
        <f>COUNTIFS('Calculos'!B4:B7,"&gt;0",'Calculos'!E4:E7,FALSE)</f>
        <v/>
      </c>
      <c r="H54" s="39">
        <f>IF(G54=0,"✔ OK",IF("crit"="warn","● Atención","⚠ Revisar"))</f>
        <v/>
      </c>
      <c r="I54" s="40" t="inlineStr">
        <is>
          <t>Ajustar los pesos del puesto hasta sumar 100%.</t>
        </is>
      </c>
      <c r="J54" s="40" t="n"/>
      <c r="K54" s="40" t="n"/>
      <c r="L54" s="40" t="n"/>
      <c r="M54" s="40" t="n"/>
    </row>
    <row r="55" ht="20" customHeight="1">
      <c r="B55" s="28" t="inlineStr">
        <is>
          <t>Actividades con peso vacío o fuera de rango</t>
        </is>
      </c>
      <c r="C55" s="28" t="n"/>
      <c r="D55" s="28" t="n"/>
      <c r="E55" s="28" t="n"/>
      <c r="F55" s="28" t="n"/>
      <c r="G55" s="38">
        <f>SUMPRODUCT(--((ISNUMBER(SEARCH("Peso vacío",rValid))+ISNUMBER(SEARCH("Peso fuera de rango",rValid)))&gt;0))</f>
        <v/>
      </c>
      <c r="H55" s="39">
        <f>IF(G55=0,"✔ OK",IF("crit"="warn","● Atención","⚠ Revisar"))</f>
        <v/>
      </c>
      <c r="I55" s="40" t="inlineStr">
        <is>
          <t>Ingresar un peso entre 0% y 100% (mayor que 0).</t>
        </is>
      </c>
      <c r="J55" s="40" t="n"/>
      <c r="K55" s="40" t="n"/>
      <c r="L55" s="40" t="n"/>
      <c r="M55" s="40" t="n"/>
    </row>
    <row r="56" ht="20" customHeight="1">
      <c r="B56" s="28" t="inlineStr">
        <is>
          <t>Actividades sin responsable</t>
        </is>
      </c>
      <c r="C56" s="28" t="n"/>
      <c r="D56" s="28" t="n"/>
      <c r="E56" s="28" t="n"/>
      <c r="F56" s="28" t="n"/>
      <c r="G56" s="38">
        <f>SUMPRODUCT(--((ISNUMBER(SEARCH("Sin responsable",rValid)))&gt;0))</f>
        <v/>
      </c>
      <c r="H56" s="39">
        <f>IF(G56=0,"✔ OK",IF("crit"="warn","● Atención","⚠ Revisar"))</f>
        <v/>
      </c>
      <c r="I56" s="40" t="inlineStr">
        <is>
          <t>Asignar responsable.</t>
        </is>
      </c>
      <c r="J56" s="40" t="n"/>
      <c r="K56" s="40" t="n"/>
      <c r="L56" s="40" t="n"/>
      <c r="M56" s="40" t="n"/>
    </row>
    <row r="57" ht="20" customHeight="1">
      <c r="B57" s="28" t="inlineStr">
        <is>
          <t>Actividades sin fecha límite</t>
        </is>
      </c>
      <c r="C57" s="28" t="n"/>
      <c r="D57" s="28" t="n"/>
      <c r="E57" s="28" t="n"/>
      <c r="F57" s="28" t="n"/>
      <c r="G57" s="38">
        <f>SUMPRODUCT(--((ISNUMBER(SEARCH("Sin fecha límite",rValid)))&gt;0))</f>
        <v/>
      </c>
      <c r="H57" s="39">
        <f>IF(G57=0,"✔ OK",IF("crit"="warn","● Atención","⚠ Revisar"))</f>
        <v/>
      </c>
      <c r="I57" s="40" t="inlineStr">
        <is>
          <t>Registrar la fecha límite.</t>
        </is>
      </c>
      <c r="J57" s="40" t="n"/>
      <c r="K57" s="40" t="n"/>
      <c r="L57" s="40" t="n"/>
      <c r="M57" s="40" t="n"/>
    </row>
    <row r="58" ht="20" customHeight="1">
      <c r="B58" s="28" t="inlineStr">
        <is>
          <t>Fechas incoherentes o no válidas (incluye sin fecha de inicio)</t>
        </is>
      </c>
      <c r="C58" s="28" t="n"/>
      <c r="D58" s="28" t="n"/>
      <c r="E58" s="28" t="n"/>
      <c r="F58" s="28" t="n"/>
      <c r="G58" s="38">
        <f>SUMPRODUCT(--((ISNUMBER(SEARCH("Inicio posterior",rValid))+ISNUMBER(SEARCH("Fecha no válida",rValid))+ISNUMBER(SEARCH("Sin fecha de inicio",rValid)))&gt;0))</f>
        <v/>
      </c>
      <c r="H58" s="39">
        <f>IF(G58=0,"✔ OK",IF("crit"="warn","● Atención","⚠ Revisar"))</f>
        <v/>
      </c>
      <c r="I58" s="40" t="inlineStr">
        <is>
          <t>La fecha de inicio debe ser anterior o igual a la fecha límite.</t>
        </is>
      </c>
      <c r="J58" s="40" t="n"/>
      <c r="K58" s="40" t="n"/>
      <c r="L58" s="40" t="n"/>
      <c r="M58" s="40" t="n"/>
    </row>
    <row r="59" ht="20" customHeight="1">
      <c r="B59" s="28" t="inlineStr">
        <is>
          <t>Porcentajes de avance &gt; 100%, &lt; 0% o no numéricos</t>
        </is>
      </c>
      <c r="C59" s="28" t="n"/>
      <c r="D59" s="28" t="n"/>
      <c r="E59" s="28" t="n"/>
      <c r="F59" s="28" t="n"/>
      <c r="G59" s="38">
        <f>SUMPRODUCT(--((ISNUMBER(SEARCH("Avance fuera de rango",rValid)))&gt;0))</f>
        <v/>
      </c>
      <c r="H59" s="39">
        <f>IF(G59=0,"✔ OK",IF("crit"="warn","● Atención","⚠ Revisar"))</f>
        <v/>
      </c>
      <c r="I59" s="40" t="inlineStr">
        <is>
          <t>Corregir: los avances deben estar entre 0% y 100%.</t>
        </is>
      </c>
      <c r="J59" s="40" t="n"/>
      <c r="K59" s="40" t="n"/>
      <c r="L59" s="40" t="n"/>
      <c r="M59" s="40" t="n"/>
    </row>
    <row r="60" ht="20" customHeight="1">
      <c r="B60" s="28" t="inlineStr">
        <is>
          <t>Avance semanal menor que el de una semana anterior</t>
        </is>
      </c>
      <c r="C60" s="28" t="n"/>
      <c r="D60" s="28" t="n"/>
      <c r="E60" s="28" t="n"/>
      <c r="F60" s="28" t="n"/>
      <c r="G60" s="38">
        <f>SUMPRODUCT(--((ISNUMBER(SEARCH("decreciente",rValid)))&gt;0))</f>
        <v/>
      </c>
      <c r="H60" s="39">
        <f>IF(G60=0,"✔ OK",IF("crit"="warn","● Atención","⚠ Revisar"))</f>
        <v/>
      </c>
      <c r="I60" s="40" t="inlineStr">
        <is>
          <t>Revisar: el avance es acumulado y no debería disminuir.</t>
        </is>
      </c>
      <c r="J60" s="40" t="n"/>
      <c r="K60" s="40" t="n"/>
      <c r="L60" s="40" t="n"/>
      <c r="M60" s="40" t="n"/>
    </row>
    <row r="61" ht="20" customHeight="1">
      <c r="B61" s="28" t="inlineStr">
        <is>
          <t>Actividades vencidas no completadas</t>
        </is>
      </c>
      <c r="C61" s="28" t="n"/>
      <c r="D61" s="28" t="n"/>
      <c r="E61" s="28" t="n"/>
      <c r="F61" s="28" t="n"/>
      <c r="G61" s="38">
        <f>'Calculos'!Q8</f>
        <v/>
      </c>
      <c r="H61" s="39">
        <f>IF(G61=0,"✔ OK",IF("crit"="warn","● Atención","⚠ Revisar"))</f>
        <v/>
      </c>
      <c r="I61" s="40" t="inlineStr">
        <is>
          <t>Actualizar avance o reprogramar con justificación en Observaciones.</t>
        </is>
      </c>
      <c r="J61" s="40" t="n"/>
      <c r="K61" s="40" t="n"/>
      <c r="L61" s="40" t="n"/>
      <c r="M61" s="40" t="n"/>
    </row>
    <row r="62" ht="20" customHeight="1">
      <c r="B62" s="28" t="inlineStr">
        <is>
          <t>Actividades próximas a vencer (no completadas)</t>
        </is>
      </c>
      <c r="C62" s="28" t="n"/>
      <c r="D62" s="28" t="n"/>
      <c r="E62" s="28" t="n"/>
      <c r="F62" s="28" t="n"/>
      <c r="G62" s="38">
        <f>'Calculos'!B13</f>
        <v/>
      </c>
      <c r="H62" s="39">
        <f>IF(G62=0,"✔ OK",IF("warn"="warn","● Atención","⚠ Revisar"))</f>
        <v/>
      </c>
      <c r="I62" s="40" t="inlineStr">
        <is>
          <t>Alerta preventiva: priorizar seguimiento.</t>
        </is>
      </c>
      <c r="J62" s="40" t="n"/>
      <c r="K62" s="40" t="n"/>
      <c r="L62" s="40" t="n"/>
      <c r="M62" s="40" t="n"/>
    </row>
    <row r="63" ht="20" customHeight="1">
      <c r="B63" s="28" t="inlineStr">
        <is>
          <t>Datos obligatorios incompletos (ID, área o macroactividad)</t>
        </is>
      </c>
      <c r="C63" s="28" t="n"/>
      <c r="D63" s="28" t="n"/>
      <c r="E63" s="28" t="n"/>
      <c r="F63" s="28" t="n"/>
      <c r="G63" s="38">
        <f>SUMPRODUCT(--((ISNUMBER(SEARCH("Falta ID",rValid))+ISNUMBER(SEARCH("Área sin seleccionar",rValid))+ISNUMBER(SEARCH("Área no válida",rValid))+ISNUMBER(SEARCH("Macroactividad vacía",rValid)))&gt;0))</f>
        <v/>
      </c>
      <c r="H63" s="39">
        <f>IF(G63=0,"✔ OK",IF("crit"="warn","● Atención","⚠ Revisar"))</f>
        <v/>
      </c>
      <c r="I63" s="40" t="inlineStr">
        <is>
          <t>Completar los campos obligatorios.</t>
        </is>
      </c>
      <c r="J63" s="40" t="n"/>
      <c r="K63" s="40" t="n"/>
      <c r="L63" s="40" t="n"/>
      <c r="M63" s="40" t="n"/>
    </row>
    <row r="64" ht="20" customHeight="1">
      <c r="B64" s="28" t="inlineStr">
        <is>
          <t>ID de actividad duplicados</t>
        </is>
      </c>
      <c r="C64" s="28" t="n"/>
      <c r="D64" s="28" t="n"/>
      <c r="E64" s="28" t="n"/>
      <c r="F64" s="28" t="n"/>
      <c r="G64" s="38">
        <f>SUMPRODUCT(--((ISNUMBER(SEARCH("ID duplicado",rValid)))&gt;0))</f>
        <v/>
      </c>
      <c r="H64" s="39">
        <f>IF(G64=0,"✔ OK",IF("crit"="warn","● Atención","⚠ Revisar"))</f>
        <v/>
      </c>
      <c r="I64" s="40" t="inlineStr">
        <is>
          <t>Asignar un ID único a cada actividad.</t>
        </is>
      </c>
      <c r="J64" s="40" t="n"/>
      <c r="K64" s="40" t="n"/>
      <c r="L64" s="40" t="n"/>
      <c r="M64" s="40" t="n"/>
    </row>
    <row r="65" ht="20" customHeight="1">
      <c r="B65" s="28" t="inlineStr">
        <is>
          <t>Actividades completadas sin evidencia (si es obligatoria)</t>
        </is>
      </c>
      <c r="C65" s="28" t="n"/>
      <c r="D65" s="28" t="n"/>
      <c r="E65" s="28" t="n"/>
      <c r="F65" s="28" t="n"/>
      <c r="G65" s="38">
        <f>SUMPRODUCT(--((ISNUMBER(SEARCH("sin evidencia",rValid)))&gt;0))</f>
        <v/>
      </c>
      <c r="H65" s="39">
        <f>IF(G65=0,"✔ OK",IF("crit"="warn","● Atención","⚠ Revisar"))</f>
        <v/>
      </c>
      <c r="I65" s="40" t="inlineStr">
        <is>
          <t>Registrar evidencia o enlace en Evidencia / Observaciones.</t>
        </is>
      </c>
      <c r="J65" s="40" t="n"/>
      <c r="K65" s="40" t="n"/>
      <c r="L65" s="40" t="n"/>
      <c r="M65" s="40" t="n"/>
    </row>
    <row r="66" ht="20" customHeight="1">
      <c r="B66" s="28" t="inlineStr">
        <is>
          <t>Avance global no definitivo (puestos no válidos)</t>
        </is>
      </c>
      <c r="C66" s="28" t="n"/>
      <c r="D66" s="28" t="n"/>
      <c r="E66" s="28" t="n"/>
      <c r="F66" s="28" t="n"/>
      <c r="G66" s="38">
        <f>4-'Calculos'!C8</f>
        <v/>
      </c>
      <c r="H66" s="39">
        <f>IF(G66=0,"✔ OK",IF("crit"="warn","● Atención","⚠ Revisar"))</f>
        <v/>
      </c>
      <c r="I66" s="40" t="inlineStr">
        <is>
          <t>El avance general solo es definitivo con los 4 puestos válidos.</t>
        </is>
      </c>
      <c r="J66" s="40" t="n"/>
      <c r="K66" s="40" t="n"/>
      <c r="L66" s="40" t="n"/>
      <c r="M66" s="40" t="n"/>
    </row>
    <row r="67" ht="26" customHeight="1">
      <c r="B67" s="37" t="inlineStr">
        <is>
          <t>Detalle por actividad: columna «Validación de datos» de la hoja Cronograma y Actividades (filtrar por «⚠»). Pendiente normal = sin avance y dentro de plazo; Vencida = fecha límite anterior a la fecha de corte sin llegar a 100%.</t>
        </is>
      </c>
      <c r="C67" s="37" t="n"/>
      <c r="D67" s="37" t="n"/>
      <c r="E67" s="37" t="n"/>
      <c r="F67" s="37" t="n"/>
      <c r="G67" s="37" t="n"/>
      <c r="H67" s="37" t="n"/>
      <c r="I67" s="37" t="n"/>
      <c r="J67" s="37" t="n"/>
      <c r="K67" s="37" t="n"/>
      <c r="L67" s="37" t="n"/>
      <c r="M67" s="37" t="n"/>
    </row>
    <row r="69" ht="24" customHeight="1">
      <c r="B69" s="16" t="inlineStr">
        <is>
          <t>Hitos por puesto y semana (completados / programados)</t>
        </is>
      </c>
      <c r="C69" s="16" t="n"/>
      <c r="D69" s="16" t="n"/>
      <c r="E69" s="16" t="n"/>
      <c r="F69" s="16" t="n"/>
      <c r="G69" s="16" t="n"/>
      <c r="H69" s="16" t="n"/>
      <c r="I69" s="16" t="n"/>
      <c r="J69" s="16" t="n"/>
      <c r="K69" s="16" t="n"/>
      <c r="L69" s="16" t="n"/>
      <c r="M69" s="16" t="n"/>
    </row>
    <row r="70">
      <c r="B70" s="6" t="inlineStr">
        <is>
          <t>Puesto</t>
        </is>
      </c>
      <c r="C70" s="6" t="inlineStr">
        <is>
          <t>Semana 1</t>
        </is>
      </c>
      <c r="D70" s="6" t="inlineStr">
        <is>
          <t>Semana 2</t>
        </is>
      </c>
      <c r="E70" s="6" t="inlineStr">
        <is>
          <t>Semana 3</t>
        </is>
      </c>
      <c r="F70" s="6" t="inlineStr">
        <is>
          <t>Semana 4</t>
        </is>
      </c>
      <c r="G70" s="6" t="inlineStr">
        <is>
          <t>Total</t>
        </is>
      </c>
      <c r="H70" s="6" t="inlineStr">
        <is>
          <t>Vencidos</t>
        </is>
      </c>
      <c r="I70" s="6" t="inlineStr">
        <is>
          <t>Lectura</t>
        </is>
      </c>
      <c r="J70" s="6" t="n"/>
      <c r="K70" s="6" t="n"/>
      <c r="L70" s="6" t="n"/>
      <c r="M70" s="6" t="n"/>
    </row>
    <row r="71">
      <c r="B71" s="18">
        <f>'Calculos'!A4</f>
        <v/>
      </c>
      <c r="C71" s="21">
        <f>COUNTIFS(hArea,$B71,hSemana,"Semana 1",hEstado,"Completado")&amp;" / "&amp;COUNTIFS(hArea,$B71,hSemana,"Semana 1")</f>
        <v/>
      </c>
      <c r="D71" s="21">
        <f>COUNTIFS(hArea,$B71,hSemana,"Semana 2",hEstado,"Completado")&amp;" / "&amp;COUNTIFS(hArea,$B71,hSemana,"Semana 2")</f>
        <v/>
      </c>
      <c r="E71" s="21">
        <f>COUNTIFS(hArea,$B71,hSemana,"Semana 3",hEstado,"Completado")&amp;" / "&amp;COUNTIFS(hArea,$B71,hSemana,"Semana 3")</f>
        <v/>
      </c>
      <c r="F71" s="21">
        <f>COUNTIFS(hArea,$B71,hSemana,"Semana 4",hEstado,"Completado")&amp;" / "&amp;COUNTIFS(hArea,$B71,hSemana,"Semana 4")</f>
        <v/>
      </c>
      <c r="G71" s="21">
        <f>COUNTIFS(hArea,$B71,hEstado,"Completado")&amp;" / "&amp;COUNTIFS(hArea,$B71)</f>
        <v/>
      </c>
      <c r="H71" s="21">
        <f>COUNTIFS(hArea,$B71,hEstado,"&lt;&gt;Completado",hFechaObj,"&lt;"&amp;FechaRef)</f>
        <v/>
      </c>
      <c r="I71" s="40">
        <f>IF(H71&gt;0,"⚠ "&amp;H71&amp;" hito(s) con fecha objetivo vencida sin completar","Sin hitos vencidos")</f>
        <v/>
      </c>
      <c r="J71" s="40" t="n"/>
      <c r="K71" s="40" t="n"/>
      <c r="L71" s="40" t="n"/>
      <c r="M71" s="40" t="n"/>
    </row>
    <row r="72">
      <c r="B72" s="18">
        <f>'Calculos'!A5</f>
        <v/>
      </c>
      <c r="C72" s="21">
        <f>COUNTIFS(hArea,$B72,hSemana,"Semana 1",hEstado,"Completado")&amp;" / "&amp;COUNTIFS(hArea,$B72,hSemana,"Semana 1")</f>
        <v/>
      </c>
      <c r="D72" s="21">
        <f>COUNTIFS(hArea,$B72,hSemana,"Semana 2",hEstado,"Completado")&amp;" / "&amp;COUNTIFS(hArea,$B72,hSemana,"Semana 2")</f>
        <v/>
      </c>
      <c r="E72" s="21">
        <f>COUNTIFS(hArea,$B72,hSemana,"Semana 3",hEstado,"Completado")&amp;" / "&amp;COUNTIFS(hArea,$B72,hSemana,"Semana 3")</f>
        <v/>
      </c>
      <c r="F72" s="21">
        <f>COUNTIFS(hArea,$B72,hSemana,"Semana 4",hEstado,"Completado")&amp;" / "&amp;COUNTIFS(hArea,$B72,hSemana,"Semana 4")</f>
        <v/>
      </c>
      <c r="G72" s="21">
        <f>COUNTIFS(hArea,$B72,hEstado,"Completado")&amp;" / "&amp;COUNTIFS(hArea,$B72)</f>
        <v/>
      </c>
      <c r="H72" s="21">
        <f>COUNTIFS(hArea,$B72,hEstado,"&lt;&gt;Completado",hFechaObj,"&lt;"&amp;FechaRef)</f>
        <v/>
      </c>
      <c r="I72" s="40">
        <f>IF(H72&gt;0,"⚠ "&amp;H72&amp;" hito(s) con fecha objetivo vencida sin completar","Sin hitos vencidos")</f>
        <v/>
      </c>
      <c r="J72" s="40" t="n"/>
      <c r="K72" s="40" t="n"/>
      <c r="L72" s="40" t="n"/>
      <c r="M72" s="40" t="n"/>
    </row>
    <row r="73">
      <c r="B73" s="18">
        <f>'Calculos'!A6</f>
        <v/>
      </c>
      <c r="C73" s="21">
        <f>COUNTIFS(hArea,$B73,hSemana,"Semana 1",hEstado,"Completado")&amp;" / "&amp;COUNTIFS(hArea,$B73,hSemana,"Semana 1")</f>
        <v/>
      </c>
      <c r="D73" s="21">
        <f>COUNTIFS(hArea,$B73,hSemana,"Semana 2",hEstado,"Completado")&amp;" / "&amp;COUNTIFS(hArea,$B73,hSemana,"Semana 2")</f>
        <v/>
      </c>
      <c r="E73" s="21">
        <f>COUNTIFS(hArea,$B73,hSemana,"Semana 3",hEstado,"Completado")&amp;" / "&amp;COUNTIFS(hArea,$B73,hSemana,"Semana 3")</f>
        <v/>
      </c>
      <c r="F73" s="21">
        <f>COUNTIFS(hArea,$B73,hSemana,"Semana 4",hEstado,"Completado")&amp;" / "&amp;COUNTIFS(hArea,$B73,hSemana,"Semana 4")</f>
        <v/>
      </c>
      <c r="G73" s="21">
        <f>COUNTIFS(hArea,$B73,hEstado,"Completado")&amp;" / "&amp;COUNTIFS(hArea,$B73)</f>
        <v/>
      </c>
      <c r="H73" s="21">
        <f>COUNTIFS(hArea,$B73,hEstado,"&lt;&gt;Completado",hFechaObj,"&lt;"&amp;FechaRef)</f>
        <v/>
      </c>
      <c r="I73" s="40">
        <f>IF(H73&gt;0,"⚠ "&amp;H73&amp;" hito(s) con fecha objetivo vencida sin completar","Sin hitos vencidos")</f>
        <v/>
      </c>
      <c r="J73" s="40" t="n"/>
      <c r="K73" s="40" t="n"/>
      <c r="L73" s="40" t="n"/>
      <c r="M73" s="40" t="n"/>
    </row>
    <row r="74">
      <c r="B74" s="18">
        <f>'Calculos'!A7</f>
        <v/>
      </c>
      <c r="C74" s="21">
        <f>COUNTIFS(hArea,$B74,hSemana,"Semana 1",hEstado,"Completado")&amp;" / "&amp;COUNTIFS(hArea,$B74,hSemana,"Semana 1")</f>
        <v/>
      </c>
      <c r="D74" s="21">
        <f>COUNTIFS(hArea,$B74,hSemana,"Semana 2",hEstado,"Completado")&amp;" / "&amp;COUNTIFS(hArea,$B74,hSemana,"Semana 2")</f>
        <v/>
      </c>
      <c r="E74" s="21">
        <f>COUNTIFS(hArea,$B74,hSemana,"Semana 3",hEstado,"Completado")&amp;" / "&amp;COUNTIFS(hArea,$B74,hSemana,"Semana 3")</f>
        <v/>
      </c>
      <c r="F74" s="21">
        <f>COUNTIFS(hArea,$B74,hSemana,"Semana 4",hEstado,"Completado")&amp;" / "&amp;COUNTIFS(hArea,$B74,hSemana,"Semana 4")</f>
        <v/>
      </c>
      <c r="G74" s="21">
        <f>COUNTIFS(hArea,$B74,hEstado,"Completado")&amp;" / "&amp;COUNTIFS(hArea,$B74)</f>
        <v/>
      </c>
      <c r="H74" s="21">
        <f>COUNTIFS(hArea,$B74,hEstado,"&lt;&gt;Completado",hFechaObj,"&lt;"&amp;FechaRef)</f>
        <v/>
      </c>
      <c r="I74" s="40">
        <f>IF(H74&gt;0,"⚠ "&amp;H74&amp;" hito(s) con fecha objetivo vencida sin completar","Sin hitos vencidos")</f>
        <v/>
      </c>
      <c r="J74" s="40" t="n"/>
      <c r="K74" s="40" t="n"/>
      <c r="L74" s="40" t="n"/>
      <c r="M74" s="40" t="n"/>
    </row>
  </sheetData>
  <sheetProtection selectLockedCells="0" selectUnlockedCells="0" sheet="1" objects="0" insertRows="1" insertHyperlinks="1" autoFilter="1" scenarios="0" formatColumns="1" deleteColumns="1" insertColumns="1" pivotTables="1" deleteRows="1" formatCells="1" formatRows="1" sort="1"/>
  <mergeCells count="86">
    <mergeCell ref="L17:M17"/>
    <mergeCell ref="L19:M19"/>
    <mergeCell ref="L28:M28"/>
    <mergeCell ref="B58:F58"/>
    <mergeCell ref="I61:M61"/>
    <mergeCell ref="B52:F52"/>
    <mergeCell ref="I70:M70"/>
    <mergeCell ref="I54:M54"/>
    <mergeCell ref="B60:F60"/>
    <mergeCell ref="I72:M72"/>
    <mergeCell ref="G12:M12"/>
    <mergeCell ref="B6:D6"/>
    <mergeCell ref="B53:F53"/>
    <mergeCell ref="I56:M56"/>
    <mergeCell ref="L29:M29"/>
    <mergeCell ref="K10:M10"/>
    <mergeCell ref="H5:J5"/>
    <mergeCell ref="B4:D4"/>
    <mergeCell ref="L31:M31"/>
    <mergeCell ref="I73:M73"/>
    <mergeCell ref="K9:M9"/>
    <mergeCell ref="K5:M5"/>
    <mergeCell ref="I63:M63"/>
    <mergeCell ref="I59:M59"/>
    <mergeCell ref="I65:M65"/>
    <mergeCell ref="I60:M60"/>
    <mergeCell ref="I74:M74"/>
    <mergeCell ref="B54:F54"/>
    <mergeCell ref="L16:M16"/>
    <mergeCell ref="B8:D8"/>
    <mergeCell ref="B56:F56"/>
    <mergeCell ref="E6:G6"/>
    <mergeCell ref="H23:K23"/>
    <mergeCell ref="B10:D10"/>
    <mergeCell ref="K8:M8"/>
    <mergeCell ref="B9:D9"/>
    <mergeCell ref="B57:F57"/>
    <mergeCell ref="L30:M30"/>
    <mergeCell ref="B5:D5"/>
    <mergeCell ref="L20:M20"/>
    <mergeCell ref="K4:M4"/>
    <mergeCell ref="I62:M62"/>
    <mergeCell ref="I64:M64"/>
    <mergeCell ref="E8:G8"/>
    <mergeCell ref="H4:J4"/>
    <mergeCell ref="H6:J6"/>
    <mergeCell ref="E10:G10"/>
    <mergeCell ref="B62:F62"/>
    <mergeCell ref="B59:F59"/>
    <mergeCell ref="E9:G9"/>
    <mergeCell ref="L24:M24"/>
    <mergeCell ref="L18:M18"/>
    <mergeCell ref="I66:M66"/>
    <mergeCell ref="I53:M53"/>
    <mergeCell ref="L26:M26"/>
    <mergeCell ref="I55:M55"/>
    <mergeCell ref="H8:J8"/>
    <mergeCell ref="L25:M25"/>
    <mergeCell ref="I52:M52"/>
    <mergeCell ref="B65:F65"/>
    <mergeCell ref="H10:J10"/>
    <mergeCell ref="C12:F12"/>
    <mergeCell ref="B22:M22"/>
    <mergeCell ref="B63:F63"/>
    <mergeCell ref="E4:G4"/>
    <mergeCell ref="H9:J9"/>
    <mergeCell ref="C23:F23"/>
    <mergeCell ref="B67:M67"/>
    <mergeCell ref="B66:F66"/>
    <mergeCell ref="B14:M14"/>
    <mergeCell ref="B1:M1"/>
    <mergeCell ref="I57:M57"/>
    <mergeCell ref="B69:M69"/>
    <mergeCell ref="L15:M15"/>
    <mergeCell ref="B61:F61"/>
    <mergeCell ref="L23:M23"/>
    <mergeCell ref="I71:M71"/>
    <mergeCell ref="I58:M58"/>
    <mergeCell ref="F2:M2"/>
    <mergeCell ref="B33:M33"/>
    <mergeCell ref="B51:M51"/>
    <mergeCell ref="K6:M6"/>
    <mergeCell ref="B55:F55"/>
    <mergeCell ref="B64:F64"/>
    <mergeCell ref="E5:G5"/>
    <mergeCell ref="L27:M27"/>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ISNUMBER(SEARCH("ompletado",$G$12))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actividades",LEFT(K16,11)="Pesos suman",K16="No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ISNUMBER(SEARCH("ompletado",$L16))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53:H66">
    <cfRule type="expression" priority="28" dxfId="0">
      <formula>LEFT(H53,1)="✔"</formula>
    </cfRule>
    <cfRule type="expression" priority="29" dxfId="1">
      <formula>LEFT(H53,1)="●"</formula>
    </cfRule>
    <cfRule type="expression" priority="30" dxfId="2">
      <formula>LEFT(H53,1)="⚠"</formula>
    </cfRule>
  </conditionalFormatting>
  <conditionalFormatting sqref="H71:H74">
    <cfRule type="expression" priority="31" dxfId="6">
      <formula>H71&gt;0</formula>
    </cfRule>
  </conditionalFormatting>
  <conditionalFormatting sqref="I71:M74">
    <cfRule type="expression" priority="32" dxfId="1">
      <formula>LEFT($I71,1)="⚠"</formula>
    </cfRule>
  </conditionalFormatting>
  <pageMargins left="0.3" right="0.3" top="0.4" bottom="0.4" header="0.5" footer="0.5"/>
  <pageSetup orientation="landscape" paperSize="1" fitToHeight="0" fitToWidth="1"/>
  <headerFooter>
    <oddHeader/>
    <oddFooter>&amp;CPágina &amp;P de &amp;N</oddFooter>
    <evenHeader/>
    <evenFooter/>
    <firstHeader/>
    <firstFooter/>
  </headerFooter>
  <rowBreaks count="1" manualBreakCount="1">
    <brk id="34"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1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12" customWidth="1" min="1" max="1"/>
    <col width="27" customWidth="1" min="2" max="2"/>
    <col width="44" customWidth="1" min="3" max="3"/>
    <col width="22" customWidth="1" min="4" max="4"/>
    <col width="12" customWidth="1" min="5" max="5"/>
    <col width="12" customWidth="1" min="6" max="6"/>
    <col width="11" customWidth="1" min="7" max="7"/>
    <col width="11" customWidth="1" min="8" max="8"/>
    <col width="11" customWidth="1" min="9" max="9"/>
    <col width="11" customWidth="1" min="10" max="10"/>
    <col width="11" customWidth="1" min="11" max="11"/>
    <col width="12" customWidth="1" min="12" max="12"/>
    <col width="13" customWidth="1" min="13" max="13"/>
    <col width="13" customWidth="1" min="14" max="14"/>
    <col width="36" customWidth="1" min="15" max="15"/>
    <col width="58" customWidth="1" min="16" max="16"/>
  </cols>
  <sheetData>
    <row r="1" ht="28" customHeight="1">
      <c r="A1" s="41" t="inlineStr">
        <is>
          <t>Cronograma y Actividades – Ciclo de 4 semanas del área de Riesgos</t>
        </is>
      </c>
      <c r="B1" s="41" t="n"/>
      <c r="C1" s="41" t="n"/>
      <c r="D1" s="41" t="n"/>
      <c r="E1" s="41" t="n"/>
      <c r="F1" s="41" t="n"/>
      <c r="G1" s="41" t="n"/>
      <c r="H1" s="41" t="n"/>
      <c r="I1" s="41" t="n"/>
      <c r="J1" s="41" t="n"/>
      <c r="K1" s="41" t="n"/>
      <c r="L1" s="41" t="n"/>
      <c r="M1" s="41" t="n"/>
      <c r="N1" s="41" t="n"/>
      <c r="O1" s="41" t="n"/>
      <c r="P1" s="41" t="n"/>
    </row>
    <row r="2" ht="30" customHeight="1">
      <c r="A2" s="42" t="inlineStr">
        <is>
          <t>Celdas amarillas: entrada de datos.  Celdas grises: cálculo automático (protegidas).  Avances semanales = % ACUMULADO al cierre de cada semana (deje vacía la semana aún no actualizada).  Pesos: % relativo dentro del puesto; deben sumar 100% por puesto.</t>
        </is>
      </c>
      <c r="B2" s="42" t="n"/>
      <c r="C2" s="42" t="n"/>
      <c r="D2" s="42" t="n"/>
      <c r="E2" s="42" t="n"/>
      <c r="F2" s="42" t="n"/>
      <c r="G2" s="42" t="n"/>
      <c r="H2" s="42" t="n"/>
      <c r="I2" s="42" t="n"/>
      <c r="J2" s="42" t="n"/>
      <c r="K2" s="42" t="n"/>
      <c r="L2" s="42" t="n"/>
      <c r="M2" s="42" t="n"/>
      <c r="N2" s="42" t="n"/>
      <c r="O2" s="42" t="n"/>
      <c r="P2" s="42" t="n"/>
    </row>
    <row r="3">
      <c r="A3" s="43" t="inlineStr">
        <is>
          <t>Entrada</t>
        </is>
      </c>
      <c r="B3" s="44" t="inlineStr">
        <is>
          <t>Cálculo automático</t>
        </is>
      </c>
    </row>
    <row r="4" ht="42" customHeight="1">
      <c r="A4" s="45" t="inlineStr">
        <is>
          <t>ID Actividad</t>
        </is>
      </c>
      <c r="B4" s="45" t="inlineStr">
        <is>
          <t>Área / Puesto</t>
        </is>
      </c>
      <c r="C4" s="45" t="inlineStr">
        <is>
          <t>Macro Actividad</t>
        </is>
      </c>
      <c r="D4" s="45" t="inlineStr">
        <is>
          <t>Responsable</t>
        </is>
      </c>
      <c r="E4" s="45" t="inlineStr">
        <is>
          <t>Fecha de inicio</t>
        </is>
      </c>
      <c r="F4" s="45" t="inlineStr">
        <is>
          <t>Fecha límite</t>
        </is>
      </c>
      <c r="G4" s="45" t="inlineStr">
        <is>
          <t>Peso de actividad (%)</t>
        </is>
      </c>
      <c r="H4" s="45" t="inlineStr">
        <is>
          <t>Avance Semana 1 (%)</t>
        </is>
      </c>
      <c r="I4" s="45" t="inlineStr">
        <is>
          <t>Avance Semana 2 (%)</t>
        </is>
      </c>
      <c r="J4" s="45" t="inlineStr">
        <is>
          <t>Avance Semana 3 (%)</t>
        </is>
      </c>
      <c r="K4" s="45" t="inlineStr">
        <is>
          <t>Avance Semana 4 (%)</t>
        </is>
      </c>
      <c r="L4" s="6" t="inlineStr">
        <is>
          <t>% de Avance Total Actual</t>
        </is>
      </c>
      <c r="M4" s="6" t="inlineStr">
        <is>
          <t>Estado</t>
        </is>
      </c>
      <c r="N4" s="45" t="inlineStr">
        <is>
          <t>Última actualización</t>
        </is>
      </c>
      <c r="O4" s="45" t="inlineStr">
        <is>
          <t>Evidencia / Observaciones</t>
        </is>
      </c>
      <c r="P4" s="6" t="inlineStr">
        <is>
          <t>Validación de datos</t>
        </is>
      </c>
    </row>
    <row r="5">
      <c r="A5" s="46" t="n"/>
      <c r="B5" s="47" t="n"/>
      <c r="C5" s="47" t="n"/>
      <c r="D5" s="47" t="n"/>
      <c r="E5" s="48" t="n"/>
      <c r="F5" s="48" t="n"/>
      <c r="G5" s="49" t="n"/>
      <c r="H5" s="50" t="n"/>
      <c r="I5" s="50" t="n"/>
      <c r="J5" s="50" t="n"/>
      <c r="K5" s="50" t="n"/>
      <c r="L5" s="51">
        <f>IF(NOT((COUNTA($A5:$K5)+COUNTA($N5:$O5))&gt;0),"",IFERROR(LOOKUP(2,1/(H5:K5&lt;&gt;""),H5:K5),0))</f>
        <v/>
      </c>
      <c r="M5" s="52">
        <f>IF(L5="","",IF(L5&gt;=1,"Completado",IF(L5&gt;0,"En curso","Pendiente")))</f>
        <v/>
      </c>
      <c r="N5" s="48" t="n"/>
      <c r="O5" s="47" t="n"/>
      <c r="P5" s="53">
        <f>IF(NOT((COUNTA($A5:$K5)+COUNTA($N5:$O5))&gt;0),"",IF((IF(A5="","Falta ID"&amp;" · ","")&amp;IF(AND(A5&lt;&gt;"",COUNTIF($A$5:$A$1000,A5)&gt;1),"ID duplicado"&amp;" · ","")&amp;IF(B5="","Área sin seleccionar"&amp;" · ","")&amp;IF(AND(B5&lt;&gt;"",ISNA(MATCH(B5,ListaPuestos,0))),"Área no válida"&amp;" · ","")&amp;IF(C5="","Macroactividad vacía"&amp;" · ","")&amp;IF(D5="","Sin responsable"&amp;" · ","")&amp;IF(E5="","Sin fecha de inicio"&amp;" · ","")&amp;IF(F5="","Sin fecha límite"&amp;" · ","")&amp;IF(OR(AND(E5&lt;&gt;"",NOT(ISNUMBER(E5))),AND(F5&lt;&gt;"",NOT(ISNUMBER(F5)))),"Fecha no válida"&amp;" · ","")&amp;IF(AND(ISNUMBER(E5),ISNUMBER(F5),E5&gt;F5),"Inicio posterior a fecha límite"&amp;" · ","")&amp;IF(G5="","Peso vacío"&amp;" · ","")&amp;IF(AND(G5&lt;&gt;"",OR(NOT(ISNUMBER(G5)),G5&lt;=0,G5&gt;1)),"Peso fuera de rango"&amp;" · ","")&amp;IF(AND(B5&lt;&gt;"",ABS(SUMIFS($G$5:$G$1000,$B$5:$B$1000,B5)-1)&gt;0.0001),"Pesos del puesto suman "&amp;TEXT(SUMIFS($G$5:$G$1000,$B$5:$B$1000,B5),"0%")&amp;" · ","")&amp;IF((COUNTIF(H5:K5,"&gt;1")+COUNTIF(H5:K5,"&lt;0")+COUNTA(H5:K5)-COUNT(H5:K5))&gt;0,"Avance fuera de rango 0-100%"&amp;" · ","")&amp;IF(OR(AND(I5&lt;&gt;"",I5&lt;H5),AND(J5&lt;&gt;"",J5&lt;MAX(H5:I5)),AND(K5&lt;&gt;"",K5&lt;MAX(H5:J5))),"Avance semanal decreciente"&amp;" · ","")&amp;IF(AND(ISNUMBER(F5),F5&lt;FechaRef,N(L5)&lt;1),"Vencida"&amp;" · ","")&amp;IF(AND(EvidenciaObligatoria="Sí",N(L5)&gt;=1,O5=""),"Completada sin evidencia"&amp;" · ",""))="","✔ OK","⚠ "&amp;LEFT(IF(A5="","Falta ID"&amp;" · ","")&amp;IF(AND(A5&lt;&gt;"",COUNTIF($A$5:$A$1000,A5)&gt;1),"ID duplicado"&amp;" · ","")&amp;IF(B5="","Área sin seleccionar"&amp;" · ","")&amp;IF(AND(B5&lt;&gt;"",ISNA(MATCH(B5,ListaPuestos,0))),"Área no válida"&amp;" · ","")&amp;IF(C5="","Macroactividad vacía"&amp;" · ","")&amp;IF(D5="","Sin responsable"&amp;" · ","")&amp;IF(E5="","Sin fecha de inicio"&amp;" · ","")&amp;IF(F5="","Sin fecha límite"&amp;" · ","")&amp;IF(OR(AND(E5&lt;&gt;"",NOT(ISNUMBER(E5))),AND(F5&lt;&gt;"",NOT(ISNUMBER(F5)))),"Fecha no válida"&amp;" · ","")&amp;IF(AND(ISNUMBER(E5),ISNUMBER(F5),E5&gt;F5),"Inicio posterior a fecha límite"&amp;" · ","")&amp;IF(G5="","Peso vacío"&amp;" · ","")&amp;IF(AND(G5&lt;&gt;"",OR(NOT(ISNUMBER(G5)),G5&lt;=0,G5&gt;1)),"Peso fuera de rango"&amp;" · ","")&amp;IF(AND(B5&lt;&gt;"",ABS(SUMIFS($G$5:$G$1000,$B$5:$B$1000,B5)-1)&gt;0.0001),"Pesos del puesto suman "&amp;TEXT(SUMIFS($G$5:$G$1000,$B$5:$B$1000,B5),"0%")&amp;" · ","")&amp;IF((COUNTIF(H5:K5,"&gt;1")+COUNTIF(H5:K5,"&lt;0")+COUNTA(H5:K5)-COUNT(H5:K5))&gt;0,"Avance fuera de rango 0-100%"&amp;" · ","")&amp;IF(OR(AND(I5&lt;&gt;"",I5&lt;H5),AND(J5&lt;&gt;"",J5&lt;MAX(H5:I5)),AND(K5&lt;&gt;"",K5&lt;MAX(H5:J5))),"Avance semanal decreciente"&amp;" · ","")&amp;IF(AND(ISNUMBER(F5),F5&lt;FechaRef,N(L5)&lt;1),"Vencida"&amp;" · ","")&amp;IF(AND(EvidenciaObligatoria="Sí",N(L5)&gt;=1,O5=""),"Completada sin evidencia"&amp;" · ",""),LEN(IF(A5="","Falta ID"&amp;" · ","")&amp;IF(AND(A5&lt;&gt;"",COUNTIF($A$5:$A$1000,A5)&gt;1),"ID duplicado"&amp;" · ","")&amp;IF(B5="","Área sin seleccionar"&amp;" · ","")&amp;IF(AND(B5&lt;&gt;"",ISNA(MATCH(B5,ListaPuestos,0))),"Área no válida"&amp;" · ","")&amp;IF(C5="","Macroactividad vacía"&amp;" · ","")&amp;IF(D5="","Sin responsable"&amp;" · ","")&amp;IF(E5="","Sin fecha de inicio"&amp;" · ","")&amp;IF(F5="","Sin fecha límite"&amp;" · ","")&amp;IF(OR(AND(E5&lt;&gt;"",NOT(ISNUMBER(E5))),AND(F5&lt;&gt;"",NOT(ISNUMBER(F5)))),"Fecha no válida"&amp;" · ","")&amp;IF(AND(ISNUMBER(E5),ISNUMBER(F5),E5&gt;F5),"Inicio posterior a fecha límite"&amp;" · ","")&amp;IF(G5="","Peso vacío"&amp;" · ","")&amp;IF(AND(G5&lt;&gt;"",OR(NOT(ISNUMBER(G5)),G5&lt;=0,G5&gt;1)),"Peso fuera de rango"&amp;" · ","")&amp;IF(AND(B5&lt;&gt;"",ABS(SUMIFS($G$5:$G$1000,$B$5:$B$1000,B5)-1)&gt;0.0001),"Pesos del puesto suman "&amp;TEXT(SUMIFS($G$5:$G$1000,$B$5:$B$1000,B5),"0%")&amp;" · ","")&amp;IF((COUNTIF(H5:K5,"&gt;1")+COUNTIF(H5:K5,"&lt;0")+COUNTA(H5:K5)-COUNT(H5:K5))&gt;0,"Avance fuera de rango 0-100%"&amp;" · ","")&amp;IF(OR(AND(I5&lt;&gt;"",I5&lt;H5),AND(J5&lt;&gt;"",J5&lt;MAX(H5:I5)),AND(K5&lt;&gt;"",K5&lt;MAX(H5:J5))),"Avance semanal decreciente"&amp;" · ","")&amp;IF(AND(ISNUMBER(F5),F5&lt;FechaRef,N(L5)&lt;1),"Vencida"&amp;" · ","")&amp;IF(AND(EvidenciaObligatoria="Sí",N(L5)&gt;=1,O5=""),"Completada sin evidencia"&amp;" · ",""))-3)))</f>
        <v/>
      </c>
    </row>
    <row r="6">
      <c r="A6" s="46" t="n"/>
      <c r="B6" s="47" t="n"/>
      <c r="C6" s="47" t="n"/>
      <c r="D6" s="47" t="n"/>
      <c r="E6" s="48" t="n"/>
      <c r="F6" s="48" t="n"/>
      <c r="G6" s="49" t="n"/>
      <c r="H6" s="50" t="n"/>
      <c r="I6" s="50" t="n"/>
      <c r="J6" s="50" t="n"/>
      <c r="K6" s="50" t="n"/>
      <c r="L6" s="51">
        <f>IF(NOT((COUNTA($A6:$K6)+COUNTA($N6:$O6))&gt;0),"",IFERROR(LOOKUP(2,1/(H6:K6&lt;&gt;""),H6:K6),0))</f>
        <v/>
      </c>
      <c r="M6" s="52">
        <f>IF(L6="","",IF(L6&gt;=1,"Completado",IF(L6&gt;0,"En curso","Pendiente")))</f>
        <v/>
      </c>
      <c r="N6" s="48" t="n"/>
      <c r="O6" s="47" t="n"/>
      <c r="P6" s="53">
        <f>IF(NOT((COUNTA($A6:$K6)+COUNTA($N6:$O6))&gt;0),"",IF((IF(A6="","Falta ID"&amp;" · ","")&amp;IF(AND(A6&lt;&gt;"",COUNTIF($A$5:$A$1000,A6)&gt;1),"ID duplicado"&amp;" · ","")&amp;IF(B6="","Área sin seleccionar"&amp;" · ","")&amp;IF(AND(B6&lt;&gt;"",ISNA(MATCH(B6,ListaPuestos,0))),"Área no válida"&amp;" · ","")&amp;IF(C6="","Macroactividad vacía"&amp;" · ","")&amp;IF(D6="","Sin responsable"&amp;" · ","")&amp;IF(E6="","Sin fecha de inicio"&amp;" · ","")&amp;IF(F6="","Sin fecha límite"&amp;" · ","")&amp;IF(OR(AND(E6&lt;&gt;"",NOT(ISNUMBER(E6))),AND(F6&lt;&gt;"",NOT(ISNUMBER(F6)))),"Fecha no válida"&amp;" · ","")&amp;IF(AND(ISNUMBER(E6),ISNUMBER(F6),E6&gt;F6),"Inicio posterior a fecha límite"&amp;" · ","")&amp;IF(G6="","Peso vacío"&amp;" · ","")&amp;IF(AND(G6&lt;&gt;"",OR(NOT(ISNUMBER(G6)),G6&lt;=0,G6&gt;1)),"Peso fuera de rango"&amp;" · ","")&amp;IF(AND(B6&lt;&gt;"",ABS(SUMIFS($G$5:$G$1000,$B$5:$B$1000,B6)-1)&gt;0.0001),"Pesos del puesto suman "&amp;TEXT(SUMIFS($G$5:$G$1000,$B$5:$B$1000,B6),"0%")&amp;" · ","")&amp;IF((COUNTIF(H6:K6,"&gt;1")+COUNTIF(H6:K6,"&lt;0")+COUNTA(H6:K6)-COUNT(H6:K6))&gt;0,"Avance fuera de rango 0-100%"&amp;" · ","")&amp;IF(OR(AND(I6&lt;&gt;"",I6&lt;H6),AND(J6&lt;&gt;"",J6&lt;MAX(H6:I6)),AND(K6&lt;&gt;"",K6&lt;MAX(H6:J6))),"Avance semanal decreciente"&amp;" · ","")&amp;IF(AND(ISNUMBER(F6),F6&lt;FechaRef,N(L6)&lt;1),"Vencida"&amp;" · ","")&amp;IF(AND(EvidenciaObligatoria="Sí",N(L6)&gt;=1,O6=""),"Completada sin evidencia"&amp;" · ",""))="","✔ OK","⚠ "&amp;LEFT(IF(A6="","Falta ID"&amp;" · ","")&amp;IF(AND(A6&lt;&gt;"",COUNTIF($A$5:$A$1000,A6)&gt;1),"ID duplicado"&amp;" · ","")&amp;IF(B6="","Área sin seleccionar"&amp;" · ","")&amp;IF(AND(B6&lt;&gt;"",ISNA(MATCH(B6,ListaPuestos,0))),"Área no válida"&amp;" · ","")&amp;IF(C6="","Macroactividad vacía"&amp;" · ","")&amp;IF(D6="","Sin responsable"&amp;" · ","")&amp;IF(E6="","Sin fecha de inicio"&amp;" · ","")&amp;IF(F6="","Sin fecha límite"&amp;" · ","")&amp;IF(OR(AND(E6&lt;&gt;"",NOT(ISNUMBER(E6))),AND(F6&lt;&gt;"",NOT(ISNUMBER(F6)))),"Fecha no válida"&amp;" · ","")&amp;IF(AND(ISNUMBER(E6),ISNUMBER(F6),E6&gt;F6),"Inicio posterior a fecha límite"&amp;" · ","")&amp;IF(G6="","Peso vacío"&amp;" · ","")&amp;IF(AND(G6&lt;&gt;"",OR(NOT(ISNUMBER(G6)),G6&lt;=0,G6&gt;1)),"Peso fuera de rango"&amp;" · ","")&amp;IF(AND(B6&lt;&gt;"",ABS(SUMIFS($G$5:$G$1000,$B$5:$B$1000,B6)-1)&gt;0.0001),"Pesos del puesto suman "&amp;TEXT(SUMIFS($G$5:$G$1000,$B$5:$B$1000,B6),"0%")&amp;" · ","")&amp;IF((COUNTIF(H6:K6,"&gt;1")+COUNTIF(H6:K6,"&lt;0")+COUNTA(H6:K6)-COUNT(H6:K6))&gt;0,"Avance fuera de rango 0-100%"&amp;" · ","")&amp;IF(OR(AND(I6&lt;&gt;"",I6&lt;H6),AND(J6&lt;&gt;"",J6&lt;MAX(H6:I6)),AND(K6&lt;&gt;"",K6&lt;MAX(H6:J6))),"Avance semanal decreciente"&amp;" · ","")&amp;IF(AND(ISNUMBER(F6),F6&lt;FechaRef,N(L6)&lt;1),"Vencida"&amp;" · ","")&amp;IF(AND(EvidenciaObligatoria="Sí",N(L6)&gt;=1,O6=""),"Completada sin evidencia"&amp;" · ",""),LEN(IF(A6="","Falta ID"&amp;" · ","")&amp;IF(AND(A6&lt;&gt;"",COUNTIF($A$5:$A$1000,A6)&gt;1),"ID duplicado"&amp;" · ","")&amp;IF(B6="","Área sin seleccionar"&amp;" · ","")&amp;IF(AND(B6&lt;&gt;"",ISNA(MATCH(B6,ListaPuestos,0))),"Área no válida"&amp;" · ","")&amp;IF(C6="","Macroactividad vacía"&amp;" · ","")&amp;IF(D6="","Sin responsable"&amp;" · ","")&amp;IF(E6="","Sin fecha de inicio"&amp;" · ","")&amp;IF(F6="","Sin fecha límite"&amp;" · ","")&amp;IF(OR(AND(E6&lt;&gt;"",NOT(ISNUMBER(E6))),AND(F6&lt;&gt;"",NOT(ISNUMBER(F6)))),"Fecha no válida"&amp;" · ","")&amp;IF(AND(ISNUMBER(E6),ISNUMBER(F6),E6&gt;F6),"Inicio posterior a fecha límite"&amp;" · ","")&amp;IF(G6="","Peso vacío"&amp;" · ","")&amp;IF(AND(G6&lt;&gt;"",OR(NOT(ISNUMBER(G6)),G6&lt;=0,G6&gt;1)),"Peso fuera de rango"&amp;" · ","")&amp;IF(AND(B6&lt;&gt;"",ABS(SUMIFS($G$5:$G$1000,$B$5:$B$1000,B6)-1)&gt;0.0001),"Pesos del puesto suman "&amp;TEXT(SUMIFS($G$5:$G$1000,$B$5:$B$1000,B6),"0%")&amp;" · ","")&amp;IF((COUNTIF(H6:K6,"&gt;1")+COUNTIF(H6:K6,"&lt;0")+COUNTA(H6:K6)-COUNT(H6:K6))&gt;0,"Avance fuera de rango 0-100%"&amp;" · ","")&amp;IF(OR(AND(I6&lt;&gt;"",I6&lt;H6),AND(J6&lt;&gt;"",J6&lt;MAX(H6:I6)),AND(K6&lt;&gt;"",K6&lt;MAX(H6:J6))),"Avance semanal decreciente"&amp;" · ","")&amp;IF(AND(ISNUMBER(F6),F6&lt;FechaRef,N(L6)&lt;1),"Vencida"&amp;" · ","")&amp;IF(AND(EvidenciaObligatoria="Sí",N(L6)&gt;=1,O6=""),"Completada sin evidencia"&amp;" · ",""))-3)))</f>
        <v/>
      </c>
    </row>
    <row r="7">
      <c r="A7" s="46" t="n"/>
      <c r="B7" s="47" t="n"/>
      <c r="C7" s="47" t="n"/>
      <c r="D7" s="47" t="n"/>
      <c r="E7" s="48" t="n"/>
      <c r="F7" s="48" t="n"/>
      <c r="G7" s="49" t="n"/>
      <c r="H7" s="50" t="n"/>
      <c r="I7" s="50" t="n"/>
      <c r="J7" s="50" t="n"/>
      <c r="K7" s="50" t="n"/>
      <c r="L7" s="51">
        <f>IF(NOT((COUNTA($A7:$K7)+COUNTA($N7:$O7))&gt;0),"",IFERROR(LOOKUP(2,1/(H7:K7&lt;&gt;""),H7:K7),0))</f>
        <v/>
      </c>
      <c r="M7" s="52">
        <f>IF(L7="","",IF(L7&gt;=1,"Completado",IF(L7&gt;0,"En curso","Pendiente")))</f>
        <v/>
      </c>
      <c r="N7" s="48" t="n"/>
      <c r="O7" s="47" t="n"/>
      <c r="P7" s="53">
        <f>IF(NOT((COUNTA($A7:$K7)+COUNTA($N7:$O7))&gt;0),"",IF((IF(A7="","Falta ID"&amp;" · ","")&amp;IF(AND(A7&lt;&gt;"",COUNTIF($A$5:$A$1000,A7)&gt;1),"ID duplicado"&amp;" · ","")&amp;IF(B7="","Área sin seleccionar"&amp;" · ","")&amp;IF(AND(B7&lt;&gt;"",ISNA(MATCH(B7,ListaPuestos,0))),"Área no válida"&amp;" · ","")&amp;IF(C7="","Macroactividad vacía"&amp;" · ","")&amp;IF(D7="","Sin responsable"&amp;" · ","")&amp;IF(E7="","Sin fecha de inicio"&amp;" · ","")&amp;IF(F7="","Sin fecha límite"&amp;" · ","")&amp;IF(OR(AND(E7&lt;&gt;"",NOT(ISNUMBER(E7))),AND(F7&lt;&gt;"",NOT(ISNUMBER(F7)))),"Fecha no válida"&amp;" · ","")&amp;IF(AND(ISNUMBER(E7),ISNUMBER(F7),E7&gt;F7),"Inicio posterior a fecha límite"&amp;" · ","")&amp;IF(G7="","Peso vacío"&amp;" · ","")&amp;IF(AND(G7&lt;&gt;"",OR(NOT(ISNUMBER(G7)),G7&lt;=0,G7&gt;1)),"Peso fuera de rango"&amp;" · ","")&amp;IF(AND(B7&lt;&gt;"",ABS(SUMIFS($G$5:$G$1000,$B$5:$B$1000,B7)-1)&gt;0.0001),"Pesos del puesto suman "&amp;TEXT(SUMIFS($G$5:$G$1000,$B$5:$B$1000,B7),"0%")&amp;" · ","")&amp;IF((COUNTIF(H7:K7,"&gt;1")+COUNTIF(H7:K7,"&lt;0")+COUNTA(H7:K7)-COUNT(H7:K7))&gt;0,"Avance fuera de rango 0-100%"&amp;" · ","")&amp;IF(OR(AND(I7&lt;&gt;"",I7&lt;H7),AND(J7&lt;&gt;"",J7&lt;MAX(H7:I7)),AND(K7&lt;&gt;"",K7&lt;MAX(H7:J7))),"Avance semanal decreciente"&amp;" · ","")&amp;IF(AND(ISNUMBER(F7),F7&lt;FechaRef,N(L7)&lt;1),"Vencida"&amp;" · ","")&amp;IF(AND(EvidenciaObligatoria="Sí",N(L7)&gt;=1,O7=""),"Completada sin evidencia"&amp;" · ",""))="","✔ OK","⚠ "&amp;LEFT(IF(A7="","Falta ID"&amp;" · ","")&amp;IF(AND(A7&lt;&gt;"",COUNTIF($A$5:$A$1000,A7)&gt;1),"ID duplicado"&amp;" · ","")&amp;IF(B7="","Área sin seleccionar"&amp;" · ","")&amp;IF(AND(B7&lt;&gt;"",ISNA(MATCH(B7,ListaPuestos,0))),"Área no válida"&amp;" · ","")&amp;IF(C7="","Macroactividad vacía"&amp;" · ","")&amp;IF(D7="","Sin responsable"&amp;" · ","")&amp;IF(E7="","Sin fecha de inicio"&amp;" · ","")&amp;IF(F7="","Sin fecha límite"&amp;" · ","")&amp;IF(OR(AND(E7&lt;&gt;"",NOT(ISNUMBER(E7))),AND(F7&lt;&gt;"",NOT(ISNUMBER(F7)))),"Fecha no válida"&amp;" · ","")&amp;IF(AND(ISNUMBER(E7),ISNUMBER(F7),E7&gt;F7),"Inicio posterior a fecha límite"&amp;" · ","")&amp;IF(G7="","Peso vacío"&amp;" · ","")&amp;IF(AND(G7&lt;&gt;"",OR(NOT(ISNUMBER(G7)),G7&lt;=0,G7&gt;1)),"Peso fuera de rango"&amp;" · ","")&amp;IF(AND(B7&lt;&gt;"",ABS(SUMIFS($G$5:$G$1000,$B$5:$B$1000,B7)-1)&gt;0.0001),"Pesos del puesto suman "&amp;TEXT(SUMIFS($G$5:$G$1000,$B$5:$B$1000,B7),"0%")&amp;" · ","")&amp;IF((COUNTIF(H7:K7,"&gt;1")+COUNTIF(H7:K7,"&lt;0")+COUNTA(H7:K7)-COUNT(H7:K7))&gt;0,"Avance fuera de rango 0-100%"&amp;" · ","")&amp;IF(OR(AND(I7&lt;&gt;"",I7&lt;H7),AND(J7&lt;&gt;"",J7&lt;MAX(H7:I7)),AND(K7&lt;&gt;"",K7&lt;MAX(H7:J7))),"Avance semanal decreciente"&amp;" · ","")&amp;IF(AND(ISNUMBER(F7),F7&lt;FechaRef,N(L7)&lt;1),"Vencida"&amp;" · ","")&amp;IF(AND(EvidenciaObligatoria="Sí",N(L7)&gt;=1,O7=""),"Completada sin evidencia"&amp;" · ",""),LEN(IF(A7="","Falta ID"&amp;" · ","")&amp;IF(AND(A7&lt;&gt;"",COUNTIF($A$5:$A$1000,A7)&gt;1),"ID duplicado"&amp;" · ","")&amp;IF(B7="","Área sin seleccionar"&amp;" · ","")&amp;IF(AND(B7&lt;&gt;"",ISNA(MATCH(B7,ListaPuestos,0))),"Área no válida"&amp;" · ","")&amp;IF(C7="","Macroactividad vacía"&amp;" · ","")&amp;IF(D7="","Sin responsable"&amp;" · ","")&amp;IF(E7="","Sin fecha de inicio"&amp;" · ","")&amp;IF(F7="","Sin fecha límite"&amp;" · ","")&amp;IF(OR(AND(E7&lt;&gt;"",NOT(ISNUMBER(E7))),AND(F7&lt;&gt;"",NOT(ISNUMBER(F7)))),"Fecha no válida"&amp;" · ","")&amp;IF(AND(ISNUMBER(E7),ISNUMBER(F7),E7&gt;F7),"Inicio posterior a fecha límite"&amp;" · ","")&amp;IF(G7="","Peso vacío"&amp;" · ","")&amp;IF(AND(G7&lt;&gt;"",OR(NOT(ISNUMBER(G7)),G7&lt;=0,G7&gt;1)),"Peso fuera de rango"&amp;" · ","")&amp;IF(AND(B7&lt;&gt;"",ABS(SUMIFS($G$5:$G$1000,$B$5:$B$1000,B7)-1)&gt;0.0001),"Pesos del puesto suman "&amp;TEXT(SUMIFS($G$5:$G$1000,$B$5:$B$1000,B7),"0%")&amp;" · ","")&amp;IF((COUNTIF(H7:K7,"&gt;1")+COUNTIF(H7:K7,"&lt;0")+COUNTA(H7:K7)-COUNT(H7:K7))&gt;0,"Avance fuera de rango 0-100%"&amp;" · ","")&amp;IF(OR(AND(I7&lt;&gt;"",I7&lt;H7),AND(J7&lt;&gt;"",J7&lt;MAX(H7:I7)),AND(K7&lt;&gt;"",K7&lt;MAX(H7:J7))),"Avance semanal decreciente"&amp;" · ","")&amp;IF(AND(ISNUMBER(F7),F7&lt;FechaRef,N(L7)&lt;1),"Vencida"&amp;" · ","")&amp;IF(AND(EvidenciaObligatoria="Sí",N(L7)&gt;=1,O7=""),"Completada sin evidencia"&amp;" · ",""))-3)))</f>
        <v/>
      </c>
    </row>
    <row r="8">
      <c r="A8" s="46" t="n"/>
      <c r="B8" s="47" t="n"/>
      <c r="C8" s="47" t="n"/>
      <c r="D8" s="47" t="n"/>
      <c r="E8" s="48" t="n"/>
      <c r="F8" s="48" t="n"/>
      <c r="G8" s="49" t="n"/>
      <c r="H8" s="50" t="n"/>
      <c r="I8" s="50" t="n"/>
      <c r="J8" s="50" t="n"/>
      <c r="K8" s="50" t="n"/>
      <c r="L8" s="51">
        <f>IF(NOT((COUNTA($A8:$K8)+COUNTA($N8:$O8))&gt;0),"",IFERROR(LOOKUP(2,1/(H8:K8&lt;&gt;""),H8:K8),0))</f>
        <v/>
      </c>
      <c r="M8" s="52">
        <f>IF(L8="","",IF(L8&gt;=1,"Completado",IF(L8&gt;0,"En curso","Pendiente")))</f>
        <v/>
      </c>
      <c r="N8" s="48" t="n"/>
      <c r="O8" s="47" t="n"/>
      <c r="P8" s="53">
        <f>IF(NOT((COUNTA($A8:$K8)+COUNTA($N8:$O8))&gt;0),"",IF((IF(A8="","Falta ID"&amp;" · ","")&amp;IF(AND(A8&lt;&gt;"",COUNTIF($A$5:$A$1000,A8)&gt;1),"ID duplicado"&amp;" · ","")&amp;IF(B8="","Área sin seleccionar"&amp;" · ","")&amp;IF(AND(B8&lt;&gt;"",ISNA(MATCH(B8,ListaPuestos,0))),"Área no válida"&amp;" · ","")&amp;IF(C8="","Macroactividad vacía"&amp;" · ","")&amp;IF(D8="","Sin responsable"&amp;" · ","")&amp;IF(E8="","Sin fecha de inicio"&amp;" · ","")&amp;IF(F8="","Sin fecha límite"&amp;" · ","")&amp;IF(OR(AND(E8&lt;&gt;"",NOT(ISNUMBER(E8))),AND(F8&lt;&gt;"",NOT(ISNUMBER(F8)))),"Fecha no válida"&amp;" · ","")&amp;IF(AND(ISNUMBER(E8),ISNUMBER(F8),E8&gt;F8),"Inicio posterior a fecha límite"&amp;" · ","")&amp;IF(G8="","Peso vacío"&amp;" · ","")&amp;IF(AND(G8&lt;&gt;"",OR(NOT(ISNUMBER(G8)),G8&lt;=0,G8&gt;1)),"Peso fuera de rango"&amp;" · ","")&amp;IF(AND(B8&lt;&gt;"",ABS(SUMIFS($G$5:$G$1000,$B$5:$B$1000,B8)-1)&gt;0.0001),"Pesos del puesto suman "&amp;TEXT(SUMIFS($G$5:$G$1000,$B$5:$B$1000,B8),"0%")&amp;" · ","")&amp;IF((COUNTIF(H8:K8,"&gt;1")+COUNTIF(H8:K8,"&lt;0")+COUNTA(H8:K8)-COUNT(H8:K8))&gt;0,"Avance fuera de rango 0-100%"&amp;" · ","")&amp;IF(OR(AND(I8&lt;&gt;"",I8&lt;H8),AND(J8&lt;&gt;"",J8&lt;MAX(H8:I8)),AND(K8&lt;&gt;"",K8&lt;MAX(H8:J8))),"Avance semanal decreciente"&amp;" · ","")&amp;IF(AND(ISNUMBER(F8),F8&lt;FechaRef,N(L8)&lt;1),"Vencida"&amp;" · ","")&amp;IF(AND(EvidenciaObligatoria="Sí",N(L8)&gt;=1,O8=""),"Completada sin evidencia"&amp;" · ",""))="","✔ OK","⚠ "&amp;LEFT(IF(A8="","Falta ID"&amp;" · ","")&amp;IF(AND(A8&lt;&gt;"",COUNTIF($A$5:$A$1000,A8)&gt;1),"ID duplicado"&amp;" · ","")&amp;IF(B8="","Área sin seleccionar"&amp;" · ","")&amp;IF(AND(B8&lt;&gt;"",ISNA(MATCH(B8,ListaPuestos,0))),"Área no válida"&amp;" · ","")&amp;IF(C8="","Macroactividad vacía"&amp;" · ","")&amp;IF(D8="","Sin responsable"&amp;" · ","")&amp;IF(E8="","Sin fecha de inicio"&amp;" · ","")&amp;IF(F8="","Sin fecha límite"&amp;" · ","")&amp;IF(OR(AND(E8&lt;&gt;"",NOT(ISNUMBER(E8))),AND(F8&lt;&gt;"",NOT(ISNUMBER(F8)))),"Fecha no válida"&amp;" · ","")&amp;IF(AND(ISNUMBER(E8),ISNUMBER(F8),E8&gt;F8),"Inicio posterior a fecha límite"&amp;" · ","")&amp;IF(G8="","Peso vacío"&amp;" · ","")&amp;IF(AND(G8&lt;&gt;"",OR(NOT(ISNUMBER(G8)),G8&lt;=0,G8&gt;1)),"Peso fuera de rango"&amp;" · ","")&amp;IF(AND(B8&lt;&gt;"",ABS(SUMIFS($G$5:$G$1000,$B$5:$B$1000,B8)-1)&gt;0.0001),"Pesos del puesto suman "&amp;TEXT(SUMIFS($G$5:$G$1000,$B$5:$B$1000,B8),"0%")&amp;" · ","")&amp;IF((COUNTIF(H8:K8,"&gt;1")+COUNTIF(H8:K8,"&lt;0")+COUNTA(H8:K8)-COUNT(H8:K8))&gt;0,"Avance fuera de rango 0-100%"&amp;" · ","")&amp;IF(OR(AND(I8&lt;&gt;"",I8&lt;H8),AND(J8&lt;&gt;"",J8&lt;MAX(H8:I8)),AND(K8&lt;&gt;"",K8&lt;MAX(H8:J8))),"Avance semanal decreciente"&amp;" · ","")&amp;IF(AND(ISNUMBER(F8),F8&lt;FechaRef,N(L8)&lt;1),"Vencida"&amp;" · ","")&amp;IF(AND(EvidenciaObligatoria="Sí",N(L8)&gt;=1,O8=""),"Completada sin evidencia"&amp;" · ",""),LEN(IF(A8="","Falta ID"&amp;" · ","")&amp;IF(AND(A8&lt;&gt;"",COUNTIF($A$5:$A$1000,A8)&gt;1),"ID duplicado"&amp;" · ","")&amp;IF(B8="","Área sin seleccionar"&amp;" · ","")&amp;IF(AND(B8&lt;&gt;"",ISNA(MATCH(B8,ListaPuestos,0))),"Área no válida"&amp;" · ","")&amp;IF(C8="","Macroactividad vacía"&amp;" · ","")&amp;IF(D8="","Sin responsable"&amp;" · ","")&amp;IF(E8="","Sin fecha de inicio"&amp;" · ","")&amp;IF(F8="","Sin fecha límite"&amp;" · ","")&amp;IF(OR(AND(E8&lt;&gt;"",NOT(ISNUMBER(E8))),AND(F8&lt;&gt;"",NOT(ISNUMBER(F8)))),"Fecha no válida"&amp;" · ","")&amp;IF(AND(ISNUMBER(E8),ISNUMBER(F8),E8&gt;F8),"Inicio posterior a fecha límite"&amp;" · ","")&amp;IF(G8="","Peso vacío"&amp;" · ","")&amp;IF(AND(G8&lt;&gt;"",OR(NOT(ISNUMBER(G8)),G8&lt;=0,G8&gt;1)),"Peso fuera de rango"&amp;" · ","")&amp;IF(AND(B8&lt;&gt;"",ABS(SUMIFS($G$5:$G$1000,$B$5:$B$1000,B8)-1)&gt;0.0001),"Pesos del puesto suman "&amp;TEXT(SUMIFS($G$5:$G$1000,$B$5:$B$1000,B8),"0%")&amp;" · ","")&amp;IF((COUNTIF(H8:K8,"&gt;1")+COUNTIF(H8:K8,"&lt;0")+COUNTA(H8:K8)-COUNT(H8:K8))&gt;0,"Avance fuera de rango 0-100%"&amp;" · ","")&amp;IF(OR(AND(I8&lt;&gt;"",I8&lt;H8),AND(J8&lt;&gt;"",J8&lt;MAX(H8:I8)),AND(K8&lt;&gt;"",K8&lt;MAX(H8:J8))),"Avance semanal decreciente"&amp;" · ","")&amp;IF(AND(ISNUMBER(F8),F8&lt;FechaRef,N(L8)&lt;1),"Vencida"&amp;" · ","")&amp;IF(AND(EvidenciaObligatoria="Sí",N(L8)&gt;=1,O8=""),"Completada sin evidencia"&amp;" · ",""))-3)))</f>
        <v/>
      </c>
    </row>
    <row r="9">
      <c r="A9" s="46" t="n"/>
      <c r="B9" s="47" t="n"/>
      <c r="C9" s="47" t="n"/>
      <c r="D9" s="47" t="n"/>
      <c r="E9" s="48" t="n"/>
      <c r="F9" s="48" t="n"/>
      <c r="G9" s="49" t="n"/>
      <c r="H9" s="50" t="n"/>
      <c r="I9" s="50" t="n"/>
      <c r="J9" s="50" t="n"/>
      <c r="K9" s="50" t="n"/>
      <c r="L9" s="51">
        <f>IF(NOT((COUNTA($A9:$K9)+COUNTA($N9:$O9))&gt;0),"",IFERROR(LOOKUP(2,1/(H9:K9&lt;&gt;""),H9:K9),0))</f>
        <v/>
      </c>
      <c r="M9" s="52">
        <f>IF(L9="","",IF(L9&gt;=1,"Completado",IF(L9&gt;0,"En curso","Pendiente")))</f>
        <v/>
      </c>
      <c r="N9" s="48" t="n"/>
      <c r="O9" s="47" t="n"/>
      <c r="P9" s="53">
        <f>IF(NOT((COUNTA($A9:$K9)+COUNTA($N9:$O9))&gt;0),"",IF((IF(A9="","Falta ID"&amp;" · ","")&amp;IF(AND(A9&lt;&gt;"",COUNTIF($A$5:$A$1000,A9)&gt;1),"ID duplicado"&amp;" · ","")&amp;IF(B9="","Área sin seleccionar"&amp;" · ","")&amp;IF(AND(B9&lt;&gt;"",ISNA(MATCH(B9,ListaPuestos,0))),"Área no válida"&amp;" · ","")&amp;IF(C9="","Macroactividad vacía"&amp;" · ","")&amp;IF(D9="","Sin responsable"&amp;" · ","")&amp;IF(E9="","Sin fecha de inicio"&amp;" · ","")&amp;IF(F9="","Sin fecha límite"&amp;" · ","")&amp;IF(OR(AND(E9&lt;&gt;"",NOT(ISNUMBER(E9))),AND(F9&lt;&gt;"",NOT(ISNUMBER(F9)))),"Fecha no válida"&amp;" · ","")&amp;IF(AND(ISNUMBER(E9),ISNUMBER(F9),E9&gt;F9),"Inicio posterior a fecha límite"&amp;" · ","")&amp;IF(G9="","Peso vacío"&amp;" · ","")&amp;IF(AND(G9&lt;&gt;"",OR(NOT(ISNUMBER(G9)),G9&lt;=0,G9&gt;1)),"Peso fuera de rango"&amp;" · ","")&amp;IF(AND(B9&lt;&gt;"",ABS(SUMIFS($G$5:$G$1000,$B$5:$B$1000,B9)-1)&gt;0.0001),"Pesos del puesto suman "&amp;TEXT(SUMIFS($G$5:$G$1000,$B$5:$B$1000,B9),"0%")&amp;" · ","")&amp;IF((COUNTIF(H9:K9,"&gt;1")+COUNTIF(H9:K9,"&lt;0")+COUNTA(H9:K9)-COUNT(H9:K9))&gt;0,"Avance fuera de rango 0-100%"&amp;" · ","")&amp;IF(OR(AND(I9&lt;&gt;"",I9&lt;H9),AND(J9&lt;&gt;"",J9&lt;MAX(H9:I9)),AND(K9&lt;&gt;"",K9&lt;MAX(H9:J9))),"Avance semanal decreciente"&amp;" · ","")&amp;IF(AND(ISNUMBER(F9),F9&lt;FechaRef,N(L9)&lt;1),"Vencida"&amp;" · ","")&amp;IF(AND(EvidenciaObligatoria="Sí",N(L9)&gt;=1,O9=""),"Completada sin evidencia"&amp;" · ",""))="","✔ OK","⚠ "&amp;LEFT(IF(A9="","Falta ID"&amp;" · ","")&amp;IF(AND(A9&lt;&gt;"",COUNTIF($A$5:$A$1000,A9)&gt;1),"ID duplicado"&amp;" · ","")&amp;IF(B9="","Área sin seleccionar"&amp;" · ","")&amp;IF(AND(B9&lt;&gt;"",ISNA(MATCH(B9,ListaPuestos,0))),"Área no válida"&amp;" · ","")&amp;IF(C9="","Macroactividad vacía"&amp;" · ","")&amp;IF(D9="","Sin responsable"&amp;" · ","")&amp;IF(E9="","Sin fecha de inicio"&amp;" · ","")&amp;IF(F9="","Sin fecha límite"&amp;" · ","")&amp;IF(OR(AND(E9&lt;&gt;"",NOT(ISNUMBER(E9))),AND(F9&lt;&gt;"",NOT(ISNUMBER(F9)))),"Fecha no válida"&amp;" · ","")&amp;IF(AND(ISNUMBER(E9),ISNUMBER(F9),E9&gt;F9),"Inicio posterior a fecha límite"&amp;" · ","")&amp;IF(G9="","Peso vacío"&amp;" · ","")&amp;IF(AND(G9&lt;&gt;"",OR(NOT(ISNUMBER(G9)),G9&lt;=0,G9&gt;1)),"Peso fuera de rango"&amp;" · ","")&amp;IF(AND(B9&lt;&gt;"",ABS(SUMIFS($G$5:$G$1000,$B$5:$B$1000,B9)-1)&gt;0.0001),"Pesos del puesto suman "&amp;TEXT(SUMIFS($G$5:$G$1000,$B$5:$B$1000,B9),"0%")&amp;" · ","")&amp;IF((COUNTIF(H9:K9,"&gt;1")+COUNTIF(H9:K9,"&lt;0")+COUNTA(H9:K9)-COUNT(H9:K9))&gt;0,"Avance fuera de rango 0-100%"&amp;" · ","")&amp;IF(OR(AND(I9&lt;&gt;"",I9&lt;H9),AND(J9&lt;&gt;"",J9&lt;MAX(H9:I9)),AND(K9&lt;&gt;"",K9&lt;MAX(H9:J9))),"Avance semanal decreciente"&amp;" · ","")&amp;IF(AND(ISNUMBER(F9),F9&lt;FechaRef,N(L9)&lt;1),"Vencida"&amp;" · ","")&amp;IF(AND(EvidenciaObligatoria="Sí",N(L9)&gt;=1,O9=""),"Completada sin evidencia"&amp;" · ",""),LEN(IF(A9="","Falta ID"&amp;" · ","")&amp;IF(AND(A9&lt;&gt;"",COUNTIF($A$5:$A$1000,A9)&gt;1),"ID duplicado"&amp;" · ","")&amp;IF(B9="","Área sin seleccionar"&amp;" · ","")&amp;IF(AND(B9&lt;&gt;"",ISNA(MATCH(B9,ListaPuestos,0))),"Área no válida"&amp;" · ","")&amp;IF(C9="","Macroactividad vacía"&amp;" · ","")&amp;IF(D9="","Sin responsable"&amp;" · ","")&amp;IF(E9="","Sin fecha de inicio"&amp;" · ","")&amp;IF(F9="","Sin fecha límite"&amp;" · ","")&amp;IF(OR(AND(E9&lt;&gt;"",NOT(ISNUMBER(E9))),AND(F9&lt;&gt;"",NOT(ISNUMBER(F9)))),"Fecha no válida"&amp;" · ","")&amp;IF(AND(ISNUMBER(E9),ISNUMBER(F9),E9&gt;F9),"Inicio posterior a fecha límite"&amp;" · ","")&amp;IF(G9="","Peso vacío"&amp;" · ","")&amp;IF(AND(G9&lt;&gt;"",OR(NOT(ISNUMBER(G9)),G9&lt;=0,G9&gt;1)),"Peso fuera de rango"&amp;" · ","")&amp;IF(AND(B9&lt;&gt;"",ABS(SUMIFS($G$5:$G$1000,$B$5:$B$1000,B9)-1)&gt;0.0001),"Pesos del puesto suman "&amp;TEXT(SUMIFS($G$5:$G$1000,$B$5:$B$1000,B9),"0%")&amp;" · ","")&amp;IF((COUNTIF(H9:K9,"&gt;1")+COUNTIF(H9:K9,"&lt;0")+COUNTA(H9:K9)-COUNT(H9:K9))&gt;0,"Avance fuera de rango 0-100%"&amp;" · ","")&amp;IF(OR(AND(I9&lt;&gt;"",I9&lt;H9),AND(J9&lt;&gt;"",J9&lt;MAX(H9:I9)),AND(K9&lt;&gt;"",K9&lt;MAX(H9:J9))),"Avance semanal decreciente"&amp;" · ","")&amp;IF(AND(ISNUMBER(F9),F9&lt;FechaRef,N(L9)&lt;1),"Vencida"&amp;" · ","")&amp;IF(AND(EvidenciaObligatoria="Sí",N(L9)&gt;=1,O9=""),"Completada sin evidencia"&amp;" · ",""))-3)))</f>
        <v/>
      </c>
    </row>
    <row r="10">
      <c r="A10" s="46" t="n"/>
      <c r="B10" s="47" t="n"/>
      <c r="C10" s="47" t="n"/>
      <c r="D10" s="47" t="n"/>
      <c r="E10" s="48" t="n"/>
      <c r="F10" s="48" t="n"/>
      <c r="G10" s="49" t="n"/>
      <c r="H10" s="50" t="n"/>
      <c r="I10" s="50" t="n"/>
      <c r="J10" s="50" t="n"/>
      <c r="K10" s="50" t="n"/>
      <c r="L10" s="51">
        <f>IF(NOT((COUNTA($A10:$K10)+COUNTA($N10:$O10))&gt;0),"",IFERROR(LOOKUP(2,1/(H10:K10&lt;&gt;""),H10:K10),0))</f>
        <v/>
      </c>
      <c r="M10" s="52">
        <f>IF(L10="","",IF(L10&gt;=1,"Completado",IF(L10&gt;0,"En curso","Pendiente")))</f>
        <v/>
      </c>
      <c r="N10" s="48" t="n"/>
      <c r="O10" s="47" t="n"/>
      <c r="P10" s="53">
        <f>IF(NOT((COUNTA($A10:$K10)+COUNTA($N10:$O10))&gt;0),"",IF((IF(A10="","Falta ID"&amp;" · ","")&amp;IF(AND(A10&lt;&gt;"",COUNTIF($A$5:$A$1000,A10)&gt;1),"ID duplicado"&amp;" · ","")&amp;IF(B10="","Área sin seleccionar"&amp;" · ","")&amp;IF(AND(B10&lt;&gt;"",ISNA(MATCH(B10,ListaPuestos,0))),"Área no válida"&amp;" · ","")&amp;IF(C10="","Macroactividad vacía"&amp;" · ","")&amp;IF(D10="","Sin responsable"&amp;" · ","")&amp;IF(E10="","Sin fecha de inicio"&amp;" · ","")&amp;IF(F10="","Sin fecha límite"&amp;" · ","")&amp;IF(OR(AND(E10&lt;&gt;"",NOT(ISNUMBER(E10))),AND(F10&lt;&gt;"",NOT(ISNUMBER(F10)))),"Fecha no válida"&amp;" · ","")&amp;IF(AND(ISNUMBER(E10),ISNUMBER(F10),E10&gt;F10),"Inicio posterior a fecha límite"&amp;" · ","")&amp;IF(G10="","Peso vacío"&amp;" · ","")&amp;IF(AND(G10&lt;&gt;"",OR(NOT(ISNUMBER(G10)),G10&lt;=0,G10&gt;1)),"Peso fuera de rango"&amp;" · ","")&amp;IF(AND(B10&lt;&gt;"",ABS(SUMIFS($G$5:$G$1000,$B$5:$B$1000,B10)-1)&gt;0.0001),"Pesos del puesto suman "&amp;TEXT(SUMIFS($G$5:$G$1000,$B$5:$B$1000,B10),"0%")&amp;" · ","")&amp;IF((COUNTIF(H10:K10,"&gt;1")+COUNTIF(H10:K10,"&lt;0")+COUNTA(H10:K10)-COUNT(H10:K10))&gt;0,"Avance fuera de rango 0-100%"&amp;" · ","")&amp;IF(OR(AND(I10&lt;&gt;"",I10&lt;H10),AND(J10&lt;&gt;"",J10&lt;MAX(H10:I10)),AND(K10&lt;&gt;"",K10&lt;MAX(H10:J10))),"Avance semanal decreciente"&amp;" · ","")&amp;IF(AND(ISNUMBER(F10),F10&lt;FechaRef,N(L10)&lt;1),"Vencida"&amp;" · ","")&amp;IF(AND(EvidenciaObligatoria="Sí",N(L10)&gt;=1,O10=""),"Completada sin evidencia"&amp;" · ",""))="","✔ OK","⚠ "&amp;LEFT(IF(A10="","Falta ID"&amp;" · ","")&amp;IF(AND(A10&lt;&gt;"",COUNTIF($A$5:$A$1000,A10)&gt;1),"ID duplicado"&amp;" · ","")&amp;IF(B10="","Área sin seleccionar"&amp;" · ","")&amp;IF(AND(B10&lt;&gt;"",ISNA(MATCH(B10,ListaPuestos,0))),"Área no válida"&amp;" · ","")&amp;IF(C10="","Macroactividad vacía"&amp;" · ","")&amp;IF(D10="","Sin responsable"&amp;" · ","")&amp;IF(E10="","Sin fecha de inicio"&amp;" · ","")&amp;IF(F10="","Sin fecha límite"&amp;" · ","")&amp;IF(OR(AND(E10&lt;&gt;"",NOT(ISNUMBER(E10))),AND(F10&lt;&gt;"",NOT(ISNUMBER(F10)))),"Fecha no válida"&amp;" · ","")&amp;IF(AND(ISNUMBER(E10),ISNUMBER(F10),E10&gt;F10),"Inicio posterior a fecha límite"&amp;" · ","")&amp;IF(G10="","Peso vacío"&amp;" · ","")&amp;IF(AND(G10&lt;&gt;"",OR(NOT(ISNUMBER(G10)),G10&lt;=0,G10&gt;1)),"Peso fuera de rango"&amp;" · ","")&amp;IF(AND(B10&lt;&gt;"",ABS(SUMIFS($G$5:$G$1000,$B$5:$B$1000,B10)-1)&gt;0.0001),"Pesos del puesto suman "&amp;TEXT(SUMIFS($G$5:$G$1000,$B$5:$B$1000,B10),"0%")&amp;" · ","")&amp;IF((COUNTIF(H10:K10,"&gt;1")+COUNTIF(H10:K10,"&lt;0")+COUNTA(H10:K10)-COUNT(H10:K10))&gt;0,"Avance fuera de rango 0-100%"&amp;" · ","")&amp;IF(OR(AND(I10&lt;&gt;"",I10&lt;H10),AND(J10&lt;&gt;"",J10&lt;MAX(H10:I10)),AND(K10&lt;&gt;"",K10&lt;MAX(H10:J10))),"Avance semanal decreciente"&amp;" · ","")&amp;IF(AND(ISNUMBER(F10),F10&lt;FechaRef,N(L10)&lt;1),"Vencida"&amp;" · ","")&amp;IF(AND(EvidenciaObligatoria="Sí",N(L10)&gt;=1,O10=""),"Completada sin evidencia"&amp;" · ",""),LEN(IF(A10="","Falta ID"&amp;" · ","")&amp;IF(AND(A10&lt;&gt;"",COUNTIF($A$5:$A$1000,A10)&gt;1),"ID duplicado"&amp;" · ","")&amp;IF(B10="","Área sin seleccionar"&amp;" · ","")&amp;IF(AND(B10&lt;&gt;"",ISNA(MATCH(B10,ListaPuestos,0))),"Área no válida"&amp;" · ","")&amp;IF(C10="","Macroactividad vacía"&amp;" · ","")&amp;IF(D10="","Sin responsable"&amp;" · ","")&amp;IF(E10="","Sin fecha de inicio"&amp;" · ","")&amp;IF(F10="","Sin fecha límite"&amp;" · ","")&amp;IF(OR(AND(E10&lt;&gt;"",NOT(ISNUMBER(E10))),AND(F10&lt;&gt;"",NOT(ISNUMBER(F10)))),"Fecha no válida"&amp;" · ","")&amp;IF(AND(ISNUMBER(E10),ISNUMBER(F10),E10&gt;F10),"Inicio posterior a fecha límite"&amp;" · ","")&amp;IF(G10="","Peso vacío"&amp;" · ","")&amp;IF(AND(G10&lt;&gt;"",OR(NOT(ISNUMBER(G10)),G10&lt;=0,G10&gt;1)),"Peso fuera de rango"&amp;" · ","")&amp;IF(AND(B10&lt;&gt;"",ABS(SUMIFS($G$5:$G$1000,$B$5:$B$1000,B10)-1)&gt;0.0001),"Pesos del puesto suman "&amp;TEXT(SUMIFS($G$5:$G$1000,$B$5:$B$1000,B10),"0%")&amp;" · ","")&amp;IF((COUNTIF(H10:K10,"&gt;1")+COUNTIF(H10:K10,"&lt;0")+COUNTA(H10:K10)-COUNT(H10:K10))&gt;0,"Avance fuera de rango 0-100%"&amp;" · ","")&amp;IF(OR(AND(I10&lt;&gt;"",I10&lt;H10),AND(J10&lt;&gt;"",J10&lt;MAX(H10:I10)),AND(K10&lt;&gt;"",K10&lt;MAX(H10:J10))),"Avance semanal decreciente"&amp;" · ","")&amp;IF(AND(ISNUMBER(F10),F10&lt;FechaRef,N(L10)&lt;1),"Vencida"&amp;" · ","")&amp;IF(AND(EvidenciaObligatoria="Sí",N(L10)&gt;=1,O10=""),"Completada sin evidencia"&amp;" · ",""))-3)))</f>
        <v/>
      </c>
    </row>
    <row r="11">
      <c r="A11" s="46" t="n"/>
      <c r="B11" s="47" t="n"/>
      <c r="C11" s="47" t="n"/>
      <c r="D11" s="47" t="n"/>
      <c r="E11" s="48" t="n"/>
      <c r="F11" s="48" t="n"/>
      <c r="G11" s="49" t="n"/>
      <c r="H11" s="50" t="n"/>
      <c r="I11" s="50" t="n"/>
      <c r="J11" s="50" t="n"/>
      <c r="K11" s="50" t="n"/>
      <c r="L11" s="51">
        <f>IF(NOT((COUNTA($A11:$K11)+COUNTA($N11:$O11))&gt;0),"",IFERROR(LOOKUP(2,1/(H11:K11&lt;&gt;""),H11:K11),0))</f>
        <v/>
      </c>
      <c r="M11" s="52">
        <f>IF(L11="","",IF(L11&gt;=1,"Completado",IF(L11&gt;0,"En curso","Pendiente")))</f>
        <v/>
      </c>
      <c r="N11" s="48" t="n"/>
      <c r="O11" s="47" t="n"/>
      <c r="P11" s="53">
        <f>IF(NOT((COUNTA($A11:$K11)+COUNTA($N11:$O11))&gt;0),"",IF((IF(A11="","Falta ID"&amp;" · ","")&amp;IF(AND(A11&lt;&gt;"",COUNTIF($A$5:$A$1000,A11)&gt;1),"ID duplicado"&amp;" · ","")&amp;IF(B11="","Área sin seleccionar"&amp;" · ","")&amp;IF(AND(B11&lt;&gt;"",ISNA(MATCH(B11,ListaPuestos,0))),"Área no válida"&amp;" · ","")&amp;IF(C11="","Macroactividad vacía"&amp;" · ","")&amp;IF(D11="","Sin responsable"&amp;" · ","")&amp;IF(E11="","Sin fecha de inicio"&amp;" · ","")&amp;IF(F11="","Sin fecha límite"&amp;" · ","")&amp;IF(OR(AND(E11&lt;&gt;"",NOT(ISNUMBER(E11))),AND(F11&lt;&gt;"",NOT(ISNUMBER(F11)))),"Fecha no válida"&amp;" · ","")&amp;IF(AND(ISNUMBER(E11),ISNUMBER(F11),E11&gt;F11),"Inicio posterior a fecha límite"&amp;" · ","")&amp;IF(G11="","Peso vacío"&amp;" · ","")&amp;IF(AND(G11&lt;&gt;"",OR(NOT(ISNUMBER(G11)),G11&lt;=0,G11&gt;1)),"Peso fuera de rango"&amp;" · ","")&amp;IF(AND(B11&lt;&gt;"",ABS(SUMIFS($G$5:$G$1000,$B$5:$B$1000,B11)-1)&gt;0.0001),"Pesos del puesto suman "&amp;TEXT(SUMIFS($G$5:$G$1000,$B$5:$B$1000,B11),"0%")&amp;" · ","")&amp;IF((COUNTIF(H11:K11,"&gt;1")+COUNTIF(H11:K11,"&lt;0")+COUNTA(H11:K11)-COUNT(H11:K11))&gt;0,"Avance fuera de rango 0-100%"&amp;" · ","")&amp;IF(OR(AND(I11&lt;&gt;"",I11&lt;H11),AND(J11&lt;&gt;"",J11&lt;MAX(H11:I11)),AND(K11&lt;&gt;"",K11&lt;MAX(H11:J11))),"Avance semanal decreciente"&amp;" · ","")&amp;IF(AND(ISNUMBER(F11),F11&lt;FechaRef,N(L11)&lt;1),"Vencida"&amp;" · ","")&amp;IF(AND(EvidenciaObligatoria="Sí",N(L11)&gt;=1,O11=""),"Completada sin evidencia"&amp;" · ",""))="","✔ OK","⚠ "&amp;LEFT(IF(A11="","Falta ID"&amp;" · ","")&amp;IF(AND(A11&lt;&gt;"",COUNTIF($A$5:$A$1000,A11)&gt;1),"ID duplicado"&amp;" · ","")&amp;IF(B11="","Área sin seleccionar"&amp;" · ","")&amp;IF(AND(B11&lt;&gt;"",ISNA(MATCH(B11,ListaPuestos,0))),"Área no válida"&amp;" · ","")&amp;IF(C11="","Macroactividad vacía"&amp;" · ","")&amp;IF(D11="","Sin responsable"&amp;" · ","")&amp;IF(E11="","Sin fecha de inicio"&amp;" · ","")&amp;IF(F11="","Sin fecha límite"&amp;" · ","")&amp;IF(OR(AND(E11&lt;&gt;"",NOT(ISNUMBER(E11))),AND(F11&lt;&gt;"",NOT(ISNUMBER(F11)))),"Fecha no válida"&amp;" · ","")&amp;IF(AND(ISNUMBER(E11),ISNUMBER(F11),E11&gt;F11),"Inicio posterior a fecha límite"&amp;" · ","")&amp;IF(G11="","Peso vacío"&amp;" · ","")&amp;IF(AND(G11&lt;&gt;"",OR(NOT(ISNUMBER(G11)),G11&lt;=0,G11&gt;1)),"Peso fuera de rango"&amp;" · ","")&amp;IF(AND(B11&lt;&gt;"",ABS(SUMIFS($G$5:$G$1000,$B$5:$B$1000,B11)-1)&gt;0.0001),"Pesos del puesto suman "&amp;TEXT(SUMIFS($G$5:$G$1000,$B$5:$B$1000,B11),"0%")&amp;" · ","")&amp;IF((COUNTIF(H11:K11,"&gt;1")+COUNTIF(H11:K11,"&lt;0")+COUNTA(H11:K11)-COUNT(H11:K11))&gt;0,"Avance fuera de rango 0-100%"&amp;" · ","")&amp;IF(OR(AND(I11&lt;&gt;"",I11&lt;H11),AND(J11&lt;&gt;"",J11&lt;MAX(H11:I11)),AND(K11&lt;&gt;"",K11&lt;MAX(H11:J11))),"Avance semanal decreciente"&amp;" · ","")&amp;IF(AND(ISNUMBER(F11),F11&lt;FechaRef,N(L11)&lt;1),"Vencida"&amp;" · ","")&amp;IF(AND(EvidenciaObligatoria="Sí",N(L11)&gt;=1,O11=""),"Completada sin evidencia"&amp;" · ",""),LEN(IF(A11="","Falta ID"&amp;" · ","")&amp;IF(AND(A11&lt;&gt;"",COUNTIF($A$5:$A$1000,A11)&gt;1),"ID duplicado"&amp;" · ","")&amp;IF(B11="","Área sin seleccionar"&amp;" · ","")&amp;IF(AND(B11&lt;&gt;"",ISNA(MATCH(B11,ListaPuestos,0))),"Área no válida"&amp;" · ","")&amp;IF(C11="","Macroactividad vacía"&amp;" · ","")&amp;IF(D11="","Sin responsable"&amp;" · ","")&amp;IF(E11="","Sin fecha de inicio"&amp;" · ","")&amp;IF(F11="","Sin fecha límite"&amp;" · ","")&amp;IF(OR(AND(E11&lt;&gt;"",NOT(ISNUMBER(E11))),AND(F11&lt;&gt;"",NOT(ISNUMBER(F11)))),"Fecha no válida"&amp;" · ","")&amp;IF(AND(ISNUMBER(E11),ISNUMBER(F11),E11&gt;F11),"Inicio posterior a fecha límite"&amp;" · ","")&amp;IF(G11="","Peso vacío"&amp;" · ","")&amp;IF(AND(G11&lt;&gt;"",OR(NOT(ISNUMBER(G11)),G11&lt;=0,G11&gt;1)),"Peso fuera de rango"&amp;" · ","")&amp;IF(AND(B11&lt;&gt;"",ABS(SUMIFS($G$5:$G$1000,$B$5:$B$1000,B11)-1)&gt;0.0001),"Pesos del puesto suman "&amp;TEXT(SUMIFS($G$5:$G$1000,$B$5:$B$1000,B11),"0%")&amp;" · ","")&amp;IF((COUNTIF(H11:K11,"&gt;1")+COUNTIF(H11:K11,"&lt;0")+COUNTA(H11:K11)-COUNT(H11:K11))&gt;0,"Avance fuera de rango 0-100%"&amp;" · ","")&amp;IF(OR(AND(I11&lt;&gt;"",I11&lt;H11),AND(J11&lt;&gt;"",J11&lt;MAX(H11:I11)),AND(K11&lt;&gt;"",K11&lt;MAX(H11:J11))),"Avance semanal decreciente"&amp;" · ","")&amp;IF(AND(ISNUMBER(F11),F11&lt;FechaRef,N(L11)&lt;1),"Vencida"&amp;" · ","")&amp;IF(AND(EvidenciaObligatoria="Sí",N(L11)&gt;=1,O11=""),"Completada sin evidencia"&amp;" · ",""))-3)))</f>
        <v/>
      </c>
    </row>
    <row r="12">
      <c r="A12" s="46" t="n"/>
      <c r="B12" s="47" t="n"/>
      <c r="C12" s="47" t="n"/>
      <c r="D12" s="47" t="n"/>
      <c r="E12" s="48" t="n"/>
      <c r="F12" s="48" t="n"/>
      <c r="G12" s="49" t="n"/>
      <c r="H12" s="50" t="n"/>
      <c r="I12" s="50" t="n"/>
      <c r="J12" s="50" t="n"/>
      <c r="K12" s="50" t="n"/>
      <c r="L12" s="51">
        <f>IF(NOT((COUNTA($A12:$K12)+COUNTA($N12:$O12))&gt;0),"",IFERROR(LOOKUP(2,1/(H12:K12&lt;&gt;""),H12:K12),0))</f>
        <v/>
      </c>
      <c r="M12" s="52">
        <f>IF(L12="","",IF(L12&gt;=1,"Completado",IF(L12&gt;0,"En curso","Pendiente")))</f>
        <v/>
      </c>
      <c r="N12" s="48" t="n"/>
      <c r="O12" s="47" t="n"/>
      <c r="P12" s="53">
        <f>IF(NOT((COUNTA($A12:$K12)+COUNTA($N12:$O12))&gt;0),"",IF((IF(A12="","Falta ID"&amp;" · ","")&amp;IF(AND(A12&lt;&gt;"",COUNTIF($A$5:$A$1000,A12)&gt;1),"ID duplicado"&amp;" · ","")&amp;IF(B12="","Área sin seleccionar"&amp;" · ","")&amp;IF(AND(B12&lt;&gt;"",ISNA(MATCH(B12,ListaPuestos,0))),"Área no válida"&amp;" · ","")&amp;IF(C12="","Macroactividad vacía"&amp;" · ","")&amp;IF(D12="","Sin responsable"&amp;" · ","")&amp;IF(E12="","Sin fecha de inicio"&amp;" · ","")&amp;IF(F12="","Sin fecha límite"&amp;" · ","")&amp;IF(OR(AND(E12&lt;&gt;"",NOT(ISNUMBER(E12))),AND(F12&lt;&gt;"",NOT(ISNUMBER(F12)))),"Fecha no válida"&amp;" · ","")&amp;IF(AND(ISNUMBER(E12),ISNUMBER(F12),E12&gt;F12),"Inicio posterior a fecha límite"&amp;" · ","")&amp;IF(G12="","Peso vacío"&amp;" · ","")&amp;IF(AND(G12&lt;&gt;"",OR(NOT(ISNUMBER(G12)),G12&lt;=0,G12&gt;1)),"Peso fuera de rango"&amp;" · ","")&amp;IF(AND(B12&lt;&gt;"",ABS(SUMIFS($G$5:$G$1000,$B$5:$B$1000,B12)-1)&gt;0.0001),"Pesos del puesto suman "&amp;TEXT(SUMIFS($G$5:$G$1000,$B$5:$B$1000,B12),"0%")&amp;" · ","")&amp;IF((COUNTIF(H12:K12,"&gt;1")+COUNTIF(H12:K12,"&lt;0")+COUNTA(H12:K12)-COUNT(H12:K12))&gt;0,"Avance fuera de rango 0-100%"&amp;" · ","")&amp;IF(OR(AND(I12&lt;&gt;"",I12&lt;H12),AND(J12&lt;&gt;"",J12&lt;MAX(H12:I12)),AND(K12&lt;&gt;"",K12&lt;MAX(H12:J12))),"Avance semanal decreciente"&amp;" · ","")&amp;IF(AND(ISNUMBER(F12),F12&lt;FechaRef,N(L12)&lt;1),"Vencida"&amp;" · ","")&amp;IF(AND(EvidenciaObligatoria="Sí",N(L12)&gt;=1,O12=""),"Completada sin evidencia"&amp;" · ",""))="","✔ OK","⚠ "&amp;LEFT(IF(A12="","Falta ID"&amp;" · ","")&amp;IF(AND(A12&lt;&gt;"",COUNTIF($A$5:$A$1000,A12)&gt;1),"ID duplicado"&amp;" · ","")&amp;IF(B12="","Área sin seleccionar"&amp;" · ","")&amp;IF(AND(B12&lt;&gt;"",ISNA(MATCH(B12,ListaPuestos,0))),"Área no válida"&amp;" · ","")&amp;IF(C12="","Macroactividad vacía"&amp;" · ","")&amp;IF(D12="","Sin responsable"&amp;" · ","")&amp;IF(E12="","Sin fecha de inicio"&amp;" · ","")&amp;IF(F12="","Sin fecha límite"&amp;" · ","")&amp;IF(OR(AND(E12&lt;&gt;"",NOT(ISNUMBER(E12))),AND(F12&lt;&gt;"",NOT(ISNUMBER(F12)))),"Fecha no válida"&amp;" · ","")&amp;IF(AND(ISNUMBER(E12),ISNUMBER(F12),E12&gt;F12),"Inicio posterior a fecha límite"&amp;" · ","")&amp;IF(G12="","Peso vacío"&amp;" · ","")&amp;IF(AND(G12&lt;&gt;"",OR(NOT(ISNUMBER(G12)),G12&lt;=0,G12&gt;1)),"Peso fuera de rango"&amp;" · ","")&amp;IF(AND(B12&lt;&gt;"",ABS(SUMIFS($G$5:$G$1000,$B$5:$B$1000,B12)-1)&gt;0.0001),"Pesos del puesto suman "&amp;TEXT(SUMIFS($G$5:$G$1000,$B$5:$B$1000,B12),"0%")&amp;" · ","")&amp;IF((COUNTIF(H12:K12,"&gt;1")+COUNTIF(H12:K12,"&lt;0")+COUNTA(H12:K12)-COUNT(H12:K12))&gt;0,"Avance fuera de rango 0-100%"&amp;" · ","")&amp;IF(OR(AND(I12&lt;&gt;"",I12&lt;H12),AND(J12&lt;&gt;"",J12&lt;MAX(H12:I12)),AND(K12&lt;&gt;"",K12&lt;MAX(H12:J12))),"Avance semanal decreciente"&amp;" · ","")&amp;IF(AND(ISNUMBER(F12),F12&lt;FechaRef,N(L12)&lt;1),"Vencida"&amp;" · ","")&amp;IF(AND(EvidenciaObligatoria="Sí",N(L12)&gt;=1,O12=""),"Completada sin evidencia"&amp;" · ",""),LEN(IF(A12="","Falta ID"&amp;" · ","")&amp;IF(AND(A12&lt;&gt;"",COUNTIF($A$5:$A$1000,A12)&gt;1),"ID duplicado"&amp;" · ","")&amp;IF(B12="","Área sin seleccionar"&amp;" · ","")&amp;IF(AND(B12&lt;&gt;"",ISNA(MATCH(B12,ListaPuestos,0))),"Área no válida"&amp;" · ","")&amp;IF(C12="","Macroactividad vacía"&amp;" · ","")&amp;IF(D12="","Sin responsable"&amp;" · ","")&amp;IF(E12="","Sin fecha de inicio"&amp;" · ","")&amp;IF(F12="","Sin fecha límite"&amp;" · ","")&amp;IF(OR(AND(E12&lt;&gt;"",NOT(ISNUMBER(E12))),AND(F12&lt;&gt;"",NOT(ISNUMBER(F12)))),"Fecha no válida"&amp;" · ","")&amp;IF(AND(ISNUMBER(E12),ISNUMBER(F12),E12&gt;F12),"Inicio posterior a fecha límite"&amp;" · ","")&amp;IF(G12="","Peso vacío"&amp;" · ","")&amp;IF(AND(G12&lt;&gt;"",OR(NOT(ISNUMBER(G12)),G12&lt;=0,G12&gt;1)),"Peso fuera de rango"&amp;" · ","")&amp;IF(AND(B12&lt;&gt;"",ABS(SUMIFS($G$5:$G$1000,$B$5:$B$1000,B12)-1)&gt;0.0001),"Pesos del puesto suman "&amp;TEXT(SUMIFS($G$5:$G$1000,$B$5:$B$1000,B12),"0%")&amp;" · ","")&amp;IF((COUNTIF(H12:K12,"&gt;1")+COUNTIF(H12:K12,"&lt;0")+COUNTA(H12:K12)-COUNT(H12:K12))&gt;0,"Avance fuera de rango 0-100%"&amp;" · ","")&amp;IF(OR(AND(I12&lt;&gt;"",I12&lt;H12),AND(J12&lt;&gt;"",J12&lt;MAX(H12:I12)),AND(K12&lt;&gt;"",K12&lt;MAX(H12:J12))),"Avance semanal decreciente"&amp;" · ","")&amp;IF(AND(ISNUMBER(F12),F12&lt;FechaRef,N(L12)&lt;1),"Vencida"&amp;" · ","")&amp;IF(AND(EvidenciaObligatoria="Sí",N(L12)&gt;=1,O12=""),"Completada sin evidencia"&amp;" · ",""))-3)))</f>
        <v/>
      </c>
    </row>
    <row r="13">
      <c r="A13" s="46" t="n"/>
      <c r="B13" s="47" t="n"/>
      <c r="C13" s="47" t="n"/>
      <c r="D13" s="47" t="n"/>
      <c r="E13" s="48" t="n"/>
      <c r="F13" s="48" t="n"/>
      <c r="G13" s="49" t="n"/>
      <c r="H13" s="50" t="n"/>
      <c r="I13" s="50" t="n"/>
      <c r="J13" s="50" t="n"/>
      <c r="K13" s="50" t="n"/>
      <c r="L13" s="51">
        <f>IF(NOT((COUNTA($A13:$K13)+COUNTA($N13:$O13))&gt;0),"",IFERROR(LOOKUP(2,1/(H13:K13&lt;&gt;""),H13:K13),0))</f>
        <v/>
      </c>
      <c r="M13" s="52">
        <f>IF(L13="","",IF(L13&gt;=1,"Completado",IF(L13&gt;0,"En curso","Pendiente")))</f>
        <v/>
      </c>
      <c r="N13" s="48" t="n"/>
      <c r="O13" s="47" t="n"/>
      <c r="P13" s="53">
        <f>IF(NOT((COUNTA($A13:$K13)+COUNTA($N13:$O13))&gt;0),"",IF((IF(A13="","Falta ID"&amp;" · ","")&amp;IF(AND(A13&lt;&gt;"",COUNTIF($A$5:$A$1000,A13)&gt;1),"ID duplicado"&amp;" · ","")&amp;IF(B13="","Área sin seleccionar"&amp;" · ","")&amp;IF(AND(B13&lt;&gt;"",ISNA(MATCH(B13,ListaPuestos,0))),"Área no válida"&amp;" · ","")&amp;IF(C13="","Macroactividad vacía"&amp;" · ","")&amp;IF(D13="","Sin responsable"&amp;" · ","")&amp;IF(E13="","Sin fecha de inicio"&amp;" · ","")&amp;IF(F13="","Sin fecha límite"&amp;" · ","")&amp;IF(OR(AND(E13&lt;&gt;"",NOT(ISNUMBER(E13))),AND(F13&lt;&gt;"",NOT(ISNUMBER(F13)))),"Fecha no válida"&amp;" · ","")&amp;IF(AND(ISNUMBER(E13),ISNUMBER(F13),E13&gt;F13),"Inicio posterior a fecha límite"&amp;" · ","")&amp;IF(G13="","Peso vacío"&amp;" · ","")&amp;IF(AND(G13&lt;&gt;"",OR(NOT(ISNUMBER(G13)),G13&lt;=0,G13&gt;1)),"Peso fuera de rango"&amp;" · ","")&amp;IF(AND(B13&lt;&gt;"",ABS(SUMIFS($G$5:$G$1000,$B$5:$B$1000,B13)-1)&gt;0.0001),"Pesos del puesto suman "&amp;TEXT(SUMIFS($G$5:$G$1000,$B$5:$B$1000,B13),"0%")&amp;" · ","")&amp;IF((COUNTIF(H13:K13,"&gt;1")+COUNTIF(H13:K13,"&lt;0")+COUNTA(H13:K13)-COUNT(H13:K13))&gt;0,"Avance fuera de rango 0-100%"&amp;" · ","")&amp;IF(OR(AND(I13&lt;&gt;"",I13&lt;H13),AND(J13&lt;&gt;"",J13&lt;MAX(H13:I13)),AND(K13&lt;&gt;"",K13&lt;MAX(H13:J13))),"Avance semanal decreciente"&amp;" · ","")&amp;IF(AND(ISNUMBER(F13),F13&lt;FechaRef,N(L13)&lt;1),"Vencida"&amp;" · ","")&amp;IF(AND(EvidenciaObligatoria="Sí",N(L13)&gt;=1,O13=""),"Completada sin evidencia"&amp;" · ",""))="","✔ OK","⚠ "&amp;LEFT(IF(A13="","Falta ID"&amp;" · ","")&amp;IF(AND(A13&lt;&gt;"",COUNTIF($A$5:$A$1000,A13)&gt;1),"ID duplicado"&amp;" · ","")&amp;IF(B13="","Área sin seleccionar"&amp;" · ","")&amp;IF(AND(B13&lt;&gt;"",ISNA(MATCH(B13,ListaPuestos,0))),"Área no válida"&amp;" · ","")&amp;IF(C13="","Macroactividad vacía"&amp;" · ","")&amp;IF(D13="","Sin responsable"&amp;" · ","")&amp;IF(E13="","Sin fecha de inicio"&amp;" · ","")&amp;IF(F13="","Sin fecha límite"&amp;" · ","")&amp;IF(OR(AND(E13&lt;&gt;"",NOT(ISNUMBER(E13))),AND(F13&lt;&gt;"",NOT(ISNUMBER(F13)))),"Fecha no válida"&amp;" · ","")&amp;IF(AND(ISNUMBER(E13),ISNUMBER(F13),E13&gt;F13),"Inicio posterior a fecha límite"&amp;" · ","")&amp;IF(G13="","Peso vacío"&amp;" · ","")&amp;IF(AND(G13&lt;&gt;"",OR(NOT(ISNUMBER(G13)),G13&lt;=0,G13&gt;1)),"Peso fuera de rango"&amp;" · ","")&amp;IF(AND(B13&lt;&gt;"",ABS(SUMIFS($G$5:$G$1000,$B$5:$B$1000,B13)-1)&gt;0.0001),"Pesos del puesto suman "&amp;TEXT(SUMIFS($G$5:$G$1000,$B$5:$B$1000,B13),"0%")&amp;" · ","")&amp;IF((COUNTIF(H13:K13,"&gt;1")+COUNTIF(H13:K13,"&lt;0")+COUNTA(H13:K13)-COUNT(H13:K13))&gt;0,"Avance fuera de rango 0-100%"&amp;" · ","")&amp;IF(OR(AND(I13&lt;&gt;"",I13&lt;H13),AND(J13&lt;&gt;"",J13&lt;MAX(H13:I13)),AND(K13&lt;&gt;"",K13&lt;MAX(H13:J13))),"Avance semanal decreciente"&amp;" · ","")&amp;IF(AND(ISNUMBER(F13),F13&lt;FechaRef,N(L13)&lt;1),"Vencida"&amp;" · ","")&amp;IF(AND(EvidenciaObligatoria="Sí",N(L13)&gt;=1,O13=""),"Completada sin evidencia"&amp;" · ",""),LEN(IF(A13="","Falta ID"&amp;" · ","")&amp;IF(AND(A13&lt;&gt;"",COUNTIF($A$5:$A$1000,A13)&gt;1),"ID duplicado"&amp;" · ","")&amp;IF(B13="","Área sin seleccionar"&amp;" · ","")&amp;IF(AND(B13&lt;&gt;"",ISNA(MATCH(B13,ListaPuestos,0))),"Área no válida"&amp;" · ","")&amp;IF(C13="","Macroactividad vacía"&amp;" · ","")&amp;IF(D13="","Sin responsable"&amp;" · ","")&amp;IF(E13="","Sin fecha de inicio"&amp;" · ","")&amp;IF(F13="","Sin fecha límite"&amp;" · ","")&amp;IF(OR(AND(E13&lt;&gt;"",NOT(ISNUMBER(E13))),AND(F13&lt;&gt;"",NOT(ISNUMBER(F13)))),"Fecha no válida"&amp;" · ","")&amp;IF(AND(ISNUMBER(E13),ISNUMBER(F13),E13&gt;F13),"Inicio posterior a fecha límite"&amp;" · ","")&amp;IF(G13="","Peso vacío"&amp;" · ","")&amp;IF(AND(G13&lt;&gt;"",OR(NOT(ISNUMBER(G13)),G13&lt;=0,G13&gt;1)),"Peso fuera de rango"&amp;" · ","")&amp;IF(AND(B13&lt;&gt;"",ABS(SUMIFS($G$5:$G$1000,$B$5:$B$1000,B13)-1)&gt;0.0001),"Pesos del puesto suman "&amp;TEXT(SUMIFS($G$5:$G$1000,$B$5:$B$1000,B13),"0%")&amp;" · ","")&amp;IF((COUNTIF(H13:K13,"&gt;1")+COUNTIF(H13:K13,"&lt;0")+COUNTA(H13:K13)-COUNT(H13:K13))&gt;0,"Avance fuera de rango 0-100%"&amp;" · ","")&amp;IF(OR(AND(I13&lt;&gt;"",I13&lt;H13),AND(J13&lt;&gt;"",J13&lt;MAX(H13:I13)),AND(K13&lt;&gt;"",K13&lt;MAX(H13:J13))),"Avance semanal decreciente"&amp;" · ","")&amp;IF(AND(ISNUMBER(F13),F13&lt;FechaRef,N(L13)&lt;1),"Vencida"&amp;" · ","")&amp;IF(AND(EvidenciaObligatoria="Sí",N(L13)&gt;=1,O13=""),"Completada sin evidencia"&amp;" · ",""))-3)))</f>
        <v/>
      </c>
    </row>
    <row r="14">
      <c r="A14" s="46" t="n"/>
      <c r="B14" s="47" t="n"/>
      <c r="C14" s="47" t="n"/>
      <c r="D14" s="47" t="n"/>
      <c r="E14" s="48" t="n"/>
      <c r="F14" s="48" t="n"/>
      <c r="G14" s="49" t="n"/>
      <c r="H14" s="50" t="n"/>
      <c r="I14" s="50" t="n"/>
      <c r="J14" s="50" t="n"/>
      <c r="K14" s="50" t="n"/>
      <c r="L14" s="51">
        <f>IF(NOT((COUNTA($A14:$K14)+COUNTA($N14:$O14))&gt;0),"",IFERROR(LOOKUP(2,1/(H14:K14&lt;&gt;""),H14:K14),0))</f>
        <v/>
      </c>
      <c r="M14" s="52">
        <f>IF(L14="","",IF(L14&gt;=1,"Completado",IF(L14&gt;0,"En curso","Pendiente")))</f>
        <v/>
      </c>
      <c r="N14" s="48" t="n"/>
      <c r="O14" s="47" t="n"/>
      <c r="P14" s="53">
        <f>IF(NOT((COUNTA($A14:$K14)+COUNTA($N14:$O14))&gt;0),"",IF((IF(A14="","Falta ID"&amp;" · ","")&amp;IF(AND(A14&lt;&gt;"",COUNTIF($A$5:$A$1000,A14)&gt;1),"ID duplicado"&amp;" · ","")&amp;IF(B14="","Área sin seleccionar"&amp;" · ","")&amp;IF(AND(B14&lt;&gt;"",ISNA(MATCH(B14,ListaPuestos,0))),"Área no válida"&amp;" · ","")&amp;IF(C14="","Macroactividad vacía"&amp;" · ","")&amp;IF(D14="","Sin responsable"&amp;" · ","")&amp;IF(E14="","Sin fecha de inicio"&amp;" · ","")&amp;IF(F14="","Sin fecha límite"&amp;" · ","")&amp;IF(OR(AND(E14&lt;&gt;"",NOT(ISNUMBER(E14))),AND(F14&lt;&gt;"",NOT(ISNUMBER(F14)))),"Fecha no válida"&amp;" · ","")&amp;IF(AND(ISNUMBER(E14),ISNUMBER(F14),E14&gt;F14),"Inicio posterior a fecha límite"&amp;" · ","")&amp;IF(G14="","Peso vacío"&amp;" · ","")&amp;IF(AND(G14&lt;&gt;"",OR(NOT(ISNUMBER(G14)),G14&lt;=0,G14&gt;1)),"Peso fuera de rango"&amp;" · ","")&amp;IF(AND(B14&lt;&gt;"",ABS(SUMIFS($G$5:$G$1000,$B$5:$B$1000,B14)-1)&gt;0.0001),"Pesos del puesto suman "&amp;TEXT(SUMIFS($G$5:$G$1000,$B$5:$B$1000,B14),"0%")&amp;" · ","")&amp;IF((COUNTIF(H14:K14,"&gt;1")+COUNTIF(H14:K14,"&lt;0")+COUNTA(H14:K14)-COUNT(H14:K14))&gt;0,"Avance fuera de rango 0-100%"&amp;" · ","")&amp;IF(OR(AND(I14&lt;&gt;"",I14&lt;H14),AND(J14&lt;&gt;"",J14&lt;MAX(H14:I14)),AND(K14&lt;&gt;"",K14&lt;MAX(H14:J14))),"Avance semanal decreciente"&amp;" · ","")&amp;IF(AND(ISNUMBER(F14),F14&lt;FechaRef,N(L14)&lt;1),"Vencida"&amp;" · ","")&amp;IF(AND(EvidenciaObligatoria="Sí",N(L14)&gt;=1,O14=""),"Completada sin evidencia"&amp;" · ",""))="","✔ OK","⚠ "&amp;LEFT(IF(A14="","Falta ID"&amp;" · ","")&amp;IF(AND(A14&lt;&gt;"",COUNTIF($A$5:$A$1000,A14)&gt;1),"ID duplicado"&amp;" · ","")&amp;IF(B14="","Área sin seleccionar"&amp;" · ","")&amp;IF(AND(B14&lt;&gt;"",ISNA(MATCH(B14,ListaPuestos,0))),"Área no válida"&amp;" · ","")&amp;IF(C14="","Macroactividad vacía"&amp;" · ","")&amp;IF(D14="","Sin responsable"&amp;" · ","")&amp;IF(E14="","Sin fecha de inicio"&amp;" · ","")&amp;IF(F14="","Sin fecha límite"&amp;" · ","")&amp;IF(OR(AND(E14&lt;&gt;"",NOT(ISNUMBER(E14))),AND(F14&lt;&gt;"",NOT(ISNUMBER(F14)))),"Fecha no válida"&amp;" · ","")&amp;IF(AND(ISNUMBER(E14),ISNUMBER(F14),E14&gt;F14),"Inicio posterior a fecha límite"&amp;" · ","")&amp;IF(G14="","Peso vacío"&amp;" · ","")&amp;IF(AND(G14&lt;&gt;"",OR(NOT(ISNUMBER(G14)),G14&lt;=0,G14&gt;1)),"Peso fuera de rango"&amp;" · ","")&amp;IF(AND(B14&lt;&gt;"",ABS(SUMIFS($G$5:$G$1000,$B$5:$B$1000,B14)-1)&gt;0.0001),"Pesos del puesto suman "&amp;TEXT(SUMIFS($G$5:$G$1000,$B$5:$B$1000,B14),"0%")&amp;" · ","")&amp;IF((COUNTIF(H14:K14,"&gt;1")+COUNTIF(H14:K14,"&lt;0")+COUNTA(H14:K14)-COUNT(H14:K14))&gt;0,"Avance fuera de rango 0-100%"&amp;" · ","")&amp;IF(OR(AND(I14&lt;&gt;"",I14&lt;H14),AND(J14&lt;&gt;"",J14&lt;MAX(H14:I14)),AND(K14&lt;&gt;"",K14&lt;MAX(H14:J14))),"Avance semanal decreciente"&amp;" · ","")&amp;IF(AND(ISNUMBER(F14),F14&lt;FechaRef,N(L14)&lt;1),"Vencida"&amp;" · ","")&amp;IF(AND(EvidenciaObligatoria="Sí",N(L14)&gt;=1,O14=""),"Completada sin evidencia"&amp;" · ",""),LEN(IF(A14="","Falta ID"&amp;" · ","")&amp;IF(AND(A14&lt;&gt;"",COUNTIF($A$5:$A$1000,A14)&gt;1),"ID duplicado"&amp;" · ","")&amp;IF(B14="","Área sin seleccionar"&amp;" · ","")&amp;IF(AND(B14&lt;&gt;"",ISNA(MATCH(B14,ListaPuestos,0))),"Área no válida"&amp;" · ","")&amp;IF(C14="","Macroactividad vacía"&amp;" · ","")&amp;IF(D14="","Sin responsable"&amp;" · ","")&amp;IF(E14="","Sin fecha de inicio"&amp;" · ","")&amp;IF(F14="","Sin fecha límite"&amp;" · ","")&amp;IF(OR(AND(E14&lt;&gt;"",NOT(ISNUMBER(E14))),AND(F14&lt;&gt;"",NOT(ISNUMBER(F14)))),"Fecha no válida"&amp;" · ","")&amp;IF(AND(ISNUMBER(E14),ISNUMBER(F14),E14&gt;F14),"Inicio posterior a fecha límite"&amp;" · ","")&amp;IF(G14="","Peso vacío"&amp;" · ","")&amp;IF(AND(G14&lt;&gt;"",OR(NOT(ISNUMBER(G14)),G14&lt;=0,G14&gt;1)),"Peso fuera de rango"&amp;" · ","")&amp;IF(AND(B14&lt;&gt;"",ABS(SUMIFS($G$5:$G$1000,$B$5:$B$1000,B14)-1)&gt;0.0001),"Pesos del puesto suman "&amp;TEXT(SUMIFS($G$5:$G$1000,$B$5:$B$1000,B14),"0%")&amp;" · ","")&amp;IF((COUNTIF(H14:K14,"&gt;1")+COUNTIF(H14:K14,"&lt;0")+COUNTA(H14:K14)-COUNT(H14:K14))&gt;0,"Avance fuera de rango 0-100%"&amp;" · ","")&amp;IF(OR(AND(I14&lt;&gt;"",I14&lt;H14),AND(J14&lt;&gt;"",J14&lt;MAX(H14:I14)),AND(K14&lt;&gt;"",K14&lt;MAX(H14:J14))),"Avance semanal decreciente"&amp;" · ","")&amp;IF(AND(ISNUMBER(F14),F14&lt;FechaRef,N(L14)&lt;1),"Vencida"&amp;" · ","")&amp;IF(AND(EvidenciaObligatoria="Sí",N(L14)&gt;=1,O14=""),"Completada sin evidencia"&amp;" · ",""))-3)))</f>
        <v/>
      </c>
    </row>
    <row r="15">
      <c r="A15" s="46" t="n"/>
      <c r="B15" s="47" t="n"/>
      <c r="C15" s="47" t="n"/>
      <c r="D15" s="47" t="n"/>
      <c r="E15" s="48" t="n"/>
      <c r="F15" s="48" t="n"/>
      <c r="G15" s="49" t="n"/>
      <c r="H15" s="50" t="n"/>
      <c r="I15" s="50" t="n"/>
      <c r="J15" s="50" t="n"/>
      <c r="K15" s="50" t="n"/>
      <c r="L15" s="51">
        <f>IF(NOT((COUNTA($A15:$K15)+COUNTA($N15:$O15))&gt;0),"",IFERROR(LOOKUP(2,1/(H15:K15&lt;&gt;""),H15:K15),0))</f>
        <v/>
      </c>
      <c r="M15" s="52">
        <f>IF(L15="","",IF(L15&gt;=1,"Completado",IF(L15&gt;0,"En curso","Pendiente")))</f>
        <v/>
      </c>
      <c r="N15" s="48" t="n"/>
      <c r="O15" s="47" t="n"/>
      <c r="P15" s="53">
        <f>IF(NOT((COUNTA($A15:$K15)+COUNTA($N15:$O15))&gt;0),"",IF((IF(A15="","Falta ID"&amp;" · ","")&amp;IF(AND(A15&lt;&gt;"",COUNTIF($A$5:$A$1000,A15)&gt;1),"ID duplicado"&amp;" · ","")&amp;IF(B15="","Área sin seleccionar"&amp;" · ","")&amp;IF(AND(B15&lt;&gt;"",ISNA(MATCH(B15,ListaPuestos,0))),"Área no válida"&amp;" · ","")&amp;IF(C15="","Macroactividad vacía"&amp;" · ","")&amp;IF(D15="","Sin responsable"&amp;" · ","")&amp;IF(E15="","Sin fecha de inicio"&amp;" · ","")&amp;IF(F15="","Sin fecha límite"&amp;" · ","")&amp;IF(OR(AND(E15&lt;&gt;"",NOT(ISNUMBER(E15))),AND(F15&lt;&gt;"",NOT(ISNUMBER(F15)))),"Fecha no válida"&amp;" · ","")&amp;IF(AND(ISNUMBER(E15),ISNUMBER(F15),E15&gt;F15),"Inicio posterior a fecha límite"&amp;" · ","")&amp;IF(G15="","Peso vacío"&amp;" · ","")&amp;IF(AND(G15&lt;&gt;"",OR(NOT(ISNUMBER(G15)),G15&lt;=0,G15&gt;1)),"Peso fuera de rango"&amp;" · ","")&amp;IF(AND(B15&lt;&gt;"",ABS(SUMIFS($G$5:$G$1000,$B$5:$B$1000,B15)-1)&gt;0.0001),"Pesos del puesto suman "&amp;TEXT(SUMIFS($G$5:$G$1000,$B$5:$B$1000,B15),"0%")&amp;" · ","")&amp;IF((COUNTIF(H15:K15,"&gt;1")+COUNTIF(H15:K15,"&lt;0")+COUNTA(H15:K15)-COUNT(H15:K15))&gt;0,"Avance fuera de rango 0-100%"&amp;" · ","")&amp;IF(OR(AND(I15&lt;&gt;"",I15&lt;H15),AND(J15&lt;&gt;"",J15&lt;MAX(H15:I15)),AND(K15&lt;&gt;"",K15&lt;MAX(H15:J15))),"Avance semanal decreciente"&amp;" · ","")&amp;IF(AND(ISNUMBER(F15),F15&lt;FechaRef,N(L15)&lt;1),"Vencida"&amp;" · ","")&amp;IF(AND(EvidenciaObligatoria="Sí",N(L15)&gt;=1,O15=""),"Completada sin evidencia"&amp;" · ",""))="","✔ OK","⚠ "&amp;LEFT(IF(A15="","Falta ID"&amp;" · ","")&amp;IF(AND(A15&lt;&gt;"",COUNTIF($A$5:$A$1000,A15)&gt;1),"ID duplicado"&amp;" · ","")&amp;IF(B15="","Área sin seleccionar"&amp;" · ","")&amp;IF(AND(B15&lt;&gt;"",ISNA(MATCH(B15,ListaPuestos,0))),"Área no válida"&amp;" · ","")&amp;IF(C15="","Macroactividad vacía"&amp;" · ","")&amp;IF(D15="","Sin responsable"&amp;" · ","")&amp;IF(E15="","Sin fecha de inicio"&amp;" · ","")&amp;IF(F15="","Sin fecha límite"&amp;" · ","")&amp;IF(OR(AND(E15&lt;&gt;"",NOT(ISNUMBER(E15))),AND(F15&lt;&gt;"",NOT(ISNUMBER(F15)))),"Fecha no válida"&amp;" · ","")&amp;IF(AND(ISNUMBER(E15),ISNUMBER(F15),E15&gt;F15),"Inicio posterior a fecha límite"&amp;" · ","")&amp;IF(G15="","Peso vacío"&amp;" · ","")&amp;IF(AND(G15&lt;&gt;"",OR(NOT(ISNUMBER(G15)),G15&lt;=0,G15&gt;1)),"Peso fuera de rango"&amp;" · ","")&amp;IF(AND(B15&lt;&gt;"",ABS(SUMIFS($G$5:$G$1000,$B$5:$B$1000,B15)-1)&gt;0.0001),"Pesos del puesto suman "&amp;TEXT(SUMIFS($G$5:$G$1000,$B$5:$B$1000,B15),"0%")&amp;" · ","")&amp;IF((COUNTIF(H15:K15,"&gt;1")+COUNTIF(H15:K15,"&lt;0")+COUNTA(H15:K15)-COUNT(H15:K15))&gt;0,"Avance fuera de rango 0-100%"&amp;" · ","")&amp;IF(OR(AND(I15&lt;&gt;"",I15&lt;H15),AND(J15&lt;&gt;"",J15&lt;MAX(H15:I15)),AND(K15&lt;&gt;"",K15&lt;MAX(H15:J15))),"Avance semanal decreciente"&amp;" · ","")&amp;IF(AND(ISNUMBER(F15),F15&lt;FechaRef,N(L15)&lt;1),"Vencida"&amp;" · ","")&amp;IF(AND(EvidenciaObligatoria="Sí",N(L15)&gt;=1,O15=""),"Completada sin evidencia"&amp;" · ",""),LEN(IF(A15="","Falta ID"&amp;" · ","")&amp;IF(AND(A15&lt;&gt;"",COUNTIF($A$5:$A$1000,A15)&gt;1),"ID duplicado"&amp;" · ","")&amp;IF(B15="","Área sin seleccionar"&amp;" · ","")&amp;IF(AND(B15&lt;&gt;"",ISNA(MATCH(B15,ListaPuestos,0))),"Área no válida"&amp;" · ","")&amp;IF(C15="","Macroactividad vacía"&amp;" · ","")&amp;IF(D15="","Sin responsable"&amp;" · ","")&amp;IF(E15="","Sin fecha de inicio"&amp;" · ","")&amp;IF(F15="","Sin fecha límite"&amp;" · ","")&amp;IF(OR(AND(E15&lt;&gt;"",NOT(ISNUMBER(E15))),AND(F15&lt;&gt;"",NOT(ISNUMBER(F15)))),"Fecha no válida"&amp;" · ","")&amp;IF(AND(ISNUMBER(E15),ISNUMBER(F15),E15&gt;F15),"Inicio posterior a fecha límite"&amp;" · ","")&amp;IF(G15="","Peso vacío"&amp;" · ","")&amp;IF(AND(G15&lt;&gt;"",OR(NOT(ISNUMBER(G15)),G15&lt;=0,G15&gt;1)),"Peso fuera de rango"&amp;" · ","")&amp;IF(AND(B15&lt;&gt;"",ABS(SUMIFS($G$5:$G$1000,$B$5:$B$1000,B15)-1)&gt;0.0001),"Pesos del puesto suman "&amp;TEXT(SUMIFS($G$5:$G$1000,$B$5:$B$1000,B15),"0%")&amp;" · ","")&amp;IF((COUNTIF(H15:K15,"&gt;1")+COUNTIF(H15:K15,"&lt;0")+COUNTA(H15:K15)-COUNT(H15:K15))&gt;0,"Avance fuera de rango 0-100%"&amp;" · ","")&amp;IF(OR(AND(I15&lt;&gt;"",I15&lt;H15),AND(J15&lt;&gt;"",J15&lt;MAX(H15:I15)),AND(K15&lt;&gt;"",K15&lt;MAX(H15:J15))),"Avance semanal decreciente"&amp;" · ","")&amp;IF(AND(ISNUMBER(F15),F15&lt;FechaRef,N(L15)&lt;1),"Vencida"&amp;" · ","")&amp;IF(AND(EvidenciaObligatoria="Sí",N(L15)&gt;=1,O15=""),"Completada sin evidencia"&amp;" · ",""))-3)))</f>
        <v/>
      </c>
    </row>
    <row r="16">
      <c r="A16" s="46" t="n"/>
      <c r="B16" s="47" t="n"/>
      <c r="C16" s="47" t="n"/>
      <c r="D16" s="47" t="n"/>
      <c r="E16" s="48" t="n"/>
      <c r="F16" s="48" t="n"/>
      <c r="G16" s="49" t="n"/>
      <c r="H16" s="50" t="n"/>
      <c r="I16" s="50" t="n"/>
      <c r="J16" s="50" t="n"/>
      <c r="K16" s="50" t="n"/>
      <c r="L16" s="51">
        <f>IF(NOT((COUNTA($A16:$K16)+COUNTA($N16:$O16))&gt;0),"",IFERROR(LOOKUP(2,1/(H16:K16&lt;&gt;""),H16:K16),0))</f>
        <v/>
      </c>
      <c r="M16" s="52">
        <f>IF(L16="","",IF(L16&gt;=1,"Completado",IF(L16&gt;0,"En curso","Pendiente")))</f>
        <v/>
      </c>
      <c r="N16" s="48" t="n"/>
      <c r="O16" s="47" t="n"/>
      <c r="P16" s="53">
        <f>IF(NOT((COUNTA($A16:$K16)+COUNTA($N16:$O16))&gt;0),"",IF((IF(A16="","Falta ID"&amp;" · ","")&amp;IF(AND(A16&lt;&gt;"",COUNTIF($A$5:$A$1000,A16)&gt;1),"ID duplicado"&amp;" · ","")&amp;IF(B16="","Área sin seleccionar"&amp;" · ","")&amp;IF(AND(B16&lt;&gt;"",ISNA(MATCH(B16,ListaPuestos,0))),"Área no válida"&amp;" · ","")&amp;IF(C16="","Macroactividad vacía"&amp;" · ","")&amp;IF(D16="","Sin responsable"&amp;" · ","")&amp;IF(E16="","Sin fecha de inicio"&amp;" · ","")&amp;IF(F16="","Sin fecha límite"&amp;" · ","")&amp;IF(OR(AND(E16&lt;&gt;"",NOT(ISNUMBER(E16))),AND(F16&lt;&gt;"",NOT(ISNUMBER(F16)))),"Fecha no válida"&amp;" · ","")&amp;IF(AND(ISNUMBER(E16),ISNUMBER(F16),E16&gt;F16),"Inicio posterior a fecha límite"&amp;" · ","")&amp;IF(G16="","Peso vacío"&amp;" · ","")&amp;IF(AND(G16&lt;&gt;"",OR(NOT(ISNUMBER(G16)),G16&lt;=0,G16&gt;1)),"Peso fuera de rango"&amp;" · ","")&amp;IF(AND(B16&lt;&gt;"",ABS(SUMIFS($G$5:$G$1000,$B$5:$B$1000,B16)-1)&gt;0.0001),"Pesos del puesto suman "&amp;TEXT(SUMIFS($G$5:$G$1000,$B$5:$B$1000,B16),"0%")&amp;" · ","")&amp;IF((COUNTIF(H16:K16,"&gt;1")+COUNTIF(H16:K16,"&lt;0")+COUNTA(H16:K16)-COUNT(H16:K16))&gt;0,"Avance fuera de rango 0-100%"&amp;" · ","")&amp;IF(OR(AND(I16&lt;&gt;"",I16&lt;H16),AND(J16&lt;&gt;"",J16&lt;MAX(H16:I16)),AND(K16&lt;&gt;"",K16&lt;MAX(H16:J16))),"Avance semanal decreciente"&amp;" · ","")&amp;IF(AND(ISNUMBER(F16),F16&lt;FechaRef,N(L16)&lt;1),"Vencida"&amp;" · ","")&amp;IF(AND(EvidenciaObligatoria="Sí",N(L16)&gt;=1,O16=""),"Completada sin evidencia"&amp;" · ",""))="","✔ OK","⚠ "&amp;LEFT(IF(A16="","Falta ID"&amp;" · ","")&amp;IF(AND(A16&lt;&gt;"",COUNTIF($A$5:$A$1000,A16)&gt;1),"ID duplicado"&amp;" · ","")&amp;IF(B16="","Área sin seleccionar"&amp;" · ","")&amp;IF(AND(B16&lt;&gt;"",ISNA(MATCH(B16,ListaPuestos,0))),"Área no válida"&amp;" · ","")&amp;IF(C16="","Macroactividad vacía"&amp;" · ","")&amp;IF(D16="","Sin responsable"&amp;" · ","")&amp;IF(E16="","Sin fecha de inicio"&amp;" · ","")&amp;IF(F16="","Sin fecha límite"&amp;" · ","")&amp;IF(OR(AND(E16&lt;&gt;"",NOT(ISNUMBER(E16))),AND(F16&lt;&gt;"",NOT(ISNUMBER(F16)))),"Fecha no válida"&amp;" · ","")&amp;IF(AND(ISNUMBER(E16),ISNUMBER(F16),E16&gt;F16),"Inicio posterior a fecha límite"&amp;" · ","")&amp;IF(G16="","Peso vacío"&amp;" · ","")&amp;IF(AND(G16&lt;&gt;"",OR(NOT(ISNUMBER(G16)),G16&lt;=0,G16&gt;1)),"Peso fuera de rango"&amp;" · ","")&amp;IF(AND(B16&lt;&gt;"",ABS(SUMIFS($G$5:$G$1000,$B$5:$B$1000,B16)-1)&gt;0.0001),"Pesos del puesto suman "&amp;TEXT(SUMIFS($G$5:$G$1000,$B$5:$B$1000,B16),"0%")&amp;" · ","")&amp;IF((COUNTIF(H16:K16,"&gt;1")+COUNTIF(H16:K16,"&lt;0")+COUNTA(H16:K16)-COUNT(H16:K16))&gt;0,"Avance fuera de rango 0-100%"&amp;" · ","")&amp;IF(OR(AND(I16&lt;&gt;"",I16&lt;H16),AND(J16&lt;&gt;"",J16&lt;MAX(H16:I16)),AND(K16&lt;&gt;"",K16&lt;MAX(H16:J16))),"Avance semanal decreciente"&amp;" · ","")&amp;IF(AND(ISNUMBER(F16),F16&lt;FechaRef,N(L16)&lt;1),"Vencida"&amp;" · ","")&amp;IF(AND(EvidenciaObligatoria="Sí",N(L16)&gt;=1,O16=""),"Completada sin evidencia"&amp;" · ",""),LEN(IF(A16="","Falta ID"&amp;" · ","")&amp;IF(AND(A16&lt;&gt;"",COUNTIF($A$5:$A$1000,A16)&gt;1),"ID duplicado"&amp;" · ","")&amp;IF(B16="","Área sin seleccionar"&amp;" · ","")&amp;IF(AND(B16&lt;&gt;"",ISNA(MATCH(B16,ListaPuestos,0))),"Área no válida"&amp;" · ","")&amp;IF(C16="","Macroactividad vacía"&amp;" · ","")&amp;IF(D16="","Sin responsable"&amp;" · ","")&amp;IF(E16="","Sin fecha de inicio"&amp;" · ","")&amp;IF(F16="","Sin fecha límite"&amp;" · ","")&amp;IF(OR(AND(E16&lt;&gt;"",NOT(ISNUMBER(E16))),AND(F16&lt;&gt;"",NOT(ISNUMBER(F16)))),"Fecha no válida"&amp;" · ","")&amp;IF(AND(ISNUMBER(E16),ISNUMBER(F16),E16&gt;F16),"Inicio posterior a fecha límite"&amp;" · ","")&amp;IF(G16="","Peso vacío"&amp;" · ","")&amp;IF(AND(G16&lt;&gt;"",OR(NOT(ISNUMBER(G16)),G16&lt;=0,G16&gt;1)),"Peso fuera de rango"&amp;" · ","")&amp;IF(AND(B16&lt;&gt;"",ABS(SUMIFS($G$5:$G$1000,$B$5:$B$1000,B16)-1)&gt;0.0001),"Pesos del puesto suman "&amp;TEXT(SUMIFS($G$5:$G$1000,$B$5:$B$1000,B16),"0%")&amp;" · ","")&amp;IF((COUNTIF(H16:K16,"&gt;1")+COUNTIF(H16:K16,"&lt;0")+COUNTA(H16:K16)-COUNT(H16:K16))&gt;0,"Avance fuera de rango 0-100%"&amp;" · ","")&amp;IF(OR(AND(I16&lt;&gt;"",I16&lt;H16),AND(J16&lt;&gt;"",J16&lt;MAX(H16:I16)),AND(K16&lt;&gt;"",K16&lt;MAX(H16:J16))),"Avance semanal decreciente"&amp;" · ","")&amp;IF(AND(ISNUMBER(F16),F16&lt;FechaRef,N(L16)&lt;1),"Vencida"&amp;" · ","")&amp;IF(AND(EvidenciaObligatoria="Sí",N(L16)&gt;=1,O16=""),"Completada sin evidencia"&amp;" · ",""))-3)))</f>
        <v/>
      </c>
    </row>
    <row r="17">
      <c r="A17" s="46" t="n"/>
      <c r="B17" s="47" t="n"/>
      <c r="C17" s="47" t="n"/>
      <c r="D17" s="47" t="n"/>
      <c r="E17" s="48" t="n"/>
      <c r="F17" s="48" t="n"/>
      <c r="G17" s="49" t="n"/>
      <c r="H17" s="50" t="n"/>
      <c r="I17" s="50" t="n"/>
      <c r="J17" s="50" t="n"/>
      <c r="K17" s="50" t="n"/>
      <c r="L17" s="51">
        <f>IF(NOT((COUNTA($A17:$K17)+COUNTA($N17:$O17))&gt;0),"",IFERROR(LOOKUP(2,1/(H17:K17&lt;&gt;""),H17:K17),0))</f>
        <v/>
      </c>
      <c r="M17" s="52">
        <f>IF(L17="","",IF(L17&gt;=1,"Completado",IF(L17&gt;0,"En curso","Pendiente")))</f>
        <v/>
      </c>
      <c r="N17" s="48" t="n"/>
      <c r="O17" s="47" t="n"/>
      <c r="P17" s="53">
        <f>IF(NOT((COUNTA($A17:$K17)+COUNTA($N17:$O17))&gt;0),"",IF((IF(A17="","Falta ID"&amp;" · ","")&amp;IF(AND(A17&lt;&gt;"",COUNTIF($A$5:$A$1000,A17)&gt;1),"ID duplicado"&amp;" · ","")&amp;IF(B17="","Área sin seleccionar"&amp;" · ","")&amp;IF(AND(B17&lt;&gt;"",ISNA(MATCH(B17,ListaPuestos,0))),"Área no válida"&amp;" · ","")&amp;IF(C17="","Macroactividad vacía"&amp;" · ","")&amp;IF(D17="","Sin responsable"&amp;" · ","")&amp;IF(E17="","Sin fecha de inicio"&amp;" · ","")&amp;IF(F17="","Sin fecha límite"&amp;" · ","")&amp;IF(OR(AND(E17&lt;&gt;"",NOT(ISNUMBER(E17))),AND(F17&lt;&gt;"",NOT(ISNUMBER(F17)))),"Fecha no válida"&amp;" · ","")&amp;IF(AND(ISNUMBER(E17),ISNUMBER(F17),E17&gt;F17),"Inicio posterior a fecha límite"&amp;" · ","")&amp;IF(G17="","Peso vacío"&amp;" · ","")&amp;IF(AND(G17&lt;&gt;"",OR(NOT(ISNUMBER(G17)),G17&lt;=0,G17&gt;1)),"Peso fuera de rango"&amp;" · ","")&amp;IF(AND(B17&lt;&gt;"",ABS(SUMIFS($G$5:$G$1000,$B$5:$B$1000,B17)-1)&gt;0.0001),"Pesos del puesto suman "&amp;TEXT(SUMIFS($G$5:$G$1000,$B$5:$B$1000,B17),"0%")&amp;" · ","")&amp;IF((COUNTIF(H17:K17,"&gt;1")+COUNTIF(H17:K17,"&lt;0")+COUNTA(H17:K17)-COUNT(H17:K17))&gt;0,"Avance fuera de rango 0-100%"&amp;" · ","")&amp;IF(OR(AND(I17&lt;&gt;"",I17&lt;H17),AND(J17&lt;&gt;"",J17&lt;MAX(H17:I17)),AND(K17&lt;&gt;"",K17&lt;MAX(H17:J17))),"Avance semanal decreciente"&amp;" · ","")&amp;IF(AND(ISNUMBER(F17),F17&lt;FechaRef,N(L17)&lt;1),"Vencida"&amp;" · ","")&amp;IF(AND(EvidenciaObligatoria="Sí",N(L17)&gt;=1,O17=""),"Completada sin evidencia"&amp;" · ",""))="","✔ OK","⚠ "&amp;LEFT(IF(A17="","Falta ID"&amp;" · ","")&amp;IF(AND(A17&lt;&gt;"",COUNTIF($A$5:$A$1000,A17)&gt;1),"ID duplicado"&amp;" · ","")&amp;IF(B17="","Área sin seleccionar"&amp;" · ","")&amp;IF(AND(B17&lt;&gt;"",ISNA(MATCH(B17,ListaPuestos,0))),"Área no válida"&amp;" · ","")&amp;IF(C17="","Macroactividad vacía"&amp;" · ","")&amp;IF(D17="","Sin responsable"&amp;" · ","")&amp;IF(E17="","Sin fecha de inicio"&amp;" · ","")&amp;IF(F17="","Sin fecha límite"&amp;" · ","")&amp;IF(OR(AND(E17&lt;&gt;"",NOT(ISNUMBER(E17))),AND(F17&lt;&gt;"",NOT(ISNUMBER(F17)))),"Fecha no válida"&amp;" · ","")&amp;IF(AND(ISNUMBER(E17),ISNUMBER(F17),E17&gt;F17),"Inicio posterior a fecha límite"&amp;" · ","")&amp;IF(G17="","Peso vacío"&amp;" · ","")&amp;IF(AND(G17&lt;&gt;"",OR(NOT(ISNUMBER(G17)),G17&lt;=0,G17&gt;1)),"Peso fuera de rango"&amp;" · ","")&amp;IF(AND(B17&lt;&gt;"",ABS(SUMIFS($G$5:$G$1000,$B$5:$B$1000,B17)-1)&gt;0.0001),"Pesos del puesto suman "&amp;TEXT(SUMIFS($G$5:$G$1000,$B$5:$B$1000,B17),"0%")&amp;" · ","")&amp;IF((COUNTIF(H17:K17,"&gt;1")+COUNTIF(H17:K17,"&lt;0")+COUNTA(H17:K17)-COUNT(H17:K17))&gt;0,"Avance fuera de rango 0-100%"&amp;" · ","")&amp;IF(OR(AND(I17&lt;&gt;"",I17&lt;H17),AND(J17&lt;&gt;"",J17&lt;MAX(H17:I17)),AND(K17&lt;&gt;"",K17&lt;MAX(H17:J17))),"Avance semanal decreciente"&amp;" · ","")&amp;IF(AND(ISNUMBER(F17),F17&lt;FechaRef,N(L17)&lt;1),"Vencida"&amp;" · ","")&amp;IF(AND(EvidenciaObligatoria="Sí",N(L17)&gt;=1,O17=""),"Completada sin evidencia"&amp;" · ",""),LEN(IF(A17="","Falta ID"&amp;" · ","")&amp;IF(AND(A17&lt;&gt;"",COUNTIF($A$5:$A$1000,A17)&gt;1),"ID duplicado"&amp;" · ","")&amp;IF(B17="","Área sin seleccionar"&amp;" · ","")&amp;IF(AND(B17&lt;&gt;"",ISNA(MATCH(B17,ListaPuestos,0))),"Área no válida"&amp;" · ","")&amp;IF(C17="","Macroactividad vacía"&amp;" · ","")&amp;IF(D17="","Sin responsable"&amp;" · ","")&amp;IF(E17="","Sin fecha de inicio"&amp;" · ","")&amp;IF(F17="","Sin fecha límite"&amp;" · ","")&amp;IF(OR(AND(E17&lt;&gt;"",NOT(ISNUMBER(E17))),AND(F17&lt;&gt;"",NOT(ISNUMBER(F17)))),"Fecha no válida"&amp;" · ","")&amp;IF(AND(ISNUMBER(E17),ISNUMBER(F17),E17&gt;F17),"Inicio posterior a fecha límite"&amp;" · ","")&amp;IF(G17="","Peso vacío"&amp;" · ","")&amp;IF(AND(G17&lt;&gt;"",OR(NOT(ISNUMBER(G17)),G17&lt;=0,G17&gt;1)),"Peso fuera de rango"&amp;" · ","")&amp;IF(AND(B17&lt;&gt;"",ABS(SUMIFS($G$5:$G$1000,$B$5:$B$1000,B17)-1)&gt;0.0001),"Pesos del puesto suman "&amp;TEXT(SUMIFS($G$5:$G$1000,$B$5:$B$1000,B17),"0%")&amp;" · ","")&amp;IF((COUNTIF(H17:K17,"&gt;1")+COUNTIF(H17:K17,"&lt;0")+COUNTA(H17:K17)-COUNT(H17:K17))&gt;0,"Avance fuera de rango 0-100%"&amp;" · ","")&amp;IF(OR(AND(I17&lt;&gt;"",I17&lt;H17),AND(J17&lt;&gt;"",J17&lt;MAX(H17:I17)),AND(K17&lt;&gt;"",K17&lt;MAX(H17:J17))),"Avance semanal decreciente"&amp;" · ","")&amp;IF(AND(ISNUMBER(F17),F17&lt;FechaRef,N(L17)&lt;1),"Vencida"&amp;" · ","")&amp;IF(AND(EvidenciaObligatoria="Sí",N(L17)&gt;=1,O17=""),"Completada sin evidencia"&amp;" · ",""))-3)))</f>
        <v/>
      </c>
    </row>
    <row r="18">
      <c r="A18" s="46" t="n"/>
      <c r="B18" s="47" t="n"/>
      <c r="C18" s="47" t="n"/>
      <c r="D18" s="47" t="n"/>
      <c r="E18" s="48" t="n"/>
      <c r="F18" s="48" t="n"/>
      <c r="G18" s="49" t="n"/>
      <c r="H18" s="50" t="n"/>
      <c r="I18" s="50" t="n"/>
      <c r="J18" s="50" t="n"/>
      <c r="K18" s="50" t="n"/>
      <c r="L18" s="51">
        <f>IF(NOT((COUNTA($A18:$K18)+COUNTA($N18:$O18))&gt;0),"",IFERROR(LOOKUP(2,1/(H18:K18&lt;&gt;""),H18:K18),0))</f>
        <v/>
      </c>
      <c r="M18" s="52">
        <f>IF(L18="","",IF(L18&gt;=1,"Completado",IF(L18&gt;0,"En curso","Pendiente")))</f>
        <v/>
      </c>
      <c r="N18" s="48" t="n"/>
      <c r="O18" s="47" t="n"/>
      <c r="P18" s="53">
        <f>IF(NOT((COUNTA($A18:$K18)+COUNTA($N18:$O18))&gt;0),"",IF((IF(A18="","Falta ID"&amp;" · ","")&amp;IF(AND(A18&lt;&gt;"",COUNTIF($A$5:$A$1000,A18)&gt;1),"ID duplicado"&amp;" · ","")&amp;IF(B18="","Área sin seleccionar"&amp;" · ","")&amp;IF(AND(B18&lt;&gt;"",ISNA(MATCH(B18,ListaPuestos,0))),"Área no válida"&amp;" · ","")&amp;IF(C18="","Macroactividad vacía"&amp;" · ","")&amp;IF(D18="","Sin responsable"&amp;" · ","")&amp;IF(E18="","Sin fecha de inicio"&amp;" · ","")&amp;IF(F18="","Sin fecha límite"&amp;" · ","")&amp;IF(OR(AND(E18&lt;&gt;"",NOT(ISNUMBER(E18))),AND(F18&lt;&gt;"",NOT(ISNUMBER(F18)))),"Fecha no válida"&amp;" · ","")&amp;IF(AND(ISNUMBER(E18),ISNUMBER(F18),E18&gt;F18),"Inicio posterior a fecha límite"&amp;" · ","")&amp;IF(G18="","Peso vacío"&amp;" · ","")&amp;IF(AND(G18&lt;&gt;"",OR(NOT(ISNUMBER(G18)),G18&lt;=0,G18&gt;1)),"Peso fuera de rango"&amp;" · ","")&amp;IF(AND(B18&lt;&gt;"",ABS(SUMIFS($G$5:$G$1000,$B$5:$B$1000,B18)-1)&gt;0.0001),"Pesos del puesto suman "&amp;TEXT(SUMIFS($G$5:$G$1000,$B$5:$B$1000,B18),"0%")&amp;" · ","")&amp;IF((COUNTIF(H18:K18,"&gt;1")+COUNTIF(H18:K18,"&lt;0")+COUNTA(H18:K18)-COUNT(H18:K18))&gt;0,"Avance fuera de rango 0-100%"&amp;" · ","")&amp;IF(OR(AND(I18&lt;&gt;"",I18&lt;H18),AND(J18&lt;&gt;"",J18&lt;MAX(H18:I18)),AND(K18&lt;&gt;"",K18&lt;MAX(H18:J18))),"Avance semanal decreciente"&amp;" · ","")&amp;IF(AND(ISNUMBER(F18),F18&lt;FechaRef,N(L18)&lt;1),"Vencida"&amp;" · ","")&amp;IF(AND(EvidenciaObligatoria="Sí",N(L18)&gt;=1,O18=""),"Completada sin evidencia"&amp;" · ",""))="","✔ OK","⚠ "&amp;LEFT(IF(A18="","Falta ID"&amp;" · ","")&amp;IF(AND(A18&lt;&gt;"",COUNTIF($A$5:$A$1000,A18)&gt;1),"ID duplicado"&amp;" · ","")&amp;IF(B18="","Área sin seleccionar"&amp;" · ","")&amp;IF(AND(B18&lt;&gt;"",ISNA(MATCH(B18,ListaPuestos,0))),"Área no válida"&amp;" · ","")&amp;IF(C18="","Macroactividad vacía"&amp;" · ","")&amp;IF(D18="","Sin responsable"&amp;" · ","")&amp;IF(E18="","Sin fecha de inicio"&amp;" · ","")&amp;IF(F18="","Sin fecha límite"&amp;" · ","")&amp;IF(OR(AND(E18&lt;&gt;"",NOT(ISNUMBER(E18))),AND(F18&lt;&gt;"",NOT(ISNUMBER(F18)))),"Fecha no válida"&amp;" · ","")&amp;IF(AND(ISNUMBER(E18),ISNUMBER(F18),E18&gt;F18),"Inicio posterior a fecha límite"&amp;" · ","")&amp;IF(G18="","Peso vacío"&amp;" · ","")&amp;IF(AND(G18&lt;&gt;"",OR(NOT(ISNUMBER(G18)),G18&lt;=0,G18&gt;1)),"Peso fuera de rango"&amp;" · ","")&amp;IF(AND(B18&lt;&gt;"",ABS(SUMIFS($G$5:$G$1000,$B$5:$B$1000,B18)-1)&gt;0.0001),"Pesos del puesto suman "&amp;TEXT(SUMIFS($G$5:$G$1000,$B$5:$B$1000,B18),"0%")&amp;" · ","")&amp;IF((COUNTIF(H18:K18,"&gt;1")+COUNTIF(H18:K18,"&lt;0")+COUNTA(H18:K18)-COUNT(H18:K18))&gt;0,"Avance fuera de rango 0-100%"&amp;" · ","")&amp;IF(OR(AND(I18&lt;&gt;"",I18&lt;H18),AND(J18&lt;&gt;"",J18&lt;MAX(H18:I18)),AND(K18&lt;&gt;"",K18&lt;MAX(H18:J18))),"Avance semanal decreciente"&amp;" · ","")&amp;IF(AND(ISNUMBER(F18),F18&lt;FechaRef,N(L18)&lt;1),"Vencida"&amp;" · ","")&amp;IF(AND(EvidenciaObligatoria="Sí",N(L18)&gt;=1,O18=""),"Completada sin evidencia"&amp;" · ",""),LEN(IF(A18="","Falta ID"&amp;" · ","")&amp;IF(AND(A18&lt;&gt;"",COUNTIF($A$5:$A$1000,A18)&gt;1),"ID duplicado"&amp;" · ","")&amp;IF(B18="","Área sin seleccionar"&amp;" · ","")&amp;IF(AND(B18&lt;&gt;"",ISNA(MATCH(B18,ListaPuestos,0))),"Área no válida"&amp;" · ","")&amp;IF(C18="","Macroactividad vacía"&amp;" · ","")&amp;IF(D18="","Sin responsable"&amp;" · ","")&amp;IF(E18="","Sin fecha de inicio"&amp;" · ","")&amp;IF(F18="","Sin fecha límite"&amp;" · ","")&amp;IF(OR(AND(E18&lt;&gt;"",NOT(ISNUMBER(E18))),AND(F18&lt;&gt;"",NOT(ISNUMBER(F18)))),"Fecha no válida"&amp;" · ","")&amp;IF(AND(ISNUMBER(E18),ISNUMBER(F18),E18&gt;F18),"Inicio posterior a fecha límite"&amp;" · ","")&amp;IF(G18="","Peso vacío"&amp;" · ","")&amp;IF(AND(G18&lt;&gt;"",OR(NOT(ISNUMBER(G18)),G18&lt;=0,G18&gt;1)),"Peso fuera de rango"&amp;" · ","")&amp;IF(AND(B18&lt;&gt;"",ABS(SUMIFS($G$5:$G$1000,$B$5:$B$1000,B18)-1)&gt;0.0001),"Pesos del puesto suman "&amp;TEXT(SUMIFS($G$5:$G$1000,$B$5:$B$1000,B18),"0%")&amp;" · ","")&amp;IF((COUNTIF(H18:K18,"&gt;1")+COUNTIF(H18:K18,"&lt;0")+COUNTA(H18:K18)-COUNT(H18:K18))&gt;0,"Avance fuera de rango 0-100%"&amp;" · ","")&amp;IF(OR(AND(I18&lt;&gt;"",I18&lt;H18),AND(J18&lt;&gt;"",J18&lt;MAX(H18:I18)),AND(K18&lt;&gt;"",K18&lt;MAX(H18:J18))),"Avance semanal decreciente"&amp;" · ","")&amp;IF(AND(ISNUMBER(F18),F18&lt;FechaRef,N(L18)&lt;1),"Vencida"&amp;" · ","")&amp;IF(AND(EvidenciaObligatoria="Sí",N(L18)&gt;=1,O18=""),"Completada sin evidencia"&amp;" · ",""))-3)))</f>
        <v/>
      </c>
    </row>
    <row r="19">
      <c r="A19" s="46" t="n"/>
      <c r="B19" s="47" t="n"/>
      <c r="C19" s="47" t="n"/>
      <c r="D19" s="47" t="n"/>
      <c r="E19" s="48" t="n"/>
      <c r="F19" s="48" t="n"/>
      <c r="G19" s="49" t="n"/>
      <c r="H19" s="50" t="n"/>
      <c r="I19" s="50" t="n"/>
      <c r="J19" s="50" t="n"/>
      <c r="K19" s="50" t="n"/>
      <c r="L19" s="51">
        <f>IF(NOT((COUNTA($A19:$K19)+COUNTA($N19:$O19))&gt;0),"",IFERROR(LOOKUP(2,1/(H19:K19&lt;&gt;""),H19:K19),0))</f>
        <v/>
      </c>
      <c r="M19" s="52">
        <f>IF(L19="","",IF(L19&gt;=1,"Completado",IF(L19&gt;0,"En curso","Pendiente")))</f>
        <v/>
      </c>
      <c r="N19" s="48" t="n"/>
      <c r="O19" s="47" t="n"/>
      <c r="P19" s="53">
        <f>IF(NOT((COUNTA($A19:$K19)+COUNTA($N19:$O19))&gt;0),"",IF((IF(A19="","Falta ID"&amp;" · ","")&amp;IF(AND(A19&lt;&gt;"",COUNTIF($A$5:$A$1000,A19)&gt;1),"ID duplicado"&amp;" · ","")&amp;IF(B19="","Área sin seleccionar"&amp;" · ","")&amp;IF(AND(B19&lt;&gt;"",ISNA(MATCH(B19,ListaPuestos,0))),"Área no válida"&amp;" · ","")&amp;IF(C19="","Macroactividad vacía"&amp;" · ","")&amp;IF(D19="","Sin responsable"&amp;" · ","")&amp;IF(E19="","Sin fecha de inicio"&amp;" · ","")&amp;IF(F19="","Sin fecha límite"&amp;" · ","")&amp;IF(OR(AND(E19&lt;&gt;"",NOT(ISNUMBER(E19))),AND(F19&lt;&gt;"",NOT(ISNUMBER(F19)))),"Fecha no válida"&amp;" · ","")&amp;IF(AND(ISNUMBER(E19),ISNUMBER(F19),E19&gt;F19),"Inicio posterior a fecha límite"&amp;" · ","")&amp;IF(G19="","Peso vacío"&amp;" · ","")&amp;IF(AND(G19&lt;&gt;"",OR(NOT(ISNUMBER(G19)),G19&lt;=0,G19&gt;1)),"Peso fuera de rango"&amp;" · ","")&amp;IF(AND(B19&lt;&gt;"",ABS(SUMIFS($G$5:$G$1000,$B$5:$B$1000,B19)-1)&gt;0.0001),"Pesos del puesto suman "&amp;TEXT(SUMIFS($G$5:$G$1000,$B$5:$B$1000,B19),"0%")&amp;" · ","")&amp;IF((COUNTIF(H19:K19,"&gt;1")+COUNTIF(H19:K19,"&lt;0")+COUNTA(H19:K19)-COUNT(H19:K19))&gt;0,"Avance fuera de rango 0-100%"&amp;" · ","")&amp;IF(OR(AND(I19&lt;&gt;"",I19&lt;H19),AND(J19&lt;&gt;"",J19&lt;MAX(H19:I19)),AND(K19&lt;&gt;"",K19&lt;MAX(H19:J19))),"Avance semanal decreciente"&amp;" · ","")&amp;IF(AND(ISNUMBER(F19),F19&lt;FechaRef,N(L19)&lt;1),"Vencida"&amp;" · ","")&amp;IF(AND(EvidenciaObligatoria="Sí",N(L19)&gt;=1,O19=""),"Completada sin evidencia"&amp;" · ",""))="","✔ OK","⚠ "&amp;LEFT(IF(A19="","Falta ID"&amp;" · ","")&amp;IF(AND(A19&lt;&gt;"",COUNTIF($A$5:$A$1000,A19)&gt;1),"ID duplicado"&amp;" · ","")&amp;IF(B19="","Área sin seleccionar"&amp;" · ","")&amp;IF(AND(B19&lt;&gt;"",ISNA(MATCH(B19,ListaPuestos,0))),"Área no válida"&amp;" · ","")&amp;IF(C19="","Macroactividad vacía"&amp;" · ","")&amp;IF(D19="","Sin responsable"&amp;" · ","")&amp;IF(E19="","Sin fecha de inicio"&amp;" · ","")&amp;IF(F19="","Sin fecha límite"&amp;" · ","")&amp;IF(OR(AND(E19&lt;&gt;"",NOT(ISNUMBER(E19))),AND(F19&lt;&gt;"",NOT(ISNUMBER(F19)))),"Fecha no válida"&amp;" · ","")&amp;IF(AND(ISNUMBER(E19),ISNUMBER(F19),E19&gt;F19),"Inicio posterior a fecha límite"&amp;" · ","")&amp;IF(G19="","Peso vacío"&amp;" · ","")&amp;IF(AND(G19&lt;&gt;"",OR(NOT(ISNUMBER(G19)),G19&lt;=0,G19&gt;1)),"Peso fuera de rango"&amp;" · ","")&amp;IF(AND(B19&lt;&gt;"",ABS(SUMIFS($G$5:$G$1000,$B$5:$B$1000,B19)-1)&gt;0.0001),"Pesos del puesto suman "&amp;TEXT(SUMIFS($G$5:$G$1000,$B$5:$B$1000,B19),"0%")&amp;" · ","")&amp;IF((COUNTIF(H19:K19,"&gt;1")+COUNTIF(H19:K19,"&lt;0")+COUNTA(H19:K19)-COUNT(H19:K19))&gt;0,"Avance fuera de rango 0-100%"&amp;" · ","")&amp;IF(OR(AND(I19&lt;&gt;"",I19&lt;H19),AND(J19&lt;&gt;"",J19&lt;MAX(H19:I19)),AND(K19&lt;&gt;"",K19&lt;MAX(H19:J19))),"Avance semanal decreciente"&amp;" · ","")&amp;IF(AND(ISNUMBER(F19),F19&lt;FechaRef,N(L19)&lt;1),"Vencida"&amp;" · ","")&amp;IF(AND(EvidenciaObligatoria="Sí",N(L19)&gt;=1,O19=""),"Completada sin evidencia"&amp;" · ",""),LEN(IF(A19="","Falta ID"&amp;" · ","")&amp;IF(AND(A19&lt;&gt;"",COUNTIF($A$5:$A$1000,A19)&gt;1),"ID duplicado"&amp;" · ","")&amp;IF(B19="","Área sin seleccionar"&amp;" · ","")&amp;IF(AND(B19&lt;&gt;"",ISNA(MATCH(B19,ListaPuestos,0))),"Área no válida"&amp;" · ","")&amp;IF(C19="","Macroactividad vacía"&amp;" · ","")&amp;IF(D19="","Sin responsable"&amp;" · ","")&amp;IF(E19="","Sin fecha de inicio"&amp;" · ","")&amp;IF(F19="","Sin fecha límite"&amp;" · ","")&amp;IF(OR(AND(E19&lt;&gt;"",NOT(ISNUMBER(E19))),AND(F19&lt;&gt;"",NOT(ISNUMBER(F19)))),"Fecha no válida"&amp;" · ","")&amp;IF(AND(ISNUMBER(E19),ISNUMBER(F19),E19&gt;F19),"Inicio posterior a fecha límite"&amp;" · ","")&amp;IF(G19="","Peso vacío"&amp;" · ","")&amp;IF(AND(G19&lt;&gt;"",OR(NOT(ISNUMBER(G19)),G19&lt;=0,G19&gt;1)),"Peso fuera de rango"&amp;" · ","")&amp;IF(AND(B19&lt;&gt;"",ABS(SUMIFS($G$5:$G$1000,$B$5:$B$1000,B19)-1)&gt;0.0001),"Pesos del puesto suman "&amp;TEXT(SUMIFS($G$5:$G$1000,$B$5:$B$1000,B19),"0%")&amp;" · ","")&amp;IF((COUNTIF(H19:K19,"&gt;1")+COUNTIF(H19:K19,"&lt;0")+COUNTA(H19:K19)-COUNT(H19:K19))&gt;0,"Avance fuera de rango 0-100%"&amp;" · ","")&amp;IF(OR(AND(I19&lt;&gt;"",I19&lt;H19),AND(J19&lt;&gt;"",J19&lt;MAX(H19:I19)),AND(K19&lt;&gt;"",K19&lt;MAX(H19:J19))),"Avance semanal decreciente"&amp;" · ","")&amp;IF(AND(ISNUMBER(F19),F19&lt;FechaRef,N(L19)&lt;1),"Vencida"&amp;" · ","")&amp;IF(AND(EvidenciaObligatoria="Sí",N(L19)&gt;=1,O19=""),"Completada sin evidencia"&amp;" · ",""))-3)))</f>
        <v/>
      </c>
    </row>
    <row r="20">
      <c r="A20" s="46" t="n"/>
      <c r="B20" s="47" t="n"/>
      <c r="C20" s="47" t="n"/>
      <c r="D20" s="47" t="n"/>
      <c r="E20" s="48" t="n"/>
      <c r="F20" s="48" t="n"/>
      <c r="G20" s="49" t="n"/>
      <c r="H20" s="50" t="n"/>
      <c r="I20" s="50" t="n"/>
      <c r="J20" s="50" t="n"/>
      <c r="K20" s="50" t="n"/>
      <c r="L20" s="51">
        <f>IF(NOT((COUNTA($A20:$K20)+COUNTA($N20:$O20))&gt;0),"",IFERROR(LOOKUP(2,1/(H20:K20&lt;&gt;""),H20:K20),0))</f>
        <v/>
      </c>
      <c r="M20" s="52">
        <f>IF(L20="","",IF(L20&gt;=1,"Completado",IF(L20&gt;0,"En curso","Pendiente")))</f>
        <v/>
      </c>
      <c r="N20" s="48" t="n"/>
      <c r="O20" s="47" t="n"/>
      <c r="P20" s="53">
        <f>IF(NOT((COUNTA($A20:$K20)+COUNTA($N20:$O20))&gt;0),"",IF((IF(A20="","Falta ID"&amp;" · ","")&amp;IF(AND(A20&lt;&gt;"",COUNTIF($A$5:$A$1000,A20)&gt;1),"ID duplicado"&amp;" · ","")&amp;IF(B20="","Área sin seleccionar"&amp;" · ","")&amp;IF(AND(B20&lt;&gt;"",ISNA(MATCH(B20,ListaPuestos,0))),"Área no válida"&amp;" · ","")&amp;IF(C20="","Macroactividad vacía"&amp;" · ","")&amp;IF(D20="","Sin responsable"&amp;" · ","")&amp;IF(E20="","Sin fecha de inicio"&amp;" · ","")&amp;IF(F20="","Sin fecha límite"&amp;" · ","")&amp;IF(OR(AND(E20&lt;&gt;"",NOT(ISNUMBER(E20))),AND(F20&lt;&gt;"",NOT(ISNUMBER(F20)))),"Fecha no válida"&amp;" · ","")&amp;IF(AND(ISNUMBER(E20),ISNUMBER(F20),E20&gt;F20),"Inicio posterior a fecha límite"&amp;" · ","")&amp;IF(G20="","Peso vacío"&amp;" · ","")&amp;IF(AND(G20&lt;&gt;"",OR(NOT(ISNUMBER(G20)),G20&lt;=0,G20&gt;1)),"Peso fuera de rango"&amp;" · ","")&amp;IF(AND(B20&lt;&gt;"",ABS(SUMIFS($G$5:$G$1000,$B$5:$B$1000,B20)-1)&gt;0.0001),"Pesos del puesto suman "&amp;TEXT(SUMIFS($G$5:$G$1000,$B$5:$B$1000,B20),"0%")&amp;" · ","")&amp;IF((COUNTIF(H20:K20,"&gt;1")+COUNTIF(H20:K20,"&lt;0")+COUNTA(H20:K20)-COUNT(H20:K20))&gt;0,"Avance fuera de rango 0-100%"&amp;" · ","")&amp;IF(OR(AND(I20&lt;&gt;"",I20&lt;H20),AND(J20&lt;&gt;"",J20&lt;MAX(H20:I20)),AND(K20&lt;&gt;"",K20&lt;MAX(H20:J20))),"Avance semanal decreciente"&amp;" · ","")&amp;IF(AND(ISNUMBER(F20),F20&lt;FechaRef,N(L20)&lt;1),"Vencida"&amp;" · ","")&amp;IF(AND(EvidenciaObligatoria="Sí",N(L20)&gt;=1,O20=""),"Completada sin evidencia"&amp;" · ",""))="","✔ OK","⚠ "&amp;LEFT(IF(A20="","Falta ID"&amp;" · ","")&amp;IF(AND(A20&lt;&gt;"",COUNTIF($A$5:$A$1000,A20)&gt;1),"ID duplicado"&amp;" · ","")&amp;IF(B20="","Área sin seleccionar"&amp;" · ","")&amp;IF(AND(B20&lt;&gt;"",ISNA(MATCH(B20,ListaPuestos,0))),"Área no válida"&amp;" · ","")&amp;IF(C20="","Macroactividad vacía"&amp;" · ","")&amp;IF(D20="","Sin responsable"&amp;" · ","")&amp;IF(E20="","Sin fecha de inicio"&amp;" · ","")&amp;IF(F20="","Sin fecha límite"&amp;" · ","")&amp;IF(OR(AND(E20&lt;&gt;"",NOT(ISNUMBER(E20))),AND(F20&lt;&gt;"",NOT(ISNUMBER(F20)))),"Fecha no válida"&amp;" · ","")&amp;IF(AND(ISNUMBER(E20),ISNUMBER(F20),E20&gt;F20),"Inicio posterior a fecha límite"&amp;" · ","")&amp;IF(G20="","Peso vacío"&amp;" · ","")&amp;IF(AND(G20&lt;&gt;"",OR(NOT(ISNUMBER(G20)),G20&lt;=0,G20&gt;1)),"Peso fuera de rango"&amp;" · ","")&amp;IF(AND(B20&lt;&gt;"",ABS(SUMIFS($G$5:$G$1000,$B$5:$B$1000,B20)-1)&gt;0.0001),"Pesos del puesto suman "&amp;TEXT(SUMIFS($G$5:$G$1000,$B$5:$B$1000,B20),"0%")&amp;" · ","")&amp;IF((COUNTIF(H20:K20,"&gt;1")+COUNTIF(H20:K20,"&lt;0")+COUNTA(H20:K20)-COUNT(H20:K20))&gt;0,"Avance fuera de rango 0-100%"&amp;" · ","")&amp;IF(OR(AND(I20&lt;&gt;"",I20&lt;H20),AND(J20&lt;&gt;"",J20&lt;MAX(H20:I20)),AND(K20&lt;&gt;"",K20&lt;MAX(H20:J20))),"Avance semanal decreciente"&amp;" · ","")&amp;IF(AND(ISNUMBER(F20),F20&lt;FechaRef,N(L20)&lt;1),"Vencida"&amp;" · ","")&amp;IF(AND(EvidenciaObligatoria="Sí",N(L20)&gt;=1,O20=""),"Completada sin evidencia"&amp;" · ",""),LEN(IF(A20="","Falta ID"&amp;" · ","")&amp;IF(AND(A20&lt;&gt;"",COUNTIF($A$5:$A$1000,A20)&gt;1),"ID duplicado"&amp;" · ","")&amp;IF(B20="","Área sin seleccionar"&amp;" · ","")&amp;IF(AND(B20&lt;&gt;"",ISNA(MATCH(B20,ListaPuestos,0))),"Área no válida"&amp;" · ","")&amp;IF(C20="","Macroactividad vacía"&amp;" · ","")&amp;IF(D20="","Sin responsable"&amp;" · ","")&amp;IF(E20="","Sin fecha de inicio"&amp;" · ","")&amp;IF(F20="","Sin fecha límite"&amp;" · ","")&amp;IF(OR(AND(E20&lt;&gt;"",NOT(ISNUMBER(E20))),AND(F20&lt;&gt;"",NOT(ISNUMBER(F20)))),"Fecha no válida"&amp;" · ","")&amp;IF(AND(ISNUMBER(E20),ISNUMBER(F20),E20&gt;F20),"Inicio posterior a fecha límite"&amp;" · ","")&amp;IF(G20="","Peso vacío"&amp;" · ","")&amp;IF(AND(G20&lt;&gt;"",OR(NOT(ISNUMBER(G20)),G20&lt;=0,G20&gt;1)),"Peso fuera de rango"&amp;" · ","")&amp;IF(AND(B20&lt;&gt;"",ABS(SUMIFS($G$5:$G$1000,$B$5:$B$1000,B20)-1)&gt;0.0001),"Pesos del puesto suman "&amp;TEXT(SUMIFS($G$5:$G$1000,$B$5:$B$1000,B20),"0%")&amp;" · ","")&amp;IF((COUNTIF(H20:K20,"&gt;1")+COUNTIF(H20:K20,"&lt;0")+COUNTA(H20:K20)-COUNT(H20:K20))&gt;0,"Avance fuera de rango 0-100%"&amp;" · ","")&amp;IF(OR(AND(I20&lt;&gt;"",I20&lt;H20),AND(J20&lt;&gt;"",J20&lt;MAX(H20:I20)),AND(K20&lt;&gt;"",K20&lt;MAX(H20:J20))),"Avance semanal decreciente"&amp;" · ","")&amp;IF(AND(ISNUMBER(F20),F20&lt;FechaRef,N(L20)&lt;1),"Vencida"&amp;" · ","")&amp;IF(AND(EvidenciaObligatoria="Sí",N(L20)&gt;=1,O20=""),"Completada sin evidencia"&amp;" · ",""))-3)))</f>
        <v/>
      </c>
    </row>
    <row r="21">
      <c r="A21" s="46" t="n"/>
      <c r="B21" s="47" t="n"/>
      <c r="C21" s="47" t="n"/>
      <c r="D21" s="47" t="n"/>
      <c r="E21" s="48" t="n"/>
      <c r="F21" s="48" t="n"/>
      <c r="G21" s="49" t="n"/>
      <c r="H21" s="50" t="n"/>
      <c r="I21" s="50" t="n"/>
      <c r="J21" s="50" t="n"/>
      <c r="K21" s="50" t="n"/>
      <c r="L21" s="51">
        <f>IF(NOT((COUNTA($A21:$K21)+COUNTA($N21:$O21))&gt;0),"",IFERROR(LOOKUP(2,1/(H21:K21&lt;&gt;""),H21:K21),0))</f>
        <v/>
      </c>
      <c r="M21" s="52">
        <f>IF(L21="","",IF(L21&gt;=1,"Completado",IF(L21&gt;0,"En curso","Pendiente")))</f>
        <v/>
      </c>
      <c r="N21" s="48" t="n"/>
      <c r="O21" s="47" t="n"/>
      <c r="P21" s="53">
        <f>IF(NOT((COUNTA($A21:$K21)+COUNTA($N21:$O21))&gt;0),"",IF((IF(A21="","Falta ID"&amp;" · ","")&amp;IF(AND(A21&lt;&gt;"",COUNTIF($A$5:$A$1000,A21)&gt;1),"ID duplicado"&amp;" · ","")&amp;IF(B21="","Área sin seleccionar"&amp;" · ","")&amp;IF(AND(B21&lt;&gt;"",ISNA(MATCH(B21,ListaPuestos,0))),"Área no válida"&amp;" · ","")&amp;IF(C21="","Macroactividad vacía"&amp;" · ","")&amp;IF(D21="","Sin responsable"&amp;" · ","")&amp;IF(E21="","Sin fecha de inicio"&amp;" · ","")&amp;IF(F21="","Sin fecha límite"&amp;" · ","")&amp;IF(OR(AND(E21&lt;&gt;"",NOT(ISNUMBER(E21))),AND(F21&lt;&gt;"",NOT(ISNUMBER(F21)))),"Fecha no válida"&amp;" · ","")&amp;IF(AND(ISNUMBER(E21),ISNUMBER(F21),E21&gt;F21),"Inicio posterior a fecha límite"&amp;" · ","")&amp;IF(G21="","Peso vacío"&amp;" · ","")&amp;IF(AND(G21&lt;&gt;"",OR(NOT(ISNUMBER(G21)),G21&lt;=0,G21&gt;1)),"Peso fuera de rango"&amp;" · ","")&amp;IF(AND(B21&lt;&gt;"",ABS(SUMIFS($G$5:$G$1000,$B$5:$B$1000,B21)-1)&gt;0.0001),"Pesos del puesto suman "&amp;TEXT(SUMIFS($G$5:$G$1000,$B$5:$B$1000,B21),"0%")&amp;" · ","")&amp;IF((COUNTIF(H21:K21,"&gt;1")+COUNTIF(H21:K21,"&lt;0")+COUNTA(H21:K21)-COUNT(H21:K21))&gt;0,"Avance fuera de rango 0-100%"&amp;" · ","")&amp;IF(OR(AND(I21&lt;&gt;"",I21&lt;H21),AND(J21&lt;&gt;"",J21&lt;MAX(H21:I21)),AND(K21&lt;&gt;"",K21&lt;MAX(H21:J21))),"Avance semanal decreciente"&amp;" · ","")&amp;IF(AND(ISNUMBER(F21),F21&lt;FechaRef,N(L21)&lt;1),"Vencida"&amp;" · ","")&amp;IF(AND(EvidenciaObligatoria="Sí",N(L21)&gt;=1,O21=""),"Completada sin evidencia"&amp;" · ",""))="","✔ OK","⚠ "&amp;LEFT(IF(A21="","Falta ID"&amp;" · ","")&amp;IF(AND(A21&lt;&gt;"",COUNTIF($A$5:$A$1000,A21)&gt;1),"ID duplicado"&amp;" · ","")&amp;IF(B21="","Área sin seleccionar"&amp;" · ","")&amp;IF(AND(B21&lt;&gt;"",ISNA(MATCH(B21,ListaPuestos,0))),"Área no válida"&amp;" · ","")&amp;IF(C21="","Macroactividad vacía"&amp;" · ","")&amp;IF(D21="","Sin responsable"&amp;" · ","")&amp;IF(E21="","Sin fecha de inicio"&amp;" · ","")&amp;IF(F21="","Sin fecha límite"&amp;" · ","")&amp;IF(OR(AND(E21&lt;&gt;"",NOT(ISNUMBER(E21))),AND(F21&lt;&gt;"",NOT(ISNUMBER(F21)))),"Fecha no válida"&amp;" · ","")&amp;IF(AND(ISNUMBER(E21),ISNUMBER(F21),E21&gt;F21),"Inicio posterior a fecha límite"&amp;" · ","")&amp;IF(G21="","Peso vacío"&amp;" · ","")&amp;IF(AND(G21&lt;&gt;"",OR(NOT(ISNUMBER(G21)),G21&lt;=0,G21&gt;1)),"Peso fuera de rango"&amp;" · ","")&amp;IF(AND(B21&lt;&gt;"",ABS(SUMIFS($G$5:$G$1000,$B$5:$B$1000,B21)-1)&gt;0.0001),"Pesos del puesto suman "&amp;TEXT(SUMIFS($G$5:$G$1000,$B$5:$B$1000,B21),"0%")&amp;" · ","")&amp;IF((COUNTIF(H21:K21,"&gt;1")+COUNTIF(H21:K21,"&lt;0")+COUNTA(H21:K21)-COUNT(H21:K21))&gt;0,"Avance fuera de rango 0-100%"&amp;" · ","")&amp;IF(OR(AND(I21&lt;&gt;"",I21&lt;H21),AND(J21&lt;&gt;"",J21&lt;MAX(H21:I21)),AND(K21&lt;&gt;"",K21&lt;MAX(H21:J21))),"Avance semanal decreciente"&amp;" · ","")&amp;IF(AND(ISNUMBER(F21),F21&lt;FechaRef,N(L21)&lt;1),"Vencida"&amp;" · ","")&amp;IF(AND(EvidenciaObligatoria="Sí",N(L21)&gt;=1,O21=""),"Completada sin evidencia"&amp;" · ",""),LEN(IF(A21="","Falta ID"&amp;" · ","")&amp;IF(AND(A21&lt;&gt;"",COUNTIF($A$5:$A$1000,A21)&gt;1),"ID duplicado"&amp;" · ","")&amp;IF(B21="","Área sin seleccionar"&amp;" · ","")&amp;IF(AND(B21&lt;&gt;"",ISNA(MATCH(B21,ListaPuestos,0))),"Área no válida"&amp;" · ","")&amp;IF(C21="","Macroactividad vacía"&amp;" · ","")&amp;IF(D21="","Sin responsable"&amp;" · ","")&amp;IF(E21="","Sin fecha de inicio"&amp;" · ","")&amp;IF(F21="","Sin fecha límite"&amp;" · ","")&amp;IF(OR(AND(E21&lt;&gt;"",NOT(ISNUMBER(E21))),AND(F21&lt;&gt;"",NOT(ISNUMBER(F21)))),"Fecha no válida"&amp;" · ","")&amp;IF(AND(ISNUMBER(E21),ISNUMBER(F21),E21&gt;F21),"Inicio posterior a fecha límite"&amp;" · ","")&amp;IF(G21="","Peso vacío"&amp;" · ","")&amp;IF(AND(G21&lt;&gt;"",OR(NOT(ISNUMBER(G21)),G21&lt;=0,G21&gt;1)),"Peso fuera de rango"&amp;" · ","")&amp;IF(AND(B21&lt;&gt;"",ABS(SUMIFS($G$5:$G$1000,$B$5:$B$1000,B21)-1)&gt;0.0001),"Pesos del puesto suman "&amp;TEXT(SUMIFS($G$5:$G$1000,$B$5:$B$1000,B21),"0%")&amp;" · ","")&amp;IF((COUNTIF(H21:K21,"&gt;1")+COUNTIF(H21:K21,"&lt;0")+COUNTA(H21:K21)-COUNT(H21:K21))&gt;0,"Avance fuera de rango 0-100%"&amp;" · ","")&amp;IF(OR(AND(I21&lt;&gt;"",I21&lt;H21),AND(J21&lt;&gt;"",J21&lt;MAX(H21:I21)),AND(K21&lt;&gt;"",K21&lt;MAX(H21:J21))),"Avance semanal decreciente"&amp;" · ","")&amp;IF(AND(ISNUMBER(F21),F21&lt;FechaRef,N(L21)&lt;1),"Vencida"&amp;" · ","")&amp;IF(AND(EvidenciaObligatoria="Sí",N(L21)&gt;=1,O21=""),"Completada sin evidencia"&amp;" · ",""))-3)))</f>
        <v/>
      </c>
    </row>
    <row r="22">
      <c r="A22" s="46" t="n"/>
      <c r="B22" s="47" t="n"/>
      <c r="C22" s="47" t="n"/>
      <c r="D22" s="47" t="n"/>
      <c r="E22" s="48" t="n"/>
      <c r="F22" s="48" t="n"/>
      <c r="G22" s="49" t="n"/>
      <c r="H22" s="50" t="n"/>
      <c r="I22" s="50" t="n"/>
      <c r="J22" s="50" t="n"/>
      <c r="K22" s="50" t="n"/>
      <c r="L22" s="51">
        <f>IF(NOT((COUNTA($A22:$K22)+COUNTA($N22:$O22))&gt;0),"",IFERROR(LOOKUP(2,1/(H22:K22&lt;&gt;""),H22:K22),0))</f>
        <v/>
      </c>
      <c r="M22" s="52">
        <f>IF(L22="","",IF(L22&gt;=1,"Completado",IF(L22&gt;0,"En curso","Pendiente")))</f>
        <v/>
      </c>
      <c r="N22" s="48" t="n"/>
      <c r="O22" s="47" t="n"/>
      <c r="P22" s="53">
        <f>IF(NOT((COUNTA($A22:$K22)+COUNTA($N22:$O22))&gt;0),"",IF((IF(A22="","Falta ID"&amp;" · ","")&amp;IF(AND(A22&lt;&gt;"",COUNTIF($A$5:$A$1000,A22)&gt;1),"ID duplicado"&amp;" · ","")&amp;IF(B22="","Área sin seleccionar"&amp;" · ","")&amp;IF(AND(B22&lt;&gt;"",ISNA(MATCH(B22,ListaPuestos,0))),"Área no válida"&amp;" · ","")&amp;IF(C22="","Macroactividad vacía"&amp;" · ","")&amp;IF(D22="","Sin responsable"&amp;" · ","")&amp;IF(E22="","Sin fecha de inicio"&amp;" · ","")&amp;IF(F22="","Sin fecha límite"&amp;" · ","")&amp;IF(OR(AND(E22&lt;&gt;"",NOT(ISNUMBER(E22))),AND(F22&lt;&gt;"",NOT(ISNUMBER(F22)))),"Fecha no válida"&amp;" · ","")&amp;IF(AND(ISNUMBER(E22),ISNUMBER(F22),E22&gt;F22),"Inicio posterior a fecha límite"&amp;" · ","")&amp;IF(G22="","Peso vacío"&amp;" · ","")&amp;IF(AND(G22&lt;&gt;"",OR(NOT(ISNUMBER(G22)),G22&lt;=0,G22&gt;1)),"Peso fuera de rango"&amp;" · ","")&amp;IF(AND(B22&lt;&gt;"",ABS(SUMIFS($G$5:$G$1000,$B$5:$B$1000,B22)-1)&gt;0.0001),"Pesos del puesto suman "&amp;TEXT(SUMIFS($G$5:$G$1000,$B$5:$B$1000,B22),"0%")&amp;" · ","")&amp;IF((COUNTIF(H22:K22,"&gt;1")+COUNTIF(H22:K22,"&lt;0")+COUNTA(H22:K22)-COUNT(H22:K22))&gt;0,"Avance fuera de rango 0-100%"&amp;" · ","")&amp;IF(OR(AND(I22&lt;&gt;"",I22&lt;H22),AND(J22&lt;&gt;"",J22&lt;MAX(H22:I22)),AND(K22&lt;&gt;"",K22&lt;MAX(H22:J22))),"Avance semanal decreciente"&amp;" · ","")&amp;IF(AND(ISNUMBER(F22),F22&lt;FechaRef,N(L22)&lt;1),"Vencida"&amp;" · ","")&amp;IF(AND(EvidenciaObligatoria="Sí",N(L22)&gt;=1,O22=""),"Completada sin evidencia"&amp;" · ",""))="","✔ OK","⚠ "&amp;LEFT(IF(A22="","Falta ID"&amp;" · ","")&amp;IF(AND(A22&lt;&gt;"",COUNTIF($A$5:$A$1000,A22)&gt;1),"ID duplicado"&amp;" · ","")&amp;IF(B22="","Área sin seleccionar"&amp;" · ","")&amp;IF(AND(B22&lt;&gt;"",ISNA(MATCH(B22,ListaPuestos,0))),"Área no válida"&amp;" · ","")&amp;IF(C22="","Macroactividad vacía"&amp;" · ","")&amp;IF(D22="","Sin responsable"&amp;" · ","")&amp;IF(E22="","Sin fecha de inicio"&amp;" · ","")&amp;IF(F22="","Sin fecha límite"&amp;" · ","")&amp;IF(OR(AND(E22&lt;&gt;"",NOT(ISNUMBER(E22))),AND(F22&lt;&gt;"",NOT(ISNUMBER(F22)))),"Fecha no válida"&amp;" · ","")&amp;IF(AND(ISNUMBER(E22),ISNUMBER(F22),E22&gt;F22),"Inicio posterior a fecha límite"&amp;" · ","")&amp;IF(G22="","Peso vacío"&amp;" · ","")&amp;IF(AND(G22&lt;&gt;"",OR(NOT(ISNUMBER(G22)),G22&lt;=0,G22&gt;1)),"Peso fuera de rango"&amp;" · ","")&amp;IF(AND(B22&lt;&gt;"",ABS(SUMIFS($G$5:$G$1000,$B$5:$B$1000,B22)-1)&gt;0.0001),"Pesos del puesto suman "&amp;TEXT(SUMIFS($G$5:$G$1000,$B$5:$B$1000,B22),"0%")&amp;" · ","")&amp;IF((COUNTIF(H22:K22,"&gt;1")+COUNTIF(H22:K22,"&lt;0")+COUNTA(H22:K22)-COUNT(H22:K22))&gt;0,"Avance fuera de rango 0-100%"&amp;" · ","")&amp;IF(OR(AND(I22&lt;&gt;"",I22&lt;H22),AND(J22&lt;&gt;"",J22&lt;MAX(H22:I22)),AND(K22&lt;&gt;"",K22&lt;MAX(H22:J22))),"Avance semanal decreciente"&amp;" · ","")&amp;IF(AND(ISNUMBER(F22),F22&lt;FechaRef,N(L22)&lt;1),"Vencida"&amp;" · ","")&amp;IF(AND(EvidenciaObligatoria="Sí",N(L22)&gt;=1,O22=""),"Completada sin evidencia"&amp;" · ",""),LEN(IF(A22="","Falta ID"&amp;" · ","")&amp;IF(AND(A22&lt;&gt;"",COUNTIF($A$5:$A$1000,A22)&gt;1),"ID duplicado"&amp;" · ","")&amp;IF(B22="","Área sin seleccionar"&amp;" · ","")&amp;IF(AND(B22&lt;&gt;"",ISNA(MATCH(B22,ListaPuestos,0))),"Área no válida"&amp;" · ","")&amp;IF(C22="","Macroactividad vacía"&amp;" · ","")&amp;IF(D22="","Sin responsable"&amp;" · ","")&amp;IF(E22="","Sin fecha de inicio"&amp;" · ","")&amp;IF(F22="","Sin fecha límite"&amp;" · ","")&amp;IF(OR(AND(E22&lt;&gt;"",NOT(ISNUMBER(E22))),AND(F22&lt;&gt;"",NOT(ISNUMBER(F22)))),"Fecha no válida"&amp;" · ","")&amp;IF(AND(ISNUMBER(E22),ISNUMBER(F22),E22&gt;F22),"Inicio posterior a fecha límite"&amp;" · ","")&amp;IF(G22="","Peso vacío"&amp;" · ","")&amp;IF(AND(G22&lt;&gt;"",OR(NOT(ISNUMBER(G22)),G22&lt;=0,G22&gt;1)),"Peso fuera de rango"&amp;" · ","")&amp;IF(AND(B22&lt;&gt;"",ABS(SUMIFS($G$5:$G$1000,$B$5:$B$1000,B22)-1)&gt;0.0001),"Pesos del puesto suman "&amp;TEXT(SUMIFS($G$5:$G$1000,$B$5:$B$1000,B22),"0%")&amp;" · ","")&amp;IF((COUNTIF(H22:K22,"&gt;1")+COUNTIF(H22:K22,"&lt;0")+COUNTA(H22:K22)-COUNT(H22:K22))&gt;0,"Avance fuera de rango 0-100%"&amp;" · ","")&amp;IF(OR(AND(I22&lt;&gt;"",I22&lt;H22),AND(J22&lt;&gt;"",J22&lt;MAX(H22:I22)),AND(K22&lt;&gt;"",K22&lt;MAX(H22:J22))),"Avance semanal decreciente"&amp;" · ","")&amp;IF(AND(ISNUMBER(F22),F22&lt;FechaRef,N(L22)&lt;1),"Vencida"&amp;" · ","")&amp;IF(AND(EvidenciaObligatoria="Sí",N(L22)&gt;=1,O22=""),"Completada sin evidencia"&amp;" · ",""))-3)))</f>
        <v/>
      </c>
    </row>
    <row r="23">
      <c r="A23" s="46" t="n"/>
      <c r="B23" s="47" t="n"/>
      <c r="C23" s="47" t="n"/>
      <c r="D23" s="47" t="n"/>
      <c r="E23" s="48" t="n"/>
      <c r="F23" s="48" t="n"/>
      <c r="G23" s="49" t="n"/>
      <c r="H23" s="50" t="n"/>
      <c r="I23" s="50" t="n"/>
      <c r="J23" s="50" t="n"/>
      <c r="K23" s="50" t="n"/>
      <c r="L23" s="51">
        <f>IF(NOT((COUNTA($A23:$K23)+COUNTA($N23:$O23))&gt;0),"",IFERROR(LOOKUP(2,1/(H23:K23&lt;&gt;""),H23:K23),0))</f>
        <v/>
      </c>
      <c r="M23" s="52">
        <f>IF(L23="","",IF(L23&gt;=1,"Completado",IF(L23&gt;0,"En curso","Pendiente")))</f>
        <v/>
      </c>
      <c r="N23" s="48" t="n"/>
      <c r="O23" s="47" t="n"/>
      <c r="P23" s="53">
        <f>IF(NOT((COUNTA($A23:$K23)+COUNTA($N23:$O23))&gt;0),"",IF((IF(A23="","Falta ID"&amp;" · ","")&amp;IF(AND(A23&lt;&gt;"",COUNTIF($A$5:$A$1000,A23)&gt;1),"ID duplicado"&amp;" · ","")&amp;IF(B23="","Área sin seleccionar"&amp;" · ","")&amp;IF(AND(B23&lt;&gt;"",ISNA(MATCH(B23,ListaPuestos,0))),"Área no válida"&amp;" · ","")&amp;IF(C23="","Macroactividad vacía"&amp;" · ","")&amp;IF(D23="","Sin responsable"&amp;" · ","")&amp;IF(E23="","Sin fecha de inicio"&amp;" · ","")&amp;IF(F23="","Sin fecha límite"&amp;" · ","")&amp;IF(OR(AND(E23&lt;&gt;"",NOT(ISNUMBER(E23))),AND(F23&lt;&gt;"",NOT(ISNUMBER(F23)))),"Fecha no válida"&amp;" · ","")&amp;IF(AND(ISNUMBER(E23),ISNUMBER(F23),E23&gt;F23),"Inicio posterior a fecha límite"&amp;" · ","")&amp;IF(G23="","Peso vacío"&amp;" · ","")&amp;IF(AND(G23&lt;&gt;"",OR(NOT(ISNUMBER(G23)),G23&lt;=0,G23&gt;1)),"Peso fuera de rango"&amp;" · ","")&amp;IF(AND(B23&lt;&gt;"",ABS(SUMIFS($G$5:$G$1000,$B$5:$B$1000,B23)-1)&gt;0.0001),"Pesos del puesto suman "&amp;TEXT(SUMIFS($G$5:$G$1000,$B$5:$B$1000,B23),"0%")&amp;" · ","")&amp;IF((COUNTIF(H23:K23,"&gt;1")+COUNTIF(H23:K23,"&lt;0")+COUNTA(H23:K23)-COUNT(H23:K23))&gt;0,"Avance fuera de rango 0-100%"&amp;" · ","")&amp;IF(OR(AND(I23&lt;&gt;"",I23&lt;H23),AND(J23&lt;&gt;"",J23&lt;MAX(H23:I23)),AND(K23&lt;&gt;"",K23&lt;MAX(H23:J23))),"Avance semanal decreciente"&amp;" · ","")&amp;IF(AND(ISNUMBER(F23),F23&lt;FechaRef,N(L23)&lt;1),"Vencida"&amp;" · ","")&amp;IF(AND(EvidenciaObligatoria="Sí",N(L23)&gt;=1,O23=""),"Completada sin evidencia"&amp;" · ",""))="","✔ OK","⚠ "&amp;LEFT(IF(A23="","Falta ID"&amp;" · ","")&amp;IF(AND(A23&lt;&gt;"",COUNTIF($A$5:$A$1000,A23)&gt;1),"ID duplicado"&amp;" · ","")&amp;IF(B23="","Área sin seleccionar"&amp;" · ","")&amp;IF(AND(B23&lt;&gt;"",ISNA(MATCH(B23,ListaPuestos,0))),"Área no válida"&amp;" · ","")&amp;IF(C23="","Macroactividad vacía"&amp;" · ","")&amp;IF(D23="","Sin responsable"&amp;" · ","")&amp;IF(E23="","Sin fecha de inicio"&amp;" · ","")&amp;IF(F23="","Sin fecha límite"&amp;" · ","")&amp;IF(OR(AND(E23&lt;&gt;"",NOT(ISNUMBER(E23))),AND(F23&lt;&gt;"",NOT(ISNUMBER(F23)))),"Fecha no válida"&amp;" · ","")&amp;IF(AND(ISNUMBER(E23),ISNUMBER(F23),E23&gt;F23),"Inicio posterior a fecha límite"&amp;" · ","")&amp;IF(G23="","Peso vacío"&amp;" · ","")&amp;IF(AND(G23&lt;&gt;"",OR(NOT(ISNUMBER(G23)),G23&lt;=0,G23&gt;1)),"Peso fuera de rango"&amp;" · ","")&amp;IF(AND(B23&lt;&gt;"",ABS(SUMIFS($G$5:$G$1000,$B$5:$B$1000,B23)-1)&gt;0.0001),"Pesos del puesto suman "&amp;TEXT(SUMIFS($G$5:$G$1000,$B$5:$B$1000,B23),"0%")&amp;" · ","")&amp;IF((COUNTIF(H23:K23,"&gt;1")+COUNTIF(H23:K23,"&lt;0")+COUNTA(H23:K23)-COUNT(H23:K23))&gt;0,"Avance fuera de rango 0-100%"&amp;" · ","")&amp;IF(OR(AND(I23&lt;&gt;"",I23&lt;H23),AND(J23&lt;&gt;"",J23&lt;MAX(H23:I23)),AND(K23&lt;&gt;"",K23&lt;MAX(H23:J23))),"Avance semanal decreciente"&amp;" · ","")&amp;IF(AND(ISNUMBER(F23),F23&lt;FechaRef,N(L23)&lt;1),"Vencida"&amp;" · ","")&amp;IF(AND(EvidenciaObligatoria="Sí",N(L23)&gt;=1,O23=""),"Completada sin evidencia"&amp;" · ",""),LEN(IF(A23="","Falta ID"&amp;" · ","")&amp;IF(AND(A23&lt;&gt;"",COUNTIF($A$5:$A$1000,A23)&gt;1),"ID duplicado"&amp;" · ","")&amp;IF(B23="","Área sin seleccionar"&amp;" · ","")&amp;IF(AND(B23&lt;&gt;"",ISNA(MATCH(B23,ListaPuestos,0))),"Área no válida"&amp;" · ","")&amp;IF(C23="","Macroactividad vacía"&amp;" · ","")&amp;IF(D23="","Sin responsable"&amp;" · ","")&amp;IF(E23="","Sin fecha de inicio"&amp;" · ","")&amp;IF(F23="","Sin fecha límite"&amp;" · ","")&amp;IF(OR(AND(E23&lt;&gt;"",NOT(ISNUMBER(E23))),AND(F23&lt;&gt;"",NOT(ISNUMBER(F23)))),"Fecha no válida"&amp;" · ","")&amp;IF(AND(ISNUMBER(E23),ISNUMBER(F23),E23&gt;F23),"Inicio posterior a fecha límite"&amp;" · ","")&amp;IF(G23="","Peso vacío"&amp;" · ","")&amp;IF(AND(G23&lt;&gt;"",OR(NOT(ISNUMBER(G23)),G23&lt;=0,G23&gt;1)),"Peso fuera de rango"&amp;" · ","")&amp;IF(AND(B23&lt;&gt;"",ABS(SUMIFS($G$5:$G$1000,$B$5:$B$1000,B23)-1)&gt;0.0001),"Pesos del puesto suman "&amp;TEXT(SUMIFS($G$5:$G$1000,$B$5:$B$1000,B23),"0%")&amp;" · ","")&amp;IF((COUNTIF(H23:K23,"&gt;1")+COUNTIF(H23:K23,"&lt;0")+COUNTA(H23:K23)-COUNT(H23:K23))&gt;0,"Avance fuera de rango 0-100%"&amp;" · ","")&amp;IF(OR(AND(I23&lt;&gt;"",I23&lt;H23),AND(J23&lt;&gt;"",J23&lt;MAX(H23:I23)),AND(K23&lt;&gt;"",K23&lt;MAX(H23:J23))),"Avance semanal decreciente"&amp;" · ","")&amp;IF(AND(ISNUMBER(F23),F23&lt;FechaRef,N(L23)&lt;1),"Vencida"&amp;" · ","")&amp;IF(AND(EvidenciaObligatoria="Sí",N(L23)&gt;=1,O23=""),"Completada sin evidencia"&amp;" · ",""))-3)))</f>
        <v/>
      </c>
    </row>
    <row r="24">
      <c r="A24" s="46" t="n"/>
      <c r="B24" s="47" t="n"/>
      <c r="C24" s="47" t="n"/>
      <c r="D24" s="47" t="n"/>
      <c r="E24" s="48" t="n"/>
      <c r="F24" s="48" t="n"/>
      <c r="G24" s="49" t="n"/>
      <c r="H24" s="50" t="n"/>
      <c r="I24" s="50" t="n"/>
      <c r="J24" s="50" t="n"/>
      <c r="K24" s="50" t="n"/>
      <c r="L24" s="51">
        <f>IF(NOT((COUNTA($A24:$K24)+COUNTA($N24:$O24))&gt;0),"",IFERROR(LOOKUP(2,1/(H24:K24&lt;&gt;""),H24:K24),0))</f>
        <v/>
      </c>
      <c r="M24" s="52">
        <f>IF(L24="","",IF(L24&gt;=1,"Completado",IF(L24&gt;0,"En curso","Pendiente")))</f>
        <v/>
      </c>
      <c r="N24" s="48" t="n"/>
      <c r="O24" s="47" t="n"/>
      <c r="P24" s="53">
        <f>IF(NOT((COUNTA($A24:$K24)+COUNTA($N24:$O24))&gt;0),"",IF((IF(A24="","Falta ID"&amp;" · ","")&amp;IF(AND(A24&lt;&gt;"",COUNTIF($A$5:$A$1000,A24)&gt;1),"ID duplicado"&amp;" · ","")&amp;IF(B24="","Área sin seleccionar"&amp;" · ","")&amp;IF(AND(B24&lt;&gt;"",ISNA(MATCH(B24,ListaPuestos,0))),"Área no válida"&amp;" · ","")&amp;IF(C24="","Macroactividad vacía"&amp;" · ","")&amp;IF(D24="","Sin responsable"&amp;" · ","")&amp;IF(E24="","Sin fecha de inicio"&amp;" · ","")&amp;IF(F24="","Sin fecha límite"&amp;" · ","")&amp;IF(OR(AND(E24&lt;&gt;"",NOT(ISNUMBER(E24))),AND(F24&lt;&gt;"",NOT(ISNUMBER(F24)))),"Fecha no válida"&amp;" · ","")&amp;IF(AND(ISNUMBER(E24),ISNUMBER(F24),E24&gt;F24),"Inicio posterior a fecha límite"&amp;" · ","")&amp;IF(G24="","Peso vacío"&amp;" · ","")&amp;IF(AND(G24&lt;&gt;"",OR(NOT(ISNUMBER(G24)),G24&lt;=0,G24&gt;1)),"Peso fuera de rango"&amp;" · ","")&amp;IF(AND(B24&lt;&gt;"",ABS(SUMIFS($G$5:$G$1000,$B$5:$B$1000,B24)-1)&gt;0.0001),"Pesos del puesto suman "&amp;TEXT(SUMIFS($G$5:$G$1000,$B$5:$B$1000,B24),"0%")&amp;" · ","")&amp;IF((COUNTIF(H24:K24,"&gt;1")+COUNTIF(H24:K24,"&lt;0")+COUNTA(H24:K24)-COUNT(H24:K24))&gt;0,"Avance fuera de rango 0-100%"&amp;" · ","")&amp;IF(OR(AND(I24&lt;&gt;"",I24&lt;H24),AND(J24&lt;&gt;"",J24&lt;MAX(H24:I24)),AND(K24&lt;&gt;"",K24&lt;MAX(H24:J24))),"Avance semanal decreciente"&amp;" · ","")&amp;IF(AND(ISNUMBER(F24),F24&lt;FechaRef,N(L24)&lt;1),"Vencida"&amp;" · ","")&amp;IF(AND(EvidenciaObligatoria="Sí",N(L24)&gt;=1,O24=""),"Completada sin evidencia"&amp;" · ",""))="","✔ OK","⚠ "&amp;LEFT(IF(A24="","Falta ID"&amp;" · ","")&amp;IF(AND(A24&lt;&gt;"",COUNTIF($A$5:$A$1000,A24)&gt;1),"ID duplicado"&amp;" · ","")&amp;IF(B24="","Área sin seleccionar"&amp;" · ","")&amp;IF(AND(B24&lt;&gt;"",ISNA(MATCH(B24,ListaPuestos,0))),"Área no válida"&amp;" · ","")&amp;IF(C24="","Macroactividad vacía"&amp;" · ","")&amp;IF(D24="","Sin responsable"&amp;" · ","")&amp;IF(E24="","Sin fecha de inicio"&amp;" · ","")&amp;IF(F24="","Sin fecha límite"&amp;" · ","")&amp;IF(OR(AND(E24&lt;&gt;"",NOT(ISNUMBER(E24))),AND(F24&lt;&gt;"",NOT(ISNUMBER(F24)))),"Fecha no válida"&amp;" · ","")&amp;IF(AND(ISNUMBER(E24),ISNUMBER(F24),E24&gt;F24),"Inicio posterior a fecha límite"&amp;" · ","")&amp;IF(G24="","Peso vacío"&amp;" · ","")&amp;IF(AND(G24&lt;&gt;"",OR(NOT(ISNUMBER(G24)),G24&lt;=0,G24&gt;1)),"Peso fuera de rango"&amp;" · ","")&amp;IF(AND(B24&lt;&gt;"",ABS(SUMIFS($G$5:$G$1000,$B$5:$B$1000,B24)-1)&gt;0.0001),"Pesos del puesto suman "&amp;TEXT(SUMIFS($G$5:$G$1000,$B$5:$B$1000,B24),"0%")&amp;" · ","")&amp;IF((COUNTIF(H24:K24,"&gt;1")+COUNTIF(H24:K24,"&lt;0")+COUNTA(H24:K24)-COUNT(H24:K24))&gt;0,"Avance fuera de rango 0-100%"&amp;" · ","")&amp;IF(OR(AND(I24&lt;&gt;"",I24&lt;H24),AND(J24&lt;&gt;"",J24&lt;MAX(H24:I24)),AND(K24&lt;&gt;"",K24&lt;MAX(H24:J24))),"Avance semanal decreciente"&amp;" · ","")&amp;IF(AND(ISNUMBER(F24),F24&lt;FechaRef,N(L24)&lt;1),"Vencida"&amp;" · ","")&amp;IF(AND(EvidenciaObligatoria="Sí",N(L24)&gt;=1,O24=""),"Completada sin evidencia"&amp;" · ",""),LEN(IF(A24="","Falta ID"&amp;" · ","")&amp;IF(AND(A24&lt;&gt;"",COUNTIF($A$5:$A$1000,A24)&gt;1),"ID duplicado"&amp;" · ","")&amp;IF(B24="","Área sin seleccionar"&amp;" · ","")&amp;IF(AND(B24&lt;&gt;"",ISNA(MATCH(B24,ListaPuestos,0))),"Área no válida"&amp;" · ","")&amp;IF(C24="","Macroactividad vacía"&amp;" · ","")&amp;IF(D24="","Sin responsable"&amp;" · ","")&amp;IF(E24="","Sin fecha de inicio"&amp;" · ","")&amp;IF(F24="","Sin fecha límite"&amp;" · ","")&amp;IF(OR(AND(E24&lt;&gt;"",NOT(ISNUMBER(E24))),AND(F24&lt;&gt;"",NOT(ISNUMBER(F24)))),"Fecha no válida"&amp;" · ","")&amp;IF(AND(ISNUMBER(E24),ISNUMBER(F24),E24&gt;F24),"Inicio posterior a fecha límite"&amp;" · ","")&amp;IF(G24="","Peso vacío"&amp;" · ","")&amp;IF(AND(G24&lt;&gt;"",OR(NOT(ISNUMBER(G24)),G24&lt;=0,G24&gt;1)),"Peso fuera de rango"&amp;" · ","")&amp;IF(AND(B24&lt;&gt;"",ABS(SUMIFS($G$5:$G$1000,$B$5:$B$1000,B24)-1)&gt;0.0001),"Pesos del puesto suman "&amp;TEXT(SUMIFS($G$5:$G$1000,$B$5:$B$1000,B24),"0%")&amp;" · ","")&amp;IF((COUNTIF(H24:K24,"&gt;1")+COUNTIF(H24:K24,"&lt;0")+COUNTA(H24:K24)-COUNT(H24:K24))&gt;0,"Avance fuera de rango 0-100%"&amp;" · ","")&amp;IF(OR(AND(I24&lt;&gt;"",I24&lt;H24),AND(J24&lt;&gt;"",J24&lt;MAX(H24:I24)),AND(K24&lt;&gt;"",K24&lt;MAX(H24:J24))),"Avance semanal decreciente"&amp;" · ","")&amp;IF(AND(ISNUMBER(F24),F24&lt;FechaRef,N(L24)&lt;1),"Vencida"&amp;" · ","")&amp;IF(AND(EvidenciaObligatoria="Sí",N(L24)&gt;=1,O24=""),"Completada sin evidencia"&amp;" · ",""))-3)))</f>
        <v/>
      </c>
    </row>
    <row r="25">
      <c r="A25" s="46" t="n"/>
      <c r="B25" s="47" t="n"/>
      <c r="C25" s="47" t="n"/>
      <c r="D25" s="47" t="n"/>
      <c r="E25" s="48" t="n"/>
      <c r="F25" s="48" t="n"/>
      <c r="G25" s="49" t="n"/>
      <c r="H25" s="50" t="n"/>
      <c r="I25" s="50" t="n"/>
      <c r="J25" s="50" t="n"/>
      <c r="K25" s="50" t="n"/>
      <c r="L25" s="51">
        <f>IF(NOT((COUNTA($A25:$K25)+COUNTA($N25:$O25))&gt;0),"",IFERROR(LOOKUP(2,1/(H25:K25&lt;&gt;""),H25:K25),0))</f>
        <v/>
      </c>
      <c r="M25" s="52">
        <f>IF(L25="","",IF(L25&gt;=1,"Completado",IF(L25&gt;0,"En curso","Pendiente")))</f>
        <v/>
      </c>
      <c r="N25" s="48" t="n"/>
      <c r="O25" s="47" t="n"/>
      <c r="P25" s="53">
        <f>IF(NOT((COUNTA($A25:$K25)+COUNTA($N25:$O25))&gt;0),"",IF((IF(A25="","Falta ID"&amp;" · ","")&amp;IF(AND(A25&lt;&gt;"",COUNTIF($A$5:$A$1000,A25)&gt;1),"ID duplicado"&amp;" · ","")&amp;IF(B25="","Área sin seleccionar"&amp;" · ","")&amp;IF(AND(B25&lt;&gt;"",ISNA(MATCH(B25,ListaPuestos,0))),"Área no válida"&amp;" · ","")&amp;IF(C25="","Macroactividad vacía"&amp;" · ","")&amp;IF(D25="","Sin responsable"&amp;" · ","")&amp;IF(E25="","Sin fecha de inicio"&amp;" · ","")&amp;IF(F25="","Sin fecha límite"&amp;" · ","")&amp;IF(OR(AND(E25&lt;&gt;"",NOT(ISNUMBER(E25))),AND(F25&lt;&gt;"",NOT(ISNUMBER(F25)))),"Fecha no válida"&amp;" · ","")&amp;IF(AND(ISNUMBER(E25),ISNUMBER(F25),E25&gt;F25),"Inicio posterior a fecha límite"&amp;" · ","")&amp;IF(G25="","Peso vacío"&amp;" · ","")&amp;IF(AND(G25&lt;&gt;"",OR(NOT(ISNUMBER(G25)),G25&lt;=0,G25&gt;1)),"Peso fuera de rango"&amp;" · ","")&amp;IF(AND(B25&lt;&gt;"",ABS(SUMIFS($G$5:$G$1000,$B$5:$B$1000,B25)-1)&gt;0.0001),"Pesos del puesto suman "&amp;TEXT(SUMIFS($G$5:$G$1000,$B$5:$B$1000,B25),"0%")&amp;" · ","")&amp;IF((COUNTIF(H25:K25,"&gt;1")+COUNTIF(H25:K25,"&lt;0")+COUNTA(H25:K25)-COUNT(H25:K25))&gt;0,"Avance fuera de rango 0-100%"&amp;" · ","")&amp;IF(OR(AND(I25&lt;&gt;"",I25&lt;H25),AND(J25&lt;&gt;"",J25&lt;MAX(H25:I25)),AND(K25&lt;&gt;"",K25&lt;MAX(H25:J25))),"Avance semanal decreciente"&amp;" · ","")&amp;IF(AND(ISNUMBER(F25),F25&lt;FechaRef,N(L25)&lt;1),"Vencida"&amp;" · ","")&amp;IF(AND(EvidenciaObligatoria="Sí",N(L25)&gt;=1,O25=""),"Completada sin evidencia"&amp;" · ",""))="","✔ OK","⚠ "&amp;LEFT(IF(A25="","Falta ID"&amp;" · ","")&amp;IF(AND(A25&lt;&gt;"",COUNTIF($A$5:$A$1000,A25)&gt;1),"ID duplicado"&amp;" · ","")&amp;IF(B25="","Área sin seleccionar"&amp;" · ","")&amp;IF(AND(B25&lt;&gt;"",ISNA(MATCH(B25,ListaPuestos,0))),"Área no válida"&amp;" · ","")&amp;IF(C25="","Macroactividad vacía"&amp;" · ","")&amp;IF(D25="","Sin responsable"&amp;" · ","")&amp;IF(E25="","Sin fecha de inicio"&amp;" · ","")&amp;IF(F25="","Sin fecha límite"&amp;" · ","")&amp;IF(OR(AND(E25&lt;&gt;"",NOT(ISNUMBER(E25))),AND(F25&lt;&gt;"",NOT(ISNUMBER(F25)))),"Fecha no válida"&amp;" · ","")&amp;IF(AND(ISNUMBER(E25),ISNUMBER(F25),E25&gt;F25),"Inicio posterior a fecha límite"&amp;" · ","")&amp;IF(G25="","Peso vacío"&amp;" · ","")&amp;IF(AND(G25&lt;&gt;"",OR(NOT(ISNUMBER(G25)),G25&lt;=0,G25&gt;1)),"Peso fuera de rango"&amp;" · ","")&amp;IF(AND(B25&lt;&gt;"",ABS(SUMIFS($G$5:$G$1000,$B$5:$B$1000,B25)-1)&gt;0.0001),"Pesos del puesto suman "&amp;TEXT(SUMIFS($G$5:$G$1000,$B$5:$B$1000,B25),"0%")&amp;" · ","")&amp;IF((COUNTIF(H25:K25,"&gt;1")+COUNTIF(H25:K25,"&lt;0")+COUNTA(H25:K25)-COUNT(H25:K25))&gt;0,"Avance fuera de rango 0-100%"&amp;" · ","")&amp;IF(OR(AND(I25&lt;&gt;"",I25&lt;H25),AND(J25&lt;&gt;"",J25&lt;MAX(H25:I25)),AND(K25&lt;&gt;"",K25&lt;MAX(H25:J25))),"Avance semanal decreciente"&amp;" · ","")&amp;IF(AND(ISNUMBER(F25),F25&lt;FechaRef,N(L25)&lt;1),"Vencida"&amp;" · ","")&amp;IF(AND(EvidenciaObligatoria="Sí",N(L25)&gt;=1,O25=""),"Completada sin evidencia"&amp;" · ",""),LEN(IF(A25="","Falta ID"&amp;" · ","")&amp;IF(AND(A25&lt;&gt;"",COUNTIF($A$5:$A$1000,A25)&gt;1),"ID duplicado"&amp;" · ","")&amp;IF(B25="","Área sin seleccionar"&amp;" · ","")&amp;IF(AND(B25&lt;&gt;"",ISNA(MATCH(B25,ListaPuestos,0))),"Área no válida"&amp;" · ","")&amp;IF(C25="","Macroactividad vacía"&amp;" · ","")&amp;IF(D25="","Sin responsable"&amp;" · ","")&amp;IF(E25="","Sin fecha de inicio"&amp;" · ","")&amp;IF(F25="","Sin fecha límite"&amp;" · ","")&amp;IF(OR(AND(E25&lt;&gt;"",NOT(ISNUMBER(E25))),AND(F25&lt;&gt;"",NOT(ISNUMBER(F25)))),"Fecha no válida"&amp;" · ","")&amp;IF(AND(ISNUMBER(E25),ISNUMBER(F25),E25&gt;F25),"Inicio posterior a fecha límite"&amp;" · ","")&amp;IF(G25="","Peso vacío"&amp;" · ","")&amp;IF(AND(G25&lt;&gt;"",OR(NOT(ISNUMBER(G25)),G25&lt;=0,G25&gt;1)),"Peso fuera de rango"&amp;" · ","")&amp;IF(AND(B25&lt;&gt;"",ABS(SUMIFS($G$5:$G$1000,$B$5:$B$1000,B25)-1)&gt;0.0001),"Pesos del puesto suman "&amp;TEXT(SUMIFS($G$5:$G$1000,$B$5:$B$1000,B25),"0%")&amp;" · ","")&amp;IF((COUNTIF(H25:K25,"&gt;1")+COUNTIF(H25:K25,"&lt;0")+COUNTA(H25:K25)-COUNT(H25:K25))&gt;0,"Avance fuera de rango 0-100%"&amp;" · ","")&amp;IF(OR(AND(I25&lt;&gt;"",I25&lt;H25),AND(J25&lt;&gt;"",J25&lt;MAX(H25:I25)),AND(K25&lt;&gt;"",K25&lt;MAX(H25:J25))),"Avance semanal decreciente"&amp;" · ","")&amp;IF(AND(ISNUMBER(F25),F25&lt;FechaRef,N(L25)&lt;1),"Vencida"&amp;" · ","")&amp;IF(AND(EvidenciaObligatoria="Sí",N(L25)&gt;=1,O25=""),"Completada sin evidencia"&amp;" · ",""))-3)))</f>
        <v/>
      </c>
    </row>
    <row r="26">
      <c r="A26" s="46" t="n"/>
      <c r="B26" s="47" t="n"/>
      <c r="C26" s="47" t="n"/>
      <c r="D26" s="47" t="n"/>
      <c r="E26" s="48" t="n"/>
      <c r="F26" s="48" t="n"/>
      <c r="G26" s="49" t="n"/>
      <c r="H26" s="50" t="n"/>
      <c r="I26" s="50" t="n"/>
      <c r="J26" s="50" t="n"/>
      <c r="K26" s="50" t="n"/>
      <c r="L26" s="51">
        <f>IF(NOT((COUNTA($A26:$K26)+COUNTA($N26:$O26))&gt;0),"",IFERROR(LOOKUP(2,1/(H26:K26&lt;&gt;""),H26:K26),0))</f>
        <v/>
      </c>
      <c r="M26" s="52">
        <f>IF(L26="","",IF(L26&gt;=1,"Completado",IF(L26&gt;0,"En curso","Pendiente")))</f>
        <v/>
      </c>
      <c r="N26" s="48" t="n"/>
      <c r="O26" s="47" t="n"/>
      <c r="P26" s="53">
        <f>IF(NOT((COUNTA($A26:$K26)+COUNTA($N26:$O26))&gt;0),"",IF((IF(A26="","Falta ID"&amp;" · ","")&amp;IF(AND(A26&lt;&gt;"",COUNTIF($A$5:$A$1000,A26)&gt;1),"ID duplicado"&amp;" · ","")&amp;IF(B26="","Área sin seleccionar"&amp;" · ","")&amp;IF(AND(B26&lt;&gt;"",ISNA(MATCH(B26,ListaPuestos,0))),"Área no válida"&amp;" · ","")&amp;IF(C26="","Macroactividad vacía"&amp;" · ","")&amp;IF(D26="","Sin responsable"&amp;" · ","")&amp;IF(E26="","Sin fecha de inicio"&amp;" · ","")&amp;IF(F26="","Sin fecha límite"&amp;" · ","")&amp;IF(OR(AND(E26&lt;&gt;"",NOT(ISNUMBER(E26))),AND(F26&lt;&gt;"",NOT(ISNUMBER(F26)))),"Fecha no válida"&amp;" · ","")&amp;IF(AND(ISNUMBER(E26),ISNUMBER(F26),E26&gt;F26),"Inicio posterior a fecha límite"&amp;" · ","")&amp;IF(G26="","Peso vacío"&amp;" · ","")&amp;IF(AND(G26&lt;&gt;"",OR(NOT(ISNUMBER(G26)),G26&lt;=0,G26&gt;1)),"Peso fuera de rango"&amp;" · ","")&amp;IF(AND(B26&lt;&gt;"",ABS(SUMIFS($G$5:$G$1000,$B$5:$B$1000,B26)-1)&gt;0.0001),"Pesos del puesto suman "&amp;TEXT(SUMIFS($G$5:$G$1000,$B$5:$B$1000,B26),"0%")&amp;" · ","")&amp;IF((COUNTIF(H26:K26,"&gt;1")+COUNTIF(H26:K26,"&lt;0")+COUNTA(H26:K26)-COUNT(H26:K26))&gt;0,"Avance fuera de rango 0-100%"&amp;" · ","")&amp;IF(OR(AND(I26&lt;&gt;"",I26&lt;H26),AND(J26&lt;&gt;"",J26&lt;MAX(H26:I26)),AND(K26&lt;&gt;"",K26&lt;MAX(H26:J26))),"Avance semanal decreciente"&amp;" · ","")&amp;IF(AND(ISNUMBER(F26),F26&lt;FechaRef,N(L26)&lt;1),"Vencida"&amp;" · ","")&amp;IF(AND(EvidenciaObligatoria="Sí",N(L26)&gt;=1,O26=""),"Completada sin evidencia"&amp;" · ",""))="","✔ OK","⚠ "&amp;LEFT(IF(A26="","Falta ID"&amp;" · ","")&amp;IF(AND(A26&lt;&gt;"",COUNTIF($A$5:$A$1000,A26)&gt;1),"ID duplicado"&amp;" · ","")&amp;IF(B26="","Área sin seleccionar"&amp;" · ","")&amp;IF(AND(B26&lt;&gt;"",ISNA(MATCH(B26,ListaPuestos,0))),"Área no válida"&amp;" · ","")&amp;IF(C26="","Macroactividad vacía"&amp;" · ","")&amp;IF(D26="","Sin responsable"&amp;" · ","")&amp;IF(E26="","Sin fecha de inicio"&amp;" · ","")&amp;IF(F26="","Sin fecha límite"&amp;" · ","")&amp;IF(OR(AND(E26&lt;&gt;"",NOT(ISNUMBER(E26))),AND(F26&lt;&gt;"",NOT(ISNUMBER(F26)))),"Fecha no válida"&amp;" · ","")&amp;IF(AND(ISNUMBER(E26),ISNUMBER(F26),E26&gt;F26),"Inicio posterior a fecha límite"&amp;" · ","")&amp;IF(G26="","Peso vacío"&amp;" · ","")&amp;IF(AND(G26&lt;&gt;"",OR(NOT(ISNUMBER(G26)),G26&lt;=0,G26&gt;1)),"Peso fuera de rango"&amp;" · ","")&amp;IF(AND(B26&lt;&gt;"",ABS(SUMIFS($G$5:$G$1000,$B$5:$B$1000,B26)-1)&gt;0.0001),"Pesos del puesto suman "&amp;TEXT(SUMIFS($G$5:$G$1000,$B$5:$B$1000,B26),"0%")&amp;" · ","")&amp;IF((COUNTIF(H26:K26,"&gt;1")+COUNTIF(H26:K26,"&lt;0")+COUNTA(H26:K26)-COUNT(H26:K26))&gt;0,"Avance fuera de rango 0-100%"&amp;" · ","")&amp;IF(OR(AND(I26&lt;&gt;"",I26&lt;H26),AND(J26&lt;&gt;"",J26&lt;MAX(H26:I26)),AND(K26&lt;&gt;"",K26&lt;MAX(H26:J26))),"Avance semanal decreciente"&amp;" · ","")&amp;IF(AND(ISNUMBER(F26),F26&lt;FechaRef,N(L26)&lt;1),"Vencida"&amp;" · ","")&amp;IF(AND(EvidenciaObligatoria="Sí",N(L26)&gt;=1,O26=""),"Completada sin evidencia"&amp;" · ",""),LEN(IF(A26="","Falta ID"&amp;" · ","")&amp;IF(AND(A26&lt;&gt;"",COUNTIF($A$5:$A$1000,A26)&gt;1),"ID duplicado"&amp;" · ","")&amp;IF(B26="","Área sin seleccionar"&amp;" · ","")&amp;IF(AND(B26&lt;&gt;"",ISNA(MATCH(B26,ListaPuestos,0))),"Área no válida"&amp;" · ","")&amp;IF(C26="","Macroactividad vacía"&amp;" · ","")&amp;IF(D26="","Sin responsable"&amp;" · ","")&amp;IF(E26="","Sin fecha de inicio"&amp;" · ","")&amp;IF(F26="","Sin fecha límite"&amp;" · ","")&amp;IF(OR(AND(E26&lt;&gt;"",NOT(ISNUMBER(E26))),AND(F26&lt;&gt;"",NOT(ISNUMBER(F26)))),"Fecha no válida"&amp;" · ","")&amp;IF(AND(ISNUMBER(E26),ISNUMBER(F26),E26&gt;F26),"Inicio posterior a fecha límite"&amp;" · ","")&amp;IF(G26="","Peso vacío"&amp;" · ","")&amp;IF(AND(G26&lt;&gt;"",OR(NOT(ISNUMBER(G26)),G26&lt;=0,G26&gt;1)),"Peso fuera de rango"&amp;" · ","")&amp;IF(AND(B26&lt;&gt;"",ABS(SUMIFS($G$5:$G$1000,$B$5:$B$1000,B26)-1)&gt;0.0001),"Pesos del puesto suman "&amp;TEXT(SUMIFS($G$5:$G$1000,$B$5:$B$1000,B26),"0%")&amp;" · ","")&amp;IF((COUNTIF(H26:K26,"&gt;1")+COUNTIF(H26:K26,"&lt;0")+COUNTA(H26:K26)-COUNT(H26:K26))&gt;0,"Avance fuera de rango 0-100%"&amp;" · ","")&amp;IF(OR(AND(I26&lt;&gt;"",I26&lt;H26),AND(J26&lt;&gt;"",J26&lt;MAX(H26:I26)),AND(K26&lt;&gt;"",K26&lt;MAX(H26:J26))),"Avance semanal decreciente"&amp;" · ","")&amp;IF(AND(ISNUMBER(F26),F26&lt;FechaRef,N(L26)&lt;1),"Vencida"&amp;" · ","")&amp;IF(AND(EvidenciaObligatoria="Sí",N(L26)&gt;=1,O26=""),"Completada sin evidencia"&amp;" · ",""))-3)))</f>
        <v/>
      </c>
    </row>
    <row r="27">
      <c r="A27" s="46" t="n"/>
      <c r="B27" s="47" t="n"/>
      <c r="C27" s="47" t="n"/>
      <c r="D27" s="47" t="n"/>
      <c r="E27" s="48" t="n"/>
      <c r="F27" s="48" t="n"/>
      <c r="G27" s="49" t="n"/>
      <c r="H27" s="50" t="n"/>
      <c r="I27" s="50" t="n"/>
      <c r="J27" s="50" t="n"/>
      <c r="K27" s="50" t="n"/>
      <c r="L27" s="51">
        <f>IF(NOT((COUNTA($A27:$K27)+COUNTA($N27:$O27))&gt;0),"",IFERROR(LOOKUP(2,1/(H27:K27&lt;&gt;""),H27:K27),0))</f>
        <v/>
      </c>
      <c r="M27" s="52">
        <f>IF(L27="","",IF(L27&gt;=1,"Completado",IF(L27&gt;0,"En curso","Pendiente")))</f>
        <v/>
      </c>
      <c r="N27" s="48" t="n"/>
      <c r="O27" s="47" t="n"/>
      <c r="P27" s="53">
        <f>IF(NOT((COUNTA($A27:$K27)+COUNTA($N27:$O27))&gt;0),"",IF((IF(A27="","Falta ID"&amp;" · ","")&amp;IF(AND(A27&lt;&gt;"",COUNTIF($A$5:$A$1000,A27)&gt;1),"ID duplicado"&amp;" · ","")&amp;IF(B27="","Área sin seleccionar"&amp;" · ","")&amp;IF(AND(B27&lt;&gt;"",ISNA(MATCH(B27,ListaPuestos,0))),"Área no válida"&amp;" · ","")&amp;IF(C27="","Macroactividad vacía"&amp;" · ","")&amp;IF(D27="","Sin responsable"&amp;" · ","")&amp;IF(E27="","Sin fecha de inicio"&amp;" · ","")&amp;IF(F27="","Sin fecha límite"&amp;" · ","")&amp;IF(OR(AND(E27&lt;&gt;"",NOT(ISNUMBER(E27))),AND(F27&lt;&gt;"",NOT(ISNUMBER(F27)))),"Fecha no válida"&amp;" · ","")&amp;IF(AND(ISNUMBER(E27),ISNUMBER(F27),E27&gt;F27),"Inicio posterior a fecha límite"&amp;" · ","")&amp;IF(G27="","Peso vacío"&amp;" · ","")&amp;IF(AND(G27&lt;&gt;"",OR(NOT(ISNUMBER(G27)),G27&lt;=0,G27&gt;1)),"Peso fuera de rango"&amp;" · ","")&amp;IF(AND(B27&lt;&gt;"",ABS(SUMIFS($G$5:$G$1000,$B$5:$B$1000,B27)-1)&gt;0.0001),"Pesos del puesto suman "&amp;TEXT(SUMIFS($G$5:$G$1000,$B$5:$B$1000,B27),"0%")&amp;" · ","")&amp;IF((COUNTIF(H27:K27,"&gt;1")+COUNTIF(H27:K27,"&lt;0")+COUNTA(H27:K27)-COUNT(H27:K27))&gt;0,"Avance fuera de rango 0-100%"&amp;" · ","")&amp;IF(OR(AND(I27&lt;&gt;"",I27&lt;H27),AND(J27&lt;&gt;"",J27&lt;MAX(H27:I27)),AND(K27&lt;&gt;"",K27&lt;MAX(H27:J27))),"Avance semanal decreciente"&amp;" · ","")&amp;IF(AND(ISNUMBER(F27),F27&lt;FechaRef,N(L27)&lt;1),"Vencida"&amp;" · ","")&amp;IF(AND(EvidenciaObligatoria="Sí",N(L27)&gt;=1,O27=""),"Completada sin evidencia"&amp;" · ",""))="","✔ OK","⚠ "&amp;LEFT(IF(A27="","Falta ID"&amp;" · ","")&amp;IF(AND(A27&lt;&gt;"",COUNTIF($A$5:$A$1000,A27)&gt;1),"ID duplicado"&amp;" · ","")&amp;IF(B27="","Área sin seleccionar"&amp;" · ","")&amp;IF(AND(B27&lt;&gt;"",ISNA(MATCH(B27,ListaPuestos,0))),"Área no válida"&amp;" · ","")&amp;IF(C27="","Macroactividad vacía"&amp;" · ","")&amp;IF(D27="","Sin responsable"&amp;" · ","")&amp;IF(E27="","Sin fecha de inicio"&amp;" · ","")&amp;IF(F27="","Sin fecha límite"&amp;" · ","")&amp;IF(OR(AND(E27&lt;&gt;"",NOT(ISNUMBER(E27))),AND(F27&lt;&gt;"",NOT(ISNUMBER(F27)))),"Fecha no válida"&amp;" · ","")&amp;IF(AND(ISNUMBER(E27),ISNUMBER(F27),E27&gt;F27),"Inicio posterior a fecha límite"&amp;" · ","")&amp;IF(G27="","Peso vacío"&amp;" · ","")&amp;IF(AND(G27&lt;&gt;"",OR(NOT(ISNUMBER(G27)),G27&lt;=0,G27&gt;1)),"Peso fuera de rango"&amp;" · ","")&amp;IF(AND(B27&lt;&gt;"",ABS(SUMIFS($G$5:$G$1000,$B$5:$B$1000,B27)-1)&gt;0.0001),"Pesos del puesto suman "&amp;TEXT(SUMIFS($G$5:$G$1000,$B$5:$B$1000,B27),"0%")&amp;" · ","")&amp;IF((COUNTIF(H27:K27,"&gt;1")+COUNTIF(H27:K27,"&lt;0")+COUNTA(H27:K27)-COUNT(H27:K27))&gt;0,"Avance fuera de rango 0-100%"&amp;" · ","")&amp;IF(OR(AND(I27&lt;&gt;"",I27&lt;H27),AND(J27&lt;&gt;"",J27&lt;MAX(H27:I27)),AND(K27&lt;&gt;"",K27&lt;MAX(H27:J27))),"Avance semanal decreciente"&amp;" · ","")&amp;IF(AND(ISNUMBER(F27),F27&lt;FechaRef,N(L27)&lt;1),"Vencida"&amp;" · ","")&amp;IF(AND(EvidenciaObligatoria="Sí",N(L27)&gt;=1,O27=""),"Completada sin evidencia"&amp;" · ",""),LEN(IF(A27="","Falta ID"&amp;" · ","")&amp;IF(AND(A27&lt;&gt;"",COUNTIF($A$5:$A$1000,A27)&gt;1),"ID duplicado"&amp;" · ","")&amp;IF(B27="","Área sin seleccionar"&amp;" · ","")&amp;IF(AND(B27&lt;&gt;"",ISNA(MATCH(B27,ListaPuestos,0))),"Área no válida"&amp;" · ","")&amp;IF(C27="","Macroactividad vacía"&amp;" · ","")&amp;IF(D27="","Sin responsable"&amp;" · ","")&amp;IF(E27="","Sin fecha de inicio"&amp;" · ","")&amp;IF(F27="","Sin fecha límite"&amp;" · ","")&amp;IF(OR(AND(E27&lt;&gt;"",NOT(ISNUMBER(E27))),AND(F27&lt;&gt;"",NOT(ISNUMBER(F27)))),"Fecha no válida"&amp;" · ","")&amp;IF(AND(ISNUMBER(E27),ISNUMBER(F27),E27&gt;F27),"Inicio posterior a fecha límite"&amp;" · ","")&amp;IF(G27="","Peso vacío"&amp;" · ","")&amp;IF(AND(G27&lt;&gt;"",OR(NOT(ISNUMBER(G27)),G27&lt;=0,G27&gt;1)),"Peso fuera de rango"&amp;" · ","")&amp;IF(AND(B27&lt;&gt;"",ABS(SUMIFS($G$5:$G$1000,$B$5:$B$1000,B27)-1)&gt;0.0001),"Pesos del puesto suman "&amp;TEXT(SUMIFS($G$5:$G$1000,$B$5:$B$1000,B27),"0%")&amp;" · ","")&amp;IF((COUNTIF(H27:K27,"&gt;1")+COUNTIF(H27:K27,"&lt;0")+COUNTA(H27:K27)-COUNT(H27:K27))&gt;0,"Avance fuera de rango 0-100%"&amp;" · ","")&amp;IF(OR(AND(I27&lt;&gt;"",I27&lt;H27),AND(J27&lt;&gt;"",J27&lt;MAX(H27:I27)),AND(K27&lt;&gt;"",K27&lt;MAX(H27:J27))),"Avance semanal decreciente"&amp;" · ","")&amp;IF(AND(ISNUMBER(F27),F27&lt;FechaRef,N(L27)&lt;1),"Vencida"&amp;" · ","")&amp;IF(AND(EvidenciaObligatoria="Sí",N(L27)&gt;=1,O27=""),"Completada sin evidencia"&amp;" · ",""))-3)))</f>
        <v/>
      </c>
    </row>
    <row r="28">
      <c r="A28" s="46" t="n"/>
      <c r="B28" s="47" t="n"/>
      <c r="C28" s="47" t="n"/>
      <c r="D28" s="47" t="n"/>
      <c r="E28" s="48" t="n"/>
      <c r="F28" s="48" t="n"/>
      <c r="G28" s="49" t="n"/>
      <c r="H28" s="50" t="n"/>
      <c r="I28" s="50" t="n"/>
      <c r="J28" s="50" t="n"/>
      <c r="K28" s="50" t="n"/>
      <c r="L28" s="51">
        <f>IF(NOT((COUNTA($A28:$K28)+COUNTA($N28:$O28))&gt;0),"",IFERROR(LOOKUP(2,1/(H28:K28&lt;&gt;""),H28:K28),0))</f>
        <v/>
      </c>
      <c r="M28" s="52">
        <f>IF(L28="","",IF(L28&gt;=1,"Completado",IF(L28&gt;0,"En curso","Pendiente")))</f>
        <v/>
      </c>
      <c r="N28" s="48" t="n"/>
      <c r="O28" s="47" t="n"/>
      <c r="P28" s="53">
        <f>IF(NOT((COUNTA($A28:$K28)+COUNTA($N28:$O28))&gt;0),"",IF((IF(A28="","Falta ID"&amp;" · ","")&amp;IF(AND(A28&lt;&gt;"",COUNTIF($A$5:$A$1000,A28)&gt;1),"ID duplicado"&amp;" · ","")&amp;IF(B28="","Área sin seleccionar"&amp;" · ","")&amp;IF(AND(B28&lt;&gt;"",ISNA(MATCH(B28,ListaPuestos,0))),"Área no válida"&amp;" · ","")&amp;IF(C28="","Macroactividad vacía"&amp;" · ","")&amp;IF(D28="","Sin responsable"&amp;" · ","")&amp;IF(E28="","Sin fecha de inicio"&amp;" · ","")&amp;IF(F28="","Sin fecha límite"&amp;" · ","")&amp;IF(OR(AND(E28&lt;&gt;"",NOT(ISNUMBER(E28))),AND(F28&lt;&gt;"",NOT(ISNUMBER(F28)))),"Fecha no válida"&amp;" · ","")&amp;IF(AND(ISNUMBER(E28),ISNUMBER(F28),E28&gt;F28),"Inicio posterior a fecha límite"&amp;" · ","")&amp;IF(G28="","Peso vacío"&amp;" · ","")&amp;IF(AND(G28&lt;&gt;"",OR(NOT(ISNUMBER(G28)),G28&lt;=0,G28&gt;1)),"Peso fuera de rango"&amp;" · ","")&amp;IF(AND(B28&lt;&gt;"",ABS(SUMIFS($G$5:$G$1000,$B$5:$B$1000,B28)-1)&gt;0.0001),"Pesos del puesto suman "&amp;TEXT(SUMIFS($G$5:$G$1000,$B$5:$B$1000,B28),"0%")&amp;" · ","")&amp;IF((COUNTIF(H28:K28,"&gt;1")+COUNTIF(H28:K28,"&lt;0")+COUNTA(H28:K28)-COUNT(H28:K28))&gt;0,"Avance fuera de rango 0-100%"&amp;" · ","")&amp;IF(OR(AND(I28&lt;&gt;"",I28&lt;H28),AND(J28&lt;&gt;"",J28&lt;MAX(H28:I28)),AND(K28&lt;&gt;"",K28&lt;MAX(H28:J28))),"Avance semanal decreciente"&amp;" · ","")&amp;IF(AND(ISNUMBER(F28),F28&lt;FechaRef,N(L28)&lt;1),"Vencida"&amp;" · ","")&amp;IF(AND(EvidenciaObligatoria="Sí",N(L28)&gt;=1,O28=""),"Completada sin evidencia"&amp;" · ",""))="","✔ OK","⚠ "&amp;LEFT(IF(A28="","Falta ID"&amp;" · ","")&amp;IF(AND(A28&lt;&gt;"",COUNTIF($A$5:$A$1000,A28)&gt;1),"ID duplicado"&amp;" · ","")&amp;IF(B28="","Área sin seleccionar"&amp;" · ","")&amp;IF(AND(B28&lt;&gt;"",ISNA(MATCH(B28,ListaPuestos,0))),"Área no válida"&amp;" · ","")&amp;IF(C28="","Macroactividad vacía"&amp;" · ","")&amp;IF(D28="","Sin responsable"&amp;" · ","")&amp;IF(E28="","Sin fecha de inicio"&amp;" · ","")&amp;IF(F28="","Sin fecha límite"&amp;" · ","")&amp;IF(OR(AND(E28&lt;&gt;"",NOT(ISNUMBER(E28))),AND(F28&lt;&gt;"",NOT(ISNUMBER(F28)))),"Fecha no válida"&amp;" · ","")&amp;IF(AND(ISNUMBER(E28),ISNUMBER(F28),E28&gt;F28),"Inicio posterior a fecha límite"&amp;" · ","")&amp;IF(G28="","Peso vacío"&amp;" · ","")&amp;IF(AND(G28&lt;&gt;"",OR(NOT(ISNUMBER(G28)),G28&lt;=0,G28&gt;1)),"Peso fuera de rango"&amp;" · ","")&amp;IF(AND(B28&lt;&gt;"",ABS(SUMIFS($G$5:$G$1000,$B$5:$B$1000,B28)-1)&gt;0.0001),"Pesos del puesto suman "&amp;TEXT(SUMIFS($G$5:$G$1000,$B$5:$B$1000,B28),"0%")&amp;" · ","")&amp;IF((COUNTIF(H28:K28,"&gt;1")+COUNTIF(H28:K28,"&lt;0")+COUNTA(H28:K28)-COUNT(H28:K28))&gt;0,"Avance fuera de rango 0-100%"&amp;" · ","")&amp;IF(OR(AND(I28&lt;&gt;"",I28&lt;H28),AND(J28&lt;&gt;"",J28&lt;MAX(H28:I28)),AND(K28&lt;&gt;"",K28&lt;MAX(H28:J28))),"Avance semanal decreciente"&amp;" · ","")&amp;IF(AND(ISNUMBER(F28),F28&lt;FechaRef,N(L28)&lt;1),"Vencida"&amp;" · ","")&amp;IF(AND(EvidenciaObligatoria="Sí",N(L28)&gt;=1,O28=""),"Completada sin evidencia"&amp;" · ",""),LEN(IF(A28="","Falta ID"&amp;" · ","")&amp;IF(AND(A28&lt;&gt;"",COUNTIF($A$5:$A$1000,A28)&gt;1),"ID duplicado"&amp;" · ","")&amp;IF(B28="","Área sin seleccionar"&amp;" · ","")&amp;IF(AND(B28&lt;&gt;"",ISNA(MATCH(B28,ListaPuestos,0))),"Área no válida"&amp;" · ","")&amp;IF(C28="","Macroactividad vacía"&amp;" · ","")&amp;IF(D28="","Sin responsable"&amp;" · ","")&amp;IF(E28="","Sin fecha de inicio"&amp;" · ","")&amp;IF(F28="","Sin fecha límite"&amp;" · ","")&amp;IF(OR(AND(E28&lt;&gt;"",NOT(ISNUMBER(E28))),AND(F28&lt;&gt;"",NOT(ISNUMBER(F28)))),"Fecha no válida"&amp;" · ","")&amp;IF(AND(ISNUMBER(E28),ISNUMBER(F28),E28&gt;F28),"Inicio posterior a fecha límite"&amp;" · ","")&amp;IF(G28="","Peso vacío"&amp;" · ","")&amp;IF(AND(G28&lt;&gt;"",OR(NOT(ISNUMBER(G28)),G28&lt;=0,G28&gt;1)),"Peso fuera de rango"&amp;" · ","")&amp;IF(AND(B28&lt;&gt;"",ABS(SUMIFS($G$5:$G$1000,$B$5:$B$1000,B28)-1)&gt;0.0001),"Pesos del puesto suman "&amp;TEXT(SUMIFS($G$5:$G$1000,$B$5:$B$1000,B28),"0%")&amp;" · ","")&amp;IF((COUNTIF(H28:K28,"&gt;1")+COUNTIF(H28:K28,"&lt;0")+COUNTA(H28:K28)-COUNT(H28:K28))&gt;0,"Avance fuera de rango 0-100%"&amp;" · ","")&amp;IF(OR(AND(I28&lt;&gt;"",I28&lt;H28),AND(J28&lt;&gt;"",J28&lt;MAX(H28:I28)),AND(K28&lt;&gt;"",K28&lt;MAX(H28:J28))),"Avance semanal decreciente"&amp;" · ","")&amp;IF(AND(ISNUMBER(F28),F28&lt;FechaRef,N(L28)&lt;1),"Vencida"&amp;" · ","")&amp;IF(AND(EvidenciaObligatoria="Sí",N(L28)&gt;=1,O28=""),"Completada sin evidencia"&amp;" · ",""))-3)))</f>
        <v/>
      </c>
    </row>
    <row r="29">
      <c r="A29" s="46" t="n"/>
      <c r="B29" s="47" t="n"/>
      <c r="C29" s="47" t="n"/>
      <c r="D29" s="47" t="n"/>
      <c r="E29" s="48" t="n"/>
      <c r="F29" s="48" t="n"/>
      <c r="G29" s="49" t="n"/>
      <c r="H29" s="50" t="n"/>
      <c r="I29" s="50" t="n"/>
      <c r="J29" s="50" t="n"/>
      <c r="K29" s="50" t="n"/>
      <c r="L29" s="51">
        <f>IF(NOT((COUNTA($A29:$K29)+COUNTA($N29:$O29))&gt;0),"",IFERROR(LOOKUP(2,1/(H29:K29&lt;&gt;""),H29:K29),0))</f>
        <v/>
      </c>
      <c r="M29" s="52">
        <f>IF(L29="","",IF(L29&gt;=1,"Completado",IF(L29&gt;0,"En curso","Pendiente")))</f>
        <v/>
      </c>
      <c r="N29" s="48" t="n"/>
      <c r="O29" s="47" t="n"/>
      <c r="P29" s="53">
        <f>IF(NOT((COUNTA($A29:$K29)+COUNTA($N29:$O29))&gt;0),"",IF((IF(A29="","Falta ID"&amp;" · ","")&amp;IF(AND(A29&lt;&gt;"",COUNTIF($A$5:$A$1000,A29)&gt;1),"ID duplicado"&amp;" · ","")&amp;IF(B29="","Área sin seleccionar"&amp;" · ","")&amp;IF(AND(B29&lt;&gt;"",ISNA(MATCH(B29,ListaPuestos,0))),"Área no válida"&amp;" · ","")&amp;IF(C29="","Macroactividad vacía"&amp;" · ","")&amp;IF(D29="","Sin responsable"&amp;" · ","")&amp;IF(E29="","Sin fecha de inicio"&amp;" · ","")&amp;IF(F29="","Sin fecha límite"&amp;" · ","")&amp;IF(OR(AND(E29&lt;&gt;"",NOT(ISNUMBER(E29))),AND(F29&lt;&gt;"",NOT(ISNUMBER(F29)))),"Fecha no válida"&amp;" · ","")&amp;IF(AND(ISNUMBER(E29),ISNUMBER(F29),E29&gt;F29),"Inicio posterior a fecha límite"&amp;" · ","")&amp;IF(G29="","Peso vacío"&amp;" · ","")&amp;IF(AND(G29&lt;&gt;"",OR(NOT(ISNUMBER(G29)),G29&lt;=0,G29&gt;1)),"Peso fuera de rango"&amp;" · ","")&amp;IF(AND(B29&lt;&gt;"",ABS(SUMIFS($G$5:$G$1000,$B$5:$B$1000,B29)-1)&gt;0.0001),"Pesos del puesto suman "&amp;TEXT(SUMIFS($G$5:$G$1000,$B$5:$B$1000,B29),"0%")&amp;" · ","")&amp;IF((COUNTIF(H29:K29,"&gt;1")+COUNTIF(H29:K29,"&lt;0")+COUNTA(H29:K29)-COUNT(H29:K29))&gt;0,"Avance fuera de rango 0-100%"&amp;" · ","")&amp;IF(OR(AND(I29&lt;&gt;"",I29&lt;H29),AND(J29&lt;&gt;"",J29&lt;MAX(H29:I29)),AND(K29&lt;&gt;"",K29&lt;MAX(H29:J29))),"Avance semanal decreciente"&amp;" · ","")&amp;IF(AND(ISNUMBER(F29),F29&lt;FechaRef,N(L29)&lt;1),"Vencida"&amp;" · ","")&amp;IF(AND(EvidenciaObligatoria="Sí",N(L29)&gt;=1,O29=""),"Completada sin evidencia"&amp;" · ",""))="","✔ OK","⚠ "&amp;LEFT(IF(A29="","Falta ID"&amp;" · ","")&amp;IF(AND(A29&lt;&gt;"",COUNTIF($A$5:$A$1000,A29)&gt;1),"ID duplicado"&amp;" · ","")&amp;IF(B29="","Área sin seleccionar"&amp;" · ","")&amp;IF(AND(B29&lt;&gt;"",ISNA(MATCH(B29,ListaPuestos,0))),"Área no válida"&amp;" · ","")&amp;IF(C29="","Macroactividad vacía"&amp;" · ","")&amp;IF(D29="","Sin responsable"&amp;" · ","")&amp;IF(E29="","Sin fecha de inicio"&amp;" · ","")&amp;IF(F29="","Sin fecha límite"&amp;" · ","")&amp;IF(OR(AND(E29&lt;&gt;"",NOT(ISNUMBER(E29))),AND(F29&lt;&gt;"",NOT(ISNUMBER(F29)))),"Fecha no válida"&amp;" · ","")&amp;IF(AND(ISNUMBER(E29),ISNUMBER(F29),E29&gt;F29),"Inicio posterior a fecha límite"&amp;" · ","")&amp;IF(G29="","Peso vacío"&amp;" · ","")&amp;IF(AND(G29&lt;&gt;"",OR(NOT(ISNUMBER(G29)),G29&lt;=0,G29&gt;1)),"Peso fuera de rango"&amp;" · ","")&amp;IF(AND(B29&lt;&gt;"",ABS(SUMIFS($G$5:$G$1000,$B$5:$B$1000,B29)-1)&gt;0.0001),"Pesos del puesto suman "&amp;TEXT(SUMIFS($G$5:$G$1000,$B$5:$B$1000,B29),"0%")&amp;" · ","")&amp;IF((COUNTIF(H29:K29,"&gt;1")+COUNTIF(H29:K29,"&lt;0")+COUNTA(H29:K29)-COUNT(H29:K29))&gt;0,"Avance fuera de rango 0-100%"&amp;" · ","")&amp;IF(OR(AND(I29&lt;&gt;"",I29&lt;H29),AND(J29&lt;&gt;"",J29&lt;MAX(H29:I29)),AND(K29&lt;&gt;"",K29&lt;MAX(H29:J29))),"Avance semanal decreciente"&amp;" · ","")&amp;IF(AND(ISNUMBER(F29),F29&lt;FechaRef,N(L29)&lt;1),"Vencida"&amp;" · ","")&amp;IF(AND(EvidenciaObligatoria="Sí",N(L29)&gt;=1,O29=""),"Completada sin evidencia"&amp;" · ",""),LEN(IF(A29="","Falta ID"&amp;" · ","")&amp;IF(AND(A29&lt;&gt;"",COUNTIF($A$5:$A$1000,A29)&gt;1),"ID duplicado"&amp;" · ","")&amp;IF(B29="","Área sin seleccionar"&amp;" · ","")&amp;IF(AND(B29&lt;&gt;"",ISNA(MATCH(B29,ListaPuestos,0))),"Área no válida"&amp;" · ","")&amp;IF(C29="","Macroactividad vacía"&amp;" · ","")&amp;IF(D29="","Sin responsable"&amp;" · ","")&amp;IF(E29="","Sin fecha de inicio"&amp;" · ","")&amp;IF(F29="","Sin fecha límite"&amp;" · ","")&amp;IF(OR(AND(E29&lt;&gt;"",NOT(ISNUMBER(E29))),AND(F29&lt;&gt;"",NOT(ISNUMBER(F29)))),"Fecha no válida"&amp;" · ","")&amp;IF(AND(ISNUMBER(E29),ISNUMBER(F29),E29&gt;F29),"Inicio posterior a fecha límite"&amp;" · ","")&amp;IF(G29="","Peso vacío"&amp;" · ","")&amp;IF(AND(G29&lt;&gt;"",OR(NOT(ISNUMBER(G29)),G29&lt;=0,G29&gt;1)),"Peso fuera de rango"&amp;" · ","")&amp;IF(AND(B29&lt;&gt;"",ABS(SUMIFS($G$5:$G$1000,$B$5:$B$1000,B29)-1)&gt;0.0001),"Pesos del puesto suman "&amp;TEXT(SUMIFS($G$5:$G$1000,$B$5:$B$1000,B29),"0%")&amp;" · ","")&amp;IF((COUNTIF(H29:K29,"&gt;1")+COUNTIF(H29:K29,"&lt;0")+COUNTA(H29:K29)-COUNT(H29:K29))&gt;0,"Avance fuera de rango 0-100%"&amp;" · ","")&amp;IF(OR(AND(I29&lt;&gt;"",I29&lt;H29),AND(J29&lt;&gt;"",J29&lt;MAX(H29:I29)),AND(K29&lt;&gt;"",K29&lt;MAX(H29:J29))),"Avance semanal decreciente"&amp;" · ","")&amp;IF(AND(ISNUMBER(F29),F29&lt;FechaRef,N(L29)&lt;1),"Vencida"&amp;" · ","")&amp;IF(AND(EvidenciaObligatoria="Sí",N(L29)&gt;=1,O29=""),"Completada sin evidencia"&amp;" · ",""))-3)))</f>
        <v/>
      </c>
    </row>
    <row r="30">
      <c r="A30" s="46" t="n"/>
      <c r="B30" s="47" t="n"/>
      <c r="C30" s="47" t="n"/>
      <c r="D30" s="47" t="n"/>
      <c r="E30" s="48" t="n"/>
      <c r="F30" s="48" t="n"/>
      <c r="G30" s="49" t="n"/>
      <c r="H30" s="50" t="n"/>
      <c r="I30" s="50" t="n"/>
      <c r="J30" s="50" t="n"/>
      <c r="K30" s="50" t="n"/>
      <c r="L30" s="51">
        <f>IF(NOT((COUNTA($A30:$K30)+COUNTA($N30:$O30))&gt;0),"",IFERROR(LOOKUP(2,1/(H30:K30&lt;&gt;""),H30:K30),0))</f>
        <v/>
      </c>
      <c r="M30" s="52">
        <f>IF(L30="","",IF(L30&gt;=1,"Completado",IF(L30&gt;0,"En curso","Pendiente")))</f>
        <v/>
      </c>
      <c r="N30" s="48" t="n"/>
      <c r="O30" s="47" t="n"/>
      <c r="P30" s="53">
        <f>IF(NOT((COUNTA($A30:$K30)+COUNTA($N30:$O30))&gt;0),"",IF((IF(A30="","Falta ID"&amp;" · ","")&amp;IF(AND(A30&lt;&gt;"",COUNTIF($A$5:$A$1000,A30)&gt;1),"ID duplicado"&amp;" · ","")&amp;IF(B30="","Área sin seleccionar"&amp;" · ","")&amp;IF(AND(B30&lt;&gt;"",ISNA(MATCH(B30,ListaPuestos,0))),"Área no válida"&amp;" · ","")&amp;IF(C30="","Macroactividad vacía"&amp;" · ","")&amp;IF(D30="","Sin responsable"&amp;" · ","")&amp;IF(E30="","Sin fecha de inicio"&amp;" · ","")&amp;IF(F30="","Sin fecha límite"&amp;" · ","")&amp;IF(OR(AND(E30&lt;&gt;"",NOT(ISNUMBER(E30))),AND(F30&lt;&gt;"",NOT(ISNUMBER(F30)))),"Fecha no válida"&amp;" · ","")&amp;IF(AND(ISNUMBER(E30),ISNUMBER(F30),E30&gt;F30),"Inicio posterior a fecha límite"&amp;" · ","")&amp;IF(G30="","Peso vacío"&amp;" · ","")&amp;IF(AND(G30&lt;&gt;"",OR(NOT(ISNUMBER(G30)),G30&lt;=0,G30&gt;1)),"Peso fuera de rango"&amp;" · ","")&amp;IF(AND(B30&lt;&gt;"",ABS(SUMIFS($G$5:$G$1000,$B$5:$B$1000,B30)-1)&gt;0.0001),"Pesos del puesto suman "&amp;TEXT(SUMIFS($G$5:$G$1000,$B$5:$B$1000,B30),"0%")&amp;" · ","")&amp;IF((COUNTIF(H30:K30,"&gt;1")+COUNTIF(H30:K30,"&lt;0")+COUNTA(H30:K30)-COUNT(H30:K30))&gt;0,"Avance fuera de rango 0-100%"&amp;" · ","")&amp;IF(OR(AND(I30&lt;&gt;"",I30&lt;H30),AND(J30&lt;&gt;"",J30&lt;MAX(H30:I30)),AND(K30&lt;&gt;"",K30&lt;MAX(H30:J30))),"Avance semanal decreciente"&amp;" · ","")&amp;IF(AND(ISNUMBER(F30),F30&lt;FechaRef,N(L30)&lt;1),"Vencida"&amp;" · ","")&amp;IF(AND(EvidenciaObligatoria="Sí",N(L30)&gt;=1,O30=""),"Completada sin evidencia"&amp;" · ",""))="","✔ OK","⚠ "&amp;LEFT(IF(A30="","Falta ID"&amp;" · ","")&amp;IF(AND(A30&lt;&gt;"",COUNTIF($A$5:$A$1000,A30)&gt;1),"ID duplicado"&amp;" · ","")&amp;IF(B30="","Área sin seleccionar"&amp;" · ","")&amp;IF(AND(B30&lt;&gt;"",ISNA(MATCH(B30,ListaPuestos,0))),"Área no válida"&amp;" · ","")&amp;IF(C30="","Macroactividad vacía"&amp;" · ","")&amp;IF(D30="","Sin responsable"&amp;" · ","")&amp;IF(E30="","Sin fecha de inicio"&amp;" · ","")&amp;IF(F30="","Sin fecha límite"&amp;" · ","")&amp;IF(OR(AND(E30&lt;&gt;"",NOT(ISNUMBER(E30))),AND(F30&lt;&gt;"",NOT(ISNUMBER(F30)))),"Fecha no válida"&amp;" · ","")&amp;IF(AND(ISNUMBER(E30),ISNUMBER(F30),E30&gt;F30),"Inicio posterior a fecha límite"&amp;" · ","")&amp;IF(G30="","Peso vacío"&amp;" · ","")&amp;IF(AND(G30&lt;&gt;"",OR(NOT(ISNUMBER(G30)),G30&lt;=0,G30&gt;1)),"Peso fuera de rango"&amp;" · ","")&amp;IF(AND(B30&lt;&gt;"",ABS(SUMIFS($G$5:$G$1000,$B$5:$B$1000,B30)-1)&gt;0.0001),"Pesos del puesto suman "&amp;TEXT(SUMIFS($G$5:$G$1000,$B$5:$B$1000,B30),"0%")&amp;" · ","")&amp;IF((COUNTIF(H30:K30,"&gt;1")+COUNTIF(H30:K30,"&lt;0")+COUNTA(H30:K30)-COUNT(H30:K30))&gt;0,"Avance fuera de rango 0-100%"&amp;" · ","")&amp;IF(OR(AND(I30&lt;&gt;"",I30&lt;H30),AND(J30&lt;&gt;"",J30&lt;MAX(H30:I30)),AND(K30&lt;&gt;"",K30&lt;MAX(H30:J30))),"Avance semanal decreciente"&amp;" · ","")&amp;IF(AND(ISNUMBER(F30),F30&lt;FechaRef,N(L30)&lt;1),"Vencida"&amp;" · ","")&amp;IF(AND(EvidenciaObligatoria="Sí",N(L30)&gt;=1,O30=""),"Completada sin evidencia"&amp;" · ",""),LEN(IF(A30="","Falta ID"&amp;" · ","")&amp;IF(AND(A30&lt;&gt;"",COUNTIF($A$5:$A$1000,A30)&gt;1),"ID duplicado"&amp;" · ","")&amp;IF(B30="","Área sin seleccionar"&amp;" · ","")&amp;IF(AND(B30&lt;&gt;"",ISNA(MATCH(B30,ListaPuestos,0))),"Área no válida"&amp;" · ","")&amp;IF(C30="","Macroactividad vacía"&amp;" · ","")&amp;IF(D30="","Sin responsable"&amp;" · ","")&amp;IF(E30="","Sin fecha de inicio"&amp;" · ","")&amp;IF(F30="","Sin fecha límite"&amp;" · ","")&amp;IF(OR(AND(E30&lt;&gt;"",NOT(ISNUMBER(E30))),AND(F30&lt;&gt;"",NOT(ISNUMBER(F30)))),"Fecha no válida"&amp;" · ","")&amp;IF(AND(ISNUMBER(E30),ISNUMBER(F30),E30&gt;F30),"Inicio posterior a fecha límite"&amp;" · ","")&amp;IF(G30="","Peso vacío"&amp;" · ","")&amp;IF(AND(G30&lt;&gt;"",OR(NOT(ISNUMBER(G30)),G30&lt;=0,G30&gt;1)),"Peso fuera de rango"&amp;" · ","")&amp;IF(AND(B30&lt;&gt;"",ABS(SUMIFS($G$5:$G$1000,$B$5:$B$1000,B30)-1)&gt;0.0001),"Pesos del puesto suman "&amp;TEXT(SUMIFS($G$5:$G$1000,$B$5:$B$1000,B30),"0%")&amp;" · ","")&amp;IF((COUNTIF(H30:K30,"&gt;1")+COUNTIF(H30:K30,"&lt;0")+COUNTA(H30:K30)-COUNT(H30:K30))&gt;0,"Avance fuera de rango 0-100%"&amp;" · ","")&amp;IF(OR(AND(I30&lt;&gt;"",I30&lt;H30),AND(J30&lt;&gt;"",J30&lt;MAX(H30:I30)),AND(K30&lt;&gt;"",K30&lt;MAX(H30:J30))),"Avance semanal decreciente"&amp;" · ","")&amp;IF(AND(ISNUMBER(F30),F30&lt;FechaRef,N(L30)&lt;1),"Vencida"&amp;" · ","")&amp;IF(AND(EvidenciaObligatoria="Sí",N(L30)&gt;=1,O30=""),"Completada sin evidencia"&amp;" · ",""))-3)))</f>
        <v/>
      </c>
    </row>
    <row r="31">
      <c r="A31" s="46" t="n"/>
      <c r="B31" s="47" t="n"/>
      <c r="C31" s="47" t="n"/>
      <c r="D31" s="47" t="n"/>
      <c r="E31" s="48" t="n"/>
      <c r="F31" s="48" t="n"/>
      <c r="G31" s="49" t="n"/>
      <c r="H31" s="50" t="n"/>
      <c r="I31" s="50" t="n"/>
      <c r="J31" s="50" t="n"/>
      <c r="K31" s="50" t="n"/>
      <c r="L31" s="51">
        <f>IF(NOT((COUNTA($A31:$K31)+COUNTA($N31:$O31))&gt;0),"",IFERROR(LOOKUP(2,1/(H31:K31&lt;&gt;""),H31:K31),0))</f>
        <v/>
      </c>
      <c r="M31" s="52">
        <f>IF(L31="","",IF(L31&gt;=1,"Completado",IF(L31&gt;0,"En curso","Pendiente")))</f>
        <v/>
      </c>
      <c r="N31" s="48" t="n"/>
      <c r="O31" s="47" t="n"/>
      <c r="P31" s="53">
        <f>IF(NOT((COUNTA($A31:$K31)+COUNTA($N31:$O31))&gt;0),"",IF((IF(A31="","Falta ID"&amp;" · ","")&amp;IF(AND(A31&lt;&gt;"",COUNTIF($A$5:$A$1000,A31)&gt;1),"ID duplicado"&amp;" · ","")&amp;IF(B31="","Área sin seleccionar"&amp;" · ","")&amp;IF(AND(B31&lt;&gt;"",ISNA(MATCH(B31,ListaPuestos,0))),"Área no válida"&amp;" · ","")&amp;IF(C31="","Macroactividad vacía"&amp;" · ","")&amp;IF(D31="","Sin responsable"&amp;" · ","")&amp;IF(E31="","Sin fecha de inicio"&amp;" · ","")&amp;IF(F31="","Sin fecha límite"&amp;" · ","")&amp;IF(OR(AND(E31&lt;&gt;"",NOT(ISNUMBER(E31))),AND(F31&lt;&gt;"",NOT(ISNUMBER(F31)))),"Fecha no válida"&amp;" · ","")&amp;IF(AND(ISNUMBER(E31),ISNUMBER(F31),E31&gt;F31),"Inicio posterior a fecha límite"&amp;" · ","")&amp;IF(G31="","Peso vacío"&amp;" · ","")&amp;IF(AND(G31&lt;&gt;"",OR(NOT(ISNUMBER(G31)),G31&lt;=0,G31&gt;1)),"Peso fuera de rango"&amp;" · ","")&amp;IF(AND(B31&lt;&gt;"",ABS(SUMIFS($G$5:$G$1000,$B$5:$B$1000,B31)-1)&gt;0.0001),"Pesos del puesto suman "&amp;TEXT(SUMIFS($G$5:$G$1000,$B$5:$B$1000,B31),"0%")&amp;" · ","")&amp;IF((COUNTIF(H31:K31,"&gt;1")+COUNTIF(H31:K31,"&lt;0")+COUNTA(H31:K31)-COUNT(H31:K31))&gt;0,"Avance fuera de rango 0-100%"&amp;" · ","")&amp;IF(OR(AND(I31&lt;&gt;"",I31&lt;H31),AND(J31&lt;&gt;"",J31&lt;MAX(H31:I31)),AND(K31&lt;&gt;"",K31&lt;MAX(H31:J31))),"Avance semanal decreciente"&amp;" · ","")&amp;IF(AND(ISNUMBER(F31),F31&lt;FechaRef,N(L31)&lt;1),"Vencida"&amp;" · ","")&amp;IF(AND(EvidenciaObligatoria="Sí",N(L31)&gt;=1,O31=""),"Completada sin evidencia"&amp;" · ",""))="","✔ OK","⚠ "&amp;LEFT(IF(A31="","Falta ID"&amp;" · ","")&amp;IF(AND(A31&lt;&gt;"",COUNTIF($A$5:$A$1000,A31)&gt;1),"ID duplicado"&amp;" · ","")&amp;IF(B31="","Área sin seleccionar"&amp;" · ","")&amp;IF(AND(B31&lt;&gt;"",ISNA(MATCH(B31,ListaPuestos,0))),"Área no válida"&amp;" · ","")&amp;IF(C31="","Macroactividad vacía"&amp;" · ","")&amp;IF(D31="","Sin responsable"&amp;" · ","")&amp;IF(E31="","Sin fecha de inicio"&amp;" · ","")&amp;IF(F31="","Sin fecha límite"&amp;" · ","")&amp;IF(OR(AND(E31&lt;&gt;"",NOT(ISNUMBER(E31))),AND(F31&lt;&gt;"",NOT(ISNUMBER(F31)))),"Fecha no válida"&amp;" · ","")&amp;IF(AND(ISNUMBER(E31),ISNUMBER(F31),E31&gt;F31),"Inicio posterior a fecha límite"&amp;" · ","")&amp;IF(G31="","Peso vacío"&amp;" · ","")&amp;IF(AND(G31&lt;&gt;"",OR(NOT(ISNUMBER(G31)),G31&lt;=0,G31&gt;1)),"Peso fuera de rango"&amp;" · ","")&amp;IF(AND(B31&lt;&gt;"",ABS(SUMIFS($G$5:$G$1000,$B$5:$B$1000,B31)-1)&gt;0.0001),"Pesos del puesto suman "&amp;TEXT(SUMIFS($G$5:$G$1000,$B$5:$B$1000,B31),"0%")&amp;" · ","")&amp;IF((COUNTIF(H31:K31,"&gt;1")+COUNTIF(H31:K31,"&lt;0")+COUNTA(H31:K31)-COUNT(H31:K31))&gt;0,"Avance fuera de rango 0-100%"&amp;" · ","")&amp;IF(OR(AND(I31&lt;&gt;"",I31&lt;H31),AND(J31&lt;&gt;"",J31&lt;MAX(H31:I31)),AND(K31&lt;&gt;"",K31&lt;MAX(H31:J31))),"Avance semanal decreciente"&amp;" · ","")&amp;IF(AND(ISNUMBER(F31),F31&lt;FechaRef,N(L31)&lt;1),"Vencida"&amp;" · ","")&amp;IF(AND(EvidenciaObligatoria="Sí",N(L31)&gt;=1,O31=""),"Completada sin evidencia"&amp;" · ",""),LEN(IF(A31="","Falta ID"&amp;" · ","")&amp;IF(AND(A31&lt;&gt;"",COUNTIF($A$5:$A$1000,A31)&gt;1),"ID duplicado"&amp;" · ","")&amp;IF(B31="","Área sin seleccionar"&amp;" · ","")&amp;IF(AND(B31&lt;&gt;"",ISNA(MATCH(B31,ListaPuestos,0))),"Área no válida"&amp;" · ","")&amp;IF(C31="","Macroactividad vacía"&amp;" · ","")&amp;IF(D31="","Sin responsable"&amp;" · ","")&amp;IF(E31="","Sin fecha de inicio"&amp;" · ","")&amp;IF(F31="","Sin fecha límite"&amp;" · ","")&amp;IF(OR(AND(E31&lt;&gt;"",NOT(ISNUMBER(E31))),AND(F31&lt;&gt;"",NOT(ISNUMBER(F31)))),"Fecha no válida"&amp;" · ","")&amp;IF(AND(ISNUMBER(E31),ISNUMBER(F31),E31&gt;F31),"Inicio posterior a fecha límite"&amp;" · ","")&amp;IF(G31="","Peso vacío"&amp;" · ","")&amp;IF(AND(G31&lt;&gt;"",OR(NOT(ISNUMBER(G31)),G31&lt;=0,G31&gt;1)),"Peso fuera de rango"&amp;" · ","")&amp;IF(AND(B31&lt;&gt;"",ABS(SUMIFS($G$5:$G$1000,$B$5:$B$1000,B31)-1)&gt;0.0001),"Pesos del puesto suman "&amp;TEXT(SUMIFS($G$5:$G$1000,$B$5:$B$1000,B31),"0%")&amp;" · ","")&amp;IF((COUNTIF(H31:K31,"&gt;1")+COUNTIF(H31:K31,"&lt;0")+COUNTA(H31:K31)-COUNT(H31:K31))&gt;0,"Avance fuera de rango 0-100%"&amp;" · ","")&amp;IF(OR(AND(I31&lt;&gt;"",I31&lt;H31),AND(J31&lt;&gt;"",J31&lt;MAX(H31:I31)),AND(K31&lt;&gt;"",K31&lt;MAX(H31:J31))),"Avance semanal decreciente"&amp;" · ","")&amp;IF(AND(ISNUMBER(F31),F31&lt;FechaRef,N(L31)&lt;1),"Vencida"&amp;" · ","")&amp;IF(AND(EvidenciaObligatoria="Sí",N(L31)&gt;=1,O31=""),"Completada sin evidencia"&amp;" · ",""))-3)))</f>
        <v/>
      </c>
    </row>
    <row r="32">
      <c r="A32" s="46" t="n"/>
      <c r="B32" s="47" t="n"/>
      <c r="C32" s="47" t="n"/>
      <c r="D32" s="47" t="n"/>
      <c r="E32" s="48" t="n"/>
      <c r="F32" s="48" t="n"/>
      <c r="G32" s="49" t="n"/>
      <c r="H32" s="50" t="n"/>
      <c r="I32" s="50" t="n"/>
      <c r="J32" s="50" t="n"/>
      <c r="K32" s="50" t="n"/>
      <c r="L32" s="51">
        <f>IF(NOT((COUNTA($A32:$K32)+COUNTA($N32:$O32))&gt;0),"",IFERROR(LOOKUP(2,1/(H32:K32&lt;&gt;""),H32:K32),0))</f>
        <v/>
      </c>
      <c r="M32" s="52">
        <f>IF(L32="","",IF(L32&gt;=1,"Completado",IF(L32&gt;0,"En curso","Pendiente")))</f>
        <v/>
      </c>
      <c r="N32" s="48" t="n"/>
      <c r="O32" s="47" t="n"/>
      <c r="P32" s="53">
        <f>IF(NOT((COUNTA($A32:$K32)+COUNTA($N32:$O32))&gt;0),"",IF((IF(A32="","Falta ID"&amp;" · ","")&amp;IF(AND(A32&lt;&gt;"",COUNTIF($A$5:$A$1000,A32)&gt;1),"ID duplicado"&amp;" · ","")&amp;IF(B32="","Área sin seleccionar"&amp;" · ","")&amp;IF(AND(B32&lt;&gt;"",ISNA(MATCH(B32,ListaPuestos,0))),"Área no válida"&amp;" · ","")&amp;IF(C32="","Macroactividad vacía"&amp;" · ","")&amp;IF(D32="","Sin responsable"&amp;" · ","")&amp;IF(E32="","Sin fecha de inicio"&amp;" · ","")&amp;IF(F32="","Sin fecha límite"&amp;" · ","")&amp;IF(OR(AND(E32&lt;&gt;"",NOT(ISNUMBER(E32))),AND(F32&lt;&gt;"",NOT(ISNUMBER(F32)))),"Fecha no válida"&amp;" · ","")&amp;IF(AND(ISNUMBER(E32),ISNUMBER(F32),E32&gt;F32),"Inicio posterior a fecha límite"&amp;" · ","")&amp;IF(G32="","Peso vacío"&amp;" · ","")&amp;IF(AND(G32&lt;&gt;"",OR(NOT(ISNUMBER(G32)),G32&lt;=0,G32&gt;1)),"Peso fuera de rango"&amp;" · ","")&amp;IF(AND(B32&lt;&gt;"",ABS(SUMIFS($G$5:$G$1000,$B$5:$B$1000,B32)-1)&gt;0.0001),"Pesos del puesto suman "&amp;TEXT(SUMIFS($G$5:$G$1000,$B$5:$B$1000,B32),"0%")&amp;" · ","")&amp;IF((COUNTIF(H32:K32,"&gt;1")+COUNTIF(H32:K32,"&lt;0")+COUNTA(H32:K32)-COUNT(H32:K32))&gt;0,"Avance fuera de rango 0-100%"&amp;" · ","")&amp;IF(OR(AND(I32&lt;&gt;"",I32&lt;H32),AND(J32&lt;&gt;"",J32&lt;MAX(H32:I32)),AND(K32&lt;&gt;"",K32&lt;MAX(H32:J32))),"Avance semanal decreciente"&amp;" · ","")&amp;IF(AND(ISNUMBER(F32),F32&lt;FechaRef,N(L32)&lt;1),"Vencida"&amp;" · ","")&amp;IF(AND(EvidenciaObligatoria="Sí",N(L32)&gt;=1,O32=""),"Completada sin evidencia"&amp;" · ",""))="","✔ OK","⚠ "&amp;LEFT(IF(A32="","Falta ID"&amp;" · ","")&amp;IF(AND(A32&lt;&gt;"",COUNTIF($A$5:$A$1000,A32)&gt;1),"ID duplicado"&amp;" · ","")&amp;IF(B32="","Área sin seleccionar"&amp;" · ","")&amp;IF(AND(B32&lt;&gt;"",ISNA(MATCH(B32,ListaPuestos,0))),"Área no válida"&amp;" · ","")&amp;IF(C32="","Macroactividad vacía"&amp;" · ","")&amp;IF(D32="","Sin responsable"&amp;" · ","")&amp;IF(E32="","Sin fecha de inicio"&amp;" · ","")&amp;IF(F32="","Sin fecha límite"&amp;" · ","")&amp;IF(OR(AND(E32&lt;&gt;"",NOT(ISNUMBER(E32))),AND(F32&lt;&gt;"",NOT(ISNUMBER(F32)))),"Fecha no válida"&amp;" · ","")&amp;IF(AND(ISNUMBER(E32),ISNUMBER(F32),E32&gt;F32),"Inicio posterior a fecha límite"&amp;" · ","")&amp;IF(G32="","Peso vacío"&amp;" · ","")&amp;IF(AND(G32&lt;&gt;"",OR(NOT(ISNUMBER(G32)),G32&lt;=0,G32&gt;1)),"Peso fuera de rango"&amp;" · ","")&amp;IF(AND(B32&lt;&gt;"",ABS(SUMIFS($G$5:$G$1000,$B$5:$B$1000,B32)-1)&gt;0.0001),"Pesos del puesto suman "&amp;TEXT(SUMIFS($G$5:$G$1000,$B$5:$B$1000,B32),"0%")&amp;" · ","")&amp;IF((COUNTIF(H32:K32,"&gt;1")+COUNTIF(H32:K32,"&lt;0")+COUNTA(H32:K32)-COUNT(H32:K32))&gt;0,"Avance fuera de rango 0-100%"&amp;" · ","")&amp;IF(OR(AND(I32&lt;&gt;"",I32&lt;H32),AND(J32&lt;&gt;"",J32&lt;MAX(H32:I32)),AND(K32&lt;&gt;"",K32&lt;MAX(H32:J32))),"Avance semanal decreciente"&amp;" · ","")&amp;IF(AND(ISNUMBER(F32),F32&lt;FechaRef,N(L32)&lt;1),"Vencida"&amp;" · ","")&amp;IF(AND(EvidenciaObligatoria="Sí",N(L32)&gt;=1,O32=""),"Completada sin evidencia"&amp;" · ",""),LEN(IF(A32="","Falta ID"&amp;" · ","")&amp;IF(AND(A32&lt;&gt;"",COUNTIF($A$5:$A$1000,A32)&gt;1),"ID duplicado"&amp;" · ","")&amp;IF(B32="","Área sin seleccionar"&amp;" · ","")&amp;IF(AND(B32&lt;&gt;"",ISNA(MATCH(B32,ListaPuestos,0))),"Área no válida"&amp;" · ","")&amp;IF(C32="","Macroactividad vacía"&amp;" · ","")&amp;IF(D32="","Sin responsable"&amp;" · ","")&amp;IF(E32="","Sin fecha de inicio"&amp;" · ","")&amp;IF(F32="","Sin fecha límite"&amp;" · ","")&amp;IF(OR(AND(E32&lt;&gt;"",NOT(ISNUMBER(E32))),AND(F32&lt;&gt;"",NOT(ISNUMBER(F32)))),"Fecha no válida"&amp;" · ","")&amp;IF(AND(ISNUMBER(E32),ISNUMBER(F32),E32&gt;F32),"Inicio posterior a fecha límite"&amp;" · ","")&amp;IF(G32="","Peso vacío"&amp;" · ","")&amp;IF(AND(G32&lt;&gt;"",OR(NOT(ISNUMBER(G32)),G32&lt;=0,G32&gt;1)),"Peso fuera de rango"&amp;" · ","")&amp;IF(AND(B32&lt;&gt;"",ABS(SUMIFS($G$5:$G$1000,$B$5:$B$1000,B32)-1)&gt;0.0001),"Pesos del puesto suman "&amp;TEXT(SUMIFS($G$5:$G$1000,$B$5:$B$1000,B32),"0%")&amp;" · ","")&amp;IF((COUNTIF(H32:K32,"&gt;1")+COUNTIF(H32:K32,"&lt;0")+COUNTA(H32:K32)-COUNT(H32:K32))&gt;0,"Avance fuera de rango 0-100%"&amp;" · ","")&amp;IF(OR(AND(I32&lt;&gt;"",I32&lt;H32),AND(J32&lt;&gt;"",J32&lt;MAX(H32:I32)),AND(K32&lt;&gt;"",K32&lt;MAX(H32:J32))),"Avance semanal decreciente"&amp;" · ","")&amp;IF(AND(ISNUMBER(F32),F32&lt;FechaRef,N(L32)&lt;1),"Vencida"&amp;" · ","")&amp;IF(AND(EvidenciaObligatoria="Sí",N(L32)&gt;=1,O32=""),"Completada sin evidencia"&amp;" · ",""))-3)))</f>
        <v/>
      </c>
    </row>
    <row r="33">
      <c r="A33" s="46" t="n"/>
      <c r="B33" s="47" t="n"/>
      <c r="C33" s="47" t="n"/>
      <c r="D33" s="47" t="n"/>
      <c r="E33" s="48" t="n"/>
      <c r="F33" s="48" t="n"/>
      <c r="G33" s="49" t="n"/>
      <c r="H33" s="50" t="n"/>
      <c r="I33" s="50" t="n"/>
      <c r="J33" s="50" t="n"/>
      <c r="K33" s="50" t="n"/>
      <c r="L33" s="51">
        <f>IF(NOT((COUNTA($A33:$K33)+COUNTA($N33:$O33))&gt;0),"",IFERROR(LOOKUP(2,1/(H33:K33&lt;&gt;""),H33:K33),0))</f>
        <v/>
      </c>
      <c r="M33" s="52">
        <f>IF(L33="","",IF(L33&gt;=1,"Completado",IF(L33&gt;0,"En curso","Pendiente")))</f>
        <v/>
      </c>
      <c r="N33" s="48" t="n"/>
      <c r="O33" s="47" t="n"/>
      <c r="P33" s="53">
        <f>IF(NOT((COUNTA($A33:$K33)+COUNTA($N33:$O33))&gt;0),"",IF((IF(A33="","Falta ID"&amp;" · ","")&amp;IF(AND(A33&lt;&gt;"",COUNTIF($A$5:$A$1000,A33)&gt;1),"ID duplicado"&amp;" · ","")&amp;IF(B33="","Área sin seleccionar"&amp;" · ","")&amp;IF(AND(B33&lt;&gt;"",ISNA(MATCH(B33,ListaPuestos,0))),"Área no válida"&amp;" · ","")&amp;IF(C33="","Macroactividad vacía"&amp;" · ","")&amp;IF(D33="","Sin responsable"&amp;" · ","")&amp;IF(E33="","Sin fecha de inicio"&amp;" · ","")&amp;IF(F33="","Sin fecha límite"&amp;" · ","")&amp;IF(OR(AND(E33&lt;&gt;"",NOT(ISNUMBER(E33))),AND(F33&lt;&gt;"",NOT(ISNUMBER(F33)))),"Fecha no válida"&amp;" · ","")&amp;IF(AND(ISNUMBER(E33),ISNUMBER(F33),E33&gt;F33),"Inicio posterior a fecha límite"&amp;" · ","")&amp;IF(G33="","Peso vacío"&amp;" · ","")&amp;IF(AND(G33&lt;&gt;"",OR(NOT(ISNUMBER(G33)),G33&lt;=0,G33&gt;1)),"Peso fuera de rango"&amp;" · ","")&amp;IF(AND(B33&lt;&gt;"",ABS(SUMIFS($G$5:$G$1000,$B$5:$B$1000,B33)-1)&gt;0.0001),"Pesos del puesto suman "&amp;TEXT(SUMIFS($G$5:$G$1000,$B$5:$B$1000,B33),"0%")&amp;" · ","")&amp;IF((COUNTIF(H33:K33,"&gt;1")+COUNTIF(H33:K33,"&lt;0")+COUNTA(H33:K33)-COUNT(H33:K33))&gt;0,"Avance fuera de rango 0-100%"&amp;" · ","")&amp;IF(OR(AND(I33&lt;&gt;"",I33&lt;H33),AND(J33&lt;&gt;"",J33&lt;MAX(H33:I33)),AND(K33&lt;&gt;"",K33&lt;MAX(H33:J33))),"Avance semanal decreciente"&amp;" · ","")&amp;IF(AND(ISNUMBER(F33),F33&lt;FechaRef,N(L33)&lt;1),"Vencida"&amp;" · ","")&amp;IF(AND(EvidenciaObligatoria="Sí",N(L33)&gt;=1,O33=""),"Completada sin evidencia"&amp;" · ",""))="","✔ OK","⚠ "&amp;LEFT(IF(A33="","Falta ID"&amp;" · ","")&amp;IF(AND(A33&lt;&gt;"",COUNTIF($A$5:$A$1000,A33)&gt;1),"ID duplicado"&amp;" · ","")&amp;IF(B33="","Área sin seleccionar"&amp;" · ","")&amp;IF(AND(B33&lt;&gt;"",ISNA(MATCH(B33,ListaPuestos,0))),"Área no válida"&amp;" · ","")&amp;IF(C33="","Macroactividad vacía"&amp;" · ","")&amp;IF(D33="","Sin responsable"&amp;" · ","")&amp;IF(E33="","Sin fecha de inicio"&amp;" · ","")&amp;IF(F33="","Sin fecha límite"&amp;" · ","")&amp;IF(OR(AND(E33&lt;&gt;"",NOT(ISNUMBER(E33))),AND(F33&lt;&gt;"",NOT(ISNUMBER(F33)))),"Fecha no válida"&amp;" · ","")&amp;IF(AND(ISNUMBER(E33),ISNUMBER(F33),E33&gt;F33),"Inicio posterior a fecha límite"&amp;" · ","")&amp;IF(G33="","Peso vacío"&amp;" · ","")&amp;IF(AND(G33&lt;&gt;"",OR(NOT(ISNUMBER(G33)),G33&lt;=0,G33&gt;1)),"Peso fuera de rango"&amp;" · ","")&amp;IF(AND(B33&lt;&gt;"",ABS(SUMIFS($G$5:$G$1000,$B$5:$B$1000,B33)-1)&gt;0.0001),"Pesos del puesto suman "&amp;TEXT(SUMIFS($G$5:$G$1000,$B$5:$B$1000,B33),"0%")&amp;" · ","")&amp;IF((COUNTIF(H33:K33,"&gt;1")+COUNTIF(H33:K33,"&lt;0")+COUNTA(H33:K33)-COUNT(H33:K33))&gt;0,"Avance fuera de rango 0-100%"&amp;" · ","")&amp;IF(OR(AND(I33&lt;&gt;"",I33&lt;H33),AND(J33&lt;&gt;"",J33&lt;MAX(H33:I33)),AND(K33&lt;&gt;"",K33&lt;MAX(H33:J33))),"Avance semanal decreciente"&amp;" · ","")&amp;IF(AND(ISNUMBER(F33),F33&lt;FechaRef,N(L33)&lt;1),"Vencida"&amp;" · ","")&amp;IF(AND(EvidenciaObligatoria="Sí",N(L33)&gt;=1,O33=""),"Completada sin evidencia"&amp;" · ",""),LEN(IF(A33="","Falta ID"&amp;" · ","")&amp;IF(AND(A33&lt;&gt;"",COUNTIF($A$5:$A$1000,A33)&gt;1),"ID duplicado"&amp;" · ","")&amp;IF(B33="","Área sin seleccionar"&amp;" · ","")&amp;IF(AND(B33&lt;&gt;"",ISNA(MATCH(B33,ListaPuestos,0))),"Área no válida"&amp;" · ","")&amp;IF(C33="","Macroactividad vacía"&amp;" · ","")&amp;IF(D33="","Sin responsable"&amp;" · ","")&amp;IF(E33="","Sin fecha de inicio"&amp;" · ","")&amp;IF(F33="","Sin fecha límite"&amp;" · ","")&amp;IF(OR(AND(E33&lt;&gt;"",NOT(ISNUMBER(E33))),AND(F33&lt;&gt;"",NOT(ISNUMBER(F33)))),"Fecha no válida"&amp;" · ","")&amp;IF(AND(ISNUMBER(E33),ISNUMBER(F33),E33&gt;F33),"Inicio posterior a fecha límite"&amp;" · ","")&amp;IF(G33="","Peso vacío"&amp;" · ","")&amp;IF(AND(G33&lt;&gt;"",OR(NOT(ISNUMBER(G33)),G33&lt;=0,G33&gt;1)),"Peso fuera de rango"&amp;" · ","")&amp;IF(AND(B33&lt;&gt;"",ABS(SUMIFS($G$5:$G$1000,$B$5:$B$1000,B33)-1)&gt;0.0001),"Pesos del puesto suman "&amp;TEXT(SUMIFS($G$5:$G$1000,$B$5:$B$1000,B33),"0%")&amp;" · ","")&amp;IF((COUNTIF(H33:K33,"&gt;1")+COUNTIF(H33:K33,"&lt;0")+COUNTA(H33:K33)-COUNT(H33:K33))&gt;0,"Avance fuera de rango 0-100%"&amp;" · ","")&amp;IF(OR(AND(I33&lt;&gt;"",I33&lt;H33),AND(J33&lt;&gt;"",J33&lt;MAX(H33:I33)),AND(K33&lt;&gt;"",K33&lt;MAX(H33:J33))),"Avance semanal decreciente"&amp;" · ","")&amp;IF(AND(ISNUMBER(F33),F33&lt;FechaRef,N(L33)&lt;1),"Vencida"&amp;" · ","")&amp;IF(AND(EvidenciaObligatoria="Sí",N(L33)&gt;=1,O33=""),"Completada sin evidencia"&amp;" · ",""))-3)))</f>
        <v/>
      </c>
    </row>
    <row r="34">
      <c r="A34" s="46" t="n"/>
      <c r="B34" s="47" t="n"/>
      <c r="C34" s="47" t="n"/>
      <c r="D34" s="47" t="n"/>
      <c r="E34" s="48" t="n"/>
      <c r="F34" s="48" t="n"/>
      <c r="G34" s="49" t="n"/>
      <c r="H34" s="50" t="n"/>
      <c r="I34" s="50" t="n"/>
      <c r="J34" s="50" t="n"/>
      <c r="K34" s="50" t="n"/>
      <c r="L34" s="51">
        <f>IF(NOT((COUNTA($A34:$K34)+COUNTA($N34:$O34))&gt;0),"",IFERROR(LOOKUP(2,1/(H34:K34&lt;&gt;""),H34:K34),0))</f>
        <v/>
      </c>
      <c r="M34" s="52">
        <f>IF(L34="","",IF(L34&gt;=1,"Completado",IF(L34&gt;0,"En curso","Pendiente")))</f>
        <v/>
      </c>
      <c r="N34" s="48" t="n"/>
      <c r="O34" s="47" t="n"/>
      <c r="P34" s="53">
        <f>IF(NOT((COUNTA($A34:$K34)+COUNTA($N34:$O34))&gt;0),"",IF((IF(A34="","Falta ID"&amp;" · ","")&amp;IF(AND(A34&lt;&gt;"",COUNTIF($A$5:$A$1000,A34)&gt;1),"ID duplicado"&amp;" · ","")&amp;IF(B34="","Área sin seleccionar"&amp;" · ","")&amp;IF(AND(B34&lt;&gt;"",ISNA(MATCH(B34,ListaPuestos,0))),"Área no válida"&amp;" · ","")&amp;IF(C34="","Macroactividad vacía"&amp;" · ","")&amp;IF(D34="","Sin responsable"&amp;" · ","")&amp;IF(E34="","Sin fecha de inicio"&amp;" · ","")&amp;IF(F34="","Sin fecha límite"&amp;" · ","")&amp;IF(OR(AND(E34&lt;&gt;"",NOT(ISNUMBER(E34))),AND(F34&lt;&gt;"",NOT(ISNUMBER(F34)))),"Fecha no válida"&amp;" · ","")&amp;IF(AND(ISNUMBER(E34),ISNUMBER(F34),E34&gt;F34),"Inicio posterior a fecha límite"&amp;" · ","")&amp;IF(G34="","Peso vacío"&amp;" · ","")&amp;IF(AND(G34&lt;&gt;"",OR(NOT(ISNUMBER(G34)),G34&lt;=0,G34&gt;1)),"Peso fuera de rango"&amp;" · ","")&amp;IF(AND(B34&lt;&gt;"",ABS(SUMIFS($G$5:$G$1000,$B$5:$B$1000,B34)-1)&gt;0.0001),"Pesos del puesto suman "&amp;TEXT(SUMIFS($G$5:$G$1000,$B$5:$B$1000,B34),"0%")&amp;" · ","")&amp;IF((COUNTIF(H34:K34,"&gt;1")+COUNTIF(H34:K34,"&lt;0")+COUNTA(H34:K34)-COUNT(H34:K34))&gt;0,"Avance fuera de rango 0-100%"&amp;" · ","")&amp;IF(OR(AND(I34&lt;&gt;"",I34&lt;H34),AND(J34&lt;&gt;"",J34&lt;MAX(H34:I34)),AND(K34&lt;&gt;"",K34&lt;MAX(H34:J34))),"Avance semanal decreciente"&amp;" · ","")&amp;IF(AND(ISNUMBER(F34),F34&lt;FechaRef,N(L34)&lt;1),"Vencida"&amp;" · ","")&amp;IF(AND(EvidenciaObligatoria="Sí",N(L34)&gt;=1,O34=""),"Completada sin evidencia"&amp;" · ",""))="","✔ OK","⚠ "&amp;LEFT(IF(A34="","Falta ID"&amp;" · ","")&amp;IF(AND(A34&lt;&gt;"",COUNTIF($A$5:$A$1000,A34)&gt;1),"ID duplicado"&amp;" · ","")&amp;IF(B34="","Área sin seleccionar"&amp;" · ","")&amp;IF(AND(B34&lt;&gt;"",ISNA(MATCH(B34,ListaPuestos,0))),"Área no válida"&amp;" · ","")&amp;IF(C34="","Macroactividad vacía"&amp;" · ","")&amp;IF(D34="","Sin responsable"&amp;" · ","")&amp;IF(E34="","Sin fecha de inicio"&amp;" · ","")&amp;IF(F34="","Sin fecha límite"&amp;" · ","")&amp;IF(OR(AND(E34&lt;&gt;"",NOT(ISNUMBER(E34))),AND(F34&lt;&gt;"",NOT(ISNUMBER(F34)))),"Fecha no válida"&amp;" · ","")&amp;IF(AND(ISNUMBER(E34),ISNUMBER(F34),E34&gt;F34),"Inicio posterior a fecha límite"&amp;" · ","")&amp;IF(G34="","Peso vacío"&amp;" · ","")&amp;IF(AND(G34&lt;&gt;"",OR(NOT(ISNUMBER(G34)),G34&lt;=0,G34&gt;1)),"Peso fuera de rango"&amp;" · ","")&amp;IF(AND(B34&lt;&gt;"",ABS(SUMIFS($G$5:$G$1000,$B$5:$B$1000,B34)-1)&gt;0.0001),"Pesos del puesto suman "&amp;TEXT(SUMIFS($G$5:$G$1000,$B$5:$B$1000,B34),"0%")&amp;" · ","")&amp;IF((COUNTIF(H34:K34,"&gt;1")+COUNTIF(H34:K34,"&lt;0")+COUNTA(H34:K34)-COUNT(H34:K34))&gt;0,"Avance fuera de rango 0-100%"&amp;" · ","")&amp;IF(OR(AND(I34&lt;&gt;"",I34&lt;H34),AND(J34&lt;&gt;"",J34&lt;MAX(H34:I34)),AND(K34&lt;&gt;"",K34&lt;MAX(H34:J34))),"Avance semanal decreciente"&amp;" · ","")&amp;IF(AND(ISNUMBER(F34),F34&lt;FechaRef,N(L34)&lt;1),"Vencida"&amp;" · ","")&amp;IF(AND(EvidenciaObligatoria="Sí",N(L34)&gt;=1,O34=""),"Completada sin evidencia"&amp;" · ",""),LEN(IF(A34="","Falta ID"&amp;" · ","")&amp;IF(AND(A34&lt;&gt;"",COUNTIF($A$5:$A$1000,A34)&gt;1),"ID duplicado"&amp;" · ","")&amp;IF(B34="","Área sin seleccionar"&amp;" · ","")&amp;IF(AND(B34&lt;&gt;"",ISNA(MATCH(B34,ListaPuestos,0))),"Área no válida"&amp;" · ","")&amp;IF(C34="","Macroactividad vacía"&amp;" · ","")&amp;IF(D34="","Sin responsable"&amp;" · ","")&amp;IF(E34="","Sin fecha de inicio"&amp;" · ","")&amp;IF(F34="","Sin fecha límite"&amp;" · ","")&amp;IF(OR(AND(E34&lt;&gt;"",NOT(ISNUMBER(E34))),AND(F34&lt;&gt;"",NOT(ISNUMBER(F34)))),"Fecha no válida"&amp;" · ","")&amp;IF(AND(ISNUMBER(E34),ISNUMBER(F34),E34&gt;F34),"Inicio posterior a fecha límite"&amp;" · ","")&amp;IF(G34="","Peso vacío"&amp;" · ","")&amp;IF(AND(G34&lt;&gt;"",OR(NOT(ISNUMBER(G34)),G34&lt;=0,G34&gt;1)),"Peso fuera de rango"&amp;" · ","")&amp;IF(AND(B34&lt;&gt;"",ABS(SUMIFS($G$5:$G$1000,$B$5:$B$1000,B34)-1)&gt;0.0001),"Pesos del puesto suman "&amp;TEXT(SUMIFS($G$5:$G$1000,$B$5:$B$1000,B34),"0%")&amp;" · ","")&amp;IF((COUNTIF(H34:K34,"&gt;1")+COUNTIF(H34:K34,"&lt;0")+COUNTA(H34:K34)-COUNT(H34:K34))&gt;0,"Avance fuera de rango 0-100%"&amp;" · ","")&amp;IF(OR(AND(I34&lt;&gt;"",I34&lt;H34),AND(J34&lt;&gt;"",J34&lt;MAX(H34:I34)),AND(K34&lt;&gt;"",K34&lt;MAX(H34:J34))),"Avance semanal decreciente"&amp;" · ","")&amp;IF(AND(ISNUMBER(F34),F34&lt;FechaRef,N(L34)&lt;1),"Vencida"&amp;" · ","")&amp;IF(AND(EvidenciaObligatoria="Sí",N(L34)&gt;=1,O34=""),"Completada sin evidencia"&amp;" · ",""))-3)))</f>
        <v/>
      </c>
    </row>
    <row r="35">
      <c r="A35" s="46" t="n"/>
      <c r="B35" s="47" t="n"/>
      <c r="C35" s="47" t="n"/>
      <c r="D35" s="47" t="n"/>
      <c r="E35" s="48" t="n"/>
      <c r="F35" s="48" t="n"/>
      <c r="G35" s="49" t="n"/>
      <c r="H35" s="50" t="n"/>
      <c r="I35" s="50" t="n"/>
      <c r="J35" s="50" t="n"/>
      <c r="K35" s="50" t="n"/>
      <c r="L35" s="51">
        <f>IF(NOT((COUNTA($A35:$K35)+COUNTA($N35:$O35))&gt;0),"",IFERROR(LOOKUP(2,1/(H35:K35&lt;&gt;""),H35:K35),0))</f>
        <v/>
      </c>
      <c r="M35" s="52">
        <f>IF(L35="","",IF(L35&gt;=1,"Completado",IF(L35&gt;0,"En curso","Pendiente")))</f>
        <v/>
      </c>
      <c r="N35" s="48" t="n"/>
      <c r="O35" s="47" t="n"/>
      <c r="P35" s="53">
        <f>IF(NOT((COUNTA($A35:$K35)+COUNTA($N35:$O35))&gt;0),"",IF((IF(A35="","Falta ID"&amp;" · ","")&amp;IF(AND(A35&lt;&gt;"",COUNTIF($A$5:$A$1000,A35)&gt;1),"ID duplicado"&amp;" · ","")&amp;IF(B35="","Área sin seleccionar"&amp;" · ","")&amp;IF(AND(B35&lt;&gt;"",ISNA(MATCH(B35,ListaPuestos,0))),"Área no válida"&amp;" · ","")&amp;IF(C35="","Macroactividad vacía"&amp;" · ","")&amp;IF(D35="","Sin responsable"&amp;" · ","")&amp;IF(E35="","Sin fecha de inicio"&amp;" · ","")&amp;IF(F35="","Sin fecha límite"&amp;" · ","")&amp;IF(OR(AND(E35&lt;&gt;"",NOT(ISNUMBER(E35))),AND(F35&lt;&gt;"",NOT(ISNUMBER(F35)))),"Fecha no válida"&amp;" · ","")&amp;IF(AND(ISNUMBER(E35),ISNUMBER(F35),E35&gt;F35),"Inicio posterior a fecha límite"&amp;" · ","")&amp;IF(G35="","Peso vacío"&amp;" · ","")&amp;IF(AND(G35&lt;&gt;"",OR(NOT(ISNUMBER(G35)),G35&lt;=0,G35&gt;1)),"Peso fuera de rango"&amp;" · ","")&amp;IF(AND(B35&lt;&gt;"",ABS(SUMIFS($G$5:$G$1000,$B$5:$B$1000,B35)-1)&gt;0.0001),"Pesos del puesto suman "&amp;TEXT(SUMIFS($G$5:$G$1000,$B$5:$B$1000,B35),"0%")&amp;" · ","")&amp;IF((COUNTIF(H35:K35,"&gt;1")+COUNTIF(H35:K35,"&lt;0")+COUNTA(H35:K35)-COUNT(H35:K35))&gt;0,"Avance fuera de rango 0-100%"&amp;" · ","")&amp;IF(OR(AND(I35&lt;&gt;"",I35&lt;H35),AND(J35&lt;&gt;"",J35&lt;MAX(H35:I35)),AND(K35&lt;&gt;"",K35&lt;MAX(H35:J35))),"Avance semanal decreciente"&amp;" · ","")&amp;IF(AND(ISNUMBER(F35),F35&lt;FechaRef,N(L35)&lt;1),"Vencida"&amp;" · ","")&amp;IF(AND(EvidenciaObligatoria="Sí",N(L35)&gt;=1,O35=""),"Completada sin evidencia"&amp;" · ",""))="","✔ OK","⚠ "&amp;LEFT(IF(A35="","Falta ID"&amp;" · ","")&amp;IF(AND(A35&lt;&gt;"",COUNTIF($A$5:$A$1000,A35)&gt;1),"ID duplicado"&amp;" · ","")&amp;IF(B35="","Área sin seleccionar"&amp;" · ","")&amp;IF(AND(B35&lt;&gt;"",ISNA(MATCH(B35,ListaPuestos,0))),"Área no válida"&amp;" · ","")&amp;IF(C35="","Macroactividad vacía"&amp;" · ","")&amp;IF(D35="","Sin responsable"&amp;" · ","")&amp;IF(E35="","Sin fecha de inicio"&amp;" · ","")&amp;IF(F35="","Sin fecha límite"&amp;" · ","")&amp;IF(OR(AND(E35&lt;&gt;"",NOT(ISNUMBER(E35))),AND(F35&lt;&gt;"",NOT(ISNUMBER(F35)))),"Fecha no válida"&amp;" · ","")&amp;IF(AND(ISNUMBER(E35),ISNUMBER(F35),E35&gt;F35),"Inicio posterior a fecha límite"&amp;" · ","")&amp;IF(G35="","Peso vacío"&amp;" · ","")&amp;IF(AND(G35&lt;&gt;"",OR(NOT(ISNUMBER(G35)),G35&lt;=0,G35&gt;1)),"Peso fuera de rango"&amp;" · ","")&amp;IF(AND(B35&lt;&gt;"",ABS(SUMIFS($G$5:$G$1000,$B$5:$B$1000,B35)-1)&gt;0.0001),"Pesos del puesto suman "&amp;TEXT(SUMIFS($G$5:$G$1000,$B$5:$B$1000,B35),"0%")&amp;" · ","")&amp;IF((COUNTIF(H35:K35,"&gt;1")+COUNTIF(H35:K35,"&lt;0")+COUNTA(H35:K35)-COUNT(H35:K35))&gt;0,"Avance fuera de rango 0-100%"&amp;" · ","")&amp;IF(OR(AND(I35&lt;&gt;"",I35&lt;H35),AND(J35&lt;&gt;"",J35&lt;MAX(H35:I35)),AND(K35&lt;&gt;"",K35&lt;MAX(H35:J35))),"Avance semanal decreciente"&amp;" · ","")&amp;IF(AND(ISNUMBER(F35),F35&lt;FechaRef,N(L35)&lt;1),"Vencida"&amp;" · ","")&amp;IF(AND(EvidenciaObligatoria="Sí",N(L35)&gt;=1,O35=""),"Completada sin evidencia"&amp;" · ",""),LEN(IF(A35="","Falta ID"&amp;" · ","")&amp;IF(AND(A35&lt;&gt;"",COUNTIF($A$5:$A$1000,A35)&gt;1),"ID duplicado"&amp;" · ","")&amp;IF(B35="","Área sin seleccionar"&amp;" · ","")&amp;IF(AND(B35&lt;&gt;"",ISNA(MATCH(B35,ListaPuestos,0))),"Área no válida"&amp;" · ","")&amp;IF(C35="","Macroactividad vacía"&amp;" · ","")&amp;IF(D35="","Sin responsable"&amp;" · ","")&amp;IF(E35="","Sin fecha de inicio"&amp;" · ","")&amp;IF(F35="","Sin fecha límite"&amp;" · ","")&amp;IF(OR(AND(E35&lt;&gt;"",NOT(ISNUMBER(E35))),AND(F35&lt;&gt;"",NOT(ISNUMBER(F35)))),"Fecha no válida"&amp;" · ","")&amp;IF(AND(ISNUMBER(E35),ISNUMBER(F35),E35&gt;F35),"Inicio posterior a fecha límite"&amp;" · ","")&amp;IF(G35="","Peso vacío"&amp;" · ","")&amp;IF(AND(G35&lt;&gt;"",OR(NOT(ISNUMBER(G35)),G35&lt;=0,G35&gt;1)),"Peso fuera de rango"&amp;" · ","")&amp;IF(AND(B35&lt;&gt;"",ABS(SUMIFS($G$5:$G$1000,$B$5:$B$1000,B35)-1)&gt;0.0001),"Pesos del puesto suman "&amp;TEXT(SUMIFS($G$5:$G$1000,$B$5:$B$1000,B35),"0%")&amp;" · ","")&amp;IF((COUNTIF(H35:K35,"&gt;1")+COUNTIF(H35:K35,"&lt;0")+COUNTA(H35:K35)-COUNT(H35:K35))&gt;0,"Avance fuera de rango 0-100%"&amp;" · ","")&amp;IF(OR(AND(I35&lt;&gt;"",I35&lt;H35),AND(J35&lt;&gt;"",J35&lt;MAX(H35:I35)),AND(K35&lt;&gt;"",K35&lt;MAX(H35:J35))),"Avance semanal decreciente"&amp;" · ","")&amp;IF(AND(ISNUMBER(F35),F35&lt;FechaRef,N(L35)&lt;1),"Vencida"&amp;" · ","")&amp;IF(AND(EvidenciaObligatoria="Sí",N(L35)&gt;=1,O35=""),"Completada sin evidencia"&amp;" · ",""))-3)))</f>
        <v/>
      </c>
    </row>
    <row r="36">
      <c r="A36" s="46" t="n"/>
      <c r="B36" s="47" t="n"/>
      <c r="C36" s="47" t="n"/>
      <c r="D36" s="47" t="n"/>
      <c r="E36" s="48" t="n"/>
      <c r="F36" s="48" t="n"/>
      <c r="G36" s="49" t="n"/>
      <c r="H36" s="50" t="n"/>
      <c r="I36" s="50" t="n"/>
      <c r="J36" s="50" t="n"/>
      <c r="K36" s="50" t="n"/>
      <c r="L36" s="51">
        <f>IF(NOT((COUNTA($A36:$K36)+COUNTA($N36:$O36))&gt;0),"",IFERROR(LOOKUP(2,1/(H36:K36&lt;&gt;""),H36:K36),0))</f>
        <v/>
      </c>
      <c r="M36" s="52">
        <f>IF(L36="","",IF(L36&gt;=1,"Completado",IF(L36&gt;0,"En curso","Pendiente")))</f>
        <v/>
      </c>
      <c r="N36" s="48" t="n"/>
      <c r="O36" s="47" t="n"/>
      <c r="P36" s="53">
        <f>IF(NOT((COUNTA($A36:$K36)+COUNTA($N36:$O36))&gt;0),"",IF((IF(A36="","Falta ID"&amp;" · ","")&amp;IF(AND(A36&lt;&gt;"",COUNTIF($A$5:$A$1000,A36)&gt;1),"ID duplicado"&amp;" · ","")&amp;IF(B36="","Área sin seleccionar"&amp;" · ","")&amp;IF(AND(B36&lt;&gt;"",ISNA(MATCH(B36,ListaPuestos,0))),"Área no válida"&amp;" · ","")&amp;IF(C36="","Macroactividad vacía"&amp;" · ","")&amp;IF(D36="","Sin responsable"&amp;" · ","")&amp;IF(E36="","Sin fecha de inicio"&amp;" · ","")&amp;IF(F36="","Sin fecha límite"&amp;" · ","")&amp;IF(OR(AND(E36&lt;&gt;"",NOT(ISNUMBER(E36))),AND(F36&lt;&gt;"",NOT(ISNUMBER(F36)))),"Fecha no válida"&amp;" · ","")&amp;IF(AND(ISNUMBER(E36),ISNUMBER(F36),E36&gt;F36),"Inicio posterior a fecha límite"&amp;" · ","")&amp;IF(G36="","Peso vacío"&amp;" · ","")&amp;IF(AND(G36&lt;&gt;"",OR(NOT(ISNUMBER(G36)),G36&lt;=0,G36&gt;1)),"Peso fuera de rango"&amp;" · ","")&amp;IF(AND(B36&lt;&gt;"",ABS(SUMIFS($G$5:$G$1000,$B$5:$B$1000,B36)-1)&gt;0.0001),"Pesos del puesto suman "&amp;TEXT(SUMIFS($G$5:$G$1000,$B$5:$B$1000,B36),"0%")&amp;" · ","")&amp;IF((COUNTIF(H36:K36,"&gt;1")+COUNTIF(H36:K36,"&lt;0")+COUNTA(H36:K36)-COUNT(H36:K36))&gt;0,"Avance fuera de rango 0-100%"&amp;" · ","")&amp;IF(OR(AND(I36&lt;&gt;"",I36&lt;H36),AND(J36&lt;&gt;"",J36&lt;MAX(H36:I36)),AND(K36&lt;&gt;"",K36&lt;MAX(H36:J36))),"Avance semanal decreciente"&amp;" · ","")&amp;IF(AND(ISNUMBER(F36),F36&lt;FechaRef,N(L36)&lt;1),"Vencida"&amp;" · ","")&amp;IF(AND(EvidenciaObligatoria="Sí",N(L36)&gt;=1,O36=""),"Completada sin evidencia"&amp;" · ",""))="","✔ OK","⚠ "&amp;LEFT(IF(A36="","Falta ID"&amp;" · ","")&amp;IF(AND(A36&lt;&gt;"",COUNTIF($A$5:$A$1000,A36)&gt;1),"ID duplicado"&amp;" · ","")&amp;IF(B36="","Área sin seleccionar"&amp;" · ","")&amp;IF(AND(B36&lt;&gt;"",ISNA(MATCH(B36,ListaPuestos,0))),"Área no válida"&amp;" · ","")&amp;IF(C36="","Macroactividad vacía"&amp;" · ","")&amp;IF(D36="","Sin responsable"&amp;" · ","")&amp;IF(E36="","Sin fecha de inicio"&amp;" · ","")&amp;IF(F36="","Sin fecha límite"&amp;" · ","")&amp;IF(OR(AND(E36&lt;&gt;"",NOT(ISNUMBER(E36))),AND(F36&lt;&gt;"",NOT(ISNUMBER(F36)))),"Fecha no válida"&amp;" · ","")&amp;IF(AND(ISNUMBER(E36),ISNUMBER(F36),E36&gt;F36),"Inicio posterior a fecha límite"&amp;" · ","")&amp;IF(G36="","Peso vacío"&amp;" · ","")&amp;IF(AND(G36&lt;&gt;"",OR(NOT(ISNUMBER(G36)),G36&lt;=0,G36&gt;1)),"Peso fuera de rango"&amp;" · ","")&amp;IF(AND(B36&lt;&gt;"",ABS(SUMIFS($G$5:$G$1000,$B$5:$B$1000,B36)-1)&gt;0.0001),"Pesos del puesto suman "&amp;TEXT(SUMIFS($G$5:$G$1000,$B$5:$B$1000,B36),"0%")&amp;" · ","")&amp;IF((COUNTIF(H36:K36,"&gt;1")+COUNTIF(H36:K36,"&lt;0")+COUNTA(H36:K36)-COUNT(H36:K36))&gt;0,"Avance fuera de rango 0-100%"&amp;" · ","")&amp;IF(OR(AND(I36&lt;&gt;"",I36&lt;H36),AND(J36&lt;&gt;"",J36&lt;MAX(H36:I36)),AND(K36&lt;&gt;"",K36&lt;MAX(H36:J36))),"Avance semanal decreciente"&amp;" · ","")&amp;IF(AND(ISNUMBER(F36),F36&lt;FechaRef,N(L36)&lt;1),"Vencida"&amp;" · ","")&amp;IF(AND(EvidenciaObligatoria="Sí",N(L36)&gt;=1,O36=""),"Completada sin evidencia"&amp;" · ",""),LEN(IF(A36="","Falta ID"&amp;" · ","")&amp;IF(AND(A36&lt;&gt;"",COUNTIF($A$5:$A$1000,A36)&gt;1),"ID duplicado"&amp;" · ","")&amp;IF(B36="","Área sin seleccionar"&amp;" · ","")&amp;IF(AND(B36&lt;&gt;"",ISNA(MATCH(B36,ListaPuestos,0))),"Área no válida"&amp;" · ","")&amp;IF(C36="","Macroactividad vacía"&amp;" · ","")&amp;IF(D36="","Sin responsable"&amp;" · ","")&amp;IF(E36="","Sin fecha de inicio"&amp;" · ","")&amp;IF(F36="","Sin fecha límite"&amp;" · ","")&amp;IF(OR(AND(E36&lt;&gt;"",NOT(ISNUMBER(E36))),AND(F36&lt;&gt;"",NOT(ISNUMBER(F36)))),"Fecha no válida"&amp;" · ","")&amp;IF(AND(ISNUMBER(E36),ISNUMBER(F36),E36&gt;F36),"Inicio posterior a fecha límite"&amp;" · ","")&amp;IF(G36="","Peso vacío"&amp;" · ","")&amp;IF(AND(G36&lt;&gt;"",OR(NOT(ISNUMBER(G36)),G36&lt;=0,G36&gt;1)),"Peso fuera de rango"&amp;" · ","")&amp;IF(AND(B36&lt;&gt;"",ABS(SUMIFS($G$5:$G$1000,$B$5:$B$1000,B36)-1)&gt;0.0001),"Pesos del puesto suman "&amp;TEXT(SUMIFS($G$5:$G$1000,$B$5:$B$1000,B36),"0%")&amp;" · ","")&amp;IF((COUNTIF(H36:K36,"&gt;1")+COUNTIF(H36:K36,"&lt;0")+COUNTA(H36:K36)-COUNT(H36:K36))&gt;0,"Avance fuera de rango 0-100%"&amp;" · ","")&amp;IF(OR(AND(I36&lt;&gt;"",I36&lt;H36),AND(J36&lt;&gt;"",J36&lt;MAX(H36:I36)),AND(K36&lt;&gt;"",K36&lt;MAX(H36:J36))),"Avance semanal decreciente"&amp;" · ","")&amp;IF(AND(ISNUMBER(F36),F36&lt;FechaRef,N(L36)&lt;1),"Vencida"&amp;" · ","")&amp;IF(AND(EvidenciaObligatoria="Sí",N(L36)&gt;=1,O36=""),"Completada sin evidencia"&amp;" · ",""))-3)))</f>
        <v/>
      </c>
    </row>
    <row r="37">
      <c r="A37" s="46" t="n"/>
      <c r="B37" s="47" t="n"/>
      <c r="C37" s="47" t="n"/>
      <c r="D37" s="47" t="n"/>
      <c r="E37" s="48" t="n"/>
      <c r="F37" s="48" t="n"/>
      <c r="G37" s="49" t="n"/>
      <c r="H37" s="50" t="n"/>
      <c r="I37" s="50" t="n"/>
      <c r="J37" s="50" t="n"/>
      <c r="K37" s="50" t="n"/>
      <c r="L37" s="51">
        <f>IF(NOT((COUNTA($A37:$K37)+COUNTA($N37:$O37))&gt;0),"",IFERROR(LOOKUP(2,1/(H37:K37&lt;&gt;""),H37:K37),0))</f>
        <v/>
      </c>
      <c r="M37" s="52">
        <f>IF(L37="","",IF(L37&gt;=1,"Completado",IF(L37&gt;0,"En curso","Pendiente")))</f>
        <v/>
      </c>
      <c r="N37" s="48" t="n"/>
      <c r="O37" s="47" t="n"/>
      <c r="P37" s="53">
        <f>IF(NOT((COUNTA($A37:$K37)+COUNTA($N37:$O37))&gt;0),"",IF((IF(A37="","Falta ID"&amp;" · ","")&amp;IF(AND(A37&lt;&gt;"",COUNTIF($A$5:$A$1000,A37)&gt;1),"ID duplicado"&amp;" · ","")&amp;IF(B37="","Área sin seleccionar"&amp;" · ","")&amp;IF(AND(B37&lt;&gt;"",ISNA(MATCH(B37,ListaPuestos,0))),"Área no válida"&amp;" · ","")&amp;IF(C37="","Macroactividad vacía"&amp;" · ","")&amp;IF(D37="","Sin responsable"&amp;" · ","")&amp;IF(E37="","Sin fecha de inicio"&amp;" · ","")&amp;IF(F37="","Sin fecha límite"&amp;" · ","")&amp;IF(OR(AND(E37&lt;&gt;"",NOT(ISNUMBER(E37))),AND(F37&lt;&gt;"",NOT(ISNUMBER(F37)))),"Fecha no válida"&amp;" · ","")&amp;IF(AND(ISNUMBER(E37),ISNUMBER(F37),E37&gt;F37),"Inicio posterior a fecha límite"&amp;" · ","")&amp;IF(G37="","Peso vacío"&amp;" · ","")&amp;IF(AND(G37&lt;&gt;"",OR(NOT(ISNUMBER(G37)),G37&lt;=0,G37&gt;1)),"Peso fuera de rango"&amp;" · ","")&amp;IF(AND(B37&lt;&gt;"",ABS(SUMIFS($G$5:$G$1000,$B$5:$B$1000,B37)-1)&gt;0.0001),"Pesos del puesto suman "&amp;TEXT(SUMIFS($G$5:$G$1000,$B$5:$B$1000,B37),"0%")&amp;" · ","")&amp;IF((COUNTIF(H37:K37,"&gt;1")+COUNTIF(H37:K37,"&lt;0")+COUNTA(H37:K37)-COUNT(H37:K37))&gt;0,"Avance fuera de rango 0-100%"&amp;" · ","")&amp;IF(OR(AND(I37&lt;&gt;"",I37&lt;H37),AND(J37&lt;&gt;"",J37&lt;MAX(H37:I37)),AND(K37&lt;&gt;"",K37&lt;MAX(H37:J37))),"Avance semanal decreciente"&amp;" · ","")&amp;IF(AND(ISNUMBER(F37),F37&lt;FechaRef,N(L37)&lt;1),"Vencida"&amp;" · ","")&amp;IF(AND(EvidenciaObligatoria="Sí",N(L37)&gt;=1,O37=""),"Completada sin evidencia"&amp;" · ",""))="","✔ OK","⚠ "&amp;LEFT(IF(A37="","Falta ID"&amp;" · ","")&amp;IF(AND(A37&lt;&gt;"",COUNTIF($A$5:$A$1000,A37)&gt;1),"ID duplicado"&amp;" · ","")&amp;IF(B37="","Área sin seleccionar"&amp;" · ","")&amp;IF(AND(B37&lt;&gt;"",ISNA(MATCH(B37,ListaPuestos,0))),"Área no válida"&amp;" · ","")&amp;IF(C37="","Macroactividad vacía"&amp;" · ","")&amp;IF(D37="","Sin responsable"&amp;" · ","")&amp;IF(E37="","Sin fecha de inicio"&amp;" · ","")&amp;IF(F37="","Sin fecha límite"&amp;" · ","")&amp;IF(OR(AND(E37&lt;&gt;"",NOT(ISNUMBER(E37))),AND(F37&lt;&gt;"",NOT(ISNUMBER(F37)))),"Fecha no válida"&amp;" · ","")&amp;IF(AND(ISNUMBER(E37),ISNUMBER(F37),E37&gt;F37),"Inicio posterior a fecha límite"&amp;" · ","")&amp;IF(G37="","Peso vacío"&amp;" · ","")&amp;IF(AND(G37&lt;&gt;"",OR(NOT(ISNUMBER(G37)),G37&lt;=0,G37&gt;1)),"Peso fuera de rango"&amp;" · ","")&amp;IF(AND(B37&lt;&gt;"",ABS(SUMIFS($G$5:$G$1000,$B$5:$B$1000,B37)-1)&gt;0.0001),"Pesos del puesto suman "&amp;TEXT(SUMIFS($G$5:$G$1000,$B$5:$B$1000,B37),"0%")&amp;" · ","")&amp;IF((COUNTIF(H37:K37,"&gt;1")+COUNTIF(H37:K37,"&lt;0")+COUNTA(H37:K37)-COUNT(H37:K37))&gt;0,"Avance fuera de rango 0-100%"&amp;" · ","")&amp;IF(OR(AND(I37&lt;&gt;"",I37&lt;H37),AND(J37&lt;&gt;"",J37&lt;MAX(H37:I37)),AND(K37&lt;&gt;"",K37&lt;MAX(H37:J37))),"Avance semanal decreciente"&amp;" · ","")&amp;IF(AND(ISNUMBER(F37),F37&lt;FechaRef,N(L37)&lt;1),"Vencida"&amp;" · ","")&amp;IF(AND(EvidenciaObligatoria="Sí",N(L37)&gt;=1,O37=""),"Completada sin evidencia"&amp;" · ",""),LEN(IF(A37="","Falta ID"&amp;" · ","")&amp;IF(AND(A37&lt;&gt;"",COUNTIF($A$5:$A$1000,A37)&gt;1),"ID duplicado"&amp;" · ","")&amp;IF(B37="","Área sin seleccionar"&amp;" · ","")&amp;IF(AND(B37&lt;&gt;"",ISNA(MATCH(B37,ListaPuestos,0))),"Área no válida"&amp;" · ","")&amp;IF(C37="","Macroactividad vacía"&amp;" · ","")&amp;IF(D37="","Sin responsable"&amp;" · ","")&amp;IF(E37="","Sin fecha de inicio"&amp;" · ","")&amp;IF(F37="","Sin fecha límite"&amp;" · ","")&amp;IF(OR(AND(E37&lt;&gt;"",NOT(ISNUMBER(E37))),AND(F37&lt;&gt;"",NOT(ISNUMBER(F37)))),"Fecha no válida"&amp;" · ","")&amp;IF(AND(ISNUMBER(E37),ISNUMBER(F37),E37&gt;F37),"Inicio posterior a fecha límite"&amp;" · ","")&amp;IF(G37="","Peso vacío"&amp;" · ","")&amp;IF(AND(G37&lt;&gt;"",OR(NOT(ISNUMBER(G37)),G37&lt;=0,G37&gt;1)),"Peso fuera de rango"&amp;" · ","")&amp;IF(AND(B37&lt;&gt;"",ABS(SUMIFS($G$5:$G$1000,$B$5:$B$1000,B37)-1)&gt;0.0001),"Pesos del puesto suman "&amp;TEXT(SUMIFS($G$5:$G$1000,$B$5:$B$1000,B37),"0%")&amp;" · ","")&amp;IF((COUNTIF(H37:K37,"&gt;1")+COUNTIF(H37:K37,"&lt;0")+COUNTA(H37:K37)-COUNT(H37:K37))&gt;0,"Avance fuera de rango 0-100%"&amp;" · ","")&amp;IF(OR(AND(I37&lt;&gt;"",I37&lt;H37),AND(J37&lt;&gt;"",J37&lt;MAX(H37:I37)),AND(K37&lt;&gt;"",K37&lt;MAX(H37:J37))),"Avance semanal decreciente"&amp;" · ","")&amp;IF(AND(ISNUMBER(F37),F37&lt;FechaRef,N(L37)&lt;1),"Vencida"&amp;" · ","")&amp;IF(AND(EvidenciaObligatoria="Sí",N(L37)&gt;=1,O37=""),"Completada sin evidencia"&amp;" · ",""))-3)))</f>
        <v/>
      </c>
    </row>
    <row r="38">
      <c r="A38" s="46" t="n"/>
      <c r="B38" s="47" t="n"/>
      <c r="C38" s="47" t="n"/>
      <c r="D38" s="47" t="n"/>
      <c r="E38" s="48" t="n"/>
      <c r="F38" s="48" t="n"/>
      <c r="G38" s="49" t="n"/>
      <c r="H38" s="50" t="n"/>
      <c r="I38" s="50" t="n"/>
      <c r="J38" s="50" t="n"/>
      <c r="K38" s="50" t="n"/>
      <c r="L38" s="51">
        <f>IF(NOT((COUNTA($A38:$K38)+COUNTA($N38:$O38))&gt;0),"",IFERROR(LOOKUP(2,1/(H38:K38&lt;&gt;""),H38:K38),0))</f>
        <v/>
      </c>
      <c r="M38" s="52">
        <f>IF(L38="","",IF(L38&gt;=1,"Completado",IF(L38&gt;0,"En curso","Pendiente")))</f>
        <v/>
      </c>
      <c r="N38" s="48" t="n"/>
      <c r="O38" s="47" t="n"/>
      <c r="P38" s="53">
        <f>IF(NOT((COUNTA($A38:$K38)+COUNTA($N38:$O38))&gt;0),"",IF((IF(A38="","Falta ID"&amp;" · ","")&amp;IF(AND(A38&lt;&gt;"",COUNTIF($A$5:$A$1000,A38)&gt;1),"ID duplicado"&amp;" · ","")&amp;IF(B38="","Área sin seleccionar"&amp;" · ","")&amp;IF(AND(B38&lt;&gt;"",ISNA(MATCH(B38,ListaPuestos,0))),"Área no válida"&amp;" · ","")&amp;IF(C38="","Macroactividad vacía"&amp;" · ","")&amp;IF(D38="","Sin responsable"&amp;" · ","")&amp;IF(E38="","Sin fecha de inicio"&amp;" · ","")&amp;IF(F38="","Sin fecha límite"&amp;" · ","")&amp;IF(OR(AND(E38&lt;&gt;"",NOT(ISNUMBER(E38))),AND(F38&lt;&gt;"",NOT(ISNUMBER(F38)))),"Fecha no válida"&amp;" · ","")&amp;IF(AND(ISNUMBER(E38),ISNUMBER(F38),E38&gt;F38),"Inicio posterior a fecha límite"&amp;" · ","")&amp;IF(G38="","Peso vacío"&amp;" · ","")&amp;IF(AND(G38&lt;&gt;"",OR(NOT(ISNUMBER(G38)),G38&lt;=0,G38&gt;1)),"Peso fuera de rango"&amp;" · ","")&amp;IF(AND(B38&lt;&gt;"",ABS(SUMIFS($G$5:$G$1000,$B$5:$B$1000,B38)-1)&gt;0.0001),"Pesos del puesto suman "&amp;TEXT(SUMIFS($G$5:$G$1000,$B$5:$B$1000,B38),"0%")&amp;" · ","")&amp;IF((COUNTIF(H38:K38,"&gt;1")+COUNTIF(H38:K38,"&lt;0")+COUNTA(H38:K38)-COUNT(H38:K38))&gt;0,"Avance fuera de rango 0-100%"&amp;" · ","")&amp;IF(OR(AND(I38&lt;&gt;"",I38&lt;H38),AND(J38&lt;&gt;"",J38&lt;MAX(H38:I38)),AND(K38&lt;&gt;"",K38&lt;MAX(H38:J38))),"Avance semanal decreciente"&amp;" · ","")&amp;IF(AND(ISNUMBER(F38),F38&lt;FechaRef,N(L38)&lt;1),"Vencida"&amp;" · ","")&amp;IF(AND(EvidenciaObligatoria="Sí",N(L38)&gt;=1,O38=""),"Completada sin evidencia"&amp;" · ",""))="","✔ OK","⚠ "&amp;LEFT(IF(A38="","Falta ID"&amp;" · ","")&amp;IF(AND(A38&lt;&gt;"",COUNTIF($A$5:$A$1000,A38)&gt;1),"ID duplicado"&amp;" · ","")&amp;IF(B38="","Área sin seleccionar"&amp;" · ","")&amp;IF(AND(B38&lt;&gt;"",ISNA(MATCH(B38,ListaPuestos,0))),"Área no válida"&amp;" · ","")&amp;IF(C38="","Macroactividad vacía"&amp;" · ","")&amp;IF(D38="","Sin responsable"&amp;" · ","")&amp;IF(E38="","Sin fecha de inicio"&amp;" · ","")&amp;IF(F38="","Sin fecha límite"&amp;" · ","")&amp;IF(OR(AND(E38&lt;&gt;"",NOT(ISNUMBER(E38))),AND(F38&lt;&gt;"",NOT(ISNUMBER(F38)))),"Fecha no válida"&amp;" · ","")&amp;IF(AND(ISNUMBER(E38),ISNUMBER(F38),E38&gt;F38),"Inicio posterior a fecha límite"&amp;" · ","")&amp;IF(G38="","Peso vacío"&amp;" · ","")&amp;IF(AND(G38&lt;&gt;"",OR(NOT(ISNUMBER(G38)),G38&lt;=0,G38&gt;1)),"Peso fuera de rango"&amp;" · ","")&amp;IF(AND(B38&lt;&gt;"",ABS(SUMIFS($G$5:$G$1000,$B$5:$B$1000,B38)-1)&gt;0.0001),"Pesos del puesto suman "&amp;TEXT(SUMIFS($G$5:$G$1000,$B$5:$B$1000,B38),"0%")&amp;" · ","")&amp;IF((COUNTIF(H38:K38,"&gt;1")+COUNTIF(H38:K38,"&lt;0")+COUNTA(H38:K38)-COUNT(H38:K38))&gt;0,"Avance fuera de rango 0-100%"&amp;" · ","")&amp;IF(OR(AND(I38&lt;&gt;"",I38&lt;H38),AND(J38&lt;&gt;"",J38&lt;MAX(H38:I38)),AND(K38&lt;&gt;"",K38&lt;MAX(H38:J38))),"Avance semanal decreciente"&amp;" · ","")&amp;IF(AND(ISNUMBER(F38),F38&lt;FechaRef,N(L38)&lt;1),"Vencida"&amp;" · ","")&amp;IF(AND(EvidenciaObligatoria="Sí",N(L38)&gt;=1,O38=""),"Completada sin evidencia"&amp;" · ",""),LEN(IF(A38="","Falta ID"&amp;" · ","")&amp;IF(AND(A38&lt;&gt;"",COUNTIF($A$5:$A$1000,A38)&gt;1),"ID duplicado"&amp;" · ","")&amp;IF(B38="","Área sin seleccionar"&amp;" · ","")&amp;IF(AND(B38&lt;&gt;"",ISNA(MATCH(B38,ListaPuestos,0))),"Área no válida"&amp;" · ","")&amp;IF(C38="","Macroactividad vacía"&amp;" · ","")&amp;IF(D38="","Sin responsable"&amp;" · ","")&amp;IF(E38="","Sin fecha de inicio"&amp;" · ","")&amp;IF(F38="","Sin fecha límite"&amp;" · ","")&amp;IF(OR(AND(E38&lt;&gt;"",NOT(ISNUMBER(E38))),AND(F38&lt;&gt;"",NOT(ISNUMBER(F38)))),"Fecha no válida"&amp;" · ","")&amp;IF(AND(ISNUMBER(E38),ISNUMBER(F38),E38&gt;F38),"Inicio posterior a fecha límite"&amp;" · ","")&amp;IF(G38="","Peso vacío"&amp;" · ","")&amp;IF(AND(G38&lt;&gt;"",OR(NOT(ISNUMBER(G38)),G38&lt;=0,G38&gt;1)),"Peso fuera de rango"&amp;" · ","")&amp;IF(AND(B38&lt;&gt;"",ABS(SUMIFS($G$5:$G$1000,$B$5:$B$1000,B38)-1)&gt;0.0001),"Pesos del puesto suman "&amp;TEXT(SUMIFS($G$5:$G$1000,$B$5:$B$1000,B38),"0%")&amp;" · ","")&amp;IF((COUNTIF(H38:K38,"&gt;1")+COUNTIF(H38:K38,"&lt;0")+COUNTA(H38:K38)-COUNT(H38:K38))&gt;0,"Avance fuera de rango 0-100%"&amp;" · ","")&amp;IF(OR(AND(I38&lt;&gt;"",I38&lt;H38),AND(J38&lt;&gt;"",J38&lt;MAX(H38:I38)),AND(K38&lt;&gt;"",K38&lt;MAX(H38:J38))),"Avance semanal decreciente"&amp;" · ","")&amp;IF(AND(ISNUMBER(F38),F38&lt;FechaRef,N(L38)&lt;1),"Vencida"&amp;" · ","")&amp;IF(AND(EvidenciaObligatoria="Sí",N(L38)&gt;=1,O38=""),"Completada sin evidencia"&amp;" · ",""))-3)))</f>
        <v/>
      </c>
    </row>
    <row r="39">
      <c r="A39" s="46" t="n"/>
      <c r="B39" s="47" t="n"/>
      <c r="C39" s="47" t="n"/>
      <c r="D39" s="47" t="n"/>
      <c r="E39" s="48" t="n"/>
      <c r="F39" s="48" t="n"/>
      <c r="G39" s="49" t="n"/>
      <c r="H39" s="50" t="n"/>
      <c r="I39" s="50" t="n"/>
      <c r="J39" s="50" t="n"/>
      <c r="K39" s="50" t="n"/>
      <c r="L39" s="51">
        <f>IF(NOT((COUNTA($A39:$K39)+COUNTA($N39:$O39))&gt;0),"",IFERROR(LOOKUP(2,1/(H39:K39&lt;&gt;""),H39:K39),0))</f>
        <v/>
      </c>
      <c r="M39" s="52">
        <f>IF(L39="","",IF(L39&gt;=1,"Completado",IF(L39&gt;0,"En curso","Pendiente")))</f>
        <v/>
      </c>
      <c r="N39" s="48" t="n"/>
      <c r="O39" s="47" t="n"/>
      <c r="P39" s="53">
        <f>IF(NOT((COUNTA($A39:$K39)+COUNTA($N39:$O39))&gt;0),"",IF((IF(A39="","Falta ID"&amp;" · ","")&amp;IF(AND(A39&lt;&gt;"",COUNTIF($A$5:$A$1000,A39)&gt;1),"ID duplicado"&amp;" · ","")&amp;IF(B39="","Área sin seleccionar"&amp;" · ","")&amp;IF(AND(B39&lt;&gt;"",ISNA(MATCH(B39,ListaPuestos,0))),"Área no válida"&amp;" · ","")&amp;IF(C39="","Macroactividad vacía"&amp;" · ","")&amp;IF(D39="","Sin responsable"&amp;" · ","")&amp;IF(E39="","Sin fecha de inicio"&amp;" · ","")&amp;IF(F39="","Sin fecha límite"&amp;" · ","")&amp;IF(OR(AND(E39&lt;&gt;"",NOT(ISNUMBER(E39))),AND(F39&lt;&gt;"",NOT(ISNUMBER(F39)))),"Fecha no válida"&amp;" · ","")&amp;IF(AND(ISNUMBER(E39),ISNUMBER(F39),E39&gt;F39),"Inicio posterior a fecha límite"&amp;" · ","")&amp;IF(G39="","Peso vacío"&amp;" · ","")&amp;IF(AND(G39&lt;&gt;"",OR(NOT(ISNUMBER(G39)),G39&lt;=0,G39&gt;1)),"Peso fuera de rango"&amp;" · ","")&amp;IF(AND(B39&lt;&gt;"",ABS(SUMIFS($G$5:$G$1000,$B$5:$B$1000,B39)-1)&gt;0.0001),"Pesos del puesto suman "&amp;TEXT(SUMIFS($G$5:$G$1000,$B$5:$B$1000,B39),"0%")&amp;" · ","")&amp;IF((COUNTIF(H39:K39,"&gt;1")+COUNTIF(H39:K39,"&lt;0")+COUNTA(H39:K39)-COUNT(H39:K39))&gt;0,"Avance fuera de rango 0-100%"&amp;" · ","")&amp;IF(OR(AND(I39&lt;&gt;"",I39&lt;H39),AND(J39&lt;&gt;"",J39&lt;MAX(H39:I39)),AND(K39&lt;&gt;"",K39&lt;MAX(H39:J39))),"Avance semanal decreciente"&amp;" · ","")&amp;IF(AND(ISNUMBER(F39),F39&lt;FechaRef,N(L39)&lt;1),"Vencida"&amp;" · ","")&amp;IF(AND(EvidenciaObligatoria="Sí",N(L39)&gt;=1,O39=""),"Completada sin evidencia"&amp;" · ",""))="","✔ OK","⚠ "&amp;LEFT(IF(A39="","Falta ID"&amp;" · ","")&amp;IF(AND(A39&lt;&gt;"",COUNTIF($A$5:$A$1000,A39)&gt;1),"ID duplicado"&amp;" · ","")&amp;IF(B39="","Área sin seleccionar"&amp;" · ","")&amp;IF(AND(B39&lt;&gt;"",ISNA(MATCH(B39,ListaPuestos,0))),"Área no válida"&amp;" · ","")&amp;IF(C39="","Macroactividad vacía"&amp;" · ","")&amp;IF(D39="","Sin responsable"&amp;" · ","")&amp;IF(E39="","Sin fecha de inicio"&amp;" · ","")&amp;IF(F39="","Sin fecha límite"&amp;" · ","")&amp;IF(OR(AND(E39&lt;&gt;"",NOT(ISNUMBER(E39))),AND(F39&lt;&gt;"",NOT(ISNUMBER(F39)))),"Fecha no válida"&amp;" · ","")&amp;IF(AND(ISNUMBER(E39),ISNUMBER(F39),E39&gt;F39),"Inicio posterior a fecha límite"&amp;" · ","")&amp;IF(G39="","Peso vacío"&amp;" · ","")&amp;IF(AND(G39&lt;&gt;"",OR(NOT(ISNUMBER(G39)),G39&lt;=0,G39&gt;1)),"Peso fuera de rango"&amp;" · ","")&amp;IF(AND(B39&lt;&gt;"",ABS(SUMIFS($G$5:$G$1000,$B$5:$B$1000,B39)-1)&gt;0.0001),"Pesos del puesto suman "&amp;TEXT(SUMIFS($G$5:$G$1000,$B$5:$B$1000,B39),"0%")&amp;" · ","")&amp;IF((COUNTIF(H39:K39,"&gt;1")+COUNTIF(H39:K39,"&lt;0")+COUNTA(H39:K39)-COUNT(H39:K39))&gt;0,"Avance fuera de rango 0-100%"&amp;" · ","")&amp;IF(OR(AND(I39&lt;&gt;"",I39&lt;H39),AND(J39&lt;&gt;"",J39&lt;MAX(H39:I39)),AND(K39&lt;&gt;"",K39&lt;MAX(H39:J39))),"Avance semanal decreciente"&amp;" · ","")&amp;IF(AND(ISNUMBER(F39),F39&lt;FechaRef,N(L39)&lt;1),"Vencida"&amp;" · ","")&amp;IF(AND(EvidenciaObligatoria="Sí",N(L39)&gt;=1,O39=""),"Completada sin evidencia"&amp;" · ",""),LEN(IF(A39="","Falta ID"&amp;" · ","")&amp;IF(AND(A39&lt;&gt;"",COUNTIF($A$5:$A$1000,A39)&gt;1),"ID duplicado"&amp;" · ","")&amp;IF(B39="","Área sin seleccionar"&amp;" · ","")&amp;IF(AND(B39&lt;&gt;"",ISNA(MATCH(B39,ListaPuestos,0))),"Área no válida"&amp;" · ","")&amp;IF(C39="","Macroactividad vacía"&amp;" · ","")&amp;IF(D39="","Sin responsable"&amp;" · ","")&amp;IF(E39="","Sin fecha de inicio"&amp;" · ","")&amp;IF(F39="","Sin fecha límite"&amp;" · ","")&amp;IF(OR(AND(E39&lt;&gt;"",NOT(ISNUMBER(E39))),AND(F39&lt;&gt;"",NOT(ISNUMBER(F39)))),"Fecha no válida"&amp;" · ","")&amp;IF(AND(ISNUMBER(E39),ISNUMBER(F39),E39&gt;F39),"Inicio posterior a fecha límite"&amp;" · ","")&amp;IF(G39="","Peso vacío"&amp;" · ","")&amp;IF(AND(G39&lt;&gt;"",OR(NOT(ISNUMBER(G39)),G39&lt;=0,G39&gt;1)),"Peso fuera de rango"&amp;" · ","")&amp;IF(AND(B39&lt;&gt;"",ABS(SUMIFS($G$5:$G$1000,$B$5:$B$1000,B39)-1)&gt;0.0001),"Pesos del puesto suman "&amp;TEXT(SUMIFS($G$5:$G$1000,$B$5:$B$1000,B39),"0%")&amp;" · ","")&amp;IF((COUNTIF(H39:K39,"&gt;1")+COUNTIF(H39:K39,"&lt;0")+COUNTA(H39:K39)-COUNT(H39:K39))&gt;0,"Avance fuera de rango 0-100%"&amp;" · ","")&amp;IF(OR(AND(I39&lt;&gt;"",I39&lt;H39),AND(J39&lt;&gt;"",J39&lt;MAX(H39:I39)),AND(K39&lt;&gt;"",K39&lt;MAX(H39:J39))),"Avance semanal decreciente"&amp;" · ","")&amp;IF(AND(ISNUMBER(F39),F39&lt;FechaRef,N(L39)&lt;1),"Vencida"&amp;" · ","")&amp;IF(AND(EvidenciaObligatoria="Sí",N(L39)&gt;=1,O39=""),"Completada sin evidencia"&amp;" · ",""))-3)))</f>
        <v/>
      </c>
    </row>
    <row r="40">
      <c r="A40" s="46" t="n"/>
      <c r="B40" s="47" t="n"/>
      <c r="C40" s="47" t="n"/>
      <c r="D40" s="47" t="n"/>
      <c r="E40" s="48" t="n"/>
      <c r="F40" s="48" t="n"/>
      <c r="G40" s="49" t="n"/>
      <c r="H40" s="50" t="n"/>
      <c r="I40" s="50" t="n"/>
      <c r="J40" s="50" t="n"/>
      <c r="K40" s="50" t="n"/>
      <c r="L40" s="51">
        <f>IF(NOT((COUNTA($A40:$K40)+COUNTA($N40:$O40))&gt;0),"",IFERROR(LOOKUP(2,1/(H40:K40&lt;&gt;""),H40:K40),0))</f>
        <v/>
      </c>
      <c r="M40" s="52">
        <f>IF(L40="","",IF(L40&gt;=1,"Completado",IF(L40&gt;0,"En curso","Pendiente")))</f>
        <v/>
      </c>
      <c r="N40" s="48" t="n"/>
      <c r="O40" s="47" t="n"/>
      <c r="P40" s="53">
        <f>IF(NOT((COUNTA($A40:$K40)+COUNTA($N40:$O40))&gt;0),"",IF((IF(A40="","Falta ID"&amp;" · ","")&amp;IF(AND(A40&lt;&gt;"",COUNTIF($A$5:$A$1000,A40)&gt;1),"ID duplicado"&amp;" · ","")&amp;IF(B40="","Área sin seleccionar"&amp;" · ","")&amp;IF(AND(B40&lt;&gt;"",ISNA(MATCH(B40,ListaPuestos,0))),"Área no válida"&amp;" · ","")&amp;IF(C40="","Macroactividad vacía"&amp;" · ","")&amp;IF(D40="","Sin responsable"&amp;" · ","")&amp;IF(E40="","Sin fecha de inicio"&amp;" · ","")&amp;IF(F40="","Sin fecha límite"&amp;" · ","")&amp;IF(OR(AND(E40&lt;&gt;"",NOT(ISNUMBER(E40))),AND(F40&lt;&gt;"",NOT(ISNUMBER(F40)))),"Fecha no válida"&amp;" · ","")&amp;IF(AND(ISNUMBER(E40),ISNUMBER(F40),E40&gt;F40),"Inicio posterior a fecha límite"&amp;" · ","")&amp;IF(G40="","Peso vacío"&amp;" · ","")&amp;IF(AND(G40&lt;&gt;"",OR(NOT(ISNUMBER(G40)),G40&lt;=0,G40&gt;1)),"Peso fuera de rango"&amp;" · ","")&amp;IF(AND(B40&lt;&gt;"",ABS(SUMIFS($G$5:$G$1000,$B$5:$B$1000,B40)-1)&gt;0.0001),"Pesos del puesto suman "&amp;TEXT(SUMIFS($G$5:$G$1000,$B$5:$B$1000,B40),"0%")&amp;" · ","")&amp;IF((COUNTIF(H40:K40,"&gt;1")+COUNTIF(H40:K40,"&lt;0")+COUNTA(H40:K40)-COUNT(H40:K40))&gt;0,"Avance fuera de rango 0-100%"&amp;" · ","")&amp;IF(OR(AND(I40&lt;&gt;"",I40&lt;H40),AND(J40&lt;&gt;"",J40&lt;MAX(H40:I40)),AND(K40&lt;&gt;"",K40&lt;MAX(H40:J40))),"Avance semanal decreciente"&amp;" · ","")&amp;IF(AND(ISNUMBER(F40),F40&lt;FechaRef,N(L40)&lt;1),"Vencida"&amp;" · ","")&amp;IF(AND(EvidenciaObligatoria="Sí",N(L40)&gt;=1,O40=""),"Completada sin evidencia"&amp;" · ",""))="","✔ OK","⚠ "&amp;LEFT(IF(A40="","Falta ID"&amp;" · ","")&amp;IF(AND(A40&lt;&gt;"",COUNTIF($A$5:$A$1000,A40)&gt;1),"ID duplicado"&amp;" · ","")&amp;IF(B40="","Área sin seleccionar"&amp;" · ","")&amp;IF(AND(B40&lt;&gt;"",ISNA(MATCH(B40,ListaPuestos,0))),"Área no válida"&amp;" · ","")&amp;IF(C40="","Macroactividad vacía"&amp;" · ","")&amp;IF(D40="","Sin responsable"&amp;" · ","")&amp;IF(E40="","Sin fecha de inicio"&amp;" · ","")&amp;IF(F40="","Sin fecha límite"&amp;" · ","")&amp;IF(OR(AND(E40&lt;&gt;"",NOT(ISNUMBER(E40))),AND(F40&lt;&gt;"",NOT(ISNUMBER(F40)))),"Fecha no válida"&amp;" · ","")&amp;IF(AND(ISNUMBER(E40),ISNUMBER(F40),E40&gt;F40),"Inicio posterior a fecha límite"&amp;" · ","")&amp;IF(G40="","Peso vacío"&amp;" · ","")&amp;IF(AND(G40&lt;&gt;"",OR(NOT(ISNUMBER(G40)),G40&lt;=0,G40&gt;1)),"Peso fuera de rango"&amp;" · ","")&amp;IF(AND(B40&lt;&gt;"",ABS(SUMIFS($G$5:$G$1000,$B$5:$B$1000,B40)-1)&gt;0.0001),"Pesos del puesto suman "&amp;TEXT(SUMIFS($G$5:$G$1000,$B$5:$B$1000,B40),"0%")&amp;" · ","")&amp;IF((COUNTIF(H40:K40,"&gt;1")+COUNTIF(H40:K40,"&lt;0")+COUNTA(H40:K40)-COUNT(H40:K40))&gt;0,"Avance fuera de rango 0-100%"&amp;" · ","")&amp;IF(OR(AND(I40&lt;&gt;"",I40&lt;H40),AND(J40&lt;&gt;"",J40&lt;MAX(H40:I40)),AND(K40&lt;&gt;"",K40&lt;MAX(H40:J40))),"Avance semanal decreciente"&amp;" · ","")&amp;IF(AND(ISNUMBER(F40),F40&lt;FechaRef,N(L40)&lt;1),"Vencida"&amp;" · ","")&amp;IF(AND(EvidenciaObligatoria="Sí",N(L40)&gt;=1,O40=""),"Completada sin evidencia"&amp;" · ",""),LEN(IF(A40="","Falta ID"&amp;" · ","")&amp;IF(AND(A40&lt;&gt;"",COUNTIF($A$5:$A$1000,A40)&gt;1),"ID duplicado"&amp;" · ","")&amp;IF(B40="","Área sin seleccionar"&amp;" · ","")&amp;IF(AND(B40&lt;&gt;"",ISNA(MATCH(B40,ListaPuestos,0))),"Área no válida"&amp;" · ","")&amp;IF(C40="","Macroactividad vacía"&amp;" · ","")&amp;IF(D40="","Sin responsable"&amp;" · ","")&amp;IF(E40="","Sin fecha de inicio"&amp;" · ","")&amp;IF(F40="","Sin fecha límite"&amp;" · ","")&amp;IF(OR(AND(E40&lt;&gt;"",NOT(ISNUMBER(E40))),AND(F40&lt;&gt;"",NOT(ISNUMBER(F40)))),"Fecha no válida"&amp;" · ","")&amp;IF(AND(ISNUMBER(E40),ISNUMBER(F40),E40&gt;F40),"Inicio posterior a fecha límite"&amp;" · ","")&amp;IF(G40="","Peso vacío"&amp;" · ","")&amp;IF(AND(G40&lt;&gt;"",OR(NOT(ISNUMBER(G40)),G40&lt;=0,G40&gt;1)),"Peso fuera de rango"&amp;" · ","")&amp;IF(AND(B40&lt;&gt;"",ABS(SUMIFS($G$5:$G$1000,$B$5:$B$1000,B40)-1)&gt;0.0001),"Pesos del puesto suman "&amp;TEXT(SUMIFS($G$5:$G$1000,$B$5:$B$1000,B40),"0%")&amp;" · ","")&amp;IF((COUNTIF(H40:K40,"&gt;1")+COUNTIF(H40:K40,"&lt;0")+COUNTA(H40:K40)-COUNT(H40:K40))&gt;0,"Avance fuera de rango 0-100%"&amp;" · ","")&amp;IF(OR(AND(I40&lt;&gt;"",I40&lt;H40),AND(J40&lt;&gt;"",J40&lt;MAX(H40:I40)),AND(K40&lt;&gt;"",K40&lt;MAX(H40:J40))),"Avance semanal decreciente"&amp;" · ","")&amp;IF(AND(ISNUMBER(F40),F40&lt;FechaRef,N(L40)&lt;1),"Vencida"&amp;" · ","")&amp;IF(AND(EvidenciaObligatoria="Sí",N(L40)&gt;=1,O40=""),"Completada sin evidencia"&amp;" · ",""))-3)))</f>
        <v/>
      </c>
    </row>
    <row r="41">
      <c r="A41" s="46" t="n"/>
      <c r="B41" s="47" t="n"/>
      <c r="C41" s="47" t="n"/>
      <c r="D41" s="47" t="n"/>
      <c r="E41" s="48" t="n"/>
      <c r="F41" s="48" t="n"/>
      <c r="G41" s="49" t="n"/>
      <c r="H41" s="50" t="n"/>
      <c r="I41" s="50" t="n"/>
      <c r="J41" s="50" t="n"/>
      <c r="K41" s="50" t="n"/>
      <c r="L41" s="51">
        <f>IF(NOT((COUNTA($A41:$K41)+COUNTA($N41:$O41))&gt;0),"",IFERROR(LOOKUP(2,1/(H41:K41&lt;&gt;""),H41:K41),0))</f>
        <v/>
      </c>
      <c r="M41" s="52">
        <f>IF(L41="","",IF(L41&gt;=1,"Completado",IF(L41&gt;0,"En curso","Pendiente")))</f>
        <v/>
      </c>
      <c r="N41" s="48" t="n"/>
      <c r="O41" s="47" t="n"/>
      <c r="P41" s="53">
        <f>IF(NOT((COUNTA($A41:$K41)+COUNTA($N41:$O41))&gt;0),"",IF((IF(A41="","Falta ID"&amp;" · ","")&amp;IF(AND(A41&lt;&gt;"",COUNTIF($A$5:$A$1000,A41)&gt;1),"ID duplicado"&amp;" · ","")&amp;IF(B41="","Área sin seleccionar"&amp;" · ","")&amp;IF(AND(B41&lt;&gt;"",ISNA(MATCH(B41,ListaPuestos,0))),"Área no válida"&amp;" · ","")&amp;IF(C41="","Macroactividad vacía"&amp;" · ","")&amp;IF(D41="","Sin responsable"&amp;" · ","")&amp;IF(E41="","Sin fecha de inicio"&amp;" · ","")&amp;IF(F41="","Sin fecha límite"&amp;" · ","")&amp;IF(OR(AND(E41&lt;&gt;"",NOT(ISNUMBER(E41))),AND(F41&lt;&gt;"",NOT(ISNUMBER(F41)))),"Fecha no válida"&amp;" · ","")&amp;IF(AND(ISNUMBER(E41),ISNUMBER(F41),E41&gt;F41),"Inicio posterior a fecha límite"&amp;" · ","")&amp;IF(G41="","Peso vacío"&amp;" · ","")&amp;IF(AND(G41&lt;&gt;"",OR(NOT(ISNUMBER(G41)),G41&lt;=0,G41&gt;1)),"Peso fuera de rango"&amp;" · ","")&amp;IF(AND(B41&lt;&gt;"",ABS(SUMIFS($G$5:$G$1000,$B$5:$B$1000,B41)-1)&gt;0.0001),"Pesos del puesto suman "&amp;TEXT(SUMIFS($G$5:$G$1000,$B$5:$B$1000,B41),"0%")&amp;" · ","")&amp;IF((COUNTIF(H41:K41,"&gt;1")+COUNTIF(H41:K41,"&lt;0")+COUNTA(H41:K41)-COUNT(H41:K41))&gt;0,"Avance fuera de rango 0-100%"&amp;" · ","")&amp;IF(OR(AND(I41&lt;&gt;"",I41&lt;H41),AND(J41&lt;&gt;"",J41&lt;MAX(H41:I41)),AND(K41&lt;&gt;"",K41&lt;MAX(H41:J41))),"Avance semanal decreciente"&amp;" · ","")&amp;IF(AND(ISNUMBER(F41),F41&lt;FechaRef,N(L41)&lt;1),"Vencida"&amp;" · ","")&amp;IF(AND(EvidenciaObligatoria="Sí",N(L41)&gt;=1,O41=""),"Completada sin evidencia"&amp;" · ",""))="","✔ OK","⚠ "&amp;LEFT(IF(A41="","Falta ID"&amp;" · ","")&amp;IF(AND(A41&lt;&gt;"",COUNTIF($A$5:$A$1000,A41)&gt;1),"ID duplicado"&amp;" · ","")&amp;IF(B41="","Área sin seleccionar"&amp;" · ","")&amp;IF(AND(B41&lt;&gt;"",ISNA(MATCH(B41,ListaPuestos,0))),"Área no válida"&amp;" · ","")&amp;IF(C41="","Macroactividad vacía"&amp;" · ","")&amp;IF(D41="","Sin responsable"&amp;" · ","")&amp;IF(E41="","Sin fecha de inicio"&amp;" · ","")&amp;IF(F41="","Sin fecha límite"&amp;" · ","")&amp;IF(OR(AND(E41&lt;&gt;"",NOT(ISNUMBER(E41))),AND(F41&lt;&gt;"",NOT(ISNUMBER(F41)))),"Fecha no válida"&amp;" · ","")&amp;IF(AND(ISNUMBER(E41),ISNUMBER(F41),E41&gt;F41),"Inicio posterior a fecha límite"&amp;" · ","")&amp;IF(G41="","Peso vacío"&amp;" · ","")&amp;IF(AND(G41&lt;&gt;"",OR(NOT(ISNUMBER(G41)),G41&lt;=0,G41&gt;1)),"Peso fuera de rango"&amp;" · ","")&amp;IF(AND(B41&lt;&gt;"",ABS(SUMIFS($G$5:$G$1000,$B$5:$B$1000,B41)-1)&gt;0.0001),"Pesos del puesto suman "&amp;TEXT(SUMIFS($G$5:$G$1000,$B$5:$B$1000,B41),"0%")&amp;" · ","")&amp;IF((COUNTIF(H41:K41,"&gt;1")+COUNTIF(H41:K41,"&lt;0")+COUNTA(H41:K41)-COUNT(H41:K41))&gt;0,"Avance fuera de rango 0-100%"&amp;" · ","")&amp;IF(OR(AND(I41&lt;&gt;"",I41&lt;H41),AND(J41&lt;&gt;"",J41&lt;MAX(H41:I41)),AND(K41&lt;&gt;"",K41&lt;MAX(H41:J41))),"Avance semanal decreciente"&amp;" · ","")&amp;IF(AND(ISNUMBER(F41),F41&lt;FechaRef,N(L41)&lt;1),"Vencida"&amp;" · ","")&amp;IF(AND(EvidenciaObligatoria="Sí",N(L41)&gt;=1,O41=""),"Completada sin evidencia"&amp;" · ",""),LEN(IF(A41="","Falta ID"&amp;" · ","")&amp;IF(AND(A41&lt;&gt;"",COUNTIF($A$5:$A$1000,A41)&gt;1),"ID duplicado"&amp;" · ","")&amp;IF(B41="","Área sin seleccionar"&amp;" · ","")&amp;IF(AND(B41&lt;&gt;"",ISNA(MATCH(B41,ListaPuestos,0))),"Área no válida"&amp;" · ","")&amp;IF(C41="","Macroactividad vacía"&amp;" · ","")&amp;IF(D41="","Sin responsable"&amp;" · ","")&amp;IF(E41="","Sin fecha de inicio"&amp;" · ","")&amp;IF(F41="","Sin fecha límite"&amp;" · ","")&amp;IF(OR(AND(E41&lt;&gt;"",NOT(ISNUMBER(E41))),AND(F41&lt;&gt;"",NOT(ISNUMBER(F41)))),"Fecha no válida"&amp;" · ","")&amp;IF(AND(ISNUMBER(E41),ISNUMBER(F41),E41&gt;F41),"Inicio posterior a fecha límite"&amp;" · ","")&amp;IF(G41="","Peso vacío"&amp;" · ","")&amp;IF(AND(G41&lt;&gt;"",OR(NOT(ISNUMBER(G41)),G41&lt;=0,G41&gt;1)),"Peso fuera de rango"&amp;" · ","")&amp;IF(AND(B41&lt;&gt;"",ABS(SUMIFS($G$5:$G$1000,$B$5:$B$1000,B41)-1)&gt;0.0001),"Pesos del puesto suman "&amp;TEXT(SUMIFS($G$5:$G$1000,$B$5:$B$1000,B41),"0%")&amp;" · ","")&amp;IF((COUNTIF(H41:K41,"&gt;1")+COUNTIF(H41:K41,"&lt;0")+COUNTA(H41:K41)-COUNT(H41:K41))&gt;0,"Avance fuera de rango 0-100%"&amp;" · ","")&amp;IF(OR(AND(I41&lt;&gt;"",I41&lt;H41),AND(J41&lt;&gt;"",J41&lt;MAX(H41:I41)),AND(K41&lt;&gt;"",K41&lt;MAX(H41:J41))),"Avance semanal decreciente"&amp;" · ","")&amp;IF(AND(ISNUMBER(F41),F41&lt;FechaRef,N(L41)&lt;1),"Vencida"&amp;" · ","")&amp;IF(AND(EvidenciaObligatoria="Sí",N(L41)&gt;=1,O41=""),"Completada sin evidencia"&amp;" · ",""))-3)))</f>
        <v/>
      </c>
    </row>
    <row r="42">
      <c r="A42" s="46" t="n"/>
      <c r="B42" s="47" t="n"/>
      <c r="C42" s="47" t="n"/>
      <c r="D42" s="47" t="n"/>
      <c r="E42" s="48" t="n"/>
      <c r="F42" s="48" t="n"/>
      <c r="G42" s="49" t="n"/>
      <c r="H42" s="50" t="n"/>
      <c r="I42" s="50" t="n"/>
      <c r="J42" s="50" t="n"/>
      <c r="K42" s="50" t="n"/>
      <c r="L42" s="51">
        <f>IF(NOT((COUNTA($A42:$K42)+COUNTA($N42:$O42))&gt;0),"",IFERROR(LOOKUP(2,1/(H42:K42&lt;&gt;""),H42:K42),0))</f>
        <v/>
      </c>
      <c r="M42" s="52">
        <f>IF(L42="","",IF(L42&gt;=1,"Completado",IF(L42&gt;0,"En curso","Pendiente")))</f>
        <v/>
      </c>
      <c r="N42" s="48" t="n"/>
      <c r="O42" s="47" t="n"/>
      <c r="P42" s="53">
        <f>IF(NOT((COUNTA($A42:$K42)+COUNTA($N42:$O42))&gt;0),"",IF((IF(A42="","Falta ID"&amp;" · ","")&amp;IF(AND(A42&lt;&gt;"",COUNTIF($A$5:$A$1000,A42)&gt;1),"ID duplicado"&amp;" · ","")&amp;IF(B42="","Área sin seleccionar"&amp;" · ","")&amp;IF(AND(B42&lt;&gt;"",ISNA(MATCH(B42,ListaPuestos,0))),"Área no válida"&amp;" · ","")&amp;IF(C42="","Macroactividad vacía"&amp;" · ","")&amp;IF(D42="","Sin responsable"&amp;" · ","")&amp;IF(E42="","Sin fecha de inicio"&amp;" · ","")&amp;IF(F42="","Sin fecha límite"&amp;" · ","")&amp;IF(OR(AND(E42&lt;&gt;"",NOT(ISNUMBER(E42))),AND(F42&lt;&gt;"",NOT(ISNUMBER(F42)))),"Fecha no válida"&amp;" · ","")&amp;IF(AND(ISNUMBER(E42),ISNUMBER(F42),E42&gt;F42),"Inicio posterior a fecha límite"&amp;" · ","")&amp;IF(G42="","Peso vacío"&amp;" · ","")&amp;IF(AND(G42&lt;&gt;"",OR(NOT(ISNUMBER(G42)),G42&lt;=0,G42&gt;1)),"Peso fuera de rango"&amp;" · ","")&amp;IF(AND(B42&lt;&gt;"",ABS(SUMIFS($G$5:$G$1000,$B$5:$B$1000,B42)-1)&gt;0.0001),"Pesos del puesto suman "&amp;TEXT(SUMIFS($G$5:$G$1000,$B$5:$B$1000,B42),"0%")&amp;" · ","")&amp;IF((COUNTIF(H42:K42,"&gt;1")+COUNTIF(H42:K42,"&lt;0")+COUNTA(H42:K42)-COUNT(H42:K42))&gt;0,"Avance fuera de rango 0-100%"&amp;" · ","")&amp;IF(OR(AND(I42&lt;&gt;"",I42&lt;H42),AND(J42&lt;&gt;"",J42&lt;MAX(H42:I42)),AND(K42&lt;&gt;"",K42&lt;MAX(H42:J42))),"Avance semanal decreciente"&amp;" · ","")&amp;IF(AND(ISNUMBER(F42),F42&lt;FechaRef,N(L42)&lt;1),"Vencida"&amp;" · ","")&amp;IF(AND(EvidenciaObligatoria="Sí",N(L42)&gt;=1,O42=""),"Completada sin evidencia"&amp;" · ",""))="","✔ OK","⚠ "&amp;LEFT(IF(A42="","Falta ID"&amp;" · ","")&amp;IF(AND(A42&lt;&gt;"",COUNTIF($A$5:$A$1000,A42)&gt;1),"ID duplicado"&amp;" · ","")&amp;IF(B42="","Área sin seleccionar"&amp;" · ","")&amp;IF(AND(B42&lt;&gt;"",ISNA(MATCH(B42,ListaPuestos,0))),"Área no válida"&amp;" · ","")&amp;IF(C42="","Macroactividad vacía"&amp;" · ","")&amp;IF(D42="","Sin responsable"&amp;" · ","")&amp;IF(E42="","Sin fecha de inicio"&amp;" · ","")&amp;IF(F42="","Sin fecha límite"&amp;" · ","")&amp;IF(OR(AND(E42&lt;&gt;"",NOT(ISNUMBER(E42))),AND(F42&lt;&gt;"",NOT(ISNUMBER(F42)))),"Fecha no válida"&amp;" · ","")&amp;IF(AND(ISNUMBER(E42),ISNUMBER(F42),E42&gt;F42),"Inicio posterior a fecha límite"&amp;" · ","")&amp;IF(G42="","Peso vacío"&amp;" · ","")&amp;IF(AND(G42&lt;&gt;"",OR(NOT(ISNUMBER(G42)),G42&lt;=0,G42&gt;1)),"Peso fuera de rango"&amp;" · ","")&amp;IF(AND(B42&lt;&gt;"",ABS(SUMIFS($G$5:$G$1000,$B$5:$B$1000,B42)-1)&gt;0.0001),"Pesos del puesto suman "&amp;TEXT(SUMIFS($G$5:$G$1000,$B$5:$B$1000,B42),"0%")&amp;" · ","")&amp;IF((COUNTIF(H42:K42,"&gt;1")+COUNTIF(H42:K42,"&lt;0")+COUNTA(H42:K42)-COUNT(H42:K42))&gt;0,"Avance fuera de rango 0-100%"&amp;" · ","")&amp;IF(OR(AND(I42&lt;&gt;"",I42&lt;H42),AND(J42&lt;&gt;"",J42&lt;MAX(H42:I42)),AND(K42&lt;&gt;"",K42&lt;MAX(H42:J42))),"Avance semanal decreciente"&amp;" · ","")&amp;IF(AND(ISNUMBER(F42),F42&lt;FechaRef,N(L42)&lt;1),"Vencida"&amp;" · ","")&amp;IF(AND(EvidenciaObligatoria="Sí",N(L42)&gt;=1,O42=""),"Completada sin evidencia"&amp;" · ",""),LEN(IF(A42="","Falta ID"&amp;" · ","")&amp;IF(AND(A42&lt;&gt;"",COUNTIF($A$5:$A$1000,A42)&gt;1),"ID duplicado"&amp;" · ","")&amp;IF(B42="","Área sin seleccionar"&amp;" · ","")&amp;IF(AND(B42&lt;&gt;"",ISNA(MATCH(B42,ListaPuestos,0))),"Área no válida"&amp;" · ","")&amp;IF(C42="","Macroactividad vacía"&amp;" · ","")&amp;IF(D42="","Sin responsable"&amp;" · ","")&amp;IF(E42="","Sin fecha de inicio"&amp;" · ","")&amp;IF(F42="","Sin fecha límite"&amp;" · ","")&amp;IF(OR(AND(E42&lt;&gt;"",NOT(ISNUMBER(E42))),AND(F42&lt;&gt;"",NOT(ISNUMBER(F42)))),"Fecha no válida"&amp;" · ","")&amp;IF(AND(ISNUMBER(E42),ISNUMBER(F42),E42&gt;F42),"Inicio posterior a fecha límite"&amp;" · ","")&amp;IF(G42="","Peso vacío"&amp;" · ","")&amp;IF(AND(G42&lt;&gt;"",OR(NOT(ISNUMBER(G42)),G42&lt;=0,G42&gt;1)),"Peso fuera de rango"&amp;" · ","")&amp;IF(AND(B42&lt;&gt;"",ABS(SUMIFS($G$5:$G$1000,$B$5:$B$1000,B42)-1)&gt;0.0001),"Pesos del puesto suman "&amp;TEXT(SUMIFS($G$5:$G$1000,$B$5:$B$1000,B42),"0%")&amp;" · ","")&amp;IF((COUNTIF(H42:K42,"&gt;1")+COUNTIF(H42:K42,"&lt;0")+COUNTA(H42:K42)-COUNT(H42:K42))&gt;0,"Avance fuera de rango 0-100%"&amp;" · ","")&amp;IF(OR(AND(I42&lt;&gt;"",I42&lt;H42),AND(J42&lt;&gt;"",J42&lt;MAX(H42:I42)),AND(K42&lt;&gt;"",K42&lt;MAX(H42:J42))),"Avance semanal decreciente"&amp;" · ","")&amp;IF(AND(ISNUMBER(F42),F42&lt;FechaRef,N(L42)&lt;1),"Vencida"&amp;" · ","")&amp;IF(AND(EvidenciaObligatoria="Sí",N(L42)&gt;=1,O42=""),"Completada sin evidencia"&amp;" · ",""))-3)))</f>
        <v/>
      </c>
    </row>
    <row r="43">
      <c r="A43" s="46" t="n"/>
      <c r="B43" s="47" t="n"/>
      <c r="C43" s="47" t="n"/>
      <c r="D43" s="47" t="n"/>
      <c r="E43" s="48" t="n"/>
      <c r="F43" s="48" t="n"/>
      <c r="G43" s="49" t="n"/>
      <c r="H43" s="50" t="n"/>
      <c r="I43" s="50" t="n"/>
      <c r="J43" s="50" t="n"/>
      <c r="K43" s="50" t="n"/>
      <c r="L43" s="51">
        <f>IF(NOT((COUNTA($A43:$K43)+COUNTA($N43:$O43))&gt;0),"",IFERROR(LOOKUP(2,1/(H43:K43&lt;&gt;""),H43:K43),0))</f>
        <v/>
      </c>
      <c r="M43" s="52">
        <f>IF(L43="","",IF(L43&gt;=1,"Completado",IF(L43&gt;0,"En curso","Pendiente")))</f>
        <v/>
      </c>
      <c r="N43" s="48" t="n"/>
      <c r="O43" s="47" t="n"/>
      <c r="P43" s="53">
        <f>IF(NOT((COUNTA($A43:$K43)+COUNTA($N43:$O43))&gt;0),"",IF((IF(A43="","Falta ID"&amp;" · ","")&amp;IF(AND(A43&lt;&gt;"",COUNTIF($A$5:$A$1000,A43)&gt;1),"ID duplicado"&amp;" · ","")&amp;IF(B43="","Área sin seleccionar"&amp;" · ","")&amp;IF(AND(B43&lt;&gt;"",ISNA(MATCH(B43,ListaPuestos,0))),"Área no válida"&amp;" · ","")&amp;IF(C43="","Macroactividad vacía"&amp;" · ","")&amp;IF(D43="","Sin responsable"&amp;" · ","")&amp;IF(E43="","Sin fecha de inicio"&amp;" · ","")&amp;IF(F43="","Sin fecha límite"&amp;" · ","")&amp;IF(OR(AND(E43&lt;&gt;"",NOT(ISNUMBER(E43))),AND(F43&lt;&gt;"",NOT(ISNUMBER(F43)))),"Fecha no válida"&amp;" · ","")&amp;IF(AND(ISNUMBER(E43),ISNUMBER(F43),E43&gt;F43),"Inicio posterior a fecha límite"&amp;" · ","")&amp;IF(G43="","Peso vacío"&amp;" · ","")&amp;IF(AND(G43&lt;&gt;"",OR(NOT(ISNUMBER(G43)),G43&lt;=0,G43&gt;1)),"Peso fuera de rango"&amp;" · ","")&amp;IF(AND(B43&lt;&gt;"",ABS(SUMIFS($G$5:$G$1000,$B$5:$B$1000,B43)-1)&gt;0.0001),"Pesos del puesto suman "&amp;TEXT(SUMIFS($G$5:$G$1000,$B$5:$B$1000,B43),"0%")&amp;" · ","")&amp;IF((COUNTIF(H43:K43,"&gt;1")+COUNTIF(H43:K43,"&lt;0")+COUNTA(H43:K43)-COUNT(H43:K43))&gt;0,"Avance fuera de rango 0-100%"&amp;" · ","")&amp;IF(OR(AND(I43&lt;&gt;"",I43&lt;H43),AND(J43&lt;&gt;"",J43&lt;MAX(H43:I43)),AND(K43&lt;&gt;"",K43&lt;MAX(H43:J43))),"Avance semanal decreciente"&amp;" · ","")&amp;IF(AND(ISNUMBER(F43),F43&lt;FechaRef,N(L43)&lt;1),"Vencida"&amp;" · ","")&amp;IF(AND(EvidenciaObligatoria="Sí",N(L43)&gt;=1,O43=""),"Completada sin evidencia"&amp;" · ",""))="","✔ OK","⚠ "&amp;LEFT(IF(A43="","Falta ID"&amp;" · ","")&amp;IF(AND(A43&lt;&gt;"",COUNTIF($A$5:$A$1000,A43)&gt;1),"ID duplicado"&amp;" · ","")&amp;IF(B43="","Área sin seleccionar"&amp;" · ","")&amp;IF(AND(B43&lt;&gt;"",ISNA(MATCH(B43,ListaPuestos,0))),"Área no válida"&amp;" · ","")&amp;IF(C43="","Macroactividad vacía"&amp;" · ","")&amp;IF(D43="","Sin responsable"&amp;" · ","")&amp;IF(E43="","Sin fecha de inicio"&amp;" · ","")&amp;IF(F43="","Sin fecha límite"&amp;" · ","")&amp;IF(OR(AND(E43&lt;&gt;"",NOT(ISNUMBER(E43))),AND(F43&lt;&gt;"",NOT(ISNUMBER(F43)))),"Fecha no válida"&amp;" · ","")&amp;IF(AND(ISNUMBER(E43),ISNUMBER(F43),E43&gt;F43),"Inicio posterior a fecha límite"&amp;" · ","")&amp;IF(G43="","Peso vacío"&amp;" · ","")&amp;IF(AND(G43&lt;&gt;"",OR(NOT(ISNUMBER(G43)),G43&lt;=0,G43&gt;1)),"Peso fuera de rango"&amp;" · ","")&amp;IF(AND(B43&lt;&gt;"",ABS(SUMIFS($G$5:$G$1000,$B$5:$B$1000,B43)-1)&gt;0.0001),"Pesos del puesto suman "&amp;TEXT(SUMIFS($G$5:$G$1000,$B$5:$B$1000,B43),"0%")&amp;" · ","")&amp;IF((COUNTIF(H43:K43,"&gt;1")+COUNTIF(H43:K43,"&lt;0")+COUNTA(H43:K43)-COUNT(H43:K43))&gt;0,"Avance fuera de rango 0-100%"&amp;" · ","")&amp;IF(OR(AND(I43&lt;&gt;"",I43&lt;H43),AND(J43&lt;&gt;"",J43&lt;MAX(H43:I43)),AND(K43&lt;&gt;"",K43&lt;MAX(H43:J43))),"Avance semanal decreciente"&amp;" · ","")&amp;IF(AND(ISNUMBER(F43),F43&lt;FechaRef,N(L43)&lt;1),"Vencida"&amp;" · ","")&amp;IF(AND(EvidenciaObligatoria="Sí",N(L43)&gt;=1,O43=""),"Completada sin evidencia"&amp;" · ",""),LEN(IF(A43="","Falta ID"&amp;" · ","")&amp;IF(AND(A43&lt;&gt;"",COUNTIF($A$5:$A$1000,A43)&gt;1),"ID duplicado"&amp;" · ","")&amp;IF(B43="","Área sin seleccionar"&amp;" · ","")&amp;IF(AND(B43&lt;&gt;"",ISNA(MATCH(B43,ListaPuestos,0))),"Área no válida"&amp;" · ","")&amp;IF(C43="","Macroactividad vacía"&amp;" · ","")&amp;IF(D43="","Sin responsable"&amp;" · ","")&amp;IF(E43="","Sin fecha de inicio"&amp;" · ","")&amp;IF(F43="","Sin fecha límite"&amp;" · ","")&amp;IF(OR(AND(E43&lt;&gt;"",NOT(ISNUMBER(E43))),AND(F43&lt;&gt;"",NOT(ISNUMBER(F43)))),"Fecha no válida"&amp;" · ","")&amp;IF(AND(ISNUMBER(E43),ISNUMBER(F43),E43&gt;F43),"Inicio posterior a fecha límite"&amp;" · ","")&amp;IF(G43="","Peso vacío"&amp;" · ","")&amp;IF(AND(G43&lt;&gt;"",OR(NOT(ISNUMBER(G43)),G43&lt;=0,G43&gt;1)),"Peso fuera de rango"&amp;" · ","")&amp;IF(AND(B43&lt;&gt;"",ABS(SUMIFS($G$5:$G$1000,$B$5:$B$1000,B43)-1)&gt;0.0001),"Pesos del puesto suman "&amp;TEXT(SUMIFS($G$5:$G$1000,$B$5:$B$1000,B43),"0%")&amp;" · ","")&amp;IF((COUNTIF(H43:K43,"&gt;1")+COUNTIF(H43:K43,"&lt;0")+COUNTA(H43:K43)-COUNT(H43:K43))&gt;0,"Avance fuera de rango 0-100%"&amp;" · ","")&amp;IF(OR(AND(I43&lt;&gt;"",I43&lt;H43),AND(J43&lt;&gt;"",J43&lt;MAX(H43:I43)),AND(K43&lt;&gt;"",K43&lt;MAX(H43:J43))),"Avance semanal decreciente"&amp;" · ","")&amp;IF(AND(ISNUMBER(F43),F43&lt;FechaRef,N(L43)&lt;1),"Vencida"&amp;" · ","")&amp;IF(AND(EvidenciaObligatoria="Sí",N(L43)&gt;=1,O43=""),"Completada sin evidencia"&amp;" · ",""))-3)))</f>
        <v/>
      </c>
    </row>
    <row r="44">
      <c r="A44" s="46" t="n"/>
      <c r="B44" s="47" t="n"/>
      <c r="C44" s="47" t="n"/>
      <c r="D44" s="47" t="n"/>
      <c r="E44" s="48" t="n"/>
      <c r="F44" s="48" t="n"/>
      <c r="G44" s="49" t="n"/>
      <c r="H44" s="50" t="n"/>
      <c r="I44" s="50" t="n"/>
      <c r="J44" s="50" t="n"/>
      <c r="K44" s="50" t="n"/>
      <c r="L44" s="51">
        <f>IF(NOT((COUNTA($A44:$K44)+COUNTA($N44:$O44))&gt;0),"",IFERROR(LOOKUP(2,1/(H44:K44&lt;&gt;""),H44:K44),0))</f>
        <v/>
      </c>
      <c r="M44" s="52">
        <f>IF(L44="","",IF(L44&gt;=1,"Completado",IF(L44&gt;0,"En curso","Pendiente")))</f>
        <v/>
      </c>
      <c r="N44" s="48" t="n"/>
      <c r="O44" s="47" t="n"/>
      <c r="P44" s="53">
        <f>IF(NOT((COUNTA($A44:$K44)+COUNTA($N44:$O44))&gt;0),"",IF((IF(A44="","Falta ID"&amp;" · ","")&amp;IF(AND(A44&lt;&gt;"",COUNTIF($A$5:$A$1000,A44)&gt;1),"ID duplicado"&amp;" · ","")&amp;IF(B44="","Área sin seleccionar"&amp;" · ","")&amp;IF(AND(B44&lt;&gt;"",ISNA(MATCH(B44,ListaPuestos,0))),"Área no válida"&amp;" · ","")&amp;IF(C44="","Macroactividad vacía"&amp;" · ","")&amp;IF(D44="","Sin responsable"&amp;" · ","")&amp;IF(E44="","Sin fecha de inicio"&amp;" · ","")&amp;IF(F44="","Sin fecha límite"&amp;" · ","")&amp;IF(OR(AND(E44&lt;&gt;"",NOT(ISNUMBER(E44))),AND(F44&lt;&gt;"",NOT(ISNUMBER(F44)))),"Fecha no válida"&amp;" · ","")&amp;IF(AND(ISNUMBER(E44),ISNUMBER(F44),E44&gt;F44),"Inicio posterior a fecha límite"&amp;" · ","")&amp;IF(G44="","Peso vacío"&amp;" · ","")&amp;IF(AND(G44&lt;&gt;"",OR(NOT(ISNUMBER(G44)),G44&lt;=0,G44&gt;1)),"Peso fuera de rango"&amp;" · ","")&amp;IF(AND(B44&lt;&gt;"",ABS(SUMIFS($G$5:$G$1000,$B$5:$B$1000,B44)-1)&gt;0.0001),"Pesos del puesto suman "&amp;TEXT(SUMIFS($G$5:$G$1000,$B$5:$B$1000,B44),"0%")&amp;" · ","")&amp;IF((COUNTIF(H44:K44,"&gt;1")+COUNTIF(H44:K44,"&lt;0")+COUNTA(H44:K44)-COUNT(H44:K44))&gt;0,"Avance fuera de rango 0-100%"&amp;" · ","")&amp;IF(OR(AND(I44&lt;&gt;"",I44&lt;H44),AND(J44&lt;&gt;"",J44&lt;MAX(H44:I44)),AND(K44&lt;&gt;"",K44&lt;MAX(H44:J44))),"Avance semanal decreciente"&amp;" · ","")&amp;IF(AND(ISNUMBER(F44),F44&lt;FechaRef,N(L44)&lt;1),"Vencida"&amp;" · ","")&amp;IF(AND(EvidenciaObligatoria="Sí",N(L44)&gt;=1,O44=""),"Completada sin evidencia"&amp;" · ",""))="","✔ OK","⚠ "&amp;LEFT(IF(A44="","Falta ID"&amp;" · ","")&amp;IF(AND(A44&lt;&gt;"",COUNTIF($A$5:$A$1000,A44)&gt;1),"ID duplicado"&amp;" · ","")&amp;IF(B44="","Área sin seleccionar"&amp;" · ","")&amp;IF(AND(B44&lt;&gt;"",ISNA(MATCH(B44,ListaPuestos,0))),"Área no válida"&amp;" · ","")&amp;IF(C44="","Macroactividad vacía"&amp;" · ","")&amp;IF(D44="","Sin responsable"&amp;" · ","")&amp;IF(E44="","Sin fecha de inicio"&amp;" · ","")&amp;IF(F44="","Sin fecha límite"&amp;" · ","")&amp;IF(OR(AND(E44&lt;&gt;"",NOT(ISNUMBER(E44))),AND(F44&lt;&gt;"",NOT(ISNUMBER(F44)))),"Fecha no válida"&amp;" · ","")&amp;IF(AND(ISNUMBER(E44),ISNUMBER(F44),E44&gt;F44),"Inicio posterior a fecha límite"&amp;" · ","")&amp;IF(G44="","Peso vacío"&amp;" · ","")&amp;IF(AND(G44&lt;&gt;"",OR(NOT(ISNUMBER(G44)),G44&lt;=0,G44&gt;1)),"Peso fuera de rango"&amp;" · ","")&amp;IF(AND(B44&lt;&gt;"",ABS(SUMIFS($G$5:$G$1000,$B$5:$B$1000,B44)-1)&gt;0.0001),"Pesos del puesto suman "&amp;TEXT(SUMIFS($G$5:$G$1000,$B$5:$B$1000,B44),"0%")&amp;" · ","")&amp;IF((COUNTIF(H44:K44,"&gt;1")+COUNTIF(H44:K44,"&lt;0")+COUNTA(H44:K44)-COUNT(H44:K44))&gt;0,"Avance fuera de rango 0-100%"&amp;" · ","")&amp;IF(OR(AND(I44&lt;&gt;"",I44&lt;H44),AND(J44&lt;&gt;"",J44&lt;MAX(H44:I44)),AND(K44&lt;&gt;"",K44&lt;MAX(H44:J44))),"Avance semanal decreciente"&amp;" · ","")&amp;IF(AND(ISNUMBER(F44),F44&lt;FechaRef,N(L44)&lt;1),"Vencida"&amp;" · ","")&amp;IF(AND(EvidenciaObligatoria="Sí",N(L44)&gt;=1,O44=""),"Completada sin evidencia"&amp;" · ",""),LEN(IF(A44="","Falta ID"&amp;" · ","")&amp;IF(AND(A44&lt;&gt;"",COUNTIF($A$5:$A$1000,A44)&gt;1),"ID duplicado"&amp;" · ","")&amp;IF(B44="","Área sin seleccionar"&amp;" · ","")&amp;IF(AND(B44&lt;&gt;"",ISNA(MATCH(B44,ListaPuestos,0))),"Área no válida"&amp;" · ","")&amp;IF(C44="","Macroactividad vacía"&amp;" · ","")&amp;IF(D44="","Sin responsable"&amp;" · ","")&amp;IF(E44="","Sin fecha de inicio"&amp;" · ","")&amp;IF(F44="","Sin fecha límite"&amp;" · ","")&amp;IF(OR(AND(E44&lt;&gt;"",NOT(ISNUMBER(E44))),AND(F44&lt;&gt;"",NOT(ISNUMBER(F44)))),"Fecha no válida"&amp;" · ","")&amp;IF(AND(ISNUMBER(E44),ISNUMBER(F44),E44&gt;F44),"Inicio posterior a fecha límite"&amp;" · ","")&amp;IF(G44="","Peso vacío"&amp;" · ","")&amp;IF(AND(G44&lt;&gt;"",OR(NOT(ISNUMBER(G44)),G44&lt;=0,G44&gt;1)),"Peso fuera de rango"&amp;" · ","")&amp;IF(AND(B44&lt;&gt;"",ABS(SUMIFS($G$5:$G$1000,$B$5:$B$1000,B44)-1)&gt;0.0001),"Pesos del puesto suman "&amp;TEXT(SUMIFS($G$5:$G$1000,$B$5:$B$1000,B44),"0%")&amp;" · ","")&amp;IF((COUNTIF(H44:K44,"&gt;1")+COUNTIF(H44:K44,"&lt;0")+COUNTA(H44:K44)-COUNT(H44:K44))&gt;0,"Avance fuera de rango 0-100%"&amp;" · ","")&amp;IF(OR(AND(I44&lt;&gt;"",I44&lt;H44),AND(J44&lt;&gt;"",J44&lt;MAX(H44:I44)),AND(K44&lt;&gt;"",K44&lt;MAX(H44:J44))),"Avance semanal decreciente"&amp;" · ","")&amp;IF(AND(ISNUMBER(F44),F44&lt;FechaRef,N(L44)&lt;1),"Vencida"&amp;" · ","")&amp;IF(AND(EvidenciaObligatoria="Sí",N(L44)&gt;=1,O44=""),"Completada sin evidencia"&amp;" · ",""))-3)))</f>
        <v/>
      </c>
    </row>
    <row r="45">
      <c r="A45" s="46" t="n"/>
      <c r="B45" s="47" t="n"/>
      <c r="C45" s="47" t="n"/>
      <c r="D45" s="47" t="n"/>
      <c r="E45" s="48" t="n"/>
      <c r="F45" s="48" t="n"/>
      <c r="G45" s="49" t="n"/>
      <c r="H45" s="50" t="n"/>
      <c r="I45" s="50" t="n"/>
      <c r="J45" s="50" t="n"/>
      <c r="K45" s="50" t="n"/>
      <c r="L45" s="51">
        <f>IF(NOT((COUNTA($A45:$K45)+COUNTA($N45:$O45))&gt;0),"",IFERROR(LOOKUP(2,1/(H45:K45&lt;&gt;""),H45:K45),0))</f>
        <v/>
      </c>
      <c r="M45" s="52">
        <f>IF(L45="","",IF(L45&gt;=1,"Completado",IF(L45&gt;0,"En curso","Pendiente")))</f>
        <v/>
      </c>
      <c r="N45" s="48" t="n"/>
      <c r="O45" s="47" t="n"/>
      <c r="P45" s="53">
        <f>IF(NOT((COUNTA($A45:$K45)+COUNTA($N45:$O45))&gt;0),"",IF((IF(A45="","Falta ID"&amp;" · ","")&amp;IF(AND(A45&lt;&gt;"",COUNTIF($A$5:$A$1000,A45)&gt;1),"ID duplicado"&amp;" · ","")&amp;IF(B45="","Área sin seleccionar"&amp;" · ","")&amp;IF(AND(B45&lt;&gt;"",ISNA(MATCH(B45,ListaPuestos,0))),"Área no válida"&amp;" · ","")&amp;IF(C45="","Macroactividad vacía"&amp;" · ","")&amp;IF(D45="","Sin responsable"&amp;" · ","")&amp;IF(E45="","Sin fecha de inicio"&amp;" · ","")&amp;IF(F45="","Sin fecha límite"&amp;" · ","")&amp;IF(OR(AND(E45&lt;&gt;"",NOT(ISNUMBER(E45))),AND(F45&lt;&gt;"",NOT(ISNUMBER(F45)))),"Fecha no válida"&amp;" · ","")&amp;IF(AND(ISNUMBER(E45),ISNUMBER(F45),E45&gt;F45),"Inicio posterior a fecha límite"&amp;" · ","")&amp;IF(G45="","Peso vacío"&amp;" · ","")&amp;IF(AND(G45&lt;&gt;"",OR(NOT(ISNUMBER(G45)),G45&lt;=0,G45&gt;1)),"Peso fuera de rango"&amp;" · ","")&amp;IF(AND(B45&lt;&gt;"",ABS(SUMIFS($G$5:$G$1000,$B$5:$B$1000,B45)-1)&gt;0.0001),"Pesos del puesto suman "&amp;TEXT(SUMIFS($G$5:$G$1000,$B$5:$B$1000,B45),"0%")&amp;" · ","")&amp;IF((COUNTIF(H45:K45,"&gt;1")+COUNTIF(H45:K45,"&lt;0")+COUNTA(H45:K45)-COUNT(H45:K45))&gt;0,"Avance fuera de rango 0-100%"&amp;" · ","")&amp;IF(OR(AND(I45&lt;&gt;"",I45&lt;H45),AND(J45&lt;&gt;"",J45&lt;MAX(H45:I45)),AND(K45&lt;&gt;"",K45&lt;MAX(H45:J45))),"Avance semanal decreciente"&amp;" · ","")&amp;IF(AND(ISNUMBER(F45),F45&lt;FechaRef,N(L45)&lt;1),"Vencida"&amp;" · ","")&amp;IF(AND(EvidenciaObligatoria="Sí",N(L45)&gt;=1,O45=""),"Completada sin evidencia"&amp;" · ",""))="","✔ OK","⚠ "&amp;LEFT(IF(A45="","Falta ID"&amp;" · ","")&amp;IF(AND(A45&lt;&gt;"",COUNTIF($A$5:$A$1000,A45)&gt;1),"ID duplicado"&amp;" · ","")&amp;IF(B45="","Área sin seleccionar"&amp;" · ","")&amp;IF(AND(B45&lt;&gt;"",ISNA(MATCH(B45,ListaPuestos,0))),"Área no válida"&amp;" · ","")&amp;IF(C45="","Macroactividad vacía"&amp;" · ","")&amp;IF(D45="","Sin responsable"&amp;" · ","")&amp;IF(E45="","Sin fecha de inicio"&amp;" · ","")&amp;IF(F45="","Sin fecha límite"&amp;" · ","")&amp;IF(OR(AND(E45&lt;&gt;"",NOT(ISNUMBER(E45))),AND(F45&lt;&gt;"",NOT(ISNUMBER(F45)))),"Fecha no válida"&amp;" · ","")&amp;IF(AND(ISNUMBER(E45),ISNUMBER(F45),E45&gt;F45),"Inicio posterior a fecha límite"&amp;" · ","")&amp;IF(G45="","Peso vacío"&amp;" · ","")&amp;IF(AND(G45&lt;&gt;"",OR(NOT(ISNUMBER(G45)),G45&lt;=0,G45&gt;1)),"Peso fuera de rango"&amp;" · ","")&amp;IF(AND(B45&lt;&gt;"",ABS(SUMIFS($G$5:$G$1000,$B$5:$B$1000,B45)-1)&gt;0.0001),"Pesos del puesto suman "&amp;TEXT(SUMIFS($G$5:$G$1000,$B$5:$B$1000,B45),"0%")&amp;" · ","")&amp;IF((COUNTIF(H45:K45,"&gt;1")+COUNTIF(H45:K45,"&lt;0")+COUNTA(H45:K45)-COUNT(H45:K45))&gt;0,"Avance fuera de rango 0-100%"&amp;" · ","")&amp;IF(OR(AND(I45&lt;&gt;"",I45&lt;H45),AND(J45&lt;&gt;"",J45&lt;MAX(H45:I45)),AND(K45&lt;&gt;"",K45&lt;MAX(H45:J45))),"Avance semanal decreciente"&amp;" · ","")&amp;IF(AND(ISNUMBER(F45),F45&lt;FechaRef,N(L45)&lt;1),"Vencida"&amp;" · ","")&amp;IF(AND(EvidenciaObligatoria="Sí",N(L45)&gt;=1,O45=""),"Completada sin evidencia"&amp;" · ",""),LEN(IF(A45="","Falta ID"&amp;" · ","")&amp;IF(AND(A45&lt;&gt;"",COUNTIF($A$5:$A$1000,A45)&gt;1),"ID duplicado"&amp;" · ","")&amp;IF(B45="","Área sin seleccionar"&amp;" · ","")&amp;IF(AND(B45&lt;&gt;"",ISNA(MATCH(B45,ListaPuestos,0))),"Área no válida"&amp;" · ","")&amp;IF(C45="","Macroactividad vacía"&amp;" · ","")&amp;IF(D45="","Sin responsable"&amp;" · ","")&amp;IF(E45="","Sin fecha de inicio"&amp;" · ","")&amp;IF(F45="","Sin fecha límite"&amp;" · ","")&amp;IF(OR(AND(E45&lt;&gt;"",NOT(ISNUMBER(E45))),AND(F45&lt;&gt;"",NOT(ISNUMBER(F45)))),"Fecha no válida"&amp;" · ","")&amp;IF(AND(ISNUMBER(E45),ISNUMBER(F45),E45&gt;F45),"Inicio posterior a fecha límite"&amp;" · ","")&amp;IF(G45="","Peso vacío"&amp;" · ","")&amp;IF(AND(G45&lt;&gt;"",OR(NOT(ISNUMBER(G45)),G45&lt;=0,G45&gt;1)),"Peso fuera de rango"&amp;" · ","")&amp;IF(AND(B45&lt;&gt;"",ABS(SUMIFS($G$5:$G$1000,$B$5:$B$1000,B45)-1)&gt;0.0001),"Pesos del puesto suman "&amp;TEXT(SUMIFS($G$5:$G$1000,$B$5:$B$1000,B45),"0%")&amp;" · ","")&amp;IF((COUNTIF(H45:K45,"&gt;1")+COUNTIF(H45:K45,"&lt;0")+COUNTA(H45:K45)-COUNT(H45:K45))&gt;0,"Avance fuera de rango 0-100%"&amp;" · ","")&amp;IF(OR(AND(I45&lt;&gt;"",I45&lt;H45),AND(J45&lt;&gt;"",J45&lt;MAX(H45:I45)),AND(K45&lt;&gt;"",K45&lt;MAX(H45:J45))),"Avance semanal decreciente"&amp;" · ","")&amp;IF(AND(ISNUMBER(F45),F45&lt;FechaRef,N(L45)&lt;1),"Vencida"&amp;" · ","")&amp;IF(AND(EvidenciaObligatoria="Sí",N(L45)&gt;=1,O45=""),"Completada sin evidencia"&amp;" · ",""))-3)))</f>
        <v/>
      </c>
    </row>
    <row r="46">
      <c r="A46" s="46" t="n"/>
      <c r="B46" s="47" t="n"/>
      <c r="C46" s="47" t="n"/>
      <c r="D46" s="47" t="n"/>
      <c r="E46" s="48" t="n"/>
      <c r="F46" s="48" t="n"/>
      <c r="G46" s="49" t="n"/>
      <c r="H46" s="50" t="n"/>
      <c r="I46" s="50" t="n"/>
      <c r="J46" s="50" t="n"/>
      <c r="K46" s="50" t="n"/>
      <c r="L46" s="51">
        <f>IF(NOT((COUNTA($A46:$K46)+COUNTA($N46:$O46))&gt;0),"",IFERROR(LOOKUP(2,1/(H46:K46&lt;&gt;""),H46:K46),0))</f>
        <v/>
      </c>
      <c r="M46" s="52">
        <f>IF(L46="","",IF(L46&gt;=1,"Completado",IF(L46&gt;0,"En curso","Pendiente")))</f>
        <v/>
      </c>
      <c r="N46" s="48" t="n"/>
      <c r="O46" s="47" t="n"/>
      <c r="P46" s="53">
        <f>IF(NOT((COUNTA($A46:$K46)+COUNTA($N46:$O46))&gt;0),"",IF((IF(A46="","Falta ID"&amp;" · ","")&amp;IF(AND(A46&lt;&gt;"",COUNTIF($A$5:$A$1000,A46)&gt;1),"ID duplicado"&amp;" · ","")&amp;IF(B46="","Área sin seleccionar"&amp;" · ","")&amp;IF(AND(B46&lt;&gt;"",ISNA(MATCH(B46,ListaPuestos,0))),"Área no válida"&amp;" · ","")&amp;IF(C46="","Macroactividad vacía"&amp;" · ","")&amp;IF(D46="","Sin responsable"&amp;" · ","")&amp;IF(E46="","Sin fecha de inicio"&amp;" · ","")&amp;IF(F46="","Sin fecha límite"&amp;" · ","")&amp;IF(OR(AND(E46&lt;&gt;"",NOT(ISNUMBER(E46))),AND(F46&lt;&gt;"",NOT(ISNUMBER(F46)))),"Fecha no válida"&amp;" · ","")&amp;IF(AND(ISNUMBER(E46),ISNUMBER(F46),E46&gt;F46),"Inicio posterior a fecha límite"&amp;" · ","")&amp;IF(G46="","Peso vacío"&amp;" · ","")&amp;IF(AND(G46&lt;&gt;"",OR(NOT(ISNUMBER(G46)),G46&lt;=0,G46&gt;1)),"Peso fuera de rango"&amp;" · ","")&amp;IF(AND(B46&lt;&gt;"",ABS(SUMIFS($G$5:$G$1000,$B$5:$B$1000,B46)-1)&gt;0.0001),"Pesos del puesto suman "&amp;TEXT(SUMIFS($G$5:$G$1000,$B$5:$B$1000,B46),"0%")&amp;" · ","")&amp;IF((COUNTIF(H46:K46,"&gt;1")+COUNTIF(H46:K46,"&lt;0")+COUNTA(H46:K46)-COUNT(H46:K46))&gt;0,"Avance fuera de rango 0-100%"&amp;" · ","")&amp;IF(OR(AND(I46&lt;&gt;"",I46&lt;H46),AND(J46&lt;&gt;"",J46&lt;MAX(H46:I46)),AND(K46&lt;&gt;"",K46&lt;MAX(H46:J46))),"Avance semanal decreciente"&amp;" · ","")&amp;IF(AND(ISNUMBER(F46),F46&lt;FechaRef,N(L46)&lt;1),"Vencida"&amp;" · ","")&amp;IF(AND(EvidenciaObligatoria="Sí",N(L46)&gt;=1,O46=""),"Completada sin evidencia"&amp;" · ",""))="","✔ OK","⚠ "&amp;LEFT(IF(A46="","Falta ID"&amp;" · ","")&amp;IF(AND(A46&lt;&gt;"",COUNTIF($A$5:$A$1000,A46)&gt;1),"ID duplicado"&amp;" · ","")&amp;IF(B46="","Área sin seleccionar"&amp;" · ","")&amp;IF(AND(B46&lt;&gt;"",ISNA(MATCH(B46,ListaPuestos,0))),"Área no válida"&amp;" · ","")&amp;IF(C46="","Macroactividad vacía"&amp;" · ","")&amp;IF(D46="","Sin responsable"&amp;" · ","")&amp;IF(E46="","Sin fecha de inicio"&amp;" · ","")&amp;IF(F46="","Sin fecha límite"&amp;" · ","")&amp;IF(OR(AND(E46&lt;&gt;"",NOT(ISNUMBER(E46))),AND(F46&lt;&gt;"",NOT(ISNUMBER(F46)))),"Fecha no válida"&amp;" · ","")&amp;IF(AND(ISNUMBER(E46),ISNUMBER(F46),E46&gt;F46),"Inicio posterior a fecha límite"&amp;" · ","")&amp;IF(G46="","Peso vacío"&amp;" · ","")&amp;IF(AND(G46&lt;&gt;"",OR(NOT(ISNUMBER(G46)),G46&lt;=0,G46&gt;1)),"Peso fuera de rango"&amp;" · ","")&amp;IF(AND(B46&lt;&gt;"",ABS(SUMIFS($G$5:$G$1000,$B$5:$B$1000,B46)-1)&gt;0.0001),"Pesos del puesto suman "&amp;TEXT(SUMIFS($G$5:$G$1000,$B$5:$B$1000,B46),"0%")&amp;" · ","")&amp;IF((COUNTIF(H46:K46,"&gt;1")+COUNTIF(H46:K46,"&lt;0")+COUNTA(H46:K46)-COUNT(H46:K46))&gt;0,"Avance fuera de rango 0-100%"&amp;" · ","")&amp;IF(OR(AND(I46&lt;&gt;"",I46&lt;H46),AND(J46&lt;&gt;"",J46&lt;MAX(H46:I46)),AND(K46&lt;&gt;"",K46&lt;MAX(H46:J46))),"Avance semanal decreciente"&amp;" · ","")&amp;IF(AND(ISNUMBER(F46),F46&lt;FechaRef,N(L46)&lt;1),"Vencida"&amp;" · ","")&amp;IF(AND(EvidenciaObligatoria="Sí",N(L46)&gt;=1,O46=""),"Completada sin evidencia"&amp;" · ",""),LEN(IF(A46="","Falta ID"&amp;" · ","")&amp;IF(AND(A46&lt;&gt;"",COUNTIF($A$5:$A$1000,A46)&gt;1),"ID duplicado"&amp;" · ","")&amp;IF(B46="","Área sin seleccionar"&amp;" · ","")&amp;IF(AND(B46&lt;&gt;"",ISNA(MATCH(B46,ListaPuestos,0))),"Área no válida"&amp;" · ","")&amp;IF(C46="","Macroactividad vacía"&amp;" · ","")&amp;IF(D46="","Sin responsable"&amp;" · ","")&amp;IF(E46="","Sin fecha de inicio"&amp;" · ","")&amp;IF(F46="","Sin fecha límite"&amp;" · ","")&amp;IF(OR(AND(E46&lt;&gt;"",NOT(ISNUMBER(E46))),AND(F46&lt;&gt;"",NOT(ISNUMBER(F46)))),"Fecha no válida"&amp;" · ","")&amp;IF(AND(ISNUMBER(E46),ISNUMBER(F46),E46&gt;F46),"Inicio posterior a fecha límite"&amp;" · ","")&amp;IF(G46="","Peso vacío"&amp;" · ","")&amp;IF(AND(G46&lt;&gt;"",OR(NOT(ISNUMBER(G46)),G46&lt;=0,G46&gt;1)),"Peso fuera de rango"&amp;" · ","")&amp;IF(AND(B46&lt;&gt;"",ABS(SUMIFS($G$5:$G$1000,$B$5:$B$1000,B46)-1)&gt;0.0001),"Pesos del puesto suman "&amp;TEXT(SUMIFS($G$5:$G$1000,$B$5:$B$1000,B46),"0%")&amp;" · ","")&amp;IF((COUNTIF(H46:K46,"&gt;1")+COUNTIF(H46:K46,"&lt;0")+COUNTA(H46:K46)-COUNT(H46:K46))&gt;0,"Avance fuera de rango 0-100%"&amp;" · ","")&amp;IF(OR(AND(I46&lt;&gt;"",I46&lt;H46),AND(J46&lt;&gt;"",J46&lt;MAX(H46:I46)),AND(K46&lt;&gt;"",K46&lt;MAX(H46:J46))),"Avance semanal decreciente"&amp;" · ","")&amp;IF(AND(ISNUMBER(F46),F46&lt;FechaRef,N(L46)&lt;1),"Vencida"&amp;" · ","")&amp;IF(AND(EvidenciaObligatoria="Sí",N(L46)&gt;=1,O46=""),"Completada sin evidencia"&amp;" · ",""))-3)))</f>
        <v/>
      </c>
    </row>
    <row r="47">
      <c r="A47" s="46" t="n"/>
      <c r="B47" s="47" t="n"/>
      <c r="C47" s="47" t="n"/>
      <c r="D47" s="47" t="n"/>
      <c r="E47" s="48" t="n"/>
      <c r="F47" s="48" t="n"/>
      <c r="G47" s="49" t="n"/>
      <c r="H47" s="50" t="n"/>
      <c r="I47" s="50" t="n"/>
      <c r="J47" s="50" t="n"/>
      <c r="K47" s="50" t="n"/>
      <c r="L47" s="51">
        <f>IF(NOT((COUNTA($A47:$K47)+COUNTA($N47:$O47))&gt;0),"",IFERROR(LOOKUP(2,1/(H47:K47&lt;&gt;""),H47:K47),0))</f>
        <v/>
      </c>
      <c r="M47" s="52">
        <f>IF(L47="","",IF(L47&gt;=1,"Completado",IF(L47&gt;0,"En curso","Pendiente")))</f>
        <v/>
      </c>
      <c r="N47" s="48" t="n"/>
      <c r="O47" s="47" t="n"/>
      <c r="P47" s="53">
        <f>IF(NOT((COUNTA($A47:$K47)+COUNTA($N47:$O47))&gt;0),"",IF((IF(A47="","Falta ID"&amp;" · ","")&amp;IF(AND(A47&lt;&gt;"",COUNTIF($A$5:$A$1000,A47)&gt;1),"ID duplicado"&amp;" · ","")&amp;IF(B47="","Área sin seleccionar"&amp;" · ","")&amp;IF(AND(B47&lt;&gt;"",ISNA(MATCH(B47,ListaPuestos,0))),"Área no válida"&amp;" · ","")&amp;IF(C47="","Macroactividad vacía"&amp;" · ","")&amp;IF(D47="","Sin responsable"&amp;" · ","")&amp;IF(E47="","Sin fecha de inicio"&amp;" · ","")&amp;IF(F47="","Sin fecha límite"&amp;" · ","")&amp;IF(OR(AND(E47&lt;&gt;"",NOT(ISNUMBER(E47))),AND(F47&lt;&gt;"",NOT(ISNUMBER(F47)))),"Fecha no válida"&amp;" · ","")&amp;IF(AND(ISNUMBER(E47),ISNUMBER(F47),E47&gt;F47),"Inicio posterior a fecha límite"&amp;" · ","")&amp;IF(G47="","Peso vacío"&amp;" · ","")&amp;IF(AND(G47&lt;&gt;"",OR(NOT(ISNUMBER(G47)),G47&lt;=0,G47&gt;1)),"Peso fuera de rango"&amp;" · ","")&amp;IF(AND(B47&lt;&gt;"",ABS(SUMIFS($G$5:$G$1000,$B$5:$B$1000,B47)-1)&gt;0.0001),"Pesos del puesto suman "&amp;TEXT(SUMIFS($G$5:$G$1000,$B$5:$B$1000,B47),"0%")&amp;" · ","")&amp;IF((COUNTIF(H47:K47,"&gt;1")+COUNTIF(H47:K47,"&lt;0")+COUNTA(H47:K47)-COUNT(H47:K47))&gt;0,"Avance fuera de rango 0-100%"&amp;" · ","")&amp;IF(OR(AND(I47&lt;&gt;"",I47&lt;H47),AND(J47&lt;&gt;"",J47&lt;MAX(H47:I47)),AND(K47&lt;&gt;"",K47&lt;MAX(H47:J47))),"Avance semanal decreciente"&amp;" · ","")&amp;IF(AND(ISNUMBER(F47),F47&lt;FechaRef,N(L47)&lt;1),"Vencida"&amp;" · ","")&amp;IF(AND(EvidenciaObligatoria="Sí",N(L47)&gt;=1,O47=""),"Completada sin evidencia"&amp;" · ",""))="","✔ OK","⚠ "&amp;LEFT(IF(A47="","Falta ID"&amp;" · ","")&amp;IF(AND(A47&lt;&gt;"",COUNTIF($A$5:$A$1000,A47)&gt;1),"ID duplicado"&amp;" · ","")&amp;IF(B47="","Área sin seleccionar"&amp;" · ","")&amp;IF(AND(B47&lt;&gt;"",ISNA(MATCH(B47,ListaPuestos,0))),"Área no válida"&amp;" · ","")&amp;IF(C47="","Macroactividad vacía"&amp;" · ","")&amp;IF(D47="","Sin responsable"&amp;" · ","")&amp;IF(E47="","Sin fecha de inicio"&amp;" · ","")&amp;IF(F47="","Sin fecha límite"&amp;" · ","")&amp;IF(OR(AND(E47&lt;&gt;"",NOT(ISNUMBER(E47))),AND(F47&lt;&gt;"",NOT(ISNUMBER(F47)))),"Fecha no válida"&amp;" · ","")&amp;IF(AND(ISNUMBER(E47),ISNUMBER(F47),E47&gt;F47),"Inicio posterior a fecha límite"&amp;" · ","")&amp;IF(G47="","Peso vacío"&amp;" · ","")&amp;IF(AND(G47&lt;&gt;"",OR(NOT(ISNUMBER(G47)),G47&lt;=0,G47&gt;1)),"Peso fuera de rango"&amp;" · ","")&amp;IF(AND(B47&lt;&gt;"",ABS(SUMIFS($G$5:$G$1000,$B$5:$B$1000,B47)-1)&gt;0.0001),"Pesos del puesto suman "&amp;TEXT(SUMIFS($G$5:$G$1000,$B$5:$B$1000,B47),"0%")&amp;" · ","")&amp;IF((COUNTIF(H47:K47,"&gt;1")+COUNTIF(H47:K47,"&lt;0")+COUNTA(H47:K47)-COUNT(H47:K47))&gt;0,"Avance fuera de rango 0-100%"&amp;" · ","")&amp;IF(OR(AND(I47&lt;&gt;"",I47&lt;H47),AND(J47&lt;&gt;"",J47&lt;MAX(H47:I47)),AND(K47&lt;&gt;"",K47&lt;MAX(H47:J47))),"Avance semanal decreciente"&amp;" · ","")&amp;IF(AND(ISNUMBER(F47),F47&lt;FechaRef,N(L47)&lt;1),"Vencida"&amp;" · ","")&amp;IF(AND(EvidenciaObligatoria="Sí",N(L47)&gt;=1,O47=""),"Completada sin evidencia"&amp;" · ",""),LEN(IF(A47="","Falta ID"&amp;" · ","")&amp;IF(AND(A47&lt;&gt;"",COUNTIF($A$5:$A$1000,A47)&gt;1),"ID duplicado"&amp;" · ","")&amp;IF(B47="","Área sin seleccionar"&amp;" · ","")&amp;IF(AND(B47&lt;&gt;"",ISNA(MATCH(B47,ListaPuestos,0))),"Área no válida"&amp;" · ","")&amp;IF(C47="","Macroactividad vacía"&amp;" · ","")&amp;IF(D47="","Sin responsable"&amp;" · ","")&amp;IF(E47="","Sin fecha de inicio"&amp;" · ","")&amp;IF(F47="","Sin fecha límite"&amp;" · ","")&amp;IF(OR(AND(E47&lt;&gt;"",NOT(ISNUMBER(E47))),AND(F47&lt;&gt;"",NOT(ISNUMBER(F47)))),"Fecha no válida"&amp;" · ","")&amp;IF(AND(ISNUMBER(E47),ISNUMBER(F47),E47&gt;F47),"Inicio posterior a fecha límite"&amp;" · ","")&amp;IF(G47="","Peso vacío"&amp;" · ","")&amp;IF(AND(G47&lt;&gt;"",OR(NOT(ISNUMBER(G47)),G47&lt;=0,G47&gt;1)),"Peso fuera de rango"&amp;" · ","")&amp;IF(AND(B47&lt;&gt;"",ABS(SUMIFS($G$5:$G$1000,$B$5:$B$1000,B47)-1)&gt;0.0001),"Pesos del puesto suman "&amp;TEXT(SUMIFS($G$5:$G$1000,$B$5:$B$1000,B47),"0%")&amp;" · ","")&amp;IF((COUNTIF(H47:K47,"&gt;1")+COUNTIF(H47:K47,"&lt;0")+COUNTA(H47:K47)-COUNT(H47:K47))&gt;0,"Avance fuera de rango 0-100%"&amp;" · ","")&amp;IF(OR(AND(I47&lt;&gt;"",I47&lt;H47),AND(J47&lt;&gt;"",J47&lt;MAX(H47:I47)),AND(K47&lt;&gt;"",K47&lt;MAX(H47:J47))),"Avance semanal decreciente"&amp;" · ","")&amp;IF(AND(ISNUMBER(F47),F47&lt;FechaRef,N(L47)&lt;1),"Vencida"&amp;" · ","")&amp;IF(AND(EvidenciaObligatoria="Sí",N(L47)&gt;=1,O47=""),"Completada sin evidencia"&amp;" · ",""))-3)))</f>
        <v/>
      </c>
    </row>
    <row r="48">
      <c r="A48" s="46" t="n"/>
      <c r="B48" s="47" t="n"/>
      <c r="C48" s="47" t="n"/>
      <c r="D48" s="47" t="n"/>
      <c r="E48" s="48" t="n"/>
      <c r="F48" s="48" t="n"/>
      <c r="G48" s="49" t="n"/>
      <c r="H48" s="50" t="n"/>
      <c r="I48" s="50" t="n"/>
      <c r="J48" s="50" t="n"/>
      <c r="K48" s="50" t="n"/>
      <c r="L48" s="51">
        <f>IF(NOT((COUNTA($A48:$K48)+COUNTA($N48:$O48))&gt;0),"",IFERROR(LOOKUP(2,1/(H48:K48&lt;&gt;""),H48:K48),0))</f>
        <v/>
      </c>
      <c r="M48" s="52">
        <f>IF(L48="","",IF(L48&gt;=1,"Completado",IF(L48&gt;0,"En curso","Pendiente")))</f>
        <v/>
      </c>
      <c r="N48" s="48" t="n"/>
      <c r="O48" s="47" t="n"/>
      <c r="P48" s="53">
        <f>IF(NOT((COUNTA($A48:$K48)+COUNTA($N48:$O48))&gt;0),"",IF((IF(A48="","Falta ID"&amp;" · ","")&amp;IF(AND(A48&lt;&gt;"",COUNTIF($A$5:$A$1000,A48)&gt;1),"ID duplicado"&amp;" · ","")&amp;IF(B48="","Área sin seleccionar"&amp;" · ","")&amp;IF(AND(B48&lt;&gt;"",ISNA(MATCH(B48,ListaPuestos,0))),"Área no válida"&amp;" · ","")&amp;IF(C48="","Macroactividad vacía"&amp;" · ","")&amp;IF(D48="","Sin responsable"&amp;" · ","")&amp;IF(E48="","Sin fecha de inicio"&amp;" · ","")&amp;IF(F48="","Sin fecha límite"&amp;" · ","")&amp;IF(OR(AND(E48&lt;&gt;"",NOT(ISNUMBER(E48))),AND(F48&lt;&gt;"",NOT(ISNUMBER(F48)))),"Fecha no válida"&amp;" · ","")&amp;IF(AND(ISNUMBER(E48),ISNUMBER(F48),E48&gt;F48),"Inicio posterior a fecha límite"&amp;" · ","")&amp;IF(G48="","Peso vacío"&amp;" · ","")&amp;IF(AND(G48&lt;&gt;"",OR(NOT(ISNUMBER(G48)),G48&lt;=0,G48&gt;1)),"Peso fuera de rango"&amp;" · ","")&amp;IF(AND(B48&lt;&gt;"",ABS(SUMIFS($G$5:$G$1000,$B$5:$B$1000,B48)-1)&gt;0.0001),"Pesos del puesto suman "&amp;TEXT(SUMIFS($G$5:$G$1000,$B$5:$B$1000,B48),"0%")&amp;" · ","")&amp;IF((COUNTIF(H48:K48,"&gt;1")+COUNTIF(H48:K48,"&lt;0")+COUNTA(H48:K48)-COUNT(H48:K48))&gt;0,"Avance fuera de rango 0-100%"&amp;" · ","")&amp;IF(OR(AND(I48&lt;&gt;"",I48&lt;H48),AND(J48&lt;&gt;"",J48&lt;MAX(H48:I48)),AND(K48&lt;&gt;"",K48&lt;MAX(H48:J48))),"Avance semanal decreciente"&amp;" · ","")&amp;IF(AND(ISNUMBER(F48),F48&lt;FechaRef,N(L48)&lt;1),"Vencida"&amp;" · ","")&amp;IF(AND(EvidenciaObligatoria="Sí",N(L48)&gt;=1,O48=""),"Completada sin evidencia"&amp;" · ",""))="","✔ OK","⚠ "&amp;LEFT(IF(A48="","Falta ID"&amp;" · ","")&amp;IF(AND(A48&lt;&gt;"",COUNTIF($A$5:$A$1000,A48)&gt;1),"ID duplicado"&amp;" · ","")&amp;IF(B48="","Área sin seleccionar"&amp;" · ","")&amp;IF(AND(B48&lt;&gt;"",ISNA(MATCH(B48,ListaPuestos,0))),"Área no válida"&amp;" · ","")&amp;IF(C48="","Macroactividad vacía"&amp;" · ","")&amp;IF(D48="","Sin responsable"&amp;" · ","")&amp;IF(E48="","Sin fecha de inicio"&amp;" · ","")&amp;IF(F48="","Sin fecha límite"&amp;" · ","")&amp;IF(OR(AND(E48&lt;&gt;"",NOT(ISNUMBER(E48))),AND(F48&lt;&gt;"",NOT(ISNUMBER(F48)))),"Fecha no válida"&amp;" · ","")&amp;IF(AND(ISNUMBER(E48),ISNUMBER(F48),E48&gt;F48),"Inicio posterior a fecha límite"&amp;" · ","")&amp;IF(G48="","Peso vacío"&amp;" · ","")&amp;IF(AND(G48&lt;&gt;"",OR(NOT(ISNUMBER(G48)),G48&lt;=0,G48&gt;1)),"Peso fuera de rango"&amp;" · ","")&amp;IF(AND(B48&lt;&gt;"",ABS(SUMIFS($G$5:$G$1000,$B$5:$B$1000,B48)-1)&gt;0.0001),"Pesos del puesto suman "&amp;TEXT(SUMIFS($G$5:$G$1000,$B$5:$B$1000,B48),"0%")&amp;" · ","")&amp;IF((COUNTIF(H48:K48,"&gt;1")+COUNTIF(H48:K48,"&lt;0")+COUNTA(H48:K48)-COUNT(H48:K48))&gt;0,"Avance fuera de rango 0-100%"&amp;" · ","")&amp;IF(OR(AND(I48&lt;&gt;"",I48&lt;H48),AND(J48&lt;&gt;"",J48&lt;MAX(H48:I48)),AND(K48&lt;&gt;"",K48&lt;MAX(H48:J48))),"Avance semanal decreciente"&amp;" · ","")&amp;IF(AND(ISNUMBER(F48),F48&lt;FechaRef,N(L48)&lt;1),"Vencida"&amp;" · ","")&amp;IF(AND(EvidenciaObligatoria="Sí",N(L48)&gt;=1,O48=""),"Completada sin evidencia"&amp;" · ",""),LEN(IF(A48="","Falta ID"&amp;" · ","")&amp;IF(AND(A48&lt;&gt;"",COUNTIF($A$5:$A$1000,A48)&gt;1),"ID duplicado"&amp;" · ","")&amp;IF(B48="","Área sin seleccionar"&amp;" · ","")&amp;IF(AND(B48&lt;&gt;"",ISNA(MATCH(B48,ListaPuestos,0))),"Área no válida"&amp;" · ","")&amp;IF(C48="","Macroactividad vacía"&amp;" · ","")&amp;IF(D48="","Sin responsable"&amp;" · ","")&amp;IF(E48="","Sin fecha de inicio"&amp;" · ","")&amp;IF(F48="","Sin fecha límite"&amp;" · ","")&amp;IF(OR(AND(E48&lt;&gt;"",NOT(ISNUMBER(E48))),AND(F48&lt;&gt;"",NOT(ISNUMBER(F48)))),"Fecha no válida"&amp;" · ","")&amp;IF(AND(ISNUMBER(E48),ISNUMBER(F48),E48&gt;F48),"Inicio posterior a fecha límite"&amp;" · ","")&amp;IF(G48="","Peso vacío"&amp;" · ","")&amp;IF(AND(G48&lt;&gt;"",OR(NOT(ISNUMBER(G48)),G48&lt;=0,G48&gt;1)),"Peso fuera de rango"&amp;" · ","")&amp;IF(AND(B48&lt;&gt;"",ABS(SUMIFS($G$5:$G$1000,$B$5:$B$1000,B48)-1)&gt;0.0001),"Pesos del puesto suman "&amp;TEXT(SUMIFS($G$5:$G$1000,$B$5:$B$1000,B48),"0%")&amp;" · ","")&amp;IF((COUNTIF(H48:K48,"&gt;1")+COUNTIF(H48:K48,"&lt;0")+COUNTA(H48:K48)-COUNT(H48:K48))&gt;0,"Avance fuera de rango 0-100%"&amp;" · ","")&amp;IF(OR(AND(I48&lt;&gt;"",I48&lt;H48),AND(J48&lt;&gt;"",J48&lt;MAX(H48:I48)),AND(K48&lt;&gt;"",K48&lt;MAX(H48:J48))),"Avance semanal decreciente"&amp;" · ","")&amp;IF(AND(ISNUMBER(F48),F48&lt;FechaRef,N(L48)&lt;1),"Vencida"&amp;" · ","")&amp;IF(AND(EvidenciaObligatoria="Sí",N(L48)&gt;=1,O48=""),"Completada sin evidencia"&amp;" · ",""))-3)))</f>
        <v/>
      </c>
    </row>
    <row r="49">
      <c r="A49" s="46" t="n"/>
      <c r="B49" s="47" t="n"/>
      <c r="C49" s="47" t="n"/>
      <c r="D49" s="47" t="n"/>
      <c r="E49" s="48" t="n"/>
      <c r="F49" s="48" t="n"/>
      <c r="G49" s="49" t="n"/>
      <c r="H49" s="50" t="n"/>
      <c r="I49" s="50" t="n"/>
      <c r="J49" s="50" t="n"/>
      <c r="K49" s="50" t="n"/>
      <c r="L49" s="51">
        <f>IF(NOT((COUNTA($A49:$K49)+COUNTA($N49:$O49))&gt;0),"",IFERROR(LOOKUP(2,1/(H49:K49&lt;&gt;""),H49:K49),0))</f>
        <v/>
      </c>
      <c r="M49" s="52">
        <f>IF(L49="","",IF(L49&gt;=1,"Completado",IF(L49&gt;0,"En curso","Pendiente")))</f>
        <v/>
      </c>
      <c r="N49" s="48" t="n"/>
      <c r="O49" s="47" t="n"/>
      <c r="P49" s="53">
        <f>IF(NOT((COUNTA($A49:$K49)+COUNTA($N49:$O49))&gt;0),"",IF((IF(A49="","Falta ID"&amp;" · ","")&amp;IF(AND(A49&lt;&gt;"",COUNTIF($A$5:$A$1000,A49)&gt;1),"ID duplicado"&amp;" · ","")&amp;IF(B49="","Área sin seleccionar"&amp;" · ","")&amp;IF(AND(B49&lt;&gt;"",ISNA(MATCH(B49,ListaPuestos,0))),"Área no válida"&amp;" · ","")&amp;IF(C49="","Macroactividad vacía"&amp;" · ","")&amp;IF(D49="","Sin responsable"&amp;" · ","")&amp;IF(E49="","Sin fecha de inicio"&amp;" · ","")&amp;IF(F49="","Sin fecha límite"&amp;" · ","")&amp;IF(OR(AND(E49&lt;&gt;"",NOT(ISNUMBER(E49))),AND(F49&lt;&gt;"",NOT(ISNUMBER(F49)))),"Fecha no válida"&amp;" · ","")&amp;IF(AND(ISNUMBER(E49),ISNUMBER(F49),E49&gt;F49),"Inicio posterior a fecha límite"&amp;" · ","")&amp;IF(G49="","Peso vacío"&amp;" · ","")&amp;IF(AND(G49&lt;&gt;"",OR(NOT(ISNUMBER(G49)),G49&lt;=0,G49&gt;1)),"Peso fuera de rango"&amp;" · ","")&amp;IF(AND(B49&lt;&gt;"",ABS(SUMIFS($G$5:$G$1000,$B$5:$B$1000,B49)-1)&gt;0.0001),"Pesos del puesto suman "&amp;TEXT(SUMIFS($G$5:$G$1000,$B$5:$B$1000,B49),"0%")&amp;" · ","")&amp;IF((COUNTIF(H49:K49,"&gt;1")+COUNTIF(H49:K49,"&lt;0")+COUNTA(H49:K49)-COUNT(H49:K49))&gt;0,"Avance fuera de rango 0-100%"&amp;" · ","")&amp;IF(OR(AND(I49&lt;&gt;"",I49&lt;H49),AND(J49&lt;&gt;"",J49&lt;MAX(H49:I49)),AND(K49&lt;&gt;"",K49&lt;MAX(H49:J49))),"Avance semanal decreciente"&amp;" · ","")&amp;IF(AND(ISNUMBER(F49),F49&lt;FechaRef,N(L49)&lt;1),"Vencida"&amp;" · ","")&amp;IF(AND(EvidenciaObligatoria="Sí",N(L49)&gt;=1,O49=""),"Completada sin evidencia"&amp;" · ",""))="","✔ OK","⚠ "&amp;LEFT(IF(A49="","Falta ID"&amp;" · ","")&amp;IF(AND(A49&lt;&gt;"",COUNTIF($A$5:$A$1000,A49)&gt;1),"ID duplicado"&amp;" · ","")&amp;IF(B49="","Área sin seleccionar"&amp;" · ","")&amp;IF(AND(B49&lt;&gt;"",ISNA(MATCH(B49,ListaPuestos,0))),"Área no válida"&amp;" · ","")&amp;IF(C49="","Macroactividad vacía"&amp;" · ","")&amp;IF(D49="","Sin responsable"&amp;" · ","")&amp;IF(E49="","Sin fecha de inicio"&amp;" · ","")&amp;IF(F49="","Sin fecha límite"&amp;" · ","")&amp;IF(OR(AND(E49&lt;&gt;"",NOT(ISNUMBER(E49))),AND(F49&lt;&gt;"",NOT(ISNUMBER(F49)))),"Fecha no válida"&amp;" · ","")&amp;IF(AND(ISNUMBER(E49),ISNUMBER(F49),E49&gt;F49),"Inicio posterior a fecha límite"&amp;" · ","")&amp;IF(G49="","Peso vacío"&amp;" · ","")&amp;IF(AND(G49&lt;&gt;"",OR(NOT(ISNUMBER(G49)),G49&lt;=0,G49&gt;1)),"Peso fuera de rango"&amp;" · ","")&amp;IF(AND(B49&lt;&gt;"",ABS(SUMIFS($G$5:$G$1000,$B$5:$B$1000,B49)-1)&gt;0.0001),"Pesos del puesto suman "&amp;TEXT(SUMIFS($G$5:$G$1000,$B$5:$B$1000,B49),"0%")&amp;" · ","")&amp;IF((COUNTIF(H49:K49,"&gt;1")+COUNTIF(H49:K49,"&lt;0")+COUNTA(H49:K49)-COUNT(H49:K49))&gt;0,"Avance fuera de rango 0-100%"&amp;" · ","")&amp;IF(OR(AND(I49&lt;&gt;"",I49&lt;H49),AND(J49&lt;&gt;"",J49&lt;MAX(H49:I49)),AND(K49&lt;&gt;"",K49&lt;MAX(H49:J49))),"Avance semanal decreciente"&amp;" · ","")&amp;IF(AND(ISNUMBER(F49),F49&lt;FechaRef,N(L49)&lt;1),"Vencida"&amp;" · ","")&amp;IF(AND(EvidenciaObligatoria="Sí",N(L49)&gt;=1,O49=""),"Completada sin evidencia"&amp;" · ",""),LEN(IF(A49="","Falta ID"&amp;" · ","")&amp;IF(AND(A49&lt;&gt;"",COUNTIF($A$5:$A$1000,A49)&gt;1),"ID duplicado"&amp;" · ","")&amp;IF(B49="","Área sin seleccionar"&amp;" · ","")&amp;IF(AND(B49&lt;&gt;"",ISNA(MATCH(B49,ListaPuestos,0))),"Área no válida"&amp;" · ","")&amp;IF(C49="","Macroactividad vacía"&amp;" · ","")&amp;IF(D49="","Sin responsable"&amp;" · ","")&amp;IF(E49="","Sin fecha de inicio"&amp;" · ","")&amp;IF(F49="","Sin fecha límite"&amp;" · ","")&amp;IF(OR(AND(E49&lt;&gt;"",NOT(ISNUMBER(E49))),AND(F49&lt;&gt;"",NOT(ISNUMBER(F49)))),"Fecha no válida"&amp;" · ","")&amp;IF(AND(ISNUMBER(E49),ISNUMBER(F49),E49&gt;F49),"Inicio posterior a fecha límite"&amp;" · ","")&amp;IF(G49="","Peso vacío"&amp;" · ","")&amp;IF(AND(G49&lt;&gt;"",OR(NOT(ISNUMBER(G49)),G49&lt;=0,G49&gt;1)),"Peso fuera de rango"&amp;" · ","")&amp;IF(AND(B49&lt;&gt;"",ABS(SUMIFS($G$5:$G$1000,$B$5:$B$1000,B49)-1)&gt;0.0001),"Pesos del puesto suman "&amp;TEXT(SUMIFS($G$5:$G$1000,$B$5:$B$1000,B49),"0%")&amp;" · ","")&amp;IF((COUNTIF(H49:K49,"&gt;1")+COUNTIF(H49:K49,"&lt;0")+COUNTA(H49:K49)-COUNT(H49:K49))&gt;0,"Avance fuera de rango 0-100%"&amp;" · ","")&amp;IF(OR(AND(I49&lt;&gt;"",I49&lt;H49),AND(J49&lt;&gt;"",J49&lt;MAX(H49:I49)),AND(K49&lt;&gt;"",K49&lt;MAX(H49:J49))),"Avance semanal decreciente"&amp;" · ","")&amp;IF(AND(ISNUMBER(F49),F49&lt;FechaRef,N(L49)&lt;1),"Vencida"&amp;" · ","")&amp;IF(AND(EvidenciaObligatoria="Sí",N(L49)&gt;=1,O49=""),"Completada sin evidencia"&amp;" · ",""))-3)))</f>
        <v/>
      </c>
    </row>
    <row r="50">
      <c r="A50" s="46" t="n"/>
      <c r="B50" s="47" t="n"/>
      <c r="C50" s="47" t="n"/>
      <c r="D50" s="47" t="n"/>
      <c r="E50" s="48" t="n"/>
      <c r="F50" s="48" t="n"/>
      <c r="G50" s="49" t="n"/>
      <c r="H50" s="50" t="n"/>
      <c r="I50" s="50" t="n"/>
      <c r="J50" s="50" t="n"/>
      <c r="K50" s="50" t="n"/>
      <c r="L50" s="51">
        <f>IF(NOT((COUNTA($A50:$K50)+COUNTA($N50:$O50))&gt;0),"",IFERROR(LOOKUP(2,1/(H50:K50&lt;&gt;""),H50:K50),0))</f>
        <v/>
      </c>
      <c r="M50" s="52">
        <f>IF(L50="","",IF(L50&gt;=1,"Completado",IF(L50&gt;0,"En curso","Pendiente")))</f>
        <v/>
      </c>
      <c r="N50" s="48" t="n"/>
      <c r="O50" s="47" t="n"/>
      <c r="P50" s="53">
        <f>IF(NOT((COUNTA($A50:$K50)+COUNTA($N50:$O50))&gt;0),"",IF((IF(A50="","Falta ID"&amp;" · ","")&amp;IF(AND(A50&lt;&gt;"",COUNTIF($A$5:$A$1000,A50)&gt;1),"ID duplicado"&amp;" · ","")&amp;IF(B50="","Área sin seleccionar"&amp;" · ","")&amp;IF(AND(B50&lt;&gt;"",ISNA(MATCH(B50,ListaPuestos,0))),"Área no válida"&amp;" · ","")&amp;IF(C50="","Macroactividad vacía"&amp;" · ","")&amp;IF(D50="","Sin responsable"&amp;" · ","")&amp;IF(E50="","Sin fecha de inicio"&amp;" · ","")&amp;IF(F50="","Sin fecha límite"&amp;" · ","")&amp;IF(OR(AND(E50&lt;&gt;"",NOT(ISNUMBER(E50))),AND(F50&lt;&gt;"",NOT(ISNUMBER(F50)))),"Fecha no válida"&amp;" · ","")&amp;IF(AND(ISNUMBER(E50),ISNUMBER(F50),E50&gt;F50),"Inicio posterior a fecha límite"&amp;" · ","")&amp;IF(G50="","Peso vacío"&amp;" · ","")&amp;IF(AND(G50&lt;&gt;"",OR(NOT(ISNUMBER(G50)),G50&lt;=0,G50&gt;1)),"Peso fuera de rango"&amp;" · ","")&amp;IF(AND(B50&lt;&gt;"",ABS(SUMIFS($G$5:$G$1000,$B$5:$B$1000,B50)-1)&gt;0.0001),"Pesos del puesto suman "&amp;TEXT(SUMIFS($G$5:$G$1000,$B$5:$B$1000,B50),"0%")&amp;" · ","")&amp;IF((COUNTIF(H50:K50,"&gt;1")+COUNTIF(H50:K50,"&lt;0")+COUNTA(H50:K50)-COUNT(H50:K50))&gt;0,"Avance fuera de rango 0-100%"&amp;" · ","")&amp;IF(OR(AND(I50&lt;&gt;"",I50&lt;H50),AND(J50&lt;&gt;"",J50&lt;MAX(H50:I50)),AND(K50&lt;&gt;"",K50&lt;MAX(H50:J50))),"Avance semanal decreciente"&amp;" · ","")&amp;IF(AND(ISNUMBER(F50),F50&lt;FechaRef,N(L50)&lt;1),"Vencida"&amp;" · ","")&amp;IF(AND(EvidenciaObligatoria="Sí",N(L50)&gt;=1,O50=""),"Completada sin evidencia"&amp;" · ",""))="","✔ OK","⚠ "&amp;LEFT(IF(A50="","Falta ID"&amp;" · ","")&amp;IF(AND(A50&lt;&gt;"",COUNTIF($A$5:$A$1000,A50)&gt;1),"ID duplicado"&amp;" · ","")&amp;IF(B50="","Área sin seleccionar"&amp;" · ","")&amp;IF(AND(B50&lt;&gt;"",ISNA(MATCH(B50,ListaPuestos,0))),"Área no válida"&amp;" · ","")&amp;IF(C50="","Macroactividad vacía"&amp;" · ","")&amp;IF(D50="","Sin responsable"&amp;" · ","")&amp;IF(E50="","Sin fecha de inicio"&amp;" · ","")&amp;IF(F50="","Sin fecha límite"&amp;" · ","")&amp;IF(OR(AND(E50&lt;&gt;"",NOT(ISNUMBER(E50))),AND(F50&lt;&gt;"",NOT(ISNUMBER(F50)))),"Fecha no válida"&amp;" · ","")&amp;IF(AND(ISNUMBER(E50),ISNUMBER(F50),E50&gt;F50),"Inicio posterior a fecha límite"&amp;" · ","")&amp;IF(G50="","Peso vacío"&amp;" · ","")&amp;IF(AND(G50&lt;&gt;"",OR(NOT(ISNUMBER(G50)),G50&lt;=0,G50&gt;1)),"Peso fuera de rango"&amp;" · ","")&amp;IF(AND(B50&lt;&gt;"",ABS(SUMIFS($G$5:$G$1000,$B$5:$B$1000,B50)-1)&gt;0.0001),"Pesos del puesto suman "&amp;TEXT(SUMIFS($G$5:$G$1000,$B$5:$B$1000,B50),"0%")&amp;" · ","")&amp;IF((COUNTIF(H50:K50,"&gt;1")+COUNTIF(H50:K50,"&lt;0")+COUNTA(H50:K50)-COUNT(H50:K50))&gt;0,"Avance fuera de rango 0-100%"&amp;" · ","")&amp;IF(OR(AND(I50&lt;&gt;"",I50&lt;H50),AND(J50&lt;&gt;"",J50&lt;MAX(H50:I50)),AND(K50&lt;&gt;"",K50&lt;MAX(H50:J50))),"Avance semanal decreciente"&amp;" · ","")&amp;IF(AND(ISNUMBER(F50),F50&lt;FechaRef,N(L50)&lt;1),"Vencida"&amp;" · ","")&amp;IF(AND(EvidenciaObligatoria="Sí",N(L50)&gt;=1,O50=""),"Completada sin evidencia"&amp;" · ",""),LEN(IF(A50="","Falta ID"&amp;" · ","")&amp;IF(AND(A50&lt;&gt;"",COUNTIF($A$5:$A$1000,A50)&gt;1),"ID duplicado"&amp;" · ","")&amp;IF(B50="","Área sin seleccionar"&amp;" · ","")&amp;IF(AND(B50&lt;&gt;"",ISNA(MATCH(B50,ListaPuestos,0))),"Área no válida"&amp;" · ","")&amp;IF(C50="","Macroactividad vacía"&amp;" · ","")&amp;IF(D50="","Sin responsable"&amp;" · ","")&amp;IF(E50="","Sin fecha de inicio"&amp;" · ","")&amp;IF(F50="","Sin fecha límite"&amp;" · ","")&amp;IF(OR(AND(E50&lt;&gt;"",NOT(ISNUMBER(E50))),AND(F50&lt;&gt;"",NOT(ISNUMBER(F50)))),"Fecha no válida"&amp;" · ","")&amp;IF(AND(ISNUMBER(E50),ISNUMBER(F50),E50&gt;F50),"Inicio posterior a fecha límite"&amp;" · ","")&amp;IF(G50="","Peso vacío"&amp;" · ","")&amp;IF(AND(G50&lt;&gt;"",OR(NOT(ISNUMBER(G50)),G50&lt;=0,G50&gt;1)),"Peso fuera de rango"&amp;" · ","")&amp;IF(AND(B50&lt;&gt;"",ABS(SUMIFS($G$5:$G$1000,$B$5:$B$1000,B50)-1)&gt;0.0001),"Pesos del puesto suman "&amp;TEXT(SUMIFS($G$5:$G$1000,$B$5:$B$1000,B50),"0%")&amp;" · ","")&amp;IF((COUNTIF(H50:K50,"&gt;1")+COUNTIF(H50:K50,"&lt;0")+COUNTA(H50:K50)-COUNT(H50:K50))&gt;0,"Avance fuera de rango 0-100%"&amp;" · ","")&amp;IF(OR(AND(I50&lt;&gt;"",I50&lt;H50),AND(J50&lt;&gt;"",J50&lt;MAX(H50:I50)),AND(K50&lt;&gt;"",K50&lt;MAX(H50:J50))),"Avance semanal decreciente"&amp;" · ","")&amp;IF(AND(ISNUMBER(F50),F50&lt;FechaRef,N(L50)&lt;1),"Vencida"&amp;" · ","")&amp;IF(AND(EvidenciaObligatoria="Sí",N(L50)&gt;=1,O50=""),"Completada sin evidencia"&amp;" · ",""))-3)))</f>
        <v/>
      </c>
    </row>
    <row r="51">
      <c r="A51" s="46" t="n"/>
      <c r="B51" s="47" t="n"/>
      <c r="C51" s="47" t="n"/>
      <c r="D51" s="47" t="n"/>
      <c r="E51" s="48" t="n"/>
      <c r="F51" s="48" t="n"/>
      <c r="G51" s="49" t="n"/>
      <c r="H51" s="50" t="n"/>
      <c r="I51" s="50" t="n"/>
      <c r="J51" s="50" t="n"/>
      <c r="K51" s="50" t="n"/>
      <c r="L51" s="51">
        <f>IF(NOT((COUNTA($A51:$K51)+COUNTA($N51:$O51))&gt;0),"",IFERROR(LOOKUP(2,1/(H51:K51&lt;&gt;""),H51:K51),0))</f>
        <v/>
      </c>
      <c r="M51" s="52">
        <f>IF(L51="","",IF(L51&gt;=1,"Completado",IF(L51&gt;0,"En curso","Pendiente")))</f>
        <v/>
      </c>
      <c r="N51" s="48" t="n"/>
      <c r="O51" s="47" t="n"/>
      <c r="P51" s="53">
        <f>IF(NOT((COUNTA($A51:$K51)+COUNTA($N51:$O51))&gt;0),"",IF((IF(A51="","Falta ID"&amp;" · ","")&amp;IF(AND(A51&lt;&gt;"",COUNTIF($A$5:$A$1000,A51)&gt;1),"ID duplicado"&amp;" · ","")&amp;IF(B51="","Área sin seleccionar"&amp;" · ","")&amp;IF(AND(B51&lt;&gt;"",ISNA(MATCH(B51,ListaPuestos,0))),"Área no válida"&amp;" · ","")&amp;IF(C51="","Macroactividad vacía"&amp;" · ","")&amp;IF(D51="","Sin responsable"&amp;" · ","")&amp;IF(E51="","Sin fecha de inicio"&amp;" · ","")&amp;IF(F51="","Sin fecha límite"&amp;" · ","")&amp;IF(OR(AND(E51&lt;&gt;"",NOT(ISNUMBER(E51))),AND(F51&lt;&gt;"",NOT(ISNUMBER(F51)))),"Fecha no válida"&amp;" · ","")&amp;IF(AND(ISNUMBER(E51),ISNUMBER(F51),E51&gt;F51),"Inicio posterior a fecha límite"&amp;" · ","")&amp;IF(G51="","Peso vacío"&amp;" · ","")&amp;IF(AND(G51&lt;&gt;"",OR(NOT(ISNUMBER(G51)),G51&lt;=0,G51&gt;1)),"Peso fuera de rango"&amp;" · ","")&amp;IF(AND(B51&lt;&gt;"",ABS(SUMIFS($G$5:$G$1000,$B$5:$B$1000,B51)-1)&gt;0.0001),"Pesos del puesto suman "&amp;TEXT(SUMIFS($G$5:$G$1000,$B$5:$B$1000,B51),"0%")&amp;" · ","")&amp;IF((COUNTIF(H51:K51,"&gt;1")+COUNTIF(H51:K51,"&lt;0")+COUNTA(H51:K51)-COUNT(H51:K51))&gt;0,"Avance fuera de rango 0-100%"&amp;" · ","")&amp;IF(OR(AND(I51&lt;&gt;"",I51&lt;H51),AND(J51&lt;&gt;"",J51&lt;MAX(H51:I51)),AND(K51&lt;&gt;"",K51&lt;MAX(H51:J51))),"Avance semanal decreciente"&amp;" · ","")&amp;IF(AND(ISNUMBER(F51),F51&lt;FechaRef,N(L51)&lt;1),"Vencida"&amp;" · ","")&amp;IF(AND(EvidenciaObligatoria="Sí",N(L51)&gt;=1,O51=""),"Completada sin evidencia"&amp;" · ",""))="","✔ OK","⚠ "&amp;LEFT(IF(A51="","Falta ID"&amp;" · ","")&amp;IF(AND(A51&lt;&gt;"",COUNTIF($A$5:$A$1000,A51)&gt;1),"ID duplicado"&amp;" · ","")&amp;IF(B51="","Área sin seleccionar"&amp;" · ","")&amp;IF(AND(B51&lt;&gt;"",ISNA(MATCH(B51,ListaPuestos,0))),"Área no válida"&amp;" · ","")&amp;IF(C51="","Macroactividad vacía"&amp;" · ","")&amp;IF(D51="","Sin responsable"&amp;" · ","")&amp;IF(E51="","Sin fecha de inicio"&amp;" · ","")&amp;IF(F51="","Sin fecha límite"&amp;" · ","")&amp;IF(OR(AND(E51&lt;&gt;"",NOT(ISNUMBER(E51))),AND(F51&lt;&gt;"",NOT(ISNUMBER(F51)))),"Fecha no válida"&amp;" · ","")&amp;IF(AND(ISNUMBER(E51),ISNUMBER(F51),E51&gt;F51),"Inicio posterior a fecha límite"&amp;" · ","")&amp;IF(G51="","Peso vacío"&amp;" · ","")&amp;IF(AND(G51&lt;&gt;"",OR(NOT(ISNUMBER(G51)),G51&lt;=0,G51&gt;1)),"Peso fuera de rango"&amp;" · ","")&amp;IF(AND(B51&lt;&gt;"",ABS(SUMIFS($G$5:$G$1000,$B$5:$B$1000,B51)-1)&gt;0.0001),"Pesos del puesto suman "&amp;TEXT(SUMIFS($G$5:$G$1000,$B$5:$B$1000,B51),"0%")&amp;" · ","")&amp;IF((COUNTIF(H51:K51,"&gt;1")+COUNTIF(H51:K51,"&lt;0")+COUNTA(H51:K51)-COUNT(H51:K51))&gt;0,"Avance fuera de rango 0-100%"&amp;" · ","")&amp;IF(OR(AND(I51&lt;&gt;"",I51&lt;H51),AND(J51&lt;&gt;"",J51&lt;MAX(H51:I51)),AND(K51&lt;&gt;"",K51&lt;MAX(H51:J51))),"Avance semanal decreciente"&amp;" · ","")&amp;IF(AND(ISNUMBER(F51),F51&lt;FechaRef,N(L51)&lt;1),"Vencida"&amp;" · ","")&amp;IF(AND(EvidenciaObligatoria="Sí",N(L51)&gt;=1,O51=""),"Completada sin evidencia"&amp;" · ",""),LEN(IF(A51="","Falta ID"&amp;" · ","")&amp;IF(AND(A51&lt;&gt;"",COUNTIF($A$5:$A$1000,A51)&gt;1),"ID duplicado"&amp;" · ","")&amp;IF(B51="","Área sin seleccionar"&amp;" · ","")&amp;IF(AND(B51&lt;&gt;"",ISNA(MATCH(B51,ListaPuestos,0))),"Área no válida"&amp;" · ","")&amp;IF(C51="","Macroactividad vacía"&amp;" · ","")&amp;IF(D51="","Sin responsable"&amp;" · ","")&amp;IF(E51="","Sin fecha de inicio"&amp;" · ","")&amp;IF(F51="","Sin fecha límite"&amp;" · ","")&amp;IF(OR(AND(E51&lt;&gt;"",NOT(ISNUMBER(E51))),AND(F51&lt;&gt;"",NOT(ISNUMBER(F51)))),"Fecha no válida"&amp;" · ","")&amp;IF(AND(ISNUMBER(E51),ISNUMBER(F51),E51&gt;F51),"Inicio posterior a fecha límite"&amp;" · ","")&amp;IF(G51="","Peso vacío"&amp;" · ","")&amp;IF(AND(G51&lt;&gt;"",OR(NOT(ISNUMBER(G51)),G51&lt;=0,G51&gt;1)),"Peso fuera de rango"&amp;" · ","")&amp;IF(AND(B51&lt;&gt;"",ABS(SUMIFS($G$5:$G$1000,$B$5:$B$1000,B51)-1)&gt;0.0001),"Pesos del puesto suman "&amp;TEXT(SUMIFS($G$5:$G$1000,$B$5:$B$1000,B51),"0%")&amp;" · ","")&amp;IF((COUNTIF(H51:K51,"&gt;1")+COUNTIF(H51:K51,"&lt;0")+COUNTA(H51:K51)-COUNT(H51:K51))&gt;0,"Avance fuera de rango 0-100%"&amp;" · ","")&amp;IF(OR(AND(I51&lt;&gt;"",I51&lt;H51),AND(J51&lt;&gt;"",J51&lt;MAX(H51:I51)),AND(K51&lt;&gt;"",K51&lt;MAX(H51:J51))),"Avance semanal decreciente"&amp;" · ","")&amp;IF(AND(ISNUMBER(F51),F51&lt;FechaRef,N(L51)&lt;1),"Vencida"&amp;" · ","")&amp;IF(AND(EvidenciaObligatoria="Sí",N(L51)&gt;=1,O51=""),"Completada sin evidencia"&amp;" · ",""))-3)))</f>
        <v/>
      </c>
    </row>
    <row r="52">
      <c r="A52" s="46" t="n"/>
      <c r="B52" s="47" t="n"/>
      <c r="C52" s="47" t="n"/>
      <c r="D52" s="47" t="n"/>
      <c r="E52" s="48" t="n"/>
      <c r="F52" s="48" t="n"/>
      <c r="G52" s="49" t="n"/>
      <c r="H52" s="50" t="n"/>
      <c r="I52" s="50" t="n"/>
      <c r="J52" s="50" t="n"/>
      <c r="K52" s="50" t="n"/>
      <c r="L52" s="51">
        <f>IF(NOT((COUNTA($A52:$K52)+COUNTA($N52:$O52))&gt;0),"",IFERROR(LOOKUP(2,1/(H52:K52&lt;&gt;""),H52:K52),0))</f>
        <v/>
      </c>
      <c r="M52" s="52">
        <f>IF(L52="","",IF(L52&gt;=1,"Completado",IF(L52&gt;0,"En curso","Pendiente")))</f>
        <v/>
      </c>
      <c r="N52" s="48" t="n"/>
      <c r="O52" s="47" t="n"/>
      <c r="P52" s="53">
        <f>IF(NOT((COUNTA($A52:$K52)+COUNTA($N52:$O52))&gt;0),"",IF((IF(A52="","Falta ID"&amp;" · ","")&amp;IF(AND(A52&lt;&gt;"",COUNTIF($A$5:$A$1000,A52)&gt;1),"ID duplicado"&amp;" · ","")&amp;IF(B52="","Área sin seleccionar"&amp;" · ","")&amp;IF(AND(B52&lt;&gt;"",ISNA(MATCH(B52,ListaPuestos,0))),"Área no válida"&amp;" · ","")&amp;IF(C52="","Macroactividad vacía"&amp;" · ","")&amp;IF(D52="","Sin responsable"&amp;" · ","")&amp;IF(E52="","Sin fecha de inicio"&amp;" · ","")&amp;IF(F52="","Sin fecha límite"&amp;" · ","")&amp;IF(OR(AND(E52&lt;&gt;"",NOT(ISNUMBER(E52))),AND(F52&lt;&gt;"",NOT(ISNUMBER(F52)))),"Fecha no válida"&amp;" · ","")&amp;IF(AND(ISNUMBER(E52),ISNUMBER(F52),E52&gt;F52),"Inicio posterior a fecha límite"&amp;" · ","")&amp;IF(G52="","Peso vacío"&amp;" · ","")&amp;IF(AND(G52&lt;&gt;"",OR(NOT(ISNUMBER(G52)),G52&lt;=0,G52&gt;1)),"Peso fuera de rango"&amp;" · ","")&amp;IF(AND(B52&lt;&gt;"",ABS(SUMIFS($G$5:$G$1000,$B$5:$B$1000,B52)-1)&gt;0.0001),"Pesos del puesto suman "&amp;TEXT(SUMIFS($G$5:$G$1000,$B$5:$B$1000,B52),"0%")&amp;" · ","")&amp;IF((COUNTIF(H52:K52,"&gt;1")+COUNTIF(H52:K52,"&lt;0")+COUNTA(H52:K52)-COUNT(H52:K52))&gt;0,"Avance fuera de rango 0-100%"&amp;" · ","")&amp;IF(OR(AND(I52&lt;&gt;"",I52&lt;H52),AND(J52&lt;&gt;"",J52&lt;MAX(H52:I52)),AND(K52&lt;&gt;"",K52&lt;MAX(H52:J52))),"Avance semanal decreciente"&amp;" · ","")&amp;IF(AND(ISNUMBER(F52),F52&lt;FechaRef,N(L52)&lt;1),"Vencida"&amp;" · ","")&amp;IF(AND(EvidenciaObligatoria="Sí",N(L52)&gt;=1,O52=""),"Completada sin evidencia"&amp;" · ",""))="","✔ OK","⚠ "&amp;LEFT(IF(A52="","Falta ID"&amp;" · ","")&amp;IF(AND(A52&lt;&gt;"",COUNTIF($A$5:$A$1000,A52)&gt;1),"ID duplicado"&amp;" · ","")&amp;IF(B52="","Área sin seleccionar"&amp;" · ","")&amp;IF(AND(B52&lt;&gt;"",ISNA(MATCH(B52,ListaPuestos,0))),"Área no válida"&amp;" · ","")&amp;IF(C52="","Macroactividad vacía"&amp;" · ","")&amp;IF(D52="","Sin responsable"&amp;" · ","")&amp;IF(E52="","Sin fecha de inicio"&amp;" · ","")&amp;IF(F52="","Sin fecha límite"&amp;" · ","")&amp;IF(OR(AND(E52&lt;&gt;"",NOT(ISNUMBER(E52))),AND(F52&lt;&gt;"",NOT(ISNUMBER(F52)))),"Fecha no válida"&amp;" · ","")&amp;IF(AND(ISNUMBER(E52),ISNUMBER(F52),E52&gt;F52),"Inicio posterior a fecha límite"&amp;" · ","")&amp;IF(G52="","Peso vacío"&amp;" · ","")&amp;IF(AND(G52&lt;&gt;"",OR(NOT(ISNUMBER(G52)),G52&lt;=0,G52&gt;1)),"Peso fuera de rango"&amp;" · ","")&amp;IF(AND(B52&lt;&gt;"",ABS(SUMIFS($G$5:$G$1000,$B$5:$B$1000,B52)-1)&gt;0.0001),"Pesos del puesto suman "&amp;TEXT(SUMIFS($G$5:$G$1000,$B$5:$B$1000,B52),"0%")&amp;" · ","")&amp;IF((COUNTIF(H52:K52,"&gt;1")+COUNTIF(H52:K52,"&lt;0")+COUNTA(H52:K52)-COUNT(H52:K52))&gt;0,"Avance fuera de rango 0-100%"&amp;" · ","")&amp;IF(OR(AND(I52&lt;&gt;"",I52&lt;H52),AND(J52&lt;&gt;"",J52&lt;MAX(H52:I52)),AND(K52&lt;&gt;"",K52&lt;MAX(H52:J52))),"Avance semanal decreciente"&amp;" · ","")&amp;IF(AND(ISNUMBER(F52),F52&lt;FechaRef,N(L52)&lt;1),"Vencida"&amp;" · ","")&amp;IF(AND(EvidenciaObligatoria="Sí",N(L52)&gt;=1,O52=""),"Completada sin evidencia"&amp;" · ",""),LEN(IF(A52="","Falta ID"&amp;" · ","")&amp;IF(AND(A52&lt;&gt;"",COUNTIF($A$5:$A$1000,A52)&gt;1),"ID duplicado"&amp;" · ","")&amp;IF(B52="","Área sin seleccionar"&amp;" · ","")&amp;IF(AND(B52&lt;&gt;"",ISNA(MATCH(B52,ListaPuestos,0))),"Área no válida"&amp;" · ","")&amp;IF(C52="","Macroactividad vacía"&amp;" · ","")&amp;IF(D52="","Sin responsable"&amp;" · ","")&amp;IF(E52="","Sin fecha de inicio"&amp;" · ","")&amp;IF(F52="","Sin fecha límite"&amp;" · ","")&amp;IF(OR(AND(E52&lt;&gt;"",NOT(ISNUMBER(E52))),AND(F52&lt;&gt;"",NOT(ISNUMBER(F52)))),"Fecha no válida"&amp;" · ","")&amp;IF(AND(ISNUMBER(E52),ISNUMBER(F52),E52&gt;F52),"Inicio posterior a fecha límite"&amp;" · ","")&amp;IF(G52="","Peso vacío"&amp;" · ","")&amp;IF(AND(G52&lt;&gt;"",OR(NOT(ISNUMBER(G52)),G52&lt;=0,G52&gt;1)),"Peso fuera de rango"&amp;" · ","")&amp;IF(AND(B52&lt;&gt;"",ABS(SUMIFS($G$5:$G$1000,$B$5:$B$1000,B52)-1)&gt;0.0001),"Pesos del puesto suman "&amp;TEXT(SUMIFS($G$5:$G$1000,$B$5:$B$1000,B52),"0%")&amp;" · ","")&amp;IF((COUNTIF(H52:K52,"&gt;1")+COUNTIF(H52:K52,"&lt;0")+COUNTA(H52:K52)-COUNT(H52:K52))&gt;0,"Avance fuera de rango 0-100%"&amp;" · ","")&amp;IF(OR(AND(I52&lt;&gt;"",I52&lt;H52),AND(J52&lt;&gt;"",J52&lt;MAX(H52:I52)),AND(K52&lt;&gt;"",K52&lt;MAX(H52:J52))),"Avance semanal decreciente"&amp;" · ","")&amp;IF(AND(ISNUMBER(F52),F52&lt;FechaRef,N(L52)&lt;1),"Vencida"&amp;" · ","")&amp;IF(AND(EvidenciaObligatoria="Sí",N(L52)&gt;=1,O52=""),"Completada sin evidencia"&amp;" · ",""))-3)))</f>
        <v/>
      </c>
    </row>
    <row r="53">
      <c r="A53" s="46" t="n"/>
      <c r="B53" s="47" t="n"/>
      <c r="C53" s="47" t="n"/>
      <c r="D53" s="47" t="n"/>
      <c r="E53" s="48" t="n"/>
      <c r="F53" s="48" t="n"/>
      <c r="G53" s="49" t="n"/>
      <c r="H53" s="50" t="n"/>
      <c r="I53" s="50" t="n"/>
      <c r="J53" s="50" t="n"/>
      <c r="K53" s="50" t="n"/>
      <c r="L53" s="51">
        <f>IF(NOT((COUNTA($A53:$K53)+COUNTA($N53:$O53))&gt;0),"",IFERROR(LOOKUP(2,1/(H53:K53&lt;&gt;""),H53:K53),0))</f>
        <v/>
      </c>
      <c r="M53" s="52">
        <f>IF(L53="","",IF(L53&gt;=1,"Completado",IF(L53&gt;0,"En curso","Pendiente")))</f>
        <v/>
      </c>
      <c r="N53" s="48" t="n"/>
      <c r="O53" s="47" t="n"/>
      <c r="P53" s="53">
        <f>IF(NOT((COUNTA($A53:$K53)+COUNTA($N53:$O53))&gt;0),"",IF((IF(A53="","Falta ID"&amp;" · ","")&amp;IF(AND(A53&lt;&gt;"",COUNTIF($A$5:$A$1000,A53)&gt;1),"ID duplicado"&amp;" · ","")&amp;IF(B53="","Área sin seleccionar"&amp;" · ","")&amp;IF(AND(B53&lt;&gt;"",ISNA(MATCH(B53,ListaPuestos,0))),"Área no válida"&amp;" · ","")&amp;IF(C53="","Macroactividad vacía"&amp;" · ","")&amp;IF(D53="","Sin responsable"&amp;" · ","")&amp;IF(E53="","Sin fecha de inicio"&amp;" · ","")&amp;IF(F53="","Sin fecha límite"&amp;" · ","")&amp;IF(OR(AND(E53&lt;&gt;"",NOT(ISNUMBER(E53))),AND(F53&lt;&gt;"",NOT(ISNUMBER(F53)))),"Fecha no válida"&amp;" · ","")&amp;IF(AND(ISNUMBER(E53),ISNUMBER(F53),E53&gt;F53),"Inicio posterior a fecha límite"&amp;" · ","")&amp;IF(G53="","Peso vacío"&amp;" · ","")&amp;IF(AND(G53&lt;&gt;"",OR(NOT(ISNUMBER(G53)),G53&lt;=0,G53&gt;1)),"Peso fuera de rango"&amp;" · ","")&amp;IF(AND(B53&lt;&gt;"",ABS(SUMIFS($G$5:$G$1000,$B$5:$B$1000,B53)-1)&gt;0.0001),"Pesos del puesto suman "&amp;TEXT(SUMIFS($G$5:$G$1000,$B$5:$B$1000,B53),"0%")&amp;" · ","")&amp;IF((COUNTIF(H53:K53,"&gt;1")+COUNTIF(H53:K53,"&lt;0")+COUNTA(H53:K53)-COUNT(H53:K53))&gt;0,"Avance fuera de rango 0-100%"&amp;" · ","")&amp;IF(OR(AND(I53&lt;&gt;"",I53&lt;H53),AND(J53&lt;&gt;"",J53&lt;MAX(H53:I53)),AND(K53&lt;&gt;"",K53&lt;MAX(H53:J53))),"Avance semanal decreciente"&amp;" · ","")&amp;IF(AND(ISNUMBER(F53),F53&lt;FechaRef,N(L53)&lt;1),"Vencida"&amp;" · ","")&amp;IF(AND(EvidenciaObligatoria="Sí",N(L53)&gt;=1,O53=""),"Completada sin evidencia"&amp;" · ",""))="","✔ OK","⚠ "&amp;LEFT(IF(A53="","Falta ID"&amp;" · ","")&amp;IF(AND(A53&lt;&gt;"",COUNTIF($A$5:$A$1000,A53)&gt;1),"ID duplicado"&amp;" · ","")&amp;IF(B53="","Área sin seleccionar"&amp;" · ","")&amp;IF(AND(B53&lt;&gt;"",ISNA(MATCH(B53,ListaPuestos,0))),"Área no válida"&amp;" · ","")&amp;IF(C53="","Macroactividad vacía"&amp;" · ","")&amp;IF(D53="","Sin responsable"&amp;" · ","")&amp;IF(E53="","Sin fecha de inicio"&amp;" · ","")&amp;IF(F53="","Sin fecha límite"&amp;" · ","")&amp;IF(OR(AND(E53&lt;&gt;"",NOT(ISNUMBER(E53))),AND(F53&lt;&gt;"",NOT(ISNUMBER(F53)))),"Fecha no válida"&amp;" · ","")&amp;IF(AND(ISNUMBER(E53),ISNUMBER(F53),E53&gt;F53),"Inicio posterior a fecha límite"&amp;" · ","")&amp;IF(G53="","Peso vacío"&amp;" · ","")&amp;IF(AND(G53&lt;&gt;"",OR(NOT(ISNUMBER(G53)),G53&lt;=0,G53&gt;1)),"Peso fuera de rango"&amp;" · ","")&amp;IF(AND(B53&lt;&gt;"",ABS(SUMIFS($G$5:$G$1000,$B$5:$B$1000,B53)-1)&gt;0.0001),"Pesos del puesto suman "&amp;TEXT(SUMIFS($G$5:$G$1000,$B$5:$B$1000,B53),"0%")&amp;" · ","")&amp;IF((COUNTIF(H53:K53,"&gt;1")+COUNTIF(H53:K53,"&lt;0")+COUNTA(H53:K53)-COUNT(H53:K53))&gt;0,"Avance fuera de rango 0-100%"&amp;" · ","")&amp;IF(OR(AND(I53&lt;&gt;"",I53&lt;H53),AND(J53&lt;&gt;"",J53&lt;MAX(H53:I53)),AND(K53&lt;&gt;"",K53&lt;MAX(H53:J53))),"Avance semanal decreciente"&amp;" · ","")&amp;IF(AND(ISNUMBER(F53),F53&lt;FechaRef,N(L53)&lt;1),"Vencida"&amp;" · ","")&amp;IF(AND(EvidenciaObligatoria="Sí",N(L53)&gt;=1,O53=""),"Completada sin evidencia"&amp;" · ",""),LEN(IF(A53="","Falta ID"&amp;" · ","")&amp;IF(AND(A53&lt;&gt;"",COUNTIF($A$5:$A$1000,A53)&gt;1),"ID duplicado"&amp;" · ","")&amp;IF(B53="","Área sin seleccionar"&amp;" · ","")&amp;IF(AND(B53&lt;&gt;"",ISNA(MATCH(B53,ListaPuestos,0))),"Área no válida"&amp;" · ","")&amp;IF(C53="","Macroactividad vacía"&amp;" · ","")&amp;IF(D53="","Sin responsable"&amp;" · ","")&amp;IF(E53="","Sin fecha de inicio"&amp;" · ","")&amp;IF(F53="","Sin fecha límite"&amp;" · ","")&amp;IF(OR(AND(E53&lt;&gt;"",NOT(ISNUMBER(E53))),AND(F53&lt;&gt;"",NOT(ISNUMBER(F53)))),"Fecha no válida"&amp;" · ","")&amp;IF(AND(ISNUMBER(E53),ISNUMBER(F53),E53&gt;F53),"Inicio posterior a fecha límite"&amp;" · ","")&amp;IF(G53="","Peso vacío"&amp;" · ","")&amp;IF(AND(G53&lt;&gt;"",OR(NOT(ISNUMBER(G53)),G53&lt;=0,G53&gt;1)),"Peso fuera de rango"&amp;" · ","")&amp;IF(AND(B53&lt;&gt;"",ABS(SUMIFS($G$5:$G$1000,$B$5:$B$1000,B53)-1)&gt;0.0001),"Pesos del puesto suman "&amp;TEXT(SUMIFS($G$5:$G$1000,$B$5:$B$1000,B53),"0%")&amp;" · ","")&amp;IF((COUNTIF(H53:K53,"&gt;1")+COUNTIF(H53:K53,"&lt;0")+COUNTA(H53:K53)-COUNT(H53:K53))&gt;0,"Avance fuera de rango 0-100%"&amp;" · ","")&amp;IF(OR(AND(I53&lt;&gt;"",I53&lt;H53),AND(J53&lt;&gt;"",J53&lt;MAX(H53:I53)),AND(K53&lt;&gt;"",K53&lt;MAX(H53:J53))),"Avance semanal decreciente"&amp;" · ","")&amp;IF(AND(ISNUMBER(F53),F53&lt;FechaRef,N(L53)&lt;1),"Vencida"&amp;" · ","")&amp;IF(AND(EvidenciaObligatoria="Sí",N(L53)&gt;=1,O53=""),"Completada sin evidencia"&amp;" · ",""))-3)))</f>
        <v/>
      </c>
    </row>
    <row r="54">
      <c r="A54" s="46" t="n"/>
      <c r="B54" s="47" t="n"/>
      <c r="C54" s="47" t="n"/>
      <c r="D54" s="47" t="n"/>
      <c r="E54" s="48" t="n"/>
      <c r="F54" s="48" t="n"/>
      <c r="G54" s="49" t="n"/>
      <c r="H54" s="50" t="n"/>
      <c r="I54" s="50" t="n"/>
      <c r="J54" s="50" t="n"/>
      <c r="K54" s="50" t="n"/>
      <c r="L54" s="51">
        <f>IF(NOT((COUNTA($A54:$K54)+COUNTA($N54:$O54))&gt;0),"",IFERROR(LOOKUP(2,1/(H54:K54&lt;&gt;""),H54:K54),0))</f>
        <v/>
      </c>
      <c r="M54" s="52">
        <f>IF(L54="","",IF(L54&gt;=1,"Completado",IF(L54&gt;0,"En curso","Pendiente")))</f>
        <v/>
      </c>
      <c r="N54" s="48" t="n"/>
      <c r="O54" s="47" t="n"/>
      <c r="P54" s="53">
        <f>IF(NOT((COUNTA($A54:$K54)+COUNTA($N54:$O54))&gt;0),"",IF((IF(A54="","Falta ID"&amp;" · ","")&amp;IF(AND(A54&lt;&gt;"",COUNTIF($A$5:$A$1000,A54)&gt;1),"ID duplicado"&amp;" · ","")&amp;IF(B54="","Área sin seleccionar"&amp;" · ","")&amp;IF(AND(B54&lt;&gt;"",ISNA(MATCH(B54,ListaPuestos,0))),"Área no válida"&amp;" · ","")&amp;IF(C54="","Macroactividad vacía"&amp;" · ","")&amp;IF(D54="","Sin responsable"&amp;" · ","")&amp;IF(E54="","Sin fecha de inicio"&amp;" · ","")&amp;IF(F54="","Sin fecha límite"&amp;" · ","")&amp;IF(OR(AND(E54&lt;&gt;"",NOT(ISNUMBER(E54))),AND(F54&lt;&gt;"",NOT(ISNUMBER(F54)))),"Fecha no válida"&amp;" · ","")&amp;IF(AND(ISNUMBER(E54),ISNUMBER(F54),E54&gt;F54),"Inicio posterior a fecha límite"&amp;" · ","")&amp;IF(G54="","Peso vacío"&amp;" · ","")&amp;IF(AND(G54&lt;&gt;"",OR(NOT(ISNUMBER(G54)),G54&lt;=0,G54&gt;1)),"Peso fuera de rango"&amp;" · ","")&amp;IF(AND(B54&lt;&gt;"",ABS(SUMIFS($G$5:$G$1000,$B$5:$B$1000,B54)-1)&gt;0.0001),"Pesos del puesto suman "&amp;TEXT(SUMIFS($G$5:$G$1000,$B$5:$B$1000,B54),"0%")&amp;" · ","")&amp;IF((COUNTIF(H54:K54,"&gt;1")+COUNTIF(H54:K54,"&lt;0")+COUNTA(H54:K54)-COUNT(H54:K54))&gt;0,"Avance fuera de rango 0-100%"&amp;" · ","")&amp;IF(OR(AND(I54&lt;&gt;"",I54&lt;H54),AND(J54&lt;&gt;"",J54&lt;MAX(H54:I54)),AND(K54&lt;&gt;"",K54&lt;MAX(H54:J54))),"Avance semanal decreciente"&amp;" · ","")&amp;IF(AND(ISNUMBER(F54),F54&lt;FechaRef,N(L54)&lt;1),"Vencida"&amp;" · ","")&amp;IF(AND(EvidenciaObligatoria="Sí",N(L54)&gt;=1,O54=""),"Completada sin evidencia"&amp;" · ",""))="","✔ OK","⚠ "&amp;LEFT(IF(A54="","Falta ID"&amp;" · ","")&amp;IF(AND(A54&lt;&gt;"",COUNTIF($A$5:$A$1000,A54)&gt;1),"ID duplicado"&amp;" · ","")&amp;IF(B54="","Área sin seleccionar"&amp;" · ","")&amp;IF(AND(B54&lt;&gt;"",ISNA(MATCH(B54,ListaPuestos,0))),"Área no válida"&amp;" · ","")&amp;IF(C54="","Macroactividad vacía"&amp;" · ","")&amp;IF(D54="","Sin responsable"&amp;" · ","")&amp;IF(E54="","Sin fecha de inicio"&amp;" · ","")&amp;IF(F54="","Sin fecha límite"&amp;" · ","")&amp;IF(OR(AND(E54&lt;&gt;"",NOT(ISNUMBER(E54))),AND(F54&lt;&gt;"",NOT(ISNUMBER(F54)))),"Fecha no válida"&amp;" · ","")&amp;IF(AND(ISNUMBER(E54),ISNUMBER(F54),E54&gt;F54),"Inicio posterior a fecha límite"&amp;" · ","")&amp;IF(G54="","Peso vacío"&amp;" · ","")&amp;IF(AND(G54&lt;&gt;"",OR(NOT(ISNUMBER(G54)),G54&lt;=0,G54&gt;1)),"Peso fuera de rango"&amp;" · ","")&amp;IF(AND(B54&lt;&gt;"",ABS(SUMIFS($G$5:$G$1000,$B$5:$B$1000,B54)-1)&gt;0.0001),"Pesos del puesto suman "&amp;TEXT(SUMIFS($G$5:$G$1000,$B$5:$B$1000,B54),"0%")&amp;" · ","")&amp;IF((COUNTIF(H54:K54,"&gt;1")+COUNTIF(H54:K54,"&lt;0")+COUNTA(H54:K54)-COUNT(H54:K54))&gt;0,"Avance fuera de rango 0-100%"&amp;" · ","")&amp;IF(OR(AND(I54&lt;&gt;"",I54&lt;H54),AND(J54&lt;&gt;"",J54&lt;MAX(H54:I54)),AND(K54&lt;&gt;"",K54&lt;MAX(H54:J54))),"Avance semanal decreciente"&amp;" · ","")&amp;IF(AND(ISNUMBER(F54),F54&lt;FechaRef,N(L54)&lt;1),"Vencida"&amp;" · ","")&amp;IF(AND(EvidenciaObligatoria="Sí",N(L54)&gt;=1,O54=""),"Completada sin evidencia"&amp;" · ",""),LEN(IF(A54="","Falta ID"&amp;" · ","")&amp;IF(AND(A54&lt;&gt;"",COUNTIF($A$5:$A$1000,A54)&gt;1),"ID duplicado"&amp;" · ","")&amp;IF(B54="","Área sin seleccionar"&amp;" · ","")&amp;IF(AND(B54&lt;&gt;"",ISNA(MATCH(B54,ListaPuestos,0))),"Área no válida"&amp;" · ","")&amp;IF(C54="","Macroactividad vacía"&amp;" · ","")&amp;IF(D54="","Sin responsable"&amp;" · ","")&amp;IF(E54="","Sin fecha de inicio"&amp;" · ","")&amp;IF(F54="","Sin fecha límite"&amp;" · ","")&amp;IF(OR(AND(E54&lt;&gt;"",NOT(ISNUMBER(E54))),AND(F54&lt;&gt;"",NOT(ISNUMBER(F54)))),"Fecha no válida"&amp;" · ","")&amp;IF(AND(ISNUMBER(E54),ISNUMBER(F54),E54&gt;F54),"Inicio posterior a fecha límite"&amp;" · ","")&amp;IF(G54="","Peso vacío"&amp;" · ","")&amp;IF(AND(G54&lt;&gt;"",OR(NOT(ISNUMBER(G54)),G54&lt;=0,G54&gt;1)),"Peso fuera de rango"&amp;" · ","")&amp;IF(AND(B54&lt;&gt;"",ABS(SUMIFS($G$5:$G$1000,$B$5:$B$1000,B54)-1)&gt;0.0001),"Pesos del puesto suman "&amp;TEXT(SUMIFS($G$5:$G$1000,$B$5:$B$1000,B54),"0%")&amp;" · ","")&amp;IF((COUNTIF(H54:K54,"&gt;1")+COUNTIF(H54:K54,"&lt;0")+COUNTA(H54:K54)-COUNT(H54:K54))&gt;0,"Avance fuera de rango 0-100%"&amp;" · ","")&amp;IF(OR(AND(I54&lt;&gt;"",I54&lt;H54),AND(J54&lt;&gt;"",J54&lt;MAX(H54:I54)),AND(K54&lt;&gt;"",K54&lt;MAX(H54:J54))),"Avance semanal decreciente"&amp;" · ","")&amp;IF(AND(ISNUMBER(F54),F54&lt;FechaRef,N(L54)&lt;1),"Vencida"&amp;" · ","")&amp;IF(AND(EvidenciaObligatoria="Sí",N(L54)&gt;=1,O54=""),"Completada sin evidencia"&amp;" · ",""))-3)))</f>
        <v/>
      </c>
    </row>
    <row r="55">
      <c r="A55" s="46" t="n"/>
      <c r="B55" s="47" t="n"/>
      <c r="C55" s="47" t="n"/>
      <c r="D55" s="47" t="n"/>
      <c r="E55" s="48" t="n"/>
      <c r="F55" s="48" t="n"/>
      <c r="G55" s="49" t="n"/>
      <c r="H55" s="50" t="n"/>
      <c r="I55" s="50" t="n"/>
      <c r="J55" s="50" t="n"/>
      <c r="K55" s="50" t="n"/>
      <c r="L55" s="51">
        <f>IF(NOT((COUNTA($A55:$K55)+COUNTA($N55:$O55))&gt;0),"",IFERROR(LOOKUP(2,1/(H55:K55&lt;&gt;""),H55:K55),0))</f>
        <v/>
      </c>
      <c r="M55" s="52">
        <f>IF(L55="","",IF(L55&gt;=1,"Completado",IF(L55&gt;0,"En curso","Pendiente")))</f>
        <v/>
      </c>
      <c r="N55" s="48" t="n"/>
      <c r="O55" s="47" t="n"/>
      <c r="P55" s="53">
        <f>IF(NOT((COUNTA($A55:$K55)+COUNTA($N55:$O55))&gt;0),"",IF((IF(A55="","Falta ID"&amp;" · ","")&amp;IF(AND(A55&lt;&gt;"",COUNTIF($A$5:$A$1000,A55)&gt;1),"ID duplicado"&amp;" · ","")&amp;IF(B55="","Área sin seleccionar"&amp;" · ","")&amp;IF(AND(B55&lt;&gt;"",ISNA(MATCH(B55,ListaPuestos,0))),"Área no válida"&amp;" · ","")&amp;IF(C55="","Macroactividad vacía"&amp;" · ","")&amp;IF(D55="","Sin responsable"&amp;" · ","")&amp;IF(E55="","Sin fecha de inicio"&amp;" · ","")&amp;IF(F55="","Sin fecha límite"&amp;" · ","")&amp;IF(OR(AND(E55&lt;&gt;"",NOT(ISNUMBER(E55))),AND(F55&lt;&gt;"",NOT(ISNUMBER(F55)))),"Fecha no válida"&amp;" · ","")&amp;IF(AND(ISNUMBER(E55),ISNUMBER(F55),E55&gt;F55),"Inicio posterior a fecha límite"&amp;" · ","")&amp;IF(G55="","Peso vacío"&amp;" · ","")&amp;IF(AND(G55&lt;&gt;"",OR(NOT(ISNUMBER(G55)),G55&lt;=0,G55&gt;1)),"Peso fuera de rango"&amp;" · ","")&amp;IF(AND(B55&lt;&gt;"",ABS(SUMIFS($G$5:$G$1000,$B$5:$B$1000,B55)-1)&gt;0.0001),"Pesos del puesto suman "&amp;TEXT(SUMIFS($G$5:$G$1000,$B$5:$B$1000,B55),"0%")&amp;" · ","")&amp;IF((COUNTIF(H55:K55,"&gt;1")+COUNTIF(H55:K55,"&lt;0")+COUNTA(H55:K55)-COUNT(H55:K55))&gt;0,"Avance fuera de rango 0-100%"&amp;" · ","")&amp;IF(OR(AND(I55&lt;&gt;"",I55&lt;H55),AND(J55&lt;&gt;"",J55&lt;MAX(H55:I55)),AND(K55&lt;&gt;"",K55&lt;MAX(H55:J55))),"Avance semanal decreciente"&amp;" · ","")&amp;IF(AND(ISNUMBER(F55),F55&lt;FechaRef,N(L55)&lt;1),"Vencida"&amp;" · ","")&amp;IF(AND(EvidenciaObligatoria="Sí",N(L55)&gt;=1,O55=""),"Completada sin evidencia"&amp;" · ",""))="","✔ OK","⚠ "&amp;LEFT(IF(A55="","Falta ID"&amp;" · ","")&amp;IF(AND(A55&lt;&gt;"",COUNTIF($A$5:$A$1000,A55)&gt;1),"ID duplicado"&amp;" · ","")&amp;IF(B55="","Área sin seleccionar"&amp;" · ","")&amp;IF(AND(B55&lt;&gt;"",ISNA(MATCH(B55,ListaPuestos,0))),"Área no válida"&amp;" · ","")&amp;IF(C55="","Macroactividad vacía"&amp;" · ","")&amp;IF(D55="","Sin responsable"&amp;" · ","")&amp;IF(E55="","Sin fecha de inicio"&amp;" · ","")&amp;IF(F55="","Sin fecha límite"&amp;" · ","")&amp;IF(OR(AND(E55&lt;&gt;"",NOT(ISNUMBER(E55))),AND(F55&lt;&gt;"",NOT(ISNUMBER(F55)))),"Fecha no válida"&amp;" · ","")&amp;IF(AND(ISNUMBER(E55),ISNUMBER(F55),E55&gt;F55),"Inicio posterior a fecha límite"&amp;" · ","")&amp;IF(G55="","Peso vacío"&amp;" · ","")&amp;IF(AND(G55&lt;&gt;"",OR(NOT(ISNUMBER(G55)),G55&lt;=0,G55&gt;1)),"Peso fuera de rango"&amp;" · ","")&amp;IF(AND(B55&lt;&gt;"",ABS(SUMIFS($G$5:$G$1000,$B$5:$B$1000,B55)-1)&gt;0.0001),"Pesos del puesto suman "&amp;TEXT(SUMIFS($G$5:$G$1000,$B$5:$B$1000,B55),"0%")&amp;" · ","")&amp;IF((COUNTIF(H55:K55,"&gt;1")+COUNTIF(H55:K55,"&lt;0")+COUNTA(H55:K55)-COUNT(H55:K55))&gt;0,"Avance fuera de rango 0-100%"&amp;" · ","")&amp;IF(OR(AND(I55&lt;&gt;"",I55&lt;H55),AND(J55&lt;&gt;"",J55&lt;MAX(H55:I55)),AND(K55&lt;&gt;"",K55&lt;MAX(H55:J55))),"Avance semanal decreciente"&amp;" · ","")&amp;IF(AND(ISNUMBER(F55),F55&lt;FechaRef,N(L55)&lt;1),"Vencida"&amp;" · ","")&amp;IF(AND(EvidenciaObligatoria="Sí",N(L55)&gt;=1,O55=""),"Completada sin evidencia"&amp;" · ",""),LEN(IF(A55="","Falta ID"&amp;" · ","")&amp;IF(AND(A55&lt;&gt;"",COUNTIF($A$5:$A$1000,A55)&gt;1),"ID duplicado"&amp;" · ","")&amp;IF(B55="","Área sin seleccionar"&amp;" · ","")&amp;IF(AND(B55&lt;&gt;"",ISNA(MATCH(B55,ListaPuestos,0))),"Área no válida"&amp;" · ","")&amp;IF(C55="","Macroactividad vacía"&amp;" · ","")&amp;IF(D55="","Sin responsable"&amp;" · ","")&amp;IF(E55="","Sin fecha de inicio"&amp;" · ","")&amp;IF(F55="","Sin fecha límite"&amp;" · ","")&amp;IF(OR(AND(E55&lt;&gt;"",NOT(ISNUMBER(E55))),AND(F55&lt;&gt;"",NOT(ISNUMBER(F55)))),"Fecha no válida"&amp;" · ","")&amp;IF(AND(ISNUMBER(E55),ISNUMBER(F55),E55&gt;F55),"Inicio posterior a fecha límite"&amp;" · ","")&amp;IF(G55="","Peso vacío"&amp;" · ","")&amp;IF(AND(G55&lt;&gt;"",OR(NOT(ISNUMBER(G55)),G55&lt;=0,G55&gt;1)),"Peso fuera de rango"&amp;" · ","")&amp;IF(AND(B55&lt;&gt;"",ABS(SUMIFS($G$5:$G$1000,$B$5:$B$1000,B55)-1)&gt;0.0001),"Pesos del puesto suman "&amp;TEXT(SUMIFS($G$5:$G$1000,$B$5:$B$1000,B55),"0%")&amp;" · ","")&amp;IF((COUNTIF(H55:K55,"&gt;1")+COUNTIF(H55:K55,"&lt;0")+COUNTA(H55:K55)-COUNT(H55:K55))&gt;0,"Avance fuera de rango 0-100%"&amp;" · ","")&amp;IF(OR(AND(I55&lt;&gt;"",I55&lt;H55),AND(J55&lt;&gt;"",J55&lt;MAX(H55:I55)),AND(K55&lt;&gt;"",K55&lt;MAX(H55:J55))),"Avance semanal decreciente"&amp;" · ","")&amp;IF(AND(ISNUMBER(F55),F55&lt;FechaRef,N(L55)&lt;1),"Vencida"&amp;" · ","")&amp;IF(AND(EvidenciaObligatoria="Sí",N(L55)&gt;=1,O55=""),"Completada sin evidencia"&amp;" · ",""))-3)))</f>
        <v/>
      </c>
    </row>
    <row r="56">
      <c r="A56" s="46" t="n"/>
      <c r="B56" s="47" t="n"/>
      <c r="C56" s="47" t="n"/>
      <c r="D56" s="47" t="n"/>
      <c r="E56" s="48" t="n"/>
      <c r="F56" s="48" t="n"/>
      <c r="G56" s="49" t="n"/>
      <c r="H56" s="50" t="n"/>
      <c r="I56" s="50" t="n"/>
      <c r="J56" s="50" t="n"/>
      <c r="K56" s="50" t="n"/>
      <c r="L56" s="51">
        <f>IF(NOT((COUNTA($A56:$K56)+COUNTA($N56:$O56))&gt;0),"",IFERROR(LOOKUP(2,1/(H56:K56&lt;&gt;""),H56:K56),0))</f>
        <v/>
      </c>
      <c r="M56" s="52">
        <f>IF(L56="","",IF(L56&gt;=1,"Completado",IF(L56&gt;0,"En curso","Pendiente")))</f>
        <v/>
      </c>
      <c r="N56" s="48" t="n"/>
      <c r="O56" s="47" t="n"/>
      <c r="P56" s="53">
        <f>IF(NOT((COUNTA($A56:$K56)+COUNTA($N56:$O56))&gt;0),"",IF((IF(A56="","Falta ID"&amp;" · ","")&amp;IF(AND(A56&lt;&gt;"",COUNTIF($A$5:$A$1000,A56)&gt;1),"ID duplicado"&amp;" · ","")&amp;IF(B56="","Área sin seleccionar"&amp;" · ","")&amp;IF(AND(B56&lt;&gt;"",ISNA(MATCH(B56,ListaPuestos,0))),"Área no válida"&amp;" · ","")&amp;IF(C56="","Macroactividad vacía"&amp;" · ","")&amp;IF(D56="","Sin responsable"&amp;" · ","")&amp;IF(E56="","Sin fecha de inicio"&amp;" · ","")&amp;IF(F56="","Sin fecha límite"&amp;" · ","")&amp;IF(OR(AND(E56&lt;&gt;"",NOT(ISNUMBER(E56))),AND(F56&lt;&gt;"",NOT(ISNUMBER(F56)))),"Fecha no válida"&amp;" · ","")&amp;IF(AND(ISNUMBER(E56),ISNUMBER(F56),E56&gt;F56),"Inicio posterior a fecha límite"&amp;" · ","")&amp;IF(G56="","Peso vacío"&amp;" · ","")&amp;IF(AND(G56&lt;&gt;"",OR(NOT(ISNUMBER(G56)),G56&lt;=0,G56&gt;1)),"Peso fuera de rango"&amp;" · ","")&amp;IF(AND(B56&lt;&gt;"",ABS(SUMIFS($G$5:$G$1000,$B$5:$B$1000,B56)-1)&gt;0.0001),"Pesos del puesto suman "&amp;TEXT(SUMIFS($G$5:$G$1000,$B$5:$B$1000,B56),"0%")&amp;" · ","")&amp;IF((COUNTIF(H56:K56,"&gt;1")+COUNTIF(H56:K56,"&lt;0")+COUNTA(H56:K56)-COUNT(H56:K56))&gt;0,"Avance fuera de rango 0-100%"&amp;" · ","")&amp;IF(OR(AND(I56&lt;&gt;"",I56&lt;H56),AND(J56&lt;&gt;"",J56&lt;MAX(H56:I56)),AND(K56&lt;&gt;"",K56&lt;MAX(H56:J56))),"Avance semanal decreciente"&amp;" · ","")&amp;IF(AND(ISNUMBER(F56),F56&lt;FechaRef,N(L56)&lt;1),"Vencida"&amp;" · ","")&amp;IF(AND(EvidenciaObligatoria="Sí",N(L56)&gt;=1,O56=""),"Completada sin evidencia"&amp;" · ",""))="","✔ OK","⚠ "&amp;LEFT(IF(A56="","Falta ID"&amp;" · ","")&amp;IF(AND(A56&lt;&gt;"",COUNTIF($A$5:$A$1000,A56)&gt;1),"ID duplicado"&amp;" · ","")&amp;IF(B56="","Área sin seleccionar"&amp;" · ","")&amp;IF(AND(B56&lt;&gt;"",ISNA(MATCH(B56,ListaPuestos,0))),"Área no válida"&amp;" · ","")&amp;IF(C56="","Macroactividad vacía"&amp;" · ","")&amp;IF(D56="","Sin responsable"&amp;" · ","")&amp;IF(E56="","Sin fecha de inicio"&amp;" · ","")&amp;IF(F56="","Sin fecha límite"&amp;" · ","")&amp;IF(OR(AND(E56&lt;&gt;"",NOT(ISNUMBER(E56))),AND(F56&lt;&gt;"",NOT(ISNUMBER(F56)))),"Fecha no válida"&amp;" · ","")&amp;IF(AND(ISNUMBER(E56),ISNUMBER(F56),E56&gt;F56),"Inicio posterior a fecha límite"&amp;" · ","")&amp;IF(G56="","Peso vacío"&amp;" · ","")&amp;IF(AND(G56&lt;&gt;"",OR(NOT(ISNUMBER(G56)),G56&lt;=0,G56&gt;1)),"Peso fuera de rango"&amp;" · ","")&amp;IF(AND(B56&lt;&gt;"",ABS(SUMIFS($G$5:$G$1000,$B$5:$B$1000,B56)-1)&gt;0.0001),"Pesos del puesto suman "&amp;TEXT(SUMIFS($G$5:$G$1000,$B$5:$B$1000,B56),"0%")&amp;" · ","")&amp;IF((COUNTIF(H56:K56,"&gt;1")+COUNTIF(H56:K56,"&lt;0")+COUNTA(H56:K56)-COUNT(H56:K56))&gt;0,"Avance fuera de rango 0-100%"&amp;" · ","")&amp;IF(OR(AND(I56&lt;&gt;"",I56&lt;H56),AND(J56&lt;&gt;"",J56&lt;MAX(H56:I56)),AND(K56&lt;&gt;"",K56&lt;MAX(H56:J56))),"Avance semanal decreciente"&amp;" · ","")&amp;IF(AND(ISNUMBER(F56),F56&lt;FechaRef,N(L56)&lt;1),"Vencida"&amp;" · ","")&amp;IF(AND(EvidenciaObligatoria="Sí",N(L56)&gt;=1,O56=""),"Completada sin evidencia"&amp;" · ",""),LEN(IF(A56="","Falta ID"&amp;" · ","")&amp;IF(AND(A56&lt;&gt;"",COUNTIF($A$5:$A$1000,A56)&gt;1),"ID duplicado"&amp;" · ","")&amp;IF(B56="","Área sin seleccionar"&amp;" · ","")&amp;IF(AND(B56&lt;&gt;"",ISNA(MATCH(B56,ListaPuestos,0))),"Área no válida"&amp;" · ","")&amp;IF(C56="","Macroactividad vacía"&amp;" · ","")&amp;IF(D56="","Sin responsable"&amp;" · ","")&amp;IF(E56="","Sin fecha de inicio"&amp;" · ","")&amp;IF(F56="","Sin fecha límite"&amp;" · ","")&amp;IF(OR(AND(E56&lt;&gt;"",NOT(ISNUMBER(E56))),AND(F56&lt;&gt;"",NOT(ISNUMBER(F56)))),"Fecha no válida"&amp;" · ","")&amp;IF(AND(ISNUMBER(E56),ISNUMBER(F56),E56&gt;F56),"Inicio posterior a fecha límite"&amp;" · ","")&amp;IF(G56="","Peso vacío"&amp;" · ","")&amp;IF(AND(G56&lt;&gt;"",OR(NOT(ISNUMBER(G56)),G56&lt;=0,G56&gt;1)),"Peso fuera de rango"&amp;" · ","")&amp;IF(AND(B56&lt;&gt;"",ABS(SUMIFS($G$5:$G$1000,$B$5:$B$1000,B56)-1)&gt;0.0001),"Pesos del puesto suman "&amp;TEXT(SUMIFS($G$5:$G$1000,$B$5:$B$1000,B56),"0%")&amp;" · ","")&amp;IF((COUNTIF(H56:K56,"&gt;1")+COUNTIF(H56:K56,"&lt;0")+COUNTA(H56:K56)-COUNT(H56:K56))&gt;0,"Avance fuera de rango 0-100%"&amp;" · ","")&amp;IF(OR(AND(I56&lt;&gt;"",I56&lt;H56),AND(J56&lt;&gt;"",J56&lt;MAX(H56:I56)),AND(K56&lt;&gt;"",K56&lt;MAX(H56:J56))),"Avance semanal decreciente"&amp;" · ","")&amp;IF(AND(ISNUMBER(F56),F56&lt;FechaRef,N(L56)&lt;1),"Vencida"&amp;" · ","")&amp;IF(AND(EvidenciaObligatoria="Sí",N(L56)&gt;=1,O56=""),"Completada sin evidencia"&amp;" · ",""))-3)))</f>
        <v/>
      </c>
    </row>
    <row r="57">
      <c r="A57" s="46" t="n"/>
      <c r="B57" s="47" t="n"/>
      <c r="C57" s="47" t="n"/>
      <c r="D57" s="47" t="n"/>
      <c r="E57" s="48" t="n"/>
      <c r="F57" s="48" t="n"/>
      <c r="G57" s="49" t="n"/>
      <c r="H57" s="50" t="n"/>
      <c r="I57" s="50" t="n"/>
      <c r="J57" s="50" t="n"/>
      <c r="K57" s="50" t="n"/>
      <c r="L57" s="51">
        <f>IF(NOT((COUNTA($A57:$K57)+COUNTA($N57:$O57))&gt;0),"",IFERROR(LOOKUP(2,1/(H57:K57&lt;&gt;""),H57:K57),0))</f>
        <v/>
      </c>
      <c r="M57" s="52">
        <f>IF(L57="","",IF(L57&gt;=1,"Completado",IF(L57&gt;0,"En curso","Pendiente")))</f>
        <v/>
      </c>
      <c r="N57" s="48" t="n"/>
      <c r="O57" s="47" t="n"/>
      <c r="P57" s="53">
        <f>IF(NOT((COUNTA($A57:$K57)+COUNTA($N57:$O57))&gt;0),"",IF((IF(A57="","Falta ID"&amp;" · ","")&amp;IF(AND(A57&lt;&gt;"",COUNTIF($A$5:$A$1000,A57)&gt;1),"ID duplicado"&amp;" · ","")&amp;IF(B57="","Área sin seleccionar"&amp;" · ","")&amp;IF(AND(B57&lt;&gt;"",ISNA(MATCH(B57,ListaPuestos,0))),"Área no válida"&amp;" · ","")&amp;IF(C57="","Macroactividad vacía"&amp;" · ","")&amp;IF(D57="","Sin responsable"&amp;" · ","")&amp;IF(E57="","Sin fecha de inicio"&amp;" · ","")&amp;IF(F57="","Sin fecha límite"&amp;" · ","")&amp;IF(OR(AND(E57&lt;&gt;"",NOT(ISNUMBER(E57))),AND(F57&lt;&gt;"",NOT(ISNUMBER(F57)))),"Fecha no válida"&amp;" · ","")&amp;IF(AND(ISNUMBER(E57),ISNUMBER(F57),E57&gt;F57),"Inicio posterior a fecha límite"&amp;" · ","")&amp;IF(G57="","Peso vacío"&amp;" · ","")&amp;IF(AND(G57&lt;&gt;"",OR(NOT(ISNUMBER(G57)),G57&lt;=0,G57&gt;1)),"Peso fuera de rango"&amp;" · ","")&amp;IF(AND(B57&lt;&gt;"",ABS(SUMIFS($G$5:$G$1000,$B$5:$B$1000,B57)-1)&gt;0.0001),"Pesos del puesto suman "&amp;TEXT(SUMIFS($G$5:$G$1000,$B$5:$B$1000,B57),"0%")&amp;" · ","")&amp;IF((COUNTIF(H57:K57,"&gt;1")+COUNTIF(H57:K57,"&lt;0")+COUNTA(H57:K57)-COUNT(H57:K57))&gt;0,"Avance fuera de rango 0-100%"&amp;" · ","")&amp;IF(OR(AND(I57&lt;&gt;"",I57&lt;H57),AND(J57&lt;&gt;"",J57&lt;MAX(H57:I57)),AND(K57&lt;&gt;"",K57&lt;MAX(H57:J57))),"Avance semanal decreciente"&amp;" · ","")&amp;IF(AND(ISNUMBER(F57),F57&lt;FechaRef,N(L57)&lt;1),"Vencida"&amp;" · ","")&amp;IF(AND(EvidenciaObligatoria="Sí",N(L57)&gt;=1,O57=""),"Completada sin evidencia"&amp;" · ",""))="","✔ OK","⚠ "&amp;LEFT(IF(A57="","Falta ID"&amp;" · ","")&amp;IF(AND(A57&lt;&gt;"",COUNTIF($A$5:$A$1000,A57)&gt;1),"ID duplicado"&amp;" · ","")&amp;IF(B57="","Área sin seleccionar"&amp;" · ","")&amp;IF(AND(B57&lt;&gt;"",ISNA(MATCH(B57,ListaPuestos,0))),"Área no válida"&amp;" · ","")&amp;IF(C57="","Macroactividad vacía"&amp;" · ","")&amp;IF(D57="","Sin responsable"&amp;" · ","")&amp;IF(E57="","Sin fecha de inicio"&amp;" · ","")&amp;IF(F57="","Sin fecha límite"&amp;" · ","")&amp;IF(OR(AND(E57&lt;&gt;"",NOT(ISNUMBER(E57))),AND(F57&lt;&gt;"",NOT(ISNUMBER(F57)))),"Fecha no válida"&amp;" · ","")&amp;IF(AND(ISNUMBER(E57),ISNUMBER(F57),E57&gt;F57),"Inicio posterior a fecha límite"&amp;" · ","")&amp;IF(G57="","Peso vacío"&amp;" · ","")&amp;IF(AND(G57&lt;&gt;"",OR(NOT(ISNUMBER(G57)),G57&lt;=0,G57&gt;1)),"Peso fuera de rango"&amp;" · ","")&amp;IF(AND(B57&lt;&gt;"",ABS(SUMIFS($G$5:$G$1000,$B$5:$B$1000,B57)-1)&gt;0.0001),"Pesos del puesto suman "&amp;TEXT(SUMIFS($G$5:$G$1000,$B$5:$B$1000,B57),"0%")&amp;" · ","")&amp;IF((COUNTIF(H57:K57,"&gt;1")+COUNTIF(H57:K57,"&lt;0")+COUNTA(H57:K57)-COUNT(H57:K57))&gt;0,"Avance fuera de rango 0-100%"&amp;" · ","")&amp;IF(OR(AND(I57&lt;&gt;"",I57&lt;H57),AND(J57&lt;&gt;"",J57&lt;MAX(H57:I57)),AND(K57&lt;&gt;"",K57&lt;MAX(H57:J57))),"Avance semanal decreciente"&amp;" · ","")&amp;IF(AND(ISNUMBER(F57),F57&lt;FechaRef,N(L57)&lt;1),"Vencida"&amp;" · ","")&amp;IF(AND(EvidenciaObligatoria="Sí",N(L57)&gt;=1,O57=""),"Completada sin evidencia"&amp;" · ",""),LEN(IF(A57="","Falta ID"&amp;" · ","")&amp;IF(AND(A57&lt;&gt;"",COUNTIF($A$5:$A$1000,A57)&gt;1),"ID duplicado"&amp;" · ","")&amp;IF(B57="","Área sin seleccionar"&amp;" · ","")&amp;IF(AND(B57&lt;&gt;"",ISNA(MATCH(B57,ListaPuestos,0))),"Área no válida"&amp;" · ","")&amp;IF(C57="","Macroactividad vacía"&amp;" · ","")&amp;IF(D57="","Sin responsable"&amp;" · ","")&amp;IF(E57="","Sin fecha de inicio"&amp;" · ","")&amp;IF(F57="","Sin fecha límite"&amp;" · ","")&amp;IF(OR(AND(E57&lt;&gt;"",NOT(ISNUMBER(E57))),AND(F57&lt;&gt;"",NOT(ISNUMBER(F57)))),"Fecha no válida"&amp;" · ","")&amp;IF(AND(ISNUMBER(E57),ISNUMBER(F57),E57&gt;F57),"Inicio posterior a fecha límite"&amp;" · ","")&amp;IF(G57="","Peso vacío"&amp;" · ","")&amp;IF(AND(G57&lt;&gt;"",OR(NOT(ISNUMBER(G57)),G57&lt;=0,G57&gt;1)),"Peso fuera de rango"&amp;" · ","")&amp;IF(AND(B57&lt;&gt;"",ABS(SUMIFS($G$5:$G$1000,$B$5:$B$1000,B57)-1)&gt;0.0001),"Pesos del puesto suman "&amp;TEXT(SUMIFS($G$5:$G$1000,$B$5:$B$1000,B57),"0%")&amp;" · ","")&amp;IF((COUNTIF(H57:K57,"&gt;1")+COUNTIF(H57:K57,"&lt;0")+COUNTA(H57:K57)-COUNT(H57:K57))&gt;0,"Avance fuera de rango 0-100%"&amp;" · ","")&amp;IF(OR(AND(I57&lt;&gt;"",I57&lt;H57),AND(J57&lt;&gt;"",J57&lt;MAX(H57:I57)),AND(K57&lt;&gt;"",K57&lt;MAX(H57:J57))),"Avance semanal decreciente"&amp;" · ","")&amp;IF(AND(ISNUMBER(F57),F57&lt;FechaRef,N(L57)&lt;1),"Vencida"&amp;" · ","")&amp;IF(AND(EvidenciaObligatoria="Sí",N(L57)&gt;=1,O57=""),"Completada sin evidencia"&amp;" · ",""))-3)))</f>
        <v/>
      </c>
    </row>
    <row r="58">
      <c r="A58" s="46" t="n"/>
      <c r="B58" s="47" t="n"/>
      <c r="C58" s="47" t="n"/>
      <c r="D58" s="47" t="n"/>
      <c r="E58" s="48" t="n"/>
      <c r="F58" s="48" t="n"/>
      <c r="G58" s="49" t="n"/>
      <c r="H58" s="50" t="n"/>
      <c r="I58" s="50" t="n"/>
      <c r="J58" s="50" t="n"/>
      <c r="K58" s="50" t="n"/>
      <c r="L58" s="51">
        <f>IF(NOT((COUNTA($A58:$K58)+COUNTA($N58:$O58))&gt;0),"",IFERROR(LOOKUP(2,1/(H58:K58&lt;&gt;""),H58:K58),0))</f>
        <v/>
      </c>
      <c r="M58" s="52">
        <f>IF(L58="","",IF(L58&gt;=1,"Completado",IF(L58&gt;0,"En curso","Pendiente")))</f>
        <v/>
      </c>
      <c r="N58" s="48" t="n"/>
      <c r="O58" s="47" t="n"/>
      <c r="P58" s="53">
        <f>IF(NOT((COUNTA($A58:$K58)+COUNTA($N58:$O58))&gt;0),"",IF((IF(A58="","Falta ID"&amp;" · ","")&amp;IF(AND(A58&lt;&gt;"",COUNTIF($A$5:$A$1000,A58)&gt;1),"ID duplicado"&amp;" · ","")&amp;IF(B58="","Área sin seleccionar"&amp;" · ","")&amp;IF(AND(B58&lt;&gt;"",ISNA(MATCH(B58,ListaPuestos,0))),"Área no válida"&amp;" · ","")&amp;IF(C58="","Macroactividad vacía"&amp;" · ","")&amp;IF(D58="","Sin responsable"&amp;" · ","")&amp;IF(E58="","Sin fecha de inicio"&amp;" · ","")&amp;IF(F58="","Sin fecha límite"&amp;" · ","")&amp;IF(OR(AND(E58&lt;&gt;"",NOT(ISNUMBER(E58))),AND(F58&lt;&gt;"",NOT(ISNUMBER(F58)))),"Fecha no válida"&amp;" · ","")&amp;IF(AND(ISNUMBER(E58),ISNUMBER(F58),E58&gt;F58),"Inicio posterior a fecha límite"&amp;" · ","")&amp;IF(G58="","Peso vacío"&amp;" · ","")&amp;IF(AND(G58&lt;&gt;"",OR(NOT(ISNUMBER(G58)),G58&lt;=0,G58&gt;1)),"Peso fuera de rango"&amp;" · ","")&amp;IF(AND(B58&lt;&gt;"",ABS(SUMIFS($G$5:$G$1000,$B$5:$B$1000,B58)-1)&gt;0.0001),"Pesos del puesto suman "&amp;TEXT(SUMIFS($G$5:$G$1000,$B$5:$B$1000,B58),"0%")&amp;" · ","")&amp;IF((COUNTIF(H58:K58,"&gt;1")+COUNTIF(H58:K58,"&lt;0")+COUNTA(H58:K58)-COUNT(H58:K58))&gt;0,"Avance fuera de rango 0-100%"&amp;" · ","")&amp;IF(OR(AND(I58&lt;&gt;"",I58&lt;H58),AND(J58&lt;&gt;"",J58&lt;MAX(H58:I58)),AND(K58&lt;&gt;"",K58&lt;MAX(H58:J58))),"Avance semanal decreciente"&amp;" · ","")&amp;IF(AND(ISNUMBER(F58),F58&lt;FechaRef,N(L58)&lt;1),"Vencida"&amp;" · ","")&amp;IF(AND(EvidenciaObligatoria="Sí",N(L58)&gt;=1,O58=""),"Completada sin evidencia"&amp;" · ",""))="","✔ OK","⚠ "&amp;LEFT(IF(A58="","Falta ID"&amp;" · ","")&amp;IF(AND(A58&lt;&gt;"",COUNTIF($A$5:$A$1000,A58)&gt;1),"ID duplicado"&amp;" · ","")&amp;IF(B58="","Área sin seleccionar"&amp;" · ","")&amp;IF(AND(B58&lt;&gt;"",ISNA(MATCH(B58,ListaPuestos,0))),"Área no válida"&amp;" · ","")&amp;IF(C58="","Macroactividad vacía"&amp;" · ","")&amp;IF(D58="","Sin responsable"&amp;" · ","")&amp;IF(E58="","Sin fecha de inicio"&amp;" · ","")&amp;IF(F58="","Sin fecha límite"&amp;" · ","")&amp;IF(OR(AND(E58&lt;&gt;"",NOT(ISNUMBER(E58))),AND(F58&lt;&gt;"",NOT(ISNUMBER(F58)))),"Fecha no válida"&amp;" · ","")&amp;IF(AND(ISNUMBER(E58),ISNUMBER(F58),E58&gt;F58),"Inicio posterior a fecha límite"&amp;" · ","")&amp;IF(G58="","Peso vacío"&amp;" · ","")&amp;IF(AND(G58&lt;&gt;"",OR(NOT(ISNUMBER(G58)),G58&lt;=0,G58&gt;1)),"Peso fuera de rango"&amp;" · ","")&amp;IF(AND(B58&lt;&gt;"",ABS(SUMIFS($G$5:$G$1000,$B$5:$B$1000,B58)-1)&gt;0.0001),"Pesos del puesto suman "&amp;TEXT(SUMIFS($G$5:$G$1000,$B$5:$B$1000,B58),"0%")&amp;" · ","")&amp;IF((COUNTIF(H58:K58,"&gt;1")+COUNTIF(H58:K58,"&lt;0")+COUNTA(H58:K58)-COUNT(H58:K58))&gt;0,"Avance fuera de rango 0-100%"&amp;" · ","")&amp;IF(OR(AND(I58&lt;&gt;"",I58&lt;H58),AND(J58&lt;&gt;"",J58&lt;MAX(H58:I58)),AND(K58&lt;&gt;"",K58&lt;MAX(H58:J58))),"Avance semanal decreciente"&amp;" · ","")&amp;IF(AND(ISNUMBER(F58),F58&lt;FechaRef,N(L58)&lt;1),"Vencida"&amp;" · ","")&amp;IF(AND(EvidenciaObligatoria="Sí",N(L58)&gt;=1,O58=""),"Completada sin evidencia"&amp;" · ",""),LEN(IF(A58="","Falta ID"&amp;" · ","")&amp;IF(AND(A58&lt;&gt;"",COUNTIF($A$5:$A$1000,A58)&gt;1),"ID duplicado"&amp;" · ","")&amp;IF(B58="","Área sin seleccionar"&amp;" · ","")&amp;IF(AND(B58&lt;&gt;"",ISNA(MATCH(B58,ListaPuestos,0))),"Área no válida"&amp;" · ","")&amp;IF(C58="","Macroactividad vacía"&amp;" · ","")&amp;IF(D58="","Sin responsable"&amp;" · ","")&amp;IF(E58="","Sin fecha de inicio"&amp;" · ","")&amp;IF(F58="","Sin fecha límite"&amp;" · ","")&amp;IF(OR(AND(E58&lt;&gt;"",NOT(ISNUMBER(E58))),AND(F58&lt;&gt;"",NOT(ISNUMBER(F58)))),"Fecha no válida"&amp;" · ","")&amp;IF(AND(ISNUMBER(E58),ISNUMBER(F58),E58&gt;F58),"Inicio posterior a fecha límite"&amp;" · ","")&amp;IF(G58="","Peso vacío"&amp;" · ","")&amp;IF(AND(G58&lt;&gt;"",OR(NOT(ISNUMBER(G58)),G58&lt;=0,G58&gt;1)),"Peso fuera de rango"&amp;" · ","")&amp;IF(AND(B58&lt;&gt;"",ABS(SUMIFS($G$5:$G$1000,$B$5:$B$1000,B58)-1)&gt;0.0001),"Pesos del puesto suman "&amp;TEXT(SUMIFS($G$5:$G$1000,$B$5:$B$1000,B58),"0%")&amp;" · ","")&amp;IF((COUNTIF(H58:K58,"&gt;1")+COUNTIF(H58:K58,"&lt;0")+COUNTA(H58:K58)-COUNT(H58:K58))&gt;0,"Avance fuera de rango 0-100%"&amp;" · ","")&amp;IF(OR(AND(I58&lt;&gt;"",I58&lt;H58),AND(J58&lt;&gt;"",J58&lt;MAX(H58:I58)),AND(K58&lt;&gt;"",K58&lt;MAX(H58:J58))),"Avance semanal decreciente"&amp;" · ","")&amp;IF(AND(ISNUMBER(F58),F58&lt;FechaRef,N(L58)&lt;1),"Vencida"&amp;" · ","")&amp;IF(AND(EvidenciaObligatoria="Sí",N(L58)&gt;=1,O58=""),"Completada sin evidencia"&amp;" · ",""))-3)))</f>
        <v/>
      </c>
    </row>
    <row r="59">
      <c r="A59" s="46" t="n"/>
      <c r="B59" s="47" t="n"/>
      <c r="C59" s="47" t="n"/>
      <c r="D59" s="47" t="n"/>
      <c r="E59" s="48" t="n"/>
      <c r="F59" s="48" t="n"/>
      <c r="G59" s="49" t="n"/>
      <c r="H59" s="50" t="n"/>
      <c r="I59" s="50" t="n"/>
      <c r="J59" s="50" t="n"/>
      <c r="K59" s="50" t="n"/>
      <c r="L59" s="51">
        <f>IF(NOT((COUNTA($A59:$K59)+COUNTA($N59:$O59))&gt;0),"",IFERROR(LOOKUP(2,1/(H59:K59&lt;&gt;""),H59:K59),0))</f>
        <v/>
      </c>
      <c r="M59" s="52">
        <f>IF(L59="","",IF(L59&gt;=1,"Completado",IF(L59&gt;0,"En curso","Pendiente")))</f>
        <v/>
      </c>
      <c r="N59" s="48" t="n"/>
      <c r="O59" s="47" t="n"/>
      <c r="P59" s="53">
        <f>IF(NOT((COUNTA($A59:$K59)+COUNTA($N59:$O59))&gt;0),"",IF((IF(A59="","Falta ID"&amp;" · ","")&amp;IF(AND(A59&lt;&gt;"",COUNTIF($A$5:$A$1000,A59)&gt;1),"ID duplicado"&amp;" · ","")&amp;IF(B59="","Área sin seleccionar"&amp;" · ","")&amp;IF(AND(B59&lt;&gt;"",ISNA(MATCH(B59,ListaPuestos,0))),"Área no válida"&amp;" · ","")&amp;IF(C59="","Macroactividad vacía"&amp;" · ","")&amp;IF(D59="","Sin responsable"&amp;" · ","")&amp;IF(E59="","Sin fecha de inicio"&amp;" · ","")&amp;IF(F59="","Sin fecha límite"&amp;" · ","")&amp;IF(OR(AND(E59&lt;&gt;"",NOT(ISNUMBER(E59))),AND(F59&lt;&gt;"",NOT(ISNUMBER(F59)))),"Fecha no válida"&amp;" · ","")&amp;IF(AND(ISNUMBER(E59),ISNUMBER(F59),E59&gt;F59),"Inicio posterior a fecha límite"&amp;" · ","")&amp;IF(G59="","Peso vacío"&amp;" · ","")&amp;IF(AND(G59&lt;&gt;"",OR(NOT(ISNUMBER(G59)),G59&lt;=0,G59&gt;1)),"Peso fuera de rango"&amp;" · ","")&amp;IF(AND(B59&lt;&gt;"",ABS(SUMIFS($G$5:$G$1000,$B$5:$B$1000,B59)-1)&gt;0.0001),"Pesos del puesto suman "&amp;TEXT(SUMIFS($G$5:$G$1000,$B$5:$B$1000,B59),"0%")&amp;" · ","")&amp;IF((COUNTIF(H59:K59,"&gt;1")+COUNTIF(H59:K59,"&lt;0")+COUNTA(H59:K59)-COUNT(H59:K59))&gt;0,"Avance fuera de rango 0-100%"&amp;" · ","")&amp;IF(OR(AND(I59&lt;&gt;"",I59&lt;H59),AND(J59&lt;&gt;"",J59&lt;MAX(H59:I59)),AND(K59&lt;&gt;"",K59&lt;MAX(H59:J59))),"Avance semanal decreciente"&amp;" · ","")&amp;IF(AND(ISNUMBER(F59),F59&lt;FechaRef,N(L59)&lt;1),"Vencida"&amp;" · ","")&amp;IF(AND(EvidenciaObligatoria="Sí",N(L59)&gt;=1,O59=""),"Completada sin evidencia"&amp;" · ",""))="","✔ OK","⚠ "&amp;LEFT(IF(A59="","Falta ID"&amp;" · ","")&amp;IF(AND(A59&lt;&gt;"",COUNTIF($A$5:$A$1000,A59)&gt;1),"ID duplicado"&amp;" · ","")&amp;IF(B59="","Área sin seleccionar"&amp;" · ","")&amp;IF(AND(B59&lt;&gt;"",ISNA(MATCH(B59,ListaPuestos,0))),"Área no válida"&amp;" · ","")&amp;IF(C59="","Macroactividad vacía"&amp;" · ","")&amp;IF(D59="","Sin responsable"&amp;" · ","")&amp;IF(E59="","Sin fecha de inicio"&amp;" · ","")&amp;IF(F59="","Sin fecha límite"&amp;" · ","")&amp;IF(OR(AND(E59&lt;&gt;"",NOT(ISNUMBER(E59))),AND(F59&lt;&gt;"",NOT(ISNUMBER(F59)))),"Fecha no válida"&amp;" · ","")&amp;IF(AND(ISNUMBER(E59),ISNUMBER(F59),E59&gt;F59),"Inicio posterior a fecha límite"&amp;" · ","")&amp;IF(G59="","Peso vacío"&amp;" · ","")&amp;IF(AND(G59&lt;&gt;"",OR(NOT(ISNUMBER(G59)),G59&lt;=0,G59&gt;1)),"Peso fuera de rango"&amp;" · ","")&amp;IF(AND(B59&lt;&gt;"",ABS(SUMIFS($G$5:$G$1000,$B$5:$B$1000,B59)-1)&gt;0.0001),"Pesos del puesto suman "&amp;TEXT(SUMIFS($G$5:$G$1000,$B$5:$B$1000,B59),"0%")&amp;" · ","")&amp;IF((COUNTIF(H59:K59,"&gt;1")+COUNTIF(H59:K59,"&lt;0")+COUNTA(H59:K59)-COUNT(H59:K59))&gt;0,"Avance fuera de rango 0-100%"&amp;" · ","")&amp;IF(OR(AND(I59&lt;&gt;"",I59&lt;H59),AND(J59&lt;&gt;"",J59&lt;MAX(H59:I59)),AND(K59&lt;&gt;"",K59&lt;MAX(H59:J59))),"Avance semanal decreciente"&amp;" · ","")&amp;IF(AND(ISNUMBER(F59),F59&lt;FechaRef,N(L59)&lt;1),"Vencida"&amp;" · ","")&amp;IF(AND(EvidenciaObligatoria="Sí",N(L59)&gt;=1,O59=""),"Completada sin evidencia"&amp;" · ",""),LEN(IF(A59="","Falta ID"&amp;" · ","")&amp;IF(AND(A59&lt;&gt;"",COUNTIF($A$5:$A$1000,A59)&gt;1),"ID duplicado"&amp;" · ","")&amp;IF(B59="","Área sin seleccionar"&amp;" · ","")&amp;IF(AND(B59&lt;&gt;"",ISNA(MATCH(B59,ListaPuestos,0))),"Área no válida"&amp;" · ","")&amp;IF(C59="","Macroactividad vacía"&amp;" · ","")&amp;IF(D59="","Sin responsable"&amp;" · ","")&amp;IF(E59="","Sin fecha de inicio"&amp;" · ","")&amp;IF(F59="","Sin fecha límite"&amp;" · ","")&amp;IF(OR(AND(E59&lt;&gt;"",NOT(ISNUMBER(E59))),AND(F59&lt;&gt;"",NOT(ISNUMBER(F59)))),"Fecha no válida"&amp;" · ","")&amp;IF(AND(ISNUMBER(E59),ISNUMBER(F59),E59&gt;F59),"Inicio posterior a fecha límite"&amp;" · ","")&amp;IF(G59="","Peso vacío"&amp;" · ","")&amp;IF(AND(G59&lt;&gt;"",OR(NOT(ISNUMBER(G59)),G59&lt;=0,G59&gt;1)),"Peso fuera de rango"&amp;" · ","")&amp;IF(AND(B59&lt;&gt;"",ABS(SUMIFS($G$5:$G$1000,$B$5:$B$1000,B59)-1)&gt;0.0001),"Pesos del puesto suman "&amp;TEXT(SUMIFS($G$5:$G$1000,$B$5:$B$1000,B59),"0%")&amp;" · ","")&amp;IF((COUNTIF(H59:K59,"&gt;1")+COUNTIF(H59:K59,"&lt;0")+COUNTA(H59:K59)-COUNT(H59:K59))&gt;0,"Avance fuera de rango 0-100%"&amp;" · ","")&amp;IF(OR(AND(I59&lt;&gt;"",I59&lt;H59),AND(J59&lt;&gt;"",J59&lt;MAX(H59:I59)),AND(K59&lt;&gt;"",K59&lt;MAX(H59:J59))),"Avance semanal decreciente"&amp;" · ","")&amp;IF(AND(ISNUMBER(F59),F59&lt;FechaRef,N(L59)&lt;1),"Vencida"&amp;" · ","")&amp;IF(AND(EvidenciaObligatoria="Sí",N(L59)&gt;=1,O59=""),"Completada sin evidencia"&amp;" · ",""))-3)))</f>
        <v/>
      </c>
    </row>
    <row r="60">
      <c r="A60" s="46" t="n"/>
      <c r="B60" s="47" t="n"/>
      <c r="C60" s="47" t="n"/>
      <c r="D60" s="47" t="n"/>
      <c r="E60" s="48" t="n"/>
      <c r="F60" s="48" t="n"/>
      <c r="G60" s="49" t="n"/>
      <c r="H60" s="50" t="n"/>
      <c r="I60" s="50" t="n"/>
      <c r="J60" s="50" t="n"/>
      <c r="K60" s="50" t="n"/>
      <c r="L60" s="51">
        <f>IF(NOT((COUNTA($A60:$K60)+COUNTA($N60:$O60))&gt;0),"",IFERROR(LOOKUP(2,1/(H60:K60&lt;&gt;""),H60:K60),0))</f>
        <v/>
      </c>
      <c r="M60" s="52">
        <f>IF(L60="","",IF(L60&gt;=1,"Completado",IF(L60&gt;0,"En curso","Pendiente")))</f>
        <v/>
      </c>
      <c r="N60" s="48" t="n"/>
      <c r="O60" s="47" t="n"/>
      <c r="P60" s="53">
        <f>IF(NOT((COUNTA($A60:$K60)+COUNTA($N60:$O60))&gt;0),"",IF((IF(A60="","Falta ID"&amp;" · ","")&amp;IF(AND(A60&lt;&gt;"",COUNTIF($A$5:$A$1000,A60)&gt;1),"ID duplicado"&amp;" · ","")&amp;IF(B60="","Área sin seleccionar"&amp;" · ","")&amp;IF(AND(B60&lt;&gt;"",ISNA(MATCH(B60,ListaPuestos,0))),"Área no válida"&amp;" · ","")&amp;IF(C60="","Macroactividad vacía"&amp;" · ","")&amp;IF(D60="","Sin responsable"&amp;" · ","")&amp;IF(E60="","Sin fecha de inicio"&amp;" · ","")&amp;IF(F60="","Sin fecha límite"&amp;" · ","")&amp;IF(OR(AND(E60&lt;&gt;"",NOT(ISNUMBER(E60))),AND(F60&lt;&gt;"",NOT(ISNUMBER(F60)))),"Fecha no válida"&amp;" · ","")&amp;IF(AND(ISNUMBER(E60),ISNUMBER(F60),E60&gt;F60),"Inicio posterior a fecha límite"&amp;" · ","")&amp;IF(G60="","Peso vacío"&amp;" · ","")&amp;IF(AND(G60&lt;&gt;"",OR(NOT(ISNUMBER(G60)),G60&lt;=0,G60&gt;1)),"Peso fuera de rango"&amp;" · ","")&amp;IF(AND(B60&lt;&gt;"",ABS(SUMIFS($G$5:$G$1000,$B$5:$B$1000,B60)-1)&gt;0.0001),"Pesos del puesto suman "&amp;TEXT(SUMIFS($G$5:$G$1000,$B$5:$B$1000,B60),"0%")&amp;" · ","")&amp;IF((COUNTIF(H60:K60,"&gt;1")+COUNTIF(H60:K60,"&lt;0")+COUNTA(H60:K60)-COUNT(H60:K60))&gt;0,"Avance fuera de rango 0-100%"&amp;" · ","")&amp;IF(OR(AND(I60&lt;&gt;"",I60&lt;H60),AND(J60&lt;&gt;"",J60&lt;MAX(H60:I60)),AND(K60&lt;&gt;"",K60&lt;MAX(H60:J60))),"Avance semanal decreciente"&amp;" · ","")&amp;IF(AND(ISNUMBER(F60),F60&lt;FechaRef,N(L60)&lt;1),"Vencida"&amp;" · ","")&amp;IF(AND(EvidenciaObligatoria="Sí",N(L60)&gt;=1,O60=""),"Completada sin evidencia"&amp;" · ",""))="","✔ OK","⚠ "&amp;LEFT(IF(A60="","Falta ID"&amp;" · ","")&amp;IF(AND(A60&lt;&gt;"",COUNTIF($A$5:$A$1000,A60)&gt;1),"ID duplicado"&amp;" · ","")&amp;IF(B60="","Área sin seleccionar"&amp;" · ","")&amp;IF(AND(B60&lt;&gt;"",ISNA(MATCH(B60,ListaPuestos,0))),"Área no válida"&amp;" · ","")&amp;IF(C60="","Macroactividad vacía"&amp;" · ","")&amp;IF(D60="","Sin responsable"&amp;" · ","")&amp;IF(E60="","Sin fecha de inicio"&amp;" · ","")&amp;IF(F60="","Sin fecha límite"&amp;" · ","")&amp;IF(OR(AND(E60&lt;&gt;"",NOT(ISNUMBER(E60))),AND(F60&lt;&gt;"",NOT(ISNUMBER(F60)))),"Fecha no válida"&amp;" · ","")&amp;IF(AND(ISNUMBER(E60),ISNUMBER(F60),E60&gt;F60),"Inicio posterior a fecha límite"&amp;" · ","")&amp;IF(G60="","Peso vacío"&amp;" · ","")&amp;IF(AND(G60&lt;&gt;"",OR(NOT(ISNUMBER(G60)),G60&lt;=0,G60&gt;1)),"Peso fuera de rango"&amp;" · ","")&amp;IF(AND(B60&lt;&gt;"",ABS(SUMIFS($G$5:$G$1000,$B$5:$B$1000,B60)-1)&gt;0.0001),"Pesos del puesto suman "&amp;TEXT(SUMIFS($G$5:$G$1000,$B$5:$B$1000,B60),"0%")&amp;" · ","")&amp;IF((COUNTIF(H60:K60,"&gt;1")+COUNTIF(H60:K60,"&lt;0")+COUNTA(H60:K60)-COUNT(H60:K60))&gt;0,"Avance fuera de rango 0-100%"&amp;" · ","")&amp;IF(OR(AND(I60&lt;&gt;"",I60&lt;H60),AND(J60&lt;&gt;"",J60&lt;MAX(H60:I60)),AND(K60&lt;&gt;"",K60&lt;MAX(H60:J60))),"Avance semanal decreciente"&amp;" · ","")&amp;IF(AND(ISNUMBER(F60),F60&lt;FechaRef,N(L60)&lt;1),"Vencida"&amp;" · ","")&amp;IF(AND(EvidenciaObligatoria="Sí",N(L60)&gt;=1,O60=""),"Completada sin evidencia"&amp;" · ",""),LEN(IF(A60="","Falta ID"&amp;" · ","")&amp;IF(AND(A60&lt;&gt;"",COUNTIF($A$5:$A$1000,A60)&gt;1),"ID duplicado"&amp;" · ","")&amp;IF(B60="","Área sin seleccionar"&amp;" · ","")&amp;IF(AND(B60&lt;&gt;"",ISNA(MATCH(B60,ListaPuestos,0))),"Área no válida"&amp;" · ","")&amp;IF(C60="","Macroactividad vacía"&amp;" · ","")&amp;IF(D60="","Sin responsable"&amp;" · ","")&amp;IF(E60="","Sin fecha de inicio"&amp;" · ","")&amp;IF(F60="","Sin fecha límite"&amp;" · ","")&amp;IF(OR(AND(E60&lt;&gt;"",NOT(ISNUMBER(E60))),AND(F60&lt;&gt;"",NOT(ISNUMBER(F60)))),"Fecha no válida"&amp;" · ","")&amp;IF(AND(ISNUMBER(E60),ISNUMBER(F60),E60&gt;F60),"Inicio posterior a fecha límite"&amp;" · ","")&amp;IF(G60="","Peso vacío"&amp;" · ","")&amp;IF(AND(G60&lt;&gt;"",OR(NOT(ISNUMBER(G60)),G60&lt;=0,G60&gt;1)),"Peso fuera de rango"&amp;" · ","")&amp;IF(AND(B60&lt;&gt;"",ABS(SUMIFS($G$5:$G$1000,$B$5:$B$1000,B60)-1)&gt;0.0001),"Pesos del puesto suman "&amp;TEXT(SUMIFS($G$5:$G$1000,$B$5:$B$1000,B60),"0%")&amp;" · ","")&amp;IF((COUNTIF(H60:K60,"&gt;1")+COUNTIF(H60:K60,"&lt;0")+COUNTA(H60:K60)-COUNT(H60:K60))&gt;0,"Avance fuera de rango 0-100%"&amp;" · ","")&amp;IF(OR(AND(I60&lt;&gt;"",I60&lt;H60),AND(J60&lt;&gt;"",J60&lt;MAX(H60:I60)),AND(K60&lt;&gt;"",K60&lt;MAX(H60:J60))),"Avance semanal decreciente"&amp;" · ","")&amp;IF(AND(ISNUMBER(F60),F60&lt;FechaRef,N(L60)&lt;1),"Vencida"&amp;" · ","")&amp;IF(AND(EvidenciaObligatoria="Sí",N(L60)&gt;=1,O60=""),"Completada sin evidencia"&amp;" · ",""))-3)))</f>
        <v/>
      </c>
    </row>
    <row r="61">
      <c r="A61" s="46" t="n"/>
      <c r="B61" s="47" t="n"/>
      <c r="C61" s="47" t="n"/>
      <c r="D61" s="47" t="n"/>
      <c r="E61" s="48" t="n"/>
      <c r="F61" s="48" t="n"/>
      <c r="G61" s="49" t="n"/>
      <c r="H61" s="50" t="n"/>
      <c r="I61" s="50" t="n"/>
      <c r="J61" s="50" t="n"/>
      <c r="K61" s="50" t="n"/>
      <c r="L61" s="51">
        <f>IF(NOT((COUNTA($A61:$K61)+COUNTA($N61:$O61))&gt;0),"",IFERROR(LOOKUP(2,1/(H61:K61&lt;&gt;""),H61:K61),0))</f>
        <v/>
      </c>
      <c r="M61" s="52">
        <f>IF(L61="","",IF(L61&gt;=1,"Completado",IF(L61&gt;0,"En curso","Pendiente")))</f>
        <v/>
      </c>
      <c r="N61" s="48" t="n"/>
      <c r="O61" s="47" t="n"/>
      <c r="P61" s="53">
        <f>IF(NOT((COUNTA($A61:$K61)+COUNTA($N61:$O61))&gt;0),"",IF((IF(A61="","Falta ID"&amp;" · ","")&amp;IF(AND(A61&lt;&gt;"",COUNTIF($A$5:$A$1000,A61)&gt;1),"ID duplicado"&amp;" · ","")&amp;IF(B61="","Área sin seleccionar"&amp;" · ","")&amp;IF(AND(B61&lt;&gt;"",ISNA(MATCH(B61,ListaPuestos,0))),"Área no válida"&amp;" · ","")&amp;IF(C61="","Macroactividad vacía"&amp;" · ","")&amp;IF(D61="","Sin responsable"&amp;" · ","")&amp;IF(E61="","Sin fecha de inicio"&amp;" · ","")&amp;IF(F61="","Sin fecha límite"&amp;" · ","")&amp;IF(OR(AND(E61&lt;&gt;"",NOT(ISNUMBER(E61))),AND(F61&lt;&gt;"",NOT(ISNUMBER(F61)))),"Fecha no válida"&amp;" · ","")&amp;IF(AND(ISNUMBER(E61),ISNUMBER(F61),E61&gt;F61),"Inicio posterior a fecha límite"&amp;" · ","")&amp;IF(G61="","Peso vacío"&amp;" · ","")&amp;IF(AND(G61&lt;&gt;"",OR(NOT(ISNUMBER(G61)),G61&lt;=0,G61&gt;1)),"Peso fuera de rango"&amp;" · ","")&amp;IF(AND(B61&lt;&gt;"",ABS(SUMIFS($G$5:$G$1000,$B$5:$B$1000,B61)-1)&gt;0.0001),"Pesos del puesto suman "&amp;TEXT(SUMIFS($G$5:$G$1000,$B$5:$B$1000,B61),"0%")&amp;" · ","")&amp;IF((COUNTIF(H61:K61,"&gt;1")+COUNTIF(H61:K61,"&lt;0")+COUNTA(H61:K61)-COUNT(H61:K61))&gt;0,"Avance fuera de rango 0-100%"&amp;" · ","")&amp;IF(OR(AND(I61&lt;&gt;"",I61&lt;H61),AND(J61&lt;&gt;"",J61&lt;MAX(H61:I61)),AND(K61&lt;&gt;"",K61&lt;MAX(H61:J61))),"Avance semanal decreciente"&amp;" · ","")&amp;IF(AND(ISNUMBER(F61),F61&lt;FechaRef,N(L61)&lt;1),"Vencida"&amp;" · ","")&amp;IF(AND(EvidenciaObligatoria="Sí",N(L61)&gt;=1,O61=""),"Completada sin evidencia"&amp;" · ",""))="","✔ OK","⚠ "&amp;LEFT(IF(A61="","Falta ID"&amp;" · ","")&amp;IF(AND(A61&lt;&gt;"",COUNTIF($A$5:$A$1000,A61)&gt;1),"ID duplicado"&amp;" · ","")&amp;IF(B61="","Área sin seleccionar"&amp;" · ","")&amp;IF(AND(B61&lt;&gt;"",ISNA(MATCH(B61,ListaPuestos,0))),"Área no válida"&amp;" · ","")&amp;IF(C61="","Macroactividad vacía"&amp;" · ","")&amp;IF(D61="","Sin responsable"&amp;" · ","")&amp;IF(E61="","Sin fecha de inicio"&amp;" · ","")&amp;IF(F61="","Sin fecha límite"&amp;" · ","")&amp;IF(OR(AND(E61&lt;&gt;"",NOT(ISNUMBER(E61))),AND(F61&lt;&gt;"",NOT(ISNUMBER(F61)))),"Fecha no válida"&amp;" · ","")&amp;IF(AND(ISNUMBER(E61),ISNUMBER(F61),E61&gt;F61),"Inicio posterior a fecha límite"&amp;" · ","")&amp;IF(G61="","Peso vacío"&amp;" · ","")&amp;IF(AND(G61&lt;&gt;"",OR(NOT(ISNUMBER(G61)),G61&lt;=0,G61&gt;1)),"Peso fuera de rango"&amp;" · ","")&amp;IF(AND(B61&lt;&gt;"",ABS(SUMIFS($G$5:$G$1000,$B$5:$B$1000,B61)-1)&gt;0.0001),"Pesos del puesto suman "&amp;TEXT(SUMIFS($G$5:$G$1000,$B$5:$B$1000,B61),"0%")&amp;" · ","")&amp;IF((COUNTIF(H61:K61,"&gt;1")+COUNTIF(H61:K61,"&lt;0")+COUNTA(H61:K61)-COUNT(H61:K61))&gt;0,"Avance fuera de rango 0-100%"&amp;" · ","")&amp;IF(OR(AND(I61&lt;&gt;"",I61&lt;H61),AND(J61&lt;&gt;"",J61&lt;MAX(H61:I61)),AND(K61&lt;&gt;"",K61&lt;MAX(H61:J61))),"Avance semanal decreciente"&amp;" · ","")&amp;IF(AND(ISNUMBER(F61),F61&lt;FechaRef,N(L61)&lt;1),"Vencida"&amp;" · ","")&amp;IF(AND(EvidenciaObligatoria="Sí",N(L61)&gt;=1,O61=""),"Completada sin evidencia"&amp;" · ",""),LEN(IF(A61="","Falta ID"&amp;" · ","")&amp;IF(AND(A61&lt;&gt;"",COUNTIF($A$5:$A$1000,A61)&gt;1),"ID duplicado"&amp;" · ","")&amp;IF(B61="","Área sin seleccionar"&amp;" · ","")&amp;IF(AND(B61&lt;&gt;"",ISNA(MATCH(B61,ListaPuestos,0))),"Área no válida"&amp;" · ","")&amp;IF(C61="","Macroactividad vacía"&amp;" · ","")&amp;IF(D61="","Sin responsable"&amp;" · ","")&amp;IF(E61="","Sin fecha de inicio"&amp;" · ","")&amp;IF(F61="","Sin fecha límite"&amp;" · ","")&amp;IF(OR(AND(E61&lt;&gt;"",NOT(ISNUMBER(E61))),AND(F61&lt;&gt;"",NOT(ISNUMBER(F61)))),"Fecha no válida"&amp;" · ","")&amp;IF(AND(ISNUMBER(E61),ISNUMBER(F61),E61&gt;F61),"Inicio posterior a fecha límite"&amp;" · ","")&amp;IF(G61="","Peso vacío"&amp;" · ","")&amp;IF(AND(G61&lt;&gt;"",OR(NOT(ISNUMBER(G61)),G61&lt;=0,G61&gt;1)),"Peso fuera de rango"&amp;" · ","")&amp;IF(AND(B61&lt;&gt;"",ABS(SUMIFS($G$5:$G$1000,$B$5:$B$1000,B61)-1)&gt;0.0001),"Pesos del puesto suman "&amp;TEXT(SUMIFS($G$5:$G$1000,$B$5:$B$1000,B61),"0%")&amp;" · ","")&amp;IF((COUNTIF(H61:K61,"&gt;1")+COUNTIF(H61:K61,"&lt;0")+COUNTA(H61:K61)-COUNT(H61:K61))&gt;0,"Avance fuera de rango 0-100%"&amp;" · ","")&amp;IF(OR(AND(I61&lt;&gt;"",I61&lt;H61),AND(J61&lt;&gt;"",J61&lt;MAX(H61:I61)),AND(K61&lt;&gt;"",K61&lt;MAX(H61:J61))),"Avance semanal decreciente"&amp;" · ","")&amp;IF(AND(ISNUMBER(F61),F61&lt;FechaRef,N(L61)&lt;1),"Vencida"&amp;" · ","")&amp;IF(AND(EvidenciaObligatoria="Sí",N(L61)&gt;=1,O61=""),"Completada sin evidencia"&amp;" · ",""))-3)))</f>
        <v/>
      </c>
    </row>
    <row r="62">
      <c r="A62" s="46" t="n"/>
      <c r="B62" s="47" t="n"/>
      <c r="C62" s="47" t="n"/>
      <c r="D62" s="47" t="n"/>
      <c r="E62" s="48" t="n"/>
      <c r="F62" s="48" t="n"/>
      <c r="G62" s="49" t="n"/>
      <c r="H62" s="50" t="n"/>
      <c r="I62" s="50" t="n"/>
      <c r="J62" s="50" t="n"/>
      <c r="K62" s="50" t="n"/>
      <c r="L62" s="51">
        <f>IF(NOT((COUNTA($A62:$K62)+COUNTA($N62:$O62))&gt;0),"",IFERROR(LOOKUP(2,1/(H62:K62&lt;&gt;""),H62:K62),0))</f>
        <v/>
      </c>
      <c r="M62" s="52">
        <f>IF(L62="","",IF(L62&gt;=1,"Completado",IF(L62&gt;0,"En curso","Pendiente")))</f>
        <v/>
      </c>
      <c r="N62" s="48" t="n"/>
      <c r="O62" s="47" t="n"/>
      <c r="P62" s="53">
        <f>IF(NOT((COUNTA($A62:$K62)+COUNTA($N62:$O62))&gt;0),"",IF((IF(A62="","Falta ID"&amp;" · ","")&amp;IF(AND(A62&lt;&gt;"",COUNTIF($A$5:$A$1000,A62)&gt;1),"ID duplicado"&amp;" · ","")&amp;IF(B62="","Área sin seleccionar"&amp;" · ","")&amp;IF(AND(B62&lt;&gt;"",ISNA(MATCH(B62,ListaPuestos,0))),"Área no válida"&amp;" · ","")&amp;IF(C62="","Macroactividad vacía"&amp;" · ","")&amp;IF(D62="","Sin responsable"&amp;" · ","")&amp;IF(E62="","Sin fecha de inicio"&amp;" · ","")&amp;IF(F62="","Sin fecha límite"&amp;" · ","")&amp;IF(OR(AND(E62&lt;&gt;"",NOT(ISNUMBER(E62))),AND(F62&lt;&gt;"",NOT(ISNUMBER(F62)))),"Fecha no válida"&amp;" · ","")&amp;IF(AND(ISNUMBER(E62),ISNUMBER(F62),E62&gt;F62),"Inicio posterior a fecha límite"&amp;" · ","")&amp;IF(G62="","Peso vacío"&amp;" · ","")&amp;IF(AND(G62&lt;&gt;"",OR(NOT(ISNUMBER(G62)),G62&lt;=0,G62&gt;1)),"Peso fuera de rango"&amp;" · ","")&amp;IF(AND(B62&lt;&gt;"",ABS(SUMIFS($G$5:$G$1000,$B$5:$B$1000,B62)-1)&gt;0.0001),"Pesos del puesto suman "&amp;TEXT(SUMIFS($G$5:$G$1000,$B$5:$B$1000,B62),"0%")&amp;" · ","")&amp;IF((COUNTIF(H62:K62,"&gt;1")+COUNTIF(H62:K62,"&lt;0")+COUNTA(H62:K62)-COUNT(H62:K62))&gt;0,"Avance fuera de rango 0-100%"&amp;" · ","")&amp;IF(OR(AND(I62&lt;&gt;"",I62&lt;H62),AND(J62&lt;&gt;"",J62&lt;MAX(H62:I62)),AND(K62&lt;&gt;"",K62&lt;MAX(H62:J62))),"Avance semanal decreciente"&amp;" · ","")&amp;IF(AND(ISNUMBER(F62),F62&lt;FechaRef,N(L62)&lt;1),"Vencida"&amp;" · ","")&amp;IF(AND(EvidenciaObligatoria="Sí",N(L62)&gt;=1,O62=""),"Completada sin evidencia"&amp;" · ",""))="","✔ OK","⚠ "&amp;LEFT(IF(A62="","Falta ID"&amp;" · ","")&amp;IF(AND(A62&lt;&gt;"",COUNTIF($A$5:$A$1000,A62)&gt;1),"ID duplicado"&amp;" · ","")&amp;IF(B62="","Área sin seleccionar"&amp;" · ","")&amp;IF(AND(B62&lt;&gt;"",ISNA(MATCH(B62,ListaPuestos,0))),"Área no válida"&amp;" · ","")&amp;IF(C62="","Macroactividad vacía"&amp;" · ","")&amp;IF(D62="","Sin responsable"&amp;" · ","")&amp;IF(E62="","Sin fecha de inicio"&amp;" · ","")&amp;IF(F62="","Sin fecha límite"&amp;" · ","")&amp;IF(OR(AND(E62&lt;&gt;"",NOT(ISNUMBER(E62))),AND(F62&lt;&gt;"",NOT(ISNUMBER(F62)))),"Fecha no válida"&amp;" · ","")&amp;IF(AND(ISNUMBER(E62),ISNUMBER(F62),E62&gt;F62),"Inicio posterior a fecha límite"&amp;" · ","")&amp;IF(G62="","Peso vacío"&amp;" · ","")&amp;IF(AND(G62&lt;&gt;"",OR(NOT(ISNUMBER(G62)),G62&lt;=0,G62&gt;1)),"Peso fuera de rango"&amp;" · ","")&amp;IF(AND(B62&lt;&gt;"",ABS(SUMIFS($G$5:$G$1000,$B$5:$B$1000,B62)-1)&gt;0.0001),"Pesos del puesto suman "&amp;TEXT(SUMIFS($G$5:$G$1000,$B$5:$B$1000,B62),"0%")&amp;" · ","")&amp;IF((COUNTIF(H62:K62,"&gt;1")+COUNTIF(H62:K62,"&lt;0")+COUNTA(H62:K62)-COUNT(H62:K62))&gt;0,"Avance fuera de rango 0-100%"&amp;" · ","")&amp;IF(OR(AND(I62&lt;&gt;"",I62&lt;H62),AND(J62&lt;&gt;"",J62&lt;MAX(H62:I62)),AND(K62&lt;&gt;"",K62&lt;MAX(H62:J62))),"Avance semanal decreciente"&amp;" · ","")&amp;IF(AND(ISNUMBER(F62),F62&lt;FechaRef,N(L62)&lt;1),"Vencida"&amp;" · ","")&amp;IF(AND(EvidenciaObligatoria="Sí",N(L62)&gt;=1,O62=""),"Completada sin evidencia"&amp;" · ",""),LEN(IF(A62="","Falta ID"&amp;" · ","")&amp;IF(AND(A62&lt;&gt;"",COUNTIF($A$5:$A$1000,A62)&gt;1),"ID duplicado"&amp;" · ","")&amp;IF(B62="","Área sin seleccionar"&amp;" · ","")&amp;IF(AND(B62&lt;&gt;"",ISNA(MATCH(B62,ListaPuestos,0))),"Área no válida"&amp;" · ","")&amp;IF(C62="","Macroactividad vacía"&amp;" · ","")&amp;IF(D62="","Sin responsable"&amp;" · ","")&amp;IF(E62="","Sin fecha de inicio"&amp;" · ","")&amp;IF(F62="","Sin fecha límite"&amp;" · ","")&amp;IF(OR(AND(E62&lt;&gt;"",NOT(ISNUMBER(E62))),AND(F62&lt;&gt;"",NOT(ISNUMBER(F62)))),"Fecha no válida"&amp;" · ","")&amp;IF(AND(ISNUMBER(E62),ISNUMBER(F62),E62&gt;F62),"Inicio posterior a fecha límite"&amp;" · ","")&amp;IF(G62="","Peso vacío"&amp;" · ","")&amp;IF(AND(G62&lt;&gt;"",OR(NOT(ISNUMBER(G62)),G62&lt;=0,G62&gt;1)),"Peso fuera de rango"&amp;" · ","")&amp;IF(AND(B62&lt;&gt;"",ABS(SUMIFS($G$5:$G$1000,$B$5:$B$1000,B62)-1)&gt;0.0001),"Pesos del puesto suman "&amp;TEXT(SUMIFS($G$5:$G$1000,$B$5:$B$1000,B62),"0%")&amp;" · ","")&amp;IF((COUNTIF(H62:K62,"&gt;1")+COUNTIF(H62:K62,"&lt;0")+COUNTA(H62:K62)-COUNT(H62:K62))&gt;0,"Avance fuera de rango 0-100%"&amp;" · ","")&amp;IF(OR(AND(I62&lt;&gt;"",I62&lt;H62),AND(J62&lt;&gt;"",J62&lt;MAX(H62:I62)),AND(K62&lt;&gt;"",K62&lt;MAX(H62:J62))),"Avance semanal decreciente"&amp;" · ","")&amp;IF(AND(ISNUMBER(F62),F62&lt;FechaRef,N(L62)&lt;1),"Vencida"&amp;" · ","")&amp;IF(AND(EvidenciaObligatoria="Sí",N(L62)&gt;=1,O62=""),"Completada sin evidencia"&amp;" · ",""))-3)))</f>
        <v/>
      </c>
    </row>
    <row r="63">
      <c r="A63" s="46" t="n"/>
      <c r="B63" s="47" t="n"/>
      <c r="C63" s="47" t="n"/>
      <c r="D63" s="47" t="n"/>
      <c r="E63" s="48" t="n"/>
      <c r="F63" s="48" t="n"/>
      <c r="G63" s="49" t="n"/>
      <c r="H63" s="50" t="n"/>
      <c r="I63" s="50" t="n"/>
      <c r="J63" s="50" t="n"/>
      <c r="K63" s="50" t="n"/>
      <c r="L63" s="51">
        <f>IF(NOT((COUNTA($A63:$K63)+COUNTA($N63:$O63))&gt;0),"",IFERROR(LOOKUP(2,1/(H63:K63&lt;&gt;""),H63:K63),0))</f>
        <v/>
      </c>
      <c r="M63" s="52">
        <f>IF(L63="","",IF(L63&gt;=1,"Completado",IF(L63&gt;0,"En curso","Pendiente")))</f>
        <v/>
      </c>
      <c r="N63" s="48" t="n"/>
      <c r="O63" s="47" t="n"/>
      <c r="P63" s="53">
        <f>IF(NOT((COUNTA($A63:$K63)+COUNTA($N63:$O63))&gt;0),"",IF((IF(A63="","Falta ID"&amp;" · ","")&amp;IF(AND(A63&lt;&gt;"",COUNTIF($A$5:$A$1000,A63)&gt;1),"ID duplicado"&amp;" · ","")&amp;IF(B63="","Área sin seleccionar"&amp;" · ","")&amp;IF(AND(B63&lt;&gt;"",ISNA(MATCH(B63,ListaPuestos,0))),"Área no válida"&amp;" · ","")&amp;IF(C63="","Macroactividad vacía"&amp;" · ","")&amp;IF(D63="","Sin responsable"&amp;" · ","")&amp;IF(E63="","Sin fecha de inicio"&amp;" · ","")&amp;IF(F63="","Sin fecha límite"&amp;" · ","")&amp;IF(OR(AND(E63&lt;&gt;"",NOT(ISNUMBER(E63))),AND(F63&lt;&gt;"",NOT(ISNUMBER(F63)))),"Fecha no válida"&amp;" · ","")&amp;IF(AND(ISNUMBER(E63),ISNUMBER(F63),E63&gt;F63),"Inicio posterior a fecha límite"&amp;" · ","")&amp;IF(G63="","Peso vacío"&amp;" · ","")&amp;IF(AND(G63&lt;&gt;"",OR(NOT(ISNUMBER(G63)),G63&lt;=0,G63&gt;1)),"Peso fuera de rango"&amp;" · ","")&amp;IF(AND(B63&lt;&gt;"",ABS(SUMIFS($G$5:$G$1000,$B$5:$B$1000,B63)-1)&gt;0.0001),"Pesos del puesto suman "&amp;TEXT(SUMIFS($G$5:$G$1000,$B$5:$B$1000,B63),"0%")&amp;" · ","")&amp;IF((COUNTIF(H63:K63,"&gt;1")+COUNTIF(H63:K63,"&lt;0")+COUNTA(H63:K63)-COUNT(H63:K63))&gt;0,"Avance fuera de rango 0-100%"&amp;" · ","")&amp;IF(OR(AND(I63&lt;&gt;"",I63&lt;H63),AND(J63&lt;&gt;"",J63&lt;MAX(H63:I63)),AND(K63&lt;&gt;"",K63&lt;MAX(H63:J63))),"Avance semanal decreciente"&amp;" · ","")&amp;IF(AND(ISNUMBER(F63),F63&lt;FechaRef,N(L63)&lt;1),"Vencida"&amp;" · ","")&amp;IF(AND(EvidenciaObligatoria="Sí",N(L63)&gt;=1,O63=""),"Completada sin evidencia"&amp;" · ",""))="","✔ OK","⚠ "&amp;LEFT(IF(A63="","Falta ID"&amp;" · ","")&amp;IF(AND(A63&lt;&gt;"",COUNTIF($A$5:$A$1000,A63)&gt;1),"ID duplicado"&amp;" · ","")&amp;IF(B63="","Área sin seleccionar"&amp;" · ","")&amp;IF(AND(B63&lt;&gt;"",ISNA(MATCH(B63,ListaPuestos,0))),"Área no válida"&amp;" · ","")&amp;IF(C63="","Macroactividad vacía"&amp;" · ","")&amp;IF(D63="","Sin responsable"&amp;" · ","")&amp;IF(E63="","Sin fecha de inicio"&amp;" · ","")&amp;IF(F63="","Sin fecha límite"&amp;" · ","")&amp;IF(OR(AND(E63&lt;&gt;"",NOT(ISNUMBER(E63))),AND(F63&lt;&gt;"",NOT(ISNUMBER(F63)))),"Fecha no válida"&amp;" · ","")&amp;IF(AND(ISNUMBER(E63),ISNUMBER(F63),E63&gt;F63),"Inicio posterior a fecha límite"&amp;" · ","")&amp;IF(G63="","Peso vacío"&amp;" · ","")&amp;IF(AND(G63&lt;&gt;"",OR(NOT(ISNUMBER(G63)),G63&lt;=0,G63&gt;1)),"Peso fuera de rango"&amp;" · ","")&amp;IF(AND(B63&lt;&gt;"",ABS(SUMIFS($G$5:$G$1000,$B$5:$B$1000,B63)-1)&gt;0.0001),"Pesos del puesto suman "&amp;TEXT(SUMIFS($G$5:$G$1000,$B$5:$B$1000,B63),"0%")&amp;" · ","")&amp;IF((COUNTIF(H63:K63,"&gt;1")+COUNTIF(H63:K63,"&lt;0")+COUNTA(H63:K63)-COUNT(H63:K63))&gt;0,"Avance fuera de rango 0-100%"&amp;" · ","")&amp;IF(OR(AND(I63&lt;&gt;"",I63&lt;H63),AND(J63&lt;&gt;"",J63&lt;MAX(H63:I63)),AND(K63&lt;&gt;"",K63&lt;MAX(H63:J63))),"Avance semanal decreciente"&amp;" · ","")&amp;IF(AND(ISNUMBER(F63),F63&lt;FechaRef,N(L63)&lt;1),"Vencida"&amp;" · ","")&amp;IF(AND(EvidenciaObligatoria="Sí",N(L63)&gt;=1,O63=""),"Completada sin evidencia"&amp;" · ",""),LEN(IF(A63="","Falta ID"&amp;" · ","")&amp;IF(AND(A63&lt;&gt;"",COUNTIF($A$5:$A$1000,A63)&gt;1),"ID duplicado"&amp;" · ","")&amp;IF(B63="","Área sin seleccionar"&amp;" · ","")&amp;IF(AND(B63&lt;&gt;"",ISNA(MATCH(B63,ListaPuestos,0))),"Área no válida"&amp;" · ","")&amp;IF(C63="","Macroactividad vacía"&amp;" · ","")&amp;IF(D63="","Sin responsable"&amp;" · ","")&amp;IF(E63="","Sin fecha de inicio"&amp;" · ","")&amp;IF(F63="","Sin fecha límite"&amp;" · ","")&amp;IF(OR(AND(E63&lt;&gt;"",NOT(ISNUMBER(E63))),AND(F63&lt;&gt;"",NOT(ISNUMBER(F63)))),"Fecha no válida"&amp;" · ","")&amp;IF(AND(ISNUMBER(E63),ISNUMBER(F63),E63&gt;F63),"Inicio posterior a fecha límite"&amp;" · ","")&amp;IF(G63="","Peso vacío"&amp;" · ","")&amp;IF(AND(G63&lt;&gt;"",OR(NOT(ISNUMBER(G63)),G63&lt;=0,G63&gt;1)),"Peso fuera de rango"&amp;" · ","")&amp;IF(AND(B63&lt;&gt;"",ABS(SUMIFS($G$5:$G$1000,$B$5:$B$1000,B63)-1)&gt;0.0001),"Pesos del puesto suman "&amp;TEXT(SUMIFS($G$5:$G$1000,$B$5:$B$1000,B63),"0%")&amp;" · ","")&amp;IF((COUNTIF(H63:K63,"&gt;1")+COUNTIF(H63:K63,"&lt;0")+COUNTA(H63:K63)-COUNT(H63:K63))&gt;0,"Avance fuera de rango 0-100%"&amp;" · ","")&amp;IF(OR(AND(I63&lt;&gt;"",I63&lt;H63),AND(J63&lt;&gt;"",J63&lt;MAX(H63:I63)),AND(K63&lt;&gt;"",K63&lt;MAX(H63:J63))),"Avance semanal decreciente"&amp;" · ","")&amp;IF(AND(ISNUMBER(F63),F63&lt;FechaRef,N(L63)&lt;1),"Vencida"&amp;" · ","")&amp;IF(AND(EvidenciaObligatoria="Sí",N(L63)&gt;=1,O63=""),"Completada sin evidencia"&amp;" · ",""))-3)))</f>
        <v/>
      </c>
    </row>
    <row r="64">
      <c r="A64" s="46" t="n"/>
      <c r="B64" s="47" t="n"/>
      <c r="C64" s="47" t="n"/>
      <c r="D64" s="47" t="n"/>
      <c r="E64" s="48" t="n"/>
      <c r="F64" s="48" t="n"/>
      <c r="G64" s="49" t="n"/>
      <c r="H64" s="50" t="n"/>
      <c r="I64" s="50" t="n"/>
      <c r="J64" s="50" t="n"/>
      <c r="K64" s="50" t="n"/>
      <c r="L64" s="51">
        <f>IF(NOT((COUNTA($A64:$K64)+COUNTA($N64:$O64))&gt;0),"",IFERROR(LOOKUP(2,1/(H64:K64&lt;&gt;""),H64:K64),0))</f>
        <v/>
      </c>
      <c r="M64" s="52">
        <f>IF(L64="","",IF(L64&gt;=1,"Completado",IF(L64&gt;0,"En curso","Pendiente")))</f>
        <v/>
      </c>
      <c r="N64" s="48" t="n"/>
      <c r="O64" s="47" t="n"/>
      <c r="P64" s="53">
        <f>IF(NOT((COUNTA($A64:$K64)+COUNTA($N64:$O64))&gt;0),"",IF((IF(A64="","Falta ID"&amp;" · ","")&amp;IF(AND(A64&lt;&gt;"",COUNTIF($A$5:$A$1000,A64)&gt;1),"ID duplicado"&amp;" · ","")&amp;IF(B64="","Área sin seleccionar"&amp;" · ","")&amp;IF(AND(B64&lt;&gt;"",ISNA(MATCH(B64,ListaPuestos,0))),"Área no válida"&amp;" · ","")&amp;IF(C64="","Macroactividad vacía"&amp;" · ","")&amp;IF(D64="","Sin responsable"&amp;" · ","")&amp;IF(E64="","Sin fecha de inicio"&amp;" · ","")&amp;IF(F64="","Sin fecha límite"&amp;" · ","")&amp;IF(OR(AND(E64&lt;&gt;"",NOT(ISNUMBER(E64))),AND(F64&lt;&gt;"",NOT(ISNUMBER(F64)))),"Fecha no válida"&amp;" · ","")&amp;IF(AND(ISNUMBER(E64),ISNUMBER(F64),E64&gt;F64),"Inicio posterior a fecha límite"&amp;" · ","")&amp;IF(G64="","Peso vacío"&amp;" · ","")&amp;IF(AND(G64&lt;&gt;"",OR(NOT(ISNUMBER(G64)),G64&lt;=0,G64&gt;1)),"Peso fuera de rango"&amp;" · ","")&amp;IF(AND(B64&lt;&gt;"",ABS(SUMIFS($G$5:$G$1000,$B$5:$B$1000,B64)-1)&gt;0.0001),"Pesos del puesto suman "&amp;TEXT(SUMIFS($G$5:$G$1000,$B$5:$B$1000,B64),"0%")&amp;" · ","")&amp;IF((COUNTIF(H64:K64,"&gt;1")+COUNTIF(H64:K64,"&lt;0")+COUNTA(H64:K64)-COUNT(H64:K64))&gt;0,"Avance fuera de rango 0-100%"&amp;" · ","")&amp;IF(OR(AND(I64&lt;&gt;"",I64&lt;H64),AND(J64&lt;&gt;"",J64&lt;MAX(H64:I64)),AND(K64&lt;&gt;"",K64&lt;MAX(H64:J64))),"Avance semanal decreciente"&amp;" · ","")&amp;IF(AND(ISNUMBER(F64),F64&lt;FechaRef,N(L64)&lt;1),"Vencida"&amp;" · ","")&amp;IF(AND(EvidenciaObligatoria="Sí",N(L64)&gt;=1,O64=""),"Completada sin evidencia"&amp;" · ",""))="","✔ OK","⚠ "&amp;LEFT(IF(A64="","Falta ID"&amp;" · ","")&amp;IF(AND(A64&lt;&gt;"",COUNTIF($A$5:$A$1000,A64)&gt;1),"ID duplicado"&amp;" · ","")&amp;IF(B64="","Área sin seleccionar"&amp;" · ","")&amp;IF(AND(B64&lt;&gt;"",ISNA(MATCH(B64,ListaPuestos,0))),"Área no válida"&amp;" · ","")&amp;IF(C64="","Macroactividad vacía"&amp;" · ","")&amp;IF(D64="","Sin responsable"&amp;" · ","")&amp;IF(E64="","Sin fecha de inicio"&amp;" · ","")&amp;IF(F64="","Sin fecha límite"&amp;" · ","")&amp;IF(OR(AND(E64&lt;&gt;"",NOT(ISNUMBER(E64))),AND(F64&lt;&gt;"",NOT(ISNUMBER(F64)))),"Fecha no válida"&amp;" · ","")&amp;IF(AND(ISNUMBER(E64),ISNUMBER(F64),E64&gt;F64),"Inicio posterior a fecha límite"&amp;" · ","")&amp;IF(G64="","Peso vacío"&amp;" · ","")&amp;IF(AND(G64&lt;&gt;"",OR(NOT(ISNUMBER(G64)),G64&lt;=0,G64&gt;1)),"Peso fuera de rango"&amp;" · ","")&amp;IF(AND(B64&lt;&gt;"",ABS(SUMIFS($G$5:$G$1000,$B$5:$B$1000,B64)-1)&gt;0.0001),"Pesos del puesto suman "&amp;TEXT(SUMIFS($G$5:$G$1000,$B$5:$B$1000,B64),"0%")&amp;" · ","")&amp;IF((COUNTIF(H64:K64,"&gt;1")+COUNTIF(H64:K64,"&lt;0")+COUNTA(H64:K64)-COUNT(H64:K64))&gt;0,"Avance fuera de rango 0-100%"&amp;" · ","")&amp;IF(OR(AND(I64&lt;&gt;"",I64&lt;H64),AND(J64&lt;&gt;"",J64&lt;MAX(H64:I64)),AND(K64&lt;&gt;"",K64&lt;MAX(H64:J64))),"Avance semanal decreciente"&amp;" · ","")&amp;IF(AND(ISNUMBER(F64),F64&lt;FechaRef,N(L64)&lt;1),"Vencida"&amp;" · ","")&amp;IF(AND(EvidenciaObligatoria="Sí",N(L64)&gt;=1,O64=""),"Completada sin evidencia"&amp;" · ",""),LEN(IF(A64="","Falta ID"&amp;" · ","")&amp;IF(AND(A64&lt;&gt;"",COUNTIF($A$5:$A$1000,A64)&gt;1),"ID duplicado"&amp;" · ","")&amp;IF(B64="","Área sin seleccionar"&amp;" · ","")&amp;IF(AND(B64&lt;&gt;"",ISNA(MATCH(B64,ListaPuestos,0))),"Área no válida"&amp;" · ","")&amp;IF(C64="","Macroactividad vacía"&amp;" · ","")&amp;IF(D64="","Sin responsable"&amp;" · ","")&amp;IF(E64="","Sin fecha de inicio"&amp;" · ","")&amp;IF(F64="","Sin fecha límite"&amp;" · ","")&amp;IF(OR(AND(E64&lt;&gt;"",NOT(ISNUMBER(E64))),AND(F64&lt;&gt;"",NOT(ISNUMBER(F64)))),"Fecha no válida"&amp;" · ","")&amp;IF(AND(ISNUMBER(E64),ISNUMBER(F64),E64&gt;F64),"Inicio posterior a fecha límite"&amp;" · ","")&amp;IF(G64="","Peso vacío"&amp;" · ","")&amp;IF(AND(G64&lt;&gt;"",OR(NOT(ISNUMBER(G64)),G64&lt;=0,G64&gt;1)),"Peso fuera de rango"&amp;" · ","")&amp;IF(AND(B64&lt;&gt;"",ABS(SUMIFS($G$5:$G$1000,$B$5:$B$1000,B64)-1)&gt;0.0001),"Pesos del puesto suman "&amp;TEXT(SUMIFS($G$5:$G$1000,$B$5:$B$1000,B64),"0%")&amp;" · ","")&amp;IF((COUNTIF(H64:K64,"&gt;1")+COUNTIF(H64:K64,"&lt;0")+COUNTA(H64:K64)-COUNT(H64:K64))&gt;0,"Avance fuera de rango 0-100%"&amp;" · ","")&amp;IF(OR(AND(I64&lt;&gt;"",I64&lt;H64),AND(J64&lt;&gt;"",J64&lt;MAX(H64:I64)),AND(K64&lt;&gt;"",K64&lt;MAX(H64:J64))),"Avance semanal decreciente"&amp;" · ","")&amp;IF(AND(ISNUMBER(F64),F64&lt;FechaRef,N(L64)&lt;1),"Vencida"&amp;" · ","")&amp;IF(AND(EvidenciaObligatoria="Sí",N(L64)&gt;=1,O64=""),"Completada sin evidencia"&amp;" · ",""))-3)))</f>
        <v/>
      </c>
    </row>
    <row r="65">
      <c r="A65" s="46" t="n"/>
      <c r="B65" s="47" t="n"/>
      <c r="C65" s="47" t="n"/>
      <c r="D65" s="47" t="n"/>
      <c r="E65" s="48" t="n"/>
      <c r="F65" s="48" t="n"/>
      <c r="G65" s="49" t="n"/>
      <c r="H65" s="50" t="n"/>
      <c r="I65" s="50" t="n"/>
      <c r="J65" s="50" t="n"/>
      <c r="K65" s="50" t="n"/>
      <c r="L65" s="51">
        <f>IF(NOT((COUNTA($A65:$K65)+COUNTA($N65:$O65))&gt;0),"",IFERROR(LOOKUP(2,1/(H65:K65&lt;&gt;""),H65:K65),0))</f>
        <v/>
      </c>
      <c r="M65" s="52">
        <f>IF(L65="","",IF(L65&gt;=1,"Completado",IF(L65&gt;0,"En curso","Pendiente")))</f>
        <v/>
      </c>
      <c r="N65" s="48" t="n"/>
      <c r="O65" s="47" t="n"/>
      <c r="P65" s="53">
        <f>IF(NOT((COUNTA($A65:$K65)+COUNTA($N65:$O65))&gt;0),"",IF((IF(A65="","Falta ID"&amp;" · ","")&amp;IF(AND(A65&lt;&gt;"",COUNTIF($A$5:$A$1000,A65)&gt;1),"ID duplicado"&amp;" · ","")&amp;IF(B65="","Área sin seleccionar"&amp;" · ","")&amp;IF(AND(B65&lt;&gt;"",ISNA(MATCH(B65,ListaPuestos,0))),"Área no válida"&amp;" · ","")&amp;IF(C65="","Macroactividad vacía"&amp;" · ","")&amp;IF(D65="","Sin responsable"&amp;" · ","")&amp;IF(E65="","Sin fecha de inicio"&amp;" · ","")&amp;IF(F65="","Sin fecha límite"&amp;" · ","")&amp;IF(OR(AND(E65&lt;&gt;"",NOT(ISNUMBER(E65))),AND(F65&lt;&gt;"",NOT(ISNUMBER(F65)))),"Fecha no válida"&amp;" · ","")&amp;IF(AND(ISNUMBER(E65),ISNUMBER(F65),E65&gt;F65),"Inicio posterior a fecha límite"&amp;" · ","")&amp;IF(G65="","Peso vacío"&amp;" · ","")&amp;IF(AND(G65&lt;&gt;"",OR(NOT(ISNUMBER(G65)),G65&lt;=0,G65&gt;1)),"Peso fuera de rango"&amp;" · ","")&amp;IF(AND(B65&lt;&gt;"",ABS(SUMIFS($G$5:$G$1000,$B$5:$B$1000,B65)-1)&gt;0.0001),"Pesos del puesto suman "&amp;TEXT(SUMIFS($G$5:$G$1000,$B$5:$B$1000,B65),"0%")&amp;" · ","")&amp;IF((COUNTIF(H65:K65,"&gt;1")+COUNTIF(H65:K65,"&lt;0")+COUNTA(H65:K65)-COUNT(H65:K65))&gt;0,"Avance fuera de rango 0-100%"&amp;" · ","")&amp;IF(OR(AND(I65&lt;&gt;"",I65&lt;H65),AND(J65&lt;&gt;"",J65&lt;MAX(H65:I65)),AND(K65&lt;&gt;"",K65&lt;MAX(H65:J65))),"Avance semanal decreciente"&amp;" · ","")&amp;IF(AND(ISNUMBER(F65),F65&lt;FechaRef,N(L65)&lt;1),"Vencida"&amp;" · ","")&amp;IF(AND(EvidenciaObligatoria="Sí",N(L65)&gt;=1,O65=""),"Completada sin evidencia"&amp;" · ",""))="","✔ OK","⚠ "&amp;LEFT(IF(A65="","Falta ID"&amp;" · ","")&amp;IF(AND(A65&lt;&gt;"",COUNTIF($A$5:$A$1000,A65)&gt;1),"ID duplicado"&amp;" · ","")&amp;IF(B65="","Área sin seleccionar"&amp;" · ","")&amp;IF(AND(B65&lt;&gt;"",ISNA(MATCH(B65,ListaPuestos,0))),"Área no válida"&amp;" · ","")&amp;IF(C65="","Macroactividad vacía"&amp;" · ","")&amp;IF(D65="","Sin responsable"&amp;" · ","")&amp;IF(E65="","Sin fecha de inicio"&amp;" · ","")&amp;IF(F65="","Sin fecha límite"&amp;" · ","")&amp;IF(OR(AND(E65&lt;&gt;"",NOT(ISNUMBER(E65))),AND(F65&lt;&gt;"",NOT(ISNUMBER(F65)))),"Fecha no válida"&amp;" · ","")&amp;IF(AND(ISNUMBER(E65),ISNUMBER(F65),E65&gt;F65),"Inicio posterior a fecha límite"&amp;" · ","")&amp;IF(G65="","Peso vacío"&amp;" · ","")&amp;IF(AND(G65&lt;&gt;"",OR(NOT(ISNUMBER(G65)),G65&lt;=0,G65&gt;1)),"Peso fuera de rango"&amp;" · ","")&amp;IF(AND(B65&lt;&gt;"",ABS(SUMIFS($G$5:$G$1000,$B$5:$B$1000,B65)-1)&gt;0.0001),"Pesos del puesto suman "&amp;TEXT(SUMIFS($G$5:$G$1000,$B$5:$B$1000,B65),"0%")&amp;" · ","")&amp;IF((COUNTIF(H65:K65,"&gt;1")+COUNTIF(H65:K65,"&lt;0")+COUNTA(H65:K65)-COUNT(H65:K65))&gt;0,"Avance fuera de rango 0-100%"&amp;" · ","")&amp;IF(OR(AND(I65&lt;&gt;"",I65&lt;H65),AND(J65&lt;&gt;"",J65&lt;MAX(H65:I65)),AND(K65&lt;&gt;"",K65&lt;MAX(H65:J65))),"Avance semanal decreciente"&amp;" · ","")&amp;IF(AND(ISNUMBER(F65),F65&lt;FechaRef,N(L65)&lt;1),"Vencida"&amp;" · ","")&amp;IF(AND(EvidenciaObligatoria="Sí",N(L65)&gt;=1,O65=""),"Completada sin evidencia"&amp;" · ",""),LEN(IF(A65="","Falta ID"&amp;" · ","")&amp;IF(AND(A65&lt;&gt;"",COUNTIF($A$5:$A$1000,A65)&gt;1),"ID duplicado"&amp;" · ","")&amp;IF(B65="","Área sin seleccionar"&amp;" · ","")&amp;IF(AND(B65&lt;&gt;"",ISNA(MATCH(B65,ListaPuestos,0))),"Área no válida"&amp;" · ","")&amp;IF(C65="","Macroactividad vacía"&amp;" · ","")&amp;IF(D65="","Sin responsable"&amp;" · ","")&amp;IF(E65="","Sin fecha de inicio"&amp;" · ","")&amp;IF(F65="","Sin fecha límite"&amp;" · ","")&amp;IF(OR(AND(E65&lt;&gt;"",NOT(ISNUMBER(E65))),AND(F65&lt;&gt;"",NOT(ISNUMBER(F65)))),"Fecha no válida"&amp;" · ","")&amp;IF(AND(ISNUMBER(E65),ISNUMBER(F65),E65&gt;F65),"Inicio posterior a fecha límite"&amp;" · ","")&amp;IF(G65="","Peso vacío"&amp;" · ","")&amp;IF(AND(G65&lt;&gt;"",OR(NOT(ISNUMBER(G65)),G65&lt;=0,G65&gt;1)),"Peso fuera de rango"&amp;" · ","")&amp;IF(AND(B65&lt;&gt;"",ABS(SUMIFS($G$5:$G$1000,$B$5:$B$1000,B65)-1)&gt;0.0001),"Pesos del puesto suman "&amp;TEXT(SUMIFS($G$5:$G$1000,$B$5:$B$1000,B65),"0%")&amp;" · ","")&amp;IF((COUNTIF(H65:K65,"&gt;1")+COUNTIF(H65:K65,"&lt;0")+COUNTA(H65:K65)-COUNT(H65:K65))&gt;0,"Avance fuera de rango 0-100%"&amp;" · ","")&amp;IF(OR(AND(I65&lt;&gt;"",I65&lt;H65),AND(J65&lt;&gt;"",J65&lt;MAX(H65:I65)),AND(K65&lt;&gt;"",K65&lt;MAX(H65:J65))),"Avance semanal decreciente"&amp;" · ","")&amp;IF(AND(ISNUMBER(F65),F65&lt;FechaRef,N(L65)&lt;1),"Vencida"&amp;" · ","")&amp;IF(AND(EvidenciaObligatoria="Sí",N(L65)&gt;=1,O65=""),"Completada sin evidencia"&amp;" · ",""))-3)))</f>
        <v/>
      </c>
    </row>
    <row r="66">
      <c r="A66" s="46" t="n"/>
      <c r="B66" s="47" t="n"/>
      <c r="C66" s="47" t="n"/>
      <c r="D66" s="47" t="n"/>
      <c r="E66" s="48" t="n"/>
      <c r="F66" s="48" t="n"/>
      <c r="G66" s="49" t="n"/>
      <c r="H66" s="50" t="n"/>
      <c r="I66" s="50" t="n"/>
      <c r="J66" s="50" t="n"/>
      <c r="K66" s="50" t="n"/>
      <c r="L66" s="51">
        <f>IF(NOT((COUNTA($A66:$K66)+COUNTA($N66:$O66))&gt;0),"",IFERROR(LOOKUP(2,1/(H66:K66&lt;&gt;""),H66:K66),0))</f>
        <v/>
      </c>
      <c r="M66" s="52">
        <f>IF(L66="","",IF(L66&gt;=1,"Completado",IF(L66&gt;0,"En curso","Pendiente")))</f>
        <v/>
      </c>
      <c r="N66" s="48" t="n"/>
      <c r="O66" s="47" t="n"/>
      <c r="P66" s="53">
        <f>IF(NOT((COUNTA($A66:$K66)+COUNTA($N66:$O66))&gt;0),"",IF((IF(A66="","Falta ID"&amp;" · ","")&amp;IF(AND(A66&lt;&gt;"",COUNTIF($A$5:$A$1000,A66)&gt;1),"ID duplicado"&amp;" · ","")&amp;IF(B66="","Área sin seleccionar"&amp;" · ","")&amp;IF(AND(B66&lt;&gt;"",ISNA(MATCH(B66,ListaPuestos,0))),"Área no válida"&amp;" · ","")&amp;IF(C66="","Macroactividad vacía"&amp;" · ","")&amp;IF(D66="","Sin responsable"&amp;" · ","")&amp;IF(E66="","Sin fecha de inicio"&amp;" · ","")&amp;IF(F66="","Sin fecha límite"&amp;" · ","")&amp;IF(OR(AND(E66&lt;&gt;"",NOT(ISNUMBER(E66))),AND(F66&lt;&gt;"",NOT(ISNUMBER(F66)))),"Fecha no válida"&amp;" · ","")&amp;IF(AND(ISNUMBER(E66),ISNUMBER(F66),E66&gt;F66),"Inicio posterior a fecha límite"&amp;" · ","")&amp;IF(G66="","Peso vacío"&amp;" · ","")&amp;IF(AND(G66&lt;&gt;"",OR(NOT(ISNUMBER(G66)),G66&lt;=0,G66&gt;1)),"Peso fuera de rango"&amp;" · ","")&amp;IF(AND(B66&lt;&gt;"",ABS(SUMIFS($G$5:$G$1000,$B$5:$B$1000,B66)-1)&gt;0.0001),"Pesos del puesto suman "&amp;TEXT(SUMIFS($G$5:$G$1000,$B$5:$B$1000,B66),"0%")&amp;" · ","")&amp;IF((COUNTIF(H66:K66,"&gt;1")+COUNTIF(H66:K66,"&lt;0")+COUNTA(H66:K66)-COUNT(H66:K66))&gt;0,"Avance fuera de rango 0-100%"&amp;" · ","")&amp;IF(OR(AND(I66&lt;&gt;"",I66&lt;H66),AND(J66&lt;&gt;"",J66&lt;MAX(H66:I66)),AND(K66&lt;&gt;"",K66&lt;MAX(H66:J66))),"Avance semanal decreciente"&amp;" · ","")&amp;IF(AND(ISNUMBER(F66),F66&lt;FechaRef,N(L66)&lt;1),"Vencida"&amp;" · ","")&amp;IF(AND(EvidenciaObligatoria="Sí",N(L66)&gt;=1,O66=""),"Completada sin evidencia"&amp;" · ",""))="","✔ OK","⚠ "&amp;LEFT(IF(A66="","Falta ID"&amp;" · ","")&amp;IF(AND(A66&lt;&gt;"",COUNTIF($A$5:$A$1000,A66)&gt;1),"ID duplicado"&amp;" · ","")&amp;IF(B66="","Área sin seleccionar"&amp;" · ","")&amp;IF(AND(B66&lt;&gt;"",ISNA(MATCH(B66,ListaPuestos,0))),"Área no válida"&amp;" · ","")&amp;IF(C66="","Macroactividad vacía"&amp;" · ","")&amp;IF(D66="","Sin responsable"&amp;" · ","")&amp;IF(E66="","Sin fecha de inicio"&amp;" · ","")&amp;IF(F66="","Sin fecha límite"&amp;" · ","")&amp;IF(OR(AND(E66&lt;&gt;"",NOT(ISNUMBER(E66))),AND(F66&lt;&gt;"",NOT(ISNUMBER(F66)))),"Fecha no válida"&amp;" · ","")&amp;IF(AND(ISNUMBER(E66),ISNUMBER(F66),E66&gt;F66),"Inicio posterior a fecha límite"&amp;" · ","")&amp;IF(G66="","Peso vacío"&amp;" · ","")&amp;IF(AND(G66&lt;&gt;"",OR(NOT(ISNUMBER(G66)),G66&lt;=0,G66&gt;1)),"Peso fuera de rango"&amp;" · ","")&amp;IF(AND(B66&lt;&gt;"",ABS(SUMIFS($G$5:$G$1000,$B$5:$B$1000,B66)-1)&gt;0.0001),"Pesos del puesto suman "&amp;TEXT(SUMIFS($G$5:$G$1000,$B$5:$B$1000,B66),"0%")&amp;" · ","")&amp;IF((COUNTIF(H66:K66,"&gt;1")+COUNTIF(H66:K66,"&lt;0")+COUNTA(H66:K66)-COUNT(H66:K66))&gt;0,"Avance fuera de rango 0-100%"&amp;" · ","")&amp;IF(OR(AND(I66&lt;&gt;"",I66&lt;H66),AND(J66&lt;&gt;"",J66&lt;MAX(H66:I66)),AND(K66&lt;&gt;"",K66&lt;MAX(H66:J66))),"Avance semanal decreciente"&amp;" · ","")&amp;IF(AND(ISNUMBER(F66),F66&lt;FechaRef,N(L66)&lt;1),"Vencida"&amp;" · ","")&amp;IF(AND(EvidenciaObligatoria="Sí",N(L66)&gt;=1,O66=""),"Completada sin evidencia"&amp;" · ",""),LEN(IF(A66="","Falta ID"&amp;" · ","")&amp;IF(AND(A66&lt;&gt;"",COUNTIF($A$5:$A$1000,A66)&gt;1),"ID duplicado"&amp;" · ","")&amp;IF(B66="","Área sin seleccionar"&amp;" · ","")&amp;IF(AND(B66&lt;&gt;"",ISNA(MATCH(B66,ListaPuestos,0))),"Área no válida"&amp;" · ","")&amp;IF(C66="","Macroactividad vacía"&amp;" · ","")&amp;IF(D66="","Sin responsable"&amp;" · ","")&amp;IF(E66="","Sin fecha de inicio"&amp;" · ","")&amp;IF(F66="","Sin fecha límite"&amp;" · ","")&amp;IF(OR(AND(E66&lt;&gt;"",NOT(ISNUMBER(E66))),AND(F66&lt;&gt;"",NOT(ISNUMBER(F66)))),"Fecha no válida"&amp;" · ","")&amp;IF(AND(ISNUMBER(E66),ISNUMBER(F66),E66&gt;F66),"Inicio posterior a fecha límite"&amp;" · ","")&amp;IF(G66="","Peso vacío"&amp;" · ","")&amp;IF(AND(G66&lt;&gt;"",OR(NOT(ISNUMBER(G66)),G66&lt;=0,G66&gt;1)),"Peso fuera de rango"&amp;" · ","")&amp;IF(AND(B66&lt;&gt;"",ABS(SUMIFS($G$5:$G$1000,$B$5:$B$1000,B66)-1)&gt;0.0001),"Pesos del puesto suman "&amp;TEXT(SUMIFS($G$5:$G$1000,$B$5:$B$1000,B66),"0%")&amp;" · ","")&amp;IF((COUNTIF(H66:K66,"&gt;1")+COUNTIF(H66:K66,"&lt;0")+COUNTA(H66:K66)-COUNT(H66:K66))&gt;0,"Avance fuera de rango 0-100%"&amp;" · ","")&amp;IF(OR(AND(I66&lt;&gt;"",I66&lt;H66),AND(J66&lt;&gt;"",J66&lt;MAX(H66:I66)),AND(K66&lt;&gt;"",K66&lt;MAX(H66:J66))),"Avance semanal decreciente"&amp;" · ","")&amp;IF(AND(ISNUMBER(F66),F66&lt;FechaRef,N(L66)&lt;1),"Vencida"&amp;" · ","")&amp;IF(AND(EvidenciaObligatoria="Sí",N(L66)&gt;=1,O66=""),"Completada sin evidencia"&amp;" · ",""))-3)))</f>
        <v/>
      </c>
    </row>
    <row r="67">
      <c r="A67" s="46" t="n"/>
      <c r="B67" s="47" t="n"/>
      <c r="C67" s="47" t="n"/>
      <c r="D67" s="47" t="n"/>
      <c r="E67" s="48" t="n"/>
      <c r="F67" s="48" t="n"/>
      <c r="G67" s="49" t="n"/>
      <c r="H67" s="50" t="n"/>
      <c r="I67" s="50" t="n"/>
      <c r="J67" s="50" t="n"/>
      <c r="K67" s="50" t="n"/>
      <c r="L67" s="51">
        <f>IF(NOT((COUNTA($A67:$K67)+COUNTA($N67:$O67))&gt;0),"",IFERROR(LOOKUP(2,1/(H67:K67&lt;&gt;""),H67:K67),0))</f>
        <v/>
      </c>
      <c r="M67" s="52">
        <f>IF(L67="","",IF(L67&gt;=1,"Completado",IF(L67&gt;0,"En curso","Pendiente")))</f>
        <v/>
      </c>
      <c r="N67" s="48" t="n"/>
      <c r="O67" s="47" t="n"/>
      <c r="P67" s="53">
        <f>IF(NOT((COUNTA($A67:$K67)+COUNTA($N67:$O67))&gt;0),"",IF((IF(A67="","Falta ID"&amp;" · ","")&amp;IF(AND(A67&lt;&gt;"",COUNTIF($A$5:$A$1000,A67)&gt;1),"ID duplicado"&amp;" · ","")&amp;IF(B67="","Área sin seleccionar"&amp;" · ","")&amp;IF(AND(B67&lt;&gt;"",ISNA(MATCH(B67,ListaPuestos,0))),"Área no válida"&amp;" · ","")&amp;IF(C67="","Macroactividad vacía"&amp;" · ","")&amp;IF(D67="","Sin responsable"&amp;" · ","")&amp;IF(E67="","Sin fecha de inicio"&amp;" · ","")&amp;IF(F67="","Sin fecha límite"&amp;" · ","")&amp;IF(OR(AND(E67&lt;&gt;"",NOT(ISNUMBER(E67))),AND(F67&lt;&gt;"",NOT(ISNUMBER(F67)))),"Fecha no válida"&amp;" · ","")&amp;IF(AND(ISNUMBER(E67),ISNUMBER(F67),E67&gt;F67),"Inicio posterior a fecha límite"&amp;" · ","")&amp;IF(G67="","Peso vacío"&amp;" · ","")&amp;IF(AND(G67&lt;&gt;"",OR(NOT(ISNUMBER(G67)),G67&lt;=0,G67&gt;1)),"Peso fuera de rango"&amp;" · ","")&amp;IF(AND(B67&lt;&gt;"",ABS(SUMIFS($G$5:$G$1000,$B$5:$B$1000,B67)-1)&gt;0.0001),"Pesos del puesto suman "&amp;TEXT(SUMIFS($G$5:$G$1000,$B$5:$B$1000,B67),"0%")&amp;" · ","")&amp;IF((COUNTIF(H67:K67,"&gt;1")+COUNTIF(H67:K67,"&lt;0")+COUNTA(H67:K67)-COUNT(H67:K67))&gt;0,"Avance fuera de rango 0-100%"&amp;" · ","")&amp;IF(OR(AND(I67&lt;&gt;"",I67&lt;H67),AND(J67&lt;&gt;"",J67&lt;MAX(H67:I67)),AND(K67&lt;&gt;"",K67&lt;MAX(H67:J67))),"Avance semanal decreciente"&amp;" · ","")&amp;IF(AND(ISNUMBER(F67),F67&lt;FechaRef,N(L67)&lt;1),"Vencida"&amp;" · ","")&amp;IF(AND(EvidenciaObligatoria="Sí",N(L67)&gt;=1,O67=""),"Completada sin evidencia"&amp;" · ",""))="","✔ OK","⚠ "&amp;LEFT(IF(A67="","Falta ID"&amp;" · ","")&amp;IF(AND(A67&lt;&gt;"",COUNTIF($A$5:$A$1000,A67)&gt;1),"ID duplicado"&amp;" · ","")&amp;IF(B67="","Área sin seleccionar"&amp;" · ","")&amp;IF(AND(B67&lt;&gt;"",ISNA(MATCH(B67,ListaPuestos,0))),"Área no válida"&amp;" · ","")&amp;IF(C67="","Macroactividad vacía"&amp;" · ","")&amp;IF(D67="","Sin responsable"&amp;" · ","")&amp;IF(E67="","Sin fecha de inicio"&amp;" · ","")&amp;IF(F67="","Sin fecha límite"&amp;" · ","")&amp;IF(OR(AND(E67&lt;&gt;"",NOT(ISNUMBER(E67))),AND(F67&lt;&gt;"",NOT(ISNUMBER(F67)))),"Fecha no válida"&amp;" · ","")&amp;IF(AND(ISNUMBER(E67),ISNUMBER(F67),E67&gt;F67),"Inicio posterior a fecha límite"&amp;" · ","")&amp;IF(G67="","Peso vacío"&amp;" · ","")&amp;IF(AND(G67&lt;&gt;"",OR(NOT(ISNUMBER(G67)),G67&lt;=0,G67&gt;1)),"Peso fuera de rango"&amp;" · ","")&amp;IF(AND(B67&lt;&gt;"",ABS(SUMIFS($G$5:$G$1000,$B$5:$B$1000,B67)-1)&gt;0.0001),"Pesos del puesto suman "&amp;TEXT(SUMIFS($G$5:$G$1000,$B$5:$B$1000,B67),"0%")&amp;" · ","")&amp;IF((COUNTIF(H67:K67,"&gt;1")+COUNTIF(H67:K67,"&lt;0")+COUNTA(H67:K67)-COUNT(H67:K67))&gt;0,"Avance fuera de rango 0-100%"&amp;" · ","")&amp;IF(OR(AND(I67&lt;&gt;"",I67&lt;H67),AND(J67&lt;&gt;"",J67&lt;MAX(H67:I67)),AND(K67&lt;&gt;"",K67&lt;MAX(H67:J67))),"Avance semanal decreciente"&amp;" · ","")&amp;IF(AND(ISNUMBER(F67),F67&lt;FechaRef,N(L67)&lt;1),"Vencida"&amp;" · ","")&amp;IF(AND(EvidenciaObligatoria="Sí",N(L67)&gt;=1,O67=""),"Completada sin evidencia"&amp;" · ",""),LEN(IF(A67="","Falta ID"&amp;" · ","")&amp;IF(AND(A67&lt;&gt;"",COUNTIF($A$5:$A$1000,A67)&gt;1),"ID duplicado"&amp;" · ","")&amp;IF(B67="","Área sin seleccionar"&amp;" · ","")&amp;IF(AND(B67&lt;&gt;"",ISNA(MATCH(B67,ListaPuestos,0))),"Área no válida"&amp;" · ","")&amp;IF(C67="","Macroactividad vacía"&amp;" · ","")&amp;IF(D67="","Sin responsable"&amp;" · ","")&amp;IF(E67="","Sin fecha de inicio"&amp;" · ","")&amp;IF(F67="","Sin fecha límite"&amp;" · ","")&amp;IF(OR(AND(E67&lt;&gt;"",NOT(ISNUMBER(E67))),AND(F67&lt;&gt;"",NOT(ISNUMBER(F67)))),"Fecha no válida"&amp;" · ","")&amp;IF(AND(ISNUMBER(E67),ISNUMBER(F67),E67&gt;F67),"Inicio posterior a fecha límite"&amp;" · ","")&amp;IF(G67="","Peso vacío"&amp;" · ","")&amp;IF(AND(G67&lt;&gt;"",OR(NOT(ISNUMBER(G67)),G67&lt;=0,G67&gt;1)),"Peso fuera de rango"&amp;" · ","")&amp;IF(AND(B67&lt;&gt;"",ABS(SUMIFS($G$5:$G$1000,$B$5:$B$1000,B67)-1)&gt;0.0001),"Pesos del puesto suman "&amp;TEXT(SUMIFS($G$5:$G$1000,$B$5:$B$1000,B67),"0%")&amp;" · ","")&amp;IF((COUNTIF(H67:K67,"&gt;1")+COUNTIF(H67:K67,"&lt;0")+COUNTA(H67:K67)-COUNT(H67:K67))&gt;0,"Avance fuera de rango 0-100%"&amp;" · ","")&amp;IF(OR(AND(I67&lt;&gt;"",I67&lt;H67),AND(J67&lt;&gt;"",J67&lt;MAX(H67:I67)),AND(K67&lt;&gt;"",K67&lt;MAX(H67:J67))),"Avance semanal decreciente"&amp;" · ","")&amp;IF(AND(ISNUMBER(F67),F67&lt;FechaRef,N(L67)&lt;1),"Vencida"&amp;" · ","")&amp;IF(AND(EvidenciaObligatoria="Sí",N(L67)&gt;=1,O67=""),"Completada sin evidencia"&amp;" · ",""))-3)))</f>
        <v/>
      </c>
    </row>
    <row r="68">
      <c r="A68" s="46" t="n"/>
      <c r="B68" s="47" t="n"/>
      <c r="C68" s="47" t="n"/>
      <c r="D68" s="47" t="n"/>
      <c r="E68" s="48" t="n"/>
      <c r="F68" s="48" t="n"/>
      <c r="G68" s="49" t="n"/>
      <c r="H68" s="50" t="n"/>
      <c r="I68" s="50" t="n"/>
      <c r="J68" s="50" t="n"/>
      <c r="K68" s="50" t="n"/>
      <c r="L68" s="51">
        <f>IF(NOT((COUNTA($A68:$K68)+COUNTA($N68:$O68))&gt;0),"",IFERROR(LOOKUP(2,1/(H68:K68&lt;&gt;""),H68:K68),0))</f>
        <v/>
      </c>
      <c r="M68" s="52">
        <f>IF(L68="","",IF(L68&gt;=1,"Completado",IF(L68&gt;0,"En curso","Pendiente")))</f>
        <v/>
      </c>
      <c r="N68" s="48" t="n"/>
      <c r="O68" s="47" t="n"/>
      <c r="P68" s="53">
        <f>IF(NOT((COUNTA($A68:$K68)+COUNTA($N68:$O68))&gt;0),"",IF((IF(A68="","Falta ID"&amp;" · ","")&amp;IF(AND(A68&lt;&gt;"",COUNTIF($A$5:$A$1000,A68)&gt;1),"ID duplicado"&amp;" · ","")&amp;IF(B68="","Área sin seleccionar"&amp;" · ","")&amp;IF(AND(B68&lt;&gt;"",ISNA(MATCH(B68,ListaPuestos,0))),"Área no válida"&amp;" · ","")&amp;IF(C68="","Macroactividad vacía"&amp;" · ","")&amp;IF(D68="","Sin responsable"&amp;" · ","")&amp;IF(E68="","Sin fecha de inicio"&amp;" · ","")&amp;IF(F68="","Sin fecha límite"&amp;" · ","")&amp;IF(OR(AND(E68&lt;&gt;"",NOT(ISNUMBER(E68))),AND(F68&lt;&gt;"",NOT(ISNUMBER(F68)))),"Fecha no válida"&amp;" · ","")&amp;IF(AND(ISNUMBER(E68),ISNUMBER(F68),E68&gt;F68),"Inicio posterior a fecha límite"&amp;" · ","")&amp;IF(G68="","Peso vacío"&amp;" · ","")&amp;IF(AND(G68&lt;&gt;"",OR(NOT(ISNUMBER(G68)),G68&lt;=0,G68&gt;1)),"Peso fuera de rango"&amp;" · ","")&amp;IF(AND(B68&lt;&gt;"",ABS(SUMIFS($G$5:$G$1000,$B$5:$B$1000,B68)-1)&gt;0.0001),"Pesos del puesto suman "&amp;TEXT(SUMIFS($G$5:$G$1000,$B$5:$B$1000,B68),"0%")&amp;" · ","")&amp;IF((COUNTIF(H68:K68,"&gt;1")+COUNTIF(H68:K68,"&lt;0")+COUNTA(H68:K68)-COUNT(H68:K68))&gt;0,"Avance fuera de rango 0-100%"&amp;" · ","")&amp;IF(OR(AND(I68&lt;&gt;"",I68&lt;H68),AND(J68&lt;&gt;"",J68&lt;MAX(H68:I68)),AND(K68&lt;&gt;"",K68&lt;MAX(H68:J68))),"Avance semanal decreciente"&amp;" · ","")&amp;IF(AND(ISNUMBER(F68),F68&lt;FechaRef,N(L68)&lt;1),"Vencida"&amp;" · ","")&amp;IF(AND(EvidenciaObligatoria="Sí",N(L68)&gt;=1,O68=""),"Completada sin evidencia"&amp;" · ",""))="","✔ OK","⚠ "&amp;LEFT(IF(A68="","Falta ID"&amp;" · ","")&amp;IF(AND(A68&lt;&gt;"",COUNTIF($A$5:$A$1000,A68)&gt;1),"ID duplicado"&amp;" · ","")&amp;IF(B68="","Área sin seleccionar"&amp;" · ","")&amp;IF(AND(B68&lt;&gt;"",ISNA(MATCH(B68,ListaPuestos,0))),"Área no válida"&amp;" · ","")&amp;IF(C68="","Macroactividad vacía"&amp;" · ","")&amp;IF(D68="","Sin responsable"&amp;" · ","")&amp;IF(E68="","Sin fecha de inicio"&amp;" · ","")&amp;IF(F68="","Sin fecha límite"&amp;" · ","")&amp;IF(OR(AND(E68&lt;&gt;"",NOT(ISNUMBER(E68))),AND(F68&lt;&gt;"",NOT(ISNUMBER(F68)))),"Fecha no válida"&amp;" · ","")&amp;IF(AND(ISNUMBER(E68),ISNUMBER(F68),E68&gt;F68),"Inicio posterior a fecha límite"&amp;" · ","")&amp;IF(G68="","Peso vacío"&amp;" · ","")&amp;IF(AND(G68&lt;&gt;"",OR(NOT(ISNUMBER(G68)),G68&lt;=0,G68&gt;1)),"Peso fuera de rango"&amp;" · ","")&amp;IF(AND(B68&lt;&gt;"",ABS(SUMIFS($G$5:$G$1000,$B$5:$B$1000,B68)-1)&gt;0.0001),"Pesos del puesto suman "&amp;TEXT(SUMIFS($G$5:$G$1000,$B$5:$B$1000,B68),"0%")&amp;" · ","")&amp;IF((COUNTIF(H68:K68,"&gt;1")+COUNTIF(H68:K68,"&lt;0")+COUNTA(H68:K68)-COUNT(H68:K68))&gt;0,"Avance fuera de rango 0-100%"&amp;" · ","")&amp;IF(OR(AND(I68&lt;&gt;"",I68&lt;H68),AND(J68&lt;&gt;"",J68&lt;MAX(H68:I68)),AND(K68&lt;&gt;"",K68&lt;MAX(H68:J68))),"Avance semanal decreciente"&amp;" · ","")&amp;IF(AND(ISNUMBER(F68),F68&lt;FechaRef,N(L68)&lt;1),"Vencida"&amp;" · ","")&amp;IF(AND(EvidenciaObligatoria="Sí",N(L68)&gt;=1,O68=""),"Completada sin evidencia"&amp;" · ",""),LEN(IF(A68="","Falta ID"&amp;" · ","")&amp;IF(AND(A68&lt;&gt;"",COUNTIF($A$5:$A$1000,A68)&gt;1),"ID duplicado"&amp;" · ","")&amp;IF(B68="","Área sin seleccionar"&amp;" · ","")&amp;IF(AND(B68&lt;&gt;"",ISNA(MATCH(B68,ListaPuestos,0))),"Área no válida"&amp;" · ","")&amp;IF(C68="","Macroactividad vacía"&amp;" · ","")&amp;IF(D68="","Sin responsable"&amp;" · ","")&amp;IF(E68="","Sin fecha de inicio"&amp;" · ","")&amp;IF(F68="","Sin fecha límite"&amp;" · ","")&amp;IF(OR(AND(E68&lt;&gt;"",NOT(ISNUMBER(E68))),AND(F68&lt;&gt;"",NOT(ISNUMBER(F68)))),"Fecha no válida"&amp;" · ","")&amp;IF(AND(ISNUMBER(E68),ISNUMBER(F68),E68&gt;F68),"Inicio posterior a fecha límite"&amp;" · ","")&amp;IF(G68="","Peso vacío"&amp;" · ","")&amp;IF(AND(G68&lt;&gt;"",OR(NOT(ISNUMBER(G68)),G68&lt;=0,G68&gt;1)),"Peso fuera de rango"&amp;" · ","")&amp;IF(AND(B68&lt;&gt;"",ABS(SUMIFS($G$5:$G$1000,$B$5:$B$1000,B68)-1)&gt;0.0001),"Pesos del puesto suman "&amp;TEXT(SUMIFS($G$5:$G$1000,$B$5:$B$1000,B68),"0%")&amp;" · ","")&amp;IF((COUNTIF(H68:K68,"&gt;1")+COUNTIF(H68:K68,"&lt;0")+COUNTA(H68:K68)-COUNT(H68:K68))&gt;0,"Avance fuera de rango 0-100%"&amp;" · ","")&amp;IF(OR(AND(I68&lt;&gt;"",I68&lt;H68),AND(J68&lt;&gt;"",J68&lt;MAX(H68:I68)),AND(K68&lt;&gt;"",K68&lt;MAX(H68:J68))),"Avance semanal decreciente"&amp;" · ","")&amp;IF(AND(ISNUMBER(F68),F68&lt;FechaRef,N(L68)&lt;1),"Vencida"&amp;" · ","")&amp;IF(AND(EvidenciaObligatoria="Sí",N(L68)&gt;=1,O68=""),"Completada sin evidencia"&amp;" · ",""))-3)))</f>
        <v/>
      </c>
    </row>
    <row r="69">
      <c r="A69" s="46" t="n"/>
      <c r="B69" s="47" t="n"/>
      <c r="C69" s="47" t="n"/>
      <c r="D69" s="47" t="n"/>
      <c r="E69" s="48" t="n"/>
      <c r="F69" s="48" t="n"/>
      <c r="G69" s="49" t="n"/>
      <c r="H69" s="50" t="n"/>
      <c r="I69" s="50" t="n"/>
      <c r="J69" s="50" t="n"/>
      <c r="K69" s="50" t="n"/>
      <c r="L69" s="51">
        <f>IF(NOT((COUNTA($A69:$K69)+COUNTA($N69:$O69))&gt;0),"",IFERROR(LOOKUP(2,1/(H69:K69&lt;&gt;""),H69:K69),0))</f>
        <v/>
      </c>
      <c r="M69" s="52">
        <f>IF(L69="","",IF(L69&gt;=1,"Completado",IF(L69&gt;0,"En curso","Pendiente")))</f>
        <v/>
      </c>
      <c r="N69" s="48" t="n"/>
      <c r="O69" s="47" t="n"/>
      <c r="P69" s="53">
        <f>IF(NOT((COUNTA($A69:$K69)+COUNTA($N69:$O69))&gt;0),"",IF((IF(A69="","Falta ID"&amp;" · ","")&amp;IF(AND(A69&lt;&gt;"",COUNTIF($A$5:$A$1000,A69)&gt;1),"ID duplicado"&amp;" · ","")&amp;IF(B69="","Área sin seleccionar"&amp;" · ","")&amp;IF(AND(B69&lt;&gt;"",ISNA(MATCH(B69,ListaPuestos,0))),"Área no válida"&amp;" · ","")&amp;IF(C69="","Macroactividad vacía"&amp;" · ","")&amp;IF(D69="","Sin responsable"&amp;" · ","")&amp;IF(E69="","Sin fecha de inicio"&amp;" · ","")&amp;IF(F69="","Sin fecha límite"&amp;" · ","")&amp;IF(OR(AND(E69&lt;&gt;"",NOT(ISNUMBER(E69))),AND(F69&lt;&gt;"",NOT(ISNUMBER(F69)))),"Fecha no válida"&amp;" · ","")&amp;IF(AND(ISNUMBER(E69),ISNUMBER(F69),E69&gt;F69),"Inicio posterior a fecha límite"&amp;" · ","")&amp;IF(G69="","Peso vacío"&amp;" · ","")&amp;IF(AND(G69&lt;&gt;"",OR(NOT(ISNUMBER(G69)),G69&lt;=0,G69&gt;1)),"Peso fuera de rango"&amp;" · ","")&amp;IF(AND(B69&lt;&gt;"",ABS(SUMIFS($G$5:$G$1000,$B$5:$B$1000,B69)-1)&gt;0.0001),"Pesos del puesto suman "&amp;TEXT(SUMIFS($G$5:$G$1000,$B$5:$B$1000,B69),"0%")&amp;" · ","")&amp;IF((COUNTIF(H69:K69,"&gt;1")+COUNTIF(H69:K69,"&lt;0")+COUNTA(H69:K69)-COUNT(H69:K69))&gt;0,"Avance fuera de rango 0-100%"&amp;" · ","")&amp;IF(OR(AND(I69&lt;&gt;"",I69&lt;H69),AND(J69&lt;&gt;"",J69&lt;MAX(H69:I69)),AND(K69&lt;&gt;"",K69&lt;MAX(H69:J69))),"Avance semanal decreciente"&amp;" · ","")&amp;IF(AND(ISNUMBER(F69),F69&lt;FechaRef,N(L69)&lt;1),"Vencida"&amp;" · ","")&amp;IF(AND(EvidenciaObligatoria="Sí",N(L69)&gt;=1,O69=""),"Completada sin evidencia"&amp;" · ",""))="","✔ OK","⚠ "&amp;LEFT(IF(A69="","Falta ID"&amp;" · ","")&amp;IF(AND(A69&lt;&gt;"",COUNTIF($A$5:$A$1000,A69)&gt;1),"ID duplicado"&amp;" · ","")&amp;IF(B69="","Área sin seleccionar"&amp;" · ","")&amp;IF(AND(B69&lt;&gt;"",ISNA(MATCH(B69,ListaPuestos,0))),"Área no válida"&amp;" · ","")&amp;IF(C69="","Macroactividad vacía"&amp;" · ","")&amp;IF(D69="","Sin responsable"&amp;" · ","")&amp;IF(E69="","Sin fecha de inicio"&amp;" · ","")&amp;IF(F69="","Sin fecha límite"&amp;" · ","")&amp;IF(OR(AND(E69&lt;&gt;"",NOT(ISNUMBER(E69))),AND(F69&lt;&gt;"",NOT(ISNUMBER(F69)))),"Fecha no válida"&amp;" · ","")&amp;IF(AND(ISNUMBER(E69),ISNUMBER(F69),E69&gt;F69),"Inicio posterior a fecha límite"&amp;" · ","")&amp;IF(G69="","Peso vacío"&amp;" · ","")&amp;IF(AND(G69&lt;&gt;"",OR(NOT(ISNUMBER(G69)),G69&lt;=0,G69&gt;1)),"Peso fuera de rango"&amp;" · ","")&amp;IF(AND(B69&lt;&gt;"",ABS(SUMIFS($G$5:$G$1000,$B$5:$B$1000,B69)-1)&gt;0.0001),"Pesos del puesto suman "&amp;TEXT(SUMIFS($G$5:$G$1000,$B$5:$B$1000,B69),"0%")&amp;" · ","")&amp;IF((COUNTIF(H69:K69,"&gt;1")+COUNTIF(H69:K69,"&lt;0")+COUNTA(H69:K69)-COUNT(H69:K69))&gt;0,"Avance fuera de rango 0-100%"&amp;" · ","")&amp;IF(OR(AND(I69&lt;&gt;"",I69&lt;H69),AND(J69&lt;&gt;"",J69&lt;MAX(H69:I69)),AND(K69&lt;&gt;"",K69&lt;MAX(H69:J69))),"Avance semanal decreciente"&amp;" · ","")&amp;IF(AND(ISNUMBER(F69),F69&lt;FechaRef,N(L69)&lt;1),"Vencida"&amp;" · ","")&amp;IF(AND(EvidenciaObligatoria="Sí",N(L69)&gt;=1,O69=""),"Completada sin evidencia"&amp;" · ",""),LEN(IF(A69="","Falta ID"&amp;" · ","")&amp;IF(AND(A69&lt;&gt;"",COUNTIF($A$5:$A$1000,A69)&gt;1),"ID duplicado"&amp;" · ","")&amp;IF(B69="","Área sin seleccionar"&amp;" · ","")&amp;IF(AND(B69&lt;&gt;"",ISNA(MATCH(B69,ListaPuestos,0))),"Área no válida"&amp;" · ","")&amp;IF(C69="","Macroactividad vacía"&amp;" · ","")&amp;IF(D69="","Sin responsable"&amp;" · ","")&amp;IF(E69="","Sin fecha de inicio"&amp;" · ","")&amp;IF(F69="","Sin fecha límite"&amp;" · ","")&amp;IF(OR(AND(E69&lt;&gt;"",NOT(ISNUMBER(E69))),AND(F69&lt;&gt;"",NOT(ISNUMBER(F69)))),"Fecha no válida"&amp;" · ","")&amp;IF(AND(ISNUMBER(E69),ISNUMBER(F69),E69&gt;F69),"Inicio posterior a fecha límite"&amp;" · ","")&amp;IF(G69="","Peso vacío"&amp;" · ","")&amp;IF(AND(G69&lt;&gt;"",OR(NOT(ISNUMBER(G69)),G69&lt;=0,G69&gt;1)),"Peso fuera de rango"&amp;" · ","")&amp;IF(AND(B69&lt;&gt;"",ABS(SUMIFS($G$5:$G$1000,$B$5:$B$1000,B69)-1)&gt;0.0001),"Pesos del puesto suman "&amp;TEXT(SUMIFS($G$5:$G$1000,$B$5:$B$1000,B69),"0%")&amp;" · ","")&amp;IF((COUNTIF(H69:K69,"&gt;1")+COUNTIF(H69:K69,"&lt;0")+COUNTA(H69:K69)-COUNT(H69:K69))&gt;0,"Avance fuera de rango 0-100%"&amp;" · ","")&amp;IF(OR(AND(I69&lt;&gt;"",I69&lt;H69),AND(J69&lt;&gt;"",J69&lt;MAX(H69:I69)),AND(K69&lt;&gt;"",K69&lt;MAX(H69:J69))),"Avance semanal decreciente"&amp;" · ","")&amp;IF(AND(ISNUMBER(F69),F69&lt;FechaRef,N(L69)&lt;1),"Vencida"&amp;" · ","")&amp;IF(AND(EvidenciaObligatoria="Sí",N(L69)&gt;=1,O69=""),"Completada sin evidencia"&amp;" · ",""))-3)))</f>
        <v/>
      </c>
    </row>
    <row r="70">
      <c r="A70" s="46" t="n"/>
      <c r="B70" s="47" t="n"/>
      <c r="C70" s="47" t="n"/>
      <c r="D70" s="47" t="n"/>
      <c r="E70" s="48" t="n"/>
      <c r="F70" s="48" t="n"/>
      <c r="G70" s="49" t="n"/>
      <c r="H70" s="50" t="n"/>
      <c r="I70" s="50" t="n"/>
      <c r="J70" s="50" t="n"/>
      <c r="K70" s="50" t="n"/>
      <c r="L70" s="51">
        <f>IF(NOT((COUNTA($A70:$K70)+COUNTA($N70:$O70))&gt;0),"",IFERROR(LOOKUP(2,1/(H70:K70&lt;&gt;""),H70:K70),0))</f>
        <v/>
      </c>
      <c r="M70" s="52">
        <f>IF(L70="","",IF(L70&gt;=1,"Completado",IF(L70&gt;0,"En curso","Pendiente")))</f>
        <v/>
      </c>
      <c r="N70" s="48" t="n"/>
      <c r="O70" s="47" t="n"/>
      <c r="P70" s="53">
        <f>IF(NOT((COUNTA($A70:$K70)+COUNTA($N70:$O70))&gt;0),"",IF((IF(A70="","Falta ID"&amp;" · ","")&amp;IF(AND(A70&lt;&gt;"",COUNTIF($A$5:$A$1000,A70)&gt;1),"ID duplicado"&amp;" · ","")&amp;IF(B70="","Área sin seleccionar"&amp;" · ","")&amp;IF(AND(B70&lt;&gt;"",ISNA(MATCH(B70,ListaPuestos,0))),"Área no válida"&amp;" · ","")&amp;IF(C70="","Macroactividad vacía"&amp;" · ","")&amp;IF(D70="","Sin responsable"&amp;" · ","")&amp;IF(E70="","Sin fecha de inicio"&amp;" · ","")&amp;IF(F70="","Sin fecha límite"&amp;" · ","")&amp;IF(OR(AND(E70&lt;&gt;"",NOT(ISNUMBER(E70))),AND(F70&lt;&gt;"",NOT(ISNUMBER(F70)))),"Fecha no válida"&amp;" · ","")&amp;IF(AND(ISNUMBER(E70),ISNUMBER(F70),E70&gt;F70),"Inicio posterior a fecha límite"&amp;" · ","")&amp;IF(G70="","Peso vacío"&amp;" · ","")&amp;IF(AND(G70&lt;&gt;"",OR(NOT(ISNUMBER(G70)),G70&lt;=0,G70&gt;1)),"Peso fuera de rango"&amp;" · ","")&amp;IF(AND(B70&lt;&gt;"",ABS(SUMIFS($G$5:$G$1000,$B$5:$B$1000,B70)-1)&gt;0.0001),"Pesos del puesto suman "&amp;TEXT(SUMIFS($G$5:$G$1000,$B$5:$B$1000,B70),"0%")&amp;" · ","")&amp;IF((COUNTIF(H70:K70,"&gt;1")+COUNTIF(H70:K70,"&lt;0")+COUNTA(H70:K70)-COUNT(H70:K70))&gt;0,"Avance fuera de rango 0-100%"&amp;" · ","")&amp;IF(OR(AND(I70&lt;&gt;"",I70&lt;H70),AND(J70&lt;&gt;"",J70&lt;MAX(H70:I70)),AND(K70&lt;&gt;"",K70&lt;MAX(H70:J70))),"Avance semanal decreciente"&amp;" · ","")&amp;IF(AND(ISNUMBER(F70),F70&lt;FechaRef,N(L70)&lt;1),"Vencida"&amp;" · ","")&amp;IF(AND(EvidenciaObligatoria="Sí",N(L70)&gt;=1,O70=""),"Completada sin evidencia"&amp;" · ",""))="","✔ OK","⚠ "&amp;LEFT(IF(A70="","Falta ID"&amp;" · ","")&amp;IF(AND(A70&lt;&gt;"",COUNTIF($A$5:$A$1000,A70)&gt;1),"ID duplicado"&amp;" · ","")&amp;IF(B70="","Área sin seleccionar"&amp;" · ","")&amp;IF(AND(B70&lt;&gt;"",ISNA(MATCH(B70,ListaPuestos,0))),"Área no válida"&amp;" · ","")&amp;IF(C70="","Macroactividad vacía"&amp;" · ","")&amp;IF(D70="","Sin responsable"&amp;" · ","")&amp;IF(E70="","Sin fecha de inicio"&amp;" · ","")&amp;IF(F70="","Sin fecha límite"&amp;" · ","")&amp;IF(OR(AND(E70&lt;&gt;"",NOT(ISNUMBER(E70))),AND(F70&lt;&gt;"",NOT(ISNUMBER(F70)))),"Fecha no válida"&amp;" · ","")&amp;IF(AND(ISNUMBER(E70),ISNUMBER(F70),E70&gt;F70),"Inicio posterior a fecha límite"&amp;" · ","")&amp;IF(G70="","Peso vacío"&amp;" · ","")&amp;IF(AND(G70&lt;&gt;"",OR(NOT(ISNUMBER(G70)),G70&lt;=0,G70&gt;1)),"Peso fuera de rango"&amp;" · ","")&amp;IF(AND(B70&lt;&gt;"",ABS(SUMIFS($G$5:$G$1000,$B$5:$B$1000,B70)-1)&gt;0.0001),"Pesos del puesto suman "&amp;TEXT(SUMIFS($G$5:$G$1000,$B$5:$B$1000,B70),"0%")&amp;" · ","")&amp;IF((COUNTIF(H70:K70,"&gt;1")+COUNTIF(H70:K70,"&lt;0")+COUNTA(H70:K70)-COUNT(H70:K70))&gt;0,"Avance fuera de rango 0-100%"&amp;" · ","")&amp;IF(OR(AND(I70&lt;&gt;"",I70&lt;H70),AND(J70&lt;&gt;"",J70&lt;MAX(H70:I70)),AND(K70&lt;&gt;"",K70&lt;MAX(H70:J70))),"Avance semanal decreciente"&amp;" · ","")&amp;IF(AND(ISNUMBER(F70),F70&lt;FechaRef,N(L70)&lt;1),"Vencida"&amp;" · ","")&amp;IF(AND(EvidenciaObligatoria="Sí",N(L70)&gt;=1,O70=""),"Completada sin evidencia"&amp;" · ",""),LEN(IF(A70="","Falta ID"&amp;" · ","")&amp;IF(AND(A70&lt;&gt;"",COUNTIF($A$5:$A$1000,A70)&gt;1),"ID duplicado"&amp;" · ","")&amp;IF(B70="","Área sin seleccionar"&amp;" · ","")&amp;IF(AND(B70&lt;&gt;"",ISNA(MATCH(B70,ListaPuestos,0))),"Área no válida"&amp;" · ","")&amp;IF(C70="","Macroactividad vacía"&amp;" · ","")&amp;IF(D70="","Sin responsable"&amp;" · ","")&amp;IF(E70="","Sin fecha de inicio"&amp;" · ","")&amp;IF(F70="","Sin fecha límite"&amp;" · ","")&amp;IF(OR(AND(E70&lt;&gt;"",NOT(ISNUMBER(E70))),AND(F70&lt;&gt;"",NOT(ISNUMBER(F70)))),"Fecha no válida"&amp;" · ","")&amp;IF(AND(ISNUMBER(E70),ISNUMBER(F70),E70&gt;F70),"Inicio posterior a fecha límite"&amp;" · ","")&amp;IF(G70="","Peso vacío"&amp;" · ","")&amp;IF(AND(G70&lt;&gt;"",OR(NOT(ISNUMBER(G70)),G70&lt;=0,G70&gt;1)),"Peso fuera de rango"&amp;" · ","")&amp;IF(AND(B70&lt;&gt;"",ABS(SUMIFS($G$5:$G$1000,$B$5:$B$1000,B70)-1)&gt;0.0001),"Pesos del puesto suman "&amp;TEXT(SUMIFS($G$5:$G$1000,$B$5:$B$1000,B70),"0%")&amp;" · ","")&amp;IF((COUNTIF(H70:K70,"&gt;1")+COUNTIF(H70:K70,"&lt;0")+COUNTA(H70:K70)-COUNT(H70:K70))&gt;0,"Avance fuera de rango 0-100%"&amp;" · ","")&amp;IF(OR(AND(I70&lt;&gt;"",I70&lt;H70),AND(J70&lt;&gt;"",J70&lt;MAX(H70:I70)),AND(K70&lt;&gt;"",K70&lt;MAX(H70:J70))),"Avance semanal decreciente"&amp;" · ","")&amp;IF(AND(ISNUMBER(F70),F70&lt;FechaRef,N(L70)&lt;1),"Vencida"&amp;" · ","")&amp;IF(AND(EvidenciaObligatoria="Sí",N(L70)&gt;=1,O70=""),"Completada sin evidencia"&amp;" · ",""))-3)))</f>
        <v/>
      </c>
    </row>
    <row r="71">
      <c r="A71" s="46" t="n"/>
      <c r="B71" s="47" t="n"/>
      <c r="C71" s="47" t="n"/>
      <c r="D71" s="47" t="n"/>
      <c r="E71" s="48" t="n"/>
      <c r="F71" s="48" t="n"/>
      <c r="G71" s="49" t="n"/>
      <c r="H71" s="50" t="n"/>
      <c r="I71" s="50" t="n"/>
      <c r="J71" s="50" t="n"/>
      <c r="K71" s="50" t="n"/>
      <c r="L71" s="51">
        <f>IF(NOT((COUNTA($A71:$K71)+COUNTA($N71:$O71))&gt;0),"",IFERROR(LOOKUP(2,1/(H71:K71&lt;&gt;""),H71:K71),0))</f>
        <v/>
      </c>
      <c r="M71" s="52">
        <f>IF(L71="","",IF(L71&gt;=1,"Completado",IF(L71&gt;0,"En curso","Pendiente")))</f>
        <v/>
      </c>
      <c r="N71" s="48" t="n"/>
      <c r="O71" s="47" t="n"/>
      <c r="P71" s="53">
        <f>IF(NOT((COUNTA($A71:$K71)+COUNTA($N71:$O71))&gt;0),"",IF((IF(A71="","Falta ID"&amp;" · ","")&amp;IF(AND(A71&lt;&gt;"",COUNTIF($A$5:$A$1000,A71)&gt;1),"ID duplicado"&amp;" · ","")&amp;IF(B71="","Área sin seleccionar"&amp;" · ","")&amp;IF(AND(B71&lt;&gt;"",ISNA(MATCH(B71,ListaPuestos,0))),"Área no válida"&amp;" · ","")&amp;IF(C71="","Macroactividad vacía"&amp;" · ","")&amp;IF(D71="","Sin responsable"&amp;" · ","")&amp;IF(E71="","Sin fecha de inicio"&amp;" · ","")&amp;IF(F71="","Sin fecha límite"&amp;" · ","")&amp;IF(OR(AND(E71&lt;&gt;"",NOT(ISNUMBER(E71))),AND(F71&lt;&gt;"",NOT(ISNUMBER(F71)))),"Fecha no válida"&amp;" · ","")&amp;IF(AND(ISNUMBER(E71),ISNUMBER(F71),E71&gt;F71),"Inicio posterior a fecha límite"&amp;" · ","")&amp;IF(G71="","Peso vacío"&amp;" · ","")&amp;IF(AND(G71&lt;&gt;"",OR(NOT(ISNUMBER(G71)),G71&lt;=0,G71&gt;1)),"Peso fuera de rango"&amp;" · ","")&amp;IF(AND(B71&lt;&gt;"",ABS(SUMIFS($G$5:$G$1000,$B$5:$B$1000,B71)-1)&gt;0.0001),"Pesos del puesto suman "&amp;TEXT(SUMIFS($G$5:$G$1000,$B$5:$B$1000,B71),"0%")&amp;" · ","")&amp;IF((COUNTIF(H71:K71,"&gt;1")+COUNTIF(H71:K71,"&lt;0")+COUNTA(H71:K71)-COUNT(H71:K71))&gt;0,"Avance fuera de rango 0-100%"&amp;" · ","")&amp;IF(OR(AND(I71&lt;&gt;"",I71&lt;H71),AND(J71&lt;&gt;"",J71&lt;MAX(H71:I71)),AND(K71&lt;&gt;"",K71&lt;MAX(H71:J71))),"Avance semanal decreciente"&amp;" · ","")&amp;IF(AND(ISNUMBER(F71),F71&lt;FechaRef,N(L71)&lt;1),"Vencida"&amp;" · ","")&amp;IF(AND(EvidenciaObligatoria="Sí",N(L71)&gt;=1,O71=""),"Completada sin evidencia"&amp;" · ",""))="","✔ OK","⚠ "&amp;LEFT(IF(A71="","Falta ID"&amp;" · ","")&amp;IF(AND(A71&lt;&gt;"",COUNTIF($A$5:$A$1000,A71)&gt;1),"ID duplicado"&amp;" · ","")&amp;IF(B71="","Área sin seleccionar"&amp;" · ","")&amp;IF(AND(B71&lt;&gt;"",ISNA(MATCH(B71,ListaPuestos,0))),"Área no válida"&amp;" · ","")&amp;IF(C71="","Macroactividad vacía"&amp;" · ","")&amp;IF(D71="","Sin responsable"&amp;" · ","")&amp;IF(E71="","Sin fecha de inicio"&amp;" · ","")&amp;IF(F71="","Sin fecha límite"&amp;" · ","")&amp;IF(OR(AND(E71&lt;&gt;"",NOT(ISNUMBER(E71))),AND(F71&lt;&gt;"",NOT(ISNUMBER(F71)))),"Fecha no válida"&amp;" · ","")&amp;IF(AND(ISNUMBER(E71),ISNUMBER(F71),E71&gt;F71),"Inicio posterior a fecha límite"&amp;" · ","")&amp;IF(G71="","Peso vacío"&amp;" · ","")&amp;IF(AND(G71&lt;&gt;"",OR(NOT(ISNUMBER(G71)),G71&lt;=0,G71&gt;1)),"Peso fuera de rango"&amp;" · ","")&amp;IF(AND(B71&lt;&gt;"",ABS(SUMIFS($G$5:$G$1000,$B$5:$B$1000,B71)-1)&gt;0.0001),"Pesos del puesto suman "&amp;TEXT(SUMIFS($G$5:$G$1000,$B$5:$B$1000,B71),"0%")&amp;" · ","")&amp;IF((COUNTIF(H71:K71,"&gt;1")+COUNTIF(H71:K71,"&lt;0")+COUNTA(H71:K71)-COUNT(H71:K71))&gt;0,"Avance fuera de rango 0-100%"&amp;" · ","")&amp;IF(OR(AND(I71&lt;&gt;"",I71&lt;H71),AND(J71&lt;&gt;"",J71&lt;MAX(H71:I71)),AND(K71&lt;&gt;"",K71&lt;MAX(H71:J71))),"Avance semanal decreciente"&amp;" · ","")&amp;IF(AND(ISNUMBER(F71),F71&lt;FechaRef,N(L71)&lt;1),"Vencida"&amp;" · ","")&amp;IF(AND(EvidenciaObligatoria="Sí",N(L71)&gt;=1,O71=""),"Completada sin evidencia"&amp;" · ",""),LEN(IF(A71="","Falta ID"&amp;" · ","")&amp;IF(AND(A71&lt;&gt;"",COUNTIF($A$5:$A$1000,A71)&gt;1),"ID duplicado"&amp;" · ","")&amp;IF(B71="","Área sin seleccionar"&amp;" · ","")&amp;IF(AND(B71&lt;&gt;"",ISNA(MATCH(B71,ListaPuestos,0))),"Área no válida"&amp;" · ","")&amp;IF(C71="","Macroactividad vacía"&amp;" · ","")&amp;IF(D71="","Sin responsable"&amp;" · ","")&amp;IF(E71="","Sin fecha de inicio"&amp;" · ","")&amp;IF(F71="","Sin fecha límite"&amp;" · ","")&amp;IF(OR(AND(E71&lt;&gt;"",NOT(ISNUMBER(E71))),AND(F71&lt;&gt;"",NOT(ISNUMBER(F71)))),"Fecha no válida"&amp;" · ","")&amp;IF(AND(ISNUMBER(E71),ISNUMBER(F71),E71&gt;F71),"Inicio posterior a fecha límite"&amp;" · ","")&amp;IF(G71="","Peso vacío"&amp;" · ","")&amp;IF(AND(G71&lt;&gt;"",OR(NOT(ISNUMBER(G71)),G71&lt;=0,G71&gt;1)),"Peso fuera de rango"&amp;" · ","")&amp;IF(AND(B71&lt;&gt;"",ABS(SUMIFS($G$5:$G$1000,$B$5:$B$1000,B71)-1)&gt;0.0001),"Pesos del puesto suman "&amp;TEXT(SUMIFS($G$5:$G$1000,$B$5:$B$1000,B71),"0%")&amp;" · ","")&amp;IF((COUNTIF(H71:K71,"&gt;1")+COUNTIF(H71:K71,"&lt;0")+COUNTA(H71:K71)-COUNT(H71:K71))&gt;0,"Avance fuera de rango 0-100%"&amp;" · ","")&amp;IF(OR(AND(I71&lt;&gt;"",I71&lt;H71),AND(J71&lt;&gt;"",J71&lt;MAX(H71:I71)),AND(K71&lt;&gt;"",K71&lt;MAX(H71:J71))),"Avance semanal decreciente"&amp;" · ","")&amp;IF(AND(ISNUMBER(F71),F71&lt;FechaRef,N(L71)&lt;1),"Vencida"&amp;" · ","")&amp;IF(AND(EvidenciaObligatoria="Sí",N(L71)&gt;=1,O71=""),"Completada sin evidencia"&amp;" · ",""))-3)))</f>
        <v/>
      </c>
    </row>
    <row r="72">
      <c r="A72" s="46" t="n"/>
      <c r="B72" s="47" t="n"/>
      <c r="C72" s="47" t="n"/>
      <c r="D72" s="47" t="n"/>
      <c r="E72" s="48" t="n"/>
      <c r="F72" s="48" t="n"/>
      <c r="G72" s="49" t="n"/>
      <c r="H72" s="50" t="n"/>
      <c r="I72" s="50" t="n"/>
      <c r="J72" s="50" t="n"/>
      <c r="K72" s="50" t="n"/>
      <c r="L72" s="51">
        <f>IF(NOT((COUNTA($A72:$K72)+COUNTA($N72:$O72))&gt;0),"",IFERROR(LOOKUP(2,1/(H72:K72&lt;&gt;""),H72:K72),0))</f>
        <v/>
      </c>
      <c r="M72" s="52">
        <f>IF(L72="","",IF(L72&gt;=1,"Completado",IF(L72&gt;0,"En curso","Pendiente")))</f>
        <v/>
      </c>
      <c r="N72" s="48" t="n"/>
      <c r="O72" s="47" t="n"/>
      <c r="P72" s="53">
        <f>IF(NOT((COUNTA($A72:$K72)+COUNTA($N72:$O72))&gt;0),"",IF((IF(A72="","Falta ID"&amp;" · ","")&amp;IF(AND(A72&lt;&gt;"",COUNTIF($A$5:$A$1000,A72)&gt;1),"ID duplicado"&amp;" · ","")&amp;IF(B72="","Área sin seleccionar"&amp;" · ","")&amp;IF(AND(B72&lt;&gt;"",ISNA(MATCH(B72,ListaPuestos,0))),"Área no válida"&amp;" · ","")&amp;IF(C72="","Macroactividad vacía"&amp;" · ","")&amp;IF(D72="","Sin responsable"&amp;" · ","")&amp;IF(E72="","Sin fecha de inicio"&amp;" · ","")&amp;IF(F72="","Sin fecha límite"&amp;" · ","")&amp;IF(OR(AND(E72&lt;&gt;"",NOT(ISNUMBER(E72))),AND(F72&lt;&gt;"",NOT(ISNUMBER(F72)))),"Fecha no válida"&amp;" · ","")&amp;IF(AND(ISNUMBER(E72),ISNUMBER(F72),E72&gt;F72),"Inicio posterior a fecha límite"&amp;" · ","")&amp;IF(G72="","Peso vacío"&amp;" · ","")&amp;IF(AND(G72&lt;&gt;"",OR(NOT(ISNUMBER(G72)),G72&lt;=0,G72&gt;1)),"Peso fuera de rango"&amp;" · ","")&amp;IF(AND(B72&lt;&gt;"",ABS(SUMIFS($G$5:$G$1000,$B$5:$B$1000,B72)-1)&gt;0.0001),"Pesos del puesto suman "&amp;TEXT(SUMIFS($G$5:$G$1000,$B$5:$B$1000,B72),"0%")&amp;" · ","")&amp;IF((COUNTIF(H72:K72,"&gt;1")+COUNTIF(H72:K72,"&lt;0")+COUNTA(H72:K72)-COUNT(H72:K72))&gt;0,"Avance fuera de rango 0-100%"&amp;" · ","")&amp;IF(OR(AND(I72&lt;&gt;"",I72&lt;H72),AND(J72&lt;&gt;"",J72&lt;MAX(H72:I72)),AND(K72&lt;&gt;"",K72&lt;MAX(H72:J72))),"Avance semanal decreciente"&amp;" · ","")&amp;IF(AND(ISNUMBER(F72),F72&lt;FechaRef,N(L72)&lt;1),"Vencida"&amp;" · ","")&amp;IF(AND(EvidenciaObligatoria="Sí",N(L72)&gt;=1,O72=""),"Completada sin evidencia"&amp;" · ",""))="","✔ OK","⚠ "&amp;LEFT(IF(A72="","Falta ID"&amp;" · ","")&amp;IF(AND(A72&lt;&gt;"",COUNTIF($A$5:$A$1000,A72)&gt;1),"ID duplicado"&amp;" · ","")&amp;IF(B72="","Área sin seleccionar"&amp;" · ","")&amp;IF(AND(B72&lt;&gt;"",ISNA(MATCH(B72,ListaPuestos,0))),"Área no válida"&amp;" · ","")&amp;IF(C72="","Macroactividad vacía"&amp;" · ","")&amp;IF(D72="","Sin responsable"&amp;" · ","")&amp;IF(E72="","Sin fecha de inicio"&amp;" · ","")&amp;IF(F72="","Sin fecha límite"&amp;" · ","")&amp;IF(OR(AND(E72&lt;&gt;"",NOT(ISNUMBER(E72))),AND(F72&lt;&gt;"",NOT(ISNUMBER(F72)))),"Fecha no válida"&amp;" · ","")&amp;IF(AND(ISNUMBER(E72),ISNUMBER(F72),E72&gt;F72),"Inicio posterior a fecha límite"&amp;" · ","")&amp;IF(G72="","Peso vacío"&amp;" · ","")&amp;IF(AND(G72&lt;&gt;"",OR(NOT(ISNUMBER(G72)),G72&lt;=0,G72&gt;1)),"Peso fuera de rango"&amp;" · ","")&amp;IF(AND(B72&lt;&gt;"",ABS(SUMIFS($G$5:$G$1000,$B$5:$B$1000,B72)-1)&gt;0.0001),"Pesos del puesto suman "&amp;TEXT(SUMIFS($G$5:$G$1000,$B$5:$B$1000,B72),"0%")&amp;" · ","")&amp;IF((COUNTIF(H72:K72,"&gt;1")+COUNTIF(H72:K72,"&lt;0")+COUNTA(H72:K72)-COUNT(H72:K72))&gt;0,"Avance fuera de rango 0-100%"&amp;" · ","")&amp;IF(OR(AND(I72&lt;&gt;"",I72&lt;H72),AND(J72&lt;&gt;"",J72&lt;MAX(H72:I72)),AND(K72&lt;&gt;"",K72&lt;MAX(H72:J72))),"Avance semanal decreciente"&amp;" · ","")&amp;IF(AND(ISNUMBER(F72),F72&lt;FechaRef,N(L72)&lt;1),"Vencida"&amp;" · ","")&amp;IF(AND(EvidenciaObligatoria="Sí",N(L72)&gt;=1,O72=""),"Completada sin evidencia"&amp;" · ",""),LEN(IF(A72="","Falta ID"&amp;" · ","")&amp;IF(AND(A72&lt;&gt;"",COUNTIF($A$5:$A$1000,A72)&gt;1),"ID duplicado"&amp;" · ","")&amp;IF(B72="","Área sin seleccionar"&amp;" · ","")&amp;IF(AND(B72&lt;&gt;"",ISNA(MATCH(B72,ListaPuestos,0))),"Área no válida"&amp;" · ","")&amp;IF(C72="","Macroactividad vacía"&amp;" · ","")&amp;IF(D72="","Sin responsable"&amp;" · ","")&amp;IF(E72="","Sin fecha de inicio"&amp;" · ","")&amp;IF(F72="","Sin fecha límite"&amp;" · ","")&amp;IF(OR(AND(E72&lt;&gt;"",NOT(ISNUMBER(E72))),AND(F72&lt;&gt;"",NOT(ISNUMBER(F72)))),"Fecha no válida"&amp;" · ","")&amp;IF(AND(ISNUMBER(E72),ISNUMBER(F72),E72&gt;F72),"Inicio posterior a fecha límite"&amp;" · ","")&amp;IF(G72="","Peso vacío"&amp;" · ","")&amp;IF(AND(G72&lt;&gt;"",OR(NOT(ISNUMBER(G72)),G72&lt;=0,G72&gt;1)),"Peso fuera de rango"&amp;" · ","")&amp;IF(AND(B72&lt;&gt;"",ABS(SUMIFS($G$5:$G$1000,$B$5:$B$1000,B72)-1)&gt;0.0001),"Pesos del puesto suman "&amp;TEXT(SUMIFS($G$5:$G$1000,$B$5:$B$1000,B72),"0%")&amp;" · ","")&amp;IF((COUNTIF(H72:K72,"&gt;1")+COUNTIF(H72:K72,"&lt;0")+COUNTA(H72:K72)-COUNT(H72:K72))&gt;0,"Avance fuera de rango 0-100%"&amp;" · ","")&amp;IF(OR(AND(I72&lt;&gt;"",I72&lt;H72),AND(J72&lt;&gt;"",J72&lt;MAX(H72:I72)),AND(K72&lt;&gt;"",K72&lt;MAX(H72:J72))),"Avance semanal decreciente"&amp;" · ","")&amp;IF(AND(ISNUMBER(F72),F72&lt;FechaRef,N(L72)&lt;1),"Vencida"&amp;" · ","")&amp;IF(AND(EvidenciaObligatoria="Sí",N(L72)&gt;=1,O72=""),"Completada sin evidencia"&amp;" · ",""))-3)))</f>
        <v/>
      </c>
    </row>
    <row r="73">
      <c r="A73" s="46" t="n"/>
      <c r="B73" s="47" t="n"/>
      <c r="C73" s="47" t="n"/>
      <c r="D73" s="47" t="n"/>
      <c r="E73" s="48" t="n"/>
      <c r="F73" s="48" t="n"/>
      <c r="G73" s="49" t="n"/>
      <c r="H73" s="50" t="n"/>
      <c r="I73" s="50" t="n"/>
      <c r="J73" s="50" t="n"/>
      <c r="K73" s="50" t="n"/>
      <c r="L73" s="51">
        <f>IF(NOT((COUNTA($A73:$K73)+COUNTA($N73:$O73))&gt;0),"",IFERROR(LOOKUP(2,1/(H73:K73&lt;&gt;""),H73:K73),0))</f>
        <v/>
      </c>
      <c r="M73" s="52">
        <f>IF(L73="","",IF(L73&gt;=1,"Completado",IF(L73&gt;0,"En curso","Pendiente")))</f>
        <v/>
      </c>
      <c r="N73" s="48" t="n"/>
      <c r="O73" s="47" t="n"/>
      <c r="P73" s="53">
        <f>IF(NOT((COUNTA($A73:$K73)+COUNTA($N73:$O73))&gt;0),"",IF((IF(A73="","Falta ID"&amp;" · ","")&amp;IF(AND(A73&lt;&gt;"",COUNTIF($A$5:$A$1000,A73)&gt;1),"ID duplicado"&amp;" · ","")&amp;IF(B73="","Área sin seleccionar"&amp;" · ","")&amp;IF(AND(B73&lt;&gt;"",ISNA(MATCH(B73,ListaPuestos,0))),"Área no válida"&amp;" · ","")&amp;IF(C73="","Macroactividad vacía"&amp;" · ","")&amp;IF(D73="","Sin responsable"&amp;" · ","")&amp;IF(E73="","Sin fecha de inicio"&amp;" · ","")&amp;IF(F73="","Sin fecha límite"&amp;" · ","")&amp;IF(OR(AND(E73&lt;&gt;"",NOT(ISNUMBER(E73))),AND(F73&lt;&gt;"",NOT(ISNUMBER(F73)))),"Fecha no válida"&amp;" · ","")&amp;IF(AND(ISNUMBER(E73),ISNUMBER(F73),E73&gt;F73),"Inicio posterior a fecha límite"&amp;" · ","")&amp;IF(G73="","Peso vacío"&amp;" · ","")&amp;IF(AND(G73&lt;&gt;"",OR(NOT(ISNUMBER(G73)),G73&lt;=0,G73&gt;1)),"Peso fuera de rango"&amp;" · ","")&amp;IF(AND(B73&lt;&gt;"",ABS(SUMIFS($G$5:$G$1000,$B$5:$B$1000,B73)-1)&gt;0.0001),"Pesos del puesto suman "&amp;TEXT(SUMIFS($G$5:$G$1000,$B$5:$B$1000,B73),"0%")&amp;" · ","")&amp;IF((COUNTIF(H73:K73,"&gt;1")+COUNTIF(H73:K73,"&lt;0")+COUNTA(H73:K73)-COUNT(H73:K73))&gt;0,"Avance fuera de rango 0-100%"&amp;" · ","")&amp;IF(OR(AND(I73&lt;&gt;"",I73&lt;H73),AND(J73&lt;&gt;"",J73&lt;MAX(H73:I73)),AND(K73&lt;&gt;"",K73&lt;MAX(H73:J73))),"Avance semanal decreciente"&amp;" · ","")&amp;IF(AND(ISNUMBER(F73),F73&lt;FechaRef,N(L73)&lt;1),"Vencida"&amp;" · ","")&amp;IF(AND(EvidenciaObligatoria="Sí",N(L73)&gt;=1,O73=""),"Completada sin evidencia"&amp;" · ",""))="","✔ OK","⚠ "&amp;LEFT(IF(A73="","Falta ID"&amp;" · ","")&amp;IF(AND(A73&lt;&gt;"",COUNTIF($A$5:$A$1000,A73)&gt;1),"ID duplicado"&amp;" · ","")&amp;IF(B73="","Área sin seleccionar"&amp;" · ","")&amp;IF(AND(B73&lt;&gt;"",ISNA(MATCH(B73,ListaPuestos,0))),"Área no válida"&amp;" · ","")&amp;IF(C73="","Macroactividad vacía"&amp;" · ","")&amp;IF(D73="","Sin responsable"&amp;" · ","")&amp;IF(E73="","Sin fecha de inicio"&amp;" · ","")&amp;IF(F73="","Sin fecha límite"&amp;" · ","")&amp;IF(OR(AND(E73&lt;&gt;"",NOT(ISNUMBER(E73))),AND(F73&lt;&gt;"",NOT(ISNUMBER(F73)))),"Fecha no válida"&amp;" · ","")&amp;IF(AND(ISNUMBER(E73),ISNUMBER(F73),E73&gt;F73),"Inicio posterior a fecha límite"&amp;" · ","")&amp;IF(G73="","Peso vacío"&amp;" · ","")&amp;IF(AND(G73&lt;&gt;"",OR(NOT(ISNUMBER(G73)),G73&lt;=0,G73&gt;1)),"Peso fuera de rango"&amp;" · ","")&amp;IF(AND(B73&lt;&gt;"",ABS(SUMIFS($G$5:$G$1000,$B$5:$B$1000,B73)-1)&gt;0.0001),"Pesos del puesto suman "&amp;TEXT(SUMIFS($G$5:$G$1000,$B$5:$B$1000,B73),"0%")&amp;" · ","")&amp;IF((COUNTIF(H73:K73,"&gt;1")+COUNTIF(H73:K73,"&lt;0")+COUNTA(H73:K73)-COUNT(H73:K73))&gt;0,"Avance fuera de rango 0-100%"&amp;" · ","")&amp;IF(OR(AND(I73&lt;&gt;"",I73&lt;H73),AND(J73&lt;&gt;"",J73&lt;MAX(H73:I73)),AND(K73&lt;&gt;"",K73&lt;MAX(H73:J73))),"Avance semanal decreciente"&amp;" · ","")&amp;IF(AND(ISNUMBER(F73),F73&lt;FechaRef,N(L73)&lt;1),"Vencida"&amp;" · ","")&amp;IF(AND(EvidenciaObligatoria="Sí",N(L73)&gt;=1,O73=""),"Completada sin evidencia"&amp;" · ",""),LEN(IF(A73="","Falta ID"&amp;" · ","")&amp;IF(AND(A73&lt;&gt;"",COUNTIF($A$5:$A$1000,A73)&gt;1),"ID duplicado"&amp;" · ","")&amp;IF(B73="","Área sin seleccionar"&amp;" · ","")&amp;IF(AND(B73&lt;&gt;"",ISNA(MATCH(B73,ListaPuestos,0))),"Área no válida"&amp;" · ","")&amp;IF(C73="","Macroactividad vacía"&amp;" · ","")&amp;IF(D73="","Sin responsable"&amp;" · ","")&amp;IF(E73="","Sin fecha de inicio"&amp;" · ","")&amp;IF(F73="","Sin fecha límite"&amp;" · ","")&amp;IF(OR(AND(E73&lt;&gt;"",NOT(ISNUMBER(E73))),AND(F73&lt;&gt;"",NOT(ISNUMBER(F73)))),"Fecha no válida"&amp;" · ","")&amp;IF(AND(ISNUMBER(E73),ISNUMBER(F73),E73&gt;F73),"Inicio posterior a fecha límite"&amp;" · ","")&amp;IF(G73="","Peso vacío"&amp;" · ","")&amp;IF(AND(G73&lt;&gt;"",OR(NOT(ISNUMBER(G73)),G73&lt;=0,G73&gt;1)),"Peso fuera de rango"&amp;" · ","")&amp;IF(AND(B73&lt;&gt;"",ABS(SUMIFS($G$5:$G$1000,$B$5:$B$1000,B73)-1)&gt;0.0001),"Pesos del puesto suman "&amp;TEXT(SUMIFS($G$5:$G$1000,$B$5:$B$1000,B73),"0%")&amp;" · ","")&amp;IF((COUNTIF(H73:K73,"&gt;1")+COUNTIF(H73:K73,"&lt;0")+COUNTA(H73:K73)-COUNT(H73:K73))&gt;0,"Avance fuera de rango 0-100%"&amp;" · ","")&amp;IF(OR(AND(I73&lt;&gt;"",I73&lt;H73),AND(J73&lt;&gt;"",J73&lt;MAX(H73:I73)),AND(K73&lt;&gt;"",K73&lt;MAX(H73:J73))),"Avance semanal decreciente"&amp;" · ","")&amp;IF(AND(ISNUMBER(F73),F73&lt;FechaRef,N(L73)&lt;1),"Vencida"&amp;" · ","")&amp;IF(AND(EvidenciaObligatoria="Sí",N(L73)&gt;=1,O73=""),"Completada sin evidencia"&amp;" · ",""))-3)))</f>
        <v/>
      </c>
    </row>
    <row r="74">
      <c r="A74" s="46" t="n"/>
      <c r="B74" s="47" t="n"/>
      <c r="C74" s="47" t="n"/>
      <c r="D74" s="47" t="n"/>
      <c r="E74" s="48" t="n"/>
      <c r="F74" s="48" t="n"/>
      <c r="G74" s="49" t="n"/>
      <c r="H74" s="50" t="n"/>
      <c r="I74" s="50" t="n"/>
      <c r="J74" s="50" t="n"/>
      <c r="K74" s="50" t="n"/>
      <c r="L74" s="51">
        <f>IF(NOT((COUNTA($A74:$K74)+COUNTA($N74:$O74))&gt;0),"",IFERROR(LOOKUP(2,1/(H74:K74&lt;&gt;""),H74:K74),0))</f>
        <v/>
      </c>
      <c r="M74" s="52">
        <f>IF(L74="","",IF(L74&gt;=1,"Completado",IF(L74&gt;0,"En curso","Pendiente")))</f>
        <v/>
      </c>
      <c r="N74" s="48" t="n"/>
      <c r="O74" s="47" t="n"/>
      <c r="P74" s="53">
        <f>IF(NOT((COUNTA($A74:$K74)+COUNTA($N74:$O74))&gt;0),"",IF((IF(A74="","Falta ID"&amp;" · ","")&amp;IF(AND(A74&lt;&gt;"",COUNTIF($A$5:$A$1000,A74)&gt;1),"ID duplicado"&amp;" · ","")&amp;IF(B74="","Área sin seleccionar"&amp;" · ","")&amp;IF(AND(B74&lt;&gt;"",ISNA(MATCH(B74,ListaPuestos,0))),"Área no válida"&amp;" · ","")&amp;IF(C74="","Macroactividad vacía"&amp;" · ","")&amp;IF(D74="","Sin responsable"&amp;" · ","")&amp;IF(E74="","Sin fecha de inicio"&amp;" · ","")&amp;IF(F74="","Sin fecha límite"&amp;" · ","")&amp;IF(OR(AND(E74&lt;&gt;"",NOT(ISNUMBER(E74))),AND(F74&lt;&gt;"",NOT(ISNUMBER(F74)))),"Fecha no válida"&amp;" · ","")&amp;IF(AND(ISNUMBER(E74),ISNUMBER(F74),E74&gt;F74),"Inicio posterior a fecha límite"&amp;" · ","")&amp;IF(G74="","Peso vacío"&amp;" · ","")&amp;IF(AND(G74&lt;&gt;"",OR(NOT(ISNUMBER(G74)),G74&lt;=0,G74&gt;1)),"Peso fuera de rango"&amp;" · ","")&amp;IF(AND(B74&lt;&gt;"",ABS(SUMIFS($G$5:$G$1000,$B$5:$B$1000,B74)-1)&gt;0.0001),"Pesos del puesto suman "&amp;TEXT(SUMIFS($G$5:$G$1000,$B$5:$B$1000,B74),"0%")&amp;" · ","")&amp;IF((COUNTIF(H74:K74,"&gt;1")+COUNTIF(H74:K74,"&lt;0")+COUNTA(H74:K74)-COUNT(H74:K74))&gt;0,"Avance fuera de rango 0-100%"&amp;" · ","")&amp;IF(OR(AND(I74&lt;&gt;"",I74&lt;H74),AND(J74&lt;&gt;"",J74&lt;MAX(H74:I74)),AND(K74&lt;&gt;"",K74&lt;MAX(H74:J74))),"Avance semanal decreciente"&amp;" · ","")&amp;IF(AND(ISNUMBER(F74),F74&lt;FechaRef,N(L74)&lt;1),"Vencida"&amp;" · ","")&amp;IF(AND(EvidenciaObligatoria="Sí",N(L74)&gt;=1,O74=""),"Completada sin evidencia"&amp;" · ",""))="","✔ OK","⚠ "&amp;LEFT(IF(A74="","Falta ID"&amp;" · ","")&amp;IF(AND(A74&lt;&gt;"",COUNTIF($A$5:$A$1000,A74)&gt;1),"ID duplicado"&amp;" · ","")&amp;IF(B74="","Área sin seleccionar"&amp;" · ","")&amp;IF(AND(B74&lt;&gt;"",ISNA(MATCH(B74,ListaPuestos,0))),"Área no válida"&amp;" · ","")&amp;IF(C74="","Macroactividad vacía"&amp;" · ","")&amp;IF(D74="","Sin responsable"&amp;" · ","")&amp;IF(E74="","Sin fecha de inicio"&amp;" · ","")&amp;IF(F74="","Sin fecha límite"&amp;" · ","")&amp;IF(OR(AND(E74&lt;&gt;"",NOT(ISNUMBER(E74))),AND(F74&lt;&gt;"",NOT(ISNUMBER(F74)))),"Fecha no válida"&amp;" · ","")&amp;IF(AND(ISNUMBER(E74),ISNUMBER(F74),E74&gt;F74),"Inicio posterior a fecha límite"&amp;" · ","")&amp;IF(G74="","Peso vacío"&amp;" · ","")&amp;IF(AND(G74&lt;&gt;"",OR(NOT(ISNUMBER(G74)),G74&lt;=0,G74&gt;1)),"Peso fuera de rango"&amp;" · ","")&amp;IF(AND(B74&lt;&gt;"",ABS(SUMIFS($G$5:$G$1000,$B$5:$B$1000,B74)-1)&gt;0.0001),"Pesos del puesto suman "&amp;TEXT(SUMIFS($G$5:$G$1000,$B$5:$B$1000,B74),"0%")&amp;" · ","")&amp;IF((COUNTIF(H74:K74,"&gt;1")+COUNTIF(H74:K74,"&lt;0")+COUNTA(H74:K74)-COUNT(H74:K74))&gt;0,"Avance fuera de rango 0-100%"&amp;" · ","")&amp;IF(OR(AND(I74&lt;&gt;"",I74&lt;H74),AND(J74&lt;&gt;"",J74&lt;MAX(H74:I74)),AND(K74&lt;&gt;"",K74&lt;MAX(H74:J74))),"Avance semanal decreciente"&amp;" · ","")&amp;IF(AND(ISNUMBER(F74),F74&lt;FechaRef,N(L74)&lt;1),"Vencida"&amp;" · ","")&amp;IF(AND(EvidenciaObligatoria="Sí",N(L74)&gt;=1,O74=""),"Completada sin evidencia"&amp;" · ",""),LEN(IF(A74="","Falta ID"&amp;" · ","")&amp;IF(AND(A74&lt;&gt;"",COUNTIF($A$5:$A$1000,A74)&gt;1),"ID duplicado"&amp;" · ","")&amp;IF(B74="","Área sin seleccionar"&amp;" · ","")&amp;IF(AND(B74&lt;&gt;"",ISNA(MATCH(B74,ListaPuestos,0))),"Área no válida"&amp;" · ","")&amp;IF(C74="","Macroactividad vacía"&amp;" · ","")&amp;IF(D74="","Sin responsable"&amp;" · ","")&amp;IF(E74="","Sin fecha de inicio"&amp;" · ","")&amp;IF(F74="","Sin fecha límite"&amp;" · ","")&amp;IF(OR(AND(E74&lt;&gt;"",NOT(ISNUMBER(E74))),AND(F74&lt;&gt;"",NOT(ISNUMBER(F74)))),"Fecha no válida"&amp;" · ","")&amp;IF(AND(ISNUMBER(E74),ISNUMBER(F74),E74&gt;F74),"Inicio posterior a fecha límite"&amp;" · ","")&amp;IF(G74="","Peso vacío"&amp;" · ","")&amp;IF(AND(G74&lt;&gt;"",OR(NOT(ISNUMBER(G74)),G74&lt;=0,G74&gt;1)),"Peso fuera de rango"&amp;" · ","")&amp;IF(AND(B74&lt;&gt;"",ABS(SUMIFS($G$5:$G$1000,$B$5:$B$1000,B74)-1)&gt;0.0001),"Pesos del puesto suman "&amp;TEXT(SUMIFS($G$5:$G$1000,$B$5:$B$1000,B74),"0%")&amp;" · ","")&amp;IF((COUNTIF(H74:K74,"&gt;1")+COUNTIF(H74:K74,"&lt;0")+COUNTA(H74:K74)-COUNT(H74:K74))&gt;0,"Avance fuera de rango 0-100%"&amp;" · ","")&amp;IF(OR(AND(I74&lt;&gt;"",I74&lt;H74),AND(J74&lt;&gt;"",J74&lt;MAX(H74:I74)),AND(K74&lt;&gt;"",K74&lt;MAX(H74:J74))),"Avance semanal decreciente"&amp;" · ","")&amp;IF(AND(ISNUMBER(F74),F74&lt;FechaRef,N(L74)&lt;1),"Vencida"&amp;" · ","")&amp;IF(AND(EvidenciaObligatoria="Sí",N(L74)&gt;=1,O74=""),"Completada sin evidencia"&amp;" · ",""))-3)))</f>
        <v/>
      </c>
    </row>
    <row r="75">
      <c r="A75" s="46" t="n"/>
      <c r="B75" s="47" t="n"/>
      <c r="C75" s="47" t="n"/>
      <c r="D75" s="47" t="n"/>
      <c r="E75" s="48" t="n"/>
      <c r="F75" s="48" t="n"/>
      <c r="G75" s="49" t="n"/>
      <c r="H75" s="50" t="n"/>
      <c r="I75" s="50" t="n"/>
      <c r="J75" s="50" t="n"/>
      <c r="K75" s="50" t="n"/>
      <c r="L75" s="51">
        <f>IF(NOT((COUNTA($A75:$K75)+COUNTA($N75:$O75))&gt;0),"",IFERROR(LOOKUP(2,1/(H75:K75&lt;&gt;""),H75:K75),0))</f>
        <v/>
      </c>
      <c r="M75" s="52">
        <f>IF(L75="","",IF(L75&gt;=1,"Completado",IF(L75&gt;0,"En curso","Pendiente")))</f>
        <v/>
      </c>
      <c r="N75" s="48" t="n"/>
      <c r="O75" s="47" t="n"/>
      <c r="P75" s="53">
        <f>IF(NOT((COUNTA($A75:$K75)+COUNTA($N75:$O75))&gt;0),"",IF((IF(A75="","Falta ID"&amp;" · ","")&amp;IF(AND(A75&lt;&gt;"",COUNTIF($A$5:$A$1000,A75)&gt;1),"ID duplicado"&amp;" · ","")&amp;IF(B75="","Área sin seleccionar"&amp;" · ","")&amp;IF(AND(B75&lt;&gt;"",ISNA(MATCH(B75,ListaPuestos,0))),"Área no válida"&amp;" · ","")&amp;IF(C75="","Macroactividad vacía"&amp;" · ","")&amp;IF(D75="","Sin responsable"&amp;" · ","")&amp;IF(E75="","Sin fecha de inicio"&amp;" · ","")&amp;IF(F75="","Sin fecha límite"&amp;" · ","")&amp;IF(OR(AND(E75&lt;&gt;"",NOT(ISNUMBER(E75))),AND(F75&lt;&gt;"",NOT(ISNUMBER(F75)))),"Fecha no válida"&amp;" · ","")&amp;IF(AND(ISNUMBER(E75),ISNUMBER(F75),E75&gt;F75),"Inicio posterior a fecha límite"&amp;" · ","")&amp;IF(G75="","Peso vacío"&amp;" · ","")&amp;IF(AND(G75&lt;&gt;"",OR(NOT(ISNUMBER(G75)),G75&lt;=0,G75&gt;1)),"Peso fuera de rango"&amp;" · ","")&amp;IF(AND(B75&lt;&gt;"",ABS(SUMIFS($G$5:$G$1000,$B$5:$B$1000,B75)-1)&gt;0.0001),"Pesos del puesto suman "&amp;TEXT(SUMIFS($G$5:$G$1000,$B$5:$B$1000,B75),"0%")&amp;" · ","")&amp;IF((COUNTIF(H75:K75,"&gt;1")+COUNTIF(H75:K75,"&lt;0")+COUNTA(H75:K75)-COUNT(H75:K75))&gt;0,"Avance fuera de rango 0-100%"&amp;" · ","")&amp;IF(OR(AND(I75&lt;&gt;"",I75&lt;H75),AND(J75&lt;&gt;"",J75&lt;MAX(H75:I75)),AND(K75&lt;&gt;"",K75&lt;MAX(H75:J75))),"Avance semanal decreciente"&amp;" · ","")&amp;IF(AND(ISNUMBER(F75),F75&lt;FechaRef,N(L75)&lt;1),"Vencida"&amp;" · ","")&amp;IF(AND(EvidenciaObligatoria="Sí",N(L75)&gt;=1,O75=""),"Completada sin evidencia"&amp;" · ",""))="","✔ OK","⚠ "&amp;LEFT(IF(A75="","Falta ID"&amp;" · ","")&amp;IF(AND(A75&lt;&gt;"",COUNTIF($A$5:$A$1000,A75)&gt;1),"ID duplicado"&amp;" · ","")&amp;IF(B75="","Área sin seleccionar"&amp;" · ","")&amp;IF(AND(B75&lt;&gt;"",ISNA(MATCH(B75,ListaPuestos,0))),"Área no válida"&amp;" · ","")&amp;IF(C75="","Macroactividad vacía"&amp;" · ","")&amp;IF(D75="","Sin responsable"&amp;" · ","")&amp;IF(E75="","Sin fecha de inicio"&amp;" · ","")&amp;IF(F75="","Sin fecha límite"&amp;" · ","")&amp;IF(OR(AND(E75&lt;&gt;"",NOT(ISNUMBER(E75))),AND(F75&lt;&gt;"",NOT(ISNUMBER(F75)))),"Fecha no válida"&amp;" · ","")&amp;IF(AND(ISNUMBER(E75),ISNUMBER(F75),E75&gt;F75),"Inicio posterior a fecha límite"&amp;" · ","")&amp;IF(G75="","Peso vacío"&amp;" · ","")&amp;IF(AND(G75&lt;&gt;"",OR(NOT(ISNUMBER(G75)),G75&lt;=0,G75&gt;1)),"Peso fuera de rango"&amp;" · ","")&amp;IF(AND(B75&lt;&gt;"",ABS(SUMIFS($G$5:$G$1000,$B$5:$B$1000,B75)-1)&gt;0.0001),"Pesos del puesto suman "&amp;TEXT(SUMIFS($G$5:$G$1000,$B$5:$B$1000,B75),"0%")&amp;" · ","")&amp;IF((COUNTIF(H75:K75,"&gt;1")+COUNTIF(H75:K75,"&lt;0")+COUNTA(H75:K75)-COUNT(H75:K75))&gt;0,"Avance fuera de rango 0-100%"&amp;" · ","")&amp;IF(OR(AND(I75&lt;&gt;"",I75&lt;H75),AND(J75&lt;&gt;"",J75&lt;MAX(H75:I75)),AND(K75&lt;&gt;"",K75&lt;MAX(H75:J75))),"Avance semanal decreciente"&amp;" · ","")&amp;IF(AND(ISNUMBER(F75),F75&lt;FechaRef,N(L75)&lt;1),"Vencida"&amp;" · ","")&amp;IF(AND(EvidenciaObligatoria="Sí",N(L75)&gt;=1,O75=""),"Completada sin evidencia"&amp;" · ",""),LEN(IF(A75="","Falta ID"&amp;" · ","")&amp;IF(AND(A75&lt;&gt;"",COUNTIF($A$5:$A$1000,A75)&gt;1),"ID duplicado"&amp;" · ","")&amp;IF(B75="","Área sin seleccionar"&amp;" · ","")&amp;IF(AND(B75&lt;&gt;"",ISNA(MATCH(B75,ListaPuestos,0))),"Área no válida"&amp;" · ","")&amp;IF(C75="","Macroactividad vacía"&amp;" · ","")&amp;IF(D75="","Sin responsable"&amp;" · ","")&amp;IF(E75="","Sin fecha de inicio"&amp;" · ","")&amp;IF(F75="","Sin fecha límite"&amp;" · ","")&amp;IF(OR(AND(E75&lt;&gt;"",NOT(ISNUMBER(E75))),AND(F75&lt;&gt;"",NOT(ISNUMBER(F75)))),"Fecha no válida"&amp;" · ","")&amp;IF(AND(ISNUMBER(E75),ISNUMBER(F75),E75&gt;F75),"Inicio posterior a fecha límite"&amp;" · ","")&amp;IF(G75="","Peso vacío"&amp;" · ","")&amp;IF(AND(G75&lt;&gt;"",OR(NOT(ISNUMBER(G75)),G75&lt;=0,G75&gt;1)),"Peso fuera de rango"&amp;" · ","")&amp;IF(AND(B75&lt;&gt;"",ABS(SUMIFS($G$5:$G$1000,$B$5:$B$1000,B75)-1)&gt;0.0001),"Pesos del puesto suman "&amp;TEXT(SUMIFS($G$5:$G$1000,$B$5:$B$1000,B75),"0%")&amp;" · ","")&amp;IF((COUNTIF(H75:K75,"&gt;1")+COUNTIF(H75:K75,"&lt;0")+COUNTA(H75:K75)-COUNT(H75:K75))&gt;0,"Avance fuera de rango 0-100%"&amp;" · ","")&amp;IF(OR(AND(I75&lt;&gt;"",I75&lt;H75),AND(J75&lt;&gt;"",J75&lt;MAX(H75:I75)),AND(K75&lt;&gt;"",K75&lt;MAX(H75:J75))),"Avance semanal decreciente"&amp;" · ","")&amp;IF(AND(ISNUMBER(F75),F75&lt;FechaRef,N(L75)&lt;1),"Vencida"&amp;" · ","")&amp;IF(AND(EvidenciaObligatoria="Sí",N(L75)&gt;=1,O75=""),"Completada sin evidencia"&amp;" · ",""))-3)))</f>
        <v/>
      </c>
    </row>
    <row r="76">
      <c r="A76" s="46" t="n"/>
      <c r="B76" s="47" t="n"/>
      <c r="C76" s="47" t="n"/>
      <c r="D76" s="47" t="n"/>
      <c r="E76" s="48" t="n"/>
      <c r="F76" s="48" t="n"/>
      <c r="G76" s="49" t="n"/>
      <c r="H76" s="50" t="n"/>
      <c r="I76" s="50" t="n"/>
      <c r="J76" s="50" t="n"/>
      <c r="K76" s="50" t="n"/>
      <c r="L76" s="51">
        <f>IF(NOT((COUNTA($A76:$K76)+COUNTA($N76:$O76))&gt;0),"",IFERROR(LOOKUP(2,1/(H76:K76&lt;&gt;""),H76:K76),0))</f>
        <v/>
      </c>
      <c r="M76" s="52">
        <f>IF(L76="","",IF(L76&gt;=1,"Completado",IF(L76&gt;0,"En curso","Pendiente")))</f>
        <v/>
      </c>
      <c r="N76" s="48" t="n"/>
      <c r="O76" s="47" t="n"/>
      <c r="P76" s="53">
        <f>IF(NOT((COUNTA($A76:$K76)+COUNTA($N76:$O76))&gt;0),"",IF((IF(A76="","Falta ID"&amp;" · ","")&amp;IF(AND(A76&lt;&gt;"",COUNTIF($A$5:$A$1000,A76)&gt;1),"ID duplicado"&amp;" · ","")&amp;IF(B76="","Área sin seleccionar"&amp;" · ","")&amp;IF(AND(B76&lt;&gt;"",ISNA(MATCH(B76,ListaPuestos,0))),"Área no válida"&amp;" · ","")&amp;IF(C76="","Macroactividad vacía"&amp;" · ","")&amp;IF(D76="","Sin responsable"&amp;" · ","")&amp;IF(E76="","Sin fecha de inicio"&amp;" · ","")&amp;IF(F76="","Sin fecha límite"&amp;" · ","")&amp;IF(OR(AND(E76&lt;&gt;"",NOT(ISNUMBER(E76))),AND(F76&lt;&gt;"",NOT(ISNUMBER(F76)))),"Fecha no válida"&amp;" · ","")&amp;IF(AND(ISNUMBER(E76),ISNUMBER(F76),E76&gt;F76),"Inicio posterior a fecha límite"&amp;" · ","")&amp;IF(G76="","Peso vacío"&amp;" · ","")&amp;IF(AND(G76&lt;&gt;"",OR(NOT(ISNUMBER(G76)),G76&lt;=0,G76&gt;1)),"Peso fuera de rango"&amp;" · ","")&amp;IF(AND(B76&lt;&gt;"",ABS(SUMIFS($G$5:$G$1000,$B$5:$B$1000,B76)-1)&gt;0.0001),"Pesos del puesto suman "&amp;TEXT(SUMIFS($G$5:$G$1000,$B$5:$B$1000,B76),"0%")&amp;" · ","")&amp;IF((COUNTIF(H76:K76,"&gt;1")+COUNTIF(H76:K76,"&lt;0")+COUNTA(H76:K76)-COUNT(H76:K76))&gt;0,"Avance fuera de rango 0-100%"&amp;" · ","")&amp;IF(OR(AND(I76&lt;&gt;"",I76&lt;H76),AND(J76&lt;&gt;"",J76&lt;MAX(H76:I76)),AND(K76&lt;&gt;"",K76&lt;MAX(H76:J76))),"Avance semanal decreciente"&amp;" · ","")&amp;IF(AND(ISNUMBER(F76),F76&lt;FechaRef,N(L76)&lt;1),"Vencida"&amp;" · ","")&amp;IF(AND(EvidenciaObligatoria="Sí",N(L76)&gt;=1,O76=""),"Completada sin evidencia"&amp;" · ",""))="","✔ OK","⚠ "&amp;LEFT(IF(A76="","Falta ID"&amp;" · ","")&amp;IF(AND(A76&lt;&gt;"",COUNTIF($A$5:$A$1000,A76)&gt;1),"ID duplicado"&amp;" · ","")&amp;IF(B76="","Área sin seleccionar"&amp;" · ","")&amp;IF(AND(B76&lt;&gt;"",ISNA(MATCH(B76,ListaPuestos,0))),"Área no válida"&amp;" · ","")&amp;IF(C76="","Macroactividad vacía"&amp;" · ","")&amp;IF(D76="","Sin responsable"&amp;" · ","")&amp;IF(E76="","Sin fecha de inicio"&amp;" · ","")&amp;IF(F76="","Sin fecha límite"&amp;" · ","")&amp;IF(OR(AND(E76&lt;&gt;"",NOT(ISNUMBER(E76))),AND(F76&lt;&gt;"",NOT(ISNUMBER(F76)))),"Fecha no válida"&amp;" · ","")&amp;IF(AND(ISNUMBER(E76),ISNUMBER(F76),E76&gt;F76),"Inicio posterior a fecha límite"&amp;" · ","")&amp;IF(G76="","Peso vacío"&amp;" · ","")&amp;IF(AND(G76&lt;&gt;"",OR(NOT(ISNUMBER(G76)),G76&lt;=0,G76&gt;1)),"Peso fuera de rango"&amp;" · ","")&amp;IF(AND(B76&lt;&gt;"",ABS(SUMIFS($G$5:$G$1000,$B$5:$B$1000,B76)-1)&gt;0.0001),"Pesos del puesto suman "&amp;TEXT(SUMIFS($G$5:$G$1000,$B$5:$B$1000,B76),"0%")&amp;" · ","")&amp;IF((COUNTIF(H76:K76,"&gt;1")+COUNTIF(H76:K76,"&lt;0")+COUNTA(H76:K76)-COUNT(H76:K76))&gt;0,"Avance fuera de rango 0-100%"&amp;" · ","")&amp;IF(OR(AND(I76&lt;&gt;"",I76&lt;H76),AND(J76&lt;&gt;"",J76&lt;MAX(H76:I76)),AND(K76&lt;&gt;"",K76&lt;MAX(H76:J76))),"Avance semanal decreciente"&amp;" · ","")&amp;IF(AND(ISNUMBER(F76),F76&lt;FechaRef,N(L76)&lt;1),"Vencida"&amp;" · ","")&amp;IF(AND(EvidenciaObligatoria="Sí",N(L76)&gt;=1,O76=""),"Completada sin evidencia"&amp;" · ",""),LEN(IF(A76="","Falta ID"&amp;" · ","")&amp;IF(AND(A76&lt;&gt;"",COUNTIF($A$5:$A$1000,A76)&gt;1),"ID duplicado"&amp;" · ","")&amp;IF(B76="","Área sin seleccionar"&amp;" · ","")&amp;IF(AND(B76&lt;&gt;"",ISNA(MATCH(B76,ListaPuestos,0))),"Área no válida"&amp;" · ","")&amp;IF(C76="","Macroactividad vacía"&amp;" · ","")&amp;IF(D76="","Sin responsable"&amp;" · ","")&amp;IF(E76="","Sin fecha de inicio"&amp;" · ","")&amp;IF(F76="","Sin fecha límite"&amp;" · ","")&amp;IF(OR(AND(E76&lt;&gt;"",NOT(ISNUMBER(E76))),AND(F76&lt;&gt;"",NOT(ISNUMBER(F76)))),"Fecha no válida"&amp;" · ","")&amp;IF(AND(ISNUMBER(E76),ISNUMBER(F76),E76&gt;F76),"Inicio posterior a fecha límite"&amp;" · ","")&amp;IF(G76="","Peso vacío"&amp;" · ","")&amp;IF(AND(G76&lt;&gt;"",OR(NOT(ISNUMBER(G76)),G76&lt;=0,G76&gt;1)),"Peso fuera de rango"&amp;" · ","")&amp;IF(AND(B76&lt;&gt;"",ABS(SUMIFS($G$5:$G$1000,$B$5:$B$1000,B76)-1)&gt;0.0001),"Pesos del puesto suman "&amp;TEXT(SUMIFS($G$5:$G$1000,$B$5:$B$1000,B76),"0%")&amp;" · ","")&amp;IF((COUNTIF(H76:K76,"&gt;1")+COUNTIF(H76:K76,"&lt;0")+COUNTA(H76:K76)-COUNT(H76:K76))&gt;0,"Avance fuera de rango 0-100%"&amp;" · ","")&amp;IF(OR(AND(I76&lt;&gt;"",I76&lt;H76),AND(J76&lt;&gt;"",J76&lt;MAX(H76:I76)),AND(K76&lt;&gt;"",K76&lt;MAX(H76:J76))),"Avance semanal decreciente"&amp;" · ","")&amp;IF(AND(ISNUMBER(F76),F76&lt;FechaRef,N(L76)&lt;1),"Vencida"&amp;" · ","")&amp;IF(AND(EvidenciaObligatoria="Sí",N(L76)&gt;=1,O76=""),"Completada sin evidencia"&amp;" · ",""))-3)))</f>
        <v/>
      </c>
    </row>
    <row r="77">
      <c r="A77" s="46" t="n"/>
      <c r="B77" s="47" t="n"/>
      <c r="C77" s="47" t="n"/>
      <c r="D77" s="47" t="n"/>
      <c r="E77" s="48" t="n"/>
      <c r="F77" s="48" t="n"/>
      <c r="G77" s="49" t="n"/>
      <c r="H77" s="50" t="n"/>
      <c r="I77" s="50" t="n"/>
      <c r="J77" s="50" t="n"/>
      <c r="K77" s="50" t="n"/>
      <c r="L77" s="51">
        <f>IF(NOT((COUNTA($A77:$K77)+COUNTA($N77:$O77))&gt;0),"",IFERROR(LOOKUP(2,1/(H77:K77&lt;&gt;""),H77:K77),0))</f>
        <v/>
      </c>
      <c r="M77" s="52">
        <f>IF(L77="","",IF(L77&gt;=1,"Completado",IF(L77&gt;0,"En curso","Pendiente")))</f>
        <v/>
      </c>
      <c r="N77" s="48" t="n"/>
      <c r="O77" s="47" t="n"/>
      <c r="P77" s="53">
        <f>IF(NOT((COUNTA($A77:$K77)+COUNTA($N77:$O77))&gt;0),"",IF((IF(A77="","Falta ID"&amp;" · ","")&amp;IF(AND(A77&lt;&gt;"",COUNTIF($A$5:$A$1000,A77)&gt;1),"ID duplicado"&amp;" · ","")&amp;IF(B77="","Área sin seleccionar"&amp;" · ","")&amp;IF(AND(B77&lt;&gt;"",ISNA(MATCH(B77,ListaPuestos,0))),"Área no válida"&amp;" · ","")&amp;IF(C77="","Macroactividad vacía"&amp;" · ","")&amp;IF(D77="","Sin responsable"&amp;" · ","")&amp;IF(E77="","Sin fecha de inicio"&amp;" · ","")&amp;IF(F77="","Sin fecha límite"&amp;" · ","")&amp;IF(OR(AND(E77&lt;&gt;"",NOT(ISNUMBER(E77))),AND(F77&lt;&gt;"",NOT(ISNUMBER(F77)))),"Fecha no válida"&amp;" · ","")&amp;IF(AND(ISNUMBER(E77),ISNUMBER(F77),E77&gt;F77),"Inicio posterior a fecha límite"&amp;" · ","")&amp;IF(G77="","Peso vacío"&amp;" · ","")&amp;IF(AND(G77&lt;&gt;"",OR(NOT(ISNUMBER(G77)),G77&lt;=0,G77&gt;1)),"Peso fuera de rango"&amp;" · ","")&amp;IF(AND(B77&lt;&gt;"",ABS(SUMIFS($G$5:$G$1000,$B$5:$B$1000,B77)-1)&gt;0.0001),"Pesos del puesto suman "&amp;TEXT(SUMIFS($G$5:$G$1000,$B$5:$B$1000,B77),"0%")&amp;" · ","")&amp;IF((COUNTIF(H77:K77,"&gt;1")+COUNTIF(H77:K77,"&lt;0")+COUNTA(H77:K77)-COUNT(H77:K77))&gt;0,"Avance fuera de rango 0-100%"&amp;" · ","")&amp;IF(OR(AND(I77&lt;&gt;"",I77&lt;H77),AND(J77&lt;&gt;"",J77&lt;MAX(H77:I77)),AND(K77&lt;&gt;"",K77&lt;MAX(H77:J77))),"Avance semanal decreciente"&amp;" · ","")&amp;IF(AND(ISNUMBER(F77),F77&lt;FechaRef,N(L77)&lt;1),"Vencida"&amp;" · ","")&amp;IF(AND(EvidenciaObligatoria="Sí",N(L77)&gt;=1,O77=""),"Completada sin evidencia"&amp;" · ",""))="","✔ OK","⚠ "&amp;LEFT(IF(A77="","Falta ID"&amp;" · ","")&amp;IF(AND(A77&lt;&gt;"",COUNTIF($A$5:$A$1000,A77)&gt;1),"ID duplicado"&amp;" · ","")&amp;IF(B77="","Área sin seleccionar"&amp;" · ","")&amp;IF(AND(B77&lt;&gt;"",ISNA(MATCH(B77,ListaPuestos,0))),"Área no válida"&amp;" · ","")&amp;IF(C77="","Macroactividad vacía"&amp;" · ","")&amp;IF(D77="","Sin responsable"&amp;" · ","")&amp;IF(E77="","Sin fecha de inicio"&amp;" · ","")&amp;IF(F77="","Sin fecha límite"&amp;" · ","")&amp;IF(OR(AND(E77&lt;&gt;"",NOT(ISNUMBER(E77))),AND(F77&lt;&gt;"",NOT(ISNUMBER(F77)))),"Fecha no válida"&amp;" · ","")&amp;IF(AND(ISNUMBER(E77),ISNUMBER(F77),E77&gt;F77),"Inicio posterior a fecha límite"&amp;" · ","")&amp;IF(G77="","Peso vacío"&amp;" · ","")&amp;IF(AND(G77&lt;&gt;"",OR(NOT(ISNUMBER(G77)),G77&lt;=0,G77&gt;1)),"Peso fuera de rango"&amp;" · ","")&amp;IF(AND(B77&lt;&gt;"",ABS(SUMIFS($G$5:$G$1000,$B$5:$B$1000,B77)-1)&gt;0.0001),"Pesos del puesto suman "&amp;TEXT(SUMIFS($G$5:$G$1000,$B$5:$B$1000,B77),"0%")&amp;" · ","")&amp;IF((COUNTIF(H77:K77,"&gt;1")+COUNTIF(H77:K77,"&lt;0")+COUNTA(H77:K77)-COUNT(H77:K77))&gt;0,"Avance fuera de rango 0-100%"&amp;" · ","")&amp;IF(OR(AND(I77&lt;&gt;"",I77&lt;H77),AND(J77&lt;&gt;"",J77&lt;MAX(H77:I77)),AND(K77&lt;&gt;"",K77&lt;MAX(H77:J77))),"Avance semanal decreciente"&amp;" · ","")&amp;IF(AND(ISNUMBER(F77),F77&lt;FechaRef,N(L77)&lt;1),"Vencida"&amp;" · ","")&amp;IF(AND(EvidenciaObligatoria="Sí",N(L77)&gt;=1,O77=""),"Completada sin evidencia"&amp;" · ",""),LEN(IF(A77="","Falta ID"&amp;" · ","")&amp;IF(AND(A77&lt;&gt;"",COUNTIF($A$5:$A$1000,A77)&gt;1),"ID duplicado"&amp;" · ","")&amp;IF(B77="","Área sin seleccionar"&amp;" · ","")&amp;IF(AND(B77&lt;&gt;"",ISNA(MATCH(B77,ListaPuestos,0))),"Área no válida"&amp;" · ","")&amp;IF(C77="","Macroactividad vacía"&amp;" · ","")&amp;IF(D77="","Sin responsable"&amp;" · ","")&amp;IF(E77="","Sin fecha de inicio"&amp;" · ","")&amp;IF(F77="","Sin fecha límite"&amp;" · ","")&amp;IF(OR(AND(E77&lt;&gt;"",NOT(ISNUMBER(E77))),AND(F77&lt;&gt;"",NOT(ISNUMBER(F77)))),"Fecha no válida"&amp;" · ","")&amp;IF(AND(ISNUMBER(E77),ISNUMBER(F77),E77&gt;F77),"Inicio posterior a fecha límite"&amp;" · ","")&amp;IF(G77="","Peso vacío"&amp;" · ","")&amp;IF(AND(G77&lt;&gt;"",OR(NOT(ISNUMBER(G77)),G77&lt;=0,G77&gt;1)),"Peso fuera de rango"&amp;" · ","")&amp;IF(AND(B77&lt;&gt;"",ABS(SUMIFS($G$5:$G$1000,$B$5:$B$1000,B77)-1)&gt;0.0001),"Pesos del puesto suman "&amp;TEXT(SUMIFS($G$5:$G$1000,$B$5:$B$1000,B77),"0%")&amp;" · ","")&amp;IF((COUNTIF(H77:K77,"&gt;1")+COUNTIF(H77:K77,"&lt;0")+COUNTA(H77:K77)-COUNT(H77:K77))&gt;0,"Avance fuera de rango 0-100%"&amp;" · ","")&amp;IF(OR(AND(I77&lt;&gt;"",I77&lt;H77),AND(J77&lt;&gt;"",J77&lt;MAX(H77:I77)),AND(K77&lt;&gt;"",K77&lt;MAX(H77:J77))),"Avance semanal decreciente"&amp;" · ","")&amp;IF(AND(ISNUMBER(F77),F77&lt;FechaRef,N(L77)&lt;1),"Vencida"&amp;" · ","")&amp;IF(AND(EvidenciaObligatoria="Sí",N(L77)&gt;=1,O77=""),"Completada sin evidencia"&amp;" · ",""))-3)))</f>
        <v/>
      </c>
    </row>
    <row r="78">
      <c r="A78" s="46" t="n"/>
      <c r="B78" s="47" t="n"/>
      <c r="C78" s="47" t="n"/>
      <c r="D78" s="47" t="n"/>
      <c r="E78" s="48" t="n"/>
      <c r="F78" s="48" t="n"/>
      <c r="G78" s="49" t="n"/>
      <c r="H78" s="50" t="n"/>
      <c r="I78" s="50" t="n"/>
      <c r="J78" s="50" t="n"/>
      <c r="K78" s="50" t="n"/>
      <c r="L78" s="51">
        <f>IF(NOT((COUNTA($A78:$K78)+COUNTA($N78:$O78))&gt;0),"",IFERROR(LOOKUP(2,1/(H78:K78&lt;&gt;""),H78:K78),0))</f>
        <v/>
      </c>
      <c r="M78" s="52">
        <f>IF(L78="","",IF(L78&gt;=1,"Completado",IF(L78&gt;0,"En curso","Pendiente")))</f>
        <v/>
      </c>
      <c r="N78" s="48" t="n"/>
      <c r="O78" s="47" t="n"/>
      <c r="P78" s="53">
        <f>IF(NOT((COUNTA($A78:$K78)+COUNTA($N78:$O78))&gt;0),"",IF((IF(A78="","Falta ID"&amp;" · ","")&amp;IF(AND(A78&lt;&gt;"",COUNTIF($A$5:$A$1000,A78)&gt;1),"ID duplicado"&amp;" · ","")&amp;IF(B78="","Área sin seleccionar"&amp;" · ","")&amp;IF(AND(B78&lt;&gt;"",ISNA(MATCH(B78,ListaPuestos,0))),"Área no válida"&amp;" · ","")&amp;IF(C78="","Macroactividad vacía"&amp;" · ","")&amp;IF(D78="","Sin responsable"&amp;" · ","")&amp;IF(E78="","Sin fecha de inicio"&amp;" · ","")&amp;IF(F78="","Sin fecha límite"&amp;" · ","")&amp;IF(OR(AND(E78&lt;&gt;"",NOT(ISNUMBER(E78))),AND(F78&lt;&gt;"",NOT(ISNUMBER(F78)))),"Fecha no válida"&amp;" · ","")&amp;IF(AND(ISNUMBER(E78),ISNUMBER(F78),E78&gt;F78),"Inicio posterior a fecha límite"&amp;" · ","")&amp;IF(G78="","Peso vacío"&amp;" · ","")&amp;IF(AND(G78&lt;&gt;"",OR(NOT(ISNUMBER(G78)),G78&lt;=0,G78&gt;1)),"Peso fuera de rango"&amp;" · ","")&amp;IF(AND(B78&lt;&gt;"",ABS(SUMIFS($G$5:$G$1000,$B$5:$B$1000,B78)-1)&gt;0.0001),"Pesos del puesto suman "&amp;TEXT(SUMIFS($G$5:$G$1000,$B$5:$B$1000,B78),"0%")&amp;" · ","")&amp;IF((COUNTIF(H78:K78,"&gt;1")+COUNTIF(H78:K78,"&lt;0")+COUNTA(H78:K78)-COUNT(H78:K78))&gt;0,"Avance fuera de rango 0-100%"&amp;" · ","")&amp;IF(OR(AND(I78&lt;&gt;"",I78&lt;H78),AND(J78&lt;&gt;"",J78&lt;MAX(H78:I78)),AND(K78&lt;&gt;"",K78&lt;MAX(H78:J78))),"Avance semanal decreciente"&amp;" · ","")&amp;IF(AND(ISNUMBER(F78),F78&lt;FechaRef,N(L78)&lt;1),"Vencida"&amp;" · ","")&amp;IF(AND(EvidenciaObligatoria="Sí",N(L78)&gt;=1,O78=""),"Completada sin evidencia"&amp;" · ",""))="","✔ OK","⚠ "&amp;LEFT(IF(A78="","Falta ID"&amp;" · ","")&amp;IF(AND(A78&lt;&gt;"",COUNTIF($A$5:$A$1000,A78)&gt;1),"ID duplicado"&amp;" · ","")&amp;IF(B78="","Área sin seleccionar"&amp;" · ","")&amp;IF(AND(B78&lt;&gt;"",ISNA(MATCH(B78,ListaPuestos,0))),"Área no válida"&amp;" · ","")&amp;IF(C78="","Macroactividad vacía"&amp;" · ","")&amp;IF(D78="","Sin responsable"&amp;" · ","")&amp;IF(E78="","Sin fecha de inicio"&amp;" · ","")&amp;IF(F78="","Sin fecha límite"&amp;" · ","")&amp;IF(OR(AND(E78&lt;&gt;"",NOT(ISNUMBER(E78))),AND(F78&lt;&gt;"",NOT(ISNUMBER(F78)))),"Fecha no válida"&amp;" · ","")&amp;IF(AND(ISNUMBER(E78),ISNUMBER(F78),E78&gt;F78),"Inicio posterior a fecha límite"&amp;" · ","")&amp;IF(G78="","Peso vacío"&amp;" · ","")&amp;IF(AND(G78&lt;&gt;"",OR(NOT(ISNUMBER(G78)),G78&lt;=0,G78&gt;1)),"Peso fuera de rango"&amp;" · ","")&amp;IF(AND(B78&lt;&gt;"",ABS(SUMIFS($G$5:$G$1000,$B$5:$B$1000,B78)-1)&gt;0.0001),"Pesos del puesto suman "&amp;TEXT(SUMIFS($G$5:$G$1000,$B$5:$B$1000,B78),"0%")&amp;" · ","")&amp;IF((COUNTIF(H78:K78,"&gt;1")+COUNTIF(H78:K78,"&lt;0")+COUNTA(H78:K78)-COUNT(H78:K78))&gt;0,"Avance fuera de rango 0-100%"&amp;" · ","")&amp;IF(OR(AND(I78&lt;&gt;"",I78&lt;H78),AND(J78&lt;&gt;"",J78&lt;MAX(H78:I78)),AND(K78&lt;&gt;"",K78&lt;MAX(H78:J78))),"Avance semanal decreciente"&amp;" · ","")&amp;IF(AND(ISNUMBER(F78),F78&lt;FechaRef,N(L78)&lt;1),"Vencida"&amp;" · ","")&amp;IF(AND(EvidenciaObligatoria="Sí",N(L78)&gt;=1,O78=""),"Completada sin evidencia"&amp;" · ",""),LEN(IF(A78="","Falta ID"&amp;" · ","")&amp;IF(AND(A78&lt;&gt;"",COUNTIF($A$5:$A$1000,A78)&gt;1),"ID duplicado"&amp;" · ","")&amp;IF(B78="","Área sin seleccionar"&amp;" · ","")&amp;IF(AND(B78&lt;&gt;"",ISNA(MATCH(B78,ListaPuestos,0))),"Área no válida"&amp;" · ","")&amp;IF(C78="","Macroactividad vacía"&amp;" · ","")&amp;IF(D78="","Sin responsable"&amp;" · ","")&amp;IF(E78="","Sin fecha de inicio"&amp;" · ","")&amp;IF(F78="","Sin fecha límite"&amp;" · ","")&amp;IF(OR(AND(E78&lt;&gt;"",NOT(ISNUMBER(E78))),AND(F78&lt;&gt;"",NOT(ISNUMBER(F78)))),"Fecha no válida"&amp;" · ","")&amp;IF(AND(ISNUMBER(E78),ISNUMBER(F78),E78&gt;F78),"Inicio posterior a fecha límite"&amp;" · ","")&amp;IF(G78="","Peso vacío"&amp;" · ","")&amp;IF(AND(G78&lt;&gt;"",OR(NOT(ISNUMBER(G78)),G78&lt;=0,G78&gt;1)),"Peso fuera de rango"&amp;" · ","")&amp;IF(AND(B78&lt;&gt;"",ABS(SUMIFS($G$5:$G$1000,$B$5:$B$1000,B78)-1)&gt;0.0001),"Pesos del puesto suman "&amp;TEXT(SUMIFS($G$5:$G$1000,$B$5:$B$1000,B78),"0%")&amp;" · ","")&amp;IF((COUNTIF(H78:K78,"&gt;1")+COUNTIF(H78:K78,"&lt;0")+COUNTA(H78:K78)-COUNT(H78:K78))&gt;0,"Avance fuera de rango 0-100%"&amp;" · ","")&amp;IF(OR(AND(I78&lt;&gt;"",I78&lt;H78),AND(J78&lt;&gt;"",J78&lt;MAX(H78:I78)),AND(K78&lt;&gt;"",K78&lt;MAX(H78:J78))),"Avance semanal decreciente"&amp;" · ","")&amp;IF(AND(ISNUMBER(F78),F78&lt;FechaRef,N(L78)&lt;1),"Vencida"&amp;" · ","")&amp;IF(AND(EvidenciaObligatoria="Sí",N(L78)&gt;=1,O78=""),"Completada sin evidencia"&amp;" · ",""))-3)))</f>
        <v/>
      </c>
    </row>
    <row r="79">
      <c r="A79" s="46" t="n"/>
      <c r="B79" s="47" t="n"/>
      <c r="C79" s="47" t="n"/>
      <c r="D79" s="47" t="n"/>
      <c r="E79" s="48" t="n"/>
      <c r="F79" s="48" t="n"/>
      <c r="G79" s="49" t="n"/>
      <c r="H79" s="50" t="n"/>
      <c r="I79" s="50" t="n"/>
      <c r="J79" s="50" t="n"/>
      <c r="K79" s="50" t="n"/>
      <c r="L79" s="51">
        <f>IF(NOT((COUNTA($A79:$K79)+COUNTA($N79:$O79))&gt;0),"",IFERROR(LOOKUP(2,1/(H79:K79&lt;&gt;""),H79:K79),0))</f>
        <v/>
      </c>
      <c r="M79" s="52">
        <f>IF(L79="","",IF(L79&gt;=1,"Completado",IF(L79&gt;0,"En curso","Pendiente")))</f>
        <v/>
      </c>
      <c r="N79" s="48" t="n"/>
      <c r="O79" s="47" t="n"/>
      <c r="P79" s="53">
        <f>IF(NOT((COUNTA($A79:$K79)+COUNTA($N79:$O79))&gt;0),"",IF((IF(A79="","Falta ID"&amp;" · ","")&amp;IF(AND(A79&lt;&gt;"",COUNTIF($A$5:$A$1000,A79)&gt;1),"ID duplicado"&amp;" · ","")&amp;IF(B79="","Área sin seleccionar"&amp;" · ","")&amp;IF(AND(B79&lt;&gt;"",ISNA(MATCH(B79,ListaPuestos,0))),"Área no válida"&amp;" · ","")&amp;IF(C79="","Macroactividad vacía"&amp;" · ","")&amp;IF(D79="","Sin responsable"&amp;" · ","")&amp;IF(E79="","Sin fecha de inicio"&amp;" · ","")&amp;IF(F79="","Sin fecha límite"&amp;" · ","")&amp;IF(OR(AND(E79&lt;&gt;"",NOT(ISNUMBER(E79))),AND(F79&lt;&gt;"",NOT(ISNUMBER(F79)))),"Fecha no válida"&amp;" · ","")&amp;IF(AND(ISNUMBER(E79),ISNUMBER(F79),E79&gt;F79),"Inicio posterior a fecha límite"&amp;" · ","")&amp;IF(G79="","Peso vacío"&amp;" · ","")&amp;IF(AND(G79&lt;&gt;"",OR(NOT(ISNUMBER(G79)),G79&lt;=0,G79&gt;1)),"Peso fuera de rango"&amp;" · ","")&amp;IF(AND(B79&lt;&gt;"",ABS(SUMIFS($G$5:$G$1000,$B$5:$B$1000,B79)-1)&gt;0.0001),"Pesos del puesto suman "&amp;TEXT(SUMIFS($G$5:$G$1000,$B$5:$B$1000,B79),"0%")&amp;" · ","")&amp;IF((COUNTIF(H79:K79,"&gt;1")+COUNTIF(H79:K79,"&lt;0")+COUNTA(H79:K79)-COUNT(H79:K79))&gt;0,"Avance fuera de rango 0-100%"&amp;" · ","")&amp;IF(OR(AND(I79&lt;&gt;"",I79&lt;H79),AND(J79&lt;&gt;"",J79&lt;MAX(H79:I79)),AND(K79&lt;&gt;"",K79&lt;MAX(H79:J79))),"Avance semanal decreciente"&amp;" · ","")&amp;IF(AND(ISNUMBER(F79),F79&lt;FechaRef,N(L79)&lt;1),"Vencida"&amp;" · ","")&amp;IF(AND(EvidenciaObligatoria="Sí",N(L79)&gt;=1,O79=""),"Completada sin evidencia"&amp;" · ",""))="","✔ OK","⚠ "&amp;LEFT(IF(A79="","Falta ID"&amp;" · ","")&amp;IF(AND(A79&lt;&gt;"",COUNTIF($A$5:$A$1000,A79)&gt;1),"ID duplicado"&amp;" · ","")&amp;IF(B79="","Área sin seleccionar"&amp;" · ","")&amp;IF(AND(B79&lt;&gt;"",ISNA(MATCH(B79,ListaPuestos,0))),"Área no válida"&amp;" · ","")&amp;IF(C79="","Macroactividad vacía"&amp;" · ","")&amp;IF(D79="","Sin responsable"&amp;" · ","")&amp;IF(E79="","Sin fecha de inicio"&amp;" · ","")&amp;IF(F79="","Sin fecha límite"&amp;" · ","")&amp;IF(OR(AND(E79&lt;&gt;"",NOT(ISNUMBER(E79))),AND(F79&lt;&gt;"",NOT(ISNUMBER(F79)))),"Fecha no válida"&amp;" · ","")&amp;IF(AND(ISNUMBER(E79),ISNUMBER(F79),E79&gt;F79),"Inicio posterior a fecha límite"&amp;" · ","")&amp;IF(G79="","Peso vacío"&amp;" · ","")&amp;IF(AND(G79&lt;&gt;"",OR(NOT(ISNUMBER(G79)),G79&lt;=0,G79&gt;1)),"Peso fuera de rango"&amp;" · ","")&amp;IF(AND(B79&lt;&gt;"",ABS(SUMIFS($G$5:$G$1000,$B$5:$B$1000,B79)-1)&gt;0.0001),"Pesos del puesto suman "&amp;TEXT(SUMIFS($G$5:$G$1000,$B$5:$B$1000,B79),"0%")&amp;" · ","")&amp;IF((COUNTIF(H79:K79,"&gt;1")+COUNTIF(H79:K79,"&lt;0")+COUNTA(H79:K79)-COUNT(H79:K79))&gt;0,"Avance fuera de rango 0-100%"&amp;" · ","")&amp;IF(OR(AND(I79&lt;&gt;"",I79&lt;H79),AND(J79&lt;&gt;"",J79&lt;MAX(H79:I79)),AND(K79&lt;&gt;"",K79&lt;MAX(H79:J79))),"Avance semanal decreciente"&amp;" · ","")&amp;IF(AND(ISNUMBER(F79),F79&lt;FechaRef,N(L79)&lt;1),"Vencida"&amp;" · ","")&amp;IF(AND(EvidenciaObligatoria="Sí",N(L79)&gt;=1,O79=""),"Completada sin evidencia"&amp;" · ",""),LEN(IF(A79="","Falta ID"&amp;" · ","")&amp;IF(AND(A79&lt;&gt;"",COUNTIF($A$5:$A$1000,A79)&gt;1),"ID duplicado"&amp;" · ","")&amp;IF(B79="","Área sin seleccionar"&amp;" · ","")&amp;IF(AND(B79&lt;&gt;"",ISNA(MATCH(B79,ListaPuestos,0))),"Área no válida"&amp;" · ","")&amp;IF(C79="","Macroactividad vacía"&amp;" · ","")&amp;IF(D79="","Sin responsable"&amp;" · ","")&amp;IF(E79="","Sin fecha de inicio"&amp;" · ","")&amp;IF(F79="","Sin fecha límite"&amp;" · ","")&amp;IF(OR(AND(E79&lt;&gt;"",NOT(ISNUMBER(E79))),AND(F79&lt;&gt;"",NOT(ISNUMBER(F79)))),"Fecha no válida"&amp;" · ","")&amp;IF(AND(ISNUMBER(E79),ISNUMBER(F79),E79&gt;F79),"Inicio posterior a fecha límite"&amp;" · ","")&amp;IF(G79="","Peso vacío"&amp;" · ","")&amp;IF(AND(G79&lt;&gt;"",OR(NOT(ISNUMBER(G79)),G79&lt;=0,G79&gt;1)),"Peso fuera de rango"&amp;" · ","")&amp;IF(AND(B79&lt;&gt;"",ABS(SUMIFS($G$5:$G$1000,$B$5:$B$1000,B79)-1)&gt;0.0001),"Pesos del puesto suman "&amp;TEXT(SUMIFS($G$5:$G$1000,$B$5:$B$1000,B79),"0%")&amp;" · ","")&amp;IF((COUNTIF(H79:K79,"&gt;1")+COUNTIF(H79:K79,"&lt;0")+COUNTA(H79:K79)-COUNT(H79:K79))&gt;0,"Avance fuera de rango 0-100%"&amp;" · ","")&amp;IF(OR(AND(I79&lt;&gt;"",I79&lt;H79),AND(J79&lt;&gt;"",J79&lt;MAX(H79:I79)),AND(K79&lt;&gt;"",K79&lt;MAX(H79:J79))),"Avance semanal decreciente"&amp;" · ","")&amp;IF(AND(ISNUMBER(F79),F79&lt;FechaRef,N(L79)&lt;1),"Vencida"&amp;" · ","")&amp;IF(AND(EvidenciaObligatoria="Sí",N(L79)&gt;=1,O79=""),"Completada sin evidencia"&amp;" · ",""))-3)))</f>
        <v/>
      </c>
    </row>
    <row r="80">
      <c r="A80" s="46" t="n"/>
      <c r="B80" s="47" t="n"/>
      <c r="C80" s="47" t="n"/>
      <c r="D80" s="47" t="n"/>
      <c r="E80" s="48" t="n"/>
      <c r="F80" s="48" t="n"/>
      <c r="G80" s="49" t="n"/>
      <c r="H80" s="50" t="n"/>
      <c r="I80" s="50" t="n"/>
      <c r="J80" s="50" t="n"/>
      <c r="K80" s="50" t="n"/>
      <c r="L80" s="51">
        <f>IF(NOT((COUNTA($A80:$K80)+COUNTA($N80:$O80))&gt;0),"",IFERROR(LOOKUP(2,1/(H80:K80&lt;&gt;""),H80:K80),0))</f>
        <v/>
      </c>
      <c r="M80" s="52">
        <f>IF(L80="","",IF(L80&gt;=1,"Completado",IF(L80&gt;0,"En curso","Pendiente")))</f>
        <v/>
      </c>
      <c r="N80" s="48" t="n"/>
      <c r="O80" s="47" t="n"/>
      <c r="P80" s="53">
        <f>IF(NOT((COUNTA($A80:$K80)+COUNTA($N80:$O80))&gt;0),"",IF((IF(A80="","Falta ID"&amp;" · ","")&amp;IF(AND(A80&lt;&gt;"",COUNTIF($A$5:$A$1000,A80)&gt;1),"ID duplicado"&amp;" · ","")&amp;IF(B80="","Área sin seleccionar"&amp;" · ","")&amp;IF(AND(B80&lt;&gt;"",ISNA(MATCH(B80,ListaPuestos,0))),"Área no válida"&amp;" · ","")&amp;IF(C80="","Macroactividad vacía"&amp;" · ","")&amp;IF(D80="","Sin responsable"&amp;" · ","")&amp;IF(E80="","Sin fecha de inicio"&amp;" · ","")&amp;IF(F80="","Sin fecha límite"&amp;" · ","")&amp;IF(OR(AND(E80&lt;&gt;"",NOT(ISNUMBER(E80))),AND(F80&lt;&gt;"",NOT(ISNUMBER(F80)))),"Fecha no válida"&amp;" · ","")&amp;IF(AND(ISNUMBER(E80),ISNUMBER(F80),E80&gt;F80),"Inicio posterior a fecha límite"&amp;" · ","")&amp;IF(G80="","Peso vacío"&amp;" · ","")&amp;IF(AND(G80&lt;&gt;"",OR(NOT(ISNUMBER(G80)),G80&lt;=0,G80&gt;1)),"Peso fuera de rango"&amp;" · ","")&amp;IF(AND(B80&lt;&gt;"",ABS(SUMIFS($G$5:$G$1000,$B$5:$B$1000,B80)-1)&gt;0.0001),"Pesos del puesto suman "&amp;TEXT(SUMIFS($G$5:$G$1000,$B$5:$B$1000,B80),"0%")&amp;" · ","")&amp;IF((COUNTIF(H80:K80,"&gt;1")+COUNTIF(H80:K80,"&lt;0")+COUNTA(H80:K80)-COUNT(H80:K80))&gt;0,"Avance fuera de rango 0-100%"&amp;" · ","")&amp;IF(OR(AND(I80&lt;&gt;"",I80&lt;H80),AND(J80&lt;&gt;"",J80&lt;MAX(H80:I80)),AND(K80&lt;&gt;"",K80&lt;MAX(H80:J80))),"Avance semanal decreciente"&amp;" · ","")&amp;IF(AND(ISNUMBER(F80),F80&lt;FechaRef,N(L80)&lt;1),"Vencida"&amp;" · ","")&amp;IF(AND(EvidenciaObligatoria="Sí",N(L80)&gt;=1,O80=""),"Completada sin evidencia"&amp;" · ",""))="","✔ OK","⚠ "&amp;LEFT(IF(A80="","Falta ID"&amp;" · ","")&amp;IF(AND(A80&lt;&gt;"",COUNTIF($A$5:$A$1000,A80)&gt;1),"ID duplicado"&amp;" · ","")&amp;IF(B80="","Área sin seleccionar"&amp;" · ","")&amp;IF(AND(B80&lt;&gt;"",ISNA(MATCH(B80,ListaPuestos,0))),"Área no válida"&amp;" · ","")&amp;IF(C80="","Macroactividad vacía"&amp;" · ","")&amp;IF(D80="","Sin responsable"&amp;" · ","")&amp;IF(E80="","Sin fecha de inicio"&amp;" · ","")&amp;IF(F80="","Sin fecha límite"&amp;" · ","")&amp;IF(OR(AND(E80&lt;&gt;"",NOT(ISNUMBER(E80))),AND(F80&lt;&gt;"",NOT(ISNUMBER(F80)))),"Fecha no válida"&amp;" · ","")&amp;IF(AND(ISNUMBER(E80),ISNUMBER(F80),E80&gt;F80),"Inicio posterior a fecha límite"&amp;" · ","")&amp;IF(G80="","Peso vacío"&amp;" · ","")&amp;IF(AND(G80&lt;&gt;"",OR(NOT(ISNUMBER(G80)),G80&lt;=0,G80&gt;1)),"Peso fuera de rango"&amp;" · ","")&amp;IF(AND(B80&lt;&gt;"",ABS(SUMIFS($G$5:$G$1000,$B$5:$B$1000,B80)-1)&gt;0.0001),"Pesos del puesto suman "&amp;TEXT(SUMIFS($G$5:$G$1000,$B$5:$B$1000,B80),"0%")&amp;" · ","")&amp;IF((COUNTIF(H80:K80,"&gt;1")+COUNTIF(H80:K80,"&lt;0")+COUNTA(H80:K80)-COUNT(H80:K80))&gt;0,"Avance fuera de rango 0-100%"&amp;" · ","")&amp;IF(OR(AND(I80&lt;&gt;"",I80&lt;H80),AND(J80&lt;&gt;"",J80&lt;MAX(H80:I80)),AND(K80&lt;&gt;"",K80&lt;MAX(H80:J80))),"Avance semanal decreciente"&amp;" · ","")&amp;IF(AND(ISNUMBER(F80),F80&lt;FechaRef,N(L80)&lt;1),"Vencida"&amp;" · ","")&amp;IF(AND(EvidenciaObligatoria="Sí",N(L80)&gt;=1,O80=""),"Completada sin evidencia"&amp;" · ",""),LEN(IF(A80="","Falta ID"&amp;" · ","")&amp;IF(AND(A80&lt;&gt;"",COUNTIF($A$5:$A$1000,A80)&gt;1),"ID duplicado"&amp;" · ","")&amp;IF(B80="","Área sin seleccionar"&amp;" · ","")&amp;IF(AND(B80&lt;&gt;"",ISNA(MATCH(B80,ListaPuestos,0))),"Área no válida"&amp;" · ","")&amp;IF(C80="","Macroactividad vacía"&amp;" · ","")&amp;IF(D80="","Sin responsable"&amp;" · ","")&amp;IF(E80="","Sin fecha de inicio"&amp;" · ","")&amp;IF(F80="","Sin fecha límite"&amp;" · ","")&amp;IF(OR(AND(E80&lt;&gt;"",NOT(ISNUMBER(E80))),AND(F80&lt;&gt;"",NOT(ISNUMBER(F80)))),"Fecha no válida"&amp;" · ","")&amp;IF(AND(ISNUMBER(E80),ISNUMBER(F80),E80&gt;F80),"Inicio posterior a fecha límite"&amp;" · ","")&amp;IF(G80="","Peso vacío"&amp;" · ","")&amp;IF(AND(G80&lt;&gt;"",OR(NOT(ISNUMBER(G80)),G80&lt;=0,G80&gt;1)),"Peso fuera de rango"&amp;" · ","")&amp;IF(AND(B80&lt;&gt;"",ABS(SUMIFS($G$5:$G$1000,$B$5:$B$1000,B80)-1)&gt;0.0001),"Pesos del puesto suman "&amp;TEXT(SUMIFS($G$5:$G$1000,$B$5:$B$1000,B80),"0%")&amp;" · ","")&amp;IF((COUNTIF(H80:K80,"&gt;1")+COUNTIF(H80:K80,"&lt;0")+COUNTA(H80:K80)-COUNT(H80:K80))&gt;0,"Avance fuera de rango 0-100%"&amp;" · ","")&amp;IF(OR(AND(I80&lt;&gt;"",I80&lt;H80),AND(J80&lt;&gt;"",J80&lt;MAX(H80:I80)),AND(K80&lt;&gt;"",K80&lt;MAX(H80:J80))),"Avance semanal decreciente"&amp;" · ","")&amp;IF(AND(ISNUMBER(F80),F80&lt;FechaRef,N(L80)&lt;1),"Vencida"&amp;" · ","")&amp;IF(AND(EvidenciaObligatoria="Sí",N(L80)&gt;=1,O80=""),"Completada sin evidencia"&amp;" · ",""))-3)))</f>
        <v/>
      </c>
    </row>
    <row r="81">
      <c r="A81" s="46" t="n"/>
      <c r="B81" s="47" t="n"/>
      <c r="C81" s="47" t="n"/>
      <c r="D81" s="47" t="n"/>
      <c r="E81" s="48" t="n"/>
      <c r="F81" s="48" t="n"/>
      <c r="G81" s="49" t="n"/>
      <c r="H81" s="50" t="n"/>
      <c r="I81" s="50" t="n"/>
      <c r="J81" s="50" t="n"/>
      <c r="K81" s="50" t="n"/>
      <c r="L81" s="51">
        <f>IF(NOT((COUNTA($A81:$K81)+COUNTA($N81:$O81))&gt;0),"",IFERROR(LOOKUP(2,1/(H81:K81&lt;&gt;""),H81:K81),0))</f>
        <v/>
      </c>
      <c r="M81" s="52">
        <f>IF(L81="","",IF(L81&gt;=1,"Completado",IF(L81&gt;0,"En curso","Pendiente")))</f>
        <v/>
      </c>
      <c r="N81" s="48" t="n"/>
      <c r="O81" s="47" t="n"/>
      <c r="P81" s="53">
        <f>IF(NOT((COUNTA($A81:$K81)+COUNTA($N81:$O81))&gt;0),"",IF((IF(A81="","Falta ID"&amp;" · ","")&amp;IF(AND(A81&lt;&gt;"",COUNTIF($A$5:$A$1000,A81)&gt;1),"ID duplicado"&amp;" · ","")&amp;IF(B81="","Área sin seleccionar"&amp;" · ","")&amp;IF(AND(B81&lt;&gt;"",ISNA(MATCH(B81,ListaPuestos,0))),"Área no válida"&amp;" · ","")&amp;IF(C81="","Macroactividad vacía"&amp;" · ","")&amp;IF(D81="","Sin responsable"&amp;" · ","")&amp;IF(E81="","Sin fecha de inicio"&amp;" · ","")&amp;IF(F81="","Sin fecha límite"&amp;" · ","")&amp;IF(OR(AND(E81&lt;&gt;"",NOT(ISNUMBER(E81))),AND(F81&lt;&gt;"",NOT(ISNUMBER(F81)))),"Fecha no válida"&amp;" · ","")&amp;IF(AND(ISNUMBER(E81),ISNUMBER(F81),E81&gt;F81),"Inicio posterior a fecha límite"&amp;" · ","")&amp;IF(G81="","Peso vacío"&amp;" · ","")&amp;IF(AND(G81&lt;&gt;"",OR(NOT(ISNUMBER(G81)),G81&lt;=0,G81&gt;1)),"Peso fuera de rango"&amp;" · ","")&amp;IF(AND(B81&lt;&gt;"",ABS(SUMIFS($G$5:$G$1000,$B$5:$B$1000,B81)-1)&gt;0.0001),"Pesos del puesto suman "&amp;TEXT(SUMIFS($G$5:$G$1000,$B$5:$B$1000,B81),"0%")&amp;" · ","")&amp;IF((COUNTIF(H81:K81,"&gt;1")+COUNTIF(H81:K81,"&lt;0")+COUNTA(H81:K81)-COUNT(H81:K81))&gt;0,"Avance fuera de rango 0-100%"&amp;" · ","")&amp;IF(OR(AND(I81&lt;&gt;"",I81&lt;H81),AND(J81&lt;&gt;"",J81&lt;MAX(H81:I81)),AND(K81&lt;&gt;"",K81&lt;MAX(H81:J81))),"Avance semanal decreciente"&amp;" · ","")&amp;IF(AND(ISNUMBER(F81),F81&lt;FechaRef,N(L81)&lt;1),"Vencida"&amp;" · ","")&amp;IF(AND(EvidenciaObligatoria="Sí",N(L81)&gt;=1,O81=""),"Completada sin evidencia"&amp;" · ",""))="","✔ OK","⚠ "&amp;LEFT(IF(A81="","Falta ID"&amp;" · ","")&amp;IF(AND(A81&lt;&gt;"",COUNTIF($A$5:$A$1000,A81)&gt;1),"ID duplicado"&amp;" · ","")&amp;IF(B81="","Área sin seleccionar"&amp;" · ","")&amp;IF(AND(B81&lt;&gt;"",ISNA(MATCH(B81,ListaPuestos,0))),"Área no válida"&amp;" · ","")&amp;IF(C81="","Macroactividad vacía"&amp;" · ","")&amp;IF(D81="","Sin responsable"&amp;" · ","")&amp;IF(E81="","Sin fecha de inicio"&amp;" · ","")&amp;IF(F81="","Sin fecha límite"&amp;" · ","")&amp;IF(OR(AND(E81&lt;&gt;"",NOT(ISNUMBER(E81))),AND(F81&lt;&gt;"",NOT(ISNUMBER(F81)))),"Fecha no válida"&amp;" · ","")&amp;IF(AND(ISNUMBER(E81),ISNUMBER(F81),E81&gt;F81),"Inicio posterior a fecha límite"&amp;" · ","")&amp;IF(G81="","Peso vacío"&amp;" · ","")&amp;IF(AND(G81&lt;&gt;"",OR(NOT(ISNUMBER(G81)),G81&lt;=0,G81&gt;1)),"Peso fuera de rango"&amp;" · ","")&amp;IF(AND(B81&lt;&gt;"",ABS(SUMIFS($G$5:$G$1000,$B$5:$B$1000,B81)-1)&gt;0.0001),"Pesos del puesto suman "&amp;TEXT(SUMIFS($G$5:$G$1000,$B$5:$B$1000,B81),"0%")&amp;" · ","")&amp;IF((COUNTIF(H81:K81,"&gt;1")+COUNTIF(H81:K81,"&lt;0")+COUNTA(H81:K81)-COUNT(H81:K81))&gt;0,"Avance fuera de rango 0-100%"&amp;" · ","")&amp;IF(OR(AND(I81&lt;&gt;"",I81&lt;H81),AND(J81&lt;&gt;"",J81&lt;MAX(H81:I81)),AND(K81&lt;&gt;"",K81&lt;MAX(H81:J81))),"Avance semanal decreciente"&amp;" · ","")&amp;IF(AND(ISNUMBER(F81),F81&lt;FechaRef,N(L81)&lt;1),"Vencida"&amp;" · ","")&amp;IF(AND(EvidenciaObligatoria="Sí",N(L81)&gt;=1,O81=""),"Completada sin evidencia"&amp;" · ",""),LEN(IF(A81="","Falta ID"&amp;" · ","")&amp;IF(AND(A81&lt;&gt;"",COUNTIF($A$5:$A$1000,A81)&gt;1),"ID duplicado"&amp;" · ","")&amp;IF(B81="","Área sin seleccionar"&amp;" · ","")&amp;IF(AND(B81&lt;&gt;"",ISNA(MATCH(B81,ListaPuestos,0))),"Área no válida"&amp;" · ","")&amp;IF(C81="","Macroactividad vacía"&amp;" · ","")&amp;IF(D81="","Sin responsable"&amp;" · ","")&amp;IF(E81="","Sin fecha de inicio"&amp;" · ","")&amp;IF(F81="","Sin fecha límite"&amp;" · ","")&amp;IF(OR(AND(E81&lt;&gt;"",NOT(ISNUMBER(E81))),AND(F81&lt;&gt;"",NOT(ISNUMBER(F81)))),"Fecha no válida"&amp;" · ","")&amp;IF(AND(ISNUMBER(E81),ISNUMBER(F81),E81&gt;F81),"Inicio posterior a fecha límite"&amp;" · ","")&amp;IF(G81="","Peso vacío"&amp;" · ","")&amp;IF(AND(G81&lt;&gt;"",OR(NOT(ISNUMBER(G81)),G81&lt;=0,G81&gt;1)),"Peso fuera de rango"&amp;" · ","")&amp;IF(AND(B81&lt;&gt;"",ABS(SUMIFS($G$5:$G$1000,$B$5:$B$1000,B81)-1)&gt;0.0001),"Pesos del puesto suman "&amp;TEXT(SUMIFS($G$5:$G$1000,$B$5:$B$1000,B81),"0%")&amp;" · ","")&amp;IF((COUNTIF(H81:K81,"&gt;1")+COUNTIF(H81:K81,"&lt;0")+COUNTA(H81:K81)-COUNT(H81:K81))&gt;0,"Avance fuera de rango 0-100%"&amp;" · ","")&amp;IF(OR(AND(I81&lt;&gt;"",I81&lt;H81),AND(J81&lt;&gt;"",J81&lt;MAX(H81:I81)),AND(K81&lt;&gt;"",K81&lt;MAX(H81:J81))),"Avance semanal decreciente"&amp;" · ","")&amp;IF(AND(ISNUMBER(F81),F81&lt;FechaRef,N(L81)&lt;1),"Vencida"&amp;" · ","")&amp;IF(AND(EvidenciaObligatoria="Sí",N(L81)&gt;=1,O81=""),"Completada sin evidencia"&amp;" · ",""))-3)))</f>
        <v/>
      </c>
    </row>
    <row r="82">
      <c r="A82" s="46" t="n"/>
      <c r="B82" s="47" t="n"/>
      <c r="C82" s="47" t="n"/>
      <c r="D82" s="47" t="n"/>
      <c r="E82" s="48" t="n"/>
      <c r="F82" s="48" t="n"/>
      <c r="G82" s="49" t="n"/>
      <c r="H82" s="50" t="n"/>
      <c r="I82" s="50" t="n"/>
      <c r="J82" s="50" t="n"/>
      <c r="K82" s="50" t="n"/>
      <c r="L82" s="51">
        <f>IF(NOT((COUNTA($A82:$K82)+COUNTA($N82:$O82))&gt;0),"",IFERROR(LOOKUP(2,1/(H82:K82&lt;&gt;""),H82:K82),0))</f>
        <v/>
      </c>
      <c r="M82" s="52">
        <f>IF(L82="","",IF(L82&gt;=1,"Completado",IF(L82&gt;0,"En curso","Pendiente")))</f>
        <v/>
      </c>
      <c r="N82" s="48" t="n"/>
      <c r="O82" s="47" t="n"/>
      <c r="P82" s="53">
        <f>IF(NOT((COUNTA($A82:$K82)+COUNTA($N82:$O82))&gt;0),"",IF((IF(A82="","Falta ID"&amp;" · ","")&amp;IF(AND(A82&lt;&gt;"",COUNTIF($A$5:$A$1000,A82)&gt;1),"ID duplicado"&amp;" · ","")&amp;IF(B82="","Área sin seleccionar"&amp;" · ","")&amp;IF(AND(B82&lt;&gt;"",ISNA(MATCH(B82,ListaPuestos,0))),"Área no válida"&amp;" · ","")&amp;IF(C82="","Macroactividad vacía"&amp;" · ","")&amp;IF(D82="","Sin responsable"&amp;" · ","")&amp;IF(E82="","Sin fecha de inicio"&amp;" · ","")&amp;IF(F82="","Sin fecha límite"&amp;" · ","")&amp;IF(OR(AND(E82&lt;&gt;"",NOT(ISNUMBER(E82))),AND(F82&lt;&gt;"",NOT(ISNUMBER(F82)))),"Fecha no válida"&amp;" · ","")&amp;IF(AND(ISNUMBER(E82),ISNUMBER(F82),E82&gt;F82),"Inicio posterior a fecha límite"&amp;" · ","")&amp;IF(G82="","Peso vacío"&amp;" · ","")&amp;IF(AND(G82&lt;&gt;"",OR(NOT(ISNUMBER(G82)),G82&lt;=0,G82&gt;1)),"Peso fuera de rango"&amp;" · ","")&amp;IF(AND(B82&lt;&gt;"",ABS(SUMIFS($G$5:$G$1000,$B$5:$B$1000,B82)-1)&gt;0.0001),"Pesos del puesto suman "&amp;TEXT(SUMIFS($G$5:$G$1000,$B$5:$B$1000,B82),"0%")&amp;" · ","")&amp;IF((COUNTIF(H82:K82,"&gt;1")+COUNTIF(H82:K82,"&lt;0")+COUNTA(H82:K82)-COUNT(H82:K82))&gt;0,"Avance fuera de rango 0-100%"&amp;" · ","")&amp;IF(OR(AND(I82&lt;&gt;"",I82&lt;H82),AND(J82&lt;&gt;"",J82&lt;MAX(H82:I82)),AND(K82&lt;&gt;"",K82&lt;MAX(H82:J82))),"Avance semanal decreciente"&amp;" · ","")&amp;IF(AND(ISNUMBER(F82),F82&lt;FechaRef,N(L82)&lt;1),"Vencida"&amp;" · ","")&amp;IF(AND(EvidenciaObligatoria="Sí",N(L82)&gt;=1,O82=""),"Completada sin evidencia"&amp;" · ",""))="","✔ OK","⚠ "&amp;LEFT(IF(A82="","Falta ID"&amp;" · ","")&amp;IF(AND(A82&lt;&gt;"",COUNTIF($A$5:$A$1000,A82)&gt;1),"ID duplicado"&amp;" · ","")&amp;IF(B82="","Área sin seleccionar"&amp;" · ","")&amp;IF(AND(B82&lt;&gt;"",ISNA(MATCH(B82,ListaPuestos,0))),"Área no válida"&amp;" · ","")&amp;IF(C82="","Macroactividad vacía"&amp;" · ","")&amp;IF(D82="","Sin responsable"&amp;" · ","")&amp;IF(E82="","Sin fecha de inicio"&amp;" · ","")&amp;IF(F82="","Sin fecha límite"&amp;" · ","")&amp;IF(OR(AND(E82&lt;&gt;"",NOT(ISNUMBER(E82))),AND(F82&lt;&gt;"",NOT(ISNUMBER(F82)))),"Fecha no válida"&amp;" · ","")&amp;IF(AND(ISNUMBER(E82),ISNUMBER(F82),E82&gt;F82),"Inicio posterior a fecha límite"&amp;" · ","")&amp;IF(G82="","Peso vacío"&amp;" · ","")&amp;IF(AND(G82&lt;&gt;"",OR(NOT(ISNUMBER(G82)),G82&lt;=0,G82&gt;1)),"Peso fuera de rango"&amp;" · ","")&amp;IF(AND(B82&lt;&gt;"",ABS(SUMIFS($G$5:$G$1000,$B$5:$B$1000,B82)-1)&gt;0.0001),"Pesos del puesto suman "&amp;TEXT(SUMIFS($G$5:$G$1000,$B$5:$B$1000,B82),"0%")&amp;" · ","")&amp;IF((COUNTIF(H82:K82,"&gt;1")+COUNTIF(H82:K82,"&lt;0")+COUNTA(H82:K82)-COUNT(H82:K82))&gt;0,"Avance fuera de rango 0-100%"&amp;" · ","")&amp;IF(OR(AND(I82&lt;&gt;"",I82&lt;H82),AND(J82&lt;&gt;"",J82&lt;MAX(H82:I82)),AND(K82&lt;&gt;"",K82&lt;MAX(H82:J82))),"Avance semanal decreciente"&amp;" · ","")&amp;IF(AND(ISNUMBER(F82),F82&lt;FechaRef,N(L82)&lt;1),"Vencida"&amp;" · ","")&amp;IF(AND(EvidenciaObligatoria="Sí",N(L82)&gt;=1,O82=""),"Completada sin evidencia"&amp;" · ",""),LEN(IF(A82="","Falta ID"&amp;" · ","")&amp;IF(AND(A82&lt;&gt;"",COUNTIF($A$5:$A$1000,A82)&gt;1),"ID duplicado"&amp;" · ","")&amp;IF(B82="","Área sin seleccionar"&amp;" · ","")&amp;IF(AND(B82&lt;&gt;"",ISNA(MATCH(B82,ListaPuestos,0))),"Área no válida"&amp;" · ","")&amp;IF(C82="","Macroactividad vacía"&amp;" · ","")&amp;IF(D82="","Sin responsable"&amp;" · ","")&amp;IF(E82="","Sin fecha de inicio"&amp;" · ","")&amp;IF(F82="","Sin fecha límite"&amp;" · ","")&amp;IF(OR(AND(E82&lt;&gt;"",NOT(ISNUMBER(E82))),AND(F82&lt;&gt;"",NOT(ISNUMBER(F82)))),"Fecha no válida"&amp;" · ","")&amp;IF(AND(ISNUMBER(E82),ISNUMBER(F82),E82&gt;F82),"Inicio posterior a fecha límite"&amp;" · ","")&amp;IF(G82="","Peso vacío"&amp;" · ","")&amp;IF(AND(G82&lt;&gt;"",OR(NOT(ISNUMBER(G82)),G82&lt;=0,G82&gt;1)),"Peso fuera de rango"&amp;" · ","")&amp;IF(AND(B82&lt;&gt;"",ABS(SUMIFS($G$5:$G$1000,$B$5:$B$1000,B82)-1)&gt;0.0001),"Pesos del puesto suman "&amp;TEXT(SUMIFS($G$5:$G$1000,$B$5:$B$1000,B82),"0%")&amp;" · ","")&amp;IF((COUNTIF(H82:K82,"&gt;1")+COUNTIF(H82:K82,"&lt;0")+COUNTA(H82:K82)-COUNT(H82:K82))&gt;0,"Avance fuera de rango 0-100%"&amp;" · ","")&amp;IF(OR(AND(I82&lt;&gt;"",I82&lt;H82),AND(J82&lt;&gt;"",J82&lt;MAX(H82:I82)),AND(K82&lt;&gt;"",K82&lt;MAX(H82:J82))),"Avance semanal decreciente"&amp;" · ","")&amp;IF(AND(ISNUMBER(F82),F82&lt;FechaRef,N(L82)&lt;1),"Vencida"&amp;" · ","")&amp;IF(AND(EvidenciaObligatoria="Sí",N(L82)&gt;=1,O82=""),"Completada sin evidencia"&amp;" · ",""))-3)))</f>
        <v/>
      </c>
    </row>
    <row r="83">
      <c r="A83" s="46" t="n"/>
      <c r="B83" s="47" t="n"/>
      <c r="C83" s="47" t="n"/>
      <c r="D83" s="47" t="n"/>
      <c r="E83" s="48" t="n"/>
      <c r="F83" s="48" t="n"/>
      <c r="G83" s="49" t="n"/>
      <c r="H83" s="50" t="n"/>
      <c r="I83" s="50" t="n"/>
      <c r="J83" s="50" t="n"/>
      <c r="K83" s="50" t="n"/>
      <c r="L83" s="51">
        <f>IF(NOT((COUNTA($A83:$K83)+COUNTA($N83:$O83))&gt;0),"",IFERROR(LOOKUP(2,1/(H83:K83&lt;&gt;""),H83:K83),0))</f>
        <v/>
      </c>
      <c r="M83" s="52">
        <f>IF(L83="","",IF(L83&gt;=1,"Completado",IF(L83&gt;0,"En curso","Pendiente")))</f>
        <v/>
      </c>
      <c r="N83" s="48" t="n"/>
      <c r="O83" s="47" t="n"/>
      <c r="P83" s="53">
        <f>IF(NOT((COUNTA($A83:$K83)+COUNTA($N83:$O83))&gt;0),"",IF((IF(A83="","Falta ID"&amp;" · ","")&amp;IF(AND(A83&lt;&gt;"",COUNTIF($A$5:$A$1000,A83)&gt;1),"ID duplicado"&amp;" · ","")&amp;IF(B83="","Área sin seleccionar"&amp;" · ","")&amp;IF(AND(B83&lt;&gt;"",ISNA(MATCH(B83,ListaPuestos,0))),"Área no válida"&amp;" · ","")&amp;IF(C83="","Macroactividad vacía"&amp;" · ","")&amp;IF(D83="","Sin responsable"&amp;" · ","")&amp;IF(E83="","Sin fecha de inicio"&amp;" · ","")&amp;IF(F83="","Sin fecha límite"&amp;" · ","")&amp;IF(OR(AND(E83&lt;&gt;"",NOT(ISNUMBER(E83))),AND(F83&lt;&gt;"",NOT(ISNUMBER(F83)))),"Fecha no válida"&amp;" · ","")&amp;IF(AND(ISNUMBER(E83),ISNUMBER(F83),E83&gt;F83),"Inicio posterior a fecha límite"&amp;" · ","")&amp;IF(G83="","Peso vacío"&amp;" · ","")&amp;IF(AND(G83&lt;&gt;"",OR(NOT(ISNUMBER(G83)),G83&lt;=0,G83&gt;1)),"Peso fuera de rango"&amp;" · ","")&amp;IF(AND(B83&lt;&gt;"",ABS(SUMIFS($G$5:$G$1000,$B$5:$B$1000,B83)-1)&gt;0.0001),"Pesos del puesto suman "&amp;TEXT(SUMIFS($G$5:$G$1000,$B$5:$B$1000,B83),"0%")&amp;" · ","")&amp;IF((COUNTIF(H83:K83,"&gt;1")+COUNTIF(H83:K83,"&lt;0")+COUNTA(H83:K83)-COUNT(H83:K83))&gt;0,"Avance fuera de rango 0-100%"&amp;" · ","")&amp;IF(OR(AND(I83&lt;&gt;"",I83&lt;H83),AND(J83&lt;&gt;"",J83&lt;MAX(H83:I83)),AND(K83&lt;&gt;"",K83&lt;MAX(H83:J83))),"Avance semanal decreciente"&amp;" · ","")&amp;IF(AND(ISNUMBER(F83),F83&lt;FechaRef,N(L83)&lt;1),"Vencida"&amp;" · ","")&amp;IF(AND(EvidenciaObligatoria="Sí",N(L83)&gt;=1,O83=""),"Completada sin evidencia"&amp;" · ",""))="","✔ OK","⚠ "&amp;LEFT(IF(A83="","Falta ID"&amp;" · ","")&amp;IF(AND(A83&lt;&gt;"",COUNTIF($A$5:$A$1000,A83)&gt;1),"ID duplicado"&amp;" · ","")&amp;IF(B83="","Área sin seleccionar"&amp;" · ","")&amp;IF(AND(B83&lt;&gt;"",ISNA(MATCH(B83,ListaPuestos,0))),"Área no válida"&amp;" · ","")&amp;IF(C83="","Macroactividad vacía"&amp;" · ","")&amp;IF(D83="","Sin responsable"&amp;" · ","")&amp;IF(E83="","Sin fecha de inicio"&amp;" · ","")&amp;IF(F83="","Sin fecha límite"&amp;" · ","")&amp;IF(OR(AND(E83&lt;&gt;"",NOT(ISNUMBER(E83))),AND(F83&lt;&gt;"",NOT(ISNUMBER(F83)))),"Fecha no válida"&amp;" · ","")&amp;IF(AND(ISNUMBER(E83),ISNUMBER(F83),E83&gt;F83),"Inicio posterior a fecha límite"&amp;" · ","")&amp;IF(G83="","Peso vacío"&amp;" · ","")&amp;IF(AND(G83&lt;&gt;"",OR(NOT(ISNUMBER(G83)),G83&lt;=0,G83&gt;1)),"Peso fuera de rango"&amp;" · ","")&amp;IF(AND(B83&lt;&gt;"",ABS(SUMIFS($G$5:$G$1000,$B$5:$B$1000,B83)-1)&gt;0.0001),"Pesos del puesto suman "&amp;TEXT(SUMIFS($G$5:$G$1000,$B$5:$B$1000,B83),"0%")&amp;" · ","")&amp;IF((COUNTIF(H83:K83,"&gt;1")+COUNTIF(H83:K83,"&lt;0")+COUNTA(H83:K83)-COUNT(H83:K83))&gt;0,"Avance fuera de rango 0-100%"&amp;" · ","")&amp;IF(OR(AND(I83&lt;&gt;"",I83&lt;H83),AND(J83&lt;&gt;"",J83&lt;MAX(H83:I83)),AND(K83&lt;&gt;"",K83&lt;MAX(H83:J83))),"Avance semanal decreciente"&amp;" · ","")&amp;IF(AND(ISNUMBER(F83),F83&lt;FechaRef,N(L83)&lt;1),"Vencida"&amp;" · ","")&amp;IF(AND(EvidenciaObligatoria="Sí",N(L83)&gt;=1,O83=""),"Completada sin evidencia"&amp;" · ",""),LEN(IF(A83="","Falta ID"&amp;" · ","")&amp;IF(AND(A83&lt;&gt;"",COUNTIF($A$5:$A$1000,A83)&gt;1),"ID duplicado"&amp;" · ","")&amp;IF(B83="","Área sin seleccionar"&amp;" · ","")&amp;IF(AND(B83&lt;&gt;"",ISNA(MATCH(B83,ListaPuestos,0))),"Área no válida"&amp;" · ","")&amp;IF(C83="","Macroactividad vacía"&amp;" · ","")&amp;IF(D83="","Sin responsable"&amp;" · ","")&amp;IF(E83="","Sin fecha de inicio"&amp;" · ","")&amp;IF(F83="","Sin fecha límite"&amp;" · ","")&amp;IF(OR(AND(E83&lt;&gt;"",NOT(ISNUMBER(E83))),AND(F83&lt;&gt;"",NOT(ISNUMBER(F83)))),"Fecha no válida"&amp;" · ","")&amp;IF(AND(ISNUMBER(E83),ISNUMBER(F83),E83&gt;F83),"Inicio posterior a fecha límite"&amp;" · ","")&amp;IF(G83="","Peso vacío"&amp;" · ","")&amp;IF(AND(G83&lt;&gt;"",OR(NOT(ISNUMBER(G83)),G83&lt;=0,G83&gt;1)),"Peso fuera de rango"&amp;" · ","")&amp;IF(AND(B83&lt;&gt;"",ABS(SUMIFS($G$5:$G$1000,$B$5:$B$1000,B83)-1)&gt;0.0001),"Pesos del puesto suman "&amp;TEXT(SUMIFS($G$5:$G$1000,$B$5:$B$1000,B83),"0%")&amp;" · ","")&amp;IF((COUNTIF(H83:K83,"&gt;1")+COUNTIF(H83:K83,"&lt;0")+COUNTA(H83:K83)-COUNT(H83:K83))&gt;0,"Avance fuera de rango 0-100%"&amp;" · ","")&amp;IF(OR(AND(I83&lt;&gt;"",I83&lt;H83),AND(J83&lt;&gt;"",J83&lt;MAX(H83:I83)),AND(K83&lt;&gt;"",K83&lt;MAX(H83:J83))),"Avance semanal decreciente"&amp;" · ","")&amp;IF(AND(ISNUMBER(F83),F83&lt;FechaRef,N(L83)&lt;1),"Vencida"&amp;" · ","")&amp;IF(AND(EvidenciaObligatoria="Sí",N(L83)&gt;=1,O83=""),"Completada sin evidencia"&amp;" · ",""))-3)))</f>
        <v/>
      </c>
    </row>
    <row r="84">
      <c r="A84" s="46" t="n"/>
      <c r="B84" s="47" t="n"/>
      <c r="C84" s="47" t="n"/>
      <c r="D84" s="47" t="n"/>
      <c r="E84" s="48" t="n"/>
      <c r="F84" s="48" t="n"/>
      <c r="G84" s="49" t="n"/>
      <c r="H84" s="50" t="n"/>
      <c r="I84" s="50" t="n"/>
      <c r="J84" s="50" t="n"/>
      <c r="K84" s="50" t="n"/>
      <c r="L84" s="51">
        <f>IF(NOT((COUNTA($A84:$K84)+COUNTA($N84:$O84))&gt;0),"",IFERROR(LOOKUP(2,1/(H84:K84&lt;&gt;""),H84:K84),0))</f>
        <v/>
      </c>
      <c r="M84" s="52">
        <f>IF(L84="","",IF(L84&gt;=1,"Completado",IF(L84&gt;0,"En curso","Pendiente")))</f>
        <v/>
      </c>
      <c r="N84" s="48" t="n"/>
      <c r="O84" s="47" t="n"/>
      <c r="P84" s="53">
        <f>IF(NOT((COUNTA($A84:$K84)+COUNTA($N84:$O84))&gt;0),"",IF((IF(A84="","Falta ID"&amp;" · ","")&amp;IF(AND(A84&lt;&gt;"",COUNTIF($A$5:$A$1000,A84)&gt;1),"ID duplicado"&amp;" · ","")&amp;IF(B84="","Área sin seleccionar"&amp;" · ","")&amp;IF(AND(B84&lt;&gt;"",ISNA(MATCH(B84,ListaPuestos,0))),"Área no válida"&amp;" · ","")&amp;IF(C84="","Macroactividad vacía"&amp;" · ","")&amp;IF(D84="","Sin responsable"&amp;" · ","")&amp;IF(E84="","Sin fecha de inicio"&amp;" · ","")&amp;IF(F84="","Sin fecha límite"&amp;" · ","")&amp;IF(OR(AND(E84&lt;&gt;"",NOT(ISNUMBER(E84))),AND(F84&lt;&gt;"",NOT(ISNUMBER(F84)))),"Fecha no válida"&amp;" · ","")&amp;IF(AND(ISNUMBER(E84),ISNUMBER(F84),E84&gt;F84),"Inicio posterior a fecha límite"&amp;" · ","")&amp;IF(G84="","Peso vacío"&amp;" · ","")&amp;IF(AND(G84&lt;&gt;"",OR(NOT(ISNUMBER(G84)),G84&lt;=0,G84&gt;1)),"Peso fuera de rango"&amp;" · ","")&amp;IF(AND(B84&lt;&gt;"",ABS(SUMIFS($G$5:$G$1000,$B$5:$B$1000,B84)-1)&gt;0.0001),"Pesos del puesto suman "&amp;TEXT(SUMIFS($G$5:$G$1000,$B$5:$B$1000,B84),"0%")&amp;" · ","")&amp;IF((COUNTIF(H84:K84,"&gt;1")+COUNTIF(H84:K84,"&lt;0")+COUNTA(H84:K84)-COUNT(H84:K84))&gt;0,"Avance fuera de rango 0-100%"&amp;" · ","")&amp;IF(OR(AND(I84&lt;&gt;"",I84&lt;H84),AND(J84&lt;&gt;"",J84&lt;MAX(H84:I84)),AND(K84&lt;&gt;"",K84&lt;MAX(H84:J84))),"Avance semanal decreciente"&amp;" · ","")&amp;IF(AND(ISNUMBER(F84),F84&lt;FechaRef,N(L84)&lt;1),"Vencida"&amp;" · ","")&amp;IF(AND(EvidenciaObligatoria="Sí",N(L84)&gt;=1,O84=""),"Completada sin evidencia"&amp;" · ",""))="","✔ OK","⚠ "&amp;LEFT(IF(A84="","Falta ID"&amp;" · ","")&amp;IF(AND(A84&lt;&gt;"",COUNTIF($A$5:$A$1000,A84)&gt;1),"ID duplicado"&amp;" · ","")&amp;IF(B84="","Área sin seleccionar"&amp;" · ","")&amp;IF(AND(B84&lt;&gt;"",ISNA(MATCH(B84,ListaPuestos,0))),"Área no válida"&amp;" · ","")&amp;IF(C84="","Macroactividad vacía"&amp;" · ","")&amp;IF(D84="","Sin responsable"&amp;" · ","")&amp;IF(E84="","Sin fecha de inicio"&amp;" · ","")&amp;IF(F84="","Sin fecha límite"&amp;" · ","")&amp;IF(OR(AND(E84&lt;&gt;"",NOT(ISNUMBER(E84))),AND(F84&lt;&gt;"",NOT(ISNUMBER(F84)))),"Fecha no válida"&amp;" · ","")&amp;IF(AND(ISNUMBER(E84),ISNUMBER(F84),E84&gt;F84),"Inicio posterior a fecha límite"&amp;" · ","")&amp;IF(G84="","Peso vacío"&amp;" · ","")&amp;IF(AND(G84&lt;&gt;"",OR(NOT(ISNUMBER(G84)),G84&lt;=0,G84&gt;1)),"Peso fuera de rango"&amp;" · ","")&amp;IF(AND(B84&lt;&gt;"",ABS(SUMIFS($G$5:$G$1000,$B$5:$B$1000,B84)-1)&gt;0.0001),"Pesos del puesto suman "&amp;TEXT(SUMIFS($G$5:$G$1000,$B$5:$B$1000,B84),"0%")&amp;" · ","")&amp;IF((COUNTIF(H84:K84,"&gt;1")+COUNTIF(H84:K84,"&lt;0")+COUNTA(H84:K84)-COUNT(H84:K84))&gt;0,"Avance fuera de rango 0-100%"&amp;" · ","")&amp;IF(OR(AND(I84&lt;&gt;"",I84&lt;H84),AND(J84&lt;&gt;"",J84&lt;MAX(H84:I84)),AND(K84&lt;&gt;"",K84&lt;MAX(H84:J84))),"Avance semanal decreciente"&amp;" · ","")&amp;IF(AND(ISNUMBER(F84),F84&lt;FechaRef,N(L84)&lt;1),"Vencida"&amp;" · ","")&amp;IF(AND(EvidenciaObligatoria="Sí",N(L84)&gt;=1,O84=""),"Completada sin evidencia"&amp;" · ",""),LEN(IF(A84="","Falta ID"&amp;" · ","")&amp;IF(AND(A84&lt;&gt;"",COUNTIF($A$5:$A$1000,A84)&gt;1),"ID duplicado"&amp;" · ","")&amp;IF(B84="","Área sin seleccionar"&amp;" · ","")&amp;IF(AND(B84&lt;&gt;"",ISNA(MATCH(B84,ListaPuestos,0))),"Área no válida"&amp;" · ","")&amp;IF(C84="","Macroactividad vacía"&amp;" · ","")&amp;IF(D84="","Sin responsable"&amp;" · ","")&amp;IF(E84="","Sin fecha de inicio"&amp;" · ","")&amp;IF(F84="","Sin fecha límite"&amp;" · ","")&amp;IF(OR(AND(E84&lt;&gt;"",NOT(ISNUMBER(E84))),AND(F84&lt;&gt;"",NOT(ISNUMBER(F84)))),"Fecha no válida"&amp;" · ","")&amp;IF(AND(ISNUMBER(E84),ISNUMBER(F84),E84&gt;F84),"Inicio posterior a fecha límite"&amp;" · ","")&amp;IF(G84="","Peso vacío"&amp;" · ","")&amp;IF(AND(G84&lt;&gt;"",OR(NOT(ISNUMBER(G84)),G84&lt;=0,G84&gt;1)),"Peso fuera de rango"&amp;" · ","")&amp;IF(AND(B84&lt;&gt;"",ABS(SUMIFS($G$5:$G$1000,$B$5:$B$1000,B84)-1)&gt;0.0001),"Pesos del puesto suman "&amp;TEXT(SUMIFS($G$5:$G$1000,$B$5:$B$1000,B84),"0%")&amp;" · ","")&amp;IF((COUNTIF(H84:K84,"&gt;1")+COUNTIF(H84:K84,"&lt;0")+COUNTA(H84:K84)-COUNT(H84:K84))&gt;0,"Avance fuera de rango 0-100%"&amp;" · ","")&amp;IF(OR(AND(I84&lt;&gt;"",I84&lt;H84),AND(J84&lt;&gt;"",J84&lt;MAX(H84:I84)),AND(K84&lt;&gt;"",K84&lt;MAX(H84:J84))),"Avance semanal decreciente"&amp;" · ","")&amp;IF(AND(ISNUMBER(F84),F84&lt;FechaRef,N(L84)&lt;1),"Vencida"&amp;" · ","")&amp;IF(AND(EvidenciaObligatoria="Sí",N(L84)&gt;=1,O84=""),"Completada sin evidencia"&amp;" · ",""))-3)))</f>
        <v/>
      </c>
    </row>
    <row r="85">
      <c r="A85" s="46" t="n"/>
      <c r="B85" s="47" t="n"/>
      <c r="C85" s="47" t="n"/>
      <c r="D85" s="47" t="n"/>
      <c r="E85" s="48" t="n"/>
      <c r="F85" s="48" t="n"/>
      <c r="G85" s="49" t="n"/>
      <c r="H85" s="50" t="n"/>
      <c r="I85" s="50" t="n"/>
      <c r="J85" s="50" t="n"/>
      <c r="K85" s="50" t="n"/>
      <c r="L85" s="51">
        <f>IF(NOT((COUNTA($A85:$K85)+COUNTA($N85:$O85))&gt;0),"",IFERROR(LOOKUP(2,1/(H85:K85&lt;&gt;""),H85:K85),0))</f>
        <v/>
      </c>
      <c r="M85" s="52">
        <f>IF(L85="","",IF(L85&gt;=1,"Completado",IF(L85&gt;0,"En curso","Pendiente")))</f>
        <v/>
      </c>
      <c r="N85" s="48" t="n"/>
      <c r="O85" s="47" t="n"/>
      <c r="P85" s="53">
        <f>IF(NOT((COUNTA($A85:$K85)+COUNTA($N85:$O85))&gt;0),"",IF((IF(A85="","Falta ID"&amp;" · ","")&amp;IF(AND(A85&lt;&gt;"",COUNTIF($A$5:$A$1000,A85)&gt;1),"ID duplicado"&amp;" · ","")&amp;IF(B85="","Área sin seleccionar"&amp;" · ","")&amp;IF(AND(B85&lt;&gt;"",ISNA(MATCH(B85,ListaPuestos,0))),"Área no válida"&amp;" · ","")&amp;IF(C85="","Macroactividad vacía"&amp;" · ","")&amp;IF(D85="","Sin responsable"&amp;" · ","")&amp;IF(E85="","Sin fecha de inicio"&amp;" · ","")&amp;IF(F85="","Sin fecha límite"&amp;" · ","")&amp;IF(OR(AND(E85&lt;&gt;"",NOT(ISNUMBER(E85))),AND(F85&lt;&gt;"",NOT(ISNUMBER(F85)))),"Fecha no válida"&amp;" · ","")&amp;IF(AND(ISNUMBER(E85),ISNUMBER(F85),E85&gt;F85),"Inicio posterior a fecha límite"&amp;" · ","")&amp;IF(G85="","Peso vacío"&amp;" · ","")&amp;IF(AND(G85&lt;&gt;"",OR(NOT(ISNUMBER(G85)),G85&lt;=0,G85&gt;1)),"Peso fuera de rango"&amp;" · ","")&amp;IF(AND(B85&lt;&gt;"",ABS(SUMIFS($G$5:$G$1000,$B$5:$B$1000,B85)-1)&gt;0.0001),"Pesos del puesto suman "&amp;TEXT(SUMIFS($G$5:$G$1000,$B$5:$B$1000,B85),"0%")&amp;" · ","")&amp;IF((COUNTIF(H85:K85,"&gt;1")+COUNTIF(H85:K85,"&lt;0")+COUNTA(H85:K85)-COUNT(H85:K85))&gt;0,"Avance fuera de rango 0-100%"&amp;" · ","")&amp;IF(OR(AND(I85&lt;&gt;"",I85&lt;H85),AND(J85&lt;&gt;"",J85&lt;MAX(H85:I85)),AND(K85&lt;&gt;"",K85&lt;MAX(H85:J85))),"Avance semanal decreciente"&amp;" · ","")&amp;IF(AND(ISNUMBER(F85),F85&lt;FechaRef,N(L85)&lt;1),"Vencida"&amp;" · ","")&amp;IF(AND(EvidenciaObligatoria="Sí",N(L85)&gt;=1,O85=""),"Completada sin evidencia"&amp;" · ",""))="","✔ OK","⚠ "&amp;LEFT(IF(A85="","Falta ID"&amp;" · ","")&amp;IF(AND(A85&lt;&gt;"",COUNTIF($A$5:$A$1000,A85)&gt;1),"ID duplicado"&amp;" · ","")&amp;IF(B85="","Área sin seleccionar"&amp;" · ","")&amp;IF(AND(B85&lt;&gt;"",ISNA(MATCH(B85,ListaPuestos,0))),"Área no válida"&amp;" · ","")&amp;IF(C85="","Macroactividad vacía"&amp;" · ","")&amp;IF(D85="","Sin responsable"&amp;" · ","")&amp;IF(E85="","Sin fecha de inicio"&amp;" · ","")&amp;IF(F85="","Sin fecha límite"&amp;" · ","")&amp;IF(OR(AND(E85&lt;&gt;"",NOT(ISNUMBER(E85))),AND(F85&lt;&gt;"",NOT(ISNUMBER(F85)))),"Fecha no válida"&amp;" · ","")&amp;IF(AND(ISNUMBER(E85),ISNUMBER(F85),E85&gt;F85),"Inicio posterior a fecha límite"&amp;" · ","")&amp;IF(G85="","Peso vacío"&amp;" · ","")&amp;IF(AND(G85&lt;&gt;"",OR(NOT(ISNUMBER(G85)),G85&lt;=0,G85&gt;1)),"Peso fuera de rango"&amp;" · ","")&amp;IF(AND(B85&lt;&gt;"",ABS(SUMIFS($G$5:$G$1000,$B$5:$B$1000,B85)-1)&gt;0.0001),"Pesos del puesto suman "&amp;TEXT(SUMIFS($G$5:$G$1000,$B$5:$B$1000,B85),"0%")&amp;" · ","")&amp;IF((COUNTIF(H85:K85,"&gt;1")+COUNTIF(H85:K85,"&lt;0")+COUNTA(H85:K85)-COUNT(H85:K85))&gt;0,"Avance fuera de rango 0-100%"&amp;" · ","")&amp;IF(OR(AND(I85&lt;&gt;"",I85&lt;H85),AND(J85&lt;&gt;"",J85&lt;MAX(H85:I85)),AND(K85&lt;&gt;"",K85&lt;MAX(H85:J85))),"Avance semanal decreciente"&amp;" · ","")&amp;IF(AND(ISNUMBER(F85),F85&lt;FechaRef,N(L85)&lt;1),"Vencida"&amp;" · ","")&amp;IF(AND(EvidenciaObligatoria="Sí",N(L85)&gt;=1,O85=""),"Completada sin evidencia"&amp;" · ",""),LEN(IF(A85="","Falta ID"&amp;" · ","")&amp;IF(AND(A85&lt;&gt;"",COUNTIF($A$5:$A$1000,A85)&gt;1),"ID duplicado"&amp;" · ","")&amp;IF(B85="","Área sin seleccionar"&amp;" · ","")&amp;IF(AND(B85&lt;&gt;"",ISNA(MATCH(B85,ListaPuestos,0))),"Área no válida"&amp;" · ","")&amp;IF(C85="","Macroactividad vacía"&amp;" · ","")&amp;IF(D85="","Sin responsable"&amp;" · ","")&amp;IF(E85="","Sin fecha de inicio"&amp;" · ","")&amp;IF(F85="","Sin fecha límite"&amp;" · ","")&amp;IF(OR(AND(E85&lt;&gt;"",NOT(ISNUMBER(E85))),AND(F85&lt;&gt;"",NOT(ISNUMBER(F85)))),"Fecha no válida"&amp;" · ","")&amp;IF(AND(ISNUMBER(E85),ISNUMBER(F85),E85&gt;F85),"Inicio posterior a fecha límite"&amp;" · ","")&amp;IF(G85="","Peso vacío"&amp;" · ","")&amp;IF(AND(G85&lt;&gt;"",OR(NOT(ISNUMBER(G85)),G85&lt;=0,G85&gt;1)),"Peso fuera de rango"&amp;" · ","")&amp;IF(AND(B85&lt;&gt;"",ABS(SUMIFS($G$5:$G$1000,$B$5:$B$1000,B85)-1)&gt;0.0001),"Pesos del puesto suman "&amp;TEXT(SUMIFS($G$5:$G$1000,$B$5:$B$1000,B85),"0%")&amp;" · ","")&amp;IF((COUNTIF(H85:K85,"&gt;1")+COUNTIF(H85:K85,"&lt;0")+COUNTA(H85:K85)-COUNT(H85:K85))&gt;0,"Avance fuera de rango 0-100%"&amp;" · ","")&amp;IF(OR(AND(I85&lt;&gt;"",I85&lt;H85),AND(J85&lt;&gt;"",J85&lt;MAX(H85:I85)),AND(K85&lt;&gt;"",K85&lt;MAX(H85:J85))),"Avance semanal decreciente"&amp;" · ","")&amp;IF(AND(ISNUMBER(F85),F85&lt;FechaRef,N(L85)&lt;1),"Vencida"&amp;" · ","")&amp;IF(AND(EvidenciaObligatoria="Sí",N(L85)&gt;=1,O85=""),"Completada sin evidencia"&amp;" · ",""))-3)))</f>
        <v/>
      </c>
    </row>
    <row r="86">
      <c r="A86" s="46" t="n"/>
      <c r="B86" s="47" t="n"/>
      <c r="C86" s="47" t="n"/>
      <c r="D86" s="47" t="n"/>
      <c r="E86" s="48" t="n"/>
      <c r="F86" s="48" t="n"/>
      <c r="G86" s="49" t="n"/>
      <c r="H86" s="50" t="n"/>
      <c r="I86" s="50" t="n"/>
      <c r="J86" s="50" t="n"/>
      <c r="K86" s="50" t="n"/>
      <c r="L86" s="51">
        <f>IF(NOT((COUNTA($A86:$K86)+COUNTA($N86:$O86))&gt;0),"",IFERROR(LOOKUP(2,1/(H86:K86&lt;&gt;""),H86:K86),0))</f>
        <v/>
      </c>
      <c r="M86" s="52">
        <f>IF(L86="","",IF(L86&gt;=1,"Completado",IF(L86&gt;0,"En curso","Pendiente")))</f>
        <v/>
      </c>
      <c r="N86" s="48" t="n"/>
      <c r="O86" s="47" t="n"/>
      <c r="P86" s="53">
        <f>IF(NOT((COUNTA($A86:$K86)+COUNTA($N86:$O86))&gt;0),"",IF((IF(A86="","Falta ID"&amp;" · ","")&amp;IF(AND(A86&lt;&gt;"",COUNTIF($A$5:$A$1000,A86)&gt;1),"ID duplicado"&amp;" · ","")&amp;IF(B86="","Área sin seleccionar"&amp;" · ","")&amp;IF(AND(B86&lt;&gt;"",ISNA(MATCH(B86,ListaPuestos,0))),"Área no válida"&amp;" · ","")&amp;IF(C86="","Macroactividad vacía"&amp;" · ","")&amp;IF(D86="","Sin responsable"&amp;" · ","")&amp;IF(E86="","Sin fecha de inicio"&amp;" · ","")&amp;IF(F86="","Sin fecha límite"&amp;" · ","")&amp;IF(OR(AND(E86&lt;&gt;"",NOT(ISNUMBER(E86))),AND(F86&lt;&gt;"",NOT(ISNUMBER(F86)))),"Fecha no válida"&amp;" · ","")&amp;IF(AND(ISNUMBER(E86),ISNUMBER(F86),E86&gt;F86),"Inicio posterior a fecha límite"&amp;" · ","")&amp;IF(G86="","Peso vacío"&amp;" · ","")&amp;IF(AND(G86&lt;&gt;"",OR(NOT(ISNUMBER(G86)),G86&lt;=0,G86&gt;1)),"Peso fuera de rango"&amp;" · ","")&amp;IF(AND(B86&lt;&gt;"",ABS(SUMIFS($G$5:$G$1000,$B$5:$B$1000,B86)-1)&gt;0.0001),"Pesos del puesto suman "&amp;TEXT(SUMIFS($G$5:$G$1000,$B$5:$B$1000,B86),"0%")&amp;" · ","")&amp;IF((COUNTIF(H86:K86,"&gt;1")+COUNTIF(H86:K86,"&lt;0")+COUNTA(H86:K86)-COUNT(H86:K86))&gt;0,"Avance fuera de rango 0-100%"&amp;" · ","")&amp;IF(OR(AND(I86&lt;&gt;"",I86&lt;H86),AND(J86&lt;&gt;"",J86&lt;MAX(H86:I86)),AND(K86&lt;&gt;"",K86&lt;MAX(H86:J86))),"Avance semanal decreciente"&amp;" · ","")&amp;IF(AND(ISNUMBER(F86),F86&lt;FechaRef,N(L86)&lt;1),"Vencida"&amp;" · ","")&amp;IF(AND(EvidenciaObligatoria="Sí",N(L86)&gt;=1,O86=""),"Completada sin evidencia"&amp;" · ",""))="","✔ OK","⚠ "&amp;LEFT(IF(A86="","Falta ID"&amp;" · ","")&amp;IF(AND(A86&lt;&gt;"",COUNTIF($A$5:$A$1000,A86)&gt;1),"ID duplicado"&amp;" · ","")&amp;IF(B86="","Área sin seleccionar"&amp;" · ","")&amp;IF(AND(B86&lt;&gt;"",ISNA(MATCH(B86,ListaPuestos,0))),"Área no válida"&amp;" · ","")&amp;IF(C86="","Macroactividad vacía"&amp;" · ","")&amp;IF(D86="","Sin responsable"&amp;" · ","")&amp;IF(E86="","Sin fecha de inicio"&amp;" · ","")&amp;IF(F86="","Sin fecha límite"&amp;" · ","")&amp;IF(OR(AND(E86&lt;&gt;"",NOT(ISNUMBER(E86))),AND(F86&lt;&gt;"",NOT(ISNUMBER(F86)))),"Fecha no válida"&amp;" · ","")&amp;IF(AND(ISNUMBER(E86),ISNUMBER(F86),E86&gt;F86),"Inicio posterior a fecha límite"&amp;" · ","")&amp;IF(G86="","Peso vacío"&amp;" · ","")&amp;IF(AND(G86&lt;&gt;"",OR(NOT(ISNUMBER(G86)),G86&lt;=0,G86&gt;1)),"Peso fuera de rango"&amp;" · ","")&amp;IF(AND(B86&lt;&gt;"",ABS(SUMIFS($G$5:$G$1000,$B$5:$B$1000,B86)-1)&gt;0.0001),"Pesos del puesto suman "&amp;TEXT(SUMIFS($G$5:$G$1000,$B$5:$B$1000,B86),"0%")&amp;" · ","")&amp;IF((COUNTIF(H86:K86,"&gt;1")+COUNTIF(H86:K86,"&lt;0")+COUNTA(H86:K86)-COUNT(H86:K86))&gt;0,"Avance fuera de rango 0-100%"&amp;" · ","")&amp;IF(OR(AND(I86&lt;&gt;"",I86&lt;H86),AND(J86&lt;&gt;"",J86&lt;MAX(H86:I86)),AND(K86&lt;&gt;"",K86&lt;MAX(H86:J86))),"Avance semanal decreciente"&amp;" · ","")&amp;IF(AND(ISNUMBER(F86),F86&lt;FechaRef,N(L86)&lt;1),"Vencida"&amp;" · ","")&amp;IF(AND(EvidenciaObligatoria="Sí",N(L86)&gt;=1,O86=""),"Completada sin evidencia"&amp;" · ",""),LEN(IF(A86="","Falta ID"&amp;" · ","")&amp;IF(AND(A86&lt;&gt;"",COUNTIF($A$5:$A$1000,A86)&gt;1),"ID duplicado"&amp;" · ","")&amp;IF(B86="","Área sin seleccionar"&amp;" · ","")&amp;IF(AND(B86&lt;&gt;"",ISNA(MATCH(B86,ListaPuestos,0))),"Área no válida"&amp;" · ","")&amp;IF(C86="","Macroactividad vacía"&amp;" · ","")&amp;IF(D86="","Sin responsable"&amp;" · ","")&amp;IF(E86="","Sin fecha de inicio"&amp;" · ","")&amp;IF(F86="","Sin fecha límite"&amp;" · ","")&amp;IF(OR(AND(E86&lt;&gt;"",NOT(ISNUMBER(E86))),AND(F86&lt;&gt;"",NOT(ISNUMBER(F86)))),"Fecha no válida"&amp;" · ","")&amp;IF(AND(ISNUMBER(E86),ISNUMBER(F86),E86&gt;F86),"Inicio posterior a fecha límite"&amp;" · ","")&amp;IF(G86="","Peso vacío"&amp;" · ","")&amp;IF(AND(G86&lt;&gt;"",OR(NOT(ISNUMBER(G86)),G86&lt;=0,G86&gt;1)),"Peso fuera de rango"&amp;" · ","")&amp;IF(AND(B86&lt;&gt;"",ABS(SUMIFS($G$5:$G$1000,$B$5:$B$1000,B86)-1)&gt;0.0001),"Pesos del puesto suman "&amp;TEXT(SUMIFS($G$5:$G$1000,$B$5:$B$1000,B86),"0%")&amp;" · ","")&amp;IF((COUNTIF(H86:K86,"&gt;1")+COUNTIF(H86:K86,"&lt;0")+COUNTA(H86:K86)-COUNT(H86:K86))&gt;0,"Avance fuera de rango 0-100%"&amp;" · ","")&amp;IF(OR(AND(I86&lt;&gt;"",I86&lt;H86),AND(J86&lt;&gt;"",J86&lt;MAX(H86:I86)),AND(K86&lt;&gt;"",K86&lt;MAX(H86:J86))),"Avance semanal decreciente"&amp;" · ","")&amp;IF(AND(ISNUMBER(F86),F86&lt;FechaRef,N(L86)&lt;1),"Vencida"&amp;" · ","")&amp;IF(AND(EvidenciaObligatoria="Sí",N(L86)&gt;=1,O86=""),"Completada sin evidencia"&amp;" · ",""))-3)))</f>
        <v/>
      </c>
    </row>
    <row r="87">
      <c r="A87" s="46" t="n"/>
      <c r="B87" s="47" t="n"/>
      <c r="C87" s="47" t="n"/>
      <c r="D87" s="47" t="n"/>
      <c r="E87" s="48" t="n"/>
      <c r="F87" s="48" t="n"/>
      <c r="G87" s="49" t="n"/>
      <c r="H87" s="50" t="n"/>
      <c r="I87" s="50" t="n"/>
      <c r="J87" s="50" t="n"/>
      <c r="K87" s="50" t="n"/>
      <c r="L87" s="51">
        <f>IF(NOT((COUNTA($A87:$K87)+COUNTA($N87:$O87))&gt;0),"",IFERROR(LOOKUP(2,1/(H87:K87&lt;&gt;""),H87:K87),0))</f>
        <v/>
      </c>
      <c r="M87" s="52">
        <f>IF(L87="","",IF(L87&gt;=1,"Completado",IF(L87&gt;0,"En curso","Pendiente")))</f>
        <v/>
      </c>
      <c r="N87" s="48" t="n"/>
      <c r="O87" s="47" t="n"/>
      <c r="P87" s="53">
        <f>IF(NOT((COUNTA($A87:$K87)+COUNTA($N87:$O87))&gt;0),"",IF((IF(A87="","Falta ID"&amp;" · ","")&amp;IF(AND(A87&lt;&gt;"",COUNTIF($A$5:$A$1000,A87)&gt;1),"ID duplicado"&amp;" · ","")&amp;IF(B87="","Área sin seleccionar"&amp;" · ","")&amp;IF(AND(B87&lt;&gt;"",ISNA(MATCH(B87,ListaPuestos,0))),"Área no válida"&amp;" · ","")&amp;IF(C87="","Macroactividad vacía"&amp;" · ","")&amp;IF(D87="","Sin responsable"&amp;" · ","")&amp;IF(E87="","Sin fecha de inicio"&amp;" · ","")&amp;IF(F87="","Sin fecha límite"&amp;" · ","")&amp;IF(OR(AND(E87&lt;&gt;"",NOT(ISNUMBER(E87))),AND(F87&lt;&gt;"",NOT(ISNUMBER(F87)))),"Fecha no válida"&amp;" · ","")&amp;IF(AND(ISNUMBER(E87),ISNUMBER(F87),E87&gt;F87),"Inicio posterior a fecha límite"&amp;" · ","")&amp;IF(G87="","Peso vacío"&amp;" · ","")&amp;IF(AND(G87&lt;&gt;"",OR(NOT(ISNUMBER(G87)),G87&lt;=0,G87&gt;1)),"Peso fuera de rango"&amp;" · ","")&amp;IF(AND(B87&lt;&gt;"",ABS(SUMIFS($G$5:$G$1000,$B$5:$B$1000,B87)-1)&gt;0.0001),"Pesos del puesto suman "&amp;TEXT(SUMIFS($G$5:$G$1000,$B$5:$B$1000,B87),"0%")&amp;" · ","")&amp;IF((COUNTIF(H87:K87,"&gt;1")+COUNTIF(H87:K87,"&lt;0")+COUNTA(H87:K87)-COUNT(H87:K87))&gt;0,"Avance fuera de rango 0-100%"&amp;" · ","")&amp;IF(OR(AND(I87&lt;&gt;"",I87&lt;H87),AND(J87&lt;&gt;"",J87&lt;MAX(H87:I87)),AND(K87&lt;&gt;"",K87&lt;MAX(H87:J87))),"Avance semanal decreciente"&amp;" · ","")&amp;IF(AND(ISNUMBER(F87),F87&lt;FechaRef,N(L87)&lt;1),"Vencida"&amp;" · ","")&amp;IF(AND(EvidenciaObligatoria="Sí",N(L87)&gt;=1,O87=""),"Completada sin evidencia"&amp;" · ",""))="","✔ OK","⚠ "&amp;LEFT(IF(A87="","Falta ID"&amp;" · ","")&amp;IF(AND(A87&lt;&gt;"",COUNTIF($A$5:$A$1000,A87)&gt;1),"ID duplicado"&amp;" · ","")&amp;IF(B87="","Área sin seleccionar"&amp;" · ","")&amp;IF(AND(B87&lt;&gt;"",ISNA(MATCH(B87,ListaPuestos,0))),"Área no válida"&amp;" · ","")&amp;IF(C87="","Macroactividad vacía"&amp;" · ","")&amp;IF(D87="","Sin responsable"&amp;" · ","")&amp;IF(E87="","Sin fecha de inicio"&amp;" · ","")&amp;IF(F87="","Sin fecha límite"&amp;" · ","")&amp;IF(OR(AND(E87&lt;&gt;"",NOT(ISNUMBER(E87))),AND(F87&lt;&gt;"",NOT(ISNUMBER(F87)))),"Fecha no válida"&amp;" · ","")&amp;IF(AND(ISNUMBER(E87),ISNUMBER(F87),E87&gt;F87),"Inicio posterior a fecha límite"&amp;" · ","")&amp;IF(G87="","Peso vacío"&amp;" · ","")&amp;IF(AND(G87&lt;&gt;"",OR(NOT(ISNUMBER(G87)),G87&lt;=0,G87&gt;1)),"Peso fuera de rango"&amp;" · ","")&amp;IF(AND(B87&lt;&gt;"",ABS(SUMIFS($G$5:$G$1000,$B$5:$B$1000,B87)-1)&gt;0.0001),"Pesos del puesto suman "&amp;TEXT(SUMIFS($G$5:$G$1000,$B$5:$B$1000,B87),"0%")&amp;" · ","")&amp;IF((COUNTIF(H87:K87,"&gt;1")+COUNTIF(H87:K87,"&lt;0")+COUNTA(H87:K87)-COUNT(H87:K87))&gt;0,"Avance fuera de rango 0-100%"&amp;" · ","")&amp;IF(OR(AND(I87&lt;&gt;"",I87&lt;H87),AND(J87&lt;&gt;"",J87&lt;MAX(H87:I87)),AND(K87&lt;&gt;"",K87&lt;MAX(H87:J87))),"Avance semanal decreciente"&amp;" · ","")&amp;IF(AND(ISNUMBER(F87),F87&lt;FechaRef,N(L87)&lt;1),"Vencida"&amp;" · ","")&amp;IF(AND(EvidenciaObligatoria="Sí",N(L87)&gt;=1,O87=""),"Completada sin evidencia"&amp;" · ",""),LEN(IF(A87="","Falta ID"&amp;" · ","")&amp;IF(AND(A87&lt;&gt;"",COUNTIF($A$5:$A$1000,A87)&gt;1),"ID duplicado"&amp;" · ","")&amp;IF(B87="","Área sin seleccionar"&amp;" · ","")&amp;IF(AND(B87&lt;&gt;"",ISNA(MATCH(B87,ListaPuestos,0))),"Área no válida"&amp;" · ","")&amp;IF(C87="","Macroactividad vacía"&amp;" · ","")&amp;IF(D87="","Sin responsable"&amp;" · ","")&amp;IF(E87="","Sin fecha de inicio"&amp;" · ","")&amp;IF(F87="","Sin fecha límite"&amp;" · ","")&amp;IF(OR(AND(E87&lt;&gt;"",NOT(ISNUMBER(E87))),AND(F87&lt;&gt;"",NOT(ISNUMBER(F87)))),"Fecha no válida"&amp;" · ","")&amp;IF(AND(ISNUMBER(E87),ISNUMBER(F87),E87&gt;F87),"Inicio posterior a fecha límite"&amp;" · ","")&amp;IF(G87="","Peso vacío"&amp;" · ","")&amp;IF(AND(G87&lt;&gt;"",OR(NOT(ISNUMBER(G87)),G87&lt;=0,G87&gt;1)),"Peso fuera de rango"&amp;" · ","")&amp;IF(AND(B87&lt;&gt;"",ABS(SUMIFS($G$5:$G$1000,$B$5:$B$1000,B87)-1)&gt;0.0001),"Pesos del puesto suman "&amp;TEXT(SUMIFS($G$5:$G$1000,$B$5:$B$1000,B87),"0%")&amp;" · ","")&amp;IF((COUNTIF(H87:K87,"&gt;1")+COUNTIF(H87:K87,"&lt;0")+COUNTA(H87:K87)-COUNT(H87:K87))&gt;0,"Avance fuera de rango 0-100%"&amp;" · ","")&amp;IF(OR(AND(I87&lt;&gt;"",I87&lt;H87),AND(J87&lt;&gt;"",J87&lt;MAX(H87:I87)),AND(K87&lt;&gt;"",K87&lt;MAX(H87:J87))),"Avance semanal decreciente"&amp;" · ","")&amp;IF(AND(ISNUMBER(F87),F87&lt;FechaRef,N(L87)&lt;1),"Vencida"&amp;" · ","")&amp;IF(AND(EvidenciaObligatoria="Sí",N(L87)&gt;=1,O87=""),"Completada sin evidencia"&amp;" · ",""))-3)))</f>
        <v/>
      </c>
    </row>
    <row r="88">
      <c r="A88" s="46" t="n"/>
      <c r="B88" s="47" t="n"/>
      <c r="C88" s="47" t="n"/>
      <c r="D88" s="47" t="n"/>
      <c r="E88" s="48" t="n"/>
      <c r="F88" s="48" t="n"/>
      <c r="G88" s="49" t="n"/>
      <c r="H88" s="50" t="n"/>
      <c r="I88" s="50" t="n"/>
      <c r="J88" s="50" t="n"/>
      <c r="K88" s="50" t="n"/>
      <c r="L88" s="51">
        <f>IF(NOT((COUNTA($A88:$K88)+COUNTA($N88:$O88))&gt;0),"",IFERROR(LOOKUP(2,1/(H88:K88&lt;&gt;""),H88:K88),0))</f>
        <v/>
      </c>
      <c r="M88" s="52">
        <f>IF(L88="","",IF(L88&gt;=1,"Completado",IF(L88&gt;0,"En curso","Pendiente")))</f>
        <v/>
      </c>
      <c r="N88" s="48" t="n"/>
      <c r="O88" s="47" t="n"/>
      <c r="P88" s="53">
        <f>IF(NOT((COUNTA($A88:$K88)+COUNTA($N88:$O88))&gt;0),"",IF((IF(A88="","Falta ID"&amp;" · ","")&amp;IF(AND(A88&lt;&gt;"",COUNTIF($A$5:$A$1000,A88)&gt;1),"ID duplicado"&amp;" · ","")&amp;IF(B88="","Área sin seleccionar"&amp;" · ","")&amp;IF(AND(B88&lt;&gt;"",ISNA(MATCH(B88,ListaPuestos,0))),"Área no válida"&amp;" · ","")&amp;IF(C88="","Macroactividad vacía"&amp;" · ","")&amp;IF(D88="","Sin responsable"&amp;" · ","")&amp;IF(E88="","Sin fecha de inicio"&amp;" · ","")&amp;IF(F88="","Sin fecha límite"&amp;" · ","")&amp;IF(OR(AND(E88&lt;&gt;"",NOT(ISNUMBER(E88))),AND(F88&lt;&gt;"",NOT(ISNUMBER(F88)))),"Fecha no válida"&amp;" · ","")&amp;IF(AND(ISNUMBER(E88),ISNUMBER(F88),E88&gt;F88),"Inicio posterior a fecha límite"&amp;" · ","")&amp;IF(G88="","Peso vacío"&amp;" · ","")&amp;IF(AND(G88&lt;&gt;"",OR(NOT(ISNUMBER(G88)),G88&lt;=0,G88&gt;1)),"Peso fuera de rango"&amp;" · ","")&amp;IF(AND(B88&lt;&gt;"",ABS(SUMIFS($G$5:$G$1000,$B$5:$B$1000,B88)-1)&gt;0.0001),"Pesos del puesto suman "&amp;TEXT(SUMIFS($G$5:$G$1000,$B$5:$B$1000,B88),"0%")&amp;" · ","")&amp;IF((COUNTIF(H88:K88,"&gt;1")+COUNTIF(H88:K88,"&lt;0")+COUNTA(H88:K88)-COUNT(H88:K88))&gt;0,"Avance fuera de rango 0-100%"&amp;" · ","")&amp;IF(OR(AND(I88&lt;&gt;"",I88&lt;H88),AND(J88&lt;&gt;"",J88&lt;MAX(H88:I88)),AND(K88&lt;&gt;"",K88&lt;MAX(H88:J88))),"Avance semanal decreciente"&amp;" · ","")&amp;IF(AND(ISNUMBER(F88),F88&lt;FechaRef,N(L88)&lt;1),"Vencida"&amp;" · ","")&amp;IF(AND(EvidenciaObligatoria="Sí",N(L88)&gt;=1,O88=""),"Completada sin evidencia"&amp;" · ",""))="","✔ OK","⚠ "&amp;LEFT(IF(A88="","Falta ID"&amp;" · ","")&amp;IF(AND(A88&lt;&gt;"",COUNTIF($A$5:$A$1000,A88)&gt;1),"ID duplicado"&amp;" · ","")&amp;IF(B88="","Área sin seleccionar"&amp;" · ","")&amp;IF(AND(B88&lt;&gt;"",ISNA(MATCH(B88,ListaPuestos,0))),"Área no válida"&amp;" · ","")&amp;IF(C88="","Macroactividad vacía"&amp;" · ","")&amp;IF(D88="","Sin responsable"&amp;" · ","")&amp;IF(E88="","Sin fecha de inicio"&amp;" · ","")&amp;IF(F88="","Sin fecha límite"&amp;" · ","")&amp;IF(OR(AND(E88&lt;&gt;"",NOT(ISNUMBER(E88))),AND(F88&lt;&gt;"",NOT(ISNUMBER(F88)))),"Fecha no válida"&amp;" · ","")&amp;IF(AND(ISNUMBER(E88),ISNUMBER(F88),E88&gt;F88),"Inicio posterior a fecha límite"&amp;" · ","")&amp;IF(G88="","Peso vacío"&amp;" · ","")&amp;IF(AND(G88&lt;&gt;"",OR(NOT(ISNUMBER(G88)),G88&lt;=0,G88&gt;1)),"Peso fuera de rango"&amp;" · ","")&amp;IF(AND(B88&lt;&gt;"",ABS(SUMIFS($G$5:$G$1000,$B$5:$B$1000,B88)-1)&gt;0.0001),"Pesos del puesto suman "&amp;TEXT(SUMIFS($G$5:$G$1000,$B$5:$B$1000,B88),"0%")&amp;" · ","")&amp;IF((COUNTIF(H88:K88,"&gt;1")+COUNTIF(H88:K88,"&lt;0")+COUNTA(H88:K88)-COUNT(H88:K88))&gt;0,"Avance fuera de rango 0-100%"&amp;" · ","")&amp;IF(OR(AND(I88&lt;&gt;"",I88&lt;H88),AND(J88&lt;&gt;"",J88&lt;MAX(H88:I88)),AND(K88&lt;&gt;"",K88&lt;MAX(H88:J88))),"Avance semanal decreciente"&amp;" · ","")&amp;IF(AND(ISNUMBER(F88),F88&lt;FechaRef,N(L88)&lt;1),"Vencida"&amp;" · ","")&amp;IF(AND(EvidenciaObligatoria="Sí",N(L88)&gt;=1,O88=""),"Completada sin evidencia"&amp;" · ",""),LEN(IF(A88="","Falta ID"&amp;" · ","")&amp;IF(AND(A88&lt;&gt;"",COUNTIF($A$5:$A$1000,A88)&gt;1),"ID duplicado"&amp;" · ","")&amp;IF(B88="","Área sin seleccionar"&amp;" · ","")&amp;IF(AND(B88&lt;&gt;"",ISNA(MATCH(B88,ListaPuestos,0))),"Área no válida"&amp;" · ","")&amp;IF(C88="","Macroactividad vacía"&amp;" · ","")&amp;IF(D88="","Sin responsable"&amp;" · ","")&amp;IF(E88="","Sin fecha de inicio"&amp;" · ","")&amp;IF(F88="","Sin fecha límite"&amp;" · ","")&amp;IF(OR(AND(E88&lt;&gt;"",NOT(ISNUMBER(E88))),AND(F88&lt;&gt;"",NOT(ISNUMBER(F88)))),"Fecha no válida"&amp;" · ","")&amp;IF(AND(ISNUMBER(E88),ISNUMBER(F88),E88&gt;F88),"Inicio posterior a fecha límite"&amp;" · ","")&amp;IF(G88="","Peso vacío"&amp;" · ","")&amp;IF(AND(G88&lt;&gt;"",OR(NOT(ISNUMBER(G88)),G88&lt;=0,G88&gt;1)),"Peso fuera de rango"&amp;" · ","")&amp;IF(AND(B88&lt;&gt;"",ABS(SUMIFS($G$5:$G$1000,$B$5:$B$1000,B88)-1)&gt;0.0001),"Pesos del puesto suman "&amp;TEXT(SUMIFS($G$5:$G$1000,$B$5:$B$1000,B88),"0%")&amp;" · ","")&amp;IF((COUNTIF(H88:K88,"&gt;1")+COUNTIF(H88:K88,"&lt;0")+COUNTA(H88:K88)-COUNT(H88:K88))&gt;0,"Avance fuera de rango 0-100%"&amp;" · ","")&amp;IF(OR(AND(I88&lt;&gt;"",I88&lt;H88),AND(J88&lt;&gt;"",J88&lt;MAX(H88:I88)),AND(K88&lt;&gt;"",K88&lt;MAX(H88:J88))),"Avance semanal decreciente"&amp;" · ","")&amp;IF(AND(ISNUMBER(F88),F88&lt;FechaRef,N(L88)&lt;1),"Vencida"&amp;" · ","")&amp;IF(AND(EvidenciaObligatoria="Sí",N(L88)&gt;=1,O88=""),"Completada sin evidencia"&amp;" · ",""))-3)))</f>
        <v/>
      </c>
    </row>
    <row r="89">
      <c r="A89" s="46" t="n"/>
      <c r="B89" s="47" t="n"/>
      <c r="C89" s="47" t="n"/>
      <c r="D89" s="47" t="n"/>
      <c r="E89" s="48" t="n"/>
      <c r="F89" s="48" t="n"/>
      <c r="G89" s="49" t="n"/>
      <c r="H89" s="50" t="n"/>
      <c r="I89" s="50" t="n"/>
      <c r="J89" s="50" t="n"/>
      <c r="K89" s="50" t="n"/>
      <c r="L89" s="51">
        <f>IF(NOT((COUNTA($A89:$K89)+COUNTA($N89:$O89))&gt;0),"",IFERROR(LOOKUP(2,1/(H89:K89&lt;&gt;""),H89:K89),0))</f>
        <v/>
      </c>
      <c r="M89" s="52">
        <f>IF(L89="","",IF(L89&gt;=1,"Completado",IF(L89&gt;0,"En curso","Pendiente")))</f>
        <v/>
      </c>
      <c r="N89" s="48" t="n"/>
      <c r="O89" s="47" t="n"/>
      <c r="P89" s="53">
        <f>IF(NOT((COUNTA($A89:$K89)+COUNTA($N89:$O89))&gt;0),"",IF((IF(A89="","Falta ID"&amp;" · ","")&amp;IF(AND(A89&lt;&gt;"",COUNTIF($A$5:$A$1000,A89)&gt;1),"ID duplicado"&amp;" · ","")&amp;IF(B89="","Área sin seleccionar"&amp;" · ","")&amp;IF(AND(B89&lt;&gt;"",ISNA(MATCH(B89,ListaPuestos,0))),"Área no válida"&amp;" · ","")&amp;IF(C89="","Macroactividad vacía"&amp;" · ","")&amp;IF(D89="","Sin responsable"&amp;" · ","")&amp;IF(E89="","Sin fecha de inicio"&amp;" · ","")&amp;IF(F89="","Sin fecha límite"&amp;" · ","")&amp;IF(OR(AND(E89&lt;&gt;"",NOT(ISNUMBER(E89))),AND(F89&lt;&gt;"",NOT(ISNUMBER(F89)))),"Fecha no válida"&amp;" · ","")&amp;IF(AND(ISNUMBER(E89),ISNUMBER(F89),E89&gt;F89),"Inicio posterior a fecha límite"&amp;" · ","")&amp;IF(G89="","Peso vacío"&amp;" · ","")&amp;IF(AND(G89&lt;&gt;"",OR(NOT(ISNUMBER(G89)),G89&lt;=0,G89&gt;1)),"Peso fuera de rango"&amp;" · ","")&amp;IF(AND(B89&lt;&gt;"",ABS(SUMIFS($G$5:$G$1000,$B$5:$B$1000,B89)-1)&gt;0.0001),"Pesos del puesto suman "&amp;TEXT(SUMIFS($G$5:$G$1000,$B$5:$B$1000,B89),"0%")&amp;" · ","")&amp;IF((COUNTIF(H89:K89,"&gt;1")+COUNTIF(H89:K89,"&lt;0")+COUNTA(H89:K89)-COUNT(H89:K89))&gt;0,"Avance fuera de rango 0-100%"&amp;" · ","")&amp;IF(OR(AND(I89&lt;&gt;"",I89&lt;H89),AND(J89&lt;&gt;"",J89&lt;MAX(H89:I89)),AND(K89&lt;&gt;"",K89&lt;MAX(H89:J89))),"Avance semanal decreciente"&amp;" · ","")&amp;IF(AND(ISNUMBER(F89),F89&lt;FechaRef,N(L89)&lt;1),"Vencida"&amp;" · ","")&amp;IF(AND(EvidenciaObligatoria="Sí",N(L89)&gt;=1,O89=""),"Completada sin evidencia"&amp;" · ",""))="","✔ OK","⚠ "&amp;LEFT(IF(A89="","Falta ID"&amp;" · ","")&amp;IF(AND(A89&lt;&gt;"",COUNTIF($A$5:$A$1000,A89)&gt;1),"ID duplicado"&amp;" · ","")&amp;IF(B89="","Área sin seleccionar"&amp;" · ","")&amp;IF(AND(B89&lt;&gt;"",ISNA(MATCH(B89,ListaPuestos,0))),"Área no válida"&amp;" · ","")&amp;IF(C89="","Macroactividad vacía"&amp;" · ","")&amp;IF(D89="","Sin responsable"&amp;" · ","")&amp;IF(E89="","Sin fecha de inicio"&amp;" · ","")&amp;IF(F89="","Sin fecha límite"&amp;" · ","")&amp;IF(OR(AND(E89&lt;&gt;"",NOT(ISNUMBER(E89))),AND(F89&lt;&gt;"",NOT(ISNUMBER(F89)))),"Fecha no válida"&amp;" · ","")&amp;IF(AND(ISNUMBER(E89),ISNUMBER(F89),E89&gt;F89),"Inicio posterior a fecha límite"&amp;" · ","")&amp;IF(G89="","Peso vacío"&amp;" · ","")&amp;IF(AND(G89&lt;&gt;"",OR(NOT(ISNUMBER(G89)),G89&lt;=0,G89&gt;1)),"Peso fuera de rango"&amp;" · ","")&amp;IF(AND(B89&lt;&gt;"",ABS(SUMIFS($G$5:$G$1000,$B$5:$B$1000,B89)-1)&gt;0.0001),"Pesos del puesto suman "&amp;TEXT(SUMIFS($G$5:$G$1000,$B$5:$B$1000,B89),"0%")&amp;" · ","")&amp;IF((COUNTIF(H89:K89,"&gt;1")+COUNTIF(H89:K89,"&lt;0")+COUNTA(H89:K89)-COUNT(H89:K89))&gt;0,"Avance fuera de rango 0-100%"&amp;" · ","")&amp;IF(OR(AND(I89&lt;&gt;"",I89&lt;H89),AND(J89&lt;&gt;"",J89&lt;MAX(H89:I89)),AND(K89&lt;&gt;"",K89&lt;MAX(H89:J89))),"Avance semanal decreciente"&amp;" · ","")&amp;IF(AND(ISNUMBER(F89),F89&lt;FechaRef,N(L89)&lt;1),"Vencida"&amp;" · ","")&amp;IF(AND(EvidenciaObligatoria="Sí",N(L89)&gt;=1,O89=""),"Completada sin evidencia"&amp;" · ",""),LEN(IF(A89="","Falta ID"&amp;" · ","")&amp;IF(AND(A89&lt;&gt;"",COUNTIF($A$5:$A$1000,A89)&gt;1),"ID duplicado"&amp;" · ","")&amp;IF(B89="","Área sin seleccionar"&amp;" · ","")&amp;IF(AND(B89&lt;&gt;"",ISNA(MATCH(B89,ListaPuestos,0))),"Área no válida"&amp;" · ","")&amp;IF(C89="","Macroactividad vacía"&amp;" · ","")&amp;IF(D89="","Sin responsable"&amp;" · ","")&amp;IF(E89="","Sin fecha de inicio"&amp;" · ","")&amp;IF(F89="","Sin fecha límite"&amp;" · ","")&amp;IF(OR(AND(E89&lt;&gt;"",NOT(ISNUMBER(E89))),AND(F89&lt;&gt;"",NOT(ISNUMBER(F89)))),"Fecha no válida"&amp;" · ","")&amp;IF(AND(ISNUMBER(E89),ISNUMBER(F89),E89&gt;F89),"Inicio posterior a fecha límite"&amp;" · ","")&amp;IF(G89="","Peso vacío"&amp;" · ","")&amp;IF(AND(G89&lt;&gt;"",OR(NOT(ISNUMBER(G89)),G89&lt;=0,G89&gt;1)),"Peso fuera de rango"&amp;" · ","")&amp;IF(AND(B89&lt;&gt;"",ABS(SUMIFS($G$5:$G$1000,$B$5:$B$1000,B89)-1)&gt;0.0001),"Pesos del puesto suman "&amp;TEXT(SUMIFS($G$5:$G$1000,$B$5:$B$1000,B89),"0%")&amp;" · ","")&amp;IF((COUNTIF(H89:K89,"&gt;1")+COUNTIF(H89:K89,"&lt;0")+COUNTA(H89:K89)-COUNT(H89:K89))&gt;0,"Avance fuera de rango 0-100%"&amp;" · ","")&amp;IF(OR(AND(I89&lt;&gt;"",I89&lt;H89),AND(J89&lt;&gt;"",J89&lt;MAX(H89:I89)),AND(K89&lt;&gt;"",K89&lt;MAX(H89:J89))),"Avance semanal decreciente"&amp;" · ","")&amp;IF(AND(ISNUMBER(F89),F89&lt;FechaRef,N(L89)&lt;1),"Vencida"&amp;" · ","")&amp;IF(AND(EvidenciaObligatoria="Sí",N(L89)&gt;=1,O89=""),"Completada sin evidencia"&amp;" · ",""))-3)))</f>
        <v/>
      </c>
    </row>
    <row r="90">
      <c r="A90" s="46" t="n"/>
      <c r="B90" s="47" t="n"/>
      <c r="C90" s="47" t="n"/>
      <c r="D90" s="47" t="n"/>
      <c r="E90" s="48" t="n"/>
      <c r="F90" s="48" t="n"/>
      <c r="G90" s="49" t="n"/>
      <c r="H90" s="50" t="n"/>
      <c r="I90" s="50" t="n"/>
      <c r="J90" s="50" t="n"/>
      <c r="K90" s="50" t="n"/>
      <c r="L90" s="51">
        <f>IF(NOT((COUNTA($A90:$K90)+COUNTA($N90:$O90))&gt;0),"",IFERROR(LOOKUP(2,1/(H90:K90&lt;&gt;""),H90:K90),0))</f>
        <v/>
      </c>
      <c r="M90" s="52">
        <f>IF(L90="","",IF(L90&gt;=1,"Completado",IF(L90&gt;0,"En curso","Pendiente")))</f>
        <v/>
      </c>
      <c r="N90" s="48" t="n"/>
      <c r="O90" s="47" t="n"/>
      <c r="P90" s="53">
        <f>IF(NOT((COUNTA($A90:$K90)+COUNTA($N90:$O90))&gt;0),"",IF((IF(A90="","Falta ID"&amp;" · ","")&amp;IF(AND(A90&lt;&gt;"",COUNTIF($A$5:$A$1000,A90)&gt;1),"ID duplicado"&amp;" · ","")&amp;IF(B90="","Área sin seleccionar"&amp;" · ","")&amp;IF(AND(B90&lt;&gt;"",ISNA(MATCH(B90,ListaPuestos,0))),"Área no válida"&amp;" · ","")&amp;IF(C90="","Macroactividad vacía"&amp;" · ","")&amp;IF(D90="","Sin responsable"&amp;" · ","")&amp;IF(E90="","Sin fecha de inicio"&amp;" · ","")&amp;IF(F90="","Sin fecha límite"&amp;" · ","")&amp;IF(OR(AND(E90&lt;&gt;"",NOT(ISNUMBER(E90))),AND(F90&lt;&gt;"",NOT(ISNUMBER(F90)))),"Fecha no válida"&amp;" · ","")&amp;IF(AND(ISNUMBER(E90),ISNUMBER(F90),E90&gt;F90),"Inicio posterior a fecha límite"&amp;" · ","")&amp;IF(G90="","Peso vacío"&amp;" · ","")&amp;IF(AND(G90&lt;&gt;"",OR(NOT(ISNUMBER(G90)),G90&lt;=0,G90&gt;1)),"Peso fuera de rango"&amp;" · ","")&amp;IF(AND(B90&lt;&gt;"",ABS(SUMIFS($G$5:$G$1000,$B$5:$B$1000,B90)-1)&gt;0.0001),"Pesos del puesto suman "&amp;TEXT(SUMIFS($G$5:$G$1000,$B$5:$B$1000,B90),"0%")&amp;" · ","")&amp;IF((COUNTIF(H90:K90,"&gt;1")+COUNTIF(H90:K90,"&lt;0")+COUNTA(H90:K90)-COUNT(H90:K90))&gt;0,"Avance fuera de rango 0-100%"&amp;" · ","")&amp;IF(OR(AND(I90&lt;&gt;"",I90&lt;H90),AND(J90&lt;&gt;"",J90&lt;MAX(H90:I90)),AND(K90&lt;&gt;"",K90&lt;MAX(H90:J90))),"Avance semanal decreciente"&amp;" · ","")&amp;IF(AND(ISNUMBER(F90),F90&lt;FechaRef,N(L90)&lt;1),"Vencida"&amp;" · ","")&amp;IF(AND(EvidenciaObligatoria="Sí",N(L90)&gt;=1,O90=""),"Completada sin evidencia"&amp;" · ",""))="","✔ OK","⚠ "&amp;LEFT(IF(A90="","Falta ID"&amp;" · ","")&amp;IF(AND(A90&lt;&gt;"",COUNTIF($A$5:$A$1000,A90)&gt;1),"ID duplicado"&amp;" · ","")&amp;IF(B90="","Área sin seleccionar"&amp;" · ","")&amp;IF(AND(B90&lt;&gt;"",ISNA(MATCH(B90,ListaPuestos,0))),"Área no válida"&amp;" · ","")&amp;IF(C90="","Macroactividad vacía"&amp;" · ","")&amp;IF(D90="","Sin responsable"&amp;" · ","")&amp;IF(E90="","Sin fecha de inicio"&amp;" · ","")&amp;IF(F90="","Sin fecha límite"&amp;" · ","")&amp;IF(OR(AND(E90&lt;&gt;"",NOT(ISNUMBER(E90))),AND(F90&lt;&gt;"",NOT(ISNUMBER(F90)))),"Fecha no válida"&amp;" · ","")&amp;IF(AND(ISNUMBER(E90),ISNUMBER(F90),E90&gt;F90),"Inicio posterior a fecha límite"&amp;" · ","")&amp;IF(G90="","Peso vacío"&amp;" · ","")&amp;IF(AND(G90&lt;&gt;"",OR(NOT(ISNUMBER(G90)),G90&lt;=0,G90&gt;1)),"Peso fuera de rango"&amp;" · ","")&amp;IF(AND(B90&lt;&gt;"",ABS(SUMIFS($G$5:$G$1000,$B$5:$B$1000,B90)-1)&gt;0.0001),"Pesos del puesto suman "&amp;TEXT(SUMIFS($G$5:$G$1000,$B$5:$B$1000,B90),"0%")&amp;" · ","")&amp;IF((COUNTIF(H90:K90,"&gt;1")+COUNTIF(H90:K90,"&lt;0")+COUNTA(H90:K90)-COUNT(H90:K90))&gt;0,"Avance fuera de rango 0-100%"&amp;" · ","")&amp;IF(OR(AND(I90&lt;&gt;"",I90&lt;H90),AND(J90&lt;&gt;"",J90&lt;MAX(H90:I90)),AND(K90&lt;&gt;"",K90&lt;MAX(H90:J90))),"Avance semanal decreciente"&amp;" · ","")&amp;IF(AND(ISNUMBER(F90),F90&lt;FechaRef,N(L90)&lt;1),"Vencida"&amp;" · ","")&amp;IF(AND(EvidenciaObligatoria="Sí",N(L90)&gt;=1,O90=""),"Completada sin evidencia"&amp;" · ",""),LEN(IF(A90="","Falta ID"&amp;" · ","")&amp;IF(AND(A90&lt;&gt;"",COUNTIF($A$5:$A$1000,A90)&gt;1),"ID duplicado"&amp;" · ","")&amp;IF(B90="","Área sin seleccionar"&amp;" · ","")&amp;IF(AND(B90&lt;&gt;"",ISNA(MATCH(B90,ListaPuestos,0))),"Área no válida"&amp;" · ","")&amp;IF(C90="","Macroactividad vacía"&amp;" · ","")&amp;IF(D90="","Sin responsable"&amp;" · ","")&amp;IF(E90="","Sin fecha de inicio"&amp;" · ","")&amp;IF(F90="","Sin fecha límite"&amp;" · ","")&amp;IF(OR(AND(E90&lt;&gt;"",NOT(ISNUMBER(E90))),AND(F90&lt;&gt;"",NOT(ISNUMBER(F90)))),"Fecha no válida"&amp;" · ","")&amp;IF(AND(ISNUMBER(E90),ISNUMBER(F90),E90&gt;F90),"Inicio posterior a fecha límite"&amp;" · ","")&amp;IF(G90="","Peso vacío"&amp;" · ","")&amp;IF(AND(G90&lt;&gt;"",OR(NOT(ISNUMBER(G90)),G90&lt;=0,G90&gt;1)),"Peso fuera de rango"&amp;" · ","")&amp;IF(AND(B90&lt;&gt;"",ABS(SUMIFS($G$5:$G$1000,$B$5:$B$1000,B90)-1)&gt;0.0001),"Pesos del puesto suman "&amp;TEXT(SUMIFS($G$5:$G$1000,$B$5:$B$1000,B90),"0%")&amp;" · ","")&amp;IF((COUNTIF(H90:K90,"&gt;1")+COUNTIF(H90:K90,"&lt;0")+COUNTA(H90:K90)-COUNT(H90:K90))&gt;0,"Avance fuera de rango 0-100%"&amp;" · ","")&amp;IF(OR(AND(I90&lt;&gt;"",I90&lt;H90),AND(J90&lt;&gt;"",J90&lt;MAX(H90:I90)),AND(K90&lt;&gt;"",K90&lt;MAX(H90:J90))),"Avance semanal decreciente"&amp;" · ","")&amp;IF(AND(ISNUMBER(F90),F90&lt;FechaRef,N(L90)&lt;1),"Vencida"&amp;" · ","")&amp;IF(AND(EvidenciaObligatoria="Sí",N(L90)&gt;=1,O90=""),"Completada sin evidencia"&amp;" · ",""))-3)))</f>
        <v/>
      </c>
    </row>
    <row r="91">
      <c r="A91" s="46" t="n"/>
      <c r="B91" s="47" t="n"/>
      <c r="C91" s="47" t="n"/>
      <c r="D91" s="47" t="n"/>
      <c r="E91" s="48" t="n"/>
      <c r="F91" s="48" t="n"/>
      <c r="G91" s="49" t="n"/>
      <c r="H91" s="50" t="n"/>
      <c r="I91" s="50" t="n"/>
      <c r="J91" s="50" t="n"/>
      <c r="K91" s="50" t="n"/>
      <c r="L91" s="51">
        <f>IF(NOT((COUNTA($A91:$K91)+COUNTA($N91:$O91))&gt;0),"",IFERROR(LOOKUP(2,1/(H91:K91&lt;&gt;""),H91:K91),0))</f>
        <v/>
      </c>
      <c r="M91" s="52">
        <f>IF(L91="","",IF(L91&gt;=1,"Completado",IF(L91&gt;0,"En curso","Pendiente")))</f>
        <v/>
      </c>
      <c r="N91" s="48" t="n"/>
      <c r="O91" s="47" t="n"/>
      <c r="P91" s="53">
        <f>IF(NOT((COUNTA($A91:$K91)+COUNTA($N91:$O91))&gt;0),"",IF((IF(A91="","Falta ID"&amp;" · ","")&amp;IF(AND(A91&lt;&gt;"",COUNTIF($A$5:$A$1000,A91)&gt;1),"ID duplicado"&amp;" · ","")&amp;IF(B91="","Área sin seleccionar"&amp;" · ","")&amp;IF(AND(B91&lt;&gt;"",ISNA(MATCH(B91,ListaPuestos,0))),"Área no válida"&amp;" · ","")&amp;IF(C91="","Macroactividad vacía"&amp;" · ","")&amp;IF(D91="","Sin responsable"&amp;" · ","")&amp;IF(E91="","Sin fecha de inicio"&amp;" · ","")&amp;IF(F91="","Sin fecha límite"&amp;" · ","")&amp;IF(OR(AND(E91&lt;&gt;"",NOT(ISNUMBER(E91))),AND(F91&lt;&gt;"",NOT(ISNUMBER(F91)))),"Fecha no válida"&amp;" · ","")&amp;IF(AND(ISNUMBER(E91),ISNUMBER(F91),E91&gt;F91),"Inicio posterior a fecha límite"&amp;" · ","")&amp;IF(G91="","Peso vacío"&amp;" · ","")&amp;IF(AND(G91&lt;&gt;"",OR(NOT(ISNUMBER(G91)),G91&lt;=0,G91&gt;1)),"Peso fuera de rango"&amp;" · ","")&amp;IF(AND(B91&lt;&gt;"",ABS(SUMIFS($G$5:$G$1000,$B$5:$B$1000,B91)-1)&gt;0.0001),"Pesos del puesto suman "&amp;TEXT(SUMIFS($G$5:$G$1000,$B$5:$B$1000,B91),"0%")&amp;" · ","")&amp;IF((COUNTIF(H91:K91,"&gt;1")+COUNTIF(H91:K91,"&lt;0")+COUNTA(H91:K91)-COUNT(H91:K91))&gt;0,"Avance fuera de rango 0-100%"&amp;" · ","")&amp;IF(OR(AND(I91&lt;&gt;"",I91&lt;H91),AND(J91&lt;&gt;"",J91&lt;MAX(H91:I91)),AND(K91&lt;&gt;"",K91&lt;MAX(H91:J91))),"Avance semanal decreciente"&amp;" · ","")&amp;IF(AND(ISNUMBER(F91),F91&lt;FechaRef,N(L91)&lt;1),"Vencida"&amp;" · ","")&amp;IF(AND(EvidenciaObligatoria="Sí",N(L91)&gt;=1,O91=""),"Completada sin evidencia"&amp;" · ",""))="","✔ OK","⚠ "&amp;LEFT(IF(A91="","Falta ID"&amp;" · ","")&amp;IF(AND(A91&lt;&gt;"",COUNTIF($A$5:$A$1000,A91)&gt;1),"ID duplicado"&amp;" · ","")&amp;IF(B91="","Área sin seleccionar"&amp;" · ","")&amp;IF(AND(B91&lt;&gt;"",ISNA(MATCH(B91,ListaPuestos,0))),"Área no válida"&amp;" · ","")&amp;IF(C91="","Macroactividad vacía"&amp;" · ","")&amp;IF(D91="","Sin responsable"&amp;" · ","")&amp;IF(E91="","Sin fecha de inicio"&amp;" · ","")&amp;IF(F91="","Sin fecha límite"&amp;" · ","")&amp;IF(OR(AND(E91&lt;&gt;"",NOT(ISNUMBER(E91))),AND(F91&lt;&gt;"",NOT(ISNUMBER(F91)))),"Fecha no válida"&amp;" · ","")&amp;IF(AND(ISNUMBER(E91),ISNUMBER(F91),E91&gt;F91),"Inicio posterior a fecha límite"&amp;" · ","")&amp;IF(G91="","Peso vacío"&amp;" · ","")&amp;IF(AND(G91&lt;&gt;"",OR(NOT(ISNUMBER(G91)),G91&lt;=0,G91&gt;1)),"Peso fuera de rango"&amp;" · ","")&amp;IF(AND(B91&lt;&gt;"",ABS(SUMIFS($G$5:$G$1000,$B$5:$B$1000,B91)-1)&gt;0.0001),"Pesos del puesto suman "&amp;TEXT(SUMIFS($G$5:$G$1000,$B$5:$B$1000,B91),"0%")&amp;" · ","")&amp;IF((COUNTIF(H91:K91,"&gt;1")+COUNTIF(H91:K91,"&lt;0")+COUNTA(H91:K91)-COUNT(H91:K91))&gt;0,"Avance fuera de rango 0-100%"&amp;" · ","")&amp;IF(OR(AND(I91&lt;&gt;"",I91&lt;H91),AND(J91&lt;&gt;"",J91&lt;MAX(H91:I91)),AND(K91&lt;&gt;"",K91&lt;MAX(H91:J91))),"Avance semanal decreciente"&amp;" · ","")&amp;IF(AND(ISNUMBER(F91),F91&lt;FechaRef,N(L91)&lt;1),"Vencida"&amp;" · ","")&amp;IF(AND(EvidenciaObligatoria="Sí",N(L91)&gt;=1,O91=""),"Completada sin evidencia"&amp;" · ",""),LEN(IF(A91="","Falta ID"&amp;" · ","")&amp;IF(AND(A91&lt;&gt;"",COUNTIF($A$5:$A$1000,A91)&gt;1),"ID duplicado"&amp;" · ","")&amp;IF(B91="","Área sin seleccionar"&amp;" · ","")&amp;IF(AND(B91&lt;&gt;"",ISNA(MATCH(B91,ListaPuestos,0))),"Área no válida"&amp;" · ","")&amp;IF(C91="","Macroactividad vacía"&amp;" · ","")&amp;IF(D91="","Sin responsable"&amp;" · ","")&amp;IF(E91="","Sin fecha de inicio"&amp;" · ","")&amp;IF(F91="","Sin fecha límite"&amp;" · ","")&amp;IF(OR(AND(E91&lt;&gt;"",NOT(ISNUMBER(E91))),AND(F91&lt;&gt;"",NOT(ISNUMBER(F91)))),"Fecha no válida"&amp;" · ","")&amp;IF(AND(ISNUMBER(E91),ISNUMBER(F91),E91&gt;F91),"Inicio posterior a fecha límite"&amp;" · ","")&amp;IF(G91="","Peso vacío"&amp;" · ","")&amp;IF(AND(G91&lt;&gt;"",OR(NOT(ISNUMBER(G91)),G91&lt;=0,G91&gt;1)),"Peso fuera de rango"&amp;" · ","")&amp;IF(AND(B91&lt;&gt;"",ABS(SUMIFS($G$5:$G$1000,$B$5:$B$1000,B91)-1)&gt;0.0001),"Pesos del puesto suman "&amp;TEXT(SUMIFS($G$5:$G$1000,$B$5:$B$1000,B91),"0%")&amp;" · ","")&amp;IF((COUNTIF(H91:K91,"&gt;1")+COUNTIF(H91:K91,"&lt;0")+COUNTA(H91:K91)-COUNT(H91:K91))&gt;0,"Avance fuera de rango 0-100%"&amp;" · ","")&amp;IF(OR(AND(I91&lt;&gt;"",I91&lt;H91),AND(J91&lt;&gt;"",J91&lt;MAX(H91:I91)),AND(K91&lt;&gt;"",K91&lt;MAX(H91:J91))),"Avance semanal decreciente"&amp;" · ","")&amp;IF(AND(ISNUMBER(F91),F91&lt;FechaRef,N(L91)&lt;1),"Vencida"&amp;" · ","")&amp;IF(AND(EvidenciaObligatoria="Sí",N(L91)&gt;=1,O91=""),"Completada sin evidencia"&amp;" · ",""))-3)))</f>
        <v/>
      </c>
    </row>
    <row r="92">
      <c r="A92" s="46" t="n"/>
      <c r="B92" s="47" t="n"/>
      <c r="C92" s="47" t="n"/>
      <c r="D92" s="47" t="n"/>
      <c r="E92" s="48" t="n"/>
      <c r="F92" s="48" t="n"/>
      <c r="G92" s="49" t="n"/>
      <c r="H92" s="50" t="n"/>
      <c r="I92" s="50" t="n"/>
      <c r="J92" s="50" t="n"/>
      <c r="K92" s="50" t="n"/>
      <c r="L92" s="51">
        <f>IF(NOT((COUNTA($A92:$K92)+COUNTA($N92:$O92))&gt;0),"",IFERROR(LOOKUP(2,1/(H92:K92&lt;&gt;""),H92:K92),0))</f>
        <v/>
      </c>
      <c r="M92" s="52">
        <f>IF(L92="","",IF(L92&gt;=1,"Completado",IF(L92&gt;0,"En curso","Pendiente")))</f>
        <v/>
      </c>
      <c r="N92" s="48" t="n"/>
      <c r="O92" s="47" t="n"/>
      <c r="P92" s="53">
        <f>IF(NOT((COUNTA($A92:$K92)+COUNTA($N92:$O92))&gt;0),"",IF((IF(A92="","Falta ID"&amp;" · ","")&amp;IF(AND(A92&lt;&gt;"",COUNTIF($A$5:$A$1000,A92)&gt;1),"ID duplicado"&amp;" · ","")&amp;IF(B92="","Área sin seleccionar"&amp;" · ","")&amp;IF(AND(B92&lt;&gt;"",ISNA(MATCH(B92,ListaPuestos,0))),"Área no válida"&amp;" · ","")&amp;IF(C92="","Macroactividad vacía"&amp;" · ","")&amp;IF(D92="","Sin responsable"&amp;" · ","")&amp;IF(E92="","Sin fecha de inicio"&amp;" · ","")&amp;IF(F92="","Sin fecha límite"&amp;" · ","")&amp;IF(OR(AND(E92&lt;&gt;"",NOT(ISNUMBER(E92))),AND(F92&lt;&gt;"",NOT(ISNUMBER(F92)))),"Fecha no válida"&amp;" · ","")&amp;IF(AND(ISNUMBER(E92),ISNUMBER(F92),E92&gt;F92),"Inicio posterior a fecha límite"&amp;" · ","")&amp;IF(G92="","Peso vacío"&amp;" · ","")&amp;IF(AND(G92&lt;&gt;"",OR(NOT(ISNUMBER(G92)),G92&lt;=0,G92&gt;1)),"Peso fuera de rango"&amp;" · ","")&amp;IF(AND(B92&lt;&gt;"",ABS(SUMIFS($G$5:$G$1000,$B$5:$B$1000,B92)-1)&gt;0.0001),"Pesos del puesto suman "&amp;TEXT(SUMIFS($G$5:$G$1000,$B$5:$B$1000,B92),"0%")&amp;" · ","")&amp;IF((COUNTIF(H92:K92,"&gt;1")+COUNTIF(H92:K92,"&lt;0")+COUNTA(H92:K92)-COUNT(H92:K92))&gt;0,"Avance fuera de rango 0-100%"&amp;" · ","")&amp;IF(OR(AND(I92&lt;&gt;"",I92&lt;H92),AND(J92&lt;&gt;"",J92&lt;MAX(H92:I92)),AND(K92&lt;&gt;"",K92&lt;MAX(H92:J92))),"Avance semanal decreciente"&amp;" · ","")&amp;IF(AND(ISNUMBER(F92),F92&lt;FechaRef,N(L92)&lt;1),"Vencida"&amp;" · ","")&amp;IF(AND(EvidenciaObligatoria="Sí",N(L92)&gt;=1,O92=""),"Completada sin evidencia"&amp;" · ",""))="","✔ OK","⚠ "&amp;LEFT(IF(A92="","Falta ID"&amp;" · ","")&amp;IF(AND(A92&lt;&gt;"",COUNTIF($A$5:$A$1000,A92)&gt;1),"ID duplicado"&amp;" · ","")&amp;IF(B92="","Área sin seleccionar"&amp;" · ","")&amp;IF(AND(B92&lt;&gt;"",ISNA(MATCH(B92,ListaPuestos,0))),"Área no válida"&amp;" · ","")&amp;IF(C92="","Macroactividad vacía"&amp;" · ","")&amp;IF(D92="","Sin responsable"&amp;" · ","")&amp;IF(E92="","Sin fecha de inicio"&amp;" · ","")&amp;IF(F92="","Sin fecha límite"&amp;" · ","")&amp;IF(OR(AND(E92&lt;&gt;"",NOT(ISNUMBER(E92))),AND(F92&lt;&gt;"",NOT(ISNUMBER(F92)))),"Fecha no válida"&amp;" · ","")&amp;IF(AND(ISNUMBER(E92),ISNUMBER(F92),E92&gt;F92),"Inicio posterior a fecha límite"&amp;" · ","")&amp;IF(G92="","Peso vacío"&amp;" · ","")&amp;IF(AND(G92&lt;&gt;"",OR(NOT(ISNUMBER(G92)),G92&lt;=0,G92&gt;1)),"Peso fuera de rango"&amp;" · ","")&amp;IF(AND(B92&lt;&gt;"",ABS(SUMIFS($G$5:$G$1000,$B$5:$B$1000,B92)-1)&gt;0.0001),"Pesos del puesto suman "&amp;TEXT(SUMIFS($G$5:$G$1000,$B$5:$B$1000,B92),"0%")&amp;" · ","")&amp;IF((COUNTIF(H92:K92,"&gt;1")+COUNTIF(H92:K92,"&lt;0")+COUNTA(H92:K92)-COUNT(H92:K92))&gt;0,"Avance fuera de rango 0-100%"&amp;" · ","")&amp;IF(OR(AND(I92&lt;&gt;"",I92&lt;H92),AND(J92&lt;&gt;"",J92&lt;MAX(H92:I92)),AND(K92&lt;&gt;"",K92&lt;MAX(H92:J92))),"Avance semanal decreciente"&amp;" · ","")&amp;IF(AND(ISNUMBER(F92),F92&lt;FechaRef,N(L92)&lt;1),"Vencida"&amp;" · ","")&amp;IF(AND(EvidenciaObligatoria="Sí",N(L92)&gt;=1,O92=""),"Completada sin evidencia"&amp;" · ",""),LEN(IF(A92="","Falta ID"&amp;" · ","")&amp;IF(AND(A92&lt;&gt;"",COUNTIF($A$5:$A$1000,A92)&gt;1),"ID duplicado"&amp;" · ","")&amp;IF(B92="","Área sin seleccionar"&amp;" · ","")&amp;IF(AND(B92&lt;&gt;"",ISNA(MATCH(B92,ListaPuestos,0))),"Área no válida"&amp;" · ","")&amp;IF(C92="","Macroactividad vacía"&amp;" · ","")&amp;IF(D92="","Sin responsable"&amp;" · ","")&amp;IF(E92="","Sin fecha de inicio"&amp;" · ","")&amp;IF(F92="","Sin fecha límite"&amp;" · ","")&amp;IF(OR(AND(E92&lt;&gt;"",NOT(ISNUMBER(E92))),AND(F92&lt;&gt;"",NOT(ISNUMBER(F92)))),"Fecha no válida"&amp;" · ","")&amp;IF(AND(ISNUMBER(E92),ISNUMBER(F92),E92&gt;F92),"Inicio posterior a fecha límite"&amp;" · ","")&amp;IF(G92="","Peso vacío"&amp;" · ","")&amp;IF(AND(G92&lt;&gt;"",OR(NOT(ISNUMBER(G92)),G92&lt;=0,G92&gt;1)),"Peso fuera de rango"&amp;" · ","")&amp;IF(AND(B92&lt;&gt;"",ABS(SUMIFS($G$5:$G$1000,$B$5:$B$1000,B92)-1)&gt;0.0001),"Pesos del puesto suman "&amp;TEXT(SUMIFS($G$5:$G$1000,$B$5:$B$1000,B92),"0%")&amp;" · ","")&amp;IF((COUNTIF(H92:K92,"&gt;1")+COUNTIF(H92:K92,"&lt;0")+COUNTA(H92:K92)-COUNT(H92:K92))&gt;0,"Avance fuera de rango 0-100%"&amp;" · ","")&amp;IF(OR(AND(I92&lt;&gt;"",I92&lt;H92),AND(J92&lt;&gt;"",J92&lt;MAX(H92:I92)),AND(K92&lt;&gt;"",K92&lt;MAX(H92:J92))),"Avance semanal decreciente"&amp;" · ","")&amp;IF(AND(ISNUMBER(F92),F92&lt;FechaRef,N(L92)&lt;1),"Vencida"&amp;" · ","")&amp;IF(AND(EvidenciaObligatoria="Sí",N(L92)&gt;=1,O92=""),"Completada sin evidencia"&amp;" · ",""))-3)))</f>
        <v/>
      </c>
    </row>
    <row r="93">
      <c r="A93" s="46" t="n"/>
      <c r="B93" s="47" t="n"/>
      <c r="C93" s="47" t="n"/>
      <c r="D93" s="47" t="n"/>
      <c r="E93" s="48" t="n"/>
      <c r="F93" s="48" t="n"/>
      <c r="G93" s="49" t="n"/>
      <c r="H93" s="50" t="n"/>
      <c r="I93" s="50" t="n"/>
      <c r="J93" s="50" t="n"/>
      <c r="K93" s="50" t="n"/>
      <c r="L93" s="51">
        <f>IF(NOT((COUNTA($A93:$K93)+COUNTA($N93:$O93))&gt;0),"",IFERROR(LOOKUP(2,1/(H93:K93&lt;&gt;""),H93:K93),0))</f>
        <v/>
      </c>
      <c r="M93" s="52">
        <f>IF(L93="","",IF(L93&gt;=1,"Completado",IF(L93&gt;0,"En curso","Pendiente")))</f>
        <v/>
      </c>
      <c r="N93" s="48" t="n"/>
      <c r="O93" s="47" t="n"/>
      <c r="P93" s="53">
        <f>IF(NOT((COUNTA($A93:$K93)+COUNTA($N93:$O93))&gt;0),"",IF((IF(A93="","Falta ID"&amp;" · ","")&amp;IF(AND(A93&lt;&gt;"",COUNTIF($A$5:$A$1000,A93)&gt;1),"ID duplicado"&amp;" · ","")&amp;IF(B93="","Área sin seleccionar"&amp;" · ","")&amp;IF(AND(B93&lt;&gt;"",ISNA(MATCH(B93,ListaPuestos,0))),"Área no válida"&amp;" · ","")&amp;IF(C93="","Macroactividad vacía"&amp;" · ","")&amp;IF(D93="","Sin responsable"&amp;" · ","")&amp;IF(E93="","Sin fecha de inicio"&amp;" · ","")&amp;IF(F93="","Sin fecha límite"&amp;" · ","")&amp;IF(OR(AND(E93&lt;&gt;"",NOT(ISNUMBER(E93))),AND(F93&lt;&gt;"",NOT(ISNUMBER(F93)))),"Fecha no válida"&amp;" · ","")&amp;IF(AND(ISNUMBER(E93),ISNUMBER(F93),E93&gt;F93),"Inicio posterior a fecha límite"&amp;" · ","")&amp;IF(G93="","Peso vacío"&amp;" · ","")&amp;IF(AND(G93&lt;&gt;"",OR(NOT(ISNUMBER(G93)),G93&lt;=0,G93&gt;1)),"Peso fuera de rango"&amp;" · ","")&amp;IF(AND(B93&lt;&gt;"",ABS(SUMIFS($G$5:$G$1000,$B$5:$B$1000,B93)-1)&gt;0.0001),"Pesos del puesto suman "&amp;TEXT(SUMIFS($G$5:$G$1000,$B$5:$B$1000,B93),"0%")&amp;" · ","")&amp;IF((COUNTIF(H93:K93,"&gt;1")+COUNTIF(H93:K93,"&lt;0")+COUNTA(H93:K93)-COUNT(H93:K93))&gt;0,"Avance fuera de rango 0-100%"&amp;" · ","")&amp;IF(OR(AND(I93&lt;&gt;"",I93&lt;H93),AND(J93&lt;&gt;"",J93&lt;MAX(H93:I93)),AND(K93&lt;&gt;"",K93&lt;MAX(H93:J93))),"Avance semanal decreciente"&amp;" · ","")&amp;IF(AND(ISNUMBER(F93),F93&lt;FechaRef,N(L93)&lt;1),"Vencida"&amp;" · ","")&amp;IF(AND(EvidenciaObligatoria="Sí",N(L93)&gt;=1,O93=""),"Completada sin evidencia"&amp;" · ",""))="","✔ OK","⚠ "&amp;LEFT(IF(A93="","Falta ID"&amp;" · ","")&amp;IF(AND(A93&lt;&gt;"",COUNTIF($A$5:$A$1000,A93)&gt;1),"ID duplicado"&amp;" · ","")&amp;IF(B93="","Área sin seleccionar"&amp;" · ","")&amp;IF(AND(B93&lt;&gt;"",ISNA(MATCH(B93,ListaPuestos,0))),"Área no válida"&amp;" · ","")&amp;IF(C93="","Macroactividad vacía"&amp;" · ","")&amp;IF(D93="","Sin responsable"&amp;" · ","")&amp;IF(E93="","Sin fecha de inicio"&amp;" · ","")&amp;IF(F93="","Sin fecha límite"&amp;" · ","")&amp;IF(OR(AND(E93&lt;&gt;"",NOT(ISNUMBER(E93))),AND(F93&lt;&gt;"",NOT(ISNUMBER(F93)))),"Fecha no válida"&amp;" · ","")&amp;IF(AND(ISNUMBER(E93),ISNUMBER(F93),E93&gt;F93),"Inicio posterior a fecha límite"&amp;" · ","")&amp;IF(G93="","Peso vacío"&amp;" · ","")&amp;IF(AND(G93&lt;&gt;"",OR(NOT(ISNUMBER(G93)),G93&lt;=0,G93&gt;1)),"Peso fuera de rango"&amp;" · ","")&amp;IF(AND(B93&lt;&gt;"",ABS(SUMIFS($G$5:$G$1000,$B$5:$B$1000,B93)-1)&gt;0.0001),"Pesos del puesto suman "&amp;TEXT(SUMIFS($G$5:$G$1000,$B$5:$B$1000,B93),"0%")&amp;" · ","")&amp;IF((COUNTIF(H93:K93,"&gt;1")+COUNTIF(H93:K93,"&lt;0")+COUNTA(H93:K93)-COUNT(H93:K93))&gt;0,"Avance fuera de rango 0-100%"&amp;" · ","")&amp;IF(OR(AND(I93&lt;&gt;"",I93&lt;H93),AND(J93&lt;&gt;"",J93&lt;MAX(H93:I93)),AND(K93&lt;&gt;"",K93&lt;MAX(H93:J93))),"Avance semanal decreciente"&amp;" · ","")&amp;IF(AND(ISNUMBER(F93),F93&lt;FechaRef,N(L93)&lt;1),"Vencida"&amp;" · ","")&amp;IF(AND(EvidenciaObligatoria="Sí",N(L93)&gt;=1,O93=""),"Completada sin evidencia"&amp;" · ",""),LEN(IF(A93="","Falta ID"&amp;" · ","")&amp;IF(AND(A93&lt;&gt;"",COUNTIF($A$5:$A$1000,A93)&gt;1),"ID duplicado"&amp;" · ","")&amp;IF(B93="","Área sin seleccionar"&amp;" · ","")&amp;IF(AND(B93&lt;&gt;"",ISNA(MATCH(B93,ListaPuestos,0))),"Área no válida"&amp;" · ","")&amp;IF(C93="","Macroactividad vacía"&amp;" · ","")&amp;IF(D93="","Sin responsable"&amp;" · ","")&amp;IF(E93="","Sin fecha de inicio"&amp;" · ","")&amp;IF(F93="","Sin fecha límite"&amp;" · ","")&amp;IF(OR(AND(E93&lt;&gt;"",NOT(ISNUMBER(E93))),AND(F93&lt;&gt;"",NOT(ISNUMBER(F93)))),"Fecha no válida"&amp;" · ","")&amp;IF(AND(ISNUMBER(E93),ISNUMBER(F93),E93&gt;F93),"Inicio posterior a fecha límite"&amp;" · ","")&amp;IF(G93="","Peso vacío"&amp;" · ","")&amp;IF(AND(G93&lt;&gt;"",OR(NOT(ISNUMBER(G93)),G93&lt;=0,G93&gt;1)),"Peso fuera de rango"&amp;" · ","")&amp;IF(AND(B93&lt;&gt;"",ABS(SUMIFS($G$5:$G$1000,$B$5:$B$1000,B93)-1)&gt;0.0001),"Pesos del puesto suman "&amp;TEXT(SUMIFS($G$5:$G$1000,$B$5:$B$1000,B93),"0%")&amp;" · ","")&amp;IF((COUNTIF(H93:K93,"&gt;1")+COUNTIF(H93:K93,"&lt;0")+COUNTA(H93:K93)-COUNT(H93:K93))&gt;0,"Avance fuera de rango 0-100%"&amp;" · ","")&amp;IF(OR(AND(I93&lt;&gt;"",I93&lt;H93),AND(J93&lt;&gt;"",J93&lt;MAX(H93:I93)),AND(K93&lt;&gt;"",K93&lt;MAX(H93:J93))),"Avance semanal decreciente"&amp;" · ","")&amp;IF(AND(ISNUMBER(F93),F93&lt;FechaRef,N(L93)&lt;1),"Vencida"&amp;" · ","")&amp;IF(AND(EvidenciaObligatoria="Sí",N(L93)&gt;=1,O93=""),"Completada sin evidencia"&amp;" · ",""))-3)))</f>
        <v/>
      </c>
    </row>
    <row r="94">
      <c r="A94" s="46" t="n"/>
      <c r="B94" s="47" t="n"/>
      <c r="C94" s="47" t="n"/>
      <c r="D94" s="47" t="n"/>
      <c r="E94" s="48" t="n"/>
      <c r="F94" s="48" t="n"/>
      <c r="G94" s="49" t="n"/>
      <c r="H94" s="50" t="n"/>
      <c r="I94" s="50" t="n"/>
      <c r="J94" s="50" t="n"/>
      <c r="K94" s="50" t="n"/>
      <c r="L94" s="51">
        <f>IF(NOT((COUNTA($A94:$K94)+COUNTA($N94:$O94))&gt;0),"",IFERROR(LOOKUP(2,1/(H94:K94&lt;&gt;""),H94:K94),0))</f>
        <v/>
      </c>
      <c r="M94" s="52">
        <f>IF(L94="","",IF(L94&gt;=1,"Completado",IF(L94&gt;0,"En curso","Pendiente")))</f>
        <v/>
      </c>
      <c r="N94" s="48" t="n"/>
      <c r="O94" s="47" t="n"/>
      <c r="P94" s="53">
        <f>IF(NOT((COUNTA($A94:$K94)+COUNTA($N94:$O94))&gt;0),"",IF((IF(A94="","Falta ID"&amp;" · ","")&amp;IF(AND(A94&lt;&gt;"",COUNTIF($A$5:$A$1000,A94)&gt;1),"ID duplicado"&amp;" · ","")&amp;IF(B94="","Área sin seleccionar"&amp;" · ","")&amp;IF(AND(B94&lt;&gt;"",ISNA(MATCH(B94,ListaPuestos,0))),"Área no válida"&amp;" · ","")&amp;IF(C94="","Macroactividad vacía"&amp;" · ","")&amp;IF(D94="","Sin responsable"&amp;" · ","")&amp;IF(E94="","Sin fecha de inicio"&amp;" · ","")&amp;IF(F94="","Sin fecha límite"&amp;" · ","")&amp;IF(OR(AND(E94&lt;&gt;"",NOT(ISNUMBER(E94))),AND(F94&lt;&gt;"",NOT(ISNUMBER(F94)))),"Fecha no válida"&amp;" · ","")&amp;IF(AND(ISNUMBER(E94),ISNUMBER(F94),E94&gt;F94),"Inicio posterior a fecha límite"&amp;" · ","")&amp;IF(G94="","Peso vacío"&amp;" · ","")&amp;IF(AND(G94&lt;&gt;"",OR(NOT(ISNUMBER(G94)),G94&lt;=0,G94&gt;1)),"Peso fuera de rango"&amp;" · ","")&amp;IF(AND(B94&lt;&gt;"",ABS(SUMIFS($G$5:$G$1000,$B$5:$B$1000,B94)-1)&gt;0.0001),"Pesos del puesto suman "&amp;TEXT(SUMIFS($G$5:$G$1000,$B$5:$B$1000,B94),"0%")&amp;" · ","")&amp;IF((COUNTIF(H94:K94,"&gt;1")+COUNTIF(H94:K94,"&lt;0")+COUNTA(H94:K94)-COUNT(H94:K94))&gt;0,"Avance fuera de rango 0-100%"&amp;" · ","")&amp;IF(OR(AND(I94&lt;&gt;"",I94&lt;H94),AND(J94&lt;&gt;"",J94&lt;MAX(H94:I94)),AND(K94&lt;&gt;"",K94&lt;MAX(H94:J94))),"Avance semanal decreciente"&amp;" · ","")&amp;IF(AND(ISNUMBER(F94),F94&lt;FechaRef,N(L94)&lt;1),"Vencida"&amp;" · ","")&amp;IF(AND(EvidenciaObligatoria="Sí",N(L94)&gt;=1,O94=""),"Completada sin evidencia"&amp;" · ",""))="","✔ OK","⚠ "&amp;LEFT(IF(A94="","Falta ID"&amp;" · ","")&amp;IF(AND(A94&lt;&gt;"",COUNTIF($A$5:$A$1000,A94)&gt;1),"ID duplicado"&amp;" · ","")&amp;IF(B94="","Área sin seleccionar"&amp;" · ","")&amp;IF(AND(B94&lt;&gt;"",ISNA(MATCH(B94,ListaPuestos,0))),"Área no válida"&amp;" · ","")&amp;IF(C94="","Macroactividad vacía"&amp;" · ","")&amp;IF(D94="","Sin responsable"&amp;" · ","")&amp;IF(E94="","Sin fecha de inicio"&amp;" · ","")&amp;IF(F94="","Sin fecha límite"&amp;" · ","")&amp;IF(OR(AND(E94&lt;&gt;"",NOT(ISNUMBER(E94))),AND(F94&lt;&gt;"",NOT(ISNUMBER(F94)))),"Fecha no válida"&amp;" · ","")&amp;IF(AND(ISNUMBER(E94),ISNUMBER(F94),E94&gt;F94),"Inicio posterior a fecha límite"&amp;" · ","")&amp;IF(G94="","Peso vacío"&amp;" · ","")&amp;IF(AND(G94&lt;&gt;"",OR(NOT(ISNUMBER(G94)),G94&lt;=0,G94&gt;1)),"Peso fuera de rango"&amp;" · ","")&amp;IF(AND(B94&lt;&gt;"",ABS(SUMIFS($G$5:$G$1000,$B$5:$B$1000,B94)-1)&gt;0.0001),"Pesos del puesto suman "&amp;TEXT(SUMIFS($G$5:$G$1000,$B$5:$B$1000,B94),"0%")&amp;" · ","")&amp;IF((COUNTIF(H94:K94,"&gt;1")+COUNTIF(H94:K94,"&lt;0")+COUNTA(H94:K94)-COUNT(H94:K94))&gt;0,"Avance fuera de rango 0-100%"&amp;" · ","")&amp;IF(OR(AND(I94&lt;&gt;"",I94&lt;H94),AND(J94&lt;&gt;"",J94&lt;MAX(H94:I94)),AND(K94&lt;&gt;"",K94&lt;MAX(H94:J94))),"Avance semanal decreciente"&amp;" · ","")&amp;IF(AND(ISNUMBER(F94),F94&lt;FechaRef,N(L94)&lt;1),"Vencida"&amp;" · ","")&amp;IF(AND(EvidenciaObligatoria="Sí",N(L94)&gt;=1,O94=""),"Completada sin evidencia"&amp;" · ",""),LEN(IF(A94="","Falta ID"&amp;" · ","")&amp;IF(AND(A94&lt;&gt;"",COUNTIF($A$5:$A$1000,A94)&gt;1),"ID duplicado"&amp;" · ","")&amp;IF(B94="","Área sin seleccionar"&amp;" · ","")&amp;IF(AND(B94&lt;&gt;"",ISNA(MATCH(B94,ListaPuestos,0))),"Área no válida"&amp;" · ","")&amp;IF(C94="","Macroactividad vacía"&amp;" · ","")&amp;IF(D94="","Sin responsable"&amp;" · ","")&amp;IF(E94="","Sin fecha de inicio"&amp;" · ","")&amp;IF(F94="","Sin fecha límite"&amp;" · ","")&amp;IF(OR(AND(E94&lt;&gt;"",NOT(ISNUMBER(E94))),AND(F94&lt;&gt;"",NOT(ISNUMBER(F94)))),"Fecha no válida"&amp;" · ","")&amp;IF(AND(ISNUMBER(E94),ISNUMBER(F94),E94&gt;F94),"Inicio posterior a fecha límite"&amp;" · ","")&amp;IF(G94="","Peso vacío"&amp;" · ","")&amp;IF(AND(G94&lt;&gt;"",OR(NOT(ISNUMBER(G94)),G94&lt;=0,G94&gt;1)),"Peso fuera de rango"&amp;" · ","")&amp;IF(AND(B94&lt;&gt;"",ABS(SUMIFS($G$5:$G$1000,$B$5:$B$1000,B94)-1)&gt;0.0001),"Pesos del puesto suman "&amp;TEXT(SUMIFS($G$5:$G$1000,$B$5:$B$1000,B94),"0%")&amp;" · ","")&amp;IF((COUNTIF(H94:K94,"&gt;1")+COUNTIF(H94:K94,"&lt;0")+COUNTA(H94:K94)-COUNT(H94:K94))&gt;0,"Avance fuera de rango 0-100%"&amp;" · ","")&amp;IF(OR(AND(I94&lt;&gt;"",I94&lt;H94),AND(J94&lt;&gt;"",J94&lt;MAX(H94:I94)),AND(K94&lt;&gt;"",K94&lt;MAX(H94:J94))),"Avance semanal decreciente"&amp;" · ","")&amp;IF(AND(ISNUMBER(F94),F94&lt;FechaRef,N(L94)&lt;1),"Vencida"&amp;" · ","")&amp;IF(AND(EvidenciaObligatoria="Sí",N(L94)&gt;=1,O94=""),"Completada sin evidencia"&amp;" · ",""))-3)))</f>
        <v/>
      </c>
    </row>
    <row r="95">
      <c r="A95" s="46" t="n"/>
      <c r="B95" s="47" t="n"/>
      <c r="C95" s="47" t="n"/>
      <c r="D95" s="47" t="n"/>
      <c r="E95" s="48" t="n"/>
      <c r="F95" s="48" t="n"/>
      <c r="G95" s="49" t="n"/>
      <c r="H95" s="50" t="n"/>
      <c r="I95" s="50" t="n"/>
      <c r="J95" s="50" t="n"/>
      <c r="K95" s="50" t="n"/>
      <c r="L95" s="51">
        <f>IF(NOT((COUNTA($A95:$K95)+COUNTA($N95:$O95))&gt;0),"",IFERROR(LOOKUP(2,1/(H95:K95&lt;&gt;""),H95:K95),0))</f>
        <v/>
      </c>
      <c r="M95" s="52">
        <f>IF(L95="","",IF(L95&gt;=1,"Completado",IF(L95&gt;0,"En curso","Pendiente")))</f>
        <v/>
      </c>
      <c r="N95" s="48" t="n"/>
      <c r="O95" s="47" t="n"/>
      <c r="P95" s="53">
        <f>IF(NOT((COUNTA($A95:$K95)+COUNTA($N95:$O95))&gt;0),"",IF((IF(A95="","Falta ID"&amp;" · ","")&amp;IF(AND(A95&lt;&gt;"",COUNTIF($A$5:$A$1000,A95)&gt;1),"ID duplicado"&amp;" · ","")&amp;IF(B95="","Área sin seleccionar"&amp;" · ","")&amp;IF(AND(B95&lt;&gt;"",ISNA(MATCH(B95,ListaPuestos,0))),"Área no válida"&amp;" · ","")&amp;IF(C95="","Macroactividad vacía"&amp;" · ","")&amp;IF(D95="","Sin responsable"&amp;" · ","")&amp;IF(E95="","Sin fecha de inicio"&amp;" · ","")&amp;IF(F95="","Sin fecha límite"&amp;" · ","")&amp;IF(OR(AND(E95&lt;&gt;"",NOT(ISNUMBER(E95))),AND(F95&lt;&gt;"",NOT(ISNUMBER(F95)))),"Fecha no válida"&amp;" · ","")&amp;IF(AND(ISNUMBER(E95),ISNUMBER(F95),E95&gt;F95),"Inicio posterior a fecha límite"&amp;" · ","")&amp;IF(G95="","Peso vacío"&amp;" · ","")&amp;IF(AND(G95&lt;&gt;"",OR(NOT(ISNUMBER(G95)),G95&lt;=0,G95&gt;1)),"Peso fuera de rango"&amp;" · ","")&amp;IF(AND(B95&lt;&gt;"",ABS(SUMIFS($G$5:$G$1000,$B$5:$B$1000,B95)-1)&gt;0.0001),"Pesos del puesto suman "&amp;TEXT(SUMIFS($G$5:$G$1000,$B$5:$B$1000,B95),"0%")&amp;" · ","")&amp;IF((COUNTIF(H95:K95,"&gt;1")+COUNTIF(H95:K95,"&lt;0")+COUNTA(H95:K95)-COUNT(H95:K95))&gt;0,"Avance fuera de rango 0-100%"&amp;" · ","")&amp;IF(OR(AND(I95&lt;&gt;"",I95&lt;H95),AND(J95&lt;&gt;"",J95&lt;MAX(H95:I95)),AND(K95&lt;&gt;"",K95&lt;MAX(H95:J95))),"Avance semanal decreciente"&amp;" · ","")&amp;IF(AND(ISNUMBER(F95),F95&lt;FechaRef,N(L95)&lt;1),"Vencida"&amp;" · ","")&amp;IF(AND(EvidenciaObligatoria="Sí",N(L95)&gt;=1,O95=""),"Completada sin evidencia"&amp;" · ",""))="","✔ OK","⚠ "&amp;LEFT(IF(A95="","Falta ID"&amp;" · ","")&amp;IF(AND(A95&lt;&gt;"",COUNTIF($A$5:$A$1000,A95)&gt;1),"ID duplicado"&amp;" · ","")&amp;IF(B95="","Área sin seleccionar"&amp;" · ","")&amp;IF(AND(B95&lt;&gt;"",ISNA(MATCH(B95,ListaPuestos,0))),"Área no válida"&amp;" · ","")&amp;IF(C95="","Macroactividad vacía"&amp;" · ","")&amp;IF(D95="","Sin responsable"&amp;" · ","")&amp;IF(E95="","Sin fecha de inicio"&amp;" · ","")&amp;IF(F95="","Sin fecha límite"&amp;" · ","")&amp;IF(OR(AND(E95&lt;&gt;"",NOT(ISNUMBER(E95))),AND(F95&lt;&gt;"",NOT(ISNUMBER(F95)))),"Fecha no válida"&amp;" · ","")&amp;IF(AND(ISNUMBER(E95),ISNUMBER(F95),E95&gt;F95),"Inicio posterior a fecha límite"&amp;" · ","")&amp;IF(G95="","Peso vacío"&amp;" · ","")&amp;IF(AND(G95&lt;&gt;"",OR(NOT(ISNUMBER(G95)),G95&lt;=0,G95&gt;1)),"Peso fuera de rango"&amp;" · ","")&amp;IF(AND(B95&lt;&gt;"",ABS(SUMIFS($G$5:$G$1000,$B$5:$B$1000,B95)-1)&gt;0.0001),"Pesos del puesto suman "&amp;TEXT(SUMIFS($G$5:$G$1000,$B$5:$B$1000,B95),"0%")&amp;" · ","")&amp;IF((COUNTIF(H95:K95,"&gt;1")+COUNTIF(H95:K95,"&lt;0")+COUNTA(H95:K95)-COUNT(H95:K95))&gt;0,"Avance fuera de rango 0-100%"&amp;" · ","")&amp;IF(OR(AND(I95&lt;&gt;"",I95&lt;H95),AND(J95&lt;&gt;"",J95&lt;MAX(H95:I95)),AND(K95&lt;&gt;"",K95&lt;MAX(H95:J95))),"Avance semanal decreciente"&amp;" · ","")&amp;IF(AND(ISNUMBER(F95),F95&lt;FechaRef,N(L95)&lt;1),"Vencida"&amp;" · ","")&amp;IF(AND(EvidenciaObligatoria="Sí",N(L95)&gt;=1,O95=""),"Completada sin evidencia"&amp;" · ",""),LEN(IF(A95="","Falta ID"&amp;" · ","")&amp;IF(AND(A95&lt;&gt;"",COUNTIF($A$5:$A$1000,A95)&gt;1),"ID duplicado"&amp;" · ","")&amp;IF(B95="","Área sin seleccionar"&amp;" · ","")&amp;IF(AND(B95&lt;&gt;"",ISNA(MATCH(B95,ListaPuestos,0))),"Área no válida"&amp;" · ","")&amp;IF(C95="","Macroactividad vacía"&amp;" · ","")&amp;IF(D95="","Sin responsable"&amp;" · ","")&amp;IF(E95="","Sin fecha de inicio"&amp;" · ","")&amp;IF(F95="","Sin fecha límite"&amp;" · ","")&amp;IF(OR(AND(E95&lt;&gt;"",NOT(ISNUMBER(E95))),AND(F95&lt;&gt;"",NOT(ISNUMBER(F95)))),"Fecha no válida"&amp;" · ","")&amp;IF(AND(ISNUMBER(E95),ISNUMBER(F95),E95&gt;F95),"Inicio posterior a fecha límite"&amp;" · ","")&amp;IF(G95="","Peso vacío"&amp;" · ","")&amp;IF(AND(G95&lt;&gt;"",OR(NOT(ISNUMBER(G95)),G95&lt;=0,G95&gt;1)),"Peso fuera de rango"&amp;" · ","")&amp;IF(AND(B95&lt;&gt;"",ABS(SUMIFS($G$5:$G$1000,$B$5:$B$1000,B95)-1)&gt;0.0001),"Pesos del puesto suman "&amp;TEXT(SUMIFS($G$5:$G$1000,$B$5:$B$1000,B95),"0%")&amp;" · ","")&amp;IF((COUNTIF(H95:K95,"&gt;1")+COUNTIF(H95:K95,"&lt;0")+COUNTA(H95:K95)-COUNT(H95:K95))&gt;0,"Avance fuera de rango 0-100%"&amp;" · ","")&amp;IF(OR(AND(I95&lt;&gt;"",I95&lt;H95),AND(J95&lt;&gt;"",J95&lt;MAX(H95:I95)),AND(K95&lt;&gt;"",K95&lt;MAX(H95:J95))),"Avance semanal decreciente"&amp;" · ","")&amp;IF(AND(ISNUMBER(F95),F95&lt;FechaRef,N(L95)&lt;1),"Vencida"&amp;" · ","")&amp;IF(AND(EvidenciaObligatoria="Sí",N(L95)&gt;=1,O95=""),"Completada sin evidencia"&amp;" · ",""))-3)))</f>
        <v/>
      </c>
    </row>
    <row r="96">
      <c r="A96" s="46" t="n"/>
      <c r="B96" s="47" t="n"/>
      <c r="C96" s="47" t="n"/>
      <c r="D96" s="47" t="n"/>
      <c r="E96" s="48" t="n"/>
      <c r="F96" s="48" t="n"/>
      <c r="G96" s="49" t="n"/>
      <c r="H96" s="50" t="n"/>
      <c r="I96" s="50" t="n"/>
      <c r="J96" s="50" t="n"/>
      <c r="K96" s="50" t="n"/>
      <c r="L96" s="51">
        <f>IF(NOT((COUNTA($A96:$K96)+COUNTA($N96:$O96))&gt;0),"",IFERROR(LOOKUP(2,1/(H96:K96&lt;&gt;""),H96:K96),0))</f>
        <v/>
      </c>
      <c r="M96" s="52">
        <f>IF(L96="","",IF(L96&gt;=1,"Completado",IF(L96&gt;0,"En curso","Pendiente")))</f>
        <v/>
      </c>
      <c r="N96" s="48" t="n"/>
      <c r="O96" s="47" t="n"/>
      <c r="P96" s="53">
        <f>IF(NOT((COUNTA($A96:$K96)+COUNTA($N96:$O96))&gt;0),"",IF((IF(A96="","Falta ID"&amp;" · ","")&amp;IF(AND(A96&lt;&gt;"",COUNTIF($A$5:$A$1000,A96)&gt;1),"ID duplicado"&amp;" · ","")&amp;IF(B96="","Área sin seleccionar"&amp;" · ","")&amp;IF(AND(B96&lt;&gt;"",ISNA(MATCH(B96,ListaPuestos,0))),"Área no válida"&amp;" · ","")&amp;IF(C96="","Macroactividad vacía"&amp;" · ","")&amp;IF(D96="","Sin responsable"&amp;" · ","")&amp;IF(E96="","Sin fecha de inicio"&amp;" · ","")&amp;IF(F96="","Sin fecha límite"&amp;" · ","")&amp;IF(OR(AND(E96&lt;&gt;"",NOT(ISNUMBER(E96))),AND(F96&lt;&gt;"",NOT(ISNUMBER(F96)))),"Fecha no válida"&amp;" · ","")&amp;IF(AND(ISNUMBER(E96),ISNUMBER(F96),E96&gt;F96),"Inicio posterior a fecha límite"&amp;" · ","")&amp;IF(G96="","Peso vacío"&amp;" · ","")&amp;IF(AND(G96&lt;&gt;"",OR(NOT(ISNUMBER(G96)),G96&lt;=0,G96&gt;1)),"Peso fuera de rango"&amp;" · ","")&amp;IF(AND(B96&lt;&gt;"",ABS(SUMIFS($G$5:$G$1000,$B$5:$B$1000,B96)-1)&gt;0.0001),"Pesos del puesto suman "&amp;TEXT(SUMIFS($G$5:$G$1000,$B$5:$B$1000,B96),"0%")&amp;" · ","")&amp;IF((COUNTIF(H96:K96,"&gt;1")+COUNTIF(H96:K96,"&lt;0")+COUNTA(H96:K96)-COUNT(H96:K96))&gt;0,"Avance fuera de rango 0-100%"&amp;" · ","")&amp;IF(OR(AND(I96&lt;&gt;"",I96&lt;H96),AND(J96&lt;&gt;"",J96&lt;MAX(H96:I96)),AND(K96&lt;&gt;"",K96&lt;MAX(H96:J96))),"Avance semanal decreciente"&amp;" · ","")&amp;IF(AND(ISNUMBER(F96),F96&lt;FechaRef,N(L96)&lt;1),"Vencida"&amp;" · ","")&amp;IF(AND(EvidenciaObligatoria="Sí",N(L96)&gt;=1,O96=""),"Completada sin evidencia"&amp;" · ",""))="","✔ OK","⚠ "&amp;LEFT(IF(A96="","Falta ID"&amp;" · ","")&amp;IF(AND(A96&lt;&gt;"",COUNTIF($A$5:$A$1000,A96)&gt;1),"ID duplicado"&amp;" · ","")&amp;IF(B96="","Área sin seleccionar"&amp;" · ","")&amp;IF(AND(B96&lt;&gt;"",ISNA(MATCH(B96,ListaPuestos,0))),"Área no válida"&amp;" · ","")&amp;IF(C96="","Macroactividad vacía"&amp;" · ","")&amp;IF(D96="","Sin responsable"&amp;" · ","")&amp;IF(E96="","Sin fecha de inicio"&amp;" · ","")&amp;IF(F96="","Sin fecha límite"&amp;" · ","")&amp;IF(OR(AND(E96&lt;&gt;"",NOT(ISNUMBER(E96))),AND(F96&lt;&gt;"",NOT(ISNUMBER(F96)))),"Fecha no válida"&amp;" · ","")&amp;IF(AND(ISNUMBER(E96),ISNUMBER(F96),E96&gt;F96),"Inicio posterior a fecha límite"&amp;" · ","")&amp;IF(G96="","Peso vacío"&amp;" · ","")&amp;IF(AND(G96&lt;&gt;"",OR(NOT(ISNUMBER(G96)),G96&lt;=0,G96&gt;1)),"Peso fuera de rango"&amp;" · ","")&amp;IF(AND(B96&lt;&gt;"",ABS(SUMIFS($G$5:$G$1000,$B$5:$B$1000,B96)-1)&gt;0.0001),"Pesos del puesto suman "&amp;TEXT(SUMIFS($G$5:$G$1000,$B$5:$B$1000,B96),"0%")&amp;" · ","")&amp;IF((COUNTIF(H96:K96,"&gt;1")+COUNTIF(H96:K96,"&lt;0")+COUNTA(H96:K96)-COUNT(H96:K96))&gt;0,"Avance fuera de rango 0-100%"&amp;" · ","")&amp;IF(OR(AND(I96&lt;&gt;"",I96&lt;H96),AND(J96&lt;&gt;"",J96&lt;MAX(H96:I96)),AND(K96&lt;&gt;"",K96&lt;MAX(H96:J96))),"Avance semanal decreciente"&amp;" · ","")&amp;IF(AND(ISNUMBER(F96),F96&lt;FechaRef,N(L96)&lt;1),"Vencida"&amp;" · ","")&amp;IF(AND(EvidenciaObligatoria="Sí",N(L96)&gt;=1,O96=""),"Completada sin evidencia"&amp;" · ",""),LEN(IF(A96="","Falta ID"&amp;" · ","")&amp;IF(AND(A96&lt;&gt;"",COUNTIF($A$5:$A$1000,A96)&gt;1),"ID duplicado"&amp;" · ","")&amp;IF(B96="","Área sin seleccionar"&amp;" · ","")&amp;IF(AND(B96&lt;&gt;"",ISNA(MATCH(B96,ListaPuestos,0))),"Área no válida"&amp;" · ","")&amp;IF(C96="","Macroactividad vacía"&amp;" · ","")&amp;IF(D96="","Sin responsable"&amp;" · ","")&amp;IF(E96="","Sin fecha de inicio"&amp;" · ","")&amp;IF(F96="","Sin fecha límite"&amp;" · ","")&amp;IF(OR(AND(E96&lt;&gt;"",NOT(ISNUMBER(E96))),AND(F96&lt;&gt;"",NOT(ISNUMBER(F96)))),"Fecha no válida"&amp;" · ","")&amp;IF(AND(ISNUMBER(E96),ISNUMBER(F96),E96&gt;F96),"Inicio posterior a fecha límite"&amp;" · ","")&amp;IF(G96="","Peso vacío"&amp;" · ","")&amp;IF(AND(G96&lt;&gt;"",OR(NOT(ISNUMBER(G96)),G96&lt;=0,G96&gt;1)),"Peso fuera de rango"&amp;" · ","")&amp;IF(AND(B96&lt;&gt;"",ABS(SUMIFS($G$5:$G$1000,$B$5:$B$1000,B96)-1)&gt;0.0001),"Pesos del puesto suman "&amp;TEXT(SUMIFS($G$5:$G$1000,$B$5:$B$1000,B96),"0%")&amp;" · ","")&amp;IF((COUNTIF(H96:K96,"&gt;1")+COUNTIF(H96:K96,"&lt;0")+COUNTA(H96:K96)-COUNT(H96:K96))&gt;0,"Avance fuera de rango 0-100%"&amp;" · ","")&amp;IF(OR(AND(I96&lt;&gt;"",I96&lt;H96),AND(J96&lt;&gt;"",J96&lt;MAX(H96:I96)),AND(K96&lt;&gt;"",K96&lt;MAX(H96:J96))),"Avance semanal decreciente"&amp;" · ","")&amp;IF(AND(ISNUMBER(F96),F96&lt;FechaRef,N(L96)&lt;1),"Vencida"&amp;" · ","")&amp;IF(AND(EvidenciaObligatoria="Sí",N(L96)&gt;=1,O96=""),"Completada sin evidencia"&amp;" · ",""))-3)))</f>
        <v/>
      </c>
    </row>
    <row r="97">
      <c r="A97" s="46" t="n"/>
      <c r="B97" s="47" t="n"/>
      <c r="C97" s="47" t="n"/>
      <c r="D97" s="47" t="n"/>
      <c r="E97" s="48" t="n"/>
      <c r="F97" s="48" t="n"/>
      <c r="G97" s="49" t="n"/>
      <c r="H97" s="50" t="n"/>
      <c r="I97" s="50" t="n"/>
      <c r="J97" s="50" t="n"/>
      <c r="K97" s="50" t="n"/>
      <c r="L97" s="51">
        <f>IF(NOT((COUNTA($A97:$K97)+COUNTA($N97:$O97))&gt;0),"",IFERROR(LOOKUP(2,1/(H97:K97&lt;&gt;""),H97:K97),0))</f>
        <v/>
      </c>
      <c r="M97" s="52">
        <f>IF(L97="","",IF(L97&gt;=1,"Completado",IF(L97&gt;0,"En curso","Pendiente")))</f>
        <v/>
      </c>
      <c r="N97" s="48" t="n"/>
      <c r="O97" s="47" t="n"/>
      <c r="P97" s="53">
        <f>IF(NOT((COUNTA($A97:$K97)+COUNTA($N97:$O97))&gt;0),"",IF((IF(A97="","Falta ID"&amp;" · ","")&amp;IF(AND(A97&lt;&gt;"",COUNTIF($A$5:$A$1000,A97)&gt;1),"ID duplicado"&amp;" · ","")&amp;IF(B97="","Área sin seleccionar"&amp;" · ","")&amp;IF(AND(B97&lt;&gt;"",ISNA(MATCH(B97,ListaPuestos,0))),"Área no válida"&amp;" · ","")&amp;IF(C97="","Macroactividad vacía"&amp;" · ","")&amp;IF(D97="","Sin responsable"&amp;" · ","")&amp;IF(E97="","Sin fecha de inicio"&amp;" · ","")&amp;IF(F97="","Sin fecha límite"&amp;" · ","")&amp;IF(OR(AND(E97&lt;&gt;"",NOT(ISNUMBER(E97))),AND(F97&lt;&gt;"",NOT(ISNUMBER(F97)))),"Fecha no válida"&amp;" · ","")&amp;IF(AND(ISNUMBER(E97),ISNUMBER(F97),E97&gt;F97),"Inicio posterior a fecha límite"&amp;" · ","")&amp;IF(G97="","Peso vacío"&amp;" · ","")&amp;IF(AND(G97&lt;&gt;"",OR(NOT(ISNUMBER(G97)),G97&lt;=0,G97&gt;1)),"Peso fuera de rango"&amp;" · ","")&amp;IF(AND(B97&lt;&gt;"",ABS(SUMIFS($G$5:$G$1000,$B$5:$B$1000,B97)-1)&gt;0.0001),"Pesos del puesto suman "&amp;TEXT(SUMIFS($G$5:$G$1000,$B$5:$B$1000,B97),"0%")&amp;" · ","")&amp;IF((COUNTIF(H97:K97,"&gt;1")+COUNTIF(H97:K97,"&lt;0")+COUNTA(H97:K97)-COUNT(H97:K97))&gt;0,"Avance fuera de rango 0-100%"&amp;" · ","")&amp;IF(OR(AND(I97&lt;&gt;"",I97&lt;H97),AND(J97&lt;&gt;"",J97&lt;MAX(H97:I97)),AND(K97&lt;&gt;"",K97&lt;MAX(H97:J97))),"Avance semanal decreciente"&amp;" · ","")&amp;IF(AND(ISNUMBER(F97),F97&lt;FechaRef,N(L97)&lt;1),"Vencida"&amp;" · ","")&amp;IF(AND(EvidenciaObligatoria="Sí",N(L97)&gt;=1,O97=""),"Completada sin evidencia"&amp;" · ",""))="","✔ OK","⚠ "&amp;LEFT(IF(A97="","Falta ID"&amp;" · ","")&amp;IF(AND(A97&lt;&gt;"",COUNTIF($A$5:$A$1000,A97)&gt;1),"ID duplicado"&amp;" · ","")&amp;IF(B97="","Área sin seleccionar"&amp;" · ","")&amp;IF(AND(B97&lt;&gt;"",ISNA(MATCH(B97,ListaPuestos,0))),"Área no válida"&amp;" · ","")&amp;IF(C97="","Macroactividad vacía"&amp;" · ","")&amp;IF(D97="","Sin responsable"&amp;" · ","")&amp;IF(E97="","Sin fecha de inicio"&amp;" · ","")&amp;IF(F97="","Sin fecha límite"&amp;" · ","")&amp;IF(OR(AND(E97&lt;&gt;"",NOT(ISNUMBER(E97))),AND(F97&lt;&gt;"",NOT(ISNUMBER(F97)))),"Fecha no válida"&amp;" · ","")&amp;IF(AND(ISNUMBER(E97),ISNUMBER(F97),E97&gt;F97),"Inicio posterior a fecha límite"&amp;" · ","")&amp;IF(G97="","Peso vacío"&amp;" · ","")&amp;IF(AND(G97&lt;&gt;"",OR(NOT(ISNUMBER(G97)),G97&lt;=0,G97&gt;1)),"Peso fuera de rango"&amp;" · ","")&amp;IF(AND(B97&lt;&gt;"",ABS(SUMIFS($G$5:$G$1000,$B$5:$B$1000,B97)-1)&gt;0.0001),"Pesos del puesto suman "&amp;TEXT(SUMIFS($G$5:$G$1000,$B$5:$B$1000,B97),"0%")&amp;" · ","")&amp;IF((COUNTIF(H97:K97,"&gt;1")+COUNTIF(H97:K97,"&lt;0")+COUNTA(H97:K97)-COUNT(H97:K97))&gt;0,"Avance fuera de rango 0-100%"&amp;" · ","")&amp;IF(OR(AND(I97&lt;&gt;"",I97&lt;H97),AND(J97&lt;&gt;"",J97&lt;MAX(H97:I97)),AND(K97&lt;&gt;"",K97&lt;MAX(H97:J97))),"Avance semanal decreciente"&amp;" · ","")&amp;IF(AND(ISNUMBER(F97),F97&lt;FechaRef,N(L97)&lt;1),"Vencida"&amp;" · ","")&amp;IF(AND(EvidenciaObligatoria="Sí",N(L97)&gt;=1,O97=""),"Completada sin evidencia"&amp;" · ",""),LEN(IF(A97="","Falta ID"&amp;" · ","")&amp;IF(AND(A97&lt;&gt;"",COUNTIF($A$5:$A$1000,A97)&gt;1),"ID duplicado"&amp;" · ","")&amp;IF(B97="","Área sin seleccionar"&amp;" · ","")&amp;IF(AND(B97&lt;&gt;"",ISNA(MATCH(B97,ListaPuestos,0))),"Área no válida"&amp;" · ","")&amp;IF(C97="","Macroactividad vacía"&amp;" · ","")&amp;IF(D97="","Sin responsable"&amp;" · ","")&amp;IF(E97="","Sin fecha de inicio"&amp;" · ","")&amp;IF(F97="","Sin fecha límite"&amp;" · ","")&amp;IF(OR(AND(E97&lt;&gt;"",NOT(ISNUMBER(E97))),AND(F97&lt;&gt;"",NOT(ISNUMBER(F97)))),"Fecha no válida"&amp;" · ","")&amp;IF(AND(ISNUMBER(E97),ISNUMBER(F97),E97&gt;F97),"Inicio posterior a fecha límite"&amp;" · ","")&amp;IF(G97="","Peso vacío"&amp;" · ","")&amp;IF(AND(G97&lt;&gt;"",OR(NOT(ISNUMBER(G97)),G97&lt;=0,G97&gt;1)),"Peso fuera de rango"&amp;" · ","")&amp;IF(AND(B97&lt;&gt;"",ABS(SUMIFS($G$5:$G$1000,$B$5:$B$1000,B97)-1)&gt;0.0001),"Pesos del puesto suman "&amp;TEXT(SUMIFS($G$5:$G$1000,$B$5:$B$1000,B97),"0%")&amp;" · ","")&amp;IF((COUNTIF(H97:K97,"&gt;1")+COUNTIF(H97:K97,"&lt;0")+COUNTA(H97:K97)-COUNT(H97:K97))&gt;0,"Avance fuera de rango 0-100%"&amp;" · ","")&amp;IF(OR(AND(I97&lt;&gt;"",I97&lt;H97),AND(J97&lt;&gt;"",J97&lt;MAX(H97:I97)),AND(K97&lt;&gt;"",K97&lt;MAX(H97:J97))),"Avance semanal decreciente"&amp;" · ","")&amp;IF(AND(ISNUMBER(F97),F97&lt;FechaRef,N(L97)&lt;1),"Vencida"&amp;" · ","")&amp;IF(AND(EvidenciaObligatoria="Sí",N(L97)&gt;=1,O97=""),"Completada sin evidencia"&amp;" · ",""))-3)))</f>
        <v/>
      </c>
    </row>
    <row r="98">
      <c r="A98" s="46" t="n"/>
      <c r="B98" s="47" t="n"/>
      <c r="C98" s="47" t="n"/>
      <c r="D98" s="47" t="n"/>
      <c r="E98" s="48" t="n"/>
      <c r="F98" s="48" t="n"/>
      <c r="G98" s="49" t="n"/>
      <c r="H98" s="50" t="n"/>
      <c r="I98" s="50" t="n"/>
      <c r="J98" s="50" t="n"/>
      <c r="K98" s="50" t="n"/>
      <c r="L98" s="51">
        <f>IF(NOT((COUNTA($A98:$K98)+COUNTA($N98:$O98))&gt;0),"",IFERROR(LOOKUP(2,1/(H98:K98&lt;&gt;""),H98:K98),0))</f>
        <v/>
      </c>
      <c r="M98" s="52">
        <f>IF(L98="","",IF(L98&gt;=1,"Completado",IF(L98&gt;0,"En curso","Pendiente")))</f>
        <v/>
      </c>
      <c r="N98" s="48" t="n"/>
      <c r="O98" s="47" t="n"/>
      <c r="P98" s="53">
        <f>IF(NOT((COUNTA($A98:$K98)+COUNTA($N98:$O98))&gt;0),"",IF((IF(A98="","Falta ID"&amp;" · ","")&amp;IF(AND(A98&lt;&gt;"",COUNTIF($A$5:$A$1000,A98)&gt;1),"ID duplicado"&amp;" · ","")&amp;IF(B98="","Área sin seleccionar"&amp;" · ","")&amp;IF(AND(B98&lt;&gt;"",ISNA(MATCH(B98,ListaPuestos,0))),"Área no válida"&amp;" · ","")&amp;IF(C98="","Macroactividad vacía"&amp;" · ","")&amp;IF(D98="","Sin responsable"&amp;" · ","")&amp;IF(E98="","Sin fecha de inicio"&amp;" · ","")&amp;IF(F98="","Sin fecha límite"&amp;" · ","")&amp;IF(OR(AND(E98&lt;&gt;"",NOT(ISNUMBER(E98))),AND(F98&lt;&gt;"",NOT(ISNUMBER(F98)))),"Fecha no válida"&amp;" · ","")&amp;IF(AND(ISNUMBER(E98),ISNUMBER(F98),E98&gt;F98),"Inicio posterior a fecha límite"&amp;" · ","")&amp;IF(G98="","Peso vacío"&amp;" · ","")&amp;IF(AND(G98&lt;&gt;"",OR(NOT(ISNUMBER(G98)),G98&lt;=0,G98&gt;1)),"Peso fuera de rango"&amp;" · ","")&amp;IF(AND(B98&lt;&gt;"",ABS(SUMIFS($G$5:$G$1000,$B$5:$B$1000,B98)-1)&gt;0.0001),"Pesos del puesto suman "&amp;TEXT(SUMIFS($G$5:$G$1000,$B$5:$B$1000,B98),"0%")&amp;" · ","")&amp;IF((COUNTIF(H98:K98,"&gt;1")+COUNTIF(H98:K98,"&lt;0")+COUNTA(H98:K98)-COUNT(H98:K98))&gt;0,"Avance fuera de rango 0-100%"&amp;" · ","")&amp;IF(OR(AND(I98&lt;&gt;"",I98&lt;H98),AND(J98&lt;&gt;"",J98&lt;MAX(H98:I98)),AND(K98&lt;&gt;"",K98&lt;MAX(H98:J98))),"Avance semanal decreciente"&amp;" · ","")&amp;IF(AND(ISNUMBER(F98),F98&lt;FechaRef,N(L98)&lt;1),"Vencida"&amp;" · ","")&amp;IF(AND(EvidenciaObligatoria="Sí",N(L98)&gt;=1,O98=""),"Completada sin evidencia"&amp;" · ",""))="","✔ OK","⚠ "&amp;LEFT(IF(A98="","Falta ID"&amp;" · ","")&amp;IF(AND(A98&lt;&gt;"",COUNTIF($A$5:$A$1000,A98)&gt;1),"ID duplicado"&amp;" · ","")&amp;IF(B98="","Área sin seleccionar"&amp;" · ","")&amp;IF(AND(B98&lt;&gt;"",ISNA(MATCH(B98,ListaPuestos,0))),"Área no válida"&amp;" · ","")&amp;IF(C98="","Macroactividad vacía"&amp;" · ","")&amp;IF(D98="","Sin responsable"&amp;" · ","")&amp;IF(E98="","Sin fecha de inicio"&amp;" · ","")&amp;IF(F98="","Sin fecha límite"&amp;" · ","")&amp;IF(OR(AND(E98&lt;&gt;"",NOT(ISNUMBER(E98))),AND(F98&lt;&gt;"",NOT(ISNUMBER(F98)))),"Fecha no válida"&amp;" · ","")&amp;IF(AND(ISNUMBER(E98),ISNUMBER(F98),E98&gt;F98),"Inicio posterior a fecha límite"&amp;" · ","")&amp;IF(G98="","Peso vacío"&amp;" · ","")&amp;IF(AND(G98&lt;&gt;"",OR(NOT(ISNUMBER(G98)),G98&lt;=0,G98&gt;1)),"Peso fuera de rango"&amp;" · ","")&amp;IF(AND(B98&lt;&gt;"",ABS(SUMIFS($G$5:$G$1000,$B$5:$B$1000,B98)-1)&gt;0.0001),"Pesos del puesto suman "&amp;TEXT(SUMIFS($G$5:$G$1000,$B$5:$B$1000,B98),"0%")&amp;" · ","")&amp;IF((COUNTIF(H98:K98,"&gt;1")+COUNTIF(H98:K98,"&lt;0")+COUNTA(H98:K98)-COUNT(H98:K98))&gt;0,"Avance fuera de rango 0-100%"&amp;" · ","")&amp;IF(OR(AND(I98&lt;&gt;"",I98&lt;H98),AND(J98&lt;&gt;"",J98&lt;MAX(H98:I98)),AND(K98&lt;&gt;"",K98&lt;MAX(H98:J98))),"Avance semanal decreciente"&amp;" · ","")&amp;IF(AND(ISNUMBER(F98),F98&lt;FechaRef,N(L98)&lt;1),"Vencida"&amp;" · ","")&amp;IF(AND(EvidenciaObligatoria="Sí",N(L98)&gt;=1,O98=""),"Completada sin evidencia"&amp;" · ",""),LEN(IF(A98="","Falta ID"&amp;" · ","")&amp;IF(AND(A98&lt;&gt;"",COUNTIF($A$5:$A$1000,A98)&gt;1),"ID duplicado"&amp;" · ","")&amp;IF(B98="","Área sin seleccionar"&amp;" · ","")&amp;IF(AND(B98&lt;&gt;"",ISNA(MATCH(B98,ListaPuestos,0))),"Área no válida"&amp;" · ","")&amp;IF(C98="","Macroactividad vacía"&amp;" · ","")&amp;IF(D98="","Sin responsable"&amp;" · ","")&amp;IF(E98="","Sin fecha de inicio"&amp;" · ","")&amp;IF(F98="","Sin fecha límite"&amp;" · ","")&amp;IF(OR(AND(E98&lt;&gt;"",NOT(ISNUMBER(E98))),AND(F98&lt;&gt;"",NOT(ISNUMBER(F98)))),"Fecha no válida"&amp;" · ","")&amp;IF(AND(ISNUMBER(E98),ISNUMBER(F98),E98&gt;F98),"Inicio posterior a fecha límite"&amp;" · ","")&amp;IF(G98="","Peso vacío"&amp;" · ","")&amp;IF(AND(G98&lt;&gt;"",OR(NOT(ISNUMBER(G98)),G98&lt;=0,G98&gt;1)),"Peso fuera de rango"&amp;" · ","")&amp;IF(AND(B98&lt;&gt;"",ABS(SUMIFS($G$5:$G$1000,$B$5:$B$1000,B98)-1)&gt;0.0001),"Pesos del puesto suman "&amp;TEXT(SUMIFS($G$5:$G$1000,$B$5:$B$1000,B98),"0%")&amp;" · ","")&amp;IF((COUNTIF(H98:K98,"&gt;1")+COUNTIF(H98:K98,"&lt;0")+COUNTA(H98:K98)-COUNT(H98:K98))&gt;0,"Avance fuera de rango 0-100%"&amp;" · ","")&amp;IF(OR(AND(I98&lt;&gt;"",I98&lt;H98),AND(J98&lt;&gt;"",J98&lt;MAX(H98:I98)),AND(K98&lt;&gt;"",K98&lt;MAX(H98:J98))),"Avance semanal decreciente"&amp;" · ","")&amp;IF(AND(ISNUMBER(F98),F98&lt;FechaRef,N(L98)&lt;1),"Vencida"&amp;" · ","")&amp;IF(AND(EvidenciaObligatoria="Sí",N(L98)&gt;=1,O98=""),"Completada sin evidencia"&amp;" · ",""))-3)))</f>
        <v/>
      </c>
    </row>
    <row r="99">
      <c r="A99" s="46" t="n"/>
      <c r="B99" s="47" t="n"/>
      <c r="C99" s="47" t="n"/>
      <c r="D99" s="47" t="n"/>
      <c r="E99" s="48" t="n"/>
      <c r="F99" s="48" t="n"/>
      <c r="G99" s="49" t="n"/>
      <c r="H99" s="50" t="n"/>
      <c r="I99" s="50" t="n"/>
      <c r="J99" s="50" t="n"/>
      <c r="K99" s="50" t="n"/>
      <c r="L99" s="51">
        <f>IF(NOT((COUNTA($A99:$K99)+COUNTA($N99:$O99))&gt;0),"",IFERROR(LOOKUP(2,1/(H99:K99&lt;&gt;""),H99:K99),0))</f>
        <v/>
      </c>
      <c r="M99" s="52">
        <f>IF(L99="","",IF(L99&gt;=1,"Completado",IF(L99&gt;0,"En curso","Pendiente")))</f>
        <v/>
      </c>
      <c r="N99" s="48" t="n"/>
      <c r="O99" s="47" t="n"/>
      <c r="P99" s="53">
        <f>IF(NOT((COUNTA($A99:$K99)+COUNTA($N99:$O99))&gt;0),"",IF((IF(A99="","Falta ID"&amp;" · ","")&amp;IF(AND(A99&lt;&gt;"",COUNTIF($A$5:$A$1000,A99)&gt;1),"ID duplicado"&amp;" · ","")&amp;IF(B99="","Área sin seleccionar"&amp;" · ","")&amp;IF(AND(B99&lt;&gt;"",ISNA(MATCH(B99,ListaPuestos,0))),"Área no válida"&amp;" · ","")&amp;IF(C99="","Macroactividad vacía"&amp;" · ","")&amp;IF(D99="","Sin responsable"&amp;" · ","")&amp;IF(E99="","Sin fecha de inicio"&amp;" · ","")&amp;IF(F99="","Sin fecha límite"&amp;" · ","")&amp;IF(OR(AND(E99&lt;&gt;"",NOT(ISNUMBER(E99))),AND(F99&lt;&gt;"",NOT(ISNUMBER(F99)))),"Fecha no válida"&amp;" · ","")&amp;IF(AND(ISNUMBER(E99),ISNUMBER(F99),E99&gt;F99),"Inicio posterior a fecha límite"&amp;" · ","")&amp;IF(G99="","Peso vacío"&amp;" · ","")&amp;IF(AND(G99&lt;&gt;"",OR(NOT(ISNUMBER(G99)),G99&lt;=0,G99&gt;1)),"Peso fuera de rango"&amp;" · ","")&amp;IF(AND(B99&lt;&gt;"",ABS(SUMIFS($G$5:$G$1000,$B$5:$B$1000,B99)-1)&gt;0.0001),"Pesos del puesto suman "&amp;TEXT(SUMIFS($G$5:$G$1000,$B$5:$B$1000,B99),"0%")&amp;" · ","")&amp;IF((COUNTIF(H99:K99,"&gt;1")+COUNTIF(H99:K99,"&lt;0")+COUNTA(H99:K99)-COUNT(H99:K99))&gt;0,"Avance fuera de rango 0-100%"&amp;" · ","")&amp;IF(OR(AND(I99&lt;&gt;"",I99&lt;H99),AND(J99&lt;&gt;"",J99&lt;MAX(H99:I99)),AND(K99&lt;&gt;"",K99&lt;MAX(H99:J99))),"Avance semanal decreciente"&amp;" · ","")&amp;IF(AND(ISNUMBER(F99),F99&lt;FechaRef,N(L99)&lt;1),"Vencida"&amp;" · ","")&amp;IF(AND(EvidenciaObligatoria="Sí",N(L99)&gt;=1,O99=""),"Completada sin evidencia"&amp;" · ",""))="","✔ OK","⚠ "&amp;LEFT(IF(A99="","Falta ID"&amp;" · ","")&amp;IF(AND(A99&lt;&gt;"",COUNTIF($A$5:$A$1000,A99)&gt;1),"ID duplicado"&amp;" · ","")&amp;IF(B99="","Área sin seleccionar"&amp;" · ","")&amp;IF(AND(B99&lt;&gt;"",ISNA(MATCH(B99,ListaPuestos,0))),"Área no válida"&amp;" · ","")&amp;IF(C99="","Macroactividad vacía"&amp;" · ","")&amp;IF(D99="","Sin responsable"&amp;" · ","")&amp;IF(E99="","Sin fecha de inicio"&amp;" · ","")&amp;IF(F99="","Sin fecha límite"&amp;" · ","")&amp;IF(OR(AND(E99&lt;&gt;"",NOT(ISNUMBER(E99))),AND(F99&lt;&gt;"",NOT(ISNUMBER(F99)))),"Fecha no válida"&amp;" · ","")&amp;IF(AND(ISNUMBER(E99),ISNUMBER(F99),E99&gt;F99),"Inicio posterior a fecha límite"&amp;" · ","")&amp;IF(G99="","Peso vacío"&amp;" · ","")&amp;IF(AND(G99&lt;&gt;"",OR(NOT(ISNUMBER(G99)),G99&lt;=0,G99&gt;1)),"Peso fuera de rango"&amp;" · ","")&amp;IF(AND(B99&lt;&gt;"",ABS(SUMIFS($G$5:$G$1000,$B$5:$B$1000,B99)-1)&gt;0.0001),"Pesos del puesto suman "&amp;TEXT(SUMIFS($G$5:$G$1000,$B$5:$B$1000,B99),"0%")&amp;" · ","")&amp;IF((COUNTIF(H99:K99,"&gt;1")+COUNTIF(H99:K99,"&lt;0")+COUNTA(H99:K99)-COUNT(H99:K99))&gt;0,"Avance fuera de rango 0-100%"&amp;" · ","")&amp;IF(OR(AND(I99&lt;&gt;"",I99&lt;H99),AND(J99&lt;&gt;"",J99&lt;MAX(H99:I99)),AND(K99&lt;&gt;"",K99&lt;MAX(H99:J99))),"Avance semanal decreciente"&amp;" · ","")&amp;IF(AND(ISNUMBER(F99),F99&lt;FechaRef,N(L99)&lt;1),"Vencida"&amp;" · ","")&amp;IF(AND(EvidenciaObligatoria="Sí",N(L99)&gt;=1,O99=""),"Completada sin evidencia"&amp;" · ",""),LEN(IF(A99="","Falta ID"&amp;" · ","")&amp;IF(AND(A99&lt;&gt;"",COUNTIF($A$5:$A$1000,A99)&gt;1),"ID duplicado"&amp;" · ","")&amp;IF(B99="","Área sin seleccionar"&amp;" · ","")&amp;IF(AND(B99&lt;&gt;"",ISNA(MATCH(B99,ListaPuestos,0))),"Área no válida"&amp;" · ","")&amp;IF(C99="","Macroactividad vacía"&amp;" · ","")&amp;IF(D99="","Sin responsable"&amp;" · ","")&amp;IF(E99="","Sin fecha de inicio"&amp;" · ","")&amp;IF(F99="","Sin fecha límite"&amp;" · ","")&amp;IF(OR(AND(E99&lt;&gt;"",NOT(ISNUMBER(E99))),AND(F99&lt;&gt;"",NOT(ISNUMBER(F99)))),"Fecha no válida"&amp;" · ","")&amp;IF(AND(ISNUMBER(E99),ISNUMBER(F99),E99&gt;F99),"Inicio posterior a fecha límite"&amp;" · ","")&amp;IF(G99="","Peso vacío"&amp;" · ","")&amp;IF(AND(G99&lt;&gt;"",OR(NOT(ISNUMBER(G99)),G99&lt;=0,G99&gt;1)),"Peso fuera de rango"&amp;" · ","")&amp;IF(AND(B99&lt;&gt;"",ABS(SUMIFS($G$5:$G$1000,$B$5:$B$1000,B99)-1)&gt;0.0001),"Pesos del puesto suman "&amp;TEXT(SUMIFS($G$5:$G$1000,$B$5:$B$1000,B99),"0%")&amp;" · ","")&amp;IF((COUNTIF(H99:K99,"&gt;1")+COUNTIF(H99:K99,"&lt;0")+COUNTA(H99:K99)-COUNT(H99:K99))&gt;0,"Avance fuera de rango 0-100%"&amp;" · ","")&amp;IF(OR(AND(I99&lt;&gt;"",I99&lt;H99),AND(J99&lt;&gt;"",J99&lt;MAX(H99:I99)),AND(K99&lt;&gt;"",K99&lt;MAX(H99:J99))),"Avance semanal decreciente"&amp;" · ","")&amp;IF(AND(ISNUMBER(F99),F99&lt;FechaRef,N(L99)&lt;1),"Vencida"&amp;" · ","")&amp;IF(AND(EvidenciaObligatoria="Sí",N(L99)&gt;=1,O99=""),"Completada sin evidencia"&amp;" · ",""))-3)))</f>
        <v/>
      </c>
    </row>
    <row r="100">
      <c r="A100" s="46" t="n"/>
      <c r="B100" s="47" t="n"/>
      <c r="C100" s="47" t="n"/>
      <c r="D100" s="47" t="n"/>
      <c r="E100" s="48" t="n"/>
      <c r="F100" s="48" t="n"/>
      <c r="G100" s="49" t="n"/>
      <c r="H100" s="50" t="n"/>
      <c r="I100" s="50" t="n"/>
      <c r="J100" s="50" t="n"/>
      <c r="K100" s="50" t="n"/>
      <c r="L100" s="51">
        <f>IF(NOT((COUNTA($A100:$K100)+COUNTA($N100:$O100))&gt;0),"",IFERROR(LOOKUP(2,1/(H100:K100&lt;&gt;""),H100:K100),0))</f>
        <v/>
      </c>
      <c r="M100" s="52">
        <f>IF(L100="","",IF(L100&gt;=1,"Completado",IF(L100&gt;0,"En curso","Pendiente")))</f>
        <v/>
      </c>
      <c r="N100" s="48" t="n"/>
      <c r="O100" s="47" t="n"/>
      <c r="P100" s="53">
        <f>IF(NOT((COUNTA($A100:$K100)+COUNTA($N100:$O100))&gt;0),"",IF((IF(A100="","Falta ID"&amp;" · ","")&amp;IF(AND(A100&lt;&gt;"",COUNTIF($A$5:$A$1000,A100)&gt;1),"ID duplicado"&amp;" · ","")&amp;IF(B100="","Área sin seleccionar"&amp;" · ","")&amp;IF(AND(B100&lt;&gt;"",ISNA(MATCH(B100,ListaPuestos,0))),"Área no válida"&amp;" · ","")&amp;IF(C100="","Macroactividad vacía"&amp;" · ","")&amp;IF(D100="","Sin responsable"&amp;" · ","")&amp;IF(E100="","Sin fecha de inicio"&amp;" · ","")&amp;IF(F100="","Sin fecha límite"&amp;" · ","")&amp;IF(OR(AND(E100&lt;&gt;"",NOT(ISNUMBER(E100))),AND(F100&lt;&gt;"",NOT(ISNUMBER(F100)))),"Fecha no válida"&amp;" · ","")&amp;IF(AND(ISNUMBER(E100),ISNUMBER(F100),E100&gt;F100),"Inicio posterior a fecha límite"&amp;" · ","")&amp;IF(G100="","Peso vacío"&amp;" · ","")&amp;IF(AND(G100&lt;&gt;"",OR(NOT(ISNUMBER(G100)),G100&lt;=0,G100&gt;1)),"Peso fuera de rango"&amp;" · ","")&amp;IF(AND(B100&lt;&gt;"",ABS(SUMIFS($G$5:$G$1000,$B$5:$B$1000,B100)-1)&gt;0.0001),"Pesos del puesto suman "&amp;TEXT(SUMIFS($G$5:$G$1000,$B$5:$B$1000,B100),"0%")&amp;"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","")&amp;IF(AND(EvidenciaObligatoria="Sí",N(L100)&gt;=1,O100=""),"Completada sin evidencia"&amp;" · ",""))="","✔ OK","⚠ "&amp;LEFT(IF(A100="","Falta ID"&amp;" · ","")&amp;IF(AND(A100&lt;&gt;"",COUNTIF($A$5:$A$1000,A100)&gt;1),"ID duplicado"&amp;" · ","")&amp;IF(B100="","Área sin seleccionar"&amp;" · ","")&amp;IF(AND(B100&lt;&gt;"",ISNA(MATCH(B100,ListaPuestos,0))),"Área no válida"&amp;" · ","")&amp;IF(C100="","Macroactividad vacía"&amp;" · ","")&amp;IF(D100="","Sin responsable"&amp;" · ","")&amp;IF(E100="","Sin fecha de inicio"&amp;" · ","")&amp;IF(F100="","Sin fecha límite"&amp;" · ","")&amp;IF(OR(AND(E100&lt;&gt;"",NOT(ISNUMBER(E100))),AND(F100&lt;&gt;"",NOT(ISNUMBER(F100)))),"Fecha no válida"&amp;" · ","")&amp;IF(AND(ISNUMBER(E100),ISNUMBER(F100),E100&gt;F100),"Inicio posterior a fecha límite"&amp;" · ","")&amp;IF(G100="","Peso vacío"&amp;" · ","")&amp;IF(AND(G100&lt;&gt;"",OR(NOT(ISNUMBER(G100)),G100&lt;=0,G100&gt;1)),"Peso fuera de rango"&amp;" · ","")&amp;IF(AND(B100&lt;&gt;"",ABS(SUMIFS($G$5:$G$1000,$B$5:$B$1000,B100)-1)&gt;0.0001),"Pesos del puesto suman "&amp;TEXT(SUMIFS($G$5:$G$1000,$B$5:$B$1000,B100),"0%")&amp;"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","")&amp;IF(AND(EvidenciaObligatoria="Sí",N(L100)&gt;=1,O100=""),"Completada sin evidencia"&amp;" · ",""),LEN(IF(A100="","Falta ID"&amp;" · ","")&amp;IF(AND(A100&lt;&gt;"",COUNTIF($A$5:$A$1000,A100)&gt;1),"ID duplicado"&amp;" · ","")&amp;IF(B100="","Área sin seleccionar"&amp;" · ","")&amp;IF(AND(B100&lt;&gt;"",ISNA(MATCH(B100,ListaPuestos,0))),"Área no válida"&amp;" · ","")&amp;IF(C100="","Macroactividad vacía"&amp;" · ","")&amp;IF(D100="","Sin responsable"&amp;" · ","")&amp;IF(E100="","Sin fecha de inicio"&amp;" · ","")&amp;IF(F100="","Sin fecha límite"&amp;" · ","")&amp;IF(OR(AND(E100&lt;&gt;"",NOT(ISNUMBER(E100))),AND(F100&lt;&gt;"",NOT(ISNUMBER(F100)))),"Fecha no válida"&amp;" · ","")&amp;IF(AND(ISNUMBER(E100),ISNUMBER(F100),E100&gt;F100),"Inicio posterior a fecha límite"&amp;" · ","")&amp;IF(G100="","Peso vacío"&amp;" · ","")&amp;IF(AND(G100&lt;&gt;"",OR(NOT(ISNUMBER(G100)),G100&lt;=0,G100&gt;1)),"Peso fuera de rango"&amp;" · ","")&amp;IF(AND(B100&lt;&gt;"",ABS(SUMIFS($G$5:$G$1000,$B$5:$B$1000,B100)-1)&gt;0.0001),"Pesos del puesto suman "&amp;TEXT(SUMIFS($G$5:$G$1000,$B$5:$B$1000,B100),"0%")&amp;"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","")&amp;IF(AND(EvidenciaObligatoria="Sí",N(L100)&gt;=1,O100=""),"Completada sin evidencia"&amp;" · ",""))-3)))</f>
        <v/>
      </c>
    </row>
    <row r="101">
      <c r="A101" s="46" t="n"/>
      <c r="B101" s="47" t="n"/>
      <c r="C101" s="47" t="n"/>
      <c r="D101" s="47" t="n"/>
      <c r="E101" s="48" t="n"/>
      <c r="F101" s="48" t="n"/>
      <c r="G101" s="49" t="n"/>
      <c r="H101" s="50" t="n"/>
      <c r="I101" s="50" t="n"/>
      <c r="J101" s="50" t="n"/>
      <c r="K101" s="50" t="n"/>
      <c r="L101" s="51">
        <f>IF(NOT((COUNTA($A101:$K101)+COUNTA($N101:$O101))&gt;0),"",IFERROR(LOOKUP(2,1/(H101:K101&lt;&gt;""),H101:K101),0))</f>
        <v/>
      </c>
      <c r="M101" s="52">
        <f>IF(L101="","",IF(L101&gt;=1,"Completado",IF(L101&gt;0,"En curso","Pendiente")))</f>
        <v/>
      </c>
      <c r="N101" s="48" t="n"/>
      <c r="O101" s="47" t="n"/>
      <c r="P101" s="53">
        <f>IF(NOT((COUNTA($A101:$K101)+COUNTA($N101:$O101))&gt;0),"",IF((IF(A101="","Falta ID"&amp;" · ","")&amp;IF(AND(A101&lt;&gt;"",COUNTIF($A$5:$A$1000,A101)&gt;1),"ID duplicado"&amp;" · ","")&amp;IF(B101="","Área sin seleccionar"&amp;" · ","")&amp;IF(AND(B101&lt;&gt;"",ISNA(MATCH(B101,ListaPuestos,0))),"Área no válida"&amp;" · ","")&amp;IF(C101="","Macroactividad vacía"&amp;" · ","")&amp;IF(D101="","Sin responsable"&amp;" · ","")&amp;IF(E101="","Sin fecha de inicio"&amp;" · ","")&amp;IF(F101="","Sin fecha límite"&amp;" · ","")&amp;IF(OR(AND(E101&lt;&gt;"",NOT(ISNUMBER(E101))),AND(F101&lt;&gt;"",NOT(ISNUMBER(F101)))),"Fecha no válida"&amp;" · ","")&amp;IF(AND(ISNUMBER(E101),ISNUMBER(F101),E101&gt;F101),"Inicio posterior a fecha límite"&amp;" · ","")&amp;IF(G101="","Peso vacío"&amp;" · ","")&amp;IF(AND(G101&lt;&gt;"",OR(NOT(ISNUMBER(G101)),G101&lt;=0,G101&gt;1)),"Peso fuera de rango"&amp;" · ","")&amp;IF(AND(B101&lt;&gt;"",ABS(SUMIFS($G$5:$G$1000,$B$5:$B$1000,B101)-1)&gt;0.0001),"Pesos del puesto suman "&amp;TEXT(SUMIFS($G$5:$G$1000,$B$5:$B$1000,B101),"0%")&amp;"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","")&amp;IF(AND(EvidenciaObligatoria="Sí",N(L101)&gt;=1,O101=""),"Completada sin evidencia"&amp;" · ",""))="","✔ OK","⚠ "&amp;LEFT(IF(A101="","Falta ID"&amp;" · ","")&amp;IF(AND(A101&lt;&gt;"",COUNTIF($A$5:$A$1000,A101)&gt;1),"ID duplicado"&amp;" · ","")&amp;IF(B101="","Área sin seleccionar"&amp;" · ","")&amp;IF(AND(B101&lt;&gt;"",ISNA(MATCH(B101,ListaPuestos,0))),"Área no válida"&amp;" · ","")&amp;IF(C101="","Macroactividad vacía"&amp;" · ","")&amp;IF(D101="","Sin responsable"&amp;" · ","")&amp;IF(E101="","Sin fecha de inicio"&amp;" · ","")&amp;IF(F101="","Sin fecha límite"&amp;" · ","")&amp;IF(OR(AND(E101&lt;&gt;"",NOT(ISNUMBER(E101))),AND(F101&lt;&gt;"",NOT(ISNUMBER(F101)))),"Fecha no válida"&amp;" · ","")&amp;IF(AND(ISNUMBER(E101),ISNUMBER(F101),E101&gt;F101),"Inicio posterior a fecha límite"&amp;" · ","")&amp;IF(G101="","Peso vacío"&amp;" · ","")&amp;IF(AND(G101&lt;&gt;"",OR(NOT(ISNUMBER(G101)),G101&lt;=0,G101&gt;1)),"Peso fuera de rango"&amp;" · ","")&amp;IF(AND(B101&lt;&gt;"",ABS(SUMIFS($G$5:$G$1000,$B$5:$B$1000,B101)-1)&gt;0.0001),"Pesos del puesto suman "&amp;TEXT(SUMIFS($G$5:$G$1000,$B$5:$B$1000,B101),"0%")&amp;"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","")&amp;IF(AND(EvidenciaObligatoria="Sí",N(L101)&gt;=1,O101=""),"Completada sin evidencia"&amp;" · ",""),LEN(IF(A101="","Falta ID"&amp;" · ","")&amp;IF(AND(A101&lt;&gt;"",COUNTIF($A$5:$A$1000,A101)&gt;1),"ID duplicado"&amp;" · ","")&amp;IF(B101="","Área sin seleccionar"&amp;" · ","")&amp;IF(AND(B101&lt;&gt;"",ISNA(MATCH(B101,ListaPuestos,0))),"Área no válida"&amp;" · ","")&amp;IF(C101="","Macroactividad vacía"&amp;" · ","")&amp;IF(D101="","Sin responsable"&amp;" · ","")&amp;IF(E101="","Sin fecha de inicio"&amp;" · ","")&amp;IF(F101="","Sin fecha límite"&amp;" · ","")&amp;IF(OR(AND(E101&lt;&gt;"",NOT(ISNUMBER(E101))),AND(F101&lt;&gt;"",NOT(ISNUMBER(F101)))),"Fecha no válida"&amp;" · ","")&amp;IF(AND(ISNUMBER(E101),ISNUMBER(F101),E101&gt;F101),"Inicio posterior a fecha límite"&amp;" · ","")&amp;IF(G101="","Peso vacío"&amp;" · ","")&amp;IF(AND(G101&lt;&gt;"",OR(NOT(ISNUMBER(G101)),G101&lt;=0,G101&gt;1)),"Peso fuera de rango"&amp;" · ","")&amp;IF(AND(B101&lt;&gt;"",ABS(SUMIFS($G$5:$G$1000,$B$5:$B$1000,B101)-1)&gt;0.0001),"Pesos del puesto suman "&amp;TEXT(SUMIFS($G$5:$G$1000,$B$5:$B$1000,B101),"0%")&amp;"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","")&amp;IF(AND(EvidenciaObligatoria="Sí",N(L101)&gt;=1,O101=""),"Completada sin evidencia"&amp;" · ",""))-3)))</f>
        <v/>
      </c>
    </row>
    <row r="102">
      <c r="A102" s="46" t="n"/>
      <c r="B102" s="47" t="n"/>
      <c r="C102" s="47" t="n"/>
      <c r="D102" s="47" t="n"/>
      <c r="E102" s="48" t="n"/>
      <c r="F102" s="48" t="n"/>
      <c r="G102" s="49" t="n"/>
      <c r="H102" s="50" t="n"/>
      <c r="I102" s="50" t="n"/>
      <c r="J102" s="50" t="n"/>
      <c r="K102" s="50" t="n"/>
      <c r="L102" s="51">
        <f>IF(NOT((COUNTA($A102:$K102)+COUNTA($N102:$O102))&gt;0),"",IFERROR(LOOKUP(2,1/(H102:K102&lt;&gt;""),H102:K102),0))</f>
        <v/>
      </c>
      <c r="M102" s="52">
        <f>IF(L102="","",IF(L102&gt;=1,"Completado",IF(L102&gt;0,"En curso","Pendiente")))</f>
        <v/>
      </c>
      <c r="N102" s="48" t="n"/>
      <c r="O102" s="47" t="n"/>
      <c r="P102" s="53">
        <f>IF(NOT((COUNTA($A102:$K102)+COUNTA($N102:$O102))&gt;0),"",IF((IF(A102="","Falta ID"&amp;" · ","")&amp;IF(AND(A102&lt;&gt;"",COUNTIF($A$5:$A$1000,A102)&gt;1),"ID duplicado"&amp;" · ","")&amp;IF(B102="","Área sin seleccionar"&amp;" · ","")&amp;IF(AND(B102&lt;&gt;"",ISNA(MATCH(B102,ListaPuestos,0))),"Área no válida"&amp;" · ","")&amp;IF(C102="","Macroactividad vacía"&amp;" · ","")&amp;IF(D102="","Sin responsable"&amp;" · ","")&amp;IF(E102="","Sin fecha de inicio"&amp;" · ","")&amp;IF(F102="","Sin fecha límite"&amp;" · ","")&amp;IF(OR(AND(E102&lt;&gt;"",NOT(ISNUMBER(E102))),AND(F102&lt;&gt;"",NOT(ISNUMBER(F102)))),"Fecha no válida"&amp;" · ","")&amp;IF(AND(ISNUMBER(E102),ISNUMBER(F102),E102&gt;F102),"Inicio posterior a fecha límite"&amp;" · ","")&amp;IF(G102="","Peso vacío"&amp;" · ","")&amp;IF(AND(G102&lt;&gt;"",OR(NOT(ISNUMBER(G102)),G102&lt;=0,G102&gt;1)),"Peso fuera de rango"&amp;" · ","")&amp;IF(AND(B102&lt;&gt;"",ABS(SUMIFS($G$5:$G$1000,$B$5:$B$1000,B102)-1)&gt;0.0001),"Pesos del puesto suman "&amp;TEXT(SUMIFS($G$5:$G$1000,$B$5:$B$1000,B102),"0%")&amp;"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","")&amp;IF(AND(EvidenciaObligatoria="Sí",N(L102)&gt;=1,O102=""),"Completada sin evidencia"&amp;" · ",""))="","✔ OK","⚠ "&amp;LEFT(IF(A102="","Falta ID"&amp;" · ","")&amp;IF(AND(A102&lt;&gt;"",COUNTIF($A$5:$A$1000,A102)&gt;1),"ID duplicado"&amp;" · ","")&amp;IF(B102="","Área sin seleccionar"&amp;" · ","")&amp;IF(AND(B102&lt;&gt;"",ISNA(MATCH(B102,ListaPuestos,0))),"Área no válida"&amp;" · ","")&amp;IF(C102="","Macroactividad vacía"&amp;" · ","")&amp;IF(D102="","Sin responsable"&amp;" · ","")&amp;IF(E102="","Sin fecha de inicio"&amp;" · ","")&amp;IF(F102="","Sin fecha límite"&amp;" · ","")&amp;IF(OR(AND(E102&lt;&gt;"",NOT(ISNUMBER(E102))),AND(F102&lt;&gt;"",NOT(ISNUMBER(F102)))),"Fecha no válida"&amp;" · ","")&amp;IF(AND(ISNUMBER(E102),ISNUMBER(F102),E102&gt;F102),"Inicio posterior a fecha límite"&amp;" · ","")&amp;IF(G102="","Peso vacío"&amp;" · ","")&amp;IF(AND(G102&lt;&gt;"",OR(NOT(ISNUMBER(G102)),G102&lt;=0,G102&gt;1)),"Peso fuera de rango"&amp;" · ","")&amp;IF(AND(B102&lt;&gt;"",ABS(SUMIFS($G$5:$G$1000,$B$5:$B$1000,B102)-1)&gt;0.0001),"Pesos del puesto suman "&amp;TEXT(SUMIFS($G$5:$G$1000,$B$5:$B$1000,B102),"0%")&amp;"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","")&amp;IF(AND(EvidenciaObligatoria="Sí",N(L102)&gt;=1,O102=""),"Completada sin evidencia"&amp;" · ",""),LEN(IF(A102="","Falta ID"&amp;" · ","")&amp;IF(AND(A102&lt;&gt;"",COUNTIF($A$5:$A$1000,A102)&gt;1),"ID duplicado"&amp;" · ","")&amp;IF(B102="","Área sin seleccionar"&amp;" · ","")&amp;IF(AND(B102&lt;&gt;"",ISNA(MATCH(B102,ListaPuestos,0))),"Área no válida"&amp;" · ","")&amp;IF(C102="","Macroactividad vacía"&amp;" · ","")&amp;IF(D102="","Sin responsable"&amp;" · ","")&amp;IF(E102="","Sin fecha de inicio"&amp;" · ","")&amp;IF(F102="","Sin fecha límite"&amp;" · ","")&amp;IF(OR(AND(E102&lt;&gt;"",NOT(ISNUMBER(E102))),AND(F102&lt;&gt;"",NOT(ISNUMBER(F102)))),"Fecha no válida"&amp;" · ","")&amp;IF(AND(ISNUMBER(E102),ISNUMBER(F102),E102&gt;F102),"Inicio posterior a fecha límite"&amp;" · ","")&amp;IF(G102="","Peso vacío"&amp;" · ","")&amp;IF(AND(G102&lt;&gt;"",OR(NOT(ISNUMBER(G102)),G102&lt;=0,G102&gt;1)),"Peso fuera de rango"&amp;" · ","")&amp;IF(AND(B102&lt;&gt;"",ABS(SUMIFS($G$5:$G$1000,$B$5:$B$1000,B102)-1)&gt;0.0001),"Pesos del puesto suman "&amp;TEXT(SUMIFS($G$5:$G$1000,$B$5:$B$1000,B102),"0%")&amp;"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","")&amp;IF(AND(EvidenciaObligatoria="Sí",N(L102)&gt;=1,O102=""),"Completada sin evidencia"&amp;" · ",""))-3)))</f>
        <v/>
      </c>
    </row>
    <row r="103">
      <c r="A103" s="46" t="n"/>
      <c r="B103" s="47" t="n"/>
      <c r="C103" s="47" t="n"/>
      <c r="D103" s="47" t="n"/>
      <c r="E103" s="48" t="n"/>
      <c r="F103" s="48" t="n"/>
      <c r="G103" s="49" t="n"/>
      <c r="H103" s="50" t="n"/>
      <c r="I103" s="50" t="n"/>
      <c r="J103" s="50" t="n"/>
      <c r="K103" s="50" t="n"/>
      <c r="L103" s="51">
        <f>IF(NOT((COUNTA($A103:$K103)+COUNTA($N103:$O103))&gt;0),"",IFERROR(LOOKUP(2,1/(H103:K103&lt;&gt;""),H103:K103),0))</f>
        <v/>
      </c>
      <c r="M103" s="52">
        <f>IF(L103="","",IF(L103&gt;=1,"Completado",IF(L103&gt;0,"En curso","Pendiente")))</f>
        <v/>
      </c>
      <c r="N103" s="48" t="n"/>
      <c r="O103" s="47" t="n"/>
      <c r="P103" s="53">
        <f>IF(NOT((COUNTA($A103:$K103)+COUNTA($N103:$O103))&gt;0),"",IF((IF(A103="","Falta ID"&amp;" · ","")&amp;IF(AND(A103&lt;&gt;"",COUNTIF($A$5:$A$1000,A103)&gt;1),"ID duplicado"&amp;" · ","")&amp;IF(B103="","Área sin seleccionar"&amp;" · ","")&amp;IF(AND(B103&lt;&gt;"",ISNA(MATCH(B103,ListaPuestos,0))),"Área no válida"&amp;" · ","")&amp;IF(C103="","Macroactividad vacía"&amp;" · ","")&amp;IF(D103="","Sin responsable"&amp;" · ","")&amp;IF(E103="","Sin fecha de inicio"&amp;" · ","")&amp;IF(F103="","Sin fecha límite"&amp;" · ","")&amp;IF(OR(AND(E103&lt;&gt;"",NOT(ISNUMBER(E103))),AND(F103&lt;&gt;"",NOT(ISNUMBER(F103)))),"Fecha no válida"&amp;" · ","")&amp;IF(AND(ISNUMBER(E103),ISNUMBER(F103),E103&gt;F103),"Inicio posterior a fecha límite"&amp;" · ","")&amp;IF(G103="","Peso vacío"&amp;" · ","")&amp;IF(AND(G103&lt;&gt;"",OR(NOT(ISNUMBER(G103)),G103&lt;=0,G103&gt;1)),"Peso fuera de rango"&amp;" · ","")&amp;IF(AND(B103&lt;&gt;"",ABS(SUMIFS($G$5:$G$1000,$B$5:$B$1000,B103)-1)&gt;0.0001),"Pesos del puesto suman "&amp;TEXT(SUMIFS($G$5:$G$1000,$B$5:$B$1000,B103),"0%")&amp;"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","")&amp;IF(AND(EvidenciaObligatoria="Sí",N(L103)&gt;=1,O103=""),"Completada sin evidencia"&amp;" · ",""))="","✔ OK","⚠ "&amp;LEFT(IF(A103="","Falta ID"&amp;" · ","")&amp;IF(AND(A103&lt;&gt;"",COUNTIF($A$5:$A$1000,A103)&gt;1),"ID duplicado"&amp;" · ","")&amp;IF(B103="","Área sin seleccionar"&amp;" · ","")&amp;IF(AND(B103&lt;&gt;"",ISNA(MATCH(B103,ListaPuestos,0))),"Área no válida"&amp;" · ","")&amp;IF(C103="","Macroactividad vacía"&amp;" · ","")&amp;IF(D103="","Sin responsable"&amp;" · ","")&amp;IF(E103="","Sin fecha de inicio"&amp;" · ","")&amp;IF(F103="","Sin fecha límite"&amp;" · ","")&amp;IF(OR(AND(E103&lt;&gt;"",NOT(ISNUMBER(E103))),AND(F103&lt;&gt;"",NOT(ISNUMBER(F103)))),"Fecha no válida"&amp;" · ","")&amp;IF(AND(ISNUMBER(E103),ISNUMBER(F103),E103&gt;F103),"Inicio posterior a fecha límite"&amp;" · ","")&amp;IF(G103="","Peso vacío"&amp;" · ","")&amp;IF(AND(G103&lt;&gt;"",OR(NOT(ISNUMBER(G103)),G103&lt;=0,G103&gt;1)),"Peso fuera de rango"&amp;" · ","")&amp;IF(AND(B103&lt;&gt;"",ABS(SUMIFS($G$5:$G$1000,$B$5:$B$1000,B103)-1)&gt;0.0001),"Pesos del puesto suman "&amp;TEXT(SUMIFS($G$5:$G$1000,$B$5:$B$1000,B103),"0%")&amp;"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","")&amp;IF(AND(EvidenciaObligatoria="Sí",N(L103)&gt;=1,O103=""),"Completada sin evidencia"&amp;" · ",""),LEN(IF(A103="","Falta ID"&amp;" · ","")&amp;IF(AND(A103&lt;&gt;"",COUNTIF($A$5:$A$1000,A103)&gt;1),"ID duplicado"&amp;" · ","")&amp;IF(B103="","Área sin seleccionar"&amp;" · ","")&amp;IF(AND(B103&lt;&gt;"",ISNA(MATCH(B103,ListaPuestos,0))),"Área no válida"&amp;" · ","")&amp;IF(C103="","Macroactividad vacía"&amp;" · ","")&amp;IF(D103="","Sin responsable"&amp;" · ","")&amp;IF(E103="","Sin fecha de inicio"&amp;" · ","")&amp;IF(F103="","Sin fecha límite"&amp;" · ","")&amp;IF(OR(AND(E103&lt;&gt;"",NOT(ISNUMBER(E103))),AND(F103&lt;&gt;"",NOT(ISNUMBER(F103)))),"Fecha no válida"&amp;" · ","")&amp;IF(AND(ISNUMBER(E103),ISNUMBER(F103),E103&gt;F103),"Inicio posterior a fecha límite"&amp;" · ","")&amp;IF(G103="","Peso vacío"&amp;" · ","")&amp;IF(AND(G103&lt;&gt;"",OR(NOT(ISNUMBER(G103)),G103&lt;=0,G103&gt;1)),"Peso fuera de rango"&amp;" · ","")&amp;IF(AND(B103&lt;&gt;"",ABS(SUMIFS($G$5:$G$1000,$B$5:$B$1000,B103)-1)&gt;0.0001),"Pesos del puesto suman "&amp;TEXT(SUMIFS($G$5:$G$1000,$B$5:$B$1000,B103),"0%")&amp;"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","")&amp;IF(AND(EvidenciaObligatoria="Sí",N(L103)&gt;=1,O103=""),"Completada sin evidencia"&amp;" · ",""))-3)))</f>
        <v/>
      </c>
    </row>
    <row r="104">
      <c r="A104" s="46" t="n"/>
      <c r="B104" s="47" t="n"/>
      <c r="C104" s="47" t="n"/>
      <c r="D104" s="47" t="n"/>
      <c r="E104" s="48" t="n"/>
      <c r="F104" s="48" t="n"/>
      <c r="G104" s="49" t="n"/>
      <c r="H104" s="50" t="n"/>
      <c r="I104" s="50" t="n"/>
      <c r="J104" s="50" t="n"/>
      <c r="K104" s="50" t="n"/>
      <c r="L104" s="51">
        <f>IF(NOT((COUNTA($A104:$K104)+COUNTA($N104:$O104))&gt;0),"",IFERROR(LOOKUP(2,1/(H104:K104&lt;&gt;""),H104:K104),0))</f>
        <v/>
      </c>
      <c r="M104" s="52">
        <f>IF(L104="","",IF(L104&gt;=1,"Completado",IF(L104&gt;0,"En curso","Pendiente")))</f>
        <v/>
      </c>
      <c r="N104" s="48" t="n"/>
      <c r="O104" s="47" t="n"/>
      <c r="P104" s="53">
        <f>IF(NOT((COUNTA($A104:$K104)+COUNTA($N104:$O104))&gt;0),"",IF((IF(A104="","Falta ID"&amp;" · ","")&amp;IF(AND(A104&lt;&gt;"",COUNTIF($A$5:$A$1000,A104)&gt;1),"ID duplicado"&amp;" · ","")&amp;IF(B104="","Área sin seleccionar"&amp;" · ","")&amp;IF(AND(B104&lt;&gt;"",ISNA(MATCH(B104,ListaPuestos,0))),"Área no válida"&amp;" · ","")&amp;IF(C104="","Macroactividad vacía"&amp;" · ","")&amp;IF(D104="","Sin responsable"&amp;" · ","")&amp;IF(E104="","Sin fecha de inicio"&amp;" · ","")&amp;IF(F104="","Sin fecha límite"&amp;" · ","")&amp;IF(OR(AND(E104&lt;&gt;"",NOT(ISNUMBER(E104))),AND(F104&lt;&gt;"",NOT(ISNUMBER(F104)))),"Fecha no válida"&amp;" · ","")&amp;IF(AND(ISNUMBER(E104),ISNUMBER(F104),E104&gt;F104),"Inicio posterior a fecha límite"&amp;" · ","")&amp;IF(G104="","Peso vacío"&amp;" · ","")&amp;IF(AND(G104&lt;&gt;"",OR(NOT(ISNUMBER(G104)),G104&lt;=0,G104&gt;1)),"Peso fuera de rango"&amp;" · ","")&amp;IF(AND(B104&lt;&gt;"",ABS(SUMIFS($G$5:$G$1000,$B$5:$B$1000,B104)-1)&gt;0.0001),"Pesos del puesto suman "&amp;TEXT(SUMIFS($G$5:$G$1000,$B$5:$B$1000,B104),"0%")&amp;"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","")&amp;IF(AND(EvidenciaObligatoria="Sí",N(L104)&gt;=1,O104=""),"Completada sin evidencia"&amp;" · ",""))="","✔ OK","⚠ "&amp;LEFT(IF(A104="","Falta ID"&amp;" · ","")&amp;IF(AND(A104&lt;&gt;"",COUNTIF($A$5:$A$1000,A104)&gt;1),"ID duplicado"&amp;" · ","")&amp;IF(B104="","Área sin seleccionar"&amp;" · ","")&amp;IF(AND(B104&lt;&gt;"",ISNA(MATCH(B104,ListaPuestos,0))),"Área no válida"&amp;" · ","")&amp;IF(C104="","Macroactividad vacía"&amp;" · ","")&amp;IF(D104="","Sin responsable"&amp;" · ","")&amp;IF(E104="","Sin fecha de inicio"&amp;" · ","")&amp;IF(F104="","Sin fecha límite"&amp;" · ","")&amp;IF(OR(AND(E104&lt;&gt;"",NOT(ISNUMBER(E104))),AND(F104&lt;&gt;"",NOT(ISNUMBER(F104)))),"Fecha no válida"&amp;" · ","")&amp;IF(AND(ISNUMBER(E104),ISNUMBER(F104),E104&gt;F104),"Inicio posterior a fecha límite"&amp;" · ","")&amp;IF(G104="","Peso vacío"&amp;" · ","")&amp;IF(AND(G104&lt;&gt;"",OR(NOT(ISNUMBER(G104)),G104&lt;=0,G104&gt;1)),"Peso fuera de rango"&amp;" · ","")&amp;IF(AND(B104&lt;&gt;"",ABS(SUMIFS($G$5:$G$1000,$B$5:$B$1000,B104)-1)&gt;0.0001),"Pesos del puesto suman "&amp;TEXT(SUMIFS($G$5:$G$1000,$B$5:$B$1000,B104),"0%")&amp;"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","")&amp;IF(AND(EvidenciaObligatoria="Sí",N(L104)&gt;=1,O104=""),"Completada sin evidencia"&amp;" · ",""),LEN(IF(A104="","Falta ID"&amp;" · ","")&amp;IF(AND(A104&lt;&gt;"",COUNTIF($A$5:$A$1000,A104)&gt;1),"ID duplicado"&amp;" · ","")&amp;IF(B104="","Área sin seleccionar"&amp;" · ","")&amp;IF(AND(B104&lt;&gt;"",ISNA(MATCH(B104,ListaPuestos,0))),"Área no válida"&amp;" · ","")&amp;IF(C104="","Macroactividad vacía"&amp;" · ","")&amp;IF(D104="","Sin responsable"&amp;" · ","")&amp;IF(E104="","Sin fecha de inicio"&amp;" · ","")&amp;IF(F104="","Sin fecha límite"&amp;" · ","")&amp;IF(OR(AND(E104&lt;&gt;"",NOT(ISNUMBER(E104))),AND(F104&lt;&gt;"",NOT(ISNUMBER(F104)))),"Fecha no válida"&amp;" · ","")&amp;IF(AND(ISNUMBER(E104),ISNUMBER(F104),E104&gt;F104),"Inicio posterior a fecha límite"&amp;" · ","")&amp;IF(G104="","Peso vacío"&amp;" · ","")&amp;IF(AND(G104&lt;&gt;"",OR(NOT(ISNUMBER(G104)),G104&lt;=0,G104&gt;1)),"Peso fuera de rango"&amp;" · ","")&amp;IF(AND(B104&lt;&gt;"",ABS(SUMIFS($G$5:$G$1000,$B$5:$B$1000,B104)-1)&gt;0.0001),"Pesos del puesto suman "&amp;TEXT(SUMIFS($G$5:$G$1000,$B$5:$B$1000,B104),"0%")&amp;"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","")&amp;IF(AND(EvidenciaObligatoria="Sí",N(L104)&gt;=1,O104=""),"Completada sin evidencia"&amp;" · ",""))-3)))</f>
        <v/>
      </c>
    </row>
  </sheetData>
  <sheetProtection selectLockedCells="0" selectUnlockedCells="0" sheet="1" objects="0" insertRows="1" insertHyperlinks="1" autoFilter="0" scenarios="0" formatColumns="0" deleteColumns="1" insertColumns="1" pivotTables="1" deleteRows="1" formatCells="1" formatRows="0" sort="0"/>
  <mergeCells count="2">
    <mergeCell ref="A1:P1"/>
    <mergeCell ref="A2:P2"/>
  </mergeCells>
  <conditionalFormatting sqref="M5:M1000">
    <cfRule type="expression" priority="1" dxfId="0">
      <formula>$M5="Completado"</formula>
    </cfRule>
    <cfRule type="expression" priority="2" dxfId="4">
      <formula>$M5="En curso"</formula>
    </cfRule>
    <cfRule type="expression" priority="3" dxfId="5">
      <formula>$M5="Pendiente"</formula>
    </cfRule>
  </conditionalFormatting>
  <conditionalFormatting sqref="L5:L1000">
    <cfRule type="expression" priority="4" dxfId="0">
      <formula>AND(ISNUMBER($L5),$L5&gt;=1)</formula>
    </cfRule>
    <cfRule type="dataBar" priority="5">
      <dataBar showValue="1">
        <cfvo type="num" val="0"/>
        <cfvo type="num" val="1"/>
        <color rgb="005B9BD5"/>
      </dataBar>
    </cfRule>
  </conditionalFormatting>
  <conditionalFormatting sqref="F5:F1000">
    <cfRule type="expression" priority="6" dxfId="6" stopIfTrue="1">
      <formula>AND(ISNUMBER($F5),$F5&lt;FechaRef,N($L5)&lt;1)</formula>
    </cfRule>
    <cfRule type="expression" priority="7" dxfId="7">
      <formula>AND(ISNUMBER($F5),$F5&gt;=FechaRef,$F5-FechaRef&lt;=DiasAlerta,N($L5)&lt;1)</formula>
    </cfRule>
  </conditionalFormatting>
  <conditionalFormatting sqref="A5:G1000">
    <cfRule type="expression" priority="8" dxfId="5">
      <formula>AND((COUNTA($A5:$K5)+COUNTA($N5:$O5))&gt;0,A5="")</formula>
    </cfRule>
  </conditionalFormatting>
  <conditionalFormatting sqref="A5:A1000">
    <cfRule type="expression" priority="9" dxfId="6">
      <formula>AND($A5&lt;&gt;"",COUNTIF($A$5:$A$1000,$A5)&gt;1)</formula>
    </cfRule>
  </conditionalFormatting>
  <conditionalFormatting sqref="E5:F1000">
    <cfRule type="expression" priority="10" dxfId="6">
      <formula>AND(ISNUMBER($E5),ISNUMBER($F5),$E5&gt;$F5)</formula>
    </cfRule>
  </conditionalFormatting>
  <conditionalFormatting sqref="G5:G1000">
    <cfRule type="expression" priority="11" dxfId="7">
      <formula>AND($B5&lt;&gt;"",ABS(SUMIFS($G$5:$G$1000,$B$5:$B$1000,$B5)-1)&gt;0.0001)</formula>
    </cfRule>
  </conditionalFormatting>
  <conditionalFormatting sqref="H5:K1000">
    <cfRule type="expression" priority="12" dxfId="5" stopIfTrue="1">
      <formula>AND(H5&lt;&gt;"",OR(NOT(ISNUMBER(H5)),H5&gt;1,H5&lt;0))</formula>
    </cfRule>
  </conditionalFormatting>
  <conditionalFormatting sqref="I5:K1000">
    <cfRule type="expression" priority="13" dxfId="6">
      <formula>AND(I5&lt;&gt;"",I5&lt;MAX($H5:H5))</formula>
    </cfRule>
  </conditionalFormatting>
  <conditionalFormatting sqref="O5:O1000">
    <cfRule type="expression" priority="14" dxfId="5">
      <formula>AND(EvidenciaObligatoria="Sí",N($L5)&gt;=1,$O5="")</formula>
    </cfRule>
  </conditionalFormatting>
  <conditionalFormatting sqref="P5:P1000">
    <cfRule type="expression" priority="15" dxfId="5">
      <formula>LEFT($P5,1)="⚠"</formula>
    </cfRule>
    <cfRule type="expression" priority="16" dxfId="8">
      <formula>LEFT($P5,1)="✔"</formula>
    </cfRule>
  </conditionalFormatting>
  <dataValidations count="5">
    <dataValidation sqref="B5:B1000" showDropDown="0" showInputMessage="1" showErrorMessage="1" allowBlank="1" errorTitle="Área no válida" error="Seleccione una de las cuatro áreas de la lista." promptTitle="Área / Puesto" prompt="Seleccione el puesto responsable de la actividad." type="list">
      <formula1>ListaPuestos</formula1>
    </dataValidation>
    <dataValidation sqref="E5:E1000 F5:F1000 N5:N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Peso no válido" error="Ingrese un porcentaje entre 0% y 100% (por ejemplo 25%)." promptTitle="Peso de actividad" prompt="Peso relativo dentro del puesto. La suma por puesto debe ser 100%." type="decimal" operator="between">
      <formula1>0</formula1>
      <formula2>1</formula2>
    </dataValidation>
    <dataValidation sqref="H5:K1000" showDropDown="0" showInputMessage="1" showErrorMessage="1" allowBlank="1" errorTitle="Avance no válido" error="Ingrese un porcentaje entre 0% y 100%. Deje la celda vacía si la semana no se ha actualizado." promptTitle="Avance acumulado" prompt="% ACUMULADO al cierre de la semana (no el incremento)." type="decimal" operator="between">
      <formula1>0</formula1>
      <formula2>1</formula2>
    </dataValidation>
    <dataValidation sqref="M5:M1000" showDropDown="0" showInputMessage="1" showErrorMessage="1" allowBlank="1" promptTitle="Estado automático" prompt="Se calcula a partir del % de avance. No se edita manualmente." type="list">
      <formula1>ListaEstados</formula1>
    </dataValidation>
  </dataValidations>
  <pageMargins left="0.4" right="0.4" top="0.5" bottom="0.5" header="0.5" footer="0.5"/>
  <pageSetup orientation="landscape" paperSize="1" fitToHeight="0" fitToWidth="1"/>
  <headerFooter>
    <oddHeader/>
    <oddFooter>&amp;CPágina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K4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3" customWidth="1" min="3" max="3"/>
    <col width="26" customWidth="1" min="4" max="4"/>
    <col width="48" customWidth="1" min="5" max="5"/>
    <col width="52" customWidth="1" min="6" max="6"/>
    <col width="18" customWidth="1" min="7" max="7"/>
    <col width="13" customWidth="1" min="8" max="8"/>
    <col width="14" customWidth="1" min="9" max="9"/>
    <col width="30" customWidth="1" min="10" max="10"/>
    <col width="34" customWidth="1" min="11" max="11"/>
  </cols>
  <sheetData>
    <row r="1" ht="28" customHeight="1">
      <c r="A1" s="41" t="inlineStr">
        <is>
          <t>Línea de Tiempo – Hitos y entregables (propuesta inicial editable)</t>
        </is>
      </c>
      <c r="B1" s="41" t="n"/>
      <c r="C1" s="41" t="n"/>
      <c r="D1" s="41" t="n"/>
      <c r="E1" s="41" t="n"/>
      <c r="F1" s="41" t="n"/>
      <c r="G1" s="41" t="n"/>
      <c r="H1" s="41" t="n"/>
      <c r="I1" s="41" t="n"/>
      <c r="J1" s="41" t="n"/>
      <c r="K1" s="41" t="n"/>
    </row>
    <row r="2" ht="32" customHeight="1">
      <c r="A2" s="54" t="inlineStr">
        <is>
          <t>PROPUESTA INICIAL EDITABLE, sujeta a validación de los responsables de cada puesto. No constituye una obligación institucional aprobada. Semana 1: diagnóstico y planificación · Semana 2: desarrollo y documentación · Semana 3: validación, análisis y propuestas · Semana 4: cierre y presentación ejecutiva.</t>
        </is>
      </c>
      <c r="B2" s="54" t="n"/>
      <c r="C2" s="54" t="n"/>
      <c r="D2" s="54" t="n"/>
      <c r="E2" s="54" t="n"/>
      <c r="F2" s="54" t="n"/>
      <c r="G2" s="54" t="n"/>
      <c r="H2" s="54" t="n"/>
      <c r="I2" s="54" t="n"/>
      <c r="J2" s="54" t="n"/>
      <c r="K2" s="54" t="n"/>
    </row>
    <row r="3">
      <c r="A3" s="43" t="inlineStr">
        <is>
          <t>Entrada</t>
        </is>
      </c>
      <c r="B3" s="55" t="inlineStr">
        <is>
          <t>Fecha objetivo propuesta = viernes de la semana según «Fecha de inicio del ciclo» (Configuración); puede sobrescribirse.</t>
        </is>
      </c>
    </row>
    <row r="4" ht="34" customHeight="1">
      <c r="A4" s="45" t="inlineStr">
        <is>
          <t>ID Hito</t>
        </is>
      </c>
      <c r="B4" s="45" t="inlineStr">
        <is>
          <t>Semana</t>
        </is>
      </c>
      <c r="C4" s="45" t="inlineStr">
        <is>
          <t>Fecha objetivo</t>
        </is>
      </c>
      <c r="D4" s="45" t="inlineStr">
        <is>
          <t>Área / Puesto</t>
        </is>
      </c>
      <c r="E4" s="45" t="inlineStr">
        <is>
          <t>Entregable / Hito</t>
        </is>
      </c>
      <c r="F4" s="45" t="inlineStr">
        <is>
          <t>Criterio de aceptación</t>
        </is>
      </c>
      <c r="G4" s="45" t="inlineStr">
        <is>
          <t>Responsable</t>
        </is>
      </c>
      <c r="H4" s="45" t="inlineStr">
        <is>
          <t>Estado</t>
        </is>
      </c>
      <c r="I4" s="45" t="inlineStr">
        <is>
          <t>Fecha real de cumplimiento</t>
        </is>
      </c>
      <c r="J4" s="45" t="inlineStr">
        <is>
          <t>Evidencia / Enlace</t>
        </is>
      </c>
      <c r="K4" s="45" t="inlineStr">
        <is>
          <t>Observaciones</t>
        </is>
      </c>
    </row>
    <row r="5" ht="45" customHeight="1">
      <c r="A5" s="46" t="inlineStr">
        <is>
          <t>H-RO-01</t>
        </is>
      </c>
      <c r="B5" s="46" t="inlineStr">
        <is>
          <t>Semana 1</t>
        </is>
      </c>
      <c r="C5" s="48">
        <f>IF(OR(InicioCiclo="",B5=""),"",InicioCiclo+7*VALUE(RIGHT(B5,1))-3)</f>
        <v/>
      </c>
      <c r="D5" s="47" t="inlineStr">
        <is>
          <t>Riesgo Operacional</t>
        </is>
      </c>
      <c r="E5" s="47" t="inlineStr">
        <is>
          <t>Diagnóstico inicial: inventario de procesos críticos y revisión de la matriz de riesgo operacional vigente</t>
        </is>
      </c>
      <c r="F5" s="47" t="inlineStr">
        <is>
          <t>Documento con el listado de procesos críticos, fuentes consultadas y brechas identificadas, revisado por el titular del puesto.</t>
        </is>
      </c>
      <c r="G5" s="47" t="inlineStr">
        <is>
          <t>Por asignar</t>
        </is>
      </c>
      <c r="H5" s="46" t="inlineStr">
        <is>
          <t>Pendiente</t>
        </is>
      </c>
      <c r="I5" s="48" t="n"/>
      <c r="J5" s="47" t="n"/>
      <c r="K5" s="47" t="inlineStr">
        <is>
          <t>Propuesta inicial editable – sujeta a validación del responsable.</t>
        </is>
      </c>
    </row>
    <row r="6" ht="45" customHeight="1">
      <c r="A6" s="46" t="inlineStr">
        <is>
          <t>H-RLN-01</t>
        </is>
      </c>
      <c r="B6" s="46" t="inlineStr">
        <is>
          <t>Semana 1</t>
        </is>
      </c>
      <c r="C6" s="48">
        <f>IF(OR(InicioCiclo="",B6=""),"",InicioCiclo+7*VALUE(RIGHT(B6,1))-3)</f>
        <v/>
      </c>
      <c r="D6" s="47" t="inlineStr">
        <is>
          <t>Riesgo Legal y Normativo</t>
        </is>
      </c>
      <c r="E6" s="47" t="inlineStr">
        <is>
          <t>Inventario de normativa aplicable y diagnóstico preliminar de cumplimiento</t>
        </is>
      </c>
      <c r="F6" s="47" t="inlineStr">
        <is>
          <t>Listado de normas aplicables con fuente, vigencia y estado preliminar de cumplimiento por requisito.</t>
        </is>
      </c>
      <c r="G6" s="47" t="inlineStr">
        <is>
          <t>Por asignar</t>
        </is>
      </c>
      <c r="H6" s="46" t="inlineStr">
        <is>
          <t>Pendiente</t>
        </is>
      </c>
      <c r="I6" s="48" t="n"/>
      <c r="J6" s="47" t="n"/>
      <c r="K6" s="47" t="inlineStr">
        <is>
          <t>Propuesta inicial editable – sujeta a validación del responsable.</t>
        </is>
      </c>
    </row>
    <row r="7" ht="45" customHeight="1">
      <c r="A7" s="46" t="inlineStr">
        <is>
          <t>H-RF-01</t>
        </is>
      </c>
      <c r="B7" s="46" t="inlineStr">
        <is>
          <t>Semana 1</t>
        </is>
      </c>
      <c r="C7" s="48">
        <f>IF(OR(InicioCiclo="",B7=""),"",InicioCiclo+7*VALUE(RIGHT(B7,1))-3)</f>
        <v/>
      </c>
      <c r="D7" s="47" t="inlineStr">
        <is>
          <t>Riesgo Financiero</t>
        </is>
      </c>
      <c r="E7" s="47" t="inlineStr">
        <is>
          <t>Levantamiento de información financiera y definición de indicadores de riesgo (liquidez, mercado, crédito)</t>
        </is>
      </c>
      <c r="F7" s="47" t="inlineStr">
        <is>
          <t>Fuentes de datos identificadas y ficha de cada indicador con fórmula, periodicidad, fuente y responsable.</t>
        </is>
      </c>
      <c r="G7" s="47" t="inlineStr">
        <is>
          <t>Por asignar</t>
        </is>
      </c>
      <c r="H7" s="46" t="inlineStr">
        <is>
          <t>Pendiente</t>
        </is>
      </c>
      <c r="I7" s="48" t="n"/>
      <c r="J7" s="47" t="n"/>
      <c r="K7" s="47" t="inlineStr">
        <is>
          <t>Propuesta inicial editable – sujeta a validación del responsable.</t>
        </is>
      </c>
    </row>
    <row r="8" ht="45" customHeight="1">
      <c r="A8" s="46" t="inlineStr">
        <is>
          <t>H-ATR-01</t>
        </is>
      </c>
      <c r="B8" s="46" t="inlineStr">
        <is>
          <t>Semana 1</t>
        </is>
      </c>
      <c r="C8" s="48">
        <f>IF(OR(InicioCiclo="",B8=""),"",InicioCiclo+7*VALUE(RIGHT(B8,1))-3)</f>
        <v/>
      </c>
      <c r="D8" s="47" t="inlineStr">
        <is>
          <t>Asistente Técnico de Riesgo</t>
        </is>
      </c>
      <c r="E8" s="47" t="inlineStr">
        <is>
          <t>Plan de trabajo consolidado del área y estructura del repositorio de evidencias</t>
        </is>
      </c>
      <c r="F8" s="47" t="inlineStr">
        <is>
          <t>Actividades de los cuatro puestos registradas en el cronograma con pesos que suman 100% y repositorio con carpeta por puesto.</t>
        </is>
      </c>
      <c r="G8" s="47" t="inlineStr">
        <is>
          <t>Por asignar</t>
        </is>
      </c>
      <c r="H8" s="46" t="inlineStr">
        <is>
          <t>Pendiente</t>
        </is>
      </c>
      <c r="I8" s="48" t="n"/>
      <c r="J8" s="47" t="n"/>
      <c r="K8" s="47" t="inlineStr">
        <is>
          <t>Propuesta inicial editable – sujeta a validación del responsable.</t>
        </is>
      </c>
    </row>
    <row r="9" ht="45" customHeight="1">
      <c r="A9" s="46" t="inlineStr">
        <is>
          <t>H-RO-02</t>
        </is>
      </c>
      <c r="B9" s="46" t="inlineStr">
        <is>
          <t>Semana 2</t>
        </is>
      </c>
      <c r="C9" s="48">
        <f>IF(OR(InicioCiclo="",B9=""),"",InicioCiclo+7*VALUE(RIGHT(B9,1))-3)</f>
        <v/>
      </c>
      <c r="D9" s="47" t="inlineStr">
        <is>
          <t>Riesgo Operacional</t>
        </is>
      </c>
      <c r="E9" s="47" t="inlineStr">
        <is>
          <t>Borrador de matriz de riesgo operacional actualizada (eventos, probabilidad, impacto y controles)</t>
        </is>
      </c>
      <c r="F9" s="47" t="inlineStr">
        <is>
          <t>Matriz con proceso, evento de riesgo, probabilidad, impacto, control y dueño para cada proceso crítico del inventario.</t>
        </is>
      </c>
      <c r="G9" s="47" t="inlineStr">
        <is>
          <t>Por asignar</t>
        </is>
      </c>
      <c r="H9" s="46" t="inlineStr">
        <is>
          <t>Pendiente</t>
        </is>
      </c>
      <c r="I9" s="48" t="n"/>
      <c r="J9" s="47" t="n"/>
      <c r="K9" s="47" t="inlineStr">
        <is>
          <t>Propuesta inicial editable – sujeta a validación del responsable.</t>
        </is>
      </c>
    </row>
    <row r="10" ht="45" customHeight="1">
      <c r="A10" s="46" t="inlineStr">
        <is>
          <t>H-RLN-02</t>
        </is>
      </c>
      <c r="B10" s="46" t="inlineStr">
        <is>
          <t>Semana 2</t>
        </is>
      </c>
      <c r="C10" s="48">
        <f>IF(OR(InicioCiclo="",B10=""),"",InicioCiclo+7*VALUE(RIGHT(B10,1))-3)</f>
        <v/>
      </c>
      <c r="D10" s="47" t="inlineStr">
        <is>
          <t>Riesgo Legal y Normativo</t>
        </is>
      </c>
      <c r="E10" s="47" t="inlineStr">
        <is>
          <t>Matriz de cumplimiento normativo y de riesgo legal documentada</t>
        </is>
      </c>
      <c r="F10" s="47" t="inlineStr">
        <is>
          <t>Matriz con requisito, área responsable, evidencia de cumplimiento y nivel de riesgo para cada norma del inventario.</t>
        </is>
      </c>
      <c r="G10" s="47" t="inlineStr">
        <is>
          <t>Por asignar</t>
        </is>
      </c>
      <c r="H10" s="46" t="inlineStr">
        <is>
          <t>Pendiente</t>
        </is>
      </c>
      <c r="I10" s="48" t="n"/>
      <c r="J10" s="47" t="n"/>
      <c r="K10" s="47" t="inlineStr">
        <is>
          <t>Propuesta inicial editable – sujeta a validación del responsable.</t>
        </is>
      </c>
    </row>
    <row r="11" ht="45" customHeight="1">
      <c r="A11" s="46" t="inlineStr">
        <is>
          <t>H-RF-02</t>
        </is>
      </c>
      <c r="B11" s="46" t="inlineStr">
        <is>
          <t>Semana 2</t>
        </is>
      </c>
      <c r="C11" s="48">
        <f>IF(OR(InicioCiclo="",B11=""),"",InicioCiclo+7*VALUE(RIGHT(B11,1))-3)</f>
        <v/>
      </c>
      <c r="D11" s="47" t="inlineStr">
        <is>
          <t>Riesgo Financiero</t>
        </is>
      </c>
      <c r="E11" s="47" t="inlineStr">
        <is>
          <t>Cálculo y documentación de indicadores y límites de riesgo financiero</t>
        </is>
      </c>
      <c r="F11" s="47" t="inlineStr">
        <is>
          <t>Indicadores calculados con datos de corte definidos, memoria de cálculo y comparación contra límites vigentes.</t>
        </is>
      </c>
      <c r="G11" s="47" t="inlineStr">
        <is>
          <t>Por asignar</t>
        </is>
      </c>
      <c r="H11" s="46" t="inlineStr">
        <is>
          <t>Pendiente</t>
        </is>
      </c>
      <c r="I11" s="48" t="n"/>
      <c r="J11" s="47" t="n"/>
      <c r="K11" s="47" t="inlineStr">
        <is>
          <t>Propuesta inicial editable – sujeta a validación del responsable.</t>
        </is>
      </c>
    </row>
    <row r="12" ht="45" customHeight="1">
      <c r="A12" s="46" t="inlineStr">
        <is>
          <t>H-ATR-02</t>
        </is>
      </c>
      <c r="B12" s="46" t="inlineStr">
        <is>
          <t>Semana 2</t>
        </is>
      </c>
      <c r="C12" s="48">
        <f>IF(OR(InicioCiclo="",B12=""),"",InicioCiclo+7*VALUE(RIGHT(B12,1))-3)</f>
        <v/>
      </c>
      <c r="D12" s="47" t="inlineStr">
        <is>
          <t>Asistente Técnico de Riesgo</t>
        </is>
      </c>
      <c r="E12" s="47" t="inlineStr">
        <is>
          <t>Organización de bases de datos y documentación de soporte; primer reporte de seguimiento</t>
        </is>
      </c>
      <c r="F12" s="47" t="inlineStr">
        <is>
          <t>Evidencias de la Semana 1 y 2 enlazadas en el cronograma y reporte de avance semanal emitido.</t>
        </is>
      </c>
      <c r="G12" s="47" t="inlineStr">
        <is>
          <t>Por asignar</t>
        </is>
      </c>
      <c r="H12" s="46" t="inlineStr">
        <is>
          <t>Pendiente</t>
        </is>
      </c>
      <c r="I12" s="48" t="n"/>
      <c r="J12" s="47" t="n"/>
      <c r="K12" s="47" t="inlineStr">
        <is>
          <t>Propuesta inicial editable – sujeta a validación del responsable.</t>
        </is>
      </c>
    </row>
    <row r="13" ht="45" customHeight="1">
      <c r="A13" s="46" t="inlineStr">
        <is>
          <t>H-RO-03</t>
        </is>
      </c>
      <c r="B13" s="46" t="inlineStr">
        <is>
          <t>Semana 3</t>
        </is>
      </c>
      <c r="C13" s="48">
        <f>IF(OR(InicioCiclo="",B13=""),"",InicioCiclo+7*VALUE(RIGHT(B13,1))-3)</f>
        <v/>
      </c>
      <c r="D13" s="47" t="inlineStr">
        <is>
          <t>Riesgo Operacional</t>
        </is>
      </c>
      <c r="E13" s="47" t="inlineStr">
        <is>
          <t>Validación de controles con dueños de proceso y propuesta de planes de mitigación</t>
        </is>
      </c>
      <c r="F13" s="47" t="inlineStr">
        <is>
          <t>Planes de mitigación con responsable y fecha para todos los riesgos calificados como altos; validación documentada (acta o correo).</t>
        </is>
      </c>
      <c r="G13" s="47" t="inlineStr">
        <is>
          <t>Por asignar</t>
        </is>
      </c>
      <c r="H13" s="46" t="inlineStr">
        <is>
          <t>Pendiente</t>
        </is>
      </c>
      <c r="I13" s="48" t="n"/>
      <c r="J13" s="47" t="n"/>
      <c r="K13" s="47" t="inlineStr">
        <is>
          <t>Propuesta inicial editable – sujeta a validación del responsable.</t>
        </is>
      </c>
    </row>
    <row r="14" ht="45" customHeight="1">
      <c r="A14" s="46" t="inlineStr">
        <is>
          <t>H-RLN-03</t>
        </is>
      </c>
      <c r="B14" s="46" t="inlineStr">
        <is>
          <t>Semana 3</t>
        </is>
      </c>
      <c r="C14" s="48">
        <f>IF(OR(InicioCiclo="",B14=""),"",InicioCiclo+7*VALUE(RIGHT(B14,1))-3)</f>
        <v/>
      </c>
      <c r="D14" s="47" t="inlineStr">
        <is>
          <t>Riesgo Legal y Normativo</t>
        </is>
      </c>
      <c r="E14" s="47" t="inlineStr">
        <is>
          <t>Análisis de brechas normativas y propuestas de adecuación</t>
        </is>
      </c>
      <c r="F14" s="47" t="inlineStr">
        <is>
          <t>Cada brecha identificada tiene propuesta de adecuación, responsable sugerido y plazo; revisión del titular documentada.</t>
        </is>
      </c>
      <c r="G14" s="47" t="inlineStr">
        <is>
          <t>Por asignar</t>
        </is>
      </c>
      <c r="H14" s="46" t="inlineStr">
        <is>
          <t>Pendiente</t>
        </is>
      </c>
      <c r="I14" s="48" t="n"/>
      <c r="J14" s="47" t="n"/>
      <c r="K14" s="47" t="inlineStr">
        <is>
          <t>Propuesta inicial editable – sujeta a validación del responsable.</t>
        </is>
      </c>
    </row>
    <row r="15" ht="45" customHeight="1">
      <c r="A15" s="46" t="inlineStr">
        <is>
          <t>H-RF-03</t>
        </is>
      </c>
      <c r="B15" s="46" t="inlineStr">
        <is>
          <t>Semana 3</t>
        </is>
      </c>
      <c r="C15" s="48">
        <f>IF(OR(InicioCiclo="",B15=""),"",InicioCiclo+7*VALUE(RIGHT(B15,1))-3)</f>
        <v/>
      </c>
      <c r="D15" s="47" t="inlineStr">
        <is>
          <t>Riesgo Financiero</t>
        </is>
      </c>
      <c r="E15" s="47" t="inlineStr">
        <is>
          <t>Análisis de sensibilidad / escenarios y propuesta de límites o alertas tempranas</t>
        </is>
      </c>
      <c r="F15" s="47" t="inlineStr">
        <is>
          <t>Al menos un escenario base y uno adverso documentados, con propuesta de umbrales de alerta justificada.</t>
        </is>
      </c>
      <c r="G15" s="47" t="inlineStr">
        <is>
          <t>Por asignar</t>
        </is>
      </c>
      <c r="H15" s="46" t="inlineStr">
        <is>
          <t>Pendiente</t>
        </is>
      </c>
      <c r="I15" s="48" t="n"/>
      <c r="J15" s="47" t="n"/>
      <c r="K15" s="47" t="inlineStr">
        <is>
          <t>Propuesta inicial editable – sujeta a validación del responsable.</t>
        </is>
      </c>
    </row>
    <row r="16" ht="45" customHeight="1">
      <c r="A16" s="46" t="inlineStr">
        <is>
          <t>H-ATR-03</t>
        </is>
      </c>
      <c r="B16" s="46" t="inlineStr">
        <is>
          <t>Semana 3</t>
        </is>
      </c>
      <c r="C16" s="48">
        <f>IF(OR(InicioCiclo="",B16=""),"",InicioCiclo+7*VALUE(RIGHT(B16,1))-3)</f>
        <v/>
      </c>
      <c r="D16" s="47" t="inlineStr">
        <is>
          <t>Asistente Técnico de Riesgo</t>
        </is>
      </c>
      <c r="E16" s="47" t="inlineStr">
        <is>
          <t>Control de calidad de entregables y consolidación de la información de los tres puestos</t>
        </is>
      </c>
      <c r="F16" s="47" t="inlineStr">
        <is>
          <t>Lista de verificación de calidad aplicada a cada entregable; Dashboard sin alertas de datos pendientes de corrección.</t>
        </is>
      </c>
      <c r="G16" s="47" t="inlineStr">
        <is>
          <t>Por asignar</t>
        </is>
      </c>
      <c r="H16" s="46" t="inlineStr">
        <is>
          <t>Pendiente</t>
        </is>
      </c>
      <c r="I16" s="48" t="n"/>
      <c r="J16" s="47" t="n"/>
      <c r="K16" s="47" t="inlineStr">
        <is>
          <t>Propuesta inicial editable – sujeta a validación del responsable.</t>
        </is>
      </c>
    </row>
    <row r="17" ht="45" customHeight="1">
      <c r="A17" s="46" t="inlineStr">
        <is>
          <t>H-RO-04</t>
        </is>
      </c>
      <c r="B17" s="46" t="inlineStr">
        <is>
          <t>Semana 4</t>
        </is>
      </c>
      <c r="C17" s="48">
        <f>IF(OR(InicioCiclo="",B17=""),"",InicioCiclo+7*VALUE(RIGHT(B17,1))-3)</f>
        <v/>
      </c>
      <c r="D17" s="47" t="inlineStr">
        <is>
          <t>Riesgo Operacional</t>
        </is>
      </c>
      <c r="E17" s="47" t="inlineStr">
        <is>
          <t>Informe final de riesgo operacional y presentación ejecutiva</t>
        </is>
      </c>
      <c r="F17" s="47" t="inlineStr">
        <is>
          <t>Informe y presentación entregados en la reunión de cierre y con conformidad registrada de la jefatura.</t>
        </is>
      </c>
      <c r="G17" s="47" t="inlineStr">
        <is>
          <t>Por asignar</t>
        </is>
      </c>
      <c r="H17" s="46" t="inlineStr">
        <is>
          <t>Pendiente</t>
        </is>
      </c>
      <c r="I17" s="48" t="n"/>
      <c r="J17" s="47" t="n"/>
      <c r="K17" s="47" t="inlineStr">
        <is>
          <t>Propuesta inicial editable – sujeta a validación del responsable.</t>
        </is>
      </c>
    </row>
    <row r="18" ht="45" customHeight="1">
      <c r="A18" s="46" t="inlineStr">
        <is>
          <t>H-RLN-04</t>
        </is>
      </c>
      <c r="B18" s="46" t="inlineStr">
        <is>
          <t>Semana 4</t>
        </is>
      </c>
      <c r="C18" s="48">
        <f>IF(OR(InicioCiclo="",B18=""),"",InicioCiclo+7*VALUE(RIGHT(B18,1))-3)</f>
        <v/>
      </c>
      <c r="D18" s="47" t="inlineStr">
        <is>
          <t>Riesgo Legal y Normativo</t>
        </is>
      </c>
      <c r="E18" s="47" t="inlineStr">
        <is>
          <t>Informe de cumplimiento normativo y presentación ejecutiva</t>
        </is>
      </c>
      <c r="F18" s="47" t="inlineStr">
        <is>
          <t>Informe y presentación entregados en la reunión de cierre y con conformidad registrada de la jefatura.</t>
        </is>
      </c>
      <c r="G18" s="47" t="inlineStr">
        <is>
          <t>Por asignar</t>
        </is>
      </c>
      <c r="H18" s="46" t="inlineStr">
        <is>
          <t>Pendiente</t>
        </is>
      </c>
      <c r="I18" s="48" t="n"/>
      <c r="J18" s="47" t="n"/>
      <c r="K18" s="47" t="inlineStr">
        <is>
          <t>Propuesta inicial editable – sujeta a validación del responsable.</t>
        </is>
      </c>
    </row>
    <row r="19" ht="45" customHeight="1">
      <c r="A19" s="46" t="inlineStr">
        <is>
          <t>H-RF-04</t>
        </is>
      </c>
      <c r="B19" s="46" t="inlineStr">
        <is>
          <t>Semana 4</t>
        </is>
      </c>
      <c r="C19" s="48">
        <f>IF(OR(InicioCiclo="",B19=""),"",InicioCiclo+7*VALUE(RIGHT(B19,1))-3)</f>
        <v/>
      </c>
      <c r="D19" s="47" t="inlineStr">
        <is>
          <t>Riesgo Financiero</t>
        </is>
      </c>
      <c r="E19" s="47" t="inlineStr">
        <is>
          <t>Informe de riesgo financiero y presentación ejecutiva</t>
        </is>
      </c>
      <c r="F19" s="47" t="inlineStr">
        <is>
          <t>Informe y presentación entregados en la reunión de cierre y con conformidad registrada de la jefatura.</t>
        </is>
      </c>
      <c r="G19" s="47" t="inlineStr">
        <is>
          <t>Por asignar</t>
        </is>
      </c>
      <c r="H19" s="46" t="inlineStr">
        <is>
          <t>Pendiente</t>
        </is>
      </c>
      <c r="I19" s="48" t="n"/>
      <c r="J19" s="47" t="n"/>
      <c r="K19" s="47" t="inlineStr">
        <is>
          <t>Propuesta inicial editable – sujeta a validación del responsable.</t>
        </is>
      </c>
    </row>
    <row r="20" ht="45" customHeight="1">
      <c r="A20" s="46" t="inlineStr">
        <is>
          <t>H-ATR-04</t>
        </is>
      </c>
      <c r="B20" s="46" t="inlineStr">
        <is>
          <t>Semana 4</t>
        </is>
      </c>
      <c r="C20" s="48">
        <f>IF(OR(InicioCiclo="",B20=""),"",InicioCiclo+7*VALUE(RIGHT(B20,1))-3)</f>
        <v/>
      </c>
      <c r="D20" s="47" t="inlineStr">
        <is>
          <t>Asistente Técnico de Riesgo</t>
        </is>
      </c>
      <c r="E20" s="47" t="inlineStr">
        <is>
          <t>Consolidación del informe final del área y soporte a la presentación ejecutiva</t>
        </is>
      </c>
      <c r="F20" s="47" t="inlineStr">
        <is>
          <t>Informe consolidado y anexos entregados; todos los hitos con evidencia enlazada y estado actualizado.</t>
        </is>
      </c>
      <c r="G20" s="47" t="inlineStr">
        <is>
          <t>Por asignar</t>
        </is>
      </c>
      <c r="H20" s="46" t="inlineStr">
        <is>
          <t>Pendiente</t>
        </is>
      </c>
      <c r="I20" s="48" t="n"/>
      <c r="J20" s="47" t="n"/>
      <c r="K20" s="47" t="inlineStr">
        <is>
          <t>Propuesta inicial editable – sujeta a validación del responsable.</t>
        </is>
      </c>
    </row>
    <row r="21">
      <c r="A21" s="46" t="n"/>
      <c r="B21" s="46" t="n"/>
      <c r="C21" s="48" t="n"/>
      <c r="D21" s="47" t="n"/>
      <c r="E21" s="47" t="n"/>
      <c r="F21" s="47" t="n"/>
      <c r="G21" s="47" t="n"/>
      <c r="H21" s="46" t="n"/>
      <c r="I21" s="48" t="n"/>
      <c r="J21" s="47" t="n"/>
      <c r="K21" s="47" t="n"/>
    </row>
    <row r="22">
      <c r="A22" s="46" t="n"/>
      <c r="B22" s="46" t="n"/>
      <c r="C22" s="48" t="n"/>
      <c r="D22" s="47" t="n"/>
      <c r="E22" s="47" t="n"/>
      <c r="F22" s="47" t="n"/>
      <c r="G22" s="47" t="n"/>
      <c r="H22" s="46" t="n"/>
      <c r="I22" s="48" t="n"/>
      <c r="J22" s="47" t="n"/>
      <c r="K22" s="47" t="n"/>
    </row>
    <row r="23">
      <c r="A23" s="46" t="n"/>
      <c r="B23" s="46" t="n"/>
      <c r="C23" s="48" t="n"/>
      <c r="D23" s="47" t="n"/>
      <c r="E23" s="47" t="n"/>
      <c r="F23" s="47" t="n"/>
      <c r="G23" s="47" t="n"/>
      <c r="H23" s="46" t="n"/>
      <c r="I23" s="48" t="n"/>
      <c r="J23" s="47" t="n"/>
      <c r="K23" s="47" t="n"/>
    </row>
    <row r="24">
      <c r="A24" s="46" t="n"/>
      <c r="B24" s="46" t="n"/>
      <c r="C24" s="48" t="n"/>
      <c r="D24" s="47" t="n"/>
      <c r="E24" s="47" t="n"/>
      <c r="F24" s="47" t="n"/>
      <c r="G24" s="47" t="n"/>
      <c r="H24" s="46" t="n"/>
      <c r="I24" s="48" t="n"/>
      <c r="J24" s="47" t="n"/>
      <c r="K24" s="47" t="n"/>
    </row>
    <row r="25">
      <c r="A25" s="46" t="n"/>
      <c r="B25" s="46" t="n"/>
      <c r="C25" s="48" t="n"/>
      <c r="D25" s="47" t="n"/>
      <c r="E25" s="47" t="n"/>
      <c r="F25" s="47" t="n"/>
      <c r="G25" s="47" t="n"/>
      <c r="H25" s="46" t="n"/>
      <c r="I25" s="48" t="n"/>
      <c r="J25" s="47" t="n"/>
      <c r="K25" s="47" t="n"/>
    </row>
    <row r="26">
      <c r="A26" s="46" t="n"/>
      <c r="B26" s="46" t="n"/>
      <c r="C26" s="48" t="n"/>
      <c r="D26" s="47" t="n"/>
      <c r="E26" s="47" t="n"/>
      <c r="F26" s="47" t="n"/>
      <c r="G26" s="47" t="n"/>
      <c r="H26" s="46" t="n"/>
      <c r="I26" s="48" t="n"/>
      <c r="J26" s="47" t="n"/>
      <c r="K26" s="47" t="n"/>
    </row>
    <row r="27">
      <c r="A27" s="46" t="n"/>
      <c r="B27" s="46" t="n"/>
      <c r="C27" s="48" t="n"/>
      <c r="D27" s="47" t="n"/>
      <c r="E27" s="47" t="n"/>
      <c r="F27" s="47" t="n"/>
      <c r="G27" s="47" t="n"/>
      <c r="H27" s="46" t="n"/>
      <c r="I27" s="48" t="n"/>
      <c r="J27" s="47" t="n"/>
      <c r="K27" s="47" t="n"/>
    </row>
    <row r="28">
      <c r="A28" s="46" t="n"/>
      <c r="B28" s="46" t="n"/>
      <c r="C28" s="48" t="n"/>
      <c r="D28" s="47" t="n"/>
      <c r="E28" s="47" t="n"/>
      <c r="F28" s="47" t="n"/>
      <c r="G28" s="47" t="n"/>
      <c r="H28" s="46" t="n"/>
      <c r="I28" s="48" t="n"/>
      <c r="J28" s="47" t="n"/>
      <c r="K28" s="47" t="n"/>
    </row>
    <row r="29">
      <c r="A29" s="46" t="n"/>
      <c r="B29" s="46" t="n"/>
      <c r="C29" s="48" t="n"/>
      <c r="D29" s="47" t="n"/>
      <c r="E29" s="47" t="n"/>
      <c r="F29" s="47" t="n"/>
      <c r="G29" s="47" t="n"/>
      <c r="H29" s="46" t="n"/>
      <c r="I29" s="48" t="n"/>
      <c r="J29" s="47" t="n"/>
      <c r="K29" s="47" t="n"/>
    </row>
    <row r="30">
      <c r="A30" s="46" t="n"/>
      <c r="B30" s="46" t="n"/>
      <c r="C30" s="48" t="n"/>
      <c r="D30" s="47" t="n"/>
      <c r="E30" s="47" t="n"/>
      <c r="F30" s="47" t="n"/>
      <c r="G30" s="47" t="n"/>
      <c r="H30" s="46" t="n"/>
      <c r="I30" s="48" t="n"/>
      <c r="J30" s="47" t="n"/>
      <c r="K30" s="47" t="n"/>
    </row>
    <row r="31">
      <c r="A31" s="46" t="n"/>
      <c r="B31" s="46" t="n"/>
      <c r="C31" s="48" t="n"/>
      <c r="D31" s="47" t="n"/>
      <c r="E31" s="47" t="n"/>
      <c r="F31" s="47" t="n"/>
      <c r="G31" s="47" t="n"/>
      <c r="H31" s="46" t="n"/>
      <c r="I31" s="48" t="n"/>
      <c r="J31" s="47" t="n"/>
      <c r="K31" s="47" t="n"/>
    </row>
    <row r="32">
      <c r="A32" s="46" t="n"/>
      <c r="B32" s="46" t="n"/>
      <c r="C32" s="48" t="n"/>
      <c r="D32" s="47" t="n"/>
      <c r="E32" s="47" t="n"/>
      <c r="F32" s="47" t="n"/>
      <c r="G32" s="47" t="n"/>
      <c r="H32" s="46" t="n"/>
      <c r="I32" s="48" t="n"/>
      <c r="J32" s="47" t="n"/>
      <c r="K32" s="47" t="n"/>
    </row>
    <row r="33">
      <c r="A33" s="46" t="n"/>
      <c r="B33" s="46" t="n"/>
      <c r="C33" s="48" t="n"/>
      <c r="D33" s="47" t="n"/>
      <c r="E33" s="47" t="n"/>
      <c r="F33" s="47" t="n"/>
      <c r="G33" s="47" t="n"/>
      <c r="H33" s="46" t="n"/>
      <c r="I33" s="48" t="n"/>
      <c r="J33" s="47" t="n"/>
      <c r="K33" s="47" t="n"/>
    </row>
    <row r="34">
      <c r="A34" s="46" t="n"/>
      <c r="B34" s="46" t="n"/>
      <c r="C34" s="48" t="n"/>
      <c r="D34" s="47" t="n"/>
      <c r="E34" s="47" t="n"/>
      <c r="F34" s="47" t="n"/>
      <c r="G34" s="47" t="n"/>
      <c r="H34" s="46" t="n"/>
      <c r="I34" s="48" t="n"/>
      <c r="J34" s="47" t="n"/>
      <c r="K34" s="47" t="n"/>
    </row>
    <row r="35">
      <c r="A35" s="46" t="n"/>
      <c r="B35" s="46" t="n"/>
      <c r="C35" s="48" t="n"/>
      <c r="D35" s="47" t="n"/>
      <c r="E35" s="47" t="n"/>
      <c r="F35" s="47" t="n"/>
      <c r="G35" s="47" t="n"/>
      <c r="H35" s="46" t="n"/>
      <c r="I35" s="48" t="n"/>
      <c r="J35" s="47" t="n"/>
      <c r="K35" s="47" t="n"/>
    </row>
    <row r="36">
      <c r="A36" s="46" t="n"/>
      <c r="B36" s="46" t="n"/>
      <c r="C36" s="48" t="n"/>
      <c r="D36" s="47" t="n"/>
      <c r="E36" s="47" t="n"/>
      <c r="F36" s="47" t="n"/>
      <c r="G36" s="47" t="n"/>
      <c r="H36" s="46" t="n"/>
      <c r="I36" s="48" t="n"/>
      <c r="J36" s="47" t="n"/>
      <c r="K36" s="47" t="n"/>
    </row>
    <row r="37">
      <c r="A37" s="46" t="n"/>
      <c r="B37" s="46" t="n"/>
      <c r="C37" s="48" t="n"/>
      <c r="D37" s="47" t="n"/>
      <c r="E37" s="47" t="n"/>
      <c r="F37" s="47" t="n"/>
      <c r="G37" s="47" t="n"/>
      <c r="H37" s="46" t="n"/>
      <c r="I37" s="48" t="n"/>
      <c r="J37" s="47" t="n"/>
      <c r="K37" s="47" t="n"/>
    </row>
    <row r="38">
      <c r="A38" s="46" t="n"/>
      <c r="B38" s="46" t="n"/>
      <c r="C38" s="48" t="n"/>
      <c r="D38" s="47" t="n"/>
      <c r="E38" s="47" t="n"/>
      <c r="F38" s="47" t="n"/>
      <c r="G38" s="47" t="n"/>
      <c r="H38" s="46" t="n"/>
      <c r="I38" s="48" t="n"/>
      <c r="J38" s="47" t="n"/>
      <c r="K38" s="47" t="n"/>
    </row>
    <row r="39">
      <c r="A39" s="46" t="n"/>
      <c r="B39" s="46" t="n"/>
      <c r="C39" s="48" t="n"/>
      <c r="D39" s="47" t="n"/>
      <c r="E39" s="47" t="n"/>
      <c r="F39" s="47" t="n"/>
      <c r="G39" s="47" t="n"/>
      <c r="H39" s="46" t="n"/>
      <c r="I39" s="48" t="n"/>
      <c r="J39" s="47" t="n"/>
      <c r="K39" s="47" t="n"/>
    </row>
    <row r="40">
      <c r="A40" s="46" t="n"/>
      <c r="B40" s="46" t="n"/>
      <c r="C40" s="48" t="n"/>
      <c r="D40" s="47" t="n"/>
      <c r="E40" s="47" t="n"/>
      <c r="F40" s="47" t="n"/>
      <c r="G40" s="47" t="n"/>
      <c r="H40" s="46" t="n"/>
      <c r="I40" s="48" t="n"/>
      <c r="J40" s="47" t="n"/>
      <c r="K40" s="47" t="n"/>
    </row>
    <row r="41">
      <c r="A41" s="46" t="n"/>
      <c r="B41" s="46" t="n"/>
      <c r="C41" s="48" t="n"/>
      <c r="D41" s="47" t="n"/>
      <c r="E41" s="47" t="n"/>
      <c r="F41" s="47" t="n"/>
      <c r="G41" s="47" t="n"/>
      <c r="H41" s="46" t="n"/>
      <c r="I41" s="48" t="n"/>
      <c r="J41" s="47" t="n"/>
      <c r="K41" s="47" t="n"/>
    </row>
    <row r="42">
      <c r="A42" s="46" t="n"/>
      <c r="B42" s="46" t="n"/>
      <c r="C42" s="48" t="n"/>
      <c r="D42" s="47" t="n"/>
      <c r="E42" s="47" t="n"/>
      <c r="F42" s="47" t="n"/>
      <c r="G42" s="47" t="n"/>
      <c r="H42" s="46" t="n"/>
      <c r="I42" s="48" t="n"/>
      <c r="J42" s="47" t="n"/>
      <c r="K42" s="47" t="n"/>
    </row>
    <row r="43">
      <c r="A43" s="46" t="n"/>
      <c r="B43" s="46" t="n"/>
      <c r="C43" s="48" t="n"/>
      <c r="D43" s="47" t="n"/>
      <c r="E43" s="47" t="n"/>
      <c r="F43" s="47" t="n"/>
      <c r="G43" s="47" t="n"/>
      <c r="H43" s="46" t="n"/>
      <c r="I43" s="48" t="n"/>
      <c r="J43" s="47" t="n"/>
      <c r="K43" s="47" t="n"/>
    </row>
    <row r="44">
      <c r="A44" s="46" t="n"/>
      <c r="B44" s="46" t="n"/>
      <c r="C44" s="48" t="n"/>
      <c r="D44" s="47" t="n"/>
      <c r="E44" s="47" t="n"/>
      <c r="F44" s="47" t="n"/>
      <c r="G44" s="47" t="n"/>
      <c r="H44" s="46" t="n"/>
      <c r="I44" s="48" t="n"/>
      <c r="J44" s="47" t="n"/>
      <c r="K44" s="47" t="n"/>
    </row>
  </sheetData>
  <sheetProtection selectLockedCells="0" selectUnlockedCells="0" sheet="1" objects="0" insertRows="1" insertHyperlinks="1" autoFilter="0" scenarios="0" formatColumns="0" deleteColumns="1" insertColumns="1" pivotTables="1" deleteRows="1" formatCells="1" formatRows="0" sort="0"/>
  <mergeCells count="2">
    <mergeCell ref="A2:K2"/>
    <mergeCell ref="A1:K1"/>
  </mergeCells>
  <conditionalFormatting sqref="H5:H500">
    <cfRule type="expression" priority="1" dxfId="0">
      <formula>$H5="Completado"</formula>
    </cfRule>
    <cfRule type="expression" priority="2" dxfId="4">
      <formula>$H5="En curso"</formula>
    </cfRule>
    <cfRule type="expression" priority="3" dxfId="5">
      <formula>$H5="Pendiente"</formula>
    </cfRule>
  </conditionalFormatting>
  <conditionalFormatting sqref="C5:C500">
    <cfRule type="expression" priority="4" dxfId="6" stopIfTrue="1">
      <formula>AND(ISNUMBER($C5),$C5&lt;FechaRef,$H5&lt;&gt;"Completado")</formula>
    </cfRule>
    <cfRule type="expression" priority="5" dxfId="7">
      <formula>AND(ISNUMBER($C5),$C5&gt;=FechaRef,$C5-FechaRef&lt;=DiasAlerta,$H5&lt;&gt;"Completado")</formula>
    </cfRule>
  </conditionalFormatting>
  <conditionalFormatting sqref="I5:I500">
    <cfRule type="expression" priority="6" dxfId="7">
      <formula>AND(ISNUMBER($I5),ISNUMBER($C5),$I5&gt;$C5)</formula>
    </cfRule>
  </conditionalFormatting>
  <conditionalFormatting sqref="J5:J500">
    <cfRule type="expression" priority="7" dxfId="5">
      <formula>AND($H5="Completado",$J5="")</formula>
    </cfRule>
  </conditionalFormatting>
  <dataValidations count="4">
    <dataValidation sqref="B5:B500" showDropDown="0" showInputMessage="0" showErrorMessage="1" allowBlank="1" error="Seleccione Semana 1, Semana 2, Semana 3 o Semana 4." type="list">
      <formula1>ListaSemanas</formula1>
    </dataValidation>
    <dataValidation sqref="D5:D500" showDropDown="0" showInputMessage="0" showErrorMessage="1" allowBlank="1" error="Seleccione una de las cuatro áreas." type="list">
      <formula1>ListaPuestos</formula1>
    </dataValidation>
    <dataValidation sqref="H5:H500" showDropDown="0" showInputMessage="0" showErrorMessage="1" allowBlank="1" error="Seleccione Pendiente, En curso o Completado." type="list">
      <formula1>ListaEstados</formula1>
    </dataValidation>
    <dataValidation sqref="C5:C500 I5:I500" showDropDown="0" showInputMessage="0" showErrorMessage="1" allowBlank="1" error="Ingrese una fecha válida (dd/mm/aaaa)." type="date" operator="greaterThan">
      <formula1>36526</formula1>
    </dataValidation>
  </dataValidations>
  <pageMargins left="0.4" right="0.4" top="1" bottom="1" header="0.5" footer="0.5"/>
  <pageSetup orientation="landscape" paperSize="1" fitToHeight="0" fitToWidth="1"/>
  <headerFooter>
    <oddHeader/>
    <oddFooter>&amp;CPágina &amp;P de &amp;N</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B1:B63"/>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41" t="inlineStr">
        <is>
          <t>Instrucciones de uso, colaboración y protección</t>
        </is>
      </c>
    </row>
    <row r="3" ht="20" customHeight="1">
      <c r="B3" s="56" t="inlineStr">
        <is>
          <t>1. Propósito</t>
        </is>
      </c>
    </row>
    <row r="4" ht="45" customHeight="1">
      <c r="B4" s="57" t="inlineStr">
        <is>
          <t>Administrar el ciclo de cuatro semanas de los puestos Riesgo Operacional, Riesgo Legal y Normativo, Riesgo Financiero y Asistente Técnico de Riesgo: macroactividades, responsables, fechas, pesos, avances semanales, estados, evidencias e hitos. Meta: 100% al cierre de la Semana 4.</t>
        </is>
      </c>
    </row>
    <row r="6" ht="20" customHeight="1">
      <c r="B6" s="56" t="inlineStr">
        <is>
          <t>2. Estructura del libro</t>
        </is>
      </c>
    </row>
    <row r="7" ht="30" customHeight="1">
      <c r="B7" s="57" t="inlineStr">
        <is>
          <t>• Dashboard - Consolidado: indicadores, avance por puesto, seguimiento semanal, control de calidad e hitos. Solo lectura (todo es fórmula).</t>
        </is>
      </c>
    </row>
    <row r="8" ht="15" customHeight="1">
      <c r="B8" s="57" t="inlineStr">
        <is>
          <t>• Cronograma y Actividades: base de datos principal (tabla tblActividades). Aquí se registran los datos.</t>
        </is>
      </c>
    </row>
    <row r="9" ht="30" customHeight="1">
      <c r="B9" s="57" t="inlineStr">
        <is>
          <t>• Linea de Tiempo - Hitos: hitos y entregables por semana (tabla tblHitos). Contiene una PROPUESTA INICIAL EDITABLE de 16 hitos, sujeta a validación de los responsables.</t>
        </is>
      </c>
    </row>
    <row r="10" ht="30" customHeight="1">
      <c r="B10" s="57" t="inlineStr">
        <is>
          <t>• Configuración: semana actual, fecha de corte, fecha de inicio del ciclo, días de alerta, evidencia obligatoria, plan de referencia, listas desplegables y metodología.</t>
        </is>
      </c>
    </row>
    <row r="11" ht="30" customHeight="1">
      <c r="B11" s="57" t="inlineStr">
        <is>
          <t>• Calculos (oculta): cálculos intermedios por puesto. Para verla: clic derecho en una pestaña &gt; Mostrar. No editar.</t>
        </is>
      </c>
    </row>
    <row r="13" ht="20" customHeight="1">
      <c r="B13" s="56" t="inlineStr">
        <is>
          <t>3. Paso a paso</t>
        </is>
      </c>
    </row>
    <row r="14" ht="30" customHeight="1">
      <c r="B14" s="57" t="inlineStr">
        <is>
          <t>1) En Configuración, verifique la Fecha de inicio del ciclo (valor inicial editable) y seleccione la Semana actual (1 a 4).</t>
        </is>
      </c>
    </row>
    <row r="15" ht="30" customHeight="1">
      <c r="B15" s="57" t="inlineStr">
        <is>
          <t>2) En Cronograma y Actividades registre cada macroactividad en una fila: ID único (ej. RO-01), Área / Puesto (lista), Macro Actividad, Responsable, Fecha de inicio, Fecha límite y Peso (%).</t>
        </is>
      </c>
    </row>
    <row r="16" ht="30" customHeight="1">
      <c r="B16" s="57" t="inlineStr">
        <is>
          <t>3) Los pesos son relativos dentro de cada puesto y deben sumar 100% por puesto (ej. 40% + 35% + 25%). Si aún no hay pesos aprobados, deje el campo vacío: el libro mostrará una alerta y no calculará el avance del puesto.</t>
        </is>
      </c>
    </row>
    <row r="17" ht="30" customHeight="1">
      <c r="B17" s="57" t="inlineStr">
        <is>
          <t>4) Al cierre de cada semana registre el avance ACUMULADO de la actividad en la columna de esa semana (ej. S1 20%, S2 45%, S3 75%, S4 100%). No registre incrementos. Deje vacías las semanas futuras.</t>
        </is>
      </c>
    </row>
    <row r="18" ht="45" customHeight="1">
      <c r="B18" s="57" t="inlineStr">
        <is>
          <t>5) Actualice «Última actualización» y registre la evidencia o enlace (SharePoint/OneDrive) en «Evidencia / Observaciones». Las incidencias excepcionales (bloqueo, cancelación, reprogramación) se anotan en Observaciones: no alteran el estado calculado.</t>
        </is>
      </c>
    </row>
    <row r="19" ht="30" customHeight="1">
      <c r="B19" s="57" t="inlineStr">
        <is>
          <t>6) Revise la columna «Validación de datos»: «✔ OK» o «⚠» con la lista de problemas. Use el filtro de la columna para ver solo las filas con «⚠».</t>
        </is>
      </c>
    </row>
    <row r="20" ht="30" customHeight="1">
      <c r="B20" s="57" t="inlineStr">
        <is>
          <t>7) Consulte el Dashboard. Si un puesto o el proyecto llega al 100% antes de la Semana 4 aparece «¡Enhorabuena, completado anticipadamente!».</t>
        </is>
      </c>
    </row>
    <row r="21" ht="15" customHeight="1">
      <c r="B21" s="57" t="inlineStr">
        <is>
          <t>8) Actualice el Estado, Fecha real y Evidencia de los hitos en Linea de Tiempo - Hitos.</t>
        </is>
      </c>
    </row>
    <row r="23" ht="20" customHeight="1">
      <c r="B23" s="56" t="inlineStr">
        <is>
          <t>4. Código de colores</t>
        </is>
      </c>
    </row>
    <row r="24" ht="30" customHeight="1">
      <c r="B24" s="57" t="inlineStr">
        <is>
          <t>• Amarillo pálido: celda de entrada (desbloqueada). • Gris: fórmula protegida. • Azul oscuro/medio: encabezados e indicadores.</t>
        </is>
      </c>
    </row>
    <row r="25" ht="45" customHeight="1">
      <c r="B25" s="57" t="inlineStr">
        <is>
          <t>• Verde: 100% / Completado. • Azul claro: En curso. • Rojo suave: Pendiente, dato faltante o alerta crítica. • Ámbar: próxima a vencer, pesos ≠ 100% o por debajo del plan. • Naranja: vencida, ID duplicado, fechas incoherentes o avance decreciente. • Verde oscuro con texto blanco: finalización anticipada.</t>
        </is>
      </c>
    </row>
    <row r="27" ht="20" customHeight="1">
      <c r="B27" s="56" t="inlineStr">
        <is>
          <t>5. Agregar filas</t>
        </is>
      </c>
    </row>
    <row r="28" ht="30" customHeight="1">
      <c r="B28" s="57" t="inlineStr">
        <is>
          <t>La tabla tblActividades trae 100 filas preformateadas (fórmulas, validaciones y formato). Las filas vacías no se cuentan.</t>
        </is>
      </c>
    </row>
    <row r="29" ht="45" customHeight="1">
      <c r="B29" s="57" t="inlineStr">
        <is>
          <t>Para agregar más filas: Revisar &gt; Desproteger hoja; ubíquese en la última celda de la tabla y presione Tab (o escriba justo debajo de la tabla). Excel extiende automáticamente las fórmulas de las columnas calculadas (% de Avance Total Actual, Estado y Validación). Vuelva a proteger la hoja al terminar. El Dashboard lee hasta la fila 1000.</t>
        </is>
      </c>
    </row>
    <row r="30" ht="15" customHeight="1">
      <c r="B30" s="57" t="inlineStr">
        <is>
          <t>No elimine ni mueva las columnas de la tabla; no escriba sobre las columnas grises.</t>
        </is>
      </c>
    </row>
    <row r="32" ht="20" customHeight="1">
      <c r="B32" s="56" t="inlineStr">
        <is>
          <t>6. Compartir y trabajar en colaboración (Excel para la Web / OneDrive / SharePoint)</t>
        </is>
      </c>
    </row>
    <row r="33" ht="30" customHeight="1">
      <c r="B33" s="57" t="inlineStr">
        <is>
          <t>1) Guarde el archivo en una biblioteca de SharePoint o en OneDrive para el trabajo (idealmente el sitio del área de Riesgos).</t>
        </is>
      </c>
    </row>
    <row r="34" ht="30" customHeight="1">
      <c r="B34" s="57" t="inlineStr">
        <is>
          <t>2) Archivo &gt; Compartir &gt; Compartir con personas específicas y otorgue permiso de edición a los cuatro responsables; permiso de solo lectura a la jefatura que solo consulta el Dashboard.</t>
        </is>
      </c>
    </row>
    <row r="35" ht="30" customHeight="1">
      <c r="B35" s="57" t="inlineStr">
        <is>
          <t>3) Varias personas pueden editar al mismo tiempo (coautoría) en Excel para la Web o Microsoft 365. Use Autoguardado activado. Las fórmulas se recalculan automáticamente.</t>
        </is>
      </c>
    </row>
    <row r="36" ht="30" customHeight="1">
      <c r="B36" s="57" t="inlineStr">
        <is>
          <t>4) Use «Vistas de hoja» (Vista &gt; Vista de hoja &gt; Nueva) para que cada persona filtre su puesto sin alterar el filtro de los demás.</t>
        </is>
      </c>
    </row>
    <row r="37" ht="30" customHeight="1">
      <c r="B37" s="57" t="inlineStr">
        <is>
          <t>5) Historial de versiones (Archivo &gt; Información &gt; Historial de versiones) permite recuperar versiones anteriores y ver quién cambió qué. También puede usar Revisar &gt; Mostrar cambios.</t>
        </is>
      </c>
    </row>
    <row r="38" ht="30" customHeight="1">
      <c r="B38" s="57" t="inlineStr">
        <is>
          <t>6) Las evidencias deben almacenarse en la biblioteca de SharePoint y pegarse como enlace en la columna de evidencia.</t>
        </is>
      </c>
    </row>
    <row r="40" ht="20" customHeight="1">
      <c r="B40" s="56" t="inlineStr">
        <is>
          <t>7. Protección de fórmulas</t>
        </is>
      </c>
    </row>
    <row r="41" ht="30" customHeight="1">
      <c r="B41" s="57" t="inlineStr">
        <is>
          <t>Todas las hojas están protegidas SIN contraseña: las celdas con fórmulas están bloqueadas y las celdas de entrada (amarillas) desbloqueadas. Se permiten filtros, ordenar y ajustar anchos.</t>
        </is>
      </c>
    </row>
    <row r="42" ht="45" customHeight="1">
      <c r="B42" s="57" t="inlineStr">
        <is>
          <t>Para establecer una contraseña: Revisar &gt; Desproteger hoja, luego Revisar &gt; Proteger hoja, marque las opciones «Seleccionar celdas desbloqueadas», «Usar Autofiltro» y «Ordenar» y escriba la contraseña. Guárdela en un lugar seguro. Opcional: Revisar &gt; Proteger libro (estructura) para impedir mostrar/eliminar hojas.</t>
        </is>
      </c>
    </row>
    <row r="43" ht="45" customHeight="1">
      <c r="B43" s="57" t="inlineStr">
        <is>
          <t>LIMITACIÓN: la protección de hoja evita sobrescribir fórmulas, pero NO impide que un usuario con permiso de edición modifique los registros de otro puesto dentro de las celdas de entrada. Excel para la Web tampoco admite «Permitir que los usuarios editen rangos» con permisos por usuario. La trazabilidad se apoya en el historial de versiones.</t>
        </is>
      </c>
    </row>
    <row r="45" ht="20" customHeight="1">
      <c r="B45" s="56" t="inlineStr">
        <is>
          <t>8. Segregación real de permisos (si se requiere)</t>
        </is>
      </c>
    </row>
    <row r="46" ht="30" customHeight="1">
      <c r="B46" s="57" t="inlineStr">
        <is>
          <t>1) Cree cuatro archivos de captura idénticos (uno por puesto) con la misma estructura de tblActividades, cada uno en una carpeta de SharePoint con permisos solo para su responsable.</t>
        </is>
      </c>
    </row>
    <row r="47" ht="30" customHeight="1">
      <c r="B47" s="57" t="inlineStr">
        <is>
          <t>2) En este archivo consolidado: Datos &gt; Obtener datos &gt; Desde archivo &gt; Desde SharePoint (o Desde carpeta), seleccione la carpeta con los cuatro archivos y combine la tabla tblActividades de cada uno (Combinar y transformar).</t>
        </is>
      </c>
    </row>
    <row r="48" ht="30" customHeight="1">
      <c r="B48" s="57" t="inlineStr">
        <is>
          <t>3) Cargue el resultado como tabla en la hoja Cronograma y Actividades (o reemplace tblActividades por la tabla de la consulta, con los mismos encabezados). Las columnas calculadas pueden recalcularse en la consulta o en la tabla.</t>
        </is>
      </c>
    </row>
    <row r="49" ht="45" customHeight="1">
      <c r="B49" s="57" t="inlineStr">
        <is>
          <t>4) Configure Datos &gt; Consultas y conexiones &gt; Propiedades &gt; «Actualizar al abrir el archivo». Nota: la actualización de Power Query desde orígenes de SharePoint se ejecuta en Excel de escritorio; en Excel para la Web el soporte depende del tipo de origen y del plan de Microsoft 365.</t>
        </is>
      </c>
    </row>
    <row r="50" ht="15" customHeight="1">
      <c r="B50" s="57" t="inlineStr">
        <is>
          <t>5) Solo el coordinador tiene permiso de edición del consolidado; los demás, lectura.</t>
        </is>
      </c>
    </row>
    <row r="52" ht="20" customHeight="1">
      <c r="B52" s="56" t="inlineStr">
        <is>
          <t>9. Compatibilidad técnica</t>
        </is>
      </c>
    </row>
    <row r="53" ht="15" customHeight="1">
      <c r="B53" s="57" t="inlineStr">
        <is>
          <t>Diseñado para Microsoft 365 en español (escritorio y Web). Archivo .xlsx sin macros ni complementos.</t>
        </is>
      </c>
    </row>
    <row r="54" ht="60" customHeight="1">
      <c r="B54" s="57" t="inlineStr">
        <is>
          <t>Las fórmulas se guardan internamente en inglés y Excel en español las muestra traducidas automáticamente: LOOKUP = BUSCAR, IFERROR = SI.ERROR, IF = SI, SUMPRODUCT = SUMAPRODUCTO, COUNTIFS = CONTAR.SI.CONJUNTO, SUMIFS = SUMAR.SI.CONJUNTO, ISNUMBER = ESNUMERO, SEARCH = HALLAR, TODAY = HOY. El separador de argumentos también se adapta (; en configuración regional española).</t>
        </is>
      </c>
    </row>
    <row r="55" ht="30" customHeight="1">
      <c r="B55" s="57" t="inlineStr">
        <is>
          <t>Fórmula del avance actual (fila 5, tal como se ve en Excel en español): =SI(NO((CONTARA($A5:$K5)+CONTARA($N5:$O5))&gt;0);"";SI.ERROR(BUSCAR(2;1/(H5:K5&lt;&gt;"");H5:K5);0)). La primera parte deja la celda vacía en filas sin datos.</t>
        </is>
      </c>
    </row>
    <row r="56" ht="15" customHeight="1">
      <c r="B56" s="57" t="inlineStr">
        <is>
          <t>Fórmula del estado: =SI(L5="";"";SI(L5&gt;=1;"Completado";SI(L5&gt;0;"En curso";"Pendiente"))).</t>
        </is>
      </c>
    </row>
    <row r="58" ht="20" customHeight="1">
      <c r="B58" s="56" t="inlineStr">
        <is>
          <t>10. Limitaciones conocidas</t>
        </is>
      </c>
    </row>
    <row r="59" ht="30" customHeight="1">
      <c r="B59" s="57" t="inlineStr">
        <is>
          <t>• El estado es automático (basado en el %); los estados excepcionales se documentan en Observaciones para no alterar el cálculo.</t>
        </is>
      </c>
    </row>
    <row r="60" ht="45" customHeight="1">
      <c r="B60" s="57" t="inlineStr">
        <is>
          <t>• La regla de finalización anticipada usa la semana en que el puesto alcanzó el 100% según los avances registrados, acotada por la Semana actual de Configuración. Si se registran avances en una columna de semana futura, el mensaje se basa en la Semana actual.</t>
        </is>
      </c>
    </row>
    <row r="61" ht="15" customHeight="1">
      <c r="B61" s="57" t="inlineStr">
        <is>
          <t>• Los rangos del Dashboard llegan hasta la fila 1000 de la tabla de actividades y hasta la fila 500 de hitos.</t>
        </is>
      </c>
    </row>
    <row r="62" ht="30" customHeight="1">
      <c r="B62" s="57" t="inlineStr">
        <is>
          <t>• Agregar filas a la tabla requiere desproteger temporalmente la hoja (restricción de Excel para tablas en hojas protegidas).</t>
        </is>
      </c>
    </row>
    <row r="63" ht="15" customHeight="1">
      <c r="B63" s="57" t="inlineStr">
        <is>
          <t>• Los hitos y fechas objetivo son propuestas iniciales; no son obligaciones institucionales aprobadas.</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5.xml><?xml version="1.0" encoding="utf-8"?>
<worksheet xmlns="http://schemas.openxmlformats.org/spreadsheetml/2006/main">
  <sheetPr>
    <outlinePr summaryBelow="1" summaryRight="1"/>
    <pageSetUpPr fitToPage="1"/>
  </sheetPr>
  <dimension ref="B1:D48"/>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41" t="inlineStr">
        <is>
          <t>Configuración y listas del libro</t>
        </is>
      </c>
      <c r="C1" s="41" t="n"/>
      <c r="D1" s="41" t="n"/>
    </row>
    <row r="2">
      <c r="B2" s="58" t="inlineStr">
        <is>
          <t>Celdas amarillas = parámetros editables. El resto se usa en listas desplegables y fórmulas; no cambie su posición.</t>
        </is>
      </c>
    </row>
    <row r="3">
      <c r="B3" s="6" t="inlineStr">
        <is>
          <t>Parámetro</t>
        </is>
      </c>
      <c r="C3" s="6" t="inlineStr">
        <is>
          <t>Valor</t>
        </is>
      </c>
      <c r="D3" s="6" t="inlineStr">
        <is>
          <t>Uso / nota</t>
        </is>
      </c>
    </row>
    <row r="4" ht="30" customHeight="1">
      <c r="B4" s="18" t="inlineStr">
        <is>
          <t>Semana actual del ciclo (1 a 4)</t>
        </is>
      </c>
      <c r="C4" s="59" t="n">
        <v>1</v>
      </c>
      <c r="D4" s="40" t="inlineStr">
        <is>
          <t>Controla los mensajes de finalización anticipada y qué semanas se muestran en el seguimiento semanal.</t>
        </is>
      </c>
    </row>
    <row r="5" ht="30" customHeight="1">
      <c r="B5" s="18" t="inlineStr">
        <is>
          <t>Fecha de referencia (corte)</t>
        </is>
      </c>
      <c r="C5" s="60">
        <f>TODAY()</f>
        <v/>
      </c>
      <c r="D5" s="40" t="inlineStr">
        <is>
          <t>Por defecto =HOY(). Puede reemplazarla por una fecha fija para emitir un reporte de corte. Determina actividades vencidas.</t>
        </is>
      </c>
    </row>
    <row r="6" ht="30" customHeight="1">
      <c r="B6" s="18" t="inlineStr">
        <is>
          <t>Fecha de inicio del ciclo (lunes de la Semana 1)</t>
        </is>
      </c>
      <c r="C6" s="60" t="n">
        <v>46307</v>
      </c>
      <c r="D6" s="40" t="inlineStr">
        <is>
          <t>VALOR INICIAL EDITABLE (supuesto). Calcula las fechas objetivo propuestas de los hitos (viernes de cada semana).</t>
        </is>
      </c>
    </row>
    <row r="7" ht="30" customHeight="1">
      <c r="B7" s="18" t="inlineStr">
        <is>
          <t>Días de anticipación para alerta «próxima a vencer»</t>
        </is>
      </c>
      <c r="C7" s="59" t="n">
        <v>3</v>
      </c>
      <c r="D7" s="40" t="inlineStr">
        <is>
          <t>Actividades no completadas cuya fecha límite cae dentro de este número de días se señalan en ámbar.</t>
        </is>
      </c>
    </row>
    <row r="8" ht="30" customHeight="1">
      <c r="B8" s="18" t="inlineStr">
        <is>
          <t>¿Evidencia obligatoria para actividades completadas?</t>
        </is>
      </c>
      <c r="C8" s="61" t="inlineStr">
        <is>
          <t>Sí</t>
        </is>
      </c>
      <c r="D8" s="40" t="inlineStr">
        <is>
          <t>Si es «Sí», una actividad al 100% sin texto en Evidencia / Observaciones genera alerta.</t>
        </is>
      </c>
    </row>
    <row r="9" ht="30" customHeight="1">
      <c r="B9" s="18" t="inlineStr">
        <is>
          <t>Meta final del proyecto</t>
        </is>
      </c>
      <c r="C9" s="62" t="n">
        <v>1</v>
      </c>
      <c r="D9" s="40" t="inlineStr">
        <is>
          <t>Meta de cumplimiento al cierre de la Semana 4.</t>
        </is>
      </c>
    </row>
    <row r="11">
      <c r="B11" s="63" t="inlineStr">
        <is>
          <t>Plan de referencia (avance esperado acumulado por semana) – supuesto editable</t>
        </is>
      </c>
      <c r="C11" s="63" t="n"/>
      <c r="D11" s="63" t="n"/>
    </row>
    <row r="12">
      <c r="B12" s="64" t="inlineStr">
        <is>
          <t>Semana 1</t>
        </is>
      </c>
      <c r="C12" s="65" t="n">
        <v>0.25</v>
      </c>
      <c r="D12" s="66" t="inlineStr">
        <is>
          <t>Referencia lineal solo para comparación visual; no afecta el cálculo del avance real.</t>
        </is>
      </c>
    </row>
    <row r="13">
      <c r="B13" s="64" t="inlineStr">
        <is>
          <t>Semana 2</t>
        </is>
      </c>
      <c r="C13" s="65" t="n">
        <v>0.5</v>
      </c>
      <c r="D13" s="66" t="inlineStr">
        <is>
          <t>Referencia lineal solo para comparación visual; no afecta el cálculo del avance real.</t>
        </is>
      </c>
    </row>
    <row r="14">
      <c r="B14" s="64" t="inlineStr">
        <is>
          <t>Semana 3</t>
        </is>
      </c>
      <c r="C14" s="65" t="n">
        <v>0.75</v>
      </c>
      <c r="D14" s="66" t="inlineStr">
        <is>
          <t>Referencia lineal solo para comparación visual; no afecta el cálculo del avance real.</t>
        </is>
      </c>
    </row>
    <row r="15">
      <c r="B15" s="64" t="inlineStr">
        <is>
          <t>Semana 4</t>
        </is>
      </c>
      <c r="C15" s="65" t="n">
        <v>1</v>
      </c>
      <c r="D15" s="66" t="inlineStr">
        <is>
          <t>Referencia lineal solo para comparación visual; no afecta el cálculo del avance real.</t>
        </is>
      </c>
    </row>
    <row r="17">
      <c r="B17" s="67" t="inlineStr">
        <is>
          <t>Listas desplegables (no editar sin actualizar las fórmulas)</t>
        </is>
      </c>
      <c r="C17" s="67" t="n"/>
      <c r="D17" s="67" t="n"/>
    </row>
    <row r="18">
      <c r="B18" s="68" t="inlineStr">
        <is>
          <t>Áreas / Puestos</t>
        </is>
      </c>
    </row>
    <row r="19">
      <c r="B19" s="69" t="inlineStr">
        <is>
          <t>Riesgo Operacional</t>
        </is>
      </c>
    </row>
    <row r="20">
      <c r="B20" s="69" t="inlineStr">
        <is>
          <t>Riesgo Legal y Normativo</t>
        </is>
      </c>
    </row>
    <row r="21">
      <c r="B21" s="69" t="inlineStr">
        <is>
          <t>Riesgo Financiero</t>
        </is>
      </c>
    </row>
    <row r="22">
      <c r="B22" s="69" t="inlineStr">
        <is>
          <t>Asistente Técnico de Riesgo</t>
        </is>
      </c>
    </row>
    <row r="24">
      <c r="B24" s="68" t="inlineStr">
        <is>
          <t>Estados</t>
        </is>
      </c>
    </row>
    <row r="25">
      <c r="B25" s="69" t="inlineStr">
        <is>
          <t>Pendiente</t>
        </is>
      </c>
    </row>
    <row r="26">
      <c r="B26" s="69" t="inlineStr">
        <is>
          <t>En curso</t>
        </is>
      </c>
    </row>
    <row r="27">
      <c r="B27" s="69" t="inlineStr">
        <is>
          <t>Completado</t>
        </is>
      </c>
    </row>
    <row r="29">
      <c r="B29" s="68" t="inlineStr">
        <is>
          <t>Semanas</t>
        </is>
      </c>
    </row>
    <row r="30">
      <c r="B30" s="69" t="inlineStr">
        <is>
          <t>Semana 1</t>
        </is>
      </c>
    </row>
    <row r="31">
      <c r="B31" s="69" t="inlineStr">
        <is>
          <t>Semana 2</t>
        </is>
      </c>
    </row>
    <row r="32">
      <c r="B32" s="69" t="inlineStr">
        <is>
          <t>Semana 3</t>
        </is>
      </c>
    </row>
    <row r="33">
      <c r="B33" s="69" t="inlineStr">
        <is>
          <t>Semana 4</t>
        </is>
      </c>
    </row>
    <row r="35">
      <c r="B35" s="68" t="inlineStr">
        <is>
          <t>Sí / No</t>
        </is>
      </c>
    </row>
    <row r="36">
      <c r="B36" s="69" t="inlineStr">
        <is>
          <t>Sí</t>
        </is>
      </c>
    </row>
    <row r="37">
      <c r="B37" s="69" t="inlineStr">
        <is>
          <t>No</t>
        </is>
      </c>
    </row>
    <row r="40">
      <c r="B40" s="67" t="inlineStr">
        <is>
          <t>Metodología de cálculo (documentación)</t>
        </is>
      </c>
      <c r="C40" s="67" t="n"/>
      <c r="D40" s="67" t="n"/>
    </row>
    <row r="41" ht="30" customHeight="1">
      <c r="B41" s="70" t="inlineStr">
        <is>
          <t>1. Avance de una actividad = último avance semanal acumulado registrado (Semana 4 → 1), ignorando semanas vacías. Los avances semanales NO se suman.</t>
        </is>
      </c>
      <c r="C41" s="70" t="n"/>
      <c r="D41" s="70" t="n"/>
    </row>
    <row r="42" ht="30" customHeight="1">
      <c r="B42" s="70" t="inlineStr">
        <is>
          <t>2. Estado automático: 0% = Pendiente; &gt;0% y &lt;100% = En curso; 100% = Completado.</t>
        </is>
      </c>
      <c r="C42" s="70" t="n"/>
      <c r="D42" s="70" t="n"/>
    </row>
    <row r="43" ht="30" customHeight="1">
      <c r="B43" s="70" t="inlineStr">
        <is>
          <t>3. Avance ponderado del puesto = Σ (peso de la actividad × avance actual). Solo es válido si el puesto tiene ≥1 actividad, ningún peso vacío o fuera de 0–100% y los pesos suman 100% (tolerancia ±0,01%).</t>
        </is>
      </c>
      <c r="C43" s="70" t="n"/>
      <c r="D43" s="70" t="n"/>
    </row>
    <row r="44" ht="30" customHeight="1">
      <c r="B44" s="70" t="inlineStr">
        <is>
          <t>4. Avance general del proyecto = promedio simple de los 4 puestos (cada puesto pesa 25%, sin importar cuántas actividades tenga). Si algún puesto no es válido, el Dashboard muestra «No definitivo» y un valor provisional rotulado como tal.</t>
        </is>
      </c>
      <c r="C44" s="70" t="n"/>
      <c r="D44" s="70" t="n"/>
    </row>
    <row r="45" ht="30" customHeight="1">
      <c r="B45" s="70" t="inlineStr">
        <is>
          <t>5. Avance semanal acumulado (Semana n) = Σ peso × último avance registrado hasta la Semana n. Incremento semanal = acumulado Semana n − acumulado Semana n−1.</t>
        </is>
      </c>
      <c r="C45" s="70" t="n"/>
      <c r="D45" s="70" t="n"/>
    </row>
    <row r="46" ht="30" customHeight="1">
      <c r="B46" s="70" t="inlineStr">
        <is>
          <t>6. «¡Enhorabuena, completado anticipadamente!»: el puesto (o el proyecto) es válido, llega al 100% y la semana en que lo alcanzó (la menor entre la primera semana con 100% registrada y la Semana actual) es anterior a la Semana 4. Si lo alcanza en la Semana 4: «Completado». Si no: «En ejecución».</t>
        </is>
      </c>
      <c r="C46" s="70" t="n"/>
      <c r="D46" s="70" t="n"/>
    </row>
    <row r="47" ht="30" customHeight="1">
      <c r="B47" s="70" t="inlineStr">
        <is>
          <t>7. Una semana se muestra en el seguimiento si es ≤ Semana actual o si ya tiene algún avance registrado.</t>
        </is>
      </c>
      <c r="C47" s="70" t="n"/>
      <c r="D47" s="70" t="n"/>
    </row>
    <row r="48" ht="30" customHeight="1">
      <c r="B48" s="70" t="inlineStr">
        <is>
          <t>8. Los rangos que alimentan el Dashboard cubren las filas 5 a 1000 de la hoja Cronograma y Actividades.</t>
        </is>
      </c>
      <c r="C48" s="70" t="n"/>
      <c r="D48" s="70" t="n"/>
    </row>
  </sheetData>
  <sheetProtection selectLockedCells="0" selectUnlockedCells="0" sheet="1" objects="0" insertRows="1" insertHyperlinks="1" autoFilter="1" scenarios="0" formatColumns="0" deleteColumns="1" insertColumns="1" pivotTables="1" deleteRows="1" formatCells="1" formatRows="1" sort="1"/>
  <mergeCells count="12">
    <mergeCell ref="B11:D11"/>
    <mergeCell ref="B42:D42"/>
    <mergeCell ref="B45:D45"/>
    <mergeCell ref="B46:D46"/>
    <mergeCell ref="B41:D41"/>
    <mergeCell ref="B1:D1"/>
    <mergeCell ref="B17:D17"/>
    <mergeCell ref="B40:D40"/>
    <mergeCell ref="B44:D44"/>
    <mergeCell ref="B43:D43"/>
    <mergeCell ref="B47:D47"/>
    <mergeCell ref="B48:D48"/>
  </mergeCells>
  <dataValidations count="4">
    <dataValidation sqref="C4" showDropDown="0" showInputMessage="0" showErrorMessage="1" allowBlank="0" errorTitle="Semana no válida" error="Ingrese un número entero entre 1 y 4." type="whole" operator="between">
      <formula1>1</formula1>
      <formula2>4</formula2>
    </dataValidation>
    <dataValidation sqref="C5 C6" showDropDown="0" showInputMessage="0" showErrorMessage="1" allowBlank="0" error="Ingrese una fecha válida (dd/mm/aaaa)." type="date" operator="greaterThan">
      <formula1>36526</formula1>
    </dataValidation>
    <dataValidation sqref="C7" showDropDown="0" showInputMessage="0" showErrorMessage="1" allowBlank="0" error="Ingrese un número de días entre 0 y 30." type="whole" operator="between">
      <formula1>0</formula1>
      <formula2>30</formula2>
    </dataValidation>
    <dataValidation sqref="C8"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R13"/>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71" t="inlineStr">
        <is>
          <t>Hoja auxiliar OCULTA: cálculos intermedios por puesto que alimentan el Dashboard. No editar. Ver metodología en la hoja Configuración.</t>
        </is>
      </c>
    </row>
    <row r="3">
      <c r="A3" s="72" t="inlineStr">
        <is>
          <t>Puesto</t>
        </is>
      </c>
      <c r="B3" s="72" t="inlineStr">
        <is>
          <t>N° actividades</t>
        </is>
      </c>
      <c r="C3" s="72" t="inlineStr">
        <is>
          <t>Suma de pesos</t>
        </is>
      </c>
      <c r="D3" s="72" t="inlineStr">
        <is>
          <t>Pesos vacíos o inválidos</t>
        </is>
      </c>
      <c r="E3" s="72" t="inlineStr">
        <is>
          <t>Configuración válida</t>
        </is>
      </c>
      <c r="F3" s="72" t="inlineStr">
        <is>
          <t>Avance ponderado actual</t>
        </is>
      </c>
      <c r="G3" s="72" t="inlineStr">
        <is>
          <t>Acum. Semana 1</t>
        </is>
      </c>
      <c r="H3" s="72" t="inlineStr">
        <is>
          <t>Acum. Semana 2</t>
        </is>
      </c>
      <c r="I3" s="72" t="inlineStr">
        <is>
          <t>Acum. Semana 3</t>
        </is>
      </c>
      <c r="J3" s="72" t="inlineStr">
        <is>
          <t>Acum. Semana 4</t>
        </is>
      </c>
      <c r="K3" s="72" t="inlineStr">
        <is>
          <t>Primera semana con 100%</t>
        </is>
      </c>
      <c r="L3" s="72" t="inlineStr">
        <is>
          <t>Completado (100%)</t>
        </is>
      </c>
      <c r="M3" s="72" t="inlineStr">
        <is>
          <t>Completado anticipadamente</t>
        </is>
      </c>
      <c r="N3" s="72" t="inlineStr">
        <is>
          <t>Completadas</t>
        </is>
      </c>
      <c r="O3" s="72" t="inlineStr">
        <is>
          <t>En curso</t>
        </is>
      </c>
      <c r="P3" s="72" t="inlineStr">
        <is>
          <t>Pendientes</t>
        </is>
      </c>
      <c r="Q3" s="72" t="inlineStr">
        <is>
          <t>Vencidas</t>
        </is>
      </c>
      <c r="R3" s="72" t="inlineStr">
        <is>
          <t>Con alertas</t>
        </is>
      </c>
    </row>
    <row r="4">
      <c r="A4">
        <f>INDEX(ListaPuestos,1)</f>
        <v/>
      </c>
      <c r="B4">
        <f>COUNTIFS(rArea,$A4)</f>
        <v/>
      </c>
      <c r="C4" s="73">
        <f>SUMIFS(rPeso,rArea,$A4)</f>
        <v/>
      </c>
      <c r="D4" s="73">
        <f>COUNTIFS(rArea,$A4,rPeso,"")+COUNTIFS(rArea,$A4,rPeso,"&lt;=0")+COUNTIFS(rArea,$A4,rPeso,"&gt;1")</f>
        <v/>
      </c>
      <c r="E4">
        <f>AND(B4&gt;0,D4=0,ABS(C4-1)&lt;=0.0001)</f>
        <v/>
      </c>
      <c r="F4" s="73">
        <f>IFERROR(SUMPRODUCT(--(rArea=$A4),rPeso,rAvance),0)</f>
        <v/>
      </c>
      <c r="G4" s="73">
        <f>IFERROR(SUMPRODUCT((rArea=$A4)*rPeso*rS1),0)</f>
        <v/>
      </c>
      <c r="H4" s="73">
        <f>IFERROR(SUMPRODUCT((rArea=$A4)*rPeso*(rS2+(rS2="")*rS1)),0)</f>
        <v/>
      </c>
      <c r="I4" s="73">
        <f>IFERROR(SUMPRODUCT((rArea=$A4)*rPeso*(rS3+(rS3="")*(rS2+(rS2="")*rS1))),0)</f>
        <v/>
      </c>
      <c r="J4" s="73">
        <f>IFERROR(SUMPRODUCT((rArea=$A4)*rPeso*(rS4+(rS4="")*(rS3+(rS3="")*(rS2+(rS2="")*rS1)))),0)</f>
        <v/>
      </c>
      <c r="K4">
        <f>IF(ROUND(G4,4)&gt;=1,1,IF(ROUND(H4,4)&gt;=1,2,IF(ROUND(I4,4)&gt;=1,3,IF(ROUND(J4,4)&gt;=1,4,""))))</f>
        <v/>
      </c>
      <c r="L4">
        <f>AND(E4,ROUND(F4,4)&gt;=1)</f>
        <v/>
      </c>
      <c r="M4">
        <f>AND(L4,MIN(IF(K4="",4,K4),SemanaActual)&lt;4)</f>
        <v/>
      </c>
      <c r="N4">
        <f>COUNTIFS(rArea,$A4,rEstado,"Completado")</f>
        <v/>
      </c>
      <c r="O4">
        <f>COUNTIFS(rArea,$A4,rEstado,"En curso")</f>
        <v/>
      </c>
      <c r="P4">
        <f>COUNTIFS(rArea,$A4,rEstado,"Pendiente")</f>
        <v/>
      </c>
      <c r="Q4">
        <f>SUMPRODUCT((rArea=$A4)*ISNUMBER(SEARCH("Vencida",rValid)))</f>
        <v/>
      </c>
      <c r="R4">
        <f>SUMPRODUCT((rArea=$A4)*(LEFT(rValid,1)="⚠"))</f>
        <v/>
      </c>
    </row>
    <row r="5">
      <c r="A5">
        <f>INDEX(ListaPuestos,2)</f>
        <v/>
      </c>
      <c r="B5">
        <f>COUNTIFS(rArea,$A5)</f>
        <v/>
      </c>
      <c r="C5" s="73">
        <f>SUMIFS(rPeso,rArea,$A5)</f>
        <v/>
      </c>
      <c r="D5" s="73">
        <f>COUNTIFS(rArea,$A5,rPeso,"")+COUNTIFS(rArea,$A5,rPeso,"&lt;=0")+COUNTIFS(rArea,$A5,rPeso,"&gt;1")</f>
        <v/>
      </c>
      <c r="E5">
        <f>AND(B5&gt;0,D5=0,ABS(C5-1)&lt;=0.0001)</f>
        <v/>
      </c>
      <c r="F5" s="73">
        <f>IFERROR(SUMPRODUCT(--(rArea=$A5),rPeso,rAvance),0)</f>
        <v/>
      </c>
      <c r="G5" s="73">
        <f>IFERROR(SUMPRODUCT((rArea=$A5)*rPeso*rS1),0)</f>
        <v/>
      </c>
      <c r="H5" s="73">
        <f>IFERROR(SUMPRODUCT((rArea=$A5)*rPeso*(rS2+(rS2="")*rS1)),0)</f>
        <v/>
      </c>
      <c r="I5" s="73">
        <f>IFERROR(SUMPRODUCT((rArea=$A5)*rPeso*(rS3+(rS3="")*(rS2+(rS2="")*rS1))),0)</f>
        <v/>
      </c>
      <c r="J5" s="73">
        <f>IFERROR(SUMPRODUCT((rArea=$A5)*rPeso*(rS4+(rS4="")*(rS3+(rS3="")*(rS2+(rS2="")*rS1)))),0)</f>
        <v/>
      </c>
      <c r="K5">
        <f>IF(ROUND(G5,4)&gt;=1,1,IF(ROUND(H5,4)&gt;=1,2,IF(ROUND(I5,4)&gt;=1,3,IF(ROUND(J5,4)&gt;=1,4,""))))</f>
        <v/>
      </c>
      <c r="L5">
        <f>AND(E5,ROUND(F5,4)&gt;=1)</f>
        <v/>
      </c>
      <c r="M5">
        <f>AND(L5,MIN(IF(K5="",4,K5),SemanaActual)&lt;4)</f>
        <v/>
      </c>
      <c r="N5">
        <f>COUNTIFS(rArea,$A5,rEstado,"Completado")</f>
        <v/>
      </c>
      <c r="O5">
        <f>COUNTIFS(rArea,$A5,rEstado,"En curso")</f>
        <v/>
      </c>
      <c r="P5">
        <f>COUNTIFS(rArea,$A5,rEstado,"Pendiente")</f>
        <v/>
      </c>
      <c r="Q5">
        <f>SUMPRODUCT((rArea=$A5)*ISNUMBER(SEARCH("Vencida",rValid)))</f>
        <v/>
      </c>
      <c r="R5">
        <f>SUMPRODUCT((rArea=$A5)*(LEFT(rValid,1)="⚠"))</f>
        <v/>
      </c>
    </row>
    <row r="6">
      <c r="A6">
        <f>INDEX(ListaPuestos,3)</f>
        <v/>
      </c>
      <c r="B6">
        <f>COUNTIFS(rArea,$A6)</f>
        <v/>
      </c>
      <c r="C6" s="73">
        <f>SUMIFS(rPeso,rArea,$A6)</f>
        <v/>
      </c>
      <c r="D6" s="73">
        <f>COUNTIFS(rArea,$A6,rPeso,"")+COUNTIFS(rArea,$A6,rPeso,"&lt;=0")+COUNTIFS(rArea,$A6,rPeso,"&gt;1")</f>
        <v/>
      </c>
      <c r="E6">
        <f>AND(B6&gt;0,D6=0,ABS(C6-1)&lt;=0.0001)</f>
        <v/>
      </c>
      <c r="F6" s="73">
        <f>IFERROR(SUMPRODUCT(--(rArea=$A6),rPeso,rAvance),0)</f>
        <v/>
      </c>
      <c r="G6" s="73">
        <f>IFERROR(SUMPRODUCT((rArea=$A6)*rPeso*rS1),0)</f>
        <v/>
      </c>
      <c r="H6" s="73">
        <f>IFERROR(SUMPRODUCT((rArea=$A6)*rPeso*(rS2+(rS2="")*rS1)),0)</f>
        <v/>
      </c>
      <c r="I6" s="73">
        <f>IFERROR(SUMPRODUCT((rArea=$A6)*rPeso*(rS3+(rS3="")*(rS2+(rS2="")*rS1))),0)</f>
        <v/>
      </c>
      <c r="J6" s="73">
        <f>IFERROR(SUMPRODUCT((rArea=$A6)*rPeso*(rS4+(rS4="")*(rS3+(rS3="")*(rS2+(rS2="")*rS1)))),0)</f>
        <v/>
      </c>
      <c r="K6">
        <f>IF(ROUND(G6,4)&gt;=1,1,IF(ROUND(H6,4)&gt;=1,2,IF(ROUND(I6,4)&gt;=1,3,IF(ROUND(J6,4)&gt;=1,4,""))))</f>
        <v/>
      </c>
      <c r="L6">
        <f>AND(E6,ROUND(F6,4)&gt;=1)</f>
        <v/>
      </c>
      <c r="M6">
        <f>AND(L6,MIN(IF(K6="",4,K6),SemanaActual)&lt;4)</f>
        <v/>
      </c>
      <c r="N6">
        <f>COUNTIFS(rArea,$A6,rEstado,"Completado")</f>
        <v/>
      </c>
      <c r="O6">
        <f>COUNTIFS(rArea,$A6,rEstado,"En curso")</f>
        <v/>
      </c>
      <c r="P6">
        <f>COUNTIFS(rArea,$A6,rEstado,"Pendiente")</f>
        <v/>
      </c>
      <c r="Q6">
        <f>SUMPRODUCT((rArea=$A6)*ISNUMBER(SEARCH("Vencida",rValid)))</f>
        <v/>
      </c>
      <c r="R6">
        <f>SUMPRODUCT((rArea=$A6)*(LEFT(rValid,1)="⚠"))</f>
        <v/>
      </c>
    </row>
    <row r="7">
      <c r="A7">
        <f>INDEX(ListaPuestos,4)</f>
        <v/>
      </c>
      <c r="B7">
        <f>COUNTIFS(rArea,$A7)</f>
        <v/>
      </c>
      <c r="C7" s="73">
        <f>SUMIFS(rPeso,rArea,$A7)</f>
        <v/>
      </c>
      <c r="D7" s="73">
        <f>COUNTIFS(rArea,$A7,rPeso,"")+COUNTIFS(rArea,$A7,rPeso,"&lt;=0")+COUNTIFS(rArea,$A7,rPeso,"&gt;1")</f>
        <v/>
      </c>
      <c r="E7">
        <f>AND(B7&gt;0,D7=0,ABS(C7-1)&lt;=0.0001)</f>
        <v/>
      </c>
      <c r="F7" s="73">
        <f>IFERROR(SUMPRODUCT(--(rArea=$A7),rPeso,rAvance),0)</f>
        <v/>
      </c>
      <c r="G7" s="73">
        <f>IFERROR(SUMPRODUCT((rArea=$A7)*rPeso*rS1),0)</f>
        <v/>
      </c>
      <c r="H7" s="73">
        <f>IFERROR(SUMPRODUCT((rArea=$A7)*rPeso*(rS2+(rS2="")*rS1)),0)</f>
        <v/>
      </c>
      <c r="I7" s="73">
        <f>IFERROR(SUMPRODUCT((rArea=$A7)*rPeso*(rS3+(rS3="")*(rS2+(rS2="")*rS1))),0)</f>
        <v/>
      </c>
      <c r="J7" s="73">
        <f>IFERROR(SUMPRODUCT((rArea=$A7)*rPeso*(rS4+(rS4="")*(rS3+(rS3="")*(rS2+(rS2="")*rS1)))),0)</f>
        <v/>
      </c>
      <c r="K7">
        <f>IF(ROUND(G7,4)&gt;=1,1,IF(ROUND(H7,4)&gt;=1,2,IF(ROUND(I7,4)&gt;=1,3,IF(ROUND(J7,4)&gt;=1,4,""))))</f>
        <v/>
      </c>
      <c r="L7">
        <f>AND(E7,ROUND(F7,4)&gt;=1)</f>
        <v/>
      </c>
      <c r="M7">
        <f>AND(L7,MIN(IF(K7="",4,K7),SemanaActual)&lt;4)</f>
        <v/>
      </c>
      <c r="N7">
        <f>COUNTIFS(rArea,$A7,rEstado,"Completado")</f>
        <v/>
      </c>
      <c r="O7">
        <f>COUNTIFS(rArea,$A7,rEstado,"En curso")</f>
        <v/>
      </c>
      <c r="P7">
        <f>COUNTIFS(rArea,$A7,rEstado,"Pendiente")</f>
        <v/>
      </c>
      <c r="Q7">
        <f>SUMPRODUCT((rArea=$A7)*ISNUMBER(SEARCH("Vencida",rValid)))</f>
        <v/>
      </c>
      <c r="R7">
        <f>SUMPRODUCT((rArea=$A7)*(LEFT(rValid,1)="⚠"))</f>
        <v/>
      </c>
    </row>
    <row r="8">
      <c r="A8" t="inlineStr">
        <is>
          <t>Proyecto (promedio de 4 puestos)</t>
        </is>
      </c>
      <c r="B8">
        <f>SUM(B4:B7)</f>
        <v/>
      </c>
      <c r="C8" s="74">
        <f>COUNTIF(E4:E7,TRUE)</f>
        <v/>
      </c>
      <c r="D8" s="73">
        <f>IF(C8&gt;0,SUMPRODUCT(F4:F7*(E4:E7=TRUE))/C8,"")</f>
        <v/>
      </c>
      <c r="E8">
        <f>AND(E4,E5,E6,E7)</f>
        <v/>
      </c>
      <c r="F8" s="73">
        <f>IF(E8,AVERAGE(F4:F7),"")</f>
        <v/>
      </c>
      <c r="G8" s="73">
        <f>IF($E$8,AVERAGE(G4:G7),"")</f>
        <v/>
      </c>
      <c r="H8" s="73">
        <f>IF($E$8,AVERAGE(H4:H7),"")</f>
        <v/>
      </c>
      <c r="I8" s="73">
        <f>IF($E$8,AVERAGE(I4:I7),"")</f>
        <v/>
      </c>
      <c r="J8" s="73">
        <f>IF($E$8,AVERAGE(J4:J7),"")</f>
        <v/>
      </c>
      <c r="K8">
        <f>IF(NOT(E8),"",IF(ROUND(G8,4)&gt;=1,1,IF(ROUND(H8,4)&gt;=1,2,IF(ROUND(I8,4)&gt;=1,3,IF(ROUND(J8,4)&gt;=1,4,"")))))</f>
        <v/>
      </c>
      <c r="L8">
        <f>AND(E8,ROUND(N(F8),4)&gt;=1)</f>
        <v/>
      </c>
      <c r="M8">
        <f>AND(L8,MIN(IF(K8="",4,K8),SemanaActual)&lt;4)</f>
        <v/>
      </c>
      <c r="N8">
        <f>COUNTIF(rEstado,"Completado")</f>
        <v/>
      </c>
      <c r="O8">
        <f>COUNTIF(rEstado,"En curso")</f>
        <v/>
      </c>
      <c r="P8">
        <f>COUNTIF(rEstado,"Pendiente")</f>
        <v/>
      </c>
      <c r="Q8">
        <f>SUMPRODUCT(--ISNUMBER(SEARCH("Vencida",rValid)))</f>
        <v/>
      </c>
      <c r="R8">
        <f>SUMPRODUCT(--(LEFT(rValid,1)="⚠"))</f>
        <v/>
      </c>
    </row>
    <row r="9">
      <c r="A9" s="55" t="inlineStr">
        <is>
          <t>Fila 8: C = n° puestos válidos; D = avance provisional (promedio solo de puestos válidos).</t>
        </is>
      </c>
    </row>
    <row r="10">
      <c r="A10" t="inlineStr">
        <is>
          <t>Semana visible en seguimiento</t>
        </is>
      </c>
      <c r="G10">
        <f>OR(1&lt;=SemanaActual,COUNT(rS1)&gt;0)</f>
        <v/>
      </c>
      <c r="H10">
        <f>OR(2&lt;=SemanaActual,COUNT(rS2)&gt;0)</f>
        <v/>
      </c>
      <c r="I10">
        <f>OR(3&lt;=SemanaActual,COUNT(rS3)&gt;0)</f>
        <v/>
      </c>
      <c r="J10">
        <f>OR(4&lt;=SemanaActual,COUNT(rS4)&gt;0)</f>
        <v/>
      </c>
    </row>
    <row r="11">
      <c r="A11" t="inlineStr">
        <is>
          <t>Total registros</t>
        </is>
      </c>
      <c r="B11">
        <f>SUMPRODUCT(--(LEN(rValid)&gt;0))</f>
        <v/>
      </c>
    </row>
    <row r="12">
      <c r="A12" t="inlineStr">
        <is>
          <t>Puestos al 100%</t>
        </is>
      </c>
      <c r="B12">
        <f>COUNTIF(L4:L7,TRUE)</f>
        <v/>
      </c>
    </row>
    <row r="13">
      <c r="A13" t="inlineStr">
        <is>
          <t>Próximas a vencer</t>
        </is>
      </c>
      <c r="B13">
        <f>COUNTIFS(rFLim,"&gt;="&amp;FechaRef,rFLim,"&lt;="&amp;(FechaRef+DiasAlerta),rAvance,"&lt;1")</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2026-10-09T15:49:39Z</dcterms:created>
  <dcterms:modified xmlns:dcterms="http://purl.org/dc/terms/" xmlns:xsi="http://www.w3.org/2001/XMLSchema-instance" xsi:type="dcterms:W3CDTF">2026-10-09T15:49:39Z</dcterms:modified>
</cp:coreProperties>
</file>