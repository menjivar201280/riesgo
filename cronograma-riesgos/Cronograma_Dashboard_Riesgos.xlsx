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Historial mensual" sheetId="2" state="visible" r:id="rId2"/>
    <sheet xmlns:r="http://schemas.openxmlformats.org/officeDocument/2006/relationships" name="Cronograma R. Operacional" sheetId="3" state="visible" r:id="rId3"/>
    <sheet xmlns:r="http://schemas.openxmlformats.org/officeDocument/2006/relationships" name="Actividades R. Operacional" sheetId="4" state="visible" r:id="rId4"/>
    <sheet xmlns:r="http://schemas.openxmlformats.org/officeDocument/2006/relationships" name="Cronograma R. Normativo" sheetId="5" state="visible" r:id="rId5"/>
    <sheet xmlns:r="http://schemas.openxmlformats.org/officeDocument/2006/relationships" name="Actividades R. Normativo" sheetId="6" state="visible" r:id="rId6"/>
    <sheet xmlns:r="http://schemas.openxmlformats.org/officeDocument/2006/relationships" name="Cronograma R. Financiero" sheetId="7" state="visible" r:id="rId7"/>
    <sheet xmlns:r="http://schemas.openxmlformats.org/officeDocument/2006/relationships" name="Actividades R. Financiero" sheetId="8" state="visible" r:id="rId8"/>
    <sheet xmlns:r="http://schemas.openxmlformats.org/officeDocument/2006/relationships" name="Cronograma Asistente Técnico" sheetId="9" state="visible" r:id="rId9"/>
    <sheet xmlns:r="http://schemas.openxmlformats.org/officeDocument/2006/relationships" name="Actividades Asistente Técnico" sheetId="10" state="visible" r:id="rId10"/>
    <sheet xmlns:r="http://schemas.openxmlformats.org/officeDocument/2006/relationships" name="Instrucciones" sheetId="11" state="visible" r:id="rId11"/>
    <sheet xmlns:r="http://schemas.openxmlformats.org/officeDocument/2006/relationships" name="Configuración" sheetId="12" state="visible" r:id="rId12"/>
    <sheet xmlns:r="http://schemas.openxmlformats.org/officeDocument/2006/relationships" name="Calculos" sheetId="13" state="hidden" r:id="rId13"/>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Operacional'!$E$5:$E$1000</definedName>
    <definedName name="rPeso_RO">'Cronograma R. Operacional'!$F$5:$F$1000</definedName>
    <definedName name="rS1_RO">'Cronograma R. Operacional'!$G$5:$G$1000</definedName>
    <definedName name="rS2_RO">'Cronograma R. Operacional'!$H$5:$H$1000</definedName>
    <definedName name="rS3_RO">'Cronograma R. Operacional'!$I$5:$I$1000</definedName>
    <definedName name="rS4_RO">'Cronograma R. Operacional'!$J$5:$J$1000</definedName>
    <definedName name="rAvance_RO">'Cronograma R. Operacional'!$K$5:$K$1000</definedName>
    <definedName name="rEstado_RO">'Cronograma R. Operacional'!$L$5:$L$1000</definedName>
    <definedName name="rValid_RO">'Cronograma R. Operacional'!$N$5:$N$1000</definedName>
    <definedName name="rMes_RO">'Cronograma R. Operacional'!$O$5:$O$1000</definedName>
    <definedName name="rOrden_RO">'Cronograma R. Operacional'!$P$5:$P$1000</definedName>
    <definedName name="rFLim_RN">'Cronograma R. Normativo'!$E$5:$E$1000</definedName>
    <definedName name="rPeso_RN">'Cronograma R. Normativo'!$F$5:$F$1000</definedName>
    <definedName name="rS1_RN">'Cronograma R. Normativo'!$G$5:$G$1000</definedName>
    <definedName name="rS2_RN">'Cronograma R. Normativo'!$H$5:$H$1000</definedName>
    <definedName name="rS3_RN">'Cronograma R. Normativo'!$I$5:$I$1000</definedName>
    <definedName name="rS4_RN">'Cronograma R. Normativo'!$J$5:$J$1000</definedName>
    <definedName name="rAvance_RN">'Cronograma R. Normativo'!$K$5:$K$1000</definedName>
    <definedName name="rEstado_RN">'Cronograma R. Normativo'!$L$5:$L$1000</definedName>
    <definedName name="rValid_RN">'Cronograma R. Normativo'!$N$5:$N$1000</definedName>
    <definedName name="rMes_RN">'Cronograma R. Normativo'!$O$5:$O$1000</definedName>
    <definedName name="rOrden_RN">'Cronograma R. Normativo'!$P$5:$P$1000</definedName>
    <definedName name="rFLim_RF">'Cronograma R. Financiero'!$E$5:$E$1000</definedName>
    <definedName name="rPeso_RF">'Cronograma R. Financiero'!$F$5:$F$1000</definedName>
    <definedName name="rS1_RF">'Cronograma R. Financiero'!$G$5:$G$1000</definedName>
    <definedName name="rS2_RF">'Cronograma R. Financiero'!$H$5:$H$1000</definedName>
    <definedName name="rS3_RF">'Cronograma R. Financiero'!$I$5:$I$1000</definedName>
    <definedName name="rS4_RF">'Cronograma R. Financiero'!$J$5:$J$1000</definedName>
    <definedName name="rAvance_RF">'Cronograma R. Financiero'!$K$5:$K$1000</definedName>
    <definedName name="rEstado_RF">'Cronograma R. Financiero'!$L$5:$L$1000</definedName>
    <definedName name="rValid_RF">'Cronograma R. Financiero'!$N$5:$N$1000</definedName>
    <definedName name="rMes_RF">'Cronograma R. Financiero'!$O$5:$O$1000</definedName>
    <definedName name="rOrden_RF">'Cronograma R. Financiero'!$P$5:$P$1000</definedName>
    <definedName name="rFLim_ATR">'Cronograma Asistente Técnico'!$E$5:$E$1000</definedName>
    <definedName name="rPeso_ATR">'Cronograma Asistente Técnico'!$F$5:$F$1000</definedName>
    <definedName name="rS1_ATR">'Cronograma Asistente Técnico'!$G$5:$G$1000</definedName>
    <definedName name="rS2_ATR">'Cronograma Asistente Técnico'!$H$5:$H$1000</definedName>
    <definedName name="rS3_ATR">'Cronograma Asistente Técnico'!$I$5:$I$1000</definedName>
    <definedName name="rS4_ATR">'Cronograma Asistente Técnico'!$J$5:$J$1000</definedName>
    <definedName name="rAvance_ATR">'Cronograma Asistente Técnico'!$K$5:$K$1000</definedName>
    <definedName name="rEstado_ATR">'Cronograma Asistente Técnico'!$L$5:$L$1000</definedName>
    <definedName name="rValid_ATR">'Cronograma Asistente Técnico'!$N$5:$N$1000</definedName>
    <definedName name="rMes_ATR">'Cronograma Asistente Técnico'!$O$5:$O$1000</definedName>
    <definedName name="rOrden_ATR">'Cronograma Asistente Técnico'!$P$5:$P$1000</definedName>
    <definedName name="hSemana_RO">'Actividades R. Operacional'!$F$5:$F$104</definedName>
    <definedName name="hEstado_RO">'Actividades R. Operacional'!$L$5:$L$104</definedName>
    <definedName name="hSemana_RN">'Actividades R. Normativo'!$F$5:$F$104</definedName>
    <definedName name="hEstado_RN">'Actividades R. Normativo'!$L$5:$L$104</definedName>
    <definedName name="hSemana_RF">'Actividades R. Financiero'!$F$5:$F$104</definedName>
    <definedName name="hEstado_RF">'Actividades R. Financiero'!$L$5:$L$104</definedName>
    <definedName name="hSemana_ATR">'Actividades Asistente Técnico'!$F$5:$F$104</definedName>
    <definedName name="hEstado_ATR">'Actividades Asistente Técnico'!$L$5:$L$104</definedName>
    <definedName name="MesCiclo">'Calculos'!$B$15</definedName>
    <definedName name="_xlnm.Print_Titles" localSheetId="0">'Dashboard - Consolidado'!$1:$2</definedName>
    <definedName name="_xlnm.Print_Area" localSheetId="0">'Dashboard - Consolidado'!$A$1:$N$74</definedName>
    <definedName name="_xlnm.Print_Titles" localSheetId="2">'Cronograma R. Operacional'!$4:$4</definedName>
    <definedName name="_xlnm.Print_Area" localSheetId="2">'Cronograma R. Operacional'!$A$1:$O$304</definedName>
    <definedName name="_xlnm.Print_Titles" localSheetId="3">'Actividades R. Operacional'!$4:$4</definedName>
    <definedName name="_xlnm.Print_Area" localSheetId="3">'Actividades R. Operacional'!$A$1:$M$104</definedName>
    <definedName name="_xlnm.Print_Titles" localSheetId="4">'Cronograma R. Normativo'!$4:$4</definedName>
    <definedName name="_xlnm.Print_Area" localSheetId="4">'Cronograma R. Normativo'!$A$1:$O$304</definedName>
    <definedName name="_xlnm.Print_Titles" localSheetId="5">'Actividades R. Normativo'!$4:$4</definedName>
    <definedName name="_xlnm.Print_Area" localSheetId="5">'Actividades R. Normativo'!$A$1:$M$104</definedName>
    <definedName name="_xlnm.Print_Titles" localSheetId="6">'Cronograma R. Financiero'!$4:$4</definedName>
    <definedName name="_xlnm.Print_Area" localSheetId="6">'Cronograma R. Financiero'!$A$1:$O$304</definedName>
    <definedName name="_xlnm.Print_Titles" localSheetId="7">'Actividades R. Financiero'!$4:$4</definedName>
    <definedName name="_xlnm.Print_Area" localSheetId="7">'Actividades R. Financiero'!$A$1:$M$104</definedName>
    <definedName name="_xlnm.Print_Titles" localSheetId="8">'Cronograma Asistente Técnico'!$4:$4</definedName>
    <definedName name="_xlnm.Print_Area" localSheetId="8">'Cronograma Asistente Técnico'!$A$1:$O$304</definedName>
    <definedName name="_xlnm.Print_Titles" localSheetId="9">'Actividades Asistente Técnico'!$4:$4</definedName>
    <definedName name="_xlnm.Print_Area" localSheetId="9">'Actividades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0.0%"/>
    <numFmt numFmtId="169" formatCode="dd/mm"/>
    <numFmt numFmtId="170" formatCode="0&quot; de 4&quot;"/>
    <numFmt numFmtId="171" formatCode="0%;;&quot;&quot;"/>
    <numFmt numFmtId="172" formatCode="+0%;-0%;0%"/>
  </numFmts>
  <fonts count="27">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i val="1"/>
      <color rgb="001F3864"/>
      <sz val="8"/>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1">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7030A0"/>
        <bgColor rgb="007030A0"/>
      </patternFill>
    </fill>
    <fill>
      <patternFill patternType="solid">
        <fgColor rgb="00548235"/>
        <bgColor rgb="00548235"/>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02">
    <xf numFmtId="0" fontId="0" fillId="0" borderId="0" pivotButton="0" quotePrefix="0" xfId="0"/>
    <xf numFmtId="0" fontId="16" fillId="2" borderId="0" applyAlignment="1" pivotButton="0" quotePrefix="0" xfId="0">
      <alignment horizontal="left" vertical="center" wrapText="1"/>
    </xf>
    <xf numFmtId="0" fontId="5" fillId="0" borderId="0" applyAlignment="1" pivotButton="0" quotePrefix="0" xfId="0">
      <alignment horizontal="right" vertical="center"/>
    </xf>
    <xf numFmtId="164" fontId="17" fillId="7" borderId="1" applyAlignment="1" pivotButton="0" quotePrefix="0" xfId="0">
      <alignment horizontal="center" vertical="center" wrapText="1"/>
    </xf>
    <xf numFmtId="170" fontId="17" fillId="7" borderId="1" applyAlignment="1" pivotButton="0" quotePrefix="0" xfId="0">
      <alignment horizontal="center" vertical="center" wrapText="1"/>
    </xf>
    <xf numFmtId="165" fontId="17" fillId="7" borderId="1" applyAlignment="1" pivotButton="0" quotePrefix="0" xfId="0">
      <alignment horizontal="center" vertical="center" wrapText="1"/>
    </xf>
    <xf numFmtId="0" fontId="18"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19" fillId="10" borderId="1" applyAlignment="1" pivotButton="0" quotePrefix="0" xfId="0">
      <alignment horizontal="center" vertical="center" wrapText="1"/>
    </xf>
    <xf numFmtId="0" fontId="19" fillId="10" borderId="1" applyAlignment="1" pivotButton="0" quotePrefix="0" xfId="0">
      <alignment horizontal="center" vertical="center" wrapText="1"/>
    </xf>
    <xf numFmtId="1" fontId="19" fillId="10" borderId="1" applyAlignment="1" pivotButton="0" quotePrefix="0" xfId="0">
      <alignment horizontal="center" vertical="center" wrapText="1"/>
    </xf>
    <xf numFmtId="0" fontId="9" fillId="7" borderId="1" applyAlignment="1" pivotButton="0" quotePrefix="0" xfId="0">
      <alignment horizontal="center" vertical="center" wrapText="1"/>
    </xf>
    <xf numFmtId="170" fontId="19" fillId="10"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7" fillId="0" borderId="1" applyAlignment="1" pivotButton="0" quotePrefix="0" xfId="0">
      <alignment horizontal="center" vertical="center" wrapText="1"/>
    </xf>
    <xf numFmtId="0" fontId="20"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1"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8"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2"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4" fillId="3" borderId="1" applyAlignment="1" pivotButton="0" quotePrefix="0" xfId="0">
      <alignment horizontal="center" vertical="center" wrapText="1"/>
    </xf>
    <xf numFmtId="0" fontId="11"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3" fillId="10" borderId="1" applyAlignment="1" pivotButton="0" quotePrefix="0" xfId="0">
      <alignment horizontal="left" vertical="center" wrapText="1"/>
    </xf>
    <xf numFmtId="9" fontId="23" fillId="10" borderId="1" applyAlignment="1" pivotButton="0" quotePrefix="0" xfId="0">
      <alignment horizontal="center" vertical="center" wrapText="1"/>
    </xf>
    <xf numFmtId="172" fontId="5" fillId="10" borderId="1" applyAlignment="1" pivotButton="0" quotePrefix="0" xfId="0">
      <alignment horizontal="center" vertical="center" wrapText="1"/>
    </xf>
    <xf numFmtId="0" fontId="5" fillId="10" borderId="1" applyAlignment="1" pivotButton="0" quotePrefix="0" xfId="0">
      <alignment horizontal="center" vertical="center" wrapText="1"/>
    </xf>
    <xf numFmtId="0" fontId="24" fillId="10" borderId="1" applyAlignment="1" pivotButton="0" quotePrefix="0" xfId="0">
      <alignment horizontal="left" vertical="center" wrapText="1"/>
    </xf>
    <xf numFmtId="9" fontId="24" fillId="10" borderId="1" applyAlignment="1" pivotButton="0" quotePrefix="0" xfId="0">
      <alignment horizontal="center" vertical="center" wrapText="1"/>
    </xf>
    <xf numFmtId="0" fontId="25"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 fillId="2" borderId="0" applyAlignment="1" pivotButton="0" quotePrefix="0" xfId="0">
      <alignment horizontal="left" vertical="center" wrapText="1"/>
    </xf>
    <xf numFmtId="0" fontId="9" fillId="7" borderId="0" applyAlignment="1" pivotButton="0" quotePrefix="0" xfId="0">
      <alignment horizontal="left" vertical="center" wrapText="1"/>
    </xf>
    <xf numFmtId="0" fontId="14"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0" borderId="0" applyAlignment="1" pivotButton="0" quotePrefix="0" xfId="0">
      <alignment horizontal="right" vertical="center"/>
    </xf>
    <xf numFmtId="168" fontId="5" fillId="0" borderId="1" applyAlignment="1" pivotButton="0" quotePrefix="0" xfId="0">
      <alignment horizontal="center" vertical="center" wrapText="1"/>
    </xf>
    <xf numFmtId="0" fontId="12"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168"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11" fillId="7" borderId="0" applyAlignment="1" pivotButton="0" quotePrefix="0" xfId="0">
      <alignment horizontal="left" vertical="center" wrapText="1"/>
    </xf>
    <xf numFmtId="0" fontId="11" fillId="0" borderId="0" pivotButton="0" quotePrefix="0" xfId="0"/>
    <xf numFmtId="164" fontId="5" fillId="7" borderId="0" applyAlignment="1" pivotButton="0" quotePrefix="0" xfId="0">
      <alignment horizontal="left" vertical="center" wrapText="1"/>
    </xf>
    <xf numFmtId="0" fontId="13" fillId="0" borderId="0" applyAlignment="1" pivotButton="0" quotePrefix="0" xfId="0">
      <alignment horizontal="right" vertical="center"/>
    </xf>
    <xf numFmtId="169" fontId="13"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8" borderId="0" applyAlignment="1" pivotButton="0" quotePrefix="0" xfId="0">
      <alignment horizontal="left" vertical="center" wrapText="1"/>
    </xf>
    <xf numFmtId="0" fontId="1" fillId="9" borderId="0" applyAlignment="1" pivotButton="0" quotePrefix="0" xfId="0">
      <alignment horizontal="left" vertical="center" wrapText="1"/>
    </xf>
    <xf numFmtId="0" fontId="1" fillId="3" borderId="0" applyAlignment="1" pivotButton="0" quotePrefix="0" xfId="0">
      <alignment horizontal="left" vertical="center" wrapText="1"/>
    </xf>
    <xf numFmtId="0" fontId="26"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2" fillId="0" borderId="0" pivotButton="0" quotePrefix="0" xfId="0"/>
    <xf numFmtId="0" fontId="14" fillId="2" borderId="0" applyAlignment="1" pivotButton="0" quotePrefix="0" xfId="0">
      <alignment horizontal="center" vertical="center" wrapText="1"/>
    </xf>
    <xf numFmtId="168" fontId="0" fillId="0" borderId="0" pivotButton="0" quotePrefix="0" xfId="0"/>
    <xf numFmtId="1" fontId="0" fillId="0" borderId="0" pivotButton="0" quotePrefix="0" xfId="0"/>
    <xf numFmtId="0" fontId="15" fillId="0" borderId="0" pivotButton="0" quotePrefix="0" xfId="0"/>
    <xf numFmtId="164" fontId="0" fillId="0" borderId="0" pivotButton="0" quotePrefix="0" xfId="0"/>
  </cellXfs>
  <cellStyles count="1">
    <cellStyle name="Normal" xfId="0" builtinId="0" hidden="0"/>
  </cellStyles>
  <dxfs count="15">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color rgb="001F3864"/>
      </font>
      <fill>
        <patternFill patternType="solid">
          <fgColor rgb="00BDD7EE"/>
          <bgColor rgb="00BDD7EE"/>
        </patternFill>
      </fill>
    </dxf>
    <dxf>
      <font>
        <i val="1"/>
        <color rgb="007F7F7F"/>
      </font>
    </dxf>
    <dxf>
      <font>
        <b val="1"/>
        <color rgb="00006100"/>
      </font>
    </dxf>
    <dxf>
      <font>
        <b val="1"/>
        <color rgb="00FFFFFF"/>
      </font>
      <fill>
        <patternFill patternType="solid">
          <fgColor rgb="00C55A11"/>
          <bgColor rgb="00C55A11"/>
        </patternFill>
      </fill>
    </dxf>
    <dxf>
      <font>
        <b val="1"/>
        <color rgb="00FFFFFF"/>
      </font>
      <fill>
        <patternFill patternType="solid">
          <fgColor rgb="007030A0"/>
          <bgColor rgb="007030A0"/>
        </patternFill>
      </fill>
    </dxf>
    <dxf>
      <font>
        <b val="1"/>
        <color rgb="00FFFFFF"/>
      </font>
      <fill>
        <patternFill patternType="solid">
          <fgColor rgb="00548235"/>
          <bgColor rgb="00548235"/>
        </patternFill>
      </fill>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Avance ponderado por puesto</a:t>
            </a:r>
          </a:p>
        </rich>
      </tx>
    </title>
    <plotArea>
      <barChart>
        <barDir val="bar"/>
        <grouping val="clustered"/>
        <ser>
          <idx val="0"/>
          <order val="0"/>
          <spPr>
            <a:solidFill xmlns:a="http://schemas.openxmlformats.org/drawingml/2006/main">
              <a:srgbClr val="2E75B6"/>
            </a:solidFill>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Consolidado'!$B$16:$B$19</f>
            </numRef>
          </cat>
          <val>
            <numRef>
              <f>'Dashboard - Consolidado'!$D$16:$D$19</f>
            </numRef>
          </val>
        </ser>
        <dLbls>
          <numFmt formatCode="0%"/>
          <showLegendKey val="0"/>
          <showVal val="1"/>
          <showCatName val="0"/>
          <showSerName val="0"/>
          <showPercent val="0"/>
        </dLbls>
        <gapWidth val="15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general acumulado vs plan de referencia</a:t>
            </a:r>
          </a:p>
        </rich>
      </tx>
    </title>
    <plotArea>
      <barChart>
        <barDir val="col"/>
        <grouping val="clustered"/>
        <ser>
          <idx val="0"/>
          <order val="0"/>
          <tx>
            <strRef>
              <f>'Dashboard - Consolidado'!B29</f>
            </strRef>
          </tx>
          <spPr>
            <a:solidFill xmlns:a="http://schemas.openxmlformats.org/drawingml/2006/main">
              <a:srgbClr val="1F3864"/>
            </a:solidFill>
            <a:ln xmlns:a="http://schemas.openxmlformats.org/drawingml/2006/main">
              <a:prstDash val="solid"/>
            </a:ln>
          </spPr>
          <cat>
            <numRef>
              <f>'Dashboard - Consolidado'!$C$24:$F$24</f>
            </numRef>
          </cat>
          <val>
            <numRef>
              <f>'Dashboard - Consolidado'!$C$29:$F$29</f>
            </numRef>
          </val>
        </ser>
        <ser>
          <idx val="1"/>
          <order val="1"/>
          <tx>
            <strRef>
              <f>'Dashboard - Consolidado'!B30</f>
            </strRef>
          </tx>
          <spPr>
            <a:solidFill xmlns:a="http://schemas.openxmlformats.org/drawingml/2006/main">
              <a:srgbClr val="BFBFBF"/>
            </a:solidFill>
            <a:ln xmlns:a="http://schemas.openxmlformats.org/drawingml/2006/main">
              <a:prstDash val="solid"/>
            </a:ln>
          </spPr>
          <cat>
            <numRef>
              <f>'Dashboard - Consolidado'!$C$24:$F$24</f>
            </numRef>
          </cat>
          <val>
            <numRef>
              <f>'Dashboard - Consolidado'!$C$30:$F$30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de las actividades por mes y puesto</a:t>
            </a:r>
          </a:p>
        </rich>
      </tx>
    </title>
    <plotArea>
      <barChart>
        <barDir val="col"/>
        <grouping val="clustered"/>
        <ser>
          <idx val="0"/>
          <order val="0"/>
          <tx>
            <strRef>
              <f>'Historial mensual'!M5</f>
            </strRef>
          </tx>
          <spPr>
            <a:solidFill xmlns:a="http://schemas.openxmlformats.org/drawingml/2006/main">
              <a:srgbClr val="C55A11"/>
            </a:solidFill>
            <a:ln xmlns:a="http://schemas.openxmlformats.org/drawingml/2006/main">
              <a:prstDash val="solid"/>
            </a:ln>
          </spPr>
          <cat>
            <numRef>
              <f>'Historial mensual'!$Q$6:$Q$29</f>
            </numRef>
          </cat>
          <val>
            <numRef>
              <f>'Historial mensual'!$M$6:$M$29</f>
            </numRef>
          </val>
        </ser>
        <ser>
          <idx val="1"/>
          <order val="1"/>
          <tx>
            <strRef>
              <f>'Historial mensual'!N5</f>
            </strRef>
          </tx>
          <spPr>
            <a:solidFill xmlns:a="http://schemas.openxmlformats.org/drawingml/2006/main">
              <a:srgbClr val="7030A0"/>
            </a:solidFill>
            <a:ln xmlns:a="http://schemas.openxmlformats.org/drawingml/2006/main">
              <a:prstDash val="solid"/>
            </a:ln>
          </spPr>
          <cat>
            <numRef>
              <f>'Historial mensual'!$Q$6:$Q$29</f>
            </numRef>
          </cat>
          <val>
            <numRef>
              <f>'Historial mensual'!$N$6:$N$29</f>
            </numRef>
          </val>
        </ser>
        <ser>
          <idx val="2"/>
          <order val="2"/>
          <tx>
            <strRef>
              <f>'Historial mensual'!O5</f>
            </strRef>
          </tx>
          <spPr>
            <a:solidFill xmlns:a="http://schemas.openxmlformats.org/drawingml/2006/main">
              <a:srgbClr val="548235"/>
            </a:solidFill>
            <a:ln xmlns:a="http://schemas.openxmlformats.org/drawingml/2006/main">
              <a:prstDash val="solid"/>
            </a:ln>
          </spPr>
          <cat>
            <numRef>
              <f>'Historial mensual'!$Q$6:$Q$29</f>
            </numRef>
          </cat>
          <val>
            <numRef>
              <f>'Historial mensual'!$O$6:$O$29</f>
            </numRef>
          </val>
        </ser>
        <ser>
          <idx val="3"/>
          <order val="3"/>
          <tx>
            <strRef>
              <f>'Historial mensual'!P5</f>
            </strRef>
          </tx>
          <spPr>
            <a:solidFill xmlns:a="http://schemas.openxmlformats.org/drawingml/2006/main">
              <a:srgbClr val="2E75B6"/>
            </a:solidFill>
            <a:ln xmlns:a="http://schemas.openxmlformats.org/drawingml/2006/main">
              <a:prstDash val="solid"/>
            </a:ln>
          </spPr>
          <cat>
            <numRef>
              <f>'Historial mensual'!$Q$6:$Q$29</f>
            </numRef>
          </cat>
          <val>
            <numRef>
              <f>'Historial mensual'!$P$6:$P$29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558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63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108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RO" displayName="tblAct_RO" ref="A4:P304" headerRowCount="1">
  <autoFilter ref="A4:P304"/>
  <tableColumns count="16">
    <tableColumn id="1" name="N°">
      <calculatedColumnFormula>IF(NOT((COUNTA(tblAct_RO[[#This Row],[Macro Actividad]:[Avance Semana 4 (%)]])+COUNTA(tblAct_RO[[#This Row],[Observaciones]]))&gt;0),"",COUNTIFS(INDEX(tblAct_RO[Estado],1):tblAct_RO[[#This Row],[Estado]],"?*",INDEX(tblAct_RO[Mes],1):tblAct_RO[[#This Row],[Mes]],tblAct_RO[[#This Row],[Mes]]))</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IF(NOT((COUNTA(tblAct_RO[[#This Row],[Macro Actividad]:[Avance Semana 4 (%)]])+COUNTA(tblAct_RO[[#This Row],[Observaciones]]))&gt;0),"",IFERROR(LOOKUP(2,1/(tblAct_RO[[#This Row],[Avance Semana 1 (%)]:[Avance Semana 4 (%)]]&lt;&gt;""),tblAct_RO[[#This Row],[Avance Semana 1 (%)]:[Avance Semana 4 (%)]]),0))</calculatedColumnFormula>
    </tableColumn>
    <tableColumn id="12" name="Estado">
      <calculatedColumnFormula>IF(tblAct_RO[[#This Row],[% de Avance Total Actual]]="","",IF(tblAct_RO[[#This Row],[% de Avance Total Actual]]&gt;=1,"Completado",IF(tblAct_RO[[#This Row],[% de Avance Total Actual]]&gt;0,"En curso","Pendiente")))</calculatedColumnFormula>
    </tableColumn>
    <tableColumn id="13" name="Observaciones"/>
    <tableColumn id="14" name="Revisión automática (alertas)">
      <calculatedColumnFormula>IF(NOT((COUNTA(tblAct_RO[[#This Row],[Macro Actividad]:[Avance Semana 4 (%)]])+COUNTA(tblAct_RO[[#This Row],[Observaciones]]))&gt;0),"",IF((IF(tblAct_RO[[#This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","")&amp;IF(ABS(SUMIFS($F$5:$F$1000,$O$5:$O$1000,tblAct_RO[[#This Row],[Mes]])-1)&gt;0.0001,"Pesos del mes suman "&amp;TEXT(SUMIFS($F$5:$F$1000,$O$5:$O$1000,tblAct_RO[[#This Row],[Mes]]),"0%")&amp;"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 OK","⚠ "&amp;LEFT(IF(tblAct_RO[[#This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","")&amp;IF(ABS(SUMIFS($F$5:$F$1000,$O$5:$O$1000,tblAct_RO[[#This Row],[Mes]])-1)&gt;0.0001,"Pesos del mes suman "&amp;TEXT(SUMIFS($F$5:$F$1000,$O$5:$O$1000,tblAct_RO[[#This Row],[Mes]]),"0%")&amp;"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",""),LEN(IF(tblAct_RO[[#This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","")&amp;IF(ABS(SUMIFS($F$5:$F$1000,$O$5:$O$1000,tblAct_RO[[#This Row],[Mes]])-1)&gt;0.0001,"Pesos del mes suman "&amp;TEXT(SUMIFS($F$5:$F$1000,$O$5:$O$1000,tblAct_RO[[#This Row],[Mes]]),"0%")&amp;"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",""))-3)))</calculatedColumnFormula>
    </tableColumn>
    <tableColumn id="15" name="Mes">
      <calculatedColumnFormula>IF(NOT((COUNTA(tblAct_RO[[#This Row],[Macro Actividad]:[Avance Semana 4 (%)]])+COUNTA(tblAct_RO[[#This Row],[Observaciones]]))&gt;0),"",IF(ISNUMBER(tblAct_RO[[#This Row],[Fecha de inicio]]),DATE(YEAR(tblAct_RO[[#This Row],[Fecha de inicio]]),MONTH(tblAct_RO[[#This Row],[Fecha de inicio]]),1),IF(ISNUMBER(tblAct_RO[[#This Row],[Fecha límite]]),DATE(YEAR(tblAct_RO[[#This Row],[Fecha límite]]),MONTH(tblAct_RO[[#This Row],[Fecha límite]]),1),MesCiclo)))</calculatedColumnFormula>
    </tableColumn>
    <tableColumn id="16" name="Orden en el mes (aux)">
      <calculatedColumnFormula>IF(OR(tblAct_RO[[#This Row],[Mes]]="",tblAct_RO[[#This Row],[Mes]]&lt;&gt;MesCiclo),"",COUNTIF(INDEX(tblAct_RO[Mes],1):tblAct_RO[[#This Row],[Mes]],MesCiclo))</calculatedColumnFormula>
    </tableColumn>
  </tableColumns>
  <tableStyleInfo name="TableStyleLight1" showRowStripes="0"/>
</table>
</file>

<file path=xl/tables/table2.xml><?xml version="1.0" encoding="utf-8"?>
<table xmlns="http://schemas.openxmlformats.org/spreadsheetml/2006/main" id="2" name="tblSem_RO" displayName="tblSem_RO"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3.xml><?xml version="1.0" encoding="utf-8"?>
<table xmlns="http://schemas.openxmlformats.org/spreadsheetml/2006/main" id="3" name="tblAct_RN" displayName="tblAct_RN" ref="A4:P304" headerRowCount="1">
  <autoFilter ref="A4:P304"/>
  <tableColumns count="16">
    <tableColumn id="1" name="N°">
      <calculatedColumnFormula>IF(NOT((COUNTA(tblAct_RN[[#This Row],[Macro Actividad]:[Avance Semana 4 (%)]])+COUNTA(tblAct_RN[[#This Row],[Observaciones]]))&gt;0),"",COUNTIFS(INDEX(tblAct_RN[Estado],1):tblAct_RN[[#This Row],[Estado]],"?*",INDEX(tblAct_RN[Mes],1):tblAct_RN[[#This Row],[Mes]],tblAct_RN[[#This Row],[Mes]]))</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IF(NOT((COUNTA(tblAct_RN[[#This Row],[Macro Actividad]:[Avance Semana 4 (%)]])+COUNTA(tblAct_RN[[#This Row],[Observaciones]]))&gt;0),"",IFERROR(LOOKUP(2,1/(tblAct_RN[[#This Row],[Avance Semana 1 (%)]:[Avance Semana 4 (%)]]&lt;&gt;""),tblAct_RN[[#This Row],[Avance Semana 1 (%)]:[Avance Semana 4 (%)]]),0))</calculatedColumnFormula>
    </tableColumn>
    <tableColumn id="12" name="Estado">
      <calculatedColumnFormula>IF(tblAct_RN[[#This Row],[% de Avance Total Actual]]="","",IF(tblAct_RN[[#This Row],[% de Avance Total Actual]]&gt;=1,"Completado",IF(tblAct_RN[[#This Row],[% de Avance Total Actual]]&gt;0,"En curso","Pendiente")))</calculatedColumnFormula>
    </tableColumn>
    <tableColumn id="13" name="Observaciones"/>
    <tableColumn id="14" name="Revisión automática (alertas)">
      <calculatedColumnFormula>IF(NOT((COUNTA(tblAct_RN[[#This Row],[Macro Actividad]:[Avance Semana 4 (%)]])+COUNTA(tblAct_RN[[#This Row],[Observaciones]]))&gt;0),"",IF((IF(tblAct_RN[[#This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","")&amp;IF(ABS(SUMIFS($F$5:$F$1000,$O$5:$O$1000,tblAct_RN[[#This Row],[Mes]])-1)&gt;0.0001,"Pesos del mes suman "&amp;TEXT(SUMIFS($F$5:$F$1000,$O$5:$O$1000,tblAct_RN[[#This Row],[Mes]]),"0%")&amp;"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 OK","⚠ "&amp;LEFT(IF(tblAct_RN[[#This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","")&amp;IF(ABS(SUMIFS($F$5:$F$1000,$O$5:$O$1000,tblAct_RN[[#This Row],[Mes]])-1)&gt;0.0001,"Pesos del mes suman "&amp;TEXT(SUMIFS($F$5:$F$1000,$O$5:$O$1000,tblAct_RN[[#This Row],[Mes]]),"0%")&amp;"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",""),LEN(IF(tblAct_RN[[#This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","")&amp;IF(ABS(SUMIFS($F$5:$F$1000,$O$5:$O$1000,tblAct_RN[[#This Row],[Mes]])-1)&gt;0.0001,"Pesos del mes suman "&amp;TEXT(SUMIFS($F$5:$F$1000,$O$5:$O$1000,tblAct_RN[[#This Row],[Mes]]),"0%")&amp;"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",""))-3)))</calculatedColumnFormula>
    </tableColumn>
    <tableColumn id="15" name="Mes">
      <calculatedColumnFormula>IF(NOT((COUNTA(tblAct_RN[[#This Row],[Macro Actividad]:[Avance Semana 4 (%)]])+COUNTA(tblAct_RN[[#This Row],[Observaciones]]))&gt;0),"",IF(ISNUMBER(tblAct_RN[[#This Row],[Fecha de inicio]]),DATE(YEAR(tblAct_RN[[#This Row],[Fecha de inicio]]),MONTH(tblAct_RN[[#This Row],[Fecha de inicio]]),1),IF(ISNUMBER(tblAct_RN[[#This Row],[Fecha límite]]),DATE(YEAR(tblAct_RN[[#This Row],[Fecha límite]]),MONTH(tblAct_RN[[#This Row],[Fecha límite]]),1),MesCiclo)))</calculatedColumnFormula>
    </tableColumn>
    <tableColumn id="16" name="Orden en el mes (aux)">
      <calculatedColumnFormula>IF(OR(tblAct_RN[[#This Row],[Mes]]="",tblAct_RN[[#This Row],[Mes]]&lt;&gt;MesCiclo),"",COUNTIF(INDEX(tblAct_RN[Mes],1):tblAct_RN[[#This Row],[Mes]],MesCiclo))</calculatedColumnFormula>
    </tableColumn>
  </tableColumns>
  <tableStyleInfo name="TableStyleLight1" showRowStripes="0"/>
</table>
</file>

<file path=xl/tables/table4.xml><?xml version="1.0" encoding="utf-8"?>
<table xmlns="http://schemas.openxmlformats.org/spreadsheetml/2006/main" id="4" name="tblSem_RN" displayName="tblSem_RN"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5.xml><?xml version="1.0" encoding="utf-8"?>
<table xmlns="http://schemas.openxmlformats.org/spreadsheetml/2006/main" id="5" name="tblAct_RF" displayName="tblAct_RF" ref="A4:P304" headerRowCount="1">
  <autoFilter ref="A4:P304"/>
  <tableColumns count="16">
    <tableColumn id="1" name="N°">
      <calculatedColumnFormula>IF(NOT((COUNTA(tblAct_RF[[#This Row],[Macro Actividad]:[Avance Semana 4 (%)]])+COUNTA(tblAct_RF[[#This Row],[Observaciones]]))&gt;0),"",COUNTIFS(INDEX(tblAct_RF[Estado],1):tblAct_RF[[#This Row],[Estado]],"?*",INDEX(tblAct_RF[Mes],1):tblAct_RF[[#This Row],[Mes]],tblAct_RF[[#This Row],[Mes]]))</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IF(NOT((COUNTA(tblAct_RF[[#This Row],[Macro Actividad]:[Avance Semana 4 (%)]])+COUNTA(tblAct_RF[[#This Row],[Observaciones]]))&gt;0),"",IFERROR(LOOKUP(2,1/(tblAct_RF[[#This Row],[Avance Semana 1 (%)]:[Avance Semana 4 (%)]]&lt;&gt;""),tblAct_RF[[#This Row],[Avance Semana 1 (%)]:[Avance Semana 4 (%)]]),0))</calculatedColumnFormula>
    </tableColumn>
    <tableColumn id="12" name="Estado">
      <calculatedColumnFormula>IF(tblAct_RF[[#This Row],[% de Avance Total Actual]]="","",IF(tblAct_RF[[#This Row],[% de Avance Total Actual]]&gt;=1,"Completado",IF(tblAct_RF[[#This Row],[% de Avance Total Actual]]&gt;0,"En curso","Pendiente")))</calculatedColumnFormula>
    </tableColumn>
    <tableColumn id="13" name="Observaciones"/>
    <tableColumn id="14" name="Revisión automática (alertas)">
      <calculatedColumnFormula>IF(NOT((COUNTA(tblAct_RF[[#This Row],[Macro Actividad]:[Avance Semana 4 (%)]])+COUNTA(tblAct_RF[[#This Row],[Observaciones]]))&gt;0),"",IF((IF(tblAct_RF[[#This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","")&amp;IF(ABS(SUMIFS($F$5:$F$1000,$O$5:$O$1000,tblAct_RF[[#This Row],[Mes]])-1)&gt;0.0001,"Pesos del mes suman "&amp;TEXT(SUMIFS($F$5:$F$1000,$O$5:$O$1000,tblAct_RF[[#This Row],[Mes]]),"0%")&amp;"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 OK","⚠ "&amp;LEFT(IF(tblAct_RF[[#This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","")&amp;IF(ABS(SUMIFS($F$5:$F$1000,$O$5:$O$1000,tblAct_RF[[#This Row],[Mes]])-1)&gt;0.0001,"Pesos del mes suman "&amp;TEXT(SUMIFS($F$5:$F$1000,$O$5:$O$1000,tblAct_RF[[#This Row],[Mes]]),"0%")&amp;"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",""),LEN(IF(tblAct_RF[[#This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","")&amp;IF(ABS(SUMIFS($F$5:$F$1000,$O$5:$O$1000,tblAct_RF[[#This Row],[Mes]])-1)&gt;0.0001,"Pesos del mes suman "&amp;TEXT(SUMIFS($F$5:$F$1000,$O$5:$O$1000,tblAct_RF[[#This Row],[Mes]]),"0%")&amp;"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",""))-3)))</calculatedColumnFormula>
    </tableColumn>
    <tableColumn id="15" name="Mes">
      <calculatedColumnFormula>IF(NOT((COUNTA(tblAct_RF[[#This Row],[Macro Actividad]:[Avance Semana 4 (%)]])+COUNTA(tblAct_RF[[#This Row],[Observaciones]]))&gt;0),"",IF(ISNUMBER(tblAct_RF[[#This Row],[Fecha de inicio]]),DATE(YEAR(tblAct_RF[[#This Row],[Fecha de inicio]]),MONTH(tblAct_RF[[#This Row],[Fecha de inicio]]),1),IF(ISNUMBER(tblAct_RF[[#This Row],[Fecha límite]]),DATE(YEAR(tblAct_RF[[#This Row],[Fecha límite]]),MONTH(tblAct_RF[[#This Row],[Fecha límite]]),1),MesCiclo)))</calculatedColumnFormula>
    </tableColumn>
    <tableColumn id="16" name="Orden en el mes (aux)">
      <calculatedColumnFormula>IF(OR(tblAct_RF[[#This Row],[Mes]]="",tblAct_RF[[#This Row],[Mes]]&lt;&gt;MesCiclo),"",COUNTIF(INDEX(tblAct_RF[Mes],1):tblAct_RF[[#This Row],[Mes]],MesCiclo))</calculatedColumnFormula>
    </tableColumn>
  </tableColumns>
  <tableStyleInfo name="TableStyleLight1" showRowStripes="0"/>
</table>
</file>

<file path=xl/tables/table6.xml><?xml version="1.0" encoding="utf-8"?>
<table xmlns="http://schemas.openxmlformats.org/spreadsheetml/2006/main" id="6" name="tblSem_RF" displayName="tblSem_RF"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ables/table7.xml><?xml version="1.0" encoding="utf-8"?>
<table xmlns="http://schemas.openxmlformats.org/spreadsheetml/2006/main" id="7" name="tblAct_ATR" displayName="tblAct_ATR" ref="A4:P304" headerRowCount="1">
  <autoFilter ref="A4:P304"/>
  <tableColumns count="16">
    <tableColumn id="1" name="N°">
      <calculatedColumnFormula>IF(NOT((COUNTA(tblAct_ATR[[#This Row],[Macro Actividad]:[Avance Semana 4 (%)]])+COUNTA(tblAct_ATR[[#This Row],[Observaciones]]))&gt;0),"",COUNTIFS(INDEX(tblAct_ATR[Estado],1):tblAct_ATR[[#This Row],[Estado]],"?*",INDEX(tblAct_ATR[Mes],1):tblAct_ATR[[#This Row],[Mes]],tblAct_ATR[[#This Row],[Mes]]))</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IF(NOT((COUNTA(tblAct_ATR[[#This Row],[Macro Actividad]:[Avance Semana 4 (%)]])+COUNTA(tblAct_ATR[[#This Row],[Observaciones]]))&gt;0),"",IFERROR(LOOKUP(2,1/(tblAct_ATR[[#This Row],[Avance Semana 1 (%)]:[Avance Semana 4 (%)]]&lt;&gt;""),tblAct_ATR[[#This Row],[Avance Semana 1 (%)]:[Avance Semana 4 (%)]]),0))</calculatedColumnFormula>
    </tableColumn>
    <tableColumn id="12" name="Estado">
      <calculatedColumnFormula>IF(tblAct_ATR[[#This Row],[% de Avance Total Actual]]="","",IF(tblAct_ATR[[#This Row],[% de Avance Total Actual]]&gt;=1,"Completado",IF(tblAct_ATR[[#This Row],[% de Avance Total Actual]]&gt;0,"En curso","Pendiente")))</calculatedColumnFormula>
    </tableColumn>
    <tableColumn id="13" name="Observaciones"/>
    <tableColumn id="14" name="Revisión automática (alertas)">
      <calculatedColumnFormula>IF(NOT((COUNTA(tblAct_ATR[[#This Row],[Macro Actividad]:[Avance Semana 4 (%)]])+COUNTA(tblAct_ATR[[#This Row],[Observaciones]]))&gt;0),"",IF((IF(tblAct_ATR[[#This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","")&amp;IF(ABS(SUMIFS($F$5:$F$1000,$O$5:$O$1000,tblAct_ATR[[#This Row],[Mes]])-1)&gt;0.0001,"Pesos del mes suman "&amp;TEXT(SUMIFS($F$5:$F$1000,$O$5:$O$1000,tblAct_ATR[[#This Row],[Mes]]),"0%")&amp;"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 OK","⚠ "&amp;LEFT(IF(tblAct_ATR[[#This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","")&amp;IF(ABS(SUMIFS($F$5:$F$1000,$O$5:$O$1000,tblAct_ATR[[#This Row],[Mes]])-1)&gt;0.0001,"Pesos del mes suman "&amp;TEXT(SUMIFS($F$5:$F$1000,$O$5:$O$1000,tblAct_ATR[[#This Row],[Mes]]),"0%")&amp;"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",""),LEN(IF(tblAct_ATR[[#This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","")&amp;IF(ABS(SUMIFS($F$5:$F$1000,$O$5:$O$1000,tblAct_ATR[[#This Row],[Mes]])-1)&gt;0.0001,"Pesos del mes suman "&amp;TEXT(SUMIFS($F$5:$F$1000,$O$5:$O$1000,tblAct_ATR[[#This Row],[Mes]]),"0%")&amp;"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",""))-3)))</calculatedColumnFormula>
    </tableColumn>
    <tableColumn id="15" name="Mes">
      <calculatedColumnFormula>IF(NOT((COUNTA(tblAct_ATR[[#This Row],[Macro Actividad]:[Avance Semana 4 (%)]])+COUNTA(tblAct_ATR[[#This Row],[Observaciones]]))&gt;0),"",IF(ISNUMBER(tblAct_ATR[[#This Row],[Fecha de inicio]]),DATE(YEAR(tblAct_ATR[[#This Row],[Fecha de inicio]]),MONTH(tblAct_ATR[[#This Row],[Fecha de inicio]]),1),IF(ISNUMBER(tblAct_ATR[[#This Row],[Fecha límite]]),DATE(YEAR(tblAct_ATR[[#This Row],[Fecha límite]]),MONTH(tblAct_ATR[[#This Row],[Fecha límite]]),1),MesCiclo)))</calculatedColumnFormula>
    </tableColumn>
    <tableColumn id="16" name="Orden en el mes (aux)">
      <calculatedColumnFormula>IF(OR(tblAct_ATR[[#This Row],[Mes]]="",tblAct_ATR[[#This Row],[Mes]]&lt;&gt;MesCiclo),"",COUNTIF(INDEX(tblAct_ATR[Mes],1):tblAct_ATR[[#This Row],[Mes]],MesCiclo))</calculatedColumnFormula>
    </tableColumn>
  </tableColumns>
  <tableStyleInfo name="TableStyleLight1" showRowStripes="0"/>
</table>
</file>

<file path=xl/tables/table8.xml><?xml version="1.0" encoding="utf-8"?>
<table xmlns="http://schemas.openxmlformats.org/spreadsheetml/2006/main" id="8" name="tblSem_ATR" displayName="tblSem_ATR" ref="A4:M104" headerRowCount="1">
  <autoFilter ref="A4:M104"/>
  <tableColumns count="13">
    <tableColumn id="1" name="N°"/>
    <tableColumn id="2" name="Macro Actividad"/>
    <tableColumn id="3" name="Responsable"/>
    <tableColumn id="4" name="Fecha de inicio"/>
    <tableColumn id="5" name="Fecha límite"/>
    <tableColumn id="6" name="Semana de entrega"/>
    <tableColumn id="7" name="Semana 1"/>
    <tableColumn id="8" name="Semana 2"/>
    <tableColumn id="9" name="Semana 3"/>
    <tableColumn id="10" name="Semana 4"/>
    <tableColumn id="11" name="% Avance actual"/>
    <tableColumn id="12" name="Estad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drawing" Target="/xl/drawings/drawing1.xml" Id="rId9"/></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fitToPage="1"/>
  </sheetPr>
  <dimension ref="B1:M73"/>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t="inlineStr">
        <is>
          <t>En los 4 cronogramas</t>
        </is>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suman "&amp;TEXT('Calculos'!C4,"0%")&amp;IF('Calculos'!D4&gt;0," / "&amp;'Calculos'!D4&amp;" vacío(s)",""),IF('Calculos'!L4,"Completado",IF('Calculos'!F4&gt;0,"En curso","Pendiente"))))</f>
        <v/>
      </c>
      <c r="L16" s="22">
        <f>IF('Calculos'!B4=0,"⚠ Registrar actividades",IF(NOT('Calculos'!E4),"⚠ Configurar ponderación al 100%",IF('Calculos'!M4,"¡Enhorabuena, completado anticipadamente!",IF('Calculos'!L4,"Completado","En ejecución"))))</f>
        <v/>
      </c>
      <c r="M16" s="22" t="n"/>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suman "&amp;TEXT('Calculos'!C5,"0%")&amp;IF('Calculos'!D5&gt;0," / "&amp;'Calculos'!D5&amp;" vacío(s)",""),IF('Calculos'!L5,"Completado",IF('Calculos'!F5&gt;0,"En curso","Pendiente"))))</f>
        <v/>
      </c>
      <c r="L17" s="22">
        <f>IF('Calculos'!B5=0,"⚠ Registrar actividades",IF(NOT('Calculos'!E5),"⚠ Configurar ponderación al 100%",IF('Calculos'!M5,"¡Enhorabuena, completado anticipadamente!",IF('Calculos'!L5,"Completado","En ejecución"))))</f>
        <v/>
      </c>
      <c r="M17" s="22" t="n"/>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suman "&amp;TEXT('Calculos'!C6,"0%")&amp;IF('Calculos'!D6&gt;0," / "&amp;'Calculos'!D6&amp;" vacío(s)",""),IF('Calculos'!L6,"Completado",IF('Calculos'!F6&gt;0,"En curso","Pendiente"))))</f>
        <v/>
      </c>
      <c r="L18" s="22">
        <f>IF('Calculos'!B6=0,"⚠ Registrar actividades",IF(NOT('Calculos'!E6),"⚠ Configurar ponderación al 100%",IF('Calculos'!M6,"¡Enhorabuena, completado anticipadamente!",IF('Calculos'!L6,"Completado","En ejecución"))))</f>
        <v/>
      </c>
      <c r="M18" s="22" t="n"/>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suman "&amp;TEXT('Calculos'!C7,"0%")&amp;IF('Calculos'!D7&gt;0," / "&amp;'Calculos'!D7&amp;" vacío(s)",""),IF('Calculos'!L7,"Completado",IF('Calculos'!F7&gt;0,"En curso","Pendiente"))))</f>
        <v/>
      </c>
      <c r="L19" s="22">
        <f>IF('Calculos'!B7=0,"⚠ Registrar actividades",IF(NOT('Calculos'!E7),"⚠ Configurar ponderación al 100%",IF('Calculos'!M7,"¡Enhorabuena, completado anticipadamente!",IF('Calculos'!L7,"Completado","En ejecución"))))</f>
        <v/>
      </c>
      <c r="M19" s="22" t="n"/>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51" ht="24" customHeight="1">
      <c r="B51" s="17" t="inlineStr">
        <is>
          <t>Control de calidad de datos</t>
        </is>
      </c>
      <c r="C51" s="17" t="n"/>
      <c r="D51" s="17" t="n"/>
      <c r="E51" s="17" t="n"/>
      <c r="F51" s="17" t="n"/>
      <c r="G51" s="17" t="n"/>
      <c r="H51" s="17" t="n"/>
      <c r="I51" s="17" t="n"/>
      <c r="J51" s="17" t="n"/>
      <c r="K51" s="17" t="n"/>
      <c r="L51" s="17" t="n"/>
      <c r="M51" s="17" t="n"/>
    </row>
    <row r="52">
      <c r="B52" s="7" t="inlineStr">
        <is>
          <t>Verificación</t>
        </is>
      </c>
      <c r="C52" s="7" t="n"/>
      <c r="D52" s="7" t="n"/>
      <c r="E52" s="7" t="n"/>
      <c r="F52" s="7" t="n"/>
      <c r="G52" s="7" t="inlineStr">
        <is>
          <t>Casos</t>
        </is>
      </c>
      <c r="H52" s="7" t="inlineStr">
        <is>
          <t>Resultado</t>
        </is>
      </c>
      <c r="I52" s="7" t="inlineStr">
        <is>
          <t>Acción sugerida</t>
        </is>
      </c>
      <c r="J52" s="7" t="n"/>
      <c r="K52" s="7" t="n"/>
      <c r="L52" s="7" t="n"/>
      <c r="M52" s="7" t="n"/>
    </row>
    <row r="53" ht="20" customHeight="1">
      <c r="B53" s="41" t="inlineStr">
        <is>
          <t>Puestos sin actividades registradas</t>
        </is>
      </c>
      <c r="C53" s="41" t="n"/>
      <c r="D53" s="41" t="n"/>
      <c r="E53" s="41" t="n"/>
      <c r="F53" s="41" t="n"/>
      <c r="G53" s="42">
        <f>COUNTIF('Calculos'!B4:B7,0)</f>
        <v/>
      </c>
      <c r="H53" s="43">
        <f>IF(G53=0,"✔ OK",IF("crit"="warn","● Atención","⚠ Revisar"))</f>
        <v/>
      </c>
      <c r="I53" s="44" t="inlineStr">
        <is>
          <t>Registrar al menos una macroactividad por puesto.</t>
        </is>
      </c>
      <c r="J53" s="44" t="n"/>
      <c r="K53" s="44" t="n"/>
      <c r="L53" s="44" t="n"/>
      <c r="M53" s="44" t="n"/>
    </row>
    <row r="54" ht="20" customHeight="1">
      <c r="B54" s="41" t="inlineStr">
        <is>
          <t>Puestos cuya ponderación no suma 100% (o con pesos vacíos)</t>
        </is>
      </c>
      <c r="C54" s="41" t="n"/>
      <c r="D54" s="41" t="n"/>
      <c r="E54" s="41" t="n"/>
      <c r="F54" s="41" t="n"/>
      <c r="G54" s="42">
        <f>COUNTIFS('Calculos'!B4:B7,"&gt;0",'Calculos'!E4:E7,FALSE)</f>
        <v/>
      </c>
      <c r="H54" s="43">
        <f>IF(G54=0,"✔ OK",IF("crit"="warn","● Atención","⚠ Revisar"))</f>
        <v/>
      </c>
      <c r="I54" s="44" t="inlineStr">
        <is>
          <t>Ajustar los pesos del puesto hasta sumar 100%.</t>
        </is>
      </c>
      <c r="J54" s="44" t="n"/>
      <c r="K54" s="44" t="n"/>
      <c r="L54" s="44" t="n"/>
      <c r="M54" s="44" t="n"/>
    </row>
    <row r="55" ht="20" customHeight="1">
      <c r="B55" s="41" t="inlineStr">
        <is>
          <t>Actividades con peso vacío o fuera de rango</t>
        </is>
      </c>
      <c r="C55" s="41" t="n"/>
      <c r="D55" s="41" t="n"/>
      <c r="E55" s="41" t="n"/>
      <c r="F55" s="41" t="n"/>
      <c r="G55"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55" s="43">
        <f>IF(G55=0,"✔ OK",IF("crit"="warn","● Atención","⚠ Revisar"))</f>
        <v/>
      </c>
      <c r="I55" s="44" t="inlineStr">
        <is>
          <t>Ingresar un peso entre 0% y 100% (mayor que 0).</t>
        </is>
      </c>
      <c r="J55" s="44" t="n"/>
      <c r="K55" s="44" t="n"/>
      <c r="L55" s="44" t="n"/>
      <c r="M55" s="44" t="n"/>
    </row>
    <row r="56" ht="20" customHeight="1">
      <c r="B56" s="41" t="inlineStr">
        <is>
          <t>Actividades sin responsable</t>
        </is>
      </c>
      <c r="C56" s="41" t="n"/>
      <c r="D56" s="41" t="n"/>
      <c r="E56" s="41" t="n"/>
      <c r="F56" s="41" t="n"/>
      <c r="G56" s="42">
        <f>SUMPRODUCT((rMes_RO=MesCiclo)*((ISNUMBER(SEARCH("Sin responsable",rValid_RO)))&gt;0))+SUMPRODUCT((rMes_RN=MesCiclo)*((ISNUMBER(SEARCH("Sin responsable",rValid_RN)))&gt;0))+SUMPRODUCT((rMes_RF=MesCiclo)*((ISNUMBER(SEARCH("Sin responsable",rValid_RF)))&gt;0))+SUMPRODUCT((rMes_ATR=MesCiclo)*((ISNUMBER(SEARCH("Sin responsable",rValid_ATR)))&gt;0))</f>
        <v/>
      </c>
      <c r="H56" s="43">
        <f>IF(G56=0,"✔ OK",IF("crit"="warn","● Atención","⚠ Revisar"))</f>
        <v/>
      </c>
      <c r="I56" s="44" t="inlineStr">
        <is>
          <t>Asignar responsable.</t>
        </is>
      </c>
      <c r="J56" s="44" t="n"/>
      <c r="K56" s="44" t="n"/>
      <c r="L56" s="44" t="n"/>
      <c r="M56" s="44" t="n"/>
    </row>
    <row r="57" ht="20" customHeight="1">
      <c r="B57" s="41" t="inlineStr">
        <is>
          <t>Actividades sin fecha límite</t>
        </is>
      </c>
      <c r="C57" s="41" t="n"/>
      <c r="D57" s="41" t="n"/>
      <c r="E57" s="41" t="n"/>
      <c r="F57" s="41" t="n"/>
      <c r="G57"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57" s="43">
        <f>IF(G57=0,"✔ OK",IF("crit"="warn","● Atención","⚠ Revisar"))</f>
        <v/>
      </c>
      <c r="I57" s="44" t="inlineStr">
        <is>
          <t>Registrar la fecha límite.</t>
        </is>
      </c>
      <c r="J57" s="44" t="n"/>
      <c r="K57" s="44" t="n"/>
      <c r="L57" s="44" t="n"/>
      <c r="M57" s="44" t="n"/>
    </row>
    <row r="58" ht="20" customHeight="1">
      <c r="B58" s="41" t="inlineStr">
        <is>
          <t>Fechas incoherentes o no válidas (incluye sin fecha de inicio)</t>
        </is>
      </c>
      <c r="C58" s="41" t="n"/>
      <c r="D58" s="41" t="n"/>
      <c r="E58" s="41" t="n"/>
      <c r="F58" s="41" t="n"/>
      <c r="G58"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58" s="43">
        <f>IF(G58=0,"✔ OK",IF("crit"="warn","● Atención","⚠ Revisar"))</f>
        <v/>
      </c>
      <c r="I58" s="44" t="inlineStr">
        <is>
          <t>La fecha de inicio debe ser anterior o igual a la fecha límite.</t>
        </is>
      </c>
      <c r="J58" s="44" t="n"/>
      <c r="K58" s="44" t="n"/>
      <c r="L58" s="44" t="n"/>
      <c r="M58" s="44" t="n"/>
    </row>
    <row r="59" ht="20" customHeight="1">
      <c r="B59" s="41" t="inlineStr">
        <is>
          <t>Porcentajes de avance &gt; 100%, &lt; 0% o no numéricos</t>
        </is>
      </c>
      <c r="C59" s="41" t="n"/>
      <c r="D59" s="41" t="n"/>
      <c r="E59" s="41" t="n"/>
      <c r="F59" s="41" t="n"/>
      <c r="G59"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59" s="43">
        <f>IF(G59=0,"✔ OK",IF("crit"="warn","● Atención","⚠ Revisar"))</f>
        <v/>
      </c>
      <c r="I59" s="44" t="inlineStr">
        <is>
          <t>Corregir: los avances deben estar entre 0% y 100%.</t>
        </is>
      </c>
      <c r="J59" s="44" t="n"/>
      <c r="K59" s="44" t="n"/>
      <c r="L59" s="44" t="n"/>
      <c r="M59" s="44" t="n"/>
    </row>
    <row r="60" ht="20" customHeight="1">
      <c r="B60" s="41" t="inlineStr">
        <is>
          <t>Avance semanal menor que el de una semana anterior</t>
        </is>
      </c>
      <c r="C60" s="41" t="n"/>
      <c r="D60" s="41" t="n"/>
      <c r="E60" s="41" t="n"/>
      <c r="F60" s="41" t="n"/>
      <c r="G60" s="42">
        <f>SUMPRODUCT((rMes_RO=MesCiclo)*((ISNUMBER(SEARCH("decreciente",rValid_RO)))&gt;0))+SUMPRODUCT((rMes_RN=MesCiclo)*((ISNUMBER(SEARCH("decreciente",rValid_RN)))&gt;0))+SUMPRODUCT((rMes_RF=MesCiclo)*((ISNUMBER(SEARCH("decreciente",rValid_RF)))&gt;0))+SUMPRODUCT((rMes_ATR=MesCiclo)*((ISNUMBER(SEARCH("decreciente",rValid_ATR)))&gt;0))</f>
        <v/>
      </c>
      <c r="H60" s="43">
        <f>IF(G60=0,"✔ OK",IF("crit"="warn","● Atención","⚠ Revisar"))</f>
        <v/>
      </c>
      <c r="I60" s="44" t="inlineStr">
        <is>
          <t>Revisar: el avance es acumulado y no debería disminuir.</t>
        </is>
      </c>
      <c r="J60" s="44" t="n"/>
      <c r="K60" s="44" t="n"/>
      <c r="L60" s="44" t="n"/>
      <c r="M60" s="44" t="n"/>
    </row>
    <row r="61" ht="20" customHeight="1">
      <c r="B61" s="41" t="inlineStr">
        <is>
          <t>Actividades vencidas no completadas</t>
        </is>
      </c>
      <c r="C61" s="41" t="n"/>
      <c r="D61" s="41" t="n"/>
      <c r="E61" s="41" t="n"/>
      <c r="F61" s="41" t="n"/>
      <c r="G61" s="42">
        <f>'Calculos'!Q8</f>
        <v/>
      </c>
      <c r="H61" s="43">
        <f>IF(G61=0,"✔ OK",IF("crit"="warn","● Atención","⚠ Revisar"))</f>
        <v/>
      </c>
      <c r="I61" s="44" t="inlineStr">
        <is>
          <t>Actualizar avance o reprogramar con justificación en Observaciones.</t>
        </is>
      </c>
      <c r="J61" s="44" t="n"/>
      <c r="K61" s="44" t="n"/>
      <c r="L61" s="44" t="n"/>
      <c r="M61" s="44" t="n"/>
    </row>
    <row r="62" ht="20" customHeight="1">
      <c r="B62" s="41" t="inlineStr">
        <is>
          <t>Actividades próximas a vencer (no completadas)</t>
        </is>
      </c>
      <c r="C62" s="41" t="n"/>
      <c r="D62" s="41" t="n"/>
      <c r="E62" s="41" t="n"/>
      <c r="F62" s="41" t="n"/>
      <c r="G62" s="42">
        <f>'Calculos'!B13</f>
        <v/>
      </c>
      <c r="H62" s="43">
        <f>IF(G62=0,"✔ OK",IF("warn"="warn","● Atención","⚠ Revisar"))</f>
        <v/>
      </c>
      <c r="I62" s="44" t="inlineStr">
        <is>
          <t>Alerta preventiva: priorizar seguimiento.</t>
        </is>
      </c>
      <c r="J62" s="44" t="n"/>
      <c r="K62" s="44" t="n"/>
      <c r="L62" s="44" t="n"/>
      <c r="M62" s="44" t="n"/>
    </row>
    <row r="63" ht="20" customHeight="1">
      <c r="B63" s="41" t="inlineStr">
        <is>
          <t>Filas con datos pero sin nombre de macroactividad</t>
        </is>
      </c>
      <c r="C63" s="41" t="n"/>
      <c r="D63" s="41" t="n"/>
      <c r="E63" s="41" t="n"/>
      <c r="F63" s="41" t="n"/>
      <c r="G63"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63" s="43">
        <f>IF(G63=0,"✔ OK",IF("crit"="warn","● Atención","⚠ Revisar"))</f>
        <v/>
      </c>
      <c r="I63" s="44" t="inlineStr">
        <is>
          <t>Escribir el nombre de la actividad.</t>
        </is>
      </c>
      <c r="J63" s="44" t="n"/>
      <c r="K63" s="44" t="n"/>
      <c r="L63" s="44" t="n"/>
      <c r="M63" s="44" t="n"/>
    </row>
    <row r="64" ht="20" customHeight="1">
      <c r="B64" s="41" t="inlineStr">
        <is>
          <t>Actividades vencidas sin observación que explique el incumplimiento</t>
        </is>
      </c>
      <c r="C64" s="41" t="n"/>
      <c r="D64" s="41" t="n"/>
      <c r="E64" s="41" t="n"/>
      <c r="F64" s="41" t="n"/>
      <c r="G64"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64" s="43">
        <f>IF(G64=0,"✔ OK",IF("crit"="warn","● Atención","⚠ Revisar"))</f>
        <v/>
      </c>
      <c r="I64" s="44" t="inlineStr">
        <is>
          <t>Escribir en Observaciones por qué no se cumplió y la nueva fecha prevista.</t>
        </is>
      </c>
      <c r="J64" s="44" t="n"/>
      <c r="K64" s="44" t="n"/>
      <c r="L64" s="44" t="n"/>
      <c r="M64" s="44" t="n"/>
    </row>
    <row r="65" ht="20" customHeight="1">
      <c r="B65" s="41" t="inlineStr">
        <is>
          <t>Avance general no definitivo (puestos no válidos)</t>
        </is>
      </c>
      <c r="C65" s="41" t="n"/>
      <c r="D65" s="41" t="n"/>
      <c r="E65" s="41" t="n"/>
      <c r="F65" s="41" t="n"/>
      <c r="G65" s="42">
        <f>4-'Calculos'!C8</f>
        <v/>
      </c>
      <c r="H65" s="43">
        <f>IF(G65=0,"✔ OK",IF("crit"="warn","● Atención","⚠ Revisar"))</f>
        <v/>
      </c>
      <c r="I65" s="44" t="inlineStr">
        <is>
          <t>El avance general solo es definitivo con los 4 puestos válidos.</t>
        </is>
      </c>
      <c r="J65" s="44" t="n"/>
      <c r="K65" s="44" t="n"/>
      <c r="L65" s="44" t="n"/>
      <c r="M65" s="44" t="n"/>
    </row>
    <row r="66" ht="26" customHeight="1">
      <c r="B66" s="40" t="inlineStr">
        <is>
          <t>Detalle por actividad: columna «Revisión automática (alertas)» de la hoja «Cronograma …» de cada puesto (filtrar por «⚠»). Pendiente normal = sin avance y dentro de plazo; Vencida = fecha límite anterior a la fecha de corte sin llegar a 100%.</t>
        </is>
      </c>
      <c r="C66" s="40" t="n"/>
      <c r="D66" s="40" t="n"/>
      <c r="E66" s="40" t="n"/>
      <c r="F66" s="40" t="n"/>
      <c r="G66" s="40" t="n"/>
      <c r="H66" s="40" t="n"/>
      <c r="I66" s="40" t="n"/>
      <c r="J66" s="40" t="n"/>
      <c r="K66" s="40" t="n"/>
      <c r="L66" s="40" t="n"/>
      <c r="M66" s="40" t="n"/>
    </row>
    <row r="68" ht="24" customHeight="1">
      <c r="B68" s="17" t="inlineStr">
        <is>
          <t>Entregas por semana según la fecha límite (completadas / programadas)</t>
        </is>
      </c>
      <c r="C68" s="17" t="n"/>
      <c r="D68" s="17" t="n"/>
      <c r="E68" s="17" t="n"/>
      <c r="F68" s="17" t="n"/>
      <c r="G68" s="17" t="n"/>
      <c r="H68" s="17" t="n"/>
      <c r="I68" s="17" t="n"/>
      <c r="J68" s="17" t="n"/>
      <c r="K68" s="17" t="n"/>
      <c r="L68" s="17" t="n"/>
      <c r="M68" s="17" t="n"/>
    </row>
    <row r="69">
      <c r="B69" s="7" t="inlineStr">
        <is>
          <t>Puesto</t>
        </is>
      </c>
      <c r="C69" s="7" t="inlineStr">
        <is>
          <t>Semana 1</t>
        </is>
      </c>
      <c r="D69" s="7" t="inlineStr">
        <is>
          <t>Semana 2</t>
        </is>
      </c>
      <c r="E69" s="7" t="inlineStr">
        <is>
          <t>Semana 3</t>
        </is>
      </c>
      <c r="F69" s="7" t="inlineStr">
        <is>
          <t>Semana 4</t>
        </is>
      </c>
      <c r="G69" s="7" t="inlineStr">
        <is>
          <t>Total</t>
        </is>
      </c>
      <c r="H69" s="7" t="inlineStr">
        <is>
          <t>Vencidas</t>
        </is>
      </c>
      <c r="I69" s="7" t="inlineStr">
        <is>
          <t>Lectura</t>
        </is>
      </c>
      <c r="J69" s="7" t="n"/>
      <c r="K69" s="7" t="n"/>
      <c r="L69" s="7" t="n"/>
      <c r="M69" s="7" t="n"/>
    </row>
    <row r="70">
      <c r="B70" s="19">
        <f>'Calculos'!A4</f>
        <v/>
      </c>
      <c r="C70" s="22">
        <f>COUNTIFS(hSemana_RO,"Semana 1",hEstado_RO,"Completado")&amp;" / "&amp;COUNTIF(hSemana_RO,"Semana 1")</f>
        <v/>
      </c>
      <c r="D70" s="22">
        <f>COUNTIFS(hSemana_RO,"Semana 2",hEstado_RO,"Completado")&amp;" / "&amp;COUNTIF(hSemana_RO,"Semana 2")</f>
        <v/>
      </c>
      <c r="E70" s="22">
        <f>COUNTIFS(hSemana_RO,"Semana 3",hEstado_RO,"Completado")&amp;" / "&amp;COUNTIF(hSemana_RO,"Semana 3")</f>
        <v/>
      </c>
      <c r="F70" s="22">
        <f>COUNTIFS(hSemana_RO,"Semana 4",hEstado_RO,"Completado")&amp;" / "&amp;COUNTIF(hSemana_RO,"Semana 4")</f>
        <v/>
      </c>
      <c r="G70" s="22">
        <f>COUNTIF(hEstado_RO,"Completado")&amp;" / "&amp;COUNTIF(hEstado_RO,"?*")</f>
        <v/>
      </c>
      <c r="H70" s="22">
        <f>COUNTIF(hEstado_RO,"Vencida")</f>
        <v/>
      </c>
      <c r="I70" s="44">
        <f>IF(H70&gt;0,"⚠ "&amp;H70&amp;" actividad(es) vencida(s) sin completar","Sin actividades vencidas")</f>
        <v/>
      </c>
      <c r="J70" s="44" t="n"/>
      <c r="K70" s="44" t="n"/>
      <c r="L70" s="44" t="n"/>
      <c r="M70" s="44" t="n"/>
    </row>
    <row r="71">
      <c r="B71" s="23">
        <f>'Calculos'!A5</f>
        <v/>
      </c>
      <c r="C71" s="22">
        <f>COUNTIFS(hSemana_RN,"Semana 1",hEstado_RN,"Completado")&amp;" / "&amp;COUNTIF(hSemana_RN,"Semana 1")</f>
        <v/>
      </c>
      <c r="D71" s="22">
        <f>COUNTIFS(hSemana_RN,"Semana 2",hEstado_RN,"Completado")&amp;" / "&amp;COUNTIF(hSemana_RN,"Semana 2")</f>
        <v/>
      </c>
      <c r="E71" s="22">
        <f>COUNTIFS(hSemana_RN,"Semana 3",hEstado_RN,"Completado")&amp;" / "&amp;COUNTIF(hSemana_RN,"Semana 3")</f>
        <v/>
      </c>
      <c r="F71" s="22">
        <f>COUNTIFS(hSemana_RN,"Semana 4",hEstado_RN,"Completado")&amp;" / "&amp;COUNTIF(hSemana_RN,"Semana 4")</f>
        <v/>
      </c>
      <c r="G71" s="22">
        <f>COUNTIF(hEstado_RN,"Completado")&amp;" / "&amp;COUNTIF(hEstado_RN,"?*")</f>
        <v/>
      </c>
      <c r="H71" s="22">
        <f>COUNTIF(hEstado_RN,"Vencida")</f>
        <v/>
      </c>
      <c r="I71" s="44">
        <f>IF(H71&gt;0,"⚠ "&amp;H71&amp;" actividad(es) vencida(s) sin completar","Sin actividades vencidas")</f>
        <v/>
      </c>
      <c r="J71" s="44" t="n"/>
      <c r="K71" s="44" t="n"/>
      <c r="L71" s="44" t="n"/>
      <c r="M71" s="44" t="n"/>
    </row>
    <row r="72">
      <c r="B72" s="24">
        <f>'Calculos'!A6</f>
        <v/>
      </c>
      <c r="C72" s="22">
        <f>COUNTIFS(hSemana_RF,"Semana 1",hEstado_RF,"Completado")&amp;" / "&amp;COUNTIF(hSemana_RF,"Semana 1")</f>
        <v/>
      </c>
      <c r="D72" s="22">
        <f>COUNTIFS(hSemana_RF,"Semana 2",hEstado_RF,"Completado")&amp;" / "&amp;COUNTIF(hSemana_RF,"Semana 2")</f>
        <v/>
      </c>
      <c r="E72" s="22">
        <f>COUNTIFS(hSemana_RF,"Semana 3",hEstado_RF,"Completado")&amp;" / "&amp;COUNTIF(hSemana_RF,"Semana 3")</f>
        <v/>
      </c>
      <c r="F72" s="22">
        <f>COUNTIFS(hSemana_RF,"Semana 4",hEstado_RF,"Completado")&amp;" / "&amp;COUNTIF(hSemana_RF,"Semana 4")</f>
        <v/>
      </c>
      <c r="G72" s="22">
        <f>COUNTIF(hEstado_RF,"Completado")&amp;" / "&amp;COUNTIF(hEstado_RF,"?*")</f>
        <v/>
      </c>
      <c r="H72" s="22">
        <f>COUNTIF(hEstado_RF,"Vencida")</f>
        <v/>
      </c>
      <c r="I72" s="44">
        <f>IF(H72&gt;0,"⚠ "&amp;H72&amp;" actividad(es) vencida(s) sin completar","Sin actividades vencidas")</f>
        <v/>
      </c>
      <c r="J72" s="44" t="n"/>
      <c r="K72" s="44" t="n"/>
      <c r="L72" s="44" t="n"/>
      <c r="M72" s="44" t="n"/>
    </row>
    <row r="73">
      <c r="B73" s="25">
        <f>'Calculos'!A7</f>
        <v/>
      </c>
      <c r="C73" s="22">
        <f>COUNTIFS(hSemana_ATR,"Semana 1",hEstado_ATR,"Completado")&amp;" / "&amp;COUNTIF(hSemana_ATR,"Semana 1")</f>
        <v/>
      </c>
      <c r="D73" s="22">
        <f>COUNTIFS(hSemana_ATR,"Semana 2",hEstado_ATR,"Completado")&amp;" / "&amp;COUNTIF(hSemana_ATR,"Semana 2")</f>
        <v/>
      </c>
      <c r="E73" s="22">
        <f>COUNTIFS(hSemana_ATR,"Semana 3",hEstado_ATR,"Completado")&amp;" / "&amp;COUNTIF(hSemana_ATR,"Semana 3")</f>
        <v/>
      </c>
      <c r="F73" s="22">
        <f>COUNTIFS(hSemana_ATR,"Semana 4",hEstado_ATR,"Completado")&amp;" / "&amp;COUNTIF(hSemana_ATR,"Semana 4")</f>
        <v/>
      </c>
      <c r="G73" s="22">
        <f>COUNTIF(hEstado_ATR,"Completado")&amp;" / "&amp;COUNTIF(hEstado_ATR,"?*")</f>
        <v/>
      </c>
      <c r="H73" s="22">
        <f>COUNTIF(hEstado_ATR,"Vencida")</f>
        <v/>
      </c>
      <c r="I73" s="44">
        <f>IF(H73&gt;0,"⚠ "&amp;H73&amp;" actividad(es) vencida(s) sin completar","Sin actividades vencidas")</f>
        <v/>
      </c>
      <c r="J73" s="44" t="n"/>
      <c r="K73" s="44" t="n"/>
      <c r="L73" s="44" t="n"/>
      <c r="M73" s="44" t="n"/>
    </row>
  </sheetData>
  <sheetProtection selectLockedCells="0" selectUnlockedCells="0" sheet="1" objects="0" insertRows="1" insertHyperlinks="1" autoFilter="1" scenarios="0" formatColumns="1" deleteColumns="1" insertColumns="1" pivotTables="1" deleteRows="1" formatCells="1" formatRows="1" sort="1"/>
  <mergeCells count="84">
    <mergeCell ref="L17:M17"/>
    <mergeCell ref="L19:M19"/>
    <mergeCell ref="L28:M28"/>
    <mergeCell ref="B58:F58"/>
    <mergeCell ref="I61:M61"/>
    <mergeCell ref="B52:F52"/>
    <mergeCell ref="I70:M70"/>
    <mergeCell ref="I54:M54"/>
    <mergeCell ref="B60:F60"/>
    <mergeCell ref="I72:M72"/>
    <mergeCell ref="G12:M12"/>
    <mergeCell ref="B6:D6"/>
    <mergeCell ref="B53:F53"/>
    <mergeCell ref="I56:M56"/>
    <mergeCell ref="L29:M29"/>
    <mergeCell ref="K10:M10"/>
    <mergeCell ref="H5:J5"/>
    <mergeCell ref="B4:D4"/>
    <mergeCell ref="L31:M31"/>
    <mergeCell ref="I73:M73"/>
    <mergeCell ref="K9:M9"/>
    <mergeCell ref="K5:M5"/>
    <mergeCell ref="I63:M63"/>
    <mergeCell ref="I59:M59"/>
    <mergeCell ref="I65:M65"/>
    <mergeCell ref="I60:M60"/>
    <mergeCell ref="B54:F54"/>
    <mergeCell ref="L16:M16"/>
    <mergeCell ref="B8:D8"/>
    <mergeCell ref="B56:F56"/>
    <mergeCell ref="E6:G6"/>
    <mergeCell ref="H23:K23"/>
    <mergeCell ref="B10:D10"/>
    <mergeCell ref="K8:M8"/>
    <mergeCell ref="B9:D9"/>
    <mergeCell ref="B68:M68"/>
    <mergeCell ref="B57:F57"/>
    <mergeCell ref="L30:M30"/>
    <mergeCell ref="B5:D5"/>
    <mergeCell ref="L20:M20"/>
    <mergeCell ref="K4:M4"/>
    <mergeCell ref="I62:M62"/>
    <mergeCell ref="I64:M64"/>
    <mergeCell ref="E8:G8"/>
    <mergeCell ref="H4:J4"/>
    <mergeCell ref="H6:J6"/>
    <mergeCell ref="E10:G10"/>
    <mergeCell ref="B62:F62"/>
    <mergeCell ref="B59:F59"/>
    <mergeCell ref="E9:G9"/>
    <mergeCell ref="L24:M24"/>
    <mergeCell ref="L18:M18"/>
    <mergeCell ref="I53:M53"/>
    <mergeCell ref="L26:M26"/>
    <mergeCell ref="I55:M55"/>
    <mergeCell ref="H8:J8"/>
    <mergeCell ref="L25:M25"/>
    <mergeCell ref="I52:M52"/>
    <mergeCell ref="B65:F65"/>
    <mergeCell ref="H10:J10"/>
    <mergeCell ref="C12:F12"/>
    <mergeCell ref="B22:M22"/>
    <mergeCell ref="B63:F63"/>
    <mergeCell ref="E4:G4"/>
    <mergeCell ref="H9:J9"/>
    <mergeCell ref="C23:F23"/>
    <mergeCell ref="B14:M14"/>
    <mergeCell ref="B1:M1"/>
    <mergeCell ref="H2:M2"/>
    <mergeCell ref="I57:M57"/>
    <mergeCell ref="L15:M15"/>
    <mergeCell ref="B61:F61"/>
    <mergeCell ref="L23:M23"/>
    <mergeCell ref="I71:M71"/>
    <mergeCell ref="I58:M58"/>
    <mergeCell ref="B33:M33"/>
    <mergeCell ref="B51:M51"/>
    <mergeCell ref="K6:M6"/>
    <mergeCell ref="B55:F55"/>
    <mergeCell ref="B64:F64"/>
    <mergeCell ref="E5:G5"/>
    <mergeCell ref="B66:M66"/>
    <mergeCell ref="L27:M27"/>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actividades",LEFT(K16,11)="Pesos suman",K16="No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53:H65">
    <cfRule type="expression" priority="28" dxfId="0">
      <formula>LEFT(H53,1)="✔"</formula>
    </cfRule>
    <cfRule type="expression" priority="29" dxfId="1">
      <formula>LEFT(H53,1)="●"</formula>
    </cfRule>
    <cfRule type="expression" priority="30" dxfId="2">
      <formula>LEFT(H53,1)="⚠"</formula>
    </cfRule>
  </conditionalFormatting>
  <conditionalFormatting sqref="H70:H73">
    <cfRule type="expression" priority="31" dxfId="6">
      <formula>H70&gt;0</formula>
    </cfRule>
  </conditionalFormatting>
  <conditionalFormatting sqref="I70:M73">
    <cfRule type="expression" priority="32" dxfId="1">
      <formula>LEFT($I70,1)="⚠"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70" r:id="rId5"/>
    <hyperlink xmlns:r="http://schemas.openxmlformats.org/officeDocument/2006/relationships" ref="B71" r:id="rId6"/>
    <hyperlink xmlns:r="http://schemas.openxmlformats.org/officeDocument/2006/relationships" ref="B72" r:id="rId7"/>
    <hyperlink xmlns:r="http://schemas.openxmlformats.org/officeDocument/2006/relationships" ref="B73" r:id="rId8"/>
  </hyperlinks>
  <pageMargins left="0.3" right="0.3" top="0.4" bottom="0.4" header="0.5" footer="0.5"/>
  <pageSetup orientation="landscape" paperSize="1" fitToHeight="0" fitToWidth="1"/>
  <headerFooter>
    <oddHeader/>
    <oddFooter>&amp;CPágina &amp;P de &amp;N</oddFooter>
    <evenHeader/>
    <evenFooter/>
    <firstHeader/>
    <firstFooter/>
  </headerFooter>
  <rowBreaks count="1" manualBreakCount="1">
    <brk id="34" min="0" max="16383" man="1"/>
  </rowBreaks>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45" t="inlineStr">
        <is>
          <t>Historial mensual de actividades</t>
        </is>
      </c>
      <c r="C1" s="45" t="n"/>
      <c r="D1" s="45" t="n"/>
      <c r="E1" s="45" t="n"/>
      <c r="F1" s="45" t="n"/>
      <c r="G1" s="45" t="n"/>
      <c r="H1" s="45" t="n"/>
      <c r="I1" s="45" t="n"/>
      <c r="J1" s="45" t="n"/>
      <c r="K1" s="45" t="n"/>
    </row>
    <row r="2" ht="32" customHeight="1">
      <c r="B2" s="46"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6" t="n"/>
      <c r="D2" s="46" t="n"/>
      <c r="E2" s="46" t="n"/>
      <c r="F2" s="46" t="n"/>
      <c r="G2" s="46" t="n"/>
      <c r="H2" s="46" t="n"/>
      <c r="I2" s="46" t="n"/>
      <c r="J2" s="46" t="n"/>
      <c r="K2" s="46" t="n"/>
    </row>
    <row r="4">
      <c r="B4" s="47" t="inlineStr">
        <is>
          <t>Mes</t>
        </is>
      </c>
      <c r="C4" s="48" t="inlineStr">
        <is>
          <t>Riesgo Operacional</t>
        </is>
      </c>
      <c r="D4" s="48" t="n"/>
      <c r="E4" s="49" t="inlineStr">
        <is>
          <t>Riesgo Normativo</t>
        </is>
      </c>
      <c r="F4" s="49" t="n"/>
      <c r="G4" s="50" t="inlineStr">
        <is>
          <t>Riesgo Financiero</t>
        </is>
      </c>
      <c r="H4" s="50" t="n"/>
      <c r="I4" s="7" t="inlineStr">
        <is>
          <t>Asistente Técnico de Riesgo</t>
        </is>
      </c>
      <c r="J4" s="7" t="n"/>
      <c r="K4" s="47" t="inlineStr">
        <is>
          <t>Avance general</t>
        </is>
      </c>
    </row>
    <row r="5" ht="28" customHeight="1">
      <c r="B5" s="47"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47" t="n"/>
      <c r="M5" t="inlineStr">
        <is>
          <t>Riesgo Operacional</t>
        </is>
      </c>
      <c r="N5" t="inlineStr">
        <is>
          <t>Riesgo Normativo</t>
        </is>
      </c>
      <c r="O5" t="inlineStr">
        <is>
          <t>Riesgo Financiero</t>
        </is>
      </c>
      <c r="P5" t="inlineStr">
        <is>
          <t>Asistente Técnico de Riesgo</t>
        </is>
      </c>
    </row>
    <row r="6" ht="20" customHeight="1">
      <c r="B6" s="51">
        <f>DATE(YEAR(HistInicio),MONTH(HistInicio)+0,1)</f>
        <v/>
      </c>
      <c r="C6" s="20">
        <f>IF(COUNTIFS(rValid_RO,"?*",rMes_RO,$B6)=0,"Sin datos",IF(ABS(SUMIFS(rPeso_RO,rMes_RO,$B6)-1)&gt;0.0001,"Pesos ≠ 100%",SUMPRODUCT(--(rMes_RO=$B6),rPeso_RO,rAvance_RO)))</f>
        <v/>
      </c>
      <c r="D6" s="22">
        <f>IF(COUNTIFS(rValid_RO,"?*",rMes_RO,$B6)=0,"",COUNTIFS(rEstado_RO,"Completado",rMes_RO,$B6)&amp;" / "&amp;COUNTIFS(rValid_RO,"?*",rMes_RO,$B6))</f>
        <v/>
      </c>
      <c r="E6" s="20">
        <f>IF(COUNTIFS(rValid_RN,"?*",rMes_RN,$B6)=0,"Sin datos",IF(ABS(SUMIFS(rPeso_RN,rMes_RN,$B6)-1)&gt;0.0001,"Pesos ≠ 100%",SUMPRODUCT(--(rMes_RN=$B6),rPeso_RN,rAvance_RN)))</f>
        <v/>
      </c>
      <c r="F6" s="22">
        <f>IF(COUNTIFS(rValid_RN,"?*",rMes_RN,$B6)=0,"",COUNTIFS(rEstado_RN,"Completado",rMes_RN,$B6)&amp;" / "&amp;COUNTIFS(rValid_RN,"?*",rMes_RN,$B6))</f>
        <v/>
      </c>
      <c r="G6" s="20">
        <f>IF(COUNTIFS(rValid_RF,"?*",rMes_RF,$B6)=0,"Sin datos",IF(ABS(SUMIFS(rPeso_RF,rMes_RF,$B6)-1)&gt;0.0001,"Pesos ≠ 100%",SUMPRODUCT(--(rMes_RF=$B6),rPeso_RF,rAvance_RF)))</f>
        <v/>
      </c>
      <c r="H6" s="22">
        <f>IF(COUNTIFS(rValid_RF,"?*",rMes_RF,$B6)=0,"",COUNTIFS(rEstado_RF,"Completado",rMes_RF,$B6)&amp;" / "&amp;COUNTIFS(rValid_RF,"?*",rMes_RF,$B6))</f>
        <v/>
      </c>
      <c r="I6" s="20">
        <f>IF(COUNTIFS(rValid_ATR,"?*",rMes_ATR,$B6)=0,"Sin datos",IF(ABS(SUMIFS(rPeso_ATR,rMes_ATR,$B6)-1)&gt;0.0001,"Pesos ≠ 100%",SUMPRODUCT(--(rMes_ATR=$B6),rPeso_ATR,rAvance_ATR)))</f>
        <v/>
      </c>
      <c r="J6" s="22">
        <f>IF(COUNTIFS(rValid_ATR,"?*",rMes_ATR,$B6)=0,"",COUNTIFS(rEstado_ATR,"Completado",rMes_ATR,$B6)&amp;" / "&amp;COUNTIFS(rValid_ATR,"?*",rMes_ATR,$B6))</f>
        <v/>
      </c>
      <c r="K6" s="52">
        <f>IF(COUNT(C6,E6,G6,I6)=4,AVERAGE(C6,E6,G6,I6),IF(COUNTIF(C6:J6,"Sin datos")=4,"Sin datos","No definitivo"))</f>
        <v/>
      </c>
      <c r="M6">
        <f>IF(ISNUMBER(C6),C6,0)</f>
        <v/>
      </c>
      <c r="N6">
        <f>IF(ISNUMBER(E6),E6,0)</f>
        <v/>
      </c>
      <c r="O6">
        <f>IF(ISNUMBER(G6),G6,0)</f>
        <v/>
      </c>
      <c r="P6">
        <f>IF(ISNUMBER(I6),I6,0)</f>
        <v/>
      </c>
      <c r="Q6">
        <f>CHOOSE(MONTH(B6),"ene","feb","mar","abr","may","jun","jul","ago","sep","oct","nov","dic")&amp;" "&amp;YEAR(B6)</f>
        <v/>
      </c>
    </row>
    <row r="7" ht="20" customHeight="1">
      <c r="B7" s="51">
        <f>DATE(YEAR(HistInicio),MONTH(HistInicio)+1,1)</f>
        <v/>
      </c>
      <c r="C7" s="20">
        <f>IF(COUNTIFS(rValid_RO,"?*",rMes_RO,$B7)=0,"Sin datos",IF(ABS(SUMIFS(rPeso_RO,rMes_RO,$B7)-1)&gt;0.0001,"Pesos ≠ 100%",SUMPRODUCT(--(rMes_RO=$B7),rPeso_RO,rAvance_RO)))</f>
        <v/>
      </c>
      <c r="D7" s="22">
        <f>IF(COUNTIFS(rValid_RO,"?*",rMes_RO,$B7)=0,"",COUNTIFS(rEstado_RO,"Completado",rMes_RO,$B7)&amp;" / "&amp;COUNTIFS(rValid_RO,"?*",rMes_RO,$B7))</f>
        <v/>
      </c>
      <c r="E7" s="20">
        <f>IF(COUNTIFS(rValid_RN,"?*",rMes_RN,$B7)=0,"Sin datos",IF(ABS(SUMIFS(rPeso_RN,rMes_RN,$B7)-1)&gt;0.0001,"Pesos ≠ 100%",SUMPRODUCT(--(rMes_RN=$B7),rPeso_RN,rAvance_RN)))</f>
        <v/>
      </c>
      <c r="F7" s="22">
        <f>IF(COUNTIFS(rValid_RN,"?*",rMes_RN,$B7)=0,"",COUNTIFS(rEstado_RN,"Completado",rMes_RN,$B7)&amp;" / "&amp;COUNTIFS(rValid_RN,"?*",rMes_RN,$B7))</f>
        <v/>
      </c>
      <c r="G7" s="20">
        <f>IF(COUNTIFS(rValid_RF,"?*",rMes_RF,$B7)=0,"Sin datos",IF(ABS(SUMIFS(rPeso_RF,rMes_RF,$B7)-1)&gt;0.0001,"Pesos ≠ 100%",SUMPRODUCT(--(rMes_RF=$B7),rPeso_RF,rAvance_RF)))</f>
        <v/>
      </c>
      <c r="H7" s="22">
        <f>IF(COUNTIFS(rValid_RF,"?*",rMes_RF,$B7)=0,"",COUNTIFS(rEstado_RF,"Completado",rMes_RF,$B7)&amp;" / "&amp;COUNTIFS(rValid_RF,"?*",rMes_RF,$B7))</f>
        <v/>
      </c>
      <c r="I7" s="20">
        <f>IF(COUNTIFS(rValid_ATR,"?*",rMes_ATR,$B7)=0,"Sin datos",IF(ABS(SUMIFS(rPeso_ATR,rMes_ATR,$B7)-1)&gt;0.0001,"Pesos ≠ 100%",SUMPRODUCT(--(rMes_ATR=$B7),rPeso_ATR,rAvance_ATR)))</f>
        <v/>
      </c>
      <c r="J7" s="22">
        <f>IF(COUNTIFS(rValid_ATR,"?*",rMes_ATR,$B7)=0,"",COUNTIFS(rEstado_ATR,"Completado",rMes_ATR,$B7)&amp;" / "&amp;COUNTIFS(rValid_ATR,"?*",rMes_ATR,$B7))</f>
        <v/>
      </c>
      <c r="K7" s="52">
        <f>IF(COUNT(C7,E7,G7,I7)=4,AVERAGE(C7,E7,G7,I7),IF(COUNTIF(C7:J7,"Sin datos")=4,"Sin datos","No definitivo"))</f>
        <v/>
      </c>
      <c r="M7">
        <f>IF(ISNUMBER(C7),C7,0)</f>
        <v/>
      </c>
      <c r="N7">
        <f>IF(ISNUMBER(E7),E7,0)</f>
        <v/>
      </c>
      <c r="O7">
        <f>IF(ISNUMBER(G7),G7,0)</f>
        <v/>
      </c>
      <c r="P7">
        <f>IF(ISNUMBER(I7),I7,0)</f>
        <v/>
      </c>
      <c r="Q7">
        <f>CHOOSE(MONTH(B7),"ene","feb","mar","abr","may","jun","jul","ago","sep","oct","nov","dic")&amp;" "&amp;YEAR(B7)</f>
        <v/>
      </c>
    </row>
    <row r="8" ht="20" customHeight="1">
      <c r="B8" s="51">
        <f>DATE(YEAR(HistInicio),MONTH(HistInicio)+2,1)</f>
        <v/>
      </c>
      <c r="C8" s="20">
        <f>IF(COUNTIFS(rValid_RO,"?*",rMes_RO,$B8)=0,"Sin datos",IF(ABS(SUMIFS(rPeso_RO,rMes_RO,$B8)-1)&gt;0.0001,"Pesos ≠ 100%",SUMPRODUCT(--(rMes_RO=$B8),rPeso_RO,rAvance_RO)))</f>
        <v/>
      </c>
      <c r="D8" s="22">
        <f>IF(COUNTIFS(rValid_RO,"?*",rMes_RO,$B8)=0,"",COUNTIFS(rEstado_RO,"Completado",rMes_RO,$B8)&amp;" / "&amp;COUNTIFS(rValid_RO,"?*",rMes_RO,$B8))</f>
        <v/>
      </c>
      <c r="E8" s="20">
        <f>IF(COUNTIFS(rValid_RN,"?*",rMes_RN,$B8)=0,"Sin datos",IF(ABS(SUMIFS(rPeso_RN,rMes_RN,$B8)-1)&gt;0.0001,"Pesos ≠ 100%",SUMPRODUCT(--(rMes_RN=$B8),rPeso_RN,rAvance_RN)))</f>
        <v/>
      </c>
      <c r="F8" s="22">
        <f>IF(COUNTIFS(rValid_RN,"?*",rMes_RN,$B8)=0,"",COUNTIFS(rEstado_RN,"Completado",rMes_RN,$B8)&amp;" / "&amp;COUNTIFS(rValid_RN,"?*",rMes_RN,$B8))</f>
        <v/>
      </c>
      <c r="G8" s="20">
        <f>IF(COUNTIFS(rValid_RF,"?*",rMes_RF,$B8)=0,"Sin datos",IF(ABS(SUMIFS(rPeso_RF,rMes_RF,$B8)-1)&gt;0.0001,"Pesos ≠ 100%",SUMPRODUCT(--(rMes_RF=$B8),rPeso_RF,rAvance_RF)))</f>
        <v/>
      </c>
      <c r="H8" s="22">
        <f>IF(COUNTIFS(rValid_RF,"?*",rMes_RF,$B8)=0,"",COUNTIFS(rEstado_RF,"Completado",rMes_RF,$B8)&amp;" / "&amp;COUNTIFS(rValid_RF,"?*",rMes_RF,$B8))</f>
        <v/>
      </c>
      <c r="I8" s="20">
        <f>IF(COUNTIFS(rValid_ATR,"?*",rMes_ATR,$B8)=0,"Sin datos",IF(ABS(SUMIFS(rPeso_ATR,rMes_ATR,$B8)-1)&gt;0.0001,"Pesos ≠ 100%",SUMPRODUCT(--(rMes_ATR=$B8),rPeso_ATR,rAvance_ATR)))</f>
        <v/>
      </c>
      <c r="J8" s="22">
        <f>IF(COUNTIFS(rValid_ATR,"?*",rMes_ATR,$B8)=0,"",COUNTIFS(rEstado_ATR,"Completado",rMes_ATR,$B8)&amp;" / "&amp;COUNTIFS(rValid_ATR,"?*",rMes_ATR,$B8))</f>
        <v/>
      </c>
      <c r="K8" s="52">
        <f>IF(COUNT(C8,E8,G8,I8)=4,AVERAGE(C8,E8,G8,I8),IF(COUNTIF(C8:J8,"Sin datos")=4,"Sin datos","No definitivo"))</f>
        <v/>
      </c>
      <c r="M8">
        <f>IF(ISNUMBER(C8),C8,0)</f>
        <v/>
      </c>
      <c r="N8">
        <f>IF(ISNUMBER(E8),E8,0)</f>
        <v/>
      </c>
      <c r="O8">
        <f>IF(ISNUMBER(G8),G8,0)</f>
        <v/>
      </c>
      <c r="P8">
        <f>IF(ISNUMBER(I8),I8,0)</f>
        <v/>
      </c>
      <c r="Q8">
        <f>CHOOSE(MONTH(B8),"ene","feb","mar","abr","may","jun","jul","ago","sep","oct","nov","dic")&amp;" "&amp;YEAR(B8)</f>
        <v/>
      </c>
    </row>
    <row r="9" ht="20" customHeight="1">
      <c r="B9" s="51">
        <f>DATE(YEAR(HistInicio),MONTH(HistInicio)+3,1)</f>
        <v/>
      </c>
      <c r="C9" s="20">
        <f>IF(COUNTIFS(rValid_RO,"?*",rMes_RO,$B9)=0,"Sin datos",IF(ABS(SUMIFS(rPeso_RO,rMes_RO,$B9)-1)&gt;0.0001,"Pesos ≠ 100%",SUMPRODUCT(--(rMes_RO=$B9),rPeso_RO,rAvance_RO)))</f>
        <v/>
      </c>
      <c r="D9" s="22">
        <f>IF(COUNTIFS(rValid_RO,"?*",rMes_RO,$B9)=0,"",COUNTIFS(rEstado_RO,"Completado",rMes_RO,$B9)&amp;" / "&amp;COUNTIFS(rValid_RO,"?*",rMes_RO,$B9))</f>
        <v/>
      </c>
      <c r="E9" s="20">
        <f>IF(COUNTIFS(rValid_RN,"?*",rMes_RN,$B9)=0,"Sin datos",IF(ABS(SUMIFS(rPeso_RN,rMes_RN,$B9)-1)&gt;0.0001,"Pesos ≠ 100%",SUMPRODUCT(--(rMes_RN=$B9),rPeso_RN,rAvance_RN)))</f>
        <v/>
      </c>
      <c r="F9" s="22">
        <f>IF(COUNTIFS(rValid_RN,"?*",rMes_RN,$B9)=0,"",COUNTIFS(rEstado_RN,"Completado",rMes_RN,$B9)&amp;" / "&amp;COUNTIFS(rValid_RN,"?*",rMes_RN,$B9))</f>
        <v/>
      </c>
      <c r="G9" s="20">
        <f>IF(COUNTIFS(rValid_RF,"?*",rMes_RF,$B9)=0,"Sin datos",IF(ABS(SUMIFS(rPeso_RF,rMes_RF,$B9)-1)&gt;0.0001,"Pesos ≠ 100%",SUMPRODUCT(--(rMes_RF=$B9),rPeso_RF,rAvance_RF)))</f>
        <v/>
      </c>
      <c r="H9" s="22">
        <f>IF(COUNTIFS(rValid_RF,"?*",rMes_RF,$B9)=0,"",COUNTIFS(rEstado_RF,"Completado",rMes_RF,$B9)&amp;" / "&amp;COUNTIFS(rValid_RF,"?*",rMes_RF,$B9))</f>
        <v/>
      </c>
      <c r="I9" s="20">
        <f>IF(COUNTIFS(rValid_ATR,"?*",rMes_ATR,$B9)=0,"Sin datos",IF(ABS(SUMIFS(rPeso_ATR,rMes_ATR,$B9)-1)&gt;0.0001,"Pesos ≠ 100%",SUMPRODUCT(--(rMes_ATR=$B9),rPeso_ATR,rAvance_ATR)))</f>
        <v/>
      </c>
      <c r="J9" s="22">
        <f>IF(COUNTIFS(rValid_ATR,"?*",rMes_ATR,$B9)=0,"",COUNTIFS(rEstado_ATR,"Completado",rMes_ATR,$B9)&amp;" / "&amp;COUNTIFS(rValid_ATR,"?*",rMes_ATR,$B9))</f>
        <v/>
      </c>
      <c r="K9" s="52">
        <f>IF(COUNT(C9,E9,G9,I9)=4,AVERAGE(C9,E9,G9,I9),IF(COUNTIF(C9:J9,"Sin datos")=4,"Sin datos","No definitivo"))</f>
        <v/>
      </c>
      <c r="M9">
        <f>IF(ISNUMBER(C9),C9,0)</f>
        <v/>
      </c>
      <c r="N9">
        <f>IF(ISNUMBER(E9),E9,0)</f>
        <v/>
      </c>
      <c r="O9">
        <f>IF(ISNUMBER(G9),G9,0)</f>
        <v/>
      </c>
      <c r="P9">
        <f>IF(ISNUMBER(I9),I9,0)</f>
        <v/>
      </c>
      <c r="Q9">
        <f>CHOOSE(MONTH(B9),"ene","feb","mar","abr","may","jun","jul","ago","sep","oct","nov","dic")&amp;" "&amp;YEAR(B9)</f>
        <v/>
      </c>
    </row>
    <row r="10" ht="20" customHeight="1">
      <c r="B10" s="51">
        <f>DATE(YEAR(HistInicio),MONTH(HistInicio)+4,1)</f>
        <v/>
      </c>
      <c r="C10" s="20">
        <f>IF(COUNTIFS(rValid_RO,"?*",rMes_RO,$B10)=0,"Sin datos",IF(ABS(SUMIFS(rPeso_RO,rMes_RO,$B10)-1)&gt;0.0001,"Pesos ≠ 100%",SUMPRODUCT(--(rMes_RO=$B10),rPeso_RO,rAvance_RO)))</f>
        <v/>
      </c>
      <c r="D10" s="22">
        <f>IF(COUNTIFS(rValid_RO,"?*",rMes_RO,$B10)=0,"",COUNTIFS(rEstado_RO,"Completado",rMes_RO,$B10)&amp;" / "&amp;COUNTIFS(rValid_RO,"?*",rMes_RO,$B10))</f>
        <v/>
      </c>
      <c r="E10" s="20">
        <f>IF(COUNTIFS(rValid_RN,"?*",rMes_RN,$B10)=0,"Sin datos",IF(ABS(SUMIFS(rPeso_RN,rMes_RN,$B10)-1)&gt;0.0001,"Pesos ≠ 100%",SUMPRODUCT(--(rMes_RN=$B10),rPeso_RN,rAvance_RN)))</f>
        <v/>
      </c>
      <c r="F10" s="22">
        <f>IF(COUNTIFS(rValid_RN,"?*",rMes_RN,$B10)=0,"",COUNTIFS(rEstado_RN,"Completado",rMes_RN,$B10)&amp;" / "&amp;COUNTIFS(rValid_RN,"?*",rMes_RN,$B10))</f>
        <v/>
      </c>
      <c r="G10" s="20">
        <f>IF(COUNTIFS(rValid_RF,"?*",rMes_RF,$B10)=0,"Sin datos",IF(ABS(SUMIFS(rPeso_RF,rMes_RF,$B10)-1)&gt;0.0001,"Pesos ≠ 100%",SUMPRODUCT(--(rMes_RF=$B10),rPeso_RF,rAvance_RF)))</f>
        <v/>
      </c>
      <c r="H10" s="22">
        <f>IF(COUNTIFS(rValid_RF,"?*",rMes_RF,$B10)=0,"",COUNTIFS(rEstado_RF,"Completado",rMes_RF,$B10)&amp;" / "&amp;COUNTIFS(rValid_RF,"?*",rMes_RF,$B10))</f>
        <v/>
      </c>
      <c r="I10" s="20">
        <f>IF(COUNTIFS(rValid_ATR,"?*",rMes_ATR,$B10)=0,"Sin datos",IF(ABS(SUMIFS(rPeso_ATR,rMes_ATR,$B10)-1)&gt;0.0001,"Pesos ≠ 100%",SUMPRODUCT(--(rMes_ATR=$B10),rPeso_ATR,rAvance_ATR)))</f>
        <v/>
      </c>
      <c r="J10" s="22">
        <f>IF(COUNTIFS(rValid_ATR,"?*",rMes_ATR,$B10)=0,"",COUNTIFS(rEstado_ATR,"Completado",rMes_ATR,$B10)&amp;" / "&amp;COUNTIFS(rValid_ATR,"?*",rMes_ATR,$B10))</f>
        <v/>
      </c>
      <c r="K10" s="52">
        <f>IF(COUNT(C10,E10,G10,I10)=4,AVERAGE(C10,E10,G10,I10),IF(COUNTIF(C10:J10,"Sin datos")=4,"Sin datos","No definitivo"))</f>
        <v/>
      </c>
      <c r="M10">
        <f>IF(ISNUMBER(C10),C10,0)</f>
        <v/>
      </c>
      <c r="N10">
        <f>IF(ISNUMBER(E10),E10,0)</f>
        <v/>
      </c>
      <c r="O10">
        <f>IF(ISNUMBER(G10),G10,0)</f>
        <v/>
      </c>
      <c r="P10">
        <f>IF(ISNUMBER(I10),I10,0)</f>
        <v/>
      </c>
      <c r="Q10">
        <f>CHOOSE(MONTH(B10),"ene","feb","mar","abr","may","jun","jul","ago","sep","oct","nov","dic")&amp;" "&amp;YEAR(B10)</f>
        <v/>
      </c>
    </row>
    <row r="11" ht="20" customHeight="1">
      <c r="B11" s="51">
        <f>DATE(YEAR(HistInicio),MONTH(HistInicio)+5,1)</f>
        <v/>
      </c>
      <c r="C11" s="20">
        <f>IF(COUNTIFS(rValid_RO,"?*",rMes_RO,$B11)=0,"Sin datos",IF(ABS(SUMIFS(rPeso_RO,rMes_RO,$B11)-1)&gt;0.0001,"Pesos ≠ 100%",SUMPRODUCT(--(rMes_RO=$B11),rPeso_RO,rAvance_RO)))</f>
        <v/>
      </c>
      <c r="D11" s="22">
        <f>IF(COUNTIFS(rValid_RO,"?*",rMes_RO,$B11)=0,"",COUNTIFS(rEstado_RO,"Completado",rMes_RO,$B11)&amp;" / "&amp;COUNTIFS(rValid_RO,"?*",rMes_RO,$B11))</f>
        <v/>
      </c>
      <c r="E11" s="20">
        <f>IF(COUNTIFS(rValid_RN,"?*",rMes_RN,$B11)=0,"Sin datos",IF(ABS(SUMIFS(rPeso_RN,rMes_RN,$B11)-1)&gt;0.0001,"Pesos ≠ 100%",SUMPRODUCT(--(rMes_RN=$B11),rPeso_RN,rAvance_RN)))</f>
        <v/>
      </c>
      <c r="F11" s="22">
        <f>IF(COUNTIFS(rValid_RN,"?*",rMes_RN,$B11)=0,"",COUNTIFS(rEstado_RN,"Completado",rMes_RN,$B11)&amp;" / "&amp;COUNTIFS(rValid_RN,"?*",rMes_RN,$B11))</f>
        <v/>
      </c>
      <c r="G11" s="20">
        <f>IF(COUNTIFS(rValid_RF,"?*",rMes_RF,$B11)=0,"Sin datos",IF(ABS(SUMIFS(rPeso_RF,rMes_RF,$B11)-1)&gt;0.0001,"Pesos ≠ 100%",SUMPRODUCT(--(rMes_RF=$B11),rPeso_RF,rAvance_RF)))</f>
        <v/>
      </c>
      <c r="H11" s="22">
        <f>IF(COUNTIFS(rValid_RF,"?*",rMes_RF,$B11)=0,"",COUNTIFS(rEstado_RF,"Completado",rMes_RF,$B11)&amp;" / "&amp;COUNTIFS(rValid_RF,"?*",rMes_RF,$B11))</f>
        <v/>
      </c>
      <c r="I11" s="20">
        <f>IF(COUNTIFS(rValid_ATR,"?*",rMes_ATR,$B11)=0,"Sin datos",IF(ABS(SUMIFS(rPeso_ATR,rMes_ATR,$B11)-1)&gt;0.0001,"Pesos ≠ 100%",SUMPRODUCT(--(rMes_ATR=$B11),rPeso_ATR,rAvance_ATR)))</f>
        <v/>
      </c>
      <c r="J11" s="22">
        <f>IF(COUNTIFS(rValid_ATR,"?*",rMes_ATR,$B11)=0,"",COUNTIFS(rEstado_ATR,"Completado",rMes_ATR,$B11)&amp;" / "&amp;COUNTIFS(rValid_ATR,"?*",rMes_ATR,$B11))</f>
        <v/>
      </c>
      <c r="K11" s="52">
        <f>IF(COUNT(C11,E11,G11,I11)=4,AVERAGE(C11,E11,G11,I11),IF(COUNTIF(C11:J11,"Sin datos")=4,"Sin datos","No definitivo"))</f>
        <v/>
      </c>
      <c r="M11">
        <f>IF(ISNUMBER(C11),C11,0)</f>
        <v/>
      </c>
      <c r="N11">
        <f>IF(ISNUMBER(E11),E11,0)</f>
        <v/>
      </c>
      <c r="O11">
        <f>IF(ISNUMBER(G11),G11,0)</f>
        <v/>
      </c>
      <c r="P11">
        <f>IF(ISNUMBER(I11),I11,0)</f>
        <v/>
      </c>
      <c r="Q11">
        <f>CHOOSE(MONTH(B11),"ene","feb","mar","abr","may","jun","jul","ago","sep","oct","nov","dic")&amp;" "&amp;YEAR(B11)</f>
        <v/>
      </c>
    </row>
    <row r="12" ht="20" customHeight="1">
      <c r="B12" s="51">
        <f>DATE(YEAR(HistInicio),MONTH(HistInicio)+6,1)</f>
        <v/>
      </c>
      <c r="C12" s="20">
        <f>IF(COUNTIFS(rValid_RO,"?*",rMes_RO,$B12)=0,"Sin datos",IF(ABS(SUMIFS(rPeso_RO,rMes_RO,$B12)-1)&gt;0.0001,"Pesos ≠ 100%",SUMPRODUCT(--(rMes_RO=$B12),rPeso_RO,rAvance_RO)))</f>
        <v/>
      </c>
      <c r="D12" s="22">
        <f>IF(COUNTIFS(rValid_RO,"?*",rMes_RO,$B12)=0,"",COUNTIFS(rEstado_RO,"Completado",rMes_RO,$B12)&amp;" / "&amp;COUNTIFS(rValid_RO,"?*",rMes_RO,$B12))</f>
        <v/>
      </c>
      <c r="E12" s="20">
        <f>IF(COUNTIFS(rValid_RN,"?*",rMes_RN,$B12)=0,"Sin datos",IF(ABS(SUMIFS(rPeso_RN,rMes_RN,$B12)-1)&gt;0.0001,"Pesos ≠ 100%",SUMPRODUCT(--(rMes_RN=$B12),rPeso_RN,rAvance_RN)))</f>
        <v/>
      </c>
      <c r="F12" s="22">
        <f>IF(COUNTIFS(rValid_RN,"?*",rMes_RN,$B12)=0,"",COUNTIFS(rEstado_RN,"Completado",rMes_RN,$B12)&amp;" / "&amp;COUNTIFS(rValid_RN,"?*",rMes_RN,$B12))</f>
        <v/>
      </c>
      <c r="G12" s="20">
        <f>IF(COUNTIFS(rValid_RF,"?*",rMes_RF,$B12)=0,"Sin datos",IF(ABS(SUMIFS(rPeso_RF,rMes_RF,$B12)-1)&gt;0.0001,"Pesos ≠ 100%",SUMPRODUCT(--(rMes_RF=$B12),rPeso_RF,rAvance_RF)))</f>
        <v/>
      </c>
      <c r="H12" s="22">
        <f>IF(COUNTIFS(rValid_RF,"?*",rMes_RF,$B12)=0,"",COUNTIFS(rEstado_RF,"Completado",rMes_RF,$B12)&amp;" / "&amp;COUNTIFS(rValid_RF,"?*",rMes_RF,$B12))</f>
        <v/>
      </c>
      <c r="I12" s="20">
        <f>IF(COUNTIFS(rValid_ATR,"?*",rMes_ATR,$B12)=0,"Sin datos",IF(ABS(SUMIFS(rPeso_ATR,rMes_ATR,$B12)-1)&gt;0.0001,"Pesos ≠ 100%",SUMPRODUCT(--(rMes_ATR=$B12),rPeso_ATR,rAvance_ATR)))</f>
        <v/>
      </c>
      <c r="J12" s="22">
        <f>IF(COUNTIFS(rValid_ATR,"?*",rMes_ATR,$B12)=0,"",COUNTIFS(rEstado_ATR,"Completado",rMes_ATR,$B12)&amp;" / "&amp;COUNTIFS(rValid_ATR,"?*",rMes_ATR,$B12))</f>
        <v/>
      </c>
      <c r="K12" s="52">
        <f>IF(COUNT(C12,E12,G12,I12)=4,AVERAGE(C12,E12,G12,I12),IF(COUNTIF(C12:J12,"Sin datos")=4,"Sin datos","No definitivo"))</f>
        <v/>
      </c>
      <c r="M12">
        <f>IF(ISNUMBER(C12),C12,0)</f>
        <v/>
      </c>
      <c r="N12">
        <f>IF(ISNUMBER(E12),E12,0)</f>
        <v/>
      </c>
      <c r="O12">
        <f>IF(ISNUMBER(G12),G12,0)</f>
        <v/>
      </c>
      <c r="P12">
        <f>IF(ISNUMBER(I12),I12,0)</f>
        <v/>
      </c>
      <c r="Q12">
        <f>CHOOSE(MONTH(B12),"ene","feb","mar","abr","may","jun","jul","ago","sep","oct","nov","dic")&amp;" "&amp;YEAR(B12)</f>
        <v/>
      </c>
    </row>
    <row r="13" ht="20" customHeight="1">
      <c r="B13" s="51">
        <f>DATE(YEAR(HistInicio),MONTH(HistInicio)+7,1)</f>
        <v/>
      </c>
      <c r="C13" s="20">
        <f>IF(COUNTIFS(rValid_RO,"?*",rMes_RO,$B13)=0,"Sin datos",IF(ABS(SUMIFS(rPeso_RO,rMes_RO,$B13)-1)&gt;0.0001,"Pesos ≠ 100%",SUMPRODUCT(--(rMes_RO=$B13),rPeso_RO,rAvance_RO)))</f>
        <v/>
      </c>
      <c r="D13" s="22">
        <f>IF(COUNTIFS(rValid_RO,"?*",rMes_RO,$B13)=0,"",COUNTIFS(rEstado_RO,"Completado",rMes_RO,$B13)&amp;" / "&amp;COUNTIFS(rValid_RO,"?*",rMes_RO,$B13))</f>
        <v/>
      </c>
      <c r="E13" s="20">
        <f>IF(COUNTIFS(rValid_RN,"?*",rMes_RN,$B13)=0,"Sin datos",IF(ABS(SUMIFS(rPeso_RN,rMes_RN,$B13)-1)&gt;0.0001,"Pesos ≠ 100%",SUMPRODUCT(--(rMes_RN=$B13),rPeso_RN,rAvance_RN)))</f>
        <v/>
      </c>
      <c r="F13" s="22">
        <f>IF(COUNTIFS(rValid_RN,"?*",rMes_RN,$B13)=0,"",COUNTIFS(rEstado_RN,"Completado",rMes_RN,$B13)&amp;" / "&amp;COUNTIFS(rValid_RN,"?*",rMes_RN,$B13))</f>
        <v/>
      </c>
      <c r="G13" s="20">
        <f>IF(COUNTIFS(rValid_RF,"?*",rMes_RF,$B13)=0,"Sin datos",IF(ABS(SUMIFS(rPeso_RF,rMes_RF,$B13)-1)&gt;0.0001,"Pesos ≠ 100%",SUMPRODUCT(--(rMes_RF=$B13),rPeso_RF,rAvance_RF)))</f>
        <v/>
      </c>
      <c r="H13" s="22">
        <f>IF(COUNTIFS(rValid_RF,"?*",rMes_RF,$B13)=0,"",COUNTIFS(rEstado_RF,"Completado",rMes_RF,$B13)&amp;" / "&amp;COUNTIFS(rValid_RF,"?*",rMes_RF,$B13))</f>
        <v/>
      </c>
      <c r="I13" s="20">
        <f>IF(COUNTIFS(rValid_ATR,"?*",rMes_ATR,$B13)=0,"Sin datos",IF(ABS(SUMIFS(rPeso_ATR,rMes_ATR,$B13)-1)&gt;0.0001,"Pesos ≠ 100%",SUMPRODUCT(--(rMes_ATR=$B13),rPeso_ATR,rAvance_ATR)))</f>
        <v/>
      </c>
      <c r="J13" s="22">
        <f>IF(COUNTIFS(rValid_ATR,"?*",rMes_ATR,$B13)=0,"",COUNTIFS(rEstado_ATR,"Completado",rMes_ATR,$B13)&amp;" / "&amp;COUNTIFS(rValid_ATR,"?*",rMes_ATR,$B13))</f>
        <v/>
      </c>
      <c r="K13" s="52">
        <f>IF(COUNT(C13,E13,G13,I13)=4,AVERAGE(C13,E13,G13,I13),IF(COUNTIF(C13:J13,"Sin datos")=4,"Sin datos","No definitivo"))</f>
        <v/>
      </c>
      <c r="M13">
        <f>IF(ISNUMBER(C13),C13,0)</f>
        <v/>
      </c>
      <c r="N13">
        <f>IF(ISNUMBER(E13),E13,0)</f>
        <v/>
      </c>
      <c r="O13">
        <f>IF(ISNUMBER(G13),G13,0)</f>
        <v/>
      </c>
      <c r="P13">
        <f>IF(ISNUMBER(I13),I13,0)</f>
        <v/>
      </c>
      <c r="Q13">
        <f>CHOOSE(MONTH(B13),"ene","feb","mar","abr","may","jun","jul","ago","sep","oct","nov","dic")&amp;" "&amp;YEAR(B13)</f>
        <v/>
      </c>
    </row>
    <row r="14" ht="20" customHeight="1">
      <c r="B14" s="51">
        <f>DATE(YEAR(HistInicio),MONTH(HistInicio)+8,1)</f>
        <v/>
      </c>
      <c r="C14" s="20">
        <f>IF(COUNTIFS(rValid_RO,"?*",rMes_RO,$B14)=0,"Sin datos",IF(ABS(SUMIFS(rPeso_RO,rMes_RO,$B14)-1)&gt;0.0001,"Pesos ≠ 100%",SUMPRODUCT(--(rMes_RO=$B14),rPeso_RO,rAvance_RO)))</f>
        <v/>
      </c>
      <c r="D14" s="22">
        <f>IF(COUNTIFS(rValid_RO,"?*",rMes_RO,$B14)=0,"",COUNTIFS(rEstado_RO,"Completado",rMes_RO,$B14)&amp;" / "&amp;COUNTIFS(rValid_RO,"?*",rMes_RO,$B14))</f>
        <v/>
      </c>
      <c r="E14" s="20">
        <f>IF(COUNTIFS(rValid_RN,"?*",rMes_RN,$B14)=0,"Sin datos",IF(ABS(SUMIFS(rPeso_RN,rMes_RN,$B14)-1)&gt;0.0001,"Pesos ≠ 100%",SUMPRODUCT(--(rMes_RN=$B14),rPeso_RN,rAvance_RN)))</f>
        <v/>
      </c>
      <c r="F14" s="22">
        <f>IF(COUNTIFS(rValid_RN,"?*",rMes_RN,$B14)=0,"",COUNTIFS(rEstado_RN,"Completado",rMes_RN,$B14)&amp;" / "&amp;COUNTIFS(rValid_RN,"?*",rMes_RN,$B14))</f>
        <v/>
      </c>
      <c r="G14" s="20">
        <f>IF(COUNTIFS(rValid_RF,"?*",rMes_RF,$B14)=0,"Sin datos",IF(ABS(SUMIFS(rPeso_RF,rMes_RF,$B14)-1)&gt;0.0001,"Pesos ≠ 100%",SUMPRODUCT(--(rMes_RF=$B14),rPeso_RF,rAvance_RF)))</f>
        <v/>
      </c>
      <c r="H14" s="22">
        <f>IF(COUNTIFS(rValid_RF,"?*",rMes_RF,$B14)=0,"",COUNTIFS(rEstado_RF,"Completado",rMes_RF,$B14)&amp;" / "&amp;COUNTIFS(rValid_RF,"?*",rMes_RF,$B14))</f>
        <v/>
      </c>
      <c r="I14" s="20">
        <f>IF(COUNTIFS(rValid_ATR,"?*",rMes_ATR,$B14)=0,"Sin datos",IF(ABS(SUMIFS(rPeso_ATR,rMes_ATR,$B14)-1)&gt;0.0001,"Pesos ≠ 100%",SUMPRODUCT(--(rMes_ATR=$B14),rPeso_ATR,rAvance_ATR)))</f>
        <v/>
      </c>
      <c r="J14" s="22">
        <f>IF(COUNTIFS(rValid_ATR,"?*",rMes_ATR,$B14)=0,"",COUNTIFS(rEstado_ATR,"Completado",rMes_ATR,$B14)&amp;" / "&amp;COUNTIFS(rValid_ATR,"?*",rMes_ATR,$B14))</f>
        <v/>
      </c>
      <c r="K14" s="52">
        <f>IF(COUNT(C14,E14,G14,I14)=4,AVERAGE(C14,E14,G14,I14),IF(COUNTIF(C14:J14,"Sin datos")=4,"Sin datos","No definitivo"))</f>
        <v/>
      </c>
      <c r="M14">
        <f>IF(ISNUMBER(C14),C14,0)</f>
        <v/>
      </c>
      <c r="N14">
        <f>IF(ISNUMBER(E14),E14,0)</f>
        <v/>
      </c>
      <c r="O14">
        <f>IF(ISNUMBER(G14),G14,0)</f>
        <v/>
      </c>
      <c r="P14">
        <f>IF(ISNUMBER(I14),I14,0)</f>
        <v/>
      </c>
      <c r="Q14">
        <f>CHOOSE(MONTH(B14),"ene","feb","mar","abr","may","jun","jul","ago","sep","oct","nov","dic")&amp;" "&amp;YEAR(B14)</f>
        <v/>
      </c>
    </row>
    <row r="15" ht="20" customHeight="1">
      <c r="B15" s="51">
        <f>DATE(YEAR(HistInicio),MONTH(HistInicio)+9,1)</f>
        <v/>
      </c>
      <c r="C15" s="20">
        <f>IF(COUNTIFS(rValid_RO,"?*",rMes_RO,$B15)=0,"Sin datos",IF(ABS(SUMIFS(rPeso_RO,rMes_RO,$B15)-1)&gt;0.0001,"Pesos ≠ 100%",SUMPRODUCT(--(rMes_RO=$B15),rPeso_RO,rAvance_RO)))</f>
        <v/>
      </c>
      <c r="D15" s="22">
        <f>IF(COUNTIFS(rValid_RO,"?*",rMes_RO,$B15)=0,"",COUNTIFS(rEstado_RO,"Completado",rMes_RO,$B15)&amp;" / "&amp;COUNTIFS(rValid_RO,"?*",rMes_RO,$B15))</f>
        <v/>
      </c>
      <c r="E15" s="20">
        <f>IF(COUNTIFS(rValid_RN,"?*",rMes_RN,$B15)=0,"Sin datos",IF(ABS(SUMIFS(rPeso_RN,rMes_RN,$B15)-1)&gt;0.0001,"Pesos ≠ 100%",SUMPRODUCT(--(rMes_RN=$B15),rPeso_RN,rAvance_RN)))</f>
        <v/>
      </c>
      <c r="F15" s="22">
        <f>IF(COUNTIFS(rValid_RN,"?*",rMes_RN,$B15)=0,"",COUNTIFS(rEstado_RN,"Completado",rMes_RN,$B15)&amp;" / "&amp;COUNTIFS(rValid_RN,"?*",rMes_RN,$B15))</f>
        <v/>
      </c>
      <c r="G15" s="20">
        <f>IF(COUNTIFS(rValid_RF,"?*",rMes_RF,$B15)=0,"Sin datos",IF(ABS(SUMIFS(rPeso_RF,rMes_RF,$B15)-1)&gt;0.0001,"Pesos ≠ 100%",SUMPRODUCT(--(rMes_RF=$B15),rPeso_RF,rAvance_RF)))</f>
        <v/>
      </c>
      <c r="H15" s="22">
        <f>IF(COUNTIFS(rValid_RF,"?*",rMes_RF,$B15)=0,"",COUNTIFS(rEstado_RF,"Completado",rMes_RF,$B15)&amp;" / "&amp;COUNTIFS(rValid_RF,"?*",rMes_RF,$B15))</f>
        <v/>
      </c>
      <c r="I15" s="20">
        <f>IF(COUNTIFS(rValid_ATR,"?*",rMes_ATR,$B15)=0,"Sin datos",IF(ABS(SUMIFS(rPeso_ATR,rMes_ATR,$B15)-1)&gt;0.0001,"Pesos ≠ 100%",SUMPRODUCT(--(rMes_ATR=$B15),rPeso_ATR,rAvance_ATR)))</f>
        <v/>
      </c>
      <c r="J15" s="22">
        <f>IF(COUNTIFS(rValid_ATR,"?*",rMes_ATR,$B15)=0,"",COUNTIFS(rEstado_ATR,"Completado",rMes_ATR,$B15)&amp;" / "&amp;COUNTIFS(rValid_ATR,"?*",rMes_ATR,$B15))</f>
        <v/>
      </c>
      <c r="K15" s="52">
        <f>IF(COUNT(C15,E15,G15,I15)=4,AVERAGE(C15,E15,G15,I15),IF(COUNTIF(C15:J15,"Sin datos")=4,"Sin datos","No definitivo"))</f>
        <v/>
      </c>
      <c r="M15">
        <f>IF(ISNUMBER(C15),C15,0)</f>
        <v/>
      </c>
      <c r="N15">
        <f>IF(ISNUMBER(E15),E15,0)</f>
        <v/>
      </c>
      <c r="O15">
        <f>IF(ISNUMBER(G15),G15,0)</f>
        <v/>
      </c>
      <c r="P15">
        <f>IF(ISNUMBER(I15),I15,0)</f>
        <v/>
      </c>
      <c r="Q15">
        <f>CHOOSE(MONTH(B15),"ene","feb","mar","abr","may","jun","jul","ago","sep","oct","nov","dic")&amp;" "&amp;YEAR(B15)</f>
        <v/>
      </c>
    </row>
    <row r="16" ht="20" customHeight="1">
      <c r="B16" s="51">
        <f>DATE(YEAR(HistInicio),MONTH(HistInicio)+10,1)</f>
        <v/>
      </c>
      <c r="C16" s="20">
        <f>IF(COUNTIFS(rValid_RO,"?*",rMes_RO,$B16)=0,"Sin datos",IF(ABS(SUMIFS(rPeso_RO,rMes_RO,$B16)-1)&gt;0.0001,"Pesos ≠ 100%",SUMPRODUCT(--(rMes_RO=$B16),rPeso_RO,rAvance_RO)))</f>
        <v/>
      </c>
      <c r="D16" s="22">
        <f>IF(COUNTIFS(rValid_RO,"?*",rMes_RO,$B16)=0,"",COUNTIFS(rEstado_RO,"Completado",rMes_RO,$B16)&amp;" / "&amp;COUNTIFS(rValid_RO,"?*",rMes_RO,$B16))</f>
        <v/>
      </c>
      <c r="E16" s="20">
        <f>IF(COUNTIFS(rValid_RN,"?*",rMes_RN,$B16)=0,"Sin datos",IF(ABS(SUMIFS(rPeso_RN,rMes_RN,$B16)-1)&gt;0.0001,"Pesos ≠ 100%",SUMPRODUCT(--(rMes_RN=$B16),rPeso_RN,rAvance_RN)))</f>
        <v/>
      </c>
      <c r="F16" s="22">
        <f>IF(COUNTIFS(rValid_RN,"?*",rMes_RN,$B16)=0,"",COUNTIFS(rEstado_RN,"Completado",rMes_RN,$B16)&amp;" / "&amp;COUNTIFS(rValid_RN,"?*",rMes_RN,$B16))</f>
        <v/>
      </c>
      <c r="G16" s="20">
        <f>IF(COUNTIFS(rValid_RF,"?*",rMes_RF,$B16)=0,"Sin datos",IF(ABS(SUMIFS(rPeso_RF,rMes_RF,$B16)-1)&gt;0.0001,"Pesos ≠ 100%",SUMPRODUCT(--(rMes_RF=$B16),rPeso_RF,rAvance_RF)))</f>
        <v/>
      </c>
      <c r="H16" s="22">
        <f>IF(COUNTIFS(rValid_RF,"?*",rMes_RF,$B16)=0,"",COUNTIFS(rEstado_RF,"Completado",rMes_RF,$B16)&amp;" / "&amp;COUNTIFS(rValid_RF,"?*",rMes_RF,$B16))</f>
        <v/>
      </c>
      <c r="I16" s="20">
        <f>IF(COUNTIFS(rValid_ATR,"?*",rMes_ATR,$B16)=0,"Sin datos",IF(ABS(SUMIFS(rPeso_ATR,rMes_ATR,$B16)-1)&gt;0.0001,"Pesos ≠ 100%",SUMPRODUCT(--(rMes_ATR=$B16),rPeso_ATR,rAvance_ATR)))</f>
        <v/>
      </c>
      <c r="J16" s="22">
        <f>IF(COUNTIFS(rValid_ATR,"?*",rMes_ATR,$B16)=0,"",COUNTIFS(rEstado_ATR,"Completado",rMes_ATR,$B16)&amp;" / "&amp;COUNTIFS(rValid_ATR,"?*",rMes_ATR,$B16))</f>
        <v/>
      </c>
      <c r="K16" s="52">
        <f>IF(COUNT(C16,E16,G16,I16)=4,AVERAGE(C16,E16,G16,I16),IF(COUNTIF(C16:J16,"Sin datos")=4,"Sin datos","No definitivo"))</f>
        <v/>
      </c>
      <c r="M16">
        <f>IF(ISNUMBER(C16),C16,0)</f>
        <v/>
      </c>
      <c r="N16">
        <f>IF(ISNUMBER(E16),E16,0)</f>
        <v/>
      </c>
      <c r="O16">
        <f>IF(ISNUMBER(G16),G16,0)</f>
        <v/>
      </c>
      <c r="P16">
        <f>IF(ISNUMBER(I16),I16,0)</f>
        <v/>
      </c>
      <c r="Q16">
        <f>CHOOSE(MONTH(B16),"ene","feb","mar","abr","may","jun","jul","ago","sep","oct","nov","dic")&amp;" "&amp;YEAR(B16)</f>
        <v/>
      </c>
    </row>
    <row r="17" ht="20" customHeight="1">
      <c r="B17" s="51">
        <f>DATE(YEAR(HistInicio),MONTH(HistInicio)+11,1)</f>
        <v/>
      </c>
      <c r="C17" s="20">
        <f>IF(COUNTIFS(rValid_RO,"?*",rMes_RO,$B17)=0,"Sin datos",IF(ABS(SUMIFS(rPeso_RO,rMes_RO,$B17)-1)&gt;0.0001,"Pesos ≠ 100%",SUMPRODUCT(--(rMes_RO=$B17),rPeso_RO,rAvance_RO)))</f>
        <v/>
      </c>
      <c r="D17" s="22">
        <f>IF(COUNTIFS(rValid_RO,"?*",rMes_RO,$B17)=0,"",COUNTIFS(rEstado_RO,"Completado",rMes_RO,$B17)&amp;" / "&amp;COUNTIFS(rValid_RO,"?*",rMes_RO,$B17))</f>
        <v/>
      </c>
      <c r="E17" s="20">
        <f>IF(COUNTIFS(rValid_RN,"?*",rMes_RN,$B17)=0,"Sin datos",IF(ABS(SUMIFS(rPeso_RN,rMes_RN,$B17)-1)&gt;0.0001,"Pesos ≠ 100%",SUMPRODUCT(--(rMes_RN=$B17),rPeso_RN,rAvance_RN)))</f>
        <v/>
      </c>
      <c r="F17" s="22">
        <f>IF(COUNTIFS(rValid_RN,"?*",rMes_RN,$B17)=0,"",COUNTIFS(rEstado_RN,"Completado",rMes_RN,$B17)&amp;" / "&amp;COUNTIFS(rValid_RN,"?*",rMes_RN,$B17))</f>
        <v/>
      </c>
      <c r="G17" s="20">
        <f>IF(COUNTIFS(rValid_RF,"?*",rMes_RF,$B17)=0,"Sin datos",IF(ABS(SUMIFS(rPeso_RF,rMes_RF,$B17)-1)&gt;0.0001,"Pesos ≠ 100%",SUMPRODUCT(--(rMes_RF=$B17),rPeso_RF,rAvance_RF)))</f>
        <v/>
      </c>
      <c r="H17" s="22">
        <f>IF(COUNTIFS(rValid_RF,"?*",rMes_RF,$B17)=0,"",COUNTIFS(rEstado_RF,"Completado",rMes_RF,$B17)&amp;" / "&amp;COUNTIFS(rValid_RF,"?*",rMes_RF,$B17))</f>
        <v/>
      </c>
      <c r="I17" s="20">
        <f>IF(COUNTIFS(rValid_ATR,"?*",rMes_ATR,$B17)=0,"Sin datos",IF(ABS(SUMIFS(rPeso_ATR,rMes_ATR,$B17)-1)&gt;0.0001,"Pesos ≠ 100%",SUMPRODUCT(--(rMes_ATR=$B17),rPeso_ATR,rAvance_ATR)))</f>
        <v/>
      </c>
      <c r="J17" s="22">
        <f>IF(COUNTIFS(rValid_ATR,"?*",rMes_ATR,$B17)=0,"",COUNTIFS(rEstado_ATR,"Completado",rMes_ATR,$B17)&amp;" / "&amp;COUNTIFS(rValid_ATR,"?*",rMes_ATR,$B17))</f>
        <v/>
      </c>
      <c r="K17" s="52">
        <f>IF(COUNT(C17,E17,G17,I17)=4,AVERAGE(C17,E17,G17,I17),IF(COUNTIF(C17:J17,"Sin datos")=4,"Sin datos","No definitivo"))</f>
        <v/>
      </c>
      <c r="M17">
        <f>IF(ISNUMBER(C17),C17,0)</f>
        <v/>
      </c>
      <c r="N17">
        <f>IF(ISNUMBER(E17),E17,0)</f>
        <v/>
      </c>
      <c r="O17">
        <f>IF(ISNUMBER(G17),G17,0)</f>
        <v/>
      </c>
      <c r="P17">
        <f>IF(ISNUMBER(I17),I17,0)</f>
        <v/>
      </c>
      <c r="Q17">
        <f>CHOOSE(MONTH(B17),"ene","feb","mar","abr","may","jun","jul","ago","sep","oct","nov","dic")&amp;" "&amp;YEAR(B17)</f>
        <v/>
      </c>
    </row>
    <row r="18" ht="20" customHeight="1">
      <c r="B18" s="51">
        <f>DATE(YEAR(HistInicio),MONTH(HistInicio)+12,1)</f>
        <v/>
      </c>
      <c r="C18" s="20">
        <f>IF(COUNTIFS(rValid_RO,"?*",rMes_RO,$B18)=0,"Sin datos",IF(ABS(SUMIFS(rPeso_RO,rMes_RO,$B18)-1)&gt;0.0001,"Pesos ≠ 100%",SUMPRODUCT(--(rMes_RO=$B18),rPeso_RO,rAvance_RO)))</f>
        <v/>
      </c>
      <c r="D18" s="22">
        <f>IF(COUNTIFS(rValid_RO,"?*",rMes_RO,$B18)=0,"",COUNTIFS(rEstado_RO,"Completado",rMes_RO,$B18)&amp;" / "&amp;COUNTIFS(rValid_RO,"?*",rMes_RO,$B18))</f>
        <v/>
      </c>
      <c r="E18" s="20">
        <f>IF(COUNTIFS(rValid_RN,"?*",rMes_RN,$B18)=0,"Sin datos",IF(ABS(SUMIFS(rPeso_RN,rMes_RN,$B18)-1)&gt;0.0001,"Pesos ≠ 100%",SUMPRODUCT(--(rMes_RN=$B18),rPeso_RN,rAvance_RN)))</f>
        <v/>
      </c>
      <c r="F18" s="22">
        <f>IF(COUNTIFS(rValid_RN,"?*",rMes_RN,$B18)=0,"",COUNTIFS(rEstado_RN,"Completado",rMes_RN,$B18)&amp;" / "&amp;COUNTIFS(rValid_RN,"?*",rMes_RN,$B18))</f>
        <v/>
      </c>
      <c r="G18" s="20">
        <f>IF(COUNTIFS(rValid_RF,"?*",rMes_RF,$B18)=0,"Sin datos",IF(ABS(SUMIFS(rPeso_RF,rMes_RF,$B18)-1)&gt;0.0001,"Pesos ≠ 100%",SUMPRODUCT(--(rMes_RF=$B18),rPeso_RF,rAvance_RF)))</f>
        <v/>
      </c>
      <c r="H18" s="22">
        <f>IF(COUNTIFS(rValid_RF,"?*",rMes_RF,$B18)=0,"",COUNTIFS(rEstado_RF,"Completado",rMes_RF,$B18)&amp;" / "&amp;COUNTIFS(rValid_RF,"?*",rMes_RF,$B18))</f>
        <v/>
      </c>
      <c r="I18" s="20">
        <f>IF(COUNTIFS(rValid_ATR,"?*",rMes_ATR,$B18)=0,"Sin datos",IF(ABS(SUMIFS(rPeso_ATR,rMes_ATR,$B18)-1)&gt;0.0001,"Pesos ≠ 100%",SUMPRODUCT(--(rMes_ATR=$B18),rPeso_ATR,rAvance_ATR)))</f>
        <v/>
      </c>
      <c r="J18" s="22">
        <f>IF(COUNTIFS(rValid_ATR,"?*",rMes_ATR,$B18)=0,"",COUNTIFS(rEstado_ATR,"Completado",rMes_ATR,$B18)&amp;" / "&amp;COUNTIFS(rValid_ATR,"?*",rMes_ATR,$B18))</f>
        <v/>
      </c>
      <c r="K18" s="52">
        <f>IF(COUNT(C18,E18,G18,I18)=4,AVERAGE(C18,E18,G18,I18),IF(COUNTIF(C18:J18,"Sin datos")=4,"Sin datos","No definitivo"))</f>
        <v/>
      </c>
      <c r="M18">
        <f>IF(ISNUMBER(C18),C18,0)</f>
        <v/>
      </c>
      <c r="N18">
        <f>IF(ISNUMBER(E18),E18,0)</f>
        <v/>
      </c>
      <c r="O18">
        <f>IF(ISNUMBER(G18),G18,0)</f>
        <v/>
      </c>
      <c r="P18">
        <f>IF(ISNUMBER(I18),I18,0)</f>
        <v/>
      </c>
      <c r="Q18">
        <f>CHOOSE(MONTH(B18),"ene","feb","mar","abr","may","jun","jul","ago","sep","oct","nov","dic")&amp;" "&amp;YEAR(B18)</f>
        <v/>
      </c>
    </row>
    <row r="19" ht="20" customHeight="1">
      <c r="B19" s="51">
        <f>DATE(YEAR(HistInicio),MONTH(HistInicio)+13,1)</f>
        <v/>
      </c>
      <c r="C19" s="20">
        <f>IF(COUNTIFS(rValid_RO,"?*",rMes_RO,$B19)=0,"Sin datos",IF(ABS(SUMIFS(rPeso_RO,rMes_RO,$B19)-1)&gt;0.0001,"Pesos ≠ 100%",SUMPRODUCT(--(rMes_RO=$B19),rPeso_RO,rAvance_RO)))</f>
        <v/>
      </c>
      <c r="D19" s="22">
        <f>IF(COUNTIFS(rValid_RO,"?*",rMes_RO,$B19)=0,"",COUNTIFS(rEstado_RO,"Completado",rMes_RO,$B19)&amp;" / "&amp;COUNTIFS(rValid_RO,"?*",rMes_RO,$B19))</f>
        <v/>
      </c>
      <c r="E19" s="20">
        <f>IF(COUNTIFS(rValid_RN,"?*",rMes_RN,$B19)=0,"Sin datos",IF(ABS(SUMIFS(rPeso_RN,rMes_RN,$B19)-1)&gt;0.0001,"Pesos ≠ 100%",SUMPRODUCT(--(rMes_RN=$B19),rPeso_RN,rAvance_RN)))</f>
        <v/>
      </c>
      <c r="F19" s="22">
        <f>IF(COUNTIFS(rValid_RN,"?*",rMes_RN,$B19)=0,"",COUNTIFS(rEstado_RN,"Completado",rMes_RN,$B19)&amp;" / "&amp;COUNTIFS(rValid_RN,"?*",rMes_RN,$B19))</f>
        <v/>
      </c>
      <c r="G19" s="20">
        <f>IF(COUNTIFS(rValid_RF,"?*",rMes_RF,$B19)=0,"Sin datos",IF(ABS(SUMIFS(rPeso_RF,rMes_RF,$B19)-1)&gt;0.0001,"Pesos ≠ 100%",SUMPRODUCT(--(rMes_RF=$B19),rPeso_RF,rAvance_RF)))</f>
        <v/>
      </c>
      <c r="H19" s="22">
        <f>IF(COUNTIFS(rValid_RF,"?*",rMes_RF,$B19)=0,"",COUNTIFS(rEstado_RF,"Completado",rMes_RF,$B19)&amp;" / "&amp;COUNTIFS(rValid_RF,"?*",rMes_RF,$B19))</f>
        <v/>
      </c>
      <c r="I19" s="20">
        <f>IF(COUNTIFS(rValid_ATR,"?*",rMes_ATR,$B19)=0,"Sin datos",IF(ABS(SUMIFS(rPeso_ATR,rMes_ATR,$B19)-1)&gt;0.0001,"Pesos ≠ 100%",SUMPRODUCT(--(rMes_ATR=$B19),rPeso_ATR,rAvance_ATR)))</f>
        <v/>
      </c>
      <c r="J19" s="22">
        <f>IF(COUNTIFS(rValid_ATR,"?*",rMes_ATR,$B19)=0,"",COUNTIFS(rEstado_ATR,"Completado",rMes_ATR,$B19)&amp;" / "&amp;COUNTIFS(rValid_ATR,"?*",rMes_ATR,$B19))</f>
        <v/>
      </c>
      <c r="K19" s="52">
        <f>IF(COUNT(C19,E19,G19,I19)=4,AVERAGE(C19,E19,G19,I19),IF(COUNTIF(C19:J19,"Sin datos")=4,"Sin datos","No definitivo"))</f>
        <v/>
      </c>
      <c r="M19">
        <f>IF(ISNUMBER(C19),C19,0)</f>
        <v/>
      </c>
      <c r="N19">
        <f>IF(ISNUMBER(E19),E19,0)</f>
        <v/>
      </c>
      <c r="O19">
        <f>IF(ISNUMBER(G19),G19,0)</f>
        <v/>
      </c>
      <c r="P19">
        <f>IF(ISNUMBER(I19),I19,0)</f>
        <v/>
      </c>
      <c r="Q19">
        <f>CHOOSE(MONTH(B19),"ene","feb","mar","abr","may","jun","jul","ago","sep","oct","nov","dic")&amp;" "&amp;YEAR(B19)</f>
        <v/>
      </c>
    </row>
    <row r="20" ht="20" customHeight="1">
      <c r="B20" s="51">
        <f>DATE(YEAR(HistInicio),MONTH(HistInicio)+14,1)</f>
        <v/>
      </c>
      <c r="C20" s="20">
        <f>IF(COUNTIFS(rValid_RO,"?*",rMes_RO,$B20)=0,"Sin datos",IF(ABS(SUMIFS(rPeso_RO,rMes_RO,$B20)-1)&gt;0.0001,"Pesos ≠ 100%",SUMPRODUCT(--(rMes_RO=$B20),rPeso_RO,rAvance_RO)))</f>
        <v/>
      </c>
      <c r="D20" s="22">
        <f>IF(COUNTIFS(rValid_RO,"?*",rMes_RO,$B20)=0,"",COUNTIFS(rEstado_RO,"Completado",rMes_RO,$B20)&amp;" / "&amp;COUNTIFS(rValid_RO,"?*",rMes_RO,$B20))</f>
        <v/>
      </c>
      <c r="E20" s="20">
        <f>IF(COUNTIFS(rValid_RN,"?*",rMes_RN,$B20)=0,"Sin datos",IF(ABS(SUMIFS(rPeso_RN,rMes_RN,$B20)-1)&gt;0.0001,"Pesos ≠ 100%",SUMPRODUCT(--(rMes_RN=$B20),rPeso_RN,rAvance_RN)))</f>
        <v/>
      </c>
      <c r="F20" s="22">
        <f>IF(COUNTIFS(rValid_RN,"?*",rMes_RN,$B20)=0,"",COUNTIFS(rEstado_RN,"Completado",rMes_RN,$B20)&amp;" / "&amp;COUNTIFS(rValid_RN,"?*",rMes_RN,$B20))</f>
        <v/>
      </c>
      <c r="G20" s="20">
        <f>IF(COUNTIFS(rValid_RF,"?*",rMes_RF,$B20)=0,"Sin datos",IF(ABS(SUMIFS(rPeso_RF,rMes_RF,$B20)-1)&gt;0.0001,"Pesos ≠ 100%",SUMPRODUCT(--(rMes_RF=$B20),rPeso_RF,rAvance_RF)))</f>
        <v/>
      </c>
      <c r="H20" s="22">
        <f>IF(COUNTIFS(rValid_RF,"?*",rMes_RF,$B20)=0,"",COUNTIFS(rEstado_RF,"Completado",rMes_RF,$B20)&amp;" / "&amp;COUNTIFS(rValid_RF,"?*",rMes_RF,$B20))</f>
        <v/>
      </c>
      <c r="I20" s="20">
        <f>IF(COUNTIFS(rValid_ATR,"?*",rMes_ATR,$B20)=0,"Sin datos",IF(ABS(SUMIFS(rPeso_ATR,rMes_ATR,$B20)-1)&gt;0.0001,"Pesos ≠ 100%",SUMPRODUCT(--(rMes_ATR=$B20),rPeso_ATR,rAvance_ATR)))</f>
        <v/>
      </c>
      <c r="J20" s="22">
        <f>IF(COUNTIFS(rValid_ATR,"?*",rMes_ATR,$B20)=0,"",COUNTIFS(rEstado_ATR,"Completado",rMes_ATR,$B20)&amp;" / "&amp;COUNTIFS(rValid_ATR,"?*",rMes_ATR,$B20))</f>
        <v/>
      </c>
      <c r="K20" s="52">
        <f>IF(COUNT(C20,E20,G20,I20)=4,AVERAGE(C20,E20,G20,I20),IF(COUNTIF(C20:J20,"Sin datos")=4,"Sin datos","No definitivo"))</f>
        <v/>
      </c>
      <c r="M20">
        <f>IF(ISNUMBER(C20),C20,0)</f>
        <v/>
      </c>
      <c r="N20">
        <f>IF(ISNUMBER(E20),E20,0)</f>
        <v/>
      </c>
      <c r="O20">
        <f>IF(ISNUMBER(G20),G20,0)</f>
        <v/>
      </c>
      <c r="P20">
        <f>IF(ISNUMBER(I20),I20,0)</f>
        <v/>
      </c>
      <c r="Q20">
        <f>CHOOSE(MONTH(B20),"ene","feb","mar","abr","may","jun","jul","ago","sep","oct","nov","dic")&amp;" "&amp;YEAR(B20)</f>
        <v/>
      </c>
    </row>
    <row r="21" ht="20" customHeight="1">
      <c r="B21" s="51">
        <f>DATE(YEAR(HistInicio),MONTH(HistInicio)+15,1)</f>
        <v/>
      </c>
      <c r="C21" s="20">
        <f>IF(COUNTIFS(rValid_RO,"?*",rMes_RO,$B21)=0,"Sin datos",IF(ABS(SUMIFS(rPeso_RO,rMes_RO,$B21)-1)&gt;0.0001,"Pesos ≠ 100%",SUMPRODUCT(--(rMes_RO=$B21),rPeso_RO,rAvance_RO)))</f>
        <v/>
      </c>
      <c r="D21" s="22">
        <f>IF(COUNTIFS(rValid_RO,"?*",rMes_RO,$B21)=0,"",COUNTIFS(rEstado_RO,"Completado",rMes_RO,$B21)&amp;" / "&amp;COUNTIFS(rValid_RO,"?*",rMes_RO,$B21))</f>
        <v/>
      </c>
      <c r="E21" s="20">
        <f>IF(COUNTIFS(rValid_RN,"?*",rMes_RN,$B21)=0,"Sin datos",IF(ABS(SUMIFS(rPeso_RN,rMes_RN,$B21)-1)&gt;0.0001,"Pesos ≠ 100%",SUMPRODUCT(--(rMes_RN=$B21),rPeso_RN,rAvance_RN)))</f>
        <v/>
      </c>
      <c r="F21" s="22">
        <f>IF(COUNTIFS(rValid_RN,"?*",rMes_RN,$B21)=0,"",COUNTIFS(rEstado_RN,"Completado",rMes_RN,$B21)&amp;" / "&amp;COUNTIFS(rValid_RN,"?*",rMes_RN,$B21))</f>
        <v/>
      </c>
      <c r="G21" s="20">
        <f>IF(COUNTIFS(rValid_RF,"?*",rMes_RF,$B21)=0,"Sin datos",IF(ABS(SUMIFS(rPeso_RF,rMes_RF,$B21)-1)&gt;0.0001,"Pesos ≠ 100%",SUMPRODUCT(--(rMes_RF=$B21),rPeso_RF,rAvance_RF)))</f>
        <v/>
      </c>
      <c r="H21" s="22">
        <f>IF(COUNTIFS(rValid_RF,"?*",rMes_RF,$B21)=0,"",COUNTIFS(rEstado_RF,"Completado",rMes_RF,$B21)&amp;" / "&amp;COUNTIFS(rValid_RF,"?*",rMes_RF,$B21))</f>
        <v/>
      </c>
      <c r="I21" s="20">
        <f>IF(COUNTIFS(rValid_ATR,"?*",rMes_ATR,$B21)=0,"Sin datos",IF(ABS(SUMIFS(rPeso_ATR,rMes_ATR,$B21)-1)&gt;0.0001,"Pesos ≠ 100%",SUMPRODUCT(--(rMes_ATR=$B21),rPeso_ATR,rAvance_ATR)))</f>
        <v/>
      </c>
      <c r="J21" s="22">
        <f>IF(COUNTIFS(rValid_ATR,"?*",rMes_ATR,$B21)=0,"",COUNTIFS(rEstado_ATR,"Completado",rMes_ATR,$B21)&amp;" / "&amp;COUNTIFS(rValid_ATR,"?*",rMes_ATR,$B21))</f>
        <v/>
      </c>
      <c r="K21" s="52">
        <f>IF(COUNT(C21,E21,G21,I21)=4,AVERAGE(C21,E21,G21,I21),IF(COUNTIF(C21:J21,"Sin datos")=4,"Sin datos","No definitivo"))</f>
        <v/>
      </c>
      <c r="M21">
        <f>IF(ISNUMBER(C21),C21,0)</f>
        <v/>
      </c>
      <c r="N21">
        <f>IF(ISNUMBER(E21),E21,0)</f>
        <v/>
      </c>
      <c r="O21">
        <f>IF(ISNUMBER(G21),G21,0)</f>
        <v/>
      </c>
      <c r="P21">
        <f>IF(ISNUMBER(I21),I21,0)</f>
        <v/>
      </c>
      <c r="Q21">
        <f>CHOOSE(MONTH(B21),"ene","feb","mar","abr","may","jun","jul","ago","sep","oct","nov","dic")&amp;" "&amp;YEAR(B21)</f>
        <v/>
      </c>
    </row>
    <row r="22" ht="20" customHeight="1">
      <c r="B22" s="51">
        <f>DATE(YEAR(HistInicio),MONTH(HistInicio)+16,1)</f>
        <v/>
      </c>
      <c r="C22" s="20">
        <f>IF(COUNTIFS(rValid_RO,"?*",rMes_RO,$B22)=0,"Sin datos",IF(ABS(SUMIFS(rPeso_RO,rMes_RO,$B22)-1)&gt;0.0001,"Pesos ≠ 100%",SUMPRODUCT(--(rMes_RO=$B22),rPeso_RO,rAvance_RO)))</f>
        <v/>
      </c>
      <c r="D22" s="22">
        <f>IF(COUNTIFS(rValid_RO,"?*",rMes_RO,$B22)=0,"",COUNTIFS(rEstado_RO,"Completado",rMes_RO,$B22)&amp;" / "&amp;COUNTIFS(rValid_RO,"?*",rMes_RO,$B22))</f>
        <v/>
      </c>
      <c r="E22" s="20">
        <f>IF(COUNTIFS(rValid_RN,"?*",rMes_RN,$B22)=0,"Sin datos",IF(ABS(SUMIFS(rPeso_RN,rMes_RN,$B22)-1)&gt;0.0001,"Pesos ≠ 100%",SUMPRODUCT(--(rMes_RN=$B22),rPeso_RN,rAvance_RN)))</f>
        <v/>
      </c>
      <c r="F22" s="22">
        <f>IF(COUNTIFS(rValid_RN,"?*",rMes_RN,$B22)=0,"",COUNTIFS(rEstado_RN,"Completado",rMes_RN,$B22)&amp;" / "&amp;COUNTIFS(rValid_RN,"?*",rMes_RN,$B22))</f>
        <v/>
      </c>
      <c r="G22" s="20">
        <f>IF(COUNTIFS(rValid_RF,"?*",rMes_RF,$B22)=0,"Sin datos",IF(ABS(SUMIFS(rPeso_RF,rMes_RF,$B22)-1)&gt;0.0001,"Pesos ≠ 100%",SUMPRODUCT(--(rMes_RF=$B22),rPeso_RF,rAvance_RF)))</f>
        <v/>
      </c>
      <c r="H22" s="22">
        <f>IF(COUNTIFS(rValid_RF,"?*",rMes_RF,$B22)=0,"",COUNTIFS(rEstado_RF,"Completado",rMes_RF,$B22)&amp;" / "&amp;COUNTIFS(rValid_RF,"?*",rMes_RF,$B22))</f>
        <v/>
      </c>
      <c r="I22" s="20">
        <f>IF(COUNTIFS(rValid_ATR,"?*",rMes_ATR,$B22)=0,"Sin datos",IF(ABS(SUMIFS(rPeso_ATR,rMes_ATR,$B22)-1)&gt;0.0001,"Pesos ≠ 100%",SUMPRODUCT(--(rMes_ATR=$B22),rPeso_ATR,rAvance_ATR)))</f>
        <v/>
      </c>
      <c r="J22" s="22">
        <f>IF(COUNTIFS(rValid_ATR,"?*",rMes_ATR,$B22)=0,"",COUNTIFS(rEstado_ATR,"Completado",rMes_ATR,$B22)&amp;" / "&amp;COUNTIFS(rValid_ATR,"?*",rMes_ATR,$B22))</f>
        <v/>
      </c>
      <c r="K22" s="52">
        <f>IF(COUNT(C22,E22,G22,I22)=4,AVERAGE(C22,E22,G22,I22),IF(COUNTIF(C22:J22,"Sin datos")=4,"Sin datos","No definitivo"))</f>
        <v/>
      </c>
      <c r="M22">
        <f>IF(ISNUMBER(C22),C22,0)</f>
        <v/>
      </c>
      <c r="N22">
        <f>IF(ISNUMBER(E22),E22,0)</f>
        <v/>
      </c>
      <c r="O22">
        <f>IF(ISNUMBER(G22),G22,0)</f>
        <v/>
      </c>
      <c r="P22">
        <f>IF(ISNUMBER(I22),I22,0)</f>
        <v/>
      </c>
      <c r="Q22">
        <f>CHOOSE(MONTH(B22),"ene","feb","mar","abr","may","jun","jul","ago","sep","oct","nov","dic")&amp;" "&amp;YEAR(B22)</f>
        <v/>
      </c>
    </row>
    <row r="23" ht="20" customHeight="1">
      <c r="B23" s="51">
        <f>DATE(YEAR(HistInicio),MONTH(HistInicio)+17,1)</f>
        <v/>
      </c>
      <c r="C23" s="20">
        <f>IF(COUNTIFS(rValid_RO,"?*",rMes_RO,$B23)=0,"Sin datos",IF(ABS(SUMIFS(rPeso_RO,rMes_RO,$B23)-1)&gt;0.0001,"Pesos ≠ 100%",SUMPRODUCT(--(rMes_RO=$B23),rPeso_RO,rAvance_RO)))</f>
        <v/>
      </c>
      <c r="D23" s="22">
        <f>IF(COUNTIFS(rValid_RO,"?*",rMes_RO,$B23)=0,"",COUNTIFS(rEstado_RO,"Completado",rMes_RO,$B23)&amp;" / "&amp;COUNTIFS(rValid_RO,"?*",rMes_RO,$B23))</f>
        <v/>
      </c>
      <c r="E23" s="20">
        <f>IF(COUNTIFS(rValid_RN,"?*",rMes_RN,$B23)=0,"Sin datos",IF(ABS(SUMIFS(rPeso_RN,rMes_RN,$B23)-1)&gt;0.0001,"Pesos ≠ 100%",SUMPRODUCT(--(rMes_RN=$B23),rPeso_RN,rAvance_RN)))</f>
        <v/>
      </c>
      <c r="F23" s="22">
        <f>IF(COUNTIFS(rValid_RN,"?*",rMes_RN,$B23)=0,"",COUNTIFS(rEstado_RN,"Completado",rMes_RN,$B23)&amp;" / "&amp;COUNTIFS(rValid_RN,"?*",rMes_RN,$B23))</f>
        <v/>
      </c>
      <c r="G23" s="20">
        <f>IF(COUNTIFS(rValid_RF,"?*",rMes_RF,$B23)=0,"Sin datos",IF(ABS(SUMIFS(rPeso_RF,rMes_RF,$B23)-1)&gt;0.0001,"Pesos ≠ 100%",SUMPRODUCT(--(rMes_RF=$B23),rPeso_RF,rAvance_RF)))</f>
        <v/>
      </c>
      <c r="H23" s="22">
        <f>IF(COUNTIFS(rValid_RF,"?*",rMes_RF,$B23)=0,"",COUNTIFS(rEstado_RF,"Completado",rMes_RF,$B23)&amp;" / "&amp;COUNTIFS(rValid_RF,"?*",rMes_RF,$B23))</f>
        <v/>
      </c>
      <c r="I23" s="20">
        <f>IF(COUNTIFS(rValid_ATR,"?*",rMes_ATR,$B23)=0,"Sin datos",IF(ABS(SUMIFS(rPeso_ATR,rMes_ATR,$B23)-1)&gt;0.0001,"Pesos ≠ 100%",SUMPRODUCT(--(rMes_ATR=$B23),rPeso_ATR,rAvance_ATR)))</f>
        <v/>
      </c>
      <c r="J23" s="22">
        <f>IF(COUNTIFS(rValid_ATR,"?*",rMes_ATR,$B23)=0,"",COUNTIFS(rEstado_ATR,"Completado",rMes_ATR,$B23)&amp;" / "&amp;COUNTIFS(rValid_ATR,"?*",rMes_ATR,$B23))</f>
        <v/>
      </c>
      <c r="K23" s="52">
        <f>IF(COUNT(C23,E23,G23,I23)=4,AVERAGE(C23,E23,G23,I23),IF(COUNTIF(C23:J23,"Sin datos")=4,"Sin datos","No definitivo"))</f>
        <v/>
      </c>
      <c r="M23">
        <f>IF(ISNUMBER(C23),C23,0)</f>
        <v/>
      </c>
      <c r="N23">
        <f>IF(ISNUMBER(E23),E23,0)</f>
        <v/>
      </c>
      <c r="O23">
        <f>IF(ISNUMBER(G23),G23,0)</f>
        <v/>
      </c>
      <c r="P23">
        <f>IF(ISNUMBER(I23),I23,0)</f>
        <v/>
      </c>
      <c r="Q23">
        <f>CHOOSE(MONTH(B23),"ene","feb","mar","abr","may","jun","jul","ago","sep","oct","nov","dic")&amp;" "&amp;YEAR(B23)</f>
        <v/>
      </c>
    </row>
    <row r="24" ht="20" customHeight="1">
      <c r="B24" s="51">
        <f>DATE(YEAR(HistInicio),MONTH(HistInicio)+18,1)</f>
        <v/>
      </c>
      <c r="C24" s="20">
        <f>IF(COUNTIFS(rValid_RO,"?*",rMes_RO,$B24)=0,"Sin datos",IF(ABS(SUMIFS(rPeso_RO,rMes_RO,$B24)-1)&gt;0.0001,"Pesos ≠ 100%",SUMPRODUCT(--(rMes_RO=$B24),rPeso_RO,rAvance_RO)))</f>
        <v/>
      </c>
      <c r="D24" s="22">
        <f>IF(COUNTIFS(rValid_RO,"?*",rMes_RO,$B24)=0,"",COUNTIFS(rEstado_RO,"Completado",rMes_RO,$B24)&amp;" / "&amp;COUNTIFS(rValid_RO,"?*",rMes_RO,$B24))</f>
        <v/>
      </c>
      <c r="E24" s="20">
        <f>IF(COUNTIFS(rValid_RN,"?*",rMes_RN,$B24)=0,"Sin datos",IF(ABS(SUMIFS(rPeso_RN,rMes_RN,$B24)-1)&gt;0.0001,"Pesos ≠ 100%",SUMPRODUCT(--(rMes_RN=$B24),rPeso_RN,rAvance_RN)))</f>
        <v/>
      </c>
      <c r="F24" s="22">
        <f>IF(COUNTIFS(rValid_RN,"?*",rMes_RN,$B24)=0,"",COUNTIFS(rEstado_RN,"Completado",rMes_RN,$B24)&amp;" / "&amp;COUNTIFS(rValid_RN,"?*",rMes_RN,$B24))</f>
        <v/>
      </c>
      <c r="G24" s="20">
        <f>IF(COUNTIFS(rValid_RF,"?*",rMes_RF,$B24)=0,"Sin datos",IF(ABS(SUMIFS(rPeso_RF,rMes_RF,$B24)-1)&gt;0.0001,"Pesos ≠ 100%",SUMPRODUCT(--(rMes_RF=$B24),rPeso_RF,rAvance_RF)))</f>
        <v/>
      </c>
      <c r="H24" s="22">
        <f>IF(COUNTIFS(rValid_RF,"?*",rMes_RF,$B24)=0,"",COUNTIFS(rEstado_RF,"Completado",rMes_RF,$B24)&amp;" / "&amp;COUNTIFS(rValid_RF,"?*",rMes_RF,$B24))</f>
        <v/>
      </c>
      <c r="I24" s="20">
        <f>IF(COUNTIFS(rValid_ATR,"?*",rMes_ATR,$B24)=0,"Sin datos",IF(ABS(SUMIFS(rPeso_ATR,rMes_ATR,$B24)-1)&gt;0.0001,"Pesos ≠ 100%",SUMPRODUCT(--(rMes_ATR=$B24),rPeso_ATR,rAvance_ATR)))</f>
        <v/>
      </c>
      <c r="J24" s="22">
        <f>IF(COUNTIFS(rValid_ATR,"?*",rMes_ATR,$B24)=0,"",COUNTIFS(rEstado_ATR,"Completado",rMes_ATR,$B24)&amp;" / "&amp;COUNTIFS(rValid_ATR,"?*",rMes_ATR,$B24))</f>
        <v/>
      </c>
      <c r="K24" s="52">
        <f>IF(COUNT(C24,E24,G24,I24)=4,AVERAGE(C24,E24,G24,I24),IF(COUNTIF(C24:J24,"Sin datos")=4,"Sin datos","No definitivo"))</f>
        <v/>
      </c>
      <c r="M24">
        <f>IF(ISNUMBER(C24),C24,0)</f>
        <v/>
      </c>
      <c r="N24">
        <f>IF(ISNUMBER(E24),E24,0)</f>
        <v/>
      </c>
      <c r="O24">
        <f>IF(ISNUMBER(G24),G24,0)</f>
        <v/>
      </c>
      <c r="P24">
        <f>IF(ISNUMBER(I24),I24,0)</f>
        <v/>
      </c>
      <c r="Q24">
        <f>CHOOSE(MONTH(B24),"ene","feb","mar","abr","may","jun","jul","ago","sep","oct","nov","dic")&amp;" "&amp;YEAR(B24)</f>
        <v/>
      </c>
    </row>
    <row r="25" ht="20" customHeight="1">
      <c r="B25" s="51">
        <f>DATE(YEAR(HistInicio),MONTH(HistInicio)+19,1)</f>
        <v/>
      </c>
      <c r="C25" s="20">
        <f>IF(COUNTIFS(rValid_RO,"?*",rMes_RO,$B25)=0,"Sin datos",IF(ABS(SUMIFS(rPeso_RO,rMes_RO,$B25)-1)&gt;0.0001,"Pesos ≠ 100%",SUMPRODUCT(--(rMes_RO=$B25),rPeso_RO,rAvance_RO)))</f>
        <v/>
      </c>
      <c r="D25" s="22">
        <f>IF(COUNTIFS(rValid_RO,"?*",rMes_RO,$B25)=0,"",COUNTIFS(rEstado_RO,"Completado",rMes_RO,$B25)&amp;" / "&amp;COUNTIFS(rValid_RO,"?*",rMes_RO,$B25))</f>
        <v/>
      </c>
      <c r="E25" s="20">
        <f>IF(COUNTIFS(rValid_RN,"?*",rMes_RN,$B25)=0,"Sin datos",IF(ABS(SUMIFS(rPeso_RN,rMes_RN,$B25)-1)&gt;0.0001,"Pesos ≠ 100%",SUMPRODUCT(--(rMes_RN=$B25),rPeso_RN,rAvance_RN)))</f>
        <v/>
      </c>
      <c r="F25" s="22">
        <f>IF(COUNTIFS(rValid_RN,"?*",rMes_RN,$B25)=0,"",COUNTIFS(rEstado_RN,"Completado",rMes_RN,$B25)&amp;" / "&amp;COUNTIFS(rValid_RN,"?*",rMes_RN,$B25))</f>
        <v/>
      </c>
      <c r="G25" s="20">
        <f>IF(COUNTIFS(rValid_RF,"?*",rMes_RF,$B25)=0,"Sin datos",IF(ABS(SUMIFS(rPeso_RF,rMes_RF,$B25)-1)&gt;0.0001,"Pesos ≠ 100%",SUMPRODUCT(--(rMes_RF=$B25),rPeso_RF,rAvance_RF)))</f>
        <v/>
      </c>
      <c r="H25" s="22">
        <f>IF(COUNTIFS(rValid_RF,"?*",rMes_RF,$B25)=0,"",COUNTIFS(rEstado_RF,"Completado",rMes_RF,$B25)&amp;" / "&amp;COUNTIFS(rValid_RF,"?*",rMes_RF,$B25))</f>
        <v/>
      </c>
      <c r="I25" s="20">
        <f>IF(COUNTIFS(rValid_ATR,"?*",rMes_ATR,$B25)=0,"Sin datos",IF(ABS(SUMIFS(rPeso_ATR,rMes_ATR,$B25)-1)&gt;0.0001,"Pesos ≠ 100%",SUMPRODUCT(--(rMes_ATR=$B25),rPeso_ATR,rAvance_ATR)))</f>
        <v/>
      </c>
      <c r="J25" s="22">
        <f>IF(COUNTIFS(rValid_ATR,"?*",rMes_ATR,$B25)=0,"",COUNTIFS(rEstado_ATR,"Completado",rMes_ATR,$B25)&amp;" / "&amp;COUNTIFS(rValid_ATR,"?*",rMes_ATR,$B25))</f>
        <v/>
      </c>
      <c r="K25" s="52">
        <f>IF(COUNT(C25,E25,G25,I25)=4,AVERAGE(C25,E25,G25,I25),IF(COUNTIF(C25:J25,"Sin datos")=4,"Sin datos","No definitivo"))</f>
        <v/>
      </c>
      <c r="M25">
        <f>IF(ISNUMBER(C25),C25,0)</f>
        <v/>
      </c>
      <c r="N25">
        <f>IF(ISNUMBER(E25),E25,0)</f>
        <v/>
      </c>
      <c r="O25">
        <f>IF(ISNUMBER(G25),G25,0)</f>
        <v/>
      </c>
      <c r="P25">
        <f>IF(ISNUMBER(I25),I25,0)</f>
        <v/>
      </c>
      <c r="Q25">
        <f>CHOOSE(MONTH(B25),"ene","feb","mar","abr","may","jun","jul","ago","sep","oct","nov","dic")&amp;" "&amp;YEAR(B25)</f>
        <v/>
      </c>
    </row>
    <row r="26" ht="20" customHeight="1">
      <c r="B26" s="51">
        <f>DATE(YEAR(HistInicio),MONTH(HistInicio)+20,1)</f>
        <v/>
      </c>
      <c r="C26" s="20">
        <f>IF(COUNTIFS(rValid_RO,"?*",rMes_RO,$B26)=0,"Sin datos",IF(ABS(SUMIFS(rPeso_RO,rMes_RO,$B26)-1)&gt;0.0001,"Pesos ≠ 100%",SUMPRODUCT(--(rMes_RO=$B26),rPeso_RO,rAvance_RO)))</f>
        <v/>
      </c>
      <c r="D26" s="22">
        <f>IF(COUNTIFS(rValid_RO,"?*",rMes_RO,$B26)=0,"",COUNTIFS(rEstado_RO,"Completado",rMes_RO,$B26)&amp;" / "&amp;COUNTIFS(rValid_RO,"?*",rMes_RO,$B26))</f>
        <v/>
      </c>
      <c r="E26" s="20">
        <f>IF(COUNTIFS(rValid_RN,"?*",rMes_RN,$B26)=0,"Sin datos",IF(ABS(SUMIFS(rPeso_RN,rMes_RN,$B26)-1)&gt;0.0001,"Pesos ≠ 100%",SUMPRODUCT(--(rMes_RN=$B26),rPeso_RN,rAvance_RN)))</f>
        <v/>
      </c>
      <c r="F26" s="22">
        <f>IF(COUNTIFS(rValid_RN,"?*",rMes_RN,$B26)=0,"",COUNTIFS(rEstado_RN,"Completado",rMes_RN,$B26)&amp;" / "&amp;COUNTIFS(rValid_RN,"?*",rMes_RN,$B26))</f>
        <v/>
      </c>
      <c r="G26" s="20">
        <f>IF(COUNTIFS(rValid_RF,"?*",rMes_RF,$B26)=0,"Sin datos",IF(ABS(SUMIFS(rPeso_RF,rMes_RF,$B26)-1)&gt;0.0001,"Pesos ≠ 100%",SUMPRODUCT(--(rMes_RF=$B26),rPeso_RF,rAvance_RF)))</f>
        <v/>
      </c>
      <c r="H26" s="22">
        <f>IF(COUNTIFS(rValid_RF,"?*",rMes_RF,$B26)=0,"",COUNTIFS(rEstado_RF,"Completado",rMes_RF,$B26)&amp;" / "&amp;COUNTIFS(rValid_RF,"?*",rMes_RF,$B26))</f>
        <v/>
      </c>
      <c r="I26" s="20">
        <f>IF(COUNTIFS(rValid_ATR,"?*",rMes_ATR,$B26)=0,"Sin datos",IF(ABS(SUMIFS(rPeso_ATR,rMes_ATR,$B26)-1)&gt;0.0001,"Pesos ≠ 100%",SUMPRODUCT(--(rMes_ATR=$B26),rPeso_ATR,rAvance_ATR)))</f>
        <v/>
      </c>
      <c r="J26" s="22">
        <f>IF(COUNTIFS(rValid_ATR,"?*",rMes_ATR,$B26)=0,"",COUNTIFS(rEstado_ATR,"Completado",rMes_ATR,$B26)&amp;" / "&amp;COUNTIFS(rValid_ATR,"?*",rMes_ATR,$B26))</f>
        <v/>
      </c>
      <c r="K26" s="52">
        <f>IF(COUNT(C26,E26,G26,I26)=4,AVERAGE(C26,E26,G26,I26),IF(COUNTIF(C26:J26,"Sin datos")=4,"Sin datos","No definitivo"))</f>
        <v/>
      </c>
      <c r="M26">
        <f>IF(ISNUMBER(C26),C26,0)</f>
        <v/>
      </c>
      <c r="N26">
        <f>IF(ISNUMBER(E26),E26,0)</f>
        <v/>
      </c>
      <c r="O26">
        <f>IF(ISNUMBER(G26),G26,0)</f>
        <v/>
      </c>
      <c r="P26">
        <f>IF(ISNUMBER(I26),I26,0)</f>
        <v/>
      </c>
      <c r="Q26">
        <f>CHOOSE(MONTH(B26),"ene","feb","mar","abr","may","jun","jul","ago","sep","oct","nov","dic")&amp;" "&amp;YEAR(B26)</f>
        <v/>
      </c>
    </row>
    <row r="27" ht="20" customHeight="1">
      <c r="B27" s="51">
        <f>DATE(YEAR(HistInicio),MONTH(HistInicio)+21,1)</f>
        <v/>
      </c>
      <c r="C27" s="20">
        <f>IF(COUNTIFS(rValid_RO,"?*",rMes_RO,$B27)=0,"Sin datos",IF(ABS(SUMIFS(rPeso_RO,rMes_RO,$B27)-1)&gt;0.0001,"Pesos ≠ 100%",SUMPRODUCT(--(rMes_RO=$B27),rPeso_RO,rAvance_RO)))</f>
        <v/>
      </c>
      <c r="D27" s="22">
        <f>IF(COUNTIFS(rValid_RO,"?*",rMes_RO,$B27)=0,"",COUNTIFS(rEstado_RO,"Completado",rMes_RO,$B27)&amp;" / "&amp;COUNTIFS(rValid_RO,"?*",rMes_RO,$B27))</f>
        <v/>
      </c>
      <c r="E27" s="20">
        <f>IF(COUNTIFS(rValid_RN,"?*",rMes_RN,$B27)=0,"Sin datos",IF(ABS(SUMIFS(rPeso_RN,rMes_RN,$B27)-1)&gt;0.0001,"Pesos ≠ 100%",SUMPRODUCT(--(rMes_RN=$B27),rPeso_RN,rAvance_RN)))</f>
        <v/>
      </c>
      <c r="F27" s="22">
        <f>IF(COUNTIFS(rValid_RN,"?*",rMes_RN,$B27)=0,"",COUNTIFS(rEstado_RN,"Completado",rMes_RN,$B27)&amp;" / "&amp;COUNTIFS(rValid_RN,"?*",rMes_RN,$B27))</f>
        <v/>
      </c>
      <c r="G27" s="20">
        <f>IF(COUNTIFS(rValid_RF,"?*",rMes_RF,$B27)=0,"Sin datos",IF(ABS(SUMIFS(rPeso_RF,rMes_RF,$B27)-1)&gt;0.0001,"Pesos ≠ 100%",SUMPRODUCT(--(rMes_RF=$B27),rPeso_RF,rAvance_RF)))</f>
        <v/>
      </c>
      <c r="H27" s="22">
        <f>IF(COUNTIFS(rValid_RF,"?*",rMes_RF,$B27)=0,"",COUNTIFS(rEstado_RF,"Completado",rMes_RF,$B27)&amp;" / "&amp;COUNTIFS(rValid_RF,"?*",rMes_RF,$B27))</f>
        <v/>
      </c>
      <c r="I27" s="20">
        <f>IF(COUNTIFS(rValid_ATR,"?*",rMes_ATR,$B27)=0,"Sin datos",IF(ABS(SUMIFS(rPeso_ATR,rMes_ATR,$B27)-1)&gt;0.0001,"Pesos ≠ 100%",SUMPRODUCT(--(rMes_ATR=$B27),rPeso_ATR,rAvance_ATR)))</f>
        <v/>
      </c>
      <c r="J27" s="22">
        <f>IF(COUNTIFS(rValid_ATR,"?*",rMes_ATR,$B27)=0,"",COUNTIFS(rEstado_ATR,"Completado",rMes_ATR,$B27)&amp;" / "&amp;COUNTIFS(rValid_ATR,"?*",rMes_ATR,$B27))</f>
        <v/>
      </c>
      <c r="K27" s="52">
        <f>IF(COUNT(C27,E27,G27,I27)=4,AVERAGE(C27,E27,G27,I27),IF(COUNTIF(C27:J27,"Sin datos")=4,"Sin datos","No definitivo"))</f>
        <v/>
      </c>
      <c r="M27">
        <f>IF(ISNUMBER(C27),C27,0)</f>
        <v/>
      </c>
      <c r="N27">
        <f>IF(ISNUMBER(E27),E27,0)</f>
        <v/>
      </c>
      <c r="O27">
        <f>IF(ISNUMBER(G27),G27,0)</f>
        <v/>
      </c>
      <c r="P27">
        <f>IF(ISNUMBER(I27),I27,0)</f>
        <v/>
      </c>
      <c r="Q27">
        <f>CHOOSE(MONTH(B27),"ene","feb","mar","abr","may","jun","jul","ago","sep","oct","nov","dic")&amp;" "&amp;YEAR(B27)</f>
        <v/>
      </c>
    </row>
    <row r="28" ht="20" customHeight="1">
      <c r="B28" s="51">
        <f>DATE(YEAR(HistInicio),MONTH(HistInicio)+22,1)</f>
        <v/>
      </c>
      <c r="C28" s="20">
        <f>IF(COUNTIFS(rValid_RO,"?*",rMes_RO,$B28)=0,"Sin datos",IF(ABS(SUMIFS(rPeso_RO,rMes_RO,$B28)-1)&gt;0.0001,"Pesos ≠ 100%",SUMPRODUCT(--(rMes_RO=$B28),rPeso_RO,rAvance_RO)))</f>
        <v/>
      </c>
      <c r="D28" s="22">
        <f>IF(COUNTIFS(rValid_RO,"?*",rMes_RO,$B28)=0,"",COUNTIFS(rEstado_RO,"Completado",rMes_RO,$B28)&amp;" / "&amp;COUNTIFS(rValid_RO,"?*",rMes_RO,$B28))</f>
        <v/>
      </c>
      <c r="E28" s="20">
        <f>IF(COUNTIFS(rValid_RN,"?*",rMes_RN,$B28)=0,"Sin datos",IF(ABS(SUMIFS(rPeso_RN,rMes_RN,$B28)-1)&gt;0.0001,"Pesos ≠ 100%",SUMPRODUCT(--(rMes_RN=$B28),rPeso_RN,rAvance_RN)))</f>
        <v/>
      </c>
      <c r="F28" s="22">
        <f>IF(COUNTIFS(rValid_RN,"?*",rMes_RN,$B28)=0,"",COUNTIFS(rEstado_RN,"Completado",rMes_RN,$B28)&amp;" / "&amp;COUNTIFS(rValid_RN,"?*",rMes_RN,$B28))</f>
        <v/>
      </c>
      <c r="G28" s="20">
        <f>IF(COUNTIFS(rValid_RF,"?*",rMes_RF,$B28)=0,"Sin datos",IF(ABS(SUMIFS(rPeso_RF,rMes_RF,$B28)-1)&gt;0.0001,"Pesos ≠ 100%",SUMPRODUCT(--(rMes_RF=$B28),rPeso_RF,rAvance_RF)))</f>
        <v/>
      </c>
      <c r="H28" s="22">
        <f>IF(COUNTIFS(rValid_RF,"?*",rMes_RF,$B28)=0,"",COUNTIFS(rEstado_RF,"Completado",rMes_RF,$B28)&amp;" / "&amp;COUNTIFS(rValid_RF,"?*",rMes_RF,$B28))</f>
        <v/>
      </c>
      <c r="I28" s="20">
        <f>IF(COUNTIFS(rValid_ATR,"?*",rMes_ATR,$B28)=0,"Sin datos",IF(ABS(SUMIFS(rPeso_ATR,rMes_ATR,$B28)-1)&gt;0.0001,"Pesos ≠ 100%",SUMPRODUCT(--(rMes_ATR=$B28),rPeso_ATR,rAvance_ATR)))</f>
        <v/>
      </c>
      <c r="J28" s="22">
        <f>IF(COUNTIFS(rValid_ATR,"?*",rMes_ATR,$B28)=0,"",COUNTIFS(rEstado_ATR,"Completado",rMes_ATR,$B28)&amp;" / "&amp;COUNTIFS(rValid_ATR,"?*",rMes_ATR,$B28))</f>
        <v/>
      </c>
      <c r="K28" s="52">
        <f>IF(COUNT(C28,E28,G28,I28)=4,AVERAGE(C28,E28,G28,I28),IF(COUNTIF(C28:J28,"Sin datos")=4,"Sin datos","No definitivo"))</f>
        <v/>
      </c>
      <c r="M28">
        <f>IF(ISNUMBER(C28),C28,0)</f>
        <v/>
      </c>
      <c r="N28">
        <f>IF(ISNUMBER(E28),E28,0)</f>
        <v/>
      </c>
      <c r="O28">
        <f>IF(ISNUMBER(G28),G28,0)</f>
        <v/>
      </c>
      <c r="P28">
        <f>IF(ISNUMBER(I28),I28,0)</f>
        <v/>
      </c>
      <c r="Q28">
        <f>CHOOSE(MONTH(B28),"ene","feb","mar","abr","may","jun","jul","ago","sep","oct","nov","dic")&amp;" "&amp;YEAR(B28)</f>
        <v/>
      </c>
    </row>
    <row r="29" ht="20" customHeight="1">
      <c r="B29" s="51">
        <f>DATE(YEAR(HistInicio),MONTH(HistInicio)+23,1)</f>
        <v/>
      </c>
      <c r="C29" s="20">
        <f>IF(COUNTIFS(rValid_RO,"?*",rMes_RO,$B29)=0,"Sin datos",IF(ABS(SUMIFS(rPeso_RO,rMes_RO,$B29)-1)&gt;0.0001,"Pesos ≠ 100%",SUMPRODUCT(--(rMes_RO=$B29),rPeso_RO,rAvance_RO)))</f>
        <v/>
      </c>
      <c r="D29" s="22">
        <f>IF(COUNTIFS(rValid_RO,"?*",rMes_RO,$B29)=0,"",COUNTIFS(rEstado_RO,"Completado",rMes_RO,$B29)&amp;" / "&amp;COUNTIFS(rValid_RO,"?*",rMes_RO,$B29))</f>
        <v/>
      </c>
      <c r="E29" s="20">
        <f>IF(COUNTIFS(rValid_RN,"?*",rMes_RN,$B29)=0,"Sin datos",IF(ABS(SUMIFS(rPeso_RN,rMes_RN,$B29)-1)&gt;0.0001,"Pesos ≠ 100%",SUMPRODUCT(--(rMes_RN=$B29),rPeso_RN,rAvance_RN)))</f>
        <v/>
      </c>
      <c r="F29" s="22">
        <f>IF(COUNTIFS(rValid_RN,"?*",rMes_RN,$B29)=0,"",COUNTIFS(rEstado_RN,"Completado",rMes_RN,$B29)&amp;" / "&amp;COUNTIFS(rValid_RN,"?*",rMes_RN,$B29))</f>
        <v/>
      </c>
      <c r="G29" s="20">
        <f>IF(COUNTIFS(rValid_RF,"?*",rMes_RF,$B29)=0,"Sin datos",IF(ABS(SUMIFS(rPeso_RF,rMes_RF,$B29)-1)&gt;0.0001,"Pesos ≠ 100%",SUMPRODUCT(--(rMes_RF=$B29),rPeso_RF,rAvance_RF)))</f>
        <v/>
      </c>
      <c r="H29" s="22">
        <f>IF(COUNTIFS(rValid_RF,"?*",rMes_RF,$B29)=0,"",COUNTIFS(rEstado_RF,"Completado",rMes_RF,$B29)&amp;" / "&amp;COUNTIFS(rValid_RF,"?*",rMes_RF,$B29))</f>
        <v/>
      </c>
      <c r="I29" s="20">
        <f>IF(COUNTIFS(rValid_ATR,"?*",rMes_ATR,$B29)=0,"Sin datos",IF(ABS(SUMIFS(rPeso_ATR,rMes_ATR,$B29)-1)&gt;0.0001,"Pesos ≠ 100%",SUMPRODUCT(--(rMes_ATR=$B29),rPeso_ATR,rAvance_ATR)))</f>
        <v/>
      </c>
      <c r="J29" s="22">
        <f>IF(COUNTIFS(rValid_ATR,"?*",rMes_ATR,$B29)=0,"",COUNTIFS(rEstado_ATR,"Completado",rMes_ATR,$B29)&amp;" / "&amp;COUNTIFS(rValid_ATR,"?*",rMes_ATR,$B29))</f>
        <v/>
      </c>
      <c r="K29" s="52">
        <f>IF(COUNT(C29,E29,G29,I29)=4,AVERAGE(C29,E29,G29,I29),IF(COUNTIF(C29:J29,"Sin datos")=4,"Sin datos","No definitivo"))</f>
        <v/>
      </c>
      <c r="M29">
        <f>IF(ISNUMBER(C29),C29,0)</f>
        <v/>
      </c>
      <c r="N29">
        <f>IF(ISNUMBER(E29),E29,0)</f>
        <v/>
      </c>
      <c r="O29">
        <f>IF(ISNUMBER(G29),G29,0)</f>
        <v/>
      </c>
      <c r="P29">
        <f>IF(ISNUMBER(I29),I29,0)</f>
        <v/>
      </c>
      <c r="Q29">
        <f>CHOOSE(MONTH(B29),"ene","feb","mar","abr","may","jun","jul","ago","sep","oct","nov","dic")&amp;" "&amp;YEAR(B29)</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8">
      <formula>AND(ISNUMBER(C6),C6&lt;1)</formula>
    </cfRule>
    <cfRule type="expression" priority="3" dxfId="7">
      <formula>OR(C6="Pesos ≠ 100%",C6="No definitivo")</formula>
    </cfRule>
    <cfRule type="expression" priority="4" dxfId="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C55A11"/>
    <outlinePr summaryBelow="1" summaryRight="1"/>
    <pageSetUpPr fitToPage="1"/>
  </sheetPr>
  <dimension ref="A1:P3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 width="15" customWidth="1" min="15" max="15"/>
    <col hidden="1" width="8" customWidth="1" min="16" max="16"/>
  </cols>
  <sheetData>
    <row r="1" ht="28" customHeight="1">
      <c r="A1" s="53" t="inlineStr">
        <is>
          <t>Cronograma – Riesgo Operacional</t>
        </is>
      </c>
      <c r="B1" s="53" t="n"/>
      <c r="C1" s="53" t="n"/>
      <c r="D1" s="53" t="n"/>
      <c r="E1" s="53" t="n"/>
      <c r="F1" s="53" t="n"/>
      <c r="G1" s="53" t="n"/>
      <c r="H1" s="53" t="n"/>
      <c r="I1" s="53" t="n"/>
      <c r="J1" s="53" t="n"/>
      <c r="K1" s="53" t="n"/>
      <c r="L1" s="53" t="n"/>
      <c r="M1" s="53" t="n"/>
      <c r="N1" s="53" t="n"/>
      <c r="O1" s="53" t="n"/>
    </row>
    <row r="2" ht="40" customHeight="1">
      <c r="A2" s="46" t="inlineStr">
        <is>
          <t>Llene solo las celdas GRIS SUAVE (desbloqueadas); las celdas AZUL CLARO son automáticas y están bloqueadas. Cada mes agregue sus actividades debajo de las anteriores (NO borre los meses pasados: quedan como historial). El mes se asigna solo con la fecha de inicio. En cada semana escriba el % TOTAL logrado hasta esa semana (ej. 20%, 45%, 75%, 100%). Los pesos de las actividades de un mismo mes deben sumar 100%. Si una actividad no se cumple, explique el motivo en Observaciones.</t>
        </is>
      </c>
      <c r="B2" s="46" t="n"/>
      <c r="C2" s="46" t="n"/>
      <c r="D2" s="46" t="n"/>
      <c r="E2" s="46" t="n"/>
      <c r="F2" s="46" t="n"/>
      <c r="G2" s="46" t="n"/>
      <c r="H2" s="46" t="n"/>
      <c r="I2" s="46" t="n"/>
      <c r="J2" s="46" t="n"/>
      <c r="K2" s="46" t="n"/>
      <c r="L2" s="46" t="n"/>
      <c r="M2" s="46" t="n"/>
      <c r="N2" s="46" t="n"/>
      <c r="O2" s="46" t="n"/>
    </row>
    <row r="3">
      <c r="A3" s="54" t="inlineStr">
        <is>
          <t>Llenar</t>
        </is>
      </c>
      <c r="B3" s="55" t="inlineStr">
        <is>
          <t>Automático (bloqueado)</t>
        </is>
      </c>
      <c r="C3" s="56" t="inlineStr">
        <is>
          <t>Pesos del mes:</t>
        </is>
      </c>
      <c r="D3" s="57">
        <f>SUMIFS(F5:F1000,O5:O1000,MesCiclo)</f>
        <v/>
      </c>
      <c r="E3" s="58">
        <f>IF(COUNTIFS(N5:N1000,"?*",O5:O1000,MesCiclo)=0,"",IF(ABS(D3-1)&lt;=0.0001,"✔ 100%","⚠ Debe sumar 100%"))</f>
        <v/>
      </c>
      <c r="F3" s="58" t="n"/>
    </row>
    <row r="4" ht="42" customHeight="1">
      <c r="A4" s="59" t="inlineStr">
        <is>
          <t>N°</t>
        </is>
      </c>
      <c r="B4" s="48" t="inlineStr">
        <is>
          <t>Macro Actividad</t>
        </is>
      </c>
      <c r="C4" s="48" t="inlineStr">
        <is>
          <t>Responsable</t>
        </is>
      </c>
      <c r="D4" s="48" t="inlineStr">
        <is>
          <t>Fecha de inicio</t>
        </is>
      </c>
      <c r="E4" s="48" t="inlineStr">
        <is>
          <t>Fecha límite</t>
        </is>
      </c>
      <c r="F4" s="48" t="inlineStr">
        <is>
          <t>Peso de actividad (%)</t>
        </is>
      </c>
      <c r="G4" s="48" t="inlineStr">
        <is>
          <t>Avance Semana 1 (%)</t>
        </is>
      </c>
      <c r="H4" s="48" t="inlineStr">
        <is>
          <t>Avance Semana 2 (%)</t>
        </is>
      </c>
      <c r="I4" s="48" t="inlineStr">
        <is>
          <t>Avance Semana 3 (%)</t>
        </is>
      </c>
      <c r="J4" s="48" t="inlineStr">
        <is>
          <t>Avance Semana 4 (%)</t>
        </is>
      </c>
      <c r="K4" s="59" t="inlineStr">
        <is>
          <t>% de Avance Total Actual</t>
        </is>
      </c>
      <c r="L4" s="59" t="inlineStr">
        <is>
          <t>Estado</t>
        </is>
      </c>
      <c r="M4" s="48" t="inlineStr">
        <is>
          <t>Observaciones</t>
        </is>
      </c>
      <c r="N4" s="59" t="inlineStr">
        <is>
          <t>Revisión automática (alertas)</t>
        </is>
      </c>
      <c r="O4" s="59" t="inlineStr">
        <is>
          <t>Mes</t>
        </is>
      </c>
      <c r="P4" s="59" t="inlineStr">
        <is>
          <t>Orden en el mes (aux)</t>
        </is>
      </c>
    </row>
    <row r="5">
      <c r="A5" s="60">
        <f>IF(NOT((COUNTA($B5:$J5)+COUNTA($M5))&gt;0),"",COUNTIFS($L$5:$L5,"?*",$O$5:$O5,$O5))</f>
        <v/>
      </c>
      <c r="B5" s="61" t="n"/>
      <c r="C5" s="61" t="n"/>
      <c r="D5" s="62" t="n"/>
      <c r="E5" s="62" t="n"/>
      <c r="F5" s="63" t="n"/>
      <c r="G5" s="64" t="n"/>
      <c r="H5" s="64" t="n"/>
      <c r="I5" s="64" t="n"/>
      <c r="J5" s="64" t="n"/>
      <c r="K5" s="65">
        <f>IF(NOT((COUNTA($B5:$J5)+COUNTA($M5))&gt;0),"",IFERROR(LOOKUP(2,1/(G5:J5&lt;&gt;""),G5:J5),0))</f>
        <v/>
      </c>
      <c r="L5" s="60">
        <f>IF(K5="","",IF(K5&gt;=1,"Completado",IF(K5&gt;0,"En curso","Pendiente")))</f>
        <v/>
      </c>
      <c r="M5" s="61" t="n"/>
      <c r="N5" s="66">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c r="O5" s="67">
        <f>IF(NOT((COUNTA($B5:$J5)+COUNTA($M5))&gt;0),"",IF(ISNUMBER($D5),DATE(YEAR($D5),MONTH($D5),1),IF(ISNUMBER($E5),DATE(YEAR($E5),MONTH($E5),1),MesCiclo)))</f>
        <v/>
      </c>
      <c r="P5" s="68">
        <f>IF(OR($O5="",$O5&lt;&gt;MesCiclo),"",COUNTIF($O$5:$O5,MesCiclo))</f>
        <v/>
      </c>
    </row>
    <row r="6">
      <c r="A6" s="60">
        <f>IF(NOT((COUNTA($B6:$J6)+COUNTA($M6))&gt;0),"",COUNTIFS($L$5:$L6,"?*",$O$5:$O6,$O6))</f>
        <v/>
      </c>
      <c r="B6" s="61" t="n"/>
      <c r="C6" s="61" t="n"/>
      <c r="D6" s="62" t="n"/>
      <c r="E6" s="62" t="n"/>
      <c r="F6" s="63" t="n"/>
      <c r="G6" s="64" t="n"/>
      <c r="H6" s="64" t="n"/>
      <c r="I6" s="64" t="n"/>
      <c r="J6" s="64" t="n"/>
      <c r="K6" s="65">
        <f>IF(NOT((COUNTA($B6:$J6)+COUNTA($M6))&gt;0),"",IFERROR(LOOKUP(2,1/(G6:J6&lt;&gt;""),G6:J6),0))</f>
        <v/>
      </c>
      <c r="L6" s="60">
        <f>IF(K6="","",IF(K6&gt;=1,"Completado",IF(K6&gt;0,"En curso","Pendiente")))</f>
        <v/>
      </c>
      <c r="M6" s="61" t="n"/>
      <c r="N6" s="66">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c r="O6" s="67">
        <f>IF(NOT((COUNTA($B6:$J6)+COUNTA($M6))&gt;0),"",IF(ISNUMBER($D6),DATE(YEAR($D6),MONTH($D6),1),IF(ISNUMBER($E6),DATE(YEAR($E6),MONTH($E6),1),MesCiclo)))</f>
        <v/>
      </c>
      <c r="P6" s="68">
        <f>IF(OR($O6="",$O6&lt;&gt;MesCiclo),"",COUNTIF($O$5:$O6,MesCiclo))</f>
        <v/>
      </c>
    </row>
    <row r="7">
      <c r="A7" s="60">
        <f>IF(NOT((COUNTA($B7:$J7)+COUNTA($M7))&gt;0),"",COUNTIFS($L$5:$L7,"?*",$O$5:$O7,$O7))</f>
        <v/>
      </c>
      <c r="B7" s="61" t="n"/>
      <c r="C7" s="61" t="n"/>
      <c r="D7" s="62" t="n"/>
      <c r="E7" s="62" t="n"/>
      <c r="F7" s="63" t="n"/>
      <c r="G7" s="64" t="n"/>
      <c r="H7" s="64" t="n"/>
      <c r="I7" s="64" t="n"/>
      <c r="J7" s="64" t="n"/>
      <c r="K7" s="65">
        <f>IF(NOT((COUNTA($B7:$J7)+COUNTA($M7))&gt;0),"",IFERROR(LOOKUP(2,1/(G7:J7&lt;&gt;""),G7:J7),0))</f>
        <v/>
      </c>
      <c r="L7" s="60">
        <f>IF(K7="","",IF(K7&gt;=1,"Completado",IF(K7&gt;0,"En curso","Pendiente")))</f>
        <v/>
      </c>
      <c r="M7" s="61" t="n"/>
      <c r="N7" s="66">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c r="O7" s="67">
        <f>IF(NOT((COUNTA($B7:$J7)+COUNTA($M7))&gt;0),"",IF(ISNUMBER($D7),DATE(YEAR($D7),MONTH($D7),1),IF(ISNUMBER($E7),DATE(YEAR($E7),MONTH($E7),1),MesCiclo)))</f>
        <v/>
      </c>
      <c r="P7" s="68">
        <f>IF(OR($O7="",$O7&lt;&gt;MesCiclo),"",COUNTIF($O$5:$O7,MesCiclo))</f>
        <v/>
      </c>
    </row>
    <row r="8">
      <c r="A8" s="60">
        <f>IF(NOT((COUNTA($B8:$J8)+COUNTA($M8))&gt;0),"",COUNTIFS($L$5:$L8,"?*",$O$5:$O8,$O8))</f>
        <v/>
      </c>
      <c r="B8" s="61" t="n"/>
      <c r="C8" s="61" t="n"/>
      <c r="D8" s="62" t="n"/>
      <c r="E8" s="62" t="n"/>
      <c r="F8" s="63" t="n"/>
      <c r="G8" s="64" t="n"/>
      <c r="H8" s="64" t="n"/>
      <c r="I8" s="64" t="n"/>
      <c r="J8" s="64" t="n"/>
      <c r="K8" s="65">
        <f>IF(NOT((COUNTA($B8:$J8)+COUNTA($M8))&gt;0),"",IFERROR(LOOKUP(2,1/(G8:J8&lt;&gt;""),G8:J8),0))</f>
        <v/>
      </c>
      <c r="L8" s="60">
        <f>IF(K8="","",IF(K8&gt;=1,"Completado",IF(K8&gt;0,"En curso","Pendiente")))</f>
        <v/>
      </c>
      <c r="M8" s="61" t="n"/>
      <c r="N8" s="66">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c r="O8" s="67">
        <f>IF(NOT((COUNTA($B8:$J8)+COUNTA($M8))&gt;0),"",IF(ISNUMBER($D8),DATE(YEAR($D8),MONTH($D8),1),IF(ISNUMBER($E8),DATE(YEAR($E8),MONTH($E8),1),MesCiclo)))</f>
        <v/>
      </c>
      <c r="P8" s="68">
        <f>IF(OR($O8="",$O8&lt;&gt;MesCiclo),"",COUNTIF($O$5:$O8,MesCiclo))</f>
        <v/>
      </c>
    </row>
    <row r="9">
      <c r="A9" s="60">
        <f>IF(NOT((COUNTA($B9:$J9)+COUNTA($M9))&gt;0),"",COUNTIFS($L$5:$L9,"?*",$O$5:$O9,$O9))</f>
        <v/>
      </c>
      <c r="B9" s="61" t="n"/>
      <c r="C9" s="61" t="n"/>
      <c r="D9" s="62" t="n"/>
      <c r="E9" s="62" t="n"/>
      <c r="F9" s="63" t="n"/>
      <c r="G9" s="64" t="n"/>
      <c r="H9" s="64" t="n"/>
      <c r="I9" s="64" t="n"/>
      <c r="J9" s="64" t="n"/>
      <c r="K9" s="65">
        <f>IF(NOT((COUNTA($B9:$J9)+COUNTA($M9))&gt;0),"",IFERROR(LOOKUP(2,1/(G9:J9&lt;&gt;""),G9:J9),0))</f>
        <v/>
      </c>
      <c r="L9" s="60">
        <f>IF(K9="","",IF(K9&gt;=1,"Completado",IF(K9&gt;0,"En curso","Pendiente")))</f>
        <v/>
      </c>
      <c r="M9" s="61" t="n"/>
      <c r="N9" s="66">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c r="O9" s="67">
        <f>IF(NOT((COUNTA($B9:$J9)+COUNTA($M9))&gt;0),"",IF(ISNUMBER($D9),DATE(YEAR($D9),MONTH($D9),1),IF(ISNUMBER($E9),DATE(YEAR($E9),MONTH($E9),1),MesCiclo)))</f>
        <v/>
      </c>
      <c r="P9" s="68">
        <f>IF(OR($O9="",$O9&lt;&gt;MesCiclo),"",COUNTIF($O$5:$O9,MesCiclo))</f>
        <v/>
      </c>
    </row>
    <row r="10">
      <c r="A10" s="60">
        <f>IF(NOT((COUNTA($B10:$J10)+COUNTA($M10))&gt;0),"",COUNTIFS($L$5:$L10,"?*",$O$5:$O10,$O10))</f>
        <v/>
      </c>
      <c r="B10" s="61" t="n"/>
      <c r="C10" s="61" t="n"/>
      <c r="D10" s="62" t="n"/>
      <c r="E10" s="62" t="n"/>
      <c r="F10" s="63" t="n"/>
      <c r="G10" s="64" t="n"/>
      <c r="H10" s="64" t="n"/>
      <c r="I10" s="64" t="n"/>
      <c r="J10" s="64" t="n"/>
      <c r="K10" s="65">
        <f>IF(NOT((COUNTA($B10:$J10)+COUNTA($M10))&gt;0),"",IFERROR(LOOKUP(2,1/(G10:J10&lt;&gt;""),G10:J10),0))</f>
        <v/>
      </c>
      <c r="L10" s="60">
        <f>IF(K10="","",IF(K10&gt;=1,"Completado",IF(K10&gt;0,"En curso","Pendiente")))</f>
        <v/>
      </c>
      <c r="M10" s="61" t="n"/>
      <c r="N10" s="66">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c r="O10" s="67">
        <f>IF(NOT((COUNTA($B10:$J10)+COUNTA($M10))&gt;0),"",IF(ISNUMBER($D10),DATE(YEAR($D10),MONTH($D10),1),IF(ISNUMBER($E10),DATE(YEAR($E10),MONTH($E10),1),MesCiclo)))</f>
        <v/>
      </c>
      <c r="P10" s="68">
        <f>IF(OR($O10="",$O10&lt;&gt;MesCiclo),"",COUNTIF($O$5:$O10,MesCiclo))</f>
        <v/>
      </c>
    </row>
    <row r="11">
      <c r="A11" s="60">
        <f>IF(NOT((COUNTA($B11:$J11)+COUNTA($M11))&gt;0),"",COUNTIFS($L$5:$L11,"?*",$O$5:$O11,$O11))</f>
        <v/>
      </c>
      <c r="B11" s="61" t="n"/>
      <c r="C11" s="61" t="n"/>
      <c r="D11" s="62" t="n"/>
      <c r="E11" s="62" t="n"/>
      <c r="F11" s="63" t="n"/>
      <c r="G11" s="64" t="n"/>
      <c r="H11" s="64" t="n"/>
      <c r="I11" s="64" t="n"/>
      <c r="J11" s="64" t="n"/>
      <c r="K11" s="65">
        <f>IF(NOT((COUNTA($B11:$J11)+COUNTA($M11))&gt;0),"",IFERROR(LOOKUP(2,1/(G11:J11&lt;&gt;""),G11:J11),0))</f>
        <v/>
      </c>
      <c r="L11" s="60">
        <f>IF(K11="","",IF(K11&gt;=1,"Completado",IF(K11&gt;0,"En curso","Pendiente")))</f>
        <v/>
      </c>
      <c r="M11" s="61" t="n"/>
      <c r="N11" s="66">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c r="O11" s="67">
        <f>IF(NOT((COUNTA($B11:$J11)+COUNTA($M11))&gt;0),"",IF(ISNUMBER($D11),DATE(YEAR($D11),MONTH($D11),1),IF(ISNUMBER($E11),DATE(YEAR($E11),MONTH($E11),1),MesCiclo)))</f>
        <v/>
      </c>
      <c r="P11" s="68">
        <f>IF(OR($O11="",$O11&lt;&gt;MesCiclo),"",COUNTIF($O$5:$O11,MesCiclo))</f>
        <v/>
      </c>
    </row>
    <row r="12">
      <c r="A12" s="60">
        <f>IF(NOT((COUNTA($B12:$J12)+COUNTA($M12))&gt;0),"",COUNTIFS($L$5:$L12,"?*",$O$5:$O12,$O12))</f>
        <v/>
      </c>
      <c r="B12" s="61" t="n"/>
      <c r="C12" s="61" t="n"/>
      <c r="D12" s="62" t="n"/>
      <c r="E12" s="62" t="n"/>
      <c r="F12" s="63" t="n"/>
      <c r="G12" s="64" t="n"/>
      <c r="H12" s="64" t="n"/>
      <c r="I12" s="64" t="n"/>
      <c r="J12" s="64" t="n"/>
      <c r="K12" s="65">
        <f>IF(NOT((COUNTA($B12:$J12)+COUNTA($M12))&gt;0),"",IFERROR(LOOKUP(2,1/(G12:J12&lt;&gt;""),G12:J12),0))</f>
        <v/>
      </c>
      <c r="L12" s="60">
        <f>IF(K12="","",IF(K12&gt;=1,"Completado",IF(K12&gt;0,"En curso","Pendiente")))</f>
        <v/>
      </c>
      <c r="M12" s="61" t="n"/>
      <c r="N12" s="66">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c r="O12" s="67">
        <f>IF(NOT((COUNTA($B12:$J12)+COUNTA($M12))&gt;0),"",IF(ISNUMBER($D12),DATE(YEAR($D12),MONTH($D12),1),IF(ISNUMBER($E12),DATE(YEAR($E12),MONTH($E12),1),MesCiclo)))</f>
        <v/>
      </c>
      <c r="P12" s="68">
        <f>IF(OR($O12="",$O12&lt;&gt;MesCiclo),"",COUNTIF($O$5:$O12,MesCiclo))</f>
        <v/>
      </c>
    </row>
    <row r="13">
      <c r="A13" s="60">
        <f>IF(NOT((COUNTA($B13:$J13)+COUNTA($M13))&gt;0),"",COUNTIFS($L$5:$L13,"?*",$O$5:$O13,$O13))</f>
        <v/>
      </c>
      <c r="B13" s="61" t="n"/>
      <c r="C13" s="61" t="n"/>
      <c r="D13" s="62" t="n"/>
      <c r="E13" s="62" t="n"/>
      <c r="F13" s="63" t="n"/>
      <c r="G13" s="64" t="n"/>
      <c r="H13" s="64" t="n"/>
      <c r="I13" s="64" t="n"/>
      <c r="J13" s="64" t="n"/>
      <c r="K13" s="65">
        <f>IF(NOT((COUNTA($B13:$J13)+COUNTA($M13))&gt;0),"",IFERROR(LOOKUP(2,1/(G13:J13&lt;&gt;""),G13:J13),0))</f>
        <v/>
      </c>
      <c r="L13" s="60">
        <f>IF(K13="","",IF(K13&gt;=1,"Completado",IF(K13&gt;0,"En curso","Pendiente")))</f>
        <v/>
      </c>
      <c r="M13" s="61" t="n"/>
      <c r="N13" s="66">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c r="O13" s="67">
        <f>IF(NOT((COUNTA($B13:$J13)+COUNTA($M13))&gt;0),"",IF(ISNUMBER($D13),DATE(YEAR($D13),MONTH($D13),1),IF(ISNUMBER($E13),DATE(YEAR($E13),MONTH($E13),1),MesCiclo)))</f>
        <v/>
      </c>
      <c r="P13" s="68">
        <f>IF(OR($O13="",$O13&lt;&gt;MesCiclo),"",COUNTIF($O$5:$O13,MesCiclo))</f>
        <v/>
      </c>
    </row>
    <row r="14">
      <c r="A14" s="60">
        <f>IF(NOT((COUNTA($B14:$J14)+COUNTA($M14))&gt;0),"",COUNTIFS($L$5:$L14,"?*",$O$5:$O14,$O14))</f>
        <v/>
      </c>
      <c r="B14" s="61" t="n"/>
      <c r="C14" s="61" t="n"/>
      <c r="D14" s="62" t="n"/>
      <c r="E14" s="62" t="n"/>
      <c r="F14" s="63" t="n"/>
      <c r="G14" s="64" t="n"/>
      <c r="H14" s="64" t="n"/>
      <c r="I14" s="64" t="n"/>
      <c r="J14" s="64" t="n"/>
      <c r="K14" s="65">
        <f>IF(NOT((COUNTA($B14:$J14)+COUNTA($M14))&gt;0),"",IFERROR(LOOKUP(2,1/(G14:J14&lt;&gt;""),G14:J14),0))</f>
        <v/>
      </c>
      <c r="L14" s="60">
        <f>IF(K14="","",IF(K14&gt;=1,"Completado",IF(K14&gt;0,"En curso","Pendiente")))</f>
        <v/>
      </c>
      <c r="M14" s="61" t="n"/>
      <c r="N14" s="66">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c r="O14" s="67">
        <f>IF(NOT((COUNTA($B14:$J14)+COUNTA($M14))&gt;0),"",IF(ISNUMBER($D14),DATE(YEAR($D14),MONTH($D14),1),IF(ISNUMBER($E14),DATE(YEAR($E14),MONTH($E14),1),MesCiclo)))</f>
        <v/>
      </c>
      <c r="P14" s="68">
        <f>IF(OR($O14="",$O14&lt;&gt;MesCiclo),"",COUNTIF($O$5:$O14,MesCiclo))</f>
        <v/>
      </c>
    </row>
    <row r="15">
      <c r="A15" s="60">
        <f>IF(NOT((COUNTA($B15:$J15)+COUNTA($M15))&gt;0),"",COUNTIFS($L$5:$L15,"?*",$O$5:$O15,$O15))</f>
        <v/>
      </c>
      <c r="B15" s="61" t="n"/>
      <c r="C15" s="61" t="n"/>
      <c r="D15" s="62" t="n"/>
      <c r="E15" s="62" t="n"/>
      <c r="F15" s="63" t="n"/>
      <c r="G15" s="64" t="n"/>
      <c r="H15" s="64" t="n"/>
      <c r="I15" s="64" t="n"/>
      <c r="J15" s="64" t="n"/>
      <c r="K15" s="65">
        <f>IF(NOT((COUNTA($B15:$J15)+COUNTA($M15))&gt;0),"",IFERROR(LOOKUP(2,1/(G15:J15&lt;&gt;""),G15:J15),0))</f>
        <v/>
      </c>
      <c r="L15" s="60">
        <f>IF(K15="","",IF(K15&gt;=1,"Completado",IF(K15&gt;0,"En curso","Pendiente")))</f>
        <v/>
      </c>
      <c r="M15" s="61" t="n"/>
      <c r="N15" s="66">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c r="O15" s="67">
        <f>IF(NOT((COUNTA($B15:$J15)+COUNTA($M15))&gt;0),"",IF(ISNUMBER($D15),DATE(YEAR($D15),MONTH($D15),1),IF(ISNUMBER($E15),DATE(YEAR($E15),MONTH($E15),1),MesCiclo)))</f>
        <v/>
      </c>
      <c r="P15" s="68">
        <f>IF(OR($O15="",$O15&lt;&gt;MesCiclo),"",COUNTIF($O$5:$O15,MesCiclo))</f>
        <v/>
      </c>
    </row>
    <row r="16">
      <c r="A16" s="60">
        <f>IF(NOT((COUNTA($B16:$J16)+COUNTA($M16))&gt;0),"",COUNTIFS($L$5:$L16,"?*",$O$5:$O16,$O16))</f>
        <v/>
      </c>
      <c r="B16" s="61" t="n"/>
      <c r="C16" s="61" t="n"/>
      <c r="D16" s="62" t="n"/>
      <c r="E16" s="62" t="n"/>
      <c r="F16" s="63" t="n"/>
      <c r="G16" s="64" t="n"/>
      <c r="H16" s="64" t="n"/>
      <c r="I16" s="64" t="n"/>
      <c r="J16" s="64" t="n"/>
      <c r="K16" s="65">
        <f>IF(NOT((COUNTA($B16:$J16)+COUNTA($M16))&gt;0),"",IFERROR(LOOKUP(2,1/(G16:J16&lt;&gt;""),G16:J16),0))</f>
        <v/>
      </c>
      <c r="L16" s="60">
        <f>IF(K16="","",IF(K16&gt;=1,"Completado",IF(K16&gt;0,"En curso","Pendiente")))</f>
        <v/>
      </c>
      <c r="M16" s="61" t="n"/>
      <c r="N16" s="66">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c r="O16" s="67">
        <f>IF(NOT((COUNTA($B16:$J16)+COUNTA($M16))&gt;0),"",IF(ISNUMBER($D16),DATE(YEAR($D16),MONTH($D16),1),IF(ISNUMBER($E16),DATE(YEAR($E16),MONTH($E16),1),MesCiclo)))</f>
        <v/>
      </c>
      <c r="P16" s="68">
        <f>IF(OR($O16="",$O16&lt;&gt;MesCiclo),"",COUNTIF($O$5:$O16,MesCiclo))</f>
        <v/>
      </c>
    </row>
    <row r="17">
      <c r="A17" s="60">
        <f>IF(NOT((COUNTA($B17:$J17)+COUNTA($M17))&gt;0),"",COUNTIFS($L$5:$L17,"?*",$O$5:$O17,$O17))</f>
        <v/>
      </c>
      <c r="B17" s="61" t="n"/>
      <c r="C17" s="61" t="n"/>
      <c r="D17" s="62" t="n"/>
      <c r="E17" s="62" t="n"/>
      <c r="F17" s="63" t="n"/>
      <c r="G17" s="64" t="n"/>
      <c r="H17" s="64" t="n"/>
      <c r="I17" s="64" t="n"/>
      <c r="J17" s="64" t="n"/>
      <c r="K17" s="65">
        <f>IF(NOT((COUNTA($B17:$J17)+COUNTA($M17))&gt;0),"",IFERROR(LOOKUP(2,1/(G17:J17&lt;&gt;""),G17:J17),0))</f>
        <v/>
      </c>
      <c r="L17" s="60">
        <f>IF(K17="","",IF(K17&gt;=1,"Completado",IF(K17&gt;0,"En curso","Pendiente")))</f>
        <v/>
      </c>
      <c r="M17" s="61" t="n"/>
      <c r="N17" s="66">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c r="O17" s="67">
        <f>IF(NOT((COUNTA($B17:$J17)+COUNTA($M17))&gt;0),"",IF(ISNUMBER($D17),DATE(YEAR($D17),MONTH($D17),1),IF(ISNUMBER($E17),DATE(YEAR($E17),MONTH($E17),1),MesCiclo)))</f>
        <v/>
      </c>
      <c r="P17" s="68">
        <f>IF(OR($O17="",$O17&lt;&gt;MesCiclo),"",COUNTIF($O$5:$O17,MesCiclo))</f>
        <v/>
      </c>
    </row>
    <row r="18">
      <c r="A18" s="60">
        <f>IF(NOT((COUNTA($B18:$J18)+COUNTA($M18))&gt;0),"",COUNTIFS($L$5:$L18,"?*",$O$5:$O18,$O18))</f>
        <v/>
      </c>
      <c r="B18" s="61" t="n"/>
      <c r="C18" s="61" t="n"/>
      <c r="D18" s="62" t="n"/>
      <c r="E18" s="62" t="n"/>
      <c r="F18" s="63" t="n"/>
      <c r="G18" s="64" t="n"/>
      <c r="H18" s="64" t="n"/>
      <c r="I18" s="64" t="n"/>
      <c r="J18" s="64" t="n"/>
      <c r="K18" s="65">
        <f>IF(NOT((COUNTA($B18:$J18)+COUNTA($M18))&gt;0),"",IFERROR(LOOKUP(2,1/(G18:J18&lt;&gt;""),G18:J18),0))</f>
        <v/>
      </c>
      <c r="L18" s="60">
        <f>IF(K18="","",IF(K18&gt;=1,"Completado",IF(K18&gt;0,"En curso","Pendiente")))</f>
        <v/>
      </c>
      <c r="M18" s="61" t="n"/>
      <c r="N18" s="66">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c r="O18" s="67">
        <f>IF(NOT((COUNTA($B18:$J18)+COUNTA($M18))&gt;0),"",IF(ISNUMBER($D18),DATE(YEAR($D18),MONTH($D18),1),IF(ISNUMBER($E18),DATE(YEAR($E18),MONTH($E18),1),MesCiclo)))</f>
        <v/>
      </c>
      <c r="P18" s="68">
        <f>IF(OR($O18="",$O18&lt;&gt;MesCiclo),"",COUNTIF($O$5:$O18,MesCiclo))</f>
        <v/>
      </c>
    </row>
    <row r="19">
      <c r="A19" s="60">
        <f>IF(NOT((COUNTA($B19:$J19)+COUNTA($M19))&gt;0),"",COUNTIFS($L$5:$L19,"?*",$O$5:$O19,$O19))</f>
        <v/>
      </c>
      <c r="B19" s="61" t="n"/>
      <c r="C19" s="61" t="n"/>
      <c r="D19" s="62" t="n"/>
      <c r="E19" s="62" t="n"/>
      <c r="F19" s="63" t="n"/>
      <c r="G19" s="64" t="n"/>
      <c r="H19" s="64" t="n"/>
      <c r="I19" s="64" t="n"/>
      <c r="J19" s="64" t="n"/>
      <c r="K19" s="65">
        <f>IF(NOT((COUNTA($B19:$J19)+COUNTA($M19))&gt;0),"",IFERROR(LOOKUP(2,1/(G19:J19&lt;&gt;""),G19:J19),0))</f>
        <v/>
      </c>
      <c r="L19" s="60">
        <f>IF(K19="","",IF(K19&gt;=1,"Completado",IF(K19&gt;0,"En curso","Pendiente")))</f>
        <v/>
      </c>
      <c r="M19" s="61" t="n"/>
      <c r="N19" s="66">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c r="O19" s="67">
        <f>IF(NOT((COUNTA($B19:$J19)+COUNTA($M19))&gt;0),"",IF(ISNUMBER($D19),DATE(YEAR($D19),MONTH($D19),1),IF(ISNUMBER($E19),DATE(YEAR($E19),MONTH($E19),1),MesCiclo)))</f>
        <v/>
      </c>
      <c r="P19" s="68">
        <f>IF(OR($O19="",$O19&lt;&gt;MesCiclo),"",COUNTIF($O$5:$O19,MesCiclo))</f>
        <v/>
      </c>
    </row>
    <row r="20">
      <c r="A20" s="60">
        <f>IF(NOT((COUNTA($B20:$J20)+COUNTA($M20))&gt;0),"",COUNTIFS($L$5:$L20,"?*",$O$5:$O20,$O20))</f>
        <v/>
      </c>
      <c r="B20" s="61" t="n"/>
      <c r="C20" s="61" t="n"/>
      <c r="D20" s="62" t="n"/>
      <c r="E20" s="62" t="n"/>
      <c r="F20" s="63" t="n"/>
      <c r="G20" s="64" t="n"/>
      <c r="H20" s="64" t="n"/>
      <c r="I20" s="64" t="n"/>
      <c r="J20" s="64" t="n"/>
      <c r="K20" s="65">
        <f>IF(NOT((COUNTA($B20:$J20)+COUNTA($M20))&gt;0),"",IFERROR(LOOKUP(2,1/(G20:J20&lt;&gt;""),G20:J20),0))</f>
        <v/>
      </c>
      <c r="L20" s="60">
        <f>IF(K20="","",IF(K20&gt;=1,"Completado",IF(K20&gt;0,"En curso","Pendiente")))</f>
        <v/>
      </c>
      <c r="M20" s="61" t="n"/>
      <c r="N20" s="66">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c r="O20" s="67">
        <f>IF(NOT((COUNTA($B20:$J20)+COUNTA($M20))&gt;0),"",IF(ISNUMBER($D20),DATE(YEAR($D20),MONTH($D20),1),IF(ISNUMBER($E20),DATE(YEAR($E20),MONTH($E20),1),MesCiclo)))</f>
        <v/>
      </c>
      <c r="P20" s="68">
        <f>IF(OR($O20="",$O20&lt;&gt;MesCiclo),"",COUNTIF($O$5:$O20,MesCiclo))</f>
        <v/>
      </c>
    </row>
    <row r="21">
      <c r="A21" s="60">
        <f>IF(NOT((COUNTA($B21:$J21)+COUNTA($M21))&gt;0),"",COUNTIFS($L$5:$L21,"?*",$O$5:$O21,$O21))</f>
        <v/>
      </c>
      <c r="B21" s="61" t="n"/>
      <c r="C21" s="61" t="n"/>
      <c r="D21" s="62" t="n"/>
      <c r="E21" s="62" t="n"/>
      <c r="F21" s="63" t="n"/>
      <c r="G21" s="64" t="n"/>
      <c r="H21" s="64" t="n"/>
      <c r="I21" s="64" t="n"/>
      <c r="J21" s="64" t="n"/>
      <c r="K21" s="65">
        <f>IF(NOT((COUNTA($B21:$J21)+COUNTA($M21))&gt;0),"",IFERROR(LOOKUP(2,1/(G21:J21&lt;&gt;""),G21:J21),0))</f>
        <v/>
      </c>
      <c r="L21" s="60">
        <f>IF(K21="","",IF(K21&gt;=1,"Completado",IF(K21&gt;0,"En curso","Pendiente")))</f>
        <v/>
      </c>
      <c r="M21" s="61" t="n"/>
      <c r="N21" s="66">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c r="O21" s="67">
        <f>IF(NOT((COUNTA($B21:$J21)+COUNTA($M21))&gt;0),"",IF(ISNUMBER($D21),DATE(YEAR($D21),MONTH($D21),1),IF(ISNUMBER($E21),DATE(YEAR($E21),MONTH($E21),1),MesCiclo)))</f>
        <v/>
      </c>
      <c r="P21" s="68">
        <f>IF(OR($O21="",$O21&lt;&gt;MesCiclo),"",COUNTIF($O$5:$O21,MesCiclo))</f>
        <v/>
      </c>
    </row>
    <row r="22">
      <c r="A22" s="60">
        <f>IF(NOT((COUNTA($B22:$J22)+COUNTA($M22))&gt;0),"",COUNTIFS($L$5:$L22,"?*",$O$5:$O22,$O22))</f>
        <v/>
      </c>
      <c r="B22" s="61" t="n"/>
      <c r="C22" s="61" t="n"/>
      <c r="D22" s="62" t="n"/>
      <c r="E22" s="62" t="n"/>
      <c r="F22" s="63" t="n"/>
      <c r="G22" s="64" t="n"/>
      <c r="H22" s="64" t="n"/>
      <c r="I22" s="64" t="n"/>
      <c r="J22" s="64" t="n"/>
      <c r="K22" s="65">
        <f>IF(NOT((COUNTA($B22:$J22)+COUNTA($M22))&gt;0),"",IFERROR(LOOKUP(2,1/(G22:J22&lt;&gt;""),G22:J22),0))</f>
        <v/>
      </c>
      <c r="L22" s="60">
        <f>IF(K22="","",IF(K22&gt;=1,"Completado",IF(K22&gt;0,"En curso","Pendiente")))</f>
        <v/>
      </c>
      <c r="M22" s="61" t="n"/>
      <c r="N22" s="66">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c r="O22" s="67">
        <f>IF(NOT((COUNTA($B22:$J22)+COUNTA($M22))&gt;0),"",IF(ISNUMBER($D22),DATE(YEAR($D22),MONTH($D22),1),IF(ISNUMBER($E22),DATE(YEAR($E22),MONTH($E22),1),MesCiclo)))</f>
        <v/>
      </c>
      <c r="P22" s="68">
        <f>IF(OR($O22="",$O22&lt;&gt;MesCiclo),"",COUNTIF($O$5:$O22,MesCiclo))</f>
        <v/>
      </c>
    </row>
    <row r="23">
      <c r="A23" s="60">
        <f>IF(NOT((COUNTA($B23:$J23)+COUNTA($M23))&gt;0),"",COUNTIFS($L$5:$L23,"?*",$O$5:$O23,$O23))</f>
        <v/>
      </c>
      <c r="B23" s="61" t="n"/>
      <c r="C23" s="61" t="n"/>
      <c r="D23" s="62" t="n"/>
      <c r="E23" s="62" t="n"/>
      <c r="F23" s="63" t="n"/>
      <c r="G23" s="64" t="n"/>
      <c r="H23" s="64" t="n"/>
      <c r="I23" s="64" t="n"/>
      <c r="J23" s="64" t="n"/>
      <c r="K23" s="65">
        <f>IF(NOT((COUNTA($B23:$J23)+COUNTA($M23))&gt;0),"",IFERROR(LOOKUP(2,1/(G23:J23&lt;&gt;""),G23:J23),0))</f>
        <v/>
      </c>
      <c r="L23" s="60">
        <f>IF(K23="","",IF(K23&gt;=1,"Completado",IF(K23&gt;0,"En curso","Pendiente")))</f>
        <v/>
      </c>
      <c r="M23" s="61" t="n"/>
      <c r="N23" s="66">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c r="O23" s="67">
        <f>IF(NOT((COUNTA($B23:$J23)+COUNTA($M23))&gt;0),"",IF(ISNUMBER($D23),DATE(YEAR($D23),MONTH($D23),1),IF(ISNUMBER($E23),DATE(YEAR($E23),MONTH($E23),1),MesCiclo)))</f>
        <v/>
      </c>
      <c r="P23" s="68">
        <f>IF(OR($O23="",$O23&lt;&gt;MesCiclo),"",COUNTIF($O$5:$O23,MesCiclo))</f>
        <v/>
      </c>
    </row>
    <row r="24">
      <c r="A24" s="60">
        <f>IF(NOT((COUNTA($B24:$J24)+COUNTA($M24))&gt;0),"",COUNTIFS($L$5:$L24,"?*",$O$5:$O24,$O24))</f>
        <v/>
      </c>
      <c r="B24" s="61" t="n"/>
      <c r="C24" s="61" t="n"/>
      <c r="D24" s="62" t="n"/>
      <c r="E24" s="62" t="n"/>
      <c r="F24" s="63" t="n"/>
      <c r="G24" s="64" t="n"/>
      <c r="H24" s="64" t="n"/>
      <c r="I24" s="64" t="n"/>
      <c r="J24" s="64" t="n"/>
      <c r="K24" s="65">
        <f>IF(NOT((COUNTA($B24:$J24)+COUNTA($M24))&gt;0),"",IFERROR(LOOKUP(2,1/(G24:J24&lt;&gt;""),G24:J24),0))</f>
        <v/>
      </c>
      <c r="L24" s="60">
        <f>IF(K24="","",IF(K24&gt;=1,"Completado",IF(K24&gt;0,"En curso","Pendiente")))</f>
        <v/>
      </c>
      <c r="M24" s="61" t="n"/>
      <c r="N24" s="66">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c r="O24" s="67">
        <f>IF(NOT((COUNTA($B24:$J24)+COUNTA($M24))&gt;0),"",IF(ISNUMBER($D24),DATE(YEAR($D24),MONTH($D24),1),IF(ISNUMBER($E24),DATE(YEAR($E24),MONTH($E24),1),MesCiclo)))</f>
        <v/>
      </c>
      <c r="P24" s="68">
        <f>IF(OR($O24="",$O24&lt;&gt;MesCiclo),"",COUNTIF($O$5:$O24,MesCiclo))</f>
        <v/>
      </c>
    </row>
    <row r="25">
      <c r="A25" s="60">
        <f>IF(NOT((COUNTA($B25:$J25)+COUNTA($M25))&gt;0),"",COUNTIFS($L$5:$L25,"?*",$O$5:$O25,$O25))</f>
        <v/>
      </c>
      <c r="B25" s="61" t="n"/>
      <c r="C25" s="61" t="n"/>
      <c r="D25" s="62" t="n"/>
      <c r="E25" s="62" t="n"/>
      <c r="F25" s="63" t="n"/>
      <c r="G25" s="64" t="n"/>
      <c r="H25" s="64" t="n"/>
      <c r="I25" s="64" t="n"/>
      <c r="J25" s="64" t="n"/>
      <c r="K25" s="65">
        <f>IF(NOT((COUNTA($B25:$J25)+COUNTA($M25))&gt;0),"",IFERROR(LOOKUP(2,1/(G25:J25&lt;&gt;""),G25:J25),0))</f>
        <v/>
      </c>
      <c r="L25" s="60">
        <f>IF(K25="","",IF(K25&gt;=1,"Completado",IF(K25&gt;0,"En curso","Pendiente")))</f>
        <v/>
      </c>
      <c r="M25" s="61" t="n"/>
      <c r="N25" s="66">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c r="O25" s="67">
        <f>IF(NOT((COUNTA($B25:$J25)+COUNTA($M25))&gt;0),"",IF(ISNUMBER($D25),DATE(YEAR($D25),MONTH($D25),1),IF(ISNUMBER($E25),DATE(YEAR($E25),MONTH($E25),1),MesCiclo)))</f>
        <v/>
      </c>
      <c r="P25" s="68">
        <f>IF(OR($O25="",$O25&lt;&gt;MesCiclo),"",COUNTIF($O$5:$O25,MesCiclo))</f>
        <v/>
      </c>
    </row>
    <row r="26">
      <c r="A26" s="60">
        <f>IF(NOT((COUNTA($B26:$J26)+COUNTA($M26))&gt;0),"",COUNTIFS($L$5:$L26,"?*",$O$5:$O26,$O26))</f>
        <v/>
      </c>
      <c r="B26" s="61" t="n"/>
      <c r="C26" s="61" t="n"/>
      <c r="D26" s="62" t="n"/>
      <c r="E26" s="62" t="n"/>
      <c r="F26" s="63" t="n"/>
      <c r="G26" s="64" t="n"/>
      <c r="H26" s="64" t="n"/>
      <c r="I26" s="64" t="n"/>
      <c r="J26" s="64" t="n"/>
      <c r="K26" s="65">
        <f>IF(NOT((COUNTA($B26:$J26)+COUNTA($M26))&gt;0),"",IFERROR(LOOKUP(2,1/(G26:J26&lt;&gt;""),G26:J26),0))</f>
        <v/>
      </c>
      <c r="L26" s="60">
        <f>IF(K26="","",IF(K26&gt;=1,"Completado",IF(K26&gt;0,"En curso","Pendiente")))</f>
        <v/>
      </c>
      <c r="M26" s="61" t="n"/>
      <c r="N26" s="66">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c r="O26" s="67">
        <f>IF(NOT((COUNTA($B26:$J26)+COUNTA($M26))&gt;0),"",IF(ISNUMBER($D26),DATE(YEAR($D26),MONTH($D26),1),IF(ISNUMBER($E26),DATE(YEAR($E26),MONTH($E26),1),MesCiclo)))</f>
        <v/>
      </c>
      <c r="P26" s="68">
        <f>IF(OR($O26="",$O26&lt;&gt;MesCiclo),"",COUNTIF($O$5:$O26,MesCiclo))</f>
        <v/>
      </c>
    </row>
    <row r="27">
      <c r="A27" s="60">
        <f>IF(NOT((COUNTA($B27:$J27)+COUNTA($M27))&gt;0),"",COUNTIFS($L$5:$L27,"?*",$O$5:$O27,$O27))</f>
        <v/>
      </c>
      <c r="B27" s="61" t="n"/>
      <c r="C27" s="61" t="n"/>
      <c r="D27" s="62" t="n"/>
      <c r="E27" s="62" t="n"/>
      <c r="F27" s="63" t="n"/>
      <c r="G27" s="64" t="n"/>
      <c r="H27" s="64" t="n"/>
      <c r="I27" s="64" t="n"/>
      <c r="J27" s="64" t="n"/>
      <c r="K27" s="65">
        <f>IF(NOT((COUNTA($B27:$J27)+COUNTA($M27))&gt;0),"",IFERROR(LOOKUP(2,1/(G27:J27&lt;&gt;""),G27:J27),0))</f>
        <v/>
      </c>
      <c r="L27" s="60">
        <f>IF(K27="","",IF(K27&gt;=1,"Completado",IF(K27&gt;0,"En curso","Pendiente")))</f>
        <v/>
      </c>
      <c r="M27" s="61" t="n"/>
      <c r="N27" s="66">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c r="O27" s="67">
        <f>IF(NOT((COUNTA($B27:$J27)+COUNTA($M27))&gt;0),"",IF(ISNUMBER($D27),DATE(YEAR($D27),MONTH($D27),1),IF(ISNUMBER($E27),DATE(YEAR($E27),MONTH($E27),1),MesCiclo)))</f>
        <v/>
      </c>
      <c r="P27" s="68">
        <f>IF(OR($O27="",$O27&lt;&gt;MesCiclo),"",COUNTIF($O$5:$O27,MesCiclo))</f>
        <v/>
      </c>
    </row>
    <row r="28">
      <c r="A28" s="60">
        <f>IF(NOT((COUNTA($B28:$J28)+COUNTA($M28))&gt;0),"",COUNTIFS($L$5:$L28,"?*",$O$5:$O28,$O28))</f>
        <v/>
      </c>
      <c r="B28" s="61" t="n"/>
      <c r="C28" s="61" t="n"/>
      <c r="D28" s="62" t="n"/>
      <c r="E28" s="62" t="n"/>
      <c r="F28" s="63" t="n"/>
      <c r="G28" s="64" t="n"/>
      <c r="H28" s="64" t="n"/>
      <c r="I28" s="64" t="n"/>
      <c r="J28" s="64" t="n"/>
      <c r="K28" s="65">
        <f>IF(NOT((COUNTA($B28:$J28)+COUNTA($M28))&gt;0),"",IFERROR(LOOKUP(2,1/(G28:J28&lt;&gt;""),G28:J28),0))</f>
        <v/>
      </c>
      <c r="L28" s="60">
        <f>IF(K28="","",IF(K28&gt;=1,"Completado",IF(K28&gt;0,"En curso","Pendiente")))</f>
        <v/>
      </c>
      <c r="M28" s="61" t="n"/>
      <c r="N28" s="66">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c r="O28" s="67">
        <f>IF(NOT((COUNTA($B28:$J28)+COUNTA($M28))&gt;0),"",IF(ISNUMBER($D28),DATE(YEAR($D28),MONTH($D28),1),IF(ISNUMBER($E28),DATE(YEAR($E28),MONTH($E28),1),MesCiclo)))</f>
        <v/>
      </c>
      <c r="P28" s="68">
        <f>IF(OR($O28="",$O28&lt;&gt;MesCiclo),"",COUNTIF($O$5:$O28,MesCiclo))</f>
        <v/>
      </c>
    </row>
    <row r="29">
      <c r="A29" s="60">
        <f>IF(NOT((COUNTA($B29:$J29)+COUNTA($M29))&gt;0),"",COUNTIFS($L$5:$L29,"?*",$O$5:$O29,$O29))</f>
        <v/>
      </c>
      <c r="B29" s="61" t="n"/>
      <c r="C29" s="61" t="n"/>
      <c r="D29" s="62" t="n"/>
      <c r="E29" s="62" t="n"/>
      <c r="F29" s="63" t="n"/>
      <c r="G29" s="64" t="n"/>
      <c r="H29" s="64" t="n"/>
      <c r="I29" s="64" t="n"/>
      <c r="J29" s="64" t="n"/>
      <c r="K29" s="65">
        <f>IF(NOT((COUNTA($B29:$J29)+COUNTA($M29))&gt;0),"",IFERROR(LOOKUP(2,1/(G29:J29&lt;&gt;""),G29:J29),0))</f>
        <v/>
      </c>
      <c r="L29" s="60">
        <f>IF(K29="","",IF(K29&gt;=1,"Completado",IF(K29&gt;0,"En curso","Pendiente")))</f>
        <v/>
      </c>
      <c r="M29" s="61" t="n"/>
      <c r="N29" s="66">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c r="O29" s="67">
        <f>IF(NOT((COUNTA($B29:$J29)+COUNTA($M29))&gt;0),"",IF(ISNUMBER($D29),DATE(YEAR($D29),MONTH($D29),1),IF(ISNUMBER($E29),DATE(YEAR($E29),MONTH($E29),1),MesCiclo)))</f>
        <v/>
      </c>
      <c r="P29" s="68">
        <f>IF(OR($O29="",$O29&lt;&gt;MesCiclo),"",COUNTIF($O$5:$O29,MesCiclo))</f>
        <v/>
      </c>
    </row>
    <row r="30">
      <c r="A30" s="60">
        <f>IF(NOT((COUNTA($B30:$J30)+COUNTA($M30))&gt;0),"",COUNTIFS($L$5:$L30,"?*",$O$5:$O30,$O30))</f>
        <v/>
      </c>
      <c r="B30" s="61" t="n"/>
      <c r="C30" s="61" t="n"/>
      <c r="D30" s="62" t="n"/>
      <c r="E30" s="62" t="n"/>
      <c r="F30" s="63" t="n"/>
      <c r="G30" s="64" t="n"/>
      <c r="H30" s="64" t="n"/>
      <c r="I30" s="64" t="n"/>
      <c r="J30" s="64" t="n"/>
      <c r="K30" s="65">
        <f>IF(NOT((COUNTA($B30:$J30)+COUNTA($M30))&gt;0),"",IFERROR(LOOKUP(2,1/(G30:J30&lt;&gt;""),G30:J30),0))</f>
        <v/>
      </c>
      <c r="L30" s="60">
        <f>IF(K30="","",IF(K30&gt;=1,"Completado",IF(K30&gt;0,"En curso","Pendiente")))</f>
        <v/>
      </c>
      <c r="M30" s="61" t="n"/>
      <c r="N30" s="66">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c r="O30" s="67">
        <f>IF(NOT((COUNTA($B30:$J30)+COUNTA($M30))&gt;0),"",IF(ISNUMBER($D30),DATE(YEAR($D30),MONTH($D30),1),IF(ISNUMBER($E30),DATE(YEAR($E30),MONTH($E30),1),MesCiclo)))</f>
        <v/>
      </c>
      <c r="P30" s="68">
        <f>IF(OR($O30="",$O30&lt;&gt;MesCiclo),"",COUNTIF($O$5:$O30,MesCiclo))</f>
        <v/>
      </c>
    </row>
    <row r="31">
      <c r="A31" s="60">
        <f>IF(NOT((COUNTA($B31:$J31)+COUNTA($M31))&gt;0),"",COUNTIFS($L$5:$L31,"?*",$O$5:$O31,$O31))</f>
        <v/>
      </c>
      <c r="B31" s="61" t="n"/>
      <c r="C31" s="61" t="n"/>
      <c r="D31" s="62" t="n"/>
      <c r="E31" s="62" t="n"/>
      <c r="F31" s="63" t="n"/>
      <c r="G31" s="64" t="n"/>
      <c r="H31" s="64" t="n"/>
      <c r="I31" s="64" t="n"/>
      <c r="J31" s="64" t="n"/>
      <c r="K31" s="65">
        <f>IF(NOT((COUNTA($B31:$J31)+COUNTA($M31))&gt;0),"",IFERROR(LOOKUP(2,1/(G31:J31&lt;&gt;""),G31:J31),0))</f>
        <v/>
      </c>
      <c r="L31" s="60">
        <f>IF(K31="","",IF(K31&gt;=1,"Completado",IF(K31&gt;0,"En curso","Pendiente")))</f>
        <v/>
      </c>
      <c r="M31" s="61" t="n"/>
      <c r="N31" s="66">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c r="O31" s="67">
        <f>IF(NOT((COUNTA($B31:$J31)+COUNTA($M31))&gt;0),"",IF(ISNUMBER($D31),DATE(YEAR($D31),MONTH($D31),1),IF(ISNUMBER($E31),DATE(YEAR($E31),MONTH($E31),1),MesCiclo)))</f>
        <v/>
      </c>
      <c r="P31" s="68">
        <f>IF(OR($O31="",$O31&lt;&gt;MesCiclo),"",COUNTIF($O$5:$O31,MesCiclo))</f>
        <v/>
      </c>
    </row>
    <row r="32">
      <c r="A32" s="60">
        <f>IF(NOT((COUNTA($B32:$J32)+COUNTA($M32))&gt;0),"",COUNTIFS($L$5:$L32,"?*",$O$5:$O32,$O32))</f>
        <v/>
      </c>
      <c r="B32" s="61" t="n"/>
      <c r="C32" s="61" t="n"/>
      <c r="D32" s="62" t="n"/>
      <c r="E32" s="62" t="n"/>
      <c r="F32" s="63" t="n"/>
      <c r="G32" s="64" t="n"/>
      <c r="H32" s="64" t="n"/>
      <c r="I32" s="64" t="n"/>
      <c r="J32" s="64" t="n"/>
      <c r="K32" s="65">
        <f>IF(NOT((COUNTA($B32:$J32)+COUNTA($M32))&gt;0),"",IFERROR(LOOKUP(2,1/(G32:J32&lt;&gt;""),G32:J32),0))</f>
        <v/>
      </c>
      <c r="L32" s="60">
        <f>IF(K32="","",IF(K32&gt;=1,"Completado",IF(K32&gt;0,"En curso","Pendiente")))</f>
        <v/>
      </c>
      <c r="M32" s="61" t="n"/>
      <c r="N32" s="66">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c r="O32" s="67">
        <f>IF(NOT((COUNTA($B32:$J32)+COUNTA($M32))&gt;0),"",IF(ISNUMBER($D32),DATE(YEAR($D32),MONTH($D32),1),IF(ISNUMBER($E32),DATE(YEAR($E32),MONTH($E32),1),MesCiclo)))</f>
        <v/>
      </c>
      <c r="P32" s="68">
        <f>IF(OR($O32="",$O32&lt;&gt;MesCiclo),"",COUNTIF($O$5:$O32,MesCiclo))</f>
        <v/>
      </c>
    </row>
    <row r="33">
      <c r="A33" s="60">
        <f>IF(NOT((COUNTA($B33:$J33)+COUNTA($M33))&gt;0),"",COUNTIFS($L$5:$L33,"?*",$O$5:$O33,$O33))</f>
        <v/>
      </c>
      <c r="B33" s="61" t="n"/>
      <c r="C33" s="61" t="n"/>
      <c r="D33" s="62" t="n"/>
      <c r="E33" s="62" t="n"/>
      <c r="F33" s="63" t="n"/>
      <c r="G33" s="64" t="n"/>
      <c r="H33" s="64" t="n"/>
      <c r="I33" s="64" t="n"/>
      <c r="J33" s="64" t="n"/>
      <c r="K33" s="65">
        <f>IF(NOT((COUNTA($B33:$J33)+COUNTA($M33))&gt;0),"",IFERROR(LOOKUP(2,1/(G33:J33&lt;&gt;""),G33:J33),0))</f>
        <v/>
      </c>
      <c r="L33" s="60">
        <f>IF(K33="","",IF(K33&gt;=1,"Completado",IF(K33&gt;0,"En curso","Pendiente")))</f>
        <v/>
      </c>
      <c r="M33" s="61" t="n"/>
      <c r="N33" s="66">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c r="O33" s="67">
        <f>IF(NOT((COUNTA($B33:$J33)+COUNTA($M33))&gt;0),"",IF(ISNUMBER($D33),DATE(YEAR($D33),MONTH($D33),1),IF(ISNUMBER($E33),DATE(YEAR($E33),MONTH($E33),1),MesCiclo)))</f>
        <v/>
      </c>
      <c r="P33" s="68">
        <f>IF(OR($O33="",$O33&lt;&gt;MesCiclo),"",COUNTIF($O$5:$O33,MesCiclo))</f>
        <v/>
      </c>
    </row>
    <row r="34">
      <c r="A34" s="60">
        <f>IF(NOT((COUNTA($B34:$J34)+COUNTA($M34))&gt;0),"",COUNTIFS($L$5:$L34,"?*",$O$5:$O34,$O34))</f>
        <v/>
      </c>
      <c r="B34" s="61" t="n"/>
      <c r="C34" s="61" t="n"/>
      <c r="D34" s="62" t="n"/>
      <c r="E34" s="62" t="n"/>
      <c r="F34" s="63" t="n"/>
      <c r="G34" s="64" t="n"/>
      <c r="H34" s="64" t="n"/>
      <c r="I34" s="64" t="n"/>
      <c r="J34" s="64" t="n"/>
      <c r="K34" s="65">
        <f>IF(NOT((COUNTA($B34:$J34)+COUNTA($M34))&gt;0),"",IFERROR(LOOKUP(2,1/(G34:J34&lt;&gt;""),G34:J34),0))</f>
        <v/>
      </c>
      <c r="L34" s="60">
        <f>IF(K34="","",IF(K34&gt;=1,"Completado",IF(K34&gt;0,"En curso","Pendiente")))</f>
        <v/>
      </c>
      <c r="M34" s="61" t="n"/>
      <c r="N34" s="66">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c r="O34" s="67">
        <f>IF(NOT((COUNTA($B34:$J34)+COUNTA($M34))&gt;0),"",IF(ISNUMBER($D34),DATE(YEAR($D34),MONTH($D34),1),IF(ISNUMBER($E34),DATE(YEAR($E34),MONTH($E34),1),MesCiclo)))</f>
        <v/>
      </c>
      <c r="P34" s="68">
        <f>IF(OR($O34="",$O34&lt;&gt;MesCiclo),"",COUNTIF($O$5:$O34,MesCiclo))</f>
        <v/>
      </c>
    </row>
    <row r="35">
      <c r="A35" s="60">
        <f>IF(NOT((COUNTA($B35:$J35)+COUNTA($M35))&gt;0),"",COUNTIFS($L$5:$L35,"?*",$O$5:$O35,$O35))</f>
        <v/>
      </c>
      <c r="B35" s="61" t="n"/>
      <c r="C35" s="61" t="n"/>
      <c r="D35" s="62" t="n"/>
      <c r="E35" s="62" t="n"/>
      <c r="F35" s="63" t="n"/>
      <c r="G35" s="64" t="n"/>
      <c r="H35" s="64" t="n"/>
      <c r="I35" s="64" t="n"/>
      <c r="J35" s="64" t="n"/>
      <c r="K35" s="65">
        <f>IF(NOT((COUNTA($B35:$J35)+COUNTA($M35))&gt;0),"",IFERROR(LOOKUP(2,1/(G35:J35&lt;&gt;""),G35:J35),0))</f>
        <v/>
      </c>
      <c r="L35" s="60">
        <f>IF(K35="","",IF(K35&gt;=1,"Completado",IF(K35&gt;0,"En curso","Pendiente")))</f>
        <v/>
      </c>
      <c r="M35" s="61" t="n"/>
      <c r="N35" s="66">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c r="O35" s="67">
        <f>IF(NOT((COUNTA($B35:$J35)+COUNTA($M35))&gt;0),"",IF(ISNUMBER($D35),DATE(YEAR($D35),MONTH($D35),1),IF(ISNUMBER($E35),DATE(YEAR($E35),MONTH($E35),1),MesCiclo)))</f>
        <v/>
      </c>
      <c r="P35" s="68">
        <f>IF(OR($O35="",$O35&lt;&gt;MesCiclo),"",COUNTIF($O$5:$O35,MesCiclo))</f>
        <v/>
      </c>
    </row>
    <row r="36">
      <c r="A36" s="60">
        <f>IF(NOT((COUNTA($B36:$J36)+COUNTA($M36))&gt;0),"",COUNTIFS($L$5:$L36,"?*",$O$5:$O36,$O36))</f>
        <v/>
      </c>
      <c r="B36" s="61" t="n"/>
      <c r="C36" s="61" t="n"/>
      <c r="D36" s="62" t="n"/>
      <c r="E36" s="62" t="n"/>
      <c r="F36" s="63" t="n"/>
      <c r="G36" s="64" t="n"/>
      <c r="H36" s="64" t="n"/>
      <c r="I36" s="64" t="n"/>
      <c r="J36" s="64" t="n"/>
      <c r="K36" s="65">
        <f>IF(NOT((COUNTA($B36:$J36)+COUNTA($M36))&gt;0),"",IFERROR(LOOKUP(2,1/(G36:J36&lt;&gt;""),G36:J36),0))</f>
        <v/>
      </c>
      <c r="L36" s="60">
        <f>IF(K36="","",IF(K36&gt;=1,"Completado",IF(K36&gt;0,"En curso","Pendiente")))</f>
        <v/>
      </c>
      <c r="M36" s="61" t="n"/>
      <c r="N36" s="66">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c r="O36" s="67">
        <f>IF(NOT((COUNTA($B36:$J36)+COUNTA($M36))&gt;0),"",IF(ISNUMBER($D36),DATE(YEAR($D36),MONTH($D36),1),IF(ISNUMBER($E36),DATE(YEAR($E36),MONTH($E36),1),MesCiclo)))</f>
        <v/>
      </c>
      <c r="P36" s="68">
        <f>IF(OR($O36="",$O36&lt;&gt;MesCiclo),"",COUNTIF($O$5:$O36,MesCiclo))</f>
        <v/>
      </c>
    </row>
    <row r="37">
      <c r="A37" s="60">
        <f>IF(NOT((COUNTA($B37:$J37)+COUNTA($M37))&gt;0),"",COUNTIFS($L$5:$L37,"?*",$O$5:$O37,$O37))</f>
        <v/>
      </c>
      <c r="B37" s="61" t="n"/>
      <c r="C37" s="61" t="n"/>
      <c r="D37" s="62" t="n"/>
      <c r="E37" s="62" t="n"/>
      <c r="F37" s="63" t="n"/>
      <c r="G37" s="64" t="n"/>
      <c r="H37" s="64" t="n"/>
      <c r="I37" s="64" t="n"/>
      <c r="J37" s="64" t="n"/>
      <c r="K37" s="65">
        <f>IF(NOT((COUNTA($B37:$J37)+COUNTA($M37))&gt;0),"",IFERROR(LOOKUP(2,1/(G37:J37&lt;&gt;""),G37:J37),0))</f>
        <v/>
      </c>
      <c r="L37" s="60">
        <f>IF(K37="","",IF(K37&gt;=1,"Completado",IF(K37&gt;0,"En curso","Pendiente")))</f>
        <v/>
      </c>
      <c r="M37" s="61" t="n"/>
      <c r="N37" s="66">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c r="O37" s="67">
        <f>IF(NOT((COUNTA($B37:$J37)+COUNTA($M37))&gt;0),"",IF(ISNUMBER($D37),DATE(YEAR($D37),MONTH($D37),1),IF(ISNUMBER($E37),DATE(YEAR($E37),MONTH($E37),1),MesCiclo)))</f>
        <v/>
      </c>
      <c r="P37" s="68">
        <f>IF(OR($O37="",$O37&lt;&gt;MesCiclo),"",COUNTIF($O$5:$O37,MesCiclo))</f>
        <v/>
      </c>
    </row>
    <row r="38">
      <c r="A38" s="60">
        <f>IF(NOT((COUNTA($B38:$J38)+COUNTA($M38))&gt;0),"",COUNTIFS($L$5:$L38,"?*",$O$5:$O38,$O38))</f>
        <v/>
      </c>
      <c r="B38" s="61" t="n"/>
      <c r="C38" s="61" t="n"/>
      <c r="D38" s="62" t="n"/>
      <c r="E38" s="62" t="n"/>
      <c r="F38" s="63" t="n"/>
      <c r="G38" s="64" t="n"/>
      <c r="H38" s="64" t="n"/>
      <c r="I38" s="64" t="n"/>
      <c r="J38" s="64" t="n"/>
      <c r="K38" s="65">
        <f>IF(NOT((COUNTA($B38:$J38)+COUNTA($M38))&gt;0),"",IFERROR(LOOKUP(2,1/(G38:J38&lt;&gt;""),G38:J38),0))</f>
        <v/>
      </c>
      <c r="L38" s="60">
        <f>IF(K38="","",IF(K38&gt;=1,"Completado",IF(K38&gt;0,"En curso","Pendiente")))</f>
        <v/>
      </c>
      <c r="M38" s="61" t="n"/>
      <c r="N38" s="66">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c r="O38" s="67">
        <f>IF(NOT((COUNTA($B38:$J38)+COUNTA($M38))&gt;0),"",IF(ISNUMBER($D38),DATE(YEAR($D38),MONTH($D38),1),IF(ISNUMBER($E38),DATE(YEAR($E38),MONTH($E38),1),MesCiclo)))</f>
        <v/>
      </c>
      <c r="P38" s="68">
        <f>IF(OR($O38="",$O38&lt;&gt;MesCiclo),"",COUNTIF($O$5:$O38,MesCiclo))</f>
        <v/>
      </c>
    </row>
    <row r="39">
      <c r="A39" s="60">
        <f>IF(NOT((COUNTA($B39:$J39)+COUNTA($M39))&gt;0),"",COUNTIFS($L$5:$L39,"?*",$O$5:$O39,$O39))</f>
        <v/>
      </c>
      <c r="B39" s="61" t="n"/>
      <c r="C39" s="61" t="n"/>
      <c r="D39" s="62" t="n"/>
      <c r="E39" s="62" t="n"/>
      <c r="F39" s="63" t="n"/>
      <c r="G39" s="64" t="n"/>
      <c r="H39" s="64" t="n"/>
      <c r="I39" s="64" t="n"/>
      <c r="J39" s="64" t="n"/>
      <c r="K39" s="65">
        <f>IF(NOT((COUNTA($B39:$J39)+COUNTA($M39))&gt;0),"",IFERROR(LOOKUP(2,1/(G39:J39&lt;&gt;""),G39:J39),0))</f>
        <v/>
      </c>
      <c r="L39" s="60">
        <f>IF(K39="","",IF(K39&gt;=1,"Completado",IF(K39&gt;0,"En curso","Pendiente")))</f>
        <v/>
      </c>
      <c r="M39" s="61" t="n"/>
      <c r="N39" s="66">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c r="O39" s="67">
        <f>IF(NOT((COUNTA($B39:$J39)+COUNTA($M39))&gt;0),"",IF(ISNUMBER($D39),DATE(YEAR($D39),MONTH($D39),1),IF(ISNUMBER($E39),DATE(YEAR($E39),MONTH($E39),1),MesCiclo)))</f>
        <v/>
      </c>
      <c r="P39" s="68">
        <f>IF(OR($O39="",$O39&lt;&gt;MesCiclo),"",COUNTIF($O$5:$O39,MesCiclo))</f>
        <v/>
      </c>
    </row>
    <row r="40">
      <c r="A40" s="60">
        <f>IF(NOT((COUNTA($B40:$J40)+COUNTA($M40))&gt;0),"",COUNTIFS($L$5:$L40,"?*",$O$5:$O40,$O40))</f>
        <v/>
      </c>
      <c r="B40" s="61" t="n"/>
      <c r="C40" s="61" t="n"/>
      <c r="D40" s="62" t="n"/>
      <c r="E40" s="62" t="n"/>
      <c r="F40" s="63" t="n"/>
      <c r="G40" s="64" t="n"/>
      <c r="H40" s="64" t="n"/>
      <c r="I40" s="64" t="n"/>
      <c r="J40" s="64" t="n"/>
      <c r="K40" s="65">
        <f>IF(NOT((COUNTA($B40:$J40)+COUNTA($M40))&gt;0),"",IFERROR(LOOKUP(2,1/(G40:J40&lt;&gt;""),G40:J40),0))</f>
        <v/>
      </c>
      <c r="L40" s="60">
        <f>IF(K40="","",IF(K40&gt;=1,"Completado",IF(K40&gt;0,"En curso","Pendiente")))</f>
        <v/>
      </c>
      <c r="M40" s="61" t="n"/>
      <c r="N40" s="66">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c r="O40" s="67">
        <f>IF(NOT((COUNTA($B40:$J40)+COUNTA($M40))&gt;0),"",IF(ISNUMBER($D40),DATE(YEAR($D40),MONTH($D40),1),IF(ISNUMBER($E40),DATE(YEAR($E40),MONTH($E40),1),MesCiclo)))</f>
        <v/>
      </c>
      <c r="P40" s="68">
        <f>IF(OR($O40="",$O40&lt;&gt;MesCiclo),"",COUNTIF($O$5:$O40,MesCiclo))</f>
        <v/>
      </c>
    </row>
    <row r="41">
      <c r="A41" s="60">
        <f>IF(NOT((COUNTA($B41:$J41)+COUNTA($M41))&gt;0),"",COUNTIFS($L$5:$L41,"?*",$O$5:$O41,$O41))</f>
        <v/>
      </c>
      <c r="B41" s="61" t="n"/>
      <c r="C41" s="61" t="n"/>
      <c r="D41" s="62" t="n"/>
      <c r="E41" s="62" t="n"/>
      <c r="F41" s="63" t="n"/>
      <c r="G41" s="64" t="n"/>
      <c r="H41" s="64" t="n"/>
      <c r="I41" s="64" t="n"/>
      <c r="J41" s="64" t="n"/>
      <c r="K41" s="65">
        <f>IF(NOT((COUNTA($B41:$J41)+COUNTA($M41))&gt;0),"",IFERROR(LOOKUP(2,1/(G41:J41&lt;&gt;""),G41:J41),0))</f>
        <v/>
      </c>
      <c r="L41" s="60">
        <f>IF(K41="","",IF(K41&gt;=1,"Completado",IF(K41&gt;0,"En curso","Pendiente")))</f>
        <v/>
      </c>
      <c r="M41" s="61" t="n"/>
      <c r="N41" s="66">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c r="O41" s="67">
        <f>IF(NOT((COUNTA($B41:$J41)+COUNTA($M41))&gt;0),"",IF(ISNUMBER($D41),DATE(YEAR($D41),MONTH($D41),1),IF(ISNUMBER($E41),DATE(YEAR($E41),MONTH($E41),1),MesCiclo)))</f>
        <v/>
      </c>
      <c r="P41" s="68">
        <f>IF(OR($O41="",$O41&lt;&gt;MesCiclo),"",COUNTIF($O$5:$O41,MesCiclo))</f>
        <v/>
      </c>
    </row>
    <row r="42">
      <c r="A42" s="60">
        <f>IF(NOT((COUNTA($B42:$J42)+COUNTA($M42))&gt;0),"",COUNTIFS($L$5:$L42,"?*",$O$5:$O42,$O42))</f>
        <v/>
      </c>
      <c r="B42" s="61" t="n"/>
      <c r="C42" s="61" t="n"/>
      <c r="D42" s="62" t="n"/>
      <c r="E42" s="62" t="n"/>
      <c r="F42" s="63" t="n"/>
      <c r="G42" s="64" t="n"/>
      <c r="H42" s="64" t="n"/>
      <c r="I42" s="64" t="n"/>
      <c r="J42" s="64" t="n"/>
      <c r="K42" s="65">
        <f>IF(NOT((COUNTA($B42:$J42)+COUNTA($M42))&gt;0),"",IFERROR(LOOKUP(2,1/(G42:J42&lt;&gt;""),G42:J42),0))</f>
        <v/>
      </c>
      <c r="L42" s="60">
        <f>IF(K42="","",IF(K42&gt;=1,"Completado",IF(K42&gt;0,"En curso","Pendiente")))</f>
        <v/>
      </c>
      <c r="M42" s="61" t="n"/>
      <c r="N42" s="66">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c r="O42" s="67">
        <f>IF(NOT((COUNTA($B42:$J42)+COUNTA($M42))&gt;0),"",IF(ISNUMBER($D42),DATE(YEAR($D42),MONTH($D42),1),IF(ISNUMBER($E42),DATE(YEAR($E42),MONTH($E42),1),MesCiclo)))</f>
        <v/>
      </c>
      <c r="P42" s="68">
        <f>IF(OR($O42="",$O42&lt;&gt;MesCiclo),"",COUNTIF($O$5:$O42,MesCiclo))</f>
        <v/>
      </c>
    </row>
    <row r="43">
      <c r="A43" s="60">
        <f>IF(NOT((COUNTA($B43:$J43)+COUNTA($M43))&gt;0),"",COUNTIFS($L$5:$L43,"?*",$O$5:$O43,$O43))</f>
        <v/>
      </c>
      <c r="B43" s="61" t="n"/>
      <c r="C43" s="61" t="n"/>
      <c r="D43" s="62" t="n"/>
      <c r="E43" s="62" t="n"/>
      <c r="F43" s="63" t="n"/>
      <c r="G43" s="64" t="n"/>
      <c r="H43" s="64" t="n"/>
      <c r="I43" s="64" t="n"/>
      <c r="J43" s="64" t="n"/>
      <c r="K43" s="65">
        <f>IF(NOT((COUNTA($B43:$J43)+COUNTA($M43))&gt;0),"",IFERROR(LOOKUP(2,1/(G43:J43&lt;&gt;""),G43:J43),0))</f>
        <v/>
      </c>
      <c r="L43" s="60">
        <f>IF(K43="","",IF(K43&gt;=1,"Completado",IF(K43&gt;0,"En curso","Pendiente")))</f>
        <v/>
      </c>
      <c r="M43" s="61" t="n"/>
      <c r="N43" s="66">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c r="O43" s="67">
        <f>IF(NOT((COUNTA($B43:$J43)+COUNTA($M43))&gt;0),"",IF(ISNUMBER($D43),DATE(YEAR($D43),MONTH($D43),1),IF(ISNUMBER($E43),DATE(YEAR($E43),MONTH($E43),1),MesCiclo)))</f>
        <v/>
      </c>
      <c r="P43" s="68">
        <f>IF(OR($O43="",$O43&lt;&gt;MesCiclo),"",COUNTIF($O$5:$O43,MesCiclo))</f>
        <v/>
      </c>
    </row>
    <row r="44">
      <c r="A44" s="60">
        <f>IF(NOT((COUNTA($B44:$J44)+COUNTA($M44))&gt;0),"",COUNTIFS($L$5:$L44,"?*",$O$5:$O44,$O44))</f>
        <v/>
      </c>
      <c r="B44" s="61" t="n"/>
      <c r="C44" s="61" t="n"/>
      <c r="D44" s="62" t="n"/>
      <c r="E44" s="62" t="n"/>
      <c r="F44" s="63" t="n"/>
      <c r="G44" s="64" t="n"/>
      <c r="H44" s="64" t="n"/>
      <c r="I44" s="64" t="n"/>
      <c r="J44" s="64" t="n"/>
      <c r="K44" s="65">
        <f>IF(NOT((COUNTA($B44:$J44)+COUNTA($M44))&gt;0),"",IFERROR(LOOKUP(2,1/(G44:J44&lt;&gt;""),G44:J44),0))</f>
        <v/>
      </c>
      <c r="L44" s="60">
        <f>IF(K44="","",IF(K44&gt;=1,"Completado",IF(K44&gt;0,"En curso","Pendiente")))</f>
        <v/>
      </c>
      <c r="M44" s="61" t="n"/>
      <c r="N44" s="66">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c r="O44" s="67">
        <f>IF(NOT((COUNTA($B44:$J44)+COUNTA($M44))&gt;0),"",IF(ISNUMBER($D44),DATE(YEAR($D44),MONTH($D44),1),IF(ISNUMBER($E44),DATE(YEAR($E44),MONTH($E44),1),MesCiclo)))</f>
        <v/>
      </c>
      <c r="P44" s="68">
        <f>IF(OR($O44="",$O44&lt;&gt;MesCiclo),"",COUNTIF($O$5:$O44,MesCiclo))</f>
        <v/>
      </c>
    </row>
    <row r="45">
      <c r="A45" s="60">
        <f>IF(NOT((COUNTA($B45:$J45)+COUNTA($M45))&gt;0),"",COUNTIFS($L$5:$L45,"?*",$O$5:$O45,$O45))</f>
        <v/>
      </c>
      <c r="B45" s="61" t="n"/>
      <c r="C45" s="61" t="n"/>
      <c r="D45" s="62" t="n"/>
      <c r="E45" s="62" t="n"/>
      <c r="F45" s="63" t="n"/>
      <c r="G45" s="64" t="n"/>
      <c r="H45" s="64" t="n"/>
      <c r="I45" s="64" t="n"/>
      <c r="J45" s="64" t="n"/>
      <c r="K45" s="65">
        <f>IF(NOT((COUNTA($B45:$J45)+COUNTA($M45))&gt;0),"",IFERROR(LOOKUP(2,1/(G45:J45&lt;&gt;""),G45:J45),0))</f>
        <v/>
      </c>
      <c r="L45" s="60">
        <f>IF(K45="","",IF(K45&gt;=1,"Completado",IF(K45&gt;0,"En curso","Pendiente")))</f>
        <v/>
      </c>
      <c r="M45" s="61" t="n"/>
      <c r="N45" s="66">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c r="O45" s="67">
        <f>IF(NOT((COUNTA($B45:$J45)+COUNTA($M45))&gt;0),"",IF(ISNUMBER($D45),DATE(YEAR($D45),MONTH($D45),1),IF(ISNUMBER($E45),DATE(YEAR($E45),MONTH($E45),1),MesCiclo)))</f>
        <v/>
      </c>
      <c r="P45" s="68">
        <f>IF(OR($O45="",$O45&lt;&gt;MesCiclo),"",COUNTIF($O$5:$O45,MesCiclo))</f>
        <v/>
      </c>
    </row>
    <row r="46">
      <c r="A46" s="60">
        <f>IF(NOT((COUNTA($B46:$J46)+COUNTA($M46))&gt;0),"",COUNTIFS($L$5:$L46,"?*",$O$5:$O46,$O46))</f>
        <v/>
      </c>
      <c r="B46" s="61" t="n"/>
      <c r="C46" s="61" t="n"/>
      <c r="D46" s="62" t="n"/>
      <c r="E46" s="62" t="n"/>
      <c r="F46" s="63" t="n"/>
      <c r="G46" s="64" t="n"/>
      <c r="H46" s="64" t="n"/>
      <c r="I46" s="64" t="n"/>
      <c r="J46" s="64" t="n"/>
      <c r="K46" s="65">
        <f>IF(NOT((COUNTA($B46:$J46)+COUNTA($M46))&gt;0),"",IFERROR(LOOKUP(2,1/(G46:J46&lt;&gt;""),G46:J46),0))</f>
        <v/>
      </c>
      <c r="L46" s="60">
        <f>IF(K46="","",IF(K46&gt;=1,"Completado",IF(K46&gt;0,"En curso","Pendiente")))</f>
        <v/>
      </c>
      <c r="M46" s="61" t="n"/>
      <c r="N46" s="66">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c r="O46" s="67">
        <f>IF(NOT((COUNTA($B46:$J46)+COUNTA($M46))&gt;0),"",IF(ISNUMBER($D46),DATE(YEAR($D46),MONTH($D46),1),IF(ISNUMBER($E46),DATE(YEAR($E46),MONTH($E46),1),MesCiclo)))</f>
        <v/>
      </c>
      <c r="P46" s="68">
        <f>IF(OR($O46="",$O46&lt;&gt;MesCiclo),"",COUNTIF($O$5:$O46,MesCiclo))</f>
        <v/>
      </c>
    </row>
    <row r="47">
      <c r="A47" s="60">
        <f>IF(NOT((COUNTA($B47:$J47)+COUNTA($M47))&gt;0),"",COUNTIFS($L$5:$L47,"?*",$O$5:$O47,$O47))</f>
        <v/>
      </c>
      <c r="B47" s="61" t="n"/>
      <c r="C47" s="61" t="n"/>
      <c r="D47" s="62" t="n"/>
      <c r="E47" s="62" t="n"/>
      <c r="F47" s="63" t="n"/>
      <c r="G47" s="64" t="n"/>
      <c r="H47" s="64" t="n"/>
      <c r="I47" s="64" t="n"/>
      <c r="J47" s="64" t="n"/>
      <c r="K47" s="65">
        <f>IF(NOT((COUNTA($B47:$J47)+COUNTA($M47))&gt;0),"",IFERROR(LOOKUP(2,1/(G47:J47&lt;&gt;""),G47:J47),0))</f>
        <v/>
      </c>
      <c r="L47" s="60">
        <f>IF(K47="","",IF(K47&gt;=1,"Completado",IF(K47&gt;0,"En curso","Pendiente")))</f>
        <v/>
      </c>
      <c r="M47" s="61" t="n"/>
      <c r="N47" s="66">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c r="O47" s="67">
        <f>IF(NOT((COUNTA($B47:$J47)+COUNTA($M47))&gt;0),"",IF(ISNUMBER($D47),DATE(YEAR($D47),MONTH($D47),1),IF(ISNUMBER($E47),DATE(YEAR($E47),MONTH($E47),1),MesCiclo)))</f>
        <v/>
      </c>
      <c r="P47" s="68">
        <f>IF(OR($O47="",$O47&lt;&gt;MesCiclo),"",COUNTIF($O$5:$O47,MesCiclo))</f>
        <v/>
      </c>
    </row>
    <row r="48">
      <c r="A48" s="60">
        <f>IF(NOT((COUNTA($B48:$J48)+COUNTA($M48))&gt;0),"",COUNTIFS($L$5:$L48,"?*",$O$5:$O48,$O48))</f>
        <v/>
      </c>
      <c r="B48" s="61" t="n"/>
      <c r="C48" s="61" t="n"/>
      <c r="D48" s="62" t="n"/>
      <c r="E48" s="62" t="n"/>
      <c r="F48" s="63" t="n"/>
      <c r="G48" s="64" t="n"/>
      <c r="H48" s="64" t="n"/>
      <c r="I48" s="64" t="n"/>
      <c r="J48" s="64" t="n"/>
      <c r="K48" s="65">
        <f>IF(NOT((COUNTA($B48:$J48)+COUNTA($M48))&gt;0),"",IFERROR(LOOKUP(2,1/(G48:J48&lt;&gt;""),G48:J48),0))</f>
        <v/>
      </c>
      <c r="L48" s="60">
        <f>IF(K48="","",IF(K48&gt;=1,"Completado",IF(K48&gt;0,"En curso","Pendiente")))</f>
        <v/>
      </c>
      <c r="M48" s="61" t="n"/>
      <c r="N48" s="66">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c r="O48" s="67">
        <f>IF(NOT((COUNTA($B48:$J48)+COUNTA($M48))&gt;0),"",IF(ISNUMBER($D48),DATE(YEAR($D48),MONTH($D48),1),IF(ISNUMBER($E48),DATE(YEAR($E48),MONTH($E48),1),MesCiclo)))</f>
        <v/>
      </c>
      <c r="P48" s="68">
        <f>IF(OR($O48="",$O48&lt;&gt;MesCiclo),"",COUNTIF($O$5:$O48,MesCiclo))</f>
        <v/>
      </c>
    </row>
    <row r="49">
      <c r="A49" s="60">
        <f>IF(NOT((COUNTA($B49:$J49)+COUNTA($M49))&gt;0),"",COUNTIFS($L$5:$L49,"?*",$O$5:$O49,$O49))</f>
        <v/>
      </c>
      <c r="B49" s="61" t="n"/>
      <c r="C49" s="61" t="n"/>
      <c r="D49" s="62" t="n"/>
      <c r="E49" s="62" t="n"/>
      <c r="F49" s="63" t="n"/>
      <c r="G49" s="64" t="n"/>
      <c r="H49" s="64" t="n"/>
      <c r="I49" s="64" t="n"/>
      <c r="J49" s="64" t="n"/>
      <c r="K49" s="65">
        <f>IF(NOT((COUNTA($B49:$J49)+COUNTA($M49))&gt;0),"",IFERROR(LOOKUP(2,1/(G49:J49&lt;&gt;""),G49:J49),0))</f>
        <v/>
      </c>
      <c r="L49" s="60">
        <f>IF(K49="","",IF(K49&gt;=1,"Completado",IF(K49&gt;0,"En curso","Pendiente")))</f>
        <v/>
      </c>
      <c r="M49" s="61" t="n"/>
      <c r="N49" s="66">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c r="O49" s="67">
        <f>IF(NOT((COUNTA($B49:$J49)+COUNTA($M49))&gt;0),"",IF(ISNUMBER($D49),DATE(YEAR($D49),MONTH($D49),1),IF(ISNUMBER($E49),DATE(YEAR($E49),MONTH($E49),1),MesCiclo)))</f>
        <v/>
      </c>
      <c r="P49" s="68">
        <f>IF(OR($O49="",$O49&lt;&gt;MesCiclo),"",COUNTIF($O$5:$O49,MesCiclo))</f>
        <v/>
      </c>
    </row>
    <row r="50">
      <c r="A50" s="60">
        <f>IF(NOT((COUNTA($B50:$J50)+COUNTA($M50))&gt;0),"",COUNTIFS($L$5:$L50,"?*",$O$5:$O50,$O50))</f>
        <v/>
      </c>
      <c r="B50" s="61" t="n"/>
      <c r="C50" s="61" t="n"/>
      <c r="D50" s="62" t="n"/>
      <c r="E50" s="62" t="n"/>
      <c r="F50" s="63" t="n"/>
      <c r="G50" s="64" t="n"/>
      <c r="H50" s="64" t="n"/>
      <c r="I50" s="64" t="n"/>
      <c r="J50" s="64" t="n"/>
      <c r="K50" s="65">
        <f>IF(NOT((COUNTA($B50:$J50)+COUNTA($M50))&gt;0),"",IFERROR(LOOKUP(2,1/(G50:J50&lt;&gt;""),G50:J50),0))</f>
        <v/>
      </c>
      <c r="L50" s="60">
        <f>IF(K50="","",IF(K50&gt;=1,"Completado",IF(K50&gt;0,"En curso","Pendiente")))</f>
        <v/>
      </c>
      <c r="M50" s="61" t="n"/>
      <c r="N50" s="66">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c r="O50" s="67">
        <f>IF(NOT((COUNTA($B50:$J50)+COUNTA($M50))&gt;0),"",IF(ISNUMBER($D50),DATE(YEAR($D50),MONTH($D50),1),IF(ISNUMBER($E50),DATE(YEAR($E50),MONTH($E50),1),MesCiclo)))</f>
        <v/>
      </c>
      <c r="P50" s="68">
        <f>IF(OR($O50="",$O50&lt;&gt;MesCiclo),"",COUNTIF($O$5:$O50,MesCiclo))</f>
        <v/>
      </c>
    </row>
    <row r="51">
      <c r="A51" s="60">
        <f>IF(NOT((COUNTA($B51:$J51)+COUNTA($M51))&gt;0),"",COUNTIFS($L$5:$L51,"?*",$O$5:$O51,$O51))</f>
        <v/>
      </c>
      <c r="B51" s="61" t="n"/>
      <c r="C51" s="61" t="n"/>
      <c r="D51" s="62" t="n"/>
      <c r="E51" s="62" t="n"/>
      <c r="F51" s="63" t="n"/>
      <c r="G51" s="64" t="n"/>
      <c r="H51" s="64" t="n"/>
      <c r="I51" s="64" t="n"/>
      <c r="J51" s="64" t="n"/>
      <c r="K51" s="65">
        <f>IF(NOT((COUNTA($B51:$J51)+COUNTA($M51))&gt;0),"",IFERROR(LOOKUP(2,1/(G51:J51&lt;&gt;""),G51:J51),0))</f>
        <v/>
      </c>
      <c r="L51" s="60">
        <f>IF(K51="","",IF(K51&gt;=1,"Completado",IF(K51&gt;0,"En curso","Pendiente")))</f>
        <v/>
      </c>
      <c r="M51" s="61" t="n"/>
      <c r="N51" s="66">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c r="O51" s="67">
        <f>IF(NOT((COUNTA($B51:$J51)+COUNTA($M51))&gt;0),"",IF(ISNUMBER($D51),DATE(YEAR($D51),MONTH($D51),1),IF(ISNUMBER($E51),DATE(YEAR($E51),MONTH($E51),1),MesCiclo)))</f>
        <v/>
      </c>
      <c r="P51" s="68">
        <f>IF(OR($O51="",$O51&lt;&gt;MesCiclo),"",COUNTIF($O$5:$O51,MesCiclo))</f>
        <v/>
      </c>
    </row>
    <row r="52">
      <c r="A52" s="60">
        <f>IF(NOT((COUNTA($B52:$J52)+COUNTA($M52))&gt;0),"",COUNTIFS($L$5:$L52,"?*",$O$5:$O52,$O52))</f>
        <v/>
      </c>
      <c r="B52" s="61" t="n"/>
      <c r="C52" s="61" t="n"/>
      <c r="D52" s="62" t="n"/>
      <c r="E52" s="62" t="n"/>
      <c r="F52" s="63" t="n"/>
      <c r="G52" s="64" t="n"/>
      <c r="H52" s="64" t="n"/>
      <c r="I52" s="64" t="n"/>
      <c r="J52" s="64" t="n"/>
      <c r="K52" s="65">
        <f>IF(NOT((COUNTA($B52:$J52)+COUNTA($M52))&gt;0),"",IFERROR(LOOKUP(2,1/(G52:J52&lt;&gt;""),G52:J52),0))</f>
        <v/>
      </c>
      <c r="L52" s="60">
        <f>IF(K52="","",IF(K52&gt;=1,"Completado",IF(K52&gt;0,"En curso","Pendiente")))</f>
        <v/>
      </c>
      <c r="M52" s="61" t="n"/>
      <c r="N52" s="66">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c r="O52" s="67">
        <f>IF(NOT((COUNTA($B52:$J52)+COUNTA($M52))&gt;0),"",IF(ISNUMBER($D52),DATE(YEAR($D52),MONTH($D52),1),IF(ISNUMBER($E52),DATE(YEAR($E52),MONTH($E52),1),MesCiclo)))</f>
        <v/>
      </c>
      <c r="P52" s="68">
        <f>IF(OR($O52="",$O52&lt;&gt;MesCiclo),"",COUNTIF($O$5:$O52,MesCiclo))</f>
        <v/>
      </c>
    </row>
    <row r="53">
      <c r="A53" s="60">
        <f>IF(NOT((COUNTA($B53:$J53)+COUNTA($M53))&gt;0),"",COUNTIFS($L$5:$L53,"?*",$O$5:$O53,$O53))</f>
        <v/>
      </c>
      <c r="B53" s="61" t="n"/>
      <c r="C53" s="61" t="n"/>
      <c r="D53" s="62" t="n"/>
      <c r="E53" s="62" t="n"/>
      <c r="F53" s="63" t="n"/>
      <c r="G53" s="64" t="n"/>
      <c r="H53" s="64" t="n"/>
      <c r="I53" s="64" t="n"/>
      <c r="J53" s="64" t="n"/>
      <c r="K53" s="65">
        <f>IF(NOT((COUNTA($B53:$J53)+COUNTA($M53))&gt;0),"",IFERROR(LOOKUP(2,1/(G53:J53&lt;&gt;""),G53:J53),0))</f>
        <v/>
      </c>
      <c r="L53" s="60">
        <f>IF(K53="","",IF(K53&gt;=1,"Completado",IF(K53&gt;0,"En curso","Pendiente")))</f>
        <v/>
      </c>
      <c r="M53" s="61" t="n"/>
      <c r="N53" s="66">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c r="O53" s="67">
        <f>IF(NOT((COUNTA($B53:$J53)+COUNTA($M53))&gt;0),"",IF(ISNUMBER($D53),DATE(YEAR($D53),MONTH($D53),1),IF(ISNUMBER($E53),DATE(YEAR($E53),MONTH($E53),1),MesCiclo)))</f>
        <v/>
      </c>
      <c r="P53" s="68">
        <f>IF(OR($O53="",$O53&lt;&gt;MesCiclo),"",COUNTIF($O$5:$O53,MesCiclo))</f>
        <v/>
      </c>
    </row>
    <row r="54">
      <c r="A54" s="60">
        <f>IF(NOT((COUNTA($B54:$J54)+COUNTA($M54))&gt;0),"",COUNTIFS($L$5:$L54,"?*",$O$5:$O54,$O54))</f>
        <v/>
      </c>
      <c r="B54" s="61" t="n"/>
      <c r="C54" s="61" t="n"/>
      <c r="D54" s="62" t="n"/>
      <c r="E54" s="62" t="n"/>
      <c r="F54" s="63" t="n"/>
      <c r="G54" s="64" t="n"/>
      <c r="H54" s="64" t="n"/>
      <c r="I54" s="64" t="n"/>
      <c r="J54" s="64" t="n"/>
      <c r="K54" s="65">
        <f>IF(NOT((COUNTA($B54:$J54)+COUNTA($M54))&gt;0),"",IFERROR(LOOKUP(2,1/(G54:J54&lt;&gt;""),G54:J54),0))</f>
        <v/>
      </c>
      <c r="L54" s="60">
        <f>IF(K54="","",IF(K54&gt;=1,"Completado",IF(K54&gt;0,"En curso","Pendiente")))</f>
        <v/>
      </c>
      <c r="M54" s="61" t="n"/>
      <c r="N54" s="66">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c r="O54" s="67">
        <f>IF(NOT((COUNTA($B54:$J54)+COUNTA($M54))&gt;0),"",IF(ISNUMBER($D54),DATE(YEAR($D54),MONTH($D54),1),IF(ISNUMBER($E54),DATE(YEAR($E54),MONTH($E54),1),MesCiclo)))</f>
        <v/>
      </c>
      <c r="P54" s="68">
        <f>IF(OR($O54="",$O54&lt;&gt;MesCiclo),"",COUNTIF($O$5:$O54,MesCiclo))</f>
        <v/>
      </c>
    </row>
    <row r="55">
      <c r="A55" s="60">
        <f>IF(NOT((COUNTA($B55:$J55)+COUNTA($M55))&gt;0),"",COUNTIFS($L$5:$L55,"?*",$O$5:$O55,$O55))</f>
        <v/>
      </c>
      <c r="B55" s="61" t="n"/>
      <c r="C55" s="61" t="n"/>
      <c r="D55" s="62" t="n"/>
      <c r="E55" s="62" t="n"/>
      <c r="F55" s="63" t="n"/>
      <c r="G55" s="64" t="n"/>
      <c r="H55" s="64" t="n"/>
      <c r="I55" s="64" t="n"/>
      <c r="J55" s="64" t="n"/>
      <c r="K55" s="65">
        <f>IF(NOT((COUNTA($B55:$J55)+COUNTA($M55))&gt;0),"",IFERROR(LOOKUP(2,1/(G55:J55&lt;&gt;""),G55:J55),0))</f>
        <v/>
      </c>
      <c r="L55" s="60">
        <f>IF(K55="","",IF(K55&gt;=1,"Completado",IF(K55&gt;0,"En curso","Pendiente")))</f>
        <v/>
      </c>
      <c r="M55" s="61" t="n"/>
      <c r="N55" s="66">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c r="O55" s="67">
        <f>IF(NOT((COUNTA($B55:$J55)+COUNTA($M55))&gt;0),"",IF(ISNUMBER($D55),DATE(YEAR($D55),MONTH($D55),1),IF(ISNUMBER($E55),DATE(YEAR($E55),MONTH($E55),1),MesCiclo)))</f>
        <v/>
      </c>
      <c r="P55" s="68">
        <f>IF(OR($O55="",$O55&lt;&gt;MesCiclo),"",COUNTIF($O$5:$O55,MesCiclo))</f>
        <v/>
      </c>
    </row>
    <row r="56">
      <c r="A56" s="60">
        <f>IF(NOT((COUNTA($B56:$J56)+COUNTA($M56))&gt;0),"",COUNTIFS($L$5:$L56,"?*",$O$5:$O56,$O56))</f>
        <v/>
      </c>
      <c r="B56" s="61" t="n"/>
      <c r="C56" s="61" t="n"/>
      <c r="D56" s="62" t="n"/>
      <c r="E56" s="62" t="n"/>
      <c r="F56" s="63" t="n"/>
      <c r="G56" s="64" t="n"/>
      <c r="H56" s="64" t="n"/>
      <c r="I56" s="64" t="n"/>
      <c r="J56" s="64" t="n"/>
      <c r="K56" s="65">
        <f>IF(NOT((COUNTA($B56:$J56)+COUNTA($M56))&gt;0),"",IFERROR(LOOKUP(2,1/(G56:J56&lt;&gt;""),G56:J56),0))</f>
        <v/>
      </c>
      <c r="L56" s="60">
        <f>IF(K56="","",IF(K56&gt;=1,"Completado",IF(K56&gt;0,"En curso","Pendiente")))</f>
        <v/>
      </c>
      <c r="M56" s="61" t="n"/>
      <c r="N56" s="66">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c r="O56" s="67">
        <f>IF(NOT((COUNTA($B56:$J56)+COUNTA($M56))&gt;0),"",IF(ISNUMBER($D56),DATE(YEAR($D56),MONTH($D56),1),IF(ISNUMBER($E56),DATE(YEAR($E56),MONTH($E56),1),MesCiclo)))</f>
        <v/>
      </c>
      <c r="P56" s="68">
        <f>IF(OR($O56="",$O56&lt;&gt;MesCiclo),"",COUNTIF($O$5:$O56,MesCiclo))</f>
        <v/>
      </c>
    </row>
    <row r="57">
      <c r="A57" s="60">
        <f>IF(NOT((COUNTA($B57:$J57)+COUNTA($M57))&gt;0),"",COUNTIFS($L$5:$L57,"?*",$O$5:$O57,$O57))</f>
        <v/>
      </c>
      <c r="B57" s="61" t="n"/>
      <c r="C57" s="61" t="n"/>
      <c r="D57" s="62" t="n"/>
      <c r="E57" s="62" t="n"/>
      <c r="F57" s="63" t="n"/>
      <c r="G57" s="64" t="n"/>
      <c r="H57" s="64" t="n"/>
      <c r="I57" s="64" t="n"/>
      <c r="J57" s="64" t="n"/>
      <c r="K57" s="65">
        <f>IF(NOT((COUNTA($B57:$J57)+COUNTA($M57))&gt;0),"",IFERROR(LOOKUP(2,1/(G57:J57&lt;&gt;""),G57:J57),0))</f>
        <v/>
      </c>
      <c r="L57" s="60">
        <f>IF(K57="","",IF(K57&gt;=1,"Completado",IF(K57&gt;0,"En curso","Pendiente")))</f>
        <v/>
      </c>
      <c r="M57" s="61" t="n"/>
      <c r="N57" s="66">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c r="O57" s="67">
        <f>IF(NOT((COUNTA($B57:$J57)+COUNTA($M57))&gt;0),"",IF(ISNUMBER($D57),DATE(YEAR($D57),MONTH($D57),1),IF(ISNUMBER($E57),DATE(YEAR($E57),MONTH($E57),1),MesCiclo)))</f>
        <v/>
      </c>
      <c r="P57" s="68">
        <f>IF(OR($O57="",$O57&lt;&gt;MesCiclo),"",COUNTIF($O$5:$O57,MesCiclo))</f>
        <v/>
      </c>
    </row>
    <row r="58">
      <c r="A58" s="60">
        <f>IF(NOT((COUNTA($B58:$J58)+COUNTA($M58))&gt;0),"",COUNTIFS($L$5:$L58,"?*",$O$5:$O58,$O58))</f>
        <v/>
      </c>
      <c r="B58" s="61" t="n"/>
      <c r="C58" s="61" t="n"/>
      <c r="D58" s="62" t="n"/>
      <c r="E58" s="62" t="n"/>
      <c r="F58" s="63" t="n"/>
      <c r="G58" s="64" t="n"/>
      <c r="H58" s="64" t="n"/>
      <c r="I58" s="64" t="n"/>
      <c r="J58" s="64" t="n"/>
      <c r="K58" s="65">
        <f>IF(NOT((COUNTA($B58:$J58)+COUNTA($M58))&gt;0),"",IFERROR(LOOKUP(2,1/(G58:J58&lt;&gt;""),G58:J58),0))</f>
        <v/>
      </c>
      <c r="L58" s="60">
        <f>IF(K58="","",IF(K58&gt;=1,"Completado",IF(K58&gt;0,"En curso","Pendiente")))</f>
        <v/>
      </c>
      <c r="M58" s="61" t="n"/>
      <c r="N58" s="66">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c r="O58" s="67">
        <f>IF(NOT((COUNTA($B58:$J58)+COUNTA($M58))&gt;0),"",IF(ISNUMBER($D58),DATE(YEAR($D58),MONTH($D58),1),IF(ISNUMBER($E58),DATE(YEAR($E58),MONTH($E58),1),MesCiclo)))</f>
        <v/>
      </c>
      <c r="P58" s="68">
        <f>IF(OR($O58="",$O58&lt;&gt;MesCiclo),"",COUNTIF($O$5:$O58,MesCiclo))</f>
        <v/>
      </c>
    </row>
    <row r="59">
      <c r="A59" s="60">
        <f>IF(NOT((COUNTA($B59:$J59)+COUNTA($M59))&gt;0),"",COUNTIFS($L$5:$L59,"?*",$O$5:$O59,$O59))</f>
        <v/>
      </c>
      <c r="B59" s="61" t="n"/>
      <c r="C59" s="61" t="n"/>
      <c r="D59" s="62" t="n"/>
      <c r="E59" s="62" t="n"/>
      <c r="F59" s="63" t="n"/>
      <c r="G59" s="64" t="n"/>
      <c r="H59" s="64" t="n"/>
      <c r="I59" s="64" t="n"/>
      <c r="J59" s="64" t="n"/>
      <c r="K59" s="65">
        <f>IF(NOT((COUNTA($B59:$J59)+COUNTA($M59))&gt;0),"",IFERROR(LOOKUP(2,1/(G59:J59&lt;&gt;""),G59:J59),0))</f>
        <v/>
      </c>
      <c r="L59" s="60">
        <f>IF(K59="","",IF(K59&gt;=1,"Completado",IF(K59&gt;0,"En curso","Pendiente")))</f>
        <v/>
      </c>
      <c r="M59" s="61" t="n"/>
      <c r="N59" s="66">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c r="O59" s="67">
        <f>IF(NOT((COUNTA($B59:$J59)+COUNTA($M59))&gt;0),"",IF(ISNUMBER($D59),DATE(YEAR($D59),MONTH($D59),1),IF(ISNUMBER($E59),DATE(YEAR($E59),MONTH($E59),1),MesCiclo)))</f>
        <v/>
      </c>
      <c r="P59" s="68">
        <f>IF(OR($O59="",$O59&lt;&gt;MesCiclo),"",COUNTIF($O$5:$O59,MesCiclo))</f>
        <v/>
      </c>
    </row>
    <row r="60">
      <c r="A60" s="60">
        <f>IF(NOT((COUNTA($B60:$J60)+COUNTA($M60))&gt;0),"",COUNTIFS($L$5:$L60,"?*",$O$5:$O60,$O60))</f>
        <v/>
      </c>
      <c r="B60" s="61" t="n"/>
      <c r="C60" s="61" t="n"/>
      <c r="D60" s="62" t="n"/>
      <c r="E60" s="62" t="n"/>
      <c r="F60" s="63" t="n"/>
      <c r="G60" s="64" t="n"/>
      <c r="H60" s="64" t="n"/>
      <c r="I60" s="64" t="n"/>
      <c r="J60" s="64" t="n"/>
      <c r="K60" s="65">
        <f>IF(NOT((COUNTA($B60:$J60)+COUNTA($M60))&gt;0),"",IFERROR(LOOKUP(2,1/(G60:J60&lt;&gt;""),G60:J60),0))</f>
        <v/>
      </c>
      <c r="L60" s="60">
        <f>IF(K60="","",IF(K60&gt;=1,"Completado",IF(K60&gt;0,"En curso","Pendiente")))</f>
        <v/>
      </c>
      <c r="M60" s="61" t="n"/>
      <c r="N60" s="66">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c r="O60" s="67">
        <f>IF(NOT((COUNTA($B60:$J60)+COUNTA($M60))&gt;0),"",IF(ISNUMBER($D60),DATE(YEAR($D60),MONTH($D60),1),IF(ISNUMBER($E60),DATE(YEAR($E60),MONTH($E60),1),MesCiclo)))</f>
        <v/>
      </c>
      <c r="P60" s="68">
        <f>IF(OR($O60="",$O60&lt;&gt;MesCiclo),"",COUNTIF($O$5:$O60,MesCiclo))</f>
        <v/>
      </c>
    </row>
    <row r="61">
      <c r="A61" s="60">
        <f>IF(NOT((COUNTA($B61:$J61)+COUNTA($M61))&gt;0),"",COUNTIFS($L$5:$L61,"?*",$O$5:$O61,$O61))</f>
        <v/>
      </c>
      <c r="B61" s="61" t="n"/>
      <c r="C61" s="61" t="n"/>
      <c r="D61" s="62" t="n"/>
      <c r="E61" s="62" t="n"/>
      <c r="F61" s="63" t="n"/>
      <c r="G61" s="64" t="n"/>
      <c r="H61" s="64" t="n"/>
      <c r="I61" s="64" t="n"/>
      <c r="J61" s="64" t="n"/>
      <c r="K61" s="65">
        <f>IF(NOT((COUNTA($B61:$J61)+COUNTA($M61))&gt;0),"",IFERROR(LOOKUP(2,1/(G61:J61&lt;&gt;""),G61:J61),0))</f>
        <v/>
      </c>
      <c r="L61" s="60">
        <f>IF(K61="","",IF(K61&gt;=1,"Completado",IF(K61&gt;0,"En curso","Pendiente")))</f>
        <v/>
      </c>
      <c r="M61" s="61" t="n"/>
      <c r="N61" s="66">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c r="O61" s="67">
        <f>IF(NOT((COUNTA($B61:$J61)+COUNTA($M61))&gt;0),"",IF(ISNUMBER($D61),DATE(YEAR($D61),MONTH($D61),1),IF(ISNUMBER($E61),DATE(YEAR($E61),MONTH($E61),1),MesCiclo)))</f>
        <v/>
      </c>
      <c r="P61" s="68">
        <f>IF(OR($O61="",$O61&lt;&gt;MesCiclo),"",COUNTIF($O$5:$O61,MesCiclo))</f>
        <v/>
      </c>
    </row>
    <row r="62">
      <c r="A62" s="60">
        <f>IF(NOT((COUNTA($B62:$J62)+COUNTA($M62))&gt;0),"",COUNTIFS($L$5:$L62,"?*",$O$5:$O62,$O62))</f>
        <v/>
      </c>
      <c r="B62" s="61" t="n"/>
      <c r="C62" s="61" t="n"/>
      <c r="D62" s="62" t="n"/>
      <c r="E62" s="62" t="n"/>
      <c r="F62" s="63" t="n"/>
      <c r="G62" s="64" t="n"/>
      <c r="H62" s="64" t="n"/>
      <c r="I62" s="64" t="n"/>
      <c r="J62" s="64" t="n"/>
      <c r="K62" s="65">
        <f>IF(NOT((COUNTA($B62:$J62)+COUNTA($M62))&gt;0),"",IFERROR(LOOKUP(2,1/(G62:J62&lt;&gt;""),G62:J62),0))</f>
        <v/>
      </c>
      <c r="L62" s="60">
        <f>IF(K62="","",IF(K62&gt;=1,"Completado",IF(K62&gt;0,"En curso","Pendiente")))</f>
        <v/>
      </c>
      <c r="M62" s="61" t="n"/>
      <c r="N62" s="66">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c r="O62" s="67">
        <f>IF(NOT((COUNTA($B62:$J62)+COUNTA($M62))&gt;0),"",IF(ISNUMBER($D62),DATE(YEAR($D62),MONTH($D62),1),IF(ISNUMBER($E62),DATE(YEAR($E62),MONTH($E62),1),MesCiclo)))</f>
        <v/>
      </c>
      <c r="P62" s="68">
        <f>IF(OR($O62="",$O62&lt;&gt;MesCiclo),"",COUNTIF($O$5:$O62,MesCiclo))</f>
        <v/>
      </c>
    </row>
    <row r="63">
      <c r="A63" s="60">
        <f>IF(NOT((COUNTA($B63:$J63)+COUNTA($M63))&gt;0),"",COUNTIFS($L$5:$L63,"?*",$O$5:$O63,$O63))</f>
        <v/>
      </c>
      <c r="B63" s="61" t="n"/>
      <c r="C63" s="61" t="n"/>
      <c r="D63" s="62" t="n"/>
      <c r="E63" s="62" t="n"/>
      <c r="F63" s="63" t="n"/>
      <c r="G63" s="64" t="n"/>
      <c r="H63" s="64" t="n"/>
      <c r="I63" s="64" t="n"/>
      <c r="J63" s="64" t="n"/>
      <c r="K63" s="65">
        <f>IF(NOT((COUNTA($B63:$J63)+COUNTA($M63))&gt;0),"",IFERROR(LOOKUP(2,1/(G63:J63&lt;&gt;""),G63:J63),0))</f>
        <v/>
      </c>
      <c r="L63" s="60">
        <f>IF(K63="","",IF(K63&gt;=1,"Completado",IF(K63&gt;0,"En curso","Pendiente")))</f>
        <v/>
      </c>
      <c r="M63" s="61" t="n"/>
      <c r="N63" s="66">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c r="O63" s="67">
        <f>IF(NOT((COUNTA($B63:$J63)+COUNTA($M63))&gt;0),"",IF(ISNUMBER($D63),DATE(YEAR($D63),MONTH($D63),1),IF(ISNUMBER($E63),DATE(YEAR($E63),MONTH($E63),1),MesCiclo)))</f>
        <v/>
      </c>
      <c r="P63" s="68">
        <f>IF(OR($O63="",$O63&lt;&gt;MesCiclo),"",COUNTIF($O$5:$O63,MesCiclo))</f>
        <v/>
      </c>
    </row>
    <row r="64">
      <c r="A64" s="60">
        <f>IF(NOT((COUNTA($B64:$J64)+COUNTA($M64))&gt;0),"",COUNTIFS($L$5:$L64,"?*",$O$5:$O64,$O64))</f>
        <v/>
      </c>
      <c r="B64" s="61" t="n"/>
      <c r="C64" s="61" t="n"/>
      <c r="D64" s="62" t="n"/>
      <c r="E64" s="62" t="n"/>
      <c r="F64" s="63" t="n"/>
      <c r="G64" s="64" t="n"/>
      <c r="H64" s="64" t="n"/>
      <c r="I64" s="64" t="n"/>
      <c r="J64" s="64" t="n"/>
      <c r="K64" s="65">
        <f>IF(NOT((COUNTA($B64:$J64)+COUNTA($M64))&gt;0),"",IFERROR(LOOKUP(2,1/(G64:J64&lt;&gt;""),G64:J64),0))</f>
        <v/>
      </c>
      <c r="L64" s="60">
        <f>IF(K64="","",IF(K64&gt;=1,"Completado",IF(K64&gt;0,"En curso","Pendiente")))</f>
        <v/>
      </c>
      <c r="M64" s="61" t="n"/>
      <c r="N64" s="66">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c r="O64" s="67">
        <f>IF(NOT((COUNTA($B64:$J64)+COUNTA($M64))&gt;0),"",IF(ISNUMBER($D64),DATE(YEAR($D64),MONTH($D64),1),IF(ISNUMBER($E64),DATE(YEAR($E64),MONTH($E64),1),MesCiclo)))</f>
        <v/>
      </c>
      <c r="P64" s="68">
        <f>IF(OR($O64="",$O64&lt;&gt;MesCiclo),"",COUNTIF($O$5:$O64,MesCiclo))</f>
        <v/>
      </c>
    </row>
    <row r="65">
      <c r="A65" s="60">
        <f>IF(NOT((COUNTA($B65:$J65)+COUNTA($M65))&gt;0),"",COUNTIFS($L$5:$L65,"?*",$O$5:$O65,$O65))</f>
        <v/>
      </c>
      <c r="B65" s="61" t="n"/>
      <c r="C65" s="61" t="n"/>
      <c r="D65" s="62" t="n"/>
      <c r="E65" s="62" t="n"/>
      <c r="F65" s="63" t="n"/>
      <c r="G65" s="64" t="n"/>
      <c r="H65" s="64" t="n"/>
      <c r="I65" s="64" t="n"/>
      <c r="J65" s="64" t="n"/>
      <c r="K65" s="65">
        <f>IF(NOT((COUNTA($B65:$J65)+COUNTA($M65))&gt;0),"",IFERROR(LOOKUP(2,1/(G65:J65&lt;&gt;""),G65:J65),0))</f>
        <v/>
      </c>
      <c r="L65" s="60">
        <f>IF(K65="","",IF(K65&gt;=1,"Completado",IF(K65&gt;0,"En curso","Pendiente")))</f>
        <v/>
      </c>
      <c r="M65" s="61" t="n"/>
      <c r="N65" s="66">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c r="O65" s="67">
        <f>IF(NOT((COUNTA($B65:$J65)+COUNTA($M65))&gt;0),"",IF(ISNUMBER($D65),DATE(YEAR($D65),MONTH($D65),1),IF(ISNUMBER($E65),DATE(YEAR($E65),MONTH($E65),1),MesCiclo)))</f>
        <v/>
      </c>
      <c r="P65" s="68">
        <f>IF(OR($O65="",$O65&lt;&gt;MesCiclo),"",COUNTIF($O$5:$O65,MesCiclo))</f>
        <v/>
      </c>
    </row>
    <row r="66">
      <c r="A66" s="60">
        <f>IF(NOT((COUNTA($B66:$J66)+COUNTA($M66))&gt;0),"",COUNTIFS($L$5:$L66,"?*",$O$5:$O66,$O66))</f>
        <v/>
      </c>
      <c r="B66" s="61" t="n"/>
      <c r="C66" s="61" t="n"/>
      <c r="D66" s="62" t="n"/>
      <c r="E66" s="62" t="n"/>
      <c r="F66" s="63" t="n"/>
      <c r="G66" s="64" t="n"/>
      <c r="H66" s="64" t="n"/>
      <c r="I66" s="64" t="n"/>
      <c r="J66" s="64" t="n"/>
      <c r="K66" s="65">
        <f>IF(NOT((COUNTA($B66:$J66)+COUNTA($M66))&gt;0),"",IFERROR(LOOKUP(2,1/(G66:J66&lt;&gt;""),G66:J66),0))</f>
        <v/>
      </c>
      <c r="L66" s="60">
        <f>IF(K66="","",IF(K66&gt;=1,"Completado",IF(K66&gt;0,"En curso","Pendiente")))</f>
        <v/>
      </c>
      <c r="M66" s="61" t="n"/>
      <c r="N66" s="66">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c r="O66" s="67">
        <f>IF(NOT((COUNTA($B66:$J66)+COUNTA($M66))&gt;0),"",IF(ISNUMBER($D66),DATE(YEAR($D66),MONTH($D66),1),IF(ISNUMBER($E66),DATE(YEAR($E66),MONTH($E66),1),MesCiclo)))</f>
        <v/>
      </c>
      <c r="P66" s="68">
        <f>IF(OR($O66="",$O66&lt;&gt;MesCiclo),"",COUNTIF($O$5:$O66,MesCiclo))</f>
        <v/>
      </c>
    </row>
    <row r="67">
      <c r="A67" s="60">
        <f>IF(NOT((COUNTA($B67:$J67)+COUNTA($M67))&gt;0),"",COUNTIFS($L$5:$L67,"?*",$O$5:$O67,$O67))</f>
        <v/>
      </c>
      <c r="B67" s="61" t="n"/>
      <c r="C67" s="61" t="n"/>
      <c r="D67" s="62" t="n"/>
      <c r="E67" s="62" t="n"/>
      <c r="F67" s="63" t="n"/>
      <c r="G67" s="64" t="n"/>
      <c r="H67" s="64" t="n"/>
      <c r="I67" s="64" t="n"/>
      <c r="J67" s="64" t="n"/>
      <c r="K67" s="65">
        <f>IF(NOT((COUNTA($B67:$J67)+COUNTA($M67))&gt;0),"",IFERROR(LOOKUP(2,1/(G67:J67&lt;&gt;""),G67:J67),0))</f>
        <v/>
      </c>
      <c r="L67" s="60">
        <f>IF(K67="","",IF(K67&gt;=1,"Completado",IF(K67&gt;0,"En curso","Pendiente")))</f>
        <v/>
      </c>
      <c r="M67" s="61" t="n"/>
      <c r="N67" s="66">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c r="O67" s="67">
        <f>IF(NOT((COUNTA($B67:$J67)+COUNTA($M67))&gt;0),"",IF(ISNUMBER($D67),DATE(YEAR($D67),MONTH($D67),1),IF(ISNUMBER($E67),DATE(YEAR($E67),MONTH($E67),1),MesCiclo)))</f>
        <v/>
      </c>
      <c r="P67" s="68">
        <f>IF(OR($O67="",$O67&lt;&gt;MesCiclo),"",COUNTIF($O$5:$O67,MesCiclo))</f>
        <v/>
      </c>
    </row>
    <row r="68">
      <c r="A68" s="60">
        <f>IF(NOT((COUNTA($B68:$J68)+COUNTA($M68))&gt;0),"",COUNTIFS($L$5:$L68,"?*",$O$5:$O68,$O68))</f>
        <v/>
      </c>
      <c r="B68" s="61" t="n"/>
      <c r="C68" s="61" t="n"/>
      <c r="D68" s="62" t="n"/>
      <c r="E68" s="62" t="n"/>
      <c r="F68" s="63" t="n"/>
      <c r="G68" s="64" t="n"/>
      <c r="H68" s="64" t="n"/>
      <c r="I68" s="64" t="n"/>
      <c r="J68" s="64" t="n"/>
      <c r="K68" s="65">
        <f>IF(NOT((COUNTA($B68:$J68)+COUNTA($M68))&gt;0),"",IFERROR(LOOKUP(2,1/(G68:J68&lt;&gt;""),G68:J68),0))</f>
        <v/>
      </c>
      <c r="L68" s="60">
        <f>IF(K68="","",IF(K68&gt;=1,"Completado",IF(K68&gt;0,"En curso","Pendiente")))</f>
        <v/>
      </c>
      <c r="M68" s="61" t="n"/>
      <c r="N68" s="66">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c r="O68" s="67">
        <f>IF(NOT((COUNTA($B68:$J68)+COUNTA($M68))&gt;0),"",IF(ISNUMBER($D68),DATE(YEAR($D68),MONTH($D68),1),IF(ISNUMBER($E68),DATE(YEAR($E68),MONTH($E68),1),MesCiclo)))</f>
        <v/>
      </c>
      <c r="P68" s="68">
        <f>IF(OR($O68="",$O68&lt;&gt;MesCiclo),"",COUNTIF($O$5:$O68,MesCiclo))</f>
        <v/>
      </c>
    </row>
    <row r="69">
      <c r="A69" s="60">
        <f>IF(NOT((COUNTA($B69:$J69)+COUNTA($M69))&gt;0),"",COUNTIFS($L$5:$L69,"?*",$O$5:$O69,$O69))</f>
        <v/>
      </c>
      <c r="B69" s="61" t="n"/>
      <c r="C69" s="61" t="n"/>
      <c r="D69" s="62" t="n"/>
      <c r="E69" s="62" t="n"/>
      <c r="F69" s="63" t="n"/>
      <c r="G69" s="64" t="n"/>
      <c r="H69" s="64" t="n"/>
      <c r="I69" s="64" t="n"/>
      <c r="J69" s="64" t="n"/>
      <c r="K69" s="65">
        <f>IF(NOT((COUNTA($B69:$J69)+COUNTA($M69))&gt;0),"",IFERROR(LOOKUP(2,1/(G69:J69&lt;&gt;""),G69:J69),0))</f>
        <v/>
      </c>
      <c r="L69" s="60">
        <f>IF(K69="","",IF(K69&gt;=1,"Completado",IF(K69&gt;0,"En curso","Pendiente")))</f>
        <v/>
      </c>
      <c r="M69" s="61" t="n"/>
      <c r="N69" s="66">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c r="O69" s="67">
        <f>IF(NOT((COUNTA($B69:$J69)+COUNTA($M69))&gt;0),"",IF(ISNUMBER($D69),DATE(YEAR($D69),MONTH($D69),1),IF(ISNUMBER($E69),DATE(YEAR($E69),MONTH($E69),1),MesCiclo)))</f>
        <v/>
      </c>
      <c r="P69" s="68">
        <f>IF(OR($O69="",$O69&lt;&gt;MesCiclo),"",COUNTIF($O$5:$O69,MesCiclo))</f>
        <v/>
      </c>
    </row>
    <row r="70">
      <c r="A70" s="60">
        <f>IF(NOT((COUNTA($B70:$J70)+COUNTA($M70))&gt;0),"",COUNTIFS($L$5:$L70,"?*",$O$5:$O70,$O70))</f>
        <v/>
      </c>
      <c r="B70" s="61" t="n"/>
      <c r="C70" s="61" t="n"/>
      <c r="D70" s="62" t="n"/>
      <c r="E70" s="62" t="n"/>
      <c r="F70" s="63" t="n"/>
      <c r="G70" s="64" t="n"/>
      <c r="H70" s="64" t="n"/>
      <c r="I70" s="64" t="n"/>
      <c r="J70" s="64" t="n"/>
      <c r="K70" s="65">
        <f>IF(NOT((COUNTA($B70:$J70)+COUNTA($M70))&gt;0),"",IFERROR(LOOKUP(2,1/(G70:J70&lt;&gt;""),G70:J70),0))</f>
        <v/>
      </c>
      <c r="L70" s="60">
        <f>IF(K70="","",IF(K70&gt;=1,"Completado",IF(K70&gt;0,"En curso","Pendiente")))</f>
        <v/>
      </c>
      <c r="M70" s="61" t="n"/>
      <c r="N70" s="66">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c r="O70" s="67">
        <f>IF(NOT((COUNTA($B70:$J70)+COUNTA($M70))&gt;0),"",IF(ISNUMBER($D70),DATE(YEAR($D70),MONTH($D70),1),IF(ISNUMBER($E70),DATE(YEAR($E70),MONTH($E70),1),MesCiclo)))</f>
        <v/>
      </c>
      <c r="P70" s="68">
        <f>IF(OR($O70="",$O70&lt;&gt;MesCiclo),"",COUNTIF($O$5:$O70,MesCiclo))</f>
        <v/>
      </c>
    </row>
    <row r="71">
      <c r="A71" s="60">
        <f>IF(NOT((COUNTA($B71:$J71)+COUNTA($M71))&gt;0),"",COUNTIFS($L$5:$L71,"?*",$O$5:$O71,$O71))</f>
        <v/>
      </c>
      <c r="B71" s="61" t="n"/>
      <c r="C71" s="61" t="n"/>
      <c r="D71" s="62" t="n"/>
      <c r="E71" s="62" t="n"/>
      <c r="F71" s="63" t="n"/>
      <c r="G71" s="64" t="n"/>
      <c r="H71" s="64" t="n"/>
      <c r="I71" s="64" t="n"/>
      <c r="J71" s="64" t="n"/>
      <c r="K71" s="65">
        <f>IF(NOT((COUNTA($B71:$J71)+COUNTA($M71))&gt;0),"",IFERROR(LOOKUP(2,1/(G71:J71&lt;&gt;""),G71:J71),0))</f>
        <v/>
      </c>
      <c r="L71" s="60">
        <f>IF(K71="","",IF(K71&gt;=1,"Completado",IF(K71&gt;0,"En curso","Pendiente")))</f>
        <v/>
      </c>
      <c r="M71" s="61" t="n"/>
      <c r="N71" s="66">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c r="O71" s="67">
        <f>IF(NOT((COUNTA($B71:$J71)+COUNTA($M71))&gt;0),"",IF(ISNUMBER($D71),DATE(YEAR($D71),MONTH($D71),1),IF(ISNUMBER($E71),DATE(YEAR($E71),MONTH($E71),1),MesCiclo)))</f>
        <v/>
      </c>
      <c r="P71" s="68">
        <f>IF(OR($O71="",$O71&lt;&gt;MesCiclo),"",COUNTIF($O$5:$O71,MesCiclo))</f>
        <v/>
      </c>
    </row>
    <row r="72">
      <c r="A72" s="60">
        <f>IF(NOT((COUNTA($B72:$J72)+COUNTA($M72))&gt;0),"",COUNTIFS($L$5:$L72,"?*",$O$5:$O72,$O72))</f>
        <v/>
      </c>
      <c r="B72" s="61" t="n"/>
      <c r="C72" s="61" t="n"/>
      <c r="D72" s="62" t="n"/>
      <c r="E72" s="62" t="n"/>
      <c r="F72" s="63" t="n"/>
      <c r="G72" s="64" t="n"/>
      <c r="H72" s="64" t="n"/>
      <c r="I72" s="64" t="n"/>
      <c r="J72" s="64" t="n"/>
      <c r="K72" s="65">
        <f>IF(NOT((COUNTA($B72:$J72)+COUNTA($M72))&gt;0),"",IFERROR(LOOKUP(2,1/(G72:J72&lt;&gt;""),G72:J72),0))</f>
        <v/>
      </c>
      <c r="L72" s="60">
        <f>IF(K72="","",IF(K72&gt;=1,"Completado",IF(K72&gt;0,"En curso","Pendiente")))</f>
        <v/>
      </c>
      <c r="M72" s="61" t="n"/>
      <c r="N72" s="66">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c r="O72" s="67">
        <f>IF(NOT((COUNTA($B72:$J72)+COUNTA($M72))&gt;0),"",IF(ISNUMBER($D72),DATE(YEAR($D72),MONTH($D72),1),IF(ISNUMBER($E72),DATE(YEAR($E72),MONTH($E72),1),MesCiclo)))</f>
        <v/>
      </c>
      <c r="P72" s="68">
        <f>IF(OR($O72="",$O72&lt;&gt;MesCiclo),"",COUNTIF($O$5:$O72,MesCiclo))</f>
        <v/>
      </c>
    </row>
    <row r="73">
      <c r="A73" s="60">
        <f>IF(NOT((COUNTA($B73:$J73)+COUNTA($M73))&gt;0),"",COUNTIFS($L$5:$L73,"?*",$O$5:$O73,$O73))</f>
        <v/>
      </c>
      <c r="B73" s="61" t="n"/>
      <c r="C73" s="61" t="n"/>
      <c r="D73" s="62" t="n"/>
      <c r="E73" s="62" t="n"/>
      <c r="F73" s="63" t="n"/>
      <c r="G73" s="64" t="n"/>
      <c r="H73" s="64" t="n"/>
      <c r="I73" s="64" t="n"/>
      <c r="J73" s="64" t="n"/>
      <c r="K73" s="65">
        <f>IF(NOT((COUNTA($B73:$J73)+COUNTA($M73))&gt;0),"",IFERROR(LOOKUP(2,1/(G73:J73&lt;&gt;""),G73:J73),0))</f>
        <v/>
      </c>
      <c r="L73" s="60">
        <f>IF(K73="","",IF(K73&gt;=1,"Completado",IF(K73&gt;0,"En curso","Pendiente")))</f>
        <v/>
      </c>
      <c r="M73" s="61" t="n"/>
      <c r="N73" s="66">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c r="O73" s="67">
        <f>IF(NOT((COUNTA($B73:$J73)+COUNTA($M73))&gt;0),"",IF(ISNUMBER($D73),DATE(YEAR($D73),MONTH($D73),1),IF(ISNUMBER($E73),DATE(YEAR($E73),MONTH($E73),1),MesCiclo)))</f>
        <v/>
      </c>
      <c r="P73" s="68">
        <f>IF(OR($O73="",$O73&lt;&gt;MesCiclo),"",COUNTIF($O$5:$O73,MesCiclo))</f>
        <v/>
      </c>
    </row>
    <row r="74">
      <c r="A74" s="60">
        <f>IF(NOT((COUNTA($B74:$J74)+COUNTA($M74))&gt;0),"",COUNTIFS($L$5:$L74,"?*",$O$5:$O74,$O74))</f>
        <v/>
      </c>
      <c r="B74" s="61" t="n"/>
      <c r="C74" s="61" t="n"/>
      <c r="D74" s="62" t="n"/>
      <c r="E74" s="62" t="n"/>
      <c r="F74" s="63" t="n"/>
      <c r="G74" s="64" t="n"/>
      <c r="H74" s="64" t="n"/>
      <c r="I74" s="64" t="n"/>
      <c r="J74" s="64" t="n"/>
      <c r="K74" s="65">
        <f>IF(NOT((COUNTA($B74:$J74)+COUNTA($M74))&gt;0),"",IFERROR(LOOKUP(2,1/(G74:J74&lt;&gt;""),G74:J74),0))</f>
        <v/>
      </c>
      <c r="L74" s="60">
        <f>IF(K74="","",IF(K74&gt;=1,"Completado",IF(K74&gt;0,"En curso","Pendiente")))</f>
        <v/>
      </c>
      <c r="M74" s="61" t="n"/>
      <c r="N74" s="66">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c r="O74" s="67">
        <f>IF(NOT((COUNTA($B74:$J74)+COUNTA($M74))&gt;0),"",IF(ISNUMBER($D74),DATE(YEAR($D74),MONTH($D74),1),IF(ISNUMBER($E74),DATE(YEAR($E74),MONTH($E74),1),MesCiclo)))</f>
        <v/>
      </c>
      <c r="P74" s="68">
        <f>IF(OR($O74="",$O74&lt;&gt;MesCiclo),"",COUNTIF($O$5:$O74,MesCiclo))</f>
        <v/>
      </c>
    </row>
    <row r="75">
      <c r="A75" s="60">
        <f>IF(NOT((COUNTA($B75:$J75)+COUNTA($M75))&gt;0),"",COUNTIFS($L$5:$L75,"?*",$O$5:$O75,$O75))</f>
        <v/>
      </c>
      <c r="B75" s="61" t="n"/>
      <c r="C75" s="61" t="n"/>
      <c r="D75" s="62" t="n"/>
      <c r="E75" s="62" t="n"/>
      <c r="F75" s="63" t="n"/>
      <c r="G75" s="64" t="n"/>
      <c r="H75" s="64" t="n"/>
      <c r="I75" s="64" t="n"/>
      <c r="J75" s="64" t="n"/>
      <c r="K75" s="65">
        <f>IF(NOT((COUNTA($B75:$J75)+COUNTA($M75))&gt;0),"",IFERROR(LOOKUP(2,1/(G75:J75&lt;&gt;""),G75:J75),0))</f>
        <v/>
      </c>
      <c r="L75" s="60">
        <f>IF(K75="","",IF(K75&gt;=1,"Completado",IF(K75&gt;0,"En curso","Pendiente")))</f>
        <v/>
      </c>
      <c r="M75" s="61" t="n"/>
      <c r="N75" s="66">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c r="O75" s="67">
        <f>IF(NOT((COUNTA($B75:$J75)+COUNTA($M75))&gt;0),"",IF(ISNUMBER($D75),DATE(YEAR($D75),MONTH($D75),1),IF(ISNUMBER($E75),DATE(YEAR($E75),MONTH($E75),1),MesCiclo)))</f>
        <v/>
      </c>
      <c r="P75" s="68">
        <f>IF(OR($O75="",$O75&lt;&gt;MesCiclo),"",COUNTIF($O$5:$O75,MesCiclo))</f>
        <v/>
      </c>
    </row>
    <row r="76">
      <c r="A76" s="60">
        <f>IF(NOT((COUNTA($B76:$J76)+COUNTA($M76))&gt;0),"",COUNTIFS($L$5:$L76,"?*",$O$5:$O76,$O76))</f>
        <v/>
      </c>
      <c r="B76" s="61" t="n"/>
      <c r="C76" s="61" t="n"/>
      <c r="D76" s="62" t="n"/>
      <c r="E76" s="62" t="n"/>
      <c r="F76" s="63" t="n"/>
      <c r="G76" s="64" t="n"/>
      <c r="H76" s="64" t="n"/>
      <c r="I76" s="64" t="n"/>
      <c r="J76" s="64" t="n"/>
      <c r="K76" s="65">
        <f>IF(NOT((COUNTA($B76:$J76)+COUNTA($M76))&gt;0),"",IFERROR(LOOKUP(2,1/(G76:J76&lt;&gt;""),G76:J76),0))</f>
        <v/>
      </c>
      <c r="L76" s="60">
        <f>IF(K76="","",IF(K76&gt;=1,"Completado",IF(K76&gt;0,"En curso","Pendiente")))</f>
        <v/>
      </c>
      <c r="M76" s="61" t="n"/>
      <c r="N76" s="66">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c r="O76" s="67">
        <f>IF(NOT((COUNTA($B76:$J76)+COUNTA($M76))&gt;0),"",IF(ISNUMBER($D76),DATE(YEAR($D76),MONTH($D76),1),IF(ISNUMBER($E76),DATE(YEAR($E76),MONTH($E76),1),MesCiclo)))</f>
        <v/>
      </c>
      <c r="P76" s="68">
        <f>IF(OR($O76="",$O76&lt;&gt;MesCiclo),"",COUNTIF($O$5:$O76,MesCiclo))</f>
        <v/>
      </c>
    </row>
    <row r="77">
      <c r="A77" s="60">
        <f>IF(NOT((COUNTA($B77:$J77)+COUNTA($M77))&gt;0),"",COUNTIFS($L$5:$L77,"?*",$O$5:$O77,$O77))</f>
        <v/>
      </c>
      <c r="B77" s="61" t="n"/>
      <c r="C77" s="61" t="n"/>
      <c r="D77" s="62" t="n"/>
      <c r="E77" s="62" t="n"/>
      <c r="F77" s="63" t="n"/>
      <c r="G77" s="64" t="n"/>
      <c r="H77" s="64" t="n"/>
      <c r="I77" s="64" t="n"/>
      <c r="J77" s="64" t="n"/>
      <c r="K77" s="65">
        <f>IF(NOT((COUNTA($B77:$J77)+COUNTA($M77))&gt;0),"",IFERROR(LOOKUP(2,1/(G77:J77&lt;&gt;""),G77:J77),0))</f>
        <v/>
      </c>
      <c r="L77" s="60">
        <f>IF(K77="","",IF(K77&gt;=1,"Completado",IF(K77&gt;0,"En curso","Pendiente")))</f>
        <v/>
      </c>
      <c r="M77" s="61" t="n"/>
      <c r="N77" s="66">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c r="O77" s="67">
        <f>IF(NOT((COUNTA($B77:$J77)+COUNTA($M77))&gt;0),"",IF(ISNUMBER($D77),DATE(YEAR($D77),MONTH($D77),1),IF(ISNUMBER($E77),DATE(YEAR($E77),MONTH($E77),1),MesCiclo)))</f>
        <v/>
      </c>
      <c r="P77" s="68">
        <f>IF(OR($O77="",$O77&lt;&gt;MesCiclo),"",COUNTIF($O$5:$O77,MesCiclo))</f>
        <v/>
      </c>
    </row>
    <row r="78">
      <c r="A78" s="60">
        <f>IF(NOT((COUNTA($B78:$J78)+COUNTA($M78))&gt;0),"",COUNTIFS($L$5:$L78,"?*",$O$5:$O78,$O78))</f>
        <v/>
      </c>
      <c r="B78" s="61" t="n"/>
      <c r="C78" s="61" t="n"/>
      <c r="D78" s="62" t="n"/>
      <c r="E78" s="62" t="n"/>
      <c r="F78" s="63" t="n"/>
      <c r="G78" s="64" t="n"/>
      <c r="H78" s="64" t="n"/>
      <c r="I78" s="64" t="n"/>
      <c r="J78" s="64" t="n"/>
      <c r="K78" s="65">
        <f>IF(NOT((COUNTA($B78:$J78)+COUNTA($M78))&gt;0),"",IFERROR(LOOKUP(2,1/(G78:J78&lt;&gt;""),G78:J78),0))</f>
        <v/>
      </c>
      <c r="L78" s="60">
        <f>IF(K78="","",IF(K78&gt;=1,"Completado",IF(K78&gt;0,"En curso","Pendiente")))</f>
        <v/>
      </c>
      <c r="M78" s="61" t="n"/>
      <c r="N78" s="66">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c r="O78" s="67">
        <f>IF(NOT((COUNTA($B78:$J78)+COUNTA($M78))&gt;0),"",IF(ISNUMBER($D78),DATE(YEAR($D78),MONTH($D78),1),IF(ISNUMBER($E78),DATE(YEAR($E78),MONTH($E78),1),MesCiclo)))</f>
        <v/>
      </c>
      <c r="P78" s="68">
        <f>IF(OR($O78="",$O78&lt;&gt;MesCiclo),"",COUNTIF($O$5:$O78,MesCiclo))</f>
        <v/>
      </c>
    </row>
    <row r="79">
      <c r="A79" s="60">
        <f>IF(NOT((COUNTA($B79:$J79)+COUNTA($M79))&gt;0),"",COUNTIFS($L$5:$L79,"?*",$O$5:$O79,$O79))</f>
        <v/>
      </c>
      <c r="B79" s="61" t="n"/>
      <c r="C79" s="61" t="n"/>
      <c r="D79" s="62" t="n"/>
      <c r="E79" s="62" t="n"/>
      <c r="F79" s="63" t="n"/>
      <c r="G79" s="64" t="n"/>
      <c r="H79" s="64" t="n"/>
      <c r="I79" s="64" t="n"/>
      <c r="J79" s="64" t="n"/>
      <c r="K79" s="65">
        <f>IF(NOT((COUNTA($B79:$J79)+COUNTA($M79))&gt;0),"",IFERROR(LOOKUP(2,1/(G79:J79&lt;&gt;""),G79:J79),0))</f>
        <v/>
      </c>
      <c r="L79" s="60">
        <f>IF(K79="","",IF(K79&gt;=1,"Completado",IF(K79&gt;0,"En curso","Pendiente")))</f>
        <v/>
      </c>
      <c r="M79" s="61" t="n"/>
      <c r="N79" s="66">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c r="O79" s="67">
        <f>IF(NOT((COUNTA($B79:$J79)+COUNTA($M79))&gt;0),"",IF(ISNUMBER($D79),DATE(YEAR($D79),MONTH($D79),1),IF(ISNUMBER($E79),DATE(YEAR($E79),MONTH($E79),1),MesCiclo)))</f>
        <v/>
      </c>
      <c r="P79" s="68">
        <f>IF(OR($O79="",$O79&lt;&gt;MesCiclo),"",COUNTIF($O$5:$O79,MesCiclo))</f>
        <v/>
      </c>
    </row>
    <row r="80">
      <c r="A80" s="60">
        <f>IF(NOT((COUNTA($B80:$J80)+COUNTA($M80))&gt;0),"",COUNTIFS($L$5:$L80,"?*",$O$5:$O80,$O80))</f>
        <v/>
      </c>
      <c r="B80" s="61" t="n"/>
      <c r="C80" s="61" t="n"/>
      <c r="D80" s="62" t="n"/>
      <c r="E80" s="62" t="n"/>
      <c r="F80" s="63" t="n"/>
      <c r="G80" s="64" t="n"/>
      <c r="H80" s="64" t="n"/>
      <c r="I80" s="64" t="n"/>
      <c r="J80" s="64" t="n"/>
      <c r="K80" s="65">
        <f>IF(NOT((COUNTA($B80:$J80)+COUNTA($M80))&gt;0),"",IFERROR(LOOKUP(2,1/(G80:J80&lt;&gt;""),G80:J80),0))</f>
        <v/>
      </c>
      <c r="L80" s="60">
        <f>IF(K80="","",IF(K80&gt;=1,"Completado",IF(K80&gt;0,"En curso","Pendiente")))</f>
        <v/>
      </c>
      <c r="M80" s="61" t="n"/>
      <c r="N80" s="66">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c r="O80" s="67">
        <f>IF(NOT((COUNTA($B80:$J80)+COUNTA($M80))&gt;0),"",IF(ISNUMBER($D80),DATE(YEAR($D80),MONTH($D80),1),IF(ISNUMBER($E80),DATE(YEAR($E80),MONTH($E80),1),MesCiclo)))</f>
        <v/>
      </c>
      <c r="P80" s="68">
        <f>IF(OR($O80="",$O80&lt;&gt;MesCiclo),"",COUNTIF($O$5:$O80,MesCiclo))</f>
        <v/>
      </c>
    </row>
    <row r="81">
      <c r="A81" s="60">
        <f>IF(NOT((COUNTA($B81:$J81)+COUNTA($M81))&gt;0),"",COUNTIFS($L$5:$L81,"?*",$O$5:$O81,$O81))</f>
        <v/>
      </c>
      <c r="B81" s="61" t="n"/>
      <c r="C81" s="61" t="n"/>
      <c r="D81" s="62" t="n"/>
      <c r="E81" s="62" t="n"/>
      <c r="F81" s="63" t="n"/>
      <c r="G81" s="64" t="n"/>
      <c r="H81" s="64" t="n"/>
      <c r="I81" s="64" t="n"/>
      <c r="J81" s="64" t="n"/>
      <c r="K81" s="65">
        <f>IF(NOT((COUNTA($B81:$J81)+COUNTA($M81))&gt;0),"",IFERROR(LOOKUP(2,1/(G81:J81&lt;&gt;""),G81:J81),0))</f>
        <v/>
      </c>
      <c r="L81" s="60">
        <f>IF(K81="","",IF(K81&gt;=1,"Completado",IF(K81&gt;0,"En curso","Pendiente")))</f>
        <v/>
      </c>
      <c r="M81" s="61" t="n"/>
      <c r="N81" s="66">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c r="O81" s="67">
        <f>IF(NOT((COUNTA($B81:$J81)+COUNTA($M81))&gt;0),"",IF(ISNUMBER($D81),DATE(YEAR($D81),MONTH($D81),1),IF(ISNUMBER($E81),DATE(YEAR($E81),MONTH($E81),1),MesCiclo)))</f>
        <v/>
      </c>
      <c r="P81" s="68">
        <f>IF(OR($O81="",$O81&lt;&gt;MesCiclo),"",COUNTIF($O$5:$O81,MesCiclo))</f>
        <v/>
      </c>
    </row>
    <row r="82">
      <c r="A82" s="60">
        <f>IF(NOT((COUNTA($B82:$J82)+COUNTA($M82))&gt;0),"",COUNTIFS($L$5:$L82,"?*",$O$5:$O82,$O82))</f>
        <v/>
      </c>
      <c r="B82" s="61" t="n"/>
      <c r="C82" s="61" t="n"/>
      <c r="D82" s="62" t="n"/>
      <c r="E82" s="62" t="n"/>
      <c r="F82" s="63" t="n"/>
      <c r="G82" s="64" t="n"/>
      <c r="H82" s="64" t="n"/>
      <c r="I82" s="64" t="n"/>
      <c r="J82" s="64" t="n"/>
      <c r="K82" s="65">
        <f>IF(NOT((COUNTA($B82:$J82)+COUNTA($M82))&gt;0),"",IFERROR(LOOKUP(2,1/(G82:J82&lt;&gt;""),G82:J82),0))</f>
        <v/>
      </c>
      <c r="L82" s="60">
        <f>IF(K82="","",IF(K82&gt;=1,"Completado",IF(K82&gt;0,"En curso","Pendiente")))</f>
        <v/>
      </c>
      <c r="M82" s="61" t="n"/>
      <c r="N82" s="66">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c r="O82" s="67">
        <f>IF(NOT((COUNTA($B82:$J82)+COUNTA($M82))&gt;0),"",IF(ISNUMBER($D82),DATE(YEAR($D82),MONTH($D82),1),IF(ISNUMBER($E82),DATE(YEAR($E82),MONTH($E82),1),MesCiclo)))</f>
        <v/>
      </c>
      <c r="P82" s="68">
        <f>IF(OR($O82="",$O82&lt;&gt;MesCiclo),"",COUNTIF($O$5:$O82,MesCiclo))</f>
        <v/>
      </c>
    </row>
    <row r="83">
      <c r="A83" s="60">
        <f>IF(NOT((COUNTA($B83:$J83)+COUNTA($M83))&gt;0),"",COUNTIFS($L$5:$L83,"?*",$O$5:$O83,$O83))</f>
        <v/>
      </c>
      <c r="B83" s="61" t="n"/>
      <c r="C83" s="61" t="n"/>
      <c r="D83" s="62" t="n"/>
      <c r="E83" s="62" t="n"/>
      <c r="F83" s="63" t="n"/>
      <c r="G83" s="64" t="n"/>
      <c r="H83" s="64" t="n"/>
      <c r="I83" s="64" t="n"/>
      <c r="J83" s="64" t="n"/>
      <c r="K83" s="65">
        <f>IF(NOT((COUNTA($B83:$J83)+COUNTA($M83))&gt;0),"",IFERROR(LOOKUP(2,1/(G83:J83&lt;&gt;""),G83:J83),0))</f>
        <v/>
      </c>
      <c r="L83" s="60">
        <f>IF(K83="","",IF(K83&gt;=1,"Completado",IF(K83&gt;0,"En curso","Pendiente")))</f>
        <v/>
      </c>
      <c r="M83" s="61" t="n"/>
      <c r="N83" s="66">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c r="O83" s="67">
        <f>IF(NOT((COUNTA($B83:$J83)+COUNTA($M83))&gt;0),"",IF(ISNUMBER($D83),DATE(YEAR($D83),MONTH($D83),1),IF(ISNUMBER($E83),DATE(YEAR($E83),MONTH($E83),1),MesCiclo)))</f>
        <v/>
      </c>
      <c r="P83" s="68">
        <f>IF(OR($O83="",$O83&lt;&gt;MesCiclo),"",COUNTIF($O$5:$O83,MesCiclo))</f>
        <v/>
      </c>
    </row>
    <row r="84">
      <c r="A84" s="60">
        <f>IF(NOT((COUNTA($B84:$J84)+COUNTA($M84))&gt;0),"",COUNTIFS($L$5:$L84,"?*",$O$5:$O84,$O84))</f>
        <v/>
      </c>
      <c r="B84" s="61" t="n"/>
      <c r="C84" s="61" t="n"/>
      <c r="D84" s="62" t="n"/>
      <c r="E84" s="62" t="n"/>
      <c r="F84" s="63" t="n"/>
      <c r="G84" s="64" t="n"/>
      <c r="H84" s="64" t="n"/>
      <c r="I84" s="64" t="n"/>
      <c r="J84" s="64" t="n"/>
      <c r="K84" s="65">
        <f>IF(NOT((COUNTA($B84:$J84)+COUNTA($M84))&gt;0),"",IFERROR(LOOKUP(2,1/(G84:J84&lt;&gt;""),G84:J84),0))</f>
        <v/>
      </c>
      <c r="L84" s="60">
        <f>IF(K84="","",IF(K84&gt;=1,"Completado",IF(K84&gt;0,"En curso","Pendiente")))</f>
        <v/>
      </c>
      <c r="M84" s="61" t="n"/>
      <c r="N84" s="66">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c r="O84" s="67">
        <f>IF(NOT((COUNTA($B84:$J84)+COUNTA($M84))&gt;0),"",IF(ISNUMBER($D84),DATE(YEAR($D84),MONTH($D84),1),IF(ISNUMBER($E84),DATE(YEAR($E84),MONTH($E84),1),MesCiclo)))</f>
        <v/>
      </c>
      <c r="P84" s="68">
        <f>IF(OR($O84="",$O84&lt;&gt;MesCiclo),"",COUNTIF($O$5:$O84,MesCiclo))</f>
        <v/>
      </c>
    </row>
    <row r="85">
      <c r="A85" s="60">
        <f>IF(NOT((COUNTA($B85:$J85)+COUNTA($M85))&gt;0),"",COUNTIFS($L$5:$L85,"?*",$O$5:$O85,$O85))</f>
        <v/>
      </c>
      <c r="B85" s="61" t="n"/>
      <c r="C85" s="61" t="n"/>
      <c r="D85" s="62" t="n"/>
      <c r="E85" s="62" t="n"/>
      <c r="F85" s="63" t="n"/>
      <c r="G85" s="64" t="n"/>
      <c r="H85" s="64" t="n"/>
      <c r="I85" s="64" t="n"/>
      <c r="J85" s="64" t="n"/>
      <c r="K85" s="65">
        <f>IF(NOT((COUNTA($B85:$J85)+COUNTA($M85))&gt;0),"",IFERROR(LOOKUP(2,1/(G85:J85&lt;&gt;""),G85:J85),0))</f>
        <v/>
      </c>
      <c r="L85" s="60">
        <f>IF(K85="","",IF(K85&gt;=1,"Completado",IF(K85&gt;0,"En curso","Pendiente")))</f>
        <v/>
      </c>
      <c r="M85" s="61" t="n"/>
      <c r="N85" s="66">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c r="O85" s="67">
        <f>IF(NOT((COUNTA($B85:$J85)+COUNTA($M85))&gt;0),"",IF(ISNUMBER($D85),DATE(YEAR($D85),MONTH($D85),1),IF(ISNUMBER($E85),DATE(YEAR($E85),MONTH($E85),1),MesCiclo)))</f>
        <v/>
      </c>
      <c r="P85" s="68">
        <f>IF(OR($O85="",$O85&lt;&gt;MesCiclo),"",COUNTIF($O$5:$O85,MesCiclo))</f>
        <v/>
      </c>
    </row>
    <row r="86">
      <c r="A86" s="60">
        <f>IF(NOT((COUNTA($B86:$J86)+COUNTA($M86))&gt;0),"",COUNTIFS($L$5:$L86,"?*",$O$5:$O86,$O86))</f>
        <v/>
      </c>
      <c r="B86" s="61" t="n"/>
      <c r="C86" s="61" t="n"/>
      <c r="D86" s="62" t="n"/>
      <c r="E86" s="62" t="n"/>
      <c r="F86" s="63" t="n"/>
      <c r="G86" s="64" t="n"/>
      <c r="H86" s="64" t="n"/>
      <c r="I86" s="64" t="n"/>
      <c r="J86" s="64" t="n"/>
      <c r="K86" s="65">
        <f>IF(NOT((COUNTA($B86:$J86)+COUNTA($M86))&gt;0),"",IFERROR(LOOKUP(2,1/(G86:J86&lt;&gt;""),G86:J86),0))</f>
        <v/>
      </c>
      <c r="L86" s="60">
        <f>IF(K86="","",IF(K86&gt;=1,"Completado",IF(K86&gt;0,"En curso","Pendiente")))</f>
        <v/>
      </c>
      <c r="M86" s="61" t="n"/>
      <c r="N86" s="66">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c r="O86" s="67">
        <f>IF(NOT((COUNTA($B86:$J86)+COUNTA($M86))&gt;0),"",IF(ISNUMBER($D86),DATE(YEAR($D86),MONTH($D86),1),IF(ISNUMBER($E86),DATE(YEAR($E86),MONTH($E86),1),MesCiclo)))</f>
        <v/>
      </c>
      <c r="P86" s="68">
        <f>IF(OR($O86="",$O86&lt;&gt;MesCiclo),"",COUNTIF($O$5:$O86,MesCiclo))</f>
        <v/>
      </c>
    </row>
    <row r="87">
      <c r="A87" s="60">
        <f>IF(NOT((COUNTA($B87:$J87)+COUNTA($M87))&gt;0),"",COUNTIFS($L$5:$L87,"?*",$O$5:$O87,$O87))</f>
        <v/>
      </c>
      <c r="B87" s="61" t="n"/>
      <c r="C87" s="61" t="n"/>
      <c r="D87" s="62" t="n"/>
      <c r="E87" s="62" t="n"/>
      <c r="F87" s="63" t="n"/>
      <c r="G87" s="64" t="n"/>
      <c r="H87" s="64" t="n"/>
      <c r="I87" s="64" t="n"/>
      <c r="J87" s="64" t="n"/>
      <c r="K87" s="65">
        <f>IF(NOT((COUNTA($B87:$J87)+COUNTA($M87))&gt;0),"",IFERROR(LOOKUP(2,1/(G87:J87&lt;&gt;""),G87:J87),0))</f>
        <v/>
      </c>
      <c r="L87" s="60">
        <f>IF(K87="","",IF(K87&gt;=1,"Completado",IF(K87&gt;0,"En curso","Pendiente")))</f>
        <v/>
      </c>
      <c r="M87" s="61" t="n"/>
      <c r="N87" s="66">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c r="O87" s="67">
        <f>IF(NOT((COUNTA($B87:$J87)+COUNTA($M87))&gt;0),"",IF(ISNUMBER($D87),DATE(YEAR($D87),MONTH($D87),1),IF(ISNUMBER($E87),DATE(YEAR($E87),MONTH($E87),1),MesCiclo)))</f>
        <v/>
      </c>
      <c r="P87" s="68">
        <f>IF(OR($O87="",$O87&lt;&gt;MesCiclo),"",COUNTIF($O$5:$O87,MesCiclo))</f>
        <v/>
      </c>
    </row>
    <row r="88">
      <c r="A88" s="60">
        <f>IF(NOT((COUNTA($B88:$J88)+COUNTA($M88))&gt;0),"",COUNTIFS($L$5:$L88,"?*",$O$5:$O88,$O88))</f>
        <v/>
      </c>
      <c r="B88" s="61" t="n"/>
      <c r="C88" s="61" t="n"/>
      <c r="D88" s="62" t="n"/>
      <c r="E88" s="62" t="n"/>
      <c r="F88" s="63" t="n"/>
      <c r="G88" s="64" t="n"/>
      <c r="H88" s="64" t="n"/>
      <c r="I88" s="64" t="n"/>
      <c r="J88" s="64" t="n"/>
      <c r="K88" s="65">
        <f>IF(NOT((COUNTA($B88:$J88)+COUNTA($M88))&gt;0),"",IFERROR(LOOKUP(2,1/(G88:J88&lt;&gt;""),G88:J88),0))</f>
        <v/>
      </c>
      <c r="L88" s="60">
        <f>IF(K88="","",IF(K88&gt;=1,"Completado",IF(K88&gt;0,"En curso","Pendiente")))</f>
        <v/>
      </c>
      <c r="M88" s="61" t="n"/>
      <c r="N88" s="66">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c r="O88" s="67">
        <f>IF(NOT((COUNTA($B88:$J88)+COUNTA($M88))&gt;0),"",IF(ISNUMBER($D88),DATE(YEAR($D88),MONTH($D88),1),IF(ISNUMBER($E88),DATE(YEAR($E88),MONTH($E88),1),MesCiclo)))</f>
        <v/>
      </c>
      <c r="P88" s="68">
        <f>IF(OR($O88="",$O88&lt;&gt;MesCiclo),"",COUNTIF($O$5:$O88,MesCiclo))</f>
        <v/>
      </c>
    </row>
    <row r="89">
      <c r="A89" s="60">
        <f>IF(NOT((COUNTA($B89:$J89)+COUNTA($M89))&gt;0),"",COUNTIFS($L$5:$L89,"?*",$O$5:$O89,$O89))</f>
        <v/>
      </c>
      <c r="B89" s="61" t="n"/>
      <c r="C89" s="61" t="n"/>
      <c r="D89" s="62" t="n"/>
      <c r="E89" s="62" t="n"/>
      <c r="F89" s="63" t="n"/>
      <c r="G89" s="64" t="n"/>
      <c r="H89" s="64" t="n"/>
      <c r="I89" s="64" t="n"/>
      <c r="J89" s="64" t="n"/>
      <c r="K89" s="65">
        <f>IF(NOT((COUNTA($B89:$J89)+COUNTA($M89))&gt;0),"",IFERROR(LOOKUP(2,1/(G89:J89&lt;&gt;""),G89:J89),0))</f>
        <v/>
      </c>
      <c r="L89" s="60">
        <f>IF(K89="","",IF(K89&gt;=1,"Completado",IF(K89&gt;0,"En curso","Pendiente")))</f>
        <v/>
      </c>
      <c r="M89" s="61" t="n"/>
      <c r="N89" s="66">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c r="O89" s="67">
        <f>IF(NOT((COUNTA($B89:$J89)+COUNTA($M89))&gt;0),"",IF(ISNUMBER($D89),DATE(YEAR($D89),MONTH($D89),1),IF(ISNUMBER($E89),DATE(YEAR($E89),MONTH($E89),1),MesCiclo)))</f>
        <v/>
      </c>
      <c r="P89" s="68">
        <f>IF(OR($O89="",$O89&lt;&gt;MesCiclo),"",COUNTIF($O$5:$O89,MesCiclo))</f>
        <v/>
      </c>
    </row>
    <row r="90">
      <c r="A90" s="60">
        <f>IF(NOT((COUNTA($B90:$J90)+COUNTA($M90))&gt;0),"",COUNTIFS($L$5:$L90,"?*",$O$5:$O90,$O90))</f>
        <v/>
      </c>
      <c r="B90" s="61" t="n"/>
      <c r="C90" s="61" t="n"/>
      <c r="D90" s="62" t="n"/>
      <c r="E90" s="62" t="n"/>
      <c r="F90" s="63" t="n"/>
      <c r="G90" s="64" t="n"/>
      <c r="H90" s="64" t="n"/>
      <c r="I90" s="64" t="n"/>
      <c r="J90" s="64" t="n"/>
      <c r="K90" s="65">
        <f>IF(NOT((COUNTA($B90:$J90)+COUNTA($M90))&gt;0),"",IFERROR(LOOKUP(2,1/(G90:J90&lt;&gt;""),G90:J90),0))</f>
        <v/>
      </c>
      <c r="L90" s="60">
        <f>IF(K90="","",IF(K90&gt;=1,"Completado",IF(K90&gt;0,"En curso","Pendiente")))</f>
        <v/>
      </c>
      <c r="M90" s="61" t="n"/>
      <c r="N90" s="66">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c r="O90" s="67">
        <f>IF(NOT((COUNTA($B90:$J90)+COUNTA($M90))&gt;0),"",IF(ISNUMBER($D90),DATE(YEAR($D90),MONTH($D90),1),IF(ISNUMBER($E90),DATE(YEAR($E90),MONTH($E90),1),MesCiclo)))</f>
        <v/>
      </c>
      <c r="P90" s="68">
        <f>IF(OR($O90="",$O90&lt;&gt;MesCiclo),"",COUNTIF($O$5:$O90,MesCiclo))</f>
        <v/>
      </c>
    </row>
    <row r="91">
      <c r="A91" s="60">
        <f>IF(NOT((COUNTA($B91:$J91)+COUNTA($M91))&gt;0),"",COUNTIFS($L$5:$L91,"?*",$O$5:$O91,$O91))</f>
        <v/>
      </c>
      <c r="B91" s="61" t="n"/>
      <c r="C91" s="61" t="n"/>
      <c r="D91" s="62" t="n"/>
      <c r="E91" s="62" t="n"/>
      <c r="F91" s="63" t="n"/>
      <c r="G91" s="64" t="n"/>
      <c r="H91" s="64" t="n"/>
      <c r="I91" s="64" t="n"/>
      <c r="J91" s="64" t="n"/>
      <c r="K91" s="65">
        <f>IF(NOT((COUNTA($B91:$J91)+COUNTA($M91))&gt;0),"",IFERROR(LOOKUP(2,1/(G91:J91&lt;&gt;""),G91:J91),0))</f>
        <v/>
      </c>
      <c r="L91" s="60">
        <f>IF(K91="","",IF(K91&gt;=1,"Completado",IF(K91&gt;0,"En curso","Pendiente")))</f>
        <v/>
      </c>
      <c r="M91" s="61" t="n"/>
      <c r="N91" s="66">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c r="O91" s="67">
        <f>IF(NOT((COUNTA($B91:$J91)+COUNTA($M91))&gt;0),"",IF(ISNUMBER($D91),DATE(YEAR($D91),MONTH($D91),1),IF(ISNUMBER($E91),DATE(YEAR($E91),MONTH($E91),1),MesCiclo)))</f>
        <v/>
      </c>
      <c r="P91" s="68">
        <f>IF(OR($O91="",$O91&lt;&gt;MesCiclo),"",COUNTIF($O$5:$O91,MesCiclo))</f>
        <v/>
      </c>
    </row>
    <row r="92">
      <c r="A92" s="60">
        <f>IF(NOT((COUNTA($B92:$J92)+COUNTA($M92))&gt;0),"",COUNTIFS($L$5:$L92,"?*",$O$5:$O92,$O92))</f>
        <v/>
      </c>
      <c r="B92" s="61" t="n"/>
      <c r="C92" s="61" t="n"/>
      <c r="D92" s="62" t="n"/>
      <c r="E92" s="62" t="n"/>
      <c r="F92" s="63" t="n"/>
      <c r="G92" s="64" t="n"/>
      <c r="H92" s="64" t="n"/>
      <c r="I92" s="64" t="n"/>
      <c r="J92" s="64" t="n"/>
      <c r="K92" s="65">
        <f>IF(NOT((COUNTA($B92:$J92)+COUNTA($M92))&gt;0),"",IFERROR(LOOKUP(2,1/(G92:J92&lt;&gt;""),G92:J92),0))</f>
        <v/>
      </c>
      <c r="L92" s="60">
        <f>IF(K92="","",IF(K92&gt;=1,"Completado",IF(K92&gt;0,"En curso","Pendiente")))</f>
        <v/>
      </c>
      <c r="M92" s="61" t="n"/>
      <c r="N92" s="66">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c r="O92" s="67">
        <f>IF(NOT((COUNTA($B92:$J92)+COUNTA($M92))&gt;0),"",IF(ISNUMBER($D92),DATE(YEAR($D92),MONTH($D92),1),IF(ISNUMBER($E92),DATE(YEAR($E92),MONTH($E92),1),MesCiclo)))</f>
        <v/>
      </c>
      <c r="P92" s="68">
        <f>IF(OR($O92="",$O92&lt;&gt;MesCiclo),"",COUNTIF($O$5:$O92,MesCiclo))</f>
        <v/>
      </c>
    </row>
    <row r="93">
      <c r="A93" s="60">
        <f>IF(NOT((COUNTA($B93:$J93)+COUNTA($M93))&gt;0),"",COUNTIFS($L$5:$L93,"?*",$O$5:$O93,$O93))</f>
        <v/>
      </c>
      <c r="B93" s="61" t="n"/>
      <c r="C93" s="61" t="n"/>
      <c r="D93" s="62" t="n"/>
      <c r="E93" s="62" t="n"/>
      <c r="F93" s="63" t="n"/>
      <c r="G93" s="64" t="n"/>
      <c r="H93" s="64" t="n"/>
      <c r="I93" s="64" t="n"/>
      <c r="J93" s="64" t="n"/>
      <c r="K93" s="65">
        <f>IF(NOT((COUNTA($B93:$J93)+COUNTA($M93))&gt;0),"",IFERROR(LOOKUP(2,1/(G93:J93&lt;&gt;""),G93:J93),0))</f>
        <v/>
      </c>
      <c r="L93" s="60">
        <f>IF(K93="","",IF(K93&gt;=1,"Completado",IF(K93&gt;0,"En curso","Pendiente")))</f>
        <v/>
      </c>
      <c r="M93" s="61" t="n"/>
      <c r="N93" s="66">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c r="O93" s="67">
        <f>IF(NOT((COUNTA($B93:$J93)+COUNTA($M93))&gt;0),"",IF(ISNUMBER($D93),DATE(YEAR($D93),MONTH($D93),1),IF(ISNUMBER($E93),DATE(YEAR($E93),MONTH($E93),1),MesCiclo)))</f>
        <v/>
      </c>
      <c r="P93" s="68">
        <f>IF(OR($O93="",$O93&lt;&gt;MesCiclo),"",COUNTIF($O$5:$O93,MesCiclo))</f>
        <v/>
      </c>
    </row>
    <row r="94">
      <c r="A94" s="60">
        <f>IF(NOT((COUNTA($B94:$J94)+COUNTA($M94))&gt;0),"",COUNTIFS($L$5:$L94,"?*",$O$5:$O94,$O94))</f>
        <v/>
      </c>
      <c r="B94" s="61" t="n"/>
      <c r="C94" s="61" t="n"/>
      <c r="D94" s="62" t="n"/>
      <c r="E94" s="62" t="n"/>
      <c r="F94" s="63" t="n"/>
      <c r="G94" s="64" t="n"/>
      <c r="H94" s="64" t="n"/>
      <c r="I94" s="64" t="n"/>
      <c r="J94" s="64" t="n"/>
      <c r="K94" s="65">
        <f>IF(NOT((COUNTA($B94:$J94)+COUNTA($M94))&gt;0),"",IFERROR(LOOKUP(2,1/(G94:J94&lt;&gt;""),G94:J94),0))</f>
        <v/>
      </c>
      <c r="L94" s="60">
        <f>IF(K94="","",IF(K94&gt;=1,"Completado",IF(K94&gt;0,"En curso","Pendiente")))</f>
        <v/>
      </c>
      <c r="M94" s="61" t="n"/>
      <c r="N94" s="66">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c r="O94" s="67">
        <f>IF(NOT((COUNTA($B94:$J94)+COUNTA($M94))&gt;0),"",IF(ISNUMBER($D94),DATE(YEAR($D94),MONTH($D94),1),IF(ISNUMBER($E94),DATE(YEAR($E94),MONTH($E94),1),MesCiclo)))</f>
        <v/>
      </c>
      <c r="P94" s="68">
        <f>IF(OR($O94="",$O94&lt;&gt;MesCiclo),"",COUNTIF($O$5:$O94,MesCiclo))</f>
        <v/>
      </c>
    </row>
    <row r="95">
      <c r="A95" s="60">
        <f>IF(NOT((COUNTA($B95:$J95)+COUNTA($M95))&gt;0),"",COUNTIFS($L$5:$L95,"?*",$O$5:$O95,$O95))</f>
        <v/>
      </c>
      <c r="B95" s="61" t="n"/>
      <c r="C95" s="61" t="n"/>
      <c r="D95" s="62" t="n"/>
      <c r="E95" s="62" t="n"/>
      <c r="F95" s="63" t="n"/>
      <c r="G95" s="64" t="n"/>
      <c r="H95" s="64" t="n"/>
      <c r="I95" s="64" t="n"/>
      <c r="J95" s="64" t="n"/>
      <c r="K95" s="65">
        <f>IF(NOT((COUNTA($B95:$J95)+COUNTA($M95))&gt;0),"",IFERROR(LOOKUP(2,1/(G95:J95&lt;&gt;""),G95:J95),0))</f>
        <v/>
      </c>
      <c r="L95" s="60">
        <f>IF(K95="","",IF(K95&gt;=1,"Completado",IF(K95&gt;0,"En curso","Pendiente")))</f>
        <v/>
      </c>
      <c r="M95" s="61" t="n"/>
      <c r="N95" s="66">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c r="O95" s="67">
        <f>IF(NOT((COUNTA($B95:$J95)+COUNTA($M95))&gt;0),"",IF(ISNUMBER($D95),DATE(YEAR($D95),MONTH($D95),1),IF(ISNUMBER($E95),DATE(YEAR($E95),MONTH($E95),1),MesCiclo)))</f>
        <v/>
      </c>
      <c r="P95" s="68">
        <f>IF(OR($O95="",$O95&lt;&gt;MesCiclo),"",COUNTIF($O$5:$O95,MesCiclo))</f>
        <v/>
      </c>
    </row>
    <row r="96">
      <c r="A96" s="60">
        <f>IF(NOT((COUNTA($B96:$J96)+COUNTA($M96))&gt;0),"",COUNTIFS($L$5:$L96,"?*",$O$5:$O96,$O96))</f>
        <v/>
      </c>
      <c r="B96" s="61" t="n"/>
      <c r="C96" s="61" t="n"/>
      <c r="D96" s="62" t="n"/>
      <c r="E96" s="62" t="n"/>
      <c r="F96" s="63" t="n"/>
      <c r="G96" s="64" t="n"/>
      <c r="H96" s="64" t="n"/>
      <c r="I96" s="64" t="n"/>
      <c r="J96" s="64" t="n"/>
      <c r="K96" s="65">
        <f>IF(NOT((COUNTA($B96:$J96)+COUNTA($M96))&gt;0),"",IFERROR(LOOKUP(2,1/(G96:J96&lt;&gt;""),G96:J96),0))</f>
        <v/>
      </c>
      <c r="L96" s="60">
        <f>IF(K96="","",IF(K96&gt;=1,"Completado",IF(K96&gt;0,"En curso","Pendiente")))</f>
        <v/>
      </c>
      <c r="M96" s="61" t="n"/>
      <c r="N96" s="66">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c r="O96" s="67">
        <f>IF(NOT((COUNTA($B96:$J96)+COUNTA($M96))&gt;0),"",IF(ISNUMBER($D96),DATE(YEAR($D96),MONTH($D96),1),IF(ISNUMBER($E96),DATE(YEAR($E96),MONTH($E96),1),MesCiclo)))</f>
        <v/>
      </c>
      <c r="P96" s="68">
        <f>IF(OR($O96="",$O96&lt;&gt;MesCiclo),"",COUNTIF($O$5:$O96,MesCiclo))</f>
        <v/>
      </c>
    </row>
    <row r="97">
      <c r="A97" s="60">
        <f>IF(NOT((COUNTA($B97:$J97)+COUNTA($M97))&gt;0),"",COUNTIFS($L$5:$L97,"?*",$O$5:$O97,$O97))</f>
        <v/>
      </c>
      <c r="B97" s="61" t="n"/>
      <c r="C97" s="61" t="n"/>
      <c r="D97" s="62" t="n"/>
      <c r="E97" s="62" t="n"/>
      <c r="F97" s="63" t="n"/>
      <c r="G97" s="64" t="n"/>
      <c r="H97" s="64" t="n"/>
      <c r="I97" s="64" t="n"/>
      <c r="J97" s="64" t="n"/>
      <c r="K97" s="65">
        <f>IF(NOT((COUNTA($B97:$J97)+COUNTA($M97))&gt;0),"",IFERROR(LOOKUP(2,1/(G97:J97&lt;&gt;""),G97:J97),0))</f>
        <v/>
      </c>
      <c r="L97" s="60">
        <f>IF(K97="","",IF(K97&gt;=1,"Completado",IF(K97&gt;0,"En curso","Pendiente")))</f>
        <v/>
      </c>
      <c r="M97" s="61" t="n"/>
      <c r="N97" s="66">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c r="O97" s="67">
        <f>IF(NOT((COUNTA($B97:$J97)+COUNTA($M97))&gt;0),"",IF(ISNUMBER($D97),DATE(YEAR($D97),MONTH($D97),1),IF(ISNUMBER($E97),DATE(YEAR($E97),MONTH($E97),1),MesCiclo)))</f>
        <v/>
      </c>
      <c r="P97" s="68">
        <f>IF(OR($O97="",$O97&lt;&gt;MesCiclo),"",COUNTIF($O$5:$O97,MesCiclo))</f>
        <v/>
      </c>
    </row>
    <row r="98">
      <c r="A98" s="60">
        <f>IF(NOT((COUNTA($B98:$J98)+COUNTA($M98))&gt;0),"",COUNTIFS($L$5:$L98,"?*",$O$5:$O98,$O98))</f>
        <v/>
      </c>
      <c r="B98" s="61" t="n"/>
      <c r="C98" s="61" t="n"/>
      <c r="D98" s="62" t="n"/>
      <c r="E98" s="62" t="n"/>
      <c r="F98" s="63" t="n"/>
      <c r="G98" s="64" t="n"/>
      <c r="H98" s="64" t="n"/>
      <c r="I98" s="64" t="n"/>
      <c r="J98" s="64" t="n"/>
      <c r="K98" s="65">
        <f>IF(NOT((COUNTA($B98:$J98)+COUNTA($M98))&gt;0),"",IFERROR(LOOKUP(2,1/(G98:J98&lt;&gt;""),G98:J98),0))</f>
        <v/>
      </c>
      <c r="L98" s="60">
        <f>IF(K98="","",IF(K98&gt;=1,"Completado",IF(K98&gt;0,"En curso","Pendiente")))</f>
        <v/>
      </c>
      <c r="M98" s="61" t="n"/>
      <c r="N98" s="66">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c r="O98" s="67">
        <f>IF(NOT((COUNTA($B98:$J98)+COUNTA($M98))&gt;0),"",IF(ISNUMBER($D98),DATE(YEAR($D98),MONTH($D98),1),IF(ISNUMBER($E98),DATE(YEAR($E98),MONTH($E98),1),MesCiclo)))</f>
        <v/>
      </c>
      <c r="P98" s="68">
        <f>IF(OR($O98="",$O98&lt;&gt;MesCiclo),"",COUNTIF($O$5:$O98,MesCiclo))</f>
        <v/>
      </c>
    </row>
    <row r="99">
      <c r="A99" s="60">
        <f>IF(NOT((COUNTA($B99:$J99)+COUNTA($M99))&gt;0),"",COUNTIFS($L$5:$L99,"?*",$O$5:$O99,$O99))</f>
        <v/>
      </c>
      <c r="B99" s="61" t="n"/>
      <c r="C99" s="61" t="n"/>
      <c r="D99" s="62" t="n"/>
      <c r="E99" s="62" t="n"/>
      <c r="F99" s="63" t="n"/>
      <c r="G99" s="64" t="n"/>
      <c r="H99" s="64" t="n"/>
      <c r="I99" s="64" t="n"/>
      <c r="J99" s="64" t="n"/>
      <c r="K99" s="65">
        <f>IF(NOT((COUNTA($B99:$J99)+COUNTA($M99))&gt;0),"",IFERROR(LOOKUP(2,1/(G99:J99&lt;&gt;""),G99:J99),0))</f>
        <v/>
      </c>
      <c r="L99" s="60">
        <f>IF(K99="","",IF(K99&gt;=1,"Completado",IF(K99&gt;0,"En curso","Pendiente")))</f>
        <v/>
      </c>
      <c r="M99" s="61" t="n"/>
      <c r="N99" s="66">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c r="O99" s="67">
        <f>IF(NOT((COUNTA($B99:$J99)+COUNTA($M99))&gt;0),"",IF(ISNUMBER($D99),DATE(YEAR($D99),MONTH($D99),1),IF(ISNUMBER($E99),DATE(YEAR($E99),MONTH($E99),1),MesCiclo)))</f>
        <v/>
      </c>
      <c r="P99" s="68">
        <f>IF(OR($O99="",$O99&lt;&gt;MesCiclo),"",COUNTIF($O$5:$O99,MesCiclo))</f>
        <v/>
      </c>
    </row>
    <row r="100">
      <c r="A100" s="60">
        <f>IF(NOT((COUNTA($B100:$J100)+COUNTA($M100))&gt;0),"",COUNTIFS($L$5:$L100,"?*",$O$5:$O100,$O100))</f>
        <v/>
      </c>
      <c r="B100" s="61" t="n"/>
      <c r="C100" s="61" t="n"/>
      <c r="D100" s="62" t="n"/>
      <c r="E100" s="62" t="n"/>
      <c r="F100" s="63" t="n"/>
      <c r="G100" s="64" t="n"/>
      <c r="H100" s="64" t="n"/>
      <c r="I100" s="64" t="n"/>
      <c r="J100" s="64" t="n"/>
      <c r="K100" s="65">
        <f>IF(NOT((COUNTA($B100:$J100)+COUNTA($M100))&gt;0),"",IFERROR(LOOKUP(2,1/(G100:J100&lt;&gt;""),G100:J100),0))</f>
        <v/>
      </c>
      <c r="L100" s="60">
        <f>IF(K100="","",IF(K100&gt;=1,"Completado",IF(K100&gt;0,"En curso","Pendiente")))</f>
        <v/>
      </c>
      <c r="M100" s="61" t="n"/>
      <c r="N100" s="66">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c r="O100" s="67">
        <f>IF(NOT((COUNTA($B100:$J100)+COUNTA($M100))&gt;0),"",IF(ISNUMBER($D100),DATE(YEAR($D100),MONTH($D100),1),IF(ISNUMBER($E100),DATE(YEAR($E100),MONTH($E100),1),MesCiclo)))</f>
        <v/>
      </c>
      <c r="P100" s="68">
        <f>IF(OR($O100="",$O100&lt;&gt;MesCiclo),"",COUNTIF($O$5:$O100,MesCiclo))</f>
        <v/>
      </c>
    </row>
    <row r="101">
      <c r="A101" s="60">
        <f>IF(NOT((COUNTA($B101:$J101)+COUNTA($M101))&gt;0),"",COUNTIFS($L$5:$L101,"?*",$O$5:$O101,$O101))</f>
        <v/>
      </c>
      <c r="B101" s="61" t="n"/>
      <c r="C101" s="61" t="n"/>
      <c r="D101" s="62" t="n"/>
      <c r="E101" s="62" t="n"/>
      <c r="F101" s="63" t="n"/>
      <c r="G101" s="64" t="n"/>
      <c r="H101" s="64" t="n"/>
      <c r="I101" s="64" t="n"/>
      <c r="J101" s="64" t="n"/>
      <c r="K101" s="65">
        <f>IF(NOT((COUNTA($B101:$J101)+COUNTA($M101))&gt;0),"",IFERROR(LOOKUP(2,1/(G101:J101&lt;&gt;""),G101:J101),0))</f>
        <v/>
      </c>
      <c r="L101" s="60">
        <f>IF(K101="","",IF(K101&gt;=1,"Completado",IF(K101&gt;0,"En curso","Pendiente")))</f>
        <v/>
      </c>
      <c r="M101" s="61" t="n"/>
      <c r="N101" s="66">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c r="O101" s="67">
        <f>IF(NOT((COUNTA($B101:$J101)+COUNTA($M101))&gt;0),"",IF(ISNUMBER($D101),DATE(YEAR($D101),MONTH($D101),1),IF(ISNUMBER($E101),DATE(YEAR($E101),MONTH($E101),1),MesCiclo)))</f>
        <v/>
      </c>
      <c r="P101" s="68">
        <f>IF(OR($O101="",$O101&lt;&gt;MesCiclo),"",COUNTIF($O$5:$O101,MesCiclo))</f>
        <v/>
      </c>
    </row>
    <row r="102">
      <c r="A102" s="60">
        <f>IF(NOT((COUNTA($B102:$J102)+COUNTA($M102))&gt;0),"",COUNTIFS($L$5:$L102,"?*",$O$5:$O102,$O102))</f>
        <v/>
      </c>
      <c r="B102" s="61" t="n"/>
      <c r="C102" s="61" t="n"/>
      <c r="D102" s="62" t="n"/>
      <c r="E102" s="62" t="n"/>
      <c r="F102" s="63" t="n"/>
      <c r="G102" s="64" t="n"/>
      <c r="H102" s="64" t="n"/>
      <c r="I102" s="64" t="n"/>
      <c r="J102" s="64" t="n"/>
      <c r="K102" s="65">
        <f>IF(NOT((COUNTA($B102:$J102)+COUNTA($M102))&gt;0),"",IFERROR(LOOKUP(2,1/(G102:J102&lt;&gt;""),G102:J102),0))</f>
        <v/>
      </c>
      <c r="L102" s="60">
        <f>IF(K102="","",IF(K102&gt;=1,"Completado",IF(K102&gt;0,"En curso","Pendiente")))</f>
        <v/>
      </c>
      <c r="M102" s="61" t="n"/>
      <c r="N102" s="66">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c r="O102" s="67">
        <f>IF(NOT((COUNTA($B102:$J102)+COUNTA($M102))&gt;0),"",IF(ISNUMBER($D102),DATE(YEAR($D102),MONTH($D102),1),IF(ISNUMBER($E102),DATE(YEAR($E102),MONTH($E102),1),MesCiclo)))</f>
        <v/>
      </c>
      <c r="P102" s="68">
        <f>IF(OR($O102="",$O102&lt;&gt;MesCiclo),"",COUNTIF($O$5:$O102,MesCiclo))</f>
        <v/>
      </c>
    </row>
    <row r="103">
      <c r="A103" s="60">
        <f>IF(NOT((COUNTA($B103:$J103)+COUNTA($M103))&gt;0),"",COUNTIFS($L$5:$L103,"?*",$O$5:$O103,$O103))</f>
        <v/>
      </c>
      <c r="B103" s="61" t="n"/>
      <c r="C103" s="61" t="n"/>
      <c r="D103" s="62" t="n"/>
      <c r="E103" s="62" t="n"/>
      <c r="F103" s="63" t="n"/>
      <c r="G103" s="64" t="n"/>
      <c r="H103" s="64" t="n"/>
      <c r="I103" s="64" t="n"/>
      <c r="J103" s="64" t="n"/>
      <c r="K103" s="65">
        <f>IF(NOT((COUNTA($B103:$J103)+COUNTA($M103))&gt;0),"",IFERROR(LOOKUP(2,1/(G103:J103&lt;&gt;""),G103:J103),0))</f>
        <v/>
      </c>
      <c r="L103" s="60">
        <f>IF(K103="","",IF(K103&gt;=1,"Completado",IF(K103&gt;0,"En curso","Pendiente")))</f>
        <v/>
      </c>
      <c r="M103" s="61" t="n"/>
      <c r="N103" s="66">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c r="O103" s="67">
        <f>IF(NOT((COUNTA($B103:$J103)+COUNTA($M103))&gt;0),"",IF(ISNUMBER($D103),DATE(YEAR($D103),MONTH($D103),1),IF(ISNUMBER($E103),DATE(YEAR($E103),MONTH($E103),1),MesCiclo)))</f>
        <v/>
      </c>
      <c r="P103" s="68">
        <f>IF(OR($O103="",$O103&lt;&gt;MesCiclo),"",COUNTIF($O$5:$O103,MesCiclo))</f>
        <v/>
      </c>
    </row>
    <row r="104">
      <c r="A104" s="60">
        <f>IF(NOT((COUNTA($B104:$J104)+COUNTA($M104))&gt;0),"",COUNTIFS($L$5:$L104,"?*",$O$5:$O104,$O104))</f>
        <v/>
      </c>
      <c r="B104" s="61" t="n"/>
      <c r="C104" s="61" t="n"/>
      <c r="D104" s="62" t="n"/>
      <c r="E104" s="62" t="n"/>
      <c r="F104" s="63" t="n"/>
      <c r="G104" s="64" t="n"/>
      <c r="H104" s="64" t="n"/>
      <c r="I104" s="64" t="n"/>
      <c r="J104" s="64" t="n"/>
      <c r="K104" s="65">
        <f>IF(NOT((COUNTA($B104:$J104)+COUNTA($M104))&gt;0),"",IFERROR(LOOKUP(2,1/(G104:J104&lt;&gt;""),G104:J104),0))</f>
        <v/>
      </c>
      <c r="L104" s="60">
        <f>IF(K104="","",IF(K104&gt;=1,"Completado",IF(K104&gt;0,"En curso","Pendiente")))</f>
        <v/>
      </c>
      <c r="M104" s="61" t="n"/>
      <c r="N104" s="66">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c r="O104" s="67">
        <f>IF(NOT((COUNTA($B104:$J104)+COUNTA($M104))&gt;0),"",IF(ISNUMBER($D104),DATE(YEAR($D104),MONTH($D104),1),IF(ISNUMBER($E104),DATE(YEAR($E104),MONTH($E104),1),MesCiclo)))</f>
        <v/>
      </c>
      <c r="P104" s="68">
        <f>IF(OR($O104="",$O104&lt;&gt;MesCiclo),"",COUNTIF($O$5:$O104,MesCiclo))</f>
        <v/>
      </c>
    </row>
    <row r="105">
      <c r="A105" s="60">
        <f>IF(NOT((COUNTA($B105:$J105)+COUNTA($M105))&gt;0),"",COUNTIFS($L$5:$L105,"?*",$O$5:$O105,$O105))</f>
        <v/>
      </c>
      <c r="B105" s="61" t="n"/>
      <c r="C105" s="61" t="n"/>
      <c r="D105" s="62" t="n"/>
      <c r="E105" s="62" t="n"/>
      <c r="F105" s="63" t="n"/>
      <c r="G105" s="64" t="n"/>
      <c r="H105" s="64" t="n"/>
      <c r="I105" s="64" t="n"/>
      <c r="J105" s="64" t="n"/>
      <c r="K105" s="65">
        <f>IF(NOT((COUNTA($B105:$J105)+COUNTA($M105))&gt;0),"",IFERROR(LOOKUP(2,1/(G105:J105&lt;&gt;""),G105:J105),0))</f>
        <v/>
      </c>
      <c r="L105" s="60">
        <f>IF(K105="","",IF(K105&gt;=1,"Completado",IF(K105&gt;0,"En curso","Pendiente")))</f>
        <v/>
      </c>
      <c r="M105" s="61" t="n"/>
      <c r="N105" s="66">
        <f>IF(NOT((COUNTA($B105:$J105)+COUNTA($M105))&gt;0),"",IF((IF(B105="","Macroactividad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 OK","⚠ "&amp;LEFT(IF(B105="","Macroactividad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",""),LEN(IF(B105="","Macroactividad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",""))-3)))</f>
        <v/>
      </c>
      <c r="O105" s="67">
        <f>IF(NOT((COUNTA($B105:$J105)+COUNTA($M105))&gt;0),"",IF(ISNUMBER($D105),DATE(YEAR($D105),MONTH($D105),1),IF(ISNUMBER($E105),DATE(YEAR($E105),MONTH($E105),1),MesCiclo)))</f>
        <v/>
      </c>
      <c r="P105" s="68">
        <f>IF(OR($O105="",$O105&lt;&gt;MesCiclo),"",COUNTIF($O$5:$O105,MesCiclo))</f>
        <v/>
      </c>
    </row>
    <row r="106">
      <c r="A106" s="60">
        <f>IF(NOT((COUNTA($B106:$J106)+COUNTA($M106))&gt;0),"",COUNTIFS($L$5:$L106,"?*",$O$5:$O106,$O106))</f>
        <v/>
      </c>
      <c r="B106" s="61" t="n"/>
      <c r="C106" s="61" t="n"/>
      <c r="D106" s="62" t="n"/>
      <c r="E106" s="62" t="n"/>
      <c r="F106" s="63" t="n"/>
      <c r="G106" s="64" t="n"/>
      <c r="H106" s="64" t="n"/>
      <c r="I106" s="64" t="n"/>
      <c r="J106" s="64" t="n"/>
      <c r="K106" s="65">
        <f>IF(NOT((COUNTA($B106:$J106)+COUNTA($M106))&gt;0),"",IFERROR(LOOKUP(2,1/(G106:J106&lt;&gt;""),G106:J106),0))</f>
        <v/>
      </c>
      <c r="L106" s="60">
        <f>IF(K106="","",IF(K106&gt;=1,"Completado",IF(K106&gt;0,"En curso","Pendiente")))</f>
        <v/>
      </c>
      <c r="M106" s="61" t="n"/>
      <c r="N106" s="66">
        <f>IF(NOT((COUNTA($B106:$J106)+COUNTA($M106))&gt;0),"",IF((IF(B106="","Macroactividad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 OK","⚠ "&amp;LEFT(IF(B106="","Macroactividad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",""),LEN(IF(B106="","Macroactividad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",""))-3)))</f>
        <v/>
      </c>
      <c r="O106" s="67">
        <f>IF(NOT((COUNTA($B106:$J106)+COUNTA($M106))&gt;0),"",IF(ISNUMBER($D106),DATE(YEAR($D106),MONTH($D106),1),IF(ISNUMBER($E106),DATE(YEAR($E106),MONTH($E106),1),MesCiclo)))</f>
        <v/>
      </c>
      <c r="P106" s="68">
        <f>IF(OR($O106="",$O106&lt;&gt;MesCiclo),"",COUNTIF($O$5:$O106,MesCiclo))</f>
        <v/>
      </c>
    </row>
    <row r="107">
      <c r="A107" s="60">
        <f>IF(NOT((COUNTA($B107:$J107)+COUNTA($M107))&gt;0),"",COUNTIFS($L$5:$L107,"?*",$O$5:$O107,$O107))</f>
        <v/>
      </c>
      <c r="B107" s="61" t="n"/>
      <c r="C107" s="61" t="n"/>
      <c r="D107" s="62" t="n"/>
      <c r="E107" s="62" t="n"/>
      <c r="F107" s="63" t="n"/>
      <c r="G107" s="64" t="n"/>
      <c r="H107" s="64" t="n"/>
      <c r="I107" s="64" t="n"/>
      <c r="J107" s="64" t="n"/>
      <c r="K107" s="65">
        <f>IF(NOT((COUNTA($B107:$J107)+COUNTA($M107))&gt;0),"",IFERROR(LOOKUP(2,1/(G107:J107&lt;&gt;""),G107:J107),0))</f>
        <v/>
      </c>
      <c r="L107" s="60">
        <f>IF(K107="","",IF(K107&gt;=1,"Completado",IF(K107&gt;0,"En curso","Pendiente")))</f>
        <v/>
      </c>
      <c r="M107" s="61" t="n"/>
      <c r="N107" s="66">
        <f>IF(NOT((COUNTA($B107:$J107)+COUNTA($M107))&gt;0),"",IF((IF(B107="","Macroactividad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 OK","⚠ "&amp;LEFT(IF(B107="","Macroactividad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",""),LEN(IF(B107="","Macroactividad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",""))-3)))</f>
        <v/>
      </c>
      <c r="O107" s="67">
        <f>IF(NOT((COUNTA($B107:$J107)+COUNTA($M107))&gt;0),"",IF(ISNUMBER($D107),DATE(YEAR($D107),MONTH($D107),1),IF(ISNUMBER($E107),DATE(YEAR($E107),MONTH($E107),1),MesCiclo)))</f>
        <v/>
      </c>
      <c r="P107" s="68">
        <f>IF(OR($O107="",$O107&lt;&gt;MesCiclo),"",COUNTIF($O$5:$O107,MesCiclo))</f>
        <v/>
      </c>
    </row>
    <row r="108">
      <c r="A108" s="60">
        <f>IF(NOT((COUNTA($B108:$J108)+COUNTA($M108))&gt;0),"",COUNTIFS($L$5:$L108,"?*",$O$5:$O108,$O108))</f>
        <v/>
      </c>
      <c r="B108" s="61" t="n"/>
      <c r="C108" s="61" t="n"/>
      <c r="D108" s="62" t="n"/>
      <c r="E108" s="62" t="n"/>
      <c r="F108" s="63" t="n"/>
      <c r="G108" s="64" t="n"/>
      <c r="H108" s="64" t="n"/>
      <c r="I108" s="64" t="n"/>
      <c r="J108" s="64" t="n"/>
      <c r="K108" s="65">
        <f>IF(NOT((COUNTA($B108:$J108)+COUNTA($M108))&gt;0),"",IFERROR(LOOKUP(2,1/(G108:J108&lt;&gt;""),G108:J108),0))</f>
        <v/>
      </c>
      <c r="L108" s="60">
        <f>IF(K108="","",IF(K108&gt;=1,"Completado",IF(K108&gt;0,"En curso","Pendiente")))</f>
        <v/>
      </c>
      <c r="M108" s="61" t="n"/>
      <c r="N108" s="66">
        <f>IF(NOT((COUNTA($B108:$J108)+COUNTA($M108))&gt;0),"",IF((IF(B108="","Macroactividad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 OK","⚠ "&amp;LEFT(IF(B108="","Macroactividad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",""),LEN(IF(B108="","Macroactividad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",""))-3)))</f>
        <v/>
      </c>
      <c r="O108" s="67">
        <f>IF(NOT((COUNTA($B108:$J108)+COUNTA($M108))&gt;0),"",IF(ISNUMBER($D108),DATE(YEAR($D108),MONTH($D108),1),IF(ISNUMBER($E108),DATE(YEAR($E108),MONTH($E108),1),MesCiclo)))</f>
        <v/>
      </c>
      <c r="P108" s="68">
        <f>IF(OR($O108="",$O108&lt;&gt;MesCiclo),"",COUNTIF($O$5:$O108,MesCiclo))</f>
        <v/>
      </c>
    </row>
    <row r="109">
      <c r="A109" s="60">
        <f>IF(NOT((COUNTA($B109:$J109)+COUNTA($M109))&gt;0),"",COUNTIFS($L$5:$L109,"?*",$O$5:$O109,$O109))</f>
        <v/>
      </c>
      <c r="B109" s="61" t="n"/>
      <c r="C109" s="61" t="n"/>
      <c r="D109" s="62" t="n"/>
      <c r="E109" s="62" t="n"/>
      <c r="F109" s="63" t="n"/>
      <c r="G109" s="64" t="n"/>
      <c r="H109" s="64" t="n"/>
      <c r="I109" s="64" t="n"/>
      <c r="J109" s="64" t="n"/>
      <c r="K109" s="65">
        <f>IF(NOT((COUNTA($B109:$J109)+COUNTA($M109))&gt;0),"",IFERROR(LOOKUP(2,1/(G109:J109&lt;&gt;""),G109:J109),0))</f>
        <v/>
      </c>
      <c r="L109" s="60">
        <f>IF(K109="","",IF(K109&gt;=1,"Completado",IF(K109&gt;0,"En curso","Pendiente")))</f>
        <v/>
      </c>
      <c r="M109" s="61" t="n"/>
      <c r="N109" s="66">
        <f>IF(NOT((COUNTA($B109:$J109)+COUNTA($M109))&gt;0),"",IF((IF(B109="","Macroactividad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 OK","⚠ "&amp;LEFT(IF(B109="","Macroactividad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",""),LEN(IF(B109="","Macroactividad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",""))-3)))</f>
        <v/>
      </c>
      <c r="O109" s="67">
        <f>IF(NOT((COUNTA($B109:$J109)+COUNTA($M109))&gt;0),"",IF(ISNUMBER($D109),DATE(YEAR($D109),MONTH($D109),1),IF(ISNUMBER($E109),DATE(YEAR($E109),MONTH($E109),1),MesCiclo)))</f>
        <v/>
      </c>
      <c r="P109" s="68">
        <f>IF(OR($O109="",$O109&lt;&gt;MesCiclo),"",COUNTIF($O$5:$O109,MesCiclo))</f>
        <v/>
      </c>
    </row>
    <row r="110">
      <c r="A110" s="60">
        <f>IF(NOT((COUNTA($B110:$J110)+COUNTA($M110))&gt;0),"",COUNTIFS($L$5:$L110,"?*",$O$5:$O110,$O110))</f>
        <v/>
      </c>
      <c r="B110" s="61" t="n"/>
      <c r="C110" s="61" t="n"/>
      <c r="D110" s="62" t="n"/>
      <c r="E110" s="62" t="n"/>
      <c r="F110" s="63" t="n"/>
      <c r="G110" s="64" t="n"/>
      <c r="H110" s="64" t="n"/>
      <c r="I110" s="64" t="n"/>
      <c r="J110" s="64" t="n"/>
      <c r="K110" s="65">
        <f>IF(NOT((COUNTA($B110:$J110)+COUNTA($M110))&gt;0),"",IFERROR(LOOKUP(2,1/(G110:J110&lt;&gt;""),G110:J110),0))</f>
        <v/>
      </c>
      <c r="L110" s="60">
        <f>IF(K110="","",IF(K110&gt;=1,"Completado",IF(K110&gt;0,"En curso","Pendiente")))</f>
        <v/>
      </c>
      <c r="M110" s="61" t="n"/>
      <c r="N110" s="66">
        <f>IF(NOT((COUNTA($B110:$J110)+COUNTA($M110))&gt;0),"",IF((IF(B110="","Macroactividad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 OK","⚠ "&amp;LEFT(IF(B110="","Macroactividad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",""),LEN(IF(B110="","Macroactividad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",""))-3)))</f>
        <v/>
      </c>
      <c r="O110" s="67">
        <f>IF(NOT((COUNTA($B110:$J110)+COUNTA($M110))&gt;0),"",IF(ISNUMBER($D110),DATE(YEAR($D110),MONTH($D110),1),IF(ISNUMBER($E110),DATE(YEAR($E110),MONTH($E110),1),MesCiclo)))</f>
        <v/>
      </c>
      <c r="P110" s="68">
        <f>IF(OR($O110="",$O110&lt;&gt;MesCiclo),"",COUNTIF($O$5:$O110,MesCiclo))</f>
        <v/>
      </c>
    </row>
    <row r="111">
      <c r="A111" s="60">
        <f>IF(NOT((COUNTA($B111:$J111)+COUNTA($M111))&gt;0),"",COUNTIFS($L$5:$L111,"?*",$O$5:$O111,$O111))</f>
        <v/>
      </c>
      <c r="B111" s="61" t="n"/>
      <c r="C111" s="61" t="n"/>
      <c r="D111" s="62" t="n"/>
      <c r="E111" s="62" t="n"/>
      <c r="F111" s="63" t="n"/>
      <c r="G111" s="64" t="n"/>
      <c r="H111" s="64" t="n"/>
      <c r="I111" s="64" t="n"/>
      <c r="J111" s="64" t="n"/>
      <c r="K111" s="65">
        <f>IF(NOT((COUNTA($B111:$J111)+COUNTA($M111))&gt;0),"",IFERROR(LOOKUP(2,1/(G111:J111&lt;&gt;""),G111:J111),0))</f>
        <v/>
      </c>
      <c r="L111" s="60">
        <f>IF(K111="","",IF(K111&gt;=1,"Completado",IF(K111&gt;0,"En curso","Pendiente")))</f>
        <v/>
      </c>
      <c r="M111" s="61" t="n"/>
      <c r="N111" s="66">
        <f>IF(NOT((COUNTA($B111:$J111)+COUNTA($M111))&gt;0),"",IF((IF(B111="","Macroactividad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 OK","⚠ "&amp;LEFT(IF(B111="","Macroactividad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",""),LEN(IF(B111="","Macroactividad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",""))-3)))</f>
        <v/>
      </c>
      <c r="O111" s="67">
        <f>IF(NOT((COUNTA($B111:$J111)+COUNTA($M111))&gt;0),"",IF(ISNUMBER($D111),DATE(YEAR($D111),MONTH($D111),1),IF(ISNUMBER($E111),DATE(YEAR($E111),MONTH($E111),1),MesCiclo)))</f>
        <v/>
      </c>
      <c r="P111" s="68">
        <f>IF(OR($O111="",$O111&lt;&gt;MesCiclo),"",COUNTIF($O$5:$O111,MesCiclo))</f>
        <v/>
      </c>
    </row>
    <row r="112">
      <c r="A112" s="60">
        <f>IF(NOT((COUNTA($B112:$J112)+COUNTA($M112))&gt;0),"",COUNTIFS($L$5:$L112,"?*",$O$5:$O112,$O112))</f>
        <v/>
      </c>
      <c r="B112" s="61" t="n"/>
      <c r="C112" s="61" t="n"/>
      <c r="D112" s="62" t="n"/>
      <c r="E112" s="62" t="n"/>
      <c r="F112" s="63" t="n"/>
      <c r="G112" s="64" t="n"/>
      <c r="H112" s="64" t="n"/>
      <c r="I112" s="64" t="n"/>
      <c r="J112" s="64" t="n"/>
      <c r="K112" s="65">
        <f>IF(NOT((COUNTA($B112:$J112)+COUNTA($M112))&gt;0),"",IFERROR(LOOKUP(2,1/(G112:J112&lt;&gt;""),G112:J112),0))</f>
        <v/>
      </c>
      <c r="L112" s="60">
        <f>IF(K112="","",IF(K112&gt;=1,"Completado",IF(K112&gt;0,"En curso","Pendiente")))</f>
        <v/>
      </c>
      <c r="M112" s="61" t="n"/>
      <c r="N112" s="66">
        <f>IF(NOT((COUNTA($B112:$J112)+COUNTA($M112))&gt;0),"",IF((IF(B112="","Macroactividad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 OK","⚠ "&amp;LEFT(IF(B112="","Macroactividad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",""),LEN(IF(B112="","Macroactividad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",""))-3)))</f>
        <v/>
      </c>
      <c r="O112" s="67">
        <f>IF(NOT((COUNTA($B112:$J112)+COUNTA($M112))&gt;0),"",IF(ISNUMBER($D112),DATE(YEAR($D112),MONTH($D112),1),IF(ISNUMBER($E112),DATE(YEAR($E112),MONTH($E112),1),MesCiclo)))</f>
        <v/>
      </c>
      <c r="P112" s="68">
        <f>IF(OR($O112="",$O112&lt;&gt;MesCiclo),"",COUNTIF($O$5:$O112,MesCiclo))</f>
        <v/>
      </c>
    </row>
    <row r="113">
      <c r="A113" s="60">
        <f>IF(NOT((COUNTA($B113:$J113)+COUNTA($M113))&gt;0),"",COUNTIFS($L$5:$L113,"?*",$O$5:$O113,$O113))</f>
        <v/>
      </c>
      <c r="B113" s="61" t="n"/>
      <c r="C113" s="61" t="n"/>
      <c r="D113" s="62" t="n"/>
      <c r="E113" s="62" t="n"/>
      <c r="F113" s="63" t="n"/>
      <c r="G113" s="64" t="n"/>
      <c r="H113" s="64" t="n"/>
      <c r="I113" s="64" t="n"/>
      <c r="J113" s="64" t="n"/>
      <c r="K113" s="65">
        <f>IF(NOT((COUNTA($B113:$J113)+COUNTA($M113))&gt;0),"",IFERROR(LOOKUP(2,1/(G113:J113&lt;&gt;""),G113:J113),0))</f>
        <v/>
      </c>
      <c r="L113" s="60">
        <f>IF(K113="","",IF(K113&gt;=1,"Completado",IF(K113&gt;0,"En curso","Pendiente")))</f>
        <v/>
      </c>
      <c r="M113" s="61" t="n"/>
      <c r="N113" s="66">
        <f>IF(NOT((COUNTA($B113:$J113)+COUNTA($M113))&gt;0),"",IF((IF(B113="","Macroactividad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 OK","⚠ "&amp;LEFT(IF(B113="","Macroactividad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",""),LEN(IF(B113="","Macroactividad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",""))-3)))</f>
        <v/>
      </c>
      <c r="O113" s="67">
        <f>IF(NOT((COUNTA($B113:$J113)+COUNTA($M113))&gt;0),"",IF(ISNUMBER($D113),DATE(YEAR($D113),MONTH($D113),1),IF(ISNUMBER($E113),DATE(YEAR($E113),MONTH($E113),1),MesCiclo)))</f>
        <v/>
      </c>
      <c r="P113" s="68">
        <f>IF(OR($O113="",$O113&lt;&gt;MesCiclo),"",COUNTIF($O$5:$O113,MesCiclo))</f>
        <v/>
      </c>
    </row>
    <row r="114">
      <c r="A114" s="60">
        <f>IF(NOT((COUNTA($B114:$J114)+COUNTA($M114))&gt;0),"",COUNTIFS($L$5:$L114,"?*",$O$5:$O114,$O114))</f>
        <v/>
      </c>
      <c r="B114" s="61" t="n"/>
      <c r="C114" s="61" t="n"/>
      <c r="D114" s="62" t="n"/>
      <c r="E114" s="62" t="n"/>
      <c r="F114" s="63" t="n"/>
      <c r="G114" s="64" t="n"/>
      <c r="H114" s="64" t="n"/>
      <c r="I114" s="64" t="n"/>
      <c r="J114" s="64" t="n"/>
      <c r="K114" s="65">
        <f>IF(NOT((COUNTA($B114:$J114)+COUNTA($M114))&gt;0),"",IFERROR(LOOKUP(2,1/(G114:J114&lt;&gt;""),G114:J114),0))</f>
        <v/>
      </c>
      <c r="L114" s="60">
        <f>IF(K114="","",IF(K114&gt;=1,"Completado",IF(K114&gt;0,"En curso","Pendiente")))</f>
        <v/>
      </c>
      <c r="M114" s="61" t="n"/>
      <c r="N114" s="66">
        <f>IF(NOT((COUNTA($B114:$J114)+COUNTA($M114))&gt;0),"",IF((IF(B114="","Macroactividad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 OK","⚠ "&amp;LEFT(IF(B114="","Macroactividad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",""),LEN(IF(B114="","Macroactividad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",""))-3)))</f>
        <v/>
      </c>
      <c r="O114" s="67">
        <f>IF(NOT((COUNTA($B114:$J114)+COUNTA($M114))&gt;0),"",IF(ISNUMBER($D114),DATE(YEAR($D114),MONTH($D114),1),IF(ISNUMBER($E114),DATE(YEAR($E114),MONTH($E114),1),MesCiclo)))</f>
        <v/>
      </c>
      <c r="P114" s="68">
        <f>IF(OR($O114="",$O114&lt;&gt;MesCiclo),"",COUNTIF($O$5:$O114,MesCiclo))</f>
        <v/>
      </c>
    </row>
    <row r="115">
      <c r="A115" s="60">
        <f>IF(NOT((COUNTA($B115:$J115)+COUNTA($M115))&gt;0),"",COUNTIFS($L$5:$L115,"?*",$O$5:$O115,$O115))</f>
        <v/>
      </c>
      <c r="B115" s="61" t="n"/>
      <c r="C115" s="61" t="n"/>
      <c r="D115" s="62" t="n"/>
      <c r="E115" s="62" t="n"/>
      <c r="F115" s="63" t="n"/>
      <c r="G115" s="64" t="n"/>
      <c r="H115" s="64" t="n"/>
      <c r="I115" s="64" t="n"/>
      <c r="J115" s="64" t="n"/>
      <c r="K115" s="65">
        <f>IF(NOT((COUNTA($B115:$J115)+COUNTA($M115))&gt;0),"",IFERROR(LOOKUP(2,1/(G115:J115&lt;&gt;""),G115:J115),0))</f>
        <v/>
      </c>
      <c r="L115" s="60">
        <f>IF(K115="","",IF(K115&gt;=1,"Completado",IF(K115&gt;0,"En curso","Pendiente")))</f>
        <v/>
      </c>
      <c r="M115" s="61" t="n"/>
      <c r="N115" s="66">
        <f>IF(NOT((COUNTA($B115:$J115)+COUNTA($M115))&gt;0),"",IF((IF(B115="","Macroactividad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 OK","⚠ "&amp;LEFT(IF(B115="","Macroactividad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",""),LEN(IF(B115="","Macroactividad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",""))-3)))</f>
        <v/>
      </c>
      <c r="O115" s="67">
        <f>IF(NOT((COUNTA($B115:$J115)+COUNTA($M115))&gt;0),"",IF(ISNUMBER($D115),DATE(YEAR($D115),MONTH($D115),1),IF(ISNUMBER($E115),DATE(YEAR($E115),MONTH($E115),1),MesCiclo)))</f>
        <v/>
      </c>
      <c r="P115" s="68">
        <f>IF(OR($O115="",$O115&lt;&gt;MesCiclo),"",COUNTIF($O$5:$O115,MesCiclo))</f>
        <v/>
      </c>
    </row>
    <row r="116">
      <c r="A116" s="60">
        <f>IF(NOT((COUNTA($B116:$J116)+COUNTA($M116))&gt;0),"",COUNTIFS($L$5:$L116,"?*",$O$5:$O116,$O116))</f>
        <v/>
      </c>
      <c r="B116" s="61" t="n"/>
      <c r="C116" s="61" t="n"/>
      <c r="D116" s="62" t="n"/>
      <c r="E116" s="62" t="n"/>
      <c r="F116" s="63" t="n"/>
      <c r="G116" s="64" t="n"/>
      <c r="H116" s="64" t="n"/>
      <c r="I116" s="64" t="n"/>
      <c r="J116" s="64" t="n"/>
      <c r="K116" s="65">
        <f>IF(NOT((COUNTA($B116:$J116)+COUNTA($M116))&gt;0),"",IFERROR(LOOKUP(2,1/(G116:J116&lt;&gt;""),G116:J116),0))</f>
        <v/>
      </c>
      <c r="L116" s="60">
        <f>IF(K116="","",IF(K116&gt;=1,"Completado",IF(K116&gt;0,"En curso","Pendiente")))</f>
        <v/>
      </c>
      <c r="M116" s="61" t="n"/>
      <c r="N116" s="66">
        <f>IF(NOT((COUNTA($B116:$J116)+COUNTA($M116))&gt;0),"",IF((IF(B116="","Macroactividad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 OK","⚠ "&amp;LEFT(IF(B116="","Macroactividad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",""),LEN(IF(B116="","Macroactividad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",""))-3)))</f>
        <v/>
      </c>
      <c r="O116" s="67">
        <f>IF(NOT((COUNTA($B116:$J116)+COUNTA($M116))&gt;0),"",IF(ISNUMBER($D116),DATE(YEAR($D116),MONTH($D116),1),IF(ISNUMBER($E116),DATE(YEAR($E116),MONTH($E116),1),MesCiclo)))</f>
        <v/>
      </c>
      <c r="P116" s="68">
        <f>IF(OR($O116="",$O116&lt;&gt;MesCiclo),"",COUNTIF($O$5:$O116,MesCiclo))</f>
        <v/>
      </c>
    </row>
    <row r="117">
      <c r="A117" s="60">
        <f>IF(NOT((COUNTA($B117:$J117)+COUNTA($M117))&gt;0),"",COUNTIFS($L$5:$L117,"?*",$O$5:$O117,$O117))</f>
        <v/>
      </c>
      <c r="B117" s="61" t="n"/>
      <c r="C117" s="61" t="n"/>
      <c r="D117" s="62" t="n"/>
      <c r="E117" s="62" t="n"/>
      <c r="F117" s="63" t="n"/>
      <c r="G117" s="64" t="n"/>
      <c r="H117" s="64" t="n"/>
      <c r="I117" s="64" t="n"/>
      <c r="J117" s="64" t="n"/>
      <c r="K117" s="65">
        <f>IF(NOT((COUNTA($B117:$J117)+COUNTA($M117))&gt;0),"",IFERROR(LOOKUP(2,1/(G117:J117&lt;&gt;""),G117:J117),0))</f>
        <v/>
      </c>
      <c r="L117" s="60">
        <f>IF(K117="","",IF(K117&gt;=1,"Completado",IF(K117&gt;0,"En curso","Pendiente")))</f>
        <v/>
      </c>
      <c r="M117" s="61" t="n"/>
      <c r="N117" s="66">
        <f>IF(NOT((COUNTA($B117:$J117)+COUNTA($M117))&gt;0),"",IF((IF(B117="","Macroactividad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 OK","⚠ "&amp;LEFT(IF(B117="","Macroactividad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",""),LEN(IF(B117="","Macroactividad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",""))-3)))</f>
        <v/>
      </c>
      <c r="O117" s="67">
        <f>IF(NOT((COUNTA($B117:$J117)+COUNTA($M117))&gt;0),"",IF(ISNUMBER($D117),DATE(YEAR($D117),MONTH($D117),1),IF(ISNUMBER($E117),DATE(YEAR($E117),MONTH($E117),1),MesCiclo)))</f>
        <v/>
      </c>
      <c r="P117" s="68">
        <f>IF(OR($O117="",$O117&lt;&gt;MesCiclo),"",COUNTIF($O$5:$O117,MesCiclo))</f>
        <v/>
      </c>
    </row>
    <row r="118">
      <c r="A118" s="60">
        <f>IF(NOT((COUNTA($B118:$J118)+COUNTA($M118))&gt;0),"",COUNTIFS($L$5:$L118,"?*",$O$5:$O118,$O118))</f>
        <v/>
      </c>
      <c r="B118" s="61" t="n"/>
      <c r="C118" s="61" t="n"/>
      <c r="D118" s="62" t="n"/>
      <c r="E118" s="62" t="n"/>
      <c r="F118" s="63" t="n"/>
      <c r="G118" s="64" t="n"/>
      <c r="H118" s="64" t="n"/>
      <c r="I118" s="64" t="n"/>
      <c r="J118" s="64" t="n"/>
      <c r="K118" s="65">
        <f>IF(NOT((COUNTA($B118:$J118)+COUNTA($M118))&gt;0),"",IFERROR(LOOKUP(2,1/(G118:J118&lt;&gt;""),G118:J118),0))</f>
        <v/>
      </c>
      <c r="L118" s="60">
        <f>IF(K118="","",IF(K118&gt;=1,"Completado",IF(K118&gt;0,"En curso","Pendiente")))</f>
        <v/>
      </c>
      <c r="M118" s="61" t="n"/>
      <c r="N118" s="66">
        <f>IF(NOT((COUNTA($B118:$J118)+COUNTA($M118))&gt;0),"",IF((IF(B118="","Macroactividad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 OK","⚠ "&amp;LEFT(IF(B118="","Macroactividad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",""),LEN(IF(B118="","Macroactividad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",""))-3)))</f>
        <v/>
      </c>
      <c r="O118" s="67">
        <f>IF(NOT((COUNTA($B118:$J118)+COUNTA($M118))&gt;0),"",IF(ISNUMBER($D118),DATE(YEAR($D118),MONTH($D118),1),IF(ISNUMBER($E118),DATE(YEAR($E118),MONTH($E118),1),MesCiclo)))</f>
        <v/>
      </c>
      <c r="P118" s="68">
        <f>IF(OR($O118="",$O118&lt;&gt;MesCiclo),"",COUNTIF($O$5:$O118,MesCiclo))</f>
        <v/>
      </c>
    </row>
    <row r="119">
      <c r="A119" s="60">
        <f>IF(NOT((COUNTA($B119:$J119)+COUNTA($M119))&gt;0),"",COUNTIFS($L$5:$L119,"?*",$O$5:$O119,$O119))</f>
        <v/>
      </c>
      <c r="B119" s="61" t="n"/>
      <c r="C119" s="61" t="n"/>
      <c r="D119" s="62" t="n"/>
      <c r="E119" s="62" t="n"/>
      <c r="F119" s="63" t="n"/>
      <c r="G119" s="64" t="n"/>
      <c r="H119" s="64" t="n"/>
      <c r="I119" s="64" t="n"/>
      <c r="J119" s="64" t="n"/>
      <c r="K119" s="65">
        <f>IF(NOT((COUNTA($B119:$J119)+COUNTA($M119))&gt;0),"",IFERROR(LOOKUP(2,1/(G119:J119&lt;&gt;""),G119:J119),0))</f>
        <v/>
      </c>
      <c r="L119" s="60">
        <f>IF(K119="","",IF(K119&gt;=1,"Completado",IF(K119&gt;0,"En curso","Pendiente")))</f>
        <v/>
      </c>
      <c r="M119" s="61" t="n"/>
      <c r="N119" s="66">
        <f>IF(NOT((COUNTA($B119:$J119)+COUNTA($M119))&gt;0),"",IF((IF(B119="","Macroactividad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 OK","⚠ "&amp;LEFT(IF(B119="","Macroactividad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",""),LEN(IF(B119="","Macroactividad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",""))-3)))</f>
        <v/>
      </c>
      <c r="O119" s="67">
        <f>IF(NOT((COUNTA($B119:$J119)+COUNTA($M119))&gt;0),"",IF(ISNUMBER($D119),DATE(YEAR($D119),MONTH($D119),1),IF(ISNUMBER($E119),DATE(YEAR($E119),MONTH($E119),1),MesCiclo)))</f>
        <v/>
      </c>
      <c r="P119" s="68">
        <f>IF(OR($O119="",$O119&lt;&gt;MesCiclo),"",COUNTIF($O$5:$O119,MesCiclo))</f>
        <v/>
      </c>
    </row>
    <row r="120">
      <c r="A120" s="60">
        <f>IF(NOT((COUNTA($B120:$J120)+COUNTA($M120))&gt;0),"",COUNTIFS($L$5:$L120,"?*",$O$5:$O120,$O120))</f>
        <v/>
      </c>
      <c r="B120" s="61" t="n"/>
      <c r="C120" s="61" t="n"/>
      <c r="D120" s="62" t="n"/>
      <c r="E120" s="62" t="n"/>
      <c r="F120" s="63" t="n"/>
      <c r="G120" s="64" t="n"/>
      <c r="H120" s="64" t="n"/>
      <c r="I120" s="64" t="n"/>
      <c r="J120" s="64" t="n"/>
      <c r="K120" s="65">
        <f>IF(NOT((COUNTA($B120:$J120)+COUNTA($M120))&gt;0),"",IFERROR(LOOKUP(2,1/(G120:J120&lt;&gt;""),G120:J120),0))</f>
        <v/>
      </c>
      <c r="L120" s="60">
        <f>IF(K120="","",IF(K120&gt;=1,"Completado",IF(K120&gt;0,"En curso","Pendiente")))</f>
        <v/>
      </c>
      <c r="M120" s="61" t="n"/>
      <c r="N120" s="66">
        <f>IF(NOT((COUNTA($B120:$J120)+COUNTA($M120))&gt;0),"",IF((IF(B120="","Macroactividad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 OK","⚠ "&amp;LEFT(IF(B120="","Macroactividad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",""),LEN(IF(B120="","Macroactividad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",""))-3)))</f>
        <v/>
      </c>
      <c r="O120" s="67">
        <f>IF(NOT((COUNTA($B120:$J120)+COUNTA($M120))&gt;0),"",IF(ISNUMBER($D120),DATE(YEAR($D120),MONTH($D120),1),IF(ISNUMBER($E120),DATE(YEAR($E120),MONTH($E120),1),MesCiclo)))</f>
        <v/>
      </c>
      <c r="P120" s="68">
        <f>IF(OR($O120="",$O120&lt;&gt;MesCiclo),"",COUNTIF($O$5:$O120,MesCiclo))</f>
        <v/>
      </c>
    </row>
    <row r="121">
      <c r="A121" s="60">
        <f>IF(NOT((COUNTA($B121:$J121)+COUNTA($M121))&gt;0),"",COUNTIFS($L$5:$L121,"?*",$O$5:$O121,$O121))</f>
        <v/>
      </c>
      <c r="B121" s="61" t="n"/>
      <c r="C121" s="61" t="n"/>
      <c r="D121" s="62" t="n"/>
      <c r="E121" s="62" t="n"/>
      <c r="F121" s="63" t="n"/>
      <c r="G121" s="64" t="n"/>
      <c r="H121" s="64" t="n"/>
      <c r="I121" s="64" t="n"/>
      <c r="J121" s="64" t="n"/>
      <c r="K121" s="65">
        <f>IF(NOT((COUNTA($B121:$J121)+COUNTA($M121))&gt;0),"",IFERROR(LOOKUP(2,1/(G121:J121&lt;&gt;""),G121:J121),0))</f>
        <v/>
      </c>
      <c r="L121" s="60">
        <f>IF(K121="","",IF(K121&gt;=1,"Completado",IF(K121&gt;0,"En curso","Pendiente")))</f>
        <v/>
      </c>
      <c r="M121" s="61" t="n"/>
      <c r="N121" s="66">
        <f>IF(NOT((COUNTA($B121:$J121)+COUNTA($M121))&gt;0),"",IF((IF(B121="","Macroactividad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 OK","⚠ "&amp;LEFT(IF(B121="","Macroactividad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",""),LEN(IF(B121="","Macroactividad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",""))-3)))</f>
        <v/>
      </c>
      <c r="O121" s="67">
        <f>IF(NOT((COUNTA($B121:$J121)+COUNTA($M121))&gt;0),"",IF(ISNUMBER($D121),DATE(YEAR($D121),MONTH($D121),1),IF(ISNUMBER($E121),DATE(YEAR($E121),MONTH($E121),1),MesCiclo)))</f>
        <v/>
      </c>
      <c r="P121" s="68">
        <f>IF(OR($O121="",$O121&lt;&gt;MesCiclo),"",COUNTIF($O$5:$O121,MesCiclo))</f>
        <v/>
      </c>
    </row>
    <row r="122">
      <c r="A122" s="60">
        <f>IF(NOT((COUNTA($B122:$J122)+COUNTA($M122))&gt;0),"",COUNTIFS($L$5:$L122,"?*",$O$5:$O122,$O122))</f>
        <v/>
      </c>
      <c r="B122" s="61" t="n"/>
      <c r="C122" s="61" t="n"/>
      <c r="D122" s="62" t="n"/>
      <c r="E122" s="62" t="n"/>
      <c r="F122" s="63" t="n"/>
      <c r="G122" s="64" t="n"/>
      <c r="H122" s="64" t="n"/>
      <c r="I122" s="64" t="n"/>
      <c r="J122" s="64" t="n"/>
      <c r="K122" s="65">
        <f>IF(NOT((COUNTA($B122:$J122)+COUNTA($M122))&gt;0),"",IFERROR(LOOKUP(2,1/(G122:J122&lt;&gt;""),G122:J122),0))</f>
        <v/>
      </c>
      <c r="L122" s="60">
        <f>IF(K122="","",IF(K122&gt;=1,"Completado",IF(K122&gt;0,"En curso","Pendiente")))</f>
        <v/>
      </c>
      <c r="M122" s="61" t="n"/>
      <c r="N122" s="66">
        <f>IF(NOT((COUNTA($B122:$J122)+COUNTA($M122))&gt;0),"",IF((IF(B122="","Macroactividad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 OK","⚠ "&amp;LEFT(IF(B122="","Macroactividad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",""),LEN(IF(B122="","Macroactividad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",""))-3)))</f>
        <v/>
      </c>
      <c r="O122" s="67">
        <f>IF(NOT((COUNTA($B122:$J122)+COUNTA($M122))&gt;0),"",IF(ISNUMBER($D122),DATE(YEAR($D122),MONTH($D122),1),IF(ISNUMBER($E122),DATE(YEAR($E122),MONTH($E122),1),MesCiclo)))</f>
        <v/>
      </c>
      <c r="P122" s="68">
        <f>IF(OR($O122="",$O122&lt;&gt;MesCiclo),"",COUNTIF($O$5:$O122,MesCiclo))</f>
        <v/>
      </c>
    </row>
    <row r="123">
      <c r="A123" s="60">
        <f>IF(NOT((COUNTA($B123:$J123)+COUNTA($M123))&gt;0),"",COUNTIFS($L$5:$L123,"?*",$O$5:$O123,$O123))</f>
        <v/>
      </c>
      <c r="B123" s="61" t="n"/>
      <c r="C123" s="61" t="n"/>
      <c r="D123" s="62" t="n"/>
      <c r="E123" s="62" t="n"/>
      <c r="F123" s="63" t="n"/>
      <c r="G123" s="64" t="n"/>
      <c r="H123" s="64" t="n"/>
      <c r="I123" s="64" t="n"/>
      <c r="J123" s="64" t="n"/>
      <c r="K123" s="65">
        <f>IF(NOT((COUNTA($B123:$J123)+COUNTA($M123))&gt;0),"",IFERROR(LOOKUP(2,1/(G123:J123&lt;&gt;""),G123:J123),0))</f>
        <v/>
      </c>
      <c r="L123" s="60">
        <f>IF(K123="","",IF(K123&gt;=1,"Completado",IF(K123&gt;0,"En curso","Pendiente")))</f>
        <v/>
      </c>
      <c r="M123" s="61" t="n"/>
      <c r="N123" s="66">
        <f>IF(NOT((COUNTA($B123:$J123)+COUNTA($M123))&gt;0),"",IF((IF(B123="","Macroactividad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 OK","⚠ "&amp;LEFT(IF(B123="","Macroactividad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",""),LEN(IF(B123="","Macroactividad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",""))-3)))</f>
        <v/>
      </c>
      <c r="O123" s="67">
        <f>IF(NOT((COUNTA($B123:$J123)+COUNTA($M123))&gt;0),"",IF(ISNUMBER($D123),DATE(YEAR($D123),MONTH($D123),1),IF(ISNUMBER($E123),DATE(YEAR($E123),MONTH($E123),1),MesCiclo)))</f>
        <v/>
      </c>
      <c r="P123" s="68">
        <f>IF(OR($O123="",$O123&lt;&gt;MesCiclo),"",COUNTIF($O$5:$O123,MesCiclo))</f>
        <v/>
      </c>
    </row>
    <row r="124">
      <c r="A124" s="60">
        <f>IF(NOT((COUNTA($B124:$J124)+COUNTA($M124))&gt;0),"",COUNTIFS($L$5:$L124,"?*",$O$5:$O124,$O124))</f>
        <v/>
      </c>
      <c r="B124" s="61" t="n"/>
      <c r="C124" s="61" t="n"/>
      <c r="D124" s="62" t="n"/>
      <c r="E124" s="62" t="n"/>
      <c r="F124" s="63" t="n"/>
      <c r="G124" s="64" t="n"/>
      <c r="H124" s="64" t="n"/>
      <c r="I124" s="64" t="n"/>
      <c r="J124" s="64" t="n"/>
      <c r="K124" s="65">
        <f>IF(NOT((COUNTA($B124:$J124)+COUNTA($M124))&gt;0),"",IFERROR(LOOKUP(2,1/(G124:J124&lt;&gt;""),G124:J124),0))</f>
        <v/>
      </c>
      <c r="L124" s="60">
        <f>IF(K124="","",IF(K124&gt;=1,"Completado",IF(K124&gt;0,"En curso","Pendiente")))</f>
        <v/>
      </c>
      <c r="M124" s="61" t="n"/>
      <c r="N124" s="66">
        <f>IF(NOT((COUNTA($B124:$J124)+COUNTA($M124))&gt;0),"",IF((IF(B124="","Macroactividad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 OK","⚠ "&amp;LEFT(IF(B124="","Macroactividad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",""),LEN(IF(B124="","Macroactividad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",""))-3)))</f>
        <v/>
      </c>
      <c r="O124" s="67">
        <f>IF(NOT((COUNTA($B124:$J124)+COUNTA($M124))&gt;0),"",IF(ISNUMBER($D124),DATE(YEAR($D124),MONTH($D124),1),IF(ISNUMBER($E124),DATE(YEAR($E124),MONTH($E124),1),MesCiclo)))</f>
        <v/>
      </c>
      <c r="P124" s="68">
        <f>IF(OR($O124="",$O124&lt;&gt;MesCiclo),"",COUNTIF($O$5:$O124,MesCiclo))</f>
        <v/>
      </c>
    </row>
    <row r="125">
      <c r="A125" s="60">
        <f>IF(NOT((COUNTA($B125:$J125)+COUNTA($M125))&gt;0),"",COUNTIFS($L$5:$L125,"?*",$O$5:$O125,$O125))</f>
        <v/>
      </c>
      <c r="B125" s="61" t="n"/>
      <c r="C125" s="61" t="n"/>
      <c r="D125" s="62" t="n"/>
      <c r="E125" s="62" t="n"/>
      <c r="F125" s="63" t="n"/>
      <c r="G125" s="64" t="n"/>
      <c r="H125" s="64" t="n"/>
      <c r="I125" s="64" t="n"/>
      <c r="J125" s="64" t="n"/>
      <c r="K125" s="65">
        <f>IF(NOT((COUNTA($B125:$J125)+COUNTA($M125))&gt;0),"",IFERROR(LOOKUP(2,1/(G125:J125&lt;&gt;""),G125:J125),0))</f>
        <v/>
      </c>
      <c r="L125" s="60">
        <f>IF(K125="","",IF(K125&gt;=1,"Completado",IF(K125&gt;0,"En curso","Pendiente")))</f>
        <v/>
      </c>
      <c r="M125" s="61" t="n"/>
      <c r="N125" s="66">
        <f>IF(NOT((COUNTA($B125:$J125)+COUNTA($M125))&gt;0),"",IF((IF(B125="","Macroactividad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 OK","⚠ "&amp;LEFT(IF(B125="","Macroactividad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",""),LEN(IF(B125="","Macroactividad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",""))-3)))</f>
        <v/>
      </c>
      <c r="O125" s="67">
        <f>IF(NOT((COUNTA($B125:$J125)+COUNTA($M125))&gt;0),"",IF(ISNUMBER($D125),DATE(YEAR($D125),MONTH($D125),1),IF(ISNUMBER($E125),DATE(YEAR($E125),MONTH($E125),1),MesCiclo)))</f>
        <v/>
      </c>
      <c r="P125" s="68">
        <f>IF(OR($O125="",$O125&lt;&gt;MesCiclo),"",COUNTIF($O$5:$O125,MesCiclo))</f>
        <v/>
      </c>
    </row>
    <row r="126">
      <c r="A126" s="60">
        <f>IF(NOT((COUNTA($B126:$J126)+COUNTA($M126))&gt;0),"",COUNTIFS($L$5:$L126,"?*",$O$5:$O126,$O126))</f>
        <v/>
      </c>
      <c r="B126" s="61" t="n"/>
      <c r="C126" s="61" t="n"/>
      <c r="D126" s="62" t="n"/>
      <c r="E126" s="62" t="n"/>
      <c r="F126" s="63" t="n"/>
      <c r="G126" s="64" t="n"/>
      <c r="H126" s="64" t="n"/>
      <c r="I126" s="64" t="n"/>
      <c r="J126" s="64" t="n"/>
      <c r="K126" s="65">
        <f>IF(NOT((COUNTA($B126:$J126)+COUNTA($M126))&gt;0),"",IFERROR(LOOKUP(2,1/(G126:J126&lt;&gt;""),G126:J126),0))</f>
        <v/>
      </c>
      <c r="L126" s="60">
        <f>IF(K126="","",IF(K126&gt;=1,"Completado",IF(K126&gt;0,"En curso","Pendiente")))</f>
        <v/>
      </c>
      <c r="M126" s="61" t="n"/>
      <c r="N126" s="66">
        <f>IF(NOT((COUNTA($B126:$J126)+COUNTA($M126))&gt;0),"",IF((IF(B126="","Macroactividad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 OK","⚠ "&amp;LEFT(IF(B126="","Macroactividad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",""),LEN(IF(B126="","Macroactividad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",""))-3)))</f>
        <v/>
      </c>
      <c r="O126" s="67">
        <f>IF(NOT((COUNTA($B126:$J126)+COUNTA($M126))&gt;0),"",IF(ISNUMBER($D126),DATE(YEAR($D126),MONTH($D126),1),IF(ISNUMBER($E126),DATE(YEAR($E126),MONTH($E126),1),MesCiclo)))</f>
        <v/>
      </c>
      <c r="P126" s="68">
        <f>IF(OR($O126="",$O126&lt;&gt;MesCiclo),"",COUNTIF($O$5:$O126,MesCiclo))</f>
        <v/>
      </c>
    </row>
    <row r="127">
      <c r="A127" s="60">
        <f>IF(NOT((COUNTA($B127:$J127)+COUNTA($M127))&gt;0),"",COUNTIFS($L$5:$L127,"?*",$O$5:$O127,$O127))</f>
        <v/>
      </c>
      <c r="B127" s="61" t="n"/>
      <c r="C127" s="61" t="n"/>
      <c r="D127" s="62" t="n"/>
      <c r="E127" s="62" t="n"/>
      <c r="F127" s="63" t="n"/>
      <c r="G127" s="64" t="n"/>
      <c r="H127" s="64" t="n"/>
      <c r="I127" s="64" t="n"/>
      <c r="J127" s="64" t="n"/>
      <c r="K127" s="65">
        <f>IF(NOT((COUNTA($B127:$J127)+COUNTA($M127))&gt;0),"",IFERROR(LOOKUP(2,1/(G127:J127&lt;&gt;""),G127:J127),0))</f>
        <v/>
      </c>
      <c r="L127" s="60">
        <f>IF(K127="","",IF(K127&gt;=1,"Completado",IF(K127&gt;0,"En curso","Pendiente")))</f>
        <v/>
      </c>
      <c r="M127" s="61" t="n"/>
      <c r="N127" s="66">
        <f>IF(NOT((COUNTA($B127:$J127)+COUNTA($M127))&gt;0),"",IF((IF(B127="","Macroactividad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 OK","⚠ "&amp;LEFT(IF(B127="","Macroactividad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",""),LEN(IF(B127="","Macroactividad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",""))-3)))</f>
        <v/>
      </c>
      <c r="O127" s="67">
        <f>IF(NOT((COUNTA($B127:$J127)+COUNTA($M127))&gt;0),"",IF(ISNUMBER($D127),DATE(YEAR($D127),MONTH($D127),1),IF(ISNUMBER($E127),DATE(YEAR($E127),MONTH($E127),1),MesCiclo)))</f>
        <v/>
      </c>
      <c r="P127" s="68">
        <f>IF(OR($O127="",$O127&lt;&gt;MesCiclo),"",COUNTIF($O$5:$O127,MesCiclo))</f>
        <v/>
      </c>
    </row>
    <row r="128">
      <c r="A128" s="60">
        <f>IF(NOT((COUNTA($B128:$J128)+COUNTA($M128))&gt;0),"",COUNTIFS($L$5:$L128,"?*",$O$5:$O128,$O128))</f>
        <v/>
      </c>
      <c r="B128" s="61" t="n"/>
      <c r="C128" s="61" t="n"/>
      <c r="D128" s="62" t="n"/>
      <c r="E128" s="62" t="n"/>
      <c r="F128" s="63" t="n"/>
      <c r="G128" s="64" t="n"/>
      <c r="H128" s="64" t="n"/>
      <c r="I128" s="64" t="n"/>
      <c r="J128" s="64" t="n"/>
      <c r="K128" s="65">
        <f>IF(NOT((COUNTA($B128:$J128)+COUNTA($M128))&gt;0),"",IFERROR(LOOKUP(2,1/(G128:J128&lt;&gt;""),G128:J128),0))</f>
        <v/>
      </c>
      <c r="L128" s="60">
        <f>IF(K128="","",IF(K128&gt;=1,"Completado",IF(K128&gt;0,"En curso","Pendiente")))</f>
        <v/>
      </c>
      <c r="M128" s="61" t="n"/>
      <c r="N128" s="66">
        <f>IF(NOT((COUNTA($B128:$J128)+COUNTA($M128))&gt;0),"",IF((IF(B128="","Macroactividad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 OK","⚠ "&amp;LEFT(IF(B128="","Macroactividad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",""),LEN(IF(B128="","Macroactividad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",""))-3)))</f>
        <v/>
      </c>
      <c r="O128" s="67">
        <f>IF(NOT((COUNTA($B128:$J128)+COUNTA($M128))&gt;0),"",IF(ISNUMBER($D128),DATE(YEAR($D128),MONTH($D128),1),IF(ISNUMBER($E128),DATE(YEAR($E128),MONTH($E128),1),MesCiclo)))</f>
        <v/>
      </c>
      <c r="P128" s="68">
        <f>IF(OR($O128="",$O128&lt;&gt;MesCiclo),"",COUNTIF($O$5:$O128,MesCiclo))</f>
        <v/>
      </c>
    </row>
    <row r="129">
      <c r="A129" s="60">
        <f>IF(NOT((COUNTA($B129:$J129)+COUNTA($M129))&gt;0),"",COUNTIFS($L$5:$L129,"?*",$O$5:$O129,$O129))</f>
        <v/>
      </c>
      <c r="B129" s="61" t="n"/>
      <c r="C129" s="61" t="n"/>
      <c r="D129" s="62" t="n"/>
      <c r="E129" s="62" t="n"/>
      <c r="F129" s="63" t="n"/>
      <c r="G129" s="64" t="n"/>
      <c r="H129" s="64" t="n"/>
      <c r="I129" s="64" t="n"/>
      <c r="J129" s="64" t="n"/>
      <c r="K129" s="65">
        <f>IF(NOT((COUNTA($B129:$J129)+COUNTA($M129))&gt;0),"",IFERROR(LOOKUP(2,1/(G129:J129&lt;&gt;""),G129:J129),0))</f>
        <v/>
      </c>
      <c r="L129" s="60">
        <f>IF(K129="","",IF(K129&gt;=1,"Completado",IF(K129&gt;0,"En curso","Pendiente")))</f>
        <v/>
      </c>
      <c r="M129" s="61" t="n"/>
      <c r="N129" s="66">
        <f>IF(NOT((COUNTA($B129:$J129)+COUNTA($M129))&gt;0),"",IF((IF(B129="","Macroactividad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 OK","⚠ "&amp;LEFT(IF(B129="","Macroactividad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",""),LEN(IF(B129="","Macroactividad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",""))-3)))</f>
        <v/>
      </c>
      <c r="O129" s="67">
        <f>IF(NOT((COUNTA($B129:$J129)+COUNTA($M129))&gt;0),"",IF(ISNUMBER($D129),DATE(YEAR($D129),MONTH($D129),1),IF(ISNUMBER($E129),DATE(YEAR($E129),MONTH($E129),1),MesCiclo)))</f>
        <v/>
      </c>
      <c r="P129" s="68">
        <f>IF(OR($O129="",$O129&lt;&gt;MesCiclo),"",COUNTIF($O$5:$O129,MesCiclo))</f>
        <v/>
      </c>
    </row>
    <row r="130">
      <c r="A130" s="60">
        <f>IF(NOT((COUNTA($B130:$J130)+COUNTA($M130))&gt;0),"",COUNTIFS($L$5:$L130,"?*",$O$5:$O130,$O130))</f>
        <v/>
      </c>
      <c r="B130" s="61" t="n"/>
      <c r="C130" s="61" t="n"/>
      <c r="D130" s="62" t="n"/>
      <c r="E130" s="62" t="n"/>
      <c r="F130" s="63" t="n"/>
      <c r="G130" s="64" t="n"/>
      <c r="H130" s="64" t="n"/>
      <c r="I130" s="64" t="n"/>
      <c r="J130" s="64" t="n"/>
      <c r="K130" s="65">
        <f>IF(NOT((COUNTA($B130:$J130)+COUNTA($M130))&gt;0),"",IFERROR(LOOKUP(2,1/(G130:J130&lt;&gt;""),G130:J130),0))</f>
        <v/>
      </c>
      <c r="L130" s="60">
        <f>IF(K130="","",IF(K130&gt;=1,"Completado",IF(K130&gt;0,"En curso","Pendiente")))</f>
        <v/>
      </c>
      <c r="M130" s="61" t="n"/>
      <c r="N130" s="66">
        <f>IF(NOT((COUNTA($B130:$J130)+COUNTA($M130))&gt;0),"",IF((IF(B130="","Macroactividad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 OK","⚠ "&amp;LEFT(IF(B130="","Macroactividad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",""),LEN(IF(B130="","Macroactividad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",""))-3)))</f>
        <v/>
      </c>
      <c r="O130" s="67">
        <f>IF(NOT((COUNTA($B130:$J130)+COUNTA($M130))&gt;0),"",IF(ISNUMBER($D130),DATE(YEAR($D130),MONTH($D130),1),IF(ISNUMBER($E130),DATE(YEAR($E130),MONTH($E130),1),MesCiclo)))</f>
        <v/>
      </c>
      <c r="P130" s="68">
        <f>IF(OR($O130="",$O130&lt;&gt;MesCiclo),"",COUNTIF($O$5:$O130,MesCiclo))</f>
        <v/>
      </c>
    </row>
    <row r="131">
      <c r="A131" s="60">
        <f>IF(NOT((COUNTA($B131:$J131)+COUNTA($M131))&gt;0),"",COUNTIFS($L$5:$L131,"?*",$O$5:$O131,$O131))</f>
        <v/>
      </c>
      <c r="B131" s="61" t="n"/>
      <c r="C131" s="61" t="n"/>
      <c r="D131" s="62" t="n"/>
      <c r="E131" s="62" t="n"/>
      <c r="F131" s="63" t="n"/>
      <c r="G131" s="64" t="n"/>
      <c r="H131" s="64" t="n"/>
      <c r="I131" s="64" t="n"/>
      <c r="J131" s="64" t="n"/>
      <c r="K131" s="65">
        <f>IF(NOT((COUNTA($B131:$J131)+COUNTA($M131))&gt;0),"",IFERROR(LOOKUP(2,1/(G131:J131&lt;&gt;""),G131:J131),0))</f>
        <v/>
      </c>
      <c r="L131" s="60">
        <f>IF(K131="","",IF(K131&gt;=1,"Completado",IF(K131&gt;0,"En curso","Pendiente")))</f>
        <v/>
      </c>
      <c r="M131" s="61" t="n"/>
      <c r="N131" s="66">
        <f>IF(NOT((COUNTA($B131:$J131)+COUNTA($M131))&gt;0),"",IF((IF(B131="","Macroactividad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 OK","⚠ "&amp;LEFT(IF(B131="","Macroactividad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",""),LEN(IF(B131="","Macroactividad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",""))-3)))</f>
        <v/>
      </c>
      <c r="O131" s="67">
        <f>IF(NOT((COUNTA($B131:$J131)+COUNTA($M131))&gt;0),"",IF(ISNUMBER($D131),DATE(YEAR($D131),MONTH($D131),1),IF(ISNUMBER($E131),DATE(YEAR($E131),MONTH($E131),1),MesCiclo)))</f>
        <v/>
      </c>
      <c r="P131" s="68">
        <f>IF(OR($O131="",$O131&lt;&gt;MesCiclo),"",COUNTIF($O$5:$O131,MesCiclo))</f>
        <v/>
      </c>
    </row>
    <row r="132">
      <c r="A132" s="60">
        <f>IF(NOT((COUNTA($B132:$J132)+COUNTA($M132))&gt;0),"",COUNTIFS($L$5:$L132,"?*",$O$5:$O132,$O132))</f>
        <v/>
      </c>
      <c r="B132" s="61" t="n"/>
      <c r="C132" s="61" t="n"/>
      <c r="D132" s="62" t="n"/>
      <c r="E132" s="62" t="n"/>
      <c r="F132" s="63" t="n"/>
      <c r="G132" s="64" t="n"/>
      <c r="H132" s="64" t="n"/>
      <c r="I132" s="64" t="n"/>
      <c r="J132" s="64" t="n"/>
      <c r="K132" s="65">
        <f>IF(NOT((COUNTA($B132:$J132)+COUNTA($M132))&gt;0),"",IFERROR(LOOKUP(2,1/(G132:J132&lt;&gt;""),G132:J132),0))</f>
        <v/>
      </c>
      <c r="L132" s="60">
        <f>IF(K132="","",IF(K132&gt;=1,"Completado",IF(K132&gt;0,"En curso","Pendiente")))</f>
        <v/>
      </c>
      <c r="M132" s="61" t="n"/>
      <c r="N132" s="66">
        <f>IF(NOT((COUNTA($B132:$J132)+COUNTA($M132))&gt;0),"",IF((IF(B132="","Macroactividad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 OK","⚠ "&amp;LEFT(IF(B132="","Macroactividad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",""),LEN(IF(B132="","Macroactividad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",""))-3)))</f>
        <v/>
      </c>
      <c r="O132" s="67">
        <f>IF(NOT((COUNTA($B132:$J132)+COUNTA($M132))&gt;0),"",IF(ISNUMBER($D132),DATE(YEAR($D132),MONTH($D132),1),IF(ISNUMBER($E132),DATE(YEAR($E132),MONTH($E132),1),MesCiclo)))</f>
        <v/>
      </c>
      <c r="P132" s="68">
        <f>IF(OR($O132="",$O132&lt;&gt;MesCiclo),"",COUNTIF($O$5:$O132,MesCiclo))</f>
        <v/>
      </c>
    </row>
    <row r="133">
      <c r="A133" s="60">
        <f>IF(NOT((COUNTA($B133:$J133)+COUNTA($M133))&gt;0),"",COUNTIFS($L$5:$L133,"?*",$O$5:$O133,$O133))</f>
        <v/>
      </c>
      <c r="B133" s="61" t="n"/>
      <c r="C133" s="61" t="n"/>
      <c r="D133" s="62" t="n"/>
      <c r="E133" s="62" t="n"/>
      <c r="F133" s="63" t="n"/>
      <c r="G133" s="64" t="n"/>
      <c r="H133" s="64" t="n"/>
      <c r="I133" s="64" t="n"/>
      <c r="J133" s="64" t="n"/>
      <c r="K133" s="65">
        <f>IF(NOT((COUNTA($B133:$J133)+COUNTA($M133))&gt;0),"",IFERROR(LOOKUP(2,1/(G133:J133&lt;&gt;""),G133:J133),0))</f>
        <v/>
      </c>
      <c r="L133" s="60">
        <f>IF(K133="","",IF(K133&gt;=1,"Completado",IF(K133&gt;0,"En curso","Pendiente")))</f>
        <v/>
      </c>
      <c r="M133" s="61" t="n"/>
      <c r="N133" s="66">
        <f>IF(NOT((COUNTA($B133:$J133)+COUNTA($M133))&gt;0),"",IF((IF(B133="","Macroactividad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 OK","⚠ "&amp;LEFT(IF(B133="","Macroactividad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",""),LEN(IF(B133="","Macroactividad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",""))-3)))</f>
        <v/>
      </c>
      <c r="O133" s="67">
        <f>IF(NOT((COUNTA($B133:$J133)+COUNTA($M133))&gt;0),"",IF(ISNUMBER($D133),DATE(YEAR($D133),MONTH($D133),1),IF(ISNUMBER($E133),DATE(YEAR($E133),MONTH($E133),1),MesCiclo)))</f>
        <v/>
      </c>
      <c r="P133" s="68">
        <f>IF(OR($O133="",$O133&lt;&gt;MesCiclo),"",COUNTIF($O$5:$O133,MesCiclo))</f>
        <v/>
      </c>
    </row>
    <row r="134">
      <c r="A134" s="60">
        <f>IF(NOT((COUNTA($B134:$J134)+COUNTA($M134))&gt;0),"",COUNTIFS($L$5:$L134,"?*",$O$5:$O134,$O134))</f>
        <v/>
      </c>
      <c r="B134" s="61" t="n"/>
      <c r="C134" s="61" t="n"/>
      <c r="D134" s="62" t="n"/>
      <c r="E134" s="62" t="n"/>
      <c r="F134" s="63" t="n"/>
      <c r="G134" s="64" t="n"/>
      <c r="H134" s="64" t="n"/>
      <c r="I134" s="64" t="n"/>
      <c r="J134" s="64" t="n"/>
      <c r="K134" s="65">
        <f>IF(NOT((COUNTA($B134:$J134)+COUNTA($M134))&gt;0),"",IFERROR(LOOKUP(2,1/(G134:J134&lt;&gt;""),G134:J134),0))</f>
        <v/>
      </c>
      <c r="L134" s="60">
        <f>IF(K134="","",IF(K134&gt;=1,"Completado",IF(K134&gt;0,"En curso","Pendiente")))</f>
        <v/>
      </c>
      <c r="M134" s="61" t="n"/>
      <c r="N134" s="66">
        <f>IF(NOT((COUNTA($B134:$J134)+COUNTA($M134))&gt;0),"",IF((IF(B134="","Macroactividad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 OK","⚠ "&amp;LEFT(IF(B134="","Macroactividad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",""),LEN(IF(B134="","Macroactividad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",""))-3)))</f>
        <v/>
      </c>
      <c r="O134" s="67">
        <f>IF(NOT((COUNTA($B134:$J134)+COUNTA($M134))&gt;0),"",IF(ISNUMBER($D134),DATE(YEAR($D134),MONTH($D134),1),IF(ISNUMBER($E134),DATE(YEAR($E134),MONTH($E134),1),MesCiclo)))</f>
        <v/>
      </c>
      <c r="P134" s="68">
        <f>IF(OR($O134="",$O134&lt;&gt;MesCiclo),"",COUNTIF($O$5:$O134,MesCiclo))</f>
        <v/>
      </c>
    </row>
    <row r="135">
      <c r="A135" s="60">
        <f>IF(NOT((COUNTA($B135:$J135)+COUNTA($M135))&gt;0),"",COUNTIFS($L$5:$L135,"?*",$O$5:$O135,$O135))</f>
        <v/>
      </c>
      <c r="B135" s="61" t="n"/>
      <c r="C135" s="61" t="n"/>
      <c r="D135" s="62" t="n"/>
      <c r="E135" s="62" t="n"/>
      <c r="F135" s="63" t="n"/>
      <c r="G135" s="64" t="n"/>
      <c r="H135" s="64" t="n"/>
      <c r="I135" s="64" t="n"/>
      <c r="J135" s="64" t="n"/>
      <c r="K135" s="65">
        <f>IF(NOT((COUNTA($B135:$J135)+COUNTA($M135))&gt;0),"",IFERROR(LOOKUP(2,1/(G135:J135&lt;&gt;""),G135:J135),0))</f>
        <v/>
      </c>
      <c r="L135" s="60">
        <f>IF(K135="","",IF(K135&gt;=1,"Completado",IF(K135&gt;0,"En curso","Pendiente")))</f>
        <v/>
      </c>
      <c r="M135" s="61" t="n"/>
      <c r="N135" s="66">
        <f>IF(NOT((COUNTA($B135:$J135)+COUNTA($M135))&gt;0),"",IF((IF(B135="","Macroactividad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 OK","⚠ "&amp;LEFT(IF(B135="","Macroactividad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",""),LEN(IF(B135="","Macroactividad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",""))-3)))</f>
        <v/>
      </c>
      <c r="O135" s="67">
        <f>IF(NOT((COUNTA($B135:$J135)+COUNTA($M135))&gt;0),"",IF(ISNUMBER($D135),DATE(YEAR($D135),MONTH($D135),1),IF(ISNUMBER($E135),DATE(YEAR($E135),MONTH($E135),1),MesCiclo)))</f>
        <v/>
      </c>
      <c r="P135" s="68">
        <f>IF(OR($O135="",$O135&lt;&gt;MesCiclo),"",COUNTIF($O$5:$O135,MesCiclo))</f>
        <v/>
      </c>
    </row>
    <row r="136">
      <c r="A136" s="60">
        <f>IF(NOT((COUNTA($B136:$J136)+COUNTA($M136))&gt;0),"",COUNTIFS($L$5:$L136,"?*",$O$5:$O136,$O136))</f>
        <v/>
      </c>
      <c r="B136" s="61" t="n"/>
      <c r="C136" s="61" t="n"/>
      <c r="D136" s="62" t="n"/>
      <c r="E136" s="62" t="n"/>
      <c r="F136" s="63" t="n"/>
      <c r="G136" s="64" t="n"/>
      <c r="H136" s="64" t="n"/>
      <c r="I136" s="64" t="n"/>
      <c r="J136" s="64" t="n"/>
      <c r="K136" s="65">
        <f>IF(NOT((COUNTA($B136:$J136)+COUNTA($M136))&gt;0),"",IFERROR(LOOKUP(2,1/(G136:J136&lt;&gt;""),G136:J136),0))</f>
        <v/>
      </c>
      <c r="L136" s="60">
        <f>IF(K136="","",IF(K136&gt;=1,"Completado",IF(K136&gt;0,"En curso","Pendiente")))</f>
        <v/>
      </c>
      <c r="M136" s="61" t="n"/>
      <c r="N136" s="66">
        <f>IF(NOT((COUNTA($B136:$J136)+COUNTA($M136))&gt;0),"",IF((IF(B136="","Macroactividad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 OK","⚠ "&amp;LEFT(IF(B136="","Macroactividad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",""),LEN(IF(B136="","Macroactividad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",""))-3)))</f>
        <v/>
      </c>
      <c r="O136" s="67">
        <f>IF(NOT((COUNTA($B136:$J136)+COUNTA($M136))&gt;0),"",IF(ISNUMBER($D136),DATE(YEAR($D136),MONTH($D136),1),IF(ISNUMBER($E136),DATE(YEAR($E136),MONTH($E136),1),MesCiclo)))</f>
        <v/>
      </c>
      <c r="P136" s="68">
        <f>IF(OR($O136="",$O136&lt;&gt;MesCiclo),"",COUNTIF($O$5:$O136,MesCiclo))</f>
        <v/>
      </c>
    </row>
    <row r="137">
      <c r="A137" s="60">
        <f>IF(NOT((COUNTA($B137:$J137)+COUNTA($M137))&gt;0),"",COUNTIFS($L$5:$L137,"?*",$O$5:$O137,$O137))</f>
        <v/>
      </c>
      <c r="B137" s="61" t="n"/>
      <c r="C137" s="61" t="n"/>
      <c r="D137" s="62" t="n"/>
      <c r="E137" s="62" t="n"/>
      <c r="F137" s="63" t="n"/>
      <c r="G137" s="64" t="n"/>
      <c r="H137" s="64" t="n"/>
      <c r="I137" s="64" t="n"/>
      <c r="J137" s="64" t="n"/>
      <c r="K137" s="65">
        <f>IF(NOT((COUNTA($B137:$J137)+COUNTA($M137))&gt;0),"",IFERROR(LOOKUP(2,1/(G137:J137&lt;&gt;""),G137:J137),0))</f>
        <v/>
      </c>
      <c r="L137" s="60">
        <f>IF(K137="","",IF(K137&gt;=1,"Completado",IF(K137&gt;0,"En curso","Pendiente")))</f>
        <v/>
      </c>
      <c r="M137" s="61" t="n"/>
      <c r="N137" s="66">
        <f>IF(NOT((COUNTA($B137:$J137)+COUNTA($M137))&gt;0),"",IF((IF(B137="","Macroactividad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 OK","⚠ "&amp;LEFT(IF(B137="","Macroactividad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",""),LEN(IF(B137="","Macroactividad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",""))-3)))</f>
        <v/>
      </c>
      <c r="O137" s="67">
        <f>IF(NOT((COUNTA($B137:$J137)+COUNTA($M137))&gt;0),"",IF(ISNUMBER($D137),DATE(YEAR($D137),MONTH($D137),1),IF(ISNUMBER($E137),DATE(YEAR($E137),MONTH($E137),1),MesCiclo)))</f>
        <v/>
      </c>
      <c r="P137" s="68">
        <f>IF(OR($O137="",$O137&lt;&gt;MesCiclo),"",COUNTIF($O$5:$O137,MesCiclo))</f>
        <v/>
      </c>
    </row>
    <row r="138">
      <c r="A138" s="60">
        <f>IF(NOT((COUNTA($B138:$J138)+COUNTA($M138))&gt;0),"",COUNTIFS($L$5:$L138,"?*",$O$5:$O138,$O138))</f>
        <v/>
      </c>
      <c r="B138" s="61" t="n"/>
      <c r="C138" s="61" t="n"/>
      <c r="D138" s="62" t="n"/>
      <c r="E138" s="62" t="n"/>
      <c r="F138" s="63" t="n"/>
      <c r="G138" s="64" t="n"/>
      <c r="H138" s="64" t="n"/>
      <c r="I138" s="64" t="n"/>
      <c r="J138" s="64" t="n"/>
      <c r="K138" s="65">
        <f>IF(NOT((COUNTA($B138:$J138)+COUNTA($M138))&gt;0),"",IFERROR(LOOKUP(2,1/(G138:J138&lt;&gt;""),G138:J138),0))</f>
        <v/>
      </c>
      <c r="L138" s="60">
        <f>IF(K138="","",IF(K138&gt;=1,"Completado",IF(K138&gt;0,"En curso","Pendiente")))</f>
        <v/>
      </c>
      <c r="M138" s="61" t="n"/>
      <c r="N138" s="66">
        <f>IF(NOT((COUNTA($B138:$J138)+COUNTA($M138))&gt;0),"",IF((IF(B138="","Macroactividad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 OK","⚠ "&amp;LEFT(IF(B138="","Macroactividad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",""),LEN(IF(B138="","Macroactividad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",""))-3)))</f>
        <v/>
      </c>
      <c r="O138" s="67">
        <f>IF(NOT((COUNTA($B138:$J138)+COUNTA($M138))&gt;0),"",IF(ISNUMBER($D138),DATE(YEAR($D138),MONTH($D138),1),IF(ISNUMBER($E138),DATE(YEAR($E138),MONTH($E138),1),MesCiclo)))</f>
        <v/>
      </c>
      <c r="P138" s="68">
        <f>IF(OR($O138="",$O138&lt;&gt;MesCiclo),"",COUNTIF($O$5:$O138,MesCiclo))</f>
        <v/>
      </c>
    </row>
    <row r="139">
      <c r="A139" s="60">
        <f>IF(NOT((COUNTA($B139:$J139)+COUNTA($M139))&gt;0),"",COUNTIFS($L$5:$L139,"?*",$O$5:$O139,$O139))</f>
        <v/>
      </c>
      <c r="B139" s="61" t="n"/>
      <c r="C139" s="61" t="n"/>
      <c r="D139" s="62" t="n"/>
      <c r="E139" s="62" t="n"/>
      <c r="F139" s="63" t="n"/>
      <c r="G139" s="64" t="n"/>
      <c r="H139" s="64" t="n"/>
      <c r="I139" s="64" t="n"/>
      <c r="J139" s="64" t="n"/>
      <c r="K139" s="65">
        <f>IF(NOT((COUNTA($B139:$J139)+COUNTA($M139))&gt;0),"",IFERROR(LOOKUP(2,1/(G139:J139&lt;&gt;""),G139:J139),0))</f>
        <v/>
      </c>
      <c r="L139" s="60">
        <f>IF(K139="","",IF(K139&gt;=1,"Completado",IF(K139&gt;0,"En curso","Pendiente")))</f>
        <v/>
      </c>
      <c r="M139" s="61" t="n"/>
      <c r="N139" s="66">
        <f>IF(NOT((COUNTA($B139:$J139)+COUNTA($M139))&gt;0),"",IF((IF(B139="","Macroactividad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 OK","⚠ "&amp;LEFT(IF(B139="","Macroactividad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",""),LEN(IF(B139="","Macroactividad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",""))-3)))</f>
        <v/>
      </c>
      <c r="O139" s="67">
        <f>IF(NOT((COUNTA($B139:$J139)+COUNTA($M139))&gt;0),"",IF(ISNUMBER($D139),DATE(YEAR($D139),MONTH($D139),1),IF(ISNUMBER($E139),DATE(YEAR($E139),MONTH($E139),1),MesCiclo)))</f>
        <v/>
      </c>
      <c r="P139" s="68">
        <f>IF(OR($O139="",$O139&lt;&gt;MesCiclo),"",COUNTIF($O$5:$O139,MesCiclo))</f>
        <v/>
      </c>
    </row>
    <row r="140">
      <c r="A140" s="60">
        <f>IF(NOT((COUNTA($B140:$J140)+COUNTA($M140))&gt;0),"",COUNTIFS($L$5:$L140,"?*",$O$5:$O140,$O140))</f>
        <v/>
      </c>
      <c r="B140" s="61" t="n"/>
      <c r="C140" s="61" t="n"/>
      <c r="D140" s="62" t="n"/>
      <c r="E140" s="62" t="n"/>
      <c r="F140" s="63" t="n"/>
      <c r="G140" s="64" t="n"/>
      <c r="H140" s="64" t="n"/>
      <c r="I140" s="64" t="n"/>
      <c r="J140" s="64" t="n"/>
      <c r="K140" s="65">
        <f>IF(NOT((COUNTA($B140:$J140)+COUNTA($M140))&gt;0),"",IFERROR(LOOKUP(2,1/(G140:J140&lt;&gt;""),G140:J140),0))</f>
        <v/>
      </c>
      <c r="L140" s="60">
        <f>IF(K140="","",IF(K140&gt;=1,"Completado",IF(K140&gt;0,"En curso","Pendiente")))</f>
        <v/>
      </c>
      <c r="M140" s="61" t="n"/>
      <c r="N140" s="66">
        <f>IF(NOT((COUNTA($B140:$J140)+COUNTA($M140))&gt;0),"",IF((IF(B140="","Macroactividad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 OK","⚠ "&amp;LEFT(IF(B140="","Macroactividad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",""),LEN(IF(B140="","Macroactividad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",""))-3)))</f>
        <v/>
      </c>
      <c r="O140" s="67">
        <f>IF(NOT((COUNTA($B140:$J140)+COUNTA($M140))&gt;0),"",IF(ISNUMBER($D140),DATE(YEAR($D140),MONTH($D140),1),IF(ISNUMBER($E140),DATE(YEAR($E140),MONTH($E140),1),MesCiclo)))</f>
        <v/>
      </c>
      <c r="P140" s="68">
        <f>IF(OR($O140="",$O140&lt;&gt;MesCiclo),"",COUNTIF($O$5:$O140,MesCiclo))</f>
        <v/>
      </c>
    </row>
    <row r="141">
      <c r="A141" s="60">
        <f>IF(NOT((COUNTA($B141:$J141)+COUNTA($M141))&gt;0),"",COUNTIFS($L$5:$L141,"?*",$O$5:$O141,$O141))</f>
        <v/>
      </c>
      <c r="B141" s="61" t="n"/>
      <c r="C141" s="61" t="n"/>
      <c r="D141" s="62" t="n"/>
      <c r="E141" s="62" t="n"/>
      <c r="F141" s="63" t="n"/>
      <c r="G141" s="64" t="n"/>
      <c r="H141" s="64" t="n"/>
      <c r="I141" s="64" t="n"/>
      <c r="J141" s="64" t="n"/>
      <c r="K141" s="65">
        <f>IF(NOT((COUNTA($B141:$J141)+COUNTA($M141))&gt;0),"",IFERROR(LOOKUP(2,1/(G141:J141&lt;&gt;""),G141:J141),0))</f>
        <v/>
      </c>
      <c r="L141" s="60">
        <f>IF(K141="","",IF(K141&gt;=1,"Completado",IF(K141&gt;0,"En curso","Pendiente")))</f>
        <v/>
      </c>
      <c r="M141" s="61" t="n"/>
      <c r="N141" s="66">
        <f>IF(NOT((COUNTA($B141:$J141)+COUNTA($M141))&gt;0),"",IF((IF(B141="","Macroactividad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 OK","⚠ "&amp;LEFT(IF(B141="","Macroactividad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",""),LEN(IF(B141="","Macroactividad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",""))-3)))</f>
        <v/>
      </c>
      <c r="O141" s="67">
        <f>IF(NOT((COUNTA($B141:$J141)+COUNTA($M141))&gt;0),"",IF(ISNUMBER($D141),DATE(YEAR($D141),MONTH($D141),1),IF(ISNUMBER($E141),DATE(YEAR($E141),MONTH($E141),1),MesCiclo)))</f>
        <v/>
      </c>
      <c r="P141" s="68">
        <f>IF(OR($O141="",$O141&lt;&gt;MesCiclo),"",COUNTIF($O$5:$O141,MesCiclo))</f>
        <v/>
      </c>
    </row>
    <row r="142">
      <c r="A142" s="60">
        <f>IF(NOT((COUNTA($B142:$J142)+COUNTA($M142))&gt;0),"",COUNTIFS($L$5:$L142,"?*",$O$5:$O142,$O142))</f>
        <v/>
      </c>
      <c r="B142" s="61" t="n"/>
      <c r="C142" s="61" t="n"/>
      <c r="D142" s="62" t="n"/>
      <c r="E142" s="62" t="n"/>
      <c r="F142" s="63" t="n"/>
      <c r="G142" s="64" t="n"/>
      <c r="H142" s="64" t="n"/>
      <c r="I142" s="64" t="n"/>
      <c r="J142" s="64" t="n"/>
      <c r="K142" s="65">
        <f>IF(NOT((COUNTA($B142:$J142)+COUNTA($M142))&gt;0),"",IFERROR(LOOKUP(2,1/(G142:J142&lt;&gt;""),G142:J142),0))</f>
        <v/>
      </c>
      <c r="L142" s="60">
        <f>IF(K142="","",IF(K142&gt;=1,"Completado",IF(K142&gt;0,"En curso","Pendiente")))</f>
        <v/>
      </c>
      <c r="M142" s="61" t="n"/>
      <c r="N142" s="66">
        <f>IF(NOT((COUNTA($B142:$J142)+COUNTA($M142))&gt;0),"",IF((IF(B142="","Macroactividad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 OK","⚠ "&amp;LEFT(IF(B142="","Macroactividad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",""),LEN(IF(B142="","Macroactividad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",""))-3)))</f>
        <v/>
      </c>
      <c r="O142" s="67">
        <f>IF(NOT((COUNTA($B142:$J142)+COUNTA($M142))&gt;0),"",IF(ISNUMBER($D142),DATE(YEAR($D142),MONTH($D142),1),IF(ISNUMBER($E142),DATE(YEAR($E142),MONTH($E142),1),MesCiclo)))</f>
        <v/>
      </c>
      <c r="P142" s="68">
        <f>IF(OR($O142="",$O142&lt;&gt;MesCiclo),"",COUNTIF($O$5:$O142,MesCiclo))</f>
        <v/>
      </c>
    </row>
    <row r="143">
      <c r="A143" s="60">
        <f>IF(NOT((COUNTA($B143:$J143)+COUNTA($M143))&gt;0),"",COUNTIFS($L$5:$L143,"?*",$O$5:$O143,$O143))</f>
        <v/>
      </c>
      <c r="B143" s="61" t="n"/>
      <c r="C143" s="61" t="n"/>
      <c r="D143" s="62" t="n"/>
      <c r="E143" s="62" t="n"/>
      <c r="F143" s="63" t="n"/>
      <c r="G143" s="64" t="n"/>
      <c r="H143" s="64" t="n"/>
      <c r="I143" s="64" t="n"/>
      <c r="J143" s="64" t="n"/>
      <c r="K143" s="65">
        <f>IF(NOT((COUNTA($B143:$J143)+COUNTA($M143))&gt;0),"",IFERROR(LOOKUP(2,1/(G143:J143&lt;&gt;""),G143:J143),0))</f>
        <v/>
      </c>
      <c r="L143" s="60">
        <f>IF(K143="","",IF(K143&gt;=1,"Completado",IF(K143&gt;0,"En curso","Pendiente")))</f>
        <v/>
      </c>
      <c r="M143" s="61" t="n"/>
      <c r="N143" s="66">
        <f>IF(NOT((COUNTA($B143:$J143)+COUNTA($M143))&gt;0),"",IF((IF(B143="","Macroactividad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 OK","⚠ "&amp;LEFT(IF(B143="","Macroactividad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",""),LEN(IF(B143="","Macroactividad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",""))-3)))</f>
        <v/>
      </c>
      <c r="O143" s="67">
        <f>IF(NOT((COUNTA($B143:$J143)+COUNTA($M143))&gt;0),"",IF(ISNUMBER($D143),DATE(YEAR($D143),MONTH($D143),1),IF(ISNUMBER($E143),DATE(YEAR($E143),MONTH($E143),1),MesCiclo)))</f>
        <v/>
      </c>
      <c r="P143" s="68">
        <f>IF(OR($O143="",$O143&lt;&gt;MesCiclo),"",COUNTIF($O$5:$O143,MesCiclo))</f>
        <v/>
      </c>
    </row>
    <row r="144">
      <c r="A144" s="60">
        <f>IF(NOT((COUNTA($B144:$J144)+COUNTA($M144))&gt;0),"",COUNTIFS($L$5:$L144,"?*",$O$5:$O144,$O144))</f>
        <v/>
      </c>
      <c r="B144" s="61" t="n"/>
      <c r="C144" s="61" t="n"/>
      <c r="D144" s="62" t="n"/>
      <c r="E144" s="62" t="n"/>
      <c r="F144" s="63" t="n"/>
      <c r="G144" s="64" t="n"/>
      <c r="H144" s="64" t="n"/>
      <c r="I144" s="64" t="n"/>
      <c r="J144" s="64" t="n"/>
      <c r="K144" s="65">
        <f>IF(NOT((COUNTA($B144:$J144)+COUNTA($M144))&gt;0),"",IFERROR(LOOKUP(2,1/(G144:J144&lt;&gt;""),G144:J144),0))</f>
        <v/>
      </c>
      <c r="L144" s="60">
        <f>IF(K144="","",IF(K144&gt;=1,"Completado",IF(K144&gt;0,"En curso","Pendiente")))</f>
        <v/>
      </c>
      <c r="M144" s="61" t="n"/>
      <c r="N144" s="66">
        <f>IF(NOT((COUNTA($B144:$J144)+COUNTA($M144))&gt;0),"",IF((IF(B144="","Macroactividad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 OK","⚠ "&amp;LEFT(IF(B144="","Macroactividad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",""),LEN(IF(B144="","Macroactividad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",""))-3)))</f>
        <v/>
      </c>
      <c r="O144" s="67">
        <f>IF(NOT((COUNTA($B144:$J144)+COUNTA($M144))&gt;0),"",IF(ISNUMBER($D144),DATE(YEAR($D144),MONTH($D144),1),IF(ISNUMBER($E144),DATE(YEAR($E144),MONTH($E144),1),MesCiclo)))</f>
        <v/>
      </c>
      <c r="P144" s="68">
        <f>IF(OR($O144="",$O144&lt;&gt;MesCiclo),"",COUNTIF($O$5:$O144,MesCiclo))</f>
        <v/>
      </c>
    </row>
    <row r="145">
      <c r="A145" s="60">
        <f>IF(NOT((COUNTA($B145:$J145)+COUNTA($M145))&gt;0),"",COUNTIFS($L$5:$L145,"?*",$O$5:$O145,$O145))</f>
        <v/>
      </c>
      <c r="B145" s="61" t="n"/>
      <c r="C145" s="61" t="n"/>
      <c r="D145" s="62" t="n"/>
      <c r="E145" s="62" t="n"/>
      <c r="F145" s="63" t="n"/>
      <c r="G145" s="64" t="n"/>
      <c r="H145" s="64" t="n"/>
      <c r="I145" s="64" t="n"/>
      <c r="J145" s="64" t="n"/>
      <c r="K145" s="65">
        <f>IF(NOT((COUNTA($B145:$J145)+COUNTA($M145))&gt;0),"",IFERROR(LOOKUP(2,1/(G145:J145&lt;&gt;""),G145:J145),0))</f>
        <v/>
      </c>
      <c r="L145" s="60">
        <f>IF(K145="","",IF(K145&gt;=1,"Completado",IF(K145&gt;0,"En curso","Pendiente")))</f>
        <v/>
      </c>
      <c r="M145" s="61" t="n"/>
      <c r="N145" s="66">
        <f>IF(NOT((COUNTA($B145:$J145)+COUNTA($M145))&gt;0),"",IF((IF(B145="","Macroactividad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 OK","⚠ "&amp;LEFT(IF(B145="","Macroactividad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",""),LEN(IF(B145="","Macroactividad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",""))-3)))</f>
        <v/>
      </c>
      <c r="O145" s="67">
        <f>IF(NOT((COUNTA($B145:$J145)+COUNTA($M145))&gt;0),"",IF(ISNUMBER($D145),DATE(YEAR($D145),MONTH($D145),1),IF(ISNUMBER($E145),DATE(YEAR($E145),MONTH($E145),1),MesCiclo)))</f>
        <v/>
      </c>
      <c r="P145" s="68">
        <f>IF(OR($O145="",$O145&lt;&gt;MesCiclo),"",COUNTIF($O$5:$O145,MesCiclo))</f>
        <v/>
      </c>
    </row>
    <row r="146">
      <c r="A146" s="60">
        <f>IF(NOT((COUNTA($B146:$J146)+COUNTA($M146))&gt;0),"",COUNTIFS($L$5:$L146,"?*",$O$5:$O146,$O146))</f>
        <v/>
      </c>
      <c r="B146" s="61" t="n"/>
      <c r="C146" s="61" t="n"/>
      <c r="D146" s="62" t="n"/>
      <c r="E146" s="62" t="n"/>
      <c r="F146" s="63" t="n"/>
      <c r="G146" s="64" t="n"/>
      <c r="H146" s="64" t="n"/>
      <c r="I146" s="64" t="n"/>
      <c r="J146" s="64" t="n"/>
      <c r="K146" s="65">
        <f>IF(NOT((COUNTA($B146:$J146)+COUNTA($M146))&gt;0),"",IFERROR(LOOKUP(2,1/(G146:J146&lt;&gt;""),G146:J146),0))</f>
        <v/>
      </c>
      <c r="L146" s="60">
        <f>IF(K146="","",IF(K146&gt;=1,"Completado",IF(K146&gt;0,"En curso","Pendiente")))</f>
        <v/>
      </c>
      <c r="M146" s="61" t="n"/>
      <c r="N146" s="66">
        <f>IF(NOT((COUNTA($B146:$J146)+COUNTA($M146))&gt;0),"",IF((IF(B146="","Macroactividad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 OK","⚠ "&amp;LEFT(IF(B146="","Macroactividad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",""),LEN(IF(B146="","Macroactividad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",""))-3)))</f>
        <v/>
      </c>
      <c r="O146" s="67">
        <f>IF(NOT((COUNTA($B146:$J146)+COUNTA($M146))&gt;0),"",IF(ISNUMBER($D146),DATE(YEAR($D146),MONTH($D146),1),IF(ISNUMBER($E146),DATE(YEAR($E146),MONTH($E146),1),MesCiclo)))</f>
        <v/>
      </c>
      <c r="P146" s="68">
        <f>IF(OR($O146="",$O146&lt;&gt;MesCiclo),"",COUNTIF($O$5:$O146,MesCiclo))</f>
        <v/>
      </c>
    </row>
    <row r="147">
      <c r="A147" s="60">
        <f>IF(NOT((COUNTA($B147:$J147)+COUNTA($M147))&gt;0),"",COUNTIFS($L$5:$L147,"?*",$O$5:$O147,$O147))</f>
        <v/>
      </c>
      <c r="B147" s="61" t="n"/>
      <c r="C147" s="61" t="n"/>
      <c r="D147" s="62" t="n"/>
      <c r="E147" s="62" t="n"/>
      <c r="F147" s="63" t="n"/>
      <c r="G147" s="64" t="n"/>
      <c r="H147" s="64" t="n"/>
      <c r="I147" s="64" t="n"/>
      <c r="J147" s="64" t="n"/>
      <c r="K147" s="65">
        <f>IF(NOT((COUNTA($B147:$J147)+COUNTA($M147))&gt;0),"",IFERROR(LOOKUP(2,1/(G147:J147&lt;&gt;""),G147:J147),0))</f>
        <v/>
      </c>
      <c r="L147" s="60">
        <f>IF(K147="","",IF(K147&gt;=1,"Completado",IF(K147&gt;0,"En curso","Pendiente")))</f>
        <v/>
      </c>
      <c r="M147" s="61" t="n"/>
      <c r="N147" s="66">
        <f>IF(NOT((COUNTA($B147:$J147)+COUNTA($M147))&gt;0),"",IF((IF(B147="","Macroactividad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 OK","⚠ "&amp;LEFT(IF(B147="","Macroactividad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",""),LEN(IF(B147="","Macroactividad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",""))-3)))</f>
        <v/>
      </c>
      <c r="O147" s="67">
        <f>IF(NOT((COUNTA($B147:$J147)+COUNTA($M147))&gt;0),"",IF(ISNUMBER($D147),DATE(YEAR($D147),MONTH($D147),1),IF(ISNUMBER($E147),DATE(YEAR($E147),MONTH($E147),1),MesCiclo)))</f>
        <v/>
      </c>
      <c r="P147" s="68">
        <f>IF(OR($O147="",$O147&lt;&gt;MesCiclo),"",COUNTIF($O$5:$O147,MesCiclo))</f>
        <v/>
      </c>
    </row>
    <row r="148">
      <c r="A148" s="60">
        <f>IF(NOT((COUNTA($B148:$J148)+COUNTA($M148))&gt;0),"",COUNTIFS($L$5:$L148,"?*",$O$5:$O148,$O148))</f>
        <v/>
      </c>
      <c r="B148" s="61" t="n"/>
      <c r="C148" s="61" t="n"/>
      <c r="D148" s="62" t="n"/>
      <c r="E148" s="62" t="n"/>
      <c r="F148" s="63" t="n"/>
      <c r="G148" s="64" t="n"/>
      <c r="H148" s="64" t="n"/>
      <c r="I148" s="64" t="n"/>
      <c r="J148" s="64" t="n"/>
      <c r="K148" s="65">
        <f>IF(NOT((COUNTA($B148:$J148)+COUNTA($M148))&gt;0),"",IFERROR(LOOKUP(2,1/(G148:J148&lt;&gt;""),G148:J148),0))</f>
        <v/>
      </c>
      <c r="L148" s="60">
        <f>IF(K148="","",IF(K148&gt;=1,"Completado",IF(K148&gt;0,"En curso","Pendiente")))</f>
        <v/>
      </c>
      <c r="M148" s="61" t="n"/>
      <c r="N148" s="66">
        <f>IF(NOT((COUNTA($B148:$J148)+COUNTA($M148))&gt;0),"",IF((IF(B148="","Macroactividad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 OK","⚠ "&amp;LEFT(IF(B148="","Macroactividad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",""),LEN(IF(B148="","Macroactividad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",""))-3)))</f>
        <v/>
      </c>
      <c r="O148" s="67">
        <f>IF(NOT((COUNTA($B148:$J148)+COUNTA($M148))&gt;0),"",IF(ISNUMBER($D148),DATE(YEAR($D148),MONTH($D148),1),IF(ISNUMBER($E148),DATE(YEAR($E148),MONTH($E148),1),MesCiclo)))</f>
        <v/>
      </c>
      <c r="P148" s="68">
        <f>IF(OR($O148="",$O148&lt;&gt;MesCiclo),"",COUNTIF($O$5:$O148,MesCiclo))</f>
        <v/>
      </c>
    </row>
    <row r="149">
      <c r="A149" s="60">
        <f>IF(NOT((COUNTA($B149:$J149)+COUNTA($M149))&gt;0),"",COUNTIFS($L$5:$L149,"?*",$O$5:$O149,$O149))</f>
        <v/>
      </c>
      <c r="B149" s="61" t="n"/>
      <c r="C149" s="61" t="n"/>
      <c r="D149" s="62" t="n"/>
      <c r="E149" s="62" t="n"/>
      <c r="F149" s="63" t="n"/>
      <c r="G149" s="64" t="n"/>
      <c r="H149" s="64" t="n"/>
      <c r="I149" s="64" t="n"/>
      <c r="J149" s="64" t="n"/>
      <c r="K149" s="65">
        <f>IF(NOT((COUNTA($B149:$J149)+COUNTA($M149))&gt;0),"",IFERROR(LOOKUP(2,1/(G149:J149&lt;&gt;""),G149:J149),0))</f>
        <v/>
      </c>
      <c r="L149" s="60">
        <f>IF(K149="","",IF(K149&gt;=1,"Completado",IF(K149&gt;0,"En curso","Pendiente")))</f>
        <v/>
      </c>
      <c r="M149" s="61" t="n"/>
      <c r="N149" s="66">
        <f>IF(NOT((COUNTA($B149:$J149)+COUNTA($M149))&gt;0),"",IF((IF(B149="","Macroactividad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 OK","⚠ "&amp;LEFT(IF(B149="","Macroactividad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",""),LEN(IF(B149="","Macroactividad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",""))-3)))</f>
        <v/>
      </c>
      <c r="O149" s="67">
        <f>IF(NOT((COUNTA($B149:$J149)+COUNTA($M149))&gt;0),"",IF(ISNUMBER($D149),DATE(YEAR($D149),MONTH($D149),1),IF(ISNUMBER($E149),DATE(YEAR($E149),MONTH($E149),1),MesCiclo)))</f>
        <v/>
      </c>
      <c r="P149" s="68">
        <f>IF(OR($O149="",$O149&lt;&gt;MesCiclo),"",COUNTIF($O$5:$O149,MesCiclo))</f>
        <v/>
      </c>
    </row>
    <row r="150">
      <c r="A150" s="60">
        <f>IF(NOT((COUNTA($B150:$J150)+COUNTA($M150))&gt;0),"",COUNTIFS($L$5:$L150,"?*",$O$5:$O150,$O150))</f>
        <v/>
      </c>
      <c r="B150" s="61" t="n"/>
      <c r="C150" s="61" t="n"/>
      <c r="D150" s="62" t="n"/>
      <c r="E150" s="62" t="n"/>
      <c r="F150" s="63" t="n"/>
      <c r="G150" s="64" t="n"/>
      <c r="H150" s="64" t="n"/>
      <c r="I150" s="64" t="n"/>
      <c r="J150" s="64" t="n"/>
      <c r="K150" s="65">
        <f>IF(NOT((COUNTA($B150:$J150)+COUNTA($M150))&gt;0),"",IFERROR(LOOKUP(2,1/(G150:J150&lt;&gt;""),G150:J150),0))</f>
        <v/>
      </c>
      <c r="L150" s="60">
        <f>IF(K150="","",IF(K150&gt;=1,"Completado",IF(K150&gt;0,"En curso","Pendiente")))</f>
        <v/>
      </c>
      <c r="M150" s="61" t="n"/>
      <c r="N150" s="66">
        <f>IF(NOT((COUNTA($B150:$J150)+COUNTA($M150))&gt;0),"",IF((IF(B150="","Macroactividad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 OK","⚠ "&amp;LEFT(IF(B150="","Macroactividad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",""),LEN(IF(B150="","Macroactividad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",""))-3)))</f>
        <v/>
      </c>
      <c r="O150" s="67">
        <f>IF(NOT((COUNTA($B150:$J150)+COUNTA($M150))&gt;0),"",IF(ISNUMBER($D150),DATE(YEAR($D150),MONTH($D150),1),IF(ISNUMBER($E150),DATE(YEAR($E150),MONTH($E150),1),MesCiclo)))</f>
        <v/>
      </c>
      <c r="P150" s="68">
        <f>IF(OR($O150="",$O150&lt;&gt;MesCiclo),"",COUNTIF($O$5:$O150,MesCiclo))</f>
        <v/>
      </c>
    </row>
    <row r="151">
      <c r="A151" s="60">
        <f>IF(NOT((COUNTA($B151:$J151)+COUNTA($M151))&gt;0),"",COUNTIFS($L$5:$L151,"?*",$O$5:$O151,$O151))</f>
        <v/>
      </c>
      <c r="B151" s="61" t="n"/>
      <c r="C151" s="61" t="n"/>
      <c r="D151" s="62" t="n"/>
      <c r="E151" s="62" t="n"/>
      <c r="F151" s="63" t="n"/>
      <c r="G151" s="64" t="n"/>
      <c r="H151" s="64" t="n"/>
      <c r="I151" s="64" t="n"/>
      <c r="J151" s="64" t="n"/>
      <c r="K151" s="65">
        <f>IF(NOT((COUNTA($B151:$J151)+COUNTA($M151))&gt;0),"",IFERROR(LOOKUP(2,1/(G151:J151&lt;&gt;""),G151:J151),0))</f>
        <v/>
      </c>
      <c r="L151" s="60">
        <f>IF(K151="","",IF(K151&gt;=1,"Completado",IF(K151&gt;0,"En curso","Pendiente")))</f>
        <v/>
      </c>
      <c r="M151" s="61" t="n"/>
      <c r="N151" s="66">
        <f>IF(NOT((COUNTA($B151:$J151)+COUNTA($M151))&gt;0),"",IF((IF(B151="","Macroactividad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 OK","⚠ "&amp;LEFT(IF(B151="","Macroactividad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",""),LEN(IF(B151="","Macroactividad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",""))-3)))</f>
        <v/>
      </c>
      <c r="O151" s="67">
        <f>IF(NOT((COUNTA($B151:$J151)+COUNTA($M151))&gt;0),"",IF(ISNUMBER($D151),DATE(YEAR($D151),MONTH($D151),1),IF(ISNUMBER($E151),DATE(YEAR($E151),MONTH($E151),1),MesCiclo)))</f>
        <v/>
      </c>
      <c r="P151" s="68">
        <f>IF(OR($O151="",$O151&lt;&gt;MesCiclo),"",COUNTIF($O$5:$O151,MesCiclo))</f>
        <v/>
      </c>
    </row>
    <row r="152">
      <c r="A152" s="60">
        <f>IF(NOT((COUNTA($B152:$J152)+COUNTA($M152))&gt;0),"",COUNTIFS($L$5:$L152,"?*",$O$5:$O152,$O152))</f>
        <v/>
      </c>
      <c r="B152" s="61" t="n"/>
      <c r="C152" s="61" t="n"/>
      <c r="D152" s="62" t="n"/>
      <c r="E152" s="62" t="n"/>
      <c r="F152" s="63" t="n"/>
      <c r="G152" s="64" t="n"/>
      <c r="H152" s="64" t="n"/>
      <c r="I152" s="64" t="n"/>
      <c r="J152" s="64" t="n"/>
      <c r="K152" s="65">
        <f>IF(NOT((COUNTA($B152:$J152)+COUNTA($M152))&gt;0),"",IFERROR(LOOKUP(2,1/(G152:J152&lt;&gt;""),G152:J152),0))</f>
        <v/>
      </c>
      <c r="L152" s="60">
        <f>IF(K152="","",IF(K152&gt;=1,"Completado",IF(K152&gt;0,"En curso","Pendiente")))</f>
        <v/>
      </c>
      <c r="M152" s="61" t="n"/>
      <c r="N152" s="66">
        <f>IF(NOT((COUNTA($B152:$J152)+COUNTA($M152))&gt;0),"",IF((IF(B152="","Macroactividad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 OK","⚠ "&amp;LEFT(IF(B152="","Macroactividad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",""),LEN(IF(B152="","Macroactividad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",""))-3)))</f>
        <v/>
      </c>
      <c r="O152" s="67">
        <f>IF(NOT((COUNTA($B152:$J152)+COUNTA($M152))&gt;0),"",IF(ISNUMBER($D152),DATE(YEAR($D152),MONTH($D152),1),IF(ISNUMBER($E152),DATE(YEAR($E152),MONTH($E152),1),MesCiclo)))</f>
        <v/>
      </c>
      <c r="P152" s="68">
        <f>IF(OR($O152="",$O152&lt;&gt;MesCiclo),"",COUNTIF($O$5:$O152,MesCiclo))</f>
        <v/>
      </c>
    </row>
    <row r="153">
      <c r="A153" s="60">
        <f>IF(NOT((COUNTA($B153:$J153)+COUNTA($M153))&gt;0),"",COUNTIFS($L$5:$L153,"?*",$O$5:$O153,$O153))</f>
        <v/>
      </c>
      <c r="B153" s="61" t="n"/>
      <c r="C153" s="61" t="n"/>
      <c r="D153" s="62" t="n"/>
      <c r="E153" s="62" t="n"/>
      <c r="F153" s="63" t="n"/>
      <c r="G153" s="64" t="n"/>
      <c r="H153" s="64" t="n"/>
      <c r="I153" s="64" t="n"/>
      <c r="J153" s="64" t="n"/>
      <c r="K153" s="65">
        <f>IF(NOT((COUNTA($B153:$J153)+COUNTA($M153))&gt;0),"",IFERROR(LOOKUP(2,1/(G153:J153&lt;&gt;""),G153:J153),0))</f>
        <v/>
      </c>
      <c r="L153" s="60">
        <f>IF(K153="","",IF(K153&gt;=1,"Completado",IF(K153&gt;0,"En curso","Pendiente")))</f>
        <v/>
      </c>
      <c r="M153" s="61" t="n"/>
      <c r="N153" s="66">
        <f>IF(NOT((COUNTA($B153:$J153)+COUNTA($M153))&gt;0),"",IF((IF(B153="","Macroactividad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 OK","⚠ "&amp;LEFT(IF(B153="","Macroactividad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",""),LEN(IF(B153="","Macroactividad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",""))-3)))</f>
        <v/>
      </c>
      <c r="O153" s="67">
        <f>IF(NOT((COUNTA($B153:$J153)+COUNTA($M153))&gt;0),"",IF(ISNUMBER($D153),DATE(YEAR($D153),MONTH($D153),1),IF(ISNUMBER($E153),DATE(YEAR($E153),MONTH($E153),1),MesCiclo)))</f>
        <v/>
      </c>
      <c r="P153" s="68">
        <f>IF(OR($O153="",$O153&lt;&gt;MesCiclo),"",COUNTIF($O$5:$O153,MesCiclo))</f>
        <v/>
      </c>
    </row>
    <row r="154">
      <c r="A154" s="60">
        <f>IF(NOT((COUNTA($B154:$J154)+COUNTA($M154))&gt;0),"",COUNTIFS($L$5:$L154,"?*",$O$5:$O154,$O154))</f>
        <v/>
      </c>
      <c r="B154" s="61" t="n"/>
      <c r="C154" s="61" t="n"/>
      <c r="D154" s="62" t="n"/>
      <c r="E154" s="62" t="n"/>
      <c r="F154" s="63" t="n"/>
      <c r="G154" s="64" t="n"/>
      <c r="H154" s="64" t="n"/>
      <c r="I154" s="64" t="n"/>
      <c r="J154" s="64" t="n"/>
      <c r="K154" s="65">
        <f>IF(NOT((COUNTA($B154:$J154)+COUNTA($M154))&gt;0),"",IFERROR(LOOKUP(2,1/(G154:J154&lt;&gt;""),G154:J154),0))</f>
        <v/>
      </c>
      <c r="L154" s="60">
        <f>IF(K154="","",IF(K154&gt;=1,"Completado",IF(K154&gt;0,"En curso","Pendiente")))</f>
        <v/>
      </c>
      <c r="M154" s="61" t="n"/>
      <c r="N154" s="66">
        <f>IF(NOT((COUNTA($B154:$J154)+COUNTA($M154))&gt;0),"",IF((IF(B154="","Macroactividad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 OK","⚠ "&amp;LEFT(IF(B154="","Macroactividad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",""),LEN(IF(B154="","Macroactividad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",""))-3)))</f>
        <v/>
      </c>
      <c r="O154" s="67">
        <f>IF(NOT((COUNTA($B154:$J154)+COUNTA($M154))&gt;0),"",IF(ISNUMBER($D154),DATE(YEAR($D154),MONTH($D154),1),IF(ISNUMBER($E154),DATE(YEAR($E154),MONTH($E154),1),MesCiclo)))</f>
        <v/>
      </c>
      <c r="P154" s="68">
        <f>IF(OR($O154="",$O154&lt;&gt;MesCiclo),"",COUNTIF($O$5:$O154,MesCiclo))</f>
        <v/>
      </c>
    </row>
    <row r="155">
      <c r="A155" s="60">
        <f>IF(NOT((COUNTA($B155:$J155)+COUNTA($M155))&gt;0),"",COUNTIFS($L$5:$L155,"?*",$O$5:$O155,$O155))</f>
        <v/>
      </c>
      <c r="B155" s="61" t="n"/>
      <c r="C155" s="61" t="n"/>
      <c r="D155" s="62" t="n"/>
      <c r="E155" s="62" t="n"/>
      <c r="F155" s="63" t="n"/>
      <c r="G155" s="64" t="n"/>
      <c r="H155" s="64" t="n"/>
      <c r="I155" s="64" t="n"/>
      <c r="J155" s="64" t="n"/>
      <c r="K155" s="65">
        <f>IF(NOT((COUNTA($B155:$J155)+COUNTA($M155))&gt;0),"",IFERROR(LOOKUP(2,1/(G155:J155&lt;&gt;""),G155:J155),0))</f>
        <v/>
      </c>
      <c r="L155" s="60">
        <f>IF(K155="","",IF(K155&gt;=1,"Completado",IF(K155&gt;0,"En curso","Pendiente")))</f>
        <v/>
      </c>
      <c r="M155" s="61" t="n"/>
      <c r="N155" s="66">
        <f>IF(NOT((COUNTA($B155:$J155)+COUNTA($M155))&gt;0),"",IF((IF(B155="","Macroactividad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 OK","⚠ "&amp;LEFT(IF(B155="","Macroactividad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",""),LEN(IF(B155="","Macroactividad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",""))-3)))</f>
        <v/>
      </c>
      <c r="O155" s="67">
        <f>IF(NOT((COUNTA($B155:$J155)+COUNTA($M155))&gt;0),"",IF(ISNUMBER($D155),DATE(YEAR($D155),MONTH($D155),1),IF(ISNUMBER($E155),DATE(YEAR($E155),MONTH($E155),1),MesCiclo)))</f>
        <v/>
      </c>
      <c r="P155" s="68">
        <f>IF(OR($O155="",$O155&lt;&gt;MesCiclo),"",COUNTIF($O$5:$O155,MesCiclo))</f>
        <v/>
      </c>
    </row>
    <row r="156">
      <c r="A156" s="60">
        <f>IF(NOT((COUNTA($B156:$J156)+COUNTA($M156))&gt;0),"",COUNTIFS($L$5:$L156,"?*",$O$5:$O156,$O156))</f>
        <v/>
      </c>
      <c r="B156" s="61" t="n"/>
      <c r="C156" s="61" t="n"/>
      <c r="D156" s="62" t="n"/>
      <c r="E156" s="62" t="n"/>
      <c r="F156" s="63" t="n"/>
      <c r="G156" s="64" t="n"/>
      <c r="H156" s="64" t="n"/>
      <c r="I156" s="64" t="n"/>
      <c r="J156" s="64" t="n"/>
      <c r="K156" s="65">
        <f>IF(NOT((COUNTA($B156:$J156)+COUNTA($M156))&gt;0),"",IFERROR(LOOKUP(2,1/(G156:J156&lt;&gt;""),G156:J156),0))</f>
        <v/>
      </c>
      <c r="L156" s="60">
        <f>IF(K156="","",IF(K156&gt;=1,"Completado",IF(K156&gt;0,"En curso","Pendiente")))</f>
        <v/>
      </c>
      <c r="M156" s="61" t="n"/>
      <c r="N156" s="66">
        <f>IF(NOT((COUNTA($B156:$J156)+COUNTA($M156))&gt;0),"",IF((IF(B156="","Macroactividad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 OK","⚠ "&amp;LEFT(IF(B156="","Macroactividad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",""),LEN(IF(B156="","Macroactividad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",""))-3)))</f>
        <v/>
      </c>
      <c r="O156" s="67">
        <f>IF(NOT((COUNTA($B156:$J156)+COUNTA($M156))&gt;0),"",IF(ISNUMBER($D156),DATE(YEAR($D156),MONTH($D156),1),IF(ISNUMBER($E156),DATE(YEAR($E156),MONTH($E156),1),MesCiclo)))</f>
        <v/>
      </c>
      <c r="P156" s="68">
        <f>IF(OR($O156="",$O156&lt;&gt;MesCiclo),"",COUNTIF($O$5:$O156,MesCiclo))</f>
        <v/>
      </c>
    </row>
    <row r="157">
      <c r="A157" s="60">
        <f>IF(NOT((COUNTA($B157:$J157)+COUNTA($M157))&gt;0),"",COUNTIFS($L$5:$L157,"?*",$O$5:$O157,$O157))</f>
        <v/>
      </c>
      <c r="B157" s="61" t="n"/>
      <c r="C157" s="61" t="n"/>
      <c r="D157" s="62" t="n"/>
      <c r="E157" s="62" t="n"/>
      <c r="F157" s="63" t="n"/>
      <c r="G157" s="64" t="n"/>
      <c r="H157" s="64" t="n"/>
      <c r="I157" s="64" t="n"/>
      <c r="J157" s="64" t="n"/>
      <c r="K157" s="65">
        <f>IF(NOT((COUNTA($B157:$J157)+COUNTA($M157))&gt;0),"",IFERROR(LOOKUP(2,1/(G157:J157&lt;&gt;""),G157:J157),0))</f>
        <v/>
      </c>
      <c r="L157" s="60">
        <f>IF(K157="","",IF(K157&gt;=1,"Completado",IF(K157&gt;0,"En curso","Pendiente")))</f>
        <v/>
      </c>
      <c r="M157" s="61" t="n"/>
      <c r="N157" s="66">
        <f>IF(NOT((COUNTA($B157:$J157)+COUNTA($M157))&gt;0),"",IF((IF(B157="","Macroactividad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 OK","⚠ "&amp;LEFT(IF(B157="","Macroactividad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",""),LEN(IF(B157="","Macroactividad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",""))-3)))</f>
        <v/>
      </c>
      <c r="O157" s="67">
        <f>IF(NOT((COUNTA($B157:$J157)+COUNTA($M157))&gt;0),"",IF(ISNUMBER($D157),DATE(YEAR($D157),MONTH($D157),1),IF(ISNUMBER($E157),DATE(YEAR($E157),MONTH($E157),1),MesCiclo)))</f>
        <v/>
      </c>
      <c r="P157" s="68">
        <f>IF(OR($O157="",$O157&lt;&gt;MesCiclo),"",COUNTIF($O$5:$O157,MesCiclo))</f>
        <v/>
      </c>
    </row>
    <row r="158">
      <c r="A158" s="60">
        <f>IF(NOT((COUNTA($B158:$J158)+COUNTA($M158))&gt;0),"",COUNTIFS($L$5:$L158,"?*",$O$5:$O158,$O158))</f>
        <v/>
      </c>
      <c r="B158" s="61" t="n"/>
      <c r="C158" s="61" t="n"/>
      <c r="D158" s="62" t="n"/>
      <c r="E158" s="62" t="n"/>
      <c r="F158" s="63" t="n"/>
      <c r="G158" s="64" t="n"/>
      <c r="H158" s="64" t="n"/>
      <c r="I158" s="64" t="n"/>
      <c r="J158" s="64" t="n"/>
      <c r="K158" s="65">
        <f>IF(NOT((COUNTA($B158:$J158)+COUNTA($M158))&gt;0),"",IFERROR(LOOKUP(2,1/(G158:J158&lt;&gt;""),G158:J158),0))</f>
        <v/>
      </c>
      <c r="L158" s="60">
        <f>IF(K158="","",IF(K158&gt;=1,"Completado",IF(K158&gt;0,"En curso","Pendiente")))</f>
        <v/>
      </c>
      <c r="M158" s="61" t="n"/>
      <c r="N158" s="66">
        <f>IF(NOT((COUNTA($B158:$J158)+COUNTA($M158))&gt;0),"",IF((IF(B158="","Macroactividad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 OK","⚠ "&amp;LEFT(IF(B158="","Macroactividad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",""),LEN(IF(B158="","Macroactividad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",""))-3)))</f>
        <v/>
      </c>
      <c r="O158" s="67">
        <f>IF(NOT((COUNTA($B158:$J158)+COUNTA($M158))&gt;0),"",IF(ISNUMBER($D158),DATE(YEAR($D158),MONTH($D158),1),IF(ISNUMBER($E158),DATE(YEAR($E158),MONTH($E158),1),MesCiclo)))</f>
        <v/>
      </c>
      <c r="P158" s="68">
        <f>IF(OR($O158="",$O158&lt;&gt;MesCiclo),"",COUNTIF($O$5:$O158,MesCiclo))</f>
        <v/>
      </c>
    </row>
    <row r="159">
      <c r="A159" s="60">
        <f>IF(NOT((COUNTA($B159:$J159)+COUNTA($M159))&gt;0),"",COUNTIFS($L$5:$L159,"?*",$O$5:$O159,$O159))</f>
        <v/>
      </c>
      <c r="B159" s="61" t="n"/>
      <c r="C159" s="61" t="n"/>
      <c r="D159" s="62" t="n"/>
      <c r="E159" s="62" t="n"/>
      <c r="F159" s="63" t="n"/>
      <c r="G159" s="64" t="n"/>
      <c r="H159" s="64" t="n"/>
      <c r="I159" s="64" t="n"/>
      <c r="J159" s="64" t="n"/>
      <c r="K159" s="65">
        <f>IF(NOT((COUNTA($B159:$J159)+COUNTA($M159))&gt;0),"",IFERROR(LOOKUP(2,1/(G159:J159&lt;&gt;""),G159:J159),0))</f>
        <v/>
      </c>
      <c r="L159" s="60">
        <f>IF(K159="","",IF(K159&gt;=1,"Completado",IF(K159&gt;0,"En curso","Pendiente")))</f>
        <v/>
      </c>
      <c r="M159" s="61" t="n"/>
      <c r="N159" s="66">
        <f>IF(NOT((COUNTA($B159:$J159)+COUNTA($M159))&gt;0),"",IF((IF(B159="","Macroactividad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 OK","⚠ "&amp;LEFT(IF(B159="","Macroactividad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",""),LEN(IF(B159="","Macroactividad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",""))-3)))</f>
        <v/>
      </c>
      <c r="O159" s="67">
        <f>IF(NOT((COUNTA($B159:$J159)+COUNTA($M159))&gt;0),"",IF(ISNUMBER($D159),DATE(YEAR($D159),MONTH($D159),1),IF(ISNUMBER($E159),DATE(YEAR($E159),MONTH($E159),1),MesCiclo)))</f>
        <v/>
      </c>
      <c r="P159" s="68">
        <f>IF(OR($O159="",$O159&lt;&gt;MesCiclo),"",COUNTIF($O$5:$O159,MesCiclo))</f>
        <v/>
      </c>
    </row>
    <row r="160">
      <c r="A160" s="60">
        <f>IF(NOT((COUNTA($B160:$J160)+COUNTA($M160))&gt;0),"",COUNTIFS($L$5:$L160,"?*",$O$5:$O160,$O160))</f>
        <v/>
      </c>
      <c r="B160" s="61" t="n"/>
      <c r="C160" s="61" t="n"/>
      <c r="D160" s="62" t="n"/>
      <c r="E160" s="62" t="n"/>
      <c r="F160" s="63" t="n"/>
      <c r="G160" s="64" t="n"/>
      <c r="H160" s="64" t="n"/>
      <c r="I160" s="64" t="n"/>
      <c r="J160" s="64" t="n"/>
      <c r="K160" s="65">
        <f>IF(NOT((COUNTA($B160:$J160)+COUNTA($M160))&gt;0),"",IFERROR(LOOKUP(2,1/(G160:J160&lt;&gt;""),G160:J160),0))</f>
        <v/>
      </c>
      <c r="L160" s="60">
        <f>IF(K160="","",IF(K160&gt;=1,"Completado",IF(K160&gt;0,"En curso","Pendiente")))</f>
        <v/>
      </c>
      <c r="M160" s="61" t="n"/>
      <c r="N160" s="66">
        <f>IF(NOT((COUNTA($B160:$J160)+COUNTA($M160))&gt;0),"",IF((IF(B160="","Macroactividad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 OK","⚠ "&amp;LEFT(IF(B160="","Macroactividad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",""),LEN(IF(B160="","Macroactividad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",""))-3)))</f>
        <v/>
      </c>
      <c r="O160" s="67">
        <f>IF(NOT((COUNTA($B160:$J160)+COUNTA($M160))&gt;0),"",IF(ISNUMBER($D160),DATE(YEAR($D160),MONTH($D160),1),IF(ISNUMBER($E160),DATE(YEAR($E160),MONTH($E160),1),MesCiclo)))</f>
        <v/>
      </c>
      <c r="P160" s="68">
        <f>IF(OR($O160="",$O160&lt;&gt;MesCiclo),"",COUNTIF($O$5:$O160,MesCiclo))</f>
        <v/>
      </c>
    </row>
    <row r="161">
      <c r="A161" s="60">
        <f>IF(NOT((COUNTA($B161:$J161)+COUNTA($M161))&gt;0),"",COUNTIFS($L$5:$L161,"?*",$O$5:$O161,$O161))</f>
        <v/>
      </c>
      <c r="B161" s="61" t="n"/>
      <c r="C161" s="61" t="n"/>
      <c r="D161" s="62" t="n"/>
      <c r="E161" s="62" t="n"/>
      <c r="F161" s="63" t="n"/>
      <c r="G161" s="64" t="n"/>
      <c r="H161" s="64" t="n"/>
      <c r="I161" s="64" t="n"/>
      <c r="J161" s="64" t="n"/>
      <c r="K161" s="65">
        <f>IF(NOT((COUNTA($B161:$J161)+COUNTA($M161))&gt;0),"",IFERROR(LOOKUP(2,1/(G161:J161&lt;&gt;""),G161:J161),0))</f>
        <v/>
      </c>
      <c r="L161" s="60">
        <f>IF(K161="","",IF(K161&gt;=1,"Completado",IF(K161&gt;0,"En curso","Pendiente")))</f>
        <v/>
      </c>
      <c r="M161" s="61" t="n"/>
      <c r="N161" s="66">
        <f>IF(NOT((COUNTA($B161:$J161)+COUNTA($M161))&gt;0),"",IF((IF(B161="","Macroactividad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 OK","⚠ "&amp;LEFT(IF(B161="","Macroactividad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",""),LEN(IF(B161="","Macroactividad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",""))-3)))</f>
        <v/>
      </c>
      <c r="O161" s="67">
        <f>IF(NOT((COUNTA($B161:$J161)+COUNTA($M161))&gt;0),"",IF(ISNUMBER($D161),DATE(YEAR($D161),MONTH($D161),1),IF(ISNUMBER($E161),DATE(YEAR($E161),MONTH($E161),1),MesCiclo)))</f>
        <v/>
      </c>
      <c r="P161" s="68">
        <f>IF(OR($O161="",$O161&lt;&gt;MesCiclo),"",COUNTIF($O$5:$O161,MesCiclo))</f>
        <v/>
      </c>
    </row>
    <row r="162">
      <c r="A162" s="60">
        <f>IF(NOT((COUNTA($B162:$J162)+COUNTA($M162))&gt;0),"",COUNTIFS($L$5:$L162,"?*",$O$5:$O162,$O162))</f>
        <v/>
      </c>
      <c r="B162" s="61" t="n"/>
      <c r="C162" s="61" t="n"/>
      <c r="D162" s="62" t="n"/>
      <c r="E162" s="62" t="n"/>
      <c r="F162" s="63" t="n"/>
      <c r="G162" s="64" t="n"/>
      <c r="H162" s="64" t="n"/>
      <c r="I162" s="64" t="n"/>
      <c r="J162" s="64" t="n"/>
      <c r="K162" s="65">
        <f>IF(NOT((COUNTA($B162:$J162)+COUNTA($M162))&gt;0),"",IFERROR(LOOKUP(2,1/(G162:J162&lt;&gt;""),G162:J162),0))</f>
        <v/>
      </c>
      <c r="L162" s="60">
        <f>IF(K162="","",IF(K162&gt;=1,"Completado",IF(K162&gt;0,"En curso","Pendiente")))</f>
        <v/>
      </c>
      <c r="M162" s="61" t="n"/>
      <c r="N162" s="66">
        <f>IF(NOT((COUNTA($B162:$J162)+COUNTA($M162))&gt;0),"",IF((IF(B162="","Macroactividad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 OK","⚠ "&amp;LEFT(IF(B162="","Macroactividad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",""),LEN(IF(B162="","Macroactividad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",""))-3)))</f>
        <v/>
      </c>
      <c r="O162" s="67">
        <f>IF(NOT((COUNTA($B162:$J162)+COUNTA($M162))&gt;0),"",IF(ISNUMBER($D162),DATE(YEAR($D162),MONTH($D162),1),IF(ISNUMBER($E162),DATE(YEAR($E162),MONTH($E162),1),MesCiclo)))</f>
        <v/>
      </c>
      <c r="P162" s="68">
        <f>IF(OR($O162="",$O162&lt;&gt;MesCiclo),"",COUNTIF($O$5:$O162,MesCiclo))</f>
        <v/>
      </c>
    </row>
    <row r="163">
      <c r="A163" s="60">
        <f>IF(NOT((COUNTA($B163:$J163)+COUNTA($M163))&gt;0),"",COUNTIFS($L$5:$L163,"?*",$O$5:$O163,$O163))</f>
        <v/>
      </c>
      <c r="B163" s="61" t="n"/>
      <c r="C163" s="61" t="n"/>
      <c r="D163" s="62" t="n"/>
      <c r="E163" s="62" t="n"/>
      <c r="F163" s="63" t="n"/>
      <c r="G163" s="64" t="n"/>
      <c r="H163" s="64" t="n"/>
      <c r="I163" s="64" t="n"/>
      <c r="J163" s="64" t="n"/>
      <c r="K163" s="65">
        <f>IF(NOT((COUNTA($B163:$J163)+COUNTA($M163))&gt;0),"",IFERROR(LOOKUP(2,1/(G163:J163&lt;&gt;""),G163:J163),0))</f>
        <v/>
      </c>
      <c r="L163" s="60">
        <f>IF(K163="","",IF(K163&gt;=1,"Completado",IF(K163&gt;0,"En curso","Pendiente")))</f>
        <v/>
      </c>
      <c r="M163" s="61" t="n"/>
      <c r="N163" s="66">
        <f>IF(NOT((COUNTA($B163:$J163)+COUNTA($M163))&gt;0),"",IF((IF(B163="","Macroactividad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 OK","⚠ "&amp;LEFT(IF(B163="","Macroactividad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",""),LEN(IF(B163="","Macroactividad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",""))-3)))</f>
        <v/>
      </c>
      <c r="O163" s="67">
        <f>IF(NOT((COUNTA($B163:$J163)+COUNTA($M163))&gt;0),"",IF(ISNUMBER($D163),DATE(YEAR($D163),MONTH($D163),1),IF(ISNUMBER($E163),DATE(YEAR($E163),MONTH($E163),1),MesCiclo)))</f>
        <v/>
      </c>
      <c r="P163" s="68">
        <f>IF(OR($O163="",$O163&lt;&gt;MesCiclo),"",COUNTIF($O$5:$O163,MesCiclo))</f>
        <v/>
      </c>
    </row>
    <row r="164">
      <c r="A164" s="60">
        <f>IF(NOT((COUNTA($B164:$J164)+COUNTA($M164))&gt;0),"",COUNTIFS($L$5:$L164,"?*",$O$5:$O164,$O164))</f>
        <v/>
      </c>
      <c r="B164" s="61" t="n"/>
      <c r="C164" s="61" t="n"/>
      <c r="D164" s="62" t="n"/>
      <c r="E164" s="62" t="n"/>
      <c r="F164" s="63" t="n"/>
      <c r="G164" s="64" t="n"/>
      <c r="H164" s="64" t="n"/>
      <c r="I164" s="64" t="n"/>
      <c r="J164" s="64" t="n"/>
      <c r="K164" s="65">
        <f>IF(NOT((COUNTA($B164:$J164)+COUNTA($M164))&gt;0),"",IFERROR(LOOKUP(2,1/(G164:J164&lt;&gt;""),G164:J164),0))</f>
        <v/>
      </c>
      <c r="L164" s="60">
        <f>IF(K164="","",IF(K164&gt;=1,"Completado",IF(K164&gt;0,"En curso","Pendiente")))</f>
        <v/>
      </c>
      <c r="M164" s="61" t="n"/>
      <c r="N164" s="66">
        <f>IF(NOT((COUNTA($B164:$J164)+COUNTA($M164))&gt;0),"",IF((IF(B164="","Macroactividad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 OK","⚠ "&amp;LEFT(IF(B164="","Macroactividad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",""),LEN(IF(B164="","Macroactividad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",""))-3)))</f>
        <v/>
      </c>
      <c r="O164" s="67">
        <f>IF(NOT((COUNTA($B164:$J164)+COUNTA($M164))&gt;0),"",IF(ISNUMBER($D164),DATE(YEAR($D164),MONTH($D164),1),IF(ISNUMBER($E164),DATE(YEAR($E164),MONTH($E164),1),MesCiclo)))</f>
        <v/>
      </c>
      <c r="P164" s="68">
        <f>IF(OR($O164="",$O164&lt;&gt;MesCiclo),"",COUNTIF($O$5:$O164,MesCiclo))</f>
        <v/>
      </c>
    </row>
    <row r="165">
      <c r="A165" s="60">
        <f>IF(NOT((COUNTA($B165:$J165)+COUNTA($M165))&gt;0),"",COUNTIFS($L$5:$L165,"?*",$O$5:$O165,$O165))</f>
        <v/>
      </c>
      <c r="B165" s="61" t="n"/>
      <c r="C165" s="61" t="n"/>
      <c r="D165" s="62" t="n"/>
      <c r="E165" s="62" t="n"/>
      <c r="F165" s="63" t="n"/>
      <c r="G165" s="64" t="n"/>
      <c r="H165" s="64" t="n"/>
      <c r="I165" s="64" t="n"/>
      <c r="J165" s="64" t="n"/>
      <c r="K165" s="65">
        <f>IF(NOT((COUNTA($B165:$J165)+COUNTA($M165))&gt;0),"",IFERROR(LOOKUP(2,1/(G165:J165&lt;&gt;""),G165:J165),0))</f>
        <v/>
      </c>
      <c r="L165" s="60">
        <f>IF(K165="","",IF(K165&gt;=1,"Completado",IF(K165&gt;0,"En curso","Pendiente")))</f>
        <v/>
      </c>
      <c r="M165" s="61" t="n"/>
      <c r="N165" s="66">
        <f>IF(NOT((COUNTA($B165:$J165)+COUNTA($M165))&gt;0),"",IF((IF(B165="","Macroactividad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 OK","⚠ "&amp;LEFT(IF(B165="","Macroactividad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",""),LEN(IF(B165="","Macroactividad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",""))-3)))</f>
        <v/>
      </c>
      <c r="O165" s="67">
        <f>IF(NOT((COUNTA($B165:$J165)+COUNTA($M165))&gt;0),"",IF(ISNUMBER($D165),DATE(YEAR($D165),MONTH($D165),1),IF(ISNUMBER($E165),DATE(YEAR($E165),MONTH($E165),1),MesCiclo)))</f>
        <v/>
      </c>
      <c r="P165" s="68">
        <f>IF(OR($O165="",$O165&lt;&gt;MesCiclo),"",COUNTIF($O$5:$O165,MesCiclo))</f>
        <v/>
      </c>
    </row>
    <row r="166">
      <c r="A166" s="60">
        <f>IF(NOT((COUNTA($B166:$J166)+COUNTA($M166))&gt;0),"",COUNTIFS($L$5:$L166,"?*",$O$5:$O166,$O166))</f>
        <v/>
      </c>
      <c r="B166" s="61" t="n"/>
      <c r="C166" s="61" t="n"/>
      <c r="D166" s="62" t="n"/>
      <c r="E166" s="62" t="n"/>
      <c r="F166" s="63" t="n"/>
      <c r="G166" s="64" t="n"/>
      <c r="H166" s="64" t="n"/>
      <c r="I166" s="64" t="n"/>
      <c r="J166" s="64" t="n"/>
      <c r="K166" s="65">
        <f>IF(NOT((COUNTA($B166:$J166)+COUNTA($M166))&gt;0),"",IFERROR(LOOKUP(2,1/(G166:J166&lt;&gt;""),G166:J166),0))</f>
        <v/>
      </c>
      <c r="L166" s="60">
        <f>IF(K166="","",IF(K166&gt;=1,"Completado",IF(K166&gt;0,"En curso","Pendiente")))</f>
        <v/>
      </c>
      <c r="M166" s="61" t="n"/>
      <c r="N166" s="66">
        <f>IF(NOT((COUNTA($B166:$J166)+COUNTA($M166))&gt;0),"",IF((IF(B166="","Macroactividad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 OK","⚠ "&amp;LEFT(IF(B166="","Macroactividad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",""),LEN(IF(B166="","Macroactividad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",""))-3)))</f>
        <v/>
      </c>
      <c r="O166" s="67">
        <f>IF(NOT((COUNTA($B166:$J166)+COUNTA($M166))&gt;0),"",IF(ISNUMBER($D166),DATE(YEAR($D166),MONTH($D166),1),IF(ISNUMBER($E166),DATE(YEAR($E166),MONTH($E166),1),MesCiclo)))</f>
        <v/>
      </c>
      <c r="P166" s="68">
        <f>IF(OR($O166="",$O166&lt;&gt;MesCiclo),"",COUNTIF($O$5:$O166,MesCiclo))</f>
        <v/>
      </c>
    </row>
    <row r="167">
      <c r="A167" s="60">
        <f>IF(NOT((COUNTA($B167:$J167)+COUNTA($M167))&gt;0),"",COUNTIFS($L$5:$L167,"?*",$O$5:$O167,$O167))</f>
        <v/>
      </c>
      <c r="B167" s="61" t="n"/>
      <c r="C167" s="61" t="n"/>
      <c r="D167" s="62" t="n"/>
      <c r="E167" s="62" t="n"/>
      <c r="F167" s="63" t="n"/>
      <c r="G167" s="64" t="n"/>
      <c r="H167" s="64" t="n"/>
      <c r="I167" s="64" t="n"/>
      <c r="J167" s="64" t="n"/>
      <c r="K167" s="65">
        <f>IF(NOT((COUNTA($B167:$J167)+COUNTA($M167))&gt;0),"",IFERROR(LOOKUP(2,1/(G167:J167&lt;&gt;""),G167:J167),0))</f>
        <v/>
      </c>
      <c r="L167" s="60">
        <f>IF(K167="","",IF(K167&gt;=1,"Completado",IF(K167&gt;0,"En curso","Pendiente")))</f>
        <v/>
      </c>
      <c r="M167" s="61" t="n"/>
      <c r="N167" s="66">
        <f>IF(NOT((COUNTA($B167:$J167)+COUNTA($M167))&gt;0),"",IF((IF(B167="","Macroactividad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 OK","⚠ "&amp;LEFT(IF(B167="","Macroactividad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",""),LEN(IF(B167="","Macroactividad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",""))-3)))</f>
        <v/>
      </c>
      <c r="O167" s="67">
        <f>IF(NOT((COUNTA($B167:$J167)+COUNTA($M167))&gt;0),"",IF(ISNUMBER($D167),DATE(YEAR($D167),MONTH($D167),1),IF(ISNUMBER($E167),DATE(YEAR($E167),MONTH($E167),1),MesCiclo)))</f>
        <v/>
      </c>
      <c r="P167" s="68">
        <f>IF(OR($O167="",$O167&lt;&gt;MesCiclo),"",COUNTIF($O$5:$O167,MesCiclo))</f>
        <v/>
      </c>
    </row>
    <row r="168">
      <c r="A168" s="60">
        <f>IF(NOT((COUNTA($B168:$J168)+COUNTA($M168))&gt;0),"",COUNTIFS($L$5:$L168,"?*",$O$5:$O168,$O168))</f>
        <v/>
      </c>
      <c r="B168" s="61" t="n"/>
      <c r="C168" s="61" t="n"/>
      <c r="D168" s="62" t="n"/>
      <c r="E168" s="62" t="n"/>
      <c r="F168" s="63" t="n"/>
      <c r="G168" s="64" t="n"/>
      <c r="H168" s="64" t="n"/>
      <c r="I168" s="64" t="n"/>
      <c r="J168" s="64" t="n"/>
      <c r="K168" s="65">
        <f>IF(NOT((COUNTA($B168:$J168)+COUNTA($M168))&gt;0),"",IFERROR(LOOKUP(2,1/(G168:J168&lt;&gt;""),G168:J168),0))</f>
        <v/>
      </c>
      <c r="L168" s="60">
        <f>IF(K168="","",IF(K168&gt;=1,"Completado",IF(K168&gt;0,"En curso","Pendiente")))</f>
        <v/>
      </c>
      <c r="M168" s="61" t="n"/>
      <c r="N168" s="66">
        <f>IF(NOT((COUNTA($B168:$J168)+COUNTA($M168))&gt;0),"",IF((IF(B168="","Macroactividad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 OK","⚠ "&amp;LEFT(IF(B168="","Macroactividad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",""),LEN(IF(B168="","Macroactividad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",""))-3)))</f>
        <v/>
      </c>
      <c r="O168" s="67">
        <f>IF(NOT((COUNTA($B168:$J168)+COUNTA($M168))&gt;0),"",IF(ISNUMBER($D168),DATE(YEAR($D168),MONTH($D168),1),IF(ISNUMBER($E168),DATE(YEAR($E168),MONTH($E168),1),MesCiclo)))</f>
        <v/>
      </c>
      <c r="P168" s="68">
        <f>IF(OR($O168="",$O168&lt;&gt;MesCiclo),"",COUNTIF($O$5:$O168,MesCiclo))</f>
        <v/>
      </c>
    </row>
    <row r="169">
      <c r="A169" s="60">
        <f>IF(NOT((COUNTA($B169:$J169)+COUNTA($M169))&gt;0),"",COUNTIFS($L$5:$L169,"?*",$O$5:$O169,$O169))</f>
        <v/>
      </c>
      <c r="B169" s="61" t="n"/>
      <c r="C169" s="61" t="n"/>
      <c r="D169" s="62" t="n"/>
      <c r="E169" s="62" t="n"/>
      <c r="F169" s="63" t="n"/>
      <c r="G169" s="64" t="n"/>
      <c r="H169" s="64" t="n"/>
      <c r="I169" s="64" t="n"/>
      <c r="J169" s="64" t="n"/>
      <c r="K169" s="65">
        <f>IF(NOT((COUNTA($B169:$J169)+COUNTA($M169))&gt;0),"",IFERROR(LOOKUP(2,1/(G169:J169&lt;&gt;""),G169:J169),0))</f>
        <v/>
      </c>
      <c r="L169" s="60">
        <f>IF(K169="","",IF(K169&gt;=1,"Completado",IF(K169&gt;0,"En curso","Pendiente")))</f>
        <v/>
      </c>
      <c r="M169" s="61" t="n"/>
      <c r="N169" s="66">
        <f>IF(NOT((COUNTA($B169:$J169)+COUNTA($M169))&gt;0),"",IF((IF(B169="","Macroactividad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 OK","⚠ "&amp;LEFT(IF(B169="","Macroactividad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",""),LEN(IF(B169="","Macroactividad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",""))-3)))</f>
        <v/>
      </c>
      <c r="O169" s="67">
        <f>IF(NOT((COUNTA($B169:$J169)+COUNTA($M169))&gt;0),"",IF(ISNUMBER($D169),DATE(YEAR($D169),MONTH($D169),1),IF(ISNUMBER($E169),DATE(YEAR($E169),MONTH($E169),1),MesCiclo)))</f>
        <v/>
      </c>
      <c r="P169" s="68">
        <f>IF(OR($O169="",$O169&lt;&gt;MesCiclo),"",COUNTIF($O$5:$O169,MesCiclo))</f>
        <v/>
      </c>
    </row>
    <row r="170">
      <c r="A170" s="60">
        <f>IF(NOT((COUNTA($B170:$J170)+COUNTA($M170))&gt;0),"",COUNTIFS($L$5:$L170,"?*",$O$5:$O170,$O170))</f>
        <v/>
      </c>
      <c r="B170" s="61" t="n"/>
      <c r="C170" s="61" t="n"/>
      <c r="D170" s="62" t="n"/>
      <c r="E170" s="62" t="n"/>
      <c r="F170" s="63" t="n"/>
      <c r="G170" s="64" t="n"/>
      <c r="H170" s="64" t="n"/>
      <c r="I170" s="64" t="n"/>
      <c r="J170" s="64" t="n"/>
      <c r="K170" s="65">
        <f>IF(NOT((COUNTA($B170:$J170)+COUNTA($M170))&gt;0),"",IFERROR(LOOKUP(2,1/(G170:J170&lt;&gt;""),G170:J170),0))</f>
        <v/>
      </c>
      <c r="L170" s="60">
        <f>IF(K170="","",IF(K170&gt;=1,"Completado",IF(K170&gt;0,"En curso","Pendiente")))</f>
        <v/>
      </c>
      <c r="M170" s="61" t="n"/>
      <c r="N170" s="66">
        <f>IF(NOT((COUNTA($B170:$J170)+COUNTA($M170))&gt;0),"",IF((IF(B170="","Macroactividad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 OK","⚠ "&amp;LEFT(IF(B170="","Macroactividad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",""),LEN(IF(B170="","Macroactividad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",""))-3)))</f>
        <v/>
      </c>
      <c r="O170" s="67">
        <f>IF(NOT((COUNTA($B170:$J170)+COUNTA($M170))&gt;0),"",IF(ISNUMBER($D170),DATE(YEAR($D170),MONTH($D170),1),IF(ISNUMBER($E170),DATE(YEAR($E170),MONTH($E170),1),MesCiclo)))</f>
        <v/>
      </c>
      <c r="P170" s="68">
        <f>IF(OR($O170="",$O170&lt;&gt;MesCiclo),"",COUNTIF($O$5:$O170,MesCiclo))</f>
        <v/>
      </c>
    </row>
    <row r="171">
      <c r="A171" s="60">
        <f>IF(NOT((COUNTA($B171:$J171)+COUNTA($M171))&gt;0),"",COUNTIFS($L$5:$L171,"?*",$O$5:$O171,$O171))</f>
        <v/>
      </c>
      <c r="B171" s="61" t="n"/>
      <c r="C171" s="61" t="n"/>
      <c r="D171" s="62" t="n"/>
      <c r="E171" s="62" t="n"/>
      <c r="F171" s="63" t="n"/>
      <c r="G171" s="64" t="n"/>
      <c r="H171" s="64" t="n"/>
      <c r="I171" s="64" t="n"/>
      <c r="J171" s="64" t="n"/>
      <c r="K171" s="65">
        <f>IF(NOT((COUNTA($B171:$J171)+COUNTA($M171))&gt;0),"",IFERROR(LOOKUP(2,1/(G171:J171&lt;&gt;""),G171:J171),0))</f>
        <v/>
      </c>
      <c r="L171" s="60">
        <f>IF(K171="","",IF(K171&gt;=1,"Completado",IF(K171&gt;0,"En curso","Pendiente")))</f>
        <v/>
      </c>
      <c r="M171" s="61" t="n"/>
      <c r="N171" s="66">
        <f>IF(NOT((COUNTA($B171:$J171)+COUNTA($M171))&gt;0),"",IF((IF(B171="","Macroactividad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 OK","⚠ "&amp;LEFT(IF(B171="","Macroactividad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",""),LEN(IF(B171="","Macroactividad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",""))-3)))</f>
        <v/>
      </c>
      <c r="O171" s="67">
        <f>IF(NOT((COUNTA($B171:$J171)+COUNTA($M171))&gt;0),"",IF(ISNUMBER($D171),DATE(YEAR($D171),MONTH($D171),1),IF(ISNUMBER($E171),DATE(YEAR($E171),MONTH($E171),1),MesCiclo)))</f>
        <v/>
      </c>
      <c r="P171" s="68">
        <f>IF(OR($O171="",$O171&lt;&gt;MesCiclo),"",COUNTIF($O$5:$O171,MesCiclo))</f>
        <v/>
      </c>
    </row>
    <row r="172">
      <c r="A172" s="60">
        <f>IF(NOT((COUNTA($B172:$J172)+COUNTA($M172))&gt;0),"",COUNTIFS($L$5:$L172,"?*",$O$5:$O172,$O172))</f>
        <v/>
      </c>
      <c r="B172" s="61" t="n"/>
      <c r="C172" s="61" t="n"/>
      <c r="D172" s="62" t="n"/>
      <c r="E172" s="62" t="n"/>
      <c r="F172" s="63" t="n"/>
      <c r="G172" s="64" t="n"/>
      <c r="H172" s="64" t="n"/>
      <c r="I172" s="64" t="n"/>
      <c r="J172" s="64" t="n"/>
      <c r="K172" s="65">
        <f>IF(NOT((COUNTA($B172:$J172)+COUNTA($M172))&gt;0),"",IFERROR(LOOKUP(2,1/(G172:J172&lt;&gt;""),G172:J172),0))</f>
        <v/>
      </c>
      <c r="L172" s="60">
        <f>IF(K172="","",IF(K172&gt;=1,"Completado",IF(K172&gt;0,"En curso","Pendiente")))</f>
        <v/>
      </c>
      <c r="M172" s="61" t="n"/>
      <c r="N172" s="66">
        <f>IF(NOT((COUNTA($B172:$J172)+COUNTA($M172))&gt;0),"",IF((IF(B172="","Macroactividad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 OK","⚠ "&amp;LEFT(IF(B172="","Macroactividad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",""),LEN(IF(B172="","Macroactividad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",""))-3)))</f>
        <v/>
      </c>
      <c r="O172" s="67">
        <f>IF(NOT((COUNTA($B172:$J172)+COUNTA($M172))&gt;0),"",IF(ISNUMBER($D172),DATE(YEAR($D172),MONTH($D172),1),IF(ISNUMBER($E172),DATE(YEAR($E172),MONTH($E172),1),MesCiclo)))</f>
        <v/>
      </c>
      <c r="P172" s="68">
        <f>IF(OR($O172="",$O172&lt;&gt;MesCiclo),"",COUNTIF($O$5:$O172,MesCiclo))</f>
        <v/>
      </c>
    </row>
    <row r="173">
      <c r="A173" s="60">
        <f>IF(NOT((COUNTA($B173:$J173)+COUNTA($M173))&gt;0),"",COUNTIFS($L$5:$L173,"?*",$O$5:$O173,$O173))</f>
        <v/>
      </c>
      <c r="B173" s="61" t="n"/>
      <c r="C173" s="61" t="n"/>
      <c r="D173" s="62" t="n"/>
      <c r="E173" s="62" t="n"/>
      <c r="F173" s="63" t="n"/>
      <c r="G173" s="64" t="n"/>
      <c r="H173" s="64" t="n"/>
      <c r="I173" s="64" t="n"/>
      <c r="J173" s="64" t="n"/>
      <c r="K173" s="65">
        <f>IF(NOT((COUNTA($B173:$J173)+COUNTA($M173))&gt;0),"",IFERROR(LOOKUP(2,1/(G173:J173&lt;&gt;""),G173:J173),0))</f>
        <v/>
      </c>
      <c r="L173" s="60">
        <f>IF(K173="","",IF(K173&gt;=1,"Completado",IF(K173&gt;0,"En curso","Pendiente")))</f>
        <v/>
      </c>
      <c r="M173" s="61" t="n"/>
      <c r="N173" s="66">
        <f>IF(NOT((COUNTA($B173:$J173)+COUNTA($M173))&gt;0),"",IF((IF(B173="","Macroactividad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 OK","⚠ "&amp;LEFT(IF(B173="","Macroactividad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",""),LEN(IF(B173="","Macroactividad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",""))-3)))</f>
        <v/>
      </c>
      <c r="O173" s="67">
        <f>IF(NOT((COUNTA($B173:$J173)+COUNTA($M173))&gt;0),"",IF(ISNUMBER($D173),DATE(YEAR($D173),MONTH($D173),1),IF(ISNUMBER($E173),DATE(YEAR($E173),MONTH($E173),1),MesCiclo)))</f>
        <v/>
      </c>
      <c r="P173" s="68">
        <f>IF(OR($O173="",$O173&lt;&gt;MesCiclo),"",COUNTIF($O$5:$O173,MesCiclo))</f>
        <v/>
      </c>
    </row>
    <row r="174">
      <c r="A174" s="60">
        <f>IF(NOT((COUNTA($B174:$J174)+COUNTA($M174))&gt;0),"",COUNTIFS($L$5:$L174,"?*",$O$5:$O174,$O174))</f>
        <v/>
      </c>
      <c r="B174" s="61" t="n"/>
      <c r="C174" s="61" t="n"/>
      <c r="D174" s="62" t="n"/>
      <c r="E174" s="62" t="n"/>
      <c r="F174" s="63" t="n"/>
      <c r="G174" s="64" t="n"/>
      <c r="H174" s="64" t="n"/>
      <c r="I174" s="64" t="n"/>
      <c r="J174" s="64" t="n"/>
      <c r="K174" s="65">
        <f>IF(NOT((COUNTA($B174:$J174)+COUNTA($M174))&gt;0),"",IFERROR(LOOKUP(2,1/(G174:J174&lt;&gt;""),G174:J174),0))</f>
        <v/>
      </c>
      <c r="L174" s="60">
        <f>IF(K174="","",IF(K174&gt;=1,"Completado",IF(K174&gt;0,"En curso","Pendiente")))</f>
        <v/>
      </c>
      <c r="M174" s="61" t="n"/>
      <c r="N174" s="66">
        <f>IF(NOT((COUNTA($B174:$J174)+COUNTA($M174))&gt;0),"",IF((IF(B174="","Macroactividad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 OK","⚠ "&amp;LEFT(IF(B174="","Macroactividad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",""),LEN(IF(B174="","Macroactividad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",""))-3)))</f>
        <v/>
      </c>
      <c r="O174" s="67">
        <f>IF(NOT((COUNTA($B174:$J174)+COUNTA($M174))&gt;0),"",IF(ISNUMBER($D174),DATE(YEAR($D174),MONTH($D174),1),IF(ISNUMBER($E174),DATE(YEAR($E174),MONTH($E174),1),MesCiclo)))</f>
        <v/>
      </c>
      <c r="P174" s="68">
        <f>IF(OR($O174="",$O174&lt;&gt;MesCiclo),"",COUNTIF($O$5:$O174,MesCiclo))</f>
        <v/>
      </c>
    </row>
    <row r="175">
      <c r="A175" s="60">
        <f>IF(NOT((COUNTA($B175:$J175)+COUNTA($M175))&gt;0),"",COUNTIFS($L$5:$L175,"?*",$O$5:$O175,$O175))</f>
        <v/>
      </c>
      <c r="B175" s="61" t="n"/>
      <c r="C175" s="61" t="n"/>
      <c r="D175" s="62" t="n"/>
      <c r="E175" s="62" t="n"/>
      <c r="F175" s="63" t="n"/>
      <c r="G175" s="64" t="n"/>
      <c r="H175" s="64" t="n"/>
      <c r="I175" s="64" t="n"/>
      <c r="J175" s="64" t="n"/>
      <c r="K175" s="65">
        <f>IF(NOT((COUNTA($B175:$J175)+COUNTA($M175))&gt;0),"",IFERROR(LOOKUP(2,1/(G175:J175&lt;&gt;""),G175:J175),0))</f>
        <v/>
      </c>
      <c r="L175" s="60">
        <f>IF(K175="","",IF(K175&gt;=1,"Completado",IF(K175&gt;0,"En curso","Pendiente")))</f>
        <v/>
      </c>
      <c r="M175" s="61" t="n"/>
      <c r="N175" s="66">
        <f>IF(NOT((COUNTA($B175:$J175)+COUNTA($M175))&gt;0),"",IF((IF(B175="","Macroactividad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 OK","⚠ "&amp;LEFT(IF(B175="","Macroactividad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",""),LEN(IF(B175="","Macroactividad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",""))-3)))</f>
        <v/>
      </c>
      <c r="O175" s="67">
        <f>IF(NOT((COUNTA($B175:$J175)+COUNTA($M175))&gt;0),"",IF(ISNUMBER($D175),DATE(YEAR($D175),MONTH($D175),1),IF(ISNUMBER($E175),DATE(YEAR($E175),MONTH($E175),1),MesCiclo)))</f>
        <v/>
      </c>
      <c r="P175" s="68">
        <f>IF(OR($O175="",$O175&lt;&gt;MesCiclo),"",COUNTIF($O$5:$O175,MesCiclo))</f>
        <v/>
      </c>
    </row>
    <row r="176">
      <c r="A176" s="60">
        <f>IF(NOT((COUNTA($B176:$J176)+COUNTA($M176))&gt;0),"",COUNTIFS($L$5:$L176,"?*",$O$5:$O176,$O176))</f>
        <v/>
      </c>
      <c r="B176" s="61" t="n"/>
      <c r="C176" s="61" t="n"/>
      <c r="D176" s="62" t="n"/>
      <c r="E176" s="62" t="n"/>
      <c r="F176" s="63" t="n"/>
      <c r="G176" s="64" t="n"/>
      <c r="H176" s="64" t="n"/>
      <c r="I176" s="64" t="n"/>
      <c r="J176" s="64" t="n"/>
      <c r="K176" s="65">
        <f>IF(NOT((COUNTA($B176:$J176)+COUNTA($M176))&gt;0),"",IFERROR(LOOKUP(2,1/(G176:J176&lt;&gt;""),G176:J176),0))</f>
        <v/>
      </c>
      <c r="L176" s="60">
        <f>IF(K176="","",IF(K176&gt;=1,"Completado",IF(K176&gt;0,"En curso","Pendiente")))</f>
        <v/>
      </c>
      <c r="M176" s="61" t="n"/>
      <c r="N176" s="66">
        <f>IF(NOT((COUNTA($B176:$J176)+COUNTA($M176))&gt;0),"",IF((IF(B176="","Macroactividad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 OK","⚠ "&amp;LEFT(IF(B176="","Macroactividad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",""),LEN(IF(B176="","Macroactividad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",""))-3)))</f>
        <v/>
      </c>
      <c r="O176" s="67">
        <f>IF(NOT((COUNTA($B176:$J176)+COUNTA($M176))&gt;0),"",IF(ISNUMBER($D176),DATE(YEAR($D176),MONTH($D176),1),IF(ISNUMBER($E176),DATE(YEAR($E176),MONTH($E176),1),MesCiclo)))</f>
        <v/>
      </c>
      <c r="P176" s="68">
        <f>IF(OR($O176="",$O176&lt;&gt;MesCiclo),"",COUNTIF($O$5:$O176,MesCiclo))</f>
        <v/>
      </c>
    </row>
    <row r="177">
      <c r="A177" s="60">
        <f>IF(NOT((COUNTA($B177:$J177)+COUNTA($M177))&gt;0),"",COUNTIFS($L$5:$L177,"?*",$O$5:$O177,$O177))</f>
        <v/>
      </c>
      <c r="B177" s="61" t="n"/>
      <c r="C177" s="61" t="n"/>
      <c r="D177" s="62" t="n"/>
      <c r="E177" s="62" t="n"/>
      <c r="F177" s="63" t="n"/>
      <c r="G177" s="64" t="n"/>
      <c r="H177" s="64" t="n"/>
      <c r="I177" s="64" t="n"/>
      <c r="J177" s="64" t="n"/>
      <c r="K177" s="65">
        <f>IF(NOT((COUNTA($B177:$J177)+COUNTA($M177))&gt;0),"",IFERROR(LOOKUP(2,1/(G177:J177&lt;&gt;""),G177:J177),0))</f>
        <v/>
      </c>
      <c r="L177" s="60">
        <f>IF(K177="","",IF(K177&gt;=1,"Completado",IF(K177&gt;0,"En curso","Pendiente")))</f>
        <v/>
      </c>
      <c r="M177" s="61" t="n"/>
      <c r="N177" s="66">
        <f>IF(NOT((COUNTA($B177:$J177)+COUNTA($M177))&gt;0),"",IF((IF(B177="","Macroactividad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 OK","⚠ "&amp;LEFT(IF(B177="","Macroactividad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",""),LEN(IF(B177="","Macroactividad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",""))-3)))</f>
        <v/>
      </c>
      <c r="O177" s="67">
        <f>IF(NOT((COUNTA($B177:$J177)+COUNTA($M177))&gt;0),"",IF(ISNUMBER($D177),DATE(YEAR($D177),MONTH($D177),1),IF(ISNUMBER($E177),DATE(YEAR($E177),MONTH($E177),1),MesCiclo)))</f>
        <v/>
      </c>
      <c r="P177" s="68">
        <f>IF(OR($O177="",$O177&lt;&gt;MesCiclo),"",COUNTIF($O$5:$O177,MesCiclo))</f>
        <v/>
      </c>
    </row>
    <row r="178">
      <c r="A178" s="60">
        <f>IF(NOT((COUNTA($B178:$J178)+COUNTA($M178))&gt;0),"",COUNTIFS($L$5:$L178,"?*",$O$5:$O178,$O178))</f>
        <v/>
      </c>
      <c r="B178" s="61" t="n"/>
      <c r="C178" s="61" t="n"/>
      <c r="D178" s="62" t="n"/>
      <c r="E178" s="62" t="n"/>
      <c r="F178" s="63" t="n"/>
      <c r="G178" s="64" t="n"/>
      <c r="H178" s="64" t="n"/>
      <c r="I178" s="64" t="n"/>
      <c r="J178" s="64" t="n"/>
      <c r="K178" s="65">
        <f>IF(NOT((COUNTA($B178:$J178)+COUNTA($M178))&gt;0),"",IFERROR(LOOKUP(2,1/(G178:J178&lt;&gt;""),G178:J178),0))</f>
        <v/>
      </c>
      <c r="L178" s="60">
        <f>IF(K178="","",IF(K178&gt;=1,"Completado",IF(K178&gt;0,"En curso","Pendiente")))</f>
        <v/>
      </c>
      <c r="M178" s="61" t="n"/>
      <c r="N178" s="66">
        <f>IF(NOT((COUNTA($B178:$J178)+COUNTA($M178))&gt;0),"",IF((IF(B178="","Macroactividad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 OK","⚠ "&amp;LEFT(IF(B178="","Macroactividad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",""),LEN(IF(B178="","Macroactividad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",""))-3)))</f>
        <v/>
      </c>
      <c r="O178" s="67">
        <f>IF(NOT((COUNTA($B178:$J178)+COUNTA($M178))&gt;0),"",IF(ISNUMBER($D178),DATE(YEAR($D178),MONTH($D178),1),IF(ISNUMBER($E178),DATE(YEAR($E178),MONTH($E178),1),MesCiclo)))</f>
        <v/>
      </c>
      <c r="P178" s="68">
        <f>IF(OR($O178="",$O178&lt;&gt;MesCiclo),"",COUNTIF($O$5:$O178,MesCiclo))</f>
        <v/>
      </c>
    </row>
    <row r="179">
      <c r="A179" s="60">
        <f>IF(NOT((COUNTA($B179:$J179)+COUNTA($M179))&gt;0),"",COUNTIFS($L$5:$L179,"?*",$O$5:$O179,$O179))</f>
        <v/>
      </c>
      <c r="B179" s="61" t="n"/>
      <c r="C179" s="61" t="n"/>
      <c r="D179" s="62" t="n"/>
      <c r="E179" s="62" t="n"/>
      <c r="F179" s="63" t="n"/>
      <c r="G179" s="64" t="n"/>
      <c r="H179" s="64" t="n"/>
      <c r="I179" s="64" t="n"/>
      <c r="J179" s="64" t="n"/>
      <c r="K179" s="65">
        <f>IF(NOT((COUNTA($B179:$J179)+COUNTA($M179))&gt;0),"",IFERROR(LOOKUP(2,1/(G179:J179&lt;&gt;""),G179:J179),0))</f>
        <v/>
      </c>
      <c r="L179" s="60">
        <f>IF(K179="","",IF(K179&gt;=1,"Completado",IF(K179&gt;0,"En curso","Pendiente")))</f>
        <v/>
      </c>
      <c r="M179" s="61" t="n"/>
      <c r="N179" s="66">
        <f>IF(NOT((COUNTA($B179:$J179)+COUNTA($M179))&gt;0),"",IF((IF(B179="","Macroactividad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 OK","⚠ "&amp;LEFT(IF(B179="","Macroactividad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",""),LEN(IF(B179="","Macroactividad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",""))-3)))</f>
        <v/>
      </c>
      <c r="O179" s="67">
        <f>IF(NOT((COUNTA($B179:$J179)+COUNTA($M179))&gt;0),"",IF(ISNUMBER($D179),DATE(YEAR($D179),MONTH($D179),1),IF(ISNUMBER($E179),DATE(YEAR($E179),MONTH($E179),1),MesCiclo)))</f>
        <v/>
      </c>
      <c r="P179" s="68">
        <f>IF(OR($O179="",$O179&lt;&gt;MesCiclo),"",COUNTIF($O$5:$O179,MesCiclo))</f>
        <v/>
      </c>
    </row>
    <row r="180">
      <c r="A180" s="60">
        <f>IF(NOT((COUNTA($B180:$J180)+COUNTA($M180))&gt;0),"",COUNTIFS($L$5:$L180,"?*",$O$5:$O180,$O180))</f>
        <v/>
      </c>
      <c r="B180" s="61" t="n"/>
      <c r="C180" s="61" t="n"/>
      <c r="D180" s="62" t="n"/>
      <c r="E180" s="62" t="n"/>
      <c r="F180" s="63" t="n"/>
      <c r="G180" s="64" t="n"/>
      <c r="H180" s="64" t="n"/>
      <c r="I180" s="64" t="n"/>
      <c r="J180" s="64" t="n"/>
      <c r="K180" s="65">
        <f>IF(NOT((COUNTA($B180:$J180)+COUNTA($M180))&gt;0),"",IFERROR(LOOKUP(2,1/(G180:J180&lt;&gt;""),G180:J180),0))</f>
        <v/>
      </c>
      <c r="L180" s="60">
        <f>IF(K180="","",IF(K180&gt;=1,"Completado",IF(K180&gt;0,"En curso","Pendiente")))</f>
        <v/>
      </c>
      <c r="M180" s="61" t="n"/>
      <c r="N180" s="66">
        <f>IF(NOT((COUNTA($B180:$J180)+COUNTA($M180))&gt;0),"",IF((IF(B180="","Macroactividad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 OK","⚠ "&amp;LEFT(IF(B180="","Macroactividad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",""),LEN(IF(B180="","Macroactividad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",""))-3)))</f>
        <v/>
      </c>
      <c r="O180" s="67">
        <f>IF(NOT((COUNTA($B180:$J180)+COUNTA($M180))&gt;0),"",IF(ISNUMBER($D180),DATE(YEAR($D180),MONTH($D180),1),IF(ISNUMBER($E180),DATE(YEAR($E180),MONTH($E180),1),MesCiclo)))</f>
        <v/>
      </c>
      <c r="P180" s="68">
        <f>IF(OR($O180="",$O180&lt;&gt;MesCiclo),"",COUNTIF($O$5:$O180,MesCiclo))</f>
        <v/>
      </c>
    </row>
    <row r="181">
      <c r="A181" s="60">
        <f>IF(NOT((COUNTA($B181:$J181)+COUNTA($M181))&gt;0),"",COUNTIFS($L$5:$L181,"?*",$O$5:$O181,$O181))</f>
        <v/>
      </c>
      <c r="B181" s="61" t="n"/>
      <c r="C181" s="61" t="n"/>
      <c r="D181" s="62" t="n"/>
      <c r="E181" s="62" t="n"/>
      <c r="F181" s="63" t="n"/>
      <c r="G181" s="64" t="n"/>
      <c r="H181" s="64" t="n"/>
      <c r="I181" s="64" t="n"/>
      <c r="J181" s="64" t="n"/>
      <c r="K181" s="65">
        <f>IF(NOT((COUNTA($B181:$J181)+COUNTA($M181))&gt;0),"",IFERROR(LOOKUP(2,1/(G181:J181&lt;&gt;""),G181:J181),0))</f>
        <v/>
      </c>
      <c r="L181" s="60">
        <f>IF(K181="","",IF(K181&gt;=1,"Completado",IF(K181&gt;0,"En curso","Pendiente")))</f>
        <v/>
      </c>
      <c r="M181" s="61" t="n"/>
      <c r="N181" s="66">
        <f>IF(NOT((COUNTA($B181:$J181)+COUNTA($M181))&gt;0),"",IF((IF(B181="","Macroactividad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 OK","⚠ "&amp;LEFT(IF(B181="","Macroactividad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",""),LEN(IF(B181="","Macroactividad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",""))-3)))</f>
        <v/>
      </c>
      <c r="O181" s="67">
        <f>IF(NOT((COUNTA($B181:$J181)+COUNTA($M181))&gt;0),"",IF(ISNUMBER($D181),DATE(YEAR($D181),MONTH($D181),1),IF(ISNUMBER($E181),DATE(YEAR($E181),MONTH($E181),1),MesCiclo)))</f>
        <v/>
      </c>
      <c r="P181" s="68">
        <f>IF(OR($O181="",$O181&lt;&gt;MesCiclo),"",COUNTIF($O$5:$O181,MesCiclo))</f>
        <v/>
      </c>
    </row>
    <row r="182">
      <c r="A182" s="60">
        <f>IF(NOT((COUNTA($B182:$J182)+COUNTA($M182))&gt;0),"",COUNTIFS($L$5:$L182,"?*",$O$5:$O182,$O182))</f>
        <v/>
      </c>
      <c r="B182" s="61" t="n"/>
      <c r="C182" s="61" t="n"/>
      <c r="D182" s="62" t="n"/>
      <c r="E182" s="62" t="n"/>
      <c r="F182" s="63" t="n"/>
      <c r="G182" s="64" t="n"/>
      <c r="H182" s="64" t="n"/>
      <c r="I182" s="64" t="n"/>
      <c r="J182" s="64" t="n"/>
      <c r="K182" s="65">
        <f>IF(NOT((COUNTA($B182:$J182)+COUNTA($M182))&gt;0),"",IFERROR(LOOKUP(2,1/(G182:J182&lt;&gt;""),G182:J182),0))</f>
        <v/>
      </c>
      <c r="L182" s="60">
        <f>IF(K182="","",IF(K182&gt;=1,"Completado",IF(K182&gt;0,"En curso","Pendiente")))</f>
        <v/>
      </c>
      <c r="M182" s="61" t="n"/>
      <c r="N182" s="66">
        <f>IF(NOT((COUNTA($B182:$J182)+COUNTA($M182))&gt;0),"",IF((IF(B182="","Macroactividad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 OK","⚠ "&amp;LEFT(IF(B182="","Macroactividad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",""),LEN(IF(B182="","Macroactividad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",""))-3)))</f>
        <v/>
      </c>
      <c r="O182" s="67">
        <f>IF(NOT((COUNTA($B182:$J182)+COUNTA($M182))&gt;0),"",IF(ISNUMBER($D182),DATE(YEAR($D182),MONTH($D182),1),IF(ISNUMBER($E182),DATE(YEAR($E182),MONTH($E182),1),MesCiclo)))</f>
        <v/>
      </c>
      <c r="P182" s="68">
        <f>IF(OR($O182="",$O182&lt;&gt;MesCiclo),"",COUNTIF($O$5:$O182,MesCiclo))</f>
        <v/>
      </c>
    </row>
    <row r="183">
      <c r="A183" s="60">
        <f>IF(NOT((COUNTA($B183:$J183)+COUNTA($M183))&gt;0),"",COUNTIFS($L$5:$L183,"?*",$O$5:$O183,$O183))</f>
        <v/>
      </c>
      <c r="B183" s="61" t="n"/>
      <c r="C183" s="61" t="n"/>
      <c r="D183" s="62" t="n"/>
      <c r="E183" s="62" t="n"/>
      <c r="F183" s="63" t="n"/>
      <c r="G183" s="64" t="n"/>
      <c r="H183" s="64" t="n"/>
      <c r="I183" s="64" t="n"/>
      <c r="J183" s="64" t="n"/>
      <c r="K183" s="65">
        <f>IF(NOT((COUNTA($B183:$J183)+COUNTA($M183))&gt;0),"",IFERROR(LOOKUP(2,1/(G183:J183&lt;&gt;""),G183:J183),0))</f>
        <v/>
      </c>
      <c r="L183" s="60">
        <f>IF(K183="","",IF(K183&gt;=1,"Completado",IF(K183&gt;0,"En curso","Pendiente")))</f>
        <v/>
      </c>
      <c r="M183" s="61" t="n"/>
      <c r="N183" s="66">
        <f>IF(NOT((COUNTA($B183:$J183)+COUNTA($M183))&gt;0),"",IF((IF(B183="","Macroactividad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 OK","⚠ "&amp;LEFT(IF(B183="","Macroactividad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",""),LEN(IF(B183="","Macroactividad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",""))-3)))</f>
        <v/>
      </c>
      <c r="O183" s="67">
        <f>IF(NOT((COUNTA($B183:$J183)+COUNTA($M183))&gt;0),"",IF(ISNUMBER($D183),DATE(YEAR($D183),MONTH($D183),1),IF(ISNUMBER($E183),DATE(YEAR($E183),MONTH($E183),1),MesCiclo)))</f>
        <v/>
      </c>
      <c r="P183" s="68">
        <f>IF(OR($O183="",$O183&lt;&gt;MesCiclo),"",COUNTIF($O$5:$O183,MesCiclo))</f>
        <v/>
      </c>
    </row>
    <row r="184">
      <c r="A184" s="60">
        <f>IF(NOT((COUNTA($B184:$J184)+COUNTA($M184))&gt;0),"",COUNTIFS($L$5:$L184,"?*",$O$5:$O184,$O184))</f>
        <v/>
      </c>
      <c r="B184" s="61" t="n"/>
      <c r="C184" s="61" t="n"/>
      <c r="D184" s="62" t="n"/>
      <c r="E184" s="62" t="n"/>
      <c r="F184" s="63" t="n"/>
      <c r="G184" s="64" t="n"/>
      <c r="H184" s="64" t="n"/>
      <c r="I184" s="64" t="n"/>
      <c r="J184" s="64" t="n"/>
      <c r="K184" s="65">
        <f>IF(NOT((COUNTA($B184:$J184)+COUNTA($M184))&gt;0),"",IFERROR(LOOKUP(2,1/(G184:J184&lt;&gt;""),G184:J184),0))</f>
        <v/>
      </c>
      <c r="L184" s="60">
        <f>IF(K184="","",IF(K184&gt;=1,"Completado",IF(K184&gt;0,"En curso","Pendiente")))</f>
        <v/>
      </c>
      <c r="M184" s="61" t="n"/>
      <c r="N184" s="66">
        <f>IF(NOT((COUNTA($B184:$J184)+COUNTA($M184))&gt;0),"",IF((IF(B184="","Macroactividad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 OK","⚠ "&amp;LEFT(IF(B184="","Macroactividad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",""),LEN(IF(B184="","Macroactividad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",""))-3)))</f>
        <v/>
      </c>
      <c r="O184" s="67">
        <f>IF(NOT((COUNTA($B184:$J184)+COUNTA($M184))&gt;0),"",IF(ISNUMBER($D184),DATE(YEAR($D184),MONTH($D184),1),IF(ISNUMBER($E184),DATE(YEAR($E184),MONTH($E184),1),MesCiclo)))</f>
        <v/>
      </c>
      <c r="P184" s="68">
        <f>IF(OR($O184="",$O184&lt;&gt;MesCiclo),"",COUNTIF($O$5:$O184,MesCiclo))</f>
        <v/>
      </c>
    </row>
    <row r="185">
      <c r="A185" s="60">
        <f>IF(NOT((COUNTA($B185:$J185)+COUNTA($M185))&gt;0),"",COUNTIFS($L$5:$L185,"?*",$O$5:$O185,$O185))</f>
        <v/>
      </c>
      <c r="B185" s="61" t="n"/>
      <c r="C185" s="61" t="n"/>
      <c r="D185" s="62" t="n"/>
      <c r="E185" s="62" t="n"/>
      <c r="F185" s="63" t="n"/>
      <c r="G185" s="64" t="n"/>
      <c r="H185" s="64" t="n"/>
      <c r="I185" s="64" t="n"/>
      <c r="J185" s="64" t="n"/>
      <c r="K185" s="65">
        <f>IF(NOT((COUNTA($B185:$J185)+COUNTA($M185))&gt;0),"",IFERROR(LOOKUP(2,1/(G185:J185&lt;&gt;""),G185:J185),0))</f>
        <v/>
      </c>
      <c r="L185" s="60">
        <f>IF(K185="","",IF(K185&gt;=1,"Completado",IF(K185&gt;0,"En curso","Pendiente")))</f>
        <v/>
      </c>
      <c r="M185" s="61" t="n"/>
      <c r="N185" s="66">
        <f>IF(NOT((COUNTA($B185:$J185)+COUNTA($M185))&gt;0),"",IF((IF(B185="","Macroactividad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 OK","⚠ "&amp;LEFT(IF(B185="","Macroactividad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",""),LEN(IF(B185="","Macroactividad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",""))-3)))</f>
        <v/>
      </c>
      <c r="O185" s="67">
        <f>IF(NOT((COUNTA($B185:$J185)+COUNTA($M185))&gt;0),"",IF(ISNUMBER($D185),DATE(YEAR($D185),MONTH($D185),1),IF(ISNUMBER($E185),DATE(YEAR($E185),MONTH($E185),1),MesCiclo)))</f>
        <v/>
      </c>
      <c r="P185" s="68">
        <f>IF(OR($O185="",$O185&lt;&gt;MesCiclo),"",COUNTIF($O$5:$O185,MesCiclo))</f>
        <v/>
      </c>
    </row>
    <row r="186">
      <c r="A186" s="60">
        <f>IF(NOT((COUNTA($B186:$J186)+COUNTA($M186))&gt;0),"",COUNTIFS($L$5:$L186,"?*",$O$5:$O186,$O186))</f>
        <v/>
      </c>
      <c r="B186" s="61" t="n"/>
      <c r="C186" s="61" t="n"/>
      <c r="D186" s="62" t="n"/>
      <c r="E186" s="62" t="n"/>
      <c r="F186" s="63" t="n"/>
      <c r="G186" s="64" t="n"/>
      <c r="H186" s="64" t="n"/>
      <c r="I186" s="64" t="n"/>
      <c r="J186" s="64" t="n"/>
      <c r="K186" s="65">
        <f>IF(NOT((COUNTA($B186:$J186)+COUNTA($M186))&gt;0),"",IFERROR(LOOKUP(2,1/(G186:J186&lt;&gt;""),G186:J186),0))</f>
        <v/>
      </c>
      <c r="L186" s="60">
        <f>IF(K186="","",IF(K186&gt;=1,"Completado",IF(K186&gt;0,"En curso","Pendiente")))</f>
        <v/>
      </c>
      <c r="M186" s="61" t="n"/>
      <c r="N186" s="66">
        <f>IF(NOT((COUNTA($B186:$J186)+COUNTA($M186))&gt;0),"",IF((IF(B186="","Macroactividad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 OK","⚠ "&amp;LEFT(IF(B186="","Macroactividad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",""),LEN(IF(B186="","Macroactividad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",""))-3)))</f>
        <v/>
      </c>
      <c r="O186" s="67">
        <f>IF(NOT((COUNTA($B186:$J186)+COUNTA($M186))&gt;0),"",IF(ISNUMBER($D186),DATE(YEAR($D186),MONTH($D186),1),IF(ISNUMBER($E186),DATE(YEAR($E186),MONTH($E186),1),MesCiclo)))</f>
        <v/>
      </c>
      <c r="P186" s="68">
        <f>IF(OR($O186="",$O186&lt;&gt;MesCiclo),"",COUNTIF($O$5:$O186,MesCiclo))</f>
        <v/>
      </c>
    </row>
    <row r="187">
      <c r="A187" s="60">
        <f>IF(NOT((COUNTA($B187:$J187)+COUNTA($M187))&gt;0),"",COUNTIFS($L$5:$L187,"?*",$O$5:$O187,$O187))</f>
        <v/>
      </c>
      <c r="B187" s="61" t="n"/>
      <c r="C187" s="61" t="n"/>
      <c r="D187" s="62" t="n"/>
      <c r="E187" s="62" t="n"/>
      <c r="F187" s="63" t="n"/>
      <c r="G187" s="64" t="n"/>
      <c r="H187" s="64" t="n"/>
      <c r="I187" s="64" t="n"/>
      <c r="J187" s="64" t="n"/>
      <c r="K187" s="65">
        <f>IF(NOT((COUNTA($B187:$J187)+COUNTA($M187))&gt;0),"",IFERROR(LOOKUP(2,1/(G187:J187&lt;&gt;""),G187:J187),0))</f>
        <v/>
      </c>
      <c r="L187" s="60">
        <f>IF(K187="","",IF(K187&gt;=1,"Completado",IF(K187&gt;0,"En curso","Pendiente")))</f>
        <v/>
      </c>
      <c r="M187" s="61" t="n"/>
      <c r="N187" s="66">
        <f>IF(NOT((COUNTA($B187:$J187)+COUNTA($M187))&gt;0),"",IF((IF(B187="","Macroactividad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 OK","⚠ "&amp;LEFT(IF(B187="","Macroactividad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",""),LEN(IF(B187="","Macroactividad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",""))-3)))</f>
        <v/>
      </c>
      <c r="O187" s="67">
        <f>IF(NOT((COUNTA($B187:$J187)+COUNTA($M187))&gt;0),"",IF(ISNUMBER($D187),DATE(YEAR($D187),MONTH($D187),1),IF(ISNUMBER($E187),DATE(YEAR($E187),MONTH($E187),1),MesCiclo)))</f>
        <v/>
      </c>
      <c r="P187" s="68">
        <f>IF(OR($O187="",$O187&lt;&gt;MesCiclo),"",COUNTIF($O$5:$O187,MesCiclo))</f>
        <v/>
      </c>
    </row>
    <row r="188">
      <c r="A188" s="60">
        <f>IF(NOT((COUNTA($B188:$J188)+COUNTA($M188))&gt;0),"",COUNTIFS($L$5:$L188,"?*",$O$5:$O188,$O188))</f>
        <v/>
      </c>
      <c r="B188" s="61" t="n"/>
      <c r="C188" s="61" t="n"/>
      <c r="D188" s="62" t="n"/>
      <c r="E188" s="62" t="n"/>
      <c r="F188" s="63" t="n"/>
      <c r="G188" s="64" t="n"/>
      <c r="H188" s="64" t="n"/>
      <c r="I188" s="64" t="n"/>
      <c r="J188" s="64" t="n"/>
      <c r="K188" s="65">
        <f>IF(NOT((COUNTA($B188:$J188)+COUNTA($M188))&gt;0),"",IFERROR(LOOKUP(2,1/(G188:J188&lt;&gt;""),G188:J188),0))</f>
        <v/>
      </c>
      <c r="L188" s="60">
        <f>IF(K188="","",IF(K188&gt;=1,"Completado",IF(K188&gt;0,"En curso","Pendiente")))</f>
        <v/>
      </c>
      <c r="M188" s="61" t="n"/>
      <c r="N188" s="66">
        <f>IF(NOT((COUNTA($B188:$J188)+COUNTA($M188))&gt;0),"",IF((IF(B188="","Macroactividad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 OK","⚠ "&amp;LEFT(IF(B188="","Macroactividad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",""),LEN(IF(B188="","Macroactividad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",""))-3)))</f>
        <v/>
      </c>
      <c r="O188" s="67">
        <f>IF(NOT((COUNTA($B188:$J188)+COUNTA($M188))&gt;0),"",IF(ISNUMBER($D188),DATE(YEAR($D188),MONTH($D188),1),IF(ISNUMBER($E188),DATE(YEAR($E188),MONTH($E188),1),MesCiclo)))</f>
        <v/>
      </c>
      <c r="P188" s="68">
        <f>IF(OR($O188="",$O188&lt;&gt;MesCiclo),"",COUNTIF($O$5:$O188,MesCiclo))</f>
        <v/>
      </c>
    </row>
    <row r="189">
      <c r="A189" s="60">
        <f>IF(NOT((COUNTA($B189:$J189)+COUNTA($M189))&gt;0),"",COUNTIFS($L$5:$L189,"?*",$O$5:$O189,$O189))</f>
        <v/>
      </c>
      <c r="B189" s="61" t="n"/>
      <c r="C189" s="61" t="n"/>
      <c r="D189" s="62" t="n"/>
      <c r="E189" s="62" t="n"/>
      <c r="F189" s="63" t="n"/>
      <c r="G189" s="64" t="n"/>
      <c r="H189" s="64" t="n"/>
      <c r="I189" s="64" t="n"/>
      <c r="J189" s="64" t="n"/>
      <c r="K189" s="65">
        <f>IF(NOT((COUNTA($B189:$J189)+COUNTA($M189))&gt;0),"",IFERROR(LOOKUP(2,1/(G189:J189&lt;&gt;""),G189:J189),0))</f>
        <v/>
      </c>
      <c r="L189" s="60">
        <f>IF(K189="","",IF(K189&gt;=1,"Completado",IF(K189&gt;0,"En curso","Pendiente")))</f>
        <v/>
      </c>
      <c r="M189" s="61" t="n"/>
      <c r="N189" s="66">
        <f>IF(NOT((COUNTA($B189:$J189)+COUNTA($M189))&gt;0),"",IF((IF(B189="","Macroactividad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 OK","⚠ "&amp;LEFT(IF(B189="","Macroactividad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",""),LEN(IF(B189="","Macroactividad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",""))-3)))</f>
        <v/>
      </c>
      <c r="O189" s="67">
        <f>IF(NOT((COUNTA($B189:$J189)+COUNTA($M189))&gt;0),"",IF(ISNUMBER($D189),DATE(YEAR($D189),MONTH($D189),1),IF(ISNUMBER($E189),DATE(YEAR($E189),MONTH($E189),1),MesCiclo)))</f>
        <v/>
      </c>
      <c r="P189" s="68">
        <f>IF(OR($O189="",$O189&lt;&gt;MesCiclo),"",COUNTIF($O$5:$O189,MesCiclo))</f>
        <v/>
      </c>
    </row>
    <row r="190">
      <c r="A190" s="60">
        <f>IF(NOT((COUNTA($B190:$J190)+COUNTA($M190))&gt;0),"",COUNTIFS($L$5:$L190,"?*",$O$5:$O190,$O190))</f>
        <v/>
      </c>
      <c r="B190" s="61" t="n"/>
      <c r="C190" s="61" t="n"/>
      <c r="D190" s="62" t="n"/>
      <c r="E190" s="62" t="n"/>
      <c r="F190" s="63" t="n"/>
      <c r="G190" s="64" t="n"/>
      <c r="H190" s="64" t="n"/>
      <c r="I190" s="64" t="n"/>
      <c r="J190" s="64" t="n"/>
      <c r="K190" s="65">
        <f>IF(NOT((COUNTA($B190:$J190)+COUNTA($M190))&gt;0),"",IFERROR(LOOKUP(2,1/(G190:J190&lt;&gt;""),G190:J190),0))</f>
        <v/>
      </c>
      <c r="L190" s="60">
        <f>IF(K190="","",IF(K190&gt;=1,"Completado",IF(K190&gt;0,"En curso","Pendiente")))</f>
        <v/>
      </c>
      <c r="M190" s="61" t="n"/>
      <c r="N190" s="66">
        <f>IF(NOT((COUNTA($B190:$J190)+COUNTA($M190))&gt;0),"",IF((IF(B190="","Macroactividad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 OK","⚠ "&amp;LEFT(IF(B190="","Macroactividad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",""),LEN(IF(B190="","Macroactividad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",""))-3)))</f>
        <v/>
      </c>
      <c r="O190" s="67">
        <f>IF(NOT((COUNTA($B190:$J190)+COUNTA($M190))&gt;0),"",IF(ISNUMBER($D190),DATE(YEAR($D190),MONTH($D190),1),IF(ISNUMBER($E190),DATE(YEAR($E190),MONTH($E190),1),MesCiclo)))</f>
        <v/>
      </c>
      <c r="P190" s="68">
        <f>IF(OR($O190="",$O190&lt;&gt;MesCiclo),"",COUNTIF($O$5:$O190,MesCiclo))</f>
        <v/>
      </c>
    </row>
    <row r="191">
      <c r="A191" s="60">
        <f>IF(NOT((COUNTA($B191:$J191)+COUNTA($M191))&gt;0),"",COUNTIFS($L$5:$L191,"?*",$O$5:$O191,$O191))</f>
        <v/>
      </c>
      <c r="B191" s="61" t="n"/>
      <c r="C191" s="61" t="n"/>
      <c r="D191" s="62" t="n"/>
      <c r="E191" s="62" t="n"/>
      <c r="F191" s="63" t="n"/>
      <c r="G191" s="64" t="n"/>
      <c r="H191" s="64" t="n"/>
      <c r="I191" s="64" t="n"/>
      <c r="J191" s="64" t="n"/>
      <c r="K191" s="65">
        <f>IF(NOT((COUNTA($B191:$J191)+COUNTA($M191))&gt;0),"",IFERROR(LOOKUP(2,1/(G191:J191&lt;&gt;""),G191:J191),0))</f>
        <v/>
      </c>
      <c r="L191" s="60">
        <f>IF(K191="","",IF(K191&gt;=1,"Completado",IF(K191&gt;0,"En curso","Pendiente")))</f>
        <v/>
      </c>
      <c r="M191" s="61" t="n"/>
      <c r="N191" s="66">
        <f>IF(NOT((COUNTA($B191:$J191)+COUNTA($M191))&gt;0),"",IF((IF(B191="","Macroactividad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 OK","⚠ "&amp;LEFT(IF(B191="","Macroactividad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",""),LEN(IF(B191="","Macroactividad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",""))-3)))</f>
        <v/>
      </c>
      <c r="O191" s="67">
        <f>IF(NOT((COUNTA($B191:$J191)+COUNTA($M191))&gt;0),"",IF(ISNUMBER($D191),DATE(YEAR($D191),MONTH($D191),1),IF(ISNUMBER($E191),DATE(YEAR($E191),MONTH($E191),1),MesCiclo)))</f>
        <v/>
      </c>
      <c r="P191" s="68">
        <f>IF(OR($O191="",$O191&lt;&gt;MesCiclo),"",COUNTIF($O$5:$O191,MesCiclo))</f>
        <v/>
      </c>
    </row>
    <row r="192">
      <c r="A192" s="60">
        <f>IF(NOT((COUNTA($B192:$J192)+COUNTA($M192))&gt;0),"",COUNTIFS($L$5:$L192,"?*",$O$5:$O192,$O192))</f>
        <v/>
      </c>
      <c r="B192" s="61" t="n"/>
      <c r="C192" s="61" t="n"/>
      <c r="D192" s="62" t="n"/>
      <c r="E192" s="62" t="n"/>
      <c r="F192" s="63" t="n"/>
      <c r="G192" s="64" t="n"/>
      <c r="H192" s="64" t="n"/>
      <c r="I192" s="64" t="n"/>
      <c r="J192" s="64" t="n"/>
      <c r="K192" s="65">
        <f>IF(NOT((COUNTA($B192:$J192)+COUNTA($M192))&gt;0),"",IFERROR(LOOKUP(2,1/(G192:J192&lt;&gt;""),G192:J192),0))</f>
        <v/>
      </c>
      <c r="L192" s="60">
        <f>IF(K192="","",IF(K192&gt;=1,"Completado",IF(K192&gt;0,"En curso","Pendiente")))</f>
        <v/>
      </c>
      <c r="M192" s="61" t="n"/>
      <c r="N192" s="66">
        <f>IF(NOT((COUNTA($B192:$J192)+COUNTA($M192))&gt;0),"",IF((IF(B192="","Macroactividad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 OK","⚠ "&amp;LEFT(IF(B192="","Macroactividad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",""),LEN(IF(B192="","Macroactividad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",""))-3)))</f>
        <v/>
      </c>
      <c r="O192" s="67">
        <f>IF(NOT((COUNTA($B192:$J192)+COUNTA($M192))&gt;0),"",IF(ISNUMBER($D192),DATE(YEAR($D192),MONTH($D192),1),IF(ISNUMBER($E192),DATE(YEAR($E192),MONTH($E192),1),MesCiclo)))</f>
        <v/>
      </c>
      <c r="P192" s="68">
        <f>IF(OR($O192="",$O192&lt;&gt;MesCiclo),"",COUNTIF($O$5:$O192,MesCiclo))</f>
        <v/>
      </c>
    </row>
    <row r="193">
      <c r="A193" s="60">
        <f>IF(NOT((COUNTA($B193:$J193)+COUNTA($M193))&gt;0),"",COUNTIFS($L$5:$L193,"?*",$O$5:$O193,$O193))</f>
        <v/>
      </c>
      <c r="B193" s="61" t="n"/>
      <c r="C193" s="61" t="n"/>
      <c r="D193" s="62" t="n"/>
      <c r="E193" s="62" t="n"/>
      <c r="F193" s="63" t="n"/>
      <c r="G193" s="64" t="n"/>
      <c r="H193" s="64" t="n"/>
      <c r="I193" s="64" t="n"/>
      <c r="J193" s="64" t="n"/>
      <c r="K193" s="65">
        <f>IF(NOT((COUNTA($B193:$J193)+COUNTA($M193))&gt;0),"",IFERROR(LOOKUP(2,1/(G193:J193&lt;&gt;""),G193:J193),0))</f>
        <v/>
      </c>
      <c r="L193" s="60">
        <f>IF(K193="","",IF(K193&gt;=1,"Completado",IF(K193&gt;0,"En curso","Pendiente")))</f>
        <v/>
      </c>
      <c r="M193" s="61" t="n"/>
      <c r="N193" s="66">
        <f>IF(NOT((COUNTA($B193:$J193)+COUNTA($M193))&gt;0),"",IF((IF(B193="","Macroactividad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 OK","⚠ "&amp;LEFT(IF(B193="","Macroactividad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",""),LEN(IF(B193="","Macroactividad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",""))-3)))</f>
        <v/>
      </c>
      <c r="O193" s="67">
        <f>IF(NOT((COUNTA($B193:$J193)+COUNTA($M193))&gt;0),"",IF(ISNUMBER($D193),DATE(YEAR($D193),MONTH($D193),1),IF(ISNUMBER($E193),DATE(YEAR($E193),MONTH($E193),1),MesCiclo)))</f>
        <v/>
      </c>
      <c r="P193" s="68">
        <f>IF(OR($O193="",$O193&lt;&gt;MesCiclo),"",COUNTIF($O$5:$O193,MesCiclo))</f>
        <v/>
      </c>
    </row>
    <row r="194">
      <c r="A194" s="60">
        <f>IF(NOT((COUNTA($B194:$J194)+COUNTA($M194))&gt;0),"",COUNTIFS($L$5:$L194,"?*",$O$5:$O194,$O194))</f>
        <v/>
      </c>
      <c r="B194" s="61" t="n"/>
      <c r="C194" s="61" t="n"/>
      <c r="D194" s="62" t="n"/>
      <c r="E194" s="62" t="n"/>
      <c r="F194" s="63" t="n"/>
      <c r="G194" s="64" t="n"/>
      <c r="H194" s="64" t="n"/>
      <c r="I194" s="64" t="n"/>
      <c r="J194" s="64" t="n"/>
      <c r="K194" s="65">
        <f>IF(NOT((COUNTA($B194:$J194)+COUNTA($M194))&gt;0),"",IFERROR(LOOKUP(2,1/(G194:J194&lt;&gt;""),G194:J194),0))</f>
        <v/>
      </c>
      <c r="L194" s="60">
        <f>IF(K194="","",IF(K194&gt;=1,"Completado",IF(K194&gt;0,"En curso","Pendiente")))</f>
        <v/>
      </c>
      <c r="M194" s="61" t="n"/>
      <c r="N194" s="66">
        <f>IF(NOT((COUNTA($B194:$J194)+COUNTA($M194))&gt;0),"",IF((IF(B194="","Macroactividad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 OK","⚠ "&amp;LEFT(IF(B194="","Macroactividad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",""),LEN(IF(B194="","Macroactividad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",""))-3)))</f>
        <v/>
      </c>
      <c r="O194" s="67">
        <f>IF(NOT((COUNTA($B194:$J194)+COUNTA($M194))&gt;0),"",IF(ISNUMBER($D194),DATE(YEAR($D194),MONTH($D194),1),IF(ISNUMBER($E194),DATE(YEAR($E194),MONTH($E194),1),MesCiclo)))</f>
        <v/>
      </c>
      <c r="P194" s="68">
        <f>IF(OR($O194="",$O194&lt;&gt;MesCiclo),"",COUNTIF($O$5:$O194,MesCiclo))</f>
        <v/>
      </c>
    </row>
    <row r="195">
      <c r="A195" s="60">
        <f>IF(NOT((COUNTA($B195:$J195)+COUNTA($M195))&gt;0),"",COUNTIFS($L$5:$L195,"?*",$O$5:$O195,$O195))</f>
        <v/>
      </c>
      <c r="B195" s="61" t="n"/>
      <c r="C195" s="61" t="n"/>
      <c r="D195" s="62" t="n"/>
      <c r="E195" s="62" t="n"/>
      <c r="F195" s="63" t="n"/>
      <c r="G195" s="64" t="n"/>
      <c r="H195" s="64" t="n"/>
      <c r="I195" s="64" t="n"/>
      <c r="J195" s="64" t="n"/>
      <c r="K195" s="65">
        <f>IF(NOT((COUNTA($B195:$J195)+COUNTA($M195))&gt;0),"",IFERROR(LOOKUP(2,1/(G195:J195&lt;&gt;""),G195:J195),0))</f>
        <v/>
      </c>
      <c r="L195" s="60">
        <f>IF(K195="","",IF(K195&gt;=1,"Completado",IF(K195&gt;0,"En curso","Pendiente")))</f>
        <v/>
      </c>
      <c r="M195" s="61" t="n"/>
      <c r="N195" s="66">
        <f>IF(NOT((COUNTA($B195:$J195)+COUNTA($M195))&gt;0),"",IF((IF(B195="","Macroactividad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 OK","⚠ "&amp;LEFT(IF(B195="","Macroactividad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",""),LEN(IF(B195="","Macroactividad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",""))-3)))</f>
        <v/>
      </c>
      <c r="O195" s="67">
        <f>IF(NOT((COUNTA($B195:$J195)+COUNTA($M195))&gt;0),"",IF(ISNUMBER($D195),DATE(YEAR($D195),MONTH($D195),1),IF(ISNUMBER($E195),DATE(YEAR($E195),MONTH($E195),1),MesCiclo)))</f>
        <v/>
      </c>
      <c r="P195" s="68">
        <f>IF(OR($O195="",$O195&lt;&gt;MesCiclo),"",COUNTIF($O$5:$O195,MesCiclo))</f>
        <v/>
      </c>
    </row>
    <row r="196">
      <c r="A196" s="60">
        <f>IF(NOT((COUNTA($B196:$J196)+COUNTA($M196))&gt;0),"",COUNTIFS($L$5:$L196,"?*",$O$5:$O196,$O196))</f>
        <v/>
      </c>
      <c r="B196" s="61" t="n"/>
      <c r="C196" s="61" t="n"/>
      <c r="D196" s="62" t="n"/>
      <c r="E196" s="62" t="n"/>
      <c r="F196" s="63" t="n"/>
      <c r="G196" s="64" t="n"/>
      <c r="H196" s="64" t="n"/>
      <c r="I196" s="64" t="n"/>
      <c r="J196" s="64" t="n"/>
      <c r="K196" s="65">
        <f>IF(NOT((COUNTA($B196:$J196)+COUNTA($M196))&gt;0),"",IFERROR(LOOKUP(2,1/(G196:J196&lt;&gt;""),G196:J196),0))</f>
        <v/>
      </c>
      <c r="L196" s="60">
        <f>IF(K196="","",IF(K196&gt;=1,"Completado",IF(K196&gt;0,"En curso","Pendiente")))</f>
        <v/>
      </c>
      <c r="M196" s="61" t="n"/>
      <c r="N196" s="66">
        <f>IF(NOT((COUNTA($B196:$J196)+COUNTA($M196))&gt;0),"",IF((IF(B196="","Macroactividad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 OK","⚠ "&amp;LEFT(IF(B196="","Macroactividad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",""),LEN(IF(B196="","Macroactividad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",""))-3)))</f>
        <v/>
      </c>
      <c r="O196" s="67">
        <f>IF(NOT((COUNTA($B196:$J196)+COUNTA($M196))&gt;0),"",IF(ISNUMBER($D196),DATE(YEAR($D196),MONTH($D196),1),IF(ISNUMBER($E196),DATE(YEAR($E196),MONTH($E196),1),MesCiclo)))</f>
        <v/>
      </c>
      <c r="P196" s="68">
        <f>IF(OR($O196="",$O196&lt;&gt;MesCiclo),"",COUNTIF($O$5:$O196,MesCiclo))</f>
        <v/>
      </c>
    </row>
    <row r="197">
      <c r="A197" s="60">
        <f>IF(NOT((COUNTA($B197:$J197)+COUNTA($M197))&gt;0),"",COUNTIFS($L$5:$L197,"?*",$O$5:$O197,$O197))</f>
        <v/>
      </c>
      <c r="B197" s="61" t="n"/>
      <c r="C197" s="61" t="n"/>
      <c r="D197" s="62" t="n"/>
      <c r="E197" s="62" t="n"/>
      <c r="F197" s="63" t="n"/>
      <c r="G197" s="64" t="n"/>
      <c r="H197" s="64" t="n"/>
      <c r="I197" s="64" t="n"/>
      <c r="J197" s="64" t="n"/>
      <c r="K197" s="65">
        <f>IF(NOT((COUNTA($B197:$J197)+COUNTA($M197))&gt;0),"",IFERROR(LOOKUP(2,1/(G197:J197&lt;&gt;""),G197:J197),0))</f>
        <v/>
      </c>
      <c r="L197" s="60">
        <f>IF(K197="","",IF(K197&gt;=1,"Completado",IF(K197&gt;0,"En curso","Pendiente")))</f>
        <v/>
      </c>
      <c r="M197" s="61" t="n"/>
      <c r="N197" s="66">
        <f>IF(NOT((COUNTA($B197:$J197)+COUNTA($M197))&gt;0),"",IF((IF(B197="","Macroactividad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 OK","⚠ "&amp;LEFT(IF(B197="","Macroactividad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",""),LEN(IF(B197="","Macroactividad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",""))-3)))</f>
        <v/>
      </c>
      <c r="O197" s="67">
        <f>IF(NOT((COUNTA($B197:$J197)+COUNTA($M197))&gt;0),"",IF(ISNUMBER($D197),DATE(YEAR($D197),MONTH($D197),1),IF(ISNUMBER($E197),DATE(YEAR($E197),MONTH($E197),1),MesCiclo)))</f>
        <v/>
      </c>
      <c r="P197" s="68">
        <f>IF(OR($O197="",$O197&lt;&gt;MesCiclo),"",COUNTIF($O$5:$O197,MesCiclo))</f>
        <v/>
      </c>
    </row>
    <row r="198">
      <c r="A198" s="60">
        <f>IF(NOT((COUNTA($B198:$J198)+COUNTA($M198))&gt;0),"",COUNTIFS($L$5:$L198,"?*",$O$5:$O198,$O198))</f>
        <v/>
      </c>
      <c r="B198" s="61" t="n"/>
      <c r="C198" s="61" t="n"/>
      <c r="D198" s="62" t="n"/>
      <c r="E198" s="62" t="n"/>
      <c r="F198" s="63" t="n"/>
      <c r="G198" s="64" t="n"/>
      <c r="H198" s="64" t="n"/>
      <c r="I198" s="64" t="n"/>
      <c r="J198" s="64" t="n"/>
      <c r="K198" s="65">
        <f>IF(NOT((COUNTA($B198:$J198)+COUNTA($M198))&gt;0),"",IFERROR(LOOKUP(2,1/(G198:J198&lt;&gt;""),G198:J198),0))</f>
        <v/>
      </c>
      <c r="L198" s="60">
        <f>IF(K198="","",IF(K198&gt;=1,"Completado",IF(K198&gt;0,"En curso","Pendiente")))</f>
        <v/>
      </c>
      <c r="M198" s="61" t="n"/>
      <c r="N198" s="66">
        <f>IF(NOT((COUNTA($B198:$J198)+COUNTA($M198))&gt;0),"",IF((IF(B198="","Macroactividad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 OK","⚠ "&amp;LEFT(IF(B198="","Macroactividad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",""),LEN(IF(B198="","Macroactividad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",""))-3)))</f>
        <v/>
      </c>
      <c r="O198" s="67">
        <f>IF(NOT((COUNTA($B198:$J198)+COUNTA($M198))&gt;0),"",IF(ISNUMBER($D198),DATE(YEAR($D198),MONTH($D198),1),IF(ISNUMBER($E198),DATE(YEAR($E198),MONTH($E198),1),MesCiclo)))</f>
        <v/>
      </c>
      <c r="P198" s="68">
        <f>IF(OR($O198="",$O198&lt;&gt;MesCiclo),"",COUNTIF($O$5:$O198,MesCiclo))</f>
        <v/>
      </c>
    </row>
    <row r="199">
      <c r="A199" s="60">
        <f>IF(NOT((COUNTA($B199:$J199)+COUNTA($M199))&gt;0),"",COUNTIFS($L$5:$L199,"?*",$O$5:$O199,$O199))</f>
        <v/>
      </c>
      <c r="B199" s="61" t="n"/>
      <c r="C199" s="61" t="n"/>
      <c r="D199" s="62" t="n"/>
      <c r="E199" s="62" t="n"/>
      <c r="F199" s="63" t="n"/>
      <c r="G199" s="64" t="n"/>
      <c r="H199" s="64" t="n"/>
      <c r="I199" s="64" t="n"/>
      <c r="J199" s="64" t="n"/>
      <c r="K199" s="65">
        <f>IF(NOT((COUNTA($B199:$J199)+COUNTA($M199))&gt;0),"",IFERROR(LOOKUP(2,1/(G199:J199&lt;&gt;""),G199:J199),0))</f>
        <v/>
      </c>
      <c r="L199" s="60">
        <f>IF(K199="","",IF(K199&gt;=1,"Completado",IF(K199&gt;0,"En curso","Pendiente")))</f>
        <v/>
      </c>
      <c r="M199" s="61" t="n"/>
      <c r="N199" s="66">
        <f>IF(NOT((COUNTA($B199:$J199)+COUNTA($M199))&gt;0),"",IF((IF(B199="","Macroactividad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 OK","⚠ "&amp;LEFT(IF(B199="","Macroactividad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",""),LEN(IF(B199="","Macroactividad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",""))-3)))</f>
        <v/>
      </c>
      <c r="O199" s="67">
        <f>IF(NOT((COUNTA($B199:$J199)+COUNTA($M199))&gt;0),"",IF(ISNUMBER($D199),DATE(YEAR($D199),MONTH($D199),1),IF(ISNUMBER($E199),DATE(YEAR($E199),MONTH($E199),1),MesCiclo)))</f>
        <v/>
      </c>
      <c r="P199" s="68">
        <f>IF(OR($O199="",$O199&lt;&gt;MesCiclo),"",COUNTIF($O$5:$O199,MesCiclo))</f>
        <v/>
      </c>
    </row>
    <row r="200">
      <c r="A200" s="60">
        <f>IF(NOT((COUNTA($B200:$J200)+COUNTA($M200))&gt;0),"",COUNTIFS($L$5:$L200,"?*",$O$5:$O200,$O200))</f>
        <v/>
      </c>
      <c r="B200" s="61" t="n"/>
      <c r="C200" s="61" t="n"/>
      <c r="D200" s="62" t="n"/>
      <c r="E200" s="62" t="n"/>
      <c r="F200" s="63" t="n"/>
      <c r="G200" s="64" t="n"/>
      <c r="H200" s="64" t="n"/>
      <c r="I200" s="64" t="n"/>
      <c r="J200" s="64" t="n"/>
      <c r="K200" s="65">
        <f>IF(NOT((COUNTA($B200:$J200)+COUNTA($M200))&gt;0),"",IFERROR(LOOKUP(2,1/(G200:J200&lt;&gt;""),G200:J200),0))</f>
        <v/>
      </c>
      <c r="L200" s="60">
        <f>IF(K200="","",IF(K200&gt;=1,"Completado",IF(K200&gt;0,"En curso","Pendiente")))</f>
        <v/>
      </c>
      <c r="M200" s="61" t="n"/>
      <c r="N200" s="66">
        <f>IF(NOT((COUNTA($B200:$J200)+COUNTA($M200))&gt;0),"",IF((IF(B200="","Macroactividad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 OK","⚠ "&amp;LEFT(IF(B200="","Macroactividad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",""),LEN(IF(B200="","Macroactividad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",""))-3)))</f>
        <v/>
      </c>
      <c r="O200" s="67">
        <f>IF(NOT((COUNTA($B200:$J200)+COUNTA($M200))&gt;0),"",IF(ISNUMBER($D200),DATE(YEAR($D200),MONTH($D200),1),IF(ISNUMBER($E200),DATE(YEAR($E200),MONTH($E200),1),MesCiclo)))</f>
        <v/>
      </c>
      <c r="P200" s="68">
        <f>IF(OR($O200="",$O200&lt;&gt;MesCiclo),"",COUNTIF($O$5:$O200,MesCiclo))</f>
        <v/>
      </c>
    </row>
    <row r="201">
      <c r="A201" s="60">
        <f>IF(NOT((COUNTA($B201:$J201)+COUNTA($M201))&gt;0),"",COUNTIFS($L$5:$L201,"?*",$O$5:$O201,$O201))</f>
        <v/>
      </c>
      <c r="B201" s="61" t="n"/>
      <c r="C201" s="61" t="n"/>
      <c r="D201" s="62" t="n"/>
      <c r="E201" s="62" t="n"/>
      <c r="F201" s="63" t="n"/>
      <c r="G201" s="64" t="n"/>
      <c r="H201" s="64" t="n"/>
      <c r="I201" s="64" t="n"/>
      <c r="J201" s="64" t="n"/>
      <c r="K201" s="65">
        <f>IF(NOT((COUNTA($B201:$J201)+COUNTA($M201))&gt;0),"",IFERROR(LOOKUP(2,1/(G201:J201&lt;&gt;""),G201:J201),0))</f>
        <v/>
      </c>
      <c r="L201" s="60">
        <f>IF(K201="","",IF(K201&gt;=1,"Completado",IF(K201&gt;0,"En curso","Pendiente")))</f>
        <v/>
      </c>
      <c r="M201" s="61" t="n"/>
      <c r="N201" s="66">
        <f>IF(NOT((COUNTA($B201:$J201)+COUNTA($M201))&gt;0),"",IF((IF(B201="","Macroactividad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 OK","⚠ "&amp;LEFT(IF(B201="","Macroactividad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",""),LEN(IF(B201="","Macroactividad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",""))-3)))</f>
        <v/>
      </c>
      <c r="O201" s="67">
        <f>IF(NOT((COUNTA($B201:$J201)+COUNTA($M201))&gt;0),"",IF(ISNUMBER($D201),DATE(YEAR($D201),MONTH($D201),1),IF(ISNUMBER($E201),DATE(YEAR($E201),MONTH($E201),1),MesCiclo)))</f>
        <v/>
      </c>
      <c r="P201" s="68">
        <f>IF(OR($O201="",$O201&lt;&gt;MesCiclo),"",COUNTIF($O$5:$O201,MesCiclo))</f>
        <v/>
      </c>
    </row>
    <row r="202">
      <c r="A202" s="60">
        <f>IF(NOT((COUNTA($B202:$J202)+COUNTA($M202))&gt;0),"",COUNTIFS($L$5:$L202,"?*",$O$5:$O202,$O202))</f>
        <v/>
      </c>
      <c r="B202" s="61" t="n"/>
      <c r="C202" s="61" t="n"/>
      <c r="D202" s="62" t="n"/>
      <c r="E202" s="62" t="n"/>
      <c r="F202" s="63" t="n"/>
      <c r="G202" s="64" t="n"/>
      <c r="H202" s="64" t="n"/>
      <c r="I202" s="64" t="n"/>
      <c r="J202" s="64" t="n"/>
      <c r="K202" s="65">
        <f>IF(NOT((COUNTA($B202:$J202)+COUNTA($M202))&gt;0),"",IFERROR(LOOKUP(2,1/(G202:J202&lt;&gt;""),G202:J202),0))</f>
        <v/>
      </c>
      <c r="L202" s="60">
        <f>IF(K202="","",IF(K202&gt;=1,"Completado",IF(K202&gt;0,"En curso","Pendiente")))</f>
        <v/>
      </c>
      <c r="M202" s="61" t="n"/>
      <c r="N202" s="66">
        <f>IF(NOT((COUNTA($B202:$J202)+COUNTA($M202))&gt;0),"",IF((IF(B202="","Macroactividad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 OK","⚠ "&amp;LEFT(IF(B202="","Macroactividad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",""),LEN(IF(B202="","Macroactividad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",""))-3)))</f>
        <v/>
      </c>
      <c r="O202" s="67">
        <f>IF(NOT((COUNTA($B202:$J202)+COUNTA($M202))&gt;0),"",IF(ISNUMBER($D202),DATE(YEAR($D202),MONTH($D202),1),IF(ISNUMBER($E202),DATE(YEAR($E202),MONTH($E202),1),MesCiclo)))</f>
        <v/>
      </c>
      <c r="P202" s="68">
        <f>IF(OR($O202="",$O202&lt;&gt;MesCiclo),"",COUNTIF($O$5:$O202,MesCiclo))</f>
        <v/>
      </c>
    </row>
    <row r="203">
      <c r="A203" s="60">
        <f>IF(NOT((COUNTA($B203:$J203)+COUNTA($M203))&gt;0),"",COUNTIFS($L$5:$L203,"?*",$O$5:$O203,$O203))</f>
        <v/>
      </c>
      <c r="B203" s="61" t="n"/>
      <c r="C203" s="61" t="n"/>
      <c r="D203" s="62" t="n"/>
      <c r="E203" s="62" t="n"/>
      <c r="F203" s="63" t="n"/>
      <c r="G203" s="64" t="n"/>
      <c r="H203" s="64" t="n"/>
      <c r="I203" s="64" t="n"/>
      <c r="J203" s="64" t="n"/>
      <c r="K203" s="65">
        <f>IF(NOT((COUNTA($B203:$J203)+COUNTA($M203))&gt;0),"",IFERROR(LOOKUP(2,1/(G203:J203&lt;&gt;""),G203:J203),0))</f>
        <v/>
      </c>
      <c r="L203" s="60">
        <f>IF(K203="","",IF(K203&gt;=1,"Completado",IF(K203&gt;0,"En curso","Pendiente")))</f>
        <v/>
      </c>
      <c r="M203" s="61" t="n"/>
      <c r="N203" s="66">
        <f>IF(NOT((COUNTA($B203:$J203)+COUNTA($M203))&gt;0),"",IF((IF(B203="","Macroactividad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 OK","⚠ "&amp;LEFT(IF(B203="","Macroactividad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",""),LEN(IF(B203="","Macroactividad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",""))-3)))</f>
        <v/>
      </c>
      <c r="O203" s="67">
        <f>IF(NOT((COUNTA($B203:$J203)+COUNTA($M203))&gt;0),"",IF(ISNUMBER($D203),DATE(YEAR($D203),MONTH($D203),1),IF(ISNUMBER($E203),DATE(YEAR($E203),MONTH($E203),1),MesCiclo)))</f>
        <v/>
      </c>
      <c r="P203" s="68">
        <f>IF(OR($O203="",$O203&lt;&gt;MesCiclo),"",COUNTIF($O$5:$O203,MesCiclo))</f>
        <v/>
      </c>
    </row>
    <row r="204">
      <c r="A204" s="60">
        <f>IF(NOT((COUNTA($B204:$J204)+COUNTA($M204))&gt;0),"",COUNTIFS($L$5:$L204,"?*",$O$5:$O204,$O204))</f>
        <v/>
      </c>
      <c r="B204" s="61" t="n"/>
      <c r="C204" s="61" t="n"/>
      <c r="D204" s="62" t="n"/>
      <c r="E204" s="62" t="n"/>
      <c r="F204" s="63" t="n"/>
      <c r="G204" s="64" t="n"/>
      <c r="H204" s="64" t="n"/>
      <c r="I204" s="64" t="n"/>
      <c r="J204" s="64" t="n"/>
      <c r="K204" s="65">
        <f>IF(NOT((COUNTA($B204:$J204)+COUNTA($M204))&gt;0),"",IFERROR(LOOKUP(2,1/(G204:J204&lt;&gt;""),G204:J204),0))</f>
        <v/>
      </c>
      <c r="L204" s="60">
        <f>IF(K204="","",IF(K204&gt;=1,"Completado",IF(K204&gt;0,"En curso","Pendiente")))</f>
        <v/>
      </c>
      <c r="M204" s="61" t="n"/>
      <c r="N204" s="66">
        <f>IF(NOT((COUNTA($B204:$J204)+COUNTA($M204))&gt;0),"",IF((IF(B204="","Macroactividad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 OK","⚠ "&amp;LEFT(IF(B204="","Macroactividad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",""),LEN(IF(B204="","Macroactividad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",""))-3)))</f>
        <v/>
      </c>
      <c r="O204" s="67">
        <f>IF(NOT((COUNTA($B204:$J204)+COUNTA($M204))&gt;0),"",IF(ISNUMBER($D204),DATE(YEAR($D204),MONTH($D204),1),IF(ISNUMBER($E204),DATE(YEAR($E204),MONTH($E204),1),MesCiclo)))</f>
        <v/>
      </c>
      <c r="P204" s="68">
        <f>IF(OR($O204="",$O204&lt;&gt;MesCiclo),"",COUNTIF($O$5:$O204,MesCiclo))</f>
        <v/>
      </c>
    </row>
    <row r="205">
      <c r="A205" s="60">
        <f>IF(NOT((COUNTA($B205:$J205)+COUNTA($M205))&gt;0),"",COUNTIFS($L$5:$L205,"?*",$O$5:$O205,$O205))</f>
        <v/>
      </c>
      <c r="B205" s="61" t="n"/>
      <c r="C205" s="61" t="n"/>
      <c r="D205" s="62" t="n"/>
      <c r="E205" s="62" t="n"/>
      <c r="F205" s="63" t="n"/>
      <c r="G205" s="64" t="n"/>
      <c r="H205" s="64" t="n"/>
      <c r="I205" s="64" t="n"/>
      <c r="J205" s="64" t="n"/>
      <c r="K205" s="65">
        <f>IF(NOT((COUNTA($B205:$J205)+COUNTA($M205))&gt;0),"",IFERROR(LOOKUP(2,1/(G205:J205&lt;&gt;""),G205:J205),0))</f>
        <v/>
      </c>
      <c r="L205" s="60">
        <f>IF(K205="","",IF(K205&gt;=1,"Completado",IF(K205&gt;0,"En curso","Pendiente")))</f>
        <v/>
      </c>
      <c r="M205" s="61" t="n"/>
      <c r="N205" s="66">
        <f>IF(NOT((COUNTA($B205:$J205)+COUNTA($M205))&gt;0),"",IF((IF(B205="","Macroactividad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 OK","⚠ "&amp;LEFT(IF(B205="","Macroactividad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",""),LEN(IF(B205="","Macroactividad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",""))-3)))</f>
        <v/>
      </c>
      <c r="O205" s="67">
        <f>IF(NOT((COUNTA($B205:$J205)+COUNTA($M205))&gt;0),"",IF(ISNUMBER($D205),DATE(YEAR($D205),MONTH($D205),1),IF(ISNUMBER($E205),DATE(YEAR($E205),MONTH($E205),1),MesCiclo)))</f>
        <v/>
      </c>
      <c r="P205" s="68">
        <f>IF(OR($O205="",$O205&lt;&gt;MesCiclo),"",COUNTIF($O$5:$O205,MesCiclo))</f>
        <v/>
      </c>
    </row>
    <row r="206">
      <c r="A206" s="60">
        <f>IF(NOT((COUNTA($B206:$J206)+COUNTA($M206))&gt;0),"",COUNTIFS($L$5:$L206,"?*",$O$5:$O206,$O206))</f>
        <v/>
      </c>
      <c r="B206" s="61" t="n"/>
      <c r="C206" s="61" t="n"/>
      <c r="D206" s="62" t="n"/>
      <c r="E206" s="62" t="n"/>
      <c r="F206" s="63" t="n"/>
      <c r="G206" s="64" t="n"/>
      <c r="H206" s="64" t="n"/>
      <c r="I206" s="64" t="n"/>
      <c r="J206" s="64" t="n"/>
      <c r="K206" s="65">
        <f>IF(NOT((COUNTA($B206:$J206)+COUNTA($M206))&gt;0),"",IFERROR(LOOKUP(2,1/(G206:J206&lt;&gt;""),G206:J206),0))</f>
        <v/>
      </c>
      <c r="L206" s="60">
        <f>IF(K206="","",IF(K206&gt;=1,"Completado",IF(K206&gt;0,"En curso","Pendiente")))</f>
        <v/>
      </c>
      <c r="M206" s="61" t="n"/>
      <c r="N206" s="66">
        <f>IF(NOT((COUNTA($B206:$J206)+COUNTA($M206))&gt;0),"",IF((IF(B206="","Macroactividad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 OK","⚠ "&amp;LEFT(IF(B206="","Macroactividad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",""),LEN(IF(B206="","Macroactividad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",""))-3)))</f>
        <v/>
      </c>
      <c r="O206" s="67">
        <f>IF(NOT((COUNTA($B206:$J206)+COUNTA($M206))&gt;0),"",IF(ISNUMBER($D206),DATE(YEAR($D206),MONTH($D206),1),IF(ISNUMBER($E206),DATE(YEAR($E206),MONTH($E206),1),MesCiclo)))</f>
        <v/>
      </c>
      <c r="P206" s="68">
        <f>IF(OR($O206="",$O206&lt;&gt;MesCiclo),"",COUNTIF($O$5:$O206,MesCiclo))</f>
        <v/>
      </c>
    </row>
    <row r="207">
      <c r="A207" s="60">
        <f>IF(NOT((COUNTA($B207:$J207)+COUNTA($M207))&gt;0),"",COUNTIFS($L$5:$L207,"?*",$O$5:$O207,$O207))</f>
        <v/>
      </c>
      <c r="B207" s="61" t="n"/>
      <c r="C207" s="61" t="n"/>
      <c r="D207" s="62" t="n"/>
      <c r="E207" s="62" t="n"/>
      <c r="F207" s="63" t="n"/>
      <c r="G207" s="64" t="n"/>
      <c r="H207" s="64" t="n"/>
      <c r="I207" s="64" t="n"/>
      <c r="J207" s="64" t="n"/>
      <c r="K207" s="65">
        <f>IF(NOT((COUNTA($B207:$J207)+COUNTA($M207))&gt;0),"",IFERROR(LOOKUP(2,1/(G207:J207&lt;&gt;""),G207:J207),0))</f>
        <v/>
      </c>
      <c r="L207" s="60">
        <f>IF(K207="","",IF(K207&gt;=1,"Completado",IF(K207&gt;0,"En curso","Pendiente")))</f>
        <v/>
      </c>
      <c r="M207" s="61" t="n"/>
      <c r="N207" s="66">
        <f>IF(NOT((COUNTA($B207:$J207)+COUNTA($M207))&gt;0),"",IF((IF(B207="","Macroactividad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 OK","⚠ "&amp;LEFT(IF(B207="","Macroactividad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",""),LEN(IF(B207="","Macroactividad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",""))-3)))</f>
        <v/>
      </c>
      <c r="O207" s="67">
        <f>IF(NOT((COUNTA($B207:$J207)+COUNTA($M207))&gt;0),"",IF(ISNUMBER($D207),DATE(YEAR($D207),MONTH($D207),1),IF(ISNUMBER($E207),DATE(YEAR($E207),MONTH($E207),1),MesCiclo)))</f>
        <v/>
      </c>
      <c r="P207" s="68">
        <f>IF(OR($O207="",$O207&lt;&gt;MesCiclo),"",COUNTIF($O$5:$O207,MesCiclo))</f>
        <v/>
      </c>
    </row>
    <row r="208">
      <c r="A208" s="60">
        <f>IF(NOT((COUNTA($B208:$J208)+COUNTA($M208))&gt;0),"",COUNTIFS($L$5:$L208,"?*",$O$5:$O208,$O208))</f>
        <v/>
      </c>
      <c r="B208" s="61" t="n"/>
      <c r="C208" s="61" t="n"/>
      <c r="D208" s="62" t="n"/>
      <c r="E208" s="62" t="n"/>
      <c r="F208" s="63" t="n"/>
      <c r="G208" s="64" t="n"/>
      <c r="H208" s="64" t="n"/>
      <c r="I208" s="64" t="n"/>
      <c r="J208" s="64" t="n"/>
      <c r="K208" s="65">
        <f>IF(NOT((COUNTA($B208:$J208)+COUNTA($M208))&gt;0),"",IFERROR(LOOKUP(2,1/(G208:J208&lt;&gt;""),G208:J208),0))</f>
        <v/>
      </c>
      <c r="L208" s="60">
        <f>IF(K208="","",IF(K208&gt;=1,"Completado",IF(K208&gt;0,"En curso","Pendiente")))</f>
        <v/>
      </c>
      <c r="M208" s="61" t="n"/>
      <c r="N208" s="66">
        <f>IF(NOT((COUNTA($B208:$J208)+COUNTA($M208))&gt;0),"",IF((IF(B208="","Macroactividad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 OK","⚠ "&amp;LEFT(IF(B208="","Macroactividad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",""),LEN(IF(B208="","Macroactividad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",""))-3)))</f>
        <v/>
      </c>
      <c r="O208" s="67">
        <f>IF(NOT((COUNTA($B208:$J208)+COUNTA($M208))&gt;0),"",IF(ISNUMBER($D208),DATE(YEAR($D208),MONTH($D208),1),IF(ISNUMBER($E208),DATE(YEAR($E208),MONTH($E208),1),MesCiclo)))</f>
        <v/>
      </c>
      <c r="P208" s="68">
        <f>IF(OR($O208="",$O208&lt;&gt;MesCiclo),"",COUNTIF($O$5:$O208,MesCiclo))</f>
        <v/>
      </c>
    </row>
    <row r="209">
      <c r="A209" s="60">
        <f>IF(NOT((COUNTA($B209:$J209)+COUNTA($M209))&gt;0),"",COUNTIFS($L$5:$L209,"?*",$O$5:$O209,$O209))</f>
        <v/>
      </c>
      <c r="B209" s="61" t="n"/>
      <c r="C209" s="61" t="n"/>
      <c r="D209" s="62" t="n"/>
      <c r="E209" s="62" t="n"/>
      <c r="F209" s="63" t="n"/>
      <c r="G209" s="64" t="n"/>
      <c r="H209" s="64" t="n"/>
      <c r="I209" s="64" t="n"/>
      <c r="J209" s="64" t="n"/>
      <c r="K209" s="65">
        <f>IF(NOT((COUNTA($B209:$J209)+COUNTA($M209))&gt;0),"",IFERROR(LOOKUP(2,1/(G209:J209&lt;&gt;""),G209:J209),0))</f>
        <v/>
      </c>
      <c r="L209" s="60">
        <f>IF(K209="","",IF(K209&gt;=1,"Completado",IF(K209&gt;0,"En curso","Pendiente")))</f>
        <v/>
      </c>
      <c r="M209" s="61" t="n"/>
      <c r="N209" s="66">
        <f>IF(NOT((COUNTA($B209:$J209)+COUNTA($M209))&gt;0),"",IF((IF(B209="","Macroactividad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 OK","⚠ "&amp;LEFT(IF(B209="","Macroactividad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",""),LEN(IF(B209="","Macroactividad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",""))-3)))</f>
        <v/>
      </c>
      <c r="O209" s="67">
        <f>IF(NOT((COUNTA($B209:$J209)+COUNTA($M209))&gt;0),"",IF(ISNUMBER($D209),DATE(YEAR($D209),MONTH($D209),1),IF(ISNUMBER($E209),DATE(YEAR($E209),MONTH($E209),1),MesCiclo)))</f>
        <v/>
      </c>
      <c r="P209" s="68">
        <f>IF(OR($O209="",$O209&lt;&gt;MesCiclo),"",COUNTIF($O$5:$O209,MesCiclo))</f>
        <v/>
      </c>
    </row>
    <row r="210">
      <c r="A210" s="60">
        <f>IF(NOT((COUNTA($B210:$J210)+COUNTA($M210))&gt;0),"",COUNTIFS($L$5:$L210,"?*",$O$5:$O210,$O210))</f>
        <v/>
      </c>
      <c r="B210" s="61" t="n"/>
      <c r="C210" s="61" t="n"/>
      <c r="D210" s="62" t="n"/>
      <c r="E210" s="62" t="n"/>
      <c r="F210" s="63" t="n"/>
      <c r="G210" s="64" t="n"/>
      <c r="H210" s="64" t="n"/>
      <c r="I210" s="64" t="n"/>
      <c r="J210" s="64" t="n"/>
      <c r="K210" s="65">
        <f>IF(NOT((COUNTA($B210:$J210)+COUNTA($M210))&gt;0),"",IFERROR(LOOKUP(2,1/(G210:J210&lt;&gt;""),G210:J210),0))</f>
        <v/>
      </c>
      <c r="L210" s="60">
        <f>IF(K210="","",IF(K210&gt;=1,"Completado",IF(K210&gt;0,"En curso","Pendiente")))</f>
        <v/>
      </c>
      <c r="M210" s="61" t="n"/>
      <c r="N210" s="66">
        <f>IF(NOT((COUNTA($B210:$J210)+COUNTA($M210))&gt;0),"",IF((IF(B210="","Macroactividad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 OK","⚠ "&amp;LEFT(IF(B210="","Macroactividad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",""),LEN(IF(B210="","Macroactividad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",""))-3)))</f>
        <v/>
      </c>
      <c r="O210" s="67">
        <f>IF(NOT((COUNTA($B210:$J210)+COUNTA($M210))&gt;0),"",IF(ISNUMBER($D210),DATE(YEAR($D210),MONTH($D210),1),IF(ISNUMBER($E210),DATE(YEAR($E210),MONTH($E210),1),MesCiclo)))</f>
        <v/>
      </c>
      <c r="P210" s="68">
        <f>IF(OR($O210="",$O210&lt;&gt;MesCiclo),"",COUNTIF($O$5:$O210,MesCiclo))</f>
        <v/>
      </c>
    </row>
    <row r="211">
      <c r="A211" s="60">
        <f>IF(NOT((COUNTA($B211:$J211)+COUNTA($M211))&gt;0),"",COUNTIFS($L$5:$L211,"?*",$O$5:$O211,$O211))</f>
        <v/>
      </c>
      <c r="B211" s="61" t="n"/>
      <c r="C211" s="61" t="n"/>
      <c r="D211" s="62" t="n"/>
      <c r="E211" s="62" t="n"/>
      <c r="F211" s="63" t="n"/>
      <c r="G211" s="64" t="n"/>
      <c r="H211" s="64" t="n"/>
      <c r="I211" s="64" t="n"/>
      <c r="J211" s="64" t="n"/>
      <c r="K211" s="65">
        <f>IF(NOT((COUNTA($B211:$J211)+COUNTA($M211))&gt;0),"",IFERROR(LOOKUP(2,1/(G211:J211&lt;&gt;""),G211:J211),0))</f>
        <v/>
      </c>
      <c r="L211" s="60">
        <f>IF(K211="","",IF(K211&gt;=1,"Completado",IF(K211&gt;0,"En curso","Pendiente")))</f>
        <v/>
      </c>
      <c r="M211" s="61" t="n"/>
      <c r="N211" s="66">
        <f>IF(NOT((COUNTA($B211:$J211)+COUNTA($M211))&gt;0),"",IF((IF(B211="","Macroactividad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 OK","⚠ "&amp;LEFT(IF(B211="","Macroactividad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",""),LEN(IF(B211="","Macroactividad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",""))-3)))</f>
        <v/>
      </c>
      <c r="O211" s="67">
        <f>IF(NOT((COUNTA($B211:$J211)+COUNTA($M211))&gt;0),"",IF(ISNUMBER($D211),DATE(YEAR($D211),MONTH($D211),1),IF(ISNUMBER($E211),DATE(YEAR($E211),MONTH($E211),1),MesCiclo)))</f>
        <v/>
      </c>
      <c r="P211" s="68">
        <f>IF(OR($O211="",$O211&lt;&gt;MesCiclo),"",COUNTIF($O$5:$O211,MesCiclo))</f>
        <v/>
      </c>
    </row>
    <row r="212">
      <c r="A212" s="60">
        <f>IF(NOT((COUNTA($B212:$J212)+COUNTA($M212))&gt;0),"",COUNTIFS($L$5:$L212,"?*",$O$5:$O212,$O212))</f>
        <v/>
      </c>
      <c r="B212" s="61" t="n"/>
      <c r="C212" s="61" t="n"/>
      <c r="D212" s="62" t="n"/>
      <c r="E212" s="62" t="n"/>
      <c r="F212" s="63" t="n"/>
      <c r="G212" s="64" t="n"/>
      <c r="H212" s="64" t="n"/>
      <c r="I212" s="64" t="n"/>
      <c r="J212" s="64" t="n"/>
      <c r="K212" s="65">
        <f>IF(NOT((COUNTA($B212:$J212)+COUNTA($M212))&gt;0),"",IFERROR(LOOKUP(2,1/(G212:J212&lt;&gt;""),G212:J212),0))</f>
        <v/>
      </c>
      <c r="L212" s="60">
        <f>IF(K212="","",IF(K212&gt;=1,"Completado",IF(K212&gt;0,"En curso","Pendiente")))</f>
        <v/>
      </c>
      <c r="M212" s="61" t="n"/>
      <c r="N212" s="66">
        <f>IF(NOT((COUNTA($B212:$J212)+COUNTA($M212))&gt;0),"",IF((IF(B212="","Macroactividad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 OK","⚠ "&amp;LEFT(IF(B212="","Macroactividad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",""),LEN(IF(B212="","Macroactividad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",""))-3)))</f>
        <v/>
      </c>
      <c r="O212" s="67">
        <f>IF(NOT((COUNTA($B212:$J212)+COUNTA($M212))&gt;0),"",IF(ISNUMBER($D212),DATE(YEAR($D212),MONTH($D212),1),IF(ISNUMBER($E212),DATE(YEAR($E212),MONTH($E212),1),MesCiclo)))</f>
        <v/>
      </c>
      <c r="P212" s="68">
        <f>IF(OR($O212="",$O212&lt;&gt;MesCiclo),"",COUNTIF($O$5:$O212,MesCiclo))</f>
        <v/>
      </c>
    </row>
    <row r="213">
      <c r="A213" s="60">
        <f>IF(NOT((COUNTA($B213:$J213)+COUNTA($M213))&gt;0),"",COUNTIFS($L$5:$L213,"?*",$O$5:$O213,$O213))</f>
        <v/>
      </c>
      <c r="B213" s="61" t="n"/>
      <c r="C213" s="61" t="n"/>
      <c r="D213" s="62" t="n"/>
      <c r="E213" s="62" t="n"/>
      <c r="F213" s="63" t="n"/>
      <c r="G213" s="64" t="n"/>
      <c r="H213" s="64" t="n"/>
      <c r="I213" s="64" t="n"/>
      <c r="J213" s="64" t="n"/>
      <c r="K213" s="65">
        <f>IF(NOT((COUNTA($B213:$J213)+COUNTA($M213))&gt;0),"",IFERROR(LOOKUP(2,1/(G213:J213&lt;&gt;""),G213:J213),0))</f>
        <v/>
      </c>
      <c r="L213" s="60">
        <f>IF(K213="","",IF(K213&gt;=1,"Completado",IF(K213&gt;0,"En curso","Pendiente")))</f>
        <v/>
      </c>
      <c r="M213" s="61" t="n"/>
      <c r="N213" s="66">
        <f>IF(NOT((COUNTA($B213:$J213)+COUNTA($M213))&gt;0),"",IF((IF(B213="","Macroactividad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 OK","⚠ "&amp;LEFT(IF(B213="","Macroactividad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",""),LEN(IF(B213="","Macroactividad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",""))-3)))</f>
        <v/>
      </c>
      <c r="O213" s="67">
        <f>IF(NOT((COUNTA($B213:$J213)+COUNTA($M213))&gt;0),"",IF(ISNUMBER($D213),DATE(YEAR($D213),MONTH($D213),1),IF(ISNUMBER($E213),DATE(YEAR($E213),MONTH($E213),1),MesCiclo)))</f>
        <v/>
      </c>
      <c r="P213" s="68">
        <f>IF(OR($O213="",$O213&lt;&gt;MesCiclo),"",COUNTIF($O$5:$O213,MesCiclo))</f>
        <v/>
      </c>
    </row>
    <row r="214">
      <c r="A214" s="60">
        <f>IF(NOT((COUNTA($B214:$J214)+COUNTA($M214))&gt;0),"",COUNTIFS($L$5:$L214,"?*",$O$5:$O214,$O214))</f>
        <v/>
      </c>
      <c r="B214" s="61" t="n"/>
      <c r="C214" s="61" t="n"/>
      <c r="D214" s="62" t="n"/>
      <c r="E214" s="62" t="n"/>
      <c r="F214" s="63" t="n"/>
      <c r="G214" s="64" t="n"/>
      <c r="H214" s="64" t="n"/>
      <c r="I214" s="64" t="n"/>
      <c r="J214" s="64" t="n"/>
      <c r="K214" s="65">
        <f>IF(NOT((COUNTA($B214:$J214)+COUNTA($M214))&gt;0),"",IFERROR(LOOKUP(2,1/(G214:J214&lt;&gt;""),G214:J214),0))</f>
        <v/>
      </c>
      <c r="L214" s="60">
        <f>IF(K214="","",IF(K214&gt;=1,"Completado",IF(K214&gt;0,"En curso","Pendiente")))</f>
        <v/>
      </c>
      <c r="M214" s="61" t="n"/>
      <c r="N214" s="66">
        <f>IF(NOT((COUNTA($B214:$J214)+COUNTA($M214))&gt;0),"",IF((IF(B214="","Macroactividad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 OK","⚠ "&amp;LEFT(IF(B214="","Macroactividad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",""),LEN(IF(B214="","Macroactividad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",""))-3)))</f>
        <v/>
      </c>
      <c r="O214" s="67">
        <f>IF(NOT((COUNTA($B214:$J214)+COUNTA($M214))&gt;0),"",IF(ISNUMBER($D214),DATE(YEAR($D214),MONTH($D214),1),IF(ISNUMBER($E214),DATE(YEAR($E214),MONTH($E214),1),MesCiclo)))</f>
        <v/>
      </c>
      <c r="P214" s="68">
        <f>IF(OR($O214="",$O214&lt;&gt;MesCiclo),"",COUNTIF($O$5:$O214,MesCiclo))</f>
        <v/>
      </c>
    </row>
    <row r="215">
      <c r="A215" s="60">
        <f>IF(NOT((COUNTA($B215:$J215)+COUNTA($M215))&gt;0),"",COUNTIFS($L$5:$L215,"?*",$O$5:$O215,$O215))</f>
        <v/>
      </c>
      <c r="B215" s="61" t="n"/>
      <c r="C215" s="61" t="n"/>
      <c r="D215" s="62" t="n"/>
      <c r="E215" s="62" t="n"/>
      <c r="F215" s="63" t="n"/>
      <c r="G215" s="64" t="n"/>
      <c r="H215" s="64" t="n"/>
      <c r="I215" s="64" t="n"/>
      <c r="J215" s="64" t="n"/>
      <c r="K215" s="65">
        <f>IF(NOT((COUNTA($B215:$J215)+COUNTA($M215))&gt;0),"",IFERROR(LOOKUP(2,1/(G215:J215&lt;&gt;""),G215:J215),0))</f>
        <v/>
      </c>
      <c r="L215" s="60">
        <f>IF(K215="","",IF(K215&gt;=1,"Completado",IF(K215&gt;0,"En curso","Pendiente")))</f>
        <v/>
      </c>
      <c r="M215" s="61" t="n"/>
      <c r="N215" s="66">
        <f>IF(NOT((COUNTA($B215:$J215)+COUNTA($M215))&gt;0),"",IF((IF(B215="","Macroactividad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 OK","⚠ "&amp;LEFT(IF(B215="","Macroactividad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",""),LEN(IF(B215="","Macroactividad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",""))-3)))</f>
        <v/>
      </c>
      <c r="O215" s="67">
        <f>IF(NOT((COUNTA($B215:$J215)+COUNTA($M215))&gt;0),"",IF(ISNUMBER($D215),DATE(YEAR($D215),MONTH($D215),1),IF(ISNUMBER($E215),DATE(YEAR($E215),MONTH($E215),1),MesCiclo)))</f>
        <v/>
      </c>
      <c r="P215" s="68">
        <f>IF(OR($O215="",$O215&lt;&gt;MesCiclo),"",COUNTIF($O$5:$O215,MesCiclo))</f>
        <v/>
      </c>
    </row>
    <row r="216">
      <c r="A216" s="60">
        <f>IF(NOT((COUNTA($B216:$J216)+COUNTA($M216))&gt;0),"",COUNTIFS($L$5:$L216,"?*",$O$5:$O216,$O216))</f>
        <v/>
      </c>
      <c r="B216" s="61" t="n"/>
      <c r="C216" s="61" t="n"/>
      <c r="D216" s="62" t="n"/>
      <c r="E216" s="62" t="n"/>
      <c r="F216" s="63" t="n"/>
      <c r="G216" s="64" t="n"/>
      <c r="H216" s="64" t="n"/>
      <c r="I216" s="64" t="n"/>
      <c r="J216" s="64" t="n"/>
      <c r="K216" s="65">
        <f>IF(NOT((COUNTA($B216:$J216)+COUNTA($M216))&gt;0),"",IFERROR(LOOKUP(2,1/(G216:J216&lt;&gt;""),G216:J216),0))</f>
        <v/>
      </c>
      <c r="L216" s="60">
        <f>IF(K216="","",IF(K216&gt;=1,"Completado",IF(K216&gt;0,"En curso","Pendiente")))</f>
        <v/>
      </c>
      <c r="M216" s="61" t="n"/>
      <c r="N216" s="66">
        <f>IF(NOT((COUNTA($B216:$J216)+COUNTA($M216))&gt;0),"",IF((IF(B216="","Macroactividad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 OK","⚠ "&amp;LEFT(IF(B216="","Macroactividad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",""),LEN(IF(B216="","Macroactividad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",""))-3)))</f>
        <v/>
      </c>
      <c r="O216" s="67">
        <f>IF(NOT((COUNTA($B216:$J216)+COUNTA($M216))&gt;0),"",IF(ISNUMBER($D216),DATE(YEAR($D216),MONTH($D216),1),IF(ISNUMBER($E216),DATE(YEAR($E216),MONTH($E216),1),MesCiclo)))</f>
        <v/>
      </c>
      <c r="P216" s="68">
        <f>IF(OR($O216="",$O216&lt;&gt;MesCiclo),"",COUNTIF($O$5:$O216,MesCiclo))</f>
        <v/>
      </c>
    </row>
    <row r="217">
      <c r="A217" s="60">
        <f>IF(NOT((COUNTA($B217:$J217)+COUNTA($M217))&gt;0),"",COUNTIFS($L$5:$L217,"?*",$O$5:$O217,$O217))</f>
        <v/>
      </c>
      <c r="B217" s="61" t="n"/>
      <c r="C217" s="61" t="n"/>
      <c r="D217" s="62" t="n"/>
      <c r="E217" s="62" t="n"/>
      <c r="F217" s="63" t="n"/>
      <c r="G217" s="64" t="n"/>
      <c r="H217" s="64" t="n"/>
      <c r="I217" s="64" t="n"/>
      <c r="J217" s="64" t="n"/>
      <c r="K217" s="65">
        <f>IF(NOT((COUNTA($B217:$J217)+COUNTA($M217))&gt;0),"",IFERROR(LOOKUP(2,1/(G217:J217&lt;&gt;""),G217:J217),0))</f>
        <v/>
      </c>
      <c r="L217" s="60">
        <f>IF(K217="","",IF(K217&gt;=1,"Completado",IF(K217&gt;0,"En curso","Pendiente")))</f>
        <v/>
      </c>
      <c r="M217" s="61" t="n"/>
      <c r="N217" s="66">
        <f>IF(NOT((COUNTA($B217:$J217)+COUNTA($M217))&gt;0),"",IF((IF(B217="","Macroactividad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 OK","⚠ "&amp;LEFT(IF(B217="","Macroactividad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",""),LEN(IF(B217="","Macroactividad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",""))-3)))</f>
        <v/>
      </c>
      <c r="O217" s="67">
        <f>IF(NOT((COUNTA($B217:$J217)+COUNTA($M217))&gt;0),"",IF(ISNUMBER($D217),DATE(YEAR($D217),MONTH($D217),1),IF(ISNUMBER($E217),DATE(YEAR($E217),MONTH($E217),1),MesCiclo)))</f>
        <v/>
      </c>
      <c r="P217" s="68">
        <f>IF(OR($O217="",$O217&lt;&gt;MesCiclo),"",COUNTIF($O$5:$O217,MesCiclo))</f>
        <v/>
      </c>
    </row>
    <row r="218">
      <c r="A218" s="60">
        <f>IF(NOT((COUNTA($B218:$J218)+COUNTA($M218))&gt;0),"",COUNTIFS($L$5:$L218,"?*",$O$5:$O218,$O218))</f>
        <v/>
      </c>
      <c r="B218" s="61" t="n"/>
      <c r="C218" s="61" t="n"/>
      <c r="D218" s="62" t="n"/>
      <c r="E218" s="62" t="n"/>
      <c r="F218" s="63" t="n"/>
      <c r="G218" s="64" t="n"/>
      <c r="H218" s="64" t="n"/>
      <c r="I218" s="64" t="n"/>
      <c r="J218" s="64" t="n"/>
      <c r="K218" s="65">
        <f>IF(NOT((COUNTA($B218:$J218)+COUNTA($M218))&gt;0),"",IFERROR(LOOKUP(2,1/(G218:J218&lt;&gt;""),G218:J218),0))</f>
        <v/>
      </c>
      <c r="L218" s="60">
        <f>IF(K218="","",IF(K218&gt;=1,"Completado",IF(K218&gt;0,"En curso","Pendiente")))</f>
        <v/>
      </c>
      <c r="M218" s="61" t="n"/>
      <c r="N218" s="66">
        <f>IF(NOT((COUNTA($B218:$J218)+COUNTA($M218))&gt;0),"",IF((IF(B218="","Macroactividad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 OK","⚠ "&amp;LEFT(IF(B218="","Macroactividad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",""),LEN(IF(B218="","Macroactividad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",""))-3)))</f>
        <v/>
      </c>
      <c r="O218" s="67">
        <f>IF(NOT((COUNTA($B218:$J218)+COUNTA($M218))&gt;0),"",IF(ISNUMBER($D218),DATE(YEAR($D218),MONTH($D218),1),IF(ISNUMBER($E218),DATE(YEAR($E218),MONTH($E218),1),MesCiclo)))</f>
        <v/>
      </c>
      <c r="P218" s="68">
        <f>IF(OR($O218="",$O218&lt;&gt;MesCiclo),"",COUNTIF($O$5:$O218,MesCiclo))</f>
        <v/>
      </c>
    </row>
    <row r="219">
      <c r="A219" s="60">
        <f>IF(NOT((COUNTA($B219:$J219)+COUNTA($M219))&gt;0),"",COUNTIFS($L$5:$L219,"?*",$O$5:$O219,$O219))</f>
        <v/>
      </c>
      <c r="B219" s="61" t="n"/>
      <c r="C219" s="61" t="n"/>
      <c r="D219" s="62" t="n"/>
      <c r="E219" s="62" t="n"/>
      <c r="F219" s="63" t="n"/>
      <c r="G219" s="64" t="n"/>
      <c r="H219" s="64" t="n"/>
      <c r="I219" s="64" t="n"/>
      <c r="J219" s="64" t="n"/>
      <c r="K219" s="65">
        <f>IF(NOT((COUNTA($B219:$J219)+COUNTA($M219))&gt;0),"",IFERROR(LOOKUP(2,1/(G219:J219&lt;&gt;""),G219:J219),0))</f>
        <v/>
      </c>
      <c r="L219" s="60">
        <f>IF(K219="","",IF(K219&gt;=1,"Completado",IF(K219&gt;0,"En curso","Pendiente")))</f>
        <v/>
      </c>
      <c r="M219" s="61" t="n"/>
      <c r="N219" s="66">
        <f>IF(NOT((COUNTA($B219:$J219)+COUNTA($M219))&gt;0),"",IF((IF(B219="","Macroactividad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 OK","⚠ "&amp;LEFT(IF(B219="","Macroactividad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",""),LEN(IF(B219="","Macroactividad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",""))-3)))</f>
        <v/>
      </c>
      <c r="O219" s="67">
        <f>IF(NOT((COUNTA($B219:$J219)+COUNTA($M219))&gt;0),"",IF(ISNUMBER($D219),DATE(YEAR($D219),MONTH($D219),1),IF(ISNUMBER($E219),DATE(YEAR($E219),MONTH($E219),1),MesCiclo)))</f>
        <v/>
      </c>
      <c r="P219" s="68">
        <f>IF(OR($O219="",$O219&lt;&gt;MesCiclo),"",COUNTIF($O$5:$O219,MesCiclo))</f>
        <v/>
      </c>
    </row>
    <row r="220">
      <c r="A220" s="60">
        <f>IF(NOT((COUNTA($B220:$J220)+COUNTA($M220))&gt;0),"",COUNTIFS($L$5:$L220,"?*",$O$5:$O220,$O220))</f>
        <v/>
      </c>
      <c r="B220" s="61" t="n"/>
      <c r="C220" s="61" t="n"/>
      <c r="D220" s="62" t="n"/>
      <c r="E220" s="62" t="n"/>
      <c r="F220" s="63" t="n"/>
      <c r="G220" s="64" t="n"/>
      <c r="H220" s="64" t="n"/>
      <c r="I220" s="64" t="n"/>
      <c r="J220" s="64" t="n"/>
      <c r="K220" s="65">
        <f>IF(NOT((COUNTA($B220:$J220)+COUNTA($M220))&gt;0),"",IFERROR(LOOKUP(2,1/(G220:J220&lt;&gt;""),G220:J220),0))</f>
        <v/>
      </c>
      <c r="L220" s="60">
        <f>IF(K220="","",IF(K220&gt;=1,"Completado",IF(K220&gt;0,"En curso","Pendiente")))</f>
        <v/>
      </c>
      <c r="M220" s="61" t="n"/>
      <c r="N220" s="66">
        <f>IF(NOT((COUNTA($B220:$J220)+COUNTA($M220))&gt;0),"",IF((IF(B220="","Macroactividad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 OK","⚠ "&amp;LEFT(IF(B220="","Macroactividad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",""),LEN(IF(B220="","Macroactividad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",""))-3)))</f>
        <v/>
      </c>
      <c r="O220" s="67">
        <f>IF(NOT((COUNTA($B220:$J220)+COUNTA($M220))&gt;0),"",IF(ISNUMBER($D220),DATE(YEAR($D220),MONTH($D220),1),IF(ISNUMBER($E220),DATE(YEAR($E220),MONTH($E220),1),MesCiclo)))</f>
        <v/>
      </c>
      <c r="P220" s="68">
        <f>IF(OR($O220="",$O220&lt;&gt;MesCiclo),"",COUNTIF($O$5:$O220,MesCiclo))</f>
        <v/>
      </c>
    </row>
    <row r="221">
      <c r="A221" s="60">
        <f>IF(NOT((COUNTA($B221:$J221)+COUNTA($M221))&gt;0),"",COUNTIFS($L$5:$L221,"?*",$O$5:$O221,$O221))</f>
        <v/>
      </c>
      <c r="B221" s="61" t="n"/>
      <c r="C221" s="61" t="n"/>
      <c r="D221" s="62" t="n"/>
      <c r="E221" s="62" t="n"/>
      <c r="F221" s="63" t="n"/>
      <c r="G221" s="64" t="n"/>
      <c r="H221" s="64" t="n"/>
      <c r="I221" s="64" t="n"/>
      <c r="J221" s="64" t="n"/>
      <c r="K221" s="65">
        <f>IF(NOT((COUNTA($B221:$J221)+COUNTA($M221))&gt;0),"",IFERROR(LOOKUP(2,1/(G221:J221&lt;&gt;""),G221:J221),0))</f>
        <v/>
      </c>
      <c r="L221" s="60">
        <f>IF(K221="","",IF(K221&gt;=1,"Completado",IF(K221&gt;0,"En curso","Pendiente")))</f>
        <v/>
      </c>
      <c r="M221" s="61" t="n"/>
      <c r="N221" s="66">
        <f>IF(NOT((COUNTA($B221:$J221)+COUNTA($M221))&gt;0),"",IF((IF(B221="","Macroactividad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 OK","⚠ "&amp;LEFT(IF(B221="","Macroactividad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",""),LEN(IF(B221="","Macroactividad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",""))-3)))</f>
        <v/>
      </c>
      <c r="O221" s="67">
        <f>IF(NOT((COUNTA($B221:$J221)+COUNTA($M221))&gt;0),"",IF(ISNUMBER($D221),DATE(YEAR($D221),MONTH($D221),1),IF(ISNUMBER($E221),DATE(YEAR($E221),MONTH($E221),1),MesCiclo)))</f>
        <v/>
      </c>
      <c r="P221" s="68">
        <f>IF(OR($O221="",$O221&lt;&gt;MesCiclo),"",COUNTIF($O$5:$O221,MesCiclo))</f>
        <v/>
      </c>
    </row>
    <row r="222">
      <c r="A222" s="60">
        <f>IF(NOT((COUNTA($B222:$J222)+COUNTA($M222))&gt;0),"",COUNTIFS($L$5:$L222,"?*",$O$5:$O222,$O222))</f>
        <v/>
      </c>
      <c r="B222" s="61" t="n"/>
      <c r="C222" s="61" t="n"/>
      <c r="D222" s="62" t="n"/>
      <c r="E222" s="62" t="n"/>
      <c r="F222" s="63" t="n"/>
      <c r="G222" s="64" t="n"/>
      <c r="H222" s="64" t="n"/>
      <c r="I222" s="64" t="n"/>
      <c r="J222" s="64" t="n"/>
      <c r="K222" s="65">
        <f>IF(NOT((COUNTA($B222:$J222)+COUNTA($M222))&gt;0),"",IFERROR(LOOKUP(2,1/(G222:J222&lt;&gt;""),G222:J222),0))</f>
        <v/>
      </c>
      <c r="L222" s="60">
        <f>IF(K222="","",IF(K222&gt;=1,"Completado",IF(K222&gt;0,"En curso","Pendiente")))</f>
        <v/>
      </c>
      <c r="M222" s="61" t="n"/>
      <c r="N222" s="66">
        <f>IF(NOT((COUNTA($B222:$J222)+COUNTA($M222))&gt;0),"",IF((IF(B222="","Macroactividad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 OK","⚠ "&amp;LEFT(IF(B222="","Macroactividad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",""),LEN(IF(B222="","Macroactividad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",""))-3)))</f>
        <v/>
      </c>
      <c r="O222" s="67">
        <f>IF(NOT((COUNTA($B222:$J222)+COUNTA($M222))&gt;0),"",IF(ISNUMBER($D222),DATE(YEAR($D222),MONTH($D222),1),IF(ISNUMBER($E222),DATE(YEAR($E222),MONTH($E222),1),MesCiclo)))</f>
        <v/>
      </c>
      <c r="P222" s="68">
        <f>IF(OR($O222="",$O222&lt;&gt;MesCiclo),"",COUNTIF($O$5:$O222,MesCiclo))</f>
        <v/>
      </c>
    </row>
    <row r="223">
      <c r="A223" s="60">
        <f>IF(NOT((COUNTA($B223:$J223)+COUNTA($M223))&gt;0),"",COUNTIFS($L$5:$L223,"?*",$O$5:$O223,$O223))</f>
        <v/>
      </c>
      <c r="B223" s="61" t="n"/>
      <c r="C223" s="61" t="n"/>
      <c r="D223" s="62" t="n"/>
      <c r="E223" s="62" t="n"/>
      <c r="F223" s="63" t="n"/>
      <c r="G223" s="64" t="n"/>
      <c r="H223" s="64" t="n"/>
      <c r="I223" s="64" t="n"/>
      <c r="J223" s="64" t="n"/>
      <c r="K223" s="65">
        <f>IF(NOT((COUNTA($B223:$J223)+COUNTA($M223))&gt;0),"",IFERROR(LOOKUP(2,1/(G223:J223&lt;&gt;""),G223:J223),0))</f>
        <v/>
      </c>
      <c r="L223" s="60">
        <f>IF(K223="","",IF(K223&gt;=1,"Completado",IF(K223&gt;0,"En curso","Pendiente")))</f>
        <v/>
      </c>
      <c r="M223" s="61" t="n"/>
      <c r="N223" s="66">
        <f>IF(NOT((COUNTA($B223:$J223)+COUNTA($M223))&gt;0),"",IF((IF(B223="","Macroactividad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 OK","⚠ "&amp;LEFT(IF(B223="","Macroactividad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",""),LEN(IF(B223="","Macroactividad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",""))-3)))</f>
        <v/>
      </c>
      <c r="O223" s="67">
        <f>IF(NOT((COUNTA($B223:$J223)+COUNTA($M223))&gt;0),"",IF(ISNUMBER($D223),DATE(YEAR($D223),MONTH($D223),1),IF(ISNUMBER($E223),DATE(YEAR($E223),MONTH($E223),1),MesCiclo)))</f>
        <v/>
      </c>
      <c r="P223" s="68">
        <f>IF(OR($O223="",$O223&lt;&gt;MesCiclo),"",COUNTIF($O$5:$O223,MesCiclo))</f>
        <v/>
      </c>
    </row>
    <row r="224">
      <c r="A224" s="60">
        <f>IF(NOT((COUNTA($B224:$J224)+COUNTA($M224))&gt;0),"",COUNTIFS($L$5:$L224,"?*",$O$5:$O224,$O224))</f>
        <v/>
      </c>
      <c r="B224" s="61" t="n"/>
      <c r="C224" s="61" t="n"/>
      <c r="D224" s="62" t="n"/>
      <c r="E224" s="62" t="n"/>
      <c r="F224" s="63" t="n"/>
      <c r="G224" s="64" t="n"/>
      <c r="H224" s="64" t="n"/>
      <c r="I224" s="64" t="n"/>
      <c r="J224" s="64" t="n"/>
      <c r="K224" s="65">
        <f>IF(NOT((COUNTA($B224:$J224)+COUNTA($M224))&gt;0),"",IFERROR(LOOKUP(2,1/(G224:J224&lt;&gt;""),G224:J224),0))</f>
        <v/>
      </c>
      <c r="L224" s="60">
        <f>IF(K224="","",IF(K224&gt;=1,"Completado",IF(K224&gt;0,"En curso","Pendiente")))</f>
        <v/>
      </c>
      <c r="M224" s="61" t="n"/>
      <c r="N224" s="66">
        <f>IF(NOT((COUNTA($B224:$J224)+COUNTA($M224))&gt;0),"",IF((IF(B224="","Macroactividad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 OK","⚠ "&amp;LEFT(IF(B224="","Macroactividad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",""),LEN(IF(B224="","Macroactividad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",""))-3)))</f>
        <v/>
      </c>
      <c r="O224" s="67">
        <f>IF(NOT((COUNTA($B224:$J224)+COUNTA($M224))&gt;0),"",IF(ISNUMBER($D224),DATE(YEAR($D224),MONTH($D224),1),IF(ISNUMBER($E224),DATE(YEAR($E224),MONTH($E224),1),MesCiclo)))</f>
        <v/>
      </c>
      <c r="P224" s="68">
        <f>IF(OR($O224="",$O224&lt;&gt;MesCiclo),"",COUNTIF($O$5:$O224,MesCiclo))</f>
        <v/>
      </c>
    </row>
    <row r="225">
      <c r="A225" s="60">
        <f>IF(NOT((COUNTA($B225:$J225)+COUNTA($M225))&gt;0),"",COUNTIFS($L$5:$L225,"?*",$O$5:$O225,$O225))</f>
        <v/>
      </c>
      <c r="B225" s="61" t="n"/>
      <c r="C225" s="61" t="n"/>
      <c r="D225" s="62" t="n"/>
      <c r="E225" s="62" t="n"/>
      <c r="F225" s="63" t="n"/>
      <c r="G225" s="64" t="n"/>
      <c r="H225" s="64" t="n"/>
      <c r="I225" s="64" t="n"/>
      <c r="J225" s="64" t="n"/>
      <c r="K225" s="65">
        <f>IF(NOT((COUNTA($B225:$J225)+COUNTA($M225))&gt;0),"",IFERROR(LOOKUP(2,1/(G225:J225&lt;&gt;""),G225:J225),0))</f>
        <v/>
      </c>
      <c r="L225" s="60">
        <f>IF(K225="","",IF(K225&gt;=1,"Completado",IF(K225&gt;0,"En curso","Pendiente")))</f>
        <v/>
      </c>
      <c r="M225" s="61" t="n"/>
      <c r="N225" s="66">
        <f>IF(NOT((COUNTA($B225:$J225)+COUNTA($M225))&gt;0),"",IF((IF(B225="","Macroactividad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 OK","⚠ "&amp;LEFT(IF(B225="","Macroactividad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",""),LEN(IF(B225="","Macroactividad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",""))-3)))</f>
        <v/>
      </c>
      <c r="O225" s="67">
        <f>IF(NOT((COUNTA($B225:$J225)+COUNTA($M225))&gt;0),"",IF(ISNUMBER($D225),DATE(YEAR($D225),MONTH($D225),1),IF(ISNUMBER($E225),DATE(YEAR($E225),MONTH($E225),1),MesCiclo)))</f>
        <v/>
      </c>
      <c r="P225" s="68">
        <f>IF(OR($O225="",$O225&lt;&gt;MesCiclo),"",COUNTIF($O$5:$O225,MesCiclo))</f>
        <v/>
      </c>
    </row>
    <row r="226">
      <c r="A226" s="60">
        <f>IF(NOT((COUNTA($B226:$J226)+COUNTA($M226))&gt;0),"",COUNTIFS($L$5:$L226,"?*",$O$5:$O226,$O226))</f>
        <v/>
      </c>
      <c r="B226" s="61" t="n"/>
      <c r="C226" s="61" t="n"/>
      <c r="D226" s="62" t="n"/>
      <c r="E226" s="62" t="n"/>
      <c r="F226" s="63" t="n"/>
      <c r="G226" s="64" t="n"/>
      <c r="H226" s="64" t="n"/>
      <c r="I226" s="64" t="n"/>
      <c r="J226" s="64" t="n"/>
      <c r="K226" s="65">
        <f>IF(NOT((COUNTA($B226:$J226)+COUNTA($M226))&gt;0),"",IFERROR(LOOKUP(2,1/(G226:J226&lt;&gt;""),G226:J226),0))</f>
        <v/>
      </c>
      <c r="L226" s="60">
        <f>IF(K226="","",IF(K226&gt;=1,"Completado",IF(K226&gt;0,"En curso","Pendiente")))</f>
        <v/>
      </c>
      <c r="M226" s="61" t="n"/>
      <c r="N226" s="66">
        <f>IF(NOT((COUNTA($B226:$J226)+COUNTA($M226))&gt;0),"",IF((IF(B226="","Macroactividad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 OK","⚠ "&amp;LEFT(IF(B226="","Macroactividad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",""),LEN(IF(B226="","Macroactividad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",""))-3)))</f>
        <v/>
      </c>
      <c r="O226" s="67">
        <f>IF(NOT((COUNTA($B226:$J226)+COUNTA($M226))&gt;0),"",IF(ISNUMBER($D226),DATE(YEAR($D226),MONTH($D226),1),IF(ISNUMBER($E226),DATE(YEAR($E226),MONTH($E226),1),MesCiclo)))</f>
        <v/>
      </c>
      <c r="P226" s="68">
        <f>IF(OR($O226="",$O226&lt;&gt;MesCiclo),"",COUNTIF($O$5:$O226,MesCiclo))</f>
        <v/>
      </c>
    </row>
    <row r="227">
      <c r="A227" s="60">
        <f>IF(NOT((COUNTA($B227:$J227)+COUNTA($M227))&gt;0),"",COUNTIFS($L$5:$L227,"?*",$O$5:$O227,$O227))</f>
        <v/>
      </c>
      <c r="B227" s="61" t="n"/>
      <c r="C227" s="61" t="n"/>
      <c r="D227" s="62" t="n"/>
      <c r="E227" s="62" t="n"/>
      <c r="F227" s="63" t="n"/>
      <c r="G227" s="64" t="n"/>
      <c r="H227" s="64" t="n"/>
      <c r="I227" s="64" t="n"/>
      <c r="J227" s="64" t="n"/>
      <c r="K227" s="65">
        <f>IF(NOT((COUNTA($B227:$J227)+COUNTA($M227))&gt;0),"",IFERROR(LOOKUP(2,1/(G227:J227&lt;&gt;""),G227:J227),0))</f>
        <v/>
      </c>
      <c r="L227" s="60">
        <f>IF(K227="","",IF(K227&gt;=1,"Completado",IF(K227&gt;0,"En curso","Pendiente")))</f>
        <v/>
      </c>
      <c r="M227" s="61" t="n"/>
      <c r="N227" s="66">
        <f>IF(NOT((COUNTA($B227:$J227)+COUNTA($M227))&gt;0),"",IF((IF(B227="","Macroactividad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 OK","⚠ "&amp;LEFT(IF(B227="","Macroactividad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",""),LEN(IF(B227="","Macroactividad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",""))-3)))</f>
        <v/>
      </c>
      <c r="O227" s="67">
        <f>IF(NOT((COUNTA($B227:$J227)+COUNTA($M227))&gt;0),"",IF(ISNUMBER($D227),DATE(YEAR($D227),MONTH($D227),1),IF(ISNUMBER($E227),DATE(YEAR($E227),MONTH($E227),1),MesCiclo)))</f>
        <v/>
      </c>
      <c r="P227" s="68">
        <f>IF(OR($O227="",$O227&lt;&gt;MesCiclo),"",COUNTIF($O$5:$O227,MesCiclo))</f>
        <v/>
      </c>
    </row>
    <row r="228">
      <c r="A228" s="60">
        <f>IF(NOT((COUNTA($B228:$J228)+COUNTA($M228))&gt;0),"",COUNTIFS($L$5:$L228,"?*",$O$5:$O228,$O228))</f>
        <v/>
      </c>
      <c r="B228" s="61" t="n"/>
      <c r="C228" s="61" t="n"/>
      <c r="D228" s="62" t="n"/>
      <c r="E228" s="62" t="n"/>
      <c r="F228" s="63" t="n"/>
      <c r="G228" s="64" t="n"/>
      <c r="H228" s="64" t="n"/>
      <c r="I228" s="64" t="n"/>
      <c r="J228" s="64" t="n"/>
      <c r="K228" s="65">
        <f>IF(NOT((COUNTA($B228:$J228)+COUNTA($M228))&gt;0),"",IFERROR(LOOKUP(2,1/(G228:J228&lt;&gt;""),G228:J228),0))</f>
        <v/>
      </c>
      <c r="L228" s="60">
        <f>IF(K228="","",IF(K228&gt;=1,"Completado",IF(K228&gt;0,"En curso","Pendiente")))</f>
        <v/>
      </c>
      <c r="M228" s="61" t="n"/>
      <c r="N228" s="66">
        <f>IF(NOT((COUNTA($B228:$J228)+COUNTA($M228))&gt;0),"",IF((IF(B228="","Macroactividad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 OK","⚠ "&amp;LEFT(IF(B228="","Macroactividad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",""),LEN(IF(B228="","Macroactividad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",""))-3)))</f>
        <v/>
      </c>
      <c r="O228" s="67">
        <f>IF(NOT((COUNTA($B228:$J228)+COUNTA($M228))&gt;0),"",IF(ISNUMBER($D228),DATE(YEAR($D228),MONTH($D228),1),IF(ISNUMBER($E228),DATE(YEAR($E228),MONTH($E228),1),MesCiclo)))</f>
        <v/>
      </c>
      <c r="P228" s="68">
        <f>IF(OR($O228="",$O228&lt;&gt;MesCiclo),"",COUNTIF($O$5:$O228,MesCiclo))</f>
        <v/>
      </c>
    </row>
    <row r="229">
      <c r="A229" s="60">
        <f>IF(NOT((COUNTA($B229:$J229)+COUNTA($M229))&gt;0),"",COUNTIFS($L$5:$L229,"?*",$O$5:$O229,$O229))</f>
        <v/>
      </c>
      <c r="B229" s="61" t="n"/>
      <c r="C229" s="61" t="n"/>
      <c r="D229" s="62" t="n"/>
      <c r="E229" s="62" t="n"/>
      <c r="F229" s="63" t="n"/>
      <c r="G229" s="64" t="n"/>
      <c r="H229" s="64" t="n"/>
      <c r="I229" s="64" t="n"/>
      <c r="J229" s="64" t="n"/>
      <c r="K229" s="65">
        <f>IF(NOT((COUNTA($B229:$J229)+COUNTA($M229))&gt;0),"",IFERROR(LOOKUP(2,1/(G229:J229&lt;&gt;""),G229:J229),0))</f>
        <v/>
      </c>
      <c r="L229" s="60">
        <f>IF(K229="","",IF(K229&gt;=1,"Completado",IF(K229&gt;0,"En curso","Pendiente")))</f>
        <v/>
      </c>
      <c r="M229" s="61" t="n"/>
      <c r="N229" s="66">
        <f>IF(NOT((COUNTA($B229:$J229)+COUNTA($M229))&gt;0),"",IF((IF(B229="","Macroactividad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 OK","⚠ "&amp;LEFT(IF(B229="","Macroactividad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",""),LEN(IF(B229="","Macroactividad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",""))-3)))</f>
        <v/>
      </c>
      <c r="O229" s="67">
        <f>IF(NOT((COUNTA($B229:$J229)+COUNTA($M229))&gt;0),"",IF(ISNUMBER($D229),DATE(YEAR($D229),MONTH($D229),1),IF(ISNUMBER($E229),DATE(YEAR($E229),MONTH($E229),1),MesCiclo)))</f>
        <v/>
      </c>
      <c r="P229" s="68">
        <f>IF(OR($O229="",$O229&lt;&gt;MesCiclo),"",COUNTIF($O$5:$O229,MesCiclo))</f>
        <v/>
      </c>
    </row>
    <row r="230">
      <c r="A230" s="60">
        <f>IF(NOT((COUNTA($B230:$J230)+COUNTA($M230))&gt;0),"",COUNTIFS($L$5:$L230,"?*",$O$5:$O230,$O230))</f>
        <v/>
      </c>
      <c r="B230" s="61" t="n"/>
      <c r="C230" s="61" t="n"/>
      <c r="D230" s="62" t="n"/>
      <c r="E230" s="62" t="n"/>
      <c r="F230" s="63" t="n"/>
      <c r="G230" s="64" t="n"/>
      <c r="H230" s="64" t="n"/>
      <c r="I230" s="64" t="n"/>
      <c r="J230" s="64" t="n"/>
      <c r="K230" s="65">
        <f>IF(NOT((COUNTA($B230:$J230)+COUNTA($M230))&gt;0),"",IFERROR(LOOKUP(2,1/(G230:J230&lt;&gt;""),G230:J230),0))</f>
        <v/>
      </c>
      <c r="L230" s="60">
        <f>IF(K230="","",IF(K230&gt;=1,"Completado",IF(K230&gt;0,"En curso","Pendiente")))</f>
        <v/>
      </c>
      <c r="M230" s="61" t="n"/>
      <c r="N230" s="66">
        <f>IF(NOT((COUNTA($B230:$J230)+COUNTA($M230))&gt;0),"",IF((IF(B230="","Macroactividad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 OK","⚠ "&amp;LEFT(IF(B230="","Macroactividad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",""),LEN(IF(B230="","Macroactividad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",""))-3)))</f>
        <v/>
      </c>
      <c r="O230" s="67">
        <f>IF(NOT((COUNTA($B230:$J230)+COUNTA($M230))&gt;0),"",IF(ISNUMBER($D230),DATE(YEAR($D230),MONTH($D230),1),IF(ISNUMBER($E230),DATE(YEAR($E230),MONTH($E230),1),MesCiclo)))</f>
        <v/>
      </c>
      <c r="P230" s="68">
        <f>IF(OR($O230="",$O230&lt;&gt;MesCiclo),"",COUNTIF($O$5:$O230,MesCiclo))</f>
        <v/>
      </c>
    </row>
    <row r="231">
      <c r="A231" s="60">
        <f>IF(NOT((COUNTA($B231:$J231)+COUNTA($M231))&gt;0),"",COUNTIFS($L$5:$L231,"?*",$O$5:$O231,$O231))</f>
        <v/>
      </c>
      <c r="B231" s="61" t="n"/>
      <c r="C231" s="61" t="n"/>
      <c r="D231" s="62" t="n"/>
      <c r="E231" s="62" t="n"/>
      <c r="F231" s="63" t="n"/>
      <c r="G231" s="64" t="n"/>
      <c r="H231" s="64" t="n"/>
      <c r="I231" s="64" t="n"/>
      <c r="J231" s="64" t="n"/>
      <c r="K231" s="65">
        <f>IF(NOT((COUNTA($B231:$J231)+COUNTA($M231))&gt;0),"",IFERROR(LOOKUP(2,1/(G231:J231&lt;&gt;""),G231:J231),0))</f>
        <v/>
      </c>
      <c r="L231" s="60">
        <f>IF(K231="","",IF(K231&gt;=1,"Completado",IF(K231&gt;0,"En curso","Pendiente")))</f>
        <v/>
      </c>
      <c r="M231" s="61" t="n"/>
      <c r="N231" s="66">
        <f>IF(NOT((COUNTA($B231:$J231)+COUNTA($M231))&gt;0),"",IF((IF(B231="","Macroactividad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 OK","⚠ "&amp;LEFT(IF(B231="","Macroactividad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",""),LEN(IF(B231="","Macroactividad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",""))-3)))</f>
        <v/>
      </c>
      <c r="O231" s="67">
        <f>IF(NOT((COUNTA($B231:$J231)+COUNTA($M231))&gt;0),"",IF(ISNUMBER($D231),DATE(YEAR($D231),MONTH($D231),1),IF(ISNUMBER($E231),DATE(YEAR($E231),MONTH($E231),1),MesCiclo)))</f>
        <v/>
      </c>
      <c r="P231" s="68">
        <f>IF(OR($O231="",$O231&lt;&gt;MesCiclo),"",COUNTIF($O$5:$O231,MesCiclo))</f>
        <v/>
      </c>
    </row>
    <row r="232">
      <c r="A232" s="60">
        <f>IF(NOT((COUNTA($B232:$J232)+COUNTA($M232))&gt;0),"",COUNTIFS($L$5:$L232,"?*",$O$5:$O232,$O232))</f>
        <v/>
      </c>
      <c r="B232" s="61" t="n"/>
      <c r="C232" s="61" t="n"/>
      <c r="D232" s="62" t="n"/>
      <c r="E232" s="62" t="n"/>
      <c r="F232" s="63" t="n"/>
      <c r="G232" s="64" t="n"/>
      <c r="H232" s="64" t="n"/>
      <c r="I232" s="64" t="n"/>
      <c r="J232" s="64" t="n"/>
      <c r="K232" s="65">
        <f>IF(NOT((COUNTA($B232:$J232)+COUNTA($M232))&gt;0),"",IFERROR(LOOKUP(2,1/(G232:J232&lt;&gt;""),G232:J232),0))</f>
        <v/>
      </c>
      <c r="L232" s="60">
        <f>IF(K232="","",IF(K232&gt;=1,"Completado",IF(K232&gt;0,"En curso","Pendiente")))</f>
        <v/>
      </c>
      <c r="M232" s="61" t="n"/>
      <c r="N232" s="66">
        <f>IF(NOT((COUNTA($B232:$J232)+COUNTA($M232))&gt;0),"",IF((IF(B232="","Macroactividad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 OK","⚠ "&amp;LEFT(IF(B232="","Macroactividad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",""),LEN(IF(B232="","Macroactividad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",""))-3)))</f>
        <v/>
      </c>
      <c r="O232" s="67">
        <f>IF(NOT((COUNTA($B232:$J232)+COUNTA($M232))&gt;0),"",IF(ISNUMBER($D232),DATE(YEAR($D232),MONTH($D232),1),IF(ISNUMBER($E232),DATE(YEAR($E232),MONTH($E232),1),MesCiclo)))</f>
        <v/>
      </c>
      <c r="P232" s="68">
        <f>IF(OR($O232="",$O232&lt;&gt;MesCiclo),"",COUNTIF($O$5:$O232,MesCiclo))</f>
        <v/>
      </c>
    </row>
    <row r="233">
      <c r="A233" s="60">
        <f>IF(NOT((COUNTA($B233:$J233)+COUNTA($M233))&gt;0),"",COUNTIFS($L$5:$L233,"?*",$O$5:$O233,$O233))</f>
        <v/>
      </c>
      <c r="B233" s="61" t="n"/>
      <c r="C233" s="61" t="n"/>
      <c r="D233" s="62" t="n"/>
      <c r="E233" s="62" t="n"/>
      <c r="F233" s="63" t="n"/>
      <c r="G233" s="64" t="n"/>
      <c r="H233" s="64" t="n"/>
      <c r="I233" s="64" t="n"/>
      <c r="J233" s="64" t="n"/>
      <c r="K233" s="65">
        <f>IF(NOT((COUNTA($B233:$J233)+COUNTA($M233))&gt;0),"",IFERROR(LOOKUP(2,1/(G233:J233&lt;&gt;""),G233:J233),0))</f>
        <v/>
      </c>
      <c r="L233" s="60">
        <f>IF(K233="","",IF(K233&gt;=1,"Completado",IF(K233&gt;0,"En curso","Pendiente")))</f>
        <v/>
      </c>
      <c r="M233" s="61" t="n"/>
      <c r="N233" s="66">
        <f>IF(NOT((COUNTA($B233:$J233)+COUNTA($M233))&gt;0),"",IF((IF(B233="","Macroactividad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 OK","⚠ "&amp;LEFT(IF(B233="","Macroactividad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",""),LEN(IF(B233="","Macroactividad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",""))-3)))</f>
        <v/>
      </c>
      <c r="O233" s="67">
        <f>IF(NOT((COUNTA($B233:$J233)+COUNTA($M233))&gt;0),"",IF(ISNUMBER($D233),DATE(YEAR($D233),MONTH($D233),1),IF(ISNUMBER($E233),DATE(YEAR($E233),MONTH($E233),1),MesCiclo)))</f>
        <v/>
      </c>
      <c r="P233" s="68">
        <f>IF(OR($O233="",$O233&lt;&gt;MesCiclo),"",COUNTIF($O$5:$O233,MesCiclo))</f>
        <v/>
      </c>
    </row>
    <row r="234">
      <c r="A234" s="60">
        <f>IF(NOT((COUNTA($B234:$J234)+COUNTA($M234))&gt;0),"",COUNTIFS($L$5:$L234,"?*",$O$5:$O234,$O234))</f>
        <v/>
      </c>
      <c r="B234" s="61" t="n"/>
      <c r="C234" s="61" t="n"/>
      <c r="D234" s="62" t="n"/>
      <c r="E234" s="62" t="n"/>
      <c r="F234" s="63" t="n"/>
      <c r="G234" s="64" t="n"/>
      <c r="H234" s="64" t="n"/>
      <c r="I234" s="64" t="n"/>
      <c r="J234" s="64" t="n"/>
      <c r="K234" s="65">
        <f>IF(NOT((COUNTA($B234:$J234)+COUNTA($M234))&gt;0),"",IFERROR(LOOKUP(2,1/(G234:J234&lt;&gt;""),G234:J234),0))</f>
        <v/>
      </c>
      <c r="L234" s="60">
        <f>IF(K234="","",IF(K234&gt;=1,"Completado",IF(K234&gt;0,"En curso","Pendiente")))</f>
        <v/>
      </c>
      <c r="M234" s="61" t="n"/>
      <c r="N234" s="66">
        <f>IF(NOT((COUNTA($B234:$J234)+COUNTA($M234))&gt;0),"",IF((IF(B234="","Macroactividad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 OK","⚠ "&amp;LEFT(IF(B234="","Macroactividad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",""),LEN(IF(B234="","Macroactividad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",""))-3)))</f>
        <v/>
      </c>
      <c r="O234" s="67">
        <f>IF(NOT((COUNTA($B234:$J234)+COUNTA($M234))&gt;0),"",IF(ISNUMBER($D234),DATE(YEAR($D234),MONTH($D234),1),IF(ISNUMBER($E234),DATE(YEAR($E234),MONTH($E234),1),MesCiclo)))</f>
        <v/>
      </c>
      <c r="P234" s="68">
        <f>IF(OR($O234="",$O234&lt;&gt;MesCiclo),"",COUNTIF($O$5:$O234,MesCiclo))</f>
        <v/>
      </c>
    </row>
    <row r="235">
      <c r="A235" s="60">
        <f>IF(NOT((COUNTA($B235:$J235)+COUNTA($M235))&gt;0),"",COUNTIFS($L$5:$L235,"?*",$O$5:$O235,$O235))</f>
        <v/>
      </c>
      <c r="B235" s="61" t="n"/>
      <c r="C235" s="61" t="n"/>
      <c r="D235" s="62" t="n"/>
      <c r="E235" s="62" t="n"/>
      <c r="F235" s="63" t="n"/>
      <c r="G235" s="64" t="n"/>
      <c r="H235" s="64" t="n"/>
      <c r="I235" s="64" t="n"/>
      <c r="J235" s="64" t="n"/>
      <c r="K235" s="65">
        <f>IF(NOT((COUNTA($B235:$J235)+COUNTA($M235))&gt;0),"",IFERROR(LOOKUP(2,1/(G235:J235&lt;&gt;""),G235:J235),0))</f>
        <v/>
      </c>
      <c r="L235" s="60">
        <f>IF(K235="","",IF(K235&gt;=1,"Completado",IF(K235&gt;0,"En curso","Pendiente")))</f>
        <v/>
      </c>
      <c r="M235" s="61" t="n"/>
      <c r="N235" s="66">
        <f>IF(NOT((COUNTA($B235:$J235)+COUNTA($M235))&gt;0),"",IF((IF(B235="","Macroactividad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 OK","⚠ "&amp;LEFT(IF(B235="","Macroactividad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",""),LEN(IF(B235="","Macroactividad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",""))-3)))</f>
        <v/>
      </c>
      <c r="O235" s="67">
        <f>IF(NOT((COUNTA($B235:$J235)+COUNTA($M235))&gt;0),"",IF(ISNUMBER($D235),DATE(YEAR($D235),MONTH($D235),1),IF(ISNUMBER($E235),DATE(YEAR($E235),MONTH($E235),1),MesCiclo)))</f>
        <v/>
      </c>
      <c r="P235" s="68">
        <f>IF(OR($O235="",$O235&lt;&gt;MesCiclo),"",COUNTIF($O$5:$O235,MesCiclo))</f>
        <v/>
      </c>
    </row>
    <row r="236">
      <c r="A236" s="60">
        <f>IF(NOT((COUNTA($B236:$J236)+COUNTA($M236))&gt;0),"",COUNTIFS($L$5:$L236,"?*",$O$5:$O236,$O236))</f>
        <v/>
      </c>
      <c r="B236" s="61" t="n"/>
      <c r="C236" s="61" t="n"/>
      <c r="D236" s="62" t="n"/>
      <c r="E236" s="62" t="n"/>
      <c r="F236" s="63" t="n"/>
      <c r="G236" s="64" t="n"/>
      <c r="H236" s="64" t="n"/>
      <c r="I236" s="64" t="n"/>
      <c r="J236" s="64" t="n"/>
      <c r="K236" s="65">
        <f>IF(NOT((COUNTA($B236:$J236)+COUNTA($M236))&gt;0),"",IFERROR(LOOKUP(2,1/(G236:J236&lt;&gt;""),G236:J236),0))</f>
        <v/>
      </c>
      <c r="L236" s="60">
        <f>IF(K236="","",IF(K236&gt;=1,"Completado",IF(K236&gt;0,"En curso","Pendiente")))</f>
        <v/>
      </c>
      <c r="M236" s="61" t="n"/>
      <c r="N236" s="66">
        <f>IF(NOT((COUNTA($B236:$J236)+COUNTA($M236))&gt;0),"",IF((IF(B236="","Macroactividad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 OK","⚠ "&amp;LEFT(IF(B236="","Macroactividad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",""),LEN(IF(B236="","Macroactividad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",""))-3)))</f>
        <v/>
      </c>
      <c r="O236" s="67">
        <f>IF(NOT((COUNTA($B236:$J236)+COUNTA($M236))&gt;0),"",IF(ISNUMBER($D236),DATE(YEAR($D236),MONTH($D236),1),IF(ISNUMBER($E236),DATE(YEAR($E236),MONTH($E236),1),MesCiclo)))</f>
        <v/>
      </c>
      <c r="P236" s="68">
        <f>IF(OR($O236="",$O236&lt;&gt;MesCiclo),"",COUNTIF($O$5:$O236,MesCiclo))</f>
        <v/>
      </c>
    </row>
    <row r="237">
      <c r="A237" s="60">
        <f>IF(NOT((COUNTA($B237:$J237)+COUNTA($M237))&gt;0),"",COUNTIFS($L$5:$L237,"?*",$O$5:$O237,$O237))</f>
        <v/>
      </c>
      <c r="B237" s="61" t="n"/>
      <c r="C237" s="61" t="n"/>
      <c r="D237" s="62" t="n"/>
      <c r="E237" s="62" t="n"/>
      <c r="F237" s="63" t="n"/>
      <c r="G237" s="64" t="n"/>
      <c r="H237" s="64" t="n"/>
      <c r="I237" s="64" t="n"/>
      <c r="J237" s="64" t="n"/>
      <c r="K237" s="65">
        <f>IF(NOT((COUNTA($B237:$J237)+COUNTA($M237))&gt;0),"",IFERROR(LOOKUP(2,1/(G237:J237&lt;&gt;""),G237:J237),0))</f>
        <v/>
      </c>
      <c r="L237" s="60">
        <f>IF(K237="","",IF(K237&gt;=1,"Completado",IF(K237&gt;0,"En curso","Pendiente")))</f>
        <v/>
      </c>
      <c r="M237" s="61" t="n"/>
      <c r="N237" s="66">
        <f>IF(NOT((COUNTA($B237:$J237)+COUNTA($M237))&gt;0),"",IF((IF(B237="","Macroactividad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 OK","⚠ "&amp;LEFT(IF(B237="","Macroactividad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",""),LEN(IF(B237="","Macroactividad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",""))-3)))</f>
        <v/>
      </c>
      <c r="O237" s="67">
        <f>IF(NOT((COUNTA($B237:$J237)+COUNTA($M237))&gt;0),"",IF(ISNUMBER($D237),DATE(YEAR($D237),MONTH($D237),1),IF(ISNUMBER($E237),DATE(YEAR($E237),MONTH($E237),1),MesCiclo)))</f>
        <v/>
      </c>
      <c r="P237" s="68">
        <f>IF(OR($O237="",$O237&lt;&gt;MesCiclo),"",COUNTIF($O$5:$O237,MesCiclo))</f>
        <v/>
      </c>
    </row>
    <row r="238">
      <c r="A238" s="60">
        <f>IF(NOT((COUNTA($B238:$J238)+COUNTA($M238))&gt;0),"",COUNTIFS($L$5:$L238,"?*",$O$5:$O238,$O238))</f>
        <v/>
      </c>
      <c r="B238" s="61" t="n"/>
      <c r="C238" s="61" t="n"/>
      <c r="D238" s="62" t="n"/>
      <c r="E238" s="62" t="n"/>
      <c r="F238" s="63" t="n"/>
      <c r="G238" s="64" t="n"/>
      <c r="H238" s="64" t="n"/>
      <c r="I238" s="64" t="n"/>
      <c r="J238" s="64" t="n"/>
      <c r="K238" s="65">
        <f>IF(NOT((COUNTA($B238:$J238)+COUNTA($M238))&gt;0),"",IFERROR(LOOKUP(2,1/(G238:J238&lt;&gt;""),G238:J238),0))</f>
        <v/>
      </c>
      <c r="L238" s="60">
        <f>IF(K238="","",IF(K238&gt;=1,"Completado",IF(K238&gt;0,"En curso","Pendiente")))</f>
        <v/>
      </c>
      <c r="M238" s="61" t="n"/>
      <c r="N238" s="66">
        <f>IF(NOT((COUNTA($B238:$J238)+COUNTA($M238))&gt;0),"",IF((IF(B238="","Macroactividad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 OK","⚠ "&amp;LEFT(IF(B238="","Macroactividad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",""),LEN(IF(B238="","Macroactividad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",""))-3)))</f>
        <v/>
      </c>
      <c r="O238" s="67">
        <f>IF(NOT((COUNTA($B238:$J238)+COUNTA($M238))&gt;0),"",IF(ISNUMBER($D238),DATE(YEAR($D238),MONTH($D238),1),IF(ISNUMBER($E238),DATE(YEAR($E238),MONTH($E238),1),MesCiclo)))</f>
        <v/>
      </c>
      <c r="P238" s="68">
        <f>IF(OR($O238="",$O238&lt;&gt;MesCiclo),"",COUNTIF($O$5:$O238,MesCiclo))</f>
        <v/>
      </c>
    </row>
    <row r="239">
      <c r="A239" s="60">
        <f>IF(NOT((COUNTA($B239:$J239)+COUNTA($M239))&gt;0),"",COUNTIFS($L$5:$L239,"?*",$O$5:$O239,$O239))</f>
        <v/>
      </c>
      <c r="B239" s="61" t="n"/>
      <c r="C239" s="61" t="n"/>
      <c r="D239" s="62" t="n"/>
      <c r="E239" s="62" t="n"/>
      <c r="F239" s="63" t="n"/>
      <c r="G239" s="64" t="n"/>
      <c r="H239" s="64" t="n"/>
      <c r="I239" s="64" t="n"/>
      <c r="J239" s="64" t="n"/>
      <c r="K239" s="65">
        <f>IF(NOT((COUNTA($B239:$J239)+COUNTA($M239))&gt;0),"",IFERROR(LOOKUP(2,1/(G239:J239&lt;&gt;""),G239:J239),0))</f>
        <v/>
      </c>
      <c r="L239" s="60">
        <f>IF(K239="","",IF(K239&gt;=1,"Completado",IF(K239&gt;0,"En curso","Pendiente")))</f>
        <v/>
      </c>
      <c r="M239" s="61" t="n"/>
      <c r="N239" s="66">
        <f>IF(NOT((COUNTA($B239:$J239)+COUNTA($M239))&gt;0),"",IF((IF(B239="","Macroactividad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 OK","⚠ "&amp;LEFT(IF(B239="","Macroactividad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",""),LEN(IF(B239="","Macroactividad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",""))-3)))</f>
        <v/>
      </c>
      <c r="O239" s="67">
        <f>IF(NOT((COUNTA($B239:$J239)+COUNTA($M239))&gt;0),"",IF(ISNUMBER($D239),DATE(YEAR($D239),MONTH($D239),1),IF(ISNUMBER($E239),DATE(YEAR($E239),MONTH($E239),1),MesCiclo)))</f>
        <v/>
      </c>
      <c r="P239" s="68">
        <f>IF(OR($O239="",$O239&lt;&gt;MesCiclo),"",COUNTIF($O$5:$O239,MesCiclo))</f>
        <v/>
      </c>
    </row>
    <row r="240">
      <c r="A240" s="60">
        <f>IF(NOT((COUNTA($B240:$J240)+COUNTA($M240))&gt;0),"",COUNTIFS($L$5:$L240,"?*",$O$5:$O240,$O240))</f>
        <v/>
      </c>
      <c r="B240" s="61" t="n"/>
      <c r="C240" s="61" t="n"/>
      <c r="D240" s="62" t="n"/>
      <c r="E240" s="62" t="n"/>
      <c r="F240" s="63" t="n"/>
      <c r="G240" s="64" t="n"/>
      <c r="H240" s="64" t="n"/>
      <c r="I240" s="64" t="n"/>
      <c r="J240" s="64" t="n"/>
      <c r="K240" s="65">
        <f>IF(NOT((COUNTA($B240:$J240)+COUNTA($M240))&gt;0),"",IFERROR(LOOKUP(2,1/(G240:J240&lt;&gt;""),G240:J240),0))</f>
        <v/>
      </c>
      <c r="L240" s="60">
        <f>IF(K240="","",IF(K240&gt;=1,"Completado",IF(K240&gt;0,"En curso","Pendiente")))</f>
        <v/>
      </c>
      <c r="M240" s="61" t="n"/>
      <c r="N240" s="66">
        <f>IF(NOT((COUNTA($B240:$J240)+COUNTA($M240))&gt;0),"",IF((IF(B240="","Macroactividad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 OK","⚠ "&amp;LEFT(IF(B240="","Macroactividad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",""),LEN(IF(B240="","Macroactividad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",""))-3)))</f>
        <v/>
      </c>
      <c r="O240" s="67">
        <f>IF(NOT((COUNTA($B240:$J240)+COUNTA($M240))&gt;0),"",IF(ISNUMBER($D240),DATE(YEAR($D240),MONTH($D240),1),IF(ISNUMBER($E240),DATE(YEAR($E240),MONTH($E240),1),MesCiclo)))</f>
        <v/>
      </c>
      <c r="P240" s="68">
        <f>IF(OR($O240="",$O240&lt;&gt;MesCiclo),"",COUNTIF($O$5:$O240,MesCiclo))</f>
        <v/>
      </c>
    </row>
    <row r="241">
      <c r="A241" s="60">
        <f>IF(NOT((COUNTA($B241:$J241)+COUNTA($M241))&gt;0),"",COUNTIFS($L$5:$L241,"?*",$O$5:$O241,$O241))</f>
        <v/>
      </c>
      <c r="B241" s="61" t="n"/>
      <c r="C241" s="61" t="n"/>
      <c r="D241" s="62" t="n"/>
      <c r="E241" s="62" t="n"/>
      <c r="F241" s="63" t="n"/>
      <c r="G241" s="64" t="n"/>
      <c r="H241" s="64" t="n"/>
      <c r="I241" s="64" t="n"/>
      <c r="J241" s="64" t="n"/>
      <c r="K241" s="65">
        <f>IF(NOT((COUNTA($B241:$J241)+COUNTA($M241))&gt;0),"",IFERROR(LOOKUP(2,1/(G241:J241&lt;&gt;""),G241:J241),0))</f>
        <v/>
      </c>
      <c r="L241" s="60">
        <f>IF(K241="","",IF(K241&gt;=1,"Completado",IF(K241&gt;0,"En curso","Pendiente")))</f>
        <v/>
      </c>
      <c r="M241" s="61" t="n"/>
      <c r="N241" s="66">
        <f>IF(NOT((COUNTA($B241:$J241)+COUNTA($M241))&gt;0),"",IF((IF(B241="","Macroactividad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 OK","⚠ "&amp;LEFT(IF(B241="","Macroactividad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",""),LEN(IF(B241="","Macroactividad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",""))-3)))</f>
        <v/>
      </c>
      <c r="O241" s="67">
        <f>IF(NOT((COUNTA($B241:$J241)+COUNTA($M241))&gt;0),"",IF(ISNUMBER($D241),DATE(YEAR($D241),MONTH($D241),1),IF(ISNUMBER($E241),DATE(YEAR($E241),MONTH($E241),1),MesCiclo)))</f>
        <v/>
      </c>
      <c r="P241" s="68">
        <f>IF(OR($O241="",$O241&lt;&gt;MesCiclo),"",COUNTIF($O$5:$O241,MesCiclo))</f>
        <v/>
      </c>
    </row>
    <row r="242">
      <c r="A242" s="60">
        <f>IF(NOT((COUNTA($B242:$J242)+COUNTA($M242))&gt;0),"",COUNTIFS($L$5:$L242,"?*",$O$5:$O242,$O242))</f>
        <v/>
      </c>
      <c r="B242" s="61" t="n"/>
      <c r="C242" s="61" t="n"/>
      <c r="D242" s="62" t="n"/>
      <c r="E242" s="62" t="n"/>
      <c r="F242" s="63" t="n"/>
      <c r="G242" s="64" t="n"/>
      <c r="H242" s="64" t="n"/>
      <c r="I242" s="64" t="n"/>
      <c r="J242" s="64" t="n"/>
      <c r="K242" s="65">
        <f>IF(NOT((COUNTA($B242:$J242)+COUNTA($M242))&gt;0),"",IFERROR(LOOKUP(2,1/(G242:J242&lt;&gt;""),G242:J242),0))</f>
        <v/>
      </c>
      <c r="L242" s="60">
        <f>IF(K242="","",IF(K242&gt;=1,"Completado",IF(K242&gt;0,"En curso","Pendiente")))</f>
        <v/>
      </c>
      <c r="M242" s="61" t="n"/>
      <c r="N242" s="66">
        <f>IF(NOT((COUNTA($B242:$J242)+COUNTA($M242))&gt;0),"",IF((IF(B242="","Macroactividad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 OK","⚠ "&amp;LEFT(IF(B242="","Macroactividad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",""),LEN(IF(B242="","Macroactividad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",""))-3)))</f>
        <v/>
      </c>
      <c r="O242" s="67">
        <f>IF(NOT((COUNTA($B242:$J242)+COUNTA($M242))&gt;0),"",IF(ISNUMBER($D242),DATE(YEAR($D242),MONTH($D242),1),IF(ISNUMBER($E242),DATE(YEAR($E242),MONTH($E242),1),MesCiclo)))</f>
        <v/>
      </c>
      <c r="P242" s="68">
        <f>IF(OR($O242="",$O242&lt;&gt;MesCiclo),"",COUNTIF($O$5:$O242,MesCiclo))</f>
        <v/>
      </c>
    </row>
    <row r="243">
      <c r="A243" s="60">
        <f>IF(NOT((COUNTA($B243:$J243)+COUNTA($M243))&gt;0),"",COUNTIFS($L$5:$L243,"?*",$O$5:$O243,$O243))</f>
        <v/>
      </c>
      <c r="B243" s="61" t="n"/>
      <c r="C243" s="61" t="n"/>
      <c r="D243" s="62" t="n"/>
      <c r="E243" s="62" t="n"/>
      <c r="F243" s="63" t="n"/>
      <c r="G243" s="64" t="n"/>
      <c r="H243" s="64" t="n"/>
      <c r="I243" s="64" t="n"/>
      <c r="J243" s="64" t="n"/>
      <c r="K243" s="65">
        <f>IF(NOT((COUNTA($B243:$J243)+COUNTA($M243))&gt;0),"",IFERROR(LOOKUP(2,1/(G243:J243&lt;&gt;""),G243:J243),0))</f>
        <v/>
      </c>
      <c r="L243" s="60">
        <f>IF(K243="","",IF(K243&gt;=1,"Completado",IF(K243&gt;0,"En curso","Pendiente")))</f>
        <v/>
      </c>
      <c r="M243" s="61" t="n"/>
      <c r="N243" s="66">
        <f>IF(NOT((COUNTA($B243:$J243)+COUNTA($M243))&gt;0),"",IF((IF(B243="","Macroactividad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 OK","⚠ "&amp;LEFT(IF(B243="","Macroactividad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",""),LEN(IF(B243="","Macroactividad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",""))-3)))</f>
        <v/>
      </c>
      <c r="O243" s="67">
        <f>IF(NOT((COUNTA($B243:$J243)+COUNTA($M243))&gt;0),"",IF(ISNUMBER($D243),DATE(YEAR($D243),MONTH($D243),1),IF(ISNUMBER($E243),DATE(YEAR($E243),MONTH($E243),1),MesCiclo)))</f>
        <v/>
      </c>
      <c r="P243" s="68">
        <f>IF(OR($O243="",$O243&lt;&gt;MesCiclo),"",COUNTIF($O$5:$O243,MesCiclo))</f>
        <v/>
      </c>
    </row>
    <row r="244">
      <c r="A244" s="60">
        <f>IF(NOT((COUNTA($B244:$J244)+COUNTA($M244))&gt;0),"",COUNTIFS($L$5:$L244,"?*",$O$5:$O244,$O244))</f>
        <v/>
      </c>
      <c r="B244" s="61" t="n"/>
      <c r="C244" s="61" t="n"/>
      <c r="D244" s="62" t="n"/>
      <c r="E244" s="62" t="n"/>
      <c r="F244" s="63" t="n"/>
      <c r="G244" s="64" t="n"/>
      <c r="H244" s="64" t="n"/>
      <c r="I244" s="64" t="n"/>
      <c r="J244" s="64" t="n"/>
      <c r="K244" s="65">
        <f>IF(NOT((COUNTA($B244:$J244)+COUNTA($M244))&gt;0),"",IFERROR(LOOKUP(2,1/(G244:J244&lt;&gt;""),G244:J244),0))</f>
        <v/>
      </c>
      <c r="L244" s="60">
        <f>IF(K244="","",IF(K244&gt;=1,"Completado",IF(K244&gt;0,"En curso","Pendiente")))</f>
        <v/>
      </c>
      <c r="M244" s="61" t="n"/>
      <c r="N244" s="66">
        <f>IF(NOT((COUNTA($B244:$J244)+COUNTA($M244))&gt;0),"",IF((IF(B244="","Macroactividad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 OK","⚠ "&amp;LEFT(IF(B244="","Macroactividad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",""),LEN(IF(B244="","Macroactividad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",""))-3)))</f>
        <v/>
      </c>
      <c r="O244" s="67">
        <f>IF(NOT((COUNTA($B244:$J244)+COUNTA($M244))&gt;0),"",IF(ISNUMBER($D244),DATE(YEAR($D244),MONTH($D244),1),IF(ISNUMBER($E244),DATE(YEAR($E244),MONTH($E244),1),MesCiclo)))</f>
        <v/>
      </c>
      <c r="P244" s="68">
        <f>IF(OR($O244="",$O244&lt;&gt;MesCiclo),"",COUNTIF($O$5:$O244,MesCiclo))</f>
        <v/>
      </c>
    </row>
    <row r="245">
      <c r="A245" s="60">
        <f>IF(NOT((COUNTA($B245:$J245)+COUNTA($M245))&gt;0),"",COUNTIFS($L$5:$L245,"?*",$O$5:$O245,$O245))</f>
        <v/>
      </c>
      <c r="B245" s="61" t="n"/>
      <c r="C245" s="61" t="n"/>
      <c r="D245" s="62" t="n"/>
      <c r="E245" s="62" t="n"/>
      <c r="F245" s="63" t="n"/>
      <c r="G245" s="64" t="n"/>
      <c r="H245" s="64" t="n"/>
      <c r="I245" s="64" t="n"/>
      <c r="J245" s="64" t="n"/>
      <c r="K245" s="65">
        <f>IF(NOT((COUNTA($B245:$J245)+COUNTA($M245))&gt;0),"",IFERROR(LOOKUP(2,1/(G245:J245&lt;&gt;""),G245:J245),0))</f>
        <v/>
      </c>
      <c r="L245" s="60">
        <f>IF(K245="","",IF(K245&gt;=1,"Completado",IF(K245&gt;0,"En curso","Pendiente")))</f>
        <v/>
      </c>
      <c r="M245" s="61" t="n"/>
      <c r="N245" s="66">
        <f>IF(NOT((COUNTA($B245:$J245)+COUNTA($M245))&gt;0),"",IF((IF(B245="","Macroactividad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 OK","⚠ "&amp;LEFT(IF(B245="","Macroactividad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",""),LEN(IF(B245="","Macroactividad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",""))-3)))</f>
        <v/>
      </c>
      <c r="O245" s="67">
        <f>IF(NOT((COUNTA($B245:$J245)+COUNTA($M245))&gt;0),"",IF(ISNUMBER($D245),DATE(YEAR($D245),MONTH($D245),1),IF(ISNUMBER($E245),DATE(YEAR($E245),MONTH($E245),1),MesCiclo)))</f>
        <v/>
      </c>
      <c r="P245" s="68">
        <f>IF(OR($O245="",$O245&lt;&gt;MesCiclo),"",COUNTIF($O$5:$O245,MesCiclo))</f>
        <v/>
      </c>
    </row>
    <row r="246">
      <c r="A246" s="60">
        <f>IF(NOT((COUNTA($B246:$J246)+COUNTA($M246))&gt;0),"",COUNTIFS($L$5:$L246,"?*",$O$5:$O246,$O246))</f>
        <v/>
      </c>
      <c r="B246" s="61" t="n"/>
      <c r="C246" s="61" t="n"/>
      <c r="D246" s="62" t="n"/>
      <c r="E246" s="62" t="n"/>
      <c r="F246" s="63" t="n"/>
      <c r="G246" s="64" t="n"/>
      <c r="H246" s="64" t="n"/>
      <c r="I246" s="64" t="n"/>
      <c r="J246" s="64" t="n"/>
      <c r="K246" s="65">
        <f>IF(NOT((COUNTA($B246:$J246)+COUNTA($M246))&gt;0),"",IFERROR(LOOKUP(2,1/(G246:J246&lt;&gt;""),G246:J246),0))</f>
        <v/>
      </c>
      <c r="L246" s="60">
        <f>IF(K246="","",IF(K246&gt;=1,"Completado",IF(K246&gt;0,"En curso","Pendiente")))</f>
        <v/>
      </c>
      <c r="M246" s="61" t="n"/>
      <c r="N246" s="66">
        <f>IF(NOT((COUNTA($B246:$J246)+COUNTA($M246))&gt;0),"",IF((IF(B246="","Macroactividad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 OK","⚠ "&amp;LEFT(IF(B246="","Macroactividad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",""),LEN(IF(B246="","Macroactividad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",""))-3)))</f>
        <v/>
      </c>
      <c r="O246" s="67">
        <f>IF(NOT((COUNTA($B246:$J246)+COUNTA($M246))&gt;0),"",IF(ISNUMBER($D246),DATE(YEAR($D246),MONTH($D246),1),IF(ISNUMBER($E246),DATE(YEAR($E246),MONTH($E246),1),MesCiclo)))</f>
        <v/>
      </c>
      <c r="P246" s="68">
        <f>IF(OR($O246="",$O246&lt;&gt;MesCiclo),"",COUNTIF($O$5:$O246,MesCiclo))</f>
        <v/>
      </c>
    </row>
    <row r="247">
      <c r="A247" s="60">
        <f>IF(NOT((COUNTA($B247:$J247)+COUNTA($M247))&gt;0),"",COUNTIFS($L$5:$L247,"?*",$O$5:$O247,$O247))</f>
        <v/>
      </c>
      <c r="B247" s="61" t="n"/>
      <c r="C247" s="61" t="n"/>
      <c r="D247" s="62" t="n"/>
      <c r="E247" s="62" t="n"/>
      <c r="F247" s="63" t="n"/>
      <c r="G247" s="64" t="n"/>
      <c r="H247" s="64" t="n"/>
      <c r="I247" s="64" t="n"/>
      <c r="J247" s="64" t="n"/>
      <c r="K247" s="65">
        <f>IF(NOT((COUNTA($B247:$J247)+COUNTA($M247))&gt;0),"",IFERROR(LOOKUP(2,1/(G247:J247&lt;&gt;""),G247:J247),0))</f>
        <v/>
      </c>
      <c r="L247" s="60">
        <f>IF(K247="","",IF(K247&gt;=1,"Completado",IF(K247&gt;0,"En curso","Pendiente")))</f>
        <v/>
      </c>
      <c r="M247" s="61" t="n"/>
      <c r="N247" s="66">
        <f>IF(NOT((COUNTA($B247:$J247)+COUNTA($M247))&gt;0),"",IF((IF(B247="","Macroactividad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 OK","⚠ "&amp;LEFT(IF(B247="","Macroactividad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",""),LEN(IF(B247="","Macroactividad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",""))-3)))</f>
        <v/>
      </c>
      <c r="O247" s="67">
        <f>IF(NOT((COUNTA($B247:$J247)+COUNTA($M247))&gt;0),"",IF(ISNUMBER($D247),DATE(YEAR($D247),MONTH($D247),1),IF(ISNUMBER($E247),DATE(YEAR($E247),MONTH($E247),1),MesCiclo)))</f>
        <v/>
      </c>
      <c r="P247" s="68">
        <f>IF(OR($O247="",$O247&lt;&gt;MesCiclo),"",COUNTIF($O$5:$O247,MesCiclo))</f>
        <v/>
      </c>
    </row>
    <row r="248">
      <c r="A248" s="60">
        <f>IF(NOT((COUNTA($B248:$J248)+COUNTA($M248))&gt;0),"",COUNTIFS($L$5:$L248,"?*",$O$5:$O248,$O248))</f>
        <v/>
      </c>
      <c r="B248" s="61" t="n"/>
      <c r="C248" s="61" t="n"/>
      <c r="D248" s="62" t="n"/>
      <c r="E248" s="62" t="n"/>
      <c r="F248" s="63" t="n"/>
      <c r="G248" s="64" t="n"/>
      <c r="H248" s="64" t="n"/>
      <c r="I248" s="64" t="n"/>
      <c r="J248" s="64" t="n"/>
      <c r="K248" s="65">
        <f>IF(NOT((COUNTA($B248:$J248)+COUNTA($M248))&gt;0),"",IFERROR(LOOKUP(2,1/(G248:J248&lt;&gt;""),G248:J248),0))</f>
        <v/>
      </c>
      <c r="L248" s="60">
        <f>IF(K248="","",IF(K248&gt;=1,"Completado",IF(K248&gt;0,"En curso","Pendiente")))</f>
        <v/>
      </c>
      <c r="M248" s="61" t="n"/>
      <c r="N248" s="66">
        <f>IF(NOT((COUNTA($B248:$J248)+COUNTA($M248))&gt;0),"",IF((IF(B248="","Macroactividad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 OK","⚠ "&amp;LEFT(IF(B248="","Macroactividad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",""),LEN(IF(B248="","Macroactividad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",""))-3)))</f>
        <v/>
      </c>
      <c r="O248" s="67">
        <f>IF(NOT((COUNTA($B248:$J248)+COUNTA($M248))&gt;0),"",IF(ISNUMBER($D248),DATE(YEAR($D248),MONTH($D248),1),IF(ISNUMBER($E248),DATE(YEAR($E248),MONTH($E248),1),MesCiclo)))</f>
        <v/>
      </c>
      <c r="P248" s="68">
        <f>IF(OR($O248="",$O248&lt;&gt;MesCiclo),"",COUNTIF($O$5:$O248,MesCiclo))</f>
        <v/>
      </c>
    </row>
    <row r="249">
      <c r="A249" s="60">
        <f>IF(NOT((COUNTA($B249:$J249)+COUNTA($M249))&gt;0),"",COUNTIFS($L$5:$L249,"?*",$O$5:$O249,$O249))</f>
        <v/>
      </c>
      <c r="B249" s="61" t="n"/>
      <c r="C249" s="61" t="n"/>
      <c r="D249" s="62" t="n"/>
      <c r="E249" s="62" t="n"/>
      <c r="F249" s="63" t="n"/>
      <c r="G249" s="64" t="n"/>
      <c r="H249" s="64" t="n"/>
      <c r="I249" s="64" t="n"/>
      <c r="J249" s="64" t="n"/>
      <c r="K249" s="65">
        <f>IF(NOT((COUNTA($B249:$J249)+COUNTA($M249))&gt;0),"",IFERROR(LOOKUP(2,1/(G249:J249&lt;&gt;""),G249:J249),0))</f>
        <v/>
      </c>
      <c r="L249" s="60">
        <f>IF(K249="","",IF(K249&gt;=1,"Completado",IF(K249&gt;0,"En curso","Pendiente")))</f>
        <v/>
      </c>
      <c r="M249" s="61" t="n"/>
      <c r="N249" s="66">
        <f>IF(NOT((COUNTA($B249:$J249)+COUNTA($M249))&gt;0),"",IF((IF(B249="","Macroactividad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 OK","⚠ "&amp;LEFT(IF(B249="","Macroactividad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",""),LEN(IF(B249="","Macroactividad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",""))-3)))</f>
        <v/>
      </c>
      <c r="O249" s="67">
        <f>IF(NOT((COUNTA($B249:$J249)+COUNTA($M249))&gt;0),"",IF(ISNUMBER($D249),DATE(YEAR($D249),MONTH($D249),1),IF(ISNUMBER($E249),DATE(YEAR($E249),MONTH($E249),1),MesCiclo)))</f>
        <v/>
      </c>
      <c r="P249" s="68">
        <f>IF(OR($O249="",$O249&lt;&gt;MesCiclo),"",COUNTIF($O$5:$O249,MesCiclo))</f>
        <v/>
      </c>
    </row>
    <row r="250">
      <c r="A250" s="60">
        <f>IF(NOT((COUNTA($B250:$J250)+COUNTA($M250))&gt;0),"",COUNTIFS($L$5:$L250,"?*",$O$5:$O250,$O250))</f>
        <v/>
      </c>
      <c r="B250" s="61" t="n"/>
      <c r="C250" s="61" t="n"/>
      <c r="D250" s="62" t="n"/>
      <c r="E250" s="62" t="n"/>
      <c r="F250" s="63" t="n"/>
      <c r="G250" s="64" t="n"/>
      <c r="H250" s="64" t="n"/>
      <c r="I250" s="64" t="n"/>
      <c r="J250" s="64" t="n"/>
      <c r="K250" s="65">
        <f>IF(NOT((COUNTA($B250:$J250)+COUNTA($M250))&gt;0),"",IFERROR(LOOKUP(2,1/(G250:J250&lt;&gt;""),G250:J250),0))</f>
        <v/>
      </c>
      <c r="L250" s="60">
        <f>IF(K250="","",IF(K250&gt;=1,"Completado",IF(K250&gt;0,"En curso","Pendiente")))</f>
        <v/>
      </c>
      <c r="M250" s="61" t="n"/>
      <c r="N250" s="66">
        <f>IF(NOT((COUNTA($B250:$J250)+COUNTA($M250))&gt;0),"",IF((IF(B250="","Macroactividad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 OK","⚠ "&amp;LEFT(IF(B250="","Macroactividad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",""),LEN(IF(B250="","Macroactividad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",""))-3)))</f>
        <v/>
      </c>
      <c r="O250" s="67">
        <f>IF(NOT((COUNTA($B250:$J250)+COUNTA($M250))&gt;0),"",IF(ISNUMBER($D250),DATE(YEAR($D250),MONTH($D250),1),IF(ISNUMBER($E250),DATE(YEAR($E250),MONTH($E250),1),MesCiclo)))</f>
        <v/>
      </c>
      <c r="P250" s="68">
        <f>IF(OR($O250="",$O250&lt;&gt;MesCiclo),"",COUNTIF($O$5:$O250,MesCiclo))</f>
        <v/>
      </c>
    </row>
    <row r="251">
      <c r="A251" s="60">
        <f>IF(NOT((COUNTA($B251:$J251)+COUNTA($M251))&gt;0),"",COUNTIFS($L$5:$L251,"?*",$O$5:$O251,$O251))</f>
        <v/>
      </c>
      <c r="B251" s="61" t="n"/>
      <c r="C251" s="61" t="n"/>
      <c r="D251" s="62" t="n"/>
      <c r="E251" s="62" t="n"/>
      <c r="F251" s="63" t="n"/>
      <c r="G251" s="64" t="n"/>
      <c r="H251" s="64" t="n"/>
      <c r="I251" s="64" t="n"/>
      <c r="J251" s="64" t="n"/>
      <c r="K251" s="65">
        <f>IF(NOT((COUNTA($B251:$J251)+COUNTA($M251))&gt;0),"",IFERROR(LOOKUP(2,1/(G251:J251&lt;&gt;""),G251:J251),0))</f>
        <v/>
      </c>
      <c r="L251" s="60">
        <f>IF(K251="","",IF(K251&gt;=1,"Completado",IF(K251&gt;0,"En curso","Pendiente")))</f>
        <v/>
      </c>
      <c r="M251" s="61" t="n"/>
      <c r="N251" s="66">
        <f>IF(NOT((COUNTA($B251:$J251)+COUNTA($M251))&gt;0),"",IF((IF(B251="","Macroactividad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 OK","⚠ "&amp;LEFT(IF(B251="","Macroactividad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",""),LEN(IF(B251="","Macroactividad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",""))-3)))</f>
        <v/>
      </c>
      <c r="O251" s="67">
        <f>IF(NOT((COUNTA($B251:$J251)+COUNTA($M251))&gt;0),"",IF(ISNUMBER($D251),DATE(YEAR($D251),MONTH($D251),1),IF(ISNUMBER($E251),DATE(YEAR($E251),MONTH($E251),1),MesCiclo)))</f>
        <v/>
      </c>
      <c r="P251" s="68">
        <f>IF(OR($O251="",$O251&lt;&gt;MesCiclo),"",COUNTIF($O$5:$O251,MesCiclo))</f>
        <v/>
      </c>
    </row>
    <row r="252">
      <c r="A252" s="60">
        <f>IF(NOT((COUNTA($B252:$J252)+COUNTA($M252))&gt;0),"",COUNTIFS($L$5:$L252,"?*",$O$5:$O252,$O252))</f>
        <v/>
      </c>
      <c r="B252" s="61" t="n"/>
      <c r="C252" s="61" t="n"/>
      <c r="D252" s="62" t="n"/>
      <c r="E252" s="62" t="n"/>
      <c r="F252" s="63" t="n"/>
      <c r="G252" s="64" t="n"/>
      <c r="H252" s="64" t="n"/>
      <c r="I252" s="64" t="n"/>
      <c r="J252" s="64" t="n"/>
      <c r="K252" s="65">
        <f>IF(NOT((COUNTA($B252:$J252)+COUNTA($M252))&gt;0),"",IFERROR(LOOKUP(2,1/(G252:J252&lt;&gt;""),G252:J252),0))</f>
        <v/>
      </c>
      <c r="L252" s="60">
        <f>IF(K252="","",IF(K252&gt;=1,"Completado",IF(K252&gt;0,"En curso","Pendiente")))</f>
        <v/>
      </c>
      <c r="M252" s="61" t="n"/>
      <c r="N252" s="66">
        <f>IF(NOT((COUNTA($B252:$J252)+COUNTA($M252))&gt;0),"",IF((IF(B252="","Macroactividad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 OK","⚠ "&amp;LEFT(IF(B252="","Macroactividad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",""),LEN(IF(B252="","Macroactividad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",""))-3)))</f>
        <v/>
      </c>
      <c r="O252" s="67">
        <f>IF(NOT((COUNTA($B252:$J252)+COUNTA($M252))&gt;0),"",IF(ISNUMBER($D252),DATE(YEAR($D252),MONTH($D252),1),IF(ISNUMBER($E252),DATE(YEAR($E252),MONTH($E252),1),MesCiclo)))</f>
        <v/>
      </c>
      <c r="P252" s="68">
        <f>IF(OR($O252="",$O252&lt;&gt;MesCiclo),"",COUNTIF($O$5:$O252,MesCiclo))</f>
        <v/>
      </c>
    </row>
    <row r="253">
      <c r="A253" s="60">
        <f>IF(NOT((COUNTA($B253:$J253)+COUNTA($M253))&gt;0),"",COUNTIFS($L$5:$L253,"?*",$O$5:$O253,$O253))</f>
        <v/>
      </c>
      <c r="B253" s="61" t="n"/>
      <c r="C253" s="61" t="n"/>
      <c r="D253" s="62" t="n"/>
      <c r="E253" s="62" t="n"/>
      <c r="F253" s="63" t="n"/>
      <c r="G253" s="64" t="n"/>
      <c r="H253" s="64" t="n"/>
      <c r="I253" s="64" t="n"/>
      <c r="J253" s="64" t="n"/>
      <c r="K253" s="65">
        <f>IF(NOT((COUNTA($B253:$J253)+COUNTA($M253))&gt;0),"",IFERROR(LOOKUP(2,1/(G253:J253&lt;&gt;""),G253:J253),0))</f>
        <v/>
      </c>
      <c r="L253" s="60">
        <f>IF(K253="","",IF(K253&gt;=1,"Completado",IF(K253&gt;0,"En curso","Pendiente")))</f>
        <v/>
      </c>
      <c r="M253" s="61" t="n"/>
      <c r="N253" s="66">
        <f>IF(NOT((COUNTA($B253:$J253)+COUNTA($M253))&gt;0),"",IF((IF(B253="","Macroactividad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 OK","⚠ "&amp;LEFT(IF(B253="","Macroactividad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",""),LEN(IF(B253="","Macroactividad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",""))-3)))</f>
        <v/>
      </c>
      <c r="O253" s="67">
        <f>IF(NOT((COUNTA($B253:$J253)+COUNTA($M253))&gt;0),"",IF(ISNUMBER($D253),DATE(YEAR($D253),MONTH($D253),1),IF(ISNUMBER($E253),DATE(YEAR($E253),MONTH($E253),1),MesCiclo)))</f>
        <v/>
      </c>
      <c r="P253" s="68">
        <f>IF(OR($O253="",$O253&lt;&gt;MesCiclo),"",COUNTIF($O$5:$O253,MesCiclo))</f>
        <v/>
      </c>
    </row>
    <row r="254">
      <c r="A254" s="60">
        <f>IF(NOT((COUNTA($B254:$J254)+COUNTA($M254))&gt;0),"",COUNTIFS($L$5:$L254,"?*",$O$5:$O254,$O254))</f>
        <v/>
      </c>
      <c r="B254" s="61" t="n"/>
      <c r="C254" s="61" t="n"/>
      <c r="D254" s="62" t="n"/>
      <c r="E254" s="62" t="n"/>
      <c r="F254" s="63" t="n"/>
      <c r="G254" s="64" t="n"/>
      <c r="H254" s="64" t="n"/>
      <c r="I254" s="64" t="n"/>
      <c r="J254" s="64" t="n"/>
      <c r="K254" s="65">
        <f>IF(NOT((COUNTA($B254:$J254)+COUNTA($M254))&gt;0),"",IFERROR(LOOKUP(2,1/(G254:J254&lt;&gt;""),G254:J254),0))</f>
        <v/>
      </c>
      <c r="L254" s="60">
        <f>IF(K254="","",IF(K254&gt;=1,"Completado",IF(K254&gt;0,"En curso","Pendiente")))</f>
        <v/>
      </c>
      <c r="M254" s="61" t="n"/>
      <c r="N254" s="66">
        <f>IF(NOT((COUNTA($B254:$J254)+COUNTA($M254))&gt;0),"",IF((IF(B254="","Macroactividad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 OK","⚠ "&amp;LEFT(IF(B254="","Macroactividad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",""),LEN(IF(B254="","Macroactividad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",""))-3)))</f>
        <v/>
      </c>
      <c r="O254" s="67">
        <f>IF(NOT((COUNTA($B254:$J254)+COUNTA($M254))&gt;0),"",IF(ISNUMBER($D254),DATE(YEAR($D254),MONTH($D254),1),IF(ISNUMBER($E254),DATE(YEAR($E254),MONTH($E254),1),MesCiclo)))</f>
        <v/>
      </c>
      <c r="P254" s="68">
        <f>IF(OR($O254="",$O254&lt;&gt;MesCiclo),"",COUNTIF($O$5:$O254,MesCiclo))</f>
        <v/>
      </c>
    </row>
    <row r="255">
      <c r="A255" s="60">
        <f>IF(NOT((COUNTA($B255:$J255)+COUNTA($M255))&gt;0),"",COUNTIFS($L$5:$L255,"?*",$O$5:$O255,$O255))</f>
        <v/>
      </c>
      <c r="B255" s="61" t="n"/>
      <c r="C255" s="61" t="n"/>
      <c r="D255" s="62" t="n"/>
      <c r="E255" s="62" t="n"/>
      <c r="F255" s="63" t="n"/>
      <c r="G255" s="64" t="n"/>
      <c r="H255" s="64" t="n"/>
      <c r="I255" s="64" t="n"/>
      <c r="J255" s="64" t="n"/>
      <c r="K255" s="65">
        <f>IF(NOT((COUNTA($B255:$J255)+COUNTA($M255))&gt;0),"",IFERROR(LOOKUP(2,1/(G255:J255&lt;&gt;""),G255:J255),0))</f>
        <v/>
      </c>
      <c r="L255" s="60">
        <f>IF(K255="","",IF(K255&gt;=1,"Completado",IF(K255&gt;0,"En curso","Pendiente")))</f>
        <v/>
      </c>
      <c r="M255" s="61" t="n"/>
      <c r="N255" s="66">
        <f>IF(NOT((COUNTA($B255:$J255)+COUNTA($M255))&gt;0),"",IF((IF(B255="","Macroactividad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 OK","⚠ "&amp;LEFT(IF(B255="","Macroactividad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",""),LEN(IF(B255="","Macroactividad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",""))-3)))</f>
        <v/>
      </c>
      <c r="O255" s="67">
        <f>IF(NOT((COUNTA($B255:$J255)+COUNTA($M255))&gt;0),"",IF(ISNUMBER($D255),DATE(YEAR($D255),MONTH($D255),1),IF(ISNUMBER($E255),DATE(YEAR($E255),MONTH($E255),1),MesCiclo)))</f>
        <v/>
      </c>
      <c r="P255" s="68">
        <f>IF(OR($O255="",$O255&lt;&gt;MesCiclo),"",COUNTIF($O$5:$O255,MesCiclo))</f>
        <v/>
      </c>
    </row>
    <row r="256">
      <c r="A256" s="60">
        <f>IF(NOT((COUNTA($B256:$J256)+COUNTA($M256))&gt;0),"",COUNTIFS($L$5:$L256,"?*",$O$5:$O256,$O256))</f>
        <v/>
      </c>
      <c r="B256" s="61" t="n"/>
      <c r="C256" s="61" t="n"/>
      <c r="D256" s="62" t="n"/>
      <c r="E256" s="62" t="n"/>
      <c r="F256" s="63" t="n"/>
      <c r="G256" s="64" t="n"/>
      <c r="H256" s="64" t="n"/>
      <c r="I256" s="64" t="n"/>
      <c r="J256" s="64" t="n"/>
      <c r="K256" s="65">
        <f>IF(NOT((COUNTA($B256:$J256)+COUNTA($M256))&gt;0),"",IFERROR(LOOKUP(2,1/(G256:J256&lt;&gt;""),G256:J256),0))</f>
        <v/>
      </c>
      <c r="L256" s="60">
        <f>IF(K256="","",IF(K256&gt;=1,"Completado",IF(K256&gt;0,"En curso","Pendiente")))</f>
        <v/>
      </c>
      <c r="M256" s="61" t="n"/>
      <c r="N256" s="66">
        <f>IF(NOT((COUNTA($B256:$J256)+COUNTA($M256))&gt;0),"",IF((IF(B256="","Macroactividad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 OK","⚠ "&amp;LEFT(IF(B256="","Macroactividad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",""),LEN(IF(B256="","Macroactividad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",""))-3)))</f>
        <v/>
      </c>
      <c r="O256" s="67">
        <f>IF(NOT((COUNTA($B256:$J256)+COUNTA($M256))&gt;0),"",IF(ISNUMBER($D256),DATE(YEAR($D256),MONTH($D256),1),IF(ISNUMBER($E256),DATE(YEAR($E256),MONTH($E256),1),MesCiclo)))</f>
        <v/>
      </c>
      <c r="P256" s="68">
        <f>IF(OR($O256="",$O256&lt;&gt;MesCiclo),"",COUNTIF($O$5:$O256,MesCiclo))</f>
        <v/>
      </c>
    </row>
    <row r="257">
      <c r="A257" s="60">
        <f>IF(NOT((COUNTA($B257:$J257)+COUNTA($M257))&gt;0),"",COUNTIFS($L$5:$L257,"?*",$O$5:$O257,$O257))</f>
        <v/>
      </c>
      <c r="B257" s="61" t="n"/>
      <c r="C257" s="61" t="n"/>
      <c r="D257" s="62" t="n"/>
      <c r="E257" s="62" t="n"/>
      <c r="F257" s="63" t="n"/>
      <c r="G257" s="64" t="n"/>
      <c r="H257" s="64" t="n"/>
      <c r="I257" s="64" t="n"/>
      <c r="J257" s="64" t="n"/>
      <c r="K257" s="65">
        <f>IF(NOT((COUNTA($B257:$J257)+COUNTA($M257))&gt;0),"",IFERROR(LOOKUP(2,1/(G257:J257&lt;&gt;""),G257:J257),0))</f>
        <v/>
      </c>
      <c r="L257" s="60">
        <f>IF(K257="","",IF(K257&gt;=1,"Completado",IF(K257&gt;0,"En curso","Pendiente")))</f>
        <v/>
      </c>
      <c r="M257" s="61" t="n"/>
      <c r="N257" s="66">
        <f>IF(NOT((COUNTA($B257:$J257)+COUNTA($M257))&gt;0),"",IF((IF(B257="","Macroactividad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 OK","⚠ "&amp;LEFT(IF(B257="","Macroactividad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",""),LEN(IF(B257="","Macroactividad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",""))-3)))</f>
        <v/>
      </c>
      <c r="O257" s="67">
        <f>IF(NOT((COUNTA($B257:$J257)+COUNTA($M257))&gt;0),"",IF(ISNUMBER($D257),DATE(YEAR($D257),MONTH($D257),1),IF(ISNUMBER($E257),DATE(YEAR($E257),MONTH($E257),1),MesCiclo)))</f>
        <v/>
      </c>
      <c r="P257" s="68">
        <f>IF(OR($O257="",$O257&lt;&gt;MesCiclo),"",COUNTIF($O$5:$O257,MesCiclo))</f>
        <v/>
      </c>
    </row>
    <row r="258">
      <c r="A258" s="60">
        <f>IF(NOT((COUNTA($B258:$J258)+COUNTA($M258))&gt;0),"",COUNTIFS($L$5:$L258,"?*",$O$5:$O258,$O258))</f>
        <v/>
      </c>
      <c r="B258" s="61" t="n"/>
      <c r="C258" s="61" t="n"/>
      <c r="D258" s="62" t="n"/>
      <c r="E258" s="62" t="n"/>
      <c r="F258" s="63" t="n"/>
      <c r="G258" s="64" t="n"/>
      <c r="H258" s="64" t="n"/>
      <c r="I258" s="64" t="n"/>
      <c r="J258" s="64" t="n"/>
      <c r="K258" s="65">
        <f>IF(NOT((COUNTA($B258:$J258)+COUNTA($M258))&gt;0),"",IFERROR(LOOKUP(2,1/(G258:J258&lt;&gt;""),G258:J258),0))</f>
        <v/>
      </c>
      <c r="L258" s="60">
        <f>IF(K258="","",IF(K258&gt;=1,"Completado",IF(K258&gt;0,"En curso","Pendiente")))</f>
        <v/>
      </c>
      <c r="M258" s="61" t="n"/>
      <c r="N258" s="66">
        <f>IF(NOT((COUNTA($B258:$J258)+COUNTA($M258))&gt;0),"",IF((IF(B258="","Macroactividad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 OK","⚠ "&amp;LEFT(IF(B258="","Macroactividad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",""),LEN(IF(B258="","Macroactividad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",""))-3)))</f>
        <v/>
      </c>
      <c r="O258" s="67">
        <f>IF(NOT((COUNTA($B258:$J258)+COUNTA($M258))&gt;0),"",IF(ISNUMBER($D258),DATE(YEAR($D258),MONTH($D258),1),IF(ISNUMBER($E258),DATE(YEAR($E258),MONTH($E258),1),MesCiclo)))</f>
        <v/>
      </c>
      <c r="P258" s="68">
        <f>IF(OR($O258="",$O258&lt;&gt;MesCiclo),"",COUNTIF($O$5:$O258,MesCiclo))</f>
        <v/>
      </c>
    </row>
    <row r="259">
      <c r="A259" s="60">
        <f>IF(NOT((COUNTA($B259:$J259)+COUNTA($M259))&gt;0),"",COUNTIFS($L$5:$L259,"?*",$O$5:$O259,$O259))</f>
        <v/>
      </c>
      <c r="B259" s="61" t="n"/>
      <c r="C259" s="61" t="n"/>
      <c r="D259" s="62" t="n"/>
      <c r="E259" s="62" t="n"/>
      <c r="F259" s="63" t="n"/>
      <c r="G259" s="64" t="n"/>
      <c r="H259" s="64" t="n"/>
      <c r="I259" s="64" t="n"/>
      <c r="J259" s="64" t="n"/>
      <c r="K259" s="65">
        <f>IF(NOT((COUNTA($B259:$J259)+COUNTA($M259))&gt;0),"",IFERROR(LOOKUP(2,1/(G259:J259&lt;&gt;""),G259:J259),0))</f>
        <v/>
      </c>
      <c r="L259" s="60">
        <f>IF(K259="","",IF(K259&gt;=1,"Completado",IF(K259&gt;0,"En curso","Pendiente")))</f>
        <v/>
      </c>
      <c r="M259" s="61" t="n"/>
      <c r="N259" s="66">
        <f>IF(NOT((COUNTA($B259:$J259)+COUNTA($M259))&gt;0),"",IF((IF(B259="","Macroactividad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 OK","⚠ "&amp;LEFT(IF(B259="","Macroactividad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",""),LEN(IF(B259="","Macroactividad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",""))-3)))</f>
        <v/>
      </c>
      <c r="O259" s="67">
        <f>IF(NOT((COUNTA($B259:$J259)+COUNTA($M259))&gt;0),"",IF(ISNUMBER($D259),DATE(YEAR($D259),MONTH($D259),1),IF(ISNUMBER($E259),DATE(YEAR($E259),MONTH($E259),1),MesCiclo)))</f>
        <v/>
      </c>
      <c r="P259" s="68">
        <f>IF(OR($O259="",$O259&lt;&gt;MesCiclo),"",COUNTIF($O$5:$O259,MesCiclo))</f>
        <v/>
      </c>
    </row>
    <row r="260">
      <c r="A260" s="60">
        <f>IF(NOT((COUNTA($B260:$J260)+COUNTA($M260))&gt;0),"",COUNTIFS($L$5:$L260,"?*",$O$5:$O260,$O260))</f>
        <v/>
      </c>
      <c r="B260" s="61" t="n"/>
      <c r="C260" s="61" t="n"/>
      <c r="D260" s="62" t="n"/>
      <c r="E260" s="62" t="n"/>
      <c r="F260" s="63" t="n"/>
      <c r="G260" s="64" t="n"/>
      <c r="H260" s="64" t="n"/>
      <c r="I260" s="64" t="n"/>
      <c r="J260" s="64" t="n"/>
      <c r="K260" s="65">
        <f>IF(NOT((COUNTA($B260:$J260)+COUNTA($M260))&gt;0),"",IFERROR(LOOKUP(2,1/(G260:J260&lt;&gt;""),G260:J260),0))</f>
        <v/>
      </c>
      <c r="L260" s="60">
        <f>IF(K260="","",IF(K260&gt;=1,"Completado",IF(K260&gt;0,"En curso","Pendiente")))</f>
        <v/>
      </c>
      <c r="M260" s="61" t="n"/>
      <c r="N260" s="66">
        <f>IF(NOT((COUNTA($B260:$J260)+COUNTA($M260))&gt;0),"",IF((IF(B260="","Macroactividad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 OK","⚠ "&amp;LEFT(IF(B260="","Macroactividad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",""),LEN(IF(B260="","Macroactividad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",""))-3)))</f>
        <v/>
      </c>
      <c r="O260" s="67">
        <f>IF(NOT((COUNTA($B260:$J260)+COUNTA($M260))&gt;0),"",IF(ISNUMBER($D260),DATE(YEAR($D260),MONTH($D260),1),IF(ISNUMBER($E260),DATE(YEAR($E260),MONTH($E260),1),MesCiclo)))</f>
        <v/>
      </c>
      <c r="P260" s="68">
        <f>IF(OR($O260="",$O260&lt;&gt;MesCiclo),"",COUNTIF($O$5:$O260,MesCiclo))</f>
        <v/>
      </c>
    </row>
    <row r="261">
      <c r="A261" s="60">
        <f>IF(NOT((COUNTA($B261:$J261)+COUNTA($M261))&gt;0),"",COUNTIFS($L$5:$L261,"?*",$O$5:$O261,$O261))</f>
        <v/>
      </c>
      <c r="B261" s="61" t="n"/>
      <c r="C261" s="61" t="n"/>
      <c r="D261" s="62" t="n"/>
      <c r="E261" s="62" t="n"/>
      <c r="F261" s="63" t="n"/>
      <c r="G261" s="64" t="n"/>
      <c r="H261" s="64" t="n"/>
      <c r="I261" s="64" t="n"/>
      <c r="J261" s="64" t="n"/>
      <c r="K261" s="65">
        <f>IF(NOT((COUNTA($B261:$J261)+COUNTA($M261))&gt;0),"",IFERROR(LOOKUP(2,1/(G261:J261&lt;&gt;""),G261:J261),0))</f>
        <v/>
      </c>
      <c r="L261" s="60">
        <f>IF(K261="","",IF(K261&gt;=1,"Completado",IF(K261&gt;0,"En curso","Pendiente")))</f>
        <v/>
      </c>
      <c r="M261" s="61" t="n"/>
      <c r="N261" s="66">
        <f>IF(NOT((COUNTA($B261:$J261)+COUNTA($M261))&gt;0),"",IF((IF(B261="","Macroactividad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 OK","⚠ "&amp;LEFT(IF(B261="","Macroactividad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",""),LEN(IF(B261="","Macroactividad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",""))-3)))</f>
        <v/>
      </c>
      <c r="O261" s="67">
        <f>IF(NOT((COUNTA($B261:$J261)+COUNTA($M261))&gt;0),"",IF(ISNUMBER($D261),DATE(YEAR($D261),MONTH($D261),1),IF(ISNUMBER($E261),DATE(YEAR($E261),MONTH($E261),1),MesCiclo)))</f>
        <v/>
      </c>
      <c r="P261" s="68">
        <f>IF(OR($O261="",$O261&lt;&gt;MesCiclo),"",COUNTIF($O$5:$O261,MesCiclo))</f>
        <v/>
      </c>
    </row>
    <row r="262">
      <c r="A262" s="60">
        <f>IF(NOT((COUNTA($B262:$J262)+COUNTA($M262))&gt;0),"",COUNTIFS($L$5:$L262,"?*",$O$5:$O262,$O262))</f>
        <v/>
      </c>
      <c r="B262" s="61" t="n"/>
      <c r="C262" s="61" t="n"/>
      <c r="D262" s="62" t="n"/>
      <c r="E262" s="62" t="n"/>
      <c r="F262" s="63" t="n"/>
      <c r="G262" s="64" t="n"/>
      <c r="H262" s="64" t="n"/>
      <c r="I262" s="64" t="n"/>
      <c r="J262" s="64" t="n"/>
      <c r="K262" s="65">
        <f>IF(NOT((COUNTA($B262:$J262)+COUNTA($M262))&gt;0),"",IFERROR(LOOKUP(2,1/(G262:J262&lt;&gt;""),G262:J262),0))</f>
        <v/>
      </c>
      <c r="L262" s="60">
        <f>IF(K262="","",IF(K262&gt;=1,"Completado",IF(K262&gt;0,"En curso","Pendiente")))</f>
        <v/>
      </c>
      <c r="M262" s="61" t="n"/>
      <c r="N262" s="66">
        <f>IF(NOT((COUNTA($B262:$J262)+COUNTA($M262))&gt;0),"",IF((IF(B262="","Macroactividad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 OK","⚠ "&amp;LEFT(IF(B262="","Macroactividad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",""),LEN(IF(B262="","Macroactividad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",""))-3)))</f>
        <v/>
      </c>
      <c r="O262" s="67">
        <f>IF(NOT((COUNTA($B262:$J262)+COUNTA($M262))&gt;0),"",IF(ISNUMBER($D262),DATE(YEAR($D262),MONTH($D262),1),IF(ISNUMBER($E262),DATE(YEAR($E262),MONTH($E262),1),MesCiclo)))</f>
        <v/>
      </c>
      <c r="P262" s="68">
        <f>IF(OR($O262="",$O262&lt;&gt;MesCiclo),"",COUNTIF($O$5:$O262,MesCiclo))</f>
        <v/>
      </c>
    </row>
    <row r="263">
      <c r="A263" s="60">
        <f>IF(NOT((COUNTA($B263:$J263)+COUNTA($M263))&gt;0),"",COUNTIFS($L$5:$L263,"?*",$O$5:$O263,$O263))</f>
        <v/>
      </c>
      <c r="B263" s="61" t="n"/>
      <c r="C263" s="61" t="n"/>
      <c r="D263" s="62" t="n"/>
      <c r="E263" s="62" t="n"/>
      <c r="F263" s="63" t="n"/>
      <c r="G263" s="64" t="n"/>
      <c r="H263" s="64" t="n"/>
      <c r="I263" s="64" t="n"/>
      <c r="J263" s="64" t="n"/>
      <c r="K263" s="65">
        <f>IF(NOT((COUNTA($B263:$J263)+COUNTA($M263))&gt;0),"",IFERROR(LOOKUP(2,1/(G263:J263&lt;&gt;""),G263:J263),0))</f>
        <v/>
      </c>
      <c r="L263" s="60">
        <f>IF(K263="","",IF(K263&gt;=1,"Completado",IF(K263&gt;0,"En curso","Pendiente")))</f>
        <v/>
      </c>
      <c r="M263" s="61" t="n"/>
      <c r="N263" s="66">
        <f>IF(NOT((COUNTA($B263:$J263)+COUNTA($M263))&gt;0),"",IF((IF(B263="","Macroactividad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 OK","⚠ "&amp;LEFT(IF(B263="","Macroactividad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",""),LEN(IF(B263="","Macroactividad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",""))-3)))</f>
        <v/>
      </c>
      <c r="O263" s="67">
        <f>IF(NOT((COUNTA($B263:$J263)+COUNTA($M263))&gt;0),"",IF(ISNUMBER($D263),DATE(YEAR($D263),MONTH($D263),1),IF(ISNUMBER($E263),DATE(YEAR($E263),MONTH($E263),1),MesCiclo)))</f>
        <v/>
      </c>
      <c r="P263" s="68">
        <f>IF(OR($O263="",$O263&lt;&gt;MesCiclo),"",COUNTIF($O$5:$O263,MesCiclo))</f>
        <v/>
      </c>
    </row>
    <row r="264">
      <c r="A264" s="60">
        <f>IF(NOT((COUNTA($B264:$J264)+COUNTA($M264))&gt;0),"",COUNTIFS($L$5:$L264,"?*",$O$5:$O264,$O264))</f>
        <v/>
      </c>
      <c r="B264" s="61" t="n"/>
      <c r="C264" s="61" t="n"/>
      <c r="D264" s="62" t="n"/>
      <c r="E264" s="62" t="n"/>
      <c r="F264" s="63" t="n"/>
      <c r="G264" s="64" t="n"/>
      <c r="H264" s="64" t="n"/>
      <c r="I264" s="64" t="n"/>
      <c r="J264" s="64" t="n"/>
      <c r="K264" s="65">
        <f>IF(NOT((COUNTA($B264:$J264)+COUNTA($M264))&gt;0),"",IFERROR(LOOKUP(2,1/(G264:J264&lt;&gt;""),G264:J264),0))</f>
        <v/>
      </c>
      <c r="L264" s="60">
        <f>IF(K264="","",IF(K264&gt;=1,"Completado",IF(K264&gt;0,"En curso","Pendiente")))</f>
        <v/>
      </c>
      <c r="M264" s="61" t="n"/>
      <c r="N264" s="66">
        <f>IF(NOT((COUNTA($B264:$J264)+COUNTA($M264))&gt;0),"",IF((IF(B264="","Macroactividad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 OK","⚠ "&amp;LEFT(IF(B264="","Macroactividad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",""),LEN(IF(B264="","Macroactividad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",""))-3)))</f>
        <v/>
      </c>
      <c r="O264" s="67">
        <f>IF(NOT((COUNTA($B264:$J264)+COUNTA($M264))&gt;0),"",IF(ISNUMBER($D264),DATE(YEAR($D264),MONTH($D264),1),IF(ISNUMBER($E264),DATE(YEAR($E264),MONTH($E264),1),MesCiclo)))</f>
        <v/>
      </c>
      <c r="P264" s="68">
        <f>IF(OR($O264="",$O264&lt;&gt;MesCiclo),"",COUNTIF($O$5:$O264,MesCiclo))</f>
        <v/>
      </c>
    </row>
    <row r="265">
      <c r="A265" s="60">
        <f>IF(NOT((COUNTA($B265:$J265)+COUNTA($M265))&gt;0),"",COUNTIFS($L$5:$L265,"?*",$O$5:$O265,$O265))</f>
        <v/>
      </c>
      <c r="B265" s="61" t="n"/>
      <c r="C265" s="61" t="n"/>
      <c r="D265" s="62" t="n"/>
      <c r="E265" s="62" t="n"/>
      <c r="F265" s="63" t="n"/>
      <c r="G265" s="64" t="n"/>
      <c r="H265" s="64" t="n"/>
      <c r="I265" s="64" t="n"/>
      <c r="J265" s="64" t="n"/>
      <c r="K265" s="65">
        <f>IF(NOT((COUNTA($B265:$J265)+COUNTA($M265))&gt;0),"",IFERROR(LOOKUP(2,1/(G265:J265&lt;&gt;""),G265:J265),0))</f>
        <v/>
      </c>
      <c r="L265" s="60">
        <f>IF(K265="","",IF(K265&gt;=1,"Completado",IF(K265&gt;0,"En curso","Pendiente")))</f>
        <v/>
      </c>
      <c r="M265" s="61" t="n"/>
      <c r="N265" s="66">
        <f>IF(NOT((COUNTA($B265:$J265)+COUNTA($M265))&gt;0),"",IF((IF(B265="","Macroactividad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 OK","⚠ "&amp;LEFT(IF(B265="","Macroactividad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",""),LEN(IF(B265="","Macroactividad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",""))-3)))</f>
        <v/>
      </c>
      <c r="O265" s="67">
        <f>IF(NOT((COUNTA($B265:$J265)+COUNTA($M265))&gt;0),"",IF(ISNUMBER($D265),DATE(YEAR($D265),MONTH($D265),1),IF(ISNUMBER($E265),DATE(YEAR($E265),MONTH($E265),1),MesCiclo)))</f>
        <v/>
      </c>
      <c r="P265" s="68">
        <f>IF(OR($O265="",$O265&lt;&gt;MesCiclo),"",COUNTIF($O$5:$O265,MesCiclo))</f>
        <v/>
      </c>
    </row>
    <row r="266">
      <c r="A266" s="60">
        <f>IF(NOT((COUNTA($B266:$J266)+COUNTA($M266))&gt;0),"",COUNTIFS($L$5:$L266,"?*",$O$5:$O266,$O266))</f>
        <v/>
      </c>
      <c r="B266" s="61" t="n"/>
      <c r="C266" s="61" t="n"/>
      <c r="D266" s="62" t="n"/>
      <c r="E266" s="62" t="n"/>
      <c r="F266" s="63" t="n"/>
      <c r="G266" s="64" t="n"/>
      <c r="H266" s="64" t="n"/>
      <c r="I266" s="64" t="n"/>
      <c r="J266" s="64" t="n"/>
      <c r="K266" s="65">
        <f>IF(NOT((COUNTA($B266:$J266)+COUNTA($M266))&gt;0),"",IFERROR(LOOKUP(2,1/(G266:J266&lt;&gt;""),G266:J266),0))</f>
        <v/>
      </c>
      <c r="L266" s="60">
        <f>IF(K266="","",IF(K266&gt;=1,"Completado",IF(K266&gt;0,"En curso","Pendiente")))</f>
        <v/>
      </c>
      <c r="M266" s="61" t="n"/>
      <c r="N266" s="66">
        <f>IF(NOT((COUNTA($B266:$J266)+COUNTA($M266))&gt;0),"",IF((IF(B266="","Macroactividad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 OK","⚠ "&amp;LEFT(IF(B266="","Macroactividad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",""),LEN(IF(B266="","Macroactividad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",""))-3)))</f>
        <v/>
      </c>
      <c r="O266" s="67">
        <f>IF(NOT((COUNTA($B266:$J266)+COUNTA($M266))&gt;0),"",IF(ISNUMBER($D266),DATE(YEAR($D266),MONTH($D266),1),IF(ISNUMBER($E266),DATE(YEAR($E266),MONTH($E266),1),MesCiclo)))</f>
        <v/>
      </c>
      <c r="P266" s="68">
        <f>IF(OR($O266="",$O266&lt;&gt;MesCiclo),"",COUNTIF($O$5:$O266,MesCiclo))</f>
        <v/>
      </c>
    </row>
    <row r="267">
      <c r="A267" s="60">
        <f>IF(NOT((COUNTA($B267:$J267)+COUNTA($M267))&gt;0),"",COUNTIFS($L$5:$L267,"?*",$O$5:$O267,$O267))</f>
        <v/>
      </c>
      <c r="B267" s="61" t="n"/>
      <c r="C267" s="61" t="n"/>
      <c r="D267" s="62" t="n"/>
      <c r="E267" s="62" t="n"/>
      <c r="F267" s="63" t="n"/>
      <c r="G267" s="64" t="n"/>
      <c r="H267" s="64" t="n"/>
      <c r="I267" s="64" t="n"/>
      <c r="J267" s="64" t="n"/>
      <c r="K267" s="65">
        <f>IF(NOT((COUNTA($B267:$J267)+COUNTA($M267))&gt;0),"",IFERROR(LOOKUP(2,1/(G267:J267&lt;&gt;""),G267:J267),0))</f>
        <v/>
      </c>
      <c r="L267" s="60">
        <f>IF(K267="","",IF(K267&gt;=1,"Completado",IF(K267&gt;0,"En curso","Pendiente")))</f>
        <v/>
      </c>
      <c r="M267" s="61" t="n"/>
      <c r="N267" s="66">
        <f>IF(NOT((COUNTA($B267:$J267)+COUNTA($M267))&gt;0),"",IF((IF(B267="","Macroactividad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 OK","⚠ "&amp;LEFT(IF(B267="","Macroactividad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",""),LEN(IF(B267="","Macroactividad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",""))-3)))</f>
        <v/>
      </c>
      <c r="O267" s="67">
        <f>IF(NOT((COUNTA($B267:$J267)+COUNTA($M267))&gt;0),"",IF(ISNUMBER($D267),DATE(YEAR($D267),MONTH($D267),1),IF(ISNUMBER($E267),DATE(YEAR($E267),MONTH($E267),1),MesCiclo)))</f>
        <v/>
      </c>
      <c r="P267" s="68">
        <f>IF(OR($O267="",$O267&lt;&gt;MesCiclo),"",COUNTIF($O$5:$O267,MesCiclo))</f>
        <v/>
      </c>
    </row>
    <row r="268">
      <c r="A268" s="60">
        <f>IF(NOT((COUNTA($B268:$J268)+COUNTA($M268))&gt;0),"",COUNTIFS($L$5:$L268,"?*",$O$5:$O268,$O268))</f>
        <v/>
      </c>
      <c r="B268" s="61" t="n"/>
      <c r="C268" s="61" t="n"/>
      <c r="D268" s="62" t="n"/>
      <c r="E268" s="62" t="n"/>
      <c r="F268" s="63" t="n"/>
      <c r="G268" s="64" t="n"/>
      <c r="H268" s="64" t="n"/>
      <c r="I268" s="64" t="n"/>
      <c r="J268" s="64" t="n"/>
      <c r="K268" s="65">
        <f>IF(NOT((COUNTA($B268:$J268)+COUNTA($M268))&gt;0),"",IFERROR(LOOKUP(2,1/(G268:J268&lt;&gt;""),G268:J268),0))</f>
        <v/>
      </c>
      <c r="L268" s="60">
        <f>IF(K268="","",IF(K268&gt;=1,"Completado",IF(K268&gt;0,"En curso","Pendiente")))</f>
        <v/>
      </c>
      <c r="M268" s="61" t="n"/>
      <c r="N268" s="66">
        <f>IF(NOT((COUNTA($B268:$J268)+COUNTA($M268))&gt;0),"",IF((IF(B268="","Macroactividad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 OK","⚠ "&amp;LEFT(IF(B268="","Macroactividad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",""),LEN(IF(B268="","Macroactividad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",""))-3)))</f>
        <v/>
      </c>
      <c r="O268" s="67">
        <f>IF(NOT((COUNTA($B268:$J268)+COUNTA($M268))&gt;0),"",IF(ISNUMBER($D268),DATE(YEAR($D268),MONTH($D268),1),IF(ISNUMBER($E268),DATE(YEAR($E268),MONTH($E268),1),MesCiclo)))</f>
        <v/>
      </c>
      <c r="P268" s="68">
        <f>IF(OR($O268="",$O268&lt;&gt;MesCiclo),"",COUNTIF($O$5:$O268,MesCiclo))</f>
        <v/>
      </c>
    </row>
    <row r="269">
      <c r="A269" s="60">
        <f>IF(NOT((COUNTA($B269:$J269)+COUNTA($M269))&gt;0),"",COUNTIFS($L$5:$L269,"?*",$O$5:$O269,$O269))</f>
        <v/>
      </c>
      <c r="B269" s="61" t="n"/>
      <c r="C269" s="61" t="n"/>
      <c r="D269" s="62" t="n"/>
      <c r="E269" s="62" t="n"/>
      <c r="F269" s="63" t="n"/>
      <c r="G269" s="64" t="n"/>
      <c r="H269" s="64" t="n"/>
      <c r="I269" s="64" t="n"/>
      <c r="J269" s="64" t="n"/>
      <c r="K269" s="65">
        <f>IF(NOT((COUNTA($B269:$J269)+COUNTA($M269))&gt;0),"",IFERROR(LOOKUP(2,1/(G269:J269&lt;&gt;""),G269:J269),0))</f>
        <v/>
      </c>
      <c r="L269" s="60">
        <f>IF(K269="","",IF(K269&gt;=1,"Completado",IF(K269&gt;0,"En curso","Pendiente")))</f>
        <v/>
      </c>
      <c r="M269" s="61" t="n"/>
      <c r="N269" s="66">
        <f>IF(NOT((COUNTA($B269:$J269)+COUNTA($M269))&gt;0),"",IF((IF(B269="","Macroactividad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 OK","⚠ "&amp;LEFT(IF(B269="","Macroactividad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",""),LEN(IF(B269="","Macroactividad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",""))-3)))</f>
        <v/>
      </c>
      <c r="O269" s="67">
        <f>IF(NOT((COUNTA($B269:$J269)+COUNTA($M269))&gt;0),"",IF(ISNUMBER($D269),DATE(YEAR($D269),MONTH($D269),1),IF(ISNUMBER($E269),DATE(YEAR($E269),MONTH($E269),1),MesCiclo)))</f>
        <v/>
      </c>
      <c r="P269" s="68">
        <f>IF(OR($O269="",$O269&lt;&gt;MesCiclo),"",COUNTIF($O$5:$O269,MesCiclo))</f>
        <v/>
      </c>
    </row>
    <row r="270">
      <c r="A270" s="60">
        <f>IF(NOT((COUNTA($B270:$J270)+COUNTA($M270))&gt;0),"",COUNTIFS($L$5:$L270,"?*",$O$5:$O270,$O270))</f>
        <v/>
      </c>
      <c r="B270" s="61" t="n"/>
      <c r="C270" s="61" t="n"/>
      <c r="D270" s="62" t="n"/>
      <c r="E270" s="62" t="n"/>
      <c r="F270" s="63" t="n"/>
      <c r="G270" s="64" t="n"/>
      <c r="H270" s="64" t="n"/>
      <c r="I270" s="64" t="n"/>
      <c r="J270" s="64" t="n"/>
      <c r="K270" s="65">
        <f>IF(NOT((COUNTA($B270:$J270)+COUNTA($M270))&gt;0),"",IFERROR(LOOKUP(2,1/(G270:J270&lt;&gt;""),G270:J270),0))</f>
        <v/>
      </c>
      <c r="L270" s="60">
        <f>IF(K270="","",IF(K270&gt;=1,"Completado",IF(K270&gt;0,"En curso","Pendiente")))</f>
        <v/>
      </c>
      <c r="M270" s="61" t="n"/>
      <c r="N270" s="66">
        <f>IF(NOT((COUNTA($B270:$J270)+COUNTA($M270))&gt;0),"",IF((IF(B270="","Macroactividad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 OK","⚠ "&amp;LEFT(IF(B270="","Macroactividad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",""),LEN(IF(B270="","Macroactividad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",""))-3)))</f>
        <v/>
      </c>
      <c r="O270" s="67">
        <f>IF(NOT((COUNTA($B270:$J270)+COUNTA($M270))&gt;0),"",IF(ISNUMBER($D270),DATE(YEAR($D270),MONTH($D270),1),IF(ISNUMBER($E270),DATE(YEAR($E270),MONTH($E270),1),MesCiclo)))</f>
        <v/>
      </c>
      <c r="P270" s="68">
        <f>IF(OR($O270="",$O270&lt;&gt;MesCiclo),"",COUNTIF($O$5:$O270,MesCiclo))</f>
        <v/>
      </c>
    </row>
    <row r="271">
      <c r="A271" s="60">
        <f>IF(NOT((COUNTA($B271:$J271)+COUNTA($M271))&gt;0),"",COUNTIFS($L$5:$L271,"?*",$O$5:$O271,$O271))</f>
        <v/>
      </c>
      <c r="B271" s="61" t="n"/>
      <c r="C271" s="61" t="n"/>
      <c r="D271" s="62" t="n"/>
      <c r="E271" s="62" t="n"/>
      <c r="F271" s="63" t="n"/>
      <c r="G271" s="64" t="n"/>
      <c r="H271" s="64" t="n"/>
      <c r="I271" s="64" t="n"/>
      <c r="J271" s="64" t="n"/>
      <c r="K271" s="65">
        <f>IF(NOT((COUNTA($B271:$J271)+COUNTA($M271))&gt;0),"",IFERROR(LOOKUP(2,1/(G271:J271&lt;&gt;""),G271:J271),0))</f>
        <v/>
      </c>
      <c r="L271" s="60">
        <f>IF(K271="","",IF(K271&gt;=1,"Completado",IF(K271&gt;0,"En curso","Pendiente")))</f>
        <v/>
      </c>
      <c r="M271" s="61" t="n"/>
      <c r="N271" s="66">
        <f>IF(NOT((COUNTA($B271:$J271)+COUNTA($M271))&gt;0),"",IF((IF(B271="","Macroactividad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 OK","⚠ "&amp;LEFT(IF(B271="","Macroactividad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",""),LEN(IF(B271="","Macroactividad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",""))-3)))</f>
        <v/>
      </c>
      <c r="O271" s="67">
        <f>IF(NOT((COUNTA($B271:$J271)+COUNTA($M271))&gt;0),"",IF(ISNUMBER($D271),DATE(YEAR($D271),MONTH($D271),1),IF(ISNUMBER($E271),DATE(YEAR($E271),MONTH($E271),1),MesCiclo)))</f>
        <v/>
      </c>
      <c r="P271" s="68">
        <f>IF(OR($O271="",$O271&lt;&gt;MesCiclo),"",COUNTIF($O$5:$O271,MesCiclo))</f>
        <v/>
      </c>
    </row>
    <row r="272">
      <c r="A272" s="60">
        <f>IF(NOT((COUNTA($B272:$J272)+COUNTA($M272))&gt;0),"",COUNTIFS($L$5:$L272,"?*",$O$5:$O272,$O272))</f>
        <v/>
      </c>
      <c r="B272" s="61" t="n"/>
      <c r="C272" s="61" t="n"/>
      <c r="D272" s="62" t="n"/>
      <c r="E272" s="62" t="n"/>
      <c r="F272" s="63" t="n"/>
      <c r="G272" s="64" t="n"/>
      <c r="H272" s="64" t="n"/>
      <c r="I272" s="64" t="n"/>
      <c r="J272" s="64" t="n"/>
      <c r="K272" s="65">
        <f>IF(NOT((COUNTA($B272:$J272)+COUNTA($M272))&gt;0),"",IFERROR(LOOKUP(2,1/(G272:J272&lt;&gt;""),G272:J272),0))</f>
        <v/>
      </c>
      <c r="L272" s="60">
        <f>IF(K272="","",IF(K272&gt;=1,"Completado",IF(K272&gt;0,"En curso","Pendiente")))</f>
        <v/>
      </c>
      <c r="M272" s="61" t="n"/>
      <c r="N272" s="66">
        <f>IF(NOT((COUNTA($B272:$J272)+COUNTA($M272))&gt;0),"",IF((IF(B272="","Macroactividad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 OK","⚠ "&amp;LEFT(IF(B272="","Macroactividad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",""),LEN(IF(B272="","Macroactividad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",""))-3)))</f>
        <v/>
      </c>
      <c r="O272" s="67">
        <f>IF(NOT((COUNTA($B272:$J272)+COUNTA($M272))&gt;0),"",IF(ISNUMBER($D272),DATE(YEAR($D272),MONTH($D272),1),IF(ISNUMBER($E272),DATE(YEAR($E272),MONTH($E272),1),MesCiclo)))</f>
        <v/>
      </c>
      <c r="P272" s="68">
        <f>IF(OR($O272="",$O272&lt;&gt;MesCiclo),"",COUNTIF($O$5:$O272,MesCiclo))</f>
        <v/>
      </c>
    </row>
    <row r="273">
      <c r="A273" s="60">
        <f>IF(NOT((COUNTA($B273:$J273)+COUNTA($M273))&gt;0),"",COUNTIFS($L$5:$L273,"?*",$O$5:$O273,$O273))</f>
        <v/>
      </c>
      <c r="B273" s="61" t="n"/>
      <c r="C273" s="61" t="n"/>
      <c r="D273" s="62" t="n"/>
      <c r="E273" s="62" t="n"/>
      <c r="F273" s="63" t="n"/>
      <c r="G273" s="64" t="n"/>
      <c r="H273" s="64" t="n"/>
      <c r="I273" s="64" t="n"/>
      <c r="J273" s="64" t="n"/>
      <c r="K273" s="65">
        <f>IF(NOT((COUNTA($B273:$J273)+COUNTA($M273))&gt;0),"",IFERROR(LOOKUP(2,1/(G273:J273&lt;&gt;""),G273:J273),0))</f>
        <v/>
      </c>
      <c r="L273" s="60">
        <f>IF(K273="","",IF(K273&gt;=1,"Completado",IF(K273&gt;0,"En curso","Pendiente")))</f>
        <v/>
      </c>
      <c r="M273" s="61" t="n"/>
      <c r="N273" s="66">
        <f>IF(NOT((COUNTA($B273:$J273)+COUNTA($M273))&gt;0),"",IF((IF(B273="","Macroactividad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 OK","⚠ "&amp;LEFT(IF(B273="","Macroactividad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",""),LEN(IF(B273="","Macroactividad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",""))-3)))</f>
        <v/>
      </c>
      <c r="O273" s="67">
        <f>IF(NOT((COUNTA($B273:$J273)+COUNTA($M273))&gt;0),"",IF(ISNUMBER($D273),DATE(YEAR($D273),MONTH($D273),1),IF(ISNUMBER($E273),DATE(YEAR($E273),MONTH($E273),1),MesCiclo)))</f>
        <v/>
      </c>
      <c r="P273" s="68">
        <f>IF(OR($O273="",$O273&lt;&gt;MesCiclo),"",COUNTIF($O$5:$O273,MesCiclo))</f>
        <v/>
      </c>
    </row>
    <row r="274">
      <c r="A274" s="60">
        <f>IF(NOT((COUNTA($B274:$J274)+COUNTA($M274))&gt;0),"",COUNTIFS($L$5:$L274,"?*",$O$5:$O274,$O274))</f>
        <v/>
      </c>
      <c r="B274" s="61" t="n"/>
      <c r="C274" s="61" t="n"/>
      <c r="D274" s="62" t="n"/>
      <c r="E274" s="62" t="n"/>
      <c r="F274" s="63" t="n"/>
      <c r="G274" s="64" t="n"/>
      <c r="H274" s="64" t="n"/>
      <c r="I274" s="64" t="n"/>
      <c r="J274" s="64" t="n"/>
      <c r="K274" s="65">
        <f>IF(NOT((COUNTA($B274:$J274)+COUNTA($M274))&gt;0),"",IFERROR(LOOKUP(2,1/(G274:J274&lt;&gt;""),G274:J274),0))</f>
        <v/>
      </c>
      <c r="L274" s="60">
        <f>IF(K274="","",IF(K274&gt;=1,"Completado",IF(K274&gt;0,"En curso","Pendiente")))</f>
        <v/>
      </c>
      <c r="M274" s="61" t="n"/>
      <c r="N274" s="66">
        <f>IF(NOT((COUNTA($B274:$J274)+COUNTA($M274))&gt;0),"",IF((IF(B274="","Macroactividad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 OK","⚠ "&amp;LEFT(IF(B274="","Macroactividad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",""),LEN(IF(B274="","Macroactividad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",""))-3)))</f>
        <v/>
      </c>
      <c r="O274" s="67">
        <f>IF(NOT((COUNTA($B274:$J274)+COUNTA($M274))&gt;0),"",IF(ISNUMBER($D274),DATE(YEAR($D274),MONTH($D274),1),IF(ISNUMBER($E274),DATE(YEAR($E274),MONTH($E274),1),MesCiclo)))</f>
        <v/>
      </c>
      <c r="P274" s="68">
        <f>IF(OR($O274="",$O274&lt;&gt;MesCiclo),"",COUNTIF($O$5:$O274,MesCiclo))</f>
        <v/>
      </c>
    </row>
    <row r="275">
      <c r="A275" s="60">
        <f>IF(NOT((COUNTA($B275:$J275)+COUNTA($M275))&gt;0),"",COUNTIFS($L$5:$L275,"?*",$O$5:$O275,$O275))</f>
        <v/>
      </c>
      <c r="B275" s="61" t="n"/>
      <c r="C275" s="61" t="n"/>
      <c r="D275" s="62" t="n"/>
      <c r="E275" s="62" t="n"/>
      <c r="F275" s="63" t="n"/>
      <c r="G275" s="64" t="n"/>
      <c r="H275" s="64" t="n"/>
      <c r="I275" s="64" t="n"/>
      <c r="J275" s="64" t="n"/>
      <c r="K275" s="65">
        <f>IF(NOT((COUNTA($B275:$J275)+COUNTA($M275))&gt;0),"",IFERROR(LOOKUP(2,1/(G275:J275&lt;&gt;""),G275:J275),0))</f>
        <v/>
      </c>
      <c r="L275" s="60">
        <f>IF(K275="","",IF(K275&gt;=1,"Completado",IF(K275&gt;0,"En curso","Pendiente")))</f>
        <v/>
      </c>
      <c r="M275" s="61" t="n"/>
      <c r="N275" s="66">
        <f>IF(NOT((COUNTA($B275:$J275)+COUNTA($M275))&gt;0),"",IF((IF(B275="","Macroactividad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 OK","⚠ "&amp;LEFT(IF(B275="","Macroactividad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",""),LEN(IF(B275="","Macroactividad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",""))-3)))</f>
        <v/>
      </c>
      <c r="O275" s="67">
        <f>IF(NOT((COUNTA($B275:$J275)+COUNTA($M275))&gt;0),"",IF(ISNUMBER($D275),DATE(YEAR($D275),MONTH($D275),1),IF(ISNUMBER($E275),DATE(YEAR($E275),MONTH($E275),1),MesCiclo)))</f>
        <v/>
      </c>
      <c r="P275" s="68">
        <f>IF(OR($O275="",$O275&lt;&gt;MesCiclo),"",COUNTIF($O$5:$O275,MesCiclo))</f>
        <v/>
      </c>
    </row>
    <row r="276">
      <c r="A276" s="60">
        <f>IF(NOT((COUNTA($B276:$J276)+COUNTA($M276))&gt;0),"",COUNTIFS($L$5:$L276,"?*",$O$5:$O276,$O276))</f>
        <v/>
      </c>
      <c r="B276" s="61" t="n"/>
      <c r="C276" s="61" t="n"/>
      <c r="D276" s="62" t="n"/>
      <c r="E276" s="62" t="n"/>
      <c r="F276" s="63" t="n"/>
      <c r="G276" s="64" t="n"/>
      <c r="H276" s="64" t="n"/>
      <c r="I276" s="64" t="n"/>
      <c r="J276" s="64" t="n"/>
      <c r="K276" s="65">
        <f>IF(NOT((COUNTA($B276:$J276)+COUNTA($M276))&gt;0),"",IFERROR(LOOKUP(2,1/(G276:J276&lt;&gt;""),G276:J276),0))</f>
        <v/>
      </c>
      <c r="L276" s="60">
        <f>IF(K276="","",IF(K276&gt;=1,"Completado",IF(K276&gt;0,"En curso","Pendiente")))</f>
        <v/>
      </c>
      <c r="M276" s="61" t="n"/>
      <c r="N276" s="66">
        <f>IF(NOT((COUNTA($B276:$J276)+COUNTA($M276))&gt;0),"",IF((IF(B276="","Macroactividad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 OK","⚠ "&amp;LEFT(IF(B276="","Macroactividad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",""),LEN(IF(B276="","Macroactividad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",""))-3)))</f>
        <v/>
      </c>
      <c r="O276" s="67">
        <f>IF(NOT((COUNTA($B276:$J276)+COUNTA($M276))&gt;0),"",IF(ISNUMBER($D276),DATE(YEAR($D276),MONTH($D276),1),IF(ISNUMBER($E276),DATE(YEAR($E276),MONTH($E276),1),MesCiclo)))</f>
        <v/>
      </c>
      <c r="P276" s="68">
        <f>IF(OR($O276="",$O276&lt;&gt;MesCiclo),"",COUNTIF($O$5:$O276,MesCiclo))</f>
        <v/>
      </c>
    </row>
    <row r="277">
      <c r="A277" s="60">
        <f>IF(NOT((COUNTA($B277:$J277)+COUNTA($M277))&gt;0),"",COUNTIFS($L$5:$L277,"?*",$O$5:$O277,$O277))</f>
        <v/>
      </c>
      <c r="B277" s="61" t="n"/>
      <c r="C277" s="61" t="n"/>
      <c r="D277" s="62" t="n"/>
      <c r="E277" s="62" t="n"/>
      <c r="F277" s="63" t="n"/>
      <c r="G277" s="64" t="n"/>
      <c r="H277" s="64" t="n"/>
      <c r="I277" s="64" t="n"/>
      <c r="J277" s="64" t="n"/>
      <c r="K277" s="65">
        <f>IF(NOT((COUNTA($B277:$J277)+COUNTA($M277))&gt;0),"",IFERROR(LOOKUP(2,1/(G277:J277&lt;&gt;""),G277:J277),0))</f>
        <v/>
      </c>
      <c r="L277" s="60">
        <f>IF(K277="","",IF(K277&gt;=1,"Completado",IF(K277&gt;0,"En curso","Pendiente")))</f>
        <v/>
      </c>
      <c r="M277" s="61" t="n"/>
      <c r="N277" s="66">
        <f>IF(NOT((COUNTA($B277:$J277)+COUNTA($M277))&gt;0),"",IF((IF(B277="","Macroactividad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 OK","⚠ "&amp;LEFT(IF(B277="","Macroactividad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",""),LEN(IF(B277="","Macroactividad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",""))-3)))</f>
        <v/>
      </c>
      <c r="O277" s="67">
        <f>IF(NOT((COUNTA($B277:$J277)+COUNTA($M277))&gt;0),"",IF(ISNUMBER($D277),DATE(YEAR($D277),MONTH($D277),1),IF(ISNUMBER($E277),DATE(YEAR($E277),MONTH($E277),1),MesCiclo)))</f>
        <v/>
      </c>
      <c r="P277" s="68">
        <f>IF(OR($O277="",$O277&lt;&gt;MesCiclo),"",COUNTIF($O$5:$O277,MesCiclo))</f>
        <v/>
      </c>
    </row>
    <row r="278">
      <c r="A278" s="60">
        <f>IF(NOT((COUNTA($B278:$J278)+COUNTA($M278))&gt;0),"",COUNTIFS($L$5:$L278,"?*",$O$5:$O278,$O278))</f>
        <v/>
      </c>
      <c r="B278" s="61" t="n"/>
      <c r="C278" s="61" t="n"/>
      <c r="D278" s="62" t="n"/>
      <c r="E278" s="62" t="n"/>
      <c r="F278" s="63" t="n"/>
      <c r="G278" s="64" t="n"/>
      <c r="H278" s="64" t="n"/>
      <c r="I278" s="64" t="n"/>
      <c r="J278" s="64" t="n"/>
      <c r="K278" s="65">
        <f>IF(NOT((COUNTA($B278:$J278)+COUNTA($M278))&gt;0),"",IFERROR(LOOKUP(2,1/(G278:J278&lt;&gt;""),G278:J278),0))</f>
        <v/>
      </c>
      <c r="L278" s="60">
        <f>IF(K278="","",IF(K278&gt;=1,"Completado",IF(K278&gt;0,"En curso","Pendiente")))</f>
        <v/>
      </c>
      <c r="M278" s="61" t="n"/>
      <c r="N278" s="66">
        <f>IF(NOT((COUNTA($B278:$J278)+COUNTA($M278))&gt;0),"",IF((IF(B278="","Macroactividad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 OK","⚠ "&amp;LEFT(IF(B278="","Macroactividad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",""),LEN(IF(B278="","Macroactividad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",""))-3)))</f>
        <v/>
      </c>
      <c r="O278" s="67">
        <f>IF(NOT((COUNTA($B278:$J278)+COUNTA($M278))&gt;0),"",IF(ISNUMBER($D278),DATE(YEAR($D278),MONTH($D278),1),IF(ISNUMBER($E278),DATE(YEAR($E278),MONTH($E278),1),MesCiclo)))</f>
        <v/>
      </c>
      <c r="P278" s="68">
        <f>IF(OR($O278="",$O278&lt;&gt;MesCiclo),"",COUNTIF($O$5:$O278,MesCiclo))</f>
        <v/>
      </c>
    </row>
    <row r="279">
      <c r="A279" s="60">
        <f>IF(NOT((COUNTA($B279:$J279)+COUNTA($M279))&gt;0),"",COUNTIFS($L$5:$L279,"?*",$O$5:$O279,$O279))</f>
        <v/>
      </c>
      <c r="B279" s="61" t="n"/>
      <c r="C279" s="61" t="n"/>
      <c r="D279" s="62" t="n"/>
      <c r="E279" s="62" t="n"/>
      <c r="F279" s="63" t="n"/>
      <c r="G279" s="64" t="n"/>
      <c r="H279" s="64" t="n"/>
      <c r="I279" s="64" t="n"/>
      <c r="J279" s="64" t="n"/>
      <c r="K279" s="65">
        <f>IF(NOT((COUNTA($B279:$J279)+COUNTA($M279))&gt;0),"",IFERROR(LOOKUP(2,1/(G279:J279&lt;&gt;""),G279:J279),0))</f>
        <v/>
      </c>
      <c r="L279" s="60">
        <f>IF(K279="","",IF(K279&gt;=1,"Completado",IF(K279&gt;0,"En curso","Pendiente")))</f>
        <v/>
      </c>
      <c r="M279" s="61" t="n"/>
      <c r="N279" s="66">
        <f>IF(NOT((COUNTA($B279:$J279)+COUNTA($M279))&gt;0),"",IF((IF(B279="","Macroactividad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 OK","⚠ "&amp;LEFT(IF(B279="","Macroactividad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",""),LEN(IF(B279="","Macroactividad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",""))-3)))</f>
        <v/>
      </c>
      <c r="O279" s="67">
        <f>IF(NOT((COUNTA($B279:$J279)+COUNTA($M279))&gt;0),"",IF(ISNUMBER($D279),DATE(YEAR($D279),MONTH($D279),1),IF(ISNUMBER($E279),DATE(YEAR($E279),MONTH($E279),1),MesCiclo)))</f>
        <v/>
      </c>
      <c r="P279" s="68">
        <f>IF(OR($O279="",$O279&lt;&gt;MesCiclo),"",COUNTIF($O$5:$O279,MesCiclo))</f>
        <v/>
      </c>
    </row>
    <row r="280">
      <c r="A280" s="60">
        <f>IF(NOT((COUNTA($B280:$J280)+COUNTA($M280))&gt;0),"",COUNTIFS($L$5:$L280,"?*",$O$5:$O280,$O280))</f>
        <v/>
      </c>
      <c r="B280" s="61" t="n"/>
      <c r="C280" s="61" t="n"/>
      <c r="D280" s="62" t="n"/>
      <c r="E280" s="62" t="n"/>
      <c r="F280" s="63" t="n"/>
      <c r="G280" s="64" t="n"/>
      <c r="H280" s="64" t="n"/>
      <c r="I280" s="64" t="n"/>
      <c r="J280" s="64" t="n"/>
      <c r="K280" s="65">
        <f>IF(NOT((COUNTA($B280:$J280)+COUNTA($M280))&gt;0),"",IFERROR(LOOKUP(2,1/(G280:J280&lt;&gt;""),G280:J280),0))</f>
        <v/>
      </c>
      <c r="L280" s="60">
        <f>IF(K280="","",IF(K280&gt;=1,"Completado",IF(K280&gt;0,"En curso","Pendiente")))</f>
        <v/>
      </c>
      <c r="M280" s="61" t="n"/>
      <c r="N280" s="66">
        <f>IF(NOT((COUNTA($B280:$J280)+COUNTA($M280))&gt;0),"",IF((IF(B280="","Macroactividad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 OK","⚠ "&amp;LEFT(IF(B280="","Macroactividad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",""),LEN(IF(B280="","Macroactividad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",""))-3)))</f>
        <v/>
      </c>
      <c r="O280" s="67">
        <f>IF(NOT((COUNTA($B280:$J280)+COUNTA($M280))&gt;0),"",IF(ISNUMBER($D280),DATE(YEAR($D280),MONTH($D280),1),IF(ISNUMBER($E280),DATE(YEAR($E280),MONTH($E280),1),MesCiclo)))</f>
        <v/>
      </c>
      <c r="P280" s="68">
        <f>IF(OR($O280="",$O280&lt;&gt;MesCiclo),"",COUNTIF($O$5:$O280,MesCiclo))</f>
        <v/>
      </c>
    </row>
    <row r="281">
      <c r="A281" s="60">
        <f>IF(NOT((COUNTA($B281:$J281)+COUNTA($M281))&gt;0),"",COUNTIFS($L$5:$L281,"?*",$O$5:$O281,$O281))</f>
        <v/>
      </c>
      <c r="B281" s="61" t="n"/>
      <c r="C281" s="61" t="n"/>
      <c r="D281" s="62" t="n"/>
      <c r="E281" s="62" t="n"/>
      <c r="F281" s="63" t="n"/>
      <c r="G281" s="64" t="n"/>
      <c r="H281" s="64" t="n"/>
      <c r="I281" s="64" t="n"/>
      <c r="J281" s="64" t="n"/>
      <c r="K281" s="65">
        <f>IF(NOT((COUNTA($B281:$J281)+COUNTA($M281))&gt;0),"",IFERROR(LOOKUP(2,1/(G281:J281&lt;&gt;""),G281:J281),0))</f>
        <v/>
      </c>
      <c r="L281" s="60">
        <f>IF(K281="","",IF(K281&gt;=1,"Completado",IF(K281&gt;0,"En curso","Pendiente")))</f>
        <v/>
      </c>
      <c r="M281" s="61" t="n"/>
      <c r="N281" s="66">
        <f>IF(NOT((COUNTA($B281:$J281)+COUNTA($M281))&gt;0),"",IF((IF(B281="","Macroactividad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 OK","⚠ "&amp;LEFT(IF(B281="","Macroactividad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",""),LEN(IF(B281="","Macroactividad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",""))-3)))</f>
        <v/>
      </c>
      <c r="O281" s="67">
        <f>IF(NOT((COUNTA($B281:$J281)+COUNTA($M281))&gt;0),"",IF(ISNUMBER($D281),DATE(YEAR($D281),MONTH($D281),1),IF(ISNUMBER($E281),DATE(YEAR($E281),MONTH($E281),1),MesCiclo)))</f>
        <v/>
      </c>
      <c r="P281" s="68">
        <f>IF(OR($O281="",$O281&lt;&gt;MesCiclo),"",COUNTIF($O$5:$O281,MesCiclo))</f>
        <v/>
      </c>
    </row>
    <row r="282">
      <c r="A282" s="60">
        <f>IF(NOT((COUNTA($B282:$J282)+COUNTA($M282))&gt;0),"",COUNTIFS($L$5:$L282,"?*",$O$5:$O282,$O282))</f>
        <v/>
      </c>
      <c r="B282" s="61" t="n"/>
      <c r="C282" s="61" t="n"/>
      <c r="D282" s="62" t="n"/>
      <c r="E282" s="62" t="n"/>
      <c r="F282" s="63" t="n"/>
      <c r="G282" s="64" t="n"/>
      <c r="H282" s="64" t="n"/>
      <c r="I282" s="64" t="n"/>
      <c r="J282" s="64" t="n"/>
      <c r="K282" s="65">
        <f>IF(NOT((COUNTA($B282:$J282)+COUNTA($M282))&gt;0),"",IFERROR(LOOKUP(2,1/(G282:J282&lt;&gt;""),G282:J282),0))</f>
        <v/>
      </c>
      <c r="L282" s="60">
        <f>IF(K282="","",IF(K282&gt;=1,"Completado",IF(K282&gt;0,"En curso","Pendiente")))</f>
        <v/>
      </c>
      <c r="M282" s="61" t="n"/>
      <c r="N282" s="66">
        <f>IF(NOT((COUNTA($B282:$J282)+COUNTA($M282))&gt;0),"",IF((IF(B282="","Macroactividad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 OK","⚠ "&amp;LEFT(IF(B282="","Macroactividad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",""),LEN(IF(B282="","Macroactividad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",""))-3)))</f>
        <v/>
      </c>
      <c r="O282" s="67">
        <f>IF(NOT((COUNTA($B282:$J282)+COUNTA($M282))&gt;0),"",IF(ISNUMBER($D282),DATE(YEAR($D282),MONTH($D282),1),IF(ISNUMBER($E282),DATE(YEAR($E282),MONTH($E282),1),MesCiclo)))</f>
        <v/>
      </c>
      <c r="P282" s="68">
        <f>IF(OR($O282="",$O282&lt;&gt;MesCiclo),"",COUNTIF($O$5:$O282,MesCiclo))</f>
        <v/>
      </c>
    </row>
    <row r="283">
      <c r="A283" s="60">
        <f>IF(NOT((COUNTA($B283:$J283)+COUNTA($M283))&gt;0),"",COUNTIFS($L$5:$L283,"?*",$O$5:$O283,$O283))</f>
        <v/>
      </c>
      <c r="B283" s="61" t="n"/>
      <c r="C283" s="61" t="n"/>
      <c r="D283" s="62" t="n"/>
      <c r="E283" s="62" t="n"/>
      <c r="F283" s="63" t="n"/>
      <c r="G283" s="64" t="n"/>
      <c r="H283" s="64" t="n"/>
      <c r="I283" s="64" t="n"/>
      <c r="J283" s="64" t="n"/>
      <c r="K283" s="65">
        <f>IF(NOT((COUNTA($B283:$J283)+COUNTA($M283))&gt;0),"",IFERROR(LOOKUP(2,1/(G283:J283&lt;&gt;""),G283:J283),0))</f>
        <v/>
      </c>
      <c r="L283" s="60">
        <f>IF(K283="","",IF(K283&gt;=1,"Completado",IF(K283&gt;0,"En curso","Pendiente")))</f>
        <v/>
      </c>
      <c r="M283" s="61" t="n"/>
      <c r="N283" s="66">
        <f>IF(NOT((COUNTA($B283:$J283)+COUNTA($M283))&gt;0),"",IF((IF(B283="","Macroactividad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 OK","⚠ "&amp;LEFT(IF(B283="","Macroactividad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",""),LEN(IF(B283="","Macroactividad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",""))-3)))</f>
        <v/>
      </c>
      <c r="O283" s="67">
        <f>IF(NOT((COUNTA($B283:$J283)+COUNTA($M283))&gt;0),"",IF(ISNUMBER($D283),DATE(YEAR($D283),MONTH($D283),1),IF(ISNUMBER($E283),DATE(YEAR($E283),MONTH($E283),1),MesCiclo)))</f>
        <v/>
      </c>
      <c r="P283" s="68">
        <f>IF(OR($O283="",$O283&lt;&gt;MesCiclo),"",COUNTIF($O$5:$O283,MesCiclo))</f>
        <v/>
      </c>
    </row>
    <row r="284">
      <c r="A284" s="60">
        <f>IF(NOT((COUNTA($B284:$J284)+COUNTA($M284))&gt;0),"",COUNTIFS($L$5:$L284,"?*",$O$5:$O284,$O284))</f>
        <v/>
      </c>
      <c r="B284" s="61" t="n"/>
      <c r="C284" s="61" t="n"/>
      <c r="D284" s="62" t="n"/>
      <c r="E284" s="62" t="n"/>
      <c r="F284" s="63" t="n"/>
      <c r="G284" s="64" t="n"/>
      <c r="H284" s="64" t="n"/>
      <c r="I284" s="64" t="n"/>
      <c r="J284" s="64" t="n"/>
      <c r="K284" s="65">
        <f>IF(NOT((COUNTA($B284:$J284)+COUNTA($M284))&gt;0),"",IFERROR(LOOKUP(2,1/(G284:J284&lt;&gt;""),G284:J284),0))</f>
        <v/>
      </c>
      <c r="L284" s="60">
        <f>IF(K284="","",IF(K284&gt;=1,"Completado",IF(K284&gt;0,"En curso","Pendiente")))</f>
        <v/>
      </c>
      <c r="M284" s="61" t="n"/>
      <c r="N284" s="66">
        <f>IF(NOT((COUNTA($B284:$J284)+COUNTA($M284))&gt;0),"",IF((IF(B284="","Macroactividad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 OK","⚠ "&amp;LEFT(IF(B284="","Macroactividad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",""),LEN(IF(B284="","Macroactividad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",""))-3)))</f>
        <v/>
      </c>
      <c r="O284" s="67">
        <f>IF(NOT((COUNTA($B284:$J284)+COUNTA($M284))&gt;0),"",IF(ISNUMBER($D284),DATE(YEAR($D284),MONTH($D284),1),IF(ISNUMBER($E284),DATE(YEAR($E284),MONTH($E284),1),MesCiclo)))</f>
        <v/>
      </c>
      <c r="P284" s="68">
        <f>IF(OR($O284="",$O284&lt;&gt;MesCiclo),"",COUNTIF($O$5:$O284,MesCiclo))</f>
        <v/>
      </c>
    </row>
    <row r="285">
      <c r="A285" s="60">
        <f>IF(NOT((COUNTA($B285:$J285)+COUNTA($M285))&gt;0),"",COUNTIFS($L$5:$L285,"?*",$O$5:$O285,$O285))</f>
        <v/>
      </c>
      <c r="B285" s="61" t="n"/>
      <c r="C285" s="61" t="n"/>
      <c r="D285" s="62" t="n"/>
      <c r="E285" s="62" t="n"/>
      <c r="F285" s="63" t="n"/>
      <c r="G285" s="64" t="n"/>
      <c r="H285" s="64" t="n"/>
      <c r="I285" s="64" t="n"/>
      <c r="J285" s="64" t="n"/>
      <c r="K285" s="65">
        <f>IF(NOT((COUNTA($B285:$J285)+COUNTA($M285))&gt;0),"",IFERROR(LOOKUP(2,1/(G285:J285&lt;&gt;""),G285:J285),0))</f>
        <v/>
      </c>
      <c r="L285" s="60">
        <f>IF(K285="","",IF(K285&gt;=1,"Completado",IF(K285&gt;0,"En curso","Pendiente")))</f>
        <v/>
      </c>
      <c r="M285" s="61" t="n"/>
      <c r="N285" s="66">
        <f>IF(NOT((COUNTA($B285:$J285)+COUNTA($M285))&gt;0),"",IF((IF(B285="","Macroactividad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 OK","⚠ "&amp;LEFT(IF(B285="","Macroactividad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",""),LEN(IF(B285="","Macroactividad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",""))-3)))</f>
        <v/>
      </c>
      <c r="O285" s="67">
        <f>IF(NOT((COUNTA($B285:$J285)+COUNTA($M285))&gt;0),"",IF(ISNUMBER($D285),DATE(YEAR($D285),MONTH($D285),1),IF(ISNUMBER($E285),DATE(YEAR($E285),MONTH($E285),1),MesCiclo)))</f>
        <v/>
      </c>
      <c r="P285" s="68">
        <f>IF(OR($O285="",$O285&lt;&gt;MesCiclo),"",COUNTIF($O$5:$O285,MesCiclo))</f>
        <v/>
      </c>
    </row>
    <row r="286">
      <c r="A286" s="60">
        <f>IF(NOT((COUNTA($B286:$J286)+COUNTA($M286))&gt;0),"",COUNTIFS($L$5:$L286,"?*",$O$5:$O286,$O286))</f>
        <v/>
      </c>
      <c r="B286" s="61" t="n"/>
      <c r="C286" s="61" t="n"/>
      <c r="D286" s="62" t="n"/>
      <c r="E286" s="62" t="n"/>
      <c r="F286" s="63" t="n"/>
      <c r="G286" s="64" t="n"/>
      <c r="H286" s="64" t="n"/>
      <c r="I286" s="64" t="n"/>
      <c r="J286" s="64" t="n"/>
      <c r="K286" s="65">
        <f>IF(NOT((COUNTA($B286:$J286)+COUNTA($M286))&gt;0),"",IFERROR(LOOKUP(2,1/(G286:J286&lt;&gt;""),G286:J286),0))</f>
        <v/>
      </c>
      <c r="L286" s="60">
        <f>IF(K286="","",IF(K286&gt;=1,"Completado",IF(K286&gt;0,"En curso","Pendiente")))</f>
        <v/>
      </c>
      <c r="M286" s="61" t="n"/>
      <c r="N286" s="66">
        <f>IF(NOT((COUNTA($B286:$J286)+COUNTA($M286))&gt;0),"",IF((IF(B286="","Macroactividad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 OK","⚠ "&amp;LEFT(IF(B286="","Macroactividad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",""),LEN(IF(B286="","Macroactividad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",""))-3)))</f>
        <v/>
      </c>
      <c r="O286" s="67">
        <f>IF(NOT((COUNTA($B286:$J286)+COUNTA($M286))&gt;0),"",IF(ISNUMBER($D286),DATE(YEAR($D286),MONTH($D286),1),IF(ISNUMBER($E286),DATE(YEAR($E286),MONTH($E286),1),MesCiclo)))</f>
        <v/>
      </c>
      <c r="P286" s="68">
        <f>IF(OR($O286="",$O286&lt;&gt;MesCiclo),"",COUNTIF($O$5:$O286,MesCiclo))</f>
        <v/>
      </c>
    </row>
    <row r="287">
      <c r="A287" s="60">
        <f>IF(NOT((COUNTA($B287:$J287)+COUNTA($M287))&gt;0),"",COUNTIFS($L$5:$L287,"?*",$O$5:$O287,$O287))</f>
        <v/>
      </c>
      <c r="B287" s="61" t="n"/>
      <c r="C287" s="61" t="n"/>
      <c r="D287" s="62" t="n"/>
      <c r="E287" s="62" t="n"/>
      <c r="F287" s="63" t="n"/>
      <c r="G287" s="64" t="n"/>
      <c r="H287" s="64" t="n"/>
      <c r="I287" s="64" t="n"/>
      <c r="J287" s="64" t="n"/>
      <c r="K287" s="65">
        <f>IF(NOT((COUNTA($B287:$J287)+COUNTA($M287))&gt;0),"",IFERROR(LOOKUP(2,1/(G287:J287&lt;&gt;""),G287:J287),0))</f>
        <v/>
      </c>
      <c r="L287" s="60">
        <f>IF(K287="","",IF(K287&gt;=1,"Completado",IF(K287&gt;0,"En curso","Pendiente")))</f>
        <v/>
      </c>
      <c r="M287" s="61" t="n"/>
      <c r="N287" s="66">
        <f>IF(NOT((COUNTA($B287:$J287)+COUNTA($M287))&gt;0),"",IF((IF(B287="","Macroactividad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 OK","⚠ "&amp;LEFT(IF(B287="","Macroactividad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",""),LEN(IF(B287="","Macroactividad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",""))-3)))</f>
        <v/>
      </c>
      <c r="O287" s="67">
        <f>IF(NOT((COUNTA($B287:$J287)+COUNTA($M287))&gt;0),"",IF(ISNUMBER($D287),DATE(YEAR($D287),MONTH($D287),1),IF(ISNUMBER($E287),DATE(YEAR($E287),MONTH($E287),1),MesCiclo)))</f>
        <v/>
      </c>
      <c r="P287" s="68">
        <f>IF(OR($O287="",$O287&lt;&gt;MesCiclo),"",COUNTIF($O$5:$O287,MesCiclo))</f>
        <v/>
      </c>
    </row>
    <row r="288">
      <c r="A288" s="60">
        <f>IF(NOT((COUNTA($B288:$J288)+COUNTA($M288))&gt;0),"",COUNTIFS($L$5:$L288,"?*",$O$5:$O288,$O288))</f>
        <v/>
      </c>
      <c r="B288" s="61" t="n"/>
      <c r="C288" s="61" t="n"/>
      <c r="D288" s="62" t="n"/>
      <c r="E288" s="62" t="n"/>
      <c r="F288" s="63" t="n"/>
      <c r="G288" s="64" t="n"/>
      <c r="H288" s="64" t="n"/>
      <c r="I288" s="64" t="n"/>
      <c r="J288" s="64" t="n"/>
      <c r="K288" s="65">
        <f>IF(NOT((COUNTA($B288:$J288)+COUNTA($M288))&gt;0),"",IFERROR(LOOKUP(2,1/(G288:J288&lt;&gt;""),G288:J288),0))</f>
        <v/>
      </c>
      <c r="L288" s="60">
        <f>IF(K288="","",IF(K288&gt;=1,"Completado",IF(K288&gt;0,"En curso","Pendiente")))</f>
        <v/>
      </c>
      <c r="M288" s="61" t="n"/>
      <c r="N288" s="66">
        <f>IF(NOT((COUNTA($B288:$J288)+COUNTA($M288))&gt;0),"",IF((IF(B288="","Macroactividad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 OK","⚠ "&amp;LEFT(IF(B288="","Macroactividad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",""),LEN(IF(B288="","Macroactividad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",""))-3)))</f>
        <v/>
      </c>
      <c r="O288" s="67">
        <f>IF(NOT((COUNTA($B288:$J288)+COUNTA($M288))&gt;0),"",IF(ISNUMBER($D288),DATE(YEAR($D288),MONTH($D288),1),IF(ISNUMBER($E288),DATE(YEAR($E288),MONTH($E288),1),MesCiclo)))</f>
        <v/>
      </c>
      <c r="P288" s="68">
        <f>IF(OR($O288="",$O288&lt;&gt;MesCiclo),"",COUNTIF($O$5:$O288,MesCiclo))</f>
        <v/>
      </c>
    </row>
    <row r="289">
      <c r="A289" s="60">
        <f>IF(NOT((COUNTA($B289:$J289)+COUNTA($M289))&gt;0),"",COUNTIFS($L$5:$L289,"?*",$O$5:$O289,$O289))</f>
        <v/>
      </c>
      <c r="B289" s="61" t="n"/>
      <c r="C289" s="61" t="n"/>
      <c r="D289" s="62" t="n"/>
      <c r="E289" s="62" t="n"/>
      <c r="F289" s="63" t="n"/>
      <c r="G289" s="64" t="n"/>
      <c r="H289" s="64" t="n"/>
      <c r="I289" s="64" t="n"/>
      <c r="J289" s="64" t="n"/>
      <c r="K289" s="65">
        <f>IF(NOT((COUNTA($B289:$J289)+COUNTA($M289))&gt;0),"",IFERROR(LOOKUP(2,1/(G289:J289&lt;&gt;""),G289:J289),0))</f>
        <v/>
      </c>
      <c r="L289" s="60">
        <f>IF(K289="","",IF(K289&gt;=1,"Completado",IF(K289&gt;0,"En curso","Pendiente")))</f>
        <v/>
      </c>
      <c r="M289" s="61" t="n"/>
      <c r="N289" s="66">
        <f>IF(NOT((COUNTA($B289:$J289)+COUNTA($M289))&gt;0),"",IF((IF(B289="","Macroactividad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 OK","⚠ "&amp;LEFT(IF(B289="","Macroactividad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",""),LEN(IF(B289="","Macroactividad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",""))-3)))</f>
        <v/>
      </c>
      <c r="O289" s="67">
        <f>IF(NOT((COUNTA($B289:$J289)+COUNTA($M289))&gt;0),"",IF(ISNUMBER($D289),DATE(YEAR($D289),MONTH($D289),1),IF(ISNUMBER($E289),DATE(YEAR($E289),MONTH($E289),1),MesCiclo)))</f>
        <v/>
      </c>
      <c r="P289" s="68">
        <f>IF(OR($O289="",$O289&lt;&gt;MesCiclo),"",COUNTIF($O$5:$O289,MesCiclo))</f>
        <v/>
      </c>
    </row>
    <row r="290">
      <c r="A290" s="60">
        <f>IF(NOT((COUNTA($B290:$J290)+COUNTA($M290))&gt;0),"",COUNTIFS($L$5:$L290,"?*",$O$5:$O290,$O290))</f>
        <v/>
      </c>
      <c r="B290" s="61" t="n"/>
      <c r="C290" s="61" t="n"/>
      <c r="D290" s="62" t="n"/>
      <c r="E290" s="62" t="n"/>
      <c r="F290" s="63" t="n"/>
      <c r="G290" s="64" t="n"/>
      <c r="H290" s="64" t="n"/>
      <c r="I290" s="64" t="n"/>
      <c r="J290" s="64" t="n"/>
      <c r="K290" s="65">
        <f>IF(NOT((COUNTA($B290:$J290)+COUNTA($M290))&gt;0),"",IFERROR(LOOKUP(2,1/(G290:J290&lt;&gt;""),G290:J290),0))</f>
        <v/>
      </c>
      <c r="L290" s="60">
        <f>IF(K290="","",IF(K290&gt;=1,"Completado",IF(K290&gt;0,"En curso","Pendiente")))</f>
        <v/>
      </c>
      <c r="M290" s="61" t="n"/>
      <c r="N290" s="66">
        <f>IF(NOT((COUNTA($B290:$J290)+COUNTA($M290))&gt;0),"",IF((IF(B290="","Macroactividad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 OK","⚠ "&amp;LEFT(IF(B290="","Macroactividad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",""),LEN(IF(B290="","Macroactividad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",""))-3)))</f>
        <v/>
      </c>
      <c r="O290" s="67">
        <f>IF(NOT((COUNTA($B290:$J290)+COUNTA($M290))&gt;0),"",IF(ISNUMBER($D290),DATE(YEAR($D290),MONTH($D290),1),IF(ISNUMBER($E290),DATE(YEAR($E290),MONTH($E290),1),MesCiclo)))</f>
        <v/>
      </c>
      <c r="P290" s="68">
        <f>IF(OR($O290="",$O290&lt;&gt;MesCiclo),"",COUNTIF($O$5:$O290,MesCiclo))</f>
        <v/>
      </c>
    </row>
    <row r="291">
      <c r="A291" s="60">
        <f>IF(NOT((COUNTA($B291:$J291)+COUNTA($M291))&gt;0),"",COUNTIFS($L$5:$L291,"?*",$O$5:$O291,$O291))</f>
        <v/>
      </c>
      <c r="B291" s="61" t="n"/>
      <c r="C291" s="61" t="n"/>
      <c r="D291" s="62" t="n"/>
      <c r="E291" s="62" t="n"/>
      <c r="F291" s="63" t="n"/>
      <c r="G291" s="64" t="n"/>
      <c r="H291" s="64" t="n"/>
      <c r="I291" s="64" t="n"/>
      <c r="J291" s="64" t="n"/>
      <c r="K291" s="65">
        <f>IF(NOT((COUNTA($B291:$J291)+COUNTA($M291))&gt;0),"",IFERROR(LOOKUP(2,1/(G291:J291&lt;&gt;""),G291:J291),0))</f>
        <v/>
      </c>
      <c r="L291" s="60">
        <f>IF(K291="","",IF(K291&gt;=1,"Completado",IF(K291&gt;0,"En curso","Pendiente")))</f>
        <v/>
      </c>
      <c r="M291" s="61" t="n"/>
      <c r="N291" s="66">
        <f>IF(NOT((COUNTA($B291:$J291)+COUNTA($M291))&gt;0),"",IF((IF(B291="","Macroactividad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 OK","⚠ "&amp;LEFT(IF(B291="","Macroactividad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",""),LEN(IF(B291="","Macroactividad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",""))-3)))</f>
        <v/>
      </c>
      <c r="O291" s="67">
        <f>IF(NOT((COUNTA($B291:$J291)+COUNTA($M291))&gt;0),"",IF(ISNUMBER($D291),DATE(YEAR($D291),MONTH($D291),1),IF(ISNUMBER($E291),DATE(YEAR($E291),MONTH($E291),1),MesCiclo)))</f>
        <v/>
      </c>
      <c r="P291" s="68">
        <f>IF(OR($O291="",$O291&lt;&gt;MesCiclo),"",COUNTIF($O$5:$O291,MesCiclo))</f>
        <v/>
      </c>
    </row>
    <row r="292">
      <c r="A292" s="60">
        <f>IF(NOT((COUNTA($B292:$J292)+COUNTA($M292))&gt;0),"",COUNTIFS($L$5:$L292,"?*",$O$5:$O292,$O292))</f>
        <v/>
      </c>
      <c r="B292" s="61" t="n"/>
      <c r="C292" s="61" t="n"/>
      <c r="D292" s="62" t="n"/>
      <c r="E292" s="62" t="n"/>
      <c r="F292" s="63" t="n"/>
      <c r="G292" s="64" t="n"/>
      <c r="H292" s="64" t="n"/>
      <c r="I292" s="64" t="n"/>
      <c r="J292" s="64" t="n"/>
      <c r="K292" s="65">
        <f>IF(NOT((COUNTA($B292:$J292)+COUNTA($M292))&gt;0),"",IFERROR(LOOKUP(2,1/(G292:J292&lt;&gt;""),G292:J292),0))</f>
        <v/>
      </c>
      <c r="L292" s="60">
        <f>IF(K292="","",IF(K292&gt;=1,"Completado",IF(K292&gt;0,"En curso","Pendiente")))</f>
        <v/>
      </c>
      <c r="M292" s="61" t="n"/>
      <c r="N292" s="66">
        <f>IF(NOT((COUNTA($B292:$J292)+COUNTA($M292))&gt;0),"",IF((IF(B292="","Macroactividad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 OK","⚠ "&amp;LEFT(IF(B292="","Macroactividad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",""),LEN(IF(B292="","Macroactividad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",""))-3)))</f>
        <v/>
      </c>
      <c r="O292" s="67">
        <f>IF(NOT((COUNTA($B292:$J292)+COUNTA($M292))&gt;0),"",IF(ISNUMBER($D292),DATE(YEAR($D292),MONTH($D292),1),IF(ISNUMBER($E292),DATE(YEAR($E292),MONTH($E292),1),MesCiclo)))</f>
        <v/>
      </c>
      <c r="P292" s="68">
        <f>IF(OR($O292="",$O292&lt;&gt;MesCiclo),"",COUNTIF($O$5:$O292,MesCiclo))</f>
        <v/>
      </c>
    </row>
    <row r="293">
      <c r="A293" s="60">
        <f>IF(NOT((COUNTA($B293:$J293)+COUNTA($M293))&gt;0),"",COUNTIFS($L$5:$L293,"?*",$O$5:$O293,$O293))</f>
        <v/>
      </c>
      <c r="B293" s="61" t="n"/>
      <c r="C293" s="61" t="n"/>
      <c r="D293" s="62" t="n"/>
      <c r="E293" s="62" t="n"/>
      <c r="F293" s="63" t="n"/>
      <c r="G293" s="64" t="n"/>
      <c r="H293" s="64" t="n"/>
      <c r="I293" s="64" t="n"/>
      <c r="J293" s="64" t="n"/>
      <c r="K293" s="65">
        <f>IF(NOT((COUNTA($B293:$J293)+COUNTA($M293))&gt;0),"",IFERROR(LOOKUP(2,1/(G293:J293&lt;&gt;""),G293:J293),0))</f>
        <v/>
      </c>
      <c r="L293" s="60">
        <f>IF(K293="","",IF(K293&gt;=1,"Completado",IF(K293&gt;0,"En curso","Pendiente")))</f>
        <v/>
      </c>
      <c r="M293" s="61" t="n"/>
      <c r="N293" s="66">
        <f>IF(NOT((COUNTA($B293:$J293)+COUNTA($M293))&gt;0),"",IF((IF(B293="","Macroactividad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 OK","⚠ "&amp;LEFT(IF(B293="","Macroactividad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",""),LEN(IF(B293="","Macroactividad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",""))-3)))</f>
        <v/>
      </c>
      <c r="O293" s="67">
        <f>IF(NOT((COUNTA($B293:$J293)+COUNTA($M293))&gt;0),"",IF(ISNUMBER($D293),DATE(YEAR($D293),MONTH($D293),1),IF(ISNUMBER($E293),DATE(YEAR($E293),MONTH($E293),1),MesCiclo)))</f>
        <v/>
      </c>
      <c r="P293" s="68">
        <f>IF(OR($O293="",$O293&lt;&gt;MesCiclo),"",COUNTIF($O$5:$O293,MesCiclo))</f>
        <v/>
      </c>
    </row>
    <row r="294">
      <c r="A294" s="60">
        <f>IF(NOT((COUNTA($B294:$J294)+COUNTA($M294))&gt;0),"",COUNTIFS($L$5:$L294,"?*",$O$5:$O294,$O294))</f>
        <v/>
      </c>
      <c r="B294" s="61" t="n"/>
      <c r="C294" s="61" t="n"/>
      <c r="D294" s="62" t="n"/>
      <c r="E294" s="62" t="n"/>
      <c r="F294" s="63" t="n"/>
      <c r="G294" s="64" t="n"/>
      <c r="H294" s="64" t="n"/>
      <c r="I294" s="64" t="n"/>
      <c r="J294" s="64" t="n"/>
      <c r="K294" s="65">
        <f>IF(NOT((COUNTA($B294:$J294)+COUNTA($M294))&gt;0),"",IFERROR(LOOKUP(2,1/(G294:J294&lt;&gt;""),G294:J294),0))</f>
        <v/>
      </c>
      <c r="L294" s="60">
        <f>IF(K294="","",IF(K294&gt;=1,"Completado",IF(K294&gt;0,"En curso","Pendiente")))</f>
        <v/>
      </c>
      <c r="M294" s="61" t="n"/>
      <c r="N294" s="66">
        <f>IF(NOT((COUNTA($B294:$J294)+COUNTA($M294))&gt;0),"",IF((IF(B294="","Macroactividad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 OK","⚠ "&amp;LEFT(IF(B294="","Macroactividad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",""),LEN(IF(B294="","Macroactividad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",""))-3)))</f>
        <v/>
      </c>
      <c r="O294" s="67">
        <f>IF(NOT((COUNTA($B294:$J294)+COUNTA($M294))&gt;0),"",IF(ISNUMBER($D294),DATE(YEAR($D294),MONTH($D294),1),IF(ISNUMBER($E294),DATE(YEAR($E294),MONTH($E294),1),MesCiclo)))</f>
        <v/>
      </c>
      <c r="P294" s="68">
        <f>IF(OR($O294="",$O294&lt;&gt;MesCiclo),"",COUNTIF($O$5:$O294,MesCiclo))</f>
        <v/>
      </c>
    </row>
    <row r="295">
      <c r="A295" s="60">
        <f>IF(NOT((COUNTA($B295:$J295)+COUNTA($M295))&gt;0),"",COUNTIFS($L$5:$L295,"?*",$O$5:$O295,$O295))</f>
        <v/>
      </c>
      <c r="B295" s="61" t="n"/>
      <c r="C295" s="61" t="n"/>
      <c r="D295" s="62" t="n"/>
      <c r="E295" s="62" t="n"/>
      <c r="F295" s="63" t="n"/>
      <c r="G295" s="64" t="n"/>
      <c r="H295" s="64" t="n"/>
      <c r="I295" s="64" t="n"/>
      <c r="J295" s="64" t="n"/>
      <c r="K295" s="65">
        <f>IF(NOT((COUNTA($B295:$J295)+COUNTA($M295))&gt;0),"",IFERROR(LOOKUP(2,1/(G295:J295&lt;&gt;""),G295:J295),0))</f>
        <v/>
      </c>
      <c r="L295" s="60">
        <f>IF(K295="","",IF(K295&gt;=1,"Completado",IF(K295&gt;0,"En curso","Pendiente")))</f>
        <v/>
      </c>
      <c r="M295" s="61" t="n"/>
      <c r="N295" s="66">
        <f>IF(NOT((COUNTA($B295:$J295)+COUNTA($M295))&gt;0),"",IF((IF(B295="","Macroactividad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 OK","⚠ "&amp;LEFT(IF(B295="","Macroactividad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",""),LEN(IF(B295="","Macroactividad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",""))-3)))</f>
        <v/>
      </c>
      <c r="O295" s="67">
        <f>IF(NOT((COUNTA($B295:$J295)+COUNTA($M295))&gt;0),"",IF(ISNUMBER($D295),DATE(YEAR($D295),MONTH($D295),1),IF(ISNUMBER($E295),DATE(YEAR($E295),MONTH($E295),1),MesCiclo)))</f>
        <v/>
      </c>
      <c r="P295" s="68">
        <f>IF(OR($O295="",$O295&lt;&gt;MesCiclo),"",COUNTIF($O$5:$O295,MesCiclo))</f>
        <v/>
      </c>
    </row>
    <row r="296">
      <c r="A296" s="60">
        <f>IF(NOT((COUNTA($B296:$J296)+COUNTA($M296))&gt;0),"",COUNTIFS($L$5:$L296,"?*",$O$5:$O296,$O296))</f>
        <v/>
      </c>
      <c r="B296" s="61" t="n"/>
      <c r="C296" s="61" t="n"/>
      <c r="D296" s="62" t="n"/>
      <c r="E296" s="62" t="n"/>
      <c r="F296" s="63" t="n"/>
      <c r="G296" s="64" t="n"/>
      <c r="H296" s="64" t="n"/>
      <c r="I296" s="64" t="n"/>
      <c r="J296" s="64" t="n"/>
      <c r="K296" s="65">
        <f>IF(NOT((COUNTA($B296:$J296)+COUNTA($M296))&gt;0),"",IFERROR(LOOKUP(2,1/(G296:J296&lt;&gt;""),G296:J296),0))</f>
        <v/>
      </c>
      <c r="L296" s="60">
        <f>IF(K296="","",IF(K296&gt;=1,"Completado",IF(K296&gt;0,"En curso","Pendiente")))</f>
        <v/>
      </c>
      <c r="M296" s="61" t="n"/>
      <c r="N296" s="66">
        <f>IF(NOT((COUNTA($B296:$J296)+COUNTA($M296))&gt;0),"",IF((IF(B296="","Macroactividad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 OK","⚠ "&amp;LEFT(IF(B296="","Macroactividad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",""),LEN(IF(B296="","Macroactividad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",""))-3)))</f>
        <v/>
      </c>
      <c r="O296" s="67">
        <f>IF(NOT((COUNTA($B296:$J296)+COUNTA($M296))&gt;0),"",IF(ISNUMBER($D296),DATE(YEAR($D296),MONTH($D296),1),IF(ISNUMBER($E296),DATE(YEAR($E296),MONTH($E296),1),MesCiclo)))</f>
        <v/>
      </c>
      <c r="P296" s="68">
        <f>IF(OR($O296="",$O296&lt;&gt;MesCiclo),"",COUNTIF($O$5:$O296,MesCiclo))</f>
        <v/>
      </c>
    </row>
    <row r="297">
      <c r="A297" s="60">
        <f>IF(NOT((COUNTA($B297:$J297)+COUNTA($M297))&gt;0),"",COUNTIFS($L$5:$L297,"?*",$O$5:$O297,$O297))</f>
        <v/>
      </c>
      <c r="B297" s="61" t="n"/>
      <c r="C297" s="61" t="n"/>
      <c r="D297" s="62" t="n"/>
      <c r="E297" s="62" t="n"/>
      <c r="F297" s="63" t="n"/>
      <c r="G297" s="64" t="n"/>
      <c r="H297" s="64" t="n"/>
      <c r="I297" s="64" t="n"/>
      <c r="J297" s="64" t="n"/>
      <c r="K297" s="65">
        <f>IF(NOT((COUNTA($B297:$J297)+COUNTA($M297))&gt;0),"",IFERROR(LOOKUP(2,1/(G297:J297&lt;&gt;""),G297:J297),0))</f>
        <v/>
      </c>
      <c r="L297" s="60">
        <f>IF(K297="","",IF(K297&gt;=1,"Completado",IF(K297&gt;0,"En curso","Pendiente")))</f>
        <v/>
      </c>
      <c r="M297" s="61" t="n"/>
      <c r="N297" s="66">
        <f>IF(NOT((COUNTA($B297:$J297)+COUNTA($M297))&gt;0),"",IF((IF(B297="","Macroactividad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 OK","⚠ "&amp;LEFT(IF(B297="","Macroactividad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",""),LEN(IF(B297="","Macroactividad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",""))-3)))</f>
        <v/>
      </c>
      <c r="O297" s="67">
        <f>IF(NOT((COUNTA($B297:$J297)+COUNTA($M297))&gt;0),"",IF(ISNUMBER($D297),DATE(YEAR($D297),MONTH($D297),1),IF(ISNUMBER($E297),DATE(YEAR($E297),MONTH($E297),1),MesCiclo)))</f>
        <v/>
      </c>
      <c r="P297" s="68">
        <f>IF(OR($O297="",$O297&lt;&gt;MesCiclo),"",COUNTIF($O$5:$O297,MesCiclo))</f>
        <v/>
      </c>
    </row>
    <row r="298">
      <c r="A298" s="60">
        <f>IF(NOT((COUNTA($B298:$J298)+COUNTA($M298))&gt;0),"",COUNTIFS($L$5:$L298,"?*",$O$5:$O298,$O298))</f>
        <v/>
      </c>
      <c r="B298" s="61" t="n"/>
      <c r="C298" s="61" t="n"/>
      <c r="D298" s="62" t="n"/>
      <c r="E298" s="62" t="n"/>
      <c r="F298" s="63" t="n"/>
      <c r="G298" s="64" t="n"/>
      <c r="H298" s="64" t="n"/>
      <c r="I298" s="64" t="n"/>
      <c r="J298" s="64" t="n"/>
      <c r="K298" s="65">
        <f>IF(NOT((COUNTA($B298:$J298)+COUNTA($M298))&gt;0),"",IFERROR(LOOKUP(2,1/(G298:J298&lt;&gt;""),G298:J298),0))</f>
        <v/>
      </c>
      <c r="L298" s="60">
        <f>IF(K298="","",IF(K298&gt;=1,"Completado",IF(K298&gt;0,"En curso","Pendiente")))</f>
        <v/>
      </c>
      <c r="M298" s="61" t="n"/>
      <c r="N298" s="66">
        <f>IF(NOT((COUNTA($B298:$J298)+COUNTA($M298))&gt;0),"",IF((IF(B298="","Macroactividad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 OK","⚠ "&amp;LEFT(IF(B298="","Macroactividad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",""),LEN(IF(B298="","Macroactividad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",""))-3)))</f>
        <v/>
      </c>
      <c r="O298" s="67">
        <f>IF(NOT((COUNTA($B298:$J298)+COUNTA($M298))&gt;0),"",IF(ISNUMBER($D298),DATE(YEAR($D298),MONTH($D298),1),IF(ISNUMBER($E298),DATE(YEAR($E298),MONTH($E298),1),MesCiclo)))</f>
        <v/>
      </c>
      <c r="P298" s="68">
        <f>IF(OR($O298="",$O298&lt;&gt;MesCiclo),"",COUNTIF($O$5:$O298,MesCiclo))</f>
        <v/>
      </c>
    </row>
    <row r="299">
      <c r="A299" s="60">
        <f>IF(NOT((COUNTA($B299:$J299)+COUNTA($M299))&gt;0),"",COUNTIFS($L$5:$L299,"?*",$O$5:$O299,$O299))</f>
        <v/>
      </c>
      <c r="B299" s="61" t="n"/>
      <c r="C299" s="61" t="n"/>
      <c r="D299" s="62" t="n"/>
      <c r="E299" s="62" t="n"/>
      <c r="F299" s="63" t="n"/>
      <c r="G299" s="64" t="n"/>
      <c r="H299" s="64" t="n"/>
      <c r="I299" s="64" t="n"/>
      <c r="J299" s="64" t="n"/>
      <c r="K299" s="65">
        <f>IF(NOT((COUNTA($B299:$J299)+COUNTA($M299))&gt;0),"",IFERROR(LOOKUP(2,1/(G299:J299&lt;&gt;""),G299:J299),0))</f>
        <v/>
      </c>
      <c r="L299" s="60">
        <f>IF(K299="","",IF(K299&gt;=1,"Completado",IF(K299&gt;0,"En curso","Pendiente")))</f>
        <v/>
      </c>
      <c r="M299" s="61" t="n"/>
      <c r="N299" s="66">
        <f>IF(NOT((COUNTA($B299:$J299)+COUNTA($M299))&gt;0),"",IF((IF(B299="","Macroactividad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 OK","⚠ "&amp;LEFT(IF(B299="","Macroactividad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",""),LEN(IF(B299="","Macroactividad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",""))-3)))</f>
        <v/>
      </c>
      <c r="O299" s="67">
        <f>IF(NOT((COUNTA($B299:$J299)+COUNTA($M299))&gt;0),"",IF(ISNUMBER($D299),DATE(YEAR($D299),MONTH($D299),1),IF(ISNUMBER($E299),DATE(YEAR($E299),MONTH($E299),1),MesCiclo)))</f>
        <v/>
      </c>
      <c r="P299" s="68">
        <f>IF(OR($O299="",$O299&lt;&gt;MesCiclo),"",COUNTIF($O$5:$O299,MesCiclo))</f>
        <v/>
      </c>
    </row>
    <row r="300">
      <c r="A300" s="60">
        <f>IF(NOT((COUNTA($B300:$J300)+COUNTA($M300))&gt;0),"",COUNTIFS($L$5:$L300,"?*",$O$5:$O300,$O300))</f>
        <v/>
      </c>
      <c r="B300" s="61" t="n"/>
      <c r="C300" s="61" t="n"/>
      <c r="D300" s="62" t="n"/>
      <c r="E300" s="62" t="n"/>
      <c r="F300" s="63" t="n"/>
      <c r="G300" s="64" t="n"/>
      <c r="H300" s="64" t="n"/>
      <c r="I300" s="64" t="n"/>
      <c r="J300" s="64" t="n"/>
      <c r="K300" s="65">
        <f>IF(NOT((COUNTA($B300:$J300)+COUNTA($M300))&gt;0),"",IFERROR(LOOKUP(2,1/(G300:J300&lt;&gt;""),G300:J300),0))</f>
        <v/>
      </c>
      <c r="L300" s="60">
        <f>IF(K300="","",IF(K300&gt;=1,"Completado",IF(K300&gt;0,"En curso","Pendiente")))</f>
        <v/>
      </c>
      <c r="M300" s="61" t="n"/>
      <c r="N300" s="66">
        <f>IF(NOT((COUNTA($B300:$J300)+COUNTA($M300))&gt;0),"",IF((IF(B300="","Macroactividad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 OK","⚠ "&amp;LEFT(IF(B300="","Macroactividad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",""),LEN(IF(B300="","Macroactividad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",""))-3)))</f>
        <v/>
      </c>
      <c r="O300" s="67">
        <f>IF(NOT((COUNTA($B300:$J300)+COUNTA($M300))&gt;0),"",IF(ISNUMBER($D300),DATE(YEAR($D300),MONTH($D300),1),IF(ISNUMBER($E300),DATE(YEAR($E300),MONTH($E300),1),MesCiclo)))</f>
        <v/>
      </c>
      <c r="P300" s="68">
        <f>IF(OR($O300="",$O300&lt;&gt;MesCiclo),"",COUNTIF($O$5:$O300,MesCiclo))</f>
        <v/>
      </c>
    </row>
    <row r="301">
      <c r="A301" s="60">
        <f>IF(NOT((COUNTA($B301:$J301)+COUNTA($M301))&gt;0),"",COUNTIFS($L$5:$L301,"?*",$O$5:$O301,$O301))</f>
        <v/>
      </c>
      <c r="B301" s="61" t="n"/>
      <c r="C301" s="61" t="n"/>
      <c r="D301" s="62" t="n"/>
      <c r="E301" s="62" t="n"/>
      <c r="F301" s="63" t="n"/>
      <c r="G301" s="64" t="n"/>
      <c r="H301" s="64" t="n"/>
      <c r="I301" s="64" t="n"/>
      <c r="J301" s="64" t="n"/>
      <c r="K301" s="65">
        <f>IF(NOT((COUNTA($B301:$J301)+COUNTA($M301))&gt;0),"",IFERROR(LOOKUP(2,1/(G301:J301&lt;&gt;""),G301:J301),0))</f>
        <v/>
      </c>
      <c r="L301" s="60">
        <f>IF(K301="","",IF(K301&gt;=1,"Completado",IF(K301&gt;0,"En curso","Pendiente")))</f>
        <v/>
      </c>
      <c r="M301" s="61" t="n"/>
      <c r="N301" s="66">
        <f>IF(NOT((COUNTA($B301:$J301)+COUNTA($M301))&gt;0),"",IF((IF(B301="","Macroactividad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 OK","⚠ "&amp;LEFT(IF(B301="","Macroactividad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",""),LEN(IF(B301="","Macroactividad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",""))-3)))</f>
        <v/>
      </c>
      <c r="O301" s="67">
        <f>IF(NOT((COUNTA($B301:$J301)+COUNTA($M301))&gt;0),"",IF(ISNUMBER($D301),DATE(YEAR($D301),MONTH($D301),1),IF(ISNUMBER($E301),DATE(YEAR($E301),MONTH($E301),1),MesCiclo)))</f>
        <v/>
      </c>
      <c r="P301" s="68">
        <f>IF(OR($O301="",$O301&lt;&gt;MesCiclo),"",COUNTIF($O$5:$O301,MesCiclo))</f>
        <v/>
      </c>
    </row>
    <row r="302">
      <c r="A302" s="60">
        <f>IF(NOT((COUNTA($B302:$J302)+COUNTA($M302))&gt;0),"",COUNTIFS($L$5:$L302,"?*",$O$5:$O302,$O302))</f>
        <v/>
      </c>
      <c r="B302" s="61" t="n"/>
      <c r="C302" s="61" t="n"/>
      <c r="D302" s="62" t="n"/>
      <c r="E302" s="62" t="n"/>
      <c r="F302" s="63" t="n"/>
      <c r="G302" s="64" t="n"/>
      <c r="H302" s="64" t="n"/>
      <c r="I302" s="64" t="n"/>
      <c r="J302" s="64" t="n"/>
      <c r="K302" s="65">
        <f>IF(NOT((COUNTA($B302:$J302)+COUNTA($M302))&gt;0),"",IFERROR(LOOKUP(2,1/(G302:J302&lt;&gt;""),G302:J302),0))</f>
        <v/>
      </c>
      <c r="L302" s="60">
        <f>IF(K302="","",IF(K302&gt;=1,"Completado",IF(K302&gt;0,"En curso","Pendiente")))</f>
        <v/>
      </c>
      <c r="M302" s="61" t="n"/>
      <c r="N302" s="66">
        <f>IF(NOT((COUNTA($B302:$J302)+COUNTA($M302))&gt;0),"",IF((IF(B302="","Macroactividad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 OK","⚠ "&amp;LEFT(IF(B302="","Macroactividad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",""),LEN(IF(B302="","Macroactividad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",""))-3)))</f>
        <v/>
      </c>
      <c r="O302" s="67">
        <f>IF(NOT((COUNTA($B302:$J302)+COUNTA($M302))&gt;0),"",IF(ISNUMBER($D302),DATE(YEAR($D302),MONTH($D302),1),IF(ISNUMBER($E302),DATE(YEAR($E302),MONTH($E302),1),MesCiclo)))</f>
        <v/>
      </c>
      <c r="P302" s="68">
        <f>IF(OR($O302="",$O302&lt;&gt;MesCiclo),"",COUNTIF($O$5:$O302,MesCiclo))</f>
        <v/>
      </c>
    </row>
    <row r="303">
      <c r="A303" s="60">
        <f>IF(NOT((COUNTA($B303:$J303)+COUNTA($M303))&gt;0),"",COUNTIFS($L$5:$L303,"?*",$O$5:$O303,$O303))</f>
        <v/>
      </c>
      <c r="B303" s="61" t="n"/>
      <c r="C303" s="61" t="n"/>
      <c r="D303" s="62" t="n"/>
      <c r="E303" s="62" t="n"/>
      <c r="F303" s="63" t="n"/>
      <c r="G303" s="64" t="n"/>
      <c r="H303" s="64" t="n"/>
      <c r="I303" s="64" t="n"/>
      <c r="J303" s="64" t="n"/>
      <c r="K303" s="65">
        <f>IF(NOT((COUNTA($B303:$J303)+COUNTA($M303))&gt;0),"",IFERROR(LOOKUP(2,1/(G303:J303&lt;&gt;""),G303:J303),0))</f>
        <v/>
      </c>
      <c r="L303" s="60">
        <f>IF(K303="","",IF(K303&gt;=1,"Completado",IF(K303&gt;0,"En curso","Pendiente")))</f>
        <v/>
      </c>
      <c r="M303" s="61" t="n"/>
      <c r="N303" s="66">
        <f>IF(NOT((COUNTA($B303:$J303)+COUNTA($M303))&gt;0),"",IF((IF(B303="","Macroactividad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 OK","⚠ "&amp;LEFT(IF(B303="","Macroactividad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",""),LEN(IF(B303="","Macroactividad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",""))-3)))</f>
        <v/>
      </c>
      <c r="O303" s="67">
        <f>IF(NOT((COUNTA($B303:$J303)+COUNTA($M303))&gt;0),"",IF(ISNUMBER($D303),DATE(YEAR($D303),MONTH($D303),1),IF(ISNUMBER($E303),DATE(YEAR($E303),MONTH($E303),1),MesCiclo)))</f>
        <v/>
      </c>
      <c r="P303" s="68">
        <f>IF(OR($O303="",$O303&lt;&gt;MesCiclo),"",COUNTIF($O$5:$O303,MesCiclo))</f>
        <v/>
      </c>
    </row>
    <row r="304">
      <c r="A304" s="60">
        <f>IF(NOT((COUNTA($B304:$J304)+COUNTA($M304))&gt;0),"",COUNTIFS($L$5:$L304,"?*",$O$5:$O304,$O304))</f>
        <v/>
      </c>
      <c r="B304" s="61" t="n"/>
      <c r="C304" s="61" t="n"/>
      <c r="D304" s="62" t="n"/>
      <c r="E304" s="62" t="n"/>
      <c r="F304" s="63" t="n"/>
      <c r="G304" s="64" t="n"/>
      <c r="H304" s="64" t="n"/>
      <c r="I304" s="64" t="n"/>
      <c r="J304" s="64" t="n"/>
      <c r="K304" s="65">
        <f>IF(NOT((COUNTA($B304:$J304)+COUNTA($M304))&gt;0),"",IFERROR(LOOKUP(2,1/(G304:J304&lt;&gt;""),G304:J304),0))</f>
        <v/>
      </c>
      <c r="L304" s="60">
        <f>IF(K304="","",IF(K304&gt;=1,"Completado",IF(K304&gt;0,"En curso","Pendiente")))</f>
        <v/>
      </c>
      <c r="M304" s="61" t="n"/>
      <c r="N304" s="66">
        <f>IF(NOT((COUNTA($B304:$J304)+COUNTA($M304))&gt;0),"",IF((IF(B304="","Macroactividad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 OK","⚠ "&amp;LEFT(IF(B304="","Macroactividad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",""),LEN(IF(B304="","Macroactividad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",""))-3)))</f>
        <v/>
      </c>
      <c r="O304" s="67">
        <f>IF(NOT((COUNTA($B304:$J304)+COUNTA($M304))&gt;0),"",IF(ISNUMBER($D304),DATE(YEAR($D304),MONTH($D304),1),IF(ISNUMBER($E304),DATE(YEAR($E304),MONTH($E304),1),MesCiclo)))</f>
        <v/>
      </c>
      <c r="P304" s="68">
        <f>IF(OR($O304="",$O304&lt;&gt;MesCiclo),"",COUNTIF($O$5:$O304,MesCiclo))</f>
        <v/>
      </c>
    </row>
  </sheetData>
  <sheetProtection selectLockedCells="0" selectUnlockedCells="0" sheet="1" objects="0" insertRows="1" insertHyperlinks="1" autoFilter="0" scenarios="0" formatColumns="0" deleteColumns="1" insertColumns="1" pivotTables="1" deleteRows="1" formatCells="1" formatRows="0" sort="0"/>
  <mergeCells count="3">
    <mergeCell ref="A1:O1"/>
    <mergeCell ref="E3:F3"/>
    <mergeCell ref="A2:O2"/>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10">
      <formula>LEFT($N5,1)="✔"</formula>
    </cfRule>
  </conditionalFormatting>
  <conditionalFormatting sqref="O5:O1000">
    <cfRule type="expression" priority="18" dxfId="1">
      <formula>AND($O5&lt;&gt;"",$O5=MesCiclo)</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C55A11"/>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s>
  <sheetData>
    <row r="1" ht="28" customHeight="1">
      <c r="A1" s="53" t="inlineStr">
        <is>
          <t>Actividades del mes por semana – Riesgo Operacional</t>
        </is>
      </c>
      <c r="B1" s="53" t="n"/>
      <c r="C1" s="53" t="n"/>
      <c r="D1" s="53" t="n"/>
      <c r="E1" s="53" t="n"/>
      <c r="F1" s="53" t="n"/>
      <c r="G1" s="53" t="n"/>
      <c r="H1" s="53" t="n"/>
      <c r="I1" s="53" t="n"/>
      <c r="J1" s="53" t="n"/>
      <c r="K1" s="53" t="n"/>
      <c r="L1" s="53" t="n"/>
      <c r="M1" s="53" t="n"/>
    </row>
    <row r="2" ht="32" customHeight="1">
      <c r="A2" s="69" t="inlineStr">
        <is>
          <t>HOJA AUTOMÁTICA Y BLOQUEADA: muestra solo las actividades del mes indicado abajo, tomadas de «Cronograma R. Operacional». No hay que escribir nada aquí. La barra de color marca las semanas en que cada actividad está programada (de la fecha de inicio a la fecha límite) y dentro aparece el avance registrado en esa semana.</t>
        </is>
      </c>
      <c r="B2" s="69" t="n"/>
      <c r="C2" s="69" t="n"/>
      <c r="D2" s="69" t="n"/>
      <c r="E2" s="69" t="n"/>
      <c r="F2" s="69" t="n"/>
      <c r="G2" s="69" t="n"/>
      <c r="H2" s="69" t="n"/>
      <c r="I2" s="69" t="n"/>
      <c r="J2" s="69" t="n"/>
      <c r="K2" s="69" t="n"/>
      <c r="L2" s="69" t="n"/>
      <c r="M2" s="69" t="n"/>
    </row>
    <row r="3">
      <c r="A3" s="70" t="inlineStr">
        <is>
          <t>Mes:</t>
        </is>
      </c>
      <c r="B3" s="71">
        <f>MesCiclo</f>
        <v/>
      </c>
      <c r="F3" s="72" t="inlineStr">
        <is>
          <t>Semana del:</t>
        </is>
      </c>
      <c r="G3" s="73">
        <f>(InicioCiclo+0)</f>
        <v/>
      </c>
      <c r="H3" s="73">
        <f>(InicioCiclo+7)</f>
        <v/>
      </c>
      <c r="I3" s="73">
        <f>(InicioCiclo+14)</f>
        <v/>
      </c>
      <c r="J3" s="73">
        <f>(InicioCiclo+21)</f>
        <v/>
      </c>
    </row>
    <row r="4" ht="34" customHeight="1">
      <c r="A4" s="59" t="inlineStr">
        <is>
          <t>N°</t>
        </is>
      </c>
      <c r="B4" s="59" t="inlineStr">
        <is>
          <t>Macro Actividad</t>
        </is>
      </c>
      <c r="C4" s="59" t="inlineStr">
        <is>
          <t>Responsable</t>
        </is>
      </c>
      <c r="D4" s="59" t="inlineStr">
        <is>
          <t>Fecha de inicio</t>
        </is>
      </c>
      <c r="E4" s="59" t="inlineStr">
        <is>
          <t>Fecha límite</t>
        </is>
      </c>
      <c r="F4" s="59" t="inlineStr">
        <is>
          <t>Semana de entrega</t>
        </is>
      </c>
      <c r="G4" s="48" t="inlineStr">
        <is>
          <t>Semana 1</t>
        </is>
      </c>
      <c r="H4" s="48" t="inlineStr">
        <is>
          <t>Semana 2</t>
        </is>
      </c>
      <c r="I4" s="48" t="inlineStr">
        <is>
          <t>Semana 3</t>
        </is>
      </c>
      <c r="J4" s="48" t="inlineStr">
        <is>
          <t>Semana 4</t>
        </is>
      </c>
      <c r="K4" s="59" t="inlineStr">
        <is>
          <t>% Avance actual</t>
        </is>
      </c>
      <c r="L4" s="59" t="inlineStr">
        <is>
          <t>Estado</t>
        </is>
      </c>
      <c r="M4" s="59" t="inlineStr">
        <is>
          <t>Observaciones</t>
        </is>
      </c>
      <c r="N4" t="inlineStr">
        <is>
          <t>Fila origen (auxiliar)</t>
        </is>
      </c>
    </row>
    <row r="5">
      <c r="A5" s="60">
        <f>IF($N5="","",INDEX('Cronograma R. Operacional'!$A$5:$A$1000,$N5))</f>
        <v/>
      </c>
      <c r="B5" s="68">
        <f>IF($N5="","",INDEX('Cronograma R. Operacional'!$B$5:$B$1000,$N5)&amp;"")</f>
        <v/>
      </c>
      <c r="C5" s="68">
        <f>IF($N5="","",INDEX('Cronograma R. Operacional'!$C$5:$C$1000,$N5)&amp;"")</f>
        <v/>
      </c>
      <c r="D5" s="74">
        <f>IF($N5="","",IF(INDEX('Cronograma R. Operacional'!$D$5:$D$1000,$N5)="","",INDEX('Cronograma R. Operacional'!$D$5:$D$1000,$N5)))</f>
        <v/>
      </c>
      <c r="E5" s="74">
        <f>IF($N5="","",IF(INDEX('Cronograma R. Operacional'!$E$5:$E$1000,$N5)="","",INDEX('Cronograma R. Operacional'!$E$5:$E$1000,$N5)))</f>
        <v/>
      </c>
      <c r="F5" s="60">
        <f>IF($N5="","",IF(NOT(ISNUMBER($E5)),"",IF($E5&lt;InicioCiclo,"Antes del ciclo",IF($E5&gt;=InicioCiclo+28,"Después del ciclo","Semana "&amp;(INT(($E5-InicioCiclo)/7)+1)))))</f>
        <v/>
      </c>
      <c r="G5" s="65">
        <f>IF($N5="","",IF(INDEX('Cronograma R. Operacional'!$G$5:$G$1000,$N5)="","",INDEX('Cronograma R. Operacional'!$G$5:$G$1000,$N5)))</f>
        <v/>
      </c>
      <c r="H5" s="65">
        <f>IF($N5="","",IF(INDEX('Cronograma R. Operacional'!$H$5:$H$1000,$N5)="","",INDEX('Cronograma R. Operacional'!$H$5:$H$1000,$N5)))</f>
        <v/>
      </c>
      <c r="I5" s="65">
        <f>IF($N5="","",IF(INDEX('Cronograma R. Operacional'!$I$5:$I$1000,$N5)="","",INDEX('Cronograma R. Operacional'!$I$5:$I$1000,$N5)))</f>
        <v/>
      </c>
      <c r="J5" s="65">
        <f>IF($N5="","",IF(INDEX('Cronograma R. Operacional'!$J$5:$J$1000,$N5)="","",INDEX('Cronograma R. Operacional'!$J$5:$J$1000,$N5)))</f>
        <v/>
      </c>
      <c r="K5" s="65">
        <f>IF($N5="","",INDEX('Cronograma R. Operacional'!$K$5:$K$1000,$N5))</f>
        <v/>
      </c>
      <c r="L5" s="60">
        <f>IF($N5="","",IF(N($K5)&gt;=1,"Completado",IF(AND(ISNUMBER($E5),$E5&lt;FechaRef),"Vencida",IF(N($K5)&gt;0,"En curso","Pendiente"))))</f>
        <v/>
      </c>
      <c r="M5" s="68">
        <f>IF($N5="","",INDEX('Cronograma R. Operacional'!$M$5:$M$1000,$N5)&amp;"")</f>
        <v/>
      </c>
      <c r="N5">
        <f>IFERROR(MATCH(ROW()-4,rOrden_RO,0),"")</f>
        <v/>
      </c>
    </row>
    <row r="6">
      <c r="A6" s="60">
        <f>IF($N6="","",INDEX('Cronograma R. Operacional'!$A$5:$A$1000,$N6))</f>
        <v/>
      </c>
      <c r="B6" s="68">
        <f>IF($N6="","",INDEX('Cronograma R. Operacional'!$B$5:$B$1000,$N6)&amp;"")</f>
        <v/>
      </c>
      <c r="C6" s="68">
        <f>IF($N6="","",INDEX('Cronograma R. Operacional'!$C$5:$C$1000,$N6)&amp;"")</f>
        <v/>
      </c>
      <c r="D6" s="74">
        <f>IF($N6="","",IF(INDEX('Cronograma R. Operacional'!$D$5:$D$1000,$N6)="","",INDEX('Cronograma R. Operacional'!$D$5:$D$1000,$N6)))</f>
        <v/>
      </c>
      <c r="E6" s="74">
        <f>IF($N6="","",IF(INDEX('Cronograma R. Operacional'!$E$5:$E$1000,$N6)="","",INDEX('Cronograma R. Operacional'!$E$5:$E$1000,$N6)))</f>
        <v/>
      </c>
      <c r="F6" s="60">
        <f>IF($N6="","",IF(NOT(ISNUMBER($E6)),"",IF($E6&lt;InicioCiclo,"Antes del ciclo",IF($E6&gt;=InicioCiclo+28,"Después del ciclo","Semana "&amp;(INT(($E6-InicioCiclo)/7)+1)))))</f>
        <v/>
      </c>
      <c r="G6" s="65">
        <f>IF($N6="","",IF(INDEX('Cronograma R. Operacional'!$G$5:$G$1000,$N6)="","",INDEX('Cronograma R. Operacional'!$G$5:$G$1000,$N6)))</f>
        <v/>
      </c>
      <c r="H6" s="65">
        <f>IF($N6="","",IF(INDEX('Cronograma R. Operacional'!$H$5:$H$1000,$N6)="","",INDEX('Cronograma R. Operacional'!$H$5:$H$1000,$N6)))</f>
        <v/>
      </c>
      <c r="I6" s="65">
        <f>IF($N6="","",IF(INDEX('Cronograma R. Operacional'!$I$5:$I$1000,$N6)="","",INDEX('Cronograma R. Operacional'!$I$5:$I$1000,$N6)))</f>
        <v/>
      </c>
      <c r="J6" s="65">
        <f>IF($N6="","",IF(INDEX('Cronograma R. Operacional'!$J$5:$J$1000,$N6)="","",INDEX('Cronograma R. Operacional'!$J$5:$J$1000,$N6)))</f>
        <v/>
      </c>
      <c r="K6" s="65">
        <f>IF($N6="","",INDEX('Cronograma R. Operacional'!$K$5:$K$1000,$N6))</f>
        <v/>
      </c>
      <c r="L6" s="60">
        <f>IF($N6="","",IF(N($K6)&gt;=1,"Completado",IF(AND(ISNUMBER($E6),$E6&lt;FechaRef),"Vencida",IF(N($K6)&gt;0,"En curso","Pendiente"))))</f>
        <v/>
      </c>
      <c r="M6" s="68">
        <f>IF($N6="","",INDEX('Cronograma R. Operacional'!$M$5:$M$1000,$N6)&amp;"")</f>
        <v/>
      </c>
      <c r="N6">
        <f>IFERROR(MATCH(ROW()-4,rOrden_RO,0),"")</f>
        <v/>
      </c>
    </row>
    <row r="7">
      <c r="A7" s="60">
        <f>IF($N7="","",INDEX('Cronograma R. Operacional'!$A$5:$A$1000,$N7))</f>
        <v/>
      </c>
      <c r="B7" s="68">
        <f>IF($N7="","",INDEX('Cronograma R. Operacional'!$B$5:$B$1000,$N7)&amp;"")</f>
        <v/>
      </c>
      <c r="C7" s="68">
        <f>IF($N7="","",INDEX('Cronograma R. Operacional'!$C$5:$C$1000,$N7)&amp;"")</f>
        <v/>
      </c>
      <c r="D7" s="74">
        <f>IF($N7="","",IF(INDEX('Cronograma R. Operacional'!$D$5:$D$1000,$N7)="","",INDEX('Cronograma R. Operacional'!$D$5:$D$1000,$N7)))</f>
        <v/>
      </c>
      <c r="E7" s="74">
        <f>IF($N7="","",IF(INDEX('Cronograma R. Operacional'!$E$5:$E$1000,$N7)="","",INDEX('Cronograma R. Operacional'!$E$5:$E$1000,$N7)))</f>
        <v/>
      </c>
      <c r="F7" s="60">
        <f>IF($N7="","",IF(NOT(ISNUMBER($E7)),"",IF($E7&lt;InicioCiclo,"Antes del ciclo",IF($E7&gt;=InicioCiclo+28,"Después del ciclo","Semana "&amp;(INT(($E7-InicioCiclo)/7)+1)))))</f>
        <v/>
      </c>
      <c r="G7" s="65">
        <f>IF($N7="","",IF(INDEX('Cronograma R. Operacional'!$G$5:$G$1000,$N7)="","",INDEX('Cronograma R. Operacional'!$G$5:$G$1000,$N7)))</f>
        <v/>
      </c>
      <c r="H7" s="65">
        <f>IF($N7="","",IF(INDEX('Cronograma R. Operacional'!$H$5:$H$1000,$N7)="","",INDEX('Cronograma R. Operacional'!$H$5:$H$1000,$N7)))</f>
        <v/>
      </c>
      <c r="I7" s="65">
        <f>IF($N7="","",IF(INDEX('Cronograma R. Operacional'!$I$5:$I$1000,$N7)="","",INDEX('Cronograma R. Operacional'!$I$5:$I$1000,$N7)))</f>
        <v/>
      </c>
      <c r="J7" s="65">
        <f>IF($N7="","",IF(INDEX('Cronograma R. Operacional'!$J$5:$J$1000,$N7)="","",INDEX('Cronograma R. Operacional'!$J$5:$J$1000,$N7)))</f>
        <v/>
      </c>
      <c r="K7" s="65">
        <f>IF($N7="","",INDEX('Cronograma R. Operacional'!$K$5:$K$1000,$N7))</f>
        <v/>
      </c>
      <c r="L7" s="60">
        <f>IF($N7="","",IF(N($K7)&gt;=1,"Completado",IF(AND(ISNUMBER($E7),$E7&lt;FechaRef),"Vencida",IF(N($K7)&gt;0,"En curso","Pendiente"))))</f>
        <v/>
      </c>
      <c r="M7" s="68">
        <f>IF($N7="","",INDEX('Cronograma R. Operacional'!$M$5:$M$1000,$N7)&amp;"")</f>
        <v/>
      </c>
      <c r="N7">
        <f>IFERROR(MATCH(ROW()-4,rOrden_RO,0),"")</f>
        <v/>
      </c>
    </row>
    <row r="8">
      <c r="A8" s="60">
        <f>IF($N8="","",INDEX('Cronograma R. Operacional'!$A$5:$A$1000,$N8))</f>
        <v/>
      </c>
      <c r="B8" s="68">
        <f>IF($N8="","",INDEX('Cronograma R. Operacional'!$B$5:$B$1000,$N8)&amp;"")</f>
        <v/>
      </c>
      <c r="C8" s="68">
        <f>IF($N8="","",INDEX('Cronograma R. Operacional'!$C$5:$C$1000,$N8)&amp;"")</f>
        <v/>
      </c>
      <c r="D8" s="74">
        <f>IF($N8="","",IF(INDEX('Cronograma R. Operacional'!$D$5:$D$1000,$N8)="","",INDEX('Cronograma R. Operacional'!$D$5:$D$1000,$N8)))</f>
        <v/>
      </c>
      <c r="E8" s="74">
        <f>IF($N8="","",IF(INDEX('Cronograma R. Operacional'!$E$5:$E$1000,$N8)="","",INDEX('Cronograma R. Operacional'!$E$5:$E$1000,$N8)))</f>
        <v/>
      </c>
      <c r="F8" s="60">
        <f>IF($N8="","",IF(NOT(ISNUMBER($E8)),"",IF($E8&lt;InicioCiclo,"Antes del ciclo",IF($E8&gt;=InicioCiclo+28,"Después del ciclo","Semana "&amp;(INT(($E8-InicioCiclo)/7)+1)))))</f>
        <v/>
      </c>
      <c r="G8" s="65">
        <f>IF($N8="","",IF(INDEX('Cronograma R. Operacional'!$G$5:$G$1000,$N8)="","",INDEX('Cronograma R. Operacional'!$G$5:$G$1000,$N8)))</f>
        <v/>
      </c>
      <c r="H8" s="65">
        <f>IF($N8="","",IF(INDEX('Cronograma R. Operacional'!$H$5:$H$1000,$N8)="","",INDEX('Cronograma R. Operacional'!$H$5:$H$1000,$N8)))</f>
        <v/>
      </c>
      <c r="I8" s="65">
        <f>IF($N8="","",IF(INDEX('Cronograma R. Operacional'!$I$5:$I$1000,$N8)="","",INDEX('Cronograma R. Operacional'!$I$5:$I$1000,$N8)))</f>
        <v/>
      </c>
      <c r="J8" s="65">
        <f>IF($N8="","",IF(INDEX('Cronograma R. Operacional'!$J$5:$J$1000,$N8)="","",INDEX('Cronograma R. Operacional'!$J$5:$J$1000,$N8)))</f>
        <v/>
      </c>
      <c r="K8" s="65">
        <f>IF($N8="","",INDEX('Cronograma R. Operacional'!$K$5:$K$1000,$N8))</f>
        <v/>
      </c>
      <c r="L8" s="60">
        <f>IF($N8="","",IF(N($K8)&gt;=1,"Completado",IF(AND(ISNUMBER($E8),$E8&lt;FechaRef),"Vencida",IF(N($K8)&gt;0,"En curso","Pendiente"))))</f>
        <v/>
      </c>
      <c r="M8" s="68">
        <f>IF($N8="","",INDEX('Cronograma R. Operacional'!$M$5:$M$1000,$N8)&amp;"")</f>
        <v/>
      </c>
      <c r="N8">
        <f>IFERROR(MATCH(ROW()-4,rOrden_RO,0),"")</f>
        <v/>
      </c>
    </row>
    <row r="9">
      <c r="A9" s="60">
        <f>IF($N9="","",INDEX('Cronograma R. Operacional'!$A$5:$A$1000,$N9))</f>
        <v/>
      </c>
      <c r="B9" s="68">
        <f>IF($N9="","",INDEX('Cronograma R. Operacional'!$B$5:$B$1000,$N9)&amp;"")</f>
        <v/>
      </c>
      <c r="C9" s="68">
        <f>IF($N9="","",INDEX('Cronograma R. Operacional'!$C$5:$C$1000,$N9)&amp;"")</f>
        <v/>
      </c>
      <c r="D9" s="74">
        <f>IF($N9="","",IF(INDEX('Cronograma R. Operacional'!$D$5:$D$1000,$N9)="","",INDEX('Cronograma R. Operacional'!$D$5:$D$1000,$N9)))</f>
        <v/>
      </c>
      <c r="E9" s="74">
        <f>IF($N9="","",IF(INDEX('Cronograma R. Operacional'!$E$5:$E$1000,$N9)="","",INDEX('Cronograma R. Operacional'!$E$5:$E$1000,$N9)))</f>
        <v/>
      </c>
      <c r="F9" s="60">
        <f>IF($N9="","",IF(NOT(ISNUMBER($E9)),"",IF($E9&lt;InicioCiclo,"Antes del ciclo",IF($E9&gt;=InicioCiclo+28,"Después del ciclo","Semana "&amp;(INT(($E9-InicioCiclo)/7)+1)))))</f>
        <v/>
      </c>
      <c r="G9" s="65">
        <f>IF($N9="","",IF(INDEX('Cronograma R. Operacional'!$G$5:$G$1000,$N9)="","",INDEX('Cronograma R. Operacional'!$G$5:$G$1000,$N9)))</f>
        <v/>
      </c>
      <c r="H9" s="65">
        <f>IF($N9="","",IF(INDEX('Cronograma R. Operacional'!$H$5:$H$1000,$N9)="","",INDEX('Cronograma R. Operacional'!$H$5:$H$1000,$N9)))</f>
        <v/>
      </c>
      <c r="I9" s="65">
        <f>IF($N9="","",IF(INDEX('Cronograma R. Operacional'!$I$5:$I$1000,$N9)="","",INDEX('Cronograma R. Operacional'!$I$5:$I$1000,$N9)))</f>
        <v/>
      </c>
      <c r="J9" s="65">
        <f>IF($N9="","",IF(INDEX('Cronograma R. Operacional'!$J$5:$J$1000,$N9)="","",INDEX('Cronograma R. Operacional'!$J$5:$J$1000,$N9)))</f>
        <v/>
      </c>
      <c r="K9" s="65">
        <f>IF($N9="","",INDEX('Cronograma R. Operacional'!$K$5:$K$1000,$N9))</f>
        <v/>
      </c>
      <c r="L9" s="60">
        <f>IF($N9="","",IF(N($K9)&gt;=1,"Completado",IF(AND(ISNUMBER($E9),$E9&lt;FechaRef),"Vencida",IF(N($K9)&gt;0,"En curso","Pendiente"))))</f>
        <v/>
      </c>
      <c r="M9" s="68">
        <f>IF($N9="","",INDEX('Cronograma R. Operacional'!$M$5:$M$1000,$N9)&amp;"")</f>
        <v/>
      </c>
      <c r="N9">
        <f>IFERROR(MATCH(ROW()-4,rOrden_RO,0),"")</f>
        <v/>
      </c>
    </row>
    <row r="10">
      <c r="A10" s="60">
        <f>IF($N10="","",INDEX('Cronograma R. Operacional'!$A$5:$A$1000,$N10))</f>
        <v/>
      </c>
      <c r="B10" s="68">
        <f>IF($N10="","",INDEX('Cronograma R. Operacional'!$B$5:$B$1000,$N10)&amp;"")</f>
        <v/>
      </c>
      <c r="C10" s="68">
        <f>IF($N10="","",INDEX('Cronograma R. Operacional'!$C$5:$C$1000,$N10)&amp;"")</f>
        <v/>
      </c>
      <c r="D10" s="74">
        <f>IF($N10="","",IF(INDEX('Cronograma R. Operacional'!$D$5:$D$1000,$N10)="","",INDEX('Cronograma R. Operacional'!$D$5:$D$1000,$N10)))</f>
        <v/>
      </c>
      <c r="E10" s="74">
        <f>IF($N10="","",IF(INDEX('Cronograma R. Operacional'!$E$5:$E$1000,$N10)="","",INDEX('Cronograma R. Operacional'!$E$5:$E$1000,$N10)))</f>
        <v/>
      </c>
      <c r="F10" s="60">
        <f>IF($N10="","",IF(NOT(ISNUMBER($E10)),"",IF($E10&lt;InicioCiclo,"Antes del ciclo",IF($E10&gt;=InicioCiclo+28,"Después del ciclo","Semana "&amp;(INT(($E10-InicioCiclo)/7)+1)))))</f>
        <v/>
      </c>
      <c r="G10" s="65">
        <f>IF($N10="","",IF(INDEX('Cronograma R. Operacional'!$G$5:$G$1000,$N10)="","",INDEX('Cronograma R. Operacional'!$G$5:$G$1000,$N10)))</f>
        <v/>
      </c>
      <c r="H10" s="65">
        <f>IF($N10="","",IF(INDEX('Cronograma R. Operacional'!$H$5:$H$1000,$N10)="","",INDEX('Cronograma R. Operacional'!$H$5:$H$1000,$N10)))</f>
        <v/>
      </c>
      <c r="I10" s="65">
        <f>IF($N10="","",IF(INDEX('Cronograma R. Operacional'!$I$5:$I$1000,$N10)="","",INDEX('Cronograma R. Operacional'!$I$5:$I$1000,$N10)))</f>
        <v/>
      </c>
      <c r="J10" s="65">
        <f>IF($N10="","",IF(INDEX('Cronograma R. Operacional'!$J$5:$J$1000,$N10)="","",INDEX('Cronograma R. Operacional'!$J$5:$J$1000,$N10)))</f>
        <v/>
      </c>
      <c r="K10" s="65">
        <f>IF($N10="","",INDEX('Cronograma R. Operacional'!$K$5:$K$1000,$N10))</f>
        <v/>
      </c>
      <c r="L10" s="60">
        <f>IF($N10="","",IF(N($K10)&gt;=1,"Completado",IF(AND(ISNUMBER($E10),$E10&lt;FechaRef),"Vencida",IF(N($K10)&gt;0,"En curso","Pendiente"))))</f>
        <v/>
      </c>
      <c r="M10" s="68">
        <f>IF($N10="","",INDEX('Cronograma R. Operacional'!$M$5:$M$1000,$N10)&amp;"")</f>
        <v/>
      </c>
      <c r="N10">
        <f>IFERROR(MATCH(ROW()-4,rOrden_RO,0),"")</f>
        <v/>
      </c>
    </row>
    <row r="11">
      <c r="A11" s="60">
        <f>IF($N11="","",INDEX('Cronograma R. Operacional'!$A$5:$A$1000,$N11))</f>
        <v/>
      </c>
      <c r="B11" s="68">
        <f>IF($N11="","",INDEX('Cronograma R. Operacional'!$B$5:$B$1000,$N11)&amp;"")</f>
        <v/>
      </c>
      <c r="C11" s="68">
        <f>IF($N11="","",INDEX('Cronograma R. Operacional'!$C$5:$C$1000,$N11)&amp;"")</f>
        <v/>
      </c>
      <c r="D11" s="74">
        <f>IF($N11="","",IF(INDEX('Cronograma R. Operacional'!$D$5:$D$1000,$N11)="","",INDEX('Cronograma R. Operacional'!$D$5:$D$1000,$N11)))</f>
        <v/>
      </c>
      <c r="E11" s="74">
        <f>IF($N11="","",IF(INDEX('Cronograma R. Operacional'!$E$5:$E$1000,$N11)="","",INDEX('Cronograma R. Operacional'!$E$5:$E$1000,$N11)))</f>
        <v/>
      </c>
      <c r="F11" s="60">
        <f>IF($N11="","",IF(NOT(ISNUMBER($E11)),"",IF($E11&lt;InicioCiclo,"Antes del ciclo",IF($E11&gt;=InicioCiclo+28,"Después del ciclo","Semana "&amp;(INT(($E11-InicioCiclo)/7)+1)))))</f>
        <v/>
      </c>
      <c r="G11" s="65">
        <f>IF($N11="","",IF(INDEX('Cronograma R. Operacional'!$G$5:$G$1000,$N11)="","",INDEX('Cronograma R. Operacional'!$G$5:$G$1000,$N11)))</f>
        <v/>
      </c>
      <c r="H11" s="65">
        <f>IF($N11="","",IF(INDEX('Cronograma R. Operacional'!$H$5:$H$1000,$N11)="","",INDEX('Cronograma R. Operacional'!$H$5:$H$1000,$N11)))</f>
        <v/>
      </c>
      <c r="I11" s="65">
        <f>IF($N11="","",IF(INDEX('Cronograma R. Operacional'!$I$5:$I$1000,$N11)="","",INDEX('Cronograma R. Operacional'!$I$5:$I$1000,$N11)))</f>
        <v/>
      </c>
      <c r="J11" s="65">
        <f>IF($N11="","",IF(INDEX('Cronograma R. Operacional'!$J$5:$J$1000,$N11)="","",INDEX('Cronograma R. Operacional'!$J$5:$J$1000,$N11)))</f>
        <v/>
      </c>
      <c r="K11" s="65">
        <f>IF($N11="","",INDEX('Cronograma R. Operacional'!$K$5:$K$1000,$N11))</f>
        <v/>
      </c>
      <c r="L11" s="60">
        <f>IF($N11="","",IF(N($K11)&gt;=1,"Completado",IF(AND(ISNUMBER($E11),$E11&lt;FechaRef),"Vencida",IF(N($K11)&gt;0,"En curso","Pendiente"))))</f>
        <v/>
      </c>
      <c r="M11" s="68">
        <f>IF($N11="","",INDEX('Cronograma R. Operacional'!$M$5:$M$1000,$N11)&amp;"")</f>
        <v/>
      </c>
      <c r="N11">
        <f>IFERROR(MATCH(ROW()-4,rOrden_RO,0),"")</f>
        <v/>
      </c>
    </row>
    <row r="12">
      <c r="A12" s="60">
        <f>IF($N12="","",INDEX('Cronograma R. Operacional'!$A$5:$A$1000,$N12))</f>
        <v/>
      </c>
      <c r="B12" s="68">
        <f>IF($N12="","",INDEX('Cronograma R. Operacional'!$B$5:$B$1000,$N12)&amp;"")</f>
        <v/>
      </c>
      <c r="C12" s="68">
        <f>IF($N12="","",INDEX('Cronograma R. Operacional'!$C$5:$C$1000,$N12)&amp;"")</f>
        <v/>
      </c>
      <c r="D12" s="74">
        <f>IF($N12="","",IF(INDEX('Cronograma R. Operacional'!$D$5:$D$1000,$N12)="","",INDEX('Cronograma R. Operacional'!$D$5:$D$1000,$N12)))</f>
        <v/>
      </c>
      <c r="E12" s="74">
        <f>IF($N12="","",IF(INDEX('Cronograma R. Operacional'!$E$5:$E$1000,$N12)="","",INDEX('Cronograma R. Operacional'!$E$5:$E$1000,$N12)))</f>
        <v/>
      </c>
      <c r="F12" s="60">
        <f>IF($N12="","",IF(NOT(ISNUMBER($E12)),"",IF($E12&lt;InicioCiclo,"Antes del ciclo",IF($E12&gt;=InicioCiclo+28,"Después del ciclo","Semana "&amp;(INT(($E12-InicioCiclo)/7)+1)))))</f>
        <v/>
      </c>
      <c r="G12" s="65">
        <f>IF($N12="","",IF(INDEX('Cronograma R. Operacional'!$G$5:$G$1000,$N12)="","",INDEX('Cronograma R. Operacional'!$G$5:$G$1000,$N12)))</f>
        <v/>
      </c>
      <c r="H12" s="65">
        <f>IF($N12="","",IF(INDEX('Cronograma R. Operacional'!$H$5:$H$1000,$N12)="","",INDEX('Cronograma R. Operacional'!$H$5:$H$1000,$N12)))</f>
        <v/>
      </c>
      <c r="I12" s="65">
        <f>IF($N12="","",IF(INDEX('Cronograma R. Operacional'!$I$5:$I$1000,$N12)="","",INDEX('Cronograma R. Operacional'!$I$5:$I$1000,$N12)))</f>
        <v/>
      </c>
      <c r="J12" s="65">
        <f>IF($N12="","",IF(INDEX('Cronograma R. Operacional'!$J$5:$J$1000,$N12)="","",INDEX('Cronograma R. Operacional'!$J$5:$J$1000,$N12)))</f>
        <v/>
      </c>
      <c r="K12" s="65">
        <f>IF($N12="","",INDEX('Cronograma R. Operacional'!$K$5:$K$1000,$N12))</f>
        <v/>
      </c>
      <c r="L12" s="60">
        <f>IF($N12="","",IF(N($K12)&gt;=1,"Completado",IF(AND(ISNUMBER($E12),$E12&lt;FechaRef),"Vencida",IF(N($K12)&gt;0,"En curso","Pendiente"))))</f>
        <v/>
      </c>
      <c r="M12" s="68">
        <f>IF($N12="","",INDEX('Cronograma R. Operacional'!$M$5:$M$1000,$N12)&amp;"")</f>
        <v/>
      </c>
      <c r="N12">
        <f>IFERROR(MATCH(ROW()-4,rOrden_RO,0),"")</f>
        <v/>
      </c>
    </row>
    <row r="13">
      <c r="A13" s="60">
        <f>IF($N13="","",INDEX('Cronograma R. Operacional'!$A$5:$A$1000,$N13))</f>
        <v/>
      </c>
      <c r="B13" s="68">
        <f>IF($N13="","",INDEX('Cronograma R. Operacional'!$B$5:$B$1000,$N13)&amp;"")</f>
        <v/>
      </c>
      <c r="C13" s="68">
        <f>IF($N13="","",INDEX('Cronograma R. Operacional'!$C$5:$C$1000,$N13)&amp;"")</f>
        <v/>
      </c>
      <c r="D13" s="74">
        <f>IF($N13="","",IF(INDEX('Cronograma R. Operacional'!$D$5:$D$1000,$N13)="","",INDEX('Cronograma R. Operacional'!$D$5:$D$1000,$N13)))</f>
        <v/>
      </c>
      <c r="E13" s="74">
        <f>IF($N13="","",IF(INDEX('Cronograma R. Operacional'!$E$5:$E$1000,$N13)="","",INDEX('Cronograma R. Operacional'!$E$5:$E$1000,$N13)))</f>
        <v/>
      </c>
      <c r="F13" s="60">
        <f>IF($N13="","",IF(NOT(ISNUMBER($E13)),"",IF($E13&lt;InicioCiclo,"Antes del ciclo",IF($E13&gt;=InicioCiclo+28,"Después del ciclo","Semana "&amp;(INT(($E13-InicioCiclo)/7)+1)))))</f>
        <v/>
      </c>
      <c r="G13" s="65">
        <f>IF($N13="","",IF(INDEX('Cronograma R. Operacional'!$G$5:$G$1000,$N13)="","",INDEX('Cronograma R. Operacional'!$G$5:$G$1000,$N13)))</f>
        <v/>
      </c>
      <c r="H13" s="65">
        <f>IF($N13="","",IF(INDEX('Cronograma R. Operacional'!$H$5:$H$1000,$N13)="","",INDEX('Cronograma R. Operacional'!$H$5:$H$1000,$N13)))</f>
        <v/>
      </c>
      <c r="I13" s="65">
        <f>IF($N13="","",IF(INDEX('Cronograma R. Operacional'!$I$5:$I$1000,$N13)="","",INDEX('Cronograma R. Operacional'!$I$5:$I$1000,$N13)))</f>
        <v/>
      </c>
      <c r="J13" s="65">
        <f>IF($N13="","",IF(INDEX('Cronograma R. Operacional'!$J$5:$J$1000,$N13)="","",INDEX('Cronograma R. Operacional'!$J$5:$J$1000,$N13)))</f>
        <v/>
      </c>
      <c r="K13" s="65">
        <f>IF($N13="","",INDEX('Cronograma R. Operacional'!$K$5:$K$1000,$N13))</f>
        <v/>
      </c>
      <c r="L13" s="60">
        <f>IF($N13="","",IF(N($K13)&gt;=1,"Completado",IF(AND(ISNUMBER($E13),$E13&lt;FechaRef),"Vencida",IF(N($K13)&gt;0,"En curso","Pendiente"))))</f>
        <v/>
      </c>
      <c r="M13" s="68">
        <f>IF($N13="","",INDEX('Cronograma R. Operacional'!$M$5:$M$1000,$N13)&amp;"")</f>
        <v/>
      </c>
      <c r="N13">
        <f>IFERROR(MATCH(ROW()-4,rOrden_RO,0),"")</f>
        <v/>
      </c>
    </row>
    <row r="14">
      <c r="A14" s="60">
        <f>IF($N14="","",INDEX('Cronograma R. Operacional'!$A$5:$A$1000,$N14))</f>
        <v/>
      </c>
      <c r="B14" s="68">
        <f>IF($N14="","",INDEX('Cronograma R. Operacional'!$B$5:$B$1000,$N14)&amp;"")</f>
        <v/>
      </c>
      <c r="C14" s="68">
        <f>IF($N14="","",INDEX('Cronograma R. Operacional'!$C$5:$C$1000,$N14)&amp;"")</f>
        <v/>
      </c>
      <c r="D14" s="74">
        <f>IF($N14="","",IF(INDEX('Cronograma R. Operacional'!$D$5:$D$1000,$N14)="","",INDEX('Cronograma R. Operacional'!$D$5:$D$1000,$N14)))</f>
        <v/>
      </c>
      <c r="E14" s="74">
        <f>IF($N14="","",IF(INDEX('Cronograma R. Operacional'!$E$5:$E$1000,$N14)="","",INDEX('Cronograma R. Operacional'!$E$5:$E$1000,$N14)))</f>
        <v/>
      </c>
      <c r="F14" s="60">
        <f>IF($N14="","",IF(NOT(ISNUMBER($E14)),"",IF($E14&lt;InicioCiclo,"Antes del ciclo",IF($E14&gt;=InicioCiclo+28,"Después del ciclo","Semana "&amp;(INT(($E14-InicioCiclo)/7)+1)))))</f>
        <v/>
      </c>
      <c r="G14" s="65">
        <f>IF($N14="","",IF(INDEX('Cronograma R. Operacional'!$G$5:$G$1000,$N14)="","",INDEX('Cronograma R. Operacional'!$G$5:$G$1000,$N14)))</f>
        <v/>
      </c>
      <c r="H14" s="65">
        <f>IF($N14="","",IF(INDEX('Cronograma R. Operacional'!$H$5:$H$1000,$N14)="","",INDEX('Cronograma R. Operacional'!$H$5:$H$1000,$N14)))</f>
        <v/>
      </c>
      <c r="I14" s="65">
        <f>IF($N14="","",IF(INDEX('Cronograma R. Operacional'!$I$5:$I$1000,$N14)="","",INDEX('Cronograma R. Operacional'!$I$5:$I$1000,$N14)))</f>
        <v/>
      </c>
      <c r="J14" s="65">
        <f>IF($N14="","",IF(INDEX('Cronograma R. Operacional'!$J$5:$J$1000,$N14)="","",INDEX('Cronograma R. Operacional'!$J$5:$J$1000,$N14)))</f>
        <v/>
      </c>
      <c r="K14" s="65">
        <f>IF($N14="","",INDEX('Cronograma R. Operacional'!$K$5:$K$1000,$N14))</f>
        <v/>
      </c>
      <c r="L14" s="60">
        <f>IF($N14="","",IF(N($K14)&gt;=1,"Completado",IF(AND(ISNUMBER($E14),$E14&lt;FechaRef),"Vencida",IF(N($K14)&gt;0,"En curso","Pendiente"))))</f>
        <v/>
      </c>
      <c r="M14" s="68">
        <f>IF($N14="","",INDEX('Cronograma R. Operacional'!$M$5:$M$1000,$N14)&amp;"")</f>
        <v/>
      </c>
      <c r="N14">
        <f>IFERROR(MATCH(ROW()-4,rOrden_RO,0),"")</f>
        <v/>
      </c>
    </row>
    <row r="15">
      <c r="A15" s="60">
        <f>IF($N15="","",INDEX('Cronograma R. Operacional'!$A$5:$A$1000,$N15))</f>
        <v/>
      </c>
      <c r="B15" s="68">
        <f>IF($N15="","",INDEX('Cronograma R. Operacional'!$B$5:$B$1000,$N15)&amp;"")</f>
        <v/>
      </c>
      <c r="C15" s="68">
        <f>IF($N15="","",INDEX('Cronograma R. Operacional'!$C$5:$C$1000,$N15)&amp;"")</f>
        <v/>
      </c>
      <c r="D15" s="74">
        <f>IF($N15="","",IF(INDEX('Cronograma R. Operacional'!$D$5:$D$1000,$N15)="","",INDEX('Cronograma R. Operacional'!$D$5:$D$1000,$N15)))</f>
        <v/>
      </c>
      <c r="E15" s="74">
        <f>IF($N15="","",IF(INDEX('Cronograma R. Operacional'!$E$5:$E$1000,$N15)="","",INDEX('Cronograma R. Operacional'!$E$5:$E$1000,$N15)))</f>
        <v/>
      </c>
      <c r="F15" s="60">
        <f>IF($N15="","",IF(NOT(ISNUMBER($E15)),"",IF($E15&lt;InicioCiclo,"Antes del ciclo",IF($E15&gt;=InicioCiclo+28,"Después del ciclo","Semana "&amp;(INT(($E15-InicioCiclo)/7)+1)))))</f>
        <v/>
      </c>
      <c r="G15" s="65">
        <f>IF($N15="","",IF(INDEX('Cronograma R. Operacional'!$G$5:$G$1000,$N15)="","",INDEX('Cronograma R. Operacional'!$G$5:$G$1000,$N15)))</f>
        <v/>
      </c>
      <c r="H15" s="65">
        <f>IF($N15="","",IF(INDEX('Cronograma R. Operacional'!$H$5:$H$1000,$N15)="","",INDEX('Cronograma R. Operacional'!$H$5:$H$1000,$N15)))</f>
        <v/>
      </c>
      <c r="I15" s="65">
        <f>IF($N15="","",IF(INDEX('Cronograma R. Operacional'!$I$5:$I$1000,$N15)="","",INDEX('Cronograma R. Operacional'!$I$5:$I$1000,$N15)))</f>
        <v/>
      </c>
      <c r="J15" s="65">
        <f>IF($N15="","",IF(INDEX('Cronograma R. Operacional'!$J$5:$J$1000,$N15)="","",INDEX('Cronograma R. Operacional'!$J$5:$J$1000,$N15)))</f>
        <v/>
      </c>
      <c r="K15" s="65">
        <f>IF($N15="","",INDEX('Cronograma R. Operacional'!$K$5:$K$1000,$N15))</f>
        <v/>
      </c>
      <c r="L15" s="60">
        <f>IF($N15="","",IF(N($K15)&gt;=1,"Completado",IF(AND(ISNUMBER($E15),$E15&lt;FechaRef),"Vencida",IF(N($K15)&gt;0,"En curso","Pendiente"))))</f>
        <v/>
      </c>
      <c r="M15" s="68">
        <f>IF($N15="","",INDEX('Cronograma R. Operacional'!$M$5:$M$1000,$N15)&amp;"")</f>
        <v/>
      </c>
      <c r="N15">
        <f>IFERROR(MATCH(ROW()-4,rOrden_RO,0),"")</f>
        <v/>
      </c>
    </row>
    <row r="16">
      <c r="A16" s="60">
        <f>IF($N16="","",INDEX('Cronograma R. Operacional'!$A$5:$A$1000,$N16))</f>
        <v/>
      </c>
      <c r="B16" s="68">
        <f>IF($N16="","",INDEX('Cronograma R. Operacional'!$B$5:$B$1000,$N16)&amp;"")</f>
        <v/>
      </c>
      <c r="C16" s="68">
        <f>IF($N16="","",INDEX('Cronograma R. Operacional'!$C$5:$C$1000,$N16)&amp;"")</f>
        <v/>
      </c>
      <c r="D16" s="74">
        <f>IF($N16="","",IF(INDEX('Cronograma R. Operacional'!$D$5:$D$1000,$N16)="","",INDEX('Cronograma R. Operacional'!$D$5:$D$1000,$N16)))</f>
        <v/>
      </c>
      <c r="E16" s="74">
        <f>IF($N16="","",IF(INDEX('Cronograma R. Operacional'!$E$5:$E$1000,$N16)="","",INDEX('Cronograma R. Operacional'!$E$5:$E$1000,$N16)))</f>
        <v/>
      </c>
      <c r="F16" s="60">
        <f>IF($N16="","",IF(NOT(ISNUMBER($E16)),"",IF($E16&lt;InicioCiclo,"Antes del ciclo",IF($E16&gt;=InicioCiclo+28,"Después del ciclo","Semana "&amp;(INT(($E16-InicioCiclo)/7)+1)))))</f>
        <v/>
      </c>
      <c r="G16" s="65">
        <f>IF($N16="","",IF(INDEX('Cronograma R. Operacional'!$G$5:$G$1000,$N16)="","",INDEX('Cronograma R. Operacional'!$G$5:$G$1000,$N16)))</f>
        <v/>
      </c>
      <c r="H16" s="65">
        <f>IF($N16="","",IF(INDEX('Cronograma R. Operacional'!$H$5:$H$1000,$N16)="","",INDEX('Cronograma R. Operacional'!$H$5:$H$1000,$N16)))</f>
        <v/>
      </c>
      <c r="I16" s="65">
        <f>IF($N16="","",IF(INDEX('Cronograma R. Operacional'!$I$5:$I$1000,$N16)="","",INDEX('Cronograma R. Operacional'!$I$5:$I$1000,$N16)))</f>
        <v/>
      </c>
      <c r="J16" s="65">
        <f>IF($N16="","",IF(INDEX('Cronograma R. Operacional'!$J$5:$J$1000,$N16)="","",INDEX('Cronograma R. Operacional'!$J$5:$J$1000,$N16)))</f>
        <v/>
      </c>
      <c r="K16" s="65">
        <f>IF($N16="","",INDEX('Cronograma R. Operacional'!$K$5:$K$1000,$N16))</f>
        <v/>
      </c>
      <c r="L16" s="60">
        <f>IF($N16="","",IF(N($K16)&gt;=1,"Completado",IF(AND(ISNUMBER($E16),$E16&lt;FechaRef),"Vencida",IF(N($K16)&gt;0,"En curso","Pendiente"))))</f>
        <v/>
      </c>
      <c r="M16" s="68">
        <f>IF($N16="","",INDEX('Cronograma R. Operacional'!$M$5:$M$1000,$N16)&amp;"")</f>
        <v/>
      </c>
      <c r="N16">
        <f>IFERROR(MATCH(ROW()-4,rOrden_RO,0),"")</f>
        <v/>
      </c>
    </row>
    <row r="17">
      <c r="A17" s="60">
        <f>IF($N17="","",INDEX('Cronograma R. Operacional'!$A$5:$A$1000,$N17))</f>
        <v/>
      </c>
      <c r="B17" s="68">
        <f>IF($N17="","",INDEX('Cronograma R. Operacional'!$B$5:$B$1000,$N17)&amp;"")</f>
        <v/>
      </c>
      <c r="C17" s="68">
        <f>IF($N17="","",INDEX('Cronograma R. Operacional'!$C$5:$C$1000,$N17)&amp;"")</f>
        <v/>
      </c>
      <c r="D17" s="74">
        <f>IF($N17="","",IF(INDEX('Cronograma R. Operacional'!$D$5:$D$1000,$N17)="","",INDEX('Cronograma R. Operacional'!$D$5:$D$1000,$N17)))</f>
        <v/>
      </c>
      <c r="E17" s="74">
        <f>IF($N17="","",IF(INDEX('Cronograma R. Operacional'!$E$5:$E$1000,$N17)="","",INDEX('Cronograma R. Operacional'!$E$5:$E$1000,$N17)))</f>
        <v/>
      </c>
      <c r="F17" s="60">
        <f>IF($N17="","",IF(NOT(ISNUMBER($E17)),"",IF($E17&lt;InicioCiclo,"Antes del ciclo",IF($E17&gt;=InicioCiclo+28,"Después del ciclo","Semana "&amp;(INT(($E17-InicioCiclo)/7)+1)))))</f>
        <v/>
      </c>
      <c r="G17" s="65">
        <f>IF($N17="","",IF(INDEX('Cronograma R. Operacional'!$G$5:$G$1000,$N17)="","",INDEX('Cronograma R. Operacional'!$G$5:$G$1000,$N17)))</f>
        <v/>
      </c>
      <c r="H17" s="65">
        <f>IF($N17="","",IF(INDEX('Cronograma R. Operacional'!$H$5:$H$1000,$N17)="","",INDEX('Cronograma R. Operacional'!$H$5:$H$1000,$N17)))</f>
        <v/>
      </c>
      <c r="I17" s="65">
        <f>IF($N17="","",IF(INDEX('Cronograma R. Operacional'!$I$5:$I$1000,$N17)="","",INDEX('Cronograma R. Operacional'!$I$5:$I$1000,$N17)))</f>
        <v/>
      </c>
      <c r="J17" s="65">
        <f>IF($N17="","",IF(INDEX('Cronograma R. Operacional'!$J$5:$J$1000,$N17)="","",INDEX('Cronograma R. Operacional'!$J$5:$J$1000,$N17)))</f>
        <v/>
      </c>
      <c r="K17" s="65">
        <f>IF($N17="","",INDEX('Cronograma R. Operacional'!$K$5:$K$1000,$N17))</f>
        <v/>
      </c>
      <c r="L17" s="60">
        <f>IF($N17="","",IF(N($K17)&gt;=1,"Completado",IF(AND(ISNUMBER($E17),$E17&lt;FechaRef),"Vencida",IF(N($K17)&gt;0,"En curso","Pendiente"))))</f>
        <v/>
      </c>
      <c r="M17" s="68">
        <f>IF($N17="","",INDEX('Cronograma R. Operacional'!$M$5:$M$1000,$N17)&amp;"")</f>
        <v/>
      </c>
      <c r="N17">
        <f>IFERROR(MATCH(ROW()-4,rOrden_RO,0),"")</f>
        <v/>
      </c>
    </row>
    <row r="18">
      <c r="A18" s="60">
        <f>IF($N18="","",INDEX('Cronograma R. Operacional'!$A$5:$A$1000,$N18))</f>
        <v/>
      </c>
      <c r="B18" s="68">
        <f>IF($N18="","",INDEX('Cronograma R. Operacional'!$B$5:$B$1000,$N18)&amp;"")</f>
        <v/>
      </c>
      <c r="C18" s="68">
        <f>IF($N18="","",INDEX('Cronograma R. Operacional'!$C$5:$C$1000,$N18)&amp;"")</f>
        <v/>
      </c>
      <c r="D18" s="74">
        <f>IF($N18="","",IF(INDEX('Cronograma R. Operacional'!$D$5:$D$1000,$N18)="","",INDEX('Cronograma R. Operacional'!$D$5:$D$1000,$N18)))</f>
        <v/>
      </c>
      <c r="E18" s="74">
        <f>IF($N18="","",IF(INDEX('Cronograma R. Operacional'!$E$5:$E$1000,$N18)="","",INDEX('Cronograma R. Operacional'!$E$5:$E$1000,$N18)))</f>
        <v/>
      </c>
      <c r="F18" s="60">
        <f>IF($N18="","",IF(NOT(ISNUMBER($E18)),"",IF($E18&lt;InicioCiclo,"Antes del ciclo",IF($E18&gt;=InicioCiclo+28,"Después del ciclo","Semana "&amp;(INT(($E18-InicioCiclo)/7)+1)))))</f>
        <v/>
      </c>
      <c r="G18" s="65">
        <f>IF($N18="","",IF(INDEX('Cronograma R. Operacional'!$G$5:$G$1000,$N18)="","",INDEX('Cronograma R. Operacional'!$G$5:$G$1000,$N18)))</f>
        <v/>
      </c>
      <c r="H18" s="65">
        <f>IF($N18="","",IF(INDEX('Cronograma R. Operacional'!$H$5:$H$1000,$N18)="","",INDEX('Cronograma R. Operacional'!$H$5:$H$1000,$N18)))</f>
        <v/>
      </c>
      <c r="I18" s="65">
        <f>IF($N18="","",IF(INDEX('Cronograma R. Operacional'!$I$5:$I$1000,$N18)="","",INDEX('Cronograma R. Operacional'!$I$5:$I$1000,$N18)))</f>
        <v/>
      </c>
      <c r="J18" s="65">
        <f>IF($N18="","",IF(INDEX('Cronograma R. Operacional'!$J$5:$J$1000,$N18)="","",INDEX('Cronograma R. Operacional'!$J$5:$J$1000,$N18)))</f>
        <v/>
      </c>
      <c r="K18" s="65">
        <f>IF($N18="","",INDEX('Cronograma R. Operacional'!$K$5:$K$1000,$N18))</f>
        <v/>
      </c>
      <c r="L18" s="60">
        <f>IF($N18="","",IF(N($K18)&gt;=1,"Completado",IF(AND(ISNUMBER($E18),$E18&lt;FechaRef),"Vencida",IF(N($K18)&gt;0,"En curso","Pendiente"))))</f>
        <v/>
      </c>
      <c r="M18" s="68">
        <f>IF($N18="","",INDEX('Cronograma R. Operacional'!$M$5:$M$1000,$N18)&amp;"")</f>
        <v/>
      </c>
      <c r="N18">
        <f>IFERROR(MATCH(ROW()-4,rOrden_RO,0),"")</f>
        <v/>
      </c>
    </row>
    <row r="19">
      <c r="A19" s="60">
        <f>IF($N19="","",INDEX('Cronograma R. Operacional'!$A$5:$A$1000,$N19))</f>
        <v/>
      </c>
      <c r="B19" s="68">
        <f>IF($N19="","",INDEX('Cronograma R. Operacional'!$B$5:$B$1000,$N19)&amp;"")</f>
        <v/>
      </c>
      <c r="C19" s="68">
        <f>IF($N19="","",INDEX('Cronograma R. Operacional'!$C$5:$C$1000,$N19)&amp;"")</f>
        <v/>
      </c>
      <c r="D19" s="74">
        <f>IF($N19="","",IF(INDEX('Cronograma R. Operacional'!$D$5:$D$1000,$N19)="","",INDEX('Cronograma R. Operacional'!$D$5:$D$1000,$N19)))</f>
        <v/>
      </c>
      <c r="E19" s="74">
        <f>IF($N19="","",IF(INDEX('Cronograma R. Operacional'!$E$5:$E$1000,$N19)="","",INDEX('Cronograma R. Operacional'!$E$5:$E$1000,$N19)))</f>
        <v/>
      </c>
      <c r="F19" s="60">
        <f>IF($N19="","",IF(NOT(ISNUMBER($E19)),"",IF($E19&lt;InicioCiclo,"Antes del ciclo",IF($E19&gt;=InicioCiclo+28,"Después del ciclo","Semana "&amp;(INT(($E19-InicioCiclo)/7)+1)))))</f>
        <v/>
      </c>
      <c r="G19" s="65">
        <f>IF($N19="","",IF(INDEX('Cronograma R. Operacional'!$G$5:$G$1000,$N19)="","",INDEX('Cronograma R. Operacional'!$G$5:$G$1000,$N19)))</f>
        <v/>
      </c>
      <c r="H19" s="65">
        <f>IF($N19="","",IF(INDEX('Cronograma R. Operacional'!$H$5:$H$1000,$N19)="","",INDEX('Cronograma R. Operacional'!$H$5:$H$1000,$N19)))</f>
        <v/>
      </c>
      <c r="I19" s="65">
        <f>IF($N19="","",IF(INDEX('Cronograma R. Operacional'!$I$5:$I$1000,$N19)="","",INDEX('Cronograma R. Operacional'!$I$5:$I$1000,$N19)))</f>
        <v/>
      </c>
      <c r="J19" s="65">
        <f>IF($N19="","",IF(INDEX('Cronograma R. Operacional'!$J$5:$J$1000,$N19)="","",INDEX('Cronograma R. Operacional'!$J$5:$J$1000,$N19)))</f>
        <v/>
      </c>
      <c r="K19" s="65">
        <f>IF($N19="","",INDEX('Cronograma R. Operacional'!$K$5:$K$1000,$N19))</f>
        <v/>
      </c>
      <c r="L19" s="60">
        <f>IF($N19="","",IF(N($K19)&gt;=1,"Completado",IF(AND(ISNUMBER($E19),$E19&lt;FechaRef),"Vencida",IF(N($K19)&gt;0,"En curso","Pendiente"))))</f>
        <v/>
      </c>
      <c r="M19" s="68">
        <f>IF($N19="","",INDEX('Cronograma R. Operacional'!$M$5:$M$1000,$N19)&amp;"")</f>
        <v/>
      </c>
      <c r="N19">
        <f>IFERROR(MATCH(ROW()-4,rOrden_RO,0),"")</f>
        <v/>
      </c>
    </row>
    <row r="20">
      <c r="A20" s="60">
        <f>IF($N20="","",INDEX('Cronograma R. Operacional'!$A$5:$A$1000,$N20))</f>
        <v/>
      </c>
      <c r="B20" s="68">
        <f>IF($N20="","",INDEX('Cronograma R. Operacional'!$B$5:$B$1000,$N20)&amp;"")</f>
        <v/>
      </c>
      <c r="C20" s="68">
        <f>IF($N20="","",INDEX('Cronograma R. Operacional'!$C$5:$C$1000,$N20)&amp;"")</f>
        <v/>
      </c>
      <c r="D20" s="74">
        <f>IF($N20="","",IF(INDEX('Cronograma R. Operacional'!$D$5:$D$1000,$N20)="","",INDEX('Cronograma R. Operacional'!$D$5:$D$1000,$N20)))</f>
        <v/>
      </c>
      <c r="E20" s="74">
        <f>IF($N20="","",IF(INDEX('Cronograma R. Operacional'!$E$5:$E$1000,$N20)="","",INDEX('Cronograma R. Operacional'!$E$5:$E$1000,$N20)))</f>
        <v/>
      </c>
      <c r="F20" s="60">
        <f>IF($N20="","",IF(NOT(ISNUMBER($E20)),"",IF($E20&lt;InicioCiclo,"Antes del ciclo",IF($E20&gt;=InicioCiclo+28,"Después del ciclo","Semana "&amp;(INT(($E20-InicioCiclo)/7)+1)))))</f>
        <v/>
      </c>
      <c r="G20" s="65">
        <f>IF($N20="","",IF(INDEX('Cronograma R. Operacional'!$G$5:$G$1000,$N20)="","",INDEX('Cronograma R. Operacional'!$G$5:$G$1000,$N20)))</f>
        <v/>
      </c>
      <c r="H20" s="65">
        <f>IF($N20="","",IF(INDEX('Cronograma R. Operacional'!$H$5:$H$1000,$N20)="","",INDEX('Cronograma R. Operacional'!$H$5:$H$1000,$N20)))</f>
        <v/>
      </c>
      <c r="I20" s="65">
        <f>IF($N20="","",IF(INDEX('Cronograma R. Operacional'!$I$5:$I$1000,$N20)="","",INDEX('Cronograma R. Operacional'!$I$5:$I$1000,$N20)))</f>
        <v/>
      </c>
      <c r="J20" s="65">
        <f>IF($N20="","",IF(INDEX('Cronograma R. Operacional'!$J$5:$J$1000,$N20)="","",INDEX('Cronograma R. Operacional'!$J$5:$J$1000,$N20)))</f>
        <v/>
      </c>
      <c r="K20" s="65">
        <f>IF($N20="","",INDEX('Cronograma R. Operacional'!$K$5:$K$1000,$N20))</f>
        <v/>
      </c>
      <c r="L20" s="60">
        <f>IF($N20="","",IF(N($K20)&gt;=1,"Completado",IF(AND(ISNUMBER($E20),$E20&lt;FechaRef),"Vencida",IF(N($K20)&gt;0,"En curso","Pendiente"))))</f>
        <v/>
      </c>
      <c r="M20" s="68">
        <f>IF($N20="","",INDEX('Cronograma R. Operacional'!$M$5:$M$1000,$N20)&amp;"")</f>
        <v/>
      </c>
      <c r="N20">
        <f>IFERROR(MATCH(ROW()-4,rOrden_RO,0),"")</f>
        <v/>
      </c>
    </row>
    <row r="21">
      <c r="A21" s="60">
        <f>IF($N21="","",INDEX('Cronograma R. Operacional'!$A$5:$A$1000,$N21))</f>
        <v/>
      </c>
      <c r="B21" s="68">
        <f>IF($N21="","",INDEX('Cronograma R. Operacional'!$B$5:$B$1000,$N21)&amp;"")</f>
        <v/>
      </c>
      <c r="C21" s="68">
        <f>IF($N21="","",INDEX('Cronograma R. Operacional'!$C$5:$C$1000,$N21)&amp;"")</f>
        <v/>
      </c>
      <c r="D21" s="74">
        <f>IF($N21="","",IF(INDEX('Cronograma R. Operacional'!$D$5:$D$1000,$N21)="","",INDEX('Cronograma R. Operacional'!$D$5:$D$1000,$N21)))</f>
        <v/>
      </c>
      <c r="E21" s="74">
        <f>IF($N21="","",IF(INDEX('Cronograma R. Operacional'!$E$5:$E$1000,$N21)="","",INDEX('Cronograma R. Operacional'!$E$5:$E$1000,$N21)))</f>
        <v/>
      </c>
      <c r="F21" s="60">
        <f>IF($N21="","",IF(NOT(ISNUMBER($E21)),"",IF($E21&lt;InicioCiclo,"Antes del ciclo",IF($E21&gt;=InicioCiclo+28,"Después del ciclo","Semana "&amp;(INT(($E21-InicioCiclo)/7)+1)))))</f>
        <v/>
      </c>
      <c r="G21" s="65">
        <f>IF($N21="","",IF(INDEX('Cronograma R. Operacional'!$G$5:$G$1000,$N21)="","",INDEX('Cronograma R. Operacional'!$G$5:$G$1000,$N21)))</f>
        <v/>
      </c>
      <c r="H21" s="65">
        <f>IF($N21="","",IF(INDEX('Cronograma R. Operacional'!$H$5:$H$1000,$N21)="","",INDEX('Cronograma R. Operacional'!$H$5:$H$1000,$N21)))</f>
        <v/>
      </c>
      <c r="I21" s="65">
        <f>IF($N21="","",IF(INDEX('Cronograma R. Operacional'!$I$5:$I$1000,$N21)="","",INDEX('Cronograma R. Operacional'!$I$5:$I$1000,$N21)))</f>
        <v/>
      </c>
      <c r="J21" s="65">
        <f>IF($N21="","",IF(INDEX('Cronograma R. Operacional'!$J$5:$J$1000,$N21)="","",INDEX('Cronograma R. Operacional'!$J$5:$J$1000,$N21)))</f>
        <v/>
      </c>
      <c r="K21" s="65">
        <f>IF($N21="","",INDEX('Cronograma R. Operacional'!$K$5:$K$1000,$N21))</f>
        <v/>
      </c>
      <c r="L21" s="60">
        <f>IF($N21="","",IF(N($K21)&gt;=1,"Completado",IF(AND(ISNUMBER($E21),$E21&lt;FechaRef),"Vencida",IF(N($K21)&gt;0,"En curso","Pendiente"))))</f>
        <v/>
      </c>
      <c r="M21" s="68">
        <f>IF($N21="","",INDEX('Cronograma R. Operacional'!$M$5:$M$1000,$N21)&amp;"")</f>
        <v/>
      </c>
      <c r="N21">
        <f>IFERROR(MATCH(ROW()-4,rOrden_RO,0),"")</f>
        <v/>
      </c>
    </row>
    <row r="22">
      <c r="A22" s="60">
        <f>IF($N22="","",INDEX('Cronograma R. Operacional'!$A$5:$A$1000,$N22))</f>
        <v/>
      </c>
      <c r="B22" s="68">
        <f>IF($N22="","",INDEX('Cronograma R. Operacional'!$B$5:$B$1000,$N22)&amp;"")</f>
        <v/>
      </c>
      <c r="C22" s="68">
        <f>IF($N22="","",INDEX('Cronograma R. Operacional'!$C$5:$C$1000,$N22)&amp;"")</f>
        <v/>
      </c>
      <c r="D22" s="74">
        <f>IF($N22="","",IF(INDEX('Cronograma R. Operacional'!$D$5:$D$1000,$N22)="","",INDEX('Cronograma R. Operacional'!$D$5:$D$1000,$N22)))</f>
        <v/>
      </c>
      <c r="E22" s="74">
        <f>IF($N22="","",IF(INDEX('Cronograma R. Operacional'!$E$5:$E$1000,$N22)="","",INDEX('Cronograma R. Operacional'!$E$5:$E$1000,$N22)))</f>
        <v/>
      </c>
      <c r="F22" s="60">
        <f>IF($N22="","",IF(NOT(ISNUMBER($E22)),"",IF($E22&lt;InicioCiclo,"Antes del ciclo",IF($E22&gt;=InicioCiclo+28,"Después del ciclo","Semana "&amp;(INT(($E22-InicioCiclo)/7)+1)))))</f>
        <v/>
      </c>
      <c r="G22" s="65">
        <f>IF($N22="","",IF(INDEX('Cronograma R. Operacional'!$G$5:$G$1000,$N22)="","",INDEX('Cronograma R. Operacional'!$G$5:$G$1000,$N22)))</f>
        <v/>
      </c>
      <c r="H22" s="65">
        <f>IF($N22="","",IF(INDEX('Cronograma R. Operacional'!$H$5:$H$1000,$N22)="","",INDEX('Cronograma R. Operacional'!$H$5:$H$1000,$N22)))</f>
        <v/>
      </c>
      <c r="I22" s="65">
        <f>IF($N22="","",IF(INDEX('Cronograma R. Operacional'!$I$5:$I$1000,$N22)="","",INDEX('Cronograma R. Operacional'!$I$5:$I$1000,$N22)))</f>
        <v/>
      </c>
      <c r="J22" s="65">
        <f>IF($N22="","",IF(INDEX('Cronograma R. Operacional'!$J$5:$J$1000,$N22)="","",INDEX('Cronograma R. Operacional'!$J$5:$J$1000,$N22)))</f>
        <v/>
      </c>
      <c r="K22" s="65">
        <f>IF($N22="","",INDEX('Cronograma R. Operacional'!$K$5:$K$1000,$N22))</f>
        <v/>
      </c>
      <c r="L22" s="60">
        <f>IF($N22="","",IF(N($K22)&gt;=1,"Completado",IF(AND(ISNUMBER($E22),$E22&lt;FechaRef),"Vencida",IF(N($K22)&gt;0,"En curso","Pendiente"))))</f>
        <v/>
      </c>
      <c r="M22" s="68">
        <f>IF($N22="","",INDEX('Cronograma R. Operacional'!$M$5:$M$1000,$N22)&amp;"")</f>
        <v/>
      </c>
      <c r="N22">
        <f>IFERROR(MATCH(ROW()-4,rOrden_RO,0),"")</f>
        <v/>
      </c>
    </row>
    <row r="23">
      <c r="A23" s="60">
        <f>IF($N23="","",INDEX('Cronograma R. Operacional'!$A$5:$A$1000,$N23))</f>
        <v/>
      </c>
      <c r="B23" s="68">
        <f>IF($N23="","",INDEX('Cronograma R. Operacional'!$B$5:$B$1000,$N23)&amp;"")</f>
        <v/>
      </c>
      <c r="C23" s="68">
        <f>IF($N23="","",INDEX('Cronograma R. Operacional'!$C$5:$C$1000,$N23)&amp;"")</f>
        <v/>
      </c>
      <c r="D23" s="74">
        <f>IF($N23="","",IF(INDEX('Cronograma R. Operacional'!$D$5:$D$1000,$N23)="","",INDEX('Cronograma R. Operacional'!$D$5:$D$1000,$N23)))</f>
        <v/>
      </c>
      <c r="E23" s="74">
        <f>IF($N23="","",IF(INDEX('Cronograma R. Operacional'!$E$5:$E$1000,$N23)="","",INDEX('Cronograma R. Operacional'!$E$5:$E$1000,$N23)))</f>
        <v/>
      </c>
      <c r="F23" s="60">
        <f>IF($N23="","",IF(NOT(ISNUMBER($E23)),"",IF($E23&lt;InicioCiclo,"Antes del ciclo",IF($E23&gt;=InicioCiclo+28,"Después del ciclo","Semana "&amp;(INT(($E23-InicioCiclo)/7)+1)))))</f>
        <v/>
      </c>
      <c r="G23" s="65">
        <f>IF($N23="","",IF(INDEX('Cronograma R. Operacional'!$G$5:$G$1000,$N23)="","",INDEX('Cronograma R. Operacional'!$G$5:$G$1000,$N23)))</f>
        <v/>
      </c>
      <c r="H23" s="65">
        <f>IF($N23="","",IF(INDEX('Cronograma R. Operacional'!$H$5:$H$1000,$N23)="","",INDEX('Cronograma R. Operacional'!$H$5:$H$1000,$N23)))</f>
        <v/>
      </c>
      <c r="I23" s="65">
        <f>IF($N23="","",IF(INDEX('Cronograma R. Operacional'!$I$5:$I$1000,$N23)="","",INDEX('Cronograma R. Operacional'!$I$5:$I$1000,$N23)))</f>
        <v/>
      </c>
      <c r="J23" s="65">
        <f>IF($N23="","",IF(INDEX('Cronograma R. Operacional'!$J$5:$J$1000,$N23)="","",INDEX('Cronograma R. Operacional'!$J$5:$J$1000,$N23)))</f>
        <v/>
      </c>
      <c r="K23" s="65">
        <f>IF($N23="","",INDEX('Cronograma R. Operacional'!$K$5:$K$1000,$N23))</f>
        <v/>
      </c>
      <c r="L23" s="60">
        <f>IF($N23="","",IF(N($K23)&gt;=1,"Completado",IF(AND(ISNUMBER($E23),$E23&lt;FechaRef),"Vencida",IF(N($K23)&gt;0,"En curso","Pendiente"))))</f>
        <v/>
      </c>
      <c r="M23" s="68">
        <f>IF($N23="","",INDEX('Cronograma R. Operacional'!$M$5:$M$1000,$N23)&amp;"")</f>
        <v/>
      </c>
      <c r="N23">
        <f>IFERROR(MATCH(ROW()-4,rOrden_RO,0),"")</f>
        <v/>
      </c>
    </row>
    <row r="24">
      <c r="A24" s="60">
        <f>IF($N24="","",INDEX('Cronograma R. Operacional'!$A$5:$A$1000,$N24))</f>
        <v/>
      </c>
      <c r="B24" s="68">
        <f>IF($N24="","",INDEX('Cronograma R. Operacional'!$B$5:$B$1000,$N24)&amp;"")</f>
        <v/>
      </c>
      <c r="C24" s="68">
        <f>IF($N24="","",INDEX('Cronograma R. Operacional'!$C$5:$C$1000,$N24)&amp;"")</f>
        <v/>
      </c>
      <c r="D24" s="74">
        <f>IF($N24="","",IF(INDEX('Cronograma R. Operacional'!$D$5:$D$1000,$N24)="","",INDEX('Cronograma R. Operacional'!$D$5:$D$1000,$N24)))</f>
        <v/>
      </c>
      <c r="E24" s="74">
        <f>IF($N24="","",IF(INDEX('Cronograma R. Operacional'!$E$5:$E$1000,$N24)="","",INDEX('Cronograma R. Operacional'!$E$5:$E$1000,$N24)))</f>
        <v/>
      </c>
      <c r="F24" s="60">
        <f>IF($N24="","",IF(NOT(ISNUMBER($E24)),"",IF($E24&lt;InicioCiclo,"Antes del ciclo",IF($E24&gt;=InicioCiclo+28,"Después del ciclo","Semana "&amp;(INT(($E24-InicioCiclo)/7)+1)))))</f>
        <v/>
      </c>
      <c r="G24" s="65">
        <f>IF($N24="","",IF(INDEX('Cronograma R. Operacional'!$G$5:$G$1000,$N24)="","",INDEX('Cronograma R. Operacional'!$G$5:$G$1000,$N24)))</f>
        <v/>
      </c>
      <c r="H24" s="65">
        <f>IF($N24="","",IF(INDEX('Cronograma R. Operacional'!$H$5:$H$1000,$N24)="","",INDEX('Cronograma R. Operacional'!$H$5:$H$1000,$N24)))</f>
        <v/>
      </c>
      <c r="I24" s="65">
        <f>IF($N24="","",IF(INDEX('Cronograma R. Operacional'!$I$5:$I$1000,$N24)="","",INDEX('Cronograma R. Operacional'!$I$5:$I$1000,$N24)))</f>
        <v/>
      </c>
      <c r="J24" s="65">
        <f>IF($N24="","",IF(INDEX('Cronograma R. Operacional'!$J$5:$J$1000,$N24)="","",INDEX('Cronograma R. Operacional'!$J$5:$J$1000,$N24)))</f>
        <v/>
      </c>
      <c r="K24" s="65">
        <f>IF($N24="","",INDEX('Cronograma R. Operacional'!$K$5:$K$1000,$N24))</f>
        <v/>
      </c>
      <c r="L24" s="60">
        <f>IF($N24="","",IF(N($K24)&gt;=1,"Completado",IF(AND(ISNUMBER($E24),$E24&lt;FechaRef),"Vencida",IF(N($K24)&gt;0,"En curso","Pendiente"))))</f>
        <v/>
      </c>
      <c r="M24" s="68">
        <f>IF($N24="","",INDEX('Cronograma R. Operacional'!$M$5:$M$1000,$N24)&amp;"")</f>
        <v/>
      </c>
      <c r="N24">
        <f>IFERROR(MATCH(ROW()-4,rOrden_RO,0),"")</f>
        <v/>
      </c>
    </row>
    <row r="25">
      <c r="A25" s="60">
        <f>IF($N25="","",INDEX('Cronograma R. Operacional'!$A$5:$A$1000,$N25))</f>
        <v/>
      </c>
      <c r="B25" s="68">
        <f>IF($N25="","",INDEX('Cronograma R. Operacional'!$B$5:$B$1000,$N25)&amp;"")</f>
        <v/>
      </c>
      <c r="C25" s="68">
        <f>IF($N25="","",INDEX('Cronograma R. Operacional'!$C$5:$C$1000,$N25)&amp;"")</f>
        <v/>
      </c>
      <c r="D25" s="74">
        <f>IF($N25="","",IF(INDEX('Cronograma R. Operacional'!$D$5:$D$1000,$N25)="","",INDEX('Cronograma R. Operacional'!$D$5:$D$1000,$N25)))</f>
        <v/>
      </c>
      <c r="E25" s="74">
        <f>IF($N25="","",IF(INDEX('Cronograma R. Operacional'!$E$5:$E$1000,$N25)="","",INDEX('Cronograma R. Operacional'!$E$5:$E$1000,$N25)))</f>
        <v/>
      </c>
      <c r="F25" s="60">
        <f>IF($N25="","",IF(NOT(ISNUMBER($E25)),"",IF($E25&lt;InicioCiclo,"Antes del ciclo",IF($E25&gt;=InicioCiclo+28,"Después del ciclo","Semana "&amp;(INT(($E25-InicioCiclo)/7)+1)))))</f>
        <v/>
      </c>
      <c r="G25" s="65">
        <f>IF($N25="","",IF(INDEX('Cronograma R. Operacional'!$G$5:$G$1000,$N25)="","",INDEX('Cronograma R. Operacional'!$G$5:$G$1000,$N25)))</f>
        <v/>
      </c>
      <c r="H25" s="65">
        <f>IF($N25="","",IF(INDEX('Cronograma R. Operacional'!$H$5:$H$1000,$N25)="","",INDEX('Cronograma R. Operacional'!$H$5:$H$1000,$N25)))</f>
        <v/>
      </c>
      <c r="I25" s="65">
        <f>IF($N25="","",IF(INDEX('Cronograma R. Operacional'!$I$5:$I$1000,$N25)="","",INDEX('Cronograma R. Operacional'!$I$5:$I$1000,$N25)))</f>
        <v/>
      </c>
      <c r="J25" s="65">
        <f>IF($N25="","",IF(INDEX('Cronograma R. Operacional'!$J$5:$J$1000,$N25)="","",INDEX('Cronograma R. Operacional'!$J$5:$J$1000,$N25)))</f>
        <v/>
      </c>
      <c r="K25" s="65">
        <f>IF($N25="","",INDEX('Cronograma R. Operacional'!$K$5:$K$1000,$N25))</f>
        <v/>
      </c>
      <c r="L25" s="60">
        <f>IF($N25="","",IF(N($K25)&gt;=1,"Completado",IF(AND(ISNUMBER($E25),$E25&lt;FechaRef),"Vencida",IF(N($K25)&gt;0,"En curso","Pendiente"))))</f>
        <v/>
      </c>
      <c r="M25" s="68">
        <f>IF($N25="","",INDEX('Cronograma R. Operacional'!$M$5:$M$1000,$N25)&amp;"")</f>
        <v/>
      </c>
      <c r="N25">
        <f>IFERROR(MATCH(ROW()-4,rOrden_RO,0),"")</f>
        <v/>
      </c>
    </row>
    <row r="26">
      <c r="A26" s="60">
        <f>IF($N26="","",INDEX('Cronograma R. Operacional'!$A$5:$A$1000,$N26))</f>
        <v/>
      </c>
      <c r="B26" s="68">
        <f>IF($N26="","",INDEX('Cronograma R. Operacional'!$B$5:$B$1000,$N26)&amp;"")</f>
        <v/>
      </c>
      <c r="C26" s="68">
        <f>IF($N26="","",INDEX('Cronograma R. Operacional'!$C$5:$C$1000,$N26)&amp;"")</f>
        <v/>
      </c>
      <c r="D26" s="74">
        <f>IF($N26="","",IF(INDEX('Cronograma R. Operacional'!$D$5:$D$1000,$N26)="","",INDEX('Cronograma R. Operacional'!$D$5:$D$1000,$N26)))</f>
        <v/>
      </c>
      <c r="E26" s="74">
        <f>IF($N26="","",IF(INDEX('Cronograma R. Operacional'!$E$5:$E$1000,$N26)="","",INDEX('Cronograma R. Operacional'!$E$5:$E$1000,$N26)))</f>
        <v/>
      </c>
      <c r="F26" s="60">
        <f>IF($N26="","",IF(NOT(ISNUMBER($E26)),"",IF($E26&lt;InicioCiclo,"Antes del ciclo",IF($E26&gt;=InicioCiclo+28,"Después del ciclo","Semana "&amp;(INT(($E26-InicioCiclo)/7)+1)))))</f>
        <v/>
      </c>
      <c r="G26" s="65">
        <f>IF($N26="","",IF(INDEX('Cronograma R. Operacional'!$G$5:$G$1000,$N26)="","",INDEX('Cronograma R. Operacional'!$G$5:$G$1000,$N26)))</f>
        <v/>
      </c>
      <c r="H26" s="65">
        <f>IF($N26="","",IF(INDEX('Cronograma R. Operacional'!$H$5:$H$1000,$N26)="","",INDEX('Cronograma R. Operacional'!$H$5:$H$1000,$N26)))</f>
        <v/>
      </c>
      <c r="I26" s="65">
        <f>IF($N26="","",IF(INDEX('Cronograma R. Operacional'!$I$5:$I$1000,$N26)="","",INDEX('Cronograma R. Operacional'!$I$5:$I$1000,$N26)))</f>
        <v/>
      </c>
      <c r="J26" s="65">
        <f>IF($N26="","",IF(INDEX('Cronograma R. Operacional'!$J$5:$J$1000,$N26)="","",INDEX('Cronograma R. Operacional'!$J$5:$J$1000,$N26)))</f>
        <v/>
      </c>
      <c r="K26" s="65">
        <f>IF($N26="","",INDEX('Cronograma R. Operacional'!$K$5:$K$1000,$N26))</f>
        <v/>
      </c>
      <c r="L26" s="60">
        <f>IF($N26="","",IF(N($K26)&gt;=1,"Completado",IF(AND(ISNUMBER($E26),$E26&lt;FechaRef),"Vencida",IF(N($K26)&gt;0,"En curso","Pendiente"))))</f>
        <v/>
      </c>
      <c r="M26" s="68">
        <f>IF($N26="","",INDEX('Cronograma R. Operacional'!$M$5:$M$1000,$N26)&amp;"")</f>
        <v/>
      </c>
      <c r="N26">
        <f>IFERROR(MATCH(ROW()-4,rOrden_RO,0),"")</f>
        <v/>
      </c>
    </row>
    <row r="27">
      <c r="A27" s="60">
        <f>IF($N27="","",INDEX('Cronograma R. Operacional'!$A$5:$A$1000,$N27))</f>
        <v/>
      </c>
      <c r="B27" s="68">
        <f>IF($N27="","",INDEX('Cronograma R. Operacional'!$B$5:$B$1000,$N27)&amp;"")</f>
        <v/>
      </c>
      <c r="C27" s="68">
        <f>IF($N27="","",INDEX('Cronograma R. Operacional'!$C$5:$C$1000,$N27)&amp;"")</f>
        <v/>
      </c>
      <c r="D27" s="74">
        <f>IF($N27="","",IF(INDEX('Cronograma R. Operacional'!$D$5:$D$1000,$N27)="","",INDEX('Cronograma R. Operacional'!$D$5:$D$1000,$N27)))</f>
        <v/>
      </c>
      <c r="E27" s="74">
        <f>IF($N27="","",IF(INDEX('Cronograma R. Operacional'!$E$5:$E$1000,$N27)="","",INDEX('Cronograma R. Operacional'!$E$5:$E$1000,$N27)))</f>
        <v/>
      </c>
      <c r="F27" s="60">
        <f>IF($N27="","",IF(NOT(ISNUMBER($E27)),"",IF($E27&lt;InicioCiclo,"Antes del ciclo",IF($E27&gt;=InicioCiclo+28,"Después del ciclo","Semana "&amp;(INT(($E27-InicioCiclo)/7)+1)))))</f>
        <v/>
      </c>
      <c r="G27" s="65">
        <f>IF($N27="","",IF(INDEX('Cronograma R. Operacional'!$G$5:$G$1000,$N27)="","",INDEX('Cronograma R. Operacional'!$G$5:$G$1000,$N27)))</f>
        <v/>
      </c>
      <c r="H27" s="65">
        <f>IF($N27="","",IF(INDEX('Cronograma R. Operacional'!$H$5:$H$1000,$N27)="","",INDEX('Cronograma R. Operacional'!$H$5:$H$1000,$N27)))</f>
        <v/>
      </c>
      <c r="I27" s="65">
        <f>IF($N27="","",IF(INDEX('Cronograma R. Operacional'!$I$5:$I$1000,$N27)="","",INDEX('Cronograma R. Operacional'!$I$5:$I$1000,$N27)))</f>
        <v/>
      </c>
      <c r="J27" s="65">
        <f>IF($N27="","",IF(INDEX('Cronograma R. Operacional'!$J$5:$J$1000,$N27)="","",INDEX('Cronograma R. Operacional'!$J$5:$J$1000,$N27)))</f>
        <v/>
      </c>
      <c r="K27" s="65">
        <f>IF($N27="","",INDEX('Cronograma R. Operacional'!$K$5:$K$1000,$N27))</f>
        <v/>
      </c>
      <c r="L27" s="60">
        <f>IF($N27="","",IF(N($K27)&gt;=1,"Completado",IF(AND(ISNUMBER($E27),$E27&lt;FechaRef),"Vencida",IF(N($K27)&gt;0,"En curso","Pendiente"))))</f>
        <v/>
      </c>
      <c r="M27" s="68">
        <f>IF($N27="","",INDEX('Cronograma R. Operacional'!$M$5:$M$1000,$N27)&amp;"")</f>
        <v/>
      </c>
      <c r="N27">
        <f>IFERROR(MATCH(ROW()-4,rOrden_RO,0),"")</f>
        <v/>
      </c>
    </row>
    <row r="28">
      <c r="A28" s="60">
        <f>IF($N28="","",INDEX('Cronograma R. Operacional'!$A$5:$A$1000,$N28))</f>
        <v/>
      </c>
      <c r="B28" s="68">
        <f>IF($N28="","",INDEX('Cronograma R. Operacional'!$B$5:$B$1000,$N28)&amp;"")</f>
        <v/>
      </c>
      <c r="C28" s="68">
        <f>IF($N28="","",INDEX('Cronograma R. Operacional'!$C$5:$C$1000,$N28)&amp;"")</f>
        <v/>
      </c>
      <c r="D28" s="74">
        <f>IF($N28="","",IF(INDEX('Cronograma R. Operacional'!$D$5:$D$1000,$N28)="","",INDEX('Cronograma R. Operacional'!$D$5:$D$1000,$N28)))</f>
        <v/>
      </c>
      <c r="E28" s="74">
        <f>IF($N28="","",IF(INDEX('Cronograma R. Operacional'!$E$5:$E$1000,$N28)="","",INDEX('Cronograma R. Operacional'!$E$5:$E$1000,$N28)))</f>
        <v/>
      </c>
      <c r="F28" s="60">
        <f>IF($N28="","",IF(NOT(ISNUMBER($E28)),"",IF($E28&lt;InicioCiclo,"Antes del ciclo",IF($E28&gt;=InicioCiclo+28,"Después del ciclo","Semana "&amp;(INT(($E28-InicioCiclo)/7)+1)))))</f>
        <v/>
      </c>
      <c r="G28" s="65">
        <f>IF($N28="","",IF(INDEX('Cronograma R. Operacional'!$G$5:$G$1000,$N28)="","",INDEX('Cronograma R. Operacional'!$G$5:$G$1000,$N28)))</f>
        <v/>
      </c>
      <c r="H28" s="65">
        <f>IF($N28="","",IF(INDEX('Cronograma R. Operacional'!$H$5:$H$1000,$N28)="","",INDEX('Cronograma R. Operacional'!$H$5:$H$1000,$N28)))</f>
        <v/>
      </c>
      <c r="I28" s="65">
        <f>IF($N28="","",IF(INDEX('Cronograma R. Operacional'!$I$5:$I$1000,$N28)="","",INDEX('Cronograma R. Operacional'!$I$5:$I$1000,$N28)))</f>
        <v/>
      </c>
      <c r="J28" s="65">
        <f>IF($N28="","",IF(INDEX('Cronograma R. Operacional'!$J$5:$J$1000,$N28)="","",INDEX('Cronograma R. Operacional'!$J$5:$J$1000,$N28)))</f>
        <v/>
      </c>
      <c r="K28" s="65">
        <f>IF($N28="","",INDEX('Cronograma R. Operacional'!$K$5:$K$1000,$N28))</f>
        <v/>
      </c>
      <c r="L28" s="60">
        <f>IF($N28="","",IF(N($K28)&gt;=1,"Completado",IF(AND(ISNUMBER($E28),$E28&lt;FechaRef),"Vencida",IF(N($K28)&gt;0,"En curso","Pendiente"))))</f>
        <v/>
      </c>
      <c r="M28" s="68">
        <f>IF($N28="","",INDEX('Cronograma R. Operacional'!$M$5:$M$1000,$N28)&amp;"")</f>
        <v/>
      </c>
      <c r="N28">
        <f>IFERROR(MATCH(ROW()-4,rOrden_RO,0),"")</f>
        <v/>
      </c>
    </row>
    <row r="29">
      <c r="A29" s="60">
        <f>IF($N29="","",INDEX('Cronograma R. Operacional'!$A$5:$A$1000,$N29))</f>
        <v/>
      </c>
      <c r="B29" s="68">
        <f>IF($N29="","",INDEX('Cronograma R. Operacional'!$B$5:$B$1000,$N29)&amp;"")</f>
        <v/>
      </c>
      <c r="C29" s="68">
        <f>IF($N29="","",INDEX('Cronograma R. Operacional'!$C$5:$C$1000,$N29)&amp;"")</f>
        <v/>
      </c>
      <c r="D29" s="74">
        <f>IF($N29="","",IF(INDEX('Cronograma R. Operacional'!$D$5:$D$1000,$N29)="","",INDEX('Cronograma R. Operacional'!$D$5:$D$1000,$N29)))</f>
        <v/>
      </c>
      <c r="E29" s="74">
        <f>IF($N29="","",IF(INDEX('Cronograma R. Operacional'!$E$5:$E$1000,$N29)="","",INDEX('Cronograma R. Operacional'!$E$5:$E$1000,$N29)))</f>
        <v/>
      </c>
      <c r="F29" s="60">
        <f>IF($N29="","",IF(NOT(ISNUMBER($E29)),"",IF($E29&lt;InicioCiclo,"Antes del ciclo",IF($E29&gt;=InicioCiclo+28,"Después del ciclo","Semana "&amp;(INT(($E29-InicioCiclo)/7)+1)))))</f>
        <v/>
      </c>
      <c r="G29" s="65">
        <f>IF($N29="","",IF(INDEX('Cronograma R. Operacional'!$G$5:$G$1000,$N29)="","",INDEX('Cronograma R. Operacional'!$G$5:$G$1000,$N29)))</f>
        <v/>
      </c>
      <c r="H29" s="65">
        <f>IF($N29="","",IF(INDEX('Cronograma R. Operacional'!$H$5:$H$1000,$N29)="","",INDEX('Cronograma R. Operacional'!$H$5:$H$1000,$N29)))</f>
        <v/>
      </c>
      <c r="I29" s="65">
        <f>IF($N29="","",IF(INDEX('Cronograma R. Operacional'!$I$5:$I$1000,$N29)="","",INDEX('Cronograma R. Operacional'!$I$5:$I$1000,$N29)))</f>
        <v/>
      </c>
      <c r="J29" s="65">
        <f>IF($N29="","",IF(INDEX('Cronograma R. Operacional'!$J$5:$J$1000,$N29)="","",INDEX('Cronograma R. Operacional'!$J$5:$J$1000,$N29)))</f>
        <v/>
      </c>
      <c r="K29" s="65">
        <f>IF($N29="","",INDEX('Cronograma R. Operacional'!$K$5:$K$1000,$N29))</f>
        <v/>
      </c>
      <c r="L29" s="60">
        <f>IF($N29="","",IF(N($K29)&gt;=1,"Completado",IF(AND(ISNUMBER($E29),$E29&lt;FechaRef),"Vencida",IF(N($K29)&gt;0,"En curso","Pendiente"))))</f>
        <v/>
      </c>
      <c r="M29" s="68">
        <f>IF($N29="","",INDEX('Cronograma R. Operacional'!$M$5:$M$1000,$N29)&amp;"")</f>
        <v/>
      </c>
      <c r="N29">
        <f>IFERROR(MATCH(ROW()-4,rOrden_RO,0),"")</f>
        <v/>
      </c>
    </row>
    <row r="30">
      <c r="A30" s="60">
        <f>IF($N30="","",INDEX('Cronograma R. Operacional'!$A$5:$A$1000,$N30))</f>
        <v/>
      </c>
      <c r="B30" s="68">
        <f>IF($N30="","",INDEX('Cronograma R. Operacional'!$B$5:$B$1000,$N30)&amp;"")</f>
        <v/>
      </c>
      <c r="C30" s="68">
        <f>IF($N30="","",INDEX('Cronograma R. Operacional'!$C$5:$C$1000,$N30)&amp;"")</f>
        <v/>
      </c>
      <c r="D30" s="74">
        <f>IF($N30="","",IF(INDEX('Cronograma R. Operacional'!$D$5:$D$1000,$N30)="","",INDEX('Cronograma R. Operacional'!$D$5:$D$1000,$N30)))</f>
        <v/>
      </c>
      <c r="E30" s="74">
        <f>IF($N30="","",IF(INDEX('Cronograma R. Operacional'!$E$5:$E$1000,$N30)="","",INDEX('Cronograma R. Operacional'!$E$5:$E$1000,$N30)))</f>
        <v/>
      </c>
      <c r="F30" s="60">
        <f>IF($N30="","",IF(NOT(ISNUMBER($E30)),"",IF($E30&lt;InicioCiclo,"Antes del ciclo",IF($E30&gt;=InicioCiclo+28,"Después del ciclo","Semana "&amp;(INT(($E30-InicioCiclo)/7)+1)))))</f>
        <v/>
      </c>
      <c r="G30" s="65">
        <f>IF($N30="","",IF(INDEX('Cronograma R. Operacional'!$G$5:$G$1000,$N30)="","",INDEX('Cronograma R. Operacional'!$G$5:$G$1000,$N30)))</f>
        <v/>
      </c>
      <c r="H30" s="65">
        <f>IF($N30="","",IF(INDEX('Cronograma R. Operacional'!$H$5:$H$1000,$N30)="","",INDEX('Cronograma R. Operacional'!$H$5:$H$1000,$N30)))</f>
        <v/>
      </c>
      <c r="I30" s="65">
        <f>IF($N30="","",IF(INDEX('Cronograma R. Operacional'!$I$5:$I$1000,$N30)="","",INDEX('Cronograma R. Operacional'!$I$5:$I$1000,$N30)))</f>
        <v/>
      </c>
      <c r="J30" s="65">
        <f>IF($N30="","",IF(INDEX('Cronograma R. Operacional'!$J$5:$J$1000,$N30)="","",INDEX('Cronograma R. Operacional'!$J$5:$J$1000,$N30)))</f>
        <v/>
      </c>
      <c r="K30" s="65">
        <f>IF($N30="","",INDEX('Cronograma R. Operacional'!$K$5:$K$1000,$N30))</f>
        <v/>
      </c>
      <c r="L30" s="60">
        <f>IF($N30="","",IF(N($K30)&gt;=1,"Completado",IF(AND(ISNUMBER($E30),$E30&lt;FechaRef),"Vencida",IF(N($K30)&gt;0,"En curso","Pendiente"))))</f>
        <v/>
      </c>
      <c r="M30" s="68">
        <f>IF($N30="","",INDEX('Cronograma R. Operacional'!$M$5:$M$1000,$N30)&amp;"")</f>
        <v/>
      </c>
      <c r="N30">
        <f>IFERROR(MATCH(ROW()-4,rOrden_RO,0),"")</f>
        <v/>
      </c>
    </row>
    <row r="31">
      <c r="A31" s="60">
        <f>IF($N31="","",INDEX('Cronograma R. Operacional'!$A$5:$A$1000,$N31))</f>
        <v/>
      </c>
      <c r="B31" s="68">
        <f>IF($N31="","",INDEX('Cronograma R. Operacional'!$B$5:$B$1000,$N31)&amp;"")</f>
        <v/>
      </c>
      <c r="C31" s="68">
        <f>IF($N31="","",INDEX('Cronograma R. Operacional'!$C$5:$C$1000,$N31)&amp;"")</f>
        <v/>
      </c>
      <c r="D31" s="74">
        <f>IF($N31="","",IF(INDEX('Cronograma R. Operacional'!$D$5:$D$1000,$N31)="","",INDEX('Cronograma R. Operacional'!$D$5:$D$1000,$N31)))</f>
        <v/>
      </c>
      <c r="E31" s="74">
        <f>IF($N31="","",IF(INDEX('Cronograma R. Operacional'!$E$5:$E$1000,$N31)="","",INDEX('Cronograma R. Operacional'!$E$5:$E$1000,$N31)))</f>
        <v/>
      </c>
      <c r="F31" s="60">
        <f>IF($N31="","",IF(NOT(ISNUMBER($E31)),"",IF($E31&lt;InicioCiclo,"Antes del ciclo",IF($E31&gt;=InicioCiclo+28,"Después del ciclo","Semana "&amp;(INT(($E31-InicioCiclo)/7)+1)))))</f>
        <v/>
      </c>
      <c r="G31" s="65">
        <f>IF($N31="","",IF(INDEX('Cronograma R. Operacional'!$G$5:$G$1000,$N31)="","",INDEX('Cronograma R. Operacional'!$G$5:$G$1000,$N31)))</f>
        <v/>
      </c>
      <c r="H31" s="65">
        <f>IF($N31="","",IF(INDEX('Cronograma R. Operacional'!$H$5:$H$1000,$N31)="","",INDEX('Cronograma R. Operacional'!$H$5:$H$1000,$N31)))</f>
        <v/>
      </c>
      <c r="I31" s="65">
        <f>IF($N31="","",IF(INDEX('Cronograma R. Operacional'!$I$5:$I$1000,$N31)="","",INDEX('Cronograma R. Operacional'!$I$5:$I$1000,$N31)))</f>
        <v/>
      </c>
      <c r="J31" s="65">
        <f>IF($N31="","",IF(INDEX('Cronograma R. Operacional'!$J$5:$J$1000,$N31)="","",INDEX('Cronograma R. Operacional'!$J$5:$J$1000,$N31)))</f>
        <v/>
      </c>
      <c r="K31" s="65">
        <f>IF($N31="","",INDEX('Cronograma R. Operacional'!$K$5:$K$1000,$N31))</f>
        <v/>
      </c>
      <c r="L31" s="60">
        <f>IF($N31="","",IF(N($K31)&gt;=1,"Completado",IF(AND(ISNUMBER($E31),$E31&lt;FechaRef),"Vencida",IF(N($K31)&gt;0,"En curso","Pendiente"))))</f>
        <v/>
      </c>
      <c r="M31" s="68">
        <f>IF($N31="","",INDEX('Cronograma R. Operacional'!$M$5:$M$1000,$N31)&amp;"")</f>
        <v/>
      </c>
      <c r="N31">
        <f>IFERROR(MATCH(ROW()-4,rOrden_RO,0),"")</f>
        <v/>
      </c>
    </row>
    <row r="32">
      <c r="A32" s="60">
        <f>IF($N32="","",INDEX('Cronograma R. Operacional'!$A$5:$A$1000,$N32))</f>
        <v/>
      </c>
      <c r="B32" s="68">
        <f>IF($N32="","",INDEX('Cronograma R. Operacional'!$B$5:$B$1000,$N32)&amp;"")</f>
        <v/>
      </c>
      <c r="C32" s="68">
        <f>IF($N32="","",INDEX('Cronograma R. Operacional'!$C$5:$C$1000,$N32)&amp;"")</f>
        <v/>
      </c>
      <c r="D32" s="74">
        <f>IF($N32="","",IF(INDEX('Cronograma R. Operacional'!$D$5:$D$1000,$N32)="","",INDEX('Cronograma R. Operacional'!$D$5:$D$1000,$N32)))</f>
        <v/>
      </c>
      <c r="E32" s="74">
        <f>IF($N32="","",IF(INDEX('Cronograma R. Operacional'!$E$5:$E$1000,$N32)="","",INDEX('Cronograma R. Operacional'!$E$5:$E$1000,$N32)))</f>
        <v/>
      </c>
      <c r="F32" s="60">
        <f>IF($N32="","",IF(NOT(ISNUMBER($E32)),"",IF($E32&lt;InicioCiclo,"Antes del ciclo",IF($E32&gt;=InicioCiclo+28,"Después del ciclo","Semana "&amp;(INT(($E32-InicioCiclo)/7)+1)))))</f>
        <v/>
      </c>
      <c r="G32" s="65">
        <f>IF($N32="","",IF(INDEX('Cronograma R. Operacional'!$G$5:$G$1000,$N32)="","",INDEX('Cronograma R. Operacional'!$G$5:$G$1000,$N32)))</f>
        <v/>
      </c>
      <c r="H32" s="65">
        <f>IF($N32="","",IF(INDEX('Cronograma R. Operacional'!$H$5:$H$1000,$N32)="","",INDEX('Cronograma R. Operacional'!$H$5:$H$1000,$N32)))</f>
        <v/>
      </c>
      <c r="I32" s="65">
        <f>IF($N32="","",IF(INDEX('Cronograma R. Operacional'!$I$5:$I$1000,$N32)="","",INDEX('Cronograma R. Operacional'!$I$5:$I$1000,$N32)))</f>
        <v/>
      </c>
      <c r="J32" s="65">
        <f>IF($N32="","",IF(INDEX('Cronograma R. Operacional'!$J$5:$J$1000,$N32)="","",INDEX('Cronograma R. Operacional'!$J$5:$J$1000,$N32)))</f>
        <v/>
      </c>
      <c r="K32" s="65">
        <f>IF($N32="","",INDEX('Cronograma R. Operacional'!$K$5:$K$1000,$N32))</f>
        <v/>
      </c>
      <c r="L32" s="60">
        <f>IF($N32="","",IF(N($K32)&gt;=1,"Completado",IF(AND(ISNUMBER($E32),$E32&lt;FechaRef),"Vencida",IF(N($K32)&gt;0,"En curso","Pendiente"))))</f>
        <v/>
      </c>
      <c r="M32" s="68">
        <f>IF($N32="","",INDEX('Cronograma R. Operacional'!$M$5:$M$1000,$N32)&amp;"")</f>
        <v/>
      </c>
      <c r="N32">
        <f>IFERROR(MATCH(ROW()-4,rOrden_RO,0),"")</f>
        <v/>
      </c>
    </row>
    <row r="33">
      <c r="A33" s="60">
        <f>IF($N33="","",INDEX('Cronograma R. Operacional'!$A$5:$A$1000,$N33))</f>
        <v/>
      </c>
      <c r="B33" s="68">
        <f>IF($N33="","",INDEX('Cronograma R. Operacional'!$B$5:$B$1000,$N33)&amp;"")</f>
        <v/>
      </c>
      <c r="C33" s="68">
        <f>IF($N33="","",INDEX('Cronograma R. Operacional'!$C$5:$C$1000,$N33)&amp;"")</f>
        <v/>
      </c>
      <c r="D33" s="74">
        <f>IF($N33="","",IF(INDEX('Cronograma R. Operacional'!$D$5:$D$1000,$N33)="","",INDEX('Cronograma R. Operacional'!$D$5:$D$1000,$N33)))</f>
        <v/>
      </c>
      <c r="E33" s="74">
        <f>IF($N33="","",IF(INDEX('Cronograma R. Operacional'!$E$5:$E$1000,$N33)="","",INDEX('Cronograma R. Operacional'!$E$5:$E$1000,$N33)))</f>
        <v/>
      </c>
      <c r="F33" s="60">
        <f>IF($N33="","",IF(NOT(ISNUMBER($E33)),"",IF($E33&lt;InicioCiclo,"Antes del ciclo",IF($E33&gt;=InicioCiclo+28,"Después del ciclo","Semana "&amp;(INT(($E33-InicioCiclo)/7)+1)))))</f>
        <v/>
      </c>
      <c r="G33" s="65">
        <f>IF($N33="","",IF(INDEX('Cronograma R. Operacional'!$G$5:$G$1000,$N33)="","",INDEX('Cronograma R. Operacional'!$G$5:$G$1000,$N33)))</f>
        <v/>
      </c>
      <c r="H33" s="65">
        <f>IF($N33="","",IF(INDEX('Cronograma R. Operacional'!$H$5:$H$1000,$N33)="","",INDEX('Cronograma R. Operacional'!$H$5:$H$1000,$N33)))</f>
        <v/>
      </c>
      <c r="I33" s="65">
        <f>IF($N33="","",IF(INDEX('Cronograma R. Operacional'!$I$5:$I$1000,$N33)="","",INDEX('Cronograma R. Operacional'!$I$5:$I$1000,$N33)))</f>
        <v/>
      </c>
      <c r="J33" s="65">
        <f>IF($N33="","",IF(INDEX('Cronograma R. Operacional'!$J$5:$J$1000,$N33)="","",INDEX('Cronograma R. Operacional'!$J$5:$J$1000,$N33)))</f>
        <v/>
      </c>
      <c r="K33" s="65">
        <f>IF($N33="","",INDEX('Cronograma R. Operacional'!$K$5:$K$1000,$N33))</f>
        <v/>
      </c>
      <c r="L33" s="60">
        <f>IF($N33="","",IF(N($K33)&gt;=1,"Completado",IF(AND(ISNUMBER($E33),$E33&lt;FechaRef),"Vencida",IF(N($K33)&gt;0,"En curso","Pendiente"))))</f>
        <v/>
      </c>
      <c r="M33" s="68">
        <f>IF($N33="","",INDEX('Cronograma R. Operacional'!$M$5:$M$1000,$N33)&amp;"")</f>
        <v/>
      </c>
      <c r="N33">
        <f>IFERROR(MATCH(ROW()-4,rOrden_RO,0),"")</f>
        <v/>
      </c>
    </row>
    <row r="34">
      <c r="A34" s="60">
        <f>IF($N34="","",INDEX('Cronograma R. Operacional'!$A$5:$A$1000,$N34))</f>
        <v/>
      </c>
      <c r="B34" s="68">
        <f>IF($N34="","",INDEX('Cronograma R. Operacional'!$B$5:$B$1000,$N34)&amp;"")</f>
        <v/>
      </c>
      <c r="C34" s="68">
        <f>IF($N34="","",INDEX('Cronograma R. Operacional'!$C$5:$C$1000,$N34)&amp;"")</f>
        <v/>
      </c>
      <c r="D34" s="74">
        <f>IF($N34="","",IF(INDEX('Cronograma R. Operacional'!$D$5:$D$1000,$N34)="","",INDEX('Cronograma R. Operacional'!$D$5:$D$1000,$N34)))</f>
        <v/>
      </c>
      <c r="E34" s="74">
        <f>IF($N34="","",IF(INDEX('Cronograma R. Operacional'!$E$5:$E$1000,$N34)="","",INDEX('Cronograma R. Operacional'!$E$5:$E$1000,$N34)))</f>
        <v/>
      </c>
      <c r="F34" s="60">
        <f>IF($N34="","",IF(NOT(ISNUMBER($E34)),"",IF($E34&lt;InicioCiclo,"Antes del ciclo",IF($E34&gt;=InicioCiclo+28,"Después del ciclo","Semana "&amp;(INT(($E34-InicioCiclo)/7)+1)))))</f>
        <v/>
      </c>
      <c r="G34" s="65">
        <f>IF($N34="","",IF(INDEX('Cronograma R. Operacional'!$G$5:$G$1000,$N34)="","",INDEX('Cronograma R. Operacional'!$G$5:$G$1000,$N34)))</f>
        <v/>
      </c>
      <c r="H34" s="65">
        <f>IF($N34="","",IF(INDEX('Cronograma R. Operacional'!$H$5:$H$1000,$N34)="","",INDEX('Cronograma R. Operacional'!$H$5:$H$1000,$N34)))</f>
        <v/>
      </c>
      <c r="I34" s="65">
        <f>IF($N34="","",IF(INDEX('Cronograma R. Operacional'!$I$5:$I$1000,$N34)="","",INDEX('Cronograma R. Operacional'!$I$5:$I$1000,$N34)))</f>
        <v/>
      </c>
      <c r="J34" s="65">
        <f>IF($N34="","",IF(INDEX('Cronograma R. Operacional'!$J$5:$J$1000,$N34)="","",INDEX('Cronograma R. Operacional'!$J$5:$J$1000,$N34)))</f>
        <v/>
      </c>
      <c r="K34" s="65">
        <f>IF($N34="","",INDEX('Cronograma R. Operacional'!$K$5:$K$1000,$N34))</f>
        <v/>
      </c>
      <c r="L34" s="60">
        <f>IF($N34="","",IF(N($K34)&gt;=1,"Completado",IF(AND(ISNUMBER($E34),$E34&lt;FechaRef),"Vencida",IF(N($K34)&gt;0,"En curso","Pendiente"))))</f>
        <v/>
      </c>
      <c r="M34" s="68">
        <f>IF($N34="","",INDEX('Cronograma R. Operacional'!$M$5:$M$1000,$N34)&amp;"")</f>
        <v/>
      </c>
      <c r="N34">
        <f>IFERROR(MATCH(ROW()-4,rOrden_RO,0),"")</f>
        <v/>
      </c>
    </row>
    <row r="35">
      <c r="A35" s="60">
        <f>IF($N35="","",INDEX('Cronograma R. Operacional'!$A$5:$A$1000,$N35))</f>
        <v/>
      </c>
      <c r="B35" s="68">
        <f>IF($N35="","",INDEX('Cronograma R. Operacional'!$B$5:$B$1000,$N35)&amp;"")</f>
        <v/>
      </c>
      <c r="C35" s="68">
        <f>IF($N35="","",INDEX('Cronograma R. Operacional'!$C$5:$C$1000,$N35)&amp;"")</f>
        <v/>
      </c>
      <c r="D35" s="74">
        <f>IF($N35="","",IF(INDEX('Cronograma R. Operacional'!$D$5:$D$1000,$N35)="","",INDEX('Cronograma R. Operacional'!$D$5:$D$1000,$N35)))</f>
        <v/>
      </c>
      <c r="E35" s="74">
        <f>IF($N35="","",IF(INDEX('Cronograma R. Operacional'!$E$5:$E$1000,$N35)="","",INDEX('Cronograma R. Operacional'!$E$5:$E$1000,$N35)))</f>
        <v/>
      </c>
      <c r="F35" s="60">
        <f>IF($N35="","",IF(NOT(ISNUMBER($E35)),"",IF($E35&lt;InicioCiclo,"Antes del ciclo",IF($E35&gt;=InicioCiclo+28,"Después del ciclo","Semana "&amp;(INT(($E35-InicioCiclo)/7)+1)))))</f>
        <v/>
      </c>
      <c r="G35" s="65">
        <f>IF($N35="","",IF(INDEX('Cronograma R. Operacional'!$G$5:$G$1000,$N35)="","",INDEX('Cronograma R. Operacional'!$G$5:$G$1000,$N35)))</f>
        <v/>
      </c>
      <c r="H35" s="65">
        <f>IF($N35="","",IF(INDEX('Cronograma R. Operacional'!$H$5:$H$1000,$N35)="","",INDEX('Cronograma R. Operacional'!$H$5:$H$1000,$N35)))</f>
        <v/>
      </c>
      <c r="I35" s="65">
        <f>IF($N35="","",IF(INDEX('Cronograma R. Operacional'!$I$5:$I$1000,$N35)="","",INDEX('Cronograma R. Operacional'!$I$5:$I$1000,$N35)))</f>
        <v/>
      </c>
      <c r="J35" s="65">
        <f>IF($N35="","",IF(INDEX('Cronograma R. Operacional'!$J$5:$J$1000,$N35)="","",INDEX('Cronograma R. Operacional'!$J$5:$J$1000,$N35)))</f>
        <v/>
      </c>
      <c r="K35" s="65">
        <f>IF($N35="","",INDEX('Cronograma R. Operacional'!$K$5:$K$1000,$N35))</f>
        <v/>
      </c>
      <c r="L35" s="60">
        <f>IF($N35="","",IF(N($K35)&gt;=1,"Completado",IF(AND(ISNUMBER($E35),$E35&lt;FechaRef),"Vencida",IF(N($K35)&gt;0,"En curso","Pendiente"))))</f>
        <v/>
      </c>
      <c r="M35" s="68">
        <f>IF($N35="","",INDEX('Cronograma R. Operacional'!$M$5:$M$1000,$N35)&amp;"")</f>
        <v/>
      </c>
      <c r="N35">
        <f>IFERROR(MATCH(ROW()-4,rOrden_RO,0),"")</f>
        <v/>
      </c>
    </row>
    <row r="36">
      <c r="A36" s="60">
        <f>IF($N36="","",INDEX('Cronograma R. Operacional'!$A$5:$A$1000,$N36))</f>
        <v/>
      </c>
      <c r="B36" s="68">
        <f>IF($N36="","",INDEX('Cronograma R. Operacional'!$B$5:$B$1000,$N36)&amp;"")</f>
        <v/>
      </c>
      <c r="C36" s="68">
        <f>IF($N36="","",INDEX('Cronograma R. Operacional'!$C$5:$C$1000,$N36)&amp;"")</f>
        <v/>
      </c>
      <c r="D36" s="74">
        <f>IF($N36="","",IF(INDEX('Cronograma R. Operacional'!$D$5:$D$1000,$N36)="","",INDEX('Cronograma R. Operacional'!$D$5:$D$1000,$N36)))</f>
        <v/>
      </c>
      <c r="E36" s="74">
        <f>IF($N36="","",IF(INDEX('Cronograma R. Operacional'!$E$5:$E$1000,$N36)="","",INDEX('Cronograma R. Operacional'!$E$5:$E$1000,$N36)))</f>
        <v/>
      </c>
      <c r="F36" s="60">
        <f>IF($N36="","",IF(NOT(ISNUMBER($E36)),"",IF($E36&lt;InicioCiclo,"Antes del ciclo",IF($E36&gt;=InicioCiclo+28,"Después del ciclo","Semana "&amp;(INT(($E36-InicioCiclo)/7)+1)))))</f>
        <v/>
      </c>
      <c r="G36" s="65">
        <f>IF($N36="","",IF(INDEX('Cronograma R. Operacional'!$G$5:$G$1000,$N36)="","",INDEX('Cronograma R. Operacional'!$G$5:$G$1000,$N36)))</f>
        <v/>
      </c>
      <c r="H36" s="65">
        <f>IF($N36="","",IF(INDEX('Cronograma R. Operacional'!$H$5:$H$1000,$N36)="","",INDEX('Cronograma R. Operacional'!$H$5:$H$1000,$N36)))</f>
        <v/>
      </c>
      <c r="I36" s="65">
        <f>IF($N36="","",IF(INDEX('Cronograma R. Operacional'!$I$5:$I$1000,$N36)="","",INDEX('Cronograma R. Operacional'!$I$5:$I$1000,$N36)))</f>
        <v/>
      </c>
      <c r="J36" s="65">
        <f>IF($N36="","",IF(INDEX('Cronograma R. Operacional'!$J$5:$J$1000,$N36)="","",INDEX('Cronograma R. Operacional'!$J$5:$J$1000,$N36)))</f>
        <v/>
      </c>
      <c r="K36" s="65">
        <f>IF($N36="","",INDEX('Cronograma R. Operacional'!$K$5:$K$1000,$N36))</f>
        <v/>
      </c>
      <c r="L36" s="60">
        <f>IF($N36="","",IF(N($K36)&gt;=1,"Completado",IF(AND(ISNUMBER($E36),$E36&lt;FechaRef),"Vencida",IF(N($K36)&gt;0,"En curso","Pendiente"))))</f>
        <v/>
      </c>
      <c r="M36" s="68">
        <f>IF($N36="","",INDEX('Cronograma R. Operacional'!$M$5:$M$1000,$N36)&amp;"")</f>
        <v/>
      </c>
      <c r="N36">
        <f>IFERROR(MATCH(ROW()-4,rOrden_RO,0),"")</f>
        <v/>
      </c>
    </row>
    <row r="37">
      <c r="A37" s="60">
        <f>IF($N37="","",INDEX('Cronograma R. Operacional'!$A$5:$A$1000,$N37))</f>
        <v/>
      </c>
      <c r="B37" s="68">
        <f>IF($N37="","",INDEX('Cronograma R. Operacional'!$B$5:$B$1000,$N37)&amp;"")</f>
        <v/>
      </c>
      <c r="C37" s="68">
        <f>IF($N37="","",INDEX('Cronograma R. Operacional'!$C$5:$C$1000,$N37)&amp;"")</f>
        <v/>
      </c>
      <c r="D37" s="74">
        <f>IF($N37="","",IF(INDEX('Cronograma R. Operacional'!$D$5:$D$1000,$N37)="","",INDEX('Cronograma R. Operacional'!$D$5:$D$1000,$N37)))</f>
        <v/>
      </c>
      <c r="E37" s="74">
        <f>IF($N37="","",IF(INDEX('Cronograma R. Operacional'!$E$5:$E$1000,$N37)="","",INDEX('Cronograma R. Operacional'!$E$5:$E$1000,$N37)))</f>
        <v/>
      </c>
      <c r="F37" s="60">
        <f>IF($N37="","",IF(NOT(ISNUMBER($E37)),"",IF($E37&lt;InicioCiclo,"Antes del ciclo",IF($E37&gt;=InicioCiclo+28,"Después del ciclo","Semana "&amp;(INT(($E37-InicioCiclo)/7)+1)))))</f>
        <v/>
      </c>
      <c r="G37" s="65">
        <f>IF($N37="","",IF(INDEX('Cronograma R. Operacional'!$G$5:$G$1000,$N37)="","",INDEX('Cronograma R. Operacional'!$G$5:$G$1000,$N37)))</f>
        <v/>
      </c>
      <c r="H37" s="65">
        <f>IF($N37="","",IF(INDEX('Cronograma R. Operacional'!$H$5:$H$1000,$N37)="","",INDEX('Cronograma R. Operacional'!$H$5:$H$1000,$N37)))</f>
        <v/>
      </c>
      <c r="I37" s="65">
        <f>IF($N37="","",IF(INDEX('Cronograma R. Operacional'!$I$5:$I$1000,$N37)="","",INDEX('Cronograma R. Operacional'!$I$5:$I$1000,$N37)))</f>
        <v/>
      </c>
      <c r="J37" s="65">
        <f>IF($N37="","",IF(INDEX('Cronograma R. Operacional'!$J$5:$J$1000,$N37)="","",INDEX('Cronograma R. Operacional'!$J$5:$J$1000,$N37)))</f>
        <v/>
      </c>
      <c r="K37" s="65">
        <f>IF($N37="","",INDEX('Cronograma R. Operacional'!$K$5:$K$1000,$N37))</f>
        <v/>
      </c>
      <c r="L37" s="60">
        <f>IF($N37="","",IF(N($K37)&gt;=1,"Completado",IF(AND(ISNUMBER($E37),$E37&lt;FechaRef),"Vencida",IF(N($K37)&gt;0,"En curso","Pendiente"))))</f>
        <v/>
      </c>
      <c r="M37" s="68">
        <f>IF($N37="","",INDEX('Cronograma R. Operacional'!$M$5:$M$1000,$N37)&amp;"")</f>
        <v/>
      </c>
      <c r="N37">
        <f>IFERROR(MATCH(ROW()-4,rOrden_RO,0),"")</f>
        <v/>
      </c>
    </row>
    <row r="38">
      <c r="A38" s="60">
        <f>IF($N38="","",INDEX('Cronograma R. Operacional'!$A$5:$A$1000,$N38))</f>
        <v/>
      </c>
      <c r="B38" s="68">
        <f>IF($N38="","",INDEX('Cronograma R. Operacional'!$B$5:$B$1000,$N38)&amp;"")</f>
        <v/>
      </c>
      <c r="C38" s="68">
        <f>IF($N38="","",INDEX('Cronograma R. Operacional'!$C$5:$C$1000,$N38)&amp;"")</f>
        <v/>
      </c>
      <c r="D38" s="74">
        <f>IF($N38="","",IF(INDEX('Cronograma R. Operacional'!$D$5:$D$1000,$N38)="","",INDEX('Cronograma R. Operacional'!$D$5:$D$1000,$N38)))</f>
        <v/>
      </c>
      <c r="E38" s="74">
        <f>IF($N38="","",IF(INDEX('Cronograma R. Operacional'!$E$5:$E$1000,$N38)="","",INDEX('Cronograma R. Operacional'!$E$5:$E$1000,$N38)))</f>
        <v/>
      </c>
      <c r="F38" s="60">
        <f>IF($N38="","",IF(NOT(ISNUMBER($E38)),"",IF($E38&lt;InicioCiclo,"Antes del ciclo",IF($E38&gt;=InicioCiclo+28,"Después del ciclo","Semana "&amp;(INT(($E38-InicioCiclo)/7)+1)))))</f>
        <v/>
      </c>
      <c r="G38" s="65">
        <f>IF($N38="","",IF(INDEX('Cronograma R. Operacional'!$G$5:$G$1000,$N38)="","",INDEX('Cronograma R. Operacional'!$G$5:$G$1000,$N38)))</f>
        <v/>
      </c>
      <c r="H38" s="65">
        <f>IF($N38="","",IF(INDEX('Cronograma R. Operacional'!$H$5:$H$1000,$N38)="","",INDEX('Cronograma R. Operacional'!$H$5:$H$1000,$N38)))</f>
        <v/>
      </c>
      <c r="I38" s="65">
        <f>IF($N38="","",IF(INDEX('Cronograma R. Operacional'!$I$5:$I$1000,$N38)="","",INDEX('Cronograma R. Operacional'!$I$5:$I$1000,$N38)))</f>
        <v/>
      </c>
      <c r="J38" s="65">
        <f>IF($N38="","",IF(INDEX('Cronograma R. Operacional'!$J$5:$J$1000,$N38)="","",INDEX('Cronograma R. Operacional'!$J$5:$J$1000,$N38)))</f>
        <v/>
      </c>
      <c r="K38" s="65">
        <f>IF($N38="","",INDEX('Cronograma R. Operacional'!$K$5:$K$1000,$N38))</f>
        <v/>
      </c>
      <c r="L38" s="60">
        <f>IF($N38="","",IF(N($K38)&gt;=1,"Completado",IF(AND(ISNUMBER($E38),$E38&lt;FechaRef),"Vencida",IF(N($K38)&gt;0,"En curso","Pendiente"))))</f>
        <v/>
      </c>
      <c r="M38" s="68">
        <f>IF($N38="","",INDEX('Cronograma R. Operacional'!$M$5:$M$1000,$N38)&amp;"")</f>
        <v/>
      </c>
      <c r="N38">
        <f>IFERROR(MATCH(ROW()-4,rOrden_RO,0),"")</f>
        <v/>
      </c>
    </row>
    <row r="39">
      <c r="A39" s="60">
        <f>IF($N39="","",INDEX('Cronograma R. Operacional'!$A$5:$A$1000,$N39))</f>
        <v/>
      </c>
      <c r="B39" s="68">
        <f>IF($N39="","",INDEX('Cronograma R. Operacional'!$B$5:$B$1000,$N39)&amp;"")</f>
        <v/>
      </c>
      <c r="C39" s="68">
        <f>IF($N39="","",INDEX('Cronograma R. Operacional'!$C$5:$C$1000,$N39)&amp;"")</f>
        <v/>
      </c>
      <c r="D39" s="74">
        <f>IF($N39="","",IF(INDEX('Cronograma R. Operacional'!$D$5:$D$1000,$N39)="","",INDEX('Cronograma R. Operacional'!$D$5:$D$1000,$N39)))</f>
        <v/>
      </c>
      <c r="E39" s="74">
        <f>IF($N39="","",IF(INDEX('Cronograma R. Operacional'!$E$5:$E$1000,$N39)="","",INDEX('Cronograma R. Operacional'!$E$5:$E$1000,$N39)))</f>
        <v/>
      </c>
      <c r="F39" s="60">
        <f>IF($N39="","",IF(NOT(ISNUMBER($E39)),"",IF($E39&lt;InicioCiclo,"Antes del ciclo",IF($E39&gt;=InicioCiclo+28,"Después del ciclo","Semana "&amp;(INT(($E39-InicioCiclo)/7)+1)))))</f>
        <v/>
      </c>
      <c r="G39" s="65">
        <f>IF($N39="","",IF(INDEX('Cronograma R. Operacional'!$G$5:$G$1000,$N39)="","",INDEX('Cronograma R. Operacional'!$G$5:$G$1000,$N39)))</f>
        <v/>
      </c>
      <c r="H39" s="65">
        <f>IF($N39="","",IF(INDEX('Cronograma R. Operacional'!$H$5:$H$1000,$N39)="","",INDEX('Cronograma R. Operacional'!$H$5:$H$1000,$N39)))</f>
        <v/>
      </c>
      <c r="I39" s="65">
        <f>IF($N39="","",IF(INDEX('Cronograma R. Operacional'!$I$5:$I$1000,$N39)="","",INDEX('Cronograma R. Operacional'!$I$5:$I$1000,$N39)))</f>
        <v/>
      </c>
      <c r="J39" s="65">
        <f>IF($N39="","",IF(INDEX('Cronograma R. Operacional'!$J$5:$J$1000,$N39)="","",INDEX('Cronograma R. Operacional'!$J$5:$J$1000,$N39)))</f>
        <v/>
      </c>
      <c r="K39" s="65">
        <f>IF($N39="","",INDEX('Cronograma R. Operacional'!$K$5:$K$1000,$N39))</f>
        <v/>
      </c>
      <c r="L39" s="60">
        <f>IF($N39="","",IF(N($K39)&gt;=1,"Completado",IF(AND(ISNUMBER($E39),$E39&lt;FechaRef),"Vencida",IF(N($K39)&gt;0,"En curso","Pendiente"))))</f>
        <v/>
      </c>
      <c r="M39" s="68">
        <f>IF($N39="","",INDEX('Cronograma R. Operacional'!$M$5:$M$1000,$N39)&amp;"")</f>
        <v/>
      </c>
      <c r="N39">
        <f>IFERROR(MATCH(ROW()-4,rOrden_RO,0),"")</f>
        <v/>
      </c>
    </row>
    <row r="40">
      <c r="A40" s="60">
        <f>IF($N40="","",INDEX('Cronograma R. Operacional'!$A$5:$A$1000,$N40))</f>
        <v/>
      </c>
      <c r="B40" s="68">
        <f>IF($N40="","",INDEX('Cronograma R. Operacional'!$B$5:$B$1000,$N40)&amp;"")</f>
        <v/>
      </c>
      <c r="C40" s="68">
        <f>IF($N40="","",INDEX('Cronograma R. Operacional'!$C$5:$C$1000,$N40)&amp;"")</f>
        <v/>
      </c>
      <c r="D40" s="74">
        <f>IF($N40="","",IF(INDEX('Cronograma R. Operacional'!$D$5:$D$1000,$N40)="","",INDEX('Cronograma R. Operacional'!$D$5:$D$1000,$N40)))</f>
        <v/>
      </c>
      <c r="E40" s="74">
        <f>IF($N40="","",IF(INDEX('Cronograma R. Operacional'!$E$5:$E$1000,$N40)="","",INDEX('Cronograma R. Operacional'!$E$5:$E$1000,$N40)))</f>
        <v/>
      </c>
      <c r="F40" s="60">
        <f>IF($N40="","",IF(NOT(ISNUMBER($E40)),"",IF($E40&lt;InicioCiclo,"Antes del ciclo",IF($E40&gt;=InicioCiclo+28,"Después del ciclo","Semana "&amp;(INT(($E40-InicioCiclo)/7)+1)))))</f>
        <v/>
      </c>
      <c r="G40" s="65">
        <f>IF($N40="","",IF(INDEX('Cronograma R. Operacional'!$G$5:$G$1000,$N40)="","",INDEX('Cronograma R. Operacional'!$G$5:$G$1000,$N40)))</f>
        <v/>
      </c>
      <c r="H40" s="65">
        <f>IF($N40="","",IF(INDEX('Cronograma R. Operacional'!$H$5:$H$1000,$N40)="","",INDEX('Cronograma R. Operacional'!$H$5:$H$1000,$N40)))</f>
        <v/>
      </c>
      <c r="I40" s="65">
        <f>IF($N40="","",IF(INDEX('Cronograma R. Operacional'!$I$5:$I$1000,$N40)="","",INDEX('Cronograma R. Operacional'!$I$5:$I$1000,$N40)))</f>
        <v/>
      </c>
      <c r="J40" s="65">
        <f>IF($N40="","",IF(INDEX('Cronograma R. Operacional'!$J$5:$J$1000,$N40)="","",INDEX('Cronograma R. Operacional'!$J$5:$J$1000,$N40)))</f>
        <v/>
      </c>
      <c r="K40" s="65">
        <f>IF($N40="","",INDEX('Cronograma R. Operacional'!$K$5:$K$1000,$N40))</f>
        <v/>
      </c>
      <c r="L40" s="60">
        <f>IF($N40="","",IF(N($K40)&gt;=1,"Completado",IF(AND(ISNUMBER($E40),$E40&lt;FechaRef),"Vencida",IF(N($K40)&gt;0,"En curso","Pendiente"))))</f>
        <v/>
      </c>
      <c r="M40" s="68">
        <f>IF($N40="","",INDEX('Cronograma R. Operacional'!$M$5:$M$1000,$N40)&amp;"")</f>
        <v/>
      </c>
      <c r="N40">
        <f>IFERROR(MATCH(ROW()-4,rOrden_RO,0),"")</f>
        <v/>
      </c>
    </row>
    <row r="41">
      <c r="A41" s="60">
        <f>IF($N41="","",INDEX('Cronograma R. Operacional'!$A$5:$A$1000,$N41))</f>
        <v/>
      </c>
      <c r="B41" s="68">
        <f>IF($N41="","",INDEX('Cronograma R. Operacional'!$B$5:$B$1000,$N41)&amp;"")</f>
        <v/>
      </c>
      <c r="C41" s="68">
        <f>IF($N41="","",INDEX('Cronograma R. Operacional'!$C$5:$C$1000,$N41)&amp;"")</f>
        <v/>
      </c>
      <c r="D41" s="74">
        <f>IF($N41="","",IF(INDEX('Cronograma R. Operacional'!$D$5:$D$1000,$N41)="","",INDEX('Cronograma R. Operacional'!$D$5:$D$1000,$N41)))</f>
        <v/>
      </c>
      <c r="E41" s="74">
        <f>IF($N41="","",IF(INDEX('Cronograma R. Operacional'!$E$5:$E$1000,$N41)="","",INDEX('Cronograma R. Operacional'!$E$5:$E$1000,$N41)))</f>
        <v/>
      </c>
      <c r="F41" s="60">
        <f>IF($N41="","",IF(NOT(ISNUMBER($E41)),"",IF($E41&lt;InicioCiclo,"Antes del ciclo",IF($E41&gt;=InicioCiclo+28,"Después del ciclo","Semana "&amp;(INT(($E41-InicioCiclo)/7)+1)))))</f>
        <v/>
      </c>
      <c r="G41" s="65">
        <f>IF($N41="","",IF(INDEX('Cronograma R. Operacional'!$G$5:$G$1000,$N41)="","",INDEX('Cronograma R. Operacional'!$G$5:$G$1000,$N41)))</f>
        <v/>
      </c>
      <c r="H41" s="65">
        <f>IF($N41="","",IF(INDEX('Cronograma R. Operacional'!$H$5:$H$1000,$N41)="","",INDEX('Cronograma R. Operacional'!$H$5:$H$1000,$N41)))</f>
        <v/>
      </c>
      <c r="I41" s="65">
        <f>IF($N41="","",IF(INDEX('Cronograma R. Operacional'!$I$5:$I$1000,$N41)="","",INDEX('Cronograma R. Operacional'!$I$5:$I$1000,$N41)))</f>
        <v/>
      </c>
      <c r="J41" s="65">
        <f>IF($N41="","",IF(INDEX('Cronograma R. Operacional'!$J$5:$J$1000,$N41)="","",INDEX('Cronograma R. Operacional'!$J$5:$J$1000,$N41)))</f>
        <v/>
      </c>
      <c r="K41" s="65">
        <f>IF($N41="","",INDEX('Cronograma R. Operacional'!$K$5:$K$1000,$N41))</f>
        <v/>
      </c>
      <c r="L41" s="60">
        <f>IF($N41="","",IF(N($K41)&gt;=1,"Completado",IF(AND(ISNUMBER($E41),$E41&lt;FechaRef),"Vencida",IF(N($K41)&gt;0,"En curso","Pendiente"))))</f>
        <v/>
      </c>
      <c r="M41" s="68">
        <f>IF($N41="","",INDEX('Cronograma R. Operacional'!$M$5:$M$1000,$N41)&amp;"")</f>
        <v/>
      </c>
      <c r="N41">
        <f>IFERROR(MATCH(ROW()-4,rOrden_RO,0),"")</f>
        <v/>
      </c>
    </row>
    <row r="42">
      <c r="A42" s="60">
        <f>IF($N42="","",INDEX('Cronograma R. Operacional'!$A$5:$A$1000,$N42))</f>
        <v/>
      </c>
      <c r="B42" s="68">
        <f>IF($N42="","",INDEX('Cronograma R. Operacional'!$B$5:$B$1000,$N42)&amp;"")</f>
        <v/>
      </c>
      <c r="C42" s="68">
        <f>IF($N42="","",INDEX('Cronograma R. Operacional'!$C$5:$C$1000,$N42)&amp;"")</f>
        <v/>
      </c>
      <c r="D42" s="74">
        <f>IF($N42="","",IF(INDEX('Cronograma R. Operacional'!$D$5:$D$1000,$N42)="","",INDEX('Cronograma R. Operacional'!$D$5:$D$1000,$N42)))</f>
        <v/>
      </c>
      <c r="E42" s="74">
        <f>IF($N42="","",IF(INDEX('Cronograma R. Operacional'!$E$5:$E$1000,$N42)="","",INDEX('Cronograma R. Operacional'!$E$5:$E$1000,$N42)))</f>
        <v/>
      </c>
      <c r="F42" s="60">
        <f>IF($N42="","",IF(NOT(ISNUMBER($E42)),"",IF($E42&lt;InicioCiclo,"Antes del ciclo",IF($E42&gt;=InicioCiclo+28,"Después del ciclo","Semana "&amp;(INT(($E42-InicioCiclo)/7)+1)))))</f>
        <v/>
      </c>
      <c r="G42" s="65">
        <f>IF($N42="","",IF(INDEX('Cronograma R. Operacional'!$G$5:$G$1000,$N42)="","",INDEX('Cronograma R. Operacional'!$G$5:$G$1000,$N42)))</f>
        <v/>
      </c>
      <c r="H42" s="65">
        <f>IF($N42="","",IF(INDEX('Cronograma R. Operacional'!$H$5:$H$1000,$N42)="","",INDEX('Cronograma R. Operacional'!$H$5:$H$1000,$N42)))</f>
        <v/>
      </c>
      <c r="I42" s="65">
        <f>IF($N42="","",IF(INDEX('Cronograma R. Operacional'!$I$5:$I$1000,$N42)="","",INDEX('Cronograma R. Operacional'!$I$5:$I$1000,$N42)))</f>
        <v/>
      </c>
      <c r="J42" s="65">
        <f>IF($N42="","",IF(INDEX('Cronograma R. Operacional'!$J$5:$J$1000,$N42)="","",INDEX('Cronograma R. Operacional'!$J$5:$J$1000,$N42)))</f>
        <v/>
      </c>
      <c r="K42" s="65">
        <f>IF($N42="","",INDEX('Cronograma R. Operacional'!$K$5:$K$1000,$N42))</f>
        <v/>
      </c>
      <c r="L42" s="60">
        <f>IF($N42="","",IF(N($K42)&gt;=1,"Completado",IF(AND(ISNUMBER($E42),$E42&lt;FechaRef),"Vencida",IF(N($K42)&gt;0,"En curso","Pendiente"))))</f>
        <v/>
      </c>
      <c r="M42" s="68">
        <f>IF($N42="","",INDEX('Cronograma R. Operacional'!$M$5:$M$1000,$N42)&amp;"")</f>
        <v/>
      </c>
      <c r="N42">
        <f>IFERROR(MATCH(ROW()-4,rOrden_RO,0),"")</f>
        <v/>
      </c>
    </row>
    <row r="43">
      <c r="A43" s="60">
        <f>IF($N43="","",INDEX('Cronograma R. Operacional'!$A$5:$A$1000,$N43))</f>
        <v/>
      </c>
      <c r="B43" s="68">
        <f>IF($N43="","",INDEX('Cronograma R. Operacional'!$B$5:$B$1000,$N43)&amp;"")</f>
        <v/>
      </c>
      <c r="C43" s="68">
        <f>IF($N43="","",INDEX('Cronograma R. Operacional'!$C$5:$C$1000,$N43)&amp;"")</f>
        <v/>
      </c>
      <c r="D43" s="74">
        <f>IF($N43="","",IF(INDEX('Cronograma R. Operacional'!$D$5:$D$1000,$N43)="","",INDEX('Cronograma R. Operacional'!$D$5:$D$1000,$N43)))</f>
        <v/>
      </c>
      <c r="E43" s="74">
        <f>IF($N43="","",IF(INDEX('Cronograma R. Operacional'!$E$5:$E$1000,$N43)="","",INDEX('Cronograma R. Operacional'!$E$5:$E$1000,$N43)))</f>
        <v/>
      </c>
      <c r="F43" s="60">
        <f>IF($N43="","",IF(NOT(ISNUMBER($E43)),"",IF($E43&lt;InicioCiclo,"Antes del ciclo",IF($E43&gt;=InicioCiclo+28,"Después del ciclo","Semana "&amp;(INT(($E43-InicioCiclo)/7)+1)))))</f>
        <v/>
      </c>
      <c r="G43" s="65">
        <f>IF($N43="","",IF(INDEX('Cronograma R. Operacional'!$G$5:$G$1000,$N43)="","",INDEX('Cronograma R. Operacional'!$G$5:$G$1000,$N43)))</f>
        <v/>
      </c>
      <c r="H43" s="65">
        <f>IF($N43="","",IF(INDEX('Cronograma R. Operacional'!$H$5:$H$1000,$N43)="","",INDEX('Cronograma R. Operacional'!$H$5:$H$1000,$N43)))</f>
        <v/>
      </c>
      <c r="I43" s="65">
        <f>IF($N43="","",IF(INDEX('Cronograma R. Operacional'!$I$5:$I$1000,$N43)="","",INDEX('Cronograma R. Operacional'!$I$5:$I$1000,$N43)))</f>
        <v/>
      </c>
      <c r="J43" s="65">
        <f>IF($N43="","",IF(INDEX('Cronograma R. Operacional'!$J$5:$J$1000,$N43)="","",INDEX('Cronograma R. Operacional'!$J$5:$J$1000,$N43)))</f>
        <v/>
      </c>
      <c r="K43" s="65">
        <f>IF($N43="","",INDEX('Cronograma R. Operacional'!$K$5:$K$1000,$N43))</f>
        <v/>
      </c>
      <c r="L43" s="60">
        <f>IF($N43="","",IF(N($K43)&gt;=1,"Completado",IF(AND(ISNUMBER($E43),$E43&lt;FechaRef),"Vencida",IF(N($K43)&gt;0,"En curso","Pendiente"))))</f>
        <v/>
      </c>
      <c r="M43" s="68">
        <f>IF($N43="","",INDEX('Cronograma R. Operacional'!$M$5:$M$1000,$N43)&amp;"")</f>
        <v/>
      </c>
      <c r="N43">
        <f>IFERROR(MATCH(ROW()-4,rOrden_RO,0),"")</f>
        <v/>
      </c>
    </row>
    <row r="44">
      <c r="A44" s="60">
        <f>IF($N44="","",INDEX('Cronograma R. Operacional'!$A$5:$A$1000,$N44))</f>
        <v/>
      </c>
      <c r="B44" s="68">
        <f>IF($N44="","",INDEX('Cronograma R. Operacional'!$B$5:$B$1000,$N44)&amp;"")</f>
        <v/>
      </c>
      <c r="C44" s="68">
        <f>IF($N44="","",INDEX('Cronograma R. Operacional'!$C$5:$C$1000,$N44)&amp;"")</f>
        <v/>
      </c>
      <c r="D44" s="74">
        <f>IF($N44="","",IF(INDEX('Cronograma R. Operacional'!$D$5:$D$1000,$N44)="","",INDEX('Cronograma R. Operacional'!$D$5:$D$1000,$N44)))</f>
        <v/>
      </c>
      <c r="E44" s="74">
        <f>IF($N44="","",IF(INDEX('Cronograma R. Operacional'!$E$5:$E$1000,$N44)="","",INDEX('Cronograma R. Operacional'!$E$5:$E$1000,$N44)))</f>
        <v/>
      </c>
      <c r="F44" s="60">
        <f>IF($N44="","",IF(NOT(ISNUMBER($E44)),"",IF($E44&lt;InicioCiclo,"Antes del ciclo",IF($E44&gt;=InicioCiclo+28,"Después del ciclo","Semana "&amp;(INT(($E44-InicioCiclo)/7)+1)))))</f>
        <v/>
      </c>
      <c r="G44" s="65">
        <f>IF($N44="","",IF(INDEX('Cronograma R. Operacional'!$G$5:$G$1000,$N44)="","",INDEX('Cronograma R. Operacional'!$G$5:$G$1000,$N44)))</f>
        <v/>
      </c>
      <c r="H44" s="65">
        <f>IF($N44="","",IF(INDEX('Cronograma R. Operacional'!$H$5:$H$1000,$N44)="","",INDEX('Cronograma R. Operacional'!$H$5:$H$1000,$N44)))</f>
        <v/>
      </c>
      <c r="I44" s="65">
        <f>IF($N44="","",IF(INDEX('Cronograma R. Operacional'!$I$5:$I$1000,$N44)="","",INDEX('Cronograma R. Operacional'!$I$5:$I$1000,$N44)))</f>
        <v/>
      </c>
      <c r="J44" s="65">
        <f>IF($N44="","",IF(INDEX('Cronograma R. Operacional'!$J$5:$J$1000,$N44)="","",INDEX('Cronograma R. Operacional'!$J$5:$J$1000,$N44)))</f>
        <v/>
      </c>
      <c r="K44" s="65">
        <f>IF($N44="","",INDEX('Cronograma R. Operacional'!$K$5:$K$1000,$N44))</f>
        <v/>
      </c>
      <c r="L44" s="60">
        <f>IF($N44="","",IF(N($K44)&gt;=1,"Completado",IF(AND(ISNUMBER($E44),$E44&lt;FechaRef),"Vencida",IF(N($K44)&gt;0,"En curso","Pendiente"))))</f>
        <v/>
      </c>
      <c r="M44" s="68">
        <f>IF($N44="","",INDEX('Cronograma R. Operacional'!$M$5:$M$1000,$N44)&amp;"")</f>
        <v/>
      </c>
      <c r="N44">
        <f>IFERROR(MATCH(ROW()-4,rOrden_RO,0),"")</f>
        <v/>
      </c>
    </row>
    <row r="45">
      <c r="A45" s="60">
        <f>IF($N45="","",INDEX('Cronograma R. Operacional'!$A$5:$A$1000,$N45))</f>
        <v/>
      </c>
      <c r="B45" s="68">
        <f>IF($N45="","",INDEX('Cronograma R. Operacional'!$B$5:$B$1000,$N45)&amp;"")</f>
        <v/>
      </c>
      <c r="C45" s="68">
        <f>IF($N45="","",INDEX('Cronograma R. Operacional'!$C$5:$C$1000,$N45)&amp;"")</f>
        <v/>
      </c>
      <c r="D45" s="74">
        <f>IF($N45="","",IF(INDEX('Cronograma R. Operacional'!$D$5:$D$1000,$N45)="","",INDEX('Cronograma R. Operacional'!$D$5:$D$1000,$N45)))</f>
        <v/>
      </c>
      <c r="E45" s="74">
        <f>IF($N45="","",IF(INDEX('Cronograma R. Operacional'!$E$5:$E$1000,$N45)="","",INDEX('Cronograma R. Operacional'!$E$5:$E$1000,$N45)))</f>
        <v/>
      </c>
      <c r="F45" s="60">
        <f>IF($N45="","",IF(NOT(ISNUMBER($E45)),"",IF($E45&lt;InicioCiclo,"Antes del ciclo",IF($E45&gt;=InicioCiclo+28,"Después del ciclo","Semana "&amp;(INT(($E45-InicioCiclo)/7)+1)))))</f>
        <v/>
      </c>
      <c r="G45" s="65">
        <f>IF($N45="","",IF(INDEX('Cronograma R. Operacional'!$G$5:$G$1000,$N45)="","",INDEX('Cronograma R. Operacional'!$G$5:$G$1000,$N45)))</f>
        <v/>
      </c>
      <c r="H45" s="65">
        <f>IF($N45="","",IF(INDEX('Cronograma R. Operacional'!$H$5:$H$1000,$N45)="","",INDEX('Cronograma R. Operacional'!$H$5:$H$1000,$N45)))</f>
        <v/>
      </c>
      <c r="I45" s="65">
        <f>IF($N45="","",IF(INDEX('Cronograma R. Operacional'!$I$5:$I$1000,$N45)="","",INDEX('Cronograma R. Operacional'!$I$5:$I$1000,$N45)))</f>
        <v/>
      </c>
      <c r="J45" s="65">
        <f>IF($N45="","",IF(INDEX('Cronograma R. Operacional'!$J$5:$J$1000,$N45)="","",INDEX('Cronograma R. Operacional'!$J$5:$J$1000,$N45)))</f>
        <v/>
      </c>
      <c r="K45" s="65">
        <f>IF($N45="","",INDEX('Cronograma R. Operacional'!$K$5:$K$1000,$N45))</f>
        <v/>
      </c>
      <c r="L45" s="60">
        <f>IF($N45="","",IF(N($K45)&gt;=1,"Completado",IF(AND(ISNUMBER($E45),$E45&lt;FechaRef),"Vencida",IF(N($K45)&gt;0,"En curso","Pendiente"))))</f>
        <v/>
      </c>
      <c r="M45" s="68">
        <f>IF($N45="","",INDEX('Cronograma R. Operacional'!$M$5:$M$1000,$N45)&amp;"")</f>
        <v/>
      </c>
      <c r="N45">
        <f>IFERROR(MATCH(ROW()-4,rOrden_RO,0),"")</f>
        <v/>
      </c>
    </row>
    <row r="46">
      <c r="A46" s="60">
        <f>IF($N46="","",INDEX('Cronograma R. Operacional'!$A$5:$A$1000,$N46))</f>
        <v/>
      </c>
      <c r="B46" s="68">
        <f>IF($N46="","",INDEX('Cronograma R. Operacional'!$B$5:$B$1000,$N46)&amp;"")</f>
        <v/>
      </c>
      <c r="C46" s="68">
        <f>IF($N46="","",INDEX('Cronograma R. Operacional'!$C$5:$C$1000,$N46)&amp;"")</f>
        <v/>
      </c>
      <c r="D46" s="74">
        <f>IF($N46="","",IF(INDEX('Cronograma R. Operacional'!$D$5:$D$1000,$N46)="","",INDEX('Cronograma R. Operacional'!$D$5:$D$1000,$N46)))</f>
        <v/>
      </c>
      <c r="E46" s="74">
        <f>IF($N46="","",IF(INDEX('Cronograma R. Operacional'!$E$5:$E$1000,$N46)="","",INDEX('Cronograma R. Operacional'!$E$5:$E$1000,$N46)))</f>
        <v/>
      </c>
      <c r="F46" s="60">
        <f>IF($N46="","",IF(NOT(ISNUMBER($E46)),"",IF($E46&lt;InicioCiclo,"Antes del ciclo",IF($E46&gt;=InicioCiclo+28,"Después del ciclo","Semana "&amp;(INT(($E46-InicioCiclo)/7)+1)))))</f>
        <v/>
      </c>
      <c r="G46" s="65">
        <f>IF($N46="","",IF(INDEX('Cronograma R. Operacional'!$G$5:$G$1000,$N46)="","",INDEX('Cronograma R. Operacional'!$G$5:$G$1000,$N46)))</f>
        <v/>
      </c>
      <c r="H46" s="65">
        <f>IF($N46="","",IF(INDEX('Cronograma R. Operacional'!$H$5:$H$1000,$N46)="","",INDEX('Cronograma R. Operacional'!$H$5:$H$1000,$N46)))</f>
        <v/>
      </c>
      <c r="I46" s="65">
        <f>IF($N46="","",IF(INDEX('Cronograma R. Operacional'!$I$5:$I$1000,$N46)="","",INDEX('Cronograma R. Operacional'!$I$5:$I$1000,$N46)))</f>
        <v/>
      </c>
      <c r="J46" s="65">
        <f>IF($N46="","",IF(INDEX('Cronograma R. Operacional'!$J$5:$J$1000,$N46)="","",INDEX('Cronograma R. Operacional'!$J$5:$J$1000,$N46)))</f>
        <v/>
      </c>
      <c r="K46" s="65">
        <f>IF($N46="","",INDEX('Cronograma R. Operacional'!$K$5:$K$1000,$N46))</f>
        <v/>
      </c>
      <c r="L46" s="60">
        <f>IF($N46="","",IF(N($K46)&gt;=1,"Completado",IF(AND(ISNUMBER($E46),$E46&lt;FechaRef),"Vencida",IF(N($K46)&gt;0,"En curso","Pendiente"))))</f>
        <v/>
      </c>
      <c r="M46" s="68">
        <f>IF($N46="","",INDEX('Cronograma R. Operacional'!$M$5:$M$1000,$N46)&amp;"")</f>
        <v/>
      </c>
      <c r="N46">
        <f>IFERROR(MATCH(ROW()-4,rOrden_RO,0),"")</f>
        <v/>
      </c>
    </row>
    <row r="47">
      <c r="A47" s="60">
        <f>IF($N47="","",INDEX('Cronograma R. Operacional'!$A$5:$A$1000,$N47))</f>
        <v/>
      </c>
      <c r="B47" s="68">
        <f>IF($N47="","",INDEX('Cronograma R. Operacional'!$B$5:$B$1000,$N47)&amp;"")</f>
        <v/>
      </c>
      <c r="C47" s="68">
        <f>IF($N47="","",INDEX('Cronograma R. Operacional'!$C$5:$C$1000,$N47)&amp;"")</f>
        <v/>
      </c>
      <c r="D47" s="74">
        <f>IF($N47="","",IF(INDEX('Cronograma R. Operacional'!$D$5:$D$1000,$N47)="","",INDEX('Cronograma R. Operacional'!$D$5:$D$1000,$N47)))</f>
        <v/>
      </c>
      <c r="E47" s="74">
        <f>IF($N47="","",IF(INDEX('Cronograma R. Operacional'!$E$5:$E$1000,$N47)="","",INDEX('Cronograma R. Operacional'!$E$5:$E$1000,$N47)))</f>
        <v/>
      </c>
      <c r="F47" s="60">
        <f>IF($N47="","",IF(NOT(ISNUMBER($E47)),"",IF($E47&lt;InicioCiclo,"Antes del ciclo",IF($E47&gt;=InicioCiclo+28,"Después del ciclo","Semana "&amp;(INT(($E47-InicioCiclo)/7)+1)))))</f>
        <v/>
      </c>
      <c r="G47" s="65">
        <f>IF($N47="","",IF(INDEX('Cronograma R. Operacional'!$G$5:$G$1000,$N47)="","",INDEX('Cronograma R. Operacional'!$G$5:$G$1000,$N47)))</f>
        <v/>
      </c>
      <c r="H47" s="65">
        <f>IF($N47="","",IF(INDEX('Cronograma R. Operacional'!$H$5:$H$1000,$N47)="","",INDEX('Cronograma R. Operacional'!$H$5:$H$1000,$N47)))</f>
        <v/>
      </c>
      <c r="I47" s="65">
        <f>IF($N47="","",IF(INDEX('Cronograma R. Operacional'!$I$5:$I$1000,$N47)="","",INDEX('Cronograma R. Operacional'!$I$5:$I$1000,$N47)))</f>
        <v/>
      </c>
      <c r="J47" s="65">
        <f>IF($N47="","",IF(INDEX('Cronograma R. Operacional'!$J$5:$J$1000,$N47)="","",INDEX('Cronograma R. Operacional'!$J$5:$J$1000,$N47)))</f>
        <v/>
      </c>
      <c r="K47" s="65">
        <f>IF($N47="","",INDEX('Cronograma R. Operacional'!$K$5:$K$1000,$N47))</f>
        <v/>
      </c>
      <c r="L47" s="60">
        <f>IF($N47="","",IF(N($K47)&gt;=1,"Completado",IF(AND(ISNUMBER($E47),$E47&lt;FechaRef),"Vencida",IF(N($K47)&gt;0,"En curso","Pendiente"))))</f>
        <v/>
      </c>
      <c r="M47" s="68">
        <f>IF($N47="","",INDEX('Cronograma R. Operacional'!$M$5:$M$1000,$N47)&amp;"")</f>
        <v/>
      </c>
      <c r="N47">
        <f>IFERROR(MATCH(ROW()-4,rOrden_RO,0),"")</f>
        <v/>
      </c>
    </row>
    <row r="48">
      <c r="A48" s="60">
        <f>IF($N48="","",INDEX('Cronograma R. Operacional'!$A$5:$A$1000,$N48))</f>
        <v/>
      </c>
      <c r="B48" s="68">
        <f>IF($N48="","",INDEX('Cronograma R. Operacional'!$B$5:$B$1000,$N48)&amp;"")</f>
        <v/>
      </c>
      <c r="C48" s="68">
        <f>IF($N48="","",INDEX('Cronograma R. Operacional'!$C$5:$C$1000,$N48)&amp;"")</f>
        <v/>
      </c>
      <c r="D48" s="74">
        <f>IF($N48="","",IF(INDEX('Cronograma R. Operacional'!$D$5:$D$1000,$N48)="","",INDEX('Cronograma R. Operacional'!$D$5:$D$1000,$N48)))</f>
        <v/>
      </c>
      <c r="E48" s="74">
        <f>IF($N48="","",IF(INDEX('Cronograma R. Operacional'!$E$5:$E$1000,$N48)="","",INDEX('Cronograma R. Operacional'!$E$5:$E$1000,$N48)))</f>
        <v/>
      </c>
      <c r="F48" s="60">
        <f>IF($N48="","",IF(NOT(ISNUMBER($E48)),"",IF($E48&lt;InicioCiclo,"Antes del ciclo",IF($E48&gt;=InicioCiclo+28,"Después del ciclo","Semana "&amp;(INT(($E48-InicioCiclo)/7)+1)))))</f>
        <v/>
      </c>
      <c r="G48" s="65">
        <f>IF($N48="","",IF(INDEX('Cronograma R. Operacional'!$G$5:$G$1000,$N48)="","",INDEX('Cronograma R. Operacional'!$G$5:$G$1000,$N48)))</f>
        <v/>
      </c>
      <c r="H48" s="65">
        <f>IF($N48="","",IF(INDEX('Cronograma R. Operacional'!$H$5:$H$1000,$N48)="","",INDEX('Cronograma R. Operacional'!$H$5:$H$1000,$N48)))</f>
        <v/>
      </c>
      <c r="I48" s="65">
        <f>IF($N48="","",IF(INDEX('Cronograma R. Operacional'!$I$5:$I$1000,$N48)="","",INDEX('Cronograma R. Operacional'!$I$5:$I$1000,$N48)))</f>
        <v/>
      </c>
      <c r="J48" s="65">
        <f>IF($N48="","",IF(INDEX('Cronograma R. Operacional'!$J$5:$J$1000,$N48)="","",INDEX('Cronograma R. Operacional'!$J$5:$J$1000,$N48)))</f>
        <v/>
      </c>
      <c r="K48" s="65">
        <f>IF($N48="","",INDEX('Cronograma R. Operacional'!$K$5:$K$1000,$N48))</f>
        <v/>
      </c>
      <c r="L48" s="60">
        <f>IF($N48="","",IF(N($K48)&gt;=1,"Completado",IF(AND(ISNUMBER($E48),$E48&lt;FechaRef),"Vencida",IF(N($K48)&gt;0,"En curso","Pendiente"))))</f>
        <v/>
      </c>
      <c r="M48" s="68">
        <f>IF($N48="","",INDEX('Cronograma R. Operacional'!$M$5:$M$1000,$N48)&amp;"")</f>
        <v/>
      </c>
      <c r="N48">
        <f>IFERROR(MATCH(ROW()-4,rOrden_RO,0),"")</f>
        <v/>
      </c>
    </row>
    <row r="49">
      <c r="A49" s="60">
        <f>IF($N49="","",INDEX('Cronograma R. Operacional'!$A$5:$A$1000,$N49))</f>
        <v/>
      </c>
      <c r="B49" s="68">
        <f>IF($N49="","",INDEX('Cronograma R. Operacional'!$B$5:$B$1000,$N49)&amp;"")</f>
        <v/>
      </c>
      <c r="C49" s="68">
        <f>IF($N49="","",INDEX('Cronograma R. Operacional'!$C$5:$C$1000,$N49)&amp;"")</f>
        <v/>
      </c>
      <c r="D49" s="74">
        <f>IF($N49="","",IF(INDEX('Cronograma R. Operacional'!$D$5:$D$1000,$N49)="","",INDEX('Cronograma R. Operacional'!$D$5:$D$1000,$N49)))</f>
        <v/>
      </c>
      <c r="E49" s="74">
        <f>IF($N49="","",IF(INDEX('Cronograma R. Operacional'!$E$5:$E$1000,$N49)="","",INDEX('Cronograma R. Operacional'!$E$5:$E$1000,$N49)))</f>
        <v/>
      </c>
      <c r="F49" s="60">
        <f>IF($N49="","",IF(NOT(ISNUMBER($E49)),"",IF($E49&lt;InicioCiclo,"Antes del ciclo",IF($E49&gt;=InicioCiclo+28,"Después del ciclo","Semana "&amp;(INT(($E49-InicioCiclo)/7)+1)))))</f>
        <v/>
      </c>
      <c r="G49" s="65">
        <f>IF($N49="","",IF(INDEX('Cronograma R. Operacional'!$G$5:$G$1000,$N49)="","",INDEX('Cronograma R. Operacional'!$G$5:$G$1000,$N49)))</f>
        <v/>
      </c>
      <c r="H49" s="65">
        <f>IF($N49="","",IF(INDEX('Cronograma R. Operacional'!$H$5:$H$1000,$N49)="","",INDEX('Cronograma R. Operacional'!$H$5:$H$1000,$N49)))</f>
        <v/>
      </c>
      <c r="I49" s="65">
        <f>IF($N49="","",IF(INDEX('Cronograma R. Operacional'!$I$5:$I$1000,$N49)="","",INDEX('Cronograma R. Operacional'!$I$5:$I$1000,$N49)))</f>
        <v/>
      </c>
      <c r="J49" s="65">
        <f>IF($N49="","",IF(INDEX('Cronograma R. Operacional'!$J$5:$J$1000,$N49)="","",INDEX('Cronograma R. Operacional'!$J$5:$J$1000,$N49)))</f>
        <v/>
      </c>
      <c r="K49" s="65">
        <f>IF($N49="","",INDEX('Cronograma R. Operacional'!$K$5:$K$1000,$N49))</f>
        <v/>
      </c>
      <c r="L49" s="60">
        <f>IF($N49="","",IF(N($K49)&gt;=1,"Completado",IF(AND(ISNUMBER($E49),$E49&lt;FechaRef),"Vencida",IF(N($K49)&gt;0,"En curso","Pendiente"))))</f>
        <v/>
      </c>
      <c r="M49" s="68">
        <f>IF($N49="","",INDEX('Cronograma R. Operacional'!$M$5:$M$1000,$N49)&amp;"")</f>
        <v/>
      </c>
      <c r="N49">
        <f>IFERROR(MATCH(ROW()-4,rOrden_RO,0),"")</f>
        <v/>
      </c>
    </row>
    <row r="50">
      <c r="A50" s="60">
        <f>IF($N50="","",INDEX('Cronograma R. Operacional'!$A$5:$A$1000,$N50))</f>
        <v/>
      </c>
      <c r="B50" s="68">
        <f>IF($N50="","",INDEX('Cronograma R. Operacional'!$B$5:$B$1000,$N50)&amp;"")</f>
        <v/>
      </c>
      <c r="C50" s="68">
        <f>IF($N50="","",INDEX('Cronograma R. Operacional'!$C$5:$C$1000,$N50)&amp;"")</f>
        <v/>
      </c>
      <c r="D50" s="74">
        <f>IF($N50="","",IF(INDEX('Cronograma R. Operacional'!$D$5:$D$1000,$N50)="","",INDEX('Cronograma R. Operacional'!$D$5:$D$1000,$N50)))</f>
        <v/>
      </c>
      <c r="E50" s="74">
        <f>IF($N50="","",IF(INDEX('Cronograma R. Operacional'!$E$5:$E$1000,$N50)="","",INDEX('Cronograma R. Operacional'!$E$5:$E$1000,$N50)))</f>
        <v/>
      </c>
      <c r="F50" s="60">
        <f>IF($N50="","",IF(NOT(ISNUMBER($E50)),"",IF($E50&lt;InicioCiclo,"Antes del ciclo",IF($E50&gt;=InicioCiclo+28,"Después del ciclo","Semana "&amp;(INT(($E50-InicioCiclo)/7)+1)))))</f>
        <v/>
      </c>
      <c r="G50" s="65">
        <f>IF($N50="","",IF(INDEX('Cronograma R. Operacional'!$G$5:$G$1000,$N50)="","",INDEX('Cronograma R. Operacional'!$G$5:$G$1000,$N50)))</f>
        <v/>
      </c>
      <c r="H50" s="65">
        <f>IF($N50="","",IF(INDEX('Cronograma R. Operacional'!$H$5:$H$1000,$N50)="","",INDEX('Cronograma R. Operacional'!$H$5:$H$1000,$N50)))</f>
        <v/>
      </c>
      <c r="I50" s="65">
        <f>IF($N50="","",IF(INDEX('Cronograma R. Operacional'!$I$5:$I$1000,$N50)="","",INDEX('Cronograma R. Operacional'!$I$5:$I$1000,$N50)))</f>
        <v/>
      </c>
      <c r="J50" s="65">
        <f>IF($N50="","",IF(INDEX('Cronograma R. Operacional'!$J$5:$J$1000,$N50)="","",INDEX('Cronograma R. Operacional'!$J$5:$J$1000,$N50)))</f>
        <v/>
      </c>
      <c r="K50" s="65">
        <f>IF($N50="","",INDEX('Cronograma R. Operacional'!$K$5:$K$1000,$N50))</f>
        <v/>
      </c>
      <c r="L50" s="60">
        <f>IF($N50="","",IF(N($K50)&gt;=1,"Completado",IF(AND(ISNUMBER($E50),$E50&lt;FechaRef),"Vencida",IF(N($K50)&gt;0,"En curso","Pendiente"))))</f>
        <v/>
      </c>
      <c r="M50" s="68">
        <f>IF($N50="","",INDEX('Cronograma R. Operacional'!$M$5:$M$1000,$N50)&amp;"")</f>
        <v/>
      </c>
      <c r="N50">
        <f>IFERROR(MATCH(ROW()-4,rOrden_RO,0),"")</f>
        <v/>
      </c>
    </row>
    <row r="51">
      <c r="A51" s="60">
        <f>IF($N51="","",INDEX('Cronograma R. Operacional'!$A$5:$A$1000,$N51))</f>
        <v/>
      </c>
      <c r="B51" s="68">
        <f>IF($N51="","",INDEX('Cronograma R. Operacional'!$B$5:$B$1000,$N51)&amp;"")</f>
        <v/>
      </c>
      <c r="C51" s="68">
        <f>IF($N51="","",INDEX('Cronograma R. Operacional'!$C$5:$C$1000,$N51)&amp;"")</f>
        <v/>
      </c>
      <c r="D51" s="74">
        <f>IF($N51="","",IF(INDEX('Cronograma R. Operacional'!$D$5:$D$1000,$N51)="","",INDEX('Cronograma R. Operacional'!$D$5:$D$1000,$N51)))</f>
        <v/>
      </c>
      <c r="E51" s="74">
        <f>IF($N51="","",IF(INDEX('Cronograma R. Operacional'!$E$5:$E$1000,$N51)="","",INDEX('Cronograma R. Operacional'!$E$5:$E$1000,$N51)))</f>
        <v/>
      </c>
      <c r="F51" s="60">
        <f>IF($N51="","",IF(NOT(ISNUMBER($E51)),"",IF($E51&lt;InicioCiclo,"Antes del ciclo",IF($E51&gt;=InicioCiclo+28,"Después del ciclo","Semana "&amp;(INT(($E51-InicioCiclo)/7)+1)))))</f>
        <v/>
      </c>
      <c r="G51" s="65">
        <f>IF($N51="","",IF(INDEX('Cronograma R. Operacional'!$G$5:$G$1000,$N51)="","",INDEX('Cronograma R. Operacional'!$G$5:$G$1000,$N51)))</f>
        <v/>
      </c>
      <c r="H51" s="65">
        <f>IF($N51="","",IF(INDEX('Cronograma R. Operacional'!$H$5:$H$1000,$N51)="","",INDEX('Cronograma R. Operacional'!$H$5:$H$1000,$N51)))</f>
        <v/>
      </c>
      <c r="I51" s="65">
        <f>IF($N51="","",IF(INDEX('Cronograma R. Operacional'!$I$5:$I$1000,$N51)="","",INDEX('Cronograma R. Operacional'!$I$5:$I$1000,$N51)))</f>
        <v/>
      </c>
      <c r="J51" s="65">
        <f>IF($N51="","",IF(INDEX('Cronograma R. Operacional'!$J$5:$J$1000,$N51)="","",INDEX('Cronograma R. Operacional'!$J$5:$J$1000,$N51)))</f>
        <v/>
      </c>
      <c r="K51" s="65">
        <f>IF($N51="","",INDEX('Cronograma R. Operacional'!$K$5:$K$1000,$N51))</f>
        <v/>
      </c>
      <c r="L51" s="60">
        <f>IF($N51="","",IF(N($K51)&gt;=1,"Completado",IF(AND(ISNUMBER($E51),$E51&lt;FechaRef),"Vencida",IF(N($K51)&gt;0,"En curso","Pendiente"))))</f>
        <v/>
      </c>
      <c r="M51" s="68">
        <f>IF($N51="","",INDEX('Cronograma R. Operacional'!$M$5:$M$1000,$N51)&amp;"")</f>
        <v/>
      </c>
      <c r="N51">
        <f>IFERROR(MATCH(ROW()-4,rOrden_RO,0),"")</f>
        <v/>
      </c>
    </row>
    <row r="52">
      <c r="A52" s="60">
        <f>IF($N52="","",INDEX('Cronograma R. Operacional'!$A$5:$A$1000,$N52))</f>
        <v/>
      </c>
      <c r="B52" s="68">
        <f>IF($N52="","",INDEX('Cronograma R. Operacional'!$B$5:$B$1000,$N52)&amp;"")</f>
        <v/>
      </c>
      <c r="C52" s="68">
        <f>IF($N52="","",INDEX('Cronograma R. Operacional'!$C$5:$C$1000,$N52)&amp;"")</f>
        <v/>
      </c>
      <c r="D52" s="74">
        <f>IF($N52="","",IF(INDEX('Cronograma R. Operacional'!$D$5:$D$1000,$N52)="","",INDEX('Cronograma R. Operacional'!$D$5:$D$1000,$N52)))</f>
        <v/>
      </c>
      <c r="E52" s="74">
        <f>IF($N52="","",IF(INDEX('Cronograma R. Operacional'!$E$5:$E$1000,$N52)="","",INDEX('Cronograma R. Operacional'!$E$5:$E$1000,$N52)))</f>
        <v/>
      </c>
      <c r="F52" s="60">
        <f>IF($N52="","",IF(NOT(ISNUMBER($E52)),"",IF($E52&lt;InicioCiclo,"Antes del ciclo",IF($E52&gt;=InicioCiclo+28,"Después del ciclo","Semana "&amp;(INT(($E52-InicioCiclo)/7)+1)))))</f>
        <v/>
      </c>
      <c r="G52" s="65">
        <f>IF($N52="","",IF(INDEX('Cronograma R. Operacional'!$G$5:$G$1000,$N52)="","",INDEX('Cronograma R. Operacional'!$G$5:$G$1000,$N52)))</f>
        <v/>
      </c>
      <c r="H52" s="65">
        <f>IF($N52="","",IF(INDEX('Cronograma R. Operacional'!$H$5:$H$1000,$N52)="","",INDEX('Cronograma R. Operacional'!$H$5:$H$1000,$N52)))</f>
        <v/>
      </c>
      <c r="I52" s="65">
        <f>IF($N52="","",IF(INDEX('Cronograma R. Operacional'!$I$5:$I$1000,$N52)="","",INDEX('Cronograma R. Operacional'!$I$5:$I$1000,$N52)))</f>
        <v/>
      </c>
      <c r="J52" s="65">
        <f>IF($N52="","",IF(INDEX('Cronograma R. Operacional'!$J$5:$J$1000,$N52)="","",INDEX('Cronograma R. Operacional'!$J$5:$J$1000,$N52)))</f>
        <v/>
      </c>
      <c r="K52" s="65">
        <f>IF($N52="","",INDEX('Cronograma R. Operacional'!$K$5:$K$1000,$N52))</f>
        <v/>
      </c>
      <c r="L52" s="60">
        <f>IF($N52="","",IF(N($K52)&gt;=1,"Completado",IF(AND(ISNUMBER($E52),$E52&lt;FechaRef),"Vencida",IF(N($K52)&gt;0,"En curso","Pendiente"))))</f>
        <v/>
      </c>
      <c r="M52" s="68">
        <f>IF($N52="","",INDEX('Cronograma R. Operacional'!$M$5:$M$1000,$N52)&amp;"")</f>
        <v/>
      </c>
      <c r="N52">
        <f>IFERROR(MATCH(ROW()-4,rOrden_RO,0),"")</f>
        <v/>
      </c>
    </row>
    <row r="53">
      <c r="A53" s="60">
        <f>IF($N53="","",INDEX('Cronograma R. Operacional'!$A$5:$A$1000,$N53))</f>
        <v/>
      </c>
      <c r="B53" s="68">
        <f>IF($N53="","",INDEX('Cronograma R. Operacional'!$B$5:$B$1000,$N53)&amp;"")</f>
        <v/>
      </c>
      <c r="C53" s="68">
        <f>IF($N53="","",INDEX('Cronograma R. Operacional'!$C$5:$C$1000,$N53)&amp;"")</f>
        <v/>
      </c>
      <c r="D53" s="74">
        <f>IF($N53="","",IF(INDEX('Cronograma R. Operacional'!$D$5:$D$1000,$N53)="","",INDEX('Cronograma R. Operacional'!$D$5:$D$1000,$N53)))</f>
        <v/>
      </c>
      <c r="E53" s="74">
        <f>IF($N53="","",IF(INDEX('Cronograma R. Operacional'!$E$5:$E$1000,$N53)="","",INDEX('Cronograma R. Operacional'!$E$5:$E$1000,$N53)))</f>
        <v/>
      </c>
      <c r="F53" s="60">
        <f>IF($N53="","",IF(NOT(ISNUMBER($E53)),"",IF($E53&lt;InicioCiclo,"Antes del ciclo",IF($E53&gt;=InicioCiclo+28,"Después del ciclo","Semana "&amp;(INT(($E53-InicioCiclo)/7)+1)))))</f>
        <v/>
      </c>
      <c r="G53" s="65">
        <f>IF($N53="","",IF(INDEX('Cronograma R. Operacional'!$G$5:$G$1000,$N53)="","",INDEX('Cronograma R. Operacional'!$G$5:$G$1000,$N53)))</f>
        <v/>
      </c>
      <c r="H53" s="65">
        <f>IF($N53="","",IF(INDEX('Cronograma R. Operacional'!$H$5:$H$1000,$N53)="","",INDEX('Cronograma R. Operacional'!$H$5:$H$1000,$N53)))</f>
        <v/>
      </c>
      <c r="I53" s="65">
        <f>IF($N53="","",IF(INDEX('Cronograma R. Operacional'!$I$5:$I$1000,$N53)="","",INDEX('Cronograma R. Operacional'!$I$5:$I$1000,$N53)))</f>
        <v/>
      </c>
      <c r="J53" s="65">
        <f>IF($N53="","",IF(INDEX('Cronograma R. Operacional'!$J$5:$J$1000,$N53)="","",INDEX('Cronograma R. Operacional'!$J$5:$J$1000,$N53)))</f>
        <v/>
      </c>
      <c r="K53" s="65">
        <f>IF($N53="","",INDEX('Cronograma R. Operacional'!$K$5:$K$1000,$N53))</f>
        <v/>
      </c>
      <c r="L53" s="60">
        <f>IF($N53="","",IF(N($K53)&gt;=1,"Completado",IF(AND(ISNUMBER($E53),$E53&lt;FechaRef),"Vencida",IF(N($K53)&gt;0,"En curso","Pendiente"))))</f>
        <v/>
      </c>
      <c r="M53" s="68">
        <f>IF($N53="","",INDEX('Cronograma R. Operacional'!$M$5:$M$1000,$N53)&amp;"")</f>
        <v/>
      </c>
      <c r="N53">
        <f>IFERROR(MATCH(ROW()-4,rOrden_RO,0),"")</f>
        <v/>
      </c>
    </row>
    <row r="54">
      <c r="A54" s="60">
        <f>IF($N54="","",INDEX('Cronograma R. Operacional'!$A$5:$A$1000,$N54))</f>
        <v/>
      </c>
      <c r="B54" s="68">
        <f>IF($N54="","",INDEX('Cronograma R. Operacional'!$B$5:$B$1000,$N54)&amp;"")</f>
        <v/>
      </c>
      <c r="C54" s="68">
        <f>IF($N54="","",INDEX('Cronograma R. Operacional'!$C$5:$C$1000,$N54)&amp;"")</f>
        <v/>
      </c>
      <c r="D54" s="74">
        <f>IF($N54="","",IF(INDEX('Cronograma R. Operacional'!$D$5:$D$1000,$N54)="","",INDEX('Cronograma R. Operacional'!$D$5:$D$1000,$N54)))</f>
        <v/>
      </c>
      <c r="E54" s="74">
        <f>IF($N54="","",IF(INDEX('Cronograma R. Operacional'!$E$5:$E$1000,$N54)="","",INDEX('Cronograma R. Operacional'!$E$5:$E$1000,$N54)))</f>
        <v/>
      </c>
      <c r="F54" s="60">
        <f>IF($N54="","",IF(NOT(ISNUMBER($E54)),"",IF($E54&lt;InicioCiclo,"Antes del ciclo",IF($E54&gt;=InicioCiclo+28,"Después del ciclo","Semana "&amp;(INT(($E54-InicioCiclo)/7)+1)))))</f>
        <v/>
      </c>
      <c r="G54" s="65">
        <f>IF($N54="","",IF(INDEX('Cronograma R. Operacional'!$G$5:$G$1000,$N54)="","",INDEX('Cronograma R. Operacional'!$G$5:$G$1000,$N54)))</f>
        <v/>
      </c>
      <c r="H54" s="65">
        <f>IF($N54="","",IF(INDEX('Cronograma R. Operacional'!$H$5:$H$1000,$N54)="","",INDEX('Cronograma R. Operacional'!$H$5:$H$1000,$N54)))</f>
        <v/>
      </c>
      <c r="I54" s="65">
        <f>IF($N54="","",IF(INDEX('Cronograma R. Operacional'!$I$5:$I$1000,$N54)="","",INDEX('Cronograma R. Operacional'!$I$5:$I$1000,$N54)))</f>
        <v/>
      </c>
      <c r="J54" s="65">
        <f>IF($N54="","",IF(INDEX('Cronograma R. Operacional'!$J$5:$J$1000,$N54)="","",INDEX('Cronograma R. Operacional'!$J$5:$J$1000,$N54)))</f>
        <v/>
      </c>
      <c r="K54" s="65">
        <f>IF($N54="","",INDEX('Cronograma R. Operacional'!$K$5:$K$1000,$N54))</f>
        <v/>
      </c>
      <c r="L54" s="60">
        <f>IF($N54="","",IF(N($K54)&gt;=1,"Completado",IF(AND(ISNUMBER($E54),$E54&lt;FechaRef),"Vencida",IF(N($K54)&gt;0,"En curso","Pendiente"))))</f>
        <v/>
      </c>
      <c r="M54" s="68">
        <f>IF($N54="","",INDEX('Cronograma R. Operacional'!$M$5:$M$1000,$N54)&amp;"")</f>
        <v/>
      </c>
      <c r="N54">
        <f>IFERROR(MATCH(ROW()-4,rOrden_RO,0),"")</f>
        <v/>
      </c>
    </row>
    <row r="55">
      <c r="A55" s="60">
        <f>IF($N55="","",INDEX('Cronograma R. Operacional'!$A$5:$A$1000,$N55))</f>
        <v/>
      </c>
      <c r="B55" s="68">
        <f>IF($N55="","",INDEX('Cronograma R. Operacional'!$B$5:$B$1000,$N55)&amp;"")</f>
        <v/>
      </c>
      <c r="C55" s="68">
        <f>IF($N55="","",INDEX('Cronograma R. Operacional'!$C$5:$C$1000,$N55)&amp;"")</f>
        <v/>
      </c>
      <c r="D55" s="74">
        <f>IF($N55="","",IF(INDEX('Cronograma R. Operacional'!$D$5:$D$1000,$N55)="","",INDEX('Cronograma R. Operacional'!$D$5:$D$1000,$N55)))</f>
        <v/>
      </c>
      <c r="E55" s="74">
        <f>IF($N55="","",IF(INDEX('Cronograma R. Operacional'!$E$5:$E$1000,$N55)="","",INDEX('Cronograma R. Operacional'!$E$5:$E$1000,$N55)))</f>
        <v/>
      </c>
      <c r="F55" s="60">
        <f>IF($N55="","",IF(NOT(ISNUMBER($E55)),"",IF($E55&lt;InicioCiclo,"Antes del ciclo",IF($E55&gt;=InicioCiclo+28,"Después del ciclo","Semana "&amp;(INT(($E55-InicioCiclo)/7)+1)))))</f>
        <v/>
      </c>
      <c r="G55" s="65">
        <f>IF($N55="","",IF(INDEX('Cronograma R. Operacional'!$G$5:$G$1000,$N55)="","",INDEX('Cronograma R. Operacional'!$G$5:$G$1000,$N55)))</f>
        <v/>
      </c>
      <c r="H55" s="65">
        <f>IF($N55="","",IF(INDEX('Cronograma R. Operacional'!$H$5:$H$1000,$N55)="","",INDEX('Cronograma R. Operacional'!$H$5:$H$1000,$N55)))</f>
        <v/>
      </c>
      <c r="I55" s="65">
        <f>IF($N55="","",IF(INDEX('Cronograma R. Operacional'!$I$5:$I$1000,$N55)="","",INDEX('Cronograma R. Operacional'!$I$5:$I$1000,$N55)))</f>
        <v/>
      </c>
      <c r="J55" s="65">
        <f>IF($N55="","",IF(INDEX('Cronograma R. Operacional'!$J$5:$J$1000,$N55)="","",INDEX('Cronograma R. Operacional'!$J$5:$J$1000,$N55)))</f>
        <v/>
      </c>
      <c r="K55" s="65">
        <f>IF($N55="","",INDEX('Cronograma R. Operacional'!$K$5:$K$1000,$N55))</f>
        <v/>
      </c>
      <c r="L55" s="60">
        <f>IF($N55="","",IF(N($K55)&gt;=1,"Completado",IF(AND(ISNUMBER($E55),$E55&lt;FechaRef),"Vencida",IF(N($K55)&gt;0,"En curso","Pendiente"))))</f>
        <v/>
      </c>
      <c r="M55" s="68">
        <f>IF($N55="","",INDEX('Cronograma R. Operacional'!$M$5:$M$1000,$N55)&amp;"")</f>
        <v/>
      </c>
      <c r="N55">
        <f>IFERROR(MATCH(ROW()-4,rOrden_RO,0),"")</f>
        <v/>
      </c>
    </row>
    <row r="56">
      <c r="A56" s="60">
        <f>IF($N56="","",INDEX('Cronograma R. Operacional'!$A$5:$A$1000,$N56))</f>
        <v/>
      </c>
      <c r="B56" s="68">
        <f>IF($N56="","",INDEX('Cronograma R. Operacional'!$B$5:$B$1000,$N56)&amp;"")</f>
        <v/>
      </c>
      <c r="C56" s="68">
        <f>IF($N56="","",INDEX('Cronograma R. Operacional'!$C$5:$C$1000,$N56)&amp;"")</f>
        <v/>
      </c>
      <c r="D56" s="74">
        <f>IF($N56="","",IF(INDEX('Cronograma R. Operacional'!$D$5:$D$1000,$N56)="","",INDEX('Cronograma R. Operacional'!$D$5:$D$1000,$N56)))</f>
        <v/>
      </c>
      <c r="E56" s="74">
        <f>IF($N56="","",IF(INDEX('Cronograma R. Operacional'!$E$5:$E$1000,$N56)="","",INDEX('Cronograma R. Operacional'!$E$5:$E$1000,$N56)))</f>
        <v/>
      </c>
      <c r="F56" s="60">
        <f>IF($N56="","",IF(NOT(ISNUMBER($E56)),"",IF($E56&lt;InicioCiclo,"Antes del ciclo",IF($E56&gt;=InicioCiclo+28,"Después del ciclo","Semana "&amp;(INT(($E56-InicioCiclo)/7)+1)))))</f>
        <v/>
      </c>
      <c r="G56" s="65">
        <f>IF($N56="","",IF(INDEX('Cronograma R. Operacional'!$G$5:$G$1000,$N56)="","",INDEX('Cronograma R. Operacional'!$G$5:$G$1000,$N56)))</f>
        <v/>
      </c>
      <c r="H56" s="65">
        <f>IF($N56="","",IF(INDEX('Cronograma R. Operacional'!$H$5:$H$1000,$N56)="","",INDEX('Cronograma R. Operacional'!$H$5:$H$1000,$N56)))</f>
        <v/>
      </c>
      <c r="I56" s="65">
        <f>IF($N56="","",IF(INDEX('Cronograma R. Operacional'!$I$5:$I$1000,$N56)="","",INDEX('Cronograma R. Operacional'!$I$5:$I$1000,$N56)))</f>
        <v/>
      </c>
      <c r="J56" s="65">
        <f>IF($N56="","",IF(INDEX('Cronograma R. Operacional'!$J$5:$J$1000,$N56)="","",INDEX('Cronograma R. Operacional'!$J$5:$J$1000,$N56)))</f>
        <v/>
      </c>
      <c r="K56" s="65">
        <f>IF($N56="","",INDEX('Cronograma R. Operacional'!$K$5:$K$1000,$N56))</f>
        <v/>
      </c>
      <c r="L56" s="60">
        <f>IF($N56="","",IF(N($K56)&gt;=1,"Completado",IF(AND(ISNUMBER($E56),$E56&lt;FechaRef),"Vencida",IF(N($K56)&gt;0,"En curso","Pendiente"))))</f>
        <v/>
      </c>
      <c r="M56" s="68">
        <f>IF($N56="","",INDEX('Cronograma R. Operacional'!$M$5:$M$1000,$N56)&amp;"")</f>
        <v/>
      </c>
      <c r="N56">
        <f>IFERROR(MATCH(ROW()-4,rOrden_RO,0),"")</f>
        <v/>
      </c>
    </row>
    <row r="57">
      <c r="A57" s="60">
        <f>IF($N57="","",INDEX('Cronograma R. Operacional'!$A$5:$A$1000,$N57))</f>
        <v/>
      </c>
      <c r="B57" s="68">
        <f>IF($N57="","",INDEX('Cronograma R. Operacional'!$B$5:$B$1000,$N57)&amp;"")</f>
        <v/>
      </c>
      <c r="C57" s="68">
        <f>IF($N57="","",INDEX('Cronograma R. Operacional'!$C$5:$C$1000,$N57)&amp;"")</f>
        <v/>
      </c>
      <c r="D57" s="74">
        <f>IF($N57="","",IF(INDEX('Cronograma R. Operacional'!$D$5:$D$1000,$N57)="","",INDEX('Cronograma R. Operacional'!$D$5:$D$1000,$N57)))</f>
        <v/>
      </c>
      <c r="E57" s="74">
        <f>IF($N57="","",IF(INDEX('Cronograma R. Operacional'!$E$5:$E$1000,$N57)="","",INDEX('Cronograma R. Operacional'!$E$5:$E$1000,$N57)))</f>
        <v/>
      </c>
      <c r="F57" s="60">
        <f>IF($N57="","",IF(NOT(ISNUMBER($E57)),"",IF($E57&lt;InicioCiclo,"Antes del ciclo",IF($E57&gt;=InicioCiclo+28,"Después del ciclo","Semana "&amp;(INT(($E57-InicioCiclo)/7)+1)))))</f>
        <v/>
      </c>
      <c r="G57" s="65">
        <f>IF($N57="","",IF(INDEX('Cronograma R. Operacional'!$G$5:$G$1000,$N57)="","",INDEX('Cronograma R. Operacional'!$G$5:$G$1000,$N57)))</f>
        <v/>
      </c>
      <c r="H57" s="65">
        <f>IF($N57="","",IF(INDEX('Cronograma R. Operacional'!$H$5:$H$1000,$N57)="","",INDEX('Cronograma R. Operacional'!$H$5:$H$1000,$N57)))</f>
        <v/>
      </c>
      <c r="I57" s="65">
        <f>IF($N57="","",IF(INDEX('Cronograma R. Operacional'!$I$5:$I$1000,$N57)="","",INDEX('Cronograma R. Operacional'!$I$5:$I$1000,$N57)))</f>
        <v/>
      </c>
      <c r="J57" s="65">
        <f>IF($N57="","",IF(INDEX('Cronograma R. Operacional'!$J$5:$J$1000,$N57)="","",INDEX('Cronograma R. Operacional'!$J$5:$J$1000,$N57)))</f>
        <v/>
      </c>
      <c r="K57" s="65">
        <f>IF($N57="","",INDEX('Cronograma R. Operacional'!$K$5:$K$1000,$N57))</f>
        <v/>
      </c>
      <c r="L57" s="60">
        <f>IF($N57="","",IF(N($K57)&gt;=1,"Completado",IF(AND(ISNUMBER($E57),$E57&lt;FechaRef),"Vencida",IF(N($K57)&gt;0,"En curso","Pendiente"))))</f>
        <v/>
      </c>
      <c r="M57" s="68">
        <f>IF($N57="","",INDEX('Cronograma R. Operacional'!$M$5:$M$1000,$N57)&amp;"")</f>
        <v/>
      </c>
      <c r="N57">
        <f>IFERROR(MATCH(ROW()-4,rOrden_RO,0),"")</f>
        <v/>
      </c>
    </row>
    <row r="58">
      <c r="A58" s="60">
        <f>IF($N58="","",INDEX('Cronograma R. Operacional'!$A$5:$A$1000,$N58))</f>
        <v/>
      </c>
      <c r="B58" s="68">
        <f>IF($N58="","",INDEX('Cronograma R. Operacional'!$B$5:$B$1000,$N58)&amp;"")</f>
        <v/>
      </c>
      <c r="C58" s="68">
        <f>IF($N58="","",INDEX('Cronograma R. Operacional'!$C$5:$C$1000,$N58)&amp;"")</f>
        <v/>
      </c>
      <c r="D58" s="74">
        <f>IF($N58="","",IF(INDEX('Cronograma R. Operacional'!$D$5:$D$1000,$N58)="","",INDEX('Cronograma R. Operacional'!$D$5:$D$1000,$N58)))</f>
        <v/>
      </c>
      <c r="E58" s="74">
        <f>IF($N58="","",IF(INDEX('Cronograma R. Operacional'!$E$5:$E$1000,$N58)="","",INDEX('Cronograma R. Operacional'!$E$5:$E$1000,$N58)))</f>
        <v/>
      </c>
      <c r="F58" s="60">
        <f>IF($N58="","",IF(NOT(ISNUMBER($E58)),"",IF($E58&lt;InicioCiclo,"Antes del ciclo",IF($E58&gt;=InicioCiclo+28,"Después del ciclo","Semana "&amp;(INT(($E58-InicioCiclo)/7)+1)))))</f>
        <v/>
      </c>
      <c r="G58" s="65">
        <f>IF($N58="","",IF(INDEX('Cronograma R. Operacional'!$G$5:$G$1000,$N58)="","",INDEX('Cronograma R. Operacional'!$G$5:$G$1000,$N58)))</f>
        <v/>
      </c>
      <c r="H58" s="65">
        <f>IF($N58="","",IF(INDEX('Cronograma R. Operacional'!$H$5:$H$1000,$N58)="","",INDEX('Cronograma R. Operacional'!$H$5:$H$1000,$N58)))</f>
        <v/>
      </c>
      <c r="I58" s="65">
        <f>IF($N58="","",IF(INDEX('Cronograma R. Operacional'!$I$5:$I$1000,$N58)="","",INDEX('Cronograma R. Operacional'!$I$5:$I$1000,$N58)))</f>
        <v/>
      </c>
      <c r="J58" s="65">
        <f>IF($N58="","",IF(INDEX('Cronograma R. Operacional'!$J$5:$J$1000,$N58)="","",INDEX('Cronograma R. Operacional'!$J$5:$J$1000,$N58)))</f>
        <v/>
      </c>
      <c r="K58" s="65">
        <f>IF($N58="","",INDEX('Cronograma R. Operacional'!$K$5:$K$1000,$N58))</f>
        <v/>
      </c>
      <c r="L58" s="60">
        <f>IF($N58="","",IF(N($K58)&gt;=1,"Completado",IF(AND(ISNUMBER($E58),$E58&lt;FechaRef),"Vencida",IF(N($K58)&gt;0,"En curso","Pendiente"))))</f>
        <v/>
      </c>
      <c r="M58" s="68">
        <f>IF($N58="","",INDEX('Cronograma R. Operacional'!$M$5:$M$1000,$N58)&amp;"")</f>
        <v/>
      </c>
      <c r="N58">
        <f>IFERROR(MATCH(ROW()-4,rOrden_RO,0),"")</f>
        <v/>
      </c>
    </row>
    <row r="59">
      <c r="A59" s="60">
        <f>IF($N59="","",INDEX('Cronograma R. Operacional'!$A$5:$A$1000,$N59))</f>
        <v/>
      </c>
      <c r="B59" s="68">
        <f>IF($N59="","",INDEX('Cronograma R. Operacional'!$B$5:$B$1000,$N59)&amp;"")</f>
        <v/>
      </c>
      <c r="C59" s="68">
        <f>IF($N59="","",INDEX('Cronograma R. Operacional'!$C$5:$C$1000,$N59)&amp;"")</f>
        <v/>
      </c>
      <c r="D59" s="74">
        <f>IF($N59="","",IF(INDEX('Cronograma R. Operacional'!$D$5:$D$1000,$N59)="","",INDEX('Cronograma R. Operacional'!$D$5:$D$1000,$N59)))</f>
        <v/>
      </c>
      <c r="E59" s="74">
        <f>IF($N59="","",IF(INDEX('Cronograma R. Operacional'!$E$5:$E$1000,$N59)="","",INDEX('Cronograma R. Operacional'!$E$5:$E$1000,$N59)))</f>
        <v/>
      </c>
      <c r="F59" s="60">
        <f>IF($N59="","",IF(NOT(ISNUMBER($E59)),"",IF($E59&lt;InicioCiclo,"Antes del ciclo",IF($E59&gt;=InicioCiclo+28,"Después del ciclo","Semana "&amp;(INT(($E59-InicioCiclo)/7)+1)))))</f>
        <v/>
      </c>
      <c r="G59" s="65">
        <f>IF($N59="","",IF(INDEX('Cronograma R. Operacional'!$G$5:$G$1000,$N59)="","",INDEX('Cronograma R. Operacional'!$G$5:$G$1000,$N59)))</f>
        <v/>
      </c>
      <c r="H59" s="65">
        <f>IF($N59="","",IF(INDEX('Cronograma R. Operacional'!$H$5:$H$1000,$N59)="","",INDEX('Cronograma R. Operacional'!$H$5:$H$1000,$N59)))</f>
        <v/>
      </c>
      <c r="I59" s="65">
        <f>IF($N59="","",IF(INDEX('Cronograma R. Operacional'!$I$5:$I$1000,$N59)="","",INDEX('Cronograma R. Operacional'!$I$5:$I$1000,$N59)))</f>
        <v/>
      </c>
      <c r="J59" s="65">
        <f>IF($N59="","",IF(INDEX('Cronograma R. Operacional'!$J$5:$J$1000,$N59)="","",INDEX('Cronograma R. Operacional'!$J$5:$J$1000,$N59)))</f>
        <v/>
      </c>
      <c r="K59" s="65">
        <f>IF($N59="","",INDEX('Cronograma R. Operacional'!$K$5:$K$1000,$N59))</f>
        <v/>
      </c>
      <c r="L59" s="60">
        <f>IF($N59="","",IF(N($K59)&gt;=1,"Completado",IF(AND(ISNUMBER($E59),$E59&lt;FechaRef),"Vencida",IF(N($K59)&gt;0,"En curso","Pendiente"))))</f>
        <v/>
      </c>
      <c r="M59" s="68">
        <f>IF($N59="","",INDEX('Cronograma R. Operacional'!$M$5:$M$1000,$N59)&amp;"")</f>
        <v/>
      </c>
      <c r="N59">
        <f>IFERROR(MATCH(ROW()-4,rOrden_RO,0),"")</f>
        <v/>
      </c>
    </row>
    <row r="60">
      <c r="A60" s="60">
        <f>IF($N60="","",INDEX('Cronograma R. Operacional'!$A$5:$A$1000,$N60))</f>
        <v/>
      </c>
      <c r="B60" s="68">
        <f>IF($N60="","",INDEX('Cronograma R. Operacional'!$B$5:$B$1000,$N60)&amp;"")</f>
        <v/>
      </c>
      <c r="C60" s="68">
        <f>IF($N60="","",INDEX('Cronograma R. Operacional'!$C$5:$C$1000,$N60)&amp;"")</f>
        <v/>
      </c>
      <c r="D60" s="74">
        <f>IF($N60="","",IF(INDEX('Cronograma R. Operacional'!$D$5:$D$1000,$N60)="","",INDEX('Cronograma R. Operacional'!$D$5:$D$1000,$N60)))</f>
        <v/>
      </c>
      <c r="E60" s="74">
        <f>IF($N60="","",IF(INDEX('Cronograma R. Operacional'!$E$5:$E$1000,$N60)="","",INDEX('Cronograma R. Operacional'!$E$5:$E$1000,$N60)))</f>
        <v/>
      </c>
      <c r="F60" s="60">
        <f>IF($N60="","",IF(NOT(ISNUMBER($E60)),"",IF($E60&lt;InicioCiclo,"Antes del ciclo",IF($E60&gt;=InicioCiclo+28,"Después del ciclo","Semana "&amp;(INT(($E60-InicioCiclo)/7)+1)))))</f>
        <v/>
      </c>
      <c r="G60" s="65">
        <f>IF($N60="","",IF(INDEX('Cronograma R. Operacional'!$G$5:$G$1000,$N60)="","",INDEX('Cronograma R. Operacional'!$G$5:$G$1000,$N60)))</f>
        <v/>
      </c>
      <c r="H60" s="65">
        <f>IF($N60="","",IF(INDEX('Cronograma R. Operacional'!$H$5:$H$1000,$N60)="","",INDEX('Cronograma R. Operacional'!$H$5:$H$1000,$N60)))</f>
        <v/>
      </c>
      <c r="I60" s="65">
        <f>IF($N60="","",IF(INDEX('Cronograma R. Operacional'!$I$5:$I$1000,$N60)="","",INDEX('Cronograma R. Operacional'!$I$5:$I$1000,$N60)))</f>
        <v/>
      </c>
      <c r="J60" s="65">
        <f>IF($N60="","",IF(INDEX('Cronograma R. Operacional'!$J$5:$J$1000,$N60)="","",INDEX('Cronograma R. Operacional'!$J$5:$J$1000,$N60)))</f>
        <v/>
      </c>
      <c r="K60" s="65">
        <f>IF($N60="","",INDEX('Cronograma R. Operacional'!$K$5:$K$1000,$N60))</f>
        <v/>
      </c>
      <c r="L60" s="60">
        <f>IF($N60="","",IF(N($K60)&gt;=1,"Completado",IF(AND(ISNUMBER($E60),$E60&lt;FechaRef),"Vencida",IF(N($K60)&gt;0,"En curso","Pendiente"))))</f>
        <v/>
      </c>
      <c r="M60" s="68">
        <f>IF($N60="","",INDEX('Cronograma R. Operacional'!$M$5:$M$1000,$N60)&amp;"")</f>
        <v/>
      </c>
      <c r="N60">
        <f>IFERROR(MATCH(ROW()-4,rOrden_RO,0),"")</f>
        <v/>
      </c>
    </row>
    <row r="61">
      <c r="A61" s="60">
        <f>IF($N61="","",INDEX('Cronograma R. Operacional'!$A$5:$A$1000,$N61))</f>
        <v/>
      </c>
      <c r="B61" s="68">
        <f>IF($N61="","",INDEX('Cronograma R. Operacional'!$B$5:$B$1000,$N61)&amp;"")</f>
        <v/>
      </c>
      <c r="C61" s="68">
        <f>IF($N61="","",INDEX('Cronograma R. Operacional'!$C$5:$C$1000,$N61)&amp;"")</f>
        <v/>
      </c>
      <c r="D61" s="74">
        <f>IF($N61="","",IF(INDEX('Cronograma R. Operacional'!$D$5:$D$1000,$N61)="","",INDEX('Cronograma R. Operacional'!$D$5:$D$1000,$N61)))</f>
        <v/>
      </c>
      <c r="E61" s="74">
        <f>IF($N61="","",IF(INDEX('Cronograma R. Operacional'!$E$5:$E$1000,$N61)="","",INDEX('Cronograma R. Operacional'!$E$5:$E$1000,$N61)))</f>
        <v/>
      </c>
      <c r="F61" s="60">
        <f>IF($N61="","",IF(NOT(ISNUMBER($E61)),"",IF($E61&lt;InicioCiclo,"Antes del ciclo",IF($E61&gt;=InicioCiclo+28,"Después del ciclo","Semana "&amp;(INT(($E61-InicioCiclo)/7)+1)))))</f>
        <v/>
      </c>
      <c r="G61" s="65">
        <f>IF($N61="","",IF(INDEX('Cronograma R. Operacional'!$G$5:$G$1000,$N61)="","",INDEX('Cronograma R. Operacional'!$G$5:$G$1000,$N61)))</f>
        <v/>
      </c>
      <c r="H61" s="65">
        <f>IF($N61="","",IF(INDEX('Cronograma R. Operacional'!$H$5:$H$1000,$N61)="","",INDEX('Cronograma R. Operacional'!$H$5:$H$1000,$N61)))</f>
        <v/>
      </c>
      <c r="I61" s="65">
        <f>IF($N61="","",IF(INDEX('Cronograma R. Operacional'!$I$5:$I$1000,$N61)="","",INDEX('Cronograma R. Operacional'!$I$5:$I$1000,$N61)))</f>
        <v/>
      </c>
      <c r="J61" s="65">
        <f>IF($N61="","",IF(INDEX('Cronograma R. Operacional'!$J$5:$J$1000,$N61)="","",INDEX('Cronograma R. Operacional'!$J$5:$J$1000,$N61)))</f>
        <v/>
      </c>
      <c r="K61" s="65">
        <f>IF($N61="","",INDEX('Cronograma R. Operacional'!$K$5:$K$1000,$N61))</f>
        <v/>
      </c>
      <c r="L61" s="60">
        <f>IF($N61="","",IF(N($K61)&gt;=1,"Completado",IF(AND(ISNUMBER($E61),$E61&lt;FechaRef),"Vencida",IF(N($K61)&gt;0,"En curso","Pendiente"))))</f>
        <v/>
      </c>
      <c r="M61" s="68">
        <f>IF($N61="","",INDEX('Cronograma R. Operacional'!$M$5:$M$1000,$N61)&amp;"")</f>
        <v/>
      </c>
      <c r="N61">
        <f>IFERROR(MATCH(ROW()-4,rOrden_RO,0),"")</f>
        <v/>
      </c>
    </row>
    <row r="62">
      <c r="A62" s="60">
        <f>IF($N62="","",INDEX('Cronograma R. Operacional'!$A$5:$A$1000,$N62))</f>
        <v/>
      </c>
      <c r="B62" s="68">
        <f>IF($N62="","",INDEX('Cronograma R. Operacional'!$B$5:$B$1000,$N62)&amp;"")</f>
        <v/>
      </c>
      <c r="C62" s="68">
        <f>IF($N62="","",INDEX('Cronograma R. Operacional'!$C$5:$C$1000,$N62)&amp;"")</f>
        <v/>
      </c>
      <c r="D62" s="74">
        <f>IF($N62="","",IF(INDEX('Cronograma R. Operacional'!$D$5:$D$1000,$N62)="","",INDEX('Cronograma R. Operacional'!$D$5:$D$1000,$N62)))</f>
        <v/>
      </c>
      <c r="E62" s="74">
        <f>IF($N62="","",IF(INDEX('Cronograma R. Operacional'!$E$5:$E$1000,$N62)="","",INDEX('Cronograma R. Operacional'!$E$5:$E$1000,$N62)))</f>
        <v/>
      </c>
      <c r="F62" s="60">
        <f>IF($N62="","",IF(NOT(ISNUMBER($E62)),"",IF($E62&lt;InicioCiclo,"Antes del ciclo",IF($E62&gt;=InicioCiclo+28,"Después del ciclo","Semana "&amp;(INT(($E62-InicioCiclo)/7)+1)))))</f>
        <v/>
      </c>
      <c r="G62" s="65">
        <f>IF($N62="","",IF(INDEX('Cronograma R. Operacional'!$G$5:$G$1000,$N62)="","",INDEX('Cronograma R. Operacional'!$G$5:$G$1000,$N62)))</f>
        <v/>
      </c>
      <c r="H62" s="65">
        <f>IF($N62="","",IF(INDEX('Cronograma R. Operacional'!$H$5:$H$1000,$N62)="","",INDEX('Cronograma R. Operacional'!$H$5:$H$1000,$N62)))</f>
        <v/>
      </c>
      <c r="I62" s="65">
        <f>IF($N62="","",IF(INDEX('Cronograma R. Operacional'!$I$5:$I$1000,$N62)="","",INDEX('Cronograma R. Operacional'!$I$5:$I$1000,$N62)))</f>
        <v/>
      </c>
      <c r="J62" s="65">
        <f>IF($N62="","",IF(INDEX('Cronograma R. Operacional'!$J$5:$J$1000,$N62)="","",INDEX('Cronograma R. Operacional'!$J$5:$J$1000,$N62)))</f>
        <v/>
      </c>
      <c r="K62" s="65">
        <f>IF($N62="","",INDEX('Cronograma R. Operacional'!$K$5:$K$1000,$N62))</f>
        <v/>
      </c>
      <c r="L62" s="60">
        <f>IF($N62="","",IF(N($K62)&gt;=1,"Completado",IF(AND(ISNUMBER($E62),$E62&lt;FechaRef),"Vencida",IF(N($K62)&gt;0,"En curso","Pendiente"))))</f>
        <v/>
      </c>
      <c r="M62" s="68">
        <f>IF($N62="","",INDEX('Cronograma R. Operacional'!$M$5:$M$1000,$N62)&amp;"")</f>
        <v/>
      </c>
      <c r="N62">
        <f>IFERROR(MATCH(ROW()-4,rOrden_RO,0),"")</f>
        <v/>
      </c>
    </row>
    <row r="63">
      <c r="A63" s="60">
        <f>IF($N63="","",INDEX('Cronograma R. Operacional'!$A$5:$A$1000,$N63))</f>
        <v/>
      </c>
      <c r="B63" s="68">
        <f>IF($N63="","",INDEX('Cronograma R. Operacional'!$B$5:$B$1000,$N63)&amp;"")</f>
        <v/>
      </c>
      <c r="C63" s="68">
        <f>IF($N63="","",INDEX('Cronograma R. Operacional'!$C$5:$C$1000,$N63)&amp;"")</f>
        <v/>
      </c>
      <c r="D63" s="74">
        <f>IF($N63="","",IF(INDEX('Cronograma R. Operacional'!$D$5:$D$1000,$N63)="","",INDEX('Cronograma R. Operacional'!$D$5:$D$1000,$N63)))</f>
        <v/>
      </c>
      <c r="E63" s="74">
        <f>IF($N63="","",IF(INDEX('Cronograma R. Operacional'!$E$5:$E$1000,$N63)="","",INDEX('Cronograma R. Operacional'!$E$5:$E$1000,$N63)))</f>
        <v/>
      </c>
      <c r="F63" s="60">
        <f>IF($N63="","",IF(NOT(ISNUMBER($E63)),"",IF($E63&lt;InicioCiclo,"Antes del ciclo",IF($E63&gt;=InicioCiclo+28,"Después del ciclo","Semana "&amp;(INT(($E63-InicioCiclo)/7)+1)))))</f>
        <v/>
      </c>
      <c r="G63" s="65">
        <f>IF($N63="","",IF(INDEX('Cronograma R. Operacional'!$G$5:$G$1000,$N63)="","",INDEX('Cronograma R. Operacional'!$G$5:$G$1000,$N63)))</f>
        <v/>
      </c>
      <c r="H63" s="65">
        <f>IF($N63="","",IF(INDEX('Cronograma R. Operacional'!$H$5:$H$1000,$N63)="","",INDEX('Cronograma R. Operacional'!$H$5:$H$1000,$N63)))</f>
        <v/>
      </c>
      <c r="I63" s="65">
        <f>IF($N63="","",IF(INDEX('Cronograma R. Operacional'!$I$5:$I$1000,$N63)="","",INDEX('Cronograma R. Operacional'!$I$5:$I$1000,$N63)))</f>
        <v/>
      </c>
      <c r="J63" s="65">
        <f>IF($N63="","",IF(INDEX('Cronograma R. Operacional'!$J$5:$J$1000,$N63)="","",INDEX('Cronograma R. Operacional'!$J$5:$J$1000,$N63)))</f>
        <v/>
      </c>
      <c r="K63" s="65">
        <f>IF($N63="","",INDEX('Cronograma R. Operacional'!$K$5:$K$1000,$N63))</f>
        <v/>
      </c>
      <c r="L63" s="60">
        <f>IF($N63="","",IF(N($K63)&gt;=1,"Completado",IF(AND(ISNUMBER($E63),$E63&lt;FechaRef),"Vencida",IF(N($K63)&gt;0,"En curso","Pendiente"))))</f>
        <v/>
      </c>
      <c r="M63" s="68">
        <f>IF($N63="","",INDEX('Cronograma R. Operacional'!$M$5:$M$1000,$N63)&amp;"")</f>
        <v/>
      </c>
      <c r="N63">
        <f>IFERROR(MATCH(ROW()-4,rOrden_RO,0),"")</f>
        <v/>
      </c>
    </row>
    <row r="64">
      <c r="A64" s="60">
        <f>IF($N64="","",INDEX('Cronograma R. Operacional'!$A$5:$A$1000,$N64))</f>
        <v/>
      </c>
      <c r="B64" s="68">
        <f>IF($N64="","",INDEX('Cronograma R. Operacional'!$B$5:$B$1000,$N64)&amp;"")</f>
        <v/>
      </c>
      <c r="C64" s="68">
        <f>IF($N64="","",INDEX('Cronograma R. Operacional'!$C$5:$C$1000,$N64)&amp;"")</f>
        <v/>
      </c>
      <c r="D64" s="74">
        <f>IF($N64="","",IF(INDEX('Cronograma R. Operacional'!$D$5:$D$1000,$N64)="","",INDEX('Cronograma R. Operacional'!$D$5:$D$1000,$N64)))</f>
        <v/>
      </c>
      <c r="E64" s="74">
        <f>IF($N64="","",IF(INDEX('Cronograma R. Operacional'!$E$5:$E$1000,$N64)="","",INDEX('Cronograma R. Operacional'!$E$5:$E$1000,$N64)))</f>
        <v/>
      </c>
      <c r="F64" s="60">
        <f>IF($N64="","",IF(NOT(ISNUMBER($E64)),"",IF($E64&lt;InicioCiclo,"Antes del ciclo",IF($E64&gt;=InicioCiclo+28,"Después del ciclo","Semana "&amp;(INT(($E64-InicioCiclo)/7)+1)))))</f>
        <v/>
      </c>
      <c r="G64" s="65">
        <f>IF($N64="","",IF(INDEX('Cronograma R. Operacional'!$G$5:$G$1000,$N64)="","",INDEX('Cronograma R. Operacional'!$G$5:$G$1000,$N64)))</f>
        <v/>
      </c>
      <c r="H64" s="65">
        <f>IF($N64="","",IF(INDEX('Cronograma R. Operacional'!$H$5:$H$1000,$N64)="","",INDEX('Cronograma R. Operacional'!$H$5:$H$1000,$N64)))</f>
        <v/>
      </c>
      <c r="I64" s="65">
        <f>IF($N64="","",IF(INDEX('Cronograma R. Operacional'!$I$5:$I$1000,$N64)="","",INDEX('Cronograma R. Operacional'!$I$5:$I$1000,$N64)))</f>
        <v/>
      </c>
      <c r="J64" s="65">
        <f>IF($N64="","",IF(INDEX('Cronograma R. Operacional'!$J$5:$J$1000,$N64)="","",INDEX('Cronograma R. Operacional'!$J$5:$J$1000,$N64)))</f>
        <v/>
      </c>
      <c r="K64" s="65">
        <f>IF($N64="","",INDEX('Cronograma R. Operacional'!$K$5:$K$1000,$N64))</f>
        <v/>
      </c>
      <c r="L64" s="60">
        <f>IF($N64="","",IF(N($K64)&gt;=1,"Completado",IF(AND(ISNUMBER($E64),$E64&lt;FechaRef),"Vencida",IF(N($K64)&gt;0,"En curso","Pendiente"))))</f>
        <v/>
      </c>
      <c r="M64" s="68">
        <f>IF($N64="","",INDEX('Cronograma R. Operacional'!$M$5:$M$1000,$N64)&amp;"")</f>
        <v/>
      </c>
      <c r="N64">
        <f>IFERROR(MATCH(ROW()-4,rOrden_RO,0),"")</f>
        <v/>
      </c>
    </row>
    <row r="65">
      <c r="A65" s="60">
        <f>IF($N65="","",INDEX('Cronograma R. Operacional'!$A$5:$A$1000,$N65))</f>
        <v/>
      </c>
      <c r="B65" s="68">
        <f>IF($N65="","",INDEX('Cronograma R. Operacional'!$B$5:$B$1000,$N65)&amp;"")</f>
        <v/>
      </c>
      <c r="C65" s="68">
        <f>IF($N65="","",INDEX('Cronograma R. Operacional'!$C$5:$C$1000,$N65)&amp;"")</f>
        <v/>
      </c>
      <c r="D65" s="74">
        <f>IF($N65="","",IF(INDEX('Cronograma R. Operacional'!$D$5:$D$1000,$N65)="","",INDEX('Cronograma R. Operacional'!$D$5:$D$1000,$N65)))</f>
        <v/>
      </c>
      <c r="E65" s="74">
        <f>IF($N65="","",IF(INDEX('Cronograma R. Operacional'!$E$5:$E$1000,$N65)="","",INDEX('Cronograma R. Operacional'!$E$5:$E$1000,$N65)))</f>
        <v/>
      </c>
      <c r="F65" s="60">
        <f>IF($N65="","",IF(NOT(ISNUMBER($E65)),"",IF($E65&lt;InicioCiclo,"Antes del ciclo",IF($E65&gt;=InicioCiclo+28,"Después del ciclo","Semana "&amp;(INT(($E65-InicioCiclo)/7)+1)))))</f>
        <v/>
      </c>
      <c r="G65" s="65">
        <f>IF($N65="","",IF(INDEX('Cronograma R. Operacional'!$G$5:$G$1000,$N65)="","",INDEX('Cronograma R. Operacional'!$G$5:$G$1000,$N65)))</f>
        <v/>
      </c>
      <c r="H65" s="65">
        <f>IF($N65="","",IF(INDEX('Cronograma R. Operacional'!$H$5:$H$1000,$N65)="","",INDEX('Cronograma R. Operacional'!$H$5:$H$1000,$N65)))</f>
        <v/>
      </c>
      <c r="I65" s="65">
        <f>IF($N65="","",IF(INDEX('Cronograma R. Operacional'!$I$5:$I$1000,$N65)="","",INDEX('Cronograma R. Operacional'!$I$5:$I$1000,$N65)))</f>
        <v/>
      </c>
      <c r="J65" s="65">
        <f>IF($N65="","",IF(INDEX('Cronograma R. Operacional'!$J$5:$J$1000,$N65)="","",INDEX('Cronograma R. Operacional'!$J$5:$J$1000,$N65)))</f>
        <v/>
      </c>
      <c r="K65" s="65">
        <f>IF($N65="","",INDEX('Cronograma R. Operacional'!$K$5:$K$1000,$N65))</f>
        <v/>
      </c>
      <c r="L65" s="60">
        <f>IF($N65="","",IF(N($K65)&gt;=1,"Completado",IF(AND(ISNUMBER($E65),$E65&lt;FechaRef),"Vencida",IF(N($K65)&gt;0,"En curso","Pendiente"))))</f>
        <v/>
      </c>
      <c r="M65" s="68">
        <f>IF($N65="","",INDEX('Cronograma R. Operacional'!$M$5:$M$1000,$N65)&amp;"")</f>
        <v/>
      </c>
      <c r="N65">
        <f>IFERROR(MATCH(ROW()-4,rOrden_RO,0),"")</f>
        <v/>
      </c>
    </row>
    <row r="66">
      <c r="A66" s="60">
        <f>IF($N66="","",INDEX('Cronograma R. Operacional'!$A$5:$A$1000,$N66))</f>
        <v/>
      </c>
      <c r="B66" s="68">
        <f>IF($N66="","",INDEX('Cronograma R. Operacional'!$B$5:$B$1000,$N66)&amp;"")</f>
        <v/>
      </c>
      <c r="C66" s="68">
        <f>IF($N66="","",INDEX('Cronograma R. Operacional'!$C$5:$C$1000,$N66)&amp;"")</f>
        <v/>
      </c>
      <c r="D66" s="74">
        <f>IF($N66="","",IF(INDEX('Cronograma R. Operacional'!$D$5:$D$1000,$N66)="","",INDEX('Cronograma R. Operacional'!$D$5:$D$1000,$N66)))</f>
        <v/>
      </c>
      <c r="E66" s="74">
        <f>IF($N66="","",IF(INDEX('Cronograma R. Operacional'!$E$5:$E$1000,$N66)="","",INDEX('Cronograma R. Operacional'!$E$5:$E$1000,$N66)))</f>
        <v/>
      </c>
      <c r="F66" s="60">
        <f>IF($N66="","",IF(NOT(ISNUMBER($E66)),"",IF($E66&lt;InicioCiclo,"Antes del ciclo",IF($E66&gt;=InicioCiclo+28,"Después del ciclo","Semana "&amp;(INT(($E66-InicioCiclo)/7)+1)))))</f>
        <v/>
      </c>
      <c r="G66" s="65">
        <f>IF($N66="","",IF(INDEX('Cronograma R. Operacional'!$G$5:$G$1000,$N66)="","",INDEX('Cronograma R. Operacional'!$G$5:$G$1000,$N66)))</f>
        <v/>
      </c>
      <c r="H66" s="65">
        <f>IF($N66="","",IF(INDEX('Cronograma R. Operacional'!$H$5:$H$1000,$N66)="","",INDEX('Cronograma R. Operacional'!$H$5:$H$1000,$N66)))</f>
        <v/>
      </c>
      <c r="I66" s="65">
        <f>IF($N66="","",IF(INDEX('Cronograma R. Operacional'!$I$5:$I$1000,$N66)="","",INDEX('Cronograma R. Operacional'!$I$5:$I$1000,$N66)))</f>
        <v/>
      </c>
      <c r="J66" s="65">
        <f>IF($N66="","",IF(INDEX('Cronograma R. Operacional'!$J$5:$J$1000,$N66)="","",INDEX('Cronograma R. Operacional'!$J$5:$J$1000,$N66)))</f>
        <v/>
      </c>
      <c r="K66" s="65">
        <f>IF($N66="","",INDEX('Cronograma R. Operacional'!$K$5:$K$1000,$N66))</f>
        <v/>
      </c>
      <c r="L66" s="60">
        <f>IF($N66="","",IF(N($K66)&gt;=1,"Completado",IF(AND(ISNUMBER($E66),$E66&lt;FechaRef),"Vencida",IF(N($K66)&gt;0,"En curso","Pendiente"))))</f>
        <v/>
      </c>
      <c r="M66" s="68">
        <f>IF($N66="","",INDEX('Cronograma R. Operacional'!$M$5:$M$1000,$N66)&amp;"")</f>
        <v/>
      </c>
      <c r="N66">
        <f>IFERROR(MATCH(ROW()-4,rOrden_RO,0),"")</f>
        <v/>
      </c>
    </row>
    <row r="67">
      <c r="A67" s="60">
        <f>IF($N67="","",INDEX('Cronograma R. Operacional'!$A$5:$A$1000,$N67))</f>
        <v/>
      </c>
      <c r="B67" s="68">
        <f>IF($N67="","",INDEX('Cronograma R. Operacional'!$B$5:$B$1000,$N67)&amp;"")</f>
        <v/>
      </c>
      <c r="C67" s="68">
        <f>IF($N67="","",INDEX('Cronograma R. Operacional'!$C$5:$C$1000,$N67)&amp;"")</f>
        <v/>
      </c>
      <c r="D67" s="74">
        <f>IF($N67="","",IF(INDEX('Cronograma R. Operacional'!$D$5:$D$1000,$N67)="","",INDEX('Cronograma R. Operacional'!$D$5:$D$1000,$N67)))</f>
        <v/>
      </c>
      <c r="E67" s="74">
        <f>IF($N67="","",IF(INDEX('Cronograma R. Operacional'!$E$5:$E$1000,$N67)="","",INDEX('Cronograma R. Operacional'!$E$5:$E$1000,$N67)))</f>
        <v/>
      </c>
      <c r="F67" s="60">
        <f>IF($N67="","",IF(NOT(ISNUMBER($E67)),"",IF($E67&lt;InicioCiclo,"Antes del ciclo",IF($E67&gt;=InicioCiclo+28,"Después del ciclo","Semana "&amp;(INT(($E67-InicioCiclo)/7)+1)))))</f>
        <v/>
      </c>
      <c r="G67" s="65">
        <f>IF($N67="","",IF(INDEX('Cronograma R. Operacional'!$G$5:$G$1000,$N67)="","",INDEX('Cronograma R. Operacional'!$G$5:$G$1000,$N67)))</f>
        <v/>
      </c>
      <c r="H67" s="65">
        <f>IF($N67="","",IF(INDEX('Cronograma R. Operacional'!$H$5:$H$1000,$N67)="","",INDEX('Cronograma R. Operacional'!$H$5:$H$1000,$N67)))</f>
        <v/>
      </c>
      <c r="I67" s="65">
        <f>IF($N67="","",IF(INDEX('Cronograma R. Operacional'!$I$5:$I$1000,$N67)="","",INDEX('Cronograma R. Operacional'!$I$5:$I$1000,$N67)))</f>
        <v/>
      </c>
      <c r="J67" s="65">
        <f>IF($N67="","",IF(INDEX('Cronograma R. Operacional'!$J$5:$J$1000,$N67)="","",INDEX('Cronograma R. Operacional'!$J$5:$J$1000,$N67)))</f>
        <v/>
      </c>
      <c r="K67" s="65">
        <f>IF($N67="","",INDEX('Cronograma R. Operacional'!$K$5:$K$1000,$N67))</f>
        <v/>
      </c>
      <c r="L67" s="60">
        <f>IF($N67="","",IF(N($K67)&gt;=1,"Completado",IF(AND(ISNUMBER($E67),$E67&lt;FechaRef),"Vencida",IF(N($K67)&gt;0,"En curso","Pendiente"))))</f>
        <v/>
      </c>
      <c r="M67" s="68">
        <f>IF($N67="","",INDEX('Cronograma R. Operacional'!$M$5:$M$1000,$N67)&amp;"")</f>
        <v/>
      </c>
      <c r="N67">
        <f>IFERROR(MATCH(ROW()-4,rOrden_RO,0),"")</f>
        <v/>
      </c>
    </row>
    <row r="68">
      <c r="A68" s="60">
        <f>IF($N68="","",INDEX('Cronograma R. Operacional'!$A$5:$A$1000,$N68))</f>
        <v/>
      </c>
      <c r="B68" s="68">
        <f>IF($N68="","",INDEX('Cronograma R. Operacional'!$B$5:$B$1000,$N68)&amp;"")</f>
        <v/>
      </c>
      <c r="C68" s="68">
        <f>IF($N68="","",INDEX('Cronograma R. Operacional'!$C$5:$C$1000,$N68)&amp;"")</f>
        <v/>
      </c>
      <c r="D68" s="74">
        <f>IF($N68="","",IF(INDEX('Cronograma R. Operacional'!$D$5:$D$1000,$N68)="","",INDEX('Cronograma R. Operacional'!$D$5:$D$1000,$N68)))</f>
        <v/>
      </c>
      <c r="E68" s="74">
        <f>IF($N68="","",IF(INDEX('Cronograma R. Operacional'!$E$5:$E$1000,$N68)="","",INDEX('Cronograma R. Operacional'!$E$5:$E$1000,$N68)))</f>
        <v/>
      </c>
      <c r="F68" s="60">
        <f>IF($N68="","",IF(NOT(ISNUMBER($E68)),"",IF($E68&lt;InicioCiclo,"Antes del ciclo",IF($E68&gt;=InicioCiclo+28,"Después del ciclo","Semana "&amp;(INT(($E68-InicioCiclo)/7)+1)))))</f>
        <v/>
      </c>
      <c r="G68" s="65">
        <f>IF($N68="","",IF(INDEX('Cronograma R. Operacional'!$G$5:$G$1000,$N68)="","",INDEX('Cronograma R. Operacional'!$G$5:$G$1000,$N68)))</f>
        <v/>
      </c>
      <c r="H68" s="65">
        <f>IF($N68="","",IF(INDEX('Cronograma R. Operacional'!$H$5:$H$1000,$N68)="","",INDEX('Cronograma R. Operacional'!$H$5:$H$1000,$N68)))</f>
        <v/>
      </c>
      <c r="I68" s="65">
        <f>IF($N68="","",IF(INDEX('Cronograma R. Operacional'!$I$5:$I$1000,$N68)="","",INDEX('Cronograma R. Operacional'!$I$5:$I$1000,$N68)))</f>
        <v/>
      </c>
      <c r="J68" s="65">
        <f>IF($N68="","",IF(INDEX('Cronograma R. Operacional'!$J$5:$J$1000,$N68)="","",INDEX('Cronograma R. Operacional'!$J$5:$J$1000,$N68)))</f>
        <v/>
      </c>
      <c r="K68" s="65">
        <f>IF($N68="","",INDEX('Cronograma R. Operacional'!$K$5:$K$1000,$N68))</f>
        <v/>
      </c>
      <c r="L68" s="60">
        <f>IF($N68="","",IF(N($K68)&gt;=1,"Completado",IF(AND(ISNUMBER($E68),$E68&lt;FechaRef),"Vencida",IF(N($K68)&gt;0,"En curso","Pendiente"))))</f>
        <v/>
      </c>
      <c r="M68" s="68">
        <f>IF($N68="","",INDEX('Cronograma R. Operacional'!$M$5:$M$1000,$N68)&amp;"")</f>
        <v/>
      </c>
      <c r="N68">
        <f>IFERROR(MATCH(ROW()-4,rOrden_RO,0),"")</f>
        <v/>
      </c>
    </row>
    <row r="69">
      <c r="A69" s="60">
        <f>IF($N69="","",INDEX('Cronograma R. Operacional'!$A$5:$A$1000,$N69))</f>
        <v/>
      </c>
      <c r="B69" s="68">
        <f>IF($N69="","",INDEX('Cronograma R. Operacional'!$B$5:$B$1000,$N69)&amp;"")</f>
        <v/>
      </c>
      <c r="C69" s="68">
        <f>IF($N69="","",INDEX('Cronograma R. Operacional'!$C$5:$C$1000,$N69)&amp;"")</f>
        <v/>
      </c>
      <c r="D69" s="74">
        <f>IF($N69="","",IF(INDEX('Cronograma R. Operacional'!$D$5:$D$1000,$N69)="","",INDEX('Cronograma R. Operacional'!$D$5:$D$1000,$N69)))</f>
        <v/>
      </c>
      <c r="E69" s="74">
        <f>IF($N69="","",IF(INDEX('Cronograma R. Operacional'!$E$5:$E$1000,$N69)="","",INDEX('Cronograma R. Operacional'!$E$5:$E$1000,$N69)))</f>
        <v/>
      </c>
      <c r="F69" s="60">
        <f>IF($N69="","",IF(NOT(ISNUMBER($E69)),"",IF($E69&lt;InicioCiclo,"Antes del ciclo",IF($E69&gt;=InicioCiclo+28,"Después del ciclo","Semana "&amp;(INT(($E69-InicioCiclo)/7)+1)))))</f>
        <v/>
      </c>
      <c r="G69" s="65">
        <f>IF($N69="","",IF(INDEX('Cronograma R. Operacional'!$G$5:$G$1000,$N69)="","",INDEX('Cronograma R. Operacional'!$G$5:$G$1000,$N69)))</f>
        <v/>
      </c>
      <c r="H69" s="65">
        <f>IF($N69="","",IF(INDEX('Cronograma R. Operacional'!$H$5:$H$1000,$N69)="","",INDEX('Cronograma R. Operacional'!$H$5:$H$1000,$N69)))</f>
        <v/>
      </c>
      <c r="I69" s="65">
        <f>IF($N69="","",IF(INDEX('Cronograma R. Operacional'!$I$5:$I$1000,$N69)="","",INDEX('Cronograma R. Operacional'!$I$5:$I$1000,$N69)))</f>
        <v/>
      </c>
      <c r="J69" s="65">
        <f>IF($N69="","",IF(INDEX('Cronograma R. Operacional'!$J$5:$J$1000,$N69)="","",INDEX('Cronograma R. Operacional'!$J$5:$J$1000,$N69)))</f>
        <v/>
      </c>
      <c r="K69" s="65">
        <f>IF($N69="","",INDEX('Cronograma R. Operacional'!$K$5:$K$1000,$N69))</f>
        <v/>
      </c>
      <c r="L69" s="60">
        <f>IF($N69="","",IF(N($K69)&gt;=1,"Completado",IF(AND(ISNUMBER($E69),$E69&lt;FechaRef),"Vencida",IF(N($K69)&gt;0,"En curso","Pendiente"))))</f>
        <v/>
      </c>
      <c r="M69" s="68">
        <f>IF($N69="","",INDEX('Cronograma R. Operacional'!$M$5:$M$1000,$N69)&amp;"")</f>
        <v/>
      </c>
      <c r="N69">
        <f>IFERROR(MATCH(ROW()-4,rOrden_RO,0),"")</f>
        <v/>
      </c>
    </row>
    <row r="70">
      <c r="A70" s="60">
        <f>IF($N70="","",INDEX('Cronograma R. Operacional'!$A$5:$A$1000,$N70))</f>
        <v/>
      </c>
      <c r="B70" s="68">
        <f>IF($N70="","",INDEX('Cronograma R. Operacional'!$B$5:$B$1000,$N70)&amp;"")</f>
        <v/>
      </c>
      <c r="C70" s="68">
        <f>IF($N70="","",INDEX('Cronograma R. Operacional'!$C$5:$C$1000,$N70)&amp;"")</f>
        <v/>
      </c>
      <c r="D70" s="74">
        <f>IF($N70="","",IF(INDEX('Cronograma R. Operacional'!$D$5:$D$1000,$N70)="","",INDEX('Cronograma R. Operacional'!$D$5:$D$1000,$N70)))</f>
        <v/>
      </c>
      <c r="E70" s="74">
        <f>IF($N70="","",IF(INDEX('Cronograma R. Operacional'!$E$5:$E$1000,$N70)="","",INDEX('Cronograma R. Operacional'!$E$5:$E$1000,$N70)))</f>
        <v/>
      </c>
      <c r="F70" s="60">
        <f>IF($N70="","",IF(NOT(ISNUMBER($E70)),"",IF($E70&lt;InicioCiclo,"Antes del ciclo",IF($E70&gt;=InicioCiclo+28,"Después del ciclo","Semana "&amp;(INT(($E70-InicioCiclo)/7)+1)))))</f>
        <v/>
      </c>
      <c r="G70" s="65">
        <f>IF($N70="","",IF(INDEX('Cronograma R. Operacional'!$G$5:$G$1000,$N70)="","",INDEX('Cronograma R. Operacional'!$G$5:$G$1000,$N70)))</f>
        <v/>
      </c>
      <c r="H70" s="65">
        <f>IF($N70="","",IF(INDEX('Cronograma R. Operacional'!$H$5:$H$1000,$N70)="","",INDEX('Cronograma R. Operacional'!$H$5:$H$1000,$N70)))</f>
        <v/>
      </c>
      <c r="I70" s="65">
        <f>IF($N70="","",IF(INDEX('Cronograma R. Operacional'!$I$5:$I$1000,$N70)="","",INDEX('Cronograma R. Operacional'!$I$5:$I$1000,$N70)))</f>
        <v/>
      </c>
      <c r="J70" s="65">
        <f>IF($N70="","",IF(INDEX('Cronograma R. Operacional'!$J$5:$J$1000,$N70)="","",INDEX('Cronograma R. Operacional'!$J$5:$J$1000,$N70)))</f>
        <v/>
      </c>
      <c r="K70" s="65">
        <f>IF($N70="","",INDEX('Cronograma R. Operacional'!$K$5:$K$1000,$N70))</f>
        <v/>
      </c>
      <c r="L70" s="60">
        <f>IF($N70="","",IF(N($K70)&gt;=1,"Completado",IF(AND(ISNUMBER($E70),$E70&lt;FechaRef),"Vencida",IF(N($K70)&gt;0,"En curso","Pendiente"))))</f>
        <v/>
      </c>
      <c r="M70" s="68">
        <f>IF($N70="","",INDEX('Cronograma R. Operacional'!$M$5:$M$1000,$N70)&amp;"")</f>
        <v/>
      </c>
      <c r="N70">
        <f>IFERROR(MATCH(ROW()-4,rOrden_RO,0),"")</f>
        <v/>
      </c>
    </row>
    <row r="71">
      <c r="A71" s="60">
        <f>IF($N71="","",INDEX('Cronograma R. Operacional'!$A$5:$A$1000,$N71))</f>
        <v/>
      </c>
      <c r="B71" s="68">
        <f>IF($N71="","",INDEX('Cronograma R. Operacional'!$B$5:$B$1000,$N71)&amp;"")</f>
        <v/>
      </c>
      <c r="C71" s="68">
        <f>IF($N71="","",INDEX('Cronograma R. Operacional'!$C$5:$C$1000,$N71)&amp;"")</f>
        <v/>
      </c>
      <c r="D71" s="74">
        <f>IF($N71="","",IF(INDEX('Cronograma R. Operacional'!$D$5:$D$1000,$N71)="","",INDEX('Cronograma R. Operacional'!$D$5:$D$1000,$N71)))</f>
        <v/>
      </c>
      <c r="E71" s="74">
        <f>IF($N71="","",IF(INDEX('Cronograma R. Operacional'!$E$5:$E$1000,$N71)="","",INDEX('Cronograma R. Operacional'!$E$5:$E$1000,$N71)))</f>
        <v/>
      </c>
      <c r="F71" s="60">
        <f>IF($N71="","",IF(NOT(ISNUMBER($E71)),"",IF($E71&lt;InicioCiclo,"Antes del ciclo",IF($E71&gt;=InicioCiclo+28,"Después del ciclo","Semana "&amp;(INT(($E71-InicioCiclo)/7)+1)))))</f>
        <v/>
      </c>
      <c r="G71" s="65">
        <f>IF($N71="","",IF(INDEX('Cronograma R. Operacional'!$G$5:$G$1000,$N71)="","",INDEX('Cronograma R. Operacional'!$G$5:$G$1000,$N71)))</f>
        <v/>
      </c>
      <c r="H71" s="65">
        <f>IF($N71="","",IF(INDEX('Cronograma R. Operacional'!$H$5:$H$1000,$N71)="","",INDEX('Cronograma R. Operacional'!$H$5:$H$1000,$N71)))</f>
        <v/>
      </c>
      <c r="I71" s="65">
        <f>IF($N71="","",IF(INDEX('Cronograma R. Operacional'!$I$5:$I$1000,$N71)="","",INDEX('Cronograma R. Operacional'!$I$5:$I$1000,$N71)))</f>
        <v/>
      </c>
      <c r="J71" s="65">
        <f>IF($N71="","",IF(INDEX('Cronograma R. Operacional'!$J$5:$J$1000,$N71)="","",INDEX('Cronograma R. Operacional'!$J$5:$J$1000,$N71)))</f>
        <v/>
      </c>
      <c r="K71" s="65">
        <f>IF($N71="","",INDEX('Cronograma R. Operacional'!$K$5:$K$1000,$N71))</f>
        <v/>
      </c>
      <c r="L71" s="60">
        <f>IF($N71="","",IF(N($K71)&gt;=1,"Completado",IF(AND(ISNUMBER($E71),$E71&lt;FechaRef),"Vencida",IF(N($K71)&gt;0,"En curso","Pendiente"))))</f>
        <v/>
      </c>
      <c r="M71" s="68">
        <f>IF($N71="","",INDEX('Cronograma R. Operacional'!$M$5:$M$1000,$N71)&amp;"")</f>
        <v/>
      </c>
      <c r="N71">
        <f>IFERROR(MATCH(ROW()-4,rOrden_RO,0),"")</f>
        <v/>
      </c>
    </row>
    <row r="72">
      <c r="A72" s="60">
        <f>IF($N72="","",INDEX('Cronograma R. Operacional'!$A$5:$A$1000,$N72))</f>
        <v/>
      </c>
      <c r="B72" s="68">
        <f>IF($N72="","",INDEX('Cronograma R. Operacional'!$B$5:$B$1000,$N72)&amp;"")</f>
        <v/>
      </c>
      <c r="C72" s="68">
        <f>IF($N72="","",INDEX('Cronograma R. Operacional'!$C$5:$C$1000,$N72)&amp;"")</f>
        <v/>
      </c>
      <c r="D72" s="74">
        <f>IF($N72="","",IF(INDEX('Cronograma R. Operacional'!$D$5:$D$1000,$N72)="","",INDEX('Cronograma R. Operacional'!$D$5:$D$1000,$N72)))</f>
        <v/>
      </c>
      <c r="E72" s="74">
        <f>IF($N72="","",IF(INDEX('Cronograma R. Operacional'!$E$5:$E$1000,$N72)="","",INDEX('Cronograma R. Operacional'!$E$5:$E$1000,$N72)))</f>
        <v/>
      </c>
      <c r="F72" s="60">
        <f>IF($N72="","",IF(NOT(ISNUMBER($E72)),"",IF($E72&lt;InicioCiclo,"Antes del ciclo",IF($E72&gt;=InicioCiclo+28,"Después del ciclo","Semana "&amp;(INT(($E72-InicioCiclo)/7)+1)))))</f>
        <v/>
      </c>
      <c r="G72" s="65">
        <f>IF($N72="","",IF(INDEX('Cronograma R. Operacional'!$G$5:$G$1000,$N72)="","",INDEX('Cronograma R. Operacional'!$G$5:$G$1000,$N72)))</f>
        <v/>
      </c>
      <c r="H72" s="65">
        <f>IF($N72="","",IF(INDEX('Cronograma R. Operacional'!$H$5:$H$1000,$N72)="","",INDEX('Cronograma R. Operacional'!$H$5:$H$1000,$N72)))</f>
        <v/>
      </c>
      <c r="I72" s="65">
        <f>IF($N72="","",IF(INDEX('Cronograma R. Operacional'!$I$5:$I$1000,$N72)="","",INDEX('Cronograma R. Operacional'!$I$5:$I$1000,$N72)))</f>
        <v/>
      </c>
      <c r="J72" s="65">
        <f>IF($N72="","",IF(INDEX('Cronograma R. Operacional'!$J$5:$J$1000,$N72)="","",INDEX('Cronograma R. Operacional'!$J$5:$J$1000,$N72)))</f>
        <v/>
      </c>
      <c r="K72" s="65">
        <f>IF($N72="","",INDEX('Cronograma R. Operacional'!$K$5:$K$1000,$N72))</f>
        <v/>
      </c>
      <c r="L72" s="60">
        <f>IF($N72="","",IF(N($K72)&gt;=1,"Completado",IF(AND(ISNUMBER($E72),$E72&lt;FechaRef),"Vencida",IF(N($K72)&gt;0,"En curso","Pendiente"))))</f>
        <v/>
      </c>
      <c r="M72" s="68">
        <f>IF($N72="","",INDEX('Cronograma R. Operacional'!$M$5:$M$1000,$N72)&amp;"")</f>
        <v/>
      </c>
      <c r="N72">
        <f>IFERROR(MATCH(ROW()-4,rOrden_RO,0),"")</f>
        <v/>
      </c>
    </row>
    <row r="73">
      <c r="A73" s="60">
        <f>IF($N73="","",INDEX('Cronograma R. Operacional'!$A$5:$A$1000,$N73))</f>
        <v/>
      </c>
      <c r="B73" s="68">
        <f>IF($N73="","",INDEX('Cronograma R. Operacional'!$B$5:$B$1000,$N73)&amp;"")</f>
        <v/>
      </c>
      <c r="C73" s="68">
        <f>IF($N73="","",INDEX('Cronograma R. Operacional'!$C$5:$C$1000,$N73)&amp;"")</f>
        <v/>
      </c>
      <c r="D73" s="74">
        <f>IF($N73="","",IF(INDEX('Cronograma R. Operacional'!$D$5:$D$1000,$N73)="","",INDEX('Cronograma R. Operacional'!$D$5:$D$1000,$N73)))</f>
        <v/>
      </c>
      <c r="E73" s="74">
        <f>IF($N73="","",IF(INDEX('Cronograma R. Operacional'!$E$5:$E$1000,$N73)="","",INDEX('Cronograma R. Operacional'!$E$5:$E$1000,$N73)))</f>
        <v/>
      </c>
      <c r="F73" s="60">
        <f>IF($N73="","",IF(NOT(ISNUMBER($E73)),"",IF($E73&lt;InicioCiclo,"Antes del ciclo",IF($E73&gt;=InicioCiclo+28,"Después del ciclo","Semana "&amp;(INT(($E73-InicioCiclo)/7)+1)))))</f>
        <v/>
      </c>
      <c r="G73" s="65">
        <f>IF($N73="","",IF(INDEX('Cronograma R. Operacional'!$G$5:$G$1000,$N73)="","",INDEX('Cronograma R. Operacional'!$G$5:$G$1000,$N73)))</f>
        <v/>
      </c>
      <c r="H73" s="65">
        <f>IF($N73="","",IF(INDEX('Cronograma R. Operacional'!$H$5:$H$1000,$N73)="","",INDEX('Cronograma R. Operacional'!$H$5:$H$1000,$N73)))</f>
        <v/>
      </c>
      <c r="I73" s="65">
        <f>IF($N73="","",IF(INDEX('Cronograma R. Operacional'!$I$5:$I$1000,$N73)="","",INDEX('Cronograma R. Operacional'!$I$5:$I$1000,$N73)))</f>
        <v/>
      </c>
      <c r="J73" s="65">
        <f>IF($N73="","",IF(INDEX('Cronograma R. Operacional'!$J$5:$J$1000,$N73)="","",INDEX('Cronograma R. Operacional'!$J$5:$J$1000,$N73)))</f>
        <v/>
      </c>
      <c r="K73" s="65">
        <f>IF($N73="","",INDEX('Cronograma R. Operacional'!$K$5:$K$1000,$N73))</f>
        <v/>
      </c>
      <c r="L73" s="60">
        <f>IF($N73="","",IF(N($K73)&gt;=1,"Completado",IF(AND(ISNUMBER($E73),$E73&lt;FechaRef),"Vencida",IF(N($K73)&gt;0,"En curso","Pendiente"))))</f>
        <v/>
      </c>
      <c r="M73" s="68">
        <f>IF($N73="","",INDEX('Cronograma R. Operacional'!$M$5:$M$1000,$N73)&amp;"")</f>
        <v/>
      </c>
      <c r="N73">
        <f>IFERROR(MATCH(ROW()-4,rOrden_RO,0),"")</f>
        <v/>
      </c>
    </row>
    <row r="74">
      <c r="A74" s="60">
        <f>IF($N74="","",INDEX('Cronograma R. Operacional'!$A$5:$A$1000,$N74))</f>
        <v/>
      </c>
      <c r="B74" s="68">
        <f>IF($N74="","",INDEX('Cronograma R. Operacional'!$B$5:$B$1000,$N74)&amp;"")</f>
        <v/>
      </c>
      <c r="C74" s="68">
        <f>IF($N74="","",INDEX('Cronograma R. Operacional'!$C$5:$C$1000,$N74)&amp;"")</f>
        <v/>
      </c>
      <c r="D74" s="74">
        <f>IF($N74="","",IF(INDEX('Cronograma R. Operacional'!$D$5:$D$1000,$N74)="","",INDEX('Cronograma R. Operacional'!$D$5:$D$1000,$N74)))</f>
        <v/>
      </c>
      <c r="E74" s="74">
        <f>IF($N74="","",IF(INDEX('Cronograma R. Operacional'!$E$5:$E$1000,$N74)="","",INDEX('Cronograma R. Operacional'!$E$5:$E$1000,$N74)))</f>
        <v/>
      </c>
      <c r="F74" s="60">
        <f>IF($N74="","",IF(NOT(ISNUMBER($E74)),"",IF($E74&lt;InicioCiclo,"Antes del ciclo",IF($E74&gt;=InicioCiclo+28,"Después del ciclo","Semana "&amp;(INT(($E74-InicioCiclo)/7)+1)))))</f>
        <v/>
      </c>
      <c r="G74" s="65">
        <f>IF($N74="","",IF(INDEX('Cronograma R. Operacional'!$G$5:$G$1000,$N74)="","",INDEX('Cronograma R. Operacional'!$G$5:$G$1000,$N74)))</f>
        <v/>
      </c>
      <c r="H74" s="65">
        <f>IF($N74="","",IF(INDEX('Cronograma R. Operacional'!$H$5:$H$1000,$N74)="","",INDEX('Cronograma R. Operacional'!$H$5:$H$1000,$N74)))</f>
        <v/>
      </c>
      <c r="I74" s="65">
        <f>IF($N74="","",IF(INDEX('Cronograma R. Operacional'!$I$5:$I$1000,$N74)="","",INDEX('Cronograma R. Operacional'!$I$5:$I$1000,$N74)))</f>
        <v/>
      </c>
      <c r="J74" s="65">
        <f>IF($N74="","",IF(INDEX('Cronograma R. Operacional'!$J$5:$J$1000,$N74)="","",INDEX('Cronograma R. Operacional'!$J$5:$J$1000,$N74)))</f>
        <v/>
      </c>
      <c r="K74" s="65">
        <f>IF($N74="","",INDEX('Cronograma R. Operacional'!$K$5:$K$1000,$N74))</f>
        <v/>
      </c>
      <c r="L74" s="60">
        <f>IF($N74="","",IF(N($K74)&gt;=1,"Completado",IF(AND(ISNUMBER($E74),$E74&lt;FechaRef),"Vencida",IF(N($K74)&gt;0,"En curso","Pendiente"))))</f>
        <v/>
      </c>
      <c r="M74" s="68">
        <f>IF($N74="","",INDEX('Cronograma R. Operacional'!$M$5:$M$1000,$N74)&amp;"")</f>
        <v/>
      </c>
      <c r="N74">
        <f>IFERROR(MATCH(ROW()-4,rOrden_RO,0),"")</f>
        <v/>
      </c>
    </row>
    <row r="75">
      <c r="A75" s="60">
        <f>IF($N75="","",INDEX('Cronograma R. Operacional'!$A$5:$A$1000,$N75))</f>
        <v/>
      </c>
      <c r="B75" s="68">
        <f>IF($N75="","",INDEX('Cronograma R. Operacional'!$B$5:$B$1000,$N75)&amp;"")</f>
        <v/>
      </c>
      <c r="C75" s="68">
        <f>IF($N75="","",INDEX('Cronograma R. Operacional'!$C$5:$C$1000,$N75)&amp;"")</f>
        <v/>
      </c>
      <c r="D75" s="74">
        <f>IF($N75="","",IF(INDEX('Cronograma R. Operacional'!$D$5:$D$1000,$N75)="","",INDEX('Cronograma R. Operacional'!$D$5:$D$1000,$N75)))</f>
        <v/>
      </c>
      <c r="E75" s="74">
        <f>IF($N75="","",IF(INDEX('Cronograma R. Operacional'!$E$5:$E$1000,$N75)="","",INDEX('Cronograma R. Operacional'!$E$5:$E$1000,$N75)))</f>
        <v/>
      </c>
      <c r="F75" s="60">
        <f>IF($N75="","",IF(NOT(ISNUMBER($E75)),"",IF($E75&lt;InicioCiclo,"Antes del ciclo",IF($E75&gt;=InicioCiclo+28,"Después del ciclo","Semana "&amp;(INT(($E75-InicioCiclo)/7)+1)))))</f>
        <v/>
      </c>
      <c r="G75" s="65">
        <f>IF($N75="","",IF(INDEX('Cronograma R. Operacional'!$G$5:$G$1000,$N75)="","",INDEX('Cronograma R. Operacional'!$G$5:$G$1000,$N75)))</f>
        <v/>
      </c>
      <c r="H75" s="65">
        <f>IF($N75="","",IF(INDEX('Cronograma R. Operacional'!$H$5:$H$1000,$N75)="","",INDEX('Cronograma R. Operacional'!$H$5:$H$1000,$N75)))</f>
        <v/>
      </c>
      <c r="I75" s="65">
        <f>IF($N75="","",IF(INDEX('Cronograma R. Operacional'!$I$5:$I$1000,$N75)="","",INDEX('Cronograma R. Operacional'!$I$5:$I$1000,$N75)))</f>
        <v/>
      </c>
      <c r="J75" s="65">
        <f>IF($N75="","",IF(INDEX('Cronograma R. Operacional'!$J$5:$J$1000,$N75)="","",INDEX('Cronograma R. Operacional'!$J$5:$J$1000,$N75)))</f>
        <v/>
      </c>
      <c r="K75" s="65">
        <f>IF($N75="","",INDEX('Cronograma R. Operacional'!$K$5:$K$1000,$N75))</f>
        <v/>
      </c>
      <c r="L75" s="60">
        <f>IF($N75="","",IF(N($K75)&gt;=1,"Completado",IF(AND(ISNUMBER($E75),$E75&lt;FechaRef),"Vencida",IF(N($K75)&gt;0,"En curso","Pendiente"))))</f>
        <v/>
      </c>
      <c r="M75" s="68">
        <f>IF($N75="","",INDEX('Cronograma R. Operacional'!$M$5:$M$1000,$N75)&amp;"")</f>
        <v/>
      </c>
      <c r="N75">
        <f>IFERROR(MATCH(ROW()-4,rOrden_RO,0),"")</f>
        <v/>
      </c>
    </row>
    <row r="76">
      <c r="A76" s="60">
        <f>IF($N76="","",INDEX('Cronograma R. Operacional'!$A$5:$A$1000,$N76))</f>
        <v/>
      </c>
      <c r="B76" s="68">
        <f>IF($N76="","",INDEX('Cronograma R. Operacional'!$B$5:$B$1000,$N76)&amp;"")</f>
        <v/>
      </c>
      <c r="C76" s="68">
        <f>IF($N76="","",INDEX('Cronograma R. Operacional'!$C$5:$C$1000,$N76)&amp;"")</f>
        <v/>
      </c>
      <c r="D76" s="74">
        <f>IF($N76="","",IF(INDEX('Cronograma R. Operacional'!$D$5:$D$1000,$N76)="","",INDEX('Cronograma R. Operacional'!$D$5:$D$1000,$N76)))</f>
        <v/>
      </c>
      <c r="E76" s="74">
        <f>IF($N76="","",IF(INDEX('Cronograma R. Operacional'!$E$5:$E$1000,$N76)="","",INDEX('Cronograma R. Operacional'!$E$5:$E$1000,$N76)))</f>
        <v/>
      </c>
      <c r="F76" s="60">
        <f>IF($N76="","",IF(NOT(ISNUMBER($E76)),"",IF($E76&lt;InicioCiclo,"Antes del ciclo",IF($E76&gt;=InicioCiclo+28,"Después del ciclo","Semana "&amp;(INT(($E76-InicioCiclo)/7)+1)))))</f>
        <v/>
      </c>
      <c r="G76" s="65">
        <f>IF($N76="","",IF(INDEX('Cronograma R. Operacional'!$G$5:$G$1000,$N76)="","",INDEX('Cronograma R. Operacional'!$G$5:$G$1000,$N76)))</f>
        <v/>
      </c>
      <c r="H76" s="65">
        <f>IF($N76="","",IF(INDEX('Cronograma R. Operacional'!$H$5:$H$1000,$N76)="","",INDEX('Cronograma R. Operacional'!$H$5:$H$1000,$N76)))</f>
        <v/>
      </c>
      <c r="I76" s="65">
        <f>IF($N76="","",IF(INDEX('Cronograma R. Operacional'!$I$5:$I$1000,$N76)="","",INDEX('Cronograma R. Operacional'!$I$5:$I$1000,$N76)))</f>
        <v/>
      </c>
      <c r="J76" s="65">
        <f>IF($N76="","",IF(INDEX('Cronograma R. Operacional'!$J$5:$J$1000,$N76)="","",INDEX('Cronograma R. Operacional'!$J$5:$J$1000,$N76)))</f>
        <v/>
      </c>
      <c r="K76" s="65">
        <f>IF($N76="","",INDEX('Cronograma R. Operacional'!$K$5:$K$1000,$N76))</f>
        <v/>
      </c>
      <c r="L76" s="60">
        <f>IF($N76="","",IF(N($K76)&gt;=1,"Completado",IF(AND(ISNUMBER($E76),$E76&lt;FechaRef),"Vencida",IF(N($K76)&gt;0,"En curso","Pendiente"))))</f>
        <v/>
      </c>
      <c r="M76" s="68">
        <f>IF($N76="","",INDEX('Cronograma R. Operacional'!$M$5:$M$1000,$N76)&amp;"")</f>
        <v/>
      </c>
      <c r="N76">
        <f>IFERROR(MATCH(ROW()-4,rOrden_RO,0),"")</f>
        <v/>
      </c>
    </row>
    <row r="77">
      <c r="A77" s="60">
        <f>IF($N77="","",INDEX('Cronograma R. Operacional'!$A$5:$A$1000,$N77))</f>
        <v/>
      </c>
      <c r="B77" s="68">
        <f>IF($N77="","",INDEX('Cronograma R. Operacional'!$B$5:$B$1000,$N77)&amp;"")</f>
        <v/>
      </c>
      <c r="C77" s="68">
        <f>IF($N77="","",INDEX('Cronograma R. Operacional'!$C$5:$C$1000,$N77)&amp;"")</f>
        <v/>
      </c>
      <c r="D77" s="74">
        <f>IF($N77="","",IF(INDEX('Cronograma R. Operacional'!$D$5:$D$1000,$N77)="","",INDEX('Cronograma R. Operacional'!$D$5:$D$1000,$N77)))</f>
        <v/>
      </c>
      <c r="E77" s="74">
        <f>IF($N77="","",IF(INDEX('Cronograma R. Operacional'!$E$5:$E$1000,$N77)="","",INDEX('Cronograma R. Operacional'!$E$5:$E$1000,$N77)))</f>
        <v/>
      </c>
      <c r="F77" s="60">
        <f>IF($N77="","",IF(NOT(ISNUMBER($E77)),"",IF($E77&lt;InicioCiclo,"Antes del ciclo",IF($E77&gt;=InicioCiclo+28,"Después del ciclo","Semana "&amp;(INT(($E77-InicioCiclo)/7)+1)))))</f>
        <v/>
      </c>
      <c r="G77" s="65">
        <f>IF($N77="","",IF(INDEX('Cronograma R. Operacional'!$G$5:$G$1000,$N77)="","",INDEX('Cronograma R. Operacional'!$G$5:$G$1000,$N77)))</f>
        <v/>
      </c>
      <c r="H77" s="65">
        <f>IF($N77="","",IF(INDEX('Cronograma R. Operacional'!$H$5:$H$1000,$N77)="","",INDEX('Cronograma R. Operacional'!$H$5:$H$1000,$N77)))</f>
        <v/>
      </c>
      <c r="I77" s="65">
        <f>IF($N77="","",IF(INDEX('Cronograma R. Operacional'!$I$5:$I$1000,$N77)="","",INDEX('Cronograma R. Operacional'!$I$5:$I$1000,$N77)))</f>
        <v/>
      </c>
      <c r="J77" s="65">
        <f>IF($N77="","",IF(INDEX('Cronograma R. Operacional'!$J$5:$J$1000,$N77)="","",INDEX('Cronograma R. Operacional'!$J$5:$J$1000,$N77)))</f>
        <v/>
      </c>
      <c r="K77" s="65">
        <f>IF($N77="","",INDEX('Cronograma R. Operacional'!$K$5:$K$1000,$N77))</f>
        <v/>
      </c>
      <c r="L77" s="60">
        <f>IF($N77="","",IF(N($K77)&gt;=1,"Completado",IF(AND(ISNUMBER($E77),$E77&lt;FechaRef),"Vencida",IF(N($K77)&gt;0,"En curso","Pendiente"))))</f>
        <v/>
      </c>
      <c r="M77" s="68">
        <f>IF($N77="","",INDEX('Cronograma R. Operacional'!$M$5:$M$1000,$N77)&amp;"")</f>
        <v/>
      </c>
      <c r="N77">
        <f>IFERROR(MATCH(ROW()-4,rOrden_RO,0),"")</f>
        <v/>
      </c>
    </row>
    <row r="78">
      <c r="A78" s="60">
        <f>IF($N78="","",INDEX('Cronograma R. Operacional'!$A$5:$A$1000,$N78))</f>
        <v/>
      </c>
      <c r="B78" s="68">
        <f>IF($N78="","",INDEX('Cronograma R. Operacional'!$B$5:$B$1000,$N78)&amp;"")</f>
        <v/>
      </c>
      <c r="C78" s="68">
        <f>IF($N78="","",INDEX('Cronograma R. Operacional'!$C$5:$C$1000,$N78)&amp;"")</f>
        <v/>
      </c>
      <c r="D78" s="74">
        <f>IF($N78="","",IF(INDEX('Cronograma R. Operacional'!$D$5:$D$1000,$N78)="","",INDEX('Cronograma R. Operacional'!$D$5:$D$1000,$N78)))</f>
        <v/>
      </c>
      <c r="E78" s="74">
        <f>IF($N78="","",IF(INDEX('Cronograma R. Operacional'!$E$5:$E$1000,$N78)="","",INDEX('Cronograma R. Operacional'!$E$5:$E$1000,$N78)))</f>
        <v/>
      </c>
      <c r="F78" s="60">
        <f>IF($N78="","",IF(NOT(ISNUMBER($E78)),"",IF($E78&lt;InicioCiclo,"Antes del ciclo",IF($E78&gt;=InicioCiclo+28,"Después del ciclo","Semana "&amp;(INT(($E78-InicioCiclo)/7)+1)))))</f>
        <v/>
      </c>
      <c r="G78" s="65">
        <f>IF($N78="","",IF(INDEX('Cronograma R. Operacional'!$G$5:$G$1000,$N78)="","",INDEX('Cronograma R. Operacional'!$G$5:$G$1000,$N78)))</f>
        <v/>
      </c>
      <c r="H78" s="65">
        <f>IF($N78="","",IF(INDEX('Cronograma R. Operacional'!$H$5:$H$1000,$N78)="","",INDEX('Cronograma R. Operacional'!$H$5:$H$1000,$N78)))</f>
        <v/>
      </c>
      <c r="I78" s="65">
        <f>IF($N78="","",IF(INDEX('Cronograma R. Operacional'!$I$5:$I$1000,$N78)="","",INDEX('Cronograma R. Operacional'!$I$5:$I$1000,$N78)))</f>
        <v/>
      </c>
      <c r="J78" s="65">
        <f>IF($N78="","",IF(INDEX('Cronograma R. Operacional'!$J$5:$J$1000,$N78)="","",INDEX('Cronograma R. Operacional'!$J$5:$J$1000,$N78)))</f>
        <v/>
      </c>
      <c r="K78" s="65">
        <f>IF($N78="","",INDEX('Cronograma R. Operacional'!$K$5:$K$1000,$N78))</f>
        <v/>
      </c>
      <c r="L78" s="60">
        <f>IF($N78="","",IF(N($K78)&gt;=1,"Completado",IF(AND(ISNUMBER($E78),$E78&lt;FechaRef),"Vencida",IF(N($K78)&gt;0,"En curso","Pendiente"))))</f>
        <v/>
      </c>
      <c r="M78" s="68">
        <f>IF($N78="","",INDEX('Cronograma R. Operacional'!$M$5:$M$1000,$N78)&amp;"")</f>
        <v/>
      </c>
      <c r="N78">
        <f>IFERROR(MATCH(ROW()-4,rOrden_RO,0),"")</f>
        <v/>
      </c>
    </row>
    <row r="79">
      <c r="A79" s="60">
        <f>IF($N79="","",INDEX('Cronograma R. Operacional'!$A$5:$A$1000,$N79))</f>
        <v/>
      </c>
      <c r="B79" s="68">
        <f>IF($N79="","",INDEX('Cronograma R. Operacional'!$B$5:$B$1000,$N79)&amp;"")</f>
        <v/>
      </c>
      <c r="C79" s="68">
        <f>IF($N79="","",INDEX('Cronograma R. Operacional'!$C$5:$C$1000,$N79)&amp;"")</f>
        <v/>
      </c>
      <c r="D79" s="74">
        <f>IF($N79="","",IF(INDEX('Cronograma R. Operacional'!$D$5:$D$1000,$N79)="","",INDEX('Cronograma R. Operacional'!$D$5:$D$1000,$N79)))</f>
        <v/>
      </c>
      <c r="E79" s="74">
        <f>IF($N79="","",IF(INDEX('Cronograma R. Operacional'!$E$5:$E$1000,$N79)="","",INDEX('Cronograma R. Operacional'!$E$5:$E$1000,$N79)))</f>
        <v/>
      </c>
      <c r="F79" s="60">
        <f>IF($N79="","",IF(NOT(ISNUMBER($E79)),"",IF($E79&lt;InicioCiclo,"Antes del ciclo",IF($E79&gt;=InicioCiclo+28,"Después del ciclo","Semana "&amp;(INT(($E79-InicioCiclo)/7)+1)))))</f>
        <v/>
      </c>
      <c r="G79" s="65">
        <f>IF($N79="","",IF(INDEX('Cronograma R. Operacional'!$G$5:$G$1000,$N79)="","",INDEX('Cronograma R. Operacional'!$G$5:$G$1000,$N79)))</f>
        <v/>
      </c>
      <c r="H79" s="65">
        <f>IF($N79="","",IF(INDEX('Cronograma R. Operacional'!$H$5:$H$1000,$N79)="","",INDEX('Cronograma R. Operacional'!$H$5:$H$1000,$N79)))</f>
        <v/>
      </c>
      <c r="I79" s="65">
        <f>IF($N79="","",IF(INDEX('Cronograma R. Operacional'!$I$5:$I$1000,$N79)="","",INDEX('Cronograma R. Operacional'!$I$5:$I$1000,$N79)))</f>
        <v/>
      </c>
      <c r="J79" s="65">
        <f>IF($N79="","",IF(INDEX('Cronograma R. Operacional'!$J$5:$J$1000,$N79)="","",INDEX('Cronograma R. Operacional'!$J$5:$J$1000,$N79)))</f>
        <v/>
      </c>
      <c r="K79" s="65">
        <f>IF($N79="","",INDEX('Cronograma R. Operacional'!$K$5:$K$1000,$N79))</f>
        <v/>
      </c>
      <c r="L79" s="60">
        <f>IF($N79="","",IF(N($K79)&gt;=1,"Completado",IF(AND(ISNUMBER($E79),$E79&lt;FechaRef),"Vencida",IF(N($K79)&gt;0,"En curso","Pendiente"))))</f>
        <v/>
      </c>
      <c r="M79" s="68">
        <f>IF($N79="","",INDEX('Cronograma R. Operacional'!$M$5:$M$1000,$N79)&amp;"")</f>
        <v/>
      </c>
      <c r="N79">
        <f>IFERROR(MATCH(ROW()-4,rOrden_RO,0),"")</f>
        <v/>
      </c>
    </row>
    <row r="80">
      <c r="A80" s="60">
        <f>IF($N80="","",INDEX('Cronograma R. Operacional'!$A$5:$A$1000,$N80))</f>
        <v/>
      </c>
      <c r="B80" s="68">
        <f>IF($N80="","",INDEX('Cronograma R. Operacional'!$B$5:$B$1000,$N80)&amp;"")</f>
        <v/>
      </c>
      <c r="C80" s="68">
        <f>IF($N80="","",INDEX('Cronograma R. Operacional'!$C$5:$C$1000,$N80)&amp;"")</f>
        <v/>
      </c>
      <c r="D80" s="74">
        <f>IF($N80="","",IF(INDEX('Cronograma R. Operacional'!$D$5:$D$1000,$N80)="","",INDEX('Cronograma R. Operacional'!$D$5:$D$1000,$N80)))</f>
        <v/>
      </c>
      <c r="E80" s="74">
        <f>IF($N80="","",IF(INDEX('Cronograma R. Operacional'!$E$5:$E$1000,$N80)="","",INDEX('Cronograma R. Operacional'!$E$5:$E$1000,$N80)))</f>
        <v/>
      </c>
      <c r="F80" s="60">
        <f>IF($N80="","",IF(NOT(ISNUMBER($E80)),"",IF($E80&lt;InicioCiclo,"Antes del ciclo",IF($E80&gt;=InicioCiclo+28,"Después del ciclo","Semana "&amp;(INT(($E80-InicioCiclo)/7)+1)))))</f>
        <v/>
      </c>
      <c r="G80" s="65">
        <f>IF($N80="","",IF(INDEX('Cronograma R. Operacional'!$G$5:$G$1000,$N80)="","",INDEX('Cronograma R. Operacional'!$G$5:$G$1000,$N80)))</f>
        <v/>
      </c>
      <c r="H80" s="65">
        <f>IF($N80="","",IF(INDEX('Cronograma R. Operacional'!$H$5:$H$1000,$N80)="","",INDEX('Cronograma R. Operacional'!$H$5:$H$1000,$N80)))</f>
        <v/>
      </c>
      <c r="I80" s="65">
        <f>IF($N80="","",IF(INDEX('Cronograma R. Operacional'!$I$5:$I$1000,$N80)="","",INDEX('Cronograma R. Operacional'!$I$5:$I$1000,$N80)))</f>
        <v/>
      </c>
      <c r="J80" s="65">
        <f>IF($N80="","",IF(INDEX('Cronograma R. Operacional'!$J$5:$J$1000,$N80)="","",INDEX('Cronograma R. Operacional'!$J$5:$J$1000,$N80)))</f>
        <v/>
      </c>
      <c r="K80" s="65">
        <f>IF($N80="","",INDEX('Cronograma R. Operacional'!$K$5:$K$1000,$N80))</f>
        <v/>
      </c>
      <c r="L80" s="60">
        <f>IF($N80="","",IF(N($K80)&gt;=1,"Completado",IF(AND(ISNUMBER($E80),$E80&lt;FechaRef),"Vencida",IF(N($K80)&gt;0,"En curso","Pendiente"))))</f>
        <v/>
      </c>
      <c r="M80" s="68">
        <f>IF($N80="","",INDEX('Cronograma R. Operacional'!$M$5:$M$1000,$N80)&amp;"")</f>
        <v/>
      </c>
      <c r="N80">
        <f>IFERROR(MATCH(ROW()-4,rOrden_RO,0),"")</f>
        <v/>
      </c>
    </row>
    <row r="81">
      <c r="A81" s="60">
        <f>IF($N81="","",INDEX('Cronograma R. Operacional'!$A$5:$A$1000,$N81))</f>
        <v/>
      </c>
      <c r="B81" s="68">
        <f>IF($N81="","",INDEX('Cronograma R. Operacional'!$B$5:$B$1000,$N81)&amp;"")</f>
        <v/>
      </c>
      <c r="C81" s="68">
        <f>IF($N81="","",INDEX('Cronograma R. Operacional'!$C$5:$C$1000,$N81)&amp;"")</f>
        <v/>
      </c>
      <c r="D81" s="74">
        <f>IF($N81="","",IF(INDEX('Cronograma R. Operacional'!$D$5:$D$1000,$N81)="","",INDEX('Cronograma R. Operacional'!$D$5:$D$1000,$N81)))</f>
        <v/>
      </c>
      <c r="E81" s="74">
        <f>IF($N81="","",IF(INDEX('Cronograma R. Operacional'!$E$5:$E$1000,$N81)="","",INDEX('Cronograma R. Operacional'!$E$5:$E$1000,$N81)))</f>
        <v/>
      </c>
      <c r="F81" s="60">
        <f>IF($N81="","",IF(NOT(ISNUMBER($E81)),"",IF($E81&lt;InicioCiclo,"Antes del ciclo",IF($E81&gt;=InicioCiclo+28,"Después del ciclo","Semana "&amp;(INT(($E81-InicioCiclo)/7)+1)))))</f>
        <v/>
      </c>
      <c r="G81" s="65">
        <f>IF($N81="","",IF(INDEX('Cronograma R. Operacional'!$G$5:$G$1000,$N81)="","",INDEX('Cronograma R. Operacional'!$G$5:$G$1000,$N81)))</f>
        <v/>
      </c>
      <c r="H81" s="65">
        <f>IF($N81="","",IF(INDEX('Cronograma R. Operacional'!$H$5:$H$1000,$N81)="","",INDEX('Cronograma R. Operacional'!$H$5:$H$1000,$N81)))</f>
        <v/>
      </c>
      <c r="I81" s="65">
        <f>IF($N81="","",IF(INDEX('Cronograma R. Operacional'!$I$5:$I$1000,$N81)="","",INDEX('Cronograma R. Operacional'!$I$5:$I$1000,$N81)))</f>
        <v/>
      </c>
      <c r="J81" s="65">
        <f>IF($N81="","",IF(INDEX('Cronograma R. Operacional'!$J$5:$J$1000,$N81)="","",INDEX('Cronograma R. Operacional'!$J$5:$J$1000,$N81)))</f>
        <v/>
      </c>
      <c r="K81" s="65">
        <f>IF($N81="","",INDEX('Cronograma R. Operacional'!$K$5:$K$1000,$N81))</f>
        <v/>
      </c>
      <c r="L81" s="60">
        <f>IF($N81="","",IF(N($K81)&gt;=1,"Completado",IF(AND(ISNUMBER($E81),$E81&lt;FechaRef),"Vencida",IF(N($K81)&gt;0,"En curso","Pendiente"))))</f>
        <v/>
      </c>
      <c r="M81" s="68">
        <f>IF($N81="","",INDEX('Cronograma R. Operacional'!$M$5:$M$1000,$N81)&amp;"")</f>
        <v/>
      </c>
      <c r="N81">
        <f>IFERROR(MATCH(ROW()-4,rOrden_RO,0),"")</f>
        <v/>
      </c>
    </row>
    <row r="82">
      <c r="A82" s="60">
        <f>IF($N82="","",INDEX('Cronograma R. Operacional'!$A$5:$A$1000,$N82))</f>
        <v/>
      </c>
      <c r="B82" s="68">
        <f>IF($N82="","",INDEX('Cronograma R. Operacional'!$B$5:$B$1000,$N82)&amp;"")</f>
        <v/>
      </c>
      <c r="C82" s="68">
        <f>IF($N82="","",INDEX('Cronograma R. Operacional'!$C$5:$C$1000,$N82)&amp;"")</f>
        <v/>
      </c>
      <c r="D82" s="74">
        <f>IF($N82="","",IF(INDEX('Cronograma R. Operacional'!$D$5:$D$1000,$N82)="","",INDEX('Cronograma R. Operacional'!$D$5:$D$1000,$N82)))</f>
        <v/>
      </c>
      <c r="E82" s="74">
        <f>IF($N82="","",IF(INDEX('Cronograma R. Operacional'!$E$5:$E$1000,$N82)="","",INDEX('Cronograma R. Operacional'!$E$5:$E$1000,$N82)))</f>
        <v/>
      </c>
      <c r="F82" s="60">
        <f>IF($N82="","",IF(NOT(ISNUMBER($E82)),"",IF($E82&lt;InicioCiclo,"Antes del ciclo",IF($E82&gt;=InicioCiclo+28,"Después del ciclo","Semana "&amp;(INT(($E82-InicioCiclo)/7)+1)))))</f>
        <v/>
      </c>
      <c r="G82" s="65">
        <f>IF($N82="","",IF(INDEX('Cronograma R. Operacional'!$G$5:$G$1000,$N82)="","",INDEX('Cronograma R. Operacional'!$G$5:$G$1000,$N82)))</f>
        <v/>
      </c>
      <c r="H82" s="65">
        <f>IF($N82="","",IF(INDEX('Cronograma R. Operacional'!$H$5:$H$1000,$N82)="","",INDEX('Cronograma R. Operacional'!$H$5:$H$1000,$N82)))</f>
        <v/>
      </c>
      <c r="I82" s="65">
        <f>IF($N82="","",IF(INDEX('Cronograma R. Operacional'!$I$5:$I$1000,$N82)="","",INDEX('Cronograma R. Operacional'!$I$5:$I$1000,$N82)))</f>
        <v/>
      </c>
      <c r="J82" s="65">
        <f>IF($N82="","",IF(INDEX('Cronograma R. Operacional'!$J$5:$J$1000,$N82)="","",INDEX('Cronograma R. Operacional'!$J$5:$J$1000,$N82)))</f>
        <v/>
      </c>
      <c r="K82" s="65">
        <f>IF($N82="","",INDEX('Cronograma R. Operacional'!$K$5:$K$1000,$N82))</f>
        <v/>
      </c>
      <c r="L82" s="60">
        <f>IF($N82="","",IF(N($K82)&gt;=1,"Completado",IF(AND(ISNUMBER($E82),$E82&lt;FechaRef),"Vencida",IF(N($K82)&gt;0,"En curso","Pendiente"))))</f>
        <v/>
      </c>
      <c r="M82" s="68">
        <f>IF($N82="","",INDEX('Cronograma R. Operacional'!$M$5:$M$1000,$N82)&amp;"")</f>
        <v/>
      </c>
      <c r="N82">
        <f>IFERROR(MATCH(ROW()-4,rOrden_RO,0),"")</f>
        <v/>
      </c>
    </row>
    <row r="83">
      <c r="A83" s="60">
        <f>IF($N83="","",INDEX('Cronograma R. Operacional'!$A$5:$A$1000,$N83))</f>
        <v/>
      </c>
      <c r="B83" s="68">
        <f>IF($N83="","",INDEX('Cronograma R. Operacional'!$B$5:$B$1000,$N83)&amp;"")</f>
        <v/>
      </c>
      <c r="C83" s="68">
        <f>IF($N83="","",INDEX('Cronograma R. Operacional'!$C$5:$C$1000,$N83)&amp;"")</f>
        <v/>
      </c>
      <c r="D83" s="74">
        <f>IF($N83="","",IF(INDEX('Cronograma R. Operacional'!$D$5:$D$1000,$N83)="","",INDEX('Cronograma R. Operacional'!$D$5:$D$1000,$N83)))</f>
        <v/>
      </c>
      <c r="E83" s="74">
        <f>IF($N83="","",IF(INDEX('Cronograma R. Operacional'!$E$5:$E$1000,$N83)="","",INDEX('Cronograma R. Operacional'!$E$5:$E$1000,$N83)))</f>
        <v/>
      </c>
      <c r="F83" s="60">
        <f>IF($N83="","",IF(NOT(ISNUMBER($E83)),"",IF($E83&lt;InicioCiclo,"Antes del ciclo",IF($E83&gt;=InicioCiclo+28,"Después del ciclo","Semana "&amp;(INT(($E83-InicioCiclo)/7)+1)))))</f>
        <v/>
      </c>
      <c r="G83" s="65">
        <f>IF($N83="","",IF(INDEX('Cronograma R. Operacional'!$G$5:$G$1000,$N83)="","",INDEX('Cronograma R. Operacional'!$G$5:$G$1000,$N83)))</f>
        <v/>
      </c>
      <c r="H83" s="65">
        <f>IF($N83="","",IF(INDEX('Cronograma R. Operacional'!$H$5:$H$1000,$N83)="","",INDEX('Cronograma R. Operacional'!$H$5:$H$1000,$N83)))</f>
        <v/>
      </c>
      <c r="I83" s="65">
        <f>IF($N83="","",IF(INDEX('Cronograma R. Operacional'!$I$5:$I$1000,$N83)="","",INDEX('Cronograma R. Operacional'!$I$5:$I$1000,$N83)))</f>
        <v/>
      </c>
      <c r="J83" s="65">
        <f>IF($N83="","",IF(INDEX('Cronograma R. Operacional'!$J$5:$J$1000,$N83)="","",INDEX('Cronograma R. Operacional'!$J$5:$J$1000,$N83)))</f>
        <v/>
      </c>
      <c r="K83" s="65">
        <f>IF($N83="","",INDEX('Cronograma R. Operacional'!$K$5:$K$1000,$N83))</f>
        <v/>
      </c>
      <c r="L83" s="60">
        <f>IF($N83="","",IF(N($K83)&gt;=1,"Completado",IF(AND(ISNUMBER($E83),$E83&lt;FechaRef),"Vencida",IF(N($K83)&gt;0,"En curso","Pendiente"))))</f>
        <v/>
      </c>
      <c r="M83" s="68">
        <f>IF($N83="","",INDEX('Cronograma R. Operacional'!$M$5:$M$1000,$N83)&amp;"")</f>
        <v/>
      </c>
      <c r="N83">
        <f>IFERROR(MATCH(ROW()-4,rOrden_RO,0),"")</f>
        <v/>
      </c>
    </row>
    <row r="84">
      <c r="A84" s="60">
        <f>IF($N84="","",INDEX('Cronograma R. Operacional'!$A$5:$A$1000,$N84))</f>
        <v/>
      </c>
      <c r="B84" s="68">
        <f>IF($N84="","",INDEX('Cronograma R. Operacional'!$B$5:$B$1000,$N84)&amp;"")</f>
        <v/>
      </c>
      <c r="C84" s="68">
        <f>IF($N84="","",INDEX('Cronograma R. Operacional'!$C$5:$C$1000,$N84)&amp;"")</f>
        <v/>
      </c>
      <c r="D84" s="74">
        <f>IF($N84="","",IF(INDEX('Cronograma R. Operacional'!$D$5:$D$1000,$N84)="","",INDEX('Cronograma R. Operacional'!$D$5:$D$1000,$N84)))</f>
        <v/>
      </c>
      <c r="E84" s="74">
        <f>IF($N84="","",IF(INDEX('Cronograma R. Operacional'!$E$5:$E$1000,$N84)="","",INDEX('Cronograma R. Operacional'!$E$5:$E$1000,$N84)))</f>
        <v/>
      </c>
      <c r="F84" s="60">
        <f>IF($N84="","",IF(NOT(ISNUMBER($E84)),"",IF($E84&lt;InicioCiclo,"Antes del ciclo",IF($E84&gt;=InicioCiclo+28,"Después del ciclo","Semana "&amp;(INT(($E84-InicioCiclo)/7)+1)))))</f>
        <v/>
      </c>
      <c r="G84" s="65">
        <f>IF($N84="","",IF(INDEX('Cronograma R. Operacional'!$G$5:$G$1000,$N84)="","",INDEX('Cronograma R. Operacional'!$G$5:$G$1000,$N84)))</f>
        <v/>
      </c>
      <c r="H84" s="65">
        <f>IF($N84="","",IF(INDEX('Cronograma R. Operacional'!$H$5:$H$1000,$N84)="","",INDEX('Cronograma R. Operacional'!$H$5:$H$1000,$N84)))</f>
        <v/>
      </c>
      <c r="I84" s="65">
        <f>IF($N84="","",IF(INDEX('Cronograma R. Operacional'!$I$5:$I$1000,$N84)="","",INDEX('Cronograma R. Operacional'!$I$5:$I$1000,$N84)))</f>
        <v/>
      </c>
      <c r="J84" s="65">
        <f>IF($N84="","",IF(INDEX('Cronograma R. Operacional'!$J$5:$J$1000,$N84)="","",INDEX('Cronograma R. Operacional'!$J$5:$J$1000,$N84)))</f>
        <v/>
      </c>
      <c r="K84" s="65">
        <f>IF($N84="","",INDEX('Cronograma R. Operacional'!$K$5:$K$1000,$N84))</f>
        <v/>
      </c>
      <c r="L84" s="60">
        <f>IF($N84="","",IF(N($K84)&gt;=1,"Completado",IF(AND(ISNUMBER($E84),$E84&lt;FechaRef),"Vencida",IF(N($K84)&gt;0,"En curso","Pendiente"))))</f>
        <v/>
      </c>
      <c r="M84" s="68">
        <f>IF($N84="","",INDEX('Cronograma R. Operacional'!$M$5:$M$1000,$N84)&amp;"")</f>
        <v/>
      </c>
      <c r="N84">
        <f>IFERROR(MATCH(ROW()-4,rOrden_RO,0),"")</f>
        <v/>
      </c>
    </row>
    <row r="85">
      <c r="A85" s="60">
        <f>IF($N85="","",INDEX('Cronograma R. Operacional'!$A$5:$A$1000,$N85))</f>
        <v/>
      </c>
      <c r="B85" s="68">
        <f>IF($N85="","",INDEX('Cronograma R. Operacional'!$B$5:$B$1000,$N85)&amp;"")</f>
        <v/>
      </c>
      <c r="C85" s="68">
        <f>IF($N85="","",INDEX('Cronograma R. Operacional'!$C$5:$C$1000,$N85)&amp;"")</f>
        <v/>
      </c>
      <c r="D85" s="74">
        <f>IF($N85="","",IF(INDEX('Cronograma R. Operacional'!$D$5:$D$1000,$N85)="","",INDEX('Cronograma R. Operacional'!$D$5:$D$1000,$N85)))</f>
        <v/>
      </c>
      <c r="E85" s="74">
        <f>IF($N85="","",IF(INDEX('Cronograma R. Operacional'!$E$5:$E$1000,$N85)="","",INDEX('Cronograma R. Operacional'!$E$5:$E$1000,$N85)))</f>
        <v/>
      </c>
      <c r="F85" s="60">
        <f>IF($N85="","",IF(NOT(ISNUMBER($E85)),"",IF($E85&lt;InicioCiclo,"Antes del ciclo",IF($E85&gt;=InicioCiclo+28,"Después del ciclo","Semana "&amp;(INT(($E85-InicioCiclo)/7)+1)))))</f>
        <v/>
      </c>
      <c r="G85" s="65">
        <f>IF($N85="","",IF(INDEX('Cronograma R. Operacional'!$G$5:$G$1000,$N85)="","",INDEX('Cronograma R. Operacional'!$G$5:$G$1000,$N85)))</f>
        <v/>
      </c>
      <c r="H85" s="65">
        <f>IF($N85="","",IF(INDEX('Cronograma R. Operacional'!$H$5:$H$1000,$N85)="","",INDEX('Cronograma R. Operacional'!$H$5:$H$1000,$N85)))</f>
        <v/>
      </c>
      <c r="I85" s="65">
        <f>IF($N85="","",IF(INDEX('Cronograma R. Operacional'!$I$5:$I$1000,$N85)="","",INDEX('Cronograma R. Operacional'!$I$5:$I$1000,$N85)))</f>
        <v/>
      </c>
      <c r="J85" s="65">
        <f>IF($N85="","",IF(INDEX('Cronograma R. Operacional'!$J$5:$J$1000,$N85)="","",INDEX('Cronograma R. Operacional'!$J$5:$J$1000,$N85)))</f>
        <v/>
      </c>
      <c r="K85" s="65">
        <f>IF($N85="","",INDEX('Cronograma R. Operacional'!$K$5:$K$1000,$N85))</f>
        <v/>
      </c>
      <c r="L85" s="60">
        <f>IF($N85="","",IF(N($K85)&gt;=1,"Completado",IF(AND(ISNUMBER($E85),$E85&lt;FechaRef),"Vencida",IF(N($K85)&gt;0,"En curso","Pendiente"))))</f>
        <v/>
      </c>
      <c r="M85" s="68">
        <f>IF($N85="","",INDEX('Cronograma R. Operacional'!$M$5:$M$1000,$N85)&amp;"")</f>
        <v/>
      </c>
      <c r="N85">
        <f>IFERROR(MATCH(ROW()-4,rOrden_RO,0),"")</f>
        <v/>
      </c>
    </row>
    <row r="86">
      <c r="A86" s="60">
        <f>IF($N86="","",INDEX('Cronograma R. Operacional'!$A$5:$A$1000,$N86))</f>
        <v/>
      </c>
      <c r="B86" s="68">
        <f>IF($N86="","",INDEX('Cronograma R. Operacional'!$B$5:$B$1000,$N86)&amp;"")</f>
        <v/>
      </c>
      <c r="C86" s="68">
        <f>IF($N86="","",INDEX('Cronograma R. Operacional'!$C$5:$C$1000,$N86)&amp;"")</f>
        <v/>
      </c>
      <c r="D86" s="74">
        <f>IF($N86="","",IF(INDEX('Cronograma R. Operacional'!$D$5:$D$1000,$N86)="","",INDEX('Cronograma R. Operacional'!$D$5:$D$1000,$N86)))</f>
        <v/>
      </c>
      <c r="E86" s="74">
        <f>IF($N86="","",IF(INDEX('Cronograma R. Operacional'!$E$5:$E$1000,$N86)="","",INDEX('Cronograma R. Operacional'!$E$5:$E$1000,$N86)))</f>
        <v/>
      </c>
      <c r="F86" s="60">
        <f>IF($N86="","",IF(NOT(ISNUMBER($E86)),"",IF($E86&lt;InicioCiclo,"Antes del ciclo",IF($E86&gt;=InicioCiclo+28,"Después del ciclo","Semana "&amp;(INT(($E86-InicioCiclo)/7)+1)))))</f>
        <v/>
      </c>
      <c r="G86" s="65">
        <f>IF($N86="","",IF(INDEX('Cronograma R. Operacional'!$G$5:$G$1000,$N86)="","",INDEX('Cronograma R. Operacional'!$G$5:$G$1000,$N86)))</f>
        <v/>
      </c>
      <c r="H86" s="65">
        <f>IF($N86="","",IF(INDEX('Cronograma R. Operacional'!$H$5:$H$1000,$N86)="","",INDEX('Cronograma R. Operacional'!$H$5:$H$1000,$N86)))</f>
        <v/>
      </c>
      <c r="I86" s="65">
        <f>IF($N86="","",IF(INDEX('Cronograma R. Operacional'!$I$5:$I$1000,$N86)="","",INDEX('Cronograma R. Operacional'!$I$5:$I$1000,$N86)))</f>
        <v/>
      </c>
      <c r="J86" s="65">
        <f>IF($N86="","",IF(INDEX('Cronograma R. Operacional'!$J$5:$J$1000,$N86)="","",INDEX('Cronograma R. Operacional'!$J$5:$J$1000,$N86)))</f>
        <v/>
      </c>
      <c r="K86" s="65">
        <f>IF($N86="","",INDEX('Cronograma R. Operacional'!$K$5:$K$1000,$N86))</f>
        <v/>
      </c>
      <c r="L86" s="60">
        <f>IF($N86="","",IF(N($K86)&gt;=1,"Completado",IF(AND(ISNUMBER($E86),$E86&lt;FechaRef),"Vencida",IF(N($K86)&gt;0,"En curso","Pendiente"))))</f>
        <v/>
      </c>
      <c r="M86" s="68">
        <f>IF($N86="","",INDEX('Cronograma R. Operacional'!$M$5:$M$1000,$N86)&amp;"")</f>
        <v/>
      </c>
      <c r="N86">
        <f>IFERROR(MATCH(ROW()-4,rOrden_RO,0),"")</f>
        <v/>
      </c>
    </row>
    <row r="87">
      <c r="A87" s="60">
        <f>IF($N87="","",INDEX('Cronograma R. Operacional'!$A$5:$A$1000,$N87))</f>
        <v/>
      </c>
      <c r="B87" s="68">
        <f>IF($N87="","",INDEX('Cronograma R. Operacional'!$B$5:$B$1000,$N87)&amp;"")</f>
        <v/>
      </c>
      <c r="C87" s="68">
        <f>IF($N87="","",INDEX('Cronograma R. Operacional'!$C$5:$C$1000,$N87)&amp;"")</f>
        <v/>
      </c>
      <c r="D87" s="74">
        <f>IF($N87="","",IF(INDEX('Cronograma R. Operacional'!$D$5:$D$1000,$N87)="","",INDEX('Cronograma R. Operacional'!$D$5:$D$1000,$N87)))</f>
        <v/>
      </c>
      <c r="E87" s="74">
        <f>IF($N87="","",IF(INDEX('Cronograma R. Operacional'!$E$5:$E$1000,$N87)="","",INDEX('Cronograma R. Operacional'!$E$5:$E$1000,$N87)))</f>
        <v/>
      </c>
      <c r="F87" s="60">
        <f>IF($N87="","",IF(NOT(ISNUMBER($E87)),"",IF($E87&lt;InicioCiclo,"Antes del ciclo",IF($E87&gt;=InicioCiclo+28,"Después del ciclo","Semana "&amp;(INT(($E87-InicioCiclo)/7)+1)))))</f>
        <v/>
      </c>
      <c r="G87" s="65">
        <f>IF($N87="","",IF(INDEX('Cronograma R. Operacional'!$G$5:$G$1000,$N87)="","",INDEX('Cronograma R. Operacional'!$G$5:$G$1000,$N87)))</f>
        <v/>
      </c>
      <c r="H87" s="65">
        <f>IF($N87="","",IF(INDEX('Cronograma R. Operacional'!$H$5:$H$1000,$N87)="","",INDEX('Cronograma R. Operacional'!$H$5:$H$1000,$N87)))</f>
        <v/>
      </c>
      <c r="I87" s="65">
        <f>IF($N87="","",IF(INDEX('Cronograma R. Operacional'!$I$5:$I$1000,$N87)="","",INDEX('Cronograma R. Operacional'!$I$5:$I$1000,$N87)))</f>
        <v/>
      </c>
      <c r="J87" s="65">
        <f>IF($N87="","",IF(INDEX('Cronograma R. Operacional'!$J$5:$J$1000,$N87)="","",INDEX('Cronograma R. Operacional'!$J$5:$J$1000,$N87)))</f>
        <v/>
      </c>
      <c r="K87" s="65">
        <f>IF($N87="","",INDEX('Cronograma R. Operacional'!$K$5:$K$1000,$N87))</f>
        <v/>
      </c>
      <c r="L87" s="60">
        <f>IF($N87="","",IF(N($K87)&gt;=1,"Completado",IF(AND(ISNUMBER($E87),$E87&lt;FechaRef),"Vencida",IF(N($K87)&gt;0,"En curso","Pendiente"))))</f>
        <v/>
      </c>
      <c r="M87" s="68">
        <f>IF($N87="","",INDEX('Cronograma R. Operacional'!$M$5:$M$1000,$N87)&amp;"")</f>
        <v/>
      </c>
      <c r="N87">
        <f>IFERROR(MATCH(ROW()-4,rOrden_RO,0),"")</f>
        <v/>
      </c>
    </row>
    <row r="88">
      <c r="A88" s="60">
        <f>IF($N88="","",INDEX('Cronograma R. Operacional'!$A$5:$A$1000,$N88))</f>
        <v/>
      </c>
      <c r="B88" s="68">
        <f>IF($N88="","",INDEX('Cronograma R. Operacional'!$B$5:$B$1000,$N88)&amp;"")</f>
        <v/>
      </c>
      <c r="C88" s="68">
        <f>IF($N88="","",INDEX('Cronograma R. Operacional'!$C$5:$C$1000,$N88)&amp;"")</f>
        <v/>
      </c>
      <c r="D88" s="74">
        <f>IF($N88="","",IF(INDEX('Cronograma R. Operacional'!$D$5:$D$1000,$N88)="","",INDEX('Cronograma R. Operacional'!$D$5:$D$1000,$N88)))</f>
        <v/>
      </c>
      <c r="E88" s="74">
        <f>IF($N88="","",IF(INDEX('Cronograma R. Operacional'!$E$5:$E$1000,$N88)="","",INDEX('Cronograma R. Operacional'!$E$5:$E$1000,$N88)))</f>
        <v/>
      </c>
      <c r="F88" s="60">
        <f>IF($N88="","",IF(NOT(ISNUMBER($E88)),"",IF($E88&lt;InicioCiclo,"Antes del ciclo",IF($E88&gt;=InicioCiclo+28,"Después del ciclo","Semana "&amp;(INT(($E88-InicioCiclo)/7)+1)))))</f>
        <v/>
      </c>
      <c r="G88" s="65">
        <f>IF($N88="","",IF(INDEX('Cronograma R. Operacional'!$G$5:$G$1000,$N88)="","",INDEX('Cronograma R. Operacional'!$G$5:$G$1000,$N88)))</f>
        <v/>
      </c>
      <c r="H88" s="65">
        <f>IF($N88="","",IF(INDEX('Cronograma R. Operacional'!$H$5:$H$1000,$N88)="","",INDEX('Cronograma R. Operacional'!$H$5:$H$1000,$N88)))</f>
        <v/>
      </c>
      <c r="I88" s="65">
        <f>IF($N88="","",IF(INDEX('Cronograma R. Operacional'!$I$5:$I$1000,$N88)="","",INDEX('Cronograma R. Operacional'!$I$5:$I$1000,$N88)))</f>
        <v/>
      </c>
      <c r="J88" s="65">
        <f>IF($N88="","",IF(INDEX('Cronograma R. Operacional'!$J$5:$J$1000,$N88)="","",INDEX('Cronograma R. Operacional'!$J$5:$J$1000,$N88)))</f>
        <v/>
      </c>
      <c r="K88" s="65">
        <f>IF($N88="","",INDEX('Cronograma R. Operacional'!$K$5:$K$1000,$N88))</f>
        <v/>
      </c>
      <c r="L88" s="60">
        <f>IF($N88="","",IF(N($K88)&gt;=1,"Completado",IF(AND(ISNUMBER($E88),$E88&lt;FechaRef),"Vencida",IF(N($K88)&gt;0,"En curso","Pendiente"))))</f>
        <v/>
      </c>
      <c r="M88" s="68">
        <f>IF($N88="","",INDEX('Cronograma R. Operacional'!$M$5:$M$1000,$N88)&amp;"")</f>
        <v/>
      </c>
      <c r="N88">
        <f>IFERROR(MATCH(ROW()-4,rOrden_RO,0),"")</f>
        <v/>
      </c>
    </row>
    <row r="89">
      <c r="A89" s="60">
        <f>IF($N89="","",INDEX('Cronograma R. Operacional'!$A$5:$A$1000,$N89))</f>
        <v/>
      </c>
      <c r="B89" s="68">
        <f>IF($N89="","",INDEX('Cronograma R. Operacional'!$B$5:$B$1000,$N89)&amp;"")</f>
        <v/>
      </c>
      <c r="C89" s="68">
        <f>IF($N89="","",INDEX('Cronograma R. Operacional'!$C$5:$C$1000,$N89)&amp;"")</f>
        <v/>
      </c>
      <c r="D89" s="74">
        <f>IF($N89="","",IF(INDEX('Cronograma R. Operacional'!$D$5:$D$1000,$N89)="","",INDEX('Cronograma R. Operacional'!$D$5:$D$1000,$N89)))</f>
        <v/>
      </c>
      <c r="E89" s="74">
        <f>IF($N89="","",IF(INDEX('Cronograma R. Operacional'!$E$5:$E$1000,$N89)="","",INDEX('Cronograma R. Operacional'!$E$5:$E$1000,$N89)))</f>
        <v/>
      </c>
      <c r="F89" s="60">
        <f>IF($N89="","",IF(NOT(ISNUMBER($E89)),"",IF($E89&lt;InicioCiclo,"Antes del ciclo",IF($E89&gt;=InicioCiclo+28,"Después del ciclo","Semana "&amp;(INT(($E89-InicioCiclo)/7)+1)))))</f>
        <v/>
      </c>
      <c r="G89" s="65">
        <f>IF($N89="","",IF(INDEX('Cronograma R. Operacional'!$G$5:$G$1000,$N89)="","",INDEX('Cronograma R. Operacional'!$G$5:$G$1000,$N89)))</f>
        <v/>
      </c>
      <c r="H89" s="65">
        <f>IF($N89="","",IF(INDEX('Cronograma R. Operacional'!$H$5:$H$1000,$N89)="","",INDEX('Cronograma R. Operacional'!$H$5:$H$1000,$N89)))</f>
        <v/>
      </c>
      <c r="I89" s="65">
        <f>IF($N89="","",IF(INDEX('Cronograma R. Operacional'!$I$5:$I$1000,$N89)="","",INDEX('Cronograma R. Operacional'!$I$5:$I$1000,$N89)))</f>
        <v/>
      </c>
      <c r="J89" s="65">
        <f>IF($N89="","",IF(INDEX('Cronograma R. Operacional'!$J$5:$J$1000,$N89)="","",INDEX('Cronograma R. Operacional'!$J$5:$J$1000,$N89)))</f>
        <v/>
      </c>
      <c r="K89" s="65">
        <f>IF($N89="","",INDEX('Cronograma R. Operacional'!$K$5:$K$1000,$N89))</f>
        <v/>
      </c>
      <c r="L89" s="60">
        <f>IF($N89="","",IF(N($K89)&gt;=1,"Completado",IF(AND(ISNUMBER($E89),$E89&lt;FechaRef),"Vencida",IF(N($K89)&gt;0,"En curso","Pendiente"))))</f>
        <v/>
      </c>
      <c r="M89" s="68">
        <f>IF($N89="","",INDEX('Cronograma R. Operacional'!$M$5:$M$1000,$N89)&amp;"")</f>
        <v/>
      </c>
      <c r="N89">
        <f>IFERROR(MATCH(ROW()-4,rOrden_RO,0),"")</f>
        <v/>
      </c>
    </row>
    <row r="90">
      <c r="A90" s="60">
        <f>IF($N90="","",INDEX('Cronograma R. Operacional'!$A$5:$A$1000,$N90))</f>
        <v/>
      </c>
      <c r="B90" s="68">
        <f>IF($N90="","",INDEX('Cronograma R. Operacional'!$B$5:$B$1000,$N90)&amp;"")</f>
        <v/>
      </c>
      <c r="C90" s="68">
        <f>IF($N90="","",INDEX('Cronograma R. Operacional'!$C$5:$C$1000,$N90)&amp;"")</f>
        <v/>
      </c>
      <c r="D90" s="74">
        <f>IF($N90="","",IF(INDEX('Cronograma R. Operacional'!$D$5:$D$1000,$N90)="","",INDEX('Cronograma R. Operacional'!$D$5:$D$1000,$N90)))</f>
        <v/>
      </c>
      <c r="E90" s="74">
        <f>IF($N90="","",IF(INDEX('Cronograma R. Operacional'!$E$5:$E$1000,$N90)="","",INDEX('Cronograma R. Operacional'!$E$5:$E$1000,$N90)))</f>
        <v/>
      </c>
      <c r="F90" s="60">
        <f>IF($N90="","",IF(NOT(ISNUMBER($E90)),"",IF($E90&lt;InicioCiclo,"Antes del ciclo",IF($E90&gt;=InicioCiclo+28,"Después del ciclo","Semana "&amp;(INT(($E90-InicioCiclo)/7)+1)))))</f>
        <v/>
      </c>
      <c r="G90" s="65">
        <f>IF($N90="","",IF(INDEX('Cronograma R. Operacional'!$G$5:$G$1000,$N90)="","",INDEX('Cronograma R. Operacional'!$G$5:$G$1000,$N90)))</f>
        <v/>
      </c>
      <c r="H90" s="65">
        <f>IF($N90="","",IF(INDEX('Cronograma R. Operacional'!$H$5:$H$1000,$N90)="","",INDEX('Cronograma R. Operacional'!$H$5:$H$1000,$N90)))</f>
        <v/>
      </c>
      <c r="I90" s="65">
        <f>IF($N90="","",IF(INDEX('Cronograma R. Operacional'!$I$5:$I$1000,$N90)="","",INDEX('Cronograma R. Operacional'!$I$5:$I$1000,$N90)))</f>
        <v/>
      </c>
      <c r="J90" s="65">
        <f>IF($N90="","",IF(INDEX('Cronograma R. Operacional'!$J$5:$J$1000,$N90)="","",INDEX('Cronograma R. Operacional'!$J$5:$J$1000,$N90)))</f>
        <v/>
      </c>
      <c r="K90" s="65">
        <f>IF($N90="","",INDEX('Cronograma R. Operacional'!$K$5:$K$1000,$N90))</f>
        <v/>
      </c>
      <c r="L90" s="60">
        <f>IF($N90="","",IF(N($K90)&gt;=1,"Completado",IF(AND(ISNUMBER($E90),$E90&lt;FechaRef),"Vencida",IF(N($K90)&gt;0,"En curso","Pendiente"))))</f>
        <v/>
      </c>
      <c r="M90" s="68">
        <f>IF($N90="","",INDEX('Cronograma R. Operacional'!$M$5:$M$1000,$N90)&amp;"")</f>
        <v/>
      </c>
      <c r="N90">
        <f>IFERROR(MATCH(ROW()-4,rOrden_RO,0),"")</f>
        <v/>
      </c>
    </row>
    <row r="91">
      <c r="A91" s="60">
        <f>IF($N91="","",INDEX('Cronograma R. Operacional'!$A$5:$A$1000,$N91))</f>
        <v/>
      </c>
      <c r="B91" s="68">
        <f>IF($N91="","",INDEX('Cronograma R. Operacional'!$B$5:$B$1000,$N91)&amp;"")</f>
        <v/>
      </c>
      <c r="C91" s="68">
        <f>IF($N91="","",INDEX('Cronograma R. Operacional'!$C$5:$C$1000,$N91)&amp;"")</f>
        <v/>
      </c>
      <c r="D91" s="74">
        <f>IF($N91="","",IF(INDEX('Cronograma R. Operacional'!$D$5:$D$1000,$N91)="","",INDEX('Cronograma R. Operacional'!$D$5:$D$1000,$N91)))</f>
        <v/>
      </c>
      <c r="E91" s="74">
        <f>IF($N91="","",IF(INDEX('Cronograma R. Operacional'!$E$5:$E$1000,$N91)="","",INDEX('Cronograma R. Operacional'!$E$5:$E$1000,$N91)))</f>
        <v/>
      </c>
      <c r="F91" s="60">
        <f>IF($N91="","",IF(NOT(ISNUMBER($E91)),"",IF($E91&lt;InicioCiclo,"Antes del ciclo",IF($E91&gt;=InicioCiclo+28,"Después del ciclo","Semana "&amp;(INT(($E91-InicioCiclo)/7)+1)))))</f>
        <v/>
      </c>
      <c r="G91" s="65">
        <f>IF($N91="","",IF(INDEX('Cronograma R. Operacional'!$G$5:$G$1000,$N91)="","",INDEX('Cronograma R. Operacional'!$G$5:$G$1000,$N91)))</f>
        <v/>
      </c>
      <c r="H91" s="65">
        <f>IF($N91="","",IF(INDEX('Cronograma R. Operacional'!$H$5:$H$1000,$N91)="","",INDEX('Cronograma R. Operacional'!$H$5:$H$1000,$N91)))</f>
        <v/>
      </c>
      <c r="I91" s="65">
        <f>IF($N91="","",IF(INDEX('Cronograma R. Operacional'!$I$5:$I$1000,$N91)="","",INDEX('Cronograma R. Operacional'!$I$5:$I$1000,$N91)))</f>
        <v/>
      </c>
      <c r="J91" s="65">
        <f>IF($N91="","",IF(INDEX('Cronograma R. Operacional'!$J$5:$J$1000,$N91)="","",INDEX('Cronograma R. Operacional'!$J$5:$J$1000,$N91)))</f>
        <v/>
      </c>
      <c r="K91" s="65">
        <f>IF($N91="","",INDEX('Cronograma R. Operacional'!$K$5:$K$1000,$N91))</f>
        <v/>
      </c>
      <c r="L91" s="60">
        <f>IF($N91="","",IF(N($K91)&gt;=1,"Completado",IF(AND(ISNUMBER($E91),$E91&lt;FechaRef),"Vencida",IF(N($K91)&gt;0,"En curso","Pendiente"))))</f>
        <v/>
      </c>
      <c r="M91" s="68">
        <f>IF($N91="","",INDEX('Cronograma R. Operacional'!$M$5:$M$1000,$N91)&amp;"")</f>
        <v/>
      </c>
      <c r="N91">
        <f>IFERROR(MATCH(ROW()-4,rOrden_RO,0),"")</f>
        <v/>
      </c>
    </row>
    <row r="92">
      <c r="A92" s="60">
        <f>IF($N92="","",INDEX('Cronograma R. Operacional'!$A$5:$A$1000,$N92))</f>
        <v/>
      </c>
      <c r="B92" s="68">
        <f>IF($N92="","",INDEX('Cronograma R. Operacional'!$B$5:$B$1000,$N92)&amp;"")</f>
        <v/>
      </c>
      <c r="C92" s="68">
        <f>IF($N92="","",INDEX('Cronograma R. Operacional'!$C$5:$C$1000,$N92)&amp;"")</f>
        <v/>
      </c>
      <c r="D92" s="74">
        <f>IF($N92="","",IF(INDEX('Cronograma R. Operacional'!$D$5:$D$1000,$N92)="","",INDEX('Cronograma R. Operacional'!$D$5:$D$1000,$N92)))</f>
        <v/>
      </c>
      <c r="E92" s="74">
        <f>IF($N92="","",IF(INDEX('Cronograma R. Operacional'!$E$5:$E$1000,$N92)="","",INDEX('Cronograma R. Operacional'!$E$5:$E$1000,$N92)))</f>
        <v/>
      </c>
      <c r="F92" s="60">
        <f>IF($N92="","",IF(NOT(ISNUMBER($E92)),"",IF($E92&lt;InicioCiclo,"Antes del ciclo",IF($E92&gt;=InicioCiclo+28,"Después del ciclo","Semana "&amp;(INT(($E92-InicioCiclo)/7)+1)))))</f>
        <v/>
      </c>
      <c r="G92" s="65">
        <f>IF($N92="","",IF(INDEX('Cronograma R. Operacional'!$G$5:$G$1000,$N92)="","",INDEX('Cronograma R. Operacional'!$G$5:$G$1000,$N92)))</f>
        <v/>
      </c>
      <c r="H92" s="65">
        <f>IF($N92="","",IF(INDEX('Cronograma R. Operacional'!$H$5:$H$1000,$N92)="","",INDEX('Cronograma R. Operacional'!$H$5:$H$1000,$N92)))</f>
        <v/>
      </c>
      <c r="I92" s="65">
        <f>IF($N92="","",IF(INDEX('Cronograma R. Operacional'!$I$5:$I$1000,$N92)="","",INDEX('Cronograma R. Operacional'!$I$5:$I$1000,$N92)))</f>
        <v/>
      </c>
      <c r="J92" s="65">
        <f>IF($N92="","",IF(INDEX('Cronograma R. Operacional'!$J$5:$J$1000,$N92)="","",INDEX('Cronograma R. Operacional'!$J$5:$J$1000,$N92)))</f>
        <v/>
      </c>
      <c r="K92" s="65">
        <f>IF($N92="","",INDEX('Cronograma R. Operacional'!$K$5:$K$1000,$N92))</f>
        <v/>
      </c>
      <c r="L92" s="60">
        <f>IF($N92="","",IF(N($K92)&gt;=1,"Completado",IF(AND(ISNUMBER($E92),$E92&lt;FechaRef),"Vencida",IF(N($K92)&gt;0,"En curso","Pendiente"))))</f>
        <v/>
      </c>
      <c r="M92" s="68">
        <f>IF($N92="","",INDEX('Cronograma R. Operacional'!$M$5:$M$1000,$N92)&amp;"")</f>
        <v/>
      </c>
      <c r="N92">
        <f>IFERROR(MATCH(ROW()-4,rOrden_RO,0),"")</f>
        <v/>
      </c>
    </row>
    <row r="93">
      <c r="A93" s="60">
        <f>IF($N93="","",INDEX('Cronograma R. Operacional'!$A$5:$A$1000,$N93))</f>
        <v/>
      </c>
      <c r="B93" s="68">
        <f>IF($N93="","",INDEX('Cronograma R. Operacional'!$B$5:$B$1000,$N93)&amp;"")</f>
        <v/>
      </c>
      <c r="C93" s="68">
        <f>IF($N93="","",INDEX('Cronograma R. Operacional'!$C$5:$C$1000,$N93)&amp;"")</f>
        <v/>
      </c>
      <c r="D93" s="74">
        <f>IF($N93="","",IF(INDEX('Cronograma R. Operacional'!$D$5:$D$1000,$N93)="","",INDEX('Cronograma R. Operacional'!$D$5:$D$1000,$N93)))</f>
        <v/>
      </c>
      <c r="E93" s="74">
        <f>IF($N93="","",IF(INDEX('Cronograma R. Operacional'!$E$5:$E$1000,$N93)="","",INDEX('Cronograma R. Operacional'!$E$5:$E$1000,$N93)))</f>
        <v/>
      </c>
      <c r="F93" s="60">
        <f>IF($N93="","",IF(NOT(ISNUMBER($E93)),"",IF($E93&lt;InicioCiclo,"Antes del ciclo",IF($E93&gt;=InicioCiclo+28,"Después del ciclo","Semana "&amp;(INT(($E93-InicioCiclo)/7)+1)))))</f>
        <v/>
      </c>
      <c r="G93" s="65">
        <f>IF($N93="","",IF(INDEX('Cronograma R. Operacional'!$G$5:$G$1000,$N93)="","",INDEX('Cronograma R. Operacional'!$G$5:$G$1000,$N93)))</f>
        <v/>
      </c>
      <c r="H93" s="65">
        <f>IF($N93="","",IF(INDEX('Cronograma R. Operacional'!$H$5:$H$1000,$N93)="","",INDEX('Cronograma R. Operacional'!$H$5:$H$1000,$N93)))</f>
        <v/>
      </c>
      <c r="I93" s="65">
        <f>IF($N93="","",IF(INDEX('Cronograma R. Operacional'!$I$5:$I$1000,$N93)="","",INDEX('Cronograma R. Operacional'!$I$5:$I$1000,$N93)))</f>
        <v/>
      </c>
      <c r="J93" s="65">
        <f>IF($N93="","",IF(INDEX('Cronograma R. Operacional'!$J$5:$J$1000,$N93)="","",INDEX('Cronograma R. Operacional'!$J$5:$J$1000,$N93)))</f>
        <v/>
      </c>
      <c r="K93" s="65">
        <f>IF($N93="","",INDEX('Cronograma R. Operacional'!$K$5:$K$1000,$N93))</f>
        <v/>
      </c>
      <c r="L93" s="60">
        <f>IF($N93="","",IF(N($K93)&gt;=1,"Completado",IF(AND(ISNUMBER($E93),$E93&lt;FechaRef),"Vencida",IF(N($K93)&gt;0,"En curso","Pendiente"))))</f>
        <v/>
      </c>
      <c r="M93" s="68">
        <f>IF($N93="","",INDEX('Cronograma R. Operacional'!$M$5:$M$1000,$N93)&amp;"")</f>
        <v/>
      </c>
      <c r="N93">
        <f>IFERROR(MATCH(ROW()-4,rOrden_RO,0),"")</f>
        <v/>
      </c>
    </row>
    <row r="94">
      <c r="A94" s="60">
        <f>IF($N94="","",INDEX('Cronograma R. Operacional'!$A$5:$A$1000,$N94))</f>
        <v/>
      </c>
      <c r="B94" s="68">
        <f>IF($N94="","",INDEX('Cronograma R. Operacional'!$B$5:$B$1000,$N94)&amp;"")</f>
        <v/>
      </c>
      <c r="C94" s="68">
        <f>IF($N94="","",INDEX('Cronograma R. Operacional'!$C$5:$C$1000,$N94)&amp;"")</f>
        <v/>
      </c>
      <c r="D94" s="74">
        <f>IF($N94="","",IF(INDEX('Cronograma R. Operacional'!$D$5:$D$1000,$N94)="","",INDEX('Cronograma R. Operacional'!$D$5:$D$1000,$N94)))</f>
        <v/>
      </c>
      <c r="E94" s="74">
        <f>IF($N94="","",IF(INDEX('Cronograma R. Operacional'!$E$5:$E$1000,$N94)="","",INDEX('Cronograma R. Operacional'!$E$5:$E$1000,$N94)))</f>
        <v/>
      </c>
      <c r="F94" s="60">
        <f>IF($N94="","",IF(NOT(ISNUMBER($E94)),"",IF($E94&lt;InicioCiclo,"Antes del ciclo",IF($E94&gt;=InicioCiclo+28,"Después del ciclo","Semana "&amp;(INT(($E94-InicioCiclo)/7)+1)))))</f>
        <v/>
      </c>
      <c r="G94" s="65">
        <f>IF($N94="","",IF(INDEX('Cronograma R. Operacional'!$G$5:$G$1000,$N94)="","",INDEX('Cronograma R. Operacional'!$G$5:$G$1000,$N94)))</f>
        <v/>
      </c>
      <c r="H94" s="65">
        <f>IF($N94="","",IF(INDEX('Cronograma R. Operacional'!$H$5:$H$1000,$N94)="","",INDEX('Cronograma R. Operacional'!$H$5:$H$1000,$N94)))</f>
        <v/>
      </c>
      <c r="I94" s="65">
        <f>IF($N94="","",IF(INDEX('Cronograma R. Operacional'!$I$5:$I$1000,$N94)="","",INDEX('Cronograma R. Operacional'!$I$5:$I$1000,$N94)))</f>
        <v/>
      </c>
      <c r="J94" s="65">
        <f>IF($N94="","",IF(INDEX('Cronograma R. Operacional'!$J$5:$J$1000,$N94)="","",INDEX('Cronograma R. Operacional'!$J$5:$J$1000,$N94)))</f>
        <v/>
      </c>
      <c r="K94" s="65">
        <f>IF($N94="","",INDEX('Cronograma R. Operacional'!$K$5:$K$1000,$N94))</f>
        <v/>
      </c>
      <c r="L94" s="60">
        <f>IF($N94="","",IF(N($K94)&gt;=1,"Completado",IF(AND(ISNUMBER($E94),$E94&lt;FechaRef),"Vencida",IF(N($K94)&gt;0,"En curso","Pendiente"))))</f>
        <v/>
      </c>
      <c r="M94" s="68">
        <f>IF($N94="","",INDEX('Cronograma R. Operacional'!$M$5:$M$1000,$N94)&amp;"")</f>
        <v/>
      </c>
      <c r="N94">
        <f>IFERROR(MATCH(ROW()-4,rOrden_RO,0),"")</f>
        <v/>
      </c>
    </row>
    <row r="95">
      <c r="A95" s="60">
        <f>IF($N95="","",INDEX('Cronograma R. Operacional'!$A$5:$A$1000,$N95))</f>
        <v/>
      </c>
      <c r="B95" s="68">
        <f>IF($N95="","",INDEX('Cronograma R. Operacional'!$B$5:$B$1000,$N95)&amp;"")</f>
        <v/>
      </c>
      <c r="C95" s="68">
        <f>IF($N95="","",INDEX('Cronograma R. Operacional'!$C$5:$C$1000,$N95)&amp;"")</f>
        <v/>
      </c>
      <c r="D95" s="74">
        <f>IF($N95="","",IF(INDEX('Cronograma R. Operacional'!$D$5:$D$1000,$N95)="","",INDEX('Cronograma R. Operacional'!$D$5:$D$1000,$N95)))</f>
        <v/>
      </c>
      <c r="E95" s="74">
        <f>IF($N95="","",IF(INDEX('Cronograma R. Operacional'!$E$5:$E$1000,$N95)="","",INDEX('Cronograma R. Operacional'!$E$5:$E$1000,$N95)))</f>
        <v/>
      </c>
      <c r="F95" s="60">
        <f>IF($N95="","",IF(NOT(ISNUMBER($E95)),"",IF($E95&lt;InicioCiclo,"Antes del ciclo",IF($E95&gt;=InicioCiclo+28,"Después del ciclo","Semana "&amp;(INT(($E95-InicioCiclo)/7)+1)))))</f>
        <v/>
      </c>
      <c r="G95" s="65">
        <f>IF($N95="","",IF(INDEX('Cronograma R. Operacional'!$G$5:$G$1000,$N95)="","",INDEX('Cronograma R. Operacional'!$G$5:$G$1000,$N95)))</f>
        <v/>
      </c>
      <c r="H95" s="65">
        <f>IF($N95="","",IF(INDEX('Cronograma R. Operacional'!$H$5:$H$1000,$N95)="","",INDEX('Cronograma R. Operacional'!$H$5:$H$1000,$N95)))</f>
        <v/>
      </c>
      <c r="I95" s="65">
        <f>IF($N95="","",IF(INDEX('Cronograma R. Operacional'!$I$5:$I$1000,$N95)="","",INDEX('Cronograma R. Operacional'!$I$5:$I$1000,$N95)))</f>
        <v/>
      </c>
      <c r="J95" s="65">
        <f>IF($N95="","",IF(INDEX('Cronograma R. Operacional'!$J$5:$J$1000,$N95)="","",INDEX('Cronograma R. Operacional'!$J$5:$J$1000,$N95)))</f>
        <v/>
      </c>
      <c r="K95" s="65">
        <f>IF($N95="","",INDEX('Cronograma R. Operacional'!$K$5:$K$1000,$N95))</f>
        <v/>
      </c>
      <c r="L95" s="60">
        <f>IF($N95="","",IF(N($K95)&gt;=1,"Completado",IF(AND(ISNUMBER($E95),$E95&lt;FechaRef),"Vencida",IF(N($K95)&gt;0,"En curso","Pendiente"))))</f>
        <v/>
      </c>
      <c r="M95" s="68">
        <f>IF($N95="","",INDEX('Cronograma R. Operacional'!$M$5:$M$1000,$N95)&amp;"")</f>
        <v/>
      </c>
      <c r="N95">
        <f>IFERROR(MATCH(ROW()-4,rOrden_RO,0),"")</f>
        <v/>
      </c>
    </row>
    <row r="96">
      <c r="A96" s="60">
        <f>IF($N96="","",INDEX('Cronograma R. Operacional'!$A$5:$A$1000,$N96))</f>
        <v/>
      </c>
      <c r="B96" s="68">
        <f>IF($N96="","",INDEX('Cronograma R. Operacional'!$B$5:$B$1000,$N96)&amp;"")</f>
        <v/>
      </c>
      <c r="C96" s="68">
        <f>IF($N96="","",INDEX('Cronograma R. Operacional'!$C$5:$C$1000,$N96)&amp;"")</f>
        <v/>
      </c>
      <c r="D96" s="74">
        <f>IF($N96="","",IF(INDEX('Cronograma R. Operacional'!$D$5:$D$1000,$N96)="","",INDEX('Cronograma R. Operacional'!$D$5:$D$1000,$N96)))</f>
        <v/>
      </c>
      <c r="E96" s="74">
        <f>IF($N96="","",IF(INDEX('Cronograma R. Operacional'!$E$5:$E$1000,$N96)="","",INDEX('Cronograma R. Operacional'!$E$5:$E$1000,$N96)))</f>
        <v/>
      </c>
      <c r="F96" s="60">
        <f>IF($N96="","",IF(NOT(ISNUMBER($E96)),"",IF($E96&lt;InicioCiclo,"Antes del ciclo",IF($E96&gt;=InicioCiclo+28,"Después del ciclo","Semana "&amp;(INT(($E96-InicioCiclo)/7)+1)))))</f>
        <v/>
      </c>
      <c r="G96" s="65">
        <f>IF($N96="","",IF(INDEX('Cronograma R. Operacional'!$G$5:$G$1000,$N96)="","",INDEX('Cronograma R. Operacional'!$G$5:$G$1000,$N96)))</f>
        <v/>
      </c>
      <c r="H96" s="65">
        <f>IF($N96="","",IF(INDEX('Cronograma R. Operacional'!$H$5:$H$1000,$N96)="","",INDEX('Cronograma R. Operacional'!$H$5:$H$1000,$N96)))</f>
        <v/>
      </c>
      <c r="I96" s="65">
        <f>IF($N96="","",IF(INDEX('Cronograma R. Operacional'!$I$5:$I$1000,$N96)="","",INDEX('Cronograma R. Operacional'!$I$5:$I$1000,$N96)))</f>
        <v/>
      </c>
      <c r="J96" s="65">
        <f>IF($N96="","",IF(INDEX('Cronograma R. Operacional'!$J$5:$J$1000,$N96)="","",INDEX('Cronograma R. Operacional'!$J$5:$J$1000,$N96)))</f>
        <v/>
      </c>
      <c r="K96" s="65">
        <f>IF($N96="","",INDEX('Cronograma R. Operacional'!$K$5:$K$1000,$N96))</f>
        <v/>
      </c>
      <c r="L96" s="60">
        <f>IF($N96="","",IF(N($K96)&gt;=1,"Completado",IF(AND(ISNUMBER($E96),$E96&lt;FechaRef),"Vencida",IF(N($K96)&gt;0,"En curso","Pendiente"))))</f>
        <v/>
      </c>
      <c r="M96" s="68">
        <f>IF($N96="","",INDEX('Cronograma R. Operacional'!$M$5:$M$1000,$N96)&amp;"")</f>
        <v/>
      </c>
      <c r="N96">
        <f>IFERROR(MATCH(ROW()-4,rOrden_RO,0),"")</f>
        <v/>
      </c>
    </row>
    <row r="97">
      <c r="A97" s="60">
        <f>IF($N97="","",INDEX('Cronograma R. Operacional'!$A$5:$A$1000,$N97))</f>
        <v/>
      </c>
      <c r="B97" s="68">
        <f>IF($N97="","",INDEX('Cronograma R. Operacional'!$B$5:$B$1000,$N97)&amp;"")</f>
        <v/>
      </c>
      <c r="C97" s="68">
        <f>IF($N97="","",INDEX('Cronograma R. Operacional'!$C$5:$C$1000,$N97)&amp;"")</f>
        <v/>
      </c>
      <c r="D97" s="74">
        <f>IF($N97="","",IF(INDEX('Cronograma R. Operacional'!$D$5:$D$1000,$N97)="","",INDEX('Cronograma R. Operacional'!$D$5:$D$1000,$N97)))</f>
        <v/>
      </c>
      <c r="E97" s="74">
        <f>IF($N97="","",IF(INDEX('Cronograma R. Operacional'!$E$5:$E$1000,$N97)="","",INDEX('Cronograma R. Operacional'!$E$5:$E$1000,$N97)))</f>
        <v/>
      </c>
      <c r="F97" s="60">
        <f>IF($N97="","",IF(NOT(ISNUMBER($E97)),"",IF($E97&lt;InicioCiclo,"Antes del ciclo",IF($E97&gt;=InicioCiclo+28,"Después del ciclo","Semana "&amp;(INT(($E97-InicioCiclo)/7)+1)))))</f>
        <v/>
      </c>
      <c r="G97" s="65">
        <f>IF($N97="","",IF(INDEX('Cronograma R. Operacional'!$G$5:$G$1000,$N97)="","",INDEX('Cronograma R. Operacional'!$G$5:$G$1000,$N97)))</f>
        <v/>
      </c>
      <c r="H97" s="65">
        <f>IF($N97="","",IF(INDEX('Cronograma R. Operacional'!$H$5:$H$1000,$N97)="","",INDEX('Cronograma R. Operacional'!$H$5:$H$1000,$N97)))</f>
        <v/>
      </c>
      <c r="I97" s="65">
        <f>IF($N97="","",IF(INDEX('Cronograma R. Operacional'!$I$5:$I$1000,$N97)="","",INDEX('Cronograma R. Operacional'!$I$5:$I$1000,$N97)))</f>
        <v/>
      </c>
      <c r="J97" s="65">
        <f>IF($N97="","",IF(INDEX('Cronograma R. Operacional'!$J$5:$J$1000,$N97)="","",INDEX('Cronograma R. Operacional'!$J$5:$J$1000,$N97)))</f>
        <v/>
      </c>
      <c r="K97" s="65">
        <f>IF($N97="","",INDEX('Cronograma R. Operacional'!$K$5:$K$1000,$N97))</f>
        <v/>
      </c>
      <c r="L97" s="60">
        <f>IF($N97="","",IF(N($K97)&gt;=1,"Completado",IF(AND(ISNUMBER($E97),$E97&lt;FechaRef),"Vencida",IF(N($K97)&gt;0,"En curso","Pendiente"))))</f>
        <v/>
      </c>
      <c r="M97" s="68">
        <f>IF($N97="","",INDEX('Cronograma R. Operacional'!$M$5:$M$1000,$N97)&amp;"")</f>
        <v/>
      </c>
      <c r="N97">
        <f>IFERROR(MATCH(ROW()-4,rOrden_RO,0),"")</f>
        <v/>
      </c>
    </row>
    <row r="98">
      <c r="A98" s="60">
        <f>IF($N98="","",INDEX('Cronograma R. Operacional'!$A$5:$A$1000,$N98))</f>
        <v/>
      </c>
      <c r="B98" s="68">
        <f>IF($N98="","",INDEX('Cronograma R. Operacional'!$B$5:$B$1000,$N98)&amp;"")</f>
        <v/>
      </c>
      <c r="C98" s="68">
        <f>IF($N98="","",INDEX('Cronograma R. Operacional'!$C$5:$C$1000,$N98)&amp;"")</f>
        <v/>
      </c>
      <c r="D98" s="74">
        <f>IF($N98="","",IF(INDEX('Cronograma R. Operacional'!$D$5:$D$1000,$N98)="","",INDEX('Cronograma R. Operacional'!$D$5:$D$1000,$N98)))</f>
        <v/>
      </c>
      <c r="E98" s="74">
        <f>IF($N98="","",IF(INDEX('Cronograma R. Operacional'!$E$5:$E$1000,$N98)="","",INDEX('Cronograma R. Operacional'!$E$5:$E$1000,$N98)))</f>
        <v/>
      </c>
      <c r="F98" s="60">
        <f>IF($N98="","",IF(NOT(ISNUMBER($E98)),"",IF($E98&lt;InicioCiclo,"Antes del ciclo",IF($E98&gt;=InicioCiclo+28,"Después del ciclo","Semana "&amp;(INT(($E98-InicioCiclo)/7)+1)))))</f>
        <v/>
      </c>
      <c r="G98" s="65">
        <f>IF($N98="","",IF(INDEX('Cronograma R. Operacional'!$G$5:$G$1000,$N98)="","",INDEX('Cronograma R. Operacional'!$G$5:$G$1000,$N98)))</f>
        <v/>
      </c>
      <c r="H98" s="65">
        <f>IF($N98="","",IF(INDEX('Cronograma R. Operacional'!$H$5:$H$1000,$N98)="","",INDEX('Cronograma R. Operacional'!$H$5:$H$1000,$N98)))</f>
        <v/>
      </c>
      <c r="I98" s="65">
        <f>IF($N98="","",IF(INDEX('Cronograma R. Operacional'!$I$5:$I$1000,$N98)="","",INDEX('Cronograma R. Operacional'!$I$5:$I$1000,$N98)))</f>
        <v/>
      </c>
      <c r="J98" s="65">
        <f>IF($N98="","",IF(INDEX('Cronograma R. Operacional'!$J$5:$J$1000,$N98)="","",INDEX('Cronograma R. Operacional'!$J$5:$J$1000,$N98)))</f>
        <v/>
      </c>
      <c r="K98" s="65">
        <f>IF($N98="","",INDEX('Cronograma R. Operacional'!$K$5:$K$1000,$N98))</f>
        <v/>
      </c>
      <c r="L98" s="60">
        <f>IF($N98="","",IF(N($K98)&gt;=1,"Completado",IF(AND(ISNUMBER($E98),$E98&lt;FechaRef),"Vencida",IF(N($K98)&gt;0,"En curso","Pendiente"))))</f>
        <v/>
      </c>
      <c r="M98" s="68">
        <f>IF($N98="","",INDEX('Cronograma R. Operacional'!$M$5:$M$1000,$N98)&amp;"")</f>
        <v/>
      </c>
      <c r="N98">
        <f>IFERROR(MATCH(ROW()-4,rOrden_RO,0),"")</f>
        <v/>
      </c>
    </row>
    <row r="99">
      <c r="A99" s="60">
        <f>IF($N99="","",INDEX('Cronograma R. Operacional'!$A$5:$A$1000,$N99))</f>
        <v/>
      </c>
      <c r="B99" s="68">
        <f>IF($N99="","",INDEX('Cronograma R. Operacional'!$B$5:$B$1000,$N99)&amp;"")</f>
        <v/>
      </c>
      <c r="C99" s="68">
        <f>IF($N99="","",INDEX('Cronograma R. Operacional'!$C$5:$C$1000,$N99)&amp;"")</f>
        <v/>
      </c>
      <c r="D99" s="74">
        <f>IF($N99="","",IF(INDEX('Cronograma R. Operacional'!$D$5:$D$1000,$N99)="","",INDEX('Cronograma R. Operacional'!$D$5:$D$1000,$N99)))</f>
        <v/>
      </c>
      <c r="E99" s="74">
        <f>IF($N99="","",IF(INDEX('Cronograma R. Operacional'!$E$5:$E$1000,$N99)="","",INDEX('Cronograma R. Operacional'!$E$5:$E$1000,$N99)))</f>
        <v/>
      </c>
      <c r="F99" s="60">
        <f>IF($N99="","",IF(NOT(ISNUMBER($E99)),"",IF($E99&lt;InicioCiclo,"Antes del ciclo",IF($E99&gt;=InicioCiclo+28,"Después del ciclo","Semana "&amp;(INT(($E99-InicioCiclo)/7)+1)))))</f>
        <v/>
      </c>
      <c r="G99" s="65">
        <f>IF($N99="","",IF(INDEX('Cronograma R. Operacional'!$G$5:$G$1000,$N99)="","",INDEX('Cronograma R. Operacional'!$G$5:$G$1000,$N99)))</f>
        <v/>
      </c>
      <c r="H99" s="65">
        <f>IF($N99="","",IF(INDEX('Cronograma R. Operacional'!$H$5:$H$1000,$N99)="","",INDEX('Cronograma R. Operacional'!$H$5:$H$1000,$N99)))</f>
        <v/>
      </c>
      <c r="I99" s="65">
        <f>IF($N99="","",IF(INDEX('Cronograma R. Operacional'!$I$5:$I$1000,$N99)="","",INDEX('Cronograma R. Operacional'!$I$5:$I$1000,$N99)))</f>
        <v/>
      </c>
      <c r="J99" s="65">
        <f>IF($N99="","",IF(INDEX('Cronograma R. Operacional'!$J$5:$J$1000,$N99)="","",INDEX('Cronograma R. Operacional'!$J$5:$J$1000,$N99)))</f>
        <v/>
      </c>
      <c r="K99" s="65">
        <f>IF($N99="","",INDEX('Cronograma R. Operacional'!$K$5:$K$1000,$N99))</f>
        <v/>
      </c>
      <c r="L99" s="60">
        <f>IF($N99="","",IF(N($K99)&gt;=1,"Completado",IF(AND(ISNUMBER($E99),$E99&lt;FechaRef),"Vencida",IF(N($K99)&gt;0,"En curso","Pendiente"))))</f>
        <v/>
      </c>
      <c r="M99" s="68">
        <f>IF($N99="","",INDEX('Cronograma R. Operacional'!$M$5:$M$1000,$N99)&amp;"")</f>
        <v/>
      </c>
      <c r="N99">
        <f>IFERROR(MATCH(ROW()-4,rOrden_RO,0),"")</f>
        <v/>
      </c>
    </row>
    <row r="100">
      <c r="A100" s="60">
        <f>IF($N100="","",INDEX('Cronograma R. Operacional'!$A$5:$A$1000,$N100))</f>
        <v/>
      </c>
      <c r="B100" s="68">
        <f>IF($N100="","",INDEX('Cronograma R. Operacional'!$B$5:$B$1000,$N100)&amp;"")</f>
        <v/>
      </c>
      <c r="C100" s="68">
        <f>IF($N100="","",INDEX('Cronograma R. Operacional'!$C$5:$C$1000,$N100)&amp;"")</f>
        <v/>
      </c>
      <c r="D100" s="74">
        <f>IF($N100="","",IF(INDEX('Cronograma R. Operacional'!$D$5:$D$1000,$N100)="","",INDEX('Cronograma R. Operacional'!$D$5:$D$1000,$N100)))</f>
        <v/>
      </c>
      <c r="E100" s="74">
        <f>IF($N100="","",IF(INDEX('Cronograma R. Operacional'!$E$5:$E$1000,$N100)="","",INDEX('Cronograma R. Operacional'!$E$5:$E$1000,$N100)))</f>
        <v/>
      </c>
      <c r="F100" s="60">
        <f>IF($N100="","",IF(NOT(ISNUMBER($E100)),"",IF($E100&lt;InicioCiclo,"Antes del ciclo",IF($E100&gt;=InicioCiclo+28,"Después del ciclo","Semana "&amp;(INT(($E100-InicioCiclo)/7)+1)))))</f>
        <v/>
      </c>
      <c r="G100" s="65">
        <f>IF($N100="","",IF(INDEX('Cronograma R. Operacional'!$G$5:$G$1000,$N100)="","",INDEX('Cronograma R. Operacional'!$G$5:$G$1000,$N100)))</f>
        <v/>
      </c>
      <c r="H100" s="65">
        <f>IF($N100="","",IF(INDEX('Cronograma R. Operacional'!$H$5:$H$1000,$N100)="","",INDEX('Cronograma R. Operacional'!$H$5:$H$1000,$N100)))</f>
        <v/>
      </c>
      <c r="I100" s="65">
        <f>IF($N100="","",IF(INDEX('Cronograma R. Operacional'!$I$5:$I$1000,$N100)="","",INDEX('Cronograma R. Operacional'!$I$5:$I$1000,$N100)))</f>
        <v/>
      </c>
      <c r="J100" s="65">
        <f>IF($N100="","",IF(INDEX('Cronograma R. Operacional'!$J$5:$J$1000,$N100)="","",INDEX('Cronograma R. Operacional'!$J$5:$J$1000,$N100)))</f>
        <v/>
      </c>
      <c r="K100" s="65">
        <f>IF($N100="","",INDEX('Cronograma R. Operacional'!$K$5:$K$1000,$N100))</f>
        <v/>
      </c>
      <c r="L100" s="60">
        <f>IF($N100="","",IF(N($K100)&gt;=1,"Completado",IF(AND(ISNUMBER($E100),$E100&lt;FechaRef),"Vencida",IF(N($K100)&gt;0,"En curso","Pendiente"))))</f>
        <v/>
      </c>
      <c r="M100" s="68">
        <f>IF($N100="","",INDEX('Cronograma R. Operacional'!$M$5:$M$1000,$N100)&amp;"")</f>
        <v/>
      </c>
      <c r="N100">
        <f>IFERROR(MATCH(ROW()-4,rOrden_RO,0),"")</f>
        <v/>
      </c>
    </row>
    <row r="101">
      <c r="A101" s="60">
        <f>IF($N101="","",INDEX('Cronograma R. Operacional'!$A$5:$A$1000,$N101))</f>
        <v/>
      </c>
      <c r="B101" s="68">
        <f>IF($N101="","",INDEX('Cronograma R. Operacional'!$B$5:$B$1000,$N101)&amp;"")</f>
        <v/>
      </c>
      <c r="C101" s="68">
        <f>IF($N101="","",INDEX('Cronograma R. Operacional'!$C$5:$C$1000,$N101)&amp;"")</f>
        <v/>
      </c>
      <c r="D101" s="74">
        <f>IF($N101="","",IF(INDEX('Cronograma R. Operacional'!$D$5:$D$1000,$N101)="","",INDEX('Cronograma R. Operacional'!$D$5:$D$1000,$N101)))</f>
        <v/>
      </c>
      <c r="E101" s="74">
        <f>IF($N101="","",IF(INDEX('Cronograma R. Operacional'!$E$5:$E$1000,$N101)="","",INDEX('Cronograma R. Operacional'!$E$5:$E$1000,$N101)))</f>
        <v/>
      </c>
      <c r="F101" s="60">
        <f>IF($N101="","",IF(NOT(ISNUMBER($E101)),"",IF($E101&lt;InicioCiclo,"Antes del ciclo",IF($E101&gt;=InicioCiclo+28,"Después del ciclo","Semana "&amp;(INT(($E101-InicioCiclo)/7)+1)))))</f>
        <v/>
      </c>
      <c r="G101" s="65">
        <f>IF($N101="","",IF(INDEX('Cronograma R. Operacional'!$G$5:$G$1000,$N101)="","",INDEX('Cronograma R. Operacional'!$G$5:$G$1000,$N101)))</f>
        <v/>
      </c>
      <c r="H101" s="65">
        <f>IF($N101="","",IF(INDEX('Cronograma R. Operacional'!$H$5:$H$1000,$N101)="","",INDEX('Cronograma R. Operacional'!$H$5:$H$1000,$N101)))</f>
        <v/>
      </c>
      <c r="I101" s="65">
        <f>IF($N101="","",IF(INDEX('Cronograma R. Operacional'!$I$5:$I$1000,$N101)="","",INDEX('Cronograma R. Operacional'!$I$5:$I$1000,$N101)))</f>
        <v/>
      </c>
      <c r="J101" s="65">
        <f>IF($N101="","",IF(INDEX('Cronograma R. Operacional'!$J$5:$J$1000,$N101)="","",INDEX('Cronograma R. Operacional'!$J$5:$J$1000,$N101)))</f>
        <v/>
      </c>
      <c r="K101" s="65">
        <f>IF($N101="","",INDEX('Cronograma R. Operacional'!$K$5:$K$1000,$N101))</f>
        <v/>
      </c>
      <c r="L101" s="60">
        <f>IF($N101="","",IF(N($K101)&gt;=1,"Completado",IF(AND(ISNUMBER($E101),$E101&lt;FechaRef),"Vencida",IF(N($K101)&gt;0,"En curso","Pendiente"))))</f>
        <v/>
      </c>
      <c r="M101" s="68">
        <f>IF($N101="","",INDEX('Cronograma R. Operacional'!$M$5:$M$1000,$N101)&amp;"")</f>
        <v/>
      </c>
      <c r="N101">
        <f>IFERROR(MATCH(ROW()-4,rOrden_RO,0),"")</f>
        <v/>
      </c>
    </row>
    <row r="102">
      <c r="A102" s="60">
        <f>IF($N102="","",INDEX('Cronograma R. Operacional'!$A$5:$A$1000,$N102))</f>
        <v/>
      </c>
      <c r="B102" s="68">
        <f>IF($N102="","",INDEX('Cronograma R. Operacional'!$B$5:$B$1000,$N102)&amp;"")</f>
        <v/>
      </c>
      <c r="C102" s="68">
        <f>IF($N102="","",INDEX('Cronograma R. Operacional'!$C$5:$C$1000,$N102)&amp;"")</f>
        <v/>
      </c>
      <c r="D102" s="74">
        <f>IF($N102="","",IF(INDEX('Cronograma R. Operacional'!$D$5:$D$1000,$N102)="","",INDEX('Cronograma R. Operacional'!$D$5:$D$1000,$N102)))</f>
        <v/>
      </c>
      <c r="E102" s="74">
        <f>IF($N102="","",IF(INDEX('Cronograma R. Operacional'!$E$5:$E$1000,$N102)="","",INDEX('Cronograma R. Operacional'!$E$5:$E$1000,$N102)))</f>
        <v/>
      </c>
      <c r="F102" s="60">
        <f>IF($N102="","",IF(NOT(ISNUMBER($E102)),"",IF($E102&lt;InicioCiclo,"Antes del ciclo",IF($E102&gt;=InicioCiclo+28,"Después del ciclo","Semana "&amp;(INT(($E102-InicioCiclo)/7)+1)))))</f>
        <v/>
      </c>
      <c r="G102" s="65">
        <f>IF($N102="","",IF(INDEX('Cronograma R. Operacional'!$G$5:$G$1000,$N102)="","",INDEX('Cronograma R. Operacional'!$G$5:$G$1000,$N102)))</f>
        <v/>
      </c>
      <c r="H102" s="65">
        <f>IF($N102="","",IF(INDEX('Cronograma R. Operacional'!$H$5:$H$1000,$N102)="","",INDEX('Cronograma R. Operacional'!$H$5:$H$1000,$N102)))</f>
        <v/>
      </c>
      <c r="I102" s="65">
        <f>IF($N102="","",IF(INDEX('Cronograma R. Operacional'!$I$5:$I$1000,$N102)="","",INDEX('Cronograma R. Operacional'!$I$5:$I$1000,$N102)))</f>
        <v/>
      </c>
      <c r="J102" s="65">
        <f>IF($N102="","",IF(INDEX('Cronograma R. Operacional'!$J$5:$J$1000,$N102)="","",INDEX('Cronograma R. Operacional'!$J$5:$J$1000,$N102)))</f>
        <v/>
      </c>
      <c r="K102" s="65">
        <f>IF($N102="","",INDEX('Cronograma R. Operacional'!$K$5:$K$1000,$N102))</f>
        <v/>
      </c>
      <c r="L102" s="60">
        <f>IF($N102="","",IF(N($K102)&gt;=1,"Completado",IF(AND(ISNUMBER($E102),$E102&lt;FechaRef),"Vencida",IF(N($K102)&gt;0,"En curso","Pendiente"))))</f>
        <v/>
      </c>
      <c r="M102" s="68">
        <f>IF($N102="","",INDEX('Cronograma R. Operacional'!$M$5:$M$1000,$N102)&amp;"")</f>
        <v/>
      </c>
      <c r="N102">
        <f>IFERROR(MATCH(ROW()-4,rOrden_RO,0),"")</f>
        <v/>
      </c>
    </row>
    <row r="103">
      <c r="A103" s="60">
        <f>IF($N103="","",INDEX('Cronograma R. Operacional'!$A$5:$A$1000,$N103))</f>
        <v/>
      </c>
      <c r="B103" s="68">
        <f>IF($N103="","",INDEX('Cronograma R. Operacional'!$B$5:$B$1000,$N103)&amp;"")</f>
        <v/>
      </c>
      <c r="C103" s="68">
        <f>IF($N103="","",INDEX('Cronograma R. Operacional'!$C$5:$C$1000,$N103)&amp;"")</f>
        <v/>
      </c>
      <c r="D103" s="74">
        <f>IF($N103="","",IF(INDEX('Cronograma R. Operacional'!$D$5:$D$1000,$N103)="","",INDEX('Cronograma R. Operacional'!$D$5:$D$1000,$N103)))</f>
        <v/>
      </c>
      <c r="E103" s="74">
        <f>IF($N103="","",IF(INDEX('Cronograma R. Operacional'!$E$5:$E$1000,$N103)="","",INDEX('Cronograma R. Operacional'!$E$5:$E$1000,$N103)))</f>
        <v/>
      </c>
      <c r="F103" s="60">
        <f>IF($N103="","",IF(NOT(ISNUMBER($E103)),"",IF($E103&lt;InicioCiclo,"Antes del ciclo",IF($E103&gt;=InicioCiclo+28,"Después del ciclo","Semana "&amp;(INT(($E103-InicioCiclo)/7)+1)))))</f>
        <v/>
      </c>
      <c r="G103" s="65">
        <f>IF($N103="","",IF(INDEX('Cronograma R. Operacional'!$G$5:$G$1000,$N103)="","",INDEX('Cronograma R. Operacional'!$G$5:$G$1000,$N103)))</f>
        <v/>
      </c>
      <c r="H103" s="65">
        <f>IF($N103="","",IF(INDEX('Cronograma R. Operacional'!$H$5:$H$1000,$N103)="","",INDEX('Cronograma R. Operacional'!$H$5:$H$1000,$N103)))</f>
        <v/>
      </c>
      <c r="I103" s="65">
        <f>IF($N103="","",IF(INDEX('Cronograma R. Operacional'!$I$5:$I$1000,$N103)="","",INDEX('Cronograma R. Operacional'!$I$5:$I$1000,$N103)))</f>
        <v/>
      </c>
      <c r="J103" s="65">
        <f>IF($N103="","",IF(INDEX('Cronograma R. Operacional'!$J$5:$J$1000,$N103)="","",INDEX('Cronograma R. Operacional'!$J$5:$J$1000,$N103)))</f>
        <v/>
      </c>
      <c r="K103" s="65">
        <f>IF($N103="","",INDEX('Cronograma R. Operacional'!$K$5:$K$1000,$N103))</f>
        <v/>
      </c>
      <c r="L103" s="60">
        <f>IF($N103="","",IF(N($K103)&gt;=1,"Completado",IF(AND(ISNUMBER($E103),$E103&lt;FechaRef),"Vencida",IF(N($K103)&gt;0,"En curso","Pendiente"))))</f>
        <v/>
      </c>
      <c r="M103" s="68">
        <f>IF($N103="","",INDEX('Cronograma R. Operacional'!$M$5:$M$1000,$N103)&amp;"")</f>
        <v/>
      </c>
      <c r="N103">
        <f>IFERROR(MATCH(ROW()-4,rOrden_RO,0),"")</f>
        <v/>
      </c>
    </row>
    <row r="104">
      <c r="A104" s="60">
        <f>IF($N104="","",INDEX('Cronograma R. Operacional'!$A$5:$A$1000,$N104))</f>
        <v/>
      </c>
      <c r="B104" s="68">
        <f>IF($N104="","",INDEX('Cronograma R. Operacional'!$B$5:$B$1000,$N104)&amp;"")</f>
        <v/>
      </c>
      <c r="C104" s="68">
        <f>IF($N104="","",INDEX('Cronograma R. Operacional'!$C$5:$C$1000,$N104)&amp;"")</f>
        <v/>
      </c>
      <c r="D104" s="74">
        <f>IF($N104="","",IF(INDEX('Cronograma R. Operacional'!$D$5:$D$1000,$N104)="","",INDEX('Cronograma R. Operacional'!$D$5:$D$1000,$N104)))</f>
        <v/>
      </c>
      <c r="E104" s="74">
        <f>IF($N104="","",IF(INDEX('Cronograma R. Operacional'!$E$5:$E$1000,$N104)="","",INDEX('Cronograma R. Operacional'!$E$5:$E$1000,$N104)))</f>
        <v/>
      </c>
      <c r="F104" s="60">
        <f>IF($N104="","",IF(NOT(ISNUMBER($E104)),"",IF($E104&lt;InicioCiclo,"Antes del ciclo",IF($E104&gt;=InicioCiclo+28,"Después del ciclo","Semana "&amp;(INT(($E104-InicioCiclo)/7)+1)))))</f>
        <v/>
      </c>
      <c r="G104" s="65">
        <f>IF($N104="","",IF(INDEX('Cronograma R. Operacional'!$G$5:$G$1000,$N104)="","",INDEX('Cronograma R. Operacional'!$G$5:$G$1000,$N104)))</f>
        <v/>
      </c>
      <c r="H104" s="65">
        <f>IF($N104="","",IF(INDEX('Cronograma R. Operacional'!$H$5:$H$1000,$N104)="","",INDEX('Cronograma R. Operacional'!$H$5:$H$1000,$N104)))</f>
        <v/>
      </c>
      <c r="I104" s="65">
        <f>IF($N104="","",IF(INDEX('Cronograma R. Operacional'!$I$5:$I$1000,$N104)="","",INDEX('Cronograma R. Operacional'!$I$5:$I$1000,$N104)))</f>
        <v/>
      </c>
      <c r="J104" s="65">
        <f>IF($N104="","",IF(INDEX('Cronograma R. Operacional'!$J$5:$J$1000,$N104)="","",INDEX('Cronograma R. Operacional'!$J$5:$J$1000,$N104)))</f>
        <v/>
      </c>
      <c r="K104" s="65">
        <f>IF($N104="","",INDEX('Cronograma R. Operacional'!$K$5:$K$1000,$N104))</f>
        <v/>
      </c>
      <c r="L104" s="60">
        <f>IF($N104="","",IF(N($K104)&gt;=1,"Completado",IF(AND(ISNUMBER($E104),$E104&lt;FechaRef),"Vencida",IF(N($K104)&gt;0,"En curso","Pendiente"))))</f>
        <v/>
      </c>
      <c r="M104" s="68">
        <f>IF($N104="","",INDEX('Cronograma R. Operacional'!$M$5:$M$1000,$N104)&amp;"")</f>
        <v/>
      </c>
      <c r="N104">
        <f>IFERROR(MATCH(ROW()-4,rOrden_RO,0),"")</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1">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P3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 width="15" customWidth="1" min="15" max="15"/>
    <col hidden="1" width="8" customWidth="1" min="16" max="16"/>
  </cols>
  <sheetData>
    <row r="1" ht="28" customHeight="1">
      <c r="A1" s="75" t="inlineStr">
        <is>
          <t>Cronograma – Riesgo Normativo</t>
        </is>
      </c>
      <c r="B1" s="75" t="n"/>
      <c r="C1" s="75" t="n"/>
      <c r="D1" s="75" t="n"/>
      <c r="E1" s="75" t="n"/>
      <c r="F1" s="75" t="n"/>
      <c r="G1" s="75" t="n"/>
      <c r="H1" s="75" t="n"/>
      <c r="I1" s="75" t="n"/>
      <c r="J1" s="75" t="n"/>
      <c r="K1" s="75" t="n"/>
      <c r="L1" s="75" t="n"/>
      <c r="M1" s="75" t="n"/>
      <c r="N1" s="75" t="n"/>
      <c r="O1" s="75" t="n"/>
    </row>
    <row r="2" ht="40" customHeight="1">
      <c r="A2" s="46" t="inlineStr">
        <is>
          <t>Llene solo las celdas GRIS SUAVE (desbloqueadas); las celdas AZUL CLARO son automáticas y están bloqueadas. Cada mes agregue sus actividades debajo de las anteriores (NO borre los meses pasados: quedan como historial). El mes se asigna solo con la fecha de inicio. En cada semana escriba el % TOTAL logrado hasta esa semana (ej. 20%, 45%, 75%, 100%). Los pesos de las actividades de un mismo mes deben sumar 100%. Si una actividad no se cumple, explique el motivo en Observaciones.</t>
        </is>
      </c>
      <c r="B2" s="46" t="n"/>
      <c r="C2" s="46" t="n"/>
      <c r="D2" s="46" t="n"/>
      <c r="E2" s="46" t="n"/>
      <c r="F2" s="46" t="n"/>
      <c r="G2" s="46" t="n"/>
      <c r="H2" s="46" t="n"/>
      <c r="I2" s="46" t="n"/>
      <c r="J2" s="46" t="n"/>
      <c r="K2" s="46" t="n"/>
      <c r="L2" s="46" t="n"/>
      <c r="M2" s="46" t="n"/>
      <c r="N2" s="46" t="n"/>
      <c r="O2" s="46" t="n"/>
    </row>
    <row r="3">
      <c r="A3" s="54" t="inlineStr">
        <is>
          <t>Llenar</t>
        </is>
      </c>
      <c r="B3" s="55" t="inlineStr">
        <is>
          <t>Automático (bloqueado)</t>
        </is>
      </c>
      <c r="C3" s="56" t="inlineStr">
        <is>
          <t>Pesos del mes:</t>
        </is>
      </c>
      <c r="D3" s="57">
        <f>SUMIFS(F5:F1000,O5:O1000,MesCiclo)</f>
        <v/>
      </c>
      <c r="E3" s="58">
        <f>IF(COUNTIFS(N5:N1000,"?*",O5:O1000,MesCiclo)=0,"",IF(ABS(D3-1)&lt;=0.0001,"✔ 100%","⚠ Debe sumar 100%"))</f>
        <v/>
      </c>
      <c r="F3" s="58" t="n"/>
    </row>
    <row r="4" ht="42" customHeight="1">
      <c r="A4" s="59" t="inlineStr">
        <is>
          <t>N°</t>
        </is>
      </c>
      <c r="B4" s="49" t="inlineStr">
        <is>
          <t>Macro Actividad</t>
        </is>
      </c>
      <c r="C4" s="49" t="inlineStr">
        <is>
          <t>Responsable</t>
        </is>
      </c>
      <c r="D4" s="49" t="inlineStr">
        <is>
          <t>Fecha de inicio</t>
        </is>
      </c>
      <c r="E4" s="49" t="inlineStr">
        <is>
          <t>Fecha límite</t>
        </is>
      </c>
      <c r="F4" s="49" t="inlineStr">
        <is>
          <t>Peso de actividad (%)</t>
        </is>
      </c>
      <c r="G4" s="49" t="inlineStr">
        <is>
          <t>Avance Semana 1 (%)</t>
        </is>
      </c>
      <c r="H4" s="49" t="inlineStr">
        <is>
          <t>Avance Semana 2 (%)</t>
        </is>
      </c>
      <c r="I4" s="49" t="inlineStr">
        <is>
          <t>Avance Semana 3 (%)</t>
        </is>
      </c>
      <c r="J4" s="49" t="inlineStr">
        <is>
          <t>Avance Semana 4 (%)</t>
        </is>
      </c>
      <c r="K4" s="59" t="inlineStr">
        <is>
          <t>% de Avance Total Actual</t>
        </is>
      </c>
      <c r="L4" s="59" t="inlineStr">
        <is>
          <t>Estado</t>
        </is>
      </c>
      <c r="M4" s="49" t="inlineStr">
        <is>
          <t>Observaciones</t>
        </is>
      </c>
      <c r="N4" s="59" t="inlineStr">
        <is>
          <t>Revisión automática (alertas)</t>
        </is>
      </c>
      <c r="O4" s="59" t="inlineStr">
        <is>
          <t>Mes</t>
        </is>
      </c>
      <c r="P4" s="59" t="inlineStr">
        <is>
          <t>Orden en el mes (aux)</t>
        </is>
      </c>
    </row>
    <row r="5">
      <c r="A5" s="60">
        <f>IF(NOT((COUNTA($B5:$J5)+COUNTA($M5))&gt;0),"",COUNTIFS($L$5:$L5,"?*",$O$5:$O5,$O5))</f>
        <v/>
      </c>
      <c r="B5" s="61" t="n"/>
      <c r="C5" s="61" t="n"/>
      <c r="D5" s="62" t="n"/>
      <c r="E5" s="62" t="n"/>
      <c r="F5" s="63" t="n"/>
      <c r="G5" s="64" t="n"/>
      <c r="H5" s="64" t="n"/>
      <c r="I5" s="64" t="n"/>
      <c r="J5" s="64" t="n"/>
      <c r="K5" s="65">
        <f>IF(NOT((COUNTA($B5:$J5)+COUNTA($M5))&gt;0),"",IFERROR(LOOKUP(2,1/(G5:J5&lt;&gt;""),G5:J5),0))</f>
        <v/>
      </c>
      <c r="L5" s="60">
        <f>IF(K5="","",IF(K5&gt;=1,"Completado",IF(K5&gt;0,"En curso","Pendiente")))</f>
        <v/>
      </c>
      <c r="M5" s="61" t="n"/>
      <c r="N5" s="66">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c r="O5" s="67">
        <f>IF(NOT((COUNTA($B5:$J5)+COUNTA($M5))&gt;0),"",IF(ISNUMBER($D5),DATE(YEAR($D5),MONTH($D5),1),IF(ISNUMBER($E5),DATE(YEAR($E5),MONTH($E5),1),MesCiclo)))</f>
        <v/>
      </c>
      <c r="P5" s="68">
        <f>IF(OR($O5="",$O5&lt;&gt;MesCiclo),"",COUNTIF($O$5:$O5,MesCiclo))</f>
        <v/>
      </c>
    </row>
    <row r="6">
      <c r="A6" s="60">
        <f>IF(NOT((COUNTA($B6:$J6)+COUNTA($M6))&gt;0),"",COUNTIFS($L$5:$L6,"?*",$O$5:$O6,$O6))</f>
        <v/>
      </c>
      <c r="B6" s="61" t="n"/>
      <c r="C6" s="61" t="n"/>
      <c r="D6" s="62" t="n"/>
      <c r="E6" s="62" t="n"/>
      <c r="F6" s="63" t="n"/>
      <c r="G6" s="64" t="n"/>
      <c r="H6" s="64" t="n"/>
      <c r="I6" s="64" t="n"/>
      <c r="J6" s="64" t="n"/>
      <c r="K6" s="65">
        <f>IF(NOT((COUNTA($B6:$J6)+COUNTA($M6))&gt;0),"",IFERROR(LOOKUP(2,1/(G6:J6&lt;&gt;""),G6:J6),0))</f>
        <v/>
      </c>
      <c r="L6" s="60">
        <f>IF(K6="","",IF(K6&gt;=1,"Completado",IF(K6&gt;0,"En curso","Pendiente")))</f>
        <v/>
      </c>
      <c r="M6" s="61" t="n"/>
      <c r="N6" s="66">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c r="O6" s="67">
        <f>IF(NOT((COUNTA($B6:$J6)+COUNTA($M6))&gt;0),"",IF(ISNUMBER($D6),DATE(YEAR($D6),MONTH($D6),1),IF(ISNUMBER($E6),DATE(YEAR($E6),MONTH($E6),1),MesCiclo)))</f>
        <v/>
      </c>
      <c r="P6" s="68">
        <f>IF(OR($O6="",$O6&lt;&gt;MesCiclo),"",COUNTIF($O$5:$O6,MesCiclo))</f>
        <v/>
      </c>
    </row>
    <row r="7">
      <c r="A7" s="60">
        <f>IF(NOT((COUNTA($B7:$J7)+COUNTA($M7))&gt;0),"",COUNTIFS($L$5:$L7,"?*",$O$5:$O7,$O7))</f>
        <v/>
      </c>
      <c r="B7" s="61" t="n"/>
      <c r="C7" s="61" t="n"/>
      <c r="D7" s="62" t="n"/>
      <c r="E7" s="62" t="n"/>
      <c r="F7" s="63" t="n"/>
      <c r="G7" s="64" t="n"/>
      <c r="H7" s="64" t="n"/>
      <c r="I7" s="64" t="n"/>
      <c r="J7" s="64" t="n"/>
      <c r="K7" s="65">
        <f>IF(NOT((COUNTA($B7:$J7)+COUNTA($M7))&gt;0),"",IFERROR(LOOKUP(2,1/(G7:J7&lt;&gt;""),G7:J7),0))</f>
        <v/>
      </c>
      <c r="L7" s="60">
        <f>IF(K7="","",IF(K7&gt;=1,"Completado",IF(K7&gt;0,"En curso","Pendiente")))</f>
        <v/>
      </c>
      <c r="M7" s="61" t="n"/>
      <c r="N7" s="66">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c r="O7" s="67">
        <f>IF(NOT((COUNTA($B7:$J7)+COUNTA($M7))&gt;0),"",IF(ISNUMBER($D7),DATE(YEAR($D7),MONTH($D7),1),IF(ISNUMBER($E7),DATE(YEAR($E7),MONTH($E7),1),MesCiclo)))</f>
        <v/>
      </c>
      <c r="P7" s="68">
        <f>IF(OR($O7="",$O7&lt;&gt;MesCiclo),"",COUNTIF($O$5:$O7,MesCiclo))</f>
        <v/>
      </c>
    </row>
    <row r="8">
      <c r="A8" s="60">
        <f>IF(NOT((COUNTA($B8:$J8)+COUNTA($M8))&gt;0),"",COUNTIFS($L$5:$L8,"?*",$O$5:$O8,$O8))</f>
        <v/>
      </c>
      <c r="B8" s="61" t="n"/>
      <c r="C8" s="61" t="n"/>
      <c r="D8" s="62" t="n"/>
      <c r="E8" s="62" t="n"/>
      <c r="F8" s="63" t="n"/>
      <c r="G8" s="64" t="n"/>
      <c r="H8" s="64" t="n"/>
      <c r="I8" s="64" t="n"/>
      <c r="J8" s="64" t="n"/>
      <c r="K8" s="65">
        <f>IF(NOT((COUNTA($B8:$J8)+COUNTA($M8))&gt;0),"",IFERROR(LOOKUP(2,1/(G8:J8&lt;&gt;""),G8:J8),0))</f>
        <v/>
      </c>
      <c r="L8" s="60">
        <f>IF(K8="","",IF(K8&gt;=1,"Completado",IF(K8&gt;0,"En curso","Pendiente")))</f>
        <v/>
      </c>
      <c r="M8" s="61" t="n"/>
      <c r="N8" s="66">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c r="O8" s="67">
        <f>IF(NOT((COUNTA($B8:$J8)+COUNTA($M8))&gt;0),"",IF(ISNUMBER($D8),DATE(YEAR($D8),MONTH($D8),1),IF(ISNUMBER($E8),DATE(YEAR($E8),MONTH($E8),1),MesCiclo)))</f>
        <v/>
      </c>
      <c r="P8" s="68">
        <f>IF(OR($O8="",$O8&lt;&gt;MesCiclo),"",COUNTIF($O$5:$O8,MesCiclo))</f>
        <v/>
      </c>
    </row>
    <row r="9">
      <c r="A9" s="60">
        <f>IF(NOT((COUNTA($B9:$J9)+COUNTA($M9))&gt;0),"",COUNTIFS($L$5:$L9,"?*",$O$5:$O9,$O9))</f>
        <v/>
      </c>
      <c r="B9" s="61" t="n"/>
      <c r="C9" s="61" t="n"/>
      <c r="D9" s="62" t="n"/>
      <c r="E9" s="62" t="n"/>
      <c r="F9" s="63" t="n"/>
      <c r="G9" s="64" t="n"/>
      <c r="H9" s="64" t="n"/>
      <c r="I9" s="64" t="n"/>
      <c r="J9" s="64" t="n"/>
      <c r="K9" s="65">
        <f>IF(NOT((COUNTA($B9:$J9)+COUNTA($M9))&gt;0),"",IFERROR(LOOKUP(2,1/(G9:J9&lt;&gt;""),G9:J9),0))</f>
        <v/>
      </c>
      <c r="L9" s="60">
        <f>IF(K9="","",IF(K9&gt;=1,"Completado",IF(K9&gt;0,"En curso","Pendiente")))</f>
        <v/>
      </c>
      <c r="M9" s="61" t="n"/>
      <c r="N9" s="66">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c r="O9" s="67">
        <f>IF(NOT((COUNTA($B9:$J9)+COUNTA($M9))&gt;0),"",IF(ISNUMBER($D9),DATE(YEAR($D9),MONTH($D9),1),IF(ISNUMBER($E9),DATE(YEAR($E9),MONTH($E9),1),MesCiclo)))</f>
        <v/>
      </c>
      <c r="P9" s="68">
        <f>IF(OR($O9="",$O9&lt;&gt;MesCiclo),"",COUNTIF($O$5:$O9,MesCiclo))</f>
        <v/>
      </c>
    </row>
    <row r="10">
      <c r="A10" s="60">
        <f>IF(NOT((COUNTA($B10:$J10)+COUNTA($M10))&gt;0),"",COUNTIFS($L$5:$L10,"?*",$O$5:$O10,$O10))</f>
        <v/>
      </c>
      <c r="B10" s="61" t="n"/>
      <c r="C10" s="61" t="n"/>
      <c r="D10" s="62" t="n"/>
      <c r="E10" s="62" t="n"/>
      <c r="F10" s="63" t="n"/>
      <c r="G10" s="64" t="n"/>
      <c r="H10" s="64" t="n"/>
      <c r="I10" s="64" t="n"/>
      <c r="J10" s="64" t="n"/>
      <c r="K10" s="65">
        <f>IF(NOT((COUNTA($B10:$J10)+COUNTA($M10))&gt;0),"",IFERROR(LOOKUP(2,1/(G10:J10&lt;&gt;""),G10:J10),0))</f>
        <v/>
      </c>
      <c r="L10" s="60">
        <f>IF(K10="","",IF(K10&gt;=1,"Completado",IF(K10&gt;0,"En curso","Pendiente")))</f>
        <v/>
      </c>
      <c r="M10" s="61" t="n"/>
      <c r="N10" s="66">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c r="O10" s="67">
        <f>IF(NOT((COUNTA($B10:$J10)+COUNTA($M10))&gt;0),"",IF(ISNUMBER($D10),DATE(YEAR($D10),MONTH($D10),1),IF(ISNUMBER($E10),DATE(YEAR($E10),MONTH($E10),1),MesCiclo)))</f>
        <v/>
      </c>
      <c r="P10" s="68">
        <f>IF(OR($O10="",$O10&lt;&gt;MesCiclo),"",COUNTIF($O$5:$O10,MesCiclo))</f>
        <v/>
      </c>
    </row>
    <row r="11">
      <c r="A11" s="60">
        <f>IF(NOT((COUNTA($B11:$J11)+COUNTA($M11))&gt;0),"",COUNTIFS($L$5:$L11,"?*",$O$5:$O11,$O11))</f>
        <v/>
      </c>
      <c r="B11" s="61" t="n"/>
      <c r="C11" s="61" t="n"/>
      <c r="D11" s="62" t="n"/>
      <c r="E11" s="62" t="n"/>
      <c r="F11" s="63" t="n"/>
      <c r="G11" s="64" t="n"/>
      <c r="H11" s="64" t="n"/>
      <c r="I11" s="64" t="n"/>
      <c r="J11" s="64" t="n"/>
      <c r="K11" s="65">
        <f>IF(NOT((COUNTA($B11:$J11)+COUNTA($M11))&gt;0),"",IFERROR(LOOKUP(2,1/(G11:J11&lt;&gt;""),G11:J11),0))</f>
        <v/>
      </c>
      <c r="L11" s="60">
        <f>IF(K11="","",IF(K11&gt;=1,"Completado",IF(K11&gt;0,"En curso","Pendiente")))</f>
        <v/>
      </c>
      <c r="M11" s="61" t="n"/>
      <c r="N11" s="66">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c r="O11" s="67">
        <f>IF(NOT((COUNTA($B11:$J11)+COUNTA($M11))&gt;0),"",IF(ISNUMBER($D11),DATE(YEAR($D11),MONTH($D11),1),IF(ISNUMBER($E11),DATE(YEAR($E11),MONTH($E11),1),MesCiclo)))</f>
        <v/>
      </c>
      <c r="P11" s="68">
        <f>IF(OR($O11="",$O11&lt;&gt;MesCiclo),"",COUNTIF($O$5:$O11,MesCiclo))</f>
        <v/>
      </c>
    </row>
    <row r="12">
      <c r="A12" s="60">
        <f>IF(NOT((COUNTA($B12:$J12)+COUNTA($M12))&gt;0),"",COUNTIFS($L$5:$L12,"?*",$O$5:$O12,$O12))</f>
        <v/>
      </c>
      <c r="B12" s="61" t="n"/>
      <c r="C12" s="61" t="n"/>
      <c r="D12" s="62" t="n"/>
      <c r="E12" s="62" t="n"/>
      <c r="F12" s="63" t="n"/>
      <c r="G12" s="64" t="n"/>
      <c r="H12" s="64" t="n"/>
      <c r="I12" s="64" t="n"/>
      <c r="J12" s="64" t="n"/>
      <c r="K12" s="65">
        <f>IF(NOT((COUNTA($B12:$J12)+COUNTA($M12))&gt;0),"",IFERROR(LOOKUP(2,1/(G12:J12&lt;&gt;""),G12:J12),0))</f>
        <v/>
      </c>
      <c r="L12" s="60">
        <f>IF(K12="","",IF(K12&gt;=1,"Completado",IF(K12&gt;0,"En curso","Pendiente")))</f>
        <v/>
      </c>
      <c r="M12" s="61" t="n"/>
      <c r="N12" s="66">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c r="O12" s="67">
        <f>IF(NOT((COUNTA($B12:$J12)+COUNTA($M12))&gt;0),"",IF(ISNUMBER($D12),DATE(YEAR($D12),MONTH($D12),1),IF(ISNUMBER($E12),DATE(YEAR($E12),MONTH($E12),1),MesCiclo)))</f>
        <v/>
      </c>
      <c r="P12" s="68">
        <f>IF(OR($O12="",$O12&lt;&gt;MesCiclo),"",COUNTIF($O$5:$O12,MesCiclo))</f>
        <v/>
      </c>
    </row>
    <row r="13">
      <c r="A13" s="60">
        <f>IF(NOT((COUNTA($B13:$J13)+COUNTA($M13))&gt;0),"",COUNTIFS($L$5:$L13,"?*",$O$5:$O13,$O13))</f>
        <v/>
      </c>
      <c r="B13" s="61" t="n"/>
      <c r="C13" s="61" t="n"/>
      <c r="D13" s="62" t="n"/>
      <c r="E13" s="62" t="n"/>
      <c r="F13" s="63" t="n"/>
      <c r="G13" s="64" t="n"/>
      <c r="H13" s="64" t="n"/>
      <c r="I13" s="64" t="n"/>
      <c r="J13" s="64" t="n"/>
      <c r="K13" s="65">
        <f>IF(NOT((COUNTA($B13:$J13)+COUNTA($M13))&gt;0),"",IFERROR(LOOKUP(2,1/(G13:J13&lt;&gt;""),G13:J13),0))</f>
        <v/>
      </c>
      <c r="L13" s="60">
        <f>IF(K13="","",IF(K13&gt;=1,"Completado",IF(K13&gt;0,"En curso","Pendiente")))</f>
        <v/>
      </c>
      <c r="M13" s="61" t="n"/>
      <c r="N13" s="66">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c r="O13" s="67">
        <f>IF(NOT((COUNTA($B13:$J13)+COUNTA($M13))&gt;0),"",IF(ISNUMBER($D13),DATE(YEAR($D13),MONTH($D13),1),IF(ISNUMBER($E13),DATE(YEAR($E13),MONTH($E13),1),MesCiclo)))</f>
        <v/>
      </c>
      <c r="P13" s="68">
        <f>IF(OR($O13="",$O13&lt;&gt;MesCiclo),"",COUNTIF($O$5:$O13,MesCiclo))</f>
        <v/>
      </c>
    </row>
    <row r="14">
      <c r="A14" s="60">
        <f>IF(NOT((COUNTA($B14:$J14)+COUNTA($M14))&gt;0),"",COUNTIFS($L$5:$L14,"?*",$O$5:$O14,$O14))</f>
        <v/>
      </c>
      <c r="B14" s="61" t="n"/>
      <c r="C14" s="61" t="n"/>
      <c r="D14" s="62" t="n"/>
      <c r="E14" s="62" t="n"/>
      <c r="F14" s="63" t="n"/>
      <c r="G14" s="64" t="n"/>
      <c r="H14" s="64" t="n"/>
      <c r="I14" s="64" t="n"/>
      <c r="J14" s="64" t="n"/>
      <c r="K14" s="65">
        <f>IF(NOT((COUNTA($B14:$J14)+COUNTA($M14))&gt;0),"",IFERROR(LOOKUP(2,1/(G14:J14&lt;&gt;""),G14:J14),0))</f>
        <v/>
      </c>
      <c r="L14" s="60">
        <f>IF(K14="","",IF(K14&gt;=1,"Completado",IF(K14&gt;0,"En curso","Pendiente")))</f>
        <v/>
      </c>
      <c r="M14" s="61" t="n"/>
      <c r="N14" s="66">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c r="O14" s="67">
        <f>IF(NOT((COUNTA($B14:$J14)+COUNTA($M14))&gt;0),"",IF(ISNUMBER($D14),DATE(YEAR($D14),MONTH($D14),1),IF(ISNUMBER($E14),DATE(YEAR($E14),MONTH($E14),1),MesCiclo)))</f>
        <v/>
      </c>
      <c r="P14" s="68">
        <f>IF(OR($O14="",$O14&lt;&gt;MesCiclo),"",COUNTIF($O$5:$O14,MesCiclo))</f>
        <v/>
      </c>
    </row>
    <row r="15">
      <c r="A15" s="60">
        <f>IF(NOT((COUNTA($B15:$J15)+COUNTA($M15))&gt;0),"",COUNTIFS($L$5:$L15,"?*",$O$5:$O15,$O15))</f>
        <v/>
      </c>
      <c r="B15" s="61" t="n"/>
      <c r="C15" s="61" t="n"/>
      <c r="D15" s="62" t="n"/>
      <c r="E15" s="62" t="n"/>
      <c r="F15" s="63" t="n"/>
      <c r="G15" s="64" t="n"/>
      <c r="H15" s="64" t="n"/>
      <c r="I15" s="64" t="n"/>
      <c r="J15" s="64" t="n"/>
      <c r="K15" s="65">
        <f>IF(NOT((COUNTA($B15:$J15)+COUNTA($M15))&gt;0),"",IFERROR(LOOKUP(2,1/(G15:J15&lt;&gt;""),G15:J15),0))</f>
        <v/>
      </c>
      <c r="L15" s="60">
        <f>IF(K15="","",IF(K15&gt;=1,"Completado",IF(K15&gt;0,"En curso","Pendiente")))</f>
        <v/>
      </c>
      <c r="M15" s="61" t="n"/>
      <c r="N15" s="66">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c r="O15" s="67">
        <f>IF(NOT((COUNTA($B15:$J15)+COUNTA($M15))&gt;0),"",IF(ISNUMBER($D15),DATE(YEAR($D15),MONTH($D15),1),IF(ISNUMBER($E15),DATE(YEAR($E15),MONTH($E15),1),MesCiclo)))</f>
        <v/>
      </c>
      <c r="P15" s="68">
        <f>IF(OR($O15="",$O15&lt;&gt;MesCiclo),"",COUNTIF($O$5:$O15,MesCiclo))</f>
        <v/>
      </c>
    </row>
    <row r="16">
      <c r="A16" s="60">
        <f>IF(NOT((COUNTA($B16:$J16)+COUNTA($M16))&gt;0),"",COUNTIFS($L$5:$L16,"?*",$O$5:$O16,$O16))</f>
        <v/>
      </c>
      <c r="B16" s="61" t="n"/>
      <c r="C16" s="61" t="n"/>
      <c r="D16" s="62" t="n"/>
      <c r="E16" s="62" t="n"/>
      <c r="F16" s="63" t="n"/>
      <c r="G16" s="64" t="n"/>
      <c r="H16" s="64" t="n"/>
      <c r="I16" s="64" t="n"/>
      <c r="J16" s="64" t="n"/>
      <c r="K16" s="65">
        <f>IF(NOT((COUNTA($B16:$J16)+COUNTA($M16))&gt;0),"",IFERROR(LOOKUP(2,1/(G16:J16&lt;&gt;""),G16:J16),0))</f>
        <v/>
      </c>
      <c r="L16" s="60">
        <f>IF(K16="","",IF(K16&gt;=1,"Completado",IF(K16&gt;0,"En curso","Pendiente")))</f>
        <v/>
      </c>
      <c r="M16" s="61" t="n"/>
      <c r="N16" s="66">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c r="O16" s="67">
        <f>IF(NOT((COUNTA($B16:$J16)+COUNTA($M16))&gt;0),"",IF(ISNUMBER($D16),DATE(YEAR($D16),MONTH($D16),1),IF(ISNUMBER($E16),DATE(YEAR($E16),MONTH($E16),1),MesCiclo)))</f>
        <v/>
      </c>
      <c r="P16" s="68">
        <f>IF(OR($O16="",$O16&lt;&gt;MesCiclo),"",COUNTIF($O$5:$O16,MesCiclo))</f>
        <v/>
      </c>
    </row>
    <row r="17">
      <c r="A17" s="60">
        <f>IF(NOT((COUNTA($B17:$J17)+COUNTA($M17))&gt;0),"",COUNTIFS($L$5:$L17,"?*",$O$5:$O17,$O17))</f>
        <v/>
      </c>
      <c r="B17" s="61" t="n"/>
      <c r="C17" s="61" t="n"/>
      <c r="D17" s="62" t="n"/>
      <c r="E17" s="62" t="n"/>
      <c r="F17" s="63" t="n"/>
      <c r="G17" s="64" t="n"/>
      <c r="H17" s="64" t="n"/>
      <c r="I17" s="64" t="n"/>
      <c r="J17" s="64" t="n"/>
      <c r="K17" s="65">
        <f>IF(NOT((COUNTA($B17:$J17)+COUNTA($M17))&gt;0),"",IFERROR(LOOKUP(2,1/(G17:J17&lt;&gt;""),G17:J17),0))</f>
        <v/>
      </c>
      <c r="L17" s="60">
        <f>IF(K17="","",IF(K17&gt;=1,"Completado",IF(K17&gt;0,"En curso","Pendiente")))</f>
        <v/>
      </c>
      <c r="M17" s="61" t="n"/>
      <c r="N17" s="66">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c r="O17" s="67">
        <f>IF(NOT((COUNTA($B17:$J17)+COUNTA($M17))&gt;0),"",IF(ISNUMBER($D17),DATE(YEAR($D17),MONTH($D17),1),IF(ISNUMBER($E17),DATE(YEAR($E17),MONTH($E17),1),MesCiclo)))</f>
        <v/>
      </c>
      <c r="P17" s="68">
        <f>IF(OR($O17="",$O17&lt;&gt;MesCiclo),"",COUNTIF($O$5:$O17,MesCiclo))</f>
        <v/>
      </c>
    </row>
    <row r="18">
      <c r="A18" s="60">
        <f>IF(NOT((COUNTA($B18:$J18)+COUNTA($M18))&gt;0),"",COUNTIFS($L$5:$L18,"?*",$O$5:$O18,$O18))</f>
        <v/>
      </c>
      <c r="B18" s="61" t="n"/>
      <c r="C18" s="61" t="n"/>
      <c r="D18" s="62" t="n"/>
      <c r="E18" s="62" t="n"/>
      <c r="F18" s="63" t="n"/>
      <c r="G18" s="64" t="n"/>
      <c r="H18" s="64" t="n"/>
      <c r="I18" s="64" t="n"/>
      <c r="J18" s="64" t="n"/>
      <c r="K18" s="65">
        <f>IF(NOT((COUNTA($B18:$J18)+COUNTA($M18))&gt;0),"",IFERROR(LOOKUP(2,1/(G18:J18&lt;&gt;""),G18:J18),0))</f>
        <v/>
      </c>
      <c r="L18" s="60">
        <f>IF(K18="","",IF(K18&gt;=1,"Completado",IF(K18&gt;0,"En curso","Pendiente")))</f>
        <v/>
      </c>
      <c r="M18" s="61" t="n"/>
      <c r="N18" s="66">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c r="O18" s="67">
        <f>IF(NOT((COUNTA($B18:$J18)+COUNTA($M18))&gt;0),"",IF(ISNUMBER($D18),DATE(YEAR($D18),MONTH($D18),1),IF(ISNUMBER($E18),DATE(YEAR($E18),MONTH($E18),1),MesCiclo)))</f>
        <v/>
      </c>
      <c r="P18" s="68">
        <f>IF(OR($O18="",$O18&lt;&gt;MesCiclo),"",COUNTIF($O$5:$O18,MesCiclo))</f>
        <v/>
      </c>
    </row>
    <row r="19">
      <c r="A19" s="60">
        <f>IF(NOT((COUNTA($B19:$J19)+COUNTA($M19))&gt;0),"",COUNTIFS($L$5:$L19,"?*",$O$5:$O19,$O19))</f>
        <v/>
      </c>
      <c r="B19" s="61" t="n"/>
      <c r="C19" s="61" t="n"/>
      <c r="D19" s="62" t="n"/>
      <c r="E19" s="62" t="n"/>
      <c r="F19" s="63" t="n"/>
      <c r="G19" s="64" t="n"/>
      <c r="H19" s="64" t="n"/>
      <c r="I19" s="64" t="n"/>
      <c r="J19" s="64" t="n"/>
      <c r="K19" s="65">
        <f>IF(NOT((COUNTA($B19:$J19)+COUNTA($M19))&gt;0),"",IFERROR(LOOKUP(2,1/(G19:J19&lt;&gt;""),G19:J19),0))</f>
        <v/>
      </c>
      <c r="L19" s="60">
        <f>IF(K19="","",IF(K19&gt;=1,"Completado",IF(K19&gt;0,"En curso","Pendiente")))</f>
        <v/>
      </c>
      <c r="M19" s="61" t="n"/>
      <c r="N19" s="66">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c r="O19" s="67">
        <f>IF(NOT((COUNTA($B19:$J19)+COUNTA($M19))&gt;0),"",IF(ISNUMBER($D19),DATE(YEAR($D19),MONTH($D19),1),IF(ISNUMBER($E19),DATE(YEAR($E19),MONTH($E19),1),MesCiclo)))</f>
        <v/>
      </c>
      <c r="P19" s="68">
        <f>IF(OR($O19="",$O19&lt;&gt;MesCiclo),"",COUNTIF($O$5:$O19,MesCiclo))</f>
        <v/>
      </c>
    </row>
    <row r="20">
      <c r="A20" s="60">
        <f>IF(NOT((COUNTA($B20:$J20)+COUNTA($M20))&gt;0),"",COUNTIFS($L$5:$L20,"?*",$O$5:$O20,$O20))</f>
        <v/>
      </c>
      <c r="B20" s="61" t="n"/>
      <c r="C20" s="61" t="n"/>
      <c r="D20" s="62" t="n"/>
      <c r="E20" s="62" t="n"/>
      <c r="F20" s="63" t="n"/>
      <c r="G20" s="64" t="n"/>
      <c r="H20" s="64" t="n"/>
      <c r="I20" s="64" t="n"/>
      <c r="J20" s="64" t="n"/>
      <c r="K20" s="65">
        <f>IF(NOT((COUNTA($B20:$J20)+COUNTA($M20))&gt;0),"",IFERROR(LOOKUP(2,1/(G20:J20&lt;&gt;""),G20:J20),0))</f>
        <v/>
      </c>
      <c r="L20" s="60">
        <f>IF(K20="","",IF(K20&gt;=1,"Completado",IF(K20&gt;0,"En curso","Pendiente")))</f>
        <v/>
      </c>
      <c r="M20" s="61" t="n"/>
      <c r="N20" s="66">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c r="O20" s="67">
        <f>IF(NOT((COUNTA($B20:$J20)+COUNTA($M20))&gt;0),"",IF(ISNUMBER($D20),DATE(YEAR($D20),MONTH($D20),1),IF(ISNUMBER($E20),DATE(YEAR($E20),MONTH($E20),1),MesCiclo)))</f>
        <v/>
      </c>
      <c r="P20" s="68">
        <f>IF(OR($O20="",$O20&lt;&gt;MesCiclo),"",COUNTIF($O$5:$O20,MesCiclo))</f>
        <v/>
      </c>
    </row>
    <row r="21">
      <c r="A21" s="60">
        <f>IF(NOT((COUNTA($B21:$J21)+COUNTA($M21))&gt;0),"",COUNTIFS($L$5:$L21,"?*",$O$5:$O21,$O21))</f>
        <v/>
      </c>
      <c r="B21" s="61" t="n"/>
      <c r="C21" s="61" t="n"/>
      <c r="D21" s="62" t="n"/>
      <c r="E21" s="62" t="n"/>
      <c r="F21" s="63" t="n"/>
      <c r="G21" s="64" t="n"/>
      <c r="H21" s="64" t="n"/>
      <c r="I21" s="64" t="n"/>
      <c r="J21" s="64" t="n"/>
      <c r="K21" s="65">
        <f>IF(NOT((COUNTA($B21:$J21)+COUNTA($M21))&gt;0),"",IFERROR(LOOKUP(2,1/(G21:J21&lt;&gt;""),G21:J21),0))</f>
        <v/>
      </c>
      <c r="L21" s="60">
        <f>IF(K21="","",IF(K21&gt;=1,"Completado",IF(K21&gt;0,"En curso","Pendiente")))</f>
        <v/>
      </c>
      <c r="M21" s="61" t="n"/>
      <c r="N21" s="66">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c r="O21" s="67">
        <f>IF(NOT((COUNTA($B21:$J21)+COUNTA($M21))&gt;0),"",IF(ISNUMBER($D21),DATE(YEAR($D21),MONTH($D21),1),IF(ISNUMBER($E21),DATE(YEAR($E21),MONTH($E21),1),MesCiclo)))</f>
        <v/>
      </c>
      <c r="P21" s="68">
        <f>IF(OR($O21="",$O21&lt;&gt;MesCiclo),"",COUNTIF($O$5:$O21,MesCiclo))</f>
        <v/>
      </c>
    </row>
    <row r="22">
      <c r="A22" s="60">
        <f>IF(NOT((COUNTA($B22:$J22)+COUNTA($M22))&gt;0),"",COUNTIFS($L$5:$L22,"?*",$O$5:$O22,$O22))</f>
        <v/>
      </c>
      <c r="B22" s="61" t="n"/>
      <c r="C22" s="61" t="n"/>
      <c r="D22" s="62" t="n"/>
      <c r="E22" s="62" t="n"/>
      <c r="F22" s="63" t="n"/>
      <c r="G22" s="64" t="n"/>
      <c r="H22" s="64" t="n"/>
      <c r="I22" s="64" t="n"/>
      <c r="J22" s="64" t="n"/>
      <c r="K22" s="65">
        <f>IF(NOT((COUNTA($B22:$J22)+COUNTA($M22))&gt;0),"",IFERROR(LOOKUP(2,1/(G22:J22&lt;&gt;""),G22:J22),0))</f>
        <v/>
      </c>
      <c r="L22" s="60">
        <f>IF(K22="","",IF(K22&gt;=1,"Completado",IF(K22&gt;0,"En curso","Pendiente")))</f>
        <v/>
      </c>
      <c r="M22" s="61" t="n"/>
      <c r="N22" s="66">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c r="O22" s="67">
        <f>IF(NOT((COUNTA($B22:$J22)+COUNTA($M22))&gt;0),"",IF(ISNUMBER($D22),DATE(YEAR($D22),MONTH($D22),1),IF(ISNUMBER($E22),DATE(YEAR($E22),MONTH($E22),1),MesCiclo)))</f>
        <v/>
      </c>
      <c r="P22" s="68">
        <f>IF(OR($O22="",$O22&lt;&gt;MesCiclo),"",COUNTIF($O$5:$O22,MesCiclo))</f>
        <v/>
      </c>
    </row>
    <row r="23">
      <c r="A23" s="60">
        <f>IF(NOT((COUNTA($B23:$J23)+COUNTA($M23))&gt;0),"",COUNTIFS($L$5:$L23,"?*",$O$5:$O23,$O23))</f>
        <v/>
      </c>
      <c r="B23" s="61" t="n"/>
      <c r="C23" s="61" t="n"/>
      <c r="D23" s="62" t="n"/>
      <c r="E23" s="62" t="n"/>
      <c r="F23" s="63" t="n"/>
      <c r="G23" s="64" t="n"/>
      <c r="H23" s="64" t="n"/>
      <c r="I23" s="64" t="n"/>
      <c r="J23" s="64" t="n"/>
      <c r="K23" s="65">
        <f>IF(NOT((COUNTA($B23:$J23)+COUNTA($M23))&gt;0),"",IFERROR(LOOKUP(2,1/(G23:J23&lt;&gt;""),G23:J23),0))</f>
        <v/>
      </c>
      <c r="L23" s="60">
        <f>IF(K23="","",IF(K23&gt;=1,"Completado",IF(K23&gt;0,"En curso","Pendiente")))</f>
        <v/>
      </c>
      <c r="M23" s="61" t="n"/>
      <c r="N23" s="66">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c r="O23" s="67">
        <f>IF(NOT((COUNTA($B23:$J23)+COUNTA($M23))&gt;0),"",IF(ISNUMBER($D23),DATE(YEAR($D23),MONTH($D23),1),IF(ISNUMBER($E23),DATE(YEAR($E23),MONTH($E23),1),MesCiclo)))</f>
        <v/>
      </c>
      <c r="P23" s="68">
        <f>IF(OR($O23="",$O23&lt;&gt;MesCiclo),"",COUNTIF($O$5:$O23,MesCiclo))</f>
        <v/>
      </c>
    </row>
    <row r="24">
      <c r="A24" s="60">
        <f>IF(NOT((COUNTA($B24:$J24)+COUNTA($M24))&gt;0),"",COUNTIFS($L$5:$L24,"?*",$O$5:$O24,$O24))</f>
        <v/>
      </c>
      <c r="B24" s="61" t="n"/>
      <c r="C24" s="61" t="n"/>
      <c r="D24" s="62" t="n"/>
      <c r="E24" s="62" t="n"/>
      <c r="F24" s="63" t="n"/>
      <c r="G24" s="64" t="n"/>
      <c r="H24" s="64" t="n"/>
      <c r="I24" s="64" t="n"/>
      <c r="J24" s="64" t="n"/>
      <c r="K24" s="65">
        <f>IF(NOT((COUNTA($B24:$J24)+COUNTA($M24))&gt;0),"",IFERROR(LOOKUP(2,1/(G24:J24&lt;&gt;""),G24:J24),0))</f>
        <v/>
      </c>
      <c r="L24" s="60">
        <f>IF(K24="","",IF(K24&gt;=1,"Completado",IF(K24&gt;0,"En curso","Pendiente")))</f>
        <v/>
      </c>
      <c r="M24" s="61" t="n"/>
      <c r="N24" s="66">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c r="O24" s="67">
        <f>IF(NOT((COUNTA($B24:$J24)+COUNTA($M24))&gt;0),"",IF(ISNUMBER($D24),DATE(YEAR($D24),MONTH($D24),1),IF(ISNUMBER($E24),DATE(YEAR($E24),MONTH($E24),1),MesCiclo)))</f>
        <v/>
      </c>
      <c r="P24" s="68">
        <f>IF(OR($O24="",$O24&lt;&gt;MesCiclo),"",COUNTIF($O$5:$O24,MesCiclo))</f>
        <v/>
      </c>
    </row>
    <row r="25">
      <c r="A25" s="60">
        <f>IF(NOT((COUNTA($B25:$J25)+COUNTA($M25))&gt;0),"",COUNTIFS($L$5:$L25,"?*",$O$5:$O25,$O25))</f>
        <v/>
      </c>
      <c r="B25" s="61" t="n"/>
      <c r="C25" s="61" t="n"/>
      <c r="D25" s="62" t="n"/>
      <c r="E25" s="62" t="n"/>
      <c r="F25" s="63" t="n"/>
      <c r="G25" s="64" t="n"/>
      <c r="H25" s="64" t="n"/>
      <c r="I25" s="64" t="n"/>
      <c r="J25" s="64" t="n"/>
      <c r="K25" s="65">
        <f>IF(NOT((COUNTA($B25:$J25)+COUNTA($M25))&gt;0),"",IFERROR(LOOKUP(2,1/(G25:J25&lt;&gt;""),G25:J25),0))</f>
        <v/>
      </c>
      <c r="L25" s="60">
        <f>IF(K25="","",IF(K25&gt;=1,"Completado",IF(K25&gt;0,"En curso","Pendiente")))</f>
        <v/>
      </c>
      <c r="M25" s="61" t="n"/>
      <c r="N25" s="66">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c r="O25" s="67">
        <f>IF(NOT((COUNTA($B25:$J25)+COUNTA($M25))&gt;0),"",IF(ISNUMBER($D25),DATE(YEAR($D25),MONTH($D25),1),IF(ISNUMBER($E25),DATE(YEAR($E25),MONTH($E25),1),MesCiclo)))</f>
        <v/>
      </c>
      <c r="P25" s="68">
        <f>IF(OR($O25="",$O25&lt;&gt;MesCiclo),"",COUNTIF($O$5:$O25,MesCiclo))</f>
        <v/>
      </c>
    </row>
    <row r="26">
      <c r="A26" s="60">
        <f>IF(NOT((COUNTA($B26:$J26)+COUNTA($M26))&gt;0),"",COUNTIFS($L$5:$L26,"?*",$O$5:$O26,$O26))</f>
        <v/>
      </c>
      <c r="B26" s="61" t="n"/>
      <c r="C26" s="61" t="n"/>
      <c r="D26" s="62" t="n"/>
      <c r="E26" s="62" t="n"/>
      <c r="F26" s="63" t="n"/>
      <c r="G26" s="64" t="n"/>
      <c r="H26" s="64" t="n"/>
      <c r="I26" s="64" t="n"/>
      <c r="J26" s="64" t="n"/>
      <c r="K26" s="65">
        <f>IF(NOT((COUNTA($B26:$J26)+COUNTA($M26))&gt;0),"",IFERROR(LOOKUP(2,1/(G26:J26&lt;&gt;""),G26:J26),0))</f>
        <v/>
      </c>
      <c r="L26" s="60">
        <f>IF(K26="","",IF(K26&gt;=1,"Completado",IF(K26&gt;0,"En curso","Pendiente")))</f>
        <v/>
      </c>
      <c r="M26" s="61" t="n"/>
      <c r="N26" s="66">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c r="O26" s="67">
        <f>IF(NOT((COUNTA($B26:$J26)+COUNTA($M26))&gt;0),"",IF(ISNUMBER($D26),DATE(YEAR($D26),MONTH($D26),1),IF(ISNUMBER($E26),DATE(YEAR($E26),MONTH($E26),1),MesCiclo)))</f>
        <v/>
      </c>
      <c r="P26" s="68">
        <f>IF(OR($O26="",$O26&lt;&gt;MesCiclo),"",COUNTIF($O$5:$O26,MesCiclo))</f>
        <v/>
      </c>
    </row>
    <row r="27">
      <c r="A27" s="60">
        <f>IF(NOT((COUNTA($B27:$J27)+COUNTA($M27))&gt;0),"",COUNTIFS($L$5:$L27,"?*",$O$5:$O27,$O27))</f>
        <v/>
      </c>
      <c r="B27" s="61" t="n"/>
      <c r="C27" s="61" t="n"/>
      <c r="D27" s="62" t="n"/>
      <c r="E27" s="62" t="n"/>
      <c r="F27" s="63" t="n"/>
      <c r="G27" s="64" t="n"/>
      <c r="H27" s="64" t="n"/>
      <c r="I27" s="64" t="n"/>
      <c r="J27" s="64" t="n"/>
      <c r="K27" s="65">
        <f>IF(NOT((COUNTA($B27:$J27)+COUNTA($M27))&gt;0),"",IFERROR(LOOKUP(2,1/(G27:J27&lt;&gt;""),G27:J27),0))</f>
        <v/>
      </c>
      <c r="L27" s="60">
        <f>IF(K27="","",IF(K27&gt;=1,"Completado",IF(K27&gt;0,"En curso","Pendiente")))</f>
        <v/>
      </c>
      <c r="M27" s="61" t="n"/>
      <c r="N27" s="66">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c r="O27" s="67">
        <f>IF(NOT((COUNTA($B27:$J27)+COUNTA($M27))&gt;0),"",IF(ISNUMBER($D27),DATE(YEAR($D27),MONTH($D27),1),IF(ISNUMBER($E27),DATE(YEAR($E27),MONTH($E27),1),MesCiclo)))</f>
        <v/>
      </c>
      <c r="P27" s="68">
        <f>IF(OR($O27="",$O27&lt;&gt;MesCiclo),"",COUNTIF($O$5:$O27,MesCiclo))</f>
        <v/>
      </c>
    </row>
    <row r="28">
      <c r="A28" s="60">
        <f>IF(NOT((COUNTA($B28:$J28)+COUNTA($M28))&gt;0),"",COUNTIFS($L$5:$L28,"?*",$O$5:$O28,$O28))</f>
        <v/>
      </c>
      <c r="B28" s="61" t="n"/>
      <c r="C28" s="61" t="n"/>
      <c r="D28" s="62" t="n"/>
      <c r="E28" s="62" t="n"/>
      <c r="F28" s="63" t="n"/>
      <c r="G28" s="64" t="n"/>
      <c r="H28" s="64" t="n"/>
      <c r="I28" s="64" t="n"/>
      <c r="J28" s="64" t="n"/>
      <c r="K28" s="65">
        <f>IF(NOT((COUNTA($B28:$J28)+COUNTA($M28))&gt;0),"",IFERROR(LOOKUP(2,1/(G28:J28&lt;&gt;""),G28:J28),0))</f>
        <v/>
      </c>
      <c r="L28" s="60">
        <f>IF(K28="","",IF(K28&gt;=1,"Completado",IF(K28&gt;0,"En curso","Pendiente")))</f>
        <v/>
      </c>
      <c r="M28" s="61" t="n"/>
      <c r="N28" s="66">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c r="O28" s="67">
        <f>IF(NOT((COUNTA($B28:$J28)+COUNTA($M28))&gt;0),"",IF(ISNUMBER($D28),DATE(YEAR($D28),MONTH($D28),1),IF(ISNUMBER($E28),DATE(YEAR($E28),MONTH($E28),1),MesCiclo)))</f>
        <v/>
      </c>
      <c r="P28" s="68">
        <f>IF(OR($O28="",$O28&lt;&gt;MesCiclo),"",COUNTIF($O$5:$O28,MesCiclo))</f>
        <v/>
      </c>
    </row>
    <row r="29">
      <c r="A29" s="60">
        <f>IF(NOT((COUNTA($B29:$J29)+COUNTA($M29))&gt;0),"",COUNTIFS($L$5:$L29,"?*",$O$5:$O29,$O29))</f>
        <v/>
      </c>
      <c r="B29" s="61" t="n"/>
      <c r="C29" s="61" t="n"/>
      <c r="D29" s="62" t="n"/>
      <c r="E29" s="62" t="n"/>
      <c r="F29" s="63" t="n"/>
      <c r="G29" s="64" t="n"/>
      <c r="H29" s="64" t="n"/>
      <c r="I29" s="64" t="n"/>
      <c r="J29" s="64" t="n"/>
      <c r="K29" s="65">
        <f>IF(NOT((COUNTA($B29:$J29)+COUNTA($M29))&gt;0),"",IFERROR(LOOKUP(2,1/(G29:J29&lt;&gt;""),G29:J29),0))</f>
        <v/>
      </c>
      <c r="L29" s="60">
        <f>IF(K29="","",IF(K29&gt;=1,"Completado",IF(K29&gt;0,"En curso","Pendiente")))</f>
        <v/>
      </c>
      <c r="M29" s="61" t="n"/>
      <c r="N29" s="66">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c r="O29" s="67">
        <f>IF(NOT((COUNTA($B29:$J29)+COUNTA($M29))&gt;0),"",IF(ISNUMBER($D29),DATE(YEAR($D29),MONTH($D29),1),IF(ISNUMBER($E29),DATE(YEAR($E29),MONTH($E29),1),MesCiclo)))</f>
        <v/>
      </c>
      <c r="P29" s="68">
        <f>IF(OR($O29="",$O29&lt;&gt;MesCiclo),"",COUNTIF($O$5:$O29,MesCiclo))</f>
        <v/>
      </c>
    </row>
    <row r="30">
      <c r="A30" s="60">
        <f>IF(NOT((COUNTA($B30:$J30)+COUNTA($M30))&gt;0),"",COUNTIFS($L$5:$L30,"?*",$O$5:$O30,$O30))</f>
        <v/>
      </c>
      <c r="B30" s="61" t="n"/>
      <c r="C30" s="61" t="n"/>
      <c r="D30" s="62" t="n"/>
      <c r="E30" s="62" t="n"/>
      <c r="F30" s="63" t="n"/>
      <c r="G30" s="64" t="n"/>
      <c r="H30" s="64" t="n"/>
      <c r="I30" s="64" t="n"/>
      <c r="J30" s="64" t="n"/>
      <c r="K30" s="65">
        <f>IF(NOT((COUNTA($B30:$J30)+COUNTA($M30))&gt;0),"",IFERROR(LOOKUP(2,1/(G30:J30&lt;&gt;""),G30:J30),0))</f>
        <v/>
      </c>
      <c r="L30" s="60">
        <f>IF(K30="","",IF(K30&gt;=1,"Completado",IF(K30&gt;0,"En curso","Pendiente")))</f>
        <v/>
      </c>
      <c r="M30" s="61" t="n"/>
      <c r="N30" s="66">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c r="O30" s="67">
        <f>IF(NOT((COUNTA($B30:$J30)+COUNTA($M30))&gt;0),"",IF(ISNUMBER($D30),DATE(YEAR($D30),MONTH($D30),1),IF(ISNUMBER($E30),DATE(YEAR($E30),MONTH($E30),1),MesCiclo)))</f>
        <v/>
      </c>
      <c r="P30" s="68">
        <f>IF(OR($O30="",$O30&lt;&gt;MesCiclo),"",COUNTIF($O$5:$O30,MesCiclo))</f>
        <v/>
      </c>
    </row>
    <row r="31">
      <c r="A31" s="60">
        <f>IF(NOT((COUNTA($B31:$J31)+COUNTA($M31))&gt;0),"",COUNTIFS($L$5:$L31,"?*",$O$5:$O31,$O31))</f>
        <v/>
      </c>
      <c r="B31" s="61" t="n"/>
      <c r="C31" s="61" t="n"/>
      <c r="D31" s="62" t="n"/>
      <c r="E31" s="62" t="n"/>
      <c r="F31" s="63" t="n"/>
      <c r="G31" s="64" t="n"/>
      <c r="H31" s="64" t="n"/>
      <c r="I31" s="64" t="n"/>
      <c r="J31" s="64" t="n"/>
      <c r="K31" s="65">
        <f>IF(NOT((COUNTA($B31:$J31)+COUNTA($M31))&gt;0),"",IFERROR(LOOKUP(2,1/(G31:J31&lt;&gt;""),G31:J31),0))</f>
        <v/>
      </c>
      <c r="L31" s="60">
        <f>IF(K31="","",IF(K31&gt;=1,"Completado",IF(K31&gt;0,"En curso","Pendiente")))</f>
        <v/>
      </c>
      <c r="M31" s="61" t="n"/>
      <c r="N31" s="66">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c r="O31" s="67">
        <f>IF(NOT((COUNTA($B31:$J31)+COUNTA($M31))&gt;0),"",IF(ISNUMBER($D31),DATE(YEAR($D31),MONTH($D31),1),IF(ISNUMBER($E31),DATE(YEAR($E31),MONTH($E31),1),MesCiclo)))</f>
        <v/>
      </c>
      <c r="P31" s="68">
        <f>IF(OR($O31="",$O31&lt;&gt;MesCiclo),"",COUNTIF($O$5:$O31,MesCiclo))</f>
        <v/>
      </c>
    </row>
    <row r="32">
      <c r="A32" s="60">
        <f>IF(NOT((COUNTA($B32:$J32)+COUNTA($M32))&gt;0),"",COUNTIFS($L$5:$L32,"?*",$O$5:$O32,$O32))</f>
        <v/>
      </c>
      <c r="B32" s="61" t="n"/>
      <c r="C32" s="61" t="n"/>
      <c r="D32" s="62" t="n"/>
      <c r="E32" s="62" t="n"/>
      <c r="F32" s="63" t="n"/>
      <c r="G32" s="64" t="n"/>
      <c r="H32" s="64" t="n"/>
      <c r="I32" s="64" t="n"/>
      <c r="J32" s="64" t="n"/>
      <c r="K32" s="65">
        <f>IF(NOT((COUNTA($B32:$J32)+COUNTA($M32))&gt;0),"",IFERROR(LOOKUP(2,1/(G32:J32&lt;&gt;""),G32:J32),0))</f>
        <v/>
      </c>
      <c r="L32" s="60">
        <f>IF(K32="","",IF(K32&gt;=1,"Completado",IF(K32&gt;0,"En curso","Pendiente")))</f>
        <v/>
      </c>
      <c r="M32" s="61" t="n"/>
      <c r="N32" s="66">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c r="O32" s="67">
        <f>IF(NOT((COUNTA($B32:$J32)+COUNTA($M32))&gt;0),"",IF(ISNUMBER($D32),DATE(YEAR($D32),MONTH($D32),1),IF(ISNUMBER($E32),DATE(YEAR($E32),MONTH($E32),1),MesCiclo)))</f>
        <v/>
      </c>
      <c r="P32" s="68">
        <f>IF(OR($O32="",$O32&lt;&gt;MesCiclo),"",COUNTIF($O$5:$O32,MesCiclo))</f>
        <v/>
      </c>
    </row>
    <row r="33">
      <c r="A33" s="60">
        <f>IF(NOT((COUNTA($B33:$J33)+COUNTA($M33))&gt;0),"",COUNTIFS($L$5:$L33,"?*",$O$5:$O33,$O33))</f>
        <v/>
      </c>
      <c r="B33" s="61" t="n"/>
      <c r="C33" s="61" t="n"/>
      <c r="D33" s="62" t="n"/>
      <c r="E33" s="62" t="n"/>
      <c r="F33" s="63" t="n"/>
      <c r="G33" s="64" t="n"/>
      <c r="H33" s="64" t="n"/>
      <c r="I33" s="64" t="n"/>
      <c r="J33" s="64" t="n"/>
      <c r="K33" s="65">
        <f>IF(NOT((COUNTA($B33:$J33)+COUNTA($M33))&gt;0),"",IFERROR(LOOKUP(2,1/(G33:J33&lt;&gt;""),G33:J33),0))</f>
        <v/>
      </c>
      <c r="L33" s="60">
        <f>IF(K33="","",IF(K33&gt;=1,"Completado",IF(K33&gt;0,"En curso","Pendiente")))</f>
        <v/>
      </c>
      <c r="M33" s="61" t="n"/>
      <c r="N33" s="66">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c r="O33" s="67">
        <f>IF(NOT((COUNTA($B33:$J33)+COUNTA($M33))&gt;0),"",IF(ISNUMBER($D33),DATE(YEAR($D33),MONTH($D33),1),IF(ISNUMBER($E33),DATE(YEAR($E33),MONTH($E33),1),MesCiclo)))</f>
        <v/>
      </c>
      <c r="P33" s="68">
        <f>IF(OR($O33="",$O33&lt;&gt;MesCiclo),"",COUNTIF($O$5:$O33,MesCiclo))</f>
        <v/>
      </c>
    </row>
    <row r="34">
      <c r="A34" s="60">
        <f>IF(NOT((COUNTA($B34:$J34)+COUNTA($M34))&gt;0),"",COUNTIFS($L$5:$L34,"?*",$O$5:$O34,$O34))</f>
        <v/>
      </c>
      <c r="B34" s="61" t="n"/>
      <c r="C34" s="61" t="n"/>
      <c r="D34" s="62" t="n"/>
      <c r="E34" s="62" t="n"/>
      <c r="F34" s="63" t="n"/>
      <c r="G34" s="64" t="n"/>
      <c r="H34" s="64" t="n"/>
      <c r="I34" s="64" t="n"/>
      <c r="J34" s="64" t="n"/>
      <c r="K34" s="65">
        <f>IF(NOT((COUNTA($B34:$J34)+COUNTA($M34))&gt;0),"",IFERROR(LOOKUP(2,1/(G34:J34&lt;&gt;""),G34:J34),0))</f>
        <v/>
      </c>
      <c r="L34" s="60">
        <f>IF(K34="","",IF(K34&gt;=1,"Completado",IF(K34&gt;0,"En curso","Pendiente")))</f>
        <v/>
      </c>
      <c r="M34" s="61" t="n"/>
      <c r="N34" s="66">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c r="O34" s="67">
        <f>IF(NOT((COUNTA($B34:$J34)+COUNTA($M34))&gt;0),"",IF(ISNUMBER($D34),DATE(YEAR($D34),MONTH($D34),1),IF(ISNUMBER($E34),DATE(YEAR($E34),MONTH($E34),1),MesCiclo)))</f>
        <v/>
      </c>
      <c r="P34" s="68">
        <f>IF(OR($O34="",$O34&lt;&gt;MesCiclo),"",COUNTIF($O$5:$O34,MesCiclo))</f>
        <v/>
      </c>
    </row>
    <row r="35">
      <c r="A35" s="60">
        <f>IF(NOT((COUNTA($B35:$J35)+COUNTA($M35))&gt;0),"",COUNTIFS($L$5:$L35,"?*",$O$5:$O35,$O35))</f>
        <v/>
      </c>
      <c r="B35" s="61" t="n"/>
      <c r="C35" s="61" t="n"/>
      <c r="D35" s="62" t="n"/>
      <c r="E35" s="62" t="n"/>
      <c r="F35" s="63" t="n"/>
      <c r="G35" s="64" t="n"/>
      <c r="H35" s="64" t="n"/>
      <c r="I35" s="64" t="n"/>
      <c r="J35" s="64" t="n"/>
      <c r="K35" s="65">
        <f>IF(NOT((COUNTA($B35:$J35)+COUNTA($M35))&gt;0),"",IFERROR(LOOKUP(2,1/(G35:J35&lt;&gt;""),G35:J35),0))</f>
        <v/>
      </c>
      <c r="L35" s="60">
        <f>IF(K35="","",IF(K35&gt;=1,"Completado",IF(K35&gt;0,"En curso","Pendiente")))</f>
        <v/>
      </c>
      <c r="M35" s="61" t="n"/>
      <c r="N35" s="66">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c r="O35" s="67">
        <f>IF(NOT((COUNTA($B35:$J35)+COUNTA($M35))&gt;0),"",IF(ISNUMBER($D35),DATE(YEAR($D35),MONTH($D35),1),IF(ISNUMBER($E35),DATE(YEAR($E35),MONTH($E35),1),MesCiclo)))</f>
        <v/>
      </c>
      <c r="P35" s="68">
        <f>IF(OR($O35="",$O35&lt;&gt;MesCiclo),"",COUNTIF($O$5:$O35,MesCiclo))</f>
        <v/>
      </c>
    </row>
    <row r="36">
      <c r="A36" s="60">
        <f>IF(NOT((COUNTA($B36:$J36)+COUNTA($M36))&gt;0),"",COUNTIFS($L$5:$L36,"?*",$O$5:$O36,$O36))</f>
        <v/>
      </c>
      <c r="B36" s="61" t="n"/>
      <c r="C36" s="61" t="n"/>
      <c r="D36" s="62" t="n"/>
      <c r="E36" s="62" t="n"/>
      <c r="F36" s="63" t="n"/>
      <c r="G36" s="64" t="n"/>
      <c r="H36" s="64" t="n"/>
      <c r="I36" s="64" t="n"/>
      <c r="J36" s="64" t="n"/>
      <c r="K36" s="65">
        <f>IF(NOT((COUNTA($B36:$J36)+COUNTA($M36))&gt;0),"",IFERROR(LOOKUP(2,1/(G36:J36&lt;&gt;""),G36:J36),0))</f>
        <v/>
      </c>
      <c r="L36" s="60">
        <f>IF(K36="","",IF(K36&gt;=1,"Completado",IF(K36&gt;0,"En curso","Pendiente")))</f>
        <v/>
      </c>
      <c r="M36" s="61" t="n"/>
      <c r="N36" s="66">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c r="O36" s="67">
        <f>IF(NOT((COUNTA($B36:$J36)+COUNTA($M36))&gt;0),"",IF(ISNUMBER($D36),DATE(YEAR($D36),MONTH($D36),1),IF(ISNUMBER($E36),DATE(YEAR($E36),MONTH($E36),1),MesCiclo)))</f>
        <v/>
      </c>
      <c r="P36" s="68">
        <f>IF(OR($O36="",$O36&lt;&gt;MesCiclo),"",COUNTIF($O$5:$O36,MesCiclo))</f>
        <v/>
      </c>
    </row>
    <row r="37">
      <c r="A37" s="60">
        <f>IF(NOT((COUNTA($B37:$J37)+COUNTA($M37))&gt;0),"",COUNTIFS($L$5:$L37,"?*",$O$5:$O37,$O37))</f>
        <v/>
      </c>
      <c r="B37" s="61" t="n"/>
      <c r="C37" s="61" t="n"/>
      <c r="D37" s="62" t="n"/>
      <c r="E37" s="62" t="n"/>
      <c r="F37" s="63" t="n"/>
      <c r="G37" s="64" t="n"/>
      <c r="H37" s="64" t="n"/>
      <c r="I37" s="64" t="n"/>
      <c r="J37" s="64" t="n"/>
      <c r="K37" s="65">
        <f>IF(NOT((COUNTA($B37:$J37)+COUNTA($M37))&gt;0),"",IFERROR(LOOKUP(2,1/(G37:J37&lt;&gt;""),G37:J37),0))</f>
        <v/>
      </c>
      <c r="L37" s="60">
        <f>IF(K37="","",IF(K37&gt;=1,"Completado",IF(K37&gt;0,"En curso","Pendiente")))</f>
        <v/>
      </c>
      <c r="M37" s="61" t="n"/>
      <c r="N37" s="66">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c r="O37" s="67">
        <f>IF(NOT((COUNTA($B37:$J37)+COUNTA($M37))&gt;0),"",IF(ISNUMBER($D37),DATE(YEAR($D37),MONTH($D37),1),IF(ISNUMBER($E37),DATE(YEAR($E37),MONTH($E37),1),MesCiclo)))</f>
        <v/>
      </c>
      <c r="P37" s="68">
        <f>IF(OR($O37="",$O37&lt;&gt;MesCiclo),"",COUNTIF($O$5:$O37,MesCiclo))</f>
        <v/>
      </c>
    </row>
    <row r="38">
      <c r="A38" s="60">
        <f>IF(NOT((COUNTA($B38:$J38)+COUNTA($M38))&gt;0),"",COUNTIFS($L$5:$L38,"?*",$O$5:$O38,$O38))</f>
        <v/>
      </c>
      <c r="B38" s="61" t="n"/>
      <c r="C38" s="61" t="n"/>
      <c r="D38" s="62" t="n"/>
      <c r="E38" s="62" t="n"/>
      <c r="F38" s="63" t="n"/>
      <c r="G38" s="64" t="n"/>
      <c r="H38" s="64" t="n"/>
      <c r="I38" s="64" t="n"/>
      <c r="J38" s="64" t="n"/>
      <c r="K38" s="65">
        <f>IF(NOT((COUNTA($B38:$J38)+COUNTA($M38))&gt;0),"",IFERROR(LOOKUP(2,1/(G38:J38&lt;&gt;""),G38:J38),0))</f>
        <v/>
      </c>
      <c r="L38" s="60">
        <f>IF(K38="","",IF(K38&gt;=1,"Completado",IF(K38&gt;0,"En curso","Pendiente")))</f>
        <v/>
      </c>
      <c r="M38" s="61" t="n"/>
      <c r="N38" s="66">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c r="O38" s="67">
        <f>IF(NOT((COUNTA($B38:$J38)+COUNTA($M38))&gt;0),"",IF(ISNUMBER($D38),DATE(YEAR($D38),MONTH($D38),1),IF(ISNUMBER($E38),DATE(YEAR($E38),MONTH($E38),1),MesCiclo)))</f>
        <v/>
      </c>
      <c r="P38" s="68">
        <f>IF(OR($O38="",$O38&lt;&gt;MesCiclo),"",COUNTIF($O$5:$O38,MesCiclo))</f>
        <v/>
      </c>
    </row>
    <row r="39">
      <c r="A39" s="60">
        <f>IF(NOT((COUNTA($B39:$J39)+COUNTA($M39))&gt;0),"",COUNTIFS($L$5:$L39,"?*",$O$5:$O39,$O39))</f>
        <v/>
      </c>
      <c r="B39" s="61" t="n"/>
      <c r="C39" s="61" t="n"/>
      <c r="D39" s="62" t="n"/>
      <c r="E39" s="62" t="n"/>
      <c r="F39" s="63" t="n"/>
      <c r="G39" s="64" t="n"/>
      <c r="H39" s="64" t="n"/>
      <c r="I39" s="64" t="n"/>
      <c r="J39" s="64" t="n"/>
      <c r="K39" s="65">
        <f>IF(NOT((COUNTA($B39:$J39)+COUNTA($M39))&gt;0),"",IFERROR(LOOKUP(2,1/(G39:J39&lt;&gt;""),G39:J39),0))</f>
        <v/>
      </c>
      <c r="L39" s="60">
        <f>IF(K39="","",IF(K39&gt;=1,"Completado",IF(K39&gt;0,"En curso","Pendiente")))</f>
        <v/>
      </c>
      <c r="M39" s="61" t="n"/>
      <c r="N39" s="66">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c r="O39" s="67">
        <f>IF(NOT((COUNTA($B39:$J39)+COUNTA($M39))&gt;0),"",IF(ISNUMBER($D39),DATE(YEAR($D39),MONTH($D39),1),IF(ISNUMBER($E39),DATE(YEAR($E39),MONTH($E39),1),MesCiclo)))</f>
        <v/>
      </c>
      <c r="P39" s="68">
        <f>IF(OR($O39="",$O39&lt;&gt;MesCiclo),"",COUNTIF($O$5:$O39,MesCiclo))</f>
        <v/>
      </c>
    </row>
    <row r="40">
      <c r="A40" s="60">
        <f>IF(NOT((COUNTA($B40:$J40)+COUNTA($M40))&gt;0),"",COUNTIFS($L$5:$L40,"?*",$O$5:$O40,$O40))</f>
        <v/>
      </c>
      <c r="B40" s="61" t="n"/>
      <c r="C40" s="61" t="n"/>
      <c r="D40" s="62" t="n"/>
      <c r="E40" s="62" t="n"/>
      <c r="F40" s="63" t="n"/>
      <c r="G40" s="64" t="n"/>
      <c r="H40" s="64" t="n"/>
      <c r="I40" s="64" t="n"/>
      <c r="J40" s="64" t="n"/>
      <c r="K40" s="65">
        <f>IF(NOT((COUNTA($B40:$J40)+COUNTA($M40))&gt;0),"",IFERROR(LOOKUP(2,1/(G40:J40&lt;&gt;""),G40:J40),0))</f>
        <v/>
      </c>
      <c r="L40" s="60">
        <f>IF(K40="","",IF(K40&gt;=1,"Completado",IF(K40&gt;0,"En curso","Pendiente")))</f>
        <v/>
      </c>
      <c r="M40" s="61" t="n"/>
      <c r="N40" s="66">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c r="O40" s="67">
        <f>IF(NOT((COUNTA($B40:$J40)+COUNTA($M40))&gt;0),"",IF(ISNUMBER($D40),DATE(YEAR($D40),MONTH($D40),1),IF(ISNUMBER($E40),DATE(YEAR($E40),MONTH($E40),1),MesCiclo)))</f>
        <v/>
      </c>
      <c r="P40" s="68">
        <f>IF(OR($O40="",$O40&lt;&gt;MesCiclo),"",COUNTIF($O$5:$O40,MesCiclo))</f>
        <v/>
      </c>
    </row>
    <row r="41">
      <c r="A41" s="60">
        <f>IF(NOT((COUNTA($B41:$J41)+COUNTA($M41))&gt;0),"",COUNTIFS($L$5:$L41,"?*",$O$5:$O41,$O41))</f>
        <v/>
      </c>
      <c r="B41" s="61" t="n"/>
      <c r="C41" s="61" t="n"/>
      <c r="D41" s="62" t="n"/>
      <c r="E41" s="62" t="n"/>
      <c r="F41" s="63" t="n"/>
      <c r="G41" s="64" t="n"/>
      <c r="H41" s="64" t="n"/>
      <c r="I41" s="64" t="n"/>
      <c r="J41" s="64" t="n"/>
      <c r="K41" s="65">
        <f>IF(NOT((COUNTA($B41:$J41)+COUNTA($M41))&gt;0),"",IFERROR(LOOKUP(2,1/(G41:J41&lt;&gt;""),G41:J41),0))</f>
        <v/>
      </c>
      <c r="L41" s="60">
        <f>IF(K41="","",IF(K41&gt;=1,"Completado",IF(K41&gt;0,"En curso","Pendiente")))</f>
        <v/>
      </c>
      <c r="M41" s="61" t="n"/>
      <c r="N41" s="66">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c r="O41" s="67">
        <f>IF(NOT((COUNTA($B41:$J41)+COUNTA($M41))&gt;0),"",IF(ISNUMBER($D41),DATE(YEAR($D41),MONTH($D41),1),IF(ISNUMBER($E41),DATE(YEAR($E41),MONTH($E41),1),MesCiclo)))</f>
        <v/>
      </c>
      <c r="P41" s="68">
        <f>IF(OR($O41="",$O41&lt;&gt;MesCiclo),"",COUNTIF($O$5:$O41,MesCiclo))</f>
        <v/>
      </c>
    </row>
    <row r="42">
      <c r="A42" s="60">
        <f>IF(NOT((COUNTA($B42:$J42)+COUNTA($M42))&gt;0),"",COUNTIFS($L$5:$L42,"?*",$O$5:$O42,$O42))</f>
        <v/>
      </c>
      <c r="B42" s="61" t="n"/>
      <c r="C42" s="61" t="n"/>
      <c r="D42" s="62" t="n"/>
      <c r="E42" s="62" t="n"/>
      <c r="F42" s="63" t="n"/>
      <c r="G42" s="64" t="n"/>
      <c r="H42" s="64" t="n"/>
      <c r="I42" s="64" t="n"/>
      <c r="J42" s="64" t="n"/>
      <c r="K42" s="65">
        <f>IF(NOT((COUNTA($B42:$J42)+COUNTA($M42))&gt;0),"",IFERROR(LOOKUP(2,1/(G42:J42&lt;&gt;""),G42:J42),0))</f>
        <v/>
      </c>
      <c r="L42" s="60">
        <f>IF(K42="","",IF(K42&gt;=1,"Completado",IF(K42&gt;0,"En curso","Pendiente")))</f>
        <v/>
      </c>
      <c r="M42" s="61" t="n"/>
      <c r="N42" s="66">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c r="O42" s="67">
        <f>IF(NOT((COUNTA($B42:$J42)+COUNTA($M42))&gt;0),"",IF(ISNUMBER($D42),DATE(YEAR($D42),MONTH($D42),1),IF(ISNUMBER($E42),DATE(YEAR($E42),MONTH($E42),1),MesCiclo)))</f>
        <v/>
      </c>
      <c r="P42" s="68">
        <f>IF(OR($O42="",$O42&lt;&gt;MesCiclo),"",COUNTIF($O$5:$O42,MesCiclo))</f>
        <v/>
      </c>
    </row>
    <row r="43">
      <c r="A43" s="60">
        <f>IF(NOT((COUNTA($B43:$J43)+COUNTA($M43))&gt;0),"",COUNTIFS($L$5:$L43,"?*",$O$5:$O43,$O43))</f>
        <v/>
      </c>
      <c r="B43" s="61" t="n"/>
      <c r="C43" s="61" t="n"/>
      <c r="D43" s="62" t="n"/>
      <c r="E43" s="62" t="n"/>
      <c r="F43" s="63" t="n"/>
      <c r="G43" s="64" t="n"/>
      <c r="H43" s="64" t="n"/>
      <c r="I43" s="64" t="n"/>
      <c r="J43" s="64" t="n"/>
      <c r="K43" s="65">
        <f>IF(NOT((COUNTA($B43:$J43)+COUNTA($M43))&gt;0),"",IFERROR(LOOKUP(2,1/(G43:J43&lt;&gt;""),G43:J43),0))</f>
        <v/>
      </c>
      <c r="L43" s="60">
        <f>IF(K43="","",IF(K43&gt;=1,"Completado",IF(K43&gt;0,"En curso","Pendiente")))</f>
        <v/>
      </c>
      <c r="M43" s="61" t="n"/>
      <c r="N43" s="66">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c r="O43" s="67">
        <f>IF(NOT((COUNTA($B43:$J43)+COUNTA($M43))&gt;0),"",IF(ISNUMBER($D43),DATE(YEAR($D43),MONTH($D43),1),IF(ISNUMBER($E43),DATE(YEAR($E43),MONTH($E43),1),MesCiclo)))</f>
        <v/>
      </c>
      <c r="P43" s="68">
        <f>IF(OR($O43="",$O43&lt;&gt;MesCiclo),"",COUNTIF($O$5:$O43,MesCiclo))</f>
        <v/>
      </c>
    </row>
    <row r="44">
      <c r="A44" s="60">
        <f>IF(NOT((COUNTA($B44:$J44)+COUNTA($M44))&gt;0),"",COUNTIFS($L$5:$L44,"?*",$O$5:$O44,$O44))</f>
        <v/>
      </c>
      <c r="B44" s="61" t="n"/>
      <c r="C44" s="61" t="n"/>
      <c r="D44" s="62" t="n"/>
      <c r="E44" s="62" t="n"/>
      <c r="F44" s="63" t="n"/>
      <c r="G44" s="64" t="n"/>
      <c r="H44" s="64" t="n"/>
      <c r="I44" s="64" t="n"/>
      <c r="J44" s="64" t="n"/>
      <c r="K44" s="65">
        <f>IF(NOT((COUNTA($B44:$J44)+COUNTA($M44))&gt;0),"",IFERROR(LOOKUP(2,1/(G44:J44&lt;&gt;""),G44:J44),0))</f>
        <v/>
      </c>
      <c r="L44" s="60">
        <f>IF(K44="","",IF(K44&gt;=1,"Completado",IF(K44&gt;0,"En curso","Pendiente")))</f>
        <v/>
      </c>
      <c r="M44" s="61" t="n"/>
      <c r="N44" s="66">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c r="O44" s="67">
        <f>IF(NOT((COUNTA($B44:$J44)+COUNTA($M44))&gt;0),"",IF(ISNUMBER($D44),DATE(YEAR($D44),MONTH($D44),1),IF(ISNUMBER($E44),DATE(YEAR($E44),MONTH($E44),1),MesCiclo)))</f>
        <v/>
      </c>
      <c r="P44" s="68">
        <f>IF(OR($O44="",$O44&lt;&gt;MesCiclo),"",COUNTIF($O$5:$O44,MesCiclo))</f>
        <v/>
      </c>
    </row>
    <row r="45">
      <c r="A45" s="60">
        <f>IF(NOT((COUNTA($B45:$J45)+COUNTA($M45))&gt;0),"",COUNTIFS($L$5:$L45,"?*",$O$5:$O45,$O45))</f>
        <v/>
      </c>
      <c r="B45" s="61" t="n"/>
      <c r="C45" s="61" t="n"/>
      <c r="D45" s="62" t="n"/>
      <c r="E45" s="62" t="n"/>
      <c r="F45" s="63" t="n"/>
      <c r="G45" s="64" t="n"/>
      <c r="H45" s="64" t="n"/>
      <c r="I45" s="64" t="n"/>
      <c r="J45" s="64" t="n"/>
      <c r="K45" s="65">
        <f>IF(NOT((COUNTA($B45:$J45)+COUNTA($M45))&gt;0),"",IFERROR(LOOKUP(2,1/(G45:J45&lt;&gt;""),G45:J45),0))</f>
        <v/>
      </c>
      <c r="L45" s="60">
        <f>IF(K45="","",IF(K45&gt;=1,"Completado",IF(K45&gt;0,"En curso","Pendiente")))</f>
        <v/>
      </c>
      <c r="M45" s="61" t="n"/>
      <c r="N45" s="66">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c r="O45" s="67">
        <f>IF(NOT((COUNTA($B45:$J45)+COUNTA($M45))&gt;0),"",IF(ISNUMBER($D45),DATE(YEAR($D45),MONTH($D45),1),IF(ISNUMBER($E45),DATE(YEAR($E45),MONTH($E45),1),MesCiclo)))</f>
        <v/>
      </c>
      <c r="P45" s="68">
        <f>IF(OR($O45="",$O45&lt;&gt;MesCiclo),"",COUNTIF($O$5:$O45,MesCiclo))</f>
        <v/>
      </c>
    </row>
    <row r="46">
      <c r="A46" s="60">
        <f>IF(NOT((COUNTA($B46:$J46)+COUNTA($M46))&gt;0),"",COUNTIFS($L$5:$L46,"?*",$O$5:$O46,$O46))</f>
        <v/>
      </c>
      <c r="B46" s="61" t="n"/>
      <c r="C46" s="61" t="n"/>
      <c r="D46" s="62" t="n"/>
      <c r="E46" s="62" t="n"/>
      <c r="F46" s="63" t="n"/>
      <c r="G46" s="64" t="n"/>
      <c r="H46" s="64" t="n"/>
      <c r="I46" s="64" t="n"/>
      <c r="J46" s="64" t="n"/>
      <c r="K46" s="65">
        <f>IF(NOT((COUNTA($B46:$J46)+COUNTA($M46))&gt;0),"",IFERROR(LOOKUP(2,1/(G46:J46&lt;&gt;""),G46:J46),0))</f>
        <v/>
      </c>
      <c r="L46" s="60">
        <f>IF(K46="","",IF(K46&gt;=1,"Completado",IF(K46&gt;0,"En curso","Pendiente")))</f>
        <v/>
      </c>
      <c r="M46" s="61" t="n"/>
      <c r="N46" s="66">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c r="O46" s="67">
        <f>IF(NOT((COUNTA($B46:$J46)+COUNTA($M46))&gt;0),"",IF(ISNUMBER($D46),DATE(YEAR($D46),MONTH($D46),1),IF(ISNUMBER($E46),DATE(YEAR($E46),MONTH($E46),1),MesCiclo)))</f>
        <v/>
      </c>
      <c r="P46" s="68">
        <f>IF(OR($O46="",$O46&lt;&gt;MesCiclo),"",COUNTIF($O$5:$O46,MesCiclo))</f>
        <v/>
      </c>
    </row>
    <row r="47">
      <c r="A47" s="60">
        <f>IF(NOT((COUNTA($B47:$J47)+COUNTA($M47))&gt;0),"",COUNTIFS($L$5:$L47,"?*",$O$5:$O47,$O47))</f>
        <v/>
      </c>
      <c r="B47" s="61" t="n"/>
      <c r="C47" s="61" t="n"/>
      <c r="D47" s="62" t="n"/>
      <c r="E47" s="62" t="n"/>
      <c r="F47" s="63" t="n"/>
      <c r="G47" s="64" t="n"/>
      <c r="H47" s="64" t="n"/>
      <c r="I47" s="64" t="n"/>
      <c r="J47" s="64" t="n"/>
      <c r="K47" s="65">
        <f>IF(NOT((COUNTA($B47:$J47)+COUNTA($M47))&gt;0),"",IFERROR(LOOKUP(2,1/(G47:J47&lt;&gt;""),G47:J47),0))</f>
        <v/>
      </c>
      <c r="L47" s="60">
        <f>IF(K47="","",IF(K47&gt;=1,"Completado",IF(K47&gt;0,"En curso","Pendiente")))</f>
        <v/>
      </c>
      <c r="M47" s="61" t="n"/>
      <c r="N47" s="66">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c r="O47" s="67">
        <f>IF(NOT((COUNTA($B47:$J47)+COUNTA($M47))&gt;0),"",IF(ISNUMBER($D47),DATE(YEAR($D47),MONTH($D47),1),IF(ISNUMBER($E47),DATE(YEAR($E47),MONTH($E47),1),MesCiclo)))</f>
        <v/>
      </c>
      <c r="P47" s="68">
        <f>IF(OR($O47="",$O47&lt;&gt;MesCiclo),"",COUNTIF($O$5:$O47,MesCiclo))</f>
        <v/>
      </c>
    </row>
    <row r="48">
      <c r="A48" s="60">
        <f>IF(NOT((COUNTA($B48:$J48)+COUNTA($M48))&gt;0),"",COUNTIFS($L$5:$L48,"?*",$O$5:$O48,$O48))</f>
        <v/>
      </c>
      <c r="B48" s="61" t="n"/>
      <c r="C48" s="61" t="n"/>
      <c r="D48" s="62" t="n"/>
      <c r="E48" s="62" t="n"/>
      <c r="F48" s="63" t="n"/>
      <c r="G48" s="64" t="n"/>
      <c r="H48" s="64" t="n"/>
      <c r="I48" s="64" t="n"/>
      <c r="J48" s="64" t="n"/>
      <c r="K48" s="65">
        <f>IF(NOT((COUNTA($B48:$J48)+COUNTA($M48))&gt;0),"",IFERROR(LOOKUP(2,1/(G48:J48&lt;&gt;""),G48:J48),0))</f>
        <v/>
      </c>
      <c r="L48" s="60">
        <f>IF(K48="","",IF(K48&gt;=1,"Completado",IF(K48&gt;0,"En curso","Pendiente")))</f>
        <v/>
      </c>
      <c r="M48" s="61" t="n"/>
      <c r="N48" s="66">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c r="O48" s="67">
        <f>IF(NOT((COUNTA($B48:$J48)+COUNTA($M48))&gt;0),"",IF(ISNUMBER($D48),DATE(YEAR($D48),MONTH($D48),1),IF(ISNUMBER($E48),DATE(YEAR($E48),MONTH($E48),1),MesCiclo)))</f>
        <v/>
      </c>
      <c r="P48" s="68">
        <f>IF(OR($O48="",$O48&lt;&gt;MesCiclo),"",COUNTIF($O$5:$O48,MesCiclo))</f>
        <v/>
      </c>
    </row>
    <row r="49">
      <c r="A49" s="60">
        <f>IF(NOT((COUNTA($B49:$J49)+COUNTA($M49))&gt;0),"",COUNTIFS($L$5:$L49,"?*",$O$5:$O49,$O49))</f>
        <v/>
      </c>
      <c r="B49" s="61" t="n"/>
      <c r="C49" s="61" t="n"/>
      <c r="D49" s="62" t="n"/>
      <c r="E49" s="62" t="n"/>
      <c r="F49" s="63" t="n"/>
      <c r="G49" s="64" t="n"/>
      <c r="H49" s="64" t="n"/>
      <c r="I49" s="64" t="n"/>
      <c r="J49" s="64" t="n"/>
      <c r="K49" s="65">
        <f>IF(NOT((COUNTA($B49:$J49)+COUNTA($M49))&gt;0),"",IFERROR(LOOKUP(2,1/(G49:J49&lt;&gt;""),G49:J49),0))</f>
        <v/>
      </c>
      <c r="L49" s="60">
        <f>IF(K49="","",IF(K49&gt;=1,"Completado",IF(K49&gt;0,"En curso","Pendiente")))</f>
        <v/>
      </c>
      <c r="M49" s="61" t="n"/>
      <c r="N49" s="66">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c r="O49" s="67">
        <f>IF(NOT((COUNTA($B49:$J49)+COUNTA($M49))&gt;0),"",IF(ISNUMBER($D49),DATE(YEAR($D49),MONTH($D49),1),IF(ISNUMBER($E49),DATE(YEAR($E49),MONTH($E49),1),MesCiclo)))</f>
        <v/>
      </c>
      <c r="P49" s="68">
        <f>IF(OR($O49="",$O49&lt;&gt;MesCiclo),"",COUNTIF($O$5:$O49,MesCiclo))</f>
        <v/>
      </c>
    </row>
    <row r="50">
      <c r="A50" s="60">
        <f>IF(NOT((COUNTA($B50:$J50)+COUNTA($M50))&gt;0),"",COUNTIFS($L$5:$L50,"?*",$O$5:$O50,$O50))</f>
        <v/>
      </c>
      <c r="B50" s="61" t="n"/>
      <c r="C50" s="61" t="n"/>
      <c r="D50" s="62" t="n"/>
      <c r="E50" s="62" t="n"/>
      <c r="F50" s="63" t="n"/>
      <c r="G50" s="64" t="n"/>
      <c r="H50" s="64" t="n"/>
      <c r="I50" s="64" t="n"/>
      <c r="J50" s="64" t="n"/>
      <c r="K50" s="65">
        <f>IF(NOT((COUNTA($B50:$J50)+COUNTA($M50))&gt;0),"",IFERROR(LOOKUP(2,1/(G50:J50&lt;&gt;""),G50:J50),0))</f>
        <v/>
      </c>
      <c r="L50" s="60">
        <f>IF(K50="","",IF(K50&gt;=1,"Completado",IF(K50&gt;0,"En curso","Pendiente")))</f>
        <v/>
      </c>
      <c r="M50" s="61" t="n"/>
      <c r="N50" s="66">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c r="O50" s="67">
        <f>IF(NOT((COUNTA($B50:$J50)+COUNTA($M50))&gt;0),"",IF(ISNUMBER($D50),DATE(YEAR($D50),MONTH($D50),1),IF(ISNUMBER($E50),DATE(YEAR($E50),MONTH($E50),1),MesCiclo)))</f>
        <v/>
      </c>
      <c r="P50" s="68">
        <f>IF(OR($O50="",$O50&lt;&gt;MesCiclo),"",COUNTIF($O$5:$O50,MesCiclo))</f>
        <v/>
      </c>
    </row>
    <row r="51">
      <c r="A51" s="60">
        <f>IF(NOT((COUNTA($B51:$J51)+COUNTA($M51))&gt;0),"",COUNTIFS($L$5:$L51,"?*",$O$5:$O51,$O51))</f>
        <v/>
      </c>
      <c r="B51" s="61" t="n"/>
      <c r="C51" s="61" t="n"/>
      <c r="D51" s="62" t="n"/>
      <c r="E51" s="62" t="n"/>
      <c r="F51" s="63" t="n"/>
      <c r="G51" s="64" t="n"/>
      <c r="H51" s="64" t="n"/>
      <c r="I51" s="64" t="n"/>
      <c r="J51" s="64" t="n"/>
      <c r="K51" s="65">
        <f>IF(NOT((COUNTA($B51:$J51)+COUNTA($M51))&gt;0),"",IFERROR(LOOKUP(2,1/(G51:J51&lt;&gt;""),G51:J51),0))</f>
        <v/>
      </c>
      <c r="L51" s="60">
        <f>IF(K51="","",IF(K51&gt;=1,"Completado",IF(K51&gt;0,"En curso","Pendiente")))</f>
        <v/>
      </c>
      <c r="M51" s="61" t="n"/>
      <c r="N51" s="66">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c r="O51" s="67">
        <f>IF(NOT((COUNTA($B51:$J51)+COUNTA($M51))&gt;0),"",IF(ISNUMBER($D51),DATE(YEAR($D51),MONTH($D51),1),IF(ISNUMBER($E51),DATE(YEAR($E51),MONTH($E51),1),MesCiclo)))</f>
        <v/>
      </c>
      <c r="P51" s="68">
        <f>IF(OR($O51="",$O51&lt;&gt;MesCiclo),"",COUNTIF($O$5:$O51,MesCiclo))</f>
        <v/>
      </c>
    </row>
    <row r="52">
      <c r="A52" s="60">
        <f>IF(NOT((COUNTA($B52:$J52)+COUNTA($M52))&gt;0),"",COUNTIFS($L$5:$L52,"?*",$O$5:$O52,$O52))</f>
        <v/>
      </c>
      <c r="B52" s="61" t="n"/>
      <c r="C52" s="61" t="n"/>
      <c r="D52" s="62" t="n"/>
      <c r="E52" s="62" t="n"/>
      <c r="F52" s="63" t="n"/>
      <c r="G52" s="64" t="n"/>
      <c r="H52" s="64" t="n"/>
      <c r="I52" s="64" t="n"/>
      <c r="J52" s="64" t="n"/>
      <c r="K52" s="65">
        <f>IF(NOT((COUNTA($B52:$J52)+COUNTA($M52))&gt;0),"",IFERROR(LOOKUP(2,1/(G52:J52&lt;&gt;""),G52:J52),0))</f>
        <v/>
      </c>
      <c r="L52" s="60">
        <f>IF(K52="","",IF(K52&gt;=1,"Completado",IF(K52&gt;0,"En curso","Pendiente")))</f>
        <v/>
      </c>
      <c r="M52" s="61" t="n"/>
      <c r="N52" s="66">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c r="O52" s="67">
        <f>IF(NOT((COUNTA($B52:$J52)+COUNTA($M52))&gt;0),"",IF(ISNUMBER($D52),DATE(YEAR($D52),MONTH($D52),1),IF(ISNUMBER($E52),DATE(YEAR($E52),MONTH($E52),1),MesCiclo)))</f>
        <v/>
      </c>
      <c r="P52" s="68">
        <f>IF(OR($O52="",$O52&lt;&gt;MesCiclo),"",COUNTIF($O$5:$O52,MesCiclo))</f>
        <v/>
      </c>
    </row>
    <row r="53">
      <c r="A53" s="60">
        <f>IF(NOT((COUNTA($B53:$J53)+COUNTA($M53))&gt;0),"",COUNTIFS($L$5:$L53,"?*",$O$5:$O53,$O53))</f>
        <v/>
      </c>
      <c r="B53" s="61" t="n"/>
      <c r="C53" s="61" t="n"/>
      <c r="D53" s="62" t="n"/>
      <c r="E53" s="62" t="n"/>
      <c r="F53" s="63" t="n"/>
      <c r="G53" s="64" t="n"/>
      <c r="H53" s="64" t="n"/>
      <c r="I53" s="64" t="n"/>
      <c r="J53" s="64" t="n"/>
      <c r="K53" s="65">
        <f>IF(NOT((COUNTA($B53:$J53)+COUNTA($M53))&gt;0),"",IFERROR(LOOKUP(2,1/(G53:J53&lt;&gt;""),G53:J53),0))</f>
        <v/>
      </c>
      <c r="L53" s="60">
        <f>IF(K53="","",IF(K53&gt;=1,"Completado",IF(K53&gt;0,"En curso","Pendiente")))</f>
        <v/>
      </c>
      <c r="M53" s="61" t="n"/>
      <c r="N53" s="66">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c r="O53" s="67">
        <f>IF(NOT((COUNTA($B53:$J53)+COUNTA($M53))&gt;0),"",IF(ISNUMBER($D53),DATE(YEAR($D53),MONTH($D53),1),IF(ISNUMBER($E53),DATE(YEAR($E53),MONTH($E53),1),MesCiclo)))</f>
        <v/>
      </c>
      <c r="P53" s="68">
        <f>IF(OR($O53="",$O53&lt;&gt;MesCiclo),"",COUNTIF($O$5:$O53,MesCiclo))</f>
        <v/>
      </c>
    </row>
    <row r="54">
      <c r="A54" s="60">
        <f>IF(NOT((COUNTA($B54:$J54)+COUNTA($M54))&gt;0),"",COUNTIFS($L$5:$L54,"?*",$O$5:$O54,$O54))</f>
        <v/>
      </c>
      <c r="B54" s="61" t="n"/>
      <c r="C54" s="61" t="n"/>
      <c r="D54" s="62" t="n"/>
      <c r="E54" s="62" t="n"/>
      <c r="F54" s="63" t="n"/>
      <c r="G54" s="64" t="n"/>
      <c r="H54" s="64" t="n"/>
      <c r="I54" s="64" t="n"/>
      <c r="J54" s="64" t="n"/>
      <c r="K54" s="65">
        <f>IF(NOT((COUNTA($B54:$J54)+COUNTA($M54))&gt;0),"",IFERROR(LOOKUP(2,1/(G54:J54&lt;&gt;""),G54:J54),0))</f>
        <v/>
      </c>
      <c r="L54" s="60">
        <f>IF(K54="","",IF(K54&gt;=1,"Completado",IF(K54&gt;0,"En curso","Pendiente")))</f>
        <v/>
      </c>
      <c r="M54" s="61" t="n"/>
      <c r="N54" s="66">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c r="O54" s="67">
        <f>IF(NOT((COUNTA($B54:$J54)+COUNTA($M54))&gt;0),"",IF(ISNUMBER($D54),DATE(YEAR($D54),MONTH($D54),1),IF(ISNUMBER($E54),DATE(YEAR($E54),MONTH($E54),1),MesCiclo)))</f>
        <v/>
      </c>
      <c r="P54" s="68">
        <f>IF(OR($O54="",$O54&lt;&gt;MesCiclo),"",COUNTIF($O$5:$O54,MesCiclo))</f>
        <v/>
      </c>
    </row>
    <row r="55">
      <c r="A55" s="60">
        <f>IF(NOT((COUNTA($B55:$J55)+COUNTA($M55))&gt;0),"",COUNTIFS($L$5:$L55,"?*",$O$5:$O55,$O55))</f>
        <v/>
      </c>
      <c r="B55" s="61" t="n"/>
      <c r="C55" s="61" t="n"/>
      <c r="D55" s="62" t="n"/>
      <c r="E55" s="62" t="n"/>
      <c r="F55" s="63" t="n"/>
      <c r="G55" s="64" t="n"/>
      <c r="H55" s="64" t="n"/>
      <c r="I55" s="64" t="n"/>
      <c r="J55" s="64" t="n"/>
      <c r="K55" s="65">
        <f>IF(NOT((COUNTA($B55:$J55)+COUNTA($M55))&gt;0),"",IFERROR(LOOKUP(2,1/(G55:J55&lt;&gt;""),G55:J55),0))</f>
        <v/>
      </c>
      <c r="L55" s="60">
        <f>IF(K55="","",IF(K55&gt;=1,"Completado",IF(K55&gt;0,"En curso","Pendiente")))</f>
        <v/>
      </c>
      <c r="M55" s="61" t="n"/>
      <c r="N55" s="66">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c r="O55" s="67">
        <f>IF(NOT((COUNTA($B55:$J55)+COUNTA($M55))&gt;0),"",IF(ISNUMBER($D55),DATE(YEAR($D55),MONTH($D55),1),IF(ISNUMBER($E55),DATE(YEAR($E55),MONTH($E55),1),MesCiclo)))</f>
        <v/>
      </c>
      <c r="P55" s="68">
        <f>IF(OR($O55="",$O55&lt;&gt;MesCiclo),"",COUNTIF($O$5:$O55,MesCiclo))</f>
        <v/>
      </c>
    </row>
    <row r="56">
      <c r="A56" s="60">
        <f>IF(NOT((COUNTA($B56:$J56)+COUNTA($M56))&gt;0),"",COUNTIFS($L$5:$L56,"?*",$O$5:$O56,$O56))</f>
        <v/>
      </c>
      <c r="B56" s="61" t="n"/>
      <c r="C56" s="61" t="n"/>
      <c r="D56" s="62" t="n"/>
      <c r="E56" s="62" t="n"/>
      <c r="F56" s="63" t="n"/>
      <c r="G56" s="64" t="n"/>
      <c r="H56" s="64" t="n"/>
      <c r="I56" s="64" t="n"/>
      <c r="J56" s="64" t="n"/>
      <c r="K56" s="65">
        <f>IF(NOT((COUNTA($B56:$J56)+COUNTA($M56))&gt;0),"",IFERROR(LOOKUP(2,1/(G56:J56&lt;&gt;""),G56:J56),0))</f>
        <v/>
      </c>
      <c r="L56" s="60">
        <f>IF(K56="","",IF(K56&gt;=1,"Completado",IF(K56&gt;0,"En curso","Pendiente")))</f>
        <v/>
      </c>
      <c r="M56" s="61" t="n"/>
      <c r="N56" s="66">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c r="O56" s="67">
        <f>IF(NOT((COUNTA($B56:$J56)+COUNTA($M56))&gt;0),"",IF(ISNUMBER($D56),DATE(YEAR($D56),MONTH($D56),1),IF(ISNUMBER($E56),DATE(YEAR($E56),MONTH($E56),1),MesCiclo)))</f>
        <v/>
      </c>
      <c r="P56" s="68">
        <f>IF(OR($O56="",$O56&lt;&gt;MesCiclo),"",COUNTIF($O$5:$O56,MesCiclo))</f>
        <v/>
      </c>
    </row>
    <row r="57">
      <c r="A57" s="60">
        <f>IF(NOT((COUNTA($B57:$J57)+COUNTA($M57))&gt;0),"",COUNTIFS($L$5:$L57,"?*",$O$5:$O57,$O57))</f>
        <v/>
      </c>
      <c r="B57" s="61" t="n"/>
      <c r="C57" s="61" t="n"/>
      <c r="D57" s="62" t="n"/>
      <c r="E57" s="62" t="n"/>
      <c r="F57" s="63" t="n"/>
      <c r="G57" s="64" t="n"/>
      <c r="H57" s="64" t="n"/>
      <c r="I57" s="64" t="n"/>
      <c r="J57" s="64" t="n"/>
      <c r="K57" s="65">
        <f>IF(NOT((COUNTA($B57:$J57)+COUNTA($M57))&gt;0),"",IFERROR(LOOKUP(2,1/(G57:J57&lt;&gt;""),G57:J57),0))</f>
        <v/>
      </c>
      <c r="L57" s="60">
        <f>IF(K57="","",IF(K57&gt;=1,"Completado",IF(K57&gt;0,"En curso","Pendiente")))</f>
        <v/>
      </c>
      <c r="M57" s="61" t="n"/>
      <c r="N57" s="66">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c r="O57" s="67">
        <f>IF(NOT((COUNTA($B57:$J57)+COUNTA($M57))&gt;0),"",IF(ISNUMBER($D57),DATE(YEAR($D57),MONTH($D57),1),IF(ISNUMBER($E57),DATE(YEAR($E57),MONTH($E57),1),MesCiclo)))</f>
        <v/>
      </c>
      <c r="P57" s="68">
        <f>IF(OR($O57="",$O57&lt;&gt;MesCiclo),"",COUNTIF($O$5:$O57,MesCiclo))</f>
        <v/>
      </c>
    </row>
    <row r="58">
      <c r="A58" s="60">
        <f>IF(NOT((COUNTA($B58:$J58)+COUNTA($M58))&gt;0),"",COUNTIFS($L$5:$L58,"?*",$O$5:$O58,$O58))</f>
        <v/>
      </c>
      <c r="B58" s="61" t="n"/>
      <c r="C58" s="61" t="n"/>
      <c r="D58" s="62" t="n"/>
      <c r="E58" s="62" t="n"/>
      <c r="F58" s="63" t="n"/>
      <c r="G58" s="64" t="n"/>
      <c r="H58" s="64" t="n"/>
      <c r="I58" s="64" t="n"/>
      <c r="J58" s="64" t="n"/>
      <c r="K58" s="65">
        <f>IF(NOT((COUNTA($B58:$J58)+COUNTA($M58))&gt;0),"",IFERROR(LOOKUP(2,1/(G58:J58&lt;&gt;""),G58:J58),0))</f>
        <v/>
      </c>
      <c r="L58" s="60">
        <f>IF(K58="","",IF(K58&gt;=1,"Completado",IF(K58&gt;0,"En curso","Pendiente")))</f>
        <v/>
      </c>
      <c r="M58" s="61" t="n"/>
      <c r="N58" s="66">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c r="O58" s="67">
        <f>IF(NOT((COUNTA($B58:$J58)+COUNTA($M58))&gt;0),"",IF(ISNUMBER($D58),DATE(YEAR($D58),MONTH($D58),1),IF(ISNUMBER($E58),DATE(YEAR($E58),MONTH($E58),1),MesCiclo)))</f>
        <v/>
      </c>
      <c r="P58" s="68">
        <f>IF(OR($O58="",$O58&lt;&gt;MesCiclo),"",COUNTIF($O$5:$O58,MesCiclo))</f>
        <v/>
      </c>
    </row>
    <row r="59">
      <c r="A59" s="60">
        <f>IF(NOT((COUNTA($B59:$J59)+COUNTA($M59))&gt;0),"",COUNTIFS($L$5:$L59,"?*",$O$5:$O59,$O59))</f>
        <v/>
      </c>
      <c r="B59" s="61" t="n"/>
      <c r="C59" s="61" t="n"/>
      <c r="D59" s="62" t="n"/>
      <c r="E59" s="62" t="n"/>
      <c r="F59" s="63" t="n"/>
      <c r="G59" s="64" t="n"/>
      <c r="H59" s="64" t="n"/>
      <c r="I59" s="64" t="n"/>
      <c r="J59" s="64" t="n"/>
      <c r="K59" s="65">
        <f>IF(NOT((COUNTA($B59:$J59)+COUNTA($M59))&gt;0),"",IFERROR(LOOKUP(2,1/(G59:J59&lt;&gt;""),G59:J59),0))</f>
        <v/>
      </c>
      <c r="L59" s="60">
        <f>IF(K59="","",IF(K59&gt;=1,"Completado",IF(K59&gt;0,"En curso","Pendiente")))</f>
        <v/>
      </c>
      <c r="M59" s="61" t="n"/>
      <c r="N59" s="66">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c r="O59" s="67">
        <f>IF(NOT((COUNTA($B59:$J59)+COUNTA($M59))&gt;0),"",IF(ISNUMBER($D59),DATE(YEAR($D59),MONTH($D59),1),IF(ISNUMBER($E59),DATE(YEAR($E59),MONTH($E59),1),MesCiclo)))</f>
        <v/>
      </c>
      <c r="P59" s="68">
        <f>IF(OR($O59="",$O59&lt;&gt;MesCiclo),"",COUNTIF($O$5:$O59,MesCiclo))</f>
        <v/>
      </c>
    </row>
    <row r="60">
      <c r="A60" s="60">
        <f>IF(NOT((COUNTA($B60:$J60)+COUNTA($M60))&gt;0),"",COUNTIFS($L$5:$L60,"?*",$O$5:$O60,$O60))</f>
        <v/>
      </c>
      <c r="B60" s="61" t="n"/>
      <c r="C60" s="61" t="n"/>
      <c r="D60" s="62" t="n"/>
      <c r="E60" s="62" t="n"/>
      <c r="F60" s="63" t="n"/>
      <c r="G60" s="64" t="n"/>
      <c r="H60" s="64" t="n"/>
      <c r="I60" s="64" t="n"/>
      <c r="J60" s="64" t="n"/>
      <c r="K60" s="65">
        <f>IF(NOT((COUNTA($B60:$J60)+COUNTA($M60))&gt;0),"",IFERROR(LOOKUP(2,1/(G60:J60&lt;&gt;""),G60:J60),0))</f>
        <v/>
      </c>
      <c r="L60" s="60">
        <f>IF(K60="","",IF(K60&gt;=1,"Completado",IF(K60&gt;0,"En curso","Pendiente")))</f>
        <v/>
      </c>
      <c r="M60" s="61" t="n"/>
      <c r="N60" s="66">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c r="O60" s="67">
        <f>IF(NOT((COUNTA($B60:$J60)+COUNTA($M60))&gt;0),"",IF(ISNUMBER($D60),DATE(YEAR($D60),MONTH($D60),1),IF(ISNUMBER($E60),DATE(YEAR($E60),MONTH($E60),1),MesCiclo)))</f>
        <v/>
      </c>
      <c r="P60" s="68">
        <f>IF(OR($O60="",$O60&lt;&gt;MesCiclo),"",COUNTIF($O$5:$O60,MesCiclo))</f>
        <v/>
      </c>
    </row>
    <row r="61">
      <c r="A61" s="60">
        <f>IF(NOT((COUNTA($B61:$J61)+COUNTA($M61))&gt;0),"",COUNTIFS($L$5:$L61,"?*",$O$5:$O61,$O61))</f>
        <v/>
      </c>
      <c r="B61" s="61" t="n"/>
      <c r="C61" s="61" t="n"/>
      <c r="D61" s="62" t="n"/>
      <c r="E61" s="62" t="n"/>
      <c r="F61" s="63" t="n"/>
      <c r="G61" s="64" t="n"/>
      <c r="H61" s="64" t="n"/>
      <c r="I61" s="64" t="n"/>
      <c r="J61" s="64" t="n"/>
      <c r="K61" s="65">
        <f>IF(NOT((COUNTA($B61:$J61)+COUNTA($M61))&gt;0),"",IFERROR(LOOKUP(2,1/(G61:J61&lt;&gt;""),G61:J61),0))</f>
        <v/>
      </c>
      <c r="L61" s="60">
        <f>IF(K61="","",IF(K61&gt;=1,"Completado",IF(K61&gt;0,"En curso","Pendiente")))</f>
        <v/>
      </c>
      <c r="M61" s="61" t="n"/>
      <c r="N61" s="66">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c r="O61" s="67">
        <f>IF(NOT((COUNTA($B61:$J61)+COUNTA($M61))&gt;0),"",IF(ISNUMBER($D61),DATE(YEAR($D61),MONTH($D61),1),IF(ISNUMBER($E61),DATE(YEAR($E61),MONTH($E61),1),MesCiclo)))</f>
        <v/>
      </c>
      <c r="P61" s="68">
        <f>IF(OR($O61="",$O61&lt;&gt;MesCiclo),"",COUNTIF($O$5:$O61,MesCiclo))</f>
        <v/>
      </c>
    </row>
    <row r="62">
      <c r="A62" s="60">
        <f>IF(NOT((COUNTA($B62:$J62)+COUNTA($M62))&gt;0),"",COUNTIFS($L$5:$L62,"?*",$O$5:$O62,$O62))</f>
        <v/>
      </c>
      <c r="B62" s="61" t="n"/>
      <c r="C62" s="61" t="n"/>
      <c r="D62" s="62" t="n"/>
      <c r="E62" s="62" t="n"/>
      <c r="F62" s="63" t="n"/>
      <c r="G62" s="64" t="n"/>
      <c r="H62" s="64" t="n"/>
      <c r="I62" s="64" t="n"/>
      <c r="J62" s="64" t="n"/>
      <c r="K62" s="65">
        <f>IF(NOT((COUNTA($B62:$J62)+COUNTA($M62))&gt;0),"",IFERROR(LOOKUP(2,1/(G62:J62&lt;&gt;""),G62:J62),0))</f>
        <v/>
      </c>
      <c r="L62" s="60">
        <f>IF(K62="","",IF(K62&gt;=1,"Completado",IF(K62&gt;0,"En curso","Pendiente")))</f>
        <v/>
      </c>
      <c r="M62" s="61" t="n"/>
      <c r="N62" s="66">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c r="O62" s="67">
        <f>IF(NOT((COUNTA($B62:$J62)+COUNTA($M62))&gt;0),"",IF(ISNUMBER($D62),DATE(YEAR($D62),MONTH($D62),1),IF(ISNUMBER($E62),DATE(YEAR($E62),MONTH($E62),1),MesCiclo)))</f>
        <v/>
      </c>
      <c r="P62" s="68">
        <f>IF(OR($O62="",$O62&lt;&gt;MesCiclo),"",COUNTIF($O$5:$O62,MesCiclo))</f>
        <v/>
      </c>
    </row>
    <row r="63">
      <c r="A63" s="60">
        <f>IF(NOT((COUNTA($B63:$J63)+COUNTA($M63))&gt;0),"",COUNTIFS($L$5:$L63,"?*",$O$5:$O63,$O63))</f>
        <v/>
      </c>
      <c r="B63" s="61" t="n"/>
      <c r="C63" s="61" t="n"/>
      <c r="D63" s="62" t="n"/>
      <c r="E63" s="62" t="n"/>
      <c r="F63" s="63" t="n"/>
      <c r="G63" s="64" t="n"/>
      <c r="H63" s="64" t="n"/>
      <c r="I63" s="64" t="n"/>
      <c r="J63" s="64" t="n"/>
      <c r="K63" s="65">
        <f>IF(NOT((COUNTA($B63:$J63)+COUNTA($M63))&gt;0),"",IFERROR(LOOKUP(2,1/(G63:J63&lt;&gt;""),G63:J63),0))</f>
        <v/>
      </c>
      <c r="L63" s="60">
        <f>IF(K63="","",IF(K63&gt;=1,"Completado",IF(K63&gt;0,"En curso","Pendiente")))</f>
        <v/>
      </c>
      <c r="M63" s="61" t="n"/>
      <c r="N63" s="66">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c r="O63" s="67">
        <f>IF(NOT((COUNTA($B63:$J63)+COUNTA($M63))&gt;0),"",IF(ISNUMBER($D63),DATE(YEAR($D63),MONTH($D63),1),IF(ISNUMBER($E63),DATE(YEAR($E63),MONTH($E63),1),MesCiclo)))</f>
        <v/>
      </c>
      <c r="P63" s="68">
        <f>IF(OR($O63="",$O63&lt;&gt;MesCiclo),"",COUNTIF($O$5:$O63,MesCiclo))</f>
        <v/>
      </c>
    </row>
    <row r="64">
      <c r="A64" s="60">
        <f>IF(NOT((COUNTA($B64:$J64)+COUNTA($M64))&gt;0),"",COUNTIFS($L$5:$L64,"?*",$O$5:$O64,$O64))</f>
        <v/>
      </c>
      <c r="B64" s="61" t="n"/>
      <c r="C64" s="61" t="n"/>
      <c r="D64" s="62" t="n"/>
      <c r="E64" s="62" t="n"/>
      <c r="F64" s="63" t="n"/>
      <c r="G64" s="64" t="n"/>
      <c r="H64" s="64" t="n"/>
      <c r="I64" s="64" t="n"/>
      <c r="J64" s="64" t="n"/>
      <c r="K64" s="65">
        <f>IF(NOT((COUNTA($B64:$J64)+COUNTA($M64))&gt;0),"",IFERROR(LOOKUP(2,1/(G64:J64&lt;&gt;""),G64:J64),0))</f>
        <v/>
      </c>
      <c r="L64" s="60">
        <f>IF(K64="","",IF(K64&gt;=1,"Completado",IF(K64&gt;0,"En curso","Pendiente")))</f>
        <v/>
      </c>
      <c r="M64" s="61" t="n"/>
      <c r="N64" s="66">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c r="O64" s="67">
        <f>IF(NOT((COUNTA($B64:$J64)+COUNTA($M64))&gt;0),"",IF(ISNUMBER($D64),DATE(YEAR($D64),MONTH($D64),1),IF(ISNUMBER($E64),DATE(YEAR($E64),MONTH($E64),1),MesCiclo)))</f>
        <v/>
      </c>
      <c r="P64" s="68">
        <f>IF(OR($O64="",$O64&lt;&gt;MesCiclo),"",COUNTIF($O$5:$O64,MesCiclo))</f>
        <v/>
      </c>
    </row>
    <row r="65">
      <c r="A65" s="60">
        <f>IF(NOT((COUNTA($B65:$J65)+COUNTA($M65))&gt;0),"",COUNTIFS($L$5:$L65,"?*",$O$5:$O65,$O65))</f>
        <v/>
      </c>
      <c r="B65" s="61" t="n"/>
      <c r="C65" s="61" t="n"/>
      <c r="D65" s="62" t="n"/>
      <c r="E65" s="62" t="n"/>
      <c r="F65" s="63" t="n"/>
      <c r="G65" s="64" t="n"/>
      <c r="H65" s="64" t="n"/>
      <c r="I65" s="64" t="n"/>
      <c r="J65" s="64" t="n"/>
      <c r="K65" s="65">
        <f>IF(NOT((COUNTA($B65:$J65)+COUNTA($M65))&gt;0),"",IFERROR(LOOKUP(2,1/(G65:J65&lt;&gt;""),G65:J65),0))</f>
        <v/>
      </c>
      <c r="L65" s="60">
        <f>IF(K65="","",IF(K65&gt;=1,"Completado",IF(K65&gt;0,"En curso","Pendiente")))</f>
        <v/>
      </c>
      <c r="M65" s="61" t="n"/>
      <c r="N65" s="66">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c r="O65" s="67">
        <f>IF(NOT((COUNTA($B65:$J65)+COUNTA($M65))&gt;0),"",IF(ISNUMBER($D65),DATE(YEAR($D65),MONTH($D65),1),IF(ISNUMBER($E65),DATE(YEAR($E65),MONTH($E65),1),MesCiclo)))</f>
        <v/>
      </c>
      <c r="P65" s="68">
        <f>IF(OR($O65="",$O65&lt;&gt;MesCiclo),"",COUNTIF($O$5:$O65,MesCiclo))</f>
        <v/>
      </c>
    </row>
    <row r="66">
      <c r="A66" s="60">
        <f>IF(NOT((COUNTA($B66:$J66)+COUNTA($M66))&gt;0),"",COUNTIFS($L$5:$L66,"?*",$O$5:$O66,$O66))</f>
        <v/>
      </c>
      <c r="B66" s="61" t="n"/>
      <c r="C66" s="61" t="n"/>
      <c r="D66" s="62" t="n"/>
      <c r="E66" s="62" t="n"/>
      <c r="F66" s="63" t="n"/>
      <c r="G66" s="64" t="n"/>
      <c r="H66" s="64" t="n"/>
      <c r="I66" s="64" t="n"/>
      <c r="J66" s="64" t="n"/>
      <c r="K66" s="65">
        <f>IF(NOT((COUNTA($B66:$J66)+COUNTA($M66))&gt;0),"",IFERROR(LOOKUP(2,1/(G66:J66&lt;&gt;""),G66:J66),0))</f>
        <v/>
      </c>
      <c r="L66" s="60">
        <f>IF(K66="","",IF(K66&gt;=1,"Completado",IF(K66&gt;0,"En curso","Pendiente")))</f>
        <v/>
      </c>
      <c r="M66" s="61" t="n"/>
      <c r="N66" s="66">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c r="O66" s="67">
        <f>IF(NOT((COUNTA($B66:$J66)+COUNTA($M66))&gt;0),"",IF(ISNUMBER($D66),DATE(YEAR($D66),MONTH($D66),1),IF(ISNUMBER($E66),DATE(YEAR($E66),MONTH($E66),1),MesCiclo)))</f>
        <v/>
      </c>
      <c r="P66" s="68">
        <f>IF(OR($O66="",$O66&lt;&gt;MesCiclo),"",COUNTIF($O$5:$O66,MesCiclo))</f>
        <v/>
      </c>
    </row>
    <row r="67">
      <c r="A67" s="60">
        <f>IF(NOT((COUNTA($B67:$J67)+COUNTA($M67))&gt;0),"",COUNTIFS($L$5:$L67,"?*",$O$5:$O67,$O67))</f>
        <v/>
      </c>
      <c r="B67" s="61" t="n"/>
      <c r="C67" s="61" t="n"/>
      <c r="D67" s="62" t="n"/>
      <c r="E67" s="62" t="n"/>
      <c r="F67" s="63" t="n"/>
      <c r="G67" s="64" t="n"/>
      <c r="H67" s="64" t="n"/>
      <c r="I67" s="64" t="n"/>
      <c r="J67" s="64" t="n"/>
      <c r="K67" s="65">
        <f>IF(NOT((COUNTA($B67:$J67)+COUNTA($M67))&gt;0),"",IFERROR(LOOKUP(2,1/(G67:J67&lt;&gt;""),G67:J67),0))</f>
        <v/>
      </c>
      <c r="L67" s="60">
        <f>IF(K67="","",IF(K67&gt;=1,"Completado",IF(K67&gt;0,"En curso","Pendiente")))</f>
        <v/>
      </c>
      <c r="M67" s="61" t="n"/>
      <c r="N67" s="66">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c r="O67" s="67">
        <f>IF(NOT((COUNTA($B67:$J67)+COUNTA($M67))&gt;0),"",IF(ISNUMBER($D67),DATE(YEAR($D67),MONTH($D67),1),IF(ISNUMBER($E67),DATE(YEAR($E67),MONTH($E67),1),MesCiclo)))</f>
        <v/>
      </c>
      <c r="P67" s="68">
        <f>IF(OR($O67="",$O67&lt;&gt;MesCiclo),"",COUNTIF($O$5:$O67,MesCiclo))</f>
        <v/>
      </c>
    </row>
    <row r="68">
      <c r="A68" s="60">
        <f>IF(NOT((COUNTA($B68:$J68)+COUNTA($M68))&gt;0),"",COUNTIFS($L$5:$L68,"?*",$O$5:$O68,$O68))</f>
        <v/>
      </c>
      <c r="B68" s="61" t="n"/>
      <c r="C68" s="61" t="n"/>
      <c r="D68" s="62" t="n"/>
      <c r="E68" s="62" t="n"/>
      <c r="F68" s="63" t="n"/>
      <c r="G68" s="64" t="n"/>
      <c r="H68" s="64" t="n"/>
      <c r="I68" s="64" t="n"/>
      <c r="J68" s="64" t="n"/>
      <c r="K68" s="65">
        <f>IF(NOT((COUNTA($B68:$J68)+COUNTA($M68))&gt;0),"",IFERROR(LOOKUP(2,1/(G68:J68&lt;&gt;""),G68:J68),0))</f>
        <v/>
      </c>
      <c r="L68" s="60">
        <f>IF(K68="","",IF(K68&gt;=1,"Completado",IF(K68&gt;0,"En curso","Pendiente")))</f>
        <v/>
      </c>
      <c r="M68" s="61" t="n"/>
      <c r="N68" s="66">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c r="O68" s="67">
        <f>IF(NOT((COUNTA($B68:$J68)+COUNTA($M68))&gt;0),"",IF(ISNUMBER($D68),DATE(YEAR($D68),MONTH($D68),1),IF(ISNUMBER($E68),DATE(YEAR($E68),MONTH($E68),1),MesCiclo)))</f>
        <v/>
      </c>
      <c r="P68" s="68">
        <f>IF(OR($O68="",$O68&lt;&gt;MesCiclo),"",COUNTIF($O$5:$O68,MesCiclo))</f>
        <v/>
      </c>
    </row>
    <row r="69">
      <c r="A69" s="60">
        <f>IF(NOT((COUNTA($B69:$J69)+COUNTA($M69))&gt;0),"",COUNTIFS($L$5:$L69,"?*",$O$5:$O69,$O69))</f>
        <v/>
      </c>
      <c r="B69" s="61" t="n"/>
      <c r="C69" s="61" t="n"/>
      <c r="D69" s="62" t="n"/>
      <c r="E69" s="62" t="n"/>
      <c r="F69" s="63" t="n"/>
      <c r="G69" s="64" t="n"/>
      <c r="H69" s="64" t="n"/>
      <c r="I69" s="64" t="n"/>
      <c r="J69" s="64" t="n"/>
      <c r="K69" s="65">
        <f>IF(NOT((COUNTA($B69:$J69)+COUNTA($M69))&gt;0),"",IFERROR(LOOKUP(2,1/(G69:J69&lt;&gt;""),G69:J69),0))</f>
        <v/>
      </c>
      <c r="L69" s="60">
        <f>IF(K69="","",IF(K69&gt;=1,"Completado",IF(K69&gt;0,"En curso","Pendiente")))</f>
        <v/>
      </c>
      <c r="M69" s="61" t="n"/>
      <c r="N69" s="66">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c r="O69" s="67">
        <f>IF(NOT((COUNTA($B69:$J69)+COUNTA($M69))&gt;0),"",IF(ISNUMBER($D69),DATE(YEAR($D69),MONTH($D69),1),IF(ISNUMBER($E69),DATE(YEAR($E69),MONTH($E69),1),MesCiclo)))</f>
        <v/>
      </c>
      <c r="P69" s="68">
        <f>IF(OR($O69="",$O69&lt;&gt;MesCiclo),"",COUNTIF($O$5:$O69,MesCiclo))</f>
        <v/>
      </c>
    </row>
    <row r="70">
      <c r="A70" s="60">
        <f>IF(NOT((COUNTA($B70:$J70)+COUNTA($M70))&gt;0),"",COUNTIFS($L$5:$L70,"?*",$O$5:$O70,$O70))</f>
        <v/>
      </c>
      <c r="B70" s="61" t="n"/>
      <c r="C70" s="61" t="n"/>
      <c r="D70" s="62" t="n"/>
      <c r="E70" s="62" t="n"/>
      <c r="F70" s="63" t="n"/>
      <c r="G70" s="64" t="n"/>
      <c r="H70" s="64" t="n"/>
      <c r="I70" s="64" t="n"/>
      <c r="J70" s="64" t="n"/>
      <c r="K70" s="65">
        <f>IF(NOT((COUNTA($B70:$J70)+COUNTA($M70))&gt;0),"",IFERROR(LOOKUP(2,1/(G70:J70&lt;&gt;""),G70:J70),0))</f>
        <v/>
      </c>
      <c r="L70" s="60">
        <f>IF(K70="","",IF(K70&gt;=1,"Completado",IF(K70&gt;0,"En curso","Pendiente")))</f>
        <v/>
      </c>
      <c r="M70" s="61" t="n"/>
      <c r="N70" s="66">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c r="O70" s="67">
        <f>IF(NOT((COUNTA($B70:$J70)+COUNTA($M70))&gt;0),"",IF(ISNUMBER($D70),DATE(YEAR($D70),MONTH($D70),1),IF(ISNUMBER($E70),DATE(YEAR($E70),MONTH($E70),1),MesCiclo)))</f>
        <v/>
      </c>
      <c r="P70" s="68">
        <f>IF(OR($O70="",$O70&lt;&gt;MesCiclo),"",COUNTIF($O$5:$O70,MesCiclo))</f>
        <v/>
      </c>
    </row>
    <row r="71">
      <c r="A71" s="60">
        <f>IF(NOT((COUNTA($B71:$J71)+COUNTA($M71))&gt;0),"",COUNTIFS($L$5:$L71,"?*",$O$5:$O71,$O71))</f>
        <v/>
      </c>
      <c r="B71" s="61" t="n"/>
      <c r="C71" s="61" t="n"/>
      <c r="D71" s="62" t="n"/>
      <c r="E71" s="62" t="n"/>
      <c r="F71" s="63" t="n"/>
      <c r="G71" s="64" t="n"/>
      <c r="H71" s="64" t="n"/>
      <c r="I71" s="64" t="n"/>
      <c r="J71" s="64" t="n"/>
      <c r="K71" s="65">
        <f>IF(NOT((COUNTA($B71:$J71)+COUNTA($M71))&gt;0),"",IFERROR(LOOKUP(2,1/(G71:J71&lt;&gt;""),G71:J71),0))</f>
        <v/>
      </c>
      <c r="L71" s="60">
        <f>IF(K71="","",IF(K71&gt;=1,"Completado",IF(K71&gt;0,"En curso","Pendiente")))</f>
        <v/>
      </c>
      <c r="M71" s="61" t="n"/>
      <c r="N71" s="66">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c r="O71" s="67">
        <f>IF(NOT((COUNTA($B71:$J71)+COUNTA($M71))&gt;0),"",IF(ISNUMBER($D71),DATE(YEAR($D71),MONTH($D71),1),IF(ISNUMBER($E71),DATE(YEAR($E71),MONTH($E71),1),MesCiclo)))</f>
        <v/>
      </c>
      <c r="P71" s="68">
        <f>IF(OR($O71="",$O71&lt;&gt;MesCiclo),"",COUNTIF($O$5:$O71,MesCiclo))</f>
        <v/>
      </c>
    </row>
    <row r="72">
      <c r="A72" s="60">
        <f>IF(NOT((COUNTA($B72:$J72)+COUNTA($M72))&gt;0),"",COUNTIFS($L$5:$L72,"?*",$O$5:$O72,$O72))</f>
        <v/>
      </c>
      <c r="B72" s="61" t="n"/>
      <c r="C72" s="61" t="n"/>
      <c r="D72" s="62" t="n"/>
      <c r="E72" s="62" t="n"/>
      <c r="F72" s="63" t="n"/>
      <c r="G72" s="64" t="n"/>
      <c r="H72" s="64" t="n"/>
      <c r="I72" s="64" t="n"/>
      <c r="J72" s="64" t="n"/>
      <c r="K72" s="65">
        <f>IF(NOT((COUNTA($B72:$J72)+COUNTA($M72))&gt;0),"",IFERROR(LOOKUP(2,1/(G72:J72&lt;&gt;""),G72:J72),0))</f>
        <v/>
      </c>
      <c r="L72" s="60">
        <f>IF(K72="","",IF(K72&gt;=1,"Completado",IF(K72&gt;0,"En curso","Pendiente")))</f>
        <v/>
      </c>
      <c r="M72" s="61" t="n"/>
      <c r="N72" s="66">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c r="O72" s="67">
        <f>IF(NOT((COUNTA($B72:$J72)+COUNTA($M72))&gt;0),"",IF(ISNUMBER($D72),DATE(YEAR($D72),MONTH($D72),1),IF(ISNUMBER($E72),DATE(YEAR($E72),MONTH($E72),1),MesCiclo)))</f>
        <v/>
      </c>
      <c r="P72" s="68">
        <f>IF(OR($O72="",$O72&lt;&gt;MesCiclo),"",COUNTIF($O$5:$O72,MesCiclo))</f>
        <v/>
      </c>
    </row>
    <row r="73">
      <c r="A73" s="60">
        <f>IF(NOT((COUNTA($B73:$J73)+COUNTA($M73))&gt;0),"",COUNTIFS($L$5:$L73,"?*",$O$5:$O73,$O73))</f>
        <v/>
      </c>
      <c r="B73" s="61" t="n"/>
      <c r="C73" s="61" t="n"/>
      <c r="D73" s="62" t="n"/>
      <c r="E73" s="62" t="n"/>
      <c r="F73" s="63" t="n"/>
      <c r="G73" s="64" t="n"/>
      <c r="H73" s="64" t="n"/>
      <c r="I73" s="64" t="n"/>
      <c r="J73" s="64" t="n"/>
      <c r="K73" s="65">
        <f>IF(NOT((COUNTA($B73:$J73)+COUNTA($M73))&gt;0),"",IFERROR(LOOKUP(2,1/(G73:J73&lt;&gt;""),G73:J73),0))</f>
        <v/>
      </c>
      <c r="L73" s="60">
        <f>IF(K73="","",IF(K73&gt;=1,"Completado",IF(K73&gt;0,"En curso","Pendiente")))</f>
        <v/>
      </c>
      <c r="M73" s="61" t="n"/>
      <c r="N73" s="66">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c r="O73" s="67">
        <f>IF(NOT((COUNTA($B73:$J73)+COUNTA($M73))&gt;0),"",IF(ISNUMBER($D73),DATE(YEAR($D73),MONTH($D73),1),IF(ISNUMBER($E73),DATE(YEAR($E73),MONTH($E73),1),MesCiclo)))</f>
        <v/>
      </c>
      <c r="P73" s="68">
        <f>IF(OR($O73="",$O73&lt;&gt;MesCiclo),"",COUNTIF($O$5:$O73,MesCiclo))</f>
        <v/>
      </c>
    </row>
    <row r="74">
      <c r="A74" s="60">
        <f>IF(NOT((COUNTA($B74:$J74)+COUNTA($M74))&gt;0),"",COUNTIFS($L$5:$L74,"?*",$O$5:$O74,$O74))</f>
        <v/>
      </c>
      <c r="B74" s="61" t="n"/>
      <c r="C74" s="61" t="n"/>
      <c r="D74" s="62" t="n"/>
      <c r="E74" s="62" t="n"/>
      <c r="F74" s="63" t="n"/>
      <c r="G74" s="64" t="n"/>
      <c r="H74" s="64" t="n"/>
      <c r="I74" s="64" t="n"/>
      <c r="J74" s="64" t="n"/>
      <c r="K74" s="65">
        <f>IF(NOT((COUNTA($B74:$J74)+COUNTA($M74))&gt;0),"",IFERROR(LOOKUP(2,1/(G74:J74&lt;&gt;""),G74:J74),0))</f>
        <v/>
      </c>
      <c r="L74" s="60">
        <f>IF(K74="","",IF(K74&gt;=1,"Completado",IF(K74&gt;0,"En curso","Pendiente")))</f>
        <v/>
      </c>
      <c r="M74" s="61" t="n"/>
      <c r="N74" s="66">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c r="O74" s="67">
        <f>IF(NOT((COUNTA($B74:$J74)+COUNTA($M74))&gt;0),"",IF(ISNUMBER($D74),DATE(YEAR($D74),MONTH($D74),1),IF(ISNUMBER($E74),DATE(YEAR($E74),MONTH($E74),1),MesCiclo)))</f>
        <v/>
      </c>
      <c r="P74" s="68">
        <f>IF(OR($O74="",$O74&lt;&gt;MesCiclo),"",COUNTIF($O$5:$O74,MesCiclo))</f>
        <v/>
      </c>
    </row>
    <row r="75">
      <c r="A75" s="60">
        <f>IF(NOT((COUNTA($B75:$J75)+COUNTA($M75))&gt;0),"",COUNTIFS($L$5:$L75,"?*",$O$5:$O75,$O75))</f>
        <v/>
      </c>
      <c r="B75" s="61" t="n"/>
      <c r="C75" s="61" t="n"/>
      <c r="D75" s="62" t="n"/>
      <c r="E75" s="62" t="n"/>
      <c r="F75" s="63" t="n"/>
      <c r="G75" s="64" t="n"/>
      <c r="H75" s="64" t="n"/>
      <c r="I75" s="64" t="n"/>
      <c r="J75" s="64" t="n"/>
      <c r="K75" s="65">
        <f>IF(NOT((COUNTA($B75:$J75)+COUNTA($M75))&gt;0),"",IFERROR(LOOKUP(2,1/(G75:J75&lt;&gt;""),G75:J75),0))</f>
        <v/>
      </c>
      <c r="L75" s="60">
        <f>IF(K75="","",IF(K75&gt;=1,"Completado",IF(K75&gt;0,"En curso","Pendiente")))</f>
        <v/>
      </c>
      <c r="M75" s="61" t="n"/>
      <c r="N75" s="66">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c r="O75" s="67">
        <f>IF(NOT((COUNTA($B75:$J75)+COUNTA($M75))&gt;0),"",IF(ISNUMBER($D75),DATE(YEAR($D75),MONTH($D75),1),IF(ISNUMBER($E75),DATE(YEAR($E75),MONTH($E75),1),MesCiclo)))</f>
        <v/>
      </c>
      <c r="P75" s="68">
        <f>IF(OR($O75="",$O75&lt;&gt;MesCiclo),"",COUNTIF($O$5:$O75,MesCiclo))</f>
        <v/>
      </c>
    </row>
    <row r="76">
      <c r="A76" s="60">
        <f>IF(NOT((COUNTA($B76:$J76)+COUNTA($M76))&gt;0),"",COUNTIFS($L$5:$L76,"?*",$O$5:$O76,$O76))</f>
        <v/>
      </c>
      <c r="B76" s="61" t="n"/>
      <c r="C76" s="61" t="n"/>
      <c r="D76" s="62" t="n"/>
      <c r="E76" s="62" t="n"/>
      <c r="F76" s="63" t="n"/>
      <c r="G76" s="64" t="n"/>
      <c r="H76" s="64" t="n"/>
      <c r="I76" s="64" t="n"/>
      <c r="J76" s="64" t="n"/>
      <c r="K76" s="65">
        <f>IF(NOT((COUNTA($B76:$J76)+COUNTA($M76))&gt;0),"",IFERROR(LOOKUP(2,1/(G76:J76&lt;&gt;""),G76:J76),0))</f>
        <v/>
      </c>
      <c r="L76" s="60">
        <f>IF(K76="","",IF(K76&gt;=1,"Completado",IF(K76&gt;0,"En curso","Pendiente")))</f>
        <v/>
      </c>
      <c r="M76" s="61" t="n"/>
      <c r="N76" s="66">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c r="O76" s="67">
        <f>IF(NOT((COUNTA($B76:$J76)+COUNTA($M76))&gt;0),"",IF(ISNUMBER($D76),DATE(YEAR($D76),MONTH($D76),1),IF(ISNUMBER($E76),DATE(YEAR($E76),MONTH($E76),1),MesCiclo)))</f>
        <v/>
      </c>
      <c r="P76" s="68">
        <f>IF(OR($O76="",$O76&lt;&gt;MesCiclo),"",COUNTIF($O$5:$O76,MesCiclo))</f>
        <v/>
      </c>
    </row>
    <row r="77">
      <c r="A77" s="60">
        <f>IF(NOT((COUNTA($B77:$J77)+COUNTA($M77))&gt;0),"",COUNTIFS($L$5:$L77,"?*",$O$5:$O77,$O77))</f>
        <v/>
      </c>
      <c r="B77" s="61" t="n"/>
      <c r="C77" s="61" t="n"/>
      <c r="D77" s="62" t="n"/>
      <c r="E77" s="62" t="n"/>
      <c r="F77" s="63" t="n"/>
      <c r="G77" s="64" t="n"/>
      <c r="H77" s="64" t="n"/>
      <c r="I77" s="64" t="n"/>
      <c r="J77" s="64" t="n"/>
      <c r="K77" s="65">
        <f>IF(NOT((COUNTA($B77:$J77)+COUNTA($M77))&gt;0),"",IFERROR(LOOKUP(2,1/(G77:J77&lt;&gt;""),G77:J77),0))</f>
        <v/>
      </c>
      <c r="L77" s="60">
        <f>IF(K77="","",IF(K77&gt;=1,"Completado",IF(K77&gt;0,"En curso","Pendiente")))</f>
        <v/>
      </c>
      <c r="M77" s="61" t="n"/>
      <c r="N77" s="66">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c r="O77" s="67">
        <f>IF(NOT((COUNTA($B77:$J77)+COUNTA($M77))&gt;0),"",IF(ISNUMBER($D77),DATE(YEAR($D77),MONTH($D77),1),IF(ISNUMBER($E77),DATE(YEAR($E77),MONTH($E77),1),MesCiclo)))</f>
        <v/>
      </c>
      <c r="P77" s="68">
        <f>IF(OR($O77="",$O77&lt;&gt;MesCiclo),"",COUNTIF($O$5:$O77,MesCiclo))</f>
        <v/>
      </c>
    </row>
    <row r="78">
      <c r="A78" s="60">
        <f>IF(NOT((COUNTA($B78:$J78)+COUNTA($M78))&gt;0),"",COUNTIFS($L$5:$L78,"?*",$O$5:$O78,$O78))</f>
        <v/>
      </c>
      <c r="B78" s="61" t="n"/>
      <c r="C78" s="61" t="n"/>
      <c r="D78" s="62" t="n"/>
      <c r="E78" s="62" t="n"/>
      <c r="F78" s="63" t="n"/>
      <c r="G78" s="64" t="n"/>
      <c r="H78" s="64" t="n"/>
      <c r="I78" s="64" t="n"/>
      <c r="J78" s="64" t="n"/>
      <c r="K78" s="65">
        <f>IF(NOT((COUNTA($B78:$J78)+COUNTA($M78))&gt;0),"",IFERROR(LOOKUP(2,1/(G78:J78&lt;&gt;""),G78:J78),0))</f>
        <v/>
      </c>
      <c r="L78" s="60">
        <f>IF(K78="","",IF(K78&gt;=1,"Completado",IF(K78&gt;0,"En curso","Pendiente")))</f>
        <v/>
      </c>
      <c r="M78" s="61" t="n"/>
      <c r="N78" s="66">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c r="O78" s="67">
        <f>IF(NOT((COUNTA($B78:$J78)+COUNTA($M78))&gt;0),"",IF(ISNUMBER($D78),DATE(YEAR($D78),MONTH($D78),1),IF(ISNUMBER($E78),DATE(YEAR($E78),MONTH($E78),1),MesCiclo)))</f>
        <v/>
      </c>
      <c r="P78" s="68">
        <f>IF(OR($O78="",$O78&lt;&gt;MesCiclo),"",COUNTIF($O$5:$O78,MesCiclo))</f>
        <v/>
      </c>
    </row>
    <row r="79">
      <c r="A79" s="60">
        <f>IF(NOT((COUNTA($B79:$J79)+COUNTA($M79))&gt;0),"",COUNTIFS($L$5:$L79,"?*",$O$5:$O79,$O79))</f>
        <v/>
      </c>
      <c r="B79" s="61" t="n"/>
      <c r="C79" s="61" t="n"/>
      <c r="D79" s="62" t="n"/>
      <c r="E79" s="62" t="n"/>
      <c r="F79" s="63" t="n"/>
      <c r="G79" s="64" t="n"/>
      <c r="H79" s="64" t="n"/>
      <c r="I79" s="64" t="n"/>
      <c r="J79" s="64" t="n"/>
      <c r="K79" s="65">
        <f>IF(NOT((COUNTA($B79:$J79)+COUNTA($M79))&gt;0),"",IFERROR(LOOKUP(2,1/(G79:J79&lt;&gt;""),G79:J79),0))</f>
        <v/>
      </c>
      <c r="L79" s="60">
        <f>IF(K79="","",IF(K79&gt;=1,"Completado",IF(K79&gt;0,"En curso","Pendiente")))</f>
        <v/>
      </c>
      <c r="M79" s="61" t="n"/>
      <c r="N79" s="66">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c r="O79" s="67">
        <f>IF(NOT((COUNTA($B79:$J79)+COUNTA($M79))&gt;0),"",IF(ISNUMBER($D79),DATE(YEAR($D79),MONTH($D79),1),IF(ISNUMBER($E79),DATE(YEAR($E79),MONTH($E79),1),MesCiclo)))</f>
        <v/>
      </c>
      <c r="P79" s="68">
        <f>IF(OR($O79="",$O79&lt;&gt;MesCiclo),"",COUNTIF($O$5:$O79,MesCiclo))</f>
        <v/>
      </c>
    </row>
    <row r="80">
      <c r="A80" s="60">
        <f>IF(NOT((COUNTA($B80:$J80)+COUNTA($M80))&gt;0),"",COUNTIFS($L$5:$L80,"?*",$O$5:$O80,$O80))</f>
        <v/>
      </c>
      <c r="B80" s="61" t="n"/>
      <c r="C80" s="61" t="n"/>
      <c r="D80" s="62" t="n"/>
      <c r="E80" s="62" t="n"/>
      <c r="F80" s="63" t="n"/>
      <c r="G80" s="64" t="n"/>
      <c r="H80" s="64" t="n"/>
      <c r="I80" s="64" t="n"/>
      <c r="J80" s="64" t="n"/>
      <c r="K80" s="65">
        <f>IF(NOT((COUNTA($B80:$J80)+COUNTA($M80))&gt;0),"",IFERROR(LOOKUP(2,1/(G80:J80&lt;&gt;""),G80:J80),0))</f>
        <v/>
      </c>
      <c r="L80" s="60">
        <f>IF(K80="","",IF(K80&gt;=1,"Completado",IF(K80&gt;0,"En curso","Pendiente")))</f>
        <v/>
      </c>
      <c r="M80" s="61" t="n"/>
      <c r="N80" s="66">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c r="O80" s="67">
        <f>IF(NOT((COUNTA($B80:$J80)+COUNTA($M80))&gt;0),"",IF(ISNUMBER($D80),DATE(YEAR($D80),MONTH($D80),1),IF(ISNUMBER($E80),DATE(YEAR($E80),MONTH($E80),1),MesCiclo)))</f>
        <v/>
      </c>
      <c r="P80" s="68">
        <f>IF(OR($O80="",$O80&lt;&gt;MesCiclo),"",COUNTIF($O$5:$O80,MesCiclo))</f>
        <v/>
      </c>
    </row>
    <row r="81">
      <c r="A81" s="60">
        <f>IF(NOT((COUNTA($B81:$J81)+COUNTA($M81))&gt;0),"",COUNTIFS($L$5:$L81,"?*",$O$5:$O81,$O81))</f>
        <v/>
      </c>
      <c r="B81" s="61" t="n"/>
      <c r="C81" s="61" t="n"/>
      <c r="D81" s="62" t="n"/>
      <c r="E81" s="62" t="n"/>
      <c r="F81" s="63" t="n"/>
      <c r="G81" s="64" t="n"/>
      <c r="H81" s="64" t="n"/>
      <c r="I81" s="64" t="n"/>
      <c r="J81" s="64" t="n"/>
      <c r="K81" s="65">
        <f>IF(NOT((COUNTA($B81:$J81)+COUNTA($M81))&gt;0),"",IFERROR(LOOKUP(2,1/(G81:J81&lt;&gt;""),G81:J81),0))</f>
        <v/>
      </c>
      <c r="L81" s="60">
        <f>IF(K81="","",IF(K81&gt;=1,"Completado",IF(K81&gt;0,"En curso","Pendiente")))</f>
        <v/>
      </c>
      <c r="M81" s="61" t="n"/>
      <c r="N81" s="66">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c r="O81" s="67">
        <f>IF(NOT((COUNTA($B81:$J81)+COUNTA($M81))&gt;0),"",IF(ISNUMBER($D81),DATE(YEAR($D81),MONTH($D81),1),IF(ISNUMBER($E81),DATE(YEAR($E81),MONTH($E81),1),MesCiclo)))</f>
        <v/>
      </c>
      <c r="P81" s="68">
        <f>IF(OR($O81="",$O81&lt;&gt;MesCiclo),"",COUNTIF($O$5:$O81,MesCiclo))</f>
        <v/>
      </c>
    </row>
    <row r="82">
      <c r="A82" s="60">
        <f>IF(NOT((COUNTA($B82:$J82)+COUNTA($M82))&gt;0),"",COUNTIFS($L$5:$L82,"?*",$O$5:$O82,$O82))</f>
        <v/>
      </c>
      <c r="B82" s="61" t="n"/>
      <c r="C82" s="61" t="n"/>
      <c r="D82" s="62" t="n"/>
      <c r="E82" s="62" t="n"/>
      <c r="F82" s="63" t="n"/>
      <c r="G82" s="64" t="n"/>
      <c r="H82" s="64" t="n"/>
      <c r="I82" s="64" t="n"/>
      <c r="J82" s="64" t="n"/>
      <c r="K82" s="65">
        <f>IF(NOT((COUNTA($B82:$J82)+COUNTA($M82))&gt;0),"",IFERROR(LOOKUP(2,1/(G82:J82&lt;&gt;""),G82:J82),0))</f>
        <v/>
      </c>
      <c r="L82" s="60">
        <f>IF(K82="","",IF(K82&gt;=1,"Completado",IF(K82&gt;0,"En curso","Pendiente")))</f>
        <v/>
      </c>
      <c r="M82" s="61" t="n"/>
      <c r="N82" s="66">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c r="O82" s="67">
        <f>IF(NOT((COUNTA($B82:$J82)+COUNTA($M82))&gt;0),"",IF(ISNUMBER($D82),DATE(YEAR($D82),MONTH($D82),1),IF(ISNUMBER($E82),DATE(YEAR($E82),MONTH($E82),1),MesCiclo)))</f>
        <v/>
      </c>
      <c r="P82" s="68">
        <f>IF(OR($O82="",$O82&lt;&gt;MesCiclo),"",COUNTIF($O$5:$O82,MesCiclo))</f>
        <v/>
      </c>
    </row>
    <row r="83">
      <c r="A83" s="60">
        <f>IF(NOT((COUNTA($B83:$J83)+COUNTA($M83))&gt;0),"",COUNTIFS($L$5:$L83,"?*",$O$5:$O83,$O83))</f>
        <v/>
      </c>
      <c r="B83" s="61" t="n"/>
      <c r="C83" s="61" t="n"/>
      <c r="D83" s="62" t="n"/>
      <c r="E83" s="62" t="n"/>
      <c r="F83" s="63" t="n"/>
      <c r="G83" s="64" t="n"/>
      <c r="H83" s="64" t="n"/>
      <c r="I83" s="64" t="n"/>
      <c r="J83" s="64" t="n"/>
      <c r="K83" s="65">
        <f>IF(NOT((COUNTA($B83:$J83)+COUNTA($M83))&gt;0),"",IFERROR(LOOKUP(2,1/(G83:J83&lt;&gt;""),G83:J83),0))</f>
        <v/>
      </c>
      <c r="L83" s="60">
        <f>IF(K83="","",IF(K83&gt;=1,"Completado",IF(K83&gt;0,"En curso","Pendiente")))</f>
        <v/>
      </c>
      <c r="M83" s="61" t="n"/>
      <c r="N83" s="66">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c r="O83" s="67">
        <f>IF(NOT((COUNTA($B83:$J83)+COUNTA($M83))&gt;0),"",IF(ISNUMBER($D83),DATE(YEAR($D83),MONTH($D83),1),IF(ISNUMBER($E83),DATE(YEAR($E83),MONTH($E83),1),MesCiclo)))</f>
        <v/>
      </c>
      <c r="P83" s="68">
        <f>IF(OR($O83="",$O83&lt;&gt;MesCiclo),"",COUNTIF($O$5:$O83,MesCiclo))</f>
        <v/>
      </c>
    </row>
    <row r="84">
      <c r="A84" s="60">
        <f>IF(NOT((COUNTA($B84:$J84)+COUNTA($M84))&gt;0),"",COUNTIFS($L$5:$L84,"?*",$O$5:$O84,$O84))</f>
        <v/>
      </c>
      <c r="B84" s="61" t="n"/>
      <c r="C84" s="61" t="n"/>
      <c r="D84" s="62" t="n"/>
      <c r="E84" s="62" t="n"/>
      <c r="F84" s="63" t="n"/>
      <c r="G84" s="64" t="n"/>
      <c r="H84" s="64" t="n"/>
      <c r="I84" s="64" t="n"/>
      <c r="J84" s="64" t="n"/>
      <c r="K84" s="65">
        <f>IF(NOT((COUNTA($B84:$J84)+COUNTA($M84))&gt;0),"",IFERROR(LOOKUP(2,1/(G84:J84&lt;&gt;""),G84:J84),0))</f>
        <v/>
      </c>
      <c r="L84" s="60">
        <f>IF(K84="","",IF(K84&gt;=1,"Completado",IF(K84&gt;0,"En curso","Pendiente")))</f>
        <v/>
      </c>
      <c r="M84" s="61" t="n"/>
      <c r="N84" s="66">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c r="O84" s="67">
        <f>IF(NOT((COUNTA($B84:$J84)+COUNTA($M84))&gt;0),"",IF(ISNUMBER($D84),DATE(YEAR($D84),MONTH($D84),1),IF(ISNUMBER($E84),DATE(YEAR($E84),MONTH($E84),1),MesCiclo)))</f>
        <v/>
      </c>
      <c r="P84" s="68">
        <f>IF(OR($O84="",$O84&lt;&gt;MesCiclo),"",COUNTIF($O$5:$O84,MesCiclo))</f>
        <v/>
      </c>
    </row>
    <row r="85">
      <c r="A85" s="60">
        <f>IF(NOT((COUNTA($B85:$J85)+COUNTA($M85))&gt;0),"",COUNTIFS($L$5:$L85,"?*",$O$5:$O85,$O85))</f>
        <v/>
      </c>
      <c r="B85" s="61" t="n"/>
      <c r="C85" s="61" t="n"/>
      <c r="D85" s="62" t="n"/>
      <c r="E85" s="62" t="n"/>
      <c r="F85" s="63" t="n"/>
      <c r="G85" s="64" t="n"/>
      <c r="H85" s="64" t="n"/>
      <c r="I85" s="64" t="n"/>
      <c r="J85" s="64" t="n"/>
      <c r="K85" s="65">
        <f>IF(NOT((COUNTA($B85:$J85)+COUNTA($M85))&gt;0),"",IFERROR(LOOKUP(2,1/(G85:J85&lt;&gt;""),G85:J85),0))</f>
        <v/>
      </c>
      <c r="L85" s="60">
        <f>IF(K85="","",IF(K85&gt;=1,"Completado",IF(K85&gt;0,"En curso","Pendiente")))</f>
        <v/>
      </c>
      <c r="M85" s="61" t="n"/>
      <c r="N85" s="66">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c r="O85" s="67">
        <f>IF(NOT((COUNTA($B85:$J85)+COUNTA($M85))&gt;0),"",IF(ISNUMBER($D85),DATE(YEAR($D85),MONTH($D85),1),IF(ISNUMBER($E85),DATE(YEAR($E85),MONTH($E85),1),MesCiclo)))</f>
        <v/>
      </c>
      <c r="P85" s="68">
        <f>IF(OR($O85="",$O85&lt;&gt;MesCiclo),"",COUNTIF($O$5:$O85,MesCiclo))</f>
        <v/>
      </c>
    </row>
    <row r="86">
      <c r="A86" s="60">
        <f>IF(NOT((COUNTA($B86:$J86)+COUNTA($M86))&gt;0),"",COUNTIFS($L$5:$L86,"?*",$O$5:$O86,$O86))</f>
        <v/>
      </c>
      <c r="B86" s="61" t="n"/>
      <c r="C86" s="61" t="n"/>
      <c r="D86" s="62" t="n"/>
      <c r="E86" s="62" t="n"/>
      <c r="F86" s="63" t="n"/>
      <c r="G86" s="64" t="n"/>
      <c r="H86" s="64" t="n"/>
      <c r="I86" s="64" t="n"/>
      <c r="J86" s="64" t="n"/>
      <c r="K86" s="65">
        <f>IF(NOT((COUNTA($B86:$J86)+COUNTA($M86))&gt;0),"",IFERROR(LOOKUP(2,1/(G86:J86&lt;&gt;""),G86:J86),0))</f>
        <v/>
      </c>
      <c r="L86" s="60">
        <f>IF(K86="","",IF(K86&gt;=1,"Completado",IF(K86&gt;0,"En curso","Pendiente")))</f>
        <v/>
      </c>
      <c r="M86" s="61" t="n"/>
      <c r="N86" s="66">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c r="O86" s="67">
        <f>IF(NOT((COUNTA($B86:$J86)+COUNTA($M86))&gt;0),"",IF(ISNUMBER($D86),DATE(YEAR($D86),MONTH($D86),1),IF(ISNUMBER($E86),DATE(YEAR($E86),MONTH($E86),1),MesCiclo)))</f>
        <v/>
      </c>
      <c r="P86" s="68">
        <f>IF(OR($O86="",$O86&lt;&gt;MesCiclo),"",COUNTIF($O$5:$O86,MesCiclo))</f>
        <v/>
      </c>
    </row>
    <row r="87">
      <c r="A87" s="60">
        <f>IF(NOT((COUNTA($B87:$J87)+COUNTA($M87))&gt;0),"",COUNTIFS($L$5:$L87,"?*",$O$5:$O87,$O87))</f>
        <v/>
      </c>
      <c r="B87" s="61" t="n"/>
      <c r="C87" s="61" t="n"/>
      <c r="D87" s="62" t="n"/>
      <c r="E87" s="62" t="n"/>
      <c r="F87" s="63" t="n"/>
      <c r="G87" s="64" t="n"/>
      <c r="H87" s="64" t="n"/>
      <c r="I87" s="64" t="n"/>
      <c r="J87" s="64" t="n"/>
      <c r="K87" s="65">
        <f>IF(NOT((COUNTA($B87:$J87)+COUNTA($M87))&gt;0),"",IFERROR(LOOKUP(2,1/(G87:J87&lt;&gt;""),G87:J87),0))</f>
        <v/>
      </c>
      <c r="L87" s="60">
        <f>IF(K87="","",IF(K87&gt;=1,"Completado",IF(K87&gt;0,"En curso","Pendiente")))</f>
        <v/>
      </c>
      <c r="M87" s="61" t="n"/>
      <c r="N87" s="66">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c r="O87" s="67">
        <f>IF(NOT((COUNTA($B87:$J87)+COUNTA($M87))&gt;0),"",IF(ISNUMBER($D87),DATE(YEAR($D87),MONTH($D87),1),IF(ISNUMBER($E87),DATE(YEAR($E87),MONTH($E87),1),MesCiclo)))</f>
        <v/>
      </c>
      <c r="P87" s="68">
        <f>IF(OR($O87="",$O87&lt;&gt;MesCiclo),"",COUNTIF($O$5:$O87,MesCiclo))</f>
        <v/>
      </c>
    </row>
    <row r="88">
      <c r="A88" s="60">
        <f>IF(NOT((COUNTA($B88:$J88)+COUNTA($M88))&gt;0),"",COUNTIFS($L$5:$L88,"?*",$O$5:$O88,$O88))</f>
        <v/>
      </c>
      <c r="B88" s="61" t="n"/>
      <c r="C88" s="61" t="n"/>
      <c r="D88" s="62" t="n"/>
      <c r="E88" s="62" t="n"/>
      <c r="F88" s="63" t="n"/>
      <c r="G88" s="64" t="n"/>
      <c r="H88" s="64" t="n"/>
      <c r="I88" s="64" t="n"/>
      <c r="J88" s="64" t="n"/>
      <c r="K88" s="65">
        <f>IF(NOT((COUNTA($B88:$J88)+COUNTA($M88))&gt;0),"",IFERROR(LOOKUP(2,1/(G88:J88&lt;&gt;""),G88:J88),0))</f>
        <v/>
      </c>
      <c r="L88" s="60">
        <f>IF(K88="","",IF(K88&gt;=1,"Completado",IF(K88&gt;0,"En curso","Pendiente")))</f>
        <v/>
      </c>
      <c r="M88" s="61" t="n"/>
      <c r="N88" s="66">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c r="O88" s="67">
        <f>IF(NOT((COUNTA($B88:$J88)+COUNTA($M88))&gt;0),"",IF(ISNUMBER($D88),DATE(YEAR($D88),MONTH($D88),1),IF(ISNUMBER($E88),DATE(YEAR($E88),MONTH($E88),1),MesCiclo)))</f>
        <v/>
      </c>
      <c r="P88" s="68">
        <f>IF(OR($O88="",$O88&lt;&gt;MesCiclo),"",COUNTIF($O$5:$O88,MesCiclo))</f>
        <v/>
      </c>
    </row>
    <row r="89">
      <c r="A89" s="60">
        <f>IF(NOT((COUNTA($B89:$J89)+COUNTA($M89))&gt;0),"",COUNTIFS($L$5:$L89,"?*",$O$5:$O89,$O89))</f>
        <v/>
      </c>
      <c r="B89" s="61" t="n"/>
      <c r="C89" s="61" t="n"/>
      <c r="D89" s="62" t="n"/>
      <c r="E89" s="62" t="n"/>
      <c r="F89" s="63" t="n"/>
      <c r="G89" s="64" t="n"/>
      <c r="H89" s="64" t="n"/>
      <c r="I89" s="64" t="n"/>
      <c r="J89" s="64" t="n"/>
      <c r="K89" s="65">
        <f>IF(NOT((COUNTA($B89:$J89)+COUNTA($M89))&gt;0),"",IFERROR(LOOKUP(2,1/(G89:J89&lt;&gt;""),G89:J89),0))</f>
        <v/>
      </c>
      <c r="L89" s="60">
        <f>IF(K89="","",IF(K89&gt;=1,"Completado",IF(K89&gt;0,"En curso","Pendiente")))</f>
        <v/>
      </c>
      <c r="M89" s="61" t="n"/>
      <c r="N89" s="66">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c r="O89" s="67">
        <f>IF(NOT((COUNTA($B89:$J89)+COUNTA($M89))&gt;0),"",IF(ISNUMBER($D89),DATE(YEAR($D89),MONTH($D89),1),IF(ISNUMBER($E89),DATE(YEAR($E89),MONTH($E89),1),MesCiclo)))</f>
        <v/>
      </c>
      <c r="P89" s="68">
        <f>IF(OR($O89="",$O89&lt;&gt;MesCiclo),"",COUNTIF($O$5:$O89,MesCiclo))</f>
        <v/>
      </c>
    </row>
    <row r="90">
      <c r="A90" s="60">
        <f>IF(NOT((COUNTA($B90:$J90)+COUNTA($M90))&gt;0),"",COUNTIFS($L$5:$L90,"?*",$O$5:$O90,$O90))</f>
        <v/>
      </c>
      <c r="B90" s="61" t="n"/>
      <c r="C90" s="61" t="n"/>
      <c r="D90" s="62" t="n"/>
      <c r="E90" s="62" t="n"/>
      <c r="F90" s="63" t="n"/>
      <c r="G90" s="64" t="n"/>
      <c r="H90" s="64" t="n"/>
      <c r="I90" s="64" t="n"/>
      <c r="J90" s="64" t="n"/>
      <c r="K90" s="65">
        <f>IF(NOT((COUNTA($B90:$J90)+COUNTA($M90))&gt;0),"",IFERROR(LOOKUP(2,1/(G90:J90&lt;&gt;""),G90:J90),0))</f>
        <v/>
      </c>
      <c r="L90" s="60">
        <f>IF(K90="","",IF(K90&gt;=1,"Completado",IF(K90&gt;0,"En curso","Pendiente")))</f>
        <v/>
      </c>
      <c r="M90" s="61" t="n"/>
      <c r="N90" s="66">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c r="O90" s="67">
        <f>IF(NOT((COUNTA($B90:$J90)+COUNTA($M90))&gt;0),"",IF(ISNUMBER($D90),DATE(YEAR($D90),MONTH($D90),1),IF(ISNUMBER($E90),DATE(YEAR($E90),MONTH($E90),1),MesCiclo)))</f>
        <v/>
      </c>
      <c r="P90" s="68">
        <f>IF(OR($O90="",$O90&lt;&gt;MesCiclo),"",COUNTIF($O$5:$O90,MesCiclo))</f>
        <v/>
      </c>
    </row>
    <row r="91">
      <c r="A91" s="60">
        <f>IF(NOT((COUNTA($B91:$J91)+COUNTA($M91))&gt;0),"",COUNTIFS($L$5:$L91,"?*",$O$5:$O91,$O91))</f>
        <v/>
      </c>
      <c r="B91" s="61" t="n"/>
      <c r="C91" s="61" t="n"/>
      <c r="D91" s="62" t="n"/>
      <c r="E91" s="62" t="n"/>
      <c r="F91" s="63" t="n"/>
      <c r="G91" s="64" t="n"/>
      <c r="H91" s="64" t="n"/>
      <c r="I91" s="64" t="n"/>
      <c r="J91" s="64" t="n"/>
      <c r="K91" s="65">
        <f>IF(NOT((COUNTA($B91:$J91)+COUNTA($M91))&gt;0),"",IFERROR(LOOKUP(2,1/(G91:J91&lt;&gt;""),G91:J91),0))</f>
        <v/>
      </c>
      <c r="L91" s="60">
        <f>IF(K91="","",IF(K91&gt;=1,"Completado",IF(K91&gt;0,"En curso","Pendiente")))</f>
        <v/>
      </c>
      <c r="M91" s="61" t="n"/>
      <c r="N91" s="66">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c r="O91" s="67">
        <f>IF(NOT((COUNTA($B91:$J91)+COUNTA($M91))&gt;0),"",IF(ISNUMBER($D91),DATE(YEAR($D91),MONTH($D91),1),IF(ISNUMBER($E91),DATE(YEAR($E91),MONTH($E91),1),MesCiclo)))</f>
        <v/>
      </c>
      <c r="P91" s="68">
        <f>IF(OR($O91="",$O91&lt;&gt;MesCiclo),"",COUNTIF($O$5:$O91,MesCiclo))</f>
        <v/>
      </c>
    </row>
    <row r="92">
      <c r="A92" s="60">
        <f>IF(NOT((COUNTA($B92:$J92)+COUNTA($M92))&gt;0),"",COUNTIFS($L$5:$L92,"?*",$O$5:$O92,$O92))</f>
        <v/>
      </c>
      <c r="B92" s="61" t="n"/>
      <c r="C92" s="61" t="n"/>
      <c r="D92" s="62" t="n"/>
      <c r="E92" s="62" t="n"/>
      <c r="F92" s="63" t="n"/>
      <c r="G92" s="64" t="n"/>
      <c r="H92" s="64" t="n"/>
      <c r="I92" s="64" t="n"/>
      <c r="J92" s="64" t="n"/>
      <c r="K92" s="65">
        <f>IF(NOT((COUNTA($B92:$J92)+COUNTA($M92))&gt;0),"",IFERROR(LOOKUP(2,1/(G92:J92&lt;&gt;""),G92:J92),0))</f>
        <v/>
      </c>
      <c r="L92" s="60">
        <f>IF(K92="","",IF(K92&gt;=1,"Completado",IF(K92&gt;0,"En curso","Pendiente")))</f>
        <v/>
      </c>
      <c r="M92" s="61" t="n"/>
      <c r="N92" s="66">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c r="O92" s="67">
        <f>IF(NOT((COUNTA($B92:$J92)+COUNTA($M92))&gt;0),"",IF(ISNUMBER($D92),DATE(YEAR($D92),MONTH($D92),1),IF(ISNUMBER($E92),DATE(YEAR($E92),MONTH($E92),1),MesCiclo)))</f>
        <v/>
      </c>
      <c r="P92" s="68">
        <f>IF(OR($O92="",$O92&lt;&gt;MesCiclo),"",COUNTIF($O$5:$O92,MesCiclo))</f>
        <v/>
      </c>
    </row>
    <row r="93">
      <c r="A93" s="60">
        <f>IF(NOT((COUNTA($B93:$J93)+COUNTA($M93))&gt;0),"",COUNTIFS($L$5:$L93,"?*",$O$5:$O93,$O93))</f>
        <v/>
      </c>
      <c r="B93" s="61" t="n"/>
      <c r="C93" s="61" t="n"/>
      <c r="D93" s="62" t="n"/>
      <c r="E93" s="62" t="n"/>
      <c r="F93" s="63" t="n"/>
      <c r="G93" s="64" t="n"/>
      <c r="H93" s="64" t="n"/>
      <c r="I93" s="64" t="n"/>
      <c r="J93" s="64" t="n"/>
      <c r="K93" s="65">
        <f>IF(NOT((COUNTA($B93:$J93)+COUNTA($M93))&gt;0),"",IFERROR(LOOKUP(2,1/(G93:J93&lt;&gt;""),G93:J93),0))</f>
        <v/>
      </c>
      <c r="L93" s="60">
        <f>IF(K93="","",IF(K93&gt;=1,"Completado",IF(K93&gt;0,"En curso","Pendiente")))</f>
        <v/>
      </c>
      <c r="M93" s="61" t="n"/>
      <c r="N93" s="66">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c r="O93" s="67">
        <f>IF(NOT((COUNTA($B93:$J93)+COUNTA($M93))&gt;0),"",IF(ISNUMBER($D93),DATE(YEAR($D93),MONTH($D93),1),IF(ISNUMBER($E93),DATE(YEAR($E93),MONTH($E93),1),MesCiclo)))</f>
        <v/>
      </c>
      <c r="P93" s="68">
        <f>IF(OR($O93="",$O93&lt;&gt;MesCiclo),"",COUNTIF($O$5:$O93,MesCiclo))</f>
        <v/>
      </c>
    </row>
    <row r="94">
      <c r="A94" s="60">
        <f>IF(NOT((COUNTA($B94:$J94)+COUNTA($M94))&gt;0),"",COUNTIFS($L$5:$L94,"?*",$O$5:$O94,$O94))</f>
        <v/>
      </c>
      <c r="B94" s="61" t="n"/>
      <c r="C94" s="61" t="n"/>
      <c r="D94" s="62" t="n"/>
      <c r="E94" s="62" t="n"/>
      <c r="F94" s="63" t="n"/>
      <c r="G94" s="64" t="n"/>
      <c r="H94" s="64" t="n"/>
      <c r="I94" s="64" t="n"/>
      <c r="J94" s="64" t="n"/>
      <c r="K94" s="65">
        <f>IF(NOT((COUNTA($B94:$J94)+COUNTA($M94))&gt;0),"",IFERROR(LOOKUP(2,1/(G94:J94&lt;&gt;""),G94:J94),0))</f>
        <v/>
      </c>
      <c r="L94" s="60">
        <f>IF(K94="","",IF(K94&gt;=1,"Completado",IF(K94&gt;0,"En curso","Pendiente")))</f>
        <v/>
      </c>
      <c r="M94" s="61" t="n"/>
      <c r="N94" s="66">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c r="O94" s="67">
        <f>IF(NOT((COUNTA($B94:$J94)+COUNTA($M94))&gt;0),"",IF(ISNUMBER($D94),DATE(YEAR($D94),MONTH($D94),1),IF(ISNUMBER($E94),DATE(YEAR($E94),MONTH($E94),1),MesCiclo)))</f>
        <v/>
      </c>
      <c r="P94" s="68">
        <f>IF(OR($O94="",$O94&lt;&gt;MesCiclo),"",COUNTIF($O$5:$O94,MesCiclo))</f>
        <v/>
      </c>
    </row>
    <row r="95">
      <c r="A95" s="60">
        <f>IF(NOT((COUNTA($B95:$J95)+COUNTA($M95))&gt;0),"",COUNTIFS($L$5:$L95,"?*",$O$5:$O95,$O95))</f>
        <v/>
      </c>
      <c r="B95" s="61" t="n"/>
      <c r="C95" s="61" t="n"/>
      <c r="D95" s="62" t="n"/>
      <c r="E95" s="62" t="n"/>
      <c r="F95" s="63" t="n"/>
      <c r="G95" s="64" t="n"/>
      <c r="H95" s="64" t="n"/>
      <c r="I95" s="64" t="n"/>
      <c r="J95" s="64" t="n"/>
      <c r="K95" s="65">
        <f>IF(NOT((COUNTA($B95:$J95)+COUNTA($M95))&gt;0),"",IFERROR(LOOKUP(2,1/(G95:J95&lt;&gt;""),G95:J95),0))</f>
        <v/>
      </c>
      <c r="L95" s="60">
        <f>IF(K95="","",IF(K95&gt;=1,"Completado",IF(K95&gt;0,"En curso","Pendiente")))</f>
        <v/>
      </c>
      <c r="M95" s="61" t="n"/>
      <c r="N95" s="66">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c r="O95" s="67">
        <f>IF(NOT((COUNTA($B95:$J95)+COUNTA($M95))&gt;0),"",IF(ISNUMBER($D95),DATE(YEAR($D95),MONTH($D95),1),IF(ISNUMBER($E95),DATE(YEAR($E95),MONTH($E95),1),MesCiclo)))</f>
        <v/>
      </c>
      <c r="P95" s="68">
        <f>IF(OR($O95="",$O95&lt;&gt;MesCiclo),"",COUNTIF($O$5:$O95,MesCiclo))</f>
        <v/>
      </c>
    </row>
    <row r="96">
      <c r="A96" s="60">
        <f>IF(NOT((COUNTA($B96:$J96)+COUNTA($M96))&gt;0),"",COUNTIFS($L$5:$L96,"?*",$O$5:$O96,$O96))</f>
        <v/>
      </c>
      <c r="B96" s="61" t="n"/>
      <c r="C96" s="61" t="n"/>
      <c r="D96" s="62" t="n"/>
      <c r="E96" s="62" t="n"/>
      <c r="F96" s="63" t="n"/>
      <c r="G96" s="64" t="n"/>
      <c r="H96" s="64" t="n"/>
      <c r="I96" s="64" t="n"/>
      <c r="J96" s="64" t="n"/>
      <c r="K96" s="65">
        <f>IF(NOT((COUNTA($B96:$J96)+COUNTA($M96))&gt;0),"",IFERROR(LOOKUP(2,1/(G96:J96&lt;&gt;""),G96:J96),0))</f>
        <v/>
      </c>
      <c r="L96" s="60">
        <f>IF(K96="","",IF(K96&gt;=1,"Completado",IF(K96&gt;0,"En curso","Pendiente")))</f>
        <v/>
      </c>
      <c r="M96" s="61" t="n"/>
      <c r="N96" s="66">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c r="O96" s="67">
        <f>IF(NOT((COUNTA($B96:$J96)+COUNTA($M96))&gt;0),"",IF(ISNUMBER($D96),DATE(YEAR($D96),MONTH($D96),1),IF(ISNUMBER($E96),DATE(YEAR($E96),MONTH($E96),1),MesCiclo)))</f>
        <v/>
      </c>
      <c r="P96" s="68">
        <f>IF(OR($O96="",$O96&lt;&gt;MesCiclo),"",COUNTIF($O$5:$O96,MesCiclo))</f>
        <v/>
      </c>
    </row>
    <row r="97">
      <c r="A97" s="60">
        <f>IF(NOT((COUNTA($B97:$J97)+COUNTA($M97))&gt;0),"",COUNTIFS($L$5:$L97,"?*",$O$5:$O97,$O97))</f>
        <v/>
      </c>
      <c r="B97" s="61" t="n"/>
      <c r="C97" s="61" t="n"/>
      <c r="D97" s="62" t="n"/>
      <c r="E97" s="62" t="n"/>
      <c r="F97" s="63" t="n"/>
      <c r="G97" s="64" t="n"/>
      <c r="H97" s="64" t="n"/>
      <c r="I97" s="64" t="n"/>
      <c r="J97" s="64" t="n"/>
      <c r="K97" s="65">
        <f>IF(NOT((COUNTA($B97:$J97)+COUNTA($M97))&gt;0),"",IFERROR(LOOKUP(2,1/(G97:J97&lt;&gt;""),G97:J97),0))</f>
        <v/>
      </c>
      <c r="L97" s="60">
        <f>IF(K97="","",IF(K97&gt;=1,"Completado",IF(K97&gt;0,"En curso","Pendiente")))</f>
        <v/>
      </c>
      <c r="M97" s="61" t="n"/>
      <c r="N97" s="66">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c r="O97" s="67">
        <f>IF(NOT((COUNTA($B97:$J97)+COUNTA($M97))&gt;0),"",IF(ISNUMBER($D97),DATE(YEAR($D97),MONTH($D97),1),IF(ISNUMBER($E97),DATE(YEAR($E97),MONTH($E97),1),MesCiclo)))</f>
        <v/>
      </c>
      <c r="P97" s="68">
        <f>IF(OR($O97="",$O97&lt;&gt;MesCiclo),"",COUNTIF($O$5:$O97,MesCiclo))</f>
        <v/>
      </c>
    </row>
    <row r="98">
      <c r="A98" s="60">
        <f>IF(NOT((COUNTA($B98:$J98)+COUNTA($M98))&gt;0),"",COUNTIFS($L$5:$L98,"?*",$O$5:$O98,$O98))</f>
        <v/>
      </c>
      <c r="B98" s="61" t="n"/>
      <c r="C98" s="61" t="n"/>
      <c r="D98" s="62" t="n"/>
      <c r="E98" s="62" t="n"/>
      <c r="F98" s="63" t="n"/>
      <c r="G98" s="64" t="n"/>
      <c r="H98" s="64" t="n"/>
      <c r="I98" s="64" t="n"/>
      <c r="J98" s="64" t="n"/>
      <c r="K98" s="65">
        <f>IF(NOT((COUNTA($B98:$J98)+COUNTA($M98))&gt;0),"",IFERROR(LOOKUP(2,1/(G98:J98&lt;&gt;""),G98:J98),0))</f>
        <v/>
      </c>
      <c r="L98" s="60">
        <f>IF(K98="","",IF(K98&gt;=1,"Completado",IF(K98&gt;0,"En curso","Pendiente")))</f>
        <v/>
      </c>
      <c r="M98" s="61" t="n"/>
      <c r="N98" s="66">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c r="O98" s="67">
        <f>IF(NOT((COUNTA($B98:$J98)+COUNTA($M98))&gt;0),"",IF(ISNUMBER($D98),DATE(YEAR($D98),MONTH($D98),1),IF(ISNUMBER($E98),DATE(YEAR($E98),MONTH($E98),1),MesCiclo)))</f>
        <v/>
      </c>
      <c r="P98" s="68">
        <f>IF(OR($O98="",$O98&lt;&gt;MesCiclo),"",COUNTIF($O$5:$O98,MesCiclo))</f>
        <v/>
      </c>
    </row>
    <row r="99">
      <c r="A99" s="60">
        <f>IF(NOT((COUNTA($B99:$J99)+COUNTA($M99))&gt;0),"",COUNTIFS($L$5:$L99,"?*",$O$5:$O99,$O99))</f>
        <v/>
      </c>
      <c r="B99" s="61" t="n"/>
      <c r="C99" s="61" t="n"/>
      <c r="D99" s="62" t="n"/>
      <c r="E99" s="62" t="n"/>
      <c r="F99" s="63" t="n"/>
      <c r="G99" s="64" t="n"/>
      <c r="H99" s="64" t="n"/>
      <c r="I99" s="64" t="n"/>
      <c r="J99" s="64" t="n"/>
      <c r="K99" s="65">
        <f>IF(NOT((COUNTA($B99:$J99)+COUNTA($M99))&gt;0),"",IFERROR(LOOKUP(2,1/(G99:J99&lt;&gt;""),G99:J99),0))</f>
        <v/>
      </c>
      <c r="L99" s="60">
        <f>IF(K99="","",IF(K99&gt;=1,"Completado",IF(K99&gt;0,"En curso","Pendiente")))</f>
        <v/>
      </c>
      <c r="M99" s="61" t="n"/>
      <c r="N99" s="66">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c r="O99" s="67">
        <f>IF(NOT((COUNTA($B99:$J99)+COUNTA($M99))&gt;0),"",IF(ISNUMBER($D99),DATE(YEAR($D99),MONTH($D99),1),IF(ISNUMBER($E99),DATE(YEAR($E99),MONTH($E99),1),MesCiclo)))</f>
        <v/>
      </c>
      <c r="P99" s="68">
        <f>IF(OR($O99="",$O99&lt;&gt;MesCiclo),"",COUNTIF($O$5:$O99,MesCiclo))</f>
        <v/>
      </c>
    </row>
    <row r="100">
      <c r="A100" s="60">
        <f>IF(NOT((COUNTA($B100:$J100)+COUNTA($M100))&gt;0),"",COUNTIFS($L$5:$L100,"?*",$O$5:$O100,$O100))</f>
        <v/>
      </c>
      <c r="B100" s="61" t="n"/>
      <c r="C100" s="61" t="n"/>
      <c r="D100" s="62" t="n"/>
      <c r="E100" s="62" t="n"/>
      <c r="F100" s="63" t="n"/>
      <c r="G100" s="64" t="n"/>
      <c r="H100" s="64" t="n"/>
      <c r="I100" s="64" t="n"/>
      <c r="J100" s="64" t="n"/>
      <c r="K100" s="65">
        <f>IF(NOT((COUNTA($B100:$J100)+COUNTA($M100))&gt;0),"",IFERROR(LOOKUP(2,1/(G100:J100&lt;&gt;""),G100:J100),0))</f>
        <v/>
      </c>
      <c r="L100" s="60">
        <f>IF(K100="","",IF(K100&gt;=1,"Completado",IF(K100&gt;0,"En curso","Pendiente")))</f>
        <v/>
      </c>
      <c r="M100" s="61" t="n"/>
      <c r="N100" s="66">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c r="O100" s="67">
        <f>IF(NOT((COUNTA($B100:$J100)+COUNTA($M100))&gt;0),"",IF(ISNUMBER($D100),DATE(YEAR($D100),MONTH($D100),1),IF(ISNUMBER($E100),DATE(YEAR($E100),MONTH($E100),1),MesCiclo)))</f>
        <v/>
      </c>
      <c r="P100" s="68">
        <f>IF(OR($O100="",$O100&lt;&gt;MesCiclo),"",COUNTIF($O$5:$O100,MesCiclo))</f>
        <v/>
      </c>
    </row>
    <row r="101">
      <c r="A101" s="60">
        <f>IF(NOT((COUNTA($B101:$J101)+COUNTA($M101))&gt;0),"",COUNTIFS($L$5:$L101,"?*",$O$5:$O101,$O101))</f>
        <v/>
      </c>
      <c r="B101" s="61" t="n"/>
      <c r="C101" s="61" t="n"/>
      <c r="D101" s="62" t="n"/>
      <c r="E101" s="62" t="n"/>
      <c r="F101" s="63" t="n"/>
      <c r="G101" s="64" t="n"/>
      <c r="H101" s="64" t="n"/>
      <c r="I101" s="64" t="n"/>
      <c r="J101" s="64" t="n"/>
      <c r="K101" s="65">
        <f>IF(NOT((COUNTA($B101:$J101)+COUNTA($M101))&gt;0),"",IFERROR(LOOKUP(2,1/(G101:J101&lt;&gt;""),G101:J101),0))</f>
        <v/>
      </c>
      <c r="L101" s="60">
        <f>IF(K101="","",IF(K101&gt;=1,"Completado",IF(K101&gt;0,"En curso","Pendiente")))</f>
        <v/>
      </c>
      <c r="M101" s="61" t="n"/>
      <c r="N101" s="66">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c r="O101" s="67">
        <f>IF(NOT((COUNTA($B101:$J101)+COUNTA($M101))&gt;0),"",IF(ISNUMBER($D101),DATE(YEAR($D101),MONTH($D101),1),IF(ISNUMBER($E101),DATE(YEAR($E101),MONTH($E101),1),MesCiclo)))</f>
        <v/>
      </c>
      <c r="P101" s="68">
        <f>IF(OR($O101="",$O101&lt;&gt;MesCiclo),"",COUNTIF($O$5:$O101,MesCiclo))</f>
        <v/>
      </c>
    </row>
    <row r="102">
      <c r="A102" s="60">
        <f>IF(NOT((COUNTA($B102:$J102)+COUNTA($M102))&gt;0),"",COUNTIFS($L$5:$L102,"?*",$O$5:$O102,$O102))</f>
        <v/>
      </c>
      <c r="B102" s="61" t="n"/>
      <c r="C102" s="61" t="n"/>
      <c r="D102" s="62" t="n"/>
      <c r="E102" s="62" t="n"/>
      <c r="F102" s="63" t="n"/>
      <c r="G102" s="64" t="n"/>
      <c r="H102" s="64" t="n"/>
      <c r="I102" s="64" t="n"/>
      <c r="J102" s="64" t="n"/>
      <c r="K102" s="65">
        <f>IF(NOT((COUNTA($B102:$J102)+COUNTA($M102))&gt;0),"",IFERROR(LOOKUP(2,1/(G102:J102&lt;&gt;""),G102:J102),0))</f>
        <v/>
      </c>
      <c r="L102" s="60">
        <f>IF(K102="","",IF(K102&gt;=1,"Completado",IF(K102&gt;0,"En curso","Pendiente")))</f>
        <v/>
      </c>
      <c r="M102" s="61" t="n"/>
      <c r="N102" s="66">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c r="O102" s="67">
        <f>IF(NOT((COUNTA($B102:$J102)+COUNTA($M102))&gt;0),"",IF(ISNUMBER($D102),DATE(YEAR($D102),MONTH($D102),1),IF(ISNUMBER($E102),DATE(YEAR($E102),MONTH($E102),1),MesCiclo)))</f>
        <v/>
      </c>
      <c r="P102" s="68">
        <f>IF(OR($O102="",$O102&lt;&gt;MesCiclo),"",COUNTIF($O$5:$O102,MesCiclo))</f>
        <v/>
      </c>
    </row>
    <row r="103">
      <c r="A103" s="60">
        <f>IF(NOT((COUNTA($B103:$J103)+COUNTA($M103))&gt;0),"",COUNTIFS($L$5:$L103,"?*",$O$5:$O103,$O103))</f>
        <v/>
      </c>
      <c r="B103" s="61" t="n"/>
      <c r="C103" s="61" t="n"/>
      <c r="D103" s="62" t="n"/>
      <c r="E103" s="62" t="n"/>
      <c r="F103" s="63" t="n"/>
      <c r="G103" s="64" t="n"/>
      <c r="H103" s="64" t="n"/>
      <c r="I103" s="64" t="n"/>
      <c r="J103" s="64" t="n"/>
      <c r="K103" s="65">
        <f>IF(NOT((COUNTA($B103:$J103)+COUNTA($M103))&gt;0),"",IFERROR(LOOKUP(2,1/(G103:J103&lt;&gt;""),G103:J103),0))</f>
        <v/>
      </c>
      <c r="L103" s="60">
        <f>IF(K103="","",IF(K103&gt;=1,"Completado",IF(K103&gt;0,"En curso","Pendiente")))</f>
        <v/>
      </c>
      <c r="M103" s="61" t="n"/>
      <c r="N103" s="66">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c r="O103" s="67">
        <f>IF(NOT((COUNTA($B103:$J103)+COUNTA($M103))&gt;0),"",IF(ISNUMBER($D103),DATE(YEAR($D103),MONTH($D103),1),IF(ISNUMBER($E103),DATE(YEAR($E103),MONTH($E103),1),MesCiclo)))</f>
        <v/>
      </c>
      <c r="P103" s="68">
        <f>IF(OR($O103="",$O103&lt;&gt;MesCiclo),"",COUNTIF($O$5:$O103,MesCiclo))</f>
        <v/>
      </c>
    </row>
    <row r="104">
      <c r="A104" s="60">
        <f>IF(NOT((COUNTA($B104:$J104)+COUNTA($M104))&gt;0),"",COUNTIFS($L$5:$L104,"?*",$O$5:$O104,$O104))</f>
        <v/>
      </c>
      <c r="B104" s="61" t="n"/>
      <c r="C104" s="61" t="n"/>
      <c r="D104" s="62" t="n"/>
      <c r="E104" s="62" t="n"/>
      <c r="F104" s="63" t="n"/>
      <c r="G104" s="64" t="n"/>
      <c r="H104" s="64" t="n"/>
      <c r="I104" s="64" t="n"/>
      <c r="J104" s="64" t="n"/>
      <c r="K104" s="65">
        <f>IF(NOT((COUNTA($B104:$J104)+COUNTA($M104))&gt;0),"",IFERROR(LOOKUP(2,1/(G104:J104&lt;&gt;""),G104:J104),0))</f>
        <v/>
      </c>
      <c r="L104" s="60">
        <f>IF(K104="","",IF(K104&gt;=1,"Completado",IF(K104&gt;0,"En curso","Pendiente")))</f>
        <v/>
      </c>
      <c r="M104" s="61" t="n"/>
      <c r="N104" s="66">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c r="O104" s="67">
        <f>IF(NOT((COUNTA($B104:$J104)+COUNTA($M104))&gt;0),"",IF(ISNUMBER($D104),DATE(YEAR($D104),MONTH($D104),1),IF(ISNUMBER($E104),DATE(YEAR($E104),MONTH($E104),1),MesCiclo)))</f>
        <v/>
      </c>
      <c r="P104" s="68">
        <f>IF(OR($O104="",$O104&lt;&gt;MesCiclo),"",COUNTIF($O$5:$O104,MesCiclo))</f>
        <v/>
      </c>
    </row>
    <row r="105">
      <c r="A105" s="60">
        <f>IF(NOT((COUNTA($B105:$J105)+COUNTA($M105))&gt;0),"",COUNTIFS($L$5:$L105,"?*",$O$5:$O105,$O105))</f>
        <v/>
      </c>
      <c r="B105" s="61" t="n"/>
      <c r="C105" s="61" t="n"/>
      <c r="D105" s="62" t="n"/>
      <c r="E105" s="62" t="n"/>
      <c r="F105" s="63" t="n"/>
      <c r="G105" s="64" t="n"/>
      <c r="H105" s="64" t="n"/>
      <c r="I105" s="64" t="n"/>
      <c r="J105" s="64" t="n"/>
      <c r="K105" s="65">
        <f>IF(NOT((COUNTA($B105:$J105)+COUNTA($M105))&gt;0),"",IFERROR(LOOKUP(2,1/(G105:J105&lt;&gt;""),G105:J105),0))</f>
        <v/>
      </c>
      <c r="L105" s="60">
        <f>IF(K105="","",IF(K105&gt;=1,"Completado",IF(K105&gt;0,"En curso","Pendiente")))</f>
        <v/>
      </c>
      <c r="M105" s="61" t="n"/>
      <c r="N105" s="66">
        <f>IF(NOT((COUNTA($B105:$J105)+COUNTA($M105))&gt;0),"",IF((IF(B105="","Macroactividad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 OK","⚠ "&amp;LEFT(IF(B105="","Macroactividad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",""),LEN(IF(B105="","Macroactividad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",""))-3)))</f>
        <v/>
      </c>
      <c r="O105" s="67">
        <f>IF(NOT((COUNTA($B105:$J105)+COUNTA($M105))&gt;0),"",IF(ISNUMBER($D105),DATE(YEAR($D105),MONTH($D105),1),IF(ISNUMBER($E105),DATE(YEAR($E105),MONTH($E105),1),MesCiclo)))</f>
        <v/>
      </c>
      <c r="P105" s="68">
        <f>IF(OR($O105="",$O105&lt;&gt;MesCiclo),"",COUNTIF($O$5:$O105,MesCiclo))</f>
        <v/>
      </c>
    </row>
    <row r="106">
      <c r="A106" s="60">
        <f>IF(NOT((COUNTA($B106:$J106)+COUNTA($M106))&gt;0),"",COUNTIFS($L$5:$L106,"?*",$O$5:$O106,$O106))</f>
        <v/>
      </c>
      <c r="B106" s="61" t="n"/>
      <c r="C106" s="61" t="n"/>
      <c r="D106" s="62" t="n"/>
      <c r="E106" s="62" t="n"/>
      <c r="F106" s="63" t="n"/>
      <c r="G106" s="64" t="n"/>
      <c r="H106" s="64" t="n"/>
      <c r="I106" s="64" t="n"/>
      <c r="J106" s="64" t="n"/>
      <c r="K106" s="65">
        <f>IF(NOT((COUNTA($B106:$J106)+COUNTA($M106))&gt;0),"",IFERROR(LOOKUP(2,1/(G106:J106&lt;&gt;""),G106:J106),0))</f>
        <v/>
      </c>
      <c r="L106" s="60">
        <f>IF(K106="","",IF(K106&gt;=1,"Completado",IF(K106&gt;0,"En curso","Pendiente")))</f>
        <v/>
      </c>
      <c r="M106" s="61" t="n"/>
      <c r="N106" s="66">
        <f>IF(NOT((COUNTA($B106:$J106)+COUNTA($M106))&gt;0),"",IF((IF(B106="","Macroactividad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 OK","⚠ "&amp;LEFT(IF(B106="","Macroactividad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",""),LEN(IF(B106="","Macroactividad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",""))-3)))</f>
        <v/>
      </c>
      <c r="O106" s="67">
        <f>IF(NOT((COUNTA($B106:$J106)+COUNTA($M106))&gt;0),"",IF(ISNUMBER($D106),DATE(YEAR($D106),MONTH($D106),1),IF(ISNUMBER($E106),DATE(YEAR($E106),MONTH($E106),1),MesCiclo)))</f>
        <v/>
      </c>
      <c r="P106" s="68">
        <f>IF(OR($O106="",$O106&lt;&gt;MesCiclo),"",COUNTIF($O$5:$O106,MesCiclo))</f>
        <v/>
      </c>
    </row>
    <row r="107">
      <c r="A107" s="60">
        <f>IF(NOT((COUNTA($B107:$J107)+COUNTA($M107))&gt;0),"",COUNTIFS($L$5:$L107,"?*",$O$5:$O107,$O107))</f>
        <v/>
      </c>
      <c r="B107" s="61" t="n"/>
      <c r="C107" s="61" t="n"/>
      <c r="D107" s="62" t="n"/>
      <c r="E107" s="62" t="n"/>
      <c r="F107" s="63" t="n"/>
      <c r="G107" s="64" t="n"/>
      <c r="H107" s="64" t="n"/>
      <c r="I107" s="64" t="n"/>
      <c r="J107" s="64" t="n"/>
      <c r="K107" s="65">
        <f>IF(NOT((COUNTA($B107:$J107)+COUNTA($M107))&gt;0),"",IFERROR(LOOKUP(2,1/(G107:J107&lt;&gt;""),G107:J107),0))</f>
        <v/>
      </c>
      <c r="L107" s="60">
        <f>IF(K107="","",IF(K107&gt;=1,"Completado",IF(K107&gt;0,"En curso","Pendiente")))</f>
        <v/>
      </c>
      <c r="M107" s="61" t="n"/>
      <c r="N107" s="66">
        <f>IF(NOT((COUNTA($B107:$J107)+COUNTA($M107))&gt;0),"",IF((IF(B107="","Macroactividad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 OK","⚠ "&amp;LEFT(IF(B107="","Macroactividad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",""),LEN(IF(B107="","Macroactividad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",""))-3)))</f>
        <v/>
      </c>
      <c r="O107" s="67">
        <f>IF(NOT((COUNTA($B107:$J107)+COUNTA($M107))&gt;0),"",IF(ISNUMBER($D107),DATE(YEAR($D107),MONTH($D107),1),IF(ISNUMBER($E107),DATE(YEAR($E107),MONTH($E107),1),MesCiclo)))</f>
        <v/>
      </c>
      <c r="P107" s="68">
        <f>IF(OR($O107="",$O107&lt;&gt;MesCiclo),"",COUNTIF($O$5:$O107,MesCiclo))</f>
        <v/>
      </c>
    </row>
    <row r="108">
      <c r="A108" s="60">
        <f>IF(NOT((COUNTA($B108:$J108)+COUNTA($M108))&gt;0),"",COUNTIFS($L$5:$L108,"?*",$O$5:$O108,$O108))</f>
        <v/>
      </c>
      <c r="B108" s="61" t="n"/>
      <c r="C108" s="61" t="n"/>
      <c r="D108" s="62" t="n"/>
      <c r="E108" s="62" t="n"/>
      <c r="F108" s="63" t="n"/>
      <c r="G108" s="64" t="n"/>
      <c r="H108" s="64" t="n"/>
      <c r="I108" s="64" t="n"/>
      <c r="J108" s="64" t="n"/>
      <c r="K108" s="65">
        <f>IF(NOT((COUNTA($B108:$J108)+COUNTA($M108))&gt;0),"",IFERROR(LOOKUP(2,1/(G108:J108&lt;&gt;""),G108:J108),0))</f>
        <v/>
      </c>
      <c r="L108" s="60">
        <f>IF(K108="","",IF(K108&gt;=1,"Completado",IF(K108&gt;0,"En curso","Pendiente")))</f>
        <v/>
      </c>
      <c r="M108" s="61" t="n"/>
      <c r="N108" s="66">
        <f>IF(NOT((COUNTA($B108:$J108)+COUNTA($M108))&gt;0),"",IF((IF(B108="","Macroactividad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 OK","⚠ "&amp;LEFT(IF(B108="","Macroactividad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",""),LEN(IF(B108="","Macroactividad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",""))-3)))</f>
        <v/>
      </c>
      <c r="O108" s="67">
        <f>IF(NOT((COUNTA($B108:$J108)+COUNTA($M108))&gt;0),"",IF(ISNUMBER($D108),DATE(YEAR($D108),MONTH($D108),1),IF(ISNUMBER($E108),DATE(YEAR($E108),MONTH($E108),1),MesCiclo)))</f>
        <v/>
      </c>
      <c r="P108" s="68">
        <f>IF(OR($O108="",$O108&lt;&gt;MesCiclo),"",COUNTIF($O$5:$O108,MesCiclo))</f>
        <v/>
      </c>
    </row>
    <row r="109">
      <c r="A109" s="60">
        <f>IF(NOT((COUNTA($B109:$J109)+COUNTA($M109))&gt;0),"",COUNTIFS($L$5:$L109,"?*",$O$5:$O109,$O109))</f>
        <v/>
      </c>
      <c r="B109" s="61" t="n"/>
      <c r="C109" s="61" t="n"/>
      <c r="D109" s="62" t="n"/>
      <c r="E109" s="62" t="n"/>
      <c r="F109" s="63" t="n"/>
      <c r="G109" s="64" t="n"/>
      <c r="H109" s="64" t="n"/>
      <c r="I109" s="64" t="n"/>
      <c r="J109" s="64" t="n"/>
      <c r="K109" s="65">
        <f>IF(NOT((COUNTA($B109:$J109)+COUNTA($M109))&gt;0),"",IFERROR(LOOKUP(2,1/(G109:J109&lt;&gt;""),G109:J109),0))</f>
        <v/>
      </c>
      <c r="L109" s="60">
        <f>IF(K109="","",IF(K109&gt;=1,"Completado",IF(K109&gt;0,"En curso","Pendiente")))</f>
        <v/>
      </c>
      <c r="M109" s="61" t="n"/>
      <c r="N109" s="66">
        <f>IF(NOT((COUNTA($B109:$J109)+COUNTA($M109))&gt;0),"",IF((IF(B109="","Macroactividad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 OK","⚠ "&amp;LEFT(IF(B109="","Macroactividad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",""),LEN(IF(B109="","Macroactividad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",""))-3)))</f>
        <v/>
      </c>
      <c r="O109" s="67">
        <f>IF(NOT((COUNTA($B109:$J109)+COUNTA($M109))&gt;0),"",IF(ISNUMBER($D109),DATE(YEAR($D109),MONTH($D109),1),IF(ISNUMBER($E109),DATE(YEAR($E109),MONTH($E109),1),MesCiclo)))</f>
        <v/>
      </c>
      <c r="P109" s="68">
        <f>IF(OR($O109="",$O109&lt;&gt;MesCiclo),"",COUNTIF($O$5:$O109,MesCiclo))</f>
        <v/>
      </c>
    </row>
    <row r="110">
      <c r="A110" s="60">
        <f>IF(NOT((COUNTA($B110:$J110)+COUNTA($M110))&gt;0),"",COUNTIFS($L$5:$L110,"?*",$O$5:$O110,$O110))</f>
        <v/>
      </c>
      <c r="B110" s="61" t="n"/>
      <c r="C110" s="61" t="n"/>
      <c r="D110" s="62" t="n"/>
      <c r="E110" s="62" t="n"/>
      <c r="F110" s="63" t="n"/>
      <c r="G110" s="64" t="n"/>
      <c r="H110" s="64" t="n"/>
      <c r="I110" s="64" t="n"/>
      <c r="J110" s="64" t="n"/>
      <c r="K110" s="65">
        <f>IF(NOT((COUNTA($B110:$J110)+COUNTA($M110))&gt;0),"",IFERROR(LOOKUP(2,1/(G110:J110&lt;&gt;""),G110:J110),0))</f>
        <v/>
      </c>
      <c r="L110" s="60">
        <f>IF(K110="","",IF(K110&gt;=1,"Completado",IF(K110&gt;0,"En curso","Pendiente")))</f>
        <v/>
      </c>
      <c r="M110" s="61" t="n"/>
      <c r="N110" s="66">
        <f>IF(NOT((COUNTA($B110:$J110)+COUNTA($M110))&gt;0),"",IF((IF(B110="","Macroactividad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 OK","⚠ "&amp;LEFT(IF(B110="","Macroactividad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",""),LEN(IF(B110="","Macroactividad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",""))-3)))</f>
        <v/>
      </c>
      <c r="O110" s="67">
        <f>IF(NOT((COUNTA($B110:$J110)+COUNTA($M110))&gt;0),"",IF(ISNUMBER($D110),DATE(YEAR($D110),MONTH($D110),1),IF(ISNUMBER($E110),DATE(YEAR($E110),MONTH($E110),1),MesCiclo)))</f>
        <v/>
      </c>
      <c r="P110" s="68">
        <f>IF(OR($O110="",$O110&lt;&gt;MesCiclo),"",COUNTIF($O$5:$O110,MesCiclo))</f>
        <v/>
      </c>
    </row>
    <row r="111">
      <c r="A111" s="60">
        <f>IF(NOT((COUNTA($B111:$J111)+COUNTA($M111))&gt;0),"",COUNTIFS($L$5:$L111,"?*",$O$5:$O111,$O111))</f>
        <v/>
      </c>
      <c r="B111" s="61" t="n"/>
      <c r="C111" s="61" t="n"/>
      <c r="D111" s="62" t="n"/>
      <c r="E111" s="62" t="n"/>
      <c r="F111" s="63" t="n"/>
      <c r="G111" s="64" t="n"/>
      <c r="H111" s="64" t="n"/>
      <c r="I111" s="64" t="n"/>
      <c r="J111" s="64" t="n"/>
      <c r="K111" s="65">
        <f>IF(NOT((COUNTA($B111:$J111)+COUNTA($M111))&gt;0),"",IFERROR(LOOKUP(2,1/(G111:J111&lt;&gt;""),G111:J111),0))</f>
        <v/>
      </c>
      <c r="L111" s="60">
        <f>IF(K111="","",IF(K111&gt;=1,"Completado",IF(K111&gt;0,"En curso","Pendiente")))</f>
        <v/>
      </c>
      <c r="M111" s="61" t="n"/>
      <c r="N111" s="66">
        <f>IF(NOT((COUNTA($B111:$J111)+COUNTA($M111))&gt;0),"",IF((IF(B111="","Macroactividad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 OK","⚠ "&amp;LEFT(IF(B111="","Macroactividad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",""),LEN(IF(B111="","Macroactividad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",""))-3)))</f>
        <v/>
      </c>
      <c r="O111" s="67">
        <f>IF(NOT((COUNTA($B111:$J111)+COUNTA($M111))&gt;0),"",IF(ISNUMBER($D111),DATE(YEAR($D111),MONTH($D111),1),IF(ISNUMBER($E111),DATE(YEAR($E111),MONTH($E111),1),MesCiclo)))</f>
        <v/>
      </c>
      <c r="P111" s="68">
        <f>IF(OR($O111="",$O111&lt;&gt;MesCiclo),"",COUNTIF($O$5:$O111,MesCiclo))</f>
        <v/>
      </c>
    </row>
    <row r="112">
      <c r="A112" s="60">
        <f>IF(NOT((COUNTA($B112:$J112)+COUNTA($M112))&gt;0),"",COUNTIFS($L$5:$L112,"?*",$O$5:$O112,$O112))</f>
        <v/>
      </c>
      <c r="B112" s="61" t="n"/>
      <c r="C112" s="61" t="n"/>
      <c r="D112" s="62" t="n"/>
      <c r="E112" s="62" t="n"/>
      <c r="F112" s="63" t="n"/>
      <c r="G112" s="64" t="n"/>
      <c r="H112" s="64" t="n"/>
      <c r="I112" s="64" t="n"/>
      <c r="J112" s="64" t="n"/>
      <c r="K112" s="65">
        <f>IF(NOT((COUNTA($B112:$J112)+COUNTA($M112))&gt;0),"",IFERROR(LOOKUP(2,1/(G112:J112&lt;&gt;""),G112:J112),0))</f>
        <v/>
      </c>
      <c r="L112" s="60">
        <f>IF(K112="","",IF(K112&gt;=1,"Completado",IF(K112&gt;0,"En curso","Pendiente")))</f>
        <v/>
      </c>
      <c r="M112" s="61" t="n"/>
      <c r="N112" s="66">
        <f>IF(NOT((COUNTA($B112:$J112)+COUNTA($M112))&gt;0),"",IF((IF(B112="","Macroactividad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 OK","⚠ "&amp;LEFT(IF(B112="","Macroactividad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",""),LEN(IF(B112="","Macroactividad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",""))-3)))</f>
        <v/>
      </c>
      <c r="O112" s="67">
        <f>IF(NOT((COUNTA($B112:$J112)+COUNTA($M112))&gt;0),"",IF(ISNUMBER($D112),DATE(YEAR($D112),MONTH($D112),1),IF(ISNUMBER($E112),DATE(YEAR($E112),MONTH($E112),1),MesCiclo)))</f>
        <v/>
      </c>
      <c r="P112" s="68">
        <f>IF(OR($O112="",$O112&lt;&gt;MesCiclo),"",COUNTIF($O$5:$O112,MesCiclo))</f>
        <v/>
      </c>
    </row>
    <row r="113">
      <c r="A113" s="60">
        <f>IF(NOT((COUNTA($B113:$J113)+COUNTA($M113))&gt;0),"",COUNTIFS($L$5:$L113,"?*",$O$5:$O113,$O113))</f>
        <v/>
      </c>
      <c r="B113" s="61" t="n"/>
      <c r="C113" s="61" t="n"/>
      <c r="D113" s="62" t="n"/>
      <c r="E113" s="62" t="n"/>
      <c r="F113" s="63" t="n"/>
      <c r="G113" s="64" t="n"/>
      <c r="H113" s="64" t="n"/>
      <c r="I113" s="64" t="n"/>
      <c r="J113" s="64" t="n"/>
      <c r="K113" s="65">
        <f>IF(NOT((COUNTA($B113:$J113)+COUNTA($M113))&gt;0),"",IFERROR(LOOKUP(2,1/(G113:J113&lt;&gt;""),G113:J113),0))</f>
        <v/>
      </c>
      <c r="L113" s="60">
        <f>IF(K113="","",IF(K113&gt;=1,"Completado",IF(K113&gt;0,"En curso","Pendiente")))</f>
        <v/>
      </c>
      <c r="M113" s="61" t="n"/>
      <c r="N113" s="66">
        <f>IF(NOT((COUNTA($B113:$J113)+COUNTA($M113))&gt;0),"",IF((IF(B113="","Macroactividad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 OK","⚠ "&amp;LEFT(IF(B113="","Macroactividad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",""),LEN(IF(B113="","Macroactividad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",""))-3)))</f>
        <v/>
      </c>
      <c r="O113" s="67">
        <f>IF(NOT((COUNTA($B113:$J113)+COUNTA($M113))&gt;0),"",IF(ISNUMBER($D113),DATE(YEAR($D113),MONTH($D113),1),IF(ISNUMBER($E113),DATE(YEAR($E113),MONTH($E113),1),MesCiclo)))</f>
        <v/>
      </c>
      <c r="P113" s="68">
        <f>IF(OR($O113="",$O113&lt;&gt;MesCiclo),"",COUNTIF($O$5:$O113,MesCiclo))</f>
        <v/>
      </c>
    </row>
    <row r="114">
      <c r="A114" s="60">
        <f>IF(NOT((COUNTA($B114:$J114)+COUNTA($M114))&gt;0),"",COUNTIFS($L$5:$L114,"?*",$O$5:$O114,$O114))</f>
        <v/>
      </c>
      <c r="B114" s="61" t="n"/>
      <c r="C114" s="61" t="n"/>
      <c r="D114" s="62" t="n"/>
      <c r="E114" s="62" t="n"/>
      <c r="F114" s="63" t="n"/>
      <c r="G114" s="64" t="n"/>
      <c r="H114" s="64" t="n"/>
      <c r="I114" s="64" t="n"/>
      <c r="J114" s="64" t="n"/>
      <c r="K114" s="65">
        <f>IF(NOT((COUNTA($B114:$J114)+COUNTA($M114))&gt;0),"",IFERROR(LOOKUP(2,1/(G114:J114&lt;&gt;""),G114:J114),0))</f>
        <v/>
      </c>
      <c r="L114" s="60">
        <f>IF(K114="","",IF(K114&gt;=1,"Completado",IF(K114&gt;0,"En curso","Pendiente")))</f>
        <v/>
      </c>
      <c r="M114" s="61" t="n"/>
      <c r="N114" s="66">
        <f>IF(NOT((COUNTA($B114:$J114)+COUNTA($M114))&gt;0),"",IF((IF(B114="","Macroactividad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 OK","⚠ "&amp;LEFT(IF(B114="","Macroactividad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",""),LEN(IF(B114="","Macroactividad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",""))-3)))</f>
        <v/>
      </c>
      <c r="O114" s="67">
        <f>IF(NOT((COUNTA($B114:$J114)+COUNTA($M114))&gt;0),"",IF(ISNUMBER($D114),DATE(YEAR($D114),MONTH($D114),1),IF(ISNUMBER($E114),DATE(YEAR($E114),MONTH($E114),1),MesCiclo)))</f>
        <v/>
      </c>
      <c r="P114" s="68">
        <f>IF(OR($O114="",$O114&lt;&gt;MesCiclo),"",COUNTIF($O$5:$O114,MesCiclo))</f>
        <v/>
      </c>
    </row>
    <row r="115">
      <c r="A115" s="60">
        <f>IF(NOT((COUNTA($B115:$J115)+COUNTA($M115))&gt;0),"",COUNTIFS($L$5:$L115,"?*",$O$5:$O115,$O115))</f>
        <v/>
      </c>
      <c r="B115" s="61" t="n"/>
      <c r="C115" s="61" t="n"/>
      <c r="D115" s="62" t="n"/>
      <c r="E115" s="62" t="n"/>
      <c r="F115" s="63" t="n"/>
      <c r="G115" s="64" t="n"/>
      <c r="H115" s="64" t="n"/>
      <c r="I115" s="64" t="n"/>
      <c r="J115" s="64" t="n"/>
      <c r="K115" s="65">
        <f>IF(NOT((COUNTA($B115:$J115)+COUNTA($M115))&gt;0),"",IFERROR(LOOKUP(2,1/(G115:J115&lt;&gt;""),G115:J115),0))</f>
        <v/>
      </c>
      <c r="L115" s="60">
        <f>IF(K115="","",IF(K115&gt;=1,"Completado",IF(K115&gt;0,"En curso","Pendiente")))</f>
        <v/>
      </c>
      <c r="M115" s="61" t="n"/>
      <c r="N115" s="66">
        <f>IF(NOT((COUNTA($B115:$J115)+COUNTA($M115))&gt;0),"",IF((IF(B115="","Macroactividad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 OK","⚠ "&amp;LEFT(IF(B115="","Macroactividad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",""),LEN(IF(B115="","Macroactividad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",""))-3)))</f>
        <v/>
      </c>
      <c r="O115" s="67">
        <f>IF(NOT((COUNTA($B115:$J115)+COUNTA($M115))&gt;0),"",IF(ISNUMBER($D115),DATE(YEAR($D115),MONTH($D115),1),IF(ISNUMBER($E115),DATE(YEAR($E115),MONTH($E115),1),MesCiclo)))</f>
        <v/>
      </c>
      <c r="P115" s="68">
        <f>IF(OR($O115="",$O115&lt;&gt;MesCiclo),"",COUNTIF($O$5:$O115,MesCiclo))</f>
        <v/>
      </c>
    </row>
    <row r="116">
      <c r="A116" s="60">
        <f>IF(NOT((COUNTA($B116:$J116)+COUNTA($M116))&gt;0),"",COUNTIFS($L$5:$L116,"?*",$O$5:$O116,$O116))</f>
        <v/>
      </c>
      <c r="B116" s="61" t="n"/>
      <c r="C116" s="61" t="n"/>
      <c r="D116" s="62" t="n"/>
      <c r="E116" s="62" t="n"/>
      <c r="F116" s="63" t="n"/>
      <c r="G116" s="64" t="n"/>
      <c r="H116" s="64" t="n"/>
      <c r="I116" s="64" t="n"/>
      <c r="J116" s="64" t="n"/>
      <c r="K116" s="65">
        <f>IF(NOT((COUNTA($B116:$J116)+COUNTA($M116))&gt;0),"",IFERROR(LOOKUP(2,1/(G116:J116&lt;&gt;""),G116:J116),0))</f>
        <v/>
      </c>
      <c r="L116" s="60">
        <f>IF(K116="","",IF(K116&gt;=1,"Completado",IF(K116&gt;0,"En curso","Pendiente")))</f>
        <v/>
      </c>
      <c r="M116" s="61" t="n"/>
      <c r="N116" s="66">
        <f>IF(NOT((COUNTA($B116:$J116)+COUNTA($M116))&gt;0),"",IF((IF(B116="","Macroactividad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 OK","⚠ "&amp;LEFT(IF(B116="","Macroactividad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",""),LEN(IF(B116="","Macroactividad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",""))-3)))</f>
        <v/>
      </c>
      <c r="O116" s="67">
        <f>IF(NOT((COUNTA($B116:$J116)+COUNTA($M116))&gt;0),"",IF(ISNUMBER($D116),DATE(YEAR($D116),MONTH($D116),1),IF(ISNUMBER($E116),DATE(YEAR($E116),MONTH($E116),1),MesCiclo)))</f>
        <v/>
      </c>
      <c r="P116" s="68">
        <f>IF(OR($O116="",$O116&lt;&gt;MesCiclo),"",COUNTIF($O$5:$O116,MesCiclo))</f>
        <v/>
      </c>
    </row>
    <row r="117">
      <c r="A117" s="60">
        <f>IF(NOT((COUNTA($B117:$J117)+COUNTA($M117))&gt;0),"",COUNTIFS($L$5:$L117,"?*",$O$5:$O117,$O117))</f>
        <v/>
      </c>
      <c r="B117" s="61" t="n"/>
      <c r="C117" s="61" t="n"/>
      <c r="D117" s="62" t="n"/>
      <c r="E117" s="62" t="n"/>
      <c r="F117" s="63" t="n"/>
      <c r="G117" s="64" t="n"/>
      <c r="H117" s="64" t="n"/>
      <c r="I117" s="64" t="n"/>
      <c r="J117" s="64" t="n"/>
      <c r="K117" s="65">
        <f>IF(NOT((COUNTA($B117:$J117)+COUNTA($M117))&gt;0),"",IFERROR(LOOKUP(2,1/(G117:J117&lt;&gt;""),G117:J117),0))</f>
        <v/>
      </c>
      <c r="L117" s="60">
        <f>IF(K117="","",IF(K117&gt;=1,"Completado",IF(K117&gt;0,"En curso","Pendiente")))</f>
        <v/>
      </c>
      <c r="M117" s="61" t="n"/>
      <c r="N117" s="66">
        <f>IF(NOT((COUNTA($B117:$J117)+COUNTA($M117))&gt;0),"",IF((IF(B117="","Macroactividad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 OK","⚠ "&amp;LEFT(IF(B117="","Macroactividad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",""),LEN(IF(B117="","Macroactividad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",""))-3)))</f>
        <v/>
      </c>
      <c r="O117" s="67">
        <f>IF(NOT((COUNTA($B117:$J117)+COUNTA($M117))&gt;0),"",IF(ISNUMBER($D117),DATE(YEAR($D117),MONTH($D117),1),IF(ISNUMBER($E117),DATE(YEAR($E117),MONTH($E117),1),MesCiclo)))</f>
        <v/>
      </c>
      <c r="P117" s="68">
        <f>IF(OR($O117="",$O117&lt;&gt;MesCiclo),"",COUNTIF($O$5:$O117,MesCiclo))</f>
        <v/>
      </c>
    </row>
    <row r="118">
      <c r="A118" s="60">
        <f>IF(NOT((COUNTA($B118:$J118)+COUNTA($M118))&gt;0),"",COUNTIFS($L$5:$L118,"?*",$O$5:$O118,$O118))</f>
        <v/>
      </c>
      <c r="B118" s="61" t="n"/>
      <c r="C118" s="61" t="n"/>
      <c r="D118" s="62" t="n"/>
      <c r="E118" s="62" t="n"/>
      <c r="F118" s="63" t="n"/>
      <c r="G118" s="64" t="n"/>
      <c r="H118" s="64" t="n"/>
      <c r="I118" s="64" t="n"/>
      <c r="J118" s="64" t="n"/>
      <c r="K118" s="65">
        <f>IF(NOT((COUNTA($B118:$J118)+COUNTA($M118))&gt;0),"",IFERROR(LOOKUP(2,1/(G118:J118&lt;&gt;""),G118:J118),0))</f>
        <v/>
      </c>
      <c r="L118" s="60">
        <f>IF(K118="","",IF(K118&gt;=1,"Completado",IF(K118&gt;0,"En curso","Pendiente")))</f>
        <v/>
      </c>
      <c r="M118" s="61" t="n"/>
      <c r="N118" s="66">
        <f>IF(NOT((COUNTA($B118:$J118)+COUNTA($M118))&gt;0),"",IF((IF(B118="","Macroactividad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 OK","⚠ "&amp;LEFT(IF(B118="","Macroactividad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",""),LEN(IF(B118="","Macroactividad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",""))-3)))</f>
        <v/>
      </c>
      <c r="O118" s="67">
        <f>IF(NOT((COUNTA($B118:$J118)+COUNTA($M118))&gt;0),"",IF(ISNUMBER($D118),DATE(YEAR($D118),MONTH($D118),1),IF(ISNUMBER($E118),DATE(YEAR($E118),MONTH($E118),1),MesCiclo)))</f>
        <v/>
      </c>
      <c r="P118" s="68">
        <f>IF(OR($O118="",$O118&lt;&gt;MesCiclo),"",COUNTIF($O$5:$O118,MesCiclo))</f>
        <v/>
      </c>
    </row>
    <row r="119">
      <c r="A119" s="60">
        <f>IF(NOT((COUNTA($B119:$J119)+COUNTA($M119))&gt;0),"",COUNTIFS($L$5:$L119,"?*",$O$5:$O119,$O119))</f>
        <v/>
      </c>
      <c r="B119" s="61" t="n"/>
      <c r="C119" s="61" t="n"/>
      <c r="D119" s="62" t="n"/>
      <c r="E119" s="62" t="n"/>
      <c r="F119" s="63" t="n"/>
      <c r="G119" s="64" t="n"/>
      <c r="H119" s="64" t="n"/>
      <c r="I119" s="64" t="n"/>
      <c r="J119" s="64" t="n"/>
      <c r="K119" s="65">
        <f>IF(NOT((COUNTA($B119:$J119)+COUNTA($M119))&gt;0),"",IFERROR(LOOKUP(2,1/(G119:J119&lt;&gt;""),G119:J119),0))</f>
        <v/>
      </c>
      <c r="L119" s="60">
        <f>IF(K119="","",IF(K119&gt;=1,"Completado",IF(K119&gt;0,"En curso","Pendiente")))</f>
        <v/>
      </c>
      <c r="M119" s="61" t="n"/>
      <c r="N119" s="66">
        <f>IF(NOT((COUNTA($B119:$J119)+COUNTA($M119))&gt;0),"",IF((IF(B119="","Macroactividad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 OK","⚠ "&amp;LEFT(IF(B119="","Macroactividad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",""),LEN(IF(B119="","Macroactividad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",""))-3)))</f>
        <v/>
      </c>
      <c r="O119" s="67">
        <f>IF(NOT((COUNTA($B119:$J119)+COUNTA($M119))&gt;0),"",IF(ISNUMBER($D119),DATE(YEAR($D119),MONTH($D119),1),IF(ISNUMBER($E119),DATE(YEAR($E119),MONTH($E119),1),MesCiclo)))</f>
        <v/>
      </c>
      <c r="P119" s="68">
        <f>IF(OR($O119="",$O119&lt;&gt;MesCiclo),"",COUNTIF($O$5:$O119,MesCiclo))</f>
        <v/>
      </c>
    </row>
    <row r="120">
      <c r="A120" s="60">
        <f>IF(NOT((COUNTA($B120:$J120)+COUNTA($M120))&gt;0),"",COUNTIFS($L$5:$L120,"?*",$O$5:$O120,$O120))</f>
        <v/>
      </c>
      <c r="B120" s="61" t="n"/>
      <c r="C120" s="61" t="n"/>
      <c r="D120" s="62" t="n"/>
      <c r="E120" s="62" t="n"/>
      <c r="F120" s="63" t="n"/>
      <c r="G120" s="64" t="n"/>
      <c r="H120" s="64" t="n"/>
      <c r="I120" s="64" t="n"/>
      <c r="J120" s="64" t="n"/>
      <c r="K120" s="65">
        <f>IF(NOT((COUNTA($B120:$J120)+COUNTA($M120))&gt;0),"",IFERROR(LOOKUP(2,1/(G120:J120&lt;&gt;""),G120:J120),0))</f>
        <v/>
      </c>
      <c r="L120" s="60">
        <f>IF(K120="","",IF(K120&gt;=1,"Completado",IF(K120&gt;0,"En curso","Pendiente")))</f>
        <v/>
      </c>
      <c r="M120" s="61" t="n"/>
      <c r="N120" s="66">
        <f>IF(NOT((COUNTA($B120:$J120)+COUNTA($M120))&gt;0),"",IF((IF(B120="","Macroactividad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 OK","⚠ "&amp;LEFT(IF(B120="","Macroactividad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",""),LEN(IF(B120="","Macroactividad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",""))-3)))</f>
        <v/>
      </c>
      <c r="O120" s="67">
        <f>IF(NOT((COUNTA($B120:$J120)+COUNTA($M120))&gt;0),"",IF(ISNUMBER($D120),DATE(YEAR($D120),MONTH($D120),1),IF(ISNUMBER($E120),DATE(YEAR($E120),MONTH($E120),1),MesCiclo)))</f>
        <v/>
      </c>
      <c r="P120" s="68">
        <f>IF(OR($O120="",$O120&lt;&gt;MesCiclo),"",COUNTIF($O$5:$O120,MesCiclo))</f>
        <v/>
      </c>
    </row>
    <row r="121">
      <c r="A121" s="60">
        <f>IF(NOT((COUNTA($B121:$J121)+COUNTA($M121))&gt;0),"",COUNTIFS($L$5:$L121,"?*",$O$5:$O121,$O121))</f>
        <v/>
      </c>
      <c r="B121" s="61" t="n"/>
      <c r="C121" s="61" t="n"/>
      <c r="D121" s="62" t="n"/>
      <c r="E121" s="62" t="n"/>
      <c r="F121" s="63" t="n"/>
      <c r="G121" s="64" t="n"/>
      <c r="H121" s="64" t="n"/>
      <c r="I121" s="64" t="n"/>
      <c r="J121" s="64" t="n"/>
      <c r="K121" s="65">
        <f>IF(NOT((COUNTA($B121:$J121)+COUNTA($M121))&gt;0),"",IFERROR(LOOKUP(2,1/(G121:J121&lt;&gt;""),G121:J121),0))</f>
        <v/>
      </c>
      <c r="L121" s="60">
        <f>IF(K121="","",IF(K121&gt;=1,"Completado",IF(K121&gt;0,"En curso","Pendiente")))</f>
        <v/>
      </c>
      <c r="M121" s="61" t="n"/>
      <c r="N121" s="66">
        <f>IF(NOT((COUNTA($B121:$J121)+COUNTA($M121))&gt;0),"",IF((IF(B121="","Macroactividad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 OK","⚠ "&amp;LEFT(IF(B121="","Macroactividad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",""),LEN(IF(B121="","Macroactividad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",""))-3)))</f>
        <v/>
      </c>
      <c r="O121" s="67">
        <f>IF(NOT((COUNTA($B121:$J121)+COUNTA($M121))&gt;0),"",IF(ISNUMBER($D121),DATE(YEAR($D121),MONTH($D121),1),IF(ISNUMBER($E121),DATE(YEAR($E121),MONTH($E121),1),MesCiclo)))</f>
        <v/>
      </c>
      <c r="P121" s="68">
        <f>IF(OR($O121="",$O121&lt;&gt;MesCiclo),"",COUNTIF($O$5:$O121,MesCiclo))</f>
        <v/>
      </c>
    </row>
    <row r="122">
      <c r="A122" s="60">
        <f>IF(NOT((COUNTA($B122:$J122)+COUNTA($M122))&gt;0),"",COUNTIFS($L$5:$L122,"?*",$O$5:$O122,$O122))</f>
        <v/>
      </c>
      <c r="B122" s="61" t="n"/>
      <c r="C122" s="61" t="n"/>
      <c r="D122" s="62" t="n"/>
      <c r="E122" s="62" t="n"/>
      <c r="F122" s="63" t="n"/>
      <c r="G122" s="64" t="n"/>
      <c r="H122" s="64" t="n"/>
      <c r="I122" s="64" t="n"/>
      <c r="J122" s="64" t="n"/>
      <c r="K122" s="65">
        <f>IF(NOT((COUNTA($B122:$J122)+COUNTA($M122))&gt;0),"",IFERROR(LOOKUP(2,1/(G122:J122&lt;&gt;""),G122:J122),0))</f>
        <v/>
      </c>
      <c r="L122" s="60">
        <f>IF(K122="","",IF(K122&gt;=1,"Completado",IF(K122&gt;0,"En curso","Pendiente")))</f>
        <v/>
      </c>
      <c r="M122" s="61" t="n"/>
      <c r="N122" s="66">
        <f>IF(NOT((COUNTA($B122:$J122)+COUNTA($M122))&gt;0),"",IF((IF(B122="","Macroactividad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 OK","⚠ "&amp;LEFT(IF(B122="","Macroactividad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",""),LEN(IF(B122="","Macroactividad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",""))-3)))</f>
        <v/>
      </c>
      <c r="O122" s="67">
        <f>IF(NOT((COUNTA($B122:$J122)+COUNTA($M122))&gt;0),"",IF(ISNUMBER($D122),DATE(YEAR($D122),MONTH($D122),1),IF(ISNUMBER($E122),DATE(YEAR($E122),MONTH($E122),1),MesCiclo)))</f>
        <v/>
      </c>
      <c r="P122" s="68">
        <f>IF(OR($O122="",$O122&lt;&gt;MesCiclo),"",COUNTIF($O$5:$O122,MesCiclo))</f>
        <v/>
      </c>
    </row>
    <row r="123">
      <c r="A123" s="60">
        <f>IF(NOT((COUNTA($B123:$J123)+COUNTA($M123))&gt;0),"",COUNTIFS($L$5:$L123,"?*",$O$5:$O123,$O123))</f>
        <v/>
      </c>
      <c r="B123" s="61" t="n"/>
      <c r="C123" s="61" t="n"/>
      <c r="D123" s="62" t="n"/>
      <c r="E123" s="62" t="n"/>
      <c r="F123" s="63" t="n"/>
      <c r="G123" s="64" t="n"/>
      <c r="H123" s="64" t="n"/>
      <c r="I123" s="64" t="n"/>
      <c r="J123" s="64" t="n"/>
      <c r="K123" s="65">
        <f>IF(NOT((COUNTA($B123:$J123)+COUNTA($M123))&gt;0),"",IFERROR(LOOKUP(2,1/(G123:J123&lt;&gt;""),G123:J123),0))</f>
        <v/>
      </c>
      <c r="L123" s="60">
        <f>IF(K123="","",IF(K123&gt;=1,"Completado",IF(K123&gt;0,"En curso","Pendiente")))</f>
        <v/>
      </c>
      <c r="M123" s="61" t="n"/>
      <c r="N123" s="66">
        <f>IF(NOT((COUNTA($B123:$J123)+COUNTA($M123))&gt;0),"",IF((IF(B123="","Macroactividad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 OK","⚠ "&amp;LEFT(IF(B123="","Macroactividad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",""),LEN(IF(B123="","Macroactividad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",""))-3)))</f>
        <v/>
      </c>
      <c r="O123" s="67">
        <f>IF(NOT((COUNTA($B123:$J123)+COUNTA($M123))&gt;0),"",IF(ISNUMBER($D123),DATE(YEAR($D123),MONTH($D123),1),IF(ISNUMBER($E123),DATE(YEAR($E123),MONTH($E123),1),MesCiclo)))</f>
        <v/>
      </c>
      <c r="P123" s="68">
        <f>IF(OR($O123="",$O123&lt;&gt;MesCiclo),"",COUNTIF($O$5:$O123,MesCiclo))</f>
        <v/>
      </c>
    </row>
    <row r="124">
      <c r="A124" s="60">
        <f>IF(NOT((COUNTA($B124:$J124)+COUNTA($M124))&gt;0),"",COUNTIFS($L$5:$L124,"?*",$O$5:$O124,$O124))</f>
        <v/>
      </c>
      <c r="B124" s="61" t="n"/>
      <c r="C124" s="61" t="n"/>
      <c r="D124" s="62" t="n"/>
      <c r="E124" s="62" t="n"/>
      <c r="F124" s="63" t="n"/>
      <c r="G124" s="64" t="n"/>
      <c r="H124" s="64" t="n"/>
      <c r="I124" s="64" t="n"/>
      <c r="J124" s="64" t="n"/>
      <c r="K124" s="65">
        <f>IF(NOT((COUNTA($B124:$J124)+COUNTA($M124))&gt;0),"",IFERROR(LOOKUP(2,1/(G124:J124&lt;&gt;""),G124:J124),0))</f>
        <v/>
      </c>
      <c r="L124" s="60">
        <f>IF(K124="","",IF(K124&gt;=1,"Completado",IF(K124&gt;0,"En curso","Pendiente")))</f>
        <v/>
      </c>
      <c r="M124" s="61" t="n"/>
      <c r="N124" s="66">
        <f>IF(NOT((COUNTA($B124:$J124)+COUNTA($M124))&gt;0),"",IF((IF(B124="","Macroactividad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 OK","⚠ "&amp;LEFT(IF(B124="","Macroactividad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",""),LEN(IF(B124="","Macroactividad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",""))-3)))</f>
        <v/>
      </c>
      <c r="O124" s="67">
        <f>IF(NOT((COUNTA($B124:$J124)+COUNTA($M124))&gt;0),"",IF(ISNUMBER($D124),DATE(YEAR($D124),MONTH($D124),1),IF(ISNUMBER($E124),DATE(YEAR($E124),MONTH($E124),1),MesCiclo)))</f>
        <v/>
      </c>
      <c r="P124" s="68">
        <f>IF(OR($O124="",$O124&lt;&gt;MesCiclo),"",COUNTIF($O$5:$O124,MesCiclo))</f>
        <v/>
      </c>
    </row>
    <row r="125">
      <c r="A125" s="60">
        <f>IF(NOT((COUNTA($B125:$J125)+COUNTA($M125))&gt;0),"",COUNTIFS($L$5:$L125,"?*",$O$5:$O125,$O125))</f>
        <v/>
      </c>
      <c r="B125" s="61" t="n"/>
      <c r="C125" s="61" t="n"/>
      <c r="D125" s="62" t="n"/>
      <c r="E125" s="62" t="n"/>
      <c r="F125" s="63" t="n"/>
      <c r="G125" s="64" t="n"/>
      <c r="H125" s="64" t="n"/>
      <c r="I125" s="64" t="n"/>
      <c r="J125" s="64" t="n"/>
      <c r="K125" s="65">
        <f>IF(NOT((COUNTA($B125:$J125)+COUNTA($M125))&gt;0),"",IFERROR(LOOKUP(2,1/(G125:J125&lt;&gt;""),G125:J125),0))</f>
        <v/>
      </c>
      <c r="L125" s="60">
        <f>IF(K125="","",IF(K125&gt;=1,"Completado",IF(K125&gt;0,"En curso","Pendiente")))</f>
        <v/>
      </c>
      <c r="M125" s="61" t="n"/>
      <c r="N125" s="66">
        <f>IF(NOT((COUNTA($B125:$J125)+COUNTA($M125))&gt;0),"",IF((IF(B125="","Macroactividad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 OK","⚠ "&amp;LEFT(IF(B125="","Macroactividad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",""),LEN(IF(B125="","Macroactividad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",""))-3)))</f>
        <v/>
      </c>
      <c r="O125" s="67">
        <f>IF(NOT((COUNTA($B125:$J125)+COUNTA($M125))&gt;0),"",IF(ISNUMBER($D125),DATE(YEAR($D125),MONTH($D125),1),IF(ISNUMBER($E125),DATE(YEAR($E125),MONTH($E125),1),MesCiclo)))</f>
        <v/>
      </c>
      <c r="P125" s="68">
        <f>IF(OR($O125="",$O125&lt;&gt;MesCiclo),"",COUNTIF($O$5:$O125,MesCiclo))</f>
        <v/>
      </c>
    </row>
    <row r="126">
      <c r="A126" s="60">
        <f>IF(NOT((COUNTA($B126:$J126)+COUNTA($M126))&gt;0),"",COUNTIFS($L$5:$L126,"?*",$O$5:$O126,$O126))</f>
        <v/>
      </c>
      <c r="B126" s="61" t="n"/>
      <c r="C126" s="61" t="n"/>
      <c r="D126" s="62" t="n"/>
      <c r="E126" s="62" t="n"/>
      <c r="F126" s="63" t="n"/>
      <c r="G126" s="64" t="n"/>
      <c r="H126" s="64" t="n"/>
      <c r="I126" s="64" t="n"/>
      <c r="J126" s="64" t="n"/>
      <c r="K126" s="65">
        <f>IF(NOT((COUNTA($B126:$J126)+COUNTA($M126))&gt;0),"",IFERROR(LOOKUP(2,1/(G126:J126&lt;&gt;""),G126:J126),0))</f>
        <v/>
      </c>
      <c r="L126" s="60">
        <f>IF(K126="","",IF(K126&gt;=1,"Completado",IF(K126&gt;0,"En curso","Pendiente")))</f>
        <v/>
      </c>
      <c r="M126" s="61" t="n"/>
      <c r="N126" s="66">
        <f>IF(NOT((COUNTA($B126:$J126)+COUNTA($M126))&gt;0),"",IF((IF(B126="","Macroactividad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 OK","⚠ "&amp;LEFT(IF(B126="","Macroactividad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",""),LEN(IF(B126="","Macroactividad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",""))-3)))</f>
        <v/>
      </c>
      <c r="O126" s="67">
        <f>IF(NOT((COUNTA($B126:$J126)+COUNTA($M126))&gt;0),"",IF(ISNUMBER($D126),DATE(YEAR($D126),MONTH($D126),1),IF(ISNUMBER($E126),DATE(YEAR($E126),MONTH($E126),1),MesCiclo)))</f>
        <v/>
      </c>
      <c r="P126" s="68">
        <f>IF(OR($O126="",$O126&lt;&gt;MesCiclo),"",COUNTIF($O$5:$O126,MesCiclo))</f>
        <v/>
      </c>
    </row>
    <row r="127">
      <c r="A127" s="60">
        <f>IF(NOT((COUNTA($B127:$J127)+COUNTA($M127))&gt;0),"",COUNTIFS($L$5:$L127,"?*",$O$5:$O127,$O127))</f>
        <v/>
      </c>
      <c r="B127" s="61" t="n"/>
      <c r="C127" s="61" t="n"/>
      <c r="D127" s="62" t="n"/>
      <c r="E127" s="62" t="n"/>
      <c r="F127" s="63" t="n"/>
      <c r="G127" s="64" t="n"/>
      <c r="H127" s="64" t="n"/>
      <c r="I127" s="64" t="n"/>
      <c r="J127" s="64" t="n"/>
      <c r="K127" s="65">
        <f>IF(NOT((COUNTA($B127:$J127)+COUNTA($M127))&gt;0),"",IFERROR(LOOKUP(2,1/(G127:J127&lt;&gt;""),G127:J127),0))</f>
        <v/>
      </c>
      <c r="L127" s="60">
        <f>IF(K127="","",IF(K127&gt;=1,"Completado",IF(K127&gt;0,"En curso","Pendiente")))</f>
        <v/>
      </c>
      <c r="M127" s="61" t="n"/>
      <c r="N127" s="66">
        <f>IF(NOT((COUNTA($B127:$J127)+COUNTA($M127))&gt;0),"",IF((IF(B127="","Macroactividad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 OK","⚠ "&amp;LEFT(IF(B127="","Macroactividad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",""),LEN(IF(B127="","Macroactividad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",""))-3)))</f>
        <v/>
      </c>
      <c r="O127" s="67">
        <f>IF(NOT((COUNTA($B127:$J127)+COUNTA($M127))&gt;0),"",IF(ISNUMBER($D127),DATE(YEAR($D127),MONTH($D127),1),IF(ISNUMBER($E127),DATE(YEAR($E127),MONTH($E127),1),MesCiclo)))</f>
        <v/>
      </c>
      <c r="P127" s="68">
        <f>IF(OR($O127="",$O127&lt;&gt;MesCiclo),"",COUNTIF($O$5:$O127,MesCiclo))</f>
        <v/>
      </c>
    </row>
    <row r="128">
      <c r="A128" s="60">
        <f>IF(NOT((COUNTA($B128:$J128)+COUNTA($M128))&gt;0),"",COUNTIFS($L$5:$L128,"?*",$O$5:$O128,$O128))</f>
        <v/>
      </c>
      <c r="B128" s="61" t="n"/>
      <c r="C128" s="61" t="n"/>
      <c r="D128" s="62" t="n"/>
      <c r="E128" s="62" t="n"/>
      <c r="F128" s="63" t="n"/>
      <c r="G128" s="64" t="n"/>
      <c r="H128" s="64" t="n"/>
      <c r="I128" s="64" t="n"/>
      <c r="J128" s="64" t="n"/>
      <c r="K128" s="65">
        <f>IF(NOT((COUNTA($B128:$J128)+COUNTA($M128))&gt;0),"",IFERROR(LOOKUP(2,1/(G128:J128&lt;&gt;""),G128:J128),0))</f>
        <v/>
      </c>
      <c r="L128" s="60">
        <f>IF(K128="","",IF(K128&gt;=1,"Completado",IF(K128&gt;0,"En curso","Pendiente")))</f>
        <v/>
      </c>
      <c r="M128" s="61" t="n"/>
      <c r="N128" s="66">
        <f>IF(NOT((COUNTA($B128:$J128)+COUNTA($M128))&gt;0),"",IF((IF(B128="","Macroactividad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 OK","⚠ "&amp;LEFT(IF(B128="","Macroactividad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",""),LEN(IF(B128="","Macroactividad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",""))-3)))</f>
        <v/>
      </c>
      <c r="O128" s="67">
        <f>IF(NOT((COUNTA($B128:$J128)+COUNTA($M128))&gt;0),"",IF(ISNUMBER($D128),DATE(YEAR($D128),MONTH($D128),1),IF(ISNUMBER($E128),DATE(YEAR($E128),MONTH($E128),1),MesCiclo)))</f>
        <v/>
      </c>
      <c r="P128" s="68">
        <f>IF(OR($O128="",$O128&lt;&gt;MesCiclo),"",COUNTIF($O$5:$O128,MesCiclo))</f>
        <v/>
      </c>
    </row>
    <row r="129">
      <c r="A129" s="60">
        <f>IF(NOT((COUNTA($B129:$J129)+COUNTA($M129))&gt;0),"",COUNTIFS($L$5:$L129,"?*",$O$5:$O129,$O129))</f>
        <v/>
      </c>
      <c r="B129" s="61" t="n"/>
      <c r="C129" s="61" t="n"/>
      <c r="D129" s="62" t="n"/>
      <c r="E129" s="62" t="n"/>
      <c r="F129" s="63" t="n"/>
      <c r="G129" s="64" t="n"/>
      <c r="H129" s="64" t="n"/>
      <c r="I129" s="64" t="n"/>
      <c r="J129" s="64" t="n"/>
      <c r="K129" s="65">
        <f>IF(NOT((COUNTA($B129:$J129)+COUNTA($M129))&gt;0),"",IFERROR(LOOKUP(2,1/(G129:J129&lt;&gt;""),G129:J129),0))</f>
        <v/>
      </c>
      <c r="L129" s="60">
        <f>IF(K129="","",IF(K129&gt;=1,"Completado",IF(K129&gt;0,"En curso","Pendiente")))</f>
        <v/>
      </c>
      <c r="M129" s="61" t="n"/>
      <c r="N129" s="66">
        <f>IF(NOT((COUNTA($B129:$J129)+COUNTA($M129))&gt;0),"",IF((IF(B129="","Macroactividad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 OK","⚠ "&amp;LEFT(IF(B129="","Macroactividad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",""),LEN(IF(B129="","Macroactividad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",""))-3)))</f>
        <v/>
      </c>
      <c r="O129" s="67">
        <f>IF(NOT((COUNTA($B129:$J129)+COUNTA($M129))&gt;0),"",IF(ISNUMBER($D129),DATE(YEAR($D129),MONTH($D129),1),IF(ISNUMBER($E129),DATE(YEAR($E129),MONTH($E129),1),MesCiclo)))</f>
        <v/>
      </c>
      <c r="P129" s="68">
        <f>IF(OR($O129="",$O129&lt;&gt;MesCiclo),"",COUNTIF($O$5:$O129,MesCiclo))</f>
        <v/>
      </c>
    </row>
    <row r="130">
      <c r="A130" s="60">
        <f>IF(NOT((COUNTA($B130:$J130)+COUNTA($M130))&gt;0),"",COUNTIFS($L$5:$L130,"?*",$O$5:$O130,$O130))</f>
        <v/>
      </c>
      <c r="B130" s="61" t="n"/>
      <c r="C130" s="61" t="n"/>
      <c r="D130" s="62" t="n"/>
      <c r="E130" s="62" t="n"/>
      <c r="F130" s="63" t="n"/>
      <c r="G130" s="64" t="n"/>
      <c r="H130" s="64" t="n"/>
      <c r="I130" s="64" t="n"/>
      <c r="J130" s="64" t="n"/>
      <c r="K130" s="65">
        <f>IF(NOT((COUNTA($B130:$J130)+COUNTA($M130))&gt;0),"",IFERROR(LOOKUP(2,1/(G130:J130&lt;&gt;""),G130:J130),0))</f>
        <v/>
      </c>
      <c r="L130" s="60">
        <f>IF(K130="","",IF(K130&gt;=1,"Completado",IF(K130&gt;0,"En curso","Pendiente")))</f>
        <v/>
      </c>
      <c r="M130" s="61" t="n"/>
      <c r="N130" s="66">
        <f>IF(NOT((COUNTA($B130:$J130)+COUNTA($M130))&gt;0),"",IF((IF(B130="","Macroactividad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 OK","⚠ "&amp;LEFT(IF(B130="","Macroactividad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",""),LEN(IF(B130="","Macroactividad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",""))-3)))</f>
        <v/>
      </c>
      <c r="O130" s="67">
        <f>IF(NOT((COUNTA($B130:$J130)+COUNTA($M130))&gt;0),"",IF(ISNUMBER($D130),DATE(YEAR($D130),MONTH($D130),1),IF(ISNUMBER($E130),DATE(YEAR($E130),MONTH($E130),1),MesCiclo)))</f>
        <v/>
      </c>
      <c r="P130" s="68">
        <f>IF(OR($O130="",$O130&lt;&gt;MesCiclo),"",COUNTIF($O$5:$O130,MesCiclo))</f>
        <v/>
      </c>
    </row>
    <row r="131">
      <c r="A131" s="60">
        <f>IF(NOT((COUNTA($B131:$J131)+COUNTA($M131))&gt;0),"",COUNTIFS($L$5:$L131,"?*",$O$5:$O131,$O131))</f>
        <v/>
      </c>
      <c r="B131" s="61" t="n"/>
      <c r="C131" s="61" t="n"/>
      <c r="D131" s="62" t="n"/>
      <c r="E131" s="62" t="n"/>
      <c r="F131" s="63" t="n"/>
      <c r="G131" s="64" t="n"/>
      <c r="H131" s="64" t="n"/>
      <c r="I131" s="64" t="n"/>
      <c r="J131" s="64" t="n"/>
      <c r="K131" s="65">
        <f>IF(NOT((COUNTA($B131:$J131)+COUNTA($M131))&gt;0),"",IFERROR(LOOKUP(2,1/(G131:J131&lt;&gt;""),G131:J131),0))</f>
        <v/>
      </c>
      <c r="L131" s="60">
        <f>IF(K131="","",IF(K131&gt;=1,"Completado",IF(K131&gt;0,"En curso","Pendiente")))</f>
        <v/>
      </c>
      <c r="M131" s="61" t="n"/>
      <c r="N131" s="66">
        <f>IF(NOT((COUNTA($B131:$J131)+COUNTA($M131))&gt;0),"",IF((IF(B131="","Macroactividad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 OK","⚠ "&amp;LEFT(IF(B131="","Macroactividad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",""),LEN(IF(B131="","Macroactividad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",""))-3)))</f>
        <v/>
      </c>
      <c r="O131" s="67">
        <f>IF(NOT((COUNTA($B131:$J131)+COUNTA($M131))&gt;0),"",IF(ISNUMBER($D131),DATE(YEAR($D131),MONTH($D131),1),IF(ISNUMBER($E131),DATE(YEAR($E131),MONTH($E131),1),MesCiclo)))</f>
        <v/>
      </c>
      <c r="P131" s="68">
        <f>IF(OR($O131="",$O131&lt;&gt;MesCiclo),"",COUNTIF($O$5:$O131,MesCiclo))</f>
        <v/>
      </c>
    </row>
    <row r="132">
      <c r="A132" s="60">
        <f>IF(NOT((COUNTA($B132:$J132)+COUNTA($M132))&gt;0),"",COUNTIFS($L$5:$L132,"?*",$O$5:$O132,$O132))</f>
        <v/>
      </c>
      <c r="B132" s="61" t="n"/>
      <c r="C132" s="61" t="n"/>
      <c r="D132" s="62" t="n"/>
      <c r="E132" s="62" t="n"/>
      <c r="F132" s="63" t="n"/>
      <c r="G132" s="64" t="n"/>
      <c r="H132" s="64" t="n"/>
      <c r="I132" s="64" t="n"/>
      <c r="J132" s="64" t="n"/>
      <c r="K132" s="65">
        <f>IF(NOT((COUNTA($B132:$J132)+COUNTA($M132))&gt;0),"",IFERROR(LOOKUP(2,1/(G132:J132&lt;&gt;""),G132:J132),0))</f>
        <v/>
      </c>
      <c r="L132" s="60">
        <f>IF(K132="","",IF(K132&gt;=1,"Completado",IF(K132&gt;0,"En curso","Pendiente")))</f>
        <v/>
      </c>
      <c r="M132" s="61" t="n"/>
      <c r="N132" s="66">
        <f>IF(NOT((COUNTA($B132:$J132)+COUNTA($M132))&gt;0),"",IF((IF(B132="","Macroactividad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 OK","⚠ "&amp;LEFT(IF(B132="","Macroactividad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",""),LEN(IF(B132="","Macroactividad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",""))-3)))</f>
        <v/>
      </c>
      <c r="O132" s="67">
        <f>IF(NOT((COUNTA($B132:$J132)+COUNTA($M132))&gt;0),"",IF(ISNUMBER($D132),DATE(YEAR($D132),MONTH($D132),1),IF(ISNUMBER($E132),DATE(YEAR($E132),MONTH($E132),1),MesCiclo)))</f>
        <v/>
      </c>
      <c r="P132" s="68">
        <f>IF(OR($O132="",$O132&lt;&gt;MesCiclo),"",COUNTIF($O$5:$O132,MesCiclo))</f>
        <v/>
      </c>
    </row>
    <row r="133">
      <c r="A133" s="60">
        <f>IF(NOT((COUNTA($B133:$J133)+COUNTA($M133))&gt;0),"",COUNTIFS($L$5:$L133,"?*",$O$5:$O133,$O133))</f>
        <v/>
      </c>
      <c r="B133" s="61" t="n"/>
      <c r="C133" s="61" t="n"/>
      <c r="D133" s="62" t="n"/>
      <c r="E133" s="62" t="n"/>
      <c r="F133" s="63" t="n"/>
      <c r="G133" s="64" t="n"/>
      <c r="H133" s="64" t="n"/>
      <c r="I133" s="64" t="n"/>
      <c r="J133" s="64" t="n"/>
      <c r="K133" s="65">
        <f>IF(NOT((COUNTA($B133:$J133)+COUNTA($M133))&gt;0),"",IFERROR(LOOKUP(2,1/(G133:J133&lt;&gt;""),G133:J133),0))</f>
        <v/>
      </c>
      <c r="L133" s="60">
        <f>IF(K133="","",IF(K133&gt;=1,"Completado",IF(K133&gt;0,"En curso","Pendiente")))</f>
        <v/>
      </c>
      <c r="M133" s="61" t="n"/>
      <c r="N133" s="66">
        <f>IF(NOT((COUNTA($B133:$J133)+COUNTA($M133))&gt;0),"",IF((IF(B133="","Macroactividad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 OK","⚠ "&amp;LEFT(IF(B133="","Macroactividad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",""),LEN(IF(B133="","Macroactividad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",""))-3)))</f>
        <v/>
      </c>
      <c r="O133" s="67">
        <f>IF(NOT((COUNTA($B133:$J133)+COUNTA($M133))&gt;0),"",IF(ISNUMBER($D133),DATE(YEAR($D133),MONTH($D133),1),IF(ISNUMBER($E133),DATE(YEAR($E133),MONTH($E133),1),MesCiclo)))</f>
        <v/>
      </c>
      <c r="P133" s="68">
        <f>IF(OR($O133="",$O133&lt;&gt;MesCiclo),"",COUNTIF($O$5:$O133,MesCiclo))</f>
        <v/>
      </c>
    </row>
    <row r="134">
      <c r="A134" s="60">
        <f>IF(NOT((COUNTA($B134:$J134)+COUNTA($M134))&gt;0),"",COUNTIFS($L$5:$L134,"?*",$O$5:$O134,$O134))</f>
        <v/>
      </c>
      <c r="B134" s="61" t="n"/>
      <c r="C134" s="61" t="n"/>
      <c r="D134" s="62" t="n"/>
      <c r="E134" s="62" t="n"/>
      <c r="F134" s="63" t="n"/>
      <c r="G134" s="64" t="n"/>
      <c r="H134" s="64" t="n"/>
      <c r="I134" s="64" t="n"/>
      <c r="J134" s="64" t="n"/>
      <c r="K134" s="65">
        <f>IF(NOT((COUNTA($B134:$J134)+COUNTA($M134))&gt;0),"",IFERROR(LOOKUP(2,1/(G134:J134&lt;&gt;""),G134:J134),0))</f>
        <v/>
      </c>
      <c r="L134" s="60">
        <f>IF(K134="","",IF(K134&gt;=1,"Completado",IF(K134&gt;0,"En curso","Pendiente")))</f>
        <v/>
      </c>
      <c r="M134" s="61" t="n"/>
      <c r="N134" s="66">
        <f>IF(NOT((COUNTA($B134:$J134)+COUNTA($M134))&gt;0),"",IF((IF(B134="","Macroactividad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 OK","⚠ "&amp;LEFT(IF(B134="","Macroactividad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",""),LEN(IF(B134="","Macroactividad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",""))-3)))</f>
        <v/>
      </c>
      <c r="O134" s="67">
        <f>IF(NOT((COUNTA($B134:$J134)+COUNTA($M134))&gt;0),"",IF(ISNUMBER($D134),DATE(YEAR($D134),MONTH($D134),1),IF(ISNUMBER($E134),DATE(YEAR($E134),MONTH($E134),1),MesCiclo)))</f>
        <v/>
      </c>
      <c r="P134" s="68">
        <f>IF(OR($O134="",$O134&lt;&gt;MesCiclo),"",COUNTIF($O$5:$O134,MesCiclo))</f>
        <v/>
      </c>
    </row>
    <row r="135">
      <c r="A135" s="60">
        <f>IF(NOT((COUNTA($B135:$J135)+COUNTA($M135))&gt;0),"",COUNTIFS($L$5:$L135,"?*",$O$5:$O135,$O135))</f>
        <v/>
      </c>
      <c r="B135" s="61" t="n"/>
      <c r="C135" s="61" t="n"/>
      <c r="D135" s="62" t="n"/>
      <c r="E135" s="62" t="n"/>
      <c r="F135" s="63" t="n"/>
      <c r="G135" s="64" t="n"/>
      <c r="H135" s="64" t="n"/>
      <c r="I135" s="64" t="n"/>
      <c r="J135" s="64" t="n"/>
      <c r="K135" s="65">
        <f>IF(NOT((COUNTA($B135:$J135)+COUNTA($M135))&gt;0),"",IFERROR(LOOKUP(2,1/(G135:J135&lt;&gt;""),G135:J135),0))</f>
        <v/>
      </c>
      <c r="L135" s="60">
        <f>IF(K135="","",IF(K135&gt;=1,"Completado",IF(K135&gt;0,"En curso","Pendiente")))</f>
        <v/>
      </c>
      <c r="M135" s="61" t="n"/>
      <c r="N135" s="66">
        <f>IF(NOT((COUNTA($B135:$J135)+COUNTA($M135))&gt;0),"",IF((IF(B135="","Macroactividad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 OK","⚠ "&amp;LEFT(IF(B135="","Macroactividad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",""),LEN(IF(B135="","Macroactividad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",""))-3)))</f>
        <v/>
      </c>
      <c r="O135" s="67">
        <f>IF(NOT((COUNTA($B135:$J135)+COUNTA($M135))&gt;0),"",IF(ISNUMBER($D135),DATE(YEAR($D135),MONTH($D135),1),IF(ISNUMBER($E135),DATE(YEAR($E135),MONTH($E135),1),MesCiclo)))</f>
        <v/>
      </c>
      <c r="P135" s="68">
        <f>IF(OR($O135="",$O135&lt;&gt;MesCiclo),"",COUNTIF($O$5:$O135,MesCiclo))</f>
        <v/>
      </c>
    </row>
    <row r="136">
      <c r="A136" s="60">
        <f>IF(NOT((COUNTA($B136:$J136)+COUNTA($M136))&gt;0),"",COUNTIFS($L$5:$L136,"?*",$O$5:$O136,$O136))</f>
        <v/>
      </c>
      <c r="B136" s="61" t="n"/>
      <c r="C136" s="61" t="n"/>
      <c r="D136" s="62" t="n"/>
      <c r="E136" s="62" t="n"/>
      <c r="F136" s="63" t="n"/>
      <c r="G136" s="64" t="n"/>
      <c r="H136" s="64" t="n"/>
      <c r="I136" s="64" t="n"/>
      <c r="J136" s="64" t="n"/>
      <c r="K136" s="65">
        <f>IF(NOT((COUNTA($B136:$J136)+COUNTA($M136))&gt;0),"",IFERROR(LOOKUP(2,1/(G136:J136&lt;&gt;""),G136:J136),0))</f>
        <v/>
      </c>
      <c r="L136" s="60">
        <f>IF(K136="","",IF(K136&gt;=1,"Completado",IF(K136&gt;0,"En curso","Pendiente")))</f>
        <v/>
      </c>
      <c r="M136" s="61" t="n"/>
      <c r="N136" s="66">
        <f>IF(NOT((COUNTA($B136:$J136)+COUNTA($M136))&gt;0),"",IF((IF(B136="","Macroactividad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 OK","⚠ "&amp;LEFT(IF(B136="","Macroactividad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",""),LEN(IF(B136="","Macroactividad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",""))-3)))</f>
        <v/>
      </c>
      <c r="O136" s="67">
        <f>IF(NOT((COUNTA($B136:$J136)+COUNTA($M136))&gt;0),"",IF(ISNUMBER($D136),DATE(YEAR($D136),MONTH($D136),1),IF(ISNUMBER($E136),DATE(YEAR($E136),MONTH($E136),1),MesCiclo)))</f>
        <v/>
      </c>
      <c r="P136" s="68">
        <f>IF(OR($O136="",$O136&lt;&gt;MesCiclo),"",COUNTIF($O$5:$O136,MesCiclo))</f>
        <v/>
      </c>
    </row>
    <row r="137">
      <c r="A137" s="60">
        <f>IF(NOT((COUNTA($B137:$J137)+COUNTA($M137))&gt;0),"",COUNTIFS($L$5:$L137,"?*",$O$5:$O137,$O137))</f>
        <v/>
      </c>
      <c r="B137" s="61" t="n"/>
      <c r="C137" s="61" t="n"/>
      <c r="D137" s="62" t="n"/>
      <c r="E137" s="62" t="n"/>
      <c r="F137" s="63" t="n"/>
      <c r="G137" s="64" t="n"/>
      <c r="H137" s="64" t="n"/>
      <c r="I137" s="64" t="n"/>
      <c r="J137" s="64" t="n"/>
      <c r="K137" s="65">
        <f>IF(NOT((COUNTA($B137:$J137)+COUNTA($M137))&gt;0),"",IFERROR(LOOKUP(2,1/(G137:J137&lt;&gt;""),G137:J137),0))</f>
        <v/>
      </c>
      <c r="L137" s="60">
        <f>IF(K137="","",IF(K137&gt;=1,"Completado",IF(K137&gt;0,"En curso","Pendiente")))</f>
        <v/>
      </c>
      <c r="M137" s="61" t="n"/>
      <c r="N137" s="66">
        <f>IF(NOT((COUNTA($B137:$J137)+COUNTA($M137))&gt;0),"",IF((IF(B137="","Macroactividad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 OK","⚠ "&amp;LEFT(IF(B137="","Macroactividad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",""),LEN(IF(B137="","Macroactividad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",""))-3)))</f>
        <v/>
      </c>
      <c r="O137" s="67">
        <f>IF(NOT((COUNTA($B137:$J137)+COUNTA($M137))&gt;0),"",IF(ISNUMBER($D137),DATE(YEAR($D137),MONTH($D137),1),IF(ISNUMBER($E137),DATE(YEAR($E137),MONTH($E137),1),MesCiclo)))</f>
        <v/>
      </c>
      <c r="P137" s="68">
        <f>IF(OR($O137="",$O137&lt;&gt;MesCiclo),"",COUNTIF($O$5:$O137,MesCiclo))</f>
        <v/>
      </c>
    </row>
    <row r="138">
      <c r="A138" s="60">
        <f>IF(NOT((COUNTA($B138:$J138)+COUNTA($M138))&gt;0),"",COUNTIFS($L$5:$L138,"?*",$O$5:$O138,$O138))</f>
        <v/>
      </c>
      <c r="B138" s="61" t="n"/>
      <c r="C138" s="61" t="n"/>
      <c r="D138" s="62" t="n"/>
      <c r="E138" s="62" t="n"/>
      <c r="F138" s="63" t="n"/>
      <c r="G138" s="64" t="n"/>
      <c r="H138" s="64" t="n"/>
      <c r="I138" s="64" t="n"/>
      <c r="J138" s="64" t="n"/>
      <c r="K138" s="65">
        <f>IF(NOT((COUNTA($B138:$J138)+COUNTA($M138))&gt;0),"",IFERROR(LOOKUP(2,1/(G138:J138&lt;&gt;""),G138:J138),0))</f>
        <v/>
      </c>
      <c r="L138" s="60">
        <f>IF(K138="","",IF(K138&gt;=1,"Completado",IF(K138&gt;0,"En curso","Pendiente")))</f>
        <v/>
      </c>
      <c r="M138" s="61" t="n"/>
      <c r="N138" s="66">
        <f>IF(NOT((COUNTA($B138:$J138)+COUNTA($M138))&gt;0),"",IF((IF(B138="","Macroactividad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 OK","⚠ "&amp;LEFT(IF(B138="","Macroactividad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",""),LEN(IF(B138="","Macroactividad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",""))-3)))</f>
        <v/>
      </c>
      <c r="O138" s="67">
        <f>IF(NOT((COUNTA($B138:$J138)+COUNTA($M138))&gt;0),"",IF(ISNUMBER($D138),DATE(YEAR($D138),MONTH($D138),1),IF(ISNUMBER($E138),DATE(YEAR($E138),MONTH($E138),1),MesCiclo)))</f>
        <v/>
      </c>
      <c r="P138" s="68">
        <f>IF(OR($O138="",$O138&lt;&gt;MesCiclo),"",COUNTIF($O$5:$O138,MesCiclo))</f>
        <v/>
      </c>
    </row>
    <row r="139">
      <c r="A139" s="60">
        <f>IF(NOT((COUNTA($B139:$J139)+COUNTA($M139))&gt;0),"",COUNTIFS($L$5:$L139,"?*",$O$5:$O139,$O139))</f>
        <v/>
      </c>
      <c r="B139" s="61" t="n"/>
      <c r="C139" s="61" t="n"/>
      <c r="D139" s="62" t="n"/>
      <c r="E139" s="62" t="n"/>
      <c r="F139" s="63" t="n"/>
      <c r="G139" s="64" t="n"/>
      <c r="H139" s="64" t="n"/>
      <c r="I139" s="64" t="n"/>
      <c r="J139" s="64" t="n"/>
      <c r="K139" s="65">
        <f>IF(NOT((COUNTA($B139:$J139)+COUNTA($M139))&gt;0),"",IFERROR(LOOKUP(2,1/(G139:J139&lt;&gt;""),G139:J139),0))</f>
        <v/>
      </c>
      <c r="L139" s="60">
        <f>IF(K139="","",IF(K139&gt;=1,"Completado",IF(K139&gt;0,"En curso","Pendiente")))</f>
        <v/>
      </c>
      <c r="M139" s="61" t="n"/>
      <c r="N139" s="66">
        <f>IF(NOT((COUNTA($B139:$J139)+COUNTA($M139))&gt;0),"",IF((IF(B139="","Macroactividad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 OK","⚠ "&amp;LEFT(IF(B139="","Macroactividad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",""),LEN(IF(B139="","Macroactividad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",""))-3)))</f>
        <v/>
      </c>
      <c r="O139" s="67">
        <f>IF(NOT((COUNTA($B139:$J139)+COUNTA($M139))&gt;0),"",IF(ISNUMBER($D139),DATE(YEAR($D139),MONTH($D139),1),IF(ISNUMBER($E139),DATE(YEAR($E139),MONTH($E139),1),MesCiclo)))</f>
        <v/>
      </c>
      <c r="P139" s="68">
        <f>IF(OR($O139="",$O139&lt;&gt;MesCiclo),"",COUNTIF($O$5:$O139,MesCiclo))</f>
        <v/>
      </c>
    </row>
    <row r="140">
      <c r="A140" s="60">
        <f>IF(NOT((COUNTA($B140:$J140)+COUNTA($M140))&gt;0),"",COUNTIFS($L$5:$L140,"?*",$O$5:$O140,$O140))</f>
        <v/>
      </c>
      <c r="B140" s="61" t="n"/>
      <c r="C140" s="61" t="n"/>
      <c r="D140" s="62" t="n"/>
      <c r="E140" s="62" t="n"/>
      <c r="F140" s="63" t="n"/>
      <c r="G140" s="64" t="n"/>
      <c r="H140" s="64" t="n"/>
      <c r="I140" s="64" t="n"/>
      <c r="J140" s="64" t="n"/>
      <c r="K140" s="65">
        <f>IF(NOT((COUNTA($B140:$J140)+COUNTA($M140))&gt;0),"",IFERROR(LOOKUP(2,1/(G140:J140&lt;&gt;""),G140:J140),0))</f>
        <v/>
      </c>
      <c r="L140" s="60">
        <f>IF(K140="","",IF(K140&gt;=1,"Completado",IF(K140&gt;0,"En curso","Pendiente")))</f>
        <v/>
      </c>
      <c r="M140" s="61" t="n"/>
      <c r="N140" s="66">
        <f>IF(NOT((COUNTA($B140:$J140)+COUNTA($M140))&gt;0),"",IF((IF(B140="","Macroactividad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 OK","⚠ "&amp;LEFT(IF(B140="","Macroactividad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",""),LEN(IF(B140="","Macroactividad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",""))-3)))</f>
        <v/>
      </c>
      <c r="O140" s="67">
        <f>IF(NOT((COUNTA($B140:$J140)+COUNTA($M140))&gt;0),"",IF(ISNUMBER($D140),DATE(YEAR($D140),MONTH($D140),1),IF(ISNUMBER($E140),DATE(YEAR($E140),MONTH($E140),1),MesCiclo)))</f>
        <v/>
      </c>
      <c r="P140" s="68">
        <f>IF(OR($O140="",$O140&lt;&gt;MesCiclo),"",COUNTIF($O$5:$O140,MesCiclo))</f>
        <v/>
      </c>
    </row>
    <row r="141">
      <c r="A141" s="60">
        <f>IF(NOT((COUNTA($B141:$J141)+COUNTA($M141))&gt;0),"",COUNTIFS($L$5:$L141,"?*",$O$5:$O141,$O141))</f>
        <v/>
      </c>
      <c r="B141" s="61" t="n"/>
      <c r="C141" s="61" t="n"/>
      <c r="D141" s="62" t="n"/>
      <c r="E141" s="62" t="n"/>
      <c r="F141" s="63" t="n"/>
      <c r="G141" s="64" t="n"/>
      <c r="H141" s="64" t="n"/>
      <c r="I141" s="64" t="n"/>
      <c r="J141" s="64" t="n"/>
      <c r="K141" s="65">
        <f>IF(NOT((COUNTA($B141:$J141)+COUNTA($M141))&gt;0),"",IFERROR(LOOKUP(2,1/(G141:J141&lt;&gt;""),G141:J141),0))</f>
        <v/>
      </c>
      <c r="L141" s="60">
        <f>IF(K141="","",IF(K141&gt;=1,"Completado",IF(K141&gt;0,"En curso","Pendiente")))</f>
        <v/>
      </c>
      <c r="M141" s="61" t="n"/>
      <c r="N141" s="66">
        <f>IF(NOT((COUNTA($B141:$J141)+COUNTA($M141))&gt;0),"",IF((IF(B141="","Macroactividad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 OK","⚠ "&amp;LEFT(IF(B141="","Macroactividad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",""),LEN(IF(B141="","Macroactividad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",""))-3)))</f>
        <v/>
      </c>
      <c r="O141" s="67">
        <f>IF(NOT((COUNTA($B141:$J141)+COUNTA($M141))&gt;0),"",IF(ISNUMBER($D141),DATE(YEAR($D141),MONTH($D141),1),IF(ISNUMBER($E141),DATE(YEAR($E141),MONTH($E141),1),MesCiclo)))</f>
        <v/>
      </c>
      <c r="P141" s="68">
        <f>IF(OR($O141="",$O141&lt;&gt;MesCiclo),"",COUNTIF($O$5:$O141,MesCiclo))</f>
        <v/>
      </c>
    </row>
    <row r="142">
      <c r="A142" s="60">
        <f>IF(NOT((COUNTA($B142:$J142)+COUNTA($M142))&gt;0),"",COUNTIFS($L$5:$L142,"?*",$O$5:$O142,$O142))</f>
        <v/>
      </c>
      <c r="B142" s="61" t="n"/>
      <c r="C142" s="61" t="n"/>
      <c r="D142" s="62" t="n"/>
      <c r="E142" s="62" t="n"/>
      <c r="F142" s="63" t="n"/>
      <c r="G142" s="64" t="n"/>
      <c r="H142" s="64" t="n"/>
      <c r="I142" s="64" t="n"/>
      <c r="J142" s="64" t="n"/>
      <c r="K142" s="65">
        <f>IF(NOT((COUNTA($B142:$J142)+COUNTA($M142))&gt;0),"",IFERROR(LOOKUP(2,1/(G142:J142&lt;&gt;""),G142:J142),0))</f>
        <v/>
      </c>
      <c r="L142" s="60">
        <f>IF(K142="","",IF(K142&gt;=1,"Completado",IF(K142&gt;0,"En curso","Pendiente")))</f>
        <v/>
      </c>
      <c r="M142" s="61" t="n"/>
      <c r="N142" s="66">
        <f>IF(NOT((COUNTA($B142:$J142)+COUNTA($M142))&gt;0),"",IF((IF(B142="","Macroactividad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 OK","⚠ "&amp;LEFT(IF(B142="","Macroactividad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",""),LEN(IF(B142="","Macroactividad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",""))-3)))</f>
        <v/>
      </c>
      <c r="O142" s="67">
        <f>IF(NOT((COUNTA($B142:$J142)+COUNTA($M142))&gt;0),"",IF(ISNUMBER($D142),DATE(YEAR($D142),MONTH($D142),1),IF(ISNUMBER($E142),DATE(YEAR($E142),MONTH($E142),1),MesCiclo)))</f>
        <v/>
      </c>
      <c r="P142" s="68">
        <f>IF(OR($O142="",$O142&lt;&gt;MesCiclo),"",COUNTIF($O$5:$O142,MesCiclo))</f>
        <v/>
      </c>
    </row>
    <row r="143">
      <c r="A143" s="60">
        <f>IF(NOT((COUNTA($B143:$J143)+COUNTA($M143))&gt;0),"",COUNTIFS($L$5:$L143,"?*",$O$5:$O143,$O143))</f>
        <v/>
      </c>
      <c r="B143" s="61" t="n"/>
      <c r="C143" s="61" t="n"/>
      <c r="D143" s="62" t="n"/>
      <c r="E143" s="62" t="n"/>
      <c r="F143" s="63" t="n"/>
      <c r="G143" s="64" t="n"/>
      <c r="H143" s="64" t="n"/>
      <c r="I143" s="64" t="n"/>
      <c r="J143" s="64" t="n"/>
      <c r="K143" s="65">
        <f>IF(NOT((COUNTA($B143:$J143)+COUNTA($M143))&gt;0),"",IFERROR(LOOKUP(2,1/(G143:J143&lt;&gt;""),G143:J143),0))</f>
        <v/>
      </c>
      <c r="L143" s="60">
        <f>IF(K143="","",IF(K143&gt;=1,"Completado",IF(K143&gt;0,"En curso","Pendiente")))</f>
        <v/>
      </c>
      <c r="M143" s="61" t="n"/>
      <c r="N143" s="66">
        <f>IF(NOT((COUNTA($B143:$J143)+COUNTA($M143))&gt;0),"",IF((IF(B143="","Macroactividad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 OK","⚠ "&amp;LEFT(IF(B143="","Macroactividad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",""),LEN(IF(B143="","Macroactividad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",""))-3)))</f>
        <v/>
      </c>
      <c r="O143" s="67">
        <f>IF(NOT((COUNTA($B143:$J143)+COUNTA($M143))&gt;0),"",IF(ISNUMBER($D143),DATE(YEAR($D143),MONTH($D143),1),IF(ISNUMBER($E143),DATE(YEAR($E143),MONTH($E143),1),MesCiclo)))</f>
        <v/>
      </c>
      <c r="P143" s="68">
        <f>IF(OR($O143="",$O143&lt;&gt;MesCiclo),"",COUNTIF($O$5:$O143,MesCiclo))</f>
        <v/>
      </c>
    </row>
    <row r="144">
      <c r="A144" s="60">
        <f>IF(NOT((COUNTA($B144:$J144)+COUNTA($M144))&gt;0),"",COUNTIFS($L$5:$L144,"?*",$O$5:$O144,$O144))</f>
        <v/>
      </c>
      <c r="B144" s="61" t="n"/>
      <c r="C144" s="61" t="n"/>
      <c r="D144" s="62" t="n"/>
      <c r="E144" s="62" t="n"/>
      <c r="F144" s="63" t="n"/>
      <c r="G144" s="64" t="n"/>
      <c r="H144" s="64" t="n"/>
      <c r="I144" s="64" t="n"/>
      <c r="J144" s="64" t="n"/>
      <c r="K144" s="65">
        <f>IF(NOT((COUNTA($B144:$J144)+COUNTA($M144))&gt;0),"",IFERROR(LOOKUP(2,1/(G144:J144&lt;&gt;""),G144:J144),0))</f>
        <v/>
      </c>
      <c r="L144" s="60">
        <f>IF(K144="","",IF(K144&gt;=1,"Completado",IF(K144&gt;0,"En curso","Pendiente")))</f>
        <v/>
      </c>
      <c r="M144" s="61" t="n"/>
      <c r="N144" s="66">
        <f>IF(NOT((COUNTA($B144:$J144)+COUNTA($M144))&gt;0),"",IF((IF(B144="","Macroactividad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 OK","⚠ "&amp;LEFT(IF(B144="","Macroactividad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",""),LEN(IF(B144="","Macroactividad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",""))-3)))</f>
        <v/>
      </c>
      <c r="O144" s="67">
        <f>IF(NOT((COUNTA($B144:$J144)+COUNTA($M144))&gt;0),"",IF(ISNUMBER($D144),DATE(YEAR($D144),MONTH($D144),1),IF(ISNUMBER($E144),DATE(YEAR($E144),MONTH($E144),1),MesCiclo)))</f>
        <v/>
      </c>
      <c r="P144" s="68">
        <f>IF(OR($O144="",$O144&lt;&gt;MesCiclo),"",COUNTIF($O$5:$O144,MesCiclo))</f>
        <v/>
      </c>
    </row>
    <row r="145">
      <c r="A145" s="60">
        <f>IF(NOT((COUNTA($B145:$J145)+COUNTA($M145))&gt;0),"",COUNTIFS($L$5:$L145,"?*",$O$5:$O145,$O145))</f>
        <v/>
      </c>
      <c r="B145" s="61" t="n"/>
      <c r="C145" s="61" t="n"/>
      <c r="D145" s="62" t="n"/>
      <c r="E145" s="62" t="n"/>
      <c r="F145" s="63" t="n"/>
      <c r="G145" s="64" t="n"/>
      <c r="H145" s="64" t="n"/>
      <c r="I145" s="64" t="n"/>
      <c r="J145" s="64" t="n"/>
      <c r="K145" s="65">
        <f>IF(NOT((COUNTA($B145:$J145)+COUNTA($M145))&gt;0),"",IFERROR(LOOKUP(2,1/(G145:J145&lt;&gt;""),G145:J145),0))</f>
        <v/>
      </c>
      <c r="L145" s="60">
        <f>IF(K145="","",IF(K145&gt;=1,"Completado",IF(K145&gt;0,"En curso","Pendiente")))</f>
        <v/>
      </c>
      <c r="M145" s="61" t="n"/>
      <c r="N145" s="66">
        <f>IF(NOT((COUNTA($B145:$J145)+COUNTA($M145))&gt;0),"",IF((IF(B145="","Macroactividad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 OK","⚠ "&amp;LEFT(IF(B145="","Macroactividad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",""),LEN(IF(B145="","Macroactividad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",""))-3)))</f>
        <v/>
      </c>
      <c r="O145" s="67">
        <f>IF(NOT((COUNTA($B145:$J145)+COUNTA($M145))&gt;0),"",IF(ISNUMBER($D145),DATE(YEAR($D145),MONTH($D145),1),IF(ISNUMBER($E145),DATE(YEAR($E145),MONTH($E145),1),MesCiclo)))</f>
        <v/>
      </c>
      <c r="P145" s="68">
        <f>IF(OR($O145="",$O145&lt;&gt;MesCiclo),"",COUNTIF($O$5:$O145,MesCiclo))</f>
        <v/>
      </c>
    </row>
    <row r="146">
      <c r="A146" s="60">
        <f>IF(NOT((COUNTA($B146:$J146)+COUNTA($M146))&gt;0),"",COUNTIFS($L$5:$L146,"?*",$O$5:$O146,$O146))</f>
        <v/>
      </c>
      <c r="B146" s="61" t="n"/>
      <c r="C146" s="61" t="n"/>
      <c r="D146" s="62" t="n"/>
      <c r="E146" s="62" t="n"/>
      <c r="F146" s="63" t="n"/>
      <c r="G146" s="64" t="n"/>
      <c r="H146" s="64" t="n"/>
      <c r="I146" s="64" t="n"/>
      <c r="J146" s="64" t="n"/>
      <c r="K146" s="65">
        <f>IF(NOT((COUNTA($B146:$J146)+COUNTA($M146))&gt;0),"",IFERROR(LOOKUP(2,1/(G146:J146&lt;&gt;""),G146:J146),0))</f>
        <v/>
      </c>
      <c r="L146" s="60">
        <f>IF(K146="","",IF(K146&gt;=1,"Completado",IF(K146&gt;0,"En curso","Pendiente")))</f>
        <v/>
      </c>
      <c r="M146" s="61" t="n"/>
      <c r="N146" s="66">
        <f>IF(NOT((COUNTA($B146:$J146)+COUNTA($M146))&gt;0),"",IF((IF(B146="","Macroactividad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 OK","⚠ "&amp;LEFT(IF(B146="","Macroactividad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",""),LEN(IF(B146="","Macroactividad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",""))-3)))</f>
        <v/>
      </c>
      <c r="O146" s="67">
        <f>IF(NOT((COUNTA($B146:$J146)+COUNTA($M146))&gt;0),"",IF(ISNUMBER($D146),DATE(YEAR($D146),MONTH($D146),1),IF(ISNUMBER($E146),DATE(YEAR($E146),MONTH($E146),1),MesCiclo)))</f>
        <v/>
      </c>
      <c r="P146" s="68">
        <f>IF(OR($O146="",$O146&lt;&gt;MesCiclo),"",COUNTIF($O$5:$O146,MesCiclo))</f>
        <v/>
      </c>
    </row>
    <row r="147">
      <c r="A147" s="60">
        <f>IF(NOT((COUNTA($B147:$J147)+COUNTA($M147))&gt;0),"",COUNTIFS($L$5:$L147,"?*",$O$5:$O147,$O147))</f>
        <v/>
      </c>
      <c r="B147" s="61" t="n"/>
      <c r="C147" s="61" t="n"/>
      <c r="D147" s="62" t="n"/>
      <c r="E147" s="62" t="n"/>
      <c r="F147" s="63" t="n"/>
      <c r="G147" s="64" t="n"/>
      <c r="H147" s="64" t="n"/>
      <c r="I147" s="64" t="n"/>
      <c r="J147" s="64" t="n"/>
      <c r="K147" s="65">
        <f>IF(NOT((COUNTA($B147:$J147)+COUNTA($M147))&gt;0),"",IFERROR(LOOKUP(2,1/(G147:J147&lt;&gt;""),G147:J147),0))</f>
        <v/>
      </c>
      <c r="L147" s="60">
        <f>IF(K147="","",IF(K147&gt;=1,"Completado",IF(K147&gt;0,"En curso","Pendiente")))</f>
        <v/>
      </c>
      <c r="M147" s="61" t="n"/>
      <c r="N147" s="66">
        <f>IF(NOT((COUNTA($B147:$J147)+COUNTA($M147))&gt;0),"",IF((IF(B147="","Macroactividad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 OK","⚠ "&amp;LEFT(IF(B147="","Macroactividad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",""),LEN(IF(B147="","Macroactividad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",""))-3)))</f>
        <v/>
      </c>
      <c r="O147" s="67">
        <f>IF(NOT((COUNTA($B147:$J147)+COUNTA($M147))&gt;0),"",IF(ISNUMBER($D147),DATE(YEAR($D147),MONTH($D147),1),IF(ISNUMBER($E147),DATE(YEAR($E147),MONTH($E147),1),MesCiclo)))</f>
        <v/>
      </c>
      <c r="P147" s="68">
        <f>IF(OR($O147="",$O147&lt;&gt;MesCiclo),"",COUNTIF($O$5:$O147,MesCiclo))</f>
        <v/>
      </c>
    </row>
    <row r="148">
      <c r="A148" s="60">
        <f>IF(NOT((COUNTA($B148:$J148)+COUNTA($M148))&gt;0),"",COUNTIFS($L$5:$L148,"?*",$O$5:$O148,$O148))</f>
        <v/>
      </c>
      <c r="B148" s="61" t="n"/>
      <c r="C148" s="61" t="n"/>
      <c r="D148" s="62" t="n"/>
      <c r="E148" s="62" t="n"/>
      <c r="F148" s="63" t="n"/>
      <c r="G148" s="64" t="n"/>
      <c r="H148" s="64" t="n"/>
      <c r="I148" s="64" t="n"/>
      <c r="J148" s="64" t="n"/>
      <c r="K148" s="65">
        <f>IF(NOT((COUNTA($B148:$J148)+COUNTA($M148))&gt;0),"",IFERROR(LOOKUP(2,1/(G148:J148&lt;&gt;""),G148:J148),0))</f>
        <v/>
      </c>
      <c r="L148" s="60">
        <f>IF(K148="","",IF(K148&gt;=1,"Completado",IF(K148&gt;0,"En curso","Pendiente")))</f>
        <v/>
      </c>
      <c r="M148" s="61" t="n"/>
      <c r="N148" s="66">
        <f>IF(NOT((COUNTA($B148:$J148)+COUNTA($M148))&gt;0),"",IF((IF(B148="","Macroactividad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 OK","⚠ "&amp;LEFT(IF(B148="","Macroactividad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",""),LEN(IF(B148="","Macroactividad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",""))-3)))</f>
        <v/>
      </c>
      <c r="O148" s="67">
        <f>IF(NOT((COUNTA($B148:$J148)+COUNTA($M148))&gt;0),"",IF(ISNUMBER($D148),DATE(YEAR($D148),MONTH($D148),1),IF(ISNUMBER($E148),DATE(YEAR($E148),MONTH($E148),1),MesCiclo)))</f>
        <v/>
      </c>
      <c r="P148" s="68">
        <f>IF(OR($O148="",$O148&lt;&gt;MesCiclo),"",COUNTIF($O$5:$O148,MesCiclo))</f>
        <v/>
      </c>
    </row>
    <row r="149">
      <c r="A149" s="60">
        <f>IF(NOT((COUNTA($B149:$J149)+COUNTA($M149))&gt;0),"",COUNTIFS($L$5:$L149,"?*",$O$5:$O149,$O149))</f>
        <v/>
      </c>
      <c r="B149" s="61" t="n"/>
      <c r="C149" s="61" t="n"/>
      <c r="D149" s="62" t="n"/>
      <c r="E149" s="62" t="n"/>
      <c r="F149" s="63" t="n"/>
      <c r="G149" s="64" t="n"/>
      <c r="H149" s="64" t="n"/>
      <c r="I149" s="64" t="n"/>
      <c r="J149" s="64" t="n"/>
      <c r="K149" s="65">
        <f>IF(NOT((COUNTA($B149:$J149)+COUNTA($M149))&gt;0),"",IFERROR(LOOKUP(2,1/(G149:J149&lt;&gt;""),G149:J149),0))</f>
        <v/>
      </c>
      <c r="L149" s="60">
        <f>IF(K149="","",IF(K149&gt;=1,"Completado",IF(K149&gt;0,"En curso","Pendiente")))</f>
        <v/>
      </c>
      <c r="M149" s="61" t="n"/>
      <c r="N149" s="66">
        <f>IF(NOT((COUNTA($B149:$J149)+COUNTA($M149))&gt;0),"",IF((IF(B149="","Macroactividad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 OK","⚠ "&amp;LEFT(IF(B149="","Macroactividad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",""),LEN(IF(B149="","Macroactividad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",""))-3)))</f>
        <v/>
      </c>
      <c r="O149" s="67">
        <f>IF(NOT((COUNTA($B149:$J149)+COUNTA($M149))&gt;0),"",IF(ISNUMBER($D149),DATE(YEAR($D149),MONTH($D149),1),IF(ISNUMBER($E149),DATE(YEAR($E149),MONTH($E149),1),MesCiclo)))</f>
        <v/>
      </c>
      <c r="P149" s="68">
        <f>IF(OR($O149="",$O149&lt;&gt;MesCiclo),"",COUNTIF($O$5:$O149,MesCiclo))</f>
        <v/>
      </c>
    </row>
    <row r="150">
      <c r="A150" s="60">
        <f>IF(NOT((COUNTA($B150:$J150)+COUNTA($M150))&gt;0),"",COUNTIFS($L$5:$L150,"?*",$O$5:$O150,$O150))</f>
        <v/>
      </c>
      <c r="B150" s="61" t="n"/>
      <c r="C150" s="61" t="n"/>
      <c r="D150" s="62" t="n"/>
      <c r="E150" s="62" t="n"/>
      <c r="F150" s="63" t="n"/>
      <c r="G150" s="64" t="n"/>
      <c r="H150" s="64" t="n"/>
      <c r="I150" s="64" t="n"/>
      <c r="J150" s="64" t="n"/>
      <c r="K150" s="65">
        <f>IF(NOT((COUNTA($B150:$J150)+COUNTA($M150))&gt;0),"",IFERROR(LOOKUP(2,1/(G150:J150&lt;&gt;""),G150:J150),0))</f>
        <v/>
      </c>
      <c r="L150" s="60">
        <f>IF(K150="","",IF(K150&gt;=1,"Completado",IF(K150&gt;0,"En curso","Pendiente")))</f>
        <v/>
      </c>
      <c r="M150" s="61" t="n"/>
      <c r="N150" s="66">
        <f>IF(NOT((COUNTA($B150:$J150)+COUNTA($M150))&gt;0),"",IF((IF(B150="","Macroactividad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 OK","⚠ "&amp;LEFT(IF(B150="","Macroactividad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",""),LEN(IF(B150="","Macroactividad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",""))-3)))</f>
        <v/>
      </c>
      <c r="O150" s="67">
        <f>IF(NOT((COUNTA($B150:$J150)+COUNTA($M150))&gt;0),"",IF(ISNUMBER($D150),DATE(YEAR($D150),MONTH($D150),1),IF(ISNUMBER($E150),DATE(YEAR($E150),MONTH($E150),1),MesCiclo)))</f>
        <v/>
      </c>
      <c r="P150" s="68">
        <f>IF(OR($O150="",$O150&lt;&gt;MesCiclo),"",COUNTIF($O$5:$O150,MesCiclo))</f>
        <v/>
      </c>
    </row>
    <row r="151">
      <c r="A151" s="60">
        <f>IF(NOT((COUNTA($B151:$J151)+COUNTA($M151))&gt;0),"",COUNTIFS($L$5:$L151,"?*",$O$5:$O151,$O151))</f>
        <v/>
      </c>
      <c r="B151" s="61" t="n"/>
      <c r="C151" s="61" t="n"/>
      <c r="D151" s="62" t="n"/>
      <c r="E151" s="62" t="n"/>
      <c r="F151" s="63" t="n"/>
      <c r="G151" s="64" t="n"/>
      <c r="H151" s="64" t="n"/>
      <c r="I151" s="64" t="n"/>
      <c r="J151" s="64" t="n"/>
      <c r="K151" s="65">
        <f>IF(NOT((COUNTA($B151:$J151)+COUNTA($M151))&gt;0),"",IFERROR(LOOKUP(2,1/(G151:J151&lt;&gt;""),G151:J151),0))</f>
        <v/>
      </c>
      <c r="L151" s="60">
        <f>IF(K151="","",IF(K151&gt;=1,"Completado",IF(K151&gt;0,"En curso","Pendiente")))</f>
        <v/>
      </c>
      <c r="M151" s="61" t="n"/>
      <c r="N151" s="66">
        <f>IF(NOT((COUNTA($B151:$J151)+COUNTA($M151))&gt;0),"",IF((IF(B151="","Macroactividad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 OK","⚠ "&amp;LEFT(IF(B151="","Macroactividad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",""),LEN(IF(B151="","Macroactividad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",""))-3)))</f>
        <v/>
      </c>
      <c r="O151" s="67">
        <f>IF(NOT((COUNTA($B151:$J151)+COUNTA($M151))&gt;0),"",IF(ISNUMBER($D151),DATE(YEAR($D151),MONTH($D151),1),IF(ISNUMBER($E151),DATE(YEAR($E151),MONTH($E151),1),MesCiclo)))</f>
        <v/>
      </c>
      <c r="P151" s="68">
        <f>IF(OR($O151="",$O151&lt;&gt;MesCiclo),"",COUNTIF($O$5:$O151,MesCiclo))</f>
        <v/>
      </c>
    </row>
    <row r="152">
      <c r="A152" s="60">
        <f>IF(NOT((COUNTA($B152:$J152)+COUNTA($M152))&gt;0),"",COUNTIFS($L$5:$L152,"?*",$O$5:$O152,$O152))</f>
        <v/>
      </c>
      <c r="B152" s="61" t="n"/>
      <c r="C152" s="61" t="n"/>
      <c r="D152" s="62" t="n"/>
      <c r="E152" s="62" t="n"/>
      <c r="F152" s="63" t="n"/>
      <c r="G152" s="64" t="n"/>
      <c r="H152" s="64" t="n"/>
      <c r="I152" s="64" t="n"/>
      <c r="J152" s="64" t="n"/>
      <c r="K152" s="65">
        <f>IF(NOT((COUNTA($B152:$J152)+COUNTA($M152))&gt;0),"",IFERROR(LOOKUP(2,1/(G152:J152&lt;&gt;""),G152:J152),0))</f>
        <v/>
      </c>
      <c r="L152" s="60">
        <f>IF(K152="","",IF(K152&gt;=1,"Completado",IF(K152&gt;0,"En curso","Pendiente")))</f>
        <v/>
      </c>
      <c r="M152" s="61" t="n"/>
      <c r="N152" s="66">
        <f>IF(NOT((COUNTA($B152:$J152)+COUNTA($M152))&gt;0),"",IF((IF(B152="","Macroactividad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 OK","⚠ "&amp;LEFT(IF(B152="","Macroactividad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",""),LEN(IF(B152="","Macroactividad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",""))-3)))</f>
        <v/>
      </c>
      <c r="O152" s="67">
        <f>IF(NOT((COUNTA($B152:$J152)+COUNTA($M152))&gt;0),"",IF(ISNUMBER($D152),DATE(YEAR($D152),MONTH($D152),1),IF(ISNUMBER($E152),DATE(YEAR($E152),MONTH($E152),1),MesCiclo)))</f>
        <v/>
      </c>
      <c r="P152" s="68">
        <f>IF(OR($O152="",$O152&lt;&gt;MesCiclo),"",COUNTIF($O$5:$O152,MesCiclo))</f>
        <v/>
      </c>
    </row>
    <row r="153">
      <c r="A153" s="60">
        <f>IF(NOT((COUNTA($B153:$J153)+COUNTA($M153))&gt;0),"",COUNTIFS($L$5:$L153,"?*",$O$5:$O153,$O153))</f>
        <v/>
      </c>
      <c r="B153" s="61" t="n"/>
      <c r="C153" s="61" t="n"/>
      <c r="D153" s="62" t="n"/>
      <c r="E153" s="62" t="n"/>
      <c r="F153" s="63" t="n"/>
      <c r="G153" s="64" t="n"/>
      <c r="H153" s="64" t="n"/>
      <c r="I153" s="64" t="n"/>
      <c r="J153" s="64" t="n"/>
      <c r="K153" s="65">
        <f>IF(NOT((COUNTA($B153:$J153)+COUNTA($M153))&gt;0),"",IFERROR(LOOKUP(2,1/(G153:J153&lt;&gt;""),G153:J153),0))</f>
        <v/>
      </c>
      <c r="L153" s="60">
        <f>IF(K153="","",IF(K153&gt;=1,"Completado",IF(K153&gt;0,"En curso","Pendiente")))</f>
        <v/>
      </c>
      <c r="M153" s="61" t="n"/>
      <c r="N153" s="66">
        <f>IF(NOT((COUNTA($B153:$J153)+COUNTA($M153))&gt;0),"",IF((IF(B153="","Macroactividad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 OK","⚠ "&amp;LEFT(IF(B153="","Macroactividad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",""),LEN(IF(B153="","Macroactividad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",""))-3)))</f>
        <v/>
      </c>
      <c r="O153" s="67">
        <f>IF(NOT((COUNTA($B153:$J153)+COUNTA($M153))&gt;0),"",IF(ISNUMBER($D153),DATE(YEAR($D153),MONTH($D153),1),IF(ISNUMBER($E153),DATE(YEAR($E153),MONTH($E153),1),MesCiclo)))</f>
        <v/>
      </c>
      <c r="P153" s="68">
        <f>IF(OR($O153="",$O153&lt;&gt;MesCiclo),"",COUNTIF($O$5:$O153,MesCiclo))</f>
        <v/>
      </c>
    </row>
    <row r="154">
      <c r="A154" s="60">
        <f>IF(NOT((COUNTA($B154:$J154)+COUNTA($M154))&gt;0),"",COUNTIFS($L$5:$L154,"?*",$O$5:$O154,$O154))</f>
        <v/>
      </c>
      <c r="B154" s="61" t="n"/>
      <c r="C154" s="61" t="n"/>
      <c r="D154" s="62" t="n"/>
      <c r="E154" s="62" t="n"/>
      <c r="F154" s="63" t="n"/>
      <c r="G154" s="64" t="n"/>
      <c r="H154" s="64" t="n"/>
      <c r="I154" s="64" t="n"/>
      <c r="J154" s="64" t="n"/>
      <c r="K154" s="65">
        <f>IF(NOT((COUNTA($B154:$J154)+COUNTA($M154))&gt;0),"",IFERROR(LOOKUP(2,1/(G154:J154&lt;&gt;""),G154:J154),0))</f>
        <v/>
      </c>
      <c r="L154" s="60">
        <f>IF(K154="","",IF(K154&gt;=1,"Completado",IF(K154&gt;0,"En curso","Pendiente")))</f>
        <v/>
      </c>
      <c r="M154" s="61" t="n"/>
      <c r="N154" s="66">
        <f>IF(NOT((COUNTA($B154:$J154)+COUNTA($M154))&gt;0),"",IF((IF(B154="","Macroactividad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 OK","⚠ "&amp;LEFT(IF(B154="","Macroactividad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",""),LEN(IF(B154="","Macroactividad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",""))-3)))</f>
        <v/>
      </c>
      <c r="O154" s="67">
        <f>IF(NOT((COUNTA($B154:$J154)+COUNTA($M154))&gt;0),"",IF(ISNUMBER($D154),DATE(YEAR($D154),MONTH($D154),1),IF(ISNUMBER($E154),DATE(YEAR($E154),MONTH($E154),1),MesCiclo)))</f>
        <v/>
      </c>
      <c r="P154" s="68">
        <f>IF(OR($O154="",$O154&lt;&gt;MesCiclo),"",COUNTIF($O$5:$O154,MesCiclo))</f>
        <v/>
      </c>
    </row>
    <row r="155">
      <c r="A155" s="60">
        <f>IF(NOT((COUNTA($B155:$J155)+COUNTA($M155))&gt;0),"",COUNTIFS($L$5:$L155,"?*",$O$5:$O155,$O155))</f>
        <v/>
      </c>
      <c r="B155" s="61" t="n"/>
      <c r="C155" s="61" t="n"/>
      <c r="D155" s="62" t="n"/>
      <c r="E155" s="62" t="n"/>
      <c r="F155" s="63" t="n"/>
      <c r="G155" s="64" t="n"/>
      <c r="H155" s="64" t="n"/>
      <c r="I155" s="64" t="n"/>
      <c r="J155" s="64" t="n"/>
      <c r="K155" s="65">
        <f>IF(NOT((COUNTA($B155:$J155)+COUNTA($M155))&gt;0),"",IFERROR(LOOKUP(2,1/(G155:J155&lt;&gt;""),G155:J155),0))</f>
        <v/>
      </c>
      <c r="L155" s="60">
        <f>IF(K155="","",IF(K155&gt;=1,"Completado",IF(K155&gt;0,"En curso","Pendiente")))</f>
        <v/>
      </c>
      <c r="M155" s="61" t="n"/>
      <c r="N155" s="66">
        <f>IF(NOT((COUNTA($B155:$J155)+COUNTA($M155))&gt;0),"",IF((IF(B155="","Macroactividad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 OK","⚠ "&amp;LEFT(IF(B155="","Macroactividad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",""),LEN(IF(B155="","Macroactividad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",""))-3)))</f>
        <v/>
      </c>
      <c r="O155" s="67">
        <f>IF(NOT((COUNTA($B155:$J155)+COUNTA($M155))&gt;0),"",IF(ISNUMBER($D155),DATE(YEAR($D155),MONTH($D155),1),IF(ISNUMBER($E155),DATE(YEAR($E155),MONTH($E155),1),MesCiclo)))</f>
        <v/>
      </c>
      <c r="P155" s="68">
        <f>IF(OR($O155="",$O155&lt;&gt;MesCiclo),"",COUNTIF($O$5:$O155,MesCiclo))</f>
        <v/>
      </c>
    </row>
    <row r="156">
      <c r="A156" s="60">
        <f>IF(NOT((COUNTA($B156:$J156)+COUNTA($M156))&gt;0),"",COUNTIFS($L$5:$L156,"?*",$O$5:$O156,$O156))</f>
        <v/>
      </c>
      <c r="B156" s="61" t="n"/>
      <c r="C156" s="61" t="n"/>
      <c r="D156" s="62" t="n"/>
      <c r="E156" s="62" t="n"/>
      <c r="F156" s="63" t="n"/>
      <c r="G156" s="64" t="n"/>
      <c r="H156" s="64" t="n"/>
      <c r="I156" s="64" t="n"/>
      <c r="J156" s="64" t="n"/>
      <c r="K156" s="65">
        <f>IF(NOT((COUNTA($B156:$J156)+COUNTA($M156))&gt;0),"",IFERROR(LOOKUP(2,1/(G156:J156&lt;&gt;""),G156:J156),0))</f>
        <v/>
      </c>
      <c r="L156" s="60">
        <f>IF(K156="","",IF(K156&gt;=1,"Completado",IF(K156&gt;0,"En curso","Pendiente")))</f>
        <v/>
      </c>
      <c r="M156" s="61" t="n"/>
      <c r="N156" s="66">
        <f>IF(NOT((COUNTA($B156:$J156)+COUNTA($M156))&gt;0),"",IF((IF(B156="","Macroactividad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 OK","⚠ "&amp;LEFT(IF(B156="","Macroactividad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",""),LEN(IF(B156="","Macroactividad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",""))-3)))</f>
        <v/>
      </c>
      <c r="O156" s="67">
        <f>IF(NOT((COUNTA($B156:$J156)+COUNTA($M156))&gt;0),"",IF(ISNUMBER($D156),DATE(YEAR($D156),MONTH($D156),1),IF(ISNUMBER($E156),DATE(YEAR($E156),MONTH($E156),1),MesCiclo)))</f>
        <v/>
      </c>
      <c r="P156" s="68">
        <f>IF(OR($O156="",$O156&lt;&gt;MesCiclo),"",COUNTIF($O$5:$O156,MesCiclo))</f>
        <v/>
      </c>
    </row>
    <row r="157">
      <c r="A157" s="60">
        <f>IF(NOT((COUNTA($B157:$J157)+COUNTA($M157))&gt;0),"",COUNTIFS($L$5:$L157,"?*",$O$5:$O157,$O157))</f>
        <v/>
      </c>
      <c r="B157" s="61" t="n"/>
      <c r="C157" s="61" t="n"/>
      <c r="D157" s="62" t="n"/>
      <c r="E157" s="62" t="n"/>
      <c r="F157" s="63" t="n"/>
      <c r="G157" s="64" t="n"/>
      <c r="H157" s="64" t="n"/>
      <c r="I157" s="64" t="n"/>
      <c r="J157" s="64" t="n"/>
      <c r="K157" s="65">
        <f>IF(NOT((COUNTA($B157:$J157)+COUNTA($M157))&gt;0),"",IFERROR(LOOKUP(2,1/(G157:J157&lt;&gt;""),G157:J157),0))</f>
        <v/>
      </c>
      <c r="L157" s="60">
        <f>IF(K157="","",IF(K157&gt;=1,"Completado",IF(K157&gt;0,"En curso","Pendiente")))</f>
        <v/>
      </c>
      <c r="M157" s="61" t="n"/>
      <c r="N157" s="66">
        <f>IF(NOT((COUNTA($B157:$J157)+COUNTA($M157))&gt;0),"",IF((IF(B157="","Macroactividad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 OK","⚠ "&amp;LEFT(IF(B157="","Macroactividad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",""),LEN(IF(B157="","Macroactividad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",""))-3)))</f>
        <v/>
      </c>
      <c r="O157" s="67">
        <f>IF(NOT((COUNTA($B157:$J157)+COUNTA($M157))&gt;0),"",IF(ISNUMBER($D157),DATE(YEAR($D157),MONTH($D157),1),IF(ISNUMBER($E157),DATE(YEAR($E157),MONTH($E157),1),MesCiclo)))</f>
        <v/>
      </c>
      <c r="P157" s="68">
        <f>IF(OR($O157="",$O157&lt;&gt;MesCiclo),"",COUNTIF($O$5:$O157,MesCiclo))</f>
        <v/>
      </c>
    </row>
    <row r="158">
      <c r="A158" s="60">
        <f>IF(NOT((COUNTA($B158:$J158)+COUNTA($M158))&gt;0),"",COUNTIFS($L$5:$L158,"?*",$O$5:$O158,$O158))</f>
        <v/>
      </c>
      <c r="B158" s="61" t="n"/>
      <c r="C158" s="61" t="n"/>
      <c r="D158" s="62" t="n"/>
      <c r="E158" s="62" t="n"/>
      <c r="F158" s="63" t="n"/>
      <c r="G158" s="64" t="n"/>
      <c r="H158" s="64" t="n"/>
      <c r="I158" s="64" t="n"/>
      <c r="J158" s="64" t="n"/>
      <c r="K158" s="65">
        <f>IF(NOT((COUNTA($B158:$J158)+COUNTA($M158))&gt;0),"",IFERROR(LOOKUP(2,1/(G158:J158&lt;&gt;""),G158:J158),0))</f>
        <v/>
      </c>
      <c r="L158" s="60">
        <f>IF(K158="","",IF(K158&gt;=1,"Completado",IF(K158&gt;0,"En curso","Pendiente")))</f>
        <v/>
      </c>
      <c r="M158" s="61" t="n"/>
      <c r="N158" s="66">
        <f>IF(NOT((COUNTA($B158:$J158)+COUNTA($M158))&gt;0),"",IF((IF(B158="","Macroactividad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 OK","⚠ "&amp;LEFT(IF(B158="","Macroactividad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",""),LEN(IF(B158="","Macroactividad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",""))-3)))</f>
        <v/>
      </c>
      <c r="O158" s="67">
        <f>IF(NOT((COUNTA($B158:$J158)+COUNTA($M158))&gt;0),"",IF(ISNUMBER($D158),DATE(YEAR($D158),MONTH($D158),1),IF(ISNUMBER($E158),DATE(YEAR($E158),MONTH($E158),1),MesCiclo)))</f>
        <v/>
      </c>
      <c r="P158" s="68">
        <f>IF(OR($O158="",$O158&lt;&gt;MesCiclo),"",COUNTIF($O$5:$O158,MesCiclo))</f>
        <v/>
      </c>
    </row>
    <row r="159">
      <c r="A159" s="60">
        <f>IF(NOT((COUNTA($B159:$J159)+COUNTA($M159))&gt;0),"",COUNTIFS($L$5:$L159,"?*",$O$5:$O159,$O159))</f>
        <v/>
      </c>
      <c r="B159" s="61" t="n"/>
      <c r="C159" s="61" t="n"/>
      <c r="D159" s="62" t="n"/>
      <c r="E159" s="62" t="n"/>
      <c r="F159" s="63" t="n"/>
      <c r="G159" s="64" t="n"/>
      <c r="H159" s="64" t="n"/>
      <c r="I159" s="64" t="n"/>
      <c r="J159" s="64" t="n"/>
      <c r="K159" s="65">
        <f>IF(NOT((COUNTA($B159:$J159)+COUNTA($M159))&gt;0),"",IFERROR(LOOKUP(2,1/(G159:J159&lt;&gt;""),G159:J159),0))</f>
        <v/>
      </c>
      <c r="L159" s="60">
        <f>IF(K159="","",IF(K159&gt;=1,"Completado",IF(K159&gt;0,"En curso","Pendiente")))</f>
        <v/>
      </c>
      <c r="M159" s="61" t="n"/>
      <c r="N159" s="66">
        <f>IF(NOT((COUNTA($B159:$J159)+COUNTA($M159))&gt;0),"",IF((IF(B159="","Macroactividad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 OK","⚠ "&amp;LEFT(IF(B159="","Macroactividad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",""),LEN(IF(B159="","Macroactividad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",""))-3)))</f>
        <v/>
      </c>
      <c r="O159" s="67">
        <f>IF(NOT((COUNTA($B159:$J159)+COUNTA($M159))&gt;0),"",IF(ISNUMBER($D159),DATE(YEAR($D159),MONTH($D159),1),IF(ISNUMBER($E159),DATE(YEAR($E159),MONTH($E159),1),MesCiclo)))</f>
        <v/>
      </c>
      <c r="P159" s="68">
        <f>IF(OR($O159="",$O159&lt;&gt;MesCiclo),"",COUNTIF($O$5:$O159,MesCiclo))</f>
        <v/>
      </c>
    </row>
    <row r="160">
      <c r="A160" s="60">
        <f>IF(NOT((COUNTA($B160:$J160)+COUNTA($M160))&gt;0),"",COUNTIFS($L$5:$L160,"?*",$O$5:$O160,$O160))</f>
        <v/>
      </c>
      <c r="B160" s="61" t="n"/>
      <c r="C160" s="61" t="n"/>
      <c r="D160" s="62" t="n"/>
      <c r="E160" s="62" t="n"/>
      <c r="F160" s="63" t="n"/>
      <c r="G160" s="64" t="n"/>
      <c r="H160" s="64" t="n"/>
      <c r="I160" s="64" t="n"/>
      <c r="J160" s="64" t="n"/>
      <c r="K160" s="65">
        <f>IF(NOT((COUNTA($B160:$J160)+COUNTA($M160))&gt;0),"",IFERROR(LOOKUP(2,1/(G160:J160&lt;&gt;""),G160:J160),0))</f>
        <v/>
      </c>
      <c r="L160" s="60">
        <f>IF(K160="","",IF(K160&gt;=1,"Completado",IF(K160&gt;0,"En curso","Pendiente")))</f>
        <v/>
      </c>
      <c r="M160" s="61" t="n"/>
      <c r="N160" s="66">
        <f>IF(NOT((COUNTA($B160:$J160)+COUNTA($M160))&gt;0),"",IF((IF(B160="","Macroactividad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 OK","⚠ "&amp;LEFT(IF(B160="","Macroactividad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",""),LEN(IF(B160="","Macroactividad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",""))-3)))</f>
        <v/>
      </c>
      <c r="O160" s="67">
        <f>IF(NOT((COUNTA($B160:$J160)+COUNTA($M160))&gt;0),"",IF(ISNUMBER($D160),DATE(YEAR($D160),MONTH($D160),1),IF(ISNUMBER($E160),DATE(YEAR($E160),MONTH($E160),1),MesCiclo)))</f>
        <v/>
      </c>
      <c r="P160" s="68">
        <f>IF(OR($O160="",$O160&lt;&gt;MesCiclo),"",COUNTIF($O$5:$O160,MesCiclo))</f>
        <v/>
      </c>
    </row>
    <row r="161">
      <c r="A161" s="60">
        <f>IF(NOT((COUNTA($B161:$J161)+COUNTA($M161))&gt;0),"",COUNTIFS($L$5:$L161,"?*",$O$5:$O161,$O161))</f>
        <v/>
      </c>
      <c r="B161" s="61" t="n"/>
      <c r="C161" s="61" t="n"/>
      <c r="D161" s="62" t="n"/>
      <c r="E161" s="62" t="n"/>
      <c r="F161" s="63" t="n"/>
      <c r="G161" s="64" t="n"/>
      <c r="H161" s="64" t="n"/>
      <c r="I161" s="64" t="n"/>
      <c r="J161" s="64" t="n"/>
      <c r="K161" s="65">
        <f>IF(NOT((COUNTA($B161:$J161)+COUNTA($M161))&gt;0),"",IFERROR(LOOKUP(2,1/(G161:J161&lt;&gt;""),G161:J161),0))</f>
        <v/>
      </c>
      <c r="L161" s="60">
        <f>IF(K161="","",IF(K161&gt;=1,"Completado",IF(K161&gt;0,"En curso","Pendiente")))</f>
        <v/>
      </c>
      <c r="M161" s="61" t="n"/>
      <c r="N161" s="66">
        <f>IF(NOT((COUNTA($B161:$J161)+COUNTA($M161))&gt;0),"",IF((IF(B161="","Macroactividad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 OK","⚠ "&amp;LEFT(IF(B161="","Macroactividad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",""),LEN(IF(B161="","Macroactividad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",""))-3)))</f>
        <v/>
      </c>
      <c r="O161" s="67">
        <f>IF(NOT((COUNTA($B161:$J161)+COUNTA($M161))&gt;0),"",IF(ISNUMBER($D161),DATE(YEAR($D161),MONTH($D161),1),IF(ISNUMBER($E161),DATE(YEAR($E161),MONTH($E161),1),MesCiclo)))</f>
        <v/>
      </c>
      <c r="P161" s="68">
        <f>IF(OR($O161="",$O161&lt;&gt;MesCiclo),"",COUNTIF($O$5:$O161,MesCiclo))</f>
        <v/>
      </c>
    </row>
    <row r="162">
      <c r="A162" s="60">
        <f>IF(NOT((COUNTA($B162:$J162)+COUNTA($M162))&gt;0),"",COUNTIFS($L$5:$L162,"?*",$O$5:$O162,$O162))</f>
        <v/>
      </c>
      <c r="B162" s="61" t="n"/>
      <c r="C162" s="61" t="n"/>
      <c r="D162" s="62" t="n"/>
      <c r="E162" s="62" t="n"/>
      <c r="F162" s="63" t="n"/>
      <c r="G162" s="64" t="n"/>
      <c r="H162" s="64" t="n"/>
      <c r="I162" s="64" t="n"/>
      <c r="J162" s="64" t="n"/>
      <c r="K162" s="65">
        <f>IF(NOT((COUNTA($B162:$J162)+COUNTA($M162))&gt;0),"",IFERROR(LOOKUP(2,1/(G162:J162&lt;&gt;""),G162:J162),0))</f>
        <v/>
      </c>
      <c r="L162" s="60">
        <f>IF(K162="","",IF(K162&gt;=1,"Completado",IF(K162&gt;0,"En curso","Pendiente")))</f>
        <v/>
      </c>
      <c r="M162" s="61" t="n"/>
      <c r="N162" s="66">
        <f>IF(NOT((COUNTA($B162:$J162)+COUNTA($M162))&gt;0),"",IF((IF(B162="","Macroactividad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 OK","⚠ "&amp;LEFT(IF(B162="","Macroactividad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",""),LEN(IF(B162="","Macroactividad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",""))-3)))</f>
        <v/>
      </c>
      <c r="O162" s="67">
        <f>IF(NOT((COUNTA($B162:$J162)+COUNTA($M162))&gt;0),"",IF(ISNUMBER($D162),DATE(YEAR($D162),MONTH($D162),1),IF(ISNUMBER($E162),DATE(YEAR($E162),MONTH($E162),1),MesCiclo)))</f>
        <v/>
      </c>
      <c r="P162" s="68">
        <f>IF(OR($O162="",$O162&lt;&gt;MesCiclo),"",COUNTIF($O$5:$O162,MesCiclo))</f>
        <v/>
      </c>
    </row>
    <row r="163">
      <c r="A163" s="60">
        <f>IF(NOT((COUNTA($B163:$J163)+COUNTA($M163))&gt;0),"",COUNTIFS($L$5:$L163,"?*",$O$5:$O163,$O163))</f>
        <v/>
      </c>
      <c r="B163" s="61" t="n"/>
      <c r="C163" s="61" t="n"/>
      <c r="D163" s="62" t="n"/>
      <c r="E163" s="62" t="n"/>
      <c r="F163" s="63" t="n"/>
      <c r="G163" s="64" t="n"/>
      <c r="H163" s="64" t="n"/>
      <c r="I163" s="64" t="n"/>
      <c r="J163" s="64" t="n"/>
      <c r="K163" s="65">
        <f>IF(NOT((COUNTA($B163:$J163)+COUNTA($M163))&gt;0),"",IFERROR(LOOKUP(2,1/(G163:J163&lt;&gt;""),G163:J163),0))</f>
        <v/>
      </c>
      <c r="L163" s="60">
        <f>IF(K163="","",IF(K163&gt;=1,"Completado",IF(K163&gt;0,"En curso","Pendiente")))</f>
        <v/>
      </c>
      <c r="M163" s="61" t="n"/>
      <c r="N163" s="66">
        <f>IF(NOT((COUNTA($B163:$J163)+COUNTA($M163))&gt;0),"",IF((IF(B163="","Macroactividad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 OK","⚠ "&amp;LEFT(IF(B163="","Macroactividad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",""),LEN(IF(B163="","Macroactividad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",""))-3)))</f>
        <v/>
      </c>
      <c r="O163" s="67">
        <f>IF(NOT((COUNTA($B163:$J163)+COUNTA($M163))&gt;0),"",IF(ISNUMBER($D163),DATE(YEAR($D163),MONTH($D163),1),IF(ISNUMBER($E163),DATE(YEAR($E163),MONTH($E163),1),MesCiclo)))</f>
        <v/>
      </c>
      <c r="P163" s="68">
        <f>IF(OR($O163="",$O163&lt;&gt;MesCiclo),"",COUNTIF($O$5:$O163,MesCiclo))</f>
        <v/>
      </c>
    </row>
    <row r="164">
      <c r="A164" s="60">
        <f>IF(NOT((COUNTA($B164:$J164)+COUNTA($M164))&gt;0),"",COUNTIFS($L$5:$L164,"?*",$O$5:$O164,$O164))</f>
        <v/>
      </c>
      <c r="B164" s="61" t="n"/>
      <c r="C164" s="61" t="n"/>
      <c r="D164" s="62" t="n"/>
      <c r="E164" s="62" t="n"/>
      <c r="F164" s="63" t="n"/>
      <c r="G164" s="64" t="n"/>
      <c r="H164" s="64" t="n"/>
      <c r="I164" s="64" t="n"/>
      <c r="J164" s="64" t="n"/>
      <c r="K164" s="65">
        <f>IF(NOT((COUNTA($B164:$J164)+COUNTA($M164))&gt;0),"",IFERROR(LOOKUP(2,1/(G164:J164&lt;&gt;""),G164:J164),0))</f>
        <v/>
      </c>
      <c r="L164" s="60">
        <f>IF(K164="","",IF(K164&gt;=1,"Completado",IF(K164&gt;0,"En curso","Pendiente")))</f>
        <v/>
      </c>
      <c r="M164" s="61" t="n"/>
      <c r="N164" s="66">
        <f>IF(NOT((COUNTA($B164:$J164)+COUNTA($M164))&gt;0),"",IF((IF(B164="","Macroactividad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 OK","⚠ "&amp;LEFT(IF(B164="","Macroactividad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",""),LEN(IF(B164="","Macroactividad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",""))-3)))</f>
        <v/>
      </c>
      <c r="O164" s="67">
        <f>IF(NOT((COUNTA($B164:$J164)+COUNTA($M164))&gt;0),"",IF(ISNUMBER($D164),DATE(YEAR($D164),MONTH($D164),1),IF(ISNUMBER($E164),DATE(YEAR($E164),MONTH($E164),1),MesCiclo)))</f>
        <v/>
      </c>
      <c r="P164" s="68">
        <f>IF(OR($O164="",$O164&lt;&gt;MesCiclo),"",COUNTIF($O$5:$O164,MesCiclo))</f>
        <v/>
      </c>
    </row>
    <row r="165">
      <c r="A165" s="60">
        <f>IF(NOT((COUNTA($B165:$J165)+COUNTA($M165))&gt;0),"",COUNTIFS($L$5:$L165,"?*",$O$5:$O165,$O165))</f>
        <v/>
      </c>
      <c r="B165" s="61" t="n"/>
      <c r="C165" s="61" t="n"/>
      <c r="D165" s="62" t="n"/>
      <c r="E165" s="62" t="n"/>
      <c r="F165" s="63" t="n"/>
      <c r="G165" s="64" t="n"/>
      <c r="H165" s="64" t="n"/>
      <c r="I165" s="64" t="n"/>
      <c r="J165" s="64" t="n"/>
      <c r="K165" s="65">
        <f>IF(NOT((COUNTA($B165:$J165)+COUNTA($M165))&gt;0),"",IFERROR(LOOKUP(2,1/(G165:J165&lt;&gt;""),G165:J165),0))</f>
        <v/>
      </c>
      <c r="L165" s="60">
        <f>IF(K165="","",IF(K165&gt;=1,"Completado",IF(K165&gt;0,"En curso","Pendiente")))</f>
        <v/>
      </c>
      <c r="M165" s="61" t="n"/>
      <c r="N165" s="66">
        <f>IF(NOT((COUNTA($B165:$J165)+COUNTA($M165))&gt;0),"",IF((IF(B165="","Macroactividad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 OK","⚠ "&amp;LEFT(IF(B165="","Macroactividad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",""),LEN(IF(B165="","Macroactividad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",""))-3)))</f>
        <v/>
      </c>
      <c r="O165" s="67">
        <f>IF(NOT((COUNTA($B165:$J165)+COUNTA($M165))&gt;0),"",IF(ISNUMBER($D165),DATE(YEAR($D165),MONTH($D165),1),IF(ISNUMBER($E165),DATE(YEAR($E165),MONTH($E165),1),MesCiclo)))</f>
        <v/>
      </c>
      <c r="P165" s="68">
        <f>IF(OR($O165="",$O165&lt;&gt;MesCiclo),"",COUNTIF($O$5:$O165,MesCiclo))</f>
        <v/>
      </c>
    </row>
    <row r="166">
      <c r="A166" s="60">
        <f>IF(NOT((COUNTA($B166:$J166)+COUNTA($M166))&gt;0),"",COUNTIFS($L$5:$L166,"?*",$O$5:$O166,$O166))</f>
        <v/>
      </c>
      <c r="B166" s="61" t="n"/>
      <c r="C166" s="61" t="n"/>
      <c r="D166" s="62" t="n"/>
      <c r="E166" s="62" t="n"/>
      <c r="F166" s="63" t="n"/>
      <c r="G166" s="64" t="n"/>
      <c r="H166" s="64" t="n"/>
      <c r="I166" s="64" t="n"/>
      <c r="J166" s="64" t="n"/>
      <c r="K166" s="65">
        <f>IF(NOT((COUNTA($B166:$J166)+COUNTA($M166))&gt;0),"",IFERROR(LOOKUP(2,1/(G166:J166&lt;&gt;""),G166:J166),0))</f>
        <v/>
      </c>
      <c r="L166" s="60">
        <f>IF(K166="","",IF(K166&gt;=1,"Completado",IF(K166&gt;0,"En curso","Pendiente")))</f>
        <v/>
      </c>
      <c r="M166" s="61" t="n"/>
      <c r="N166" s="66">
        <f>IF(NOT((COUNTA($B166:$J166)+COUNTA($M166))&gt;0),"",IF((IF(B166="","Macroactividad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 OK","⚠ "&amp;LEFT(IF(B166="","Macroactividad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",""),LEN(IF(B166="","Macroactividad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",""))-3)))</f>
        <v/>
      </c>
      <c r="O166" s="67">
        <f>IF(NOT((COUNTA($B166:$J166)+COUNTA($M166))&gt;0),"",IF(ISNUMBER($D166),DATE(YEAR($D166),MONTH($D166),1),IF(ISNUMBER($E166),DATE(YEAR($E166),MONTH($E166),1),MesCiclo)))</f>
        <v/>
      </c>
      <c r="P166" s="68">
        <f>IF(OR($O166="",$O166&lt;&gt;MesCiclo),"",COUNTIF($O$5:$O166,MesCiclo))</f>
        <v/>
      </c>
    </row>
    <row r="167">
      <c r="A167" s="60">
        <f>IF(NOT((COUNTA($B167:$J167)+COUNTA($M167))&gt;0),"",COUNTIFS($L$5:$L167,"?*",$O$5:$O167,$O167))</f>
        <v/>
      </c>
      <c r="B167" s="61" t="n"/>
      <c r="C167" s="61" t="n"/>
      <c r="D167" s="62" t="n"/>
      <c r="E167" s="62" t="n"/>
      <c r="F167" s="63" t="n"/>
      <c r="G167" s="64" t="n"/>
      <c r="H167" s="64" t="n"/>
      <c r="I167" s="64" t="n"/>
      <c r="J167" s="64" t="n"/>
      <c r="K167" s="65">
        <f>IF(NOT((COUNTA($B167:$J167)+COUNTA($M167))&gt;0),"",IFERROR(LOOKUP(2,1/(G167:J167&lt;&gt;""),G167:J167),0))</f>
        <v/>
      </c>
      <c r="L167" s="60">
        <f>IF(K167="","",IF(K167&gt;=1,"Completado",IF(K167&gt;0,"En curso","Pendiente")))</f>
        <v/>
      </c>
      <c r="M167" s="61" t="n"/>
      <c r="N167" s="66">
        <f>IF(NOT((COUNTA($B167:$J167)+COUNTA($M167))&gt;0),"",IF((IF(B167="","Macroactividad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 OK","⚠ "&amp;LEFT(IF(B167="","Macroactividad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",""),LEN(IF(B167="","Macroactividad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",""))-3)))</f>
        <v/>
      </c>
      <c r="O167" s="67">
        <f>IF(NOT((COUNTA($B167:$J167)+COUNTA($M167))&gt;0),"",IF(ISNUMBER($D167),DATE(YEAR($D167),MONTH($D167),1),IF(ISNUMBER($E167),DATE(YEAR($E167),MONTH($E167),1),MesCiclo)))</f>
        <v/>
      </c>
      <c r="P167" s="68">
        <f>IF(OR($O167="",$O167&lt;&gt;MesCiclo),"",COUNTIF($O$5:$O167,MesCiclo))</f>
        <v/>
      </c>
    </row>
    <row r="168">
      <c r="A168" s="60">
        <f>IF(NOT((COUNTA($B168:$J168)+COUNTA($M168))&gt;0),"",COUNTIFS($L$5:$L168,"?*",$O$5:$O168,$O168))</f>
        <v/>
      </c>
      <c r="B168" s="61" t="n"/>
      <c r="C168" s="61" t="n"/>
      <c r="D168" s="62" t="n"/>
      <c r="E168" s="62" t="n"/>
      <c r="F168" s="63" t="n"/>
      <c r="G168" s="64" t="n"/>
      <c r="H168" s="64" t="n"/>
      <c r="I168" s="64" t="n"/>
      <c r="J168" s="64" t="n"/>
      <c r="K168" s="65">
        <f>IF(NOT((COUNTA($B168:$J168)+COUNTA($M168))&gt;0),"",IFERROR(LOOKUP(2,1/(G168:J168&lt;&gt;""),G168:J168),0))</f>
        <v/>
      </c>
      <c r="L168" s="60">
        <f>IF(K168="","",IF(K168&gt;=1,"Completado",IF(K168&gt;0,"En curso","Pendiente")))</f>
        <v/>
      </c>
      <c r="M168" s="61" t="n"/>
      <c r="N168" s="66">
        <f>IF(NOT((COUNTA($B168:$J168)+COUNTA($M168))&gt;0),"",IF((IF(B168="","Macroactividad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 OK","⚠ "&amp;LEFT(IF(B168="","Macroactividad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",""),LEN(IF(B168="","Macroactividad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",""))-3)))</f>
        <v/>
      </c>
      <c r="O168" s="67">
        <f>IF(NOT((COUNTA($B168:$J168)+COUNTA($M168))&gt;0),"",IF(ISNUMBER($D168),DATE(YEAR($D168),MONTH($D168),1),IF(ISNUMBER($E168),DATE(YEAR($E168),MONTH($E168),1),MesCiclo)))</f>
        <v/>
      </c>
      <c r="P168" s="68">
        <f>IF(OR($O168="",$O168&lt;&gt;MesCiclo),"",COUNTIF($O$5:$O168,MesCiclo))</f>
        <v/>
      </c>
    </row>
    <row r="169">
      <c r="A169" s="60">
        <f>IF(NOT((COUNTA($B169:$J169)+COUNTA($M169))&gt;0),"",COUNTIFS($L$5:$L169,"?*",$O$5:$O169,$O169))</f>
        <v/>
      </c>
      <c r="B169" s="61" t="n"/>
      <c r="C169" s="61" t="n"/>
      <c r="D169" s="62" t="n"/>
      <c r="E169" s="62" t="n"/>
      <c r="F169" s="63" t="n"/>
      <c r="G169" s="64" t="n"/>
      <c r="H169" s="64" t="n"/>
      <c r="I169" s="64" t="n"/>
      <c r="J169" s="64" t="n"/>
      <c r="K169" s="65">
        <f>IF(NOT((COUNTA($B169:$J169)+COUNTA($M169))&gt;0),"",IFERROR(LOOKUP(2,1/(G169:J169&lt;&gt;""),G169:J169),0))</f>
        <v/>
      </c>
      <c r="L169" s="60">
        <f>IF(K169="","",IF(K169&gt;=1,"Completado",IF(K169&gt;0,"En curso","Pendiente")))</f>
        <v/>
      </c>
      <c r="M169" s="61" t="n"/>
      <c r="N169" s="66">
        <f>IF(NOT((COUNTA($B169:$J169)+COUNTA($M169))&gt;0),"",IF((IF(B169="","Macroactividad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 OK","⚠ "&amp;LEFT(IF(B169="","Macroactividad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",""),LEN(IF(B169="","Macroactividad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",""))-3)))</f>
        <v/>
      </c>
      <c r="O169" s="67">
        <f>IF(NOT((COUNTA($B169:$J169)+COUNTA($M169))&gt;0),"",IF(ISNUMBER($D169),DATE(YEAR($D169),MONTH($D169),1),IF(ISNUMBER($E169),DATE(YEAR($E169),MONTH($E169),1),MesCiclo)))</f>
        <v/>
      </c>
      <c r="P169" s="68">
        <f>IF(OR($O169="",$O169&lt;&gt;MesCiclo),"",COUNTIF($O$5:$O169,MesCiclo))</f>
        <v/>
      </c>
    </row>
    <row r="170">
      <c r="A170" s="60">
        <f>IF(NOT((COUNTA($B170:$J170)+COUNTA($M170))&gt;0),"",COUNTIFS($L$5:$L170,"?*",$O$5:$O170,$O170))</f>
        <v/>
      </c>
      <c r="B170" s="61" t="n"/>
      <c r="C170" s="61" t="n"/>
      <c r="D170" s="62" t="n"/>
      <c r="E170" s="62" t="n"/>
      <c r="F170" s="63" t="n"/>
      <c r="G170" s="64" t="n"/>
      <c r="H170" s="64" t="n"/>
      <c r="I170" s="64" t="n"/>
      <c r="J170" s="64" t="n"/>
      <c r="K170" s="65">
        <f>IF(NOT((COUNTA($B170:$J170)+COUNTA($M170))&gt;0),"",IFERROR(LOOKUP(2,1/(G170:J170&lt;&gt;""),G170:J170),0))</f>
        <v/>
      </c>
      <c r="L170" s="60">
        <f>IF(K170="","",IF(K170&gt;=1,"Completado",IF(K170&gt;0,"En curso","Pendiente")))</f>
        <v/>
      </c>
      <c r="M170" s="61" t="n"/>
      <c r="N170" s="66">
        <f>IF(NOT((COUNTA($B170:$J170)+COUNTA($M170))&gt;0),"",IF((IF(B170="","Macroactividad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 OK","⚠ "&amp;LEFT(IF(B170="","Macroactividad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",""),LEN(IF(B170="","Macroactividad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",""))-3)))</f>
        <v/>
      </c>
      <c r="O170" s="67">
        <f>IF(NOT((COUNTA($B170:$J170)+COUNTA($M170))&gt;0),"",IF(ISNUMBER($D170),DATE(YEAR($D170),MONTH($D170),1),IF(ISNUMBER($E170),DATE(YEAR($E170),MONTH($E170),1),MesCiclo)))</f>
        <v/>
      </c>
      <c r="P170" s="68">
        <f>IF(OR($O170="",$O170&lt;&gt;MesCiclo),"",COUNTIF($O$5:$O170,MesCiclo))</f>
        <v/>
      </c>
    </row>
    <row r="171">
      <c r="A171" s="60">
        <f>IF(NOT((COUNTA($B171:$J171)+COUNTA($M171))&gt;0),"",COUNTIFS($L$5:$L171,"?*",$O$5:$O171,$O171))</f>
        <v/>
      </c>
      <c r="B171" s="61" t="n"/>
      <c r="C171" s="61" t="n"/>
      <c r="D171" s="62" t="n"/>
      <c r="E171" s="62" t="n"/>
      <c r="F171" s="63" t="n"/>
      <c r="G171" s="64" t="n"/>
      <c r="H171" s="64" t="n"/>
      <c r="I171" s="64" t="n"/>
      <c r="J171" s="64" t="n"/>
      <c r="K171" s="65">
        <f>IF(NOT((COUNTA($B171:$J171)+COUNTA($M171))&gt;0),"",IFERROR(LOOKUP(2,1/(G171:J171&lt;&gt;""),G171:J171),0))</f>
        <v/>
      </c>
      <c r="L171" s="60">
        <f>IF(K171="","",IF(K171&gt;=1,"Completado",IF(K171&gt;0,"En curso","Pendiente")))</f>
        <v/>
      </c>
      <c r="M171" s="61" t="n"/>
      <c r="N171" s="66">
        <f>IF(NOT((COUNTA($B171:$J171)+COUNTA($M171))&gt;0),"",IF((IF(B171="","Macroactividad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 OK","⚠ "&amp;LEFT(IF(B171="","Macroactividad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",""),LEN(IF(B171="","Macroactividad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",""))-3)))</f>
        <v/>
      </c>
      <c r="O171" s="67">
        <f>IF(NOT((COUNTA($B171:$J171)+COUNTA($M171))&gt;0),"",IF(ISNUMBER($D171),DATE(YEAR($D171),MONTH($D171),1),IF(ISNUMBER($E171),DATE(YEAR($E171),MONTH($E171),1),MesCiclo)))</f>
        <v/>
      </c>
      <c r="P171" s="68">
        <f>IF(OR($O171="",$O171&lt;&gt;MesCiclo),"",COUNTIF($O$5:$O171,MesCiclo))</f>
        <v/>
      </c>
    </row>
    <row r="172">
      <c r="A172" s="60">
        <f>IF(NOT((COUNTA($B172:$J172)+COUNTA($M172))&gt;0),"",COUNTIFS($L$5:$L172,"?*",$O$5:$O172,$O172))</f>
        <v/>
      </c>
      <c r="B172" s="61" t="n"/>
      <c r="C172" s="61" t="n"/>
      <c r="D172" s="62" t="n"/>
      <c r="E172" s="62" t="n"/>
      <c r="F172" s="63" t="n"/>
      <c r="G172" s="64" t="n"/>
      <c r="H172" s="64" t="n"/>
      <c r="I172" s="64" t="n"/>
      <c r="J172" s="64" t="n"/>
      <c r="K172" s="65">
        <f>IF(NOT((COUNTA($B172:$J172)+COUNTA($M172))&gt;0),"",IFERROR(LOOKUP(2,1/(G172:J172&lt;&gt;""),G172:J172),0))</f>
        <v/>
      </c>
      <c r="L172" s="60">
        <f>IF(K172="","",IF(K172&gt;=1,"Completado",IF(K172&gt;0,"En curso","Pendiente")))</f>
        <v/>
      </c>
      <c r="M172" s="61" t="n"/>
      <c r="N172" s="66">
        <f>IF(NOT((COUNTA($B172:$J172)+COUNTA($M172))&gt;0),"",IF((IF(B172="","Macroactividad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 OK","⚠ "&amp;LEFT(IF(B172="","Macroactividad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",""),LEN(IF(B172="","Macroactividad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",""))-3)))</f>
        <v/>
      </c>
      <c r="O172" s="67">
        <f>IF(NOT((COUNTA($B172:$J172)+COUNTA($M172))&gt;0),"",IF(ISNUMBER($D172),DATE(YEAR($D172),MONTH($D172),1),IF(ISNUMBER($E172),DATE(YEAR($E172),MONTH($E172),1),MesCiclo)))</f>
        <v/>
      </c>
      <c r="P172" s="68">
        <f>IF(OR($O172="",$O172&lt;&gt;MesCiclo),"",COUNTIF($O$5:$O172,MesCiclo))</f>
        <v/>
      </c>
    </row>
    <row r="173">
      <c r="A173" s="60">
        <f>IF(NOT((COUNTA($B173:$J173)+COUNTA($M173))&gt;0),"",COUNTIFS($L$5:$L173,"?*",$O$5:$O173,$O173))</f>
        <v/>
      </c>
      <c r="B173" s="61" t="n"/>
      <c r="C173" s="61" t="n"/>
      <c r="D173" s="62" t="n"/>
      <c r="E173" s="62" t="n"/>
      <c r="F173" s="63" t="n"/>
      <c r="G173" s="64" t="n"/>
      <c r="H173" s="64" t="n"/>
      <c r="I173" s="64" t="n"/>
      <c r="J173" s="64" t="n"/>
      <c r="K173" s="65">
        <f>IF(NOT((COUNTA($B173:$J173)+COUNTA($M173))&gt;0),"",IFERROR(LOOKUP(2,1/(G173:J173&lt;&gt;""),G173:J173),0))</f>
        <v/>
      </c>
      <c r="L173" s="60">
        <f>IF(K173="","",IF(K173&gt;=1,"Completado",IF(K173&gt;0,"En curso","Pendiente")))</f>
        <v/>
      </c>
      <c r="M173" s="61" t="n"/>
      <c r="N173" s="66">
        <f>IF(NOT((COUNTA($B173:$J173)+COUNTA($M173))&gt;0),"",IF((IF(B173="","Macroactividad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 OK","⚠ "&amp;LEFT(IF(B173="","Macroactividad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",""),LEN(IF(B173="","Macroactividad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",""))-3)))</f>
        <v/>
      </c>
      <c r="O173" s="67">
        <f>IF(NOT((COUNTA($B173:$J173)+COUNTA($M173))&gt;0),"",IF(ISNUMBER($D173),DATE(YEAR($D173),MONTH($D173),1),IF(ISNUMBER($E173),DATE(YEAR($E173),MONTH($E173),1),MesCiclo)))</f>
        <v/>
      </c>
      <c r="P173" s="68">
        <f>IF(OR($O173="",$O173&lt;&gt;MesCiclo),"",COUNTIF($O$5:$O173,MesCiclo))</f>
        <v/>
      </c>
    </row>
    <row r="174">
      <c r="A174" s="60">
        <f>IF(NOT((COUNTA($B174:$J174)+COUNTA($M174))&gt;0),"",COUNTIFS($L$5:$L174,"?*",$O$5:$O174,$O174))</f>
        <v/>
      </c>
      <c r="B174" s="61" t="n"/>
      <c r="C174" s="61" t="n"/>
      <c r="D174" s="62" t="n"/>
      <c r="E174" s="62" t="n"/>
      <c r="F174" s="63" t="n"/>
      <c r="G174" s="64" t="n"/>
      <c r="H174" s="64" t="n"/>
      <c r="I174" s="64" t="n"/>
      <c r="J174" s="64" t="n"/>
      <c r="K174" s="65">
        <f>IF(NOT((COUNTA($B174:$J174)+COUNTA($M174))&gt;0),"",IFERROR(LOOKUP(2,1/(G174:J174&lt;&gt;""),G174:J174),0))</f>
        <v/>
      </c>
      <c r="L174" s="60">
        <f>IF(K174="","",IF(K174&gt;=1,"Completado",IF(K174&gt;0,"En curso","Pendiente")))</f>
        <v/>
      </c>
      <c r="M174" s="61" t="n"/>
      <c r="N174" s="66">
        <f>IF(NOT((COUNTA($B174:$J174)+COUNTA($M174))&gt;0),"",IF((IF(B174="","Macroactividad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 OK","⚠ "&amp;LEFT(IF(B174="","Macroactividad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",""),LEN(IF(B174="","Macroactividad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",""))-3)))</f>
        <v/>
      </c>
      <c r="O174" s="67">
        <f>IF(NOT((COUNTA($B174:$J174)+COUNTA($M174))&gt;0),"",IF(ISNUMBER($D174),DATE(YEAR($D174),MONTH($D174),1),IF(ISNUMBER($E174),DATE(YEAR($E174),MONTH($E174),1),MesCiclo)))</f>
        <v/>
      </c>
      <c r="P174" s="68">
        <f>IF(OR($O174="",$O174&lt;&gt;MesCiclo),"",COUNTIF($O$5:$O174,MesCiclo))</f>
        <v/>
      </c>
    </row>
    <row r="175">
      <c r="A175" s="60">
        <f>IF(NOT((COUNTA($B175:$J175)+COUNTA($M175))&gt;0),"",COUNTIFS($L$5:$L175,"?*",$O$5:$O175,$O175))</f>
        <v/>
      </c>
      <c r="B175" s="61" t="n"/>
      <c r="C175" s="61" t="n"/>
      <c r="D175" s="62" t="n"/>
      <c r="E175" s="62" t="n"/>
      <c r="F175" s="63" t="n"/>
      <c r="G175" s="64" t="n"/>
      <c r="H175" s="64" t="n"/>
      <c r="I175" s="64" t="n"/>
      <c r="J175" s="64" t="n"/>
      <c r="K175" s="65">
        <f>IF(NOT((COUNTA($B175:$J175)+COUNTA($M175))&gt;0),"",IFERROR(LOOKUP(2,1/(G175:J175&lt;&gt;""),G175:J175),0))</f>
        <v/>
      </c>
      <c r="L175" s="60">
        <f>IF(K175="","",IF(K175&gt;=1,"Completado",IF(K175&gt;0,"En curso","Pendiente")))</f>
        <v/>
      </c>
      <c r="M175" s="61" t="n"/>
      <c r="N175" s="66">
        <f>IF(NOT((COUNTA($B175:$J175)+COUNTA($M175))&gt;0),"",IF((IF(B175="","Macroactividad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 OK","⚠ "&amp;LEFT(IF(B175="","Macroactividad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",""),LEN(IF(B175="","Macroactividad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",""))-3)))</f>
        <v/>
      </c>
      <c r="O175" s="67">
        <f>IF(NOT((COUNTA($B175:$J175)+COUNTA($M175))&gt;0),"",IF(ISNUMBER($D175),DATE(YEAR($D175),MONTH($D175),1),IF(ISNUMBER($E175),DATE(YEAR($E175),MONTH($E175),1),MesCiclo)))</f>
        <v/>
      </c>
      <c r="P175" s="68">
        <f>IF(OR($O175="",$O175&lt;&gt;MesCiclo),"",COUNTIF($O$5:$O175,MesCiclo))</f>
        <v/>
      </c>
    </row>
    <row r="176">
      <c r="A176" s="60">
        <f>IF(NOT((COUNTA($B176:$J176)+COUNTA($M176))&gt;0),"",COUNTIFS($L$5:$L176,"?*",$O$5:$O176,$O176))</f>
        <v/>
      </c>
      <c r="B176" s="61" t="n"/>
      <c r="C176" s="61" t="n"/>
      <c r="D176" s="62" t="n"/>
      <c r="E176" s="62" t="n"/>
      <c r="F176" s="63" t="n"/>
      <c r="G176" s="64" t="n"/>
      <c r="H176" s="64" t="n"/>
      <c r="I176" s="64" t="n"/>
      <c r="J176" s="64" t="n"/>
      <c r="K176" s="65">
        <f>IF(NOT((COUNTA($B176:$J176)+COUNTA($M176))&gt;0),"",IFERROR(LOOKUP(2,1/(G176:J176&lt;&gt;""),G176:J176),0))</f>
        <v/>
      </c>
      <c r="L176" s="60">
        <f>IF(K176="","",IF(K176&gt;=1,"Completado",IF(K176&gt;0,"En curso","Pendiente")))</f>
        <v/>
      </c>
      <c r="M176" s="61" t="n"/>
      <c r="N176" s="66">
        <f>IF(NOT((COUNTA($B176:$J176)+COUNTA($M176))&gt;0),"",IF((IF(B176="","Macroactividad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 OK","⚠ "&amp;LEFT(IF(B176="","Macroactividad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",""),LEN(IF(B176="","Macroactividad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",""))-3)))</f>
        <v/>
      </c>
      <c r="O176" s="67">
        <f>IF(NOT((COUNTA($B176:$J176)+COUNTA($M176))&gt;0),"",IF(ISNUMBER($D176),DATE(YEAR($D176),MONTH($D176),1),IF(ISNUMBER($E176),DATE(YEAR($E176),MONTH($E176),1),MesCiclo)))</f>
        <v/>
      </c>
      <c r="P176" s="68">
        <f>IF(OR($O176="",$O176&lt;&gt;MesCiclo),"",COUNTIF($O$5:$O176,MesCiclo))</f>
        <v/>
      </c>
    </row>
    <row r="177">
      <c r="A177" s="60">
        <f>IF(NOT((COUNTA($B177:$J177)+COUNTA($M177))&gt;0),"",COUNTIFS($L$5:$L177,"?*",$O$5:$O177,$O177))</f>
        <v/>
      </c>
      <c r="B177" s="61" t="n"/>
      <c r="C177" s="61" t="n"/>
      <c r="D177" s="62" t="n"/>
      <c r="E177" s="62" t="n"/>
      <c r="F177" s="63" t="n"/>
      <c r="G177" s="64" t="n"/>
      <c r="H177" s="64" t="n"/>
      <c r="I177" s="64" t="n"/>
      <c r="J177" s="64" t="n"/>
      <c r="K177" s="65">
        <f>IF(NOT((COUNTA($B177:$J177)+COUNTA($M177))&gt;0),"",IFERROR(LOOKUP(2,1/(G177:J177&lt;&gt;""),G177:J177),0))</f>
        <v/>
      </c>
      <c r="L177" s="60">
        <f>IF(K177="","",IF(K177&gt;=1,"Completado",IF(K177&gt;0,"En curso","Pendiente")))</f>
        <v/>
      </c>
      <c r="M177" s="61" t="n"/>
      <c r="N177" s="66">
        <f>IF(NOT((COUNTA($B177:$J177)+COUNTA($M177))&gt;0),"",IF((IF(B177="","Macroactividad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 OK","⚠ "&amp;LEFT(IF(B177="","Macroactividad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",""),LEN(IF(B177="","Macroactividad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",""))-3)))</f>
        <v/>
      </c>
      <c r="O177" s="67">
        <f>IF(NOT((COUNTA($B177:$J177)+COUNTA($M177))&gt;0),"",IF(ISNUMBER($D177),DATE(YEAR($D177),MONTH($D177),1),IF(ISNUMBER($E177),DATE(YEAR($E177),MONTH($E177),1),MesCiclo)))</f>
        <v/>
      </c>
      <c r="P177" s="68">
        <f>IF(OR($O177="",$O177&lt;&gt;MesCiclo),"",COUNTIF($O$5:$O177,MesCiclo))</f>
        <v/>
      </c>
    </row>
    <row r="178">
      <c r="A178" s="60">
        <f>IF(NOT((COUNTA($B178:$J178)+COUNTA($M178))&gt;0),"",COUNTIFS($L$5:$L178,"?*",$O$5:$O178,$O178))</f>
        <v/>
      </c>
      <c r="B178" s="61" t="n"/>
      <c r="C178" s="61" t="n"/>
      <c r="D178" s="62" t="n"/>
      <c r="E178" s="62" t="n"/>
      <c r="F178" s="63" t="n"/>
      <c r="G178" s="64" t="n"/>
      <c r="H178" s="64" t="n"/>
      <c r="I178" s="64" t="n"/>
      <c r="J178" s="64" t="n"/>
      <c r="K178" s="65">
        <f>IF(NOT((COUNTA($B178:$J178)+COUNTA($M178))&gt;0),"",IFERROR(LOOKUP(2,1/(G178:J178&lt;&gt;""),G178:J178),0))</f>
        <v/>
      </c>
      <c r="L178" s="60">
        <f>IF(K178="","",IF(K178&gt;=1,"Completado",IF(K178&gt;0,"En curso","Pendiente")))</f>
        <v/>
      </c>
      <c r="M178" s="61" t="n"/>
      <c r="N178" s="66">
        <f>IF(NOT((COUNTA($B178:$J178)+COUNTA($M178))&gt;0),"",IF((IF(B178="","Macroactividad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 OK","⚠ "&amp;LEFT(IF(B178="","Macroactividad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",""),LEN(IF(B178="","Macroactividad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",""))-3)))</f>
        <v/>
      </c>
      <c r="O178" s="67">
        <f>IF(NOT((COUNTA($B178:$J178)+COUNTA($M178))&gt;0),"",IF(ISNUMBER($D178),DATE(YEAR($D178),MONTH($D178),1),IF(ISNUMBER($E178),DATE(YEAR($E178),MONTH($E178),1),MesCiclo)))</f>
        <v/>
      </c>
      <c r="P178" s="68">
        <f>IF(OR($O178="",$O178&lt;&gt;MesCiclo),"",COUNTIF($O$5:$O178,MesCiclo))</f>
        <v/>
      </c>
    </row>
    <row r="179">
      <c r="A179" s="60">
        <f>IF(NOT((COUNTA($B179:$J179)+COUNTA($M179))&gt;0),"",COUNTIFS($L$5:$L179,"?*",$O$5:$O179,$O179))</f>
        <v/>
      </c>
      <c r="B179" s="61" t="n"/>
      <c r="C179" s="61" t="n"/>
      <c r="D179" s="62" t="n"/>
      <c r="E179" s="62" t="n"/>
      <c r="F179" s="63" t="n"/>
      <c r="G179" s="64" t="n"/>
      <c r="H179" s="64" t="n"/>
      <c r="I179" s="64" t="n"/>
      <c r="J179" s="64" t="n"/>
      <c r="K179" s="65">
        <f>IF(NOT((COUNTA($B179:$J179)+COUNTA($M179))&gt;0),"",IFERROR(LOOKUP(2,1/(G179:J179&lt;&gt;""),G179:J179),0))</f>
        <v/>
      </c>
      <c r="L179" s="60">
        <f>IF(K179="","",IF(K179&gt;=1,"Completado",IF(K179&gt;0,"En curso","Pendiente")))</f>
        <v/>
      </c>
      <c r="M179" s="61" t="n"/>
      <c r="N179" s="66">
        <f>IF(NOT((COUNTA($B179:$J179)+COUNTA($M179))&gt;0),"",IF((IF(B179="","Macroactividad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 OK","⚠ "&amp;LEFT(IF(B179="","Macroactividad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",""),LEN(IF(B179="","Macroactividad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",""))-3)))</f>
        <v/>
      </c>
      <c r="O179" s="67">
        <f>IF(NOT((COUNTA($B179:$J179)+COUNTA($M179))&gt;0),"",IF(ISNUMBER($D179),DATE(YEAR($D179),MONTH($D179),1),IF(ISNUMBER($E179),DATE(YEAR($E179),MONTH($E179),1),MesCiclo)))</f>
        <v/>
      </c>
      <c r="P179" s="68">
        <f>IF(OR($O179="",$O179&lt;&gt;MesCiclo),"",COUNTIF($O$5:$O179,MesCiclo))</f>
        <v/>
      </c>
    </row>
    <row r="180">
      <c r="A180" s="60">
        <f>IF(NOT((COUNTA($B180:$J180)+COUNTA($M180))&gt;0),"",COUNTIFS($L$5:$L180,"?*",$O$5:$O180,$O180))</f>
        <v/>
      </c>
      <c r="B180" s="61" t="n"/>
      <c r="C180" s="61" t="n"/>
      <c r="D180" s="62" t="n"/>
      <c r="E180" s="62" t="n"/>
      <c r="F180" s="63" t="n"/>
      <c r="G180" s="64" t="n"/>
      <c r="H180" s="64" t="n"/>
      <c r="I180" s="64" t="n"/>
      <c r="J180" s="64" t="n"/>
      <c r="K180" s="65">
        <f>IF(NOT((COUNTA($B180:$J180)+COUNTA($M180))&gt;0),"",IFERROR(LOOKUP(2,1/(G180:J180&lt;&gt;""),G180:J180),0))</f>
        <v/>
      </c>
      <c r="L180" s="60">
        <f>IF(K180="","",IF(K180&gt;=1,"Completado",IF(K180&gt;0,"En curso","Pendiente")))</f>
        <v/>
      </c>
      <c r="M180" s="61" t="n"/>
      <c r="N180" s="66">
        <f>IF(NOT((COUNTA($B180:$J180)+COUNTA($M180))&gt;0),"",IF((IF(B180="","Macroactividad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 OK","⚠ "&amp;LEFT(IF(B180="","Macroactividad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",""),LEN(IF(B180="","Macroactividad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",""))-3)))</f>
        <v/>
      </c>
      <c r="O180" s="67">
        <f>IF(NOT((COUNTA($B180:$J180)+COUNTA($M180))&gt;0),"",IF(ISNUMBER($D180),DATE(YEAR($D180),MONTH($D180),1),IF(ISNUMBER($E180),DATE(YEAR($E180),MONTH($E180),1),MesCiclo)))</f>
        <v/>
      </c>
      <c r="P180" s="68">
        <f>IF(OR($O180="",$O180&lt;&gt;MesCiclo),"",COUNTIF($O$5:$O180,MesCiclo))</f>
        <v/>
      </c>
    </row>
    <row r="181">
      <c r="A181" s="60">
        <f>IF(NOT((COUNTA($B181:$J181)+COUNTA($M181))&gt;0),"",COUNTIFS($L$5:$L181,"?*",$O$5:$O181,$O181))</f>
        <v/>
      </c>
      <c r="B181" s="61" t="n"/>
      <c r="C181" s="61" t="n"/>
      <c r="D181" s="62" t="n"/>
      <c r="E181" s="62" t="n"/>
      <c r="F181" s="63" t="n"/>
      <c r="G181" s="64" t="n"/>
      <c r="H181" s="64" t="n"/>
      <c r="I181" s="64" t="n"/>
      <c r="J181" s="64" t="n"/>
      <c r="K181" s="65">
        <f>IF(NOT((COUNTA($B181:$J181)+COUNTA($M181))&gt;0),"",IFERROR(LOOKUP(2,1/(G181:J181&lt;&gt;""),G181:J181),0))</f>
        <v/>
      </c>
      <c r="L181" s="60">
        <f>IF(K181="","",IF(K181&gt;=1,"Completado",IF(K181&gt;0,"En curso","Pendiente")))</f>
        <v/>
      </c>
      <c r="M181" s="61" t="n"/>
      <c r="N181" s="66">
        <f>IF(NOT((COUNTA($B181:$J181)+COUNTA($M181))&gt;0),"",IF((IF(B181="","Macroactividad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 OK","⚠ "&amp;LEFT(IF(B181="","Macroactividad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",""),LEN(IF(B181="","Macroactividad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",""))-3)))</f>
        <v/>
      </c>
      <c r="O181" s="67">
        <f>IF(NOT((COUNTA($B181:$J181)+COUNTA($M181))&gt;0),"",IF(ISNUMBER($D181),DATE(YEAR($D181),MONTH($D181),1),IF(ISNUMBER($E181),DATE(YEAR($E181),MONTH($E181),1),MesCiclo)))</f>
        <v/>
      </c>
      <c r="P181" s="68">
        <f>IF(OR($O181="",$O181&lt;&gt;MesCiclo),"",COUNTIF($O$5:$O181,MesCiclo))</f>
        <v/>
      </c>
    </row>
    <row r="182">
      <c r="A182" s="60">
        <f>IF(NOT((COUNTA($B182:$J182)+COUNTA($M182))&gt;0),"",COUNTIFS($L$5:$L182,"?*",$O$5:$O182,$O182))</f>
        <v/>
      </c>
      <c r="B182" s="61" t="n"/>
      <c r="C182" s="61" t="n"/>
      <c r="D182" s="62" t="n"/>
      <c r="E182" s="62" t="n"/>
      <c r="F182" s="63" t="n"/>
      <c r="G182" s="64" t="n"/>
      <c r="H182" s="64" t="n"/>
      <c r="I182" s="64" t="n"/>
      <c r="J182" s="64" t="n"/>
      <c r="K182" s="65">
        <f>IF(NOT((COUNTA($B182:$J182)+COUNTA($M182))&gt;0),"",IFERROR(LOOKUP(2,1/(G182:J182&lt;&gt;""),G182:J182),0))</f>
        <v/>
      </c>
      <c r="L182" s="60">
        <f>IF(K182="","",IF(K182&gt;=1,"Completado",IF(K182&gt;0,"En curso","Pendiente")))</f>
        <v/>
      </c>
      <c r="M182" s="61" t="n"/>
      <c r="N182" s="66">
        <f>IF(NOT((COUNTA($B182:$J182)+COUNTA($M182))&gt;0),"",IF((IF(B182="","Macroactividad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 OK","⚠ "&amp;LEFT(IF(B182="","Macroactividad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",""),LEN(IF(B182="","Macroactividad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",""))-3)))</f>
        <v/>
      </c>
      <c r="O182" s="67">
        <f>IF(NOT((COUNTA($B182:$J182)+COUNTA($M182))&gt;0),"",IF(ISNUMBER($D182),DATE(YEAR($D182),MONTH($D182),1),IF(ISNUMBER($E182),DATE(YEAR($E182),MONTH($E182),1),MesCiclo)))</f>
        <v/>
      </c>
      <c r="P182" s="68">
        <f>IF(OR($O182="",$O182&lt;&gt;MesCiclo),"",COUNTIF($O$5:$O182,MesCiclo))</f>
        <v/>
      </c>
    </row>
    <row r="183">
      <c r="A183" s="60">
        <f>IF(NOT((COUNTA($B183:$J183)+COUNTA($M183))&gt;0),"",COUNTIFS($L$5:$L183,"?*",$O$5:$O183,$O183))</f>
        <v/>
      </c>
      <c r="B183" s="61" t="n"/>
      <c r="C183" s="61" t="n"/>
      <c r="D183" s="62" t="n"/>
      <c r="E183" s="62" t="n"/>
      <c r="F183" s="63" t="n"/>
      <c r="G183" s="64" t="n"/>
      <c r="H183" s="64" t="n"/>
      <c r="I183" s="64" t="n"/>
      <c r="J183" s="64" t="n"/>
      <c r="K183" s="65">
        <f>IF(NOT((COUNTA($B183:$J183)+COUNTA($M183))&gt;0),"",IFERROR(LOOKUP(2,1/(G183:J183&lt;&gt;""),G183:J183),0))</f>
        <v/>
      </c>
      <c r="L183" s="60">
        <f>IF(K183="","",IF(K183&gt;=1,"Completado",IF(K183&gt;0,"En curso","Pendiente")))</f>
        <v/>
      </c>
      <c r="M183" s="61" t="n"/>
      <c r="N183" s="66">
        <f>IF(NOT((COUNTA($B183:$J183)+COUNTA($M183))&gt;0),"",IF((IF(B183="","Macroactividad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 OK","⚠ "&amp;LEFT(IF(B183="","Macroactividad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",""),LEN(IF(B183="","Macroactividad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",""))-3)))</f>
        <v/>
      </c>
      <c r="O183" s="67">
        <f>IF(NOT((COUNTA($B183:$J183)+COUNTA($M183))&gt;0),"",IF(ISNUMBER($D183),DATE(YEAR($D183),MONTH($D183),1),IF(ISNUMBER($E183),DATE(YEAR($E183),MONTH($E183),1),MesCiclo)))</f>
        <v/>
      </c>
      <c r="P183" s="68">
        <f>IF(OR($O183="",$O183&lt;&gt;MesCiclo),"",COUNTIF($O$5:$O183,MesCiclo))</f>
        <v/>
      </c>
    </row>
    <row r="184">
      <c r="A184" s="60">
        <f>IF(NOT((COUNTA($B184:$J184)+COUNTA($M184))&gt;0),"",COUNTIFS($L$5:$L184,"?*",$O$5:$O184,$O184))</f>
        <v/>
      </c>
      <c r="B184" s="61" t="n"/>
      <c r="C184" s="61" t="n"/>
      <c r="D184" s="62" t="n"/>
      <c r="E184" s="62" t="n"/>
      <c r="F184" s="63" t="n"/>
      <c r="G184" s="64" t="n"/>
      <c r="H184" s="64" t="n"/>
      <c r="I184" s="64" t="n"/>
      <c r="J184" s="64" t="n"/>
      <c r="K184" s="65">
        <f>IF(NOT((COUNTA($B184:$J184)+COUNTA($M184))&gt;0),"",IFERROR(LOOKUP(2,1/(G184:J184&lt;&gt;""),G184:J184),0))</f>
        <v/>
      </c>
      <c r="L184" s="60">
        <f>IF(K184="","",IF(K184&gt;=1,"Completado",IF(K184&gt;0,"En curso","Pendiente")))</f>
        <v/>
      </c>
      <c r="M184" s="61" t="n"/>
      <c r="N184" s="66">
        <f>IF(NOT((COUNTA($B184:$J184)+COUNTA($M184))&gt;0),"",IF((IF(B184="","Macroactividad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 OK","⚠ "&amp;LEFT(IF(B184="","Macroactividad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",""),LEN(IF(B184="","Macroactividad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",""))-3)))</f>
        <v/>
      </c>
      <c r="O184" s="67">
        <f>IF(NOT((COUNTA($B184:$J184)+COUNTA($M184))&gt;0),"",IF(ISNUMBER($D184),DATE(YEAR($D184),MONTH($D184),1),IF(ISNUMBER($E184),DATE(YEAR($E184),MONTH($E184),1),MesCiclo)))</f>
        <v/>
      </c>
      <c r="P184" s="68">
        <f>IF(OR($O184="",$O184&lt;&gt;MesCiclo),"",COUNTIF($O$5:$O184,MesCiclo))</f>
        <v/>
      </c>
    </row>
    <row r="185">
      <c r="A185" s="60">
        <f>IF(NOT((COUNTA($B185:$J185)+COUNTA($M185))&gt;0),"",COUNTIFS($L$5:$L185,"?*",$O$5:$O185,$O185))</f>
        <v/>
      </c>
      <c r="B185" s="61" t="n"/>
      <c r="C185" s="61" t="n"/>
      <c r="D185" s="62" t="n"/>
      <c r="E185" s="62" t="n"/>
      <c r="F185" s="63" t="n"/>
      <c r="G185" s="64" t="n"/>
      <c r="H185" s="64" t="n"/>
      <c r="I185" s="64" t="n"/>
      <c r="J185" s="64" t="n"/>
      <c r="K185" s="65">
        <f>IF(NOT((COUNTA($B185:$J185)+COUNTA($M185))&gt;0),"",IFERROR(LOOKUP(2,1/(G185:J185&lt;&gt;""),G185:J185),0))</f>
        <v/>
      </c>
      <c r="L185" s="60">
        <f>IF(K185="","",IF(K185&gt;=1,"Completado",IF(K185&gt;0,"En curso","Pendiente")))</f>
        <v/>
      </c>
      <c r="M185" s="61" t="n"/>
      <c r="N185" s="66">
        <f>IF(NOT((COUNTA($B185:$J185)+COUNTA($M185))&gt;0),"",IF((IF(B185="","Macroactividad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 OK","⚠ "&amp;LEFT(IF(B185="","Macroactividad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",""),LEN(IF(B185="","Macroactividad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",""))-3)))</f>
        <v/>
      </c>
      <c r="O185" s="67">
        <f>IF(NOT((COUNTA($B185:$J185)+COUNTA($M185))&gt;0),"",IF(ISNUMBER($D185),DATE(YEAR($D185),MONTH($D185),1),IF(ISNUMBER($E185),DATE(YEAR($E185),MONTH($E185),1),MesCiclo)))</f>
        <v/>
      </c>
      <c r="P185" s="68">
        <f>IF(OR($O185="",$O185&lt;&gt;MesCiclo),"",COUNTIF($O$5:$O185,MesCiclo))</f>
        <v/>
      </c>
    </row>
    <row r="186">
      <c r="A186" s="60">
        <f>IF(NOT((COUNTA($B186:$J186)+COUNTA($M186))&gt;0),"",COUNTIFS($L$5:$L186,"?*",$O$5:$O186,$O186))</f>
        <v/>
      </c>
      <c r="B186" s="61" t="n"/>
      <c r="C186" s="61" t="n"/>
      <c r="D186" s="62" t="n"/>
      <c r="E186" s="62" t="n"/>
      <c r="F186" s="63" t="n"/>
      <c r="G186" s="64" t="n"/>
      <c r="H186" s="64" t="n"/>
      <c r="I186" s="64" t="n"/>
      <c r="J186" s="64" t="n"/>
      <c r="K186" s="65">
        <f>IF(NOT((COUNTA($B186:$J186)+COUNTA($M186))&gt;0),"",IFERROR(LOOKUP(2,1/(G186:J186&lt;&gt;""),G186:J186),0))</f>
        <v/>
      </c>
      <c r="L186" s="60">
        <f>IF(K186="","",IF(K186&gt;=1,"Completado",IF(K186&gt;0,"En curso","Pendiente")))</f>
        <v/>
      </c>
      <c r="M186" s="61" t="n"/>
      <c r="N186" s="66">
        <f>IF(NOT((COUNTA($B186:$J186)+COUNTA($M186))&gt;0),"",IF((IF(B186="","Macroactividad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 OK","⚠ "&amp;LEFT(IF(B186="","Macroactividad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",""),LEN(IF(B186="","Macroactividad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",""))-3)))</f>
        <v/>
      </c>
      <c r="O186" s="67">
        <f>IF(NOT((COUNTA($B186:$J186)+COUNTA($M186))&gt;0),"",IF(ISNUMBER($D186),DATE(YEAR($D186),MONTH($D186),1),IF(ISNUMBER($E186),DATE(YEAR($E186),MONTH($E186),1),MesCiclo)))</f>
        <v/>
      </c>
      <c r="P186" s="68">
        <f>IF(OR($O186="",$O186&lt;&gt;MesCiclo),"",COUNTIF($O$5:$O186,MesCiclo))</f>
        <v/>
      </c>
    </row>
    <row r="187">
      <c r="A187" s="60">
        <f>IF(NOT((COUNTA($B187:$J187)+COUNTA($M187))&gt;0),"",COUNTIFS($L$5:$L187,"?*",$O$5:$O187,$O187))</f>
        <v/>
      </c>
      <c r="B187" s="61" t="n"/>
      <c r="C187" s="61" t="n"/>
      <c r="D187" s="62" t="n"/>
      <c r="E187" s="62" t="n"/>
      <c r="F187" s="63" t="n"/>
      <c r="G187" s="64" t="n"/>
      <c r="H187" s="64" t="n"/>
      <c r="I187" s="64" t="n"/>
      <c r="J187" s="64" t="n"/>
      <c r="K187" s="65">
        <f>IF(NOT((COUNTA($B187:$J187)+COUNTA($M187))&gt;0),"",IFERROR(LOOKUP(2,1/(G187:J187&lt;&gt;""),G187:J187),0))</f>
        <v/>
      </c>
      <c r="L187" s="60">
        <f>IF(K187="","",IF(K187&gt;=1,"Completado",IF(K187&gt;0,"En curso","Pendiente")))</f>
        <v/>
      </c>
      <c r="M187" s="61" t="n"/>
      <c r="N187" s="66">
        <f>IF(NOT((COUNTA($B187:$J187)+COUNTA($M187))&gt;0),"",IF((IF(B187="","Macroactividad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 OK","⚠ "&amp;LEFT(IF(B187="","Macroactividad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",""),LEN(IF(B187="","Macroactividad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",""))-3)))</f>
        <v/>
      </c>
      <c r="O187" s="67">
        <f>IF(NOT((COUNTA($B187:$J187)+COUNTA($M187))&gt;0),"",IF(ISNUMBER($D187),DATE(YEAR($D187),MONTH($D187),1),IF(ISNUMBER($E187),DATE(YEAR($E187),MONTH($E187),1),MesCiclo)))</f>
        <v/>
      </c>
      <c r="P187" s="68">
        <f>IF(OR($O187="",$O187&lt;&gt;MesCiclo),"",COUNTIF($O$5:$O187,MesCiclo))</f>
        <v/>
      </c>
    </row>
    <row r="188">
      <c r="A188" s="60">
        <f>IF(NOT((COUNTA($B188:$J188)+COUNTA($M188))&gt;0),"",COUNTIFS($L$5:$L188,"?*",$O$5:$O188,$O188))</f>
        <v/>
      </c>
      <c r="B188" s="61" t="n"/>
      <c r="C188" s="61" t="n"/>
      <c r="D188" s="62" t="n"/>
      <c r="E188" s="62" t="n"/>
      <c r="F188" s="63" t="n"/>
      <c r="G188" s="64" t="n"/>
      <c r="H188" s="64" t="n"/>
      <c r="I188" s="64" t="n"/>
      <c r="J188" s="64" t="n"/>
      <c r="K188" s="65">
        <f>IF(NOT((COUNTA($B188:$J188)+COUNTA($M188))&gt;0),"",IFERROR(LOOKUP(2,1/(G188:J188&lt;&gt;""),G188:J188),0))</f>
        <v/>
      </c>
      <c r="L188" s="60">
        <f>IF(K188="","",IF(K188&gt;=1,"Completado",IF(K188&gt;0,"En curso","Pendiente")))</f>
        <v/>
      </c>
      <c r="M188" s="61" t="n"/>
      <c r="N188" s="66">
        <f>IF(NOT((COUNTA($B188:$J188)+COUNTA($M188))&gt;0),"",IF((IF(B188="","Macroactividad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 OK","⚠ "&amp;LEFT(IF(B188="","Macroactividad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",""),LEN(IF(B188="","Macroactividad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",""))-3)))</f>
        <v/>
      </c>
      <c r="O188" s="67">
        <f>IF(NOT((COUNTA($B188:$J188)+COUNTA($M188))&gt;0),"",IF(ISNUMBER($D188),DATE(YEAR($D188),MONTH($D188),1),IF(ISNUMBER($E188),DATE(YEAR($E188),MONTH($E188),1),MesCiclo)))</f>
        <v/>
      </c>
      <c r="P188" s="68">
        <f>IF(OR($O188="",$O188&lt;&gt;MesCiclo),"",COUNTIF($O$5:$O188,MesCiclo))</f>
        <v/>
      </c>
    </row>
    <row r="189">
      <c r="A189" s="60">
        <f>IF(NOT((COUNTA($B189:$J189)+COUNTA($M189))&gt;0),"",COUNTIFS($L$5:$L189,"?*",$O$5:$O189,$O189))</f>
        <v/>
      </c>
      <c r="B189" s="61" t="n"/>
      <c r="C189" s="61" t="n"/>
      <c r="D189" s="62" t="n"/>
      <c r="E189" s="62" t="n"/>
      <c r="F189" s="63" t="n"/>
      <c r="G189" s="64" t="n"/>
      <c r="H189" s="64" t="n"/>
      <c r="I189" s="64" t="n"/>
      <c r="J189" s="64" t="n"/>
      <c r="K189" s="65">
        <f>IF(NOT((COUNTA($B189:$J189)+COUNTA($M189))&gt;0),"",IFERROR(LOOKUP(2,1/(G189:J189&lt;&gt;""),G189:J189),0))</f>
        <v/>
      </c>
      <c r="L189" s="60">
        <f>IF(K189="","",IF(K189&gt;=1,"Completado",IF(K189&gt;0,"En curso","Pendiente")))</f>
        <v/>
      </c>
      <c r="M189" s="61" t="n"/>
      <c r="N189" s="66">
        <f>IF(NOT((COUNTA($B189:$J189)+COUNTA($M189))&gt;0),"",IF((IF(B189="","Macroactividad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 OK","⚠ "&amp;LEFT(IF(B189="","Macroactividad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",""),LEN(IF(B189="","Macroactividad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",""))-3)))</f>
        <v/>
      </c>
      <c r="O189" s="67">
        <f>IF(NOT((COUNTA($B189:$J189)+COUNTA($M189))&gt;0),"",IF(ISNUMBER($D189),DATE(YEAR($D189),MONTH($D189),1),IF(ISNUMBER($E189),DATE(YEAR($E189),MONTH($E189),1),MesCiclo)))</f>
        <v/>
      </c>
      <c r="P189" s="68">
        <f>IF(OR($O189="",$O189&lt;&gt;MesCiclo),"",COUNTIF($O$5:$O189,MesCiclo))</f>
        <v/>
      </c>
    </row>
    <row r="190">
      <c r="A190" s="60">
        <f>IF(NOT((COUNTA($B190:$J190)+COUNTA($M190))&gt;0),"",COUNTIFS($L$5:$L190,"?*",$O$5:$O190,$O190))</f>
        <v/>
      </c>
      <c r="B190" s="61" t="n"/>
      <c r="C190" s="61" t="n"/>
      <c r="D190" s="62" t="n"/>
      <c r="E190" s="62" t="n"/>
      <c r="F190" s="63" t="n"/>
      <c r="G190" s="64" t="n"/>
      <c r="H190" s="64" t="n"/>
      <c r="I190" s="64" t="n"/>
      <c r="J190" s="64" t="n"/>
      <c r="K190" s="65">
        <f>IF(NOT((COUNTA($B190:$J190)+COUNTA($M190))&gt;0),"",IFERROR(LOOKUP(2,1/(G190:J190&lt;&gt;""),G190:J190),0))</f>
        <v/>
      </c>
      <c r="L190" s="60">
        <f>IF(K190="","",IF(K190&gt;=1,"Completado",IF(K190&gt;0,"En curso","Pendiente")))</f>
        <v/>
      </c>
      <c r="M190" s="61" t="n"/>
      <c r="N190" s="66">
        <f>IF(NOT((COUNTA($B190:$J190)+COUNTA($M190))&gt;0),"",IF((IF(B190="","Macroactividad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 OK","⚠ "&amp;LEFT(IF(B190="","Macroactividad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",""),LEN(IF(B190="","Macroactividad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",""))-3)))</f>
        <v/>
      </c>
      <c r="O190" s="67">
        <f>IF(NOT((COUNTA($B190:$J190)+COUNTA($M190))&gt;0),"",IF(ISNUMBER($D190),DATE(YEAR($D190),MONTH($D190),1),IF(ISNUMBER($E190),DATE(YEAR($E190),MONTH($E190),1),MesCiclo)))</f>
        <v/>
      </c>
      <c r="P190" s="68">
        <f>IF(OR($O190="",$O190&lt;&gt;MesCiclo),"",COUNTIF($O$5:$O190,MesCiclo))</f>
        <v/>
      </c>
    </row>
    <row r="191">
      <c r="A191" s="60">
        <f>IF(NOT((COUNTA($B191:$J191)+COUNTA($M191))&gt;0),"",COUNTIFS($L$5:$L191,"?*",$O$5:$O191,$O191))</f>
        <v/>
      </c>
      <c r="B191" s="61" t="n"/>
      <c r="C191" s="61" t="n"/>
      <c r="D191" s="62" t="n"/>
      <c r="E191" s="62" t="n"/>
      <c r="F191" s="63" t="n"/>
      <c r="G191" s="64" t="n"/>
      <c r="H191" s="64" t="n"/>
      <c r="I191" s="64" t="n"/>
      <c r="J191" s="64" t="n"/>
      <c r="K191" s="65">
        <f>IF(NOT((COUNTA($B191:$J191)+COUNTA($M191))&gt;0),"",IFERROR(LOOKUP(2,1/(G191:J191&lt;&gt;""),G191:J191),0))</f>
        <v/>
      </c>
      <c r="L191" s="60">
        <f>IF(K191="","",IF(K191&gt;=1,"Completado",IF(K191&gt;0,"En curso","Pendiente")))</f>
        <v/>
      </c>
      <c r="M191" s="61" t="n"/>
      <c r="N191" s="66">
        <f>IF(NOT((COUNTA($B191:$J191)+COUNTA($M191))&gt;0),"",IF((IF(B191="","Macroactividad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 OK","⚠ "&amp;LEFT(IF(B191="","Macroactividad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",""),LEN(IF(B191="","Macroactividad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",""))-3)))</f>
        <v/>
      </c>
      <c r="O191" s="67">
        <f>IF(NOT((COUNTA($B191:$J191)+COUNTA($M191))&gt;0),"",IF(ISNUMBER($D191),DATE(YEAR($D191),MONTH($D191),1),IF(ISNUMBER($E191),DATE(YEAR($E191),MONTH($E191),1),MesCiclo)))</f>
        <v/>
      </c>
      <c r="P191" s="68">
        <f>IF(OR($O191="",$O191&lt;&gt;MesCiclo),"",COUNTIF($O$5:$O191,MesCiclo))</f>
        <v/>
      </c>
    </row>
    <row r="192">
      <c r="A192" s="60">
        <f>IF(NOT((COUNTA($B192:$J192)+COUNTA($M192))&gt;0),"",COUNTIFS($L$5:$L192,"?*",$O$5:$O192,$O192))</f>
        <v/>
      </c>
      <c r="B192" s="61" t="n"/>
      <c r="C192" s="61" t="n"/>
      <c r="D192" s="62" t="n"/>
      <c r="E192" s="62" t="n"/>
      <c r="F192" s="63" t="n"/>
      <c r="G192" s="64" t="n"/>
      <c r="H192" s="64" t="n"/>
      <c r="I192" s="64" t="n"/>
      <c r="J192" s="64" t="n"/>
      <c r="K192" s="65">
        <f>IF(NOT((COUNTA($B192:$J192)+COUNTA($M192))&gt;0),"",IFERROR(LOOKUP(2,1/(G192:J192&lt;&gt;""),G192:J192),0))</f>
        <v/>
      </c>
      <c r="L192" s="60">
        <f>IF(K192="","",IF(K192&gt;=1,"Completado",IF(K192&gt;0,"En curso","Pendiente")))</f>
        <v/>
      </c>
      <c r="M192" s="61" t="n"/>
      <c r="N192" s="66">
        <f>IF(NOT((COUNTA($B192:$J192)+COUNTA($M192))&gt;0),"",IF((IF(B192="","Macroactividad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 OK","⚠ "&amp;LEFT(IF(B192="","Macroactividad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",""),LEN(IF(B192="","Macroactividad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",""))-3)))</f>
        <v/>
      </c>
      <c r="O192" s="67">
        <f>IF(NOT((COUNTA($B192:$J192)+COUNTA($M192))&gt;0),"",IF(ISNUMBER($D192),DATE(YEAR($D192),MONTH($D192),1),IF(ISNUMBER($E192),DATE(YEAR($E192),MONTH($E192),1),MesCiclo)))</f>
        <v/>
      </c>
      <c r="P192" s="68">
        <f>IF(OR($O192="",$O192&lt;&gt;MesCiclo),"",COUNTIF($O$5:$O192,MesCiclo))</f>
        <v/>
      </c>
    </row>
    <row r="193">
      <c r="A193" s="60">
        <f>IF(NOT((COUNTA($B193:$J193)+COUNTA($M193))&gt;0),"",COUNTIFS($L$5:$L193,"?*",$O$5:$O193,$O193))</f>
        <v/>
      </c>
      <c r="B193" s="61" t="n"/>
      <c r="C193" s="61" t="n"/>
      <c r="D193" s="62" t="n"/>
      <c r="E193" s="62" t="n"/>
      <c r="F193" s="63" t="n"/>
      <c r="G193" s="64" t="n"/>
      <c r="H193" s="64" t="n"/>
      <c r="I193" s="64" t="n"/>
      <c r="J193" s="64" t="n"/>
      <c r="K193" s="65">
        <f>IF(NOT((COUNTA($B193:$J193)+COUNTA($M193))&gt;0),"",IFERROR(LOOKUP(2,1/(G193:J193&lt;&gt;""),G193:J193),0))</f>
        <v/>
      </c>
      <c r="L193" s="60">
        <f>IF(K193="","",IF(K193&gt;=1,"Completado",IF(K193&gt;0,"En curso","Pendiente")))</f>
        <v/>
      </c>
      <c r="M193" s="61" t="n"/>
      <c r="N193" s="66">
        <f>IF(NOT((COUNTA($B193:$J193)+COUNTA($M193))&gt;0),"",IF((IF(B193="","Macroactividad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 OK","⚠ "&amp;LEFT(IF(B193="","Macroactividad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",""),LEN(IF(B193="","Macroactividad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",""))-3)))</f>
        <v/>
      </c>
      <c r="O193" s="67">
        <f>IF(NOT((COUNTA($B193:$J193)+COUNTA($M193))&gt;0),"",IF(ISNUMBER($D193),DATE(YEAR($D193),MONTH($D193),1),IF(ISNUMBER($E193),DATE(YEAR($E193),MONTH($E193),1),MesCiclo)))</f>
        <v/>
      </c>
      <c r="P193" s="68">
        <f>IF(OR($O193="",$O193&lt;&gt;MesCiclo),"",COUNTIF($O$5:$O193,MesCiclo))</f>
        <v/>
      </c>
    </row>
    <row r="194">
      <c r="A194" s="60">
        <f>IF(NOT((COUNTA($B194:$J194)+COUNTA($M194))&gt;0),"",COUNTIFS($L$5:$L194,"?*",$O$5:$O194,$O194))</f>
        <v/>
      </c>
      <c r="B194" s="61" t="n"/>
      <c r="C194" s="61" t="n"/>
      <c r="D194" s="62" t="n"/>
      <c r="E194" s="62" t="n"/>
      <c r="F194" s="63" t="n"/>
      <c r="G194" s="64" t="n"/>
      <c r="H194" s="64" t="n"/>
      <c r="I194" s="64" t="n"/>
      <c r="J194" s="64" t="n"/>
      <c r="K194" s="65">
        <f>IF(NOT((COUNTA($B194:$J194)+COUNTA($M194))&gt;0),"",IFERROR(LOOKUP(2,1/(G194:J194&lt;&gt;""),G194:J194),0))</f>
        <v/>
      </c>
      <c r="L194" s="60">
        <f>IF(K194="","",IF(K194&gt;=1,"Completado",IF(K194&gt;0,"En curso","Pendiente")))</f>
        <v/>
      </c>
      <c r="M194" s="61" t="n"/>
      <c r="N194" s="66">
        <f>IF(NOT((COUNTA($B194:$J194)+COUNTA($M194))&gt;0),"",IF((IF(B194="","Macroactividad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 OK","⚠ "&amp;LEFT(IF(B194="","Macroactividad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",""),LEN(IF(B194="","Macroactividad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",""))-3)))</f>
        <v/>
      </c>
      <c r="O194" s="67">
        <f>IF(NOT((COUNTA($B194:$J194)+COUNTA($M194))&gt;0),"",IF(ISNUMBER($D194),DATE(YEAR($D194),MONTH($D194),1),IF(ISNUMBER($E194),DATE(YEAR($E194),MONTH($E194),1),MesCiclo)))</f>
        <v/>
      </c>
      <c r="P194" s="68">
        <f>IF(OR($O194="",$O194&lt;&gt;MesCiclo),"",COUNTIF($O$5:$O194,MesCiclo))</f>
        <v/>
      </c>
    </row>
    <row r="195">
      <c r="A195" s="60">
        <f>IF(NOT((COUNTA($B195:$J195)+COUNTA($M195))&gt;0),"",COUNTIFS($L$5:$L195,"?*",$O$5:$O195,$O195))</f>
        <v/>
      </c>
      <c r="B195" s="61" t="n"/>
      <c r="C195" s="61" t="n"/>
      <c r="D195" s="62" t="n"/>
      <c r="E195" s="62" t="n"/>
      <c r="F195" s="63" t="n"/>
      <c r="G195" s="64" t="n"/>
      <c r="H195" s="64" t="n"/>
      <c r="I195" s="64" t="n"/>
      <c r="J195" s="64" t="n"/>
      <c r="K195" s="65">
        <f>IF(NOT((COUNTA($B195:$J195)+COUNTA($M195))&gt;0),"",IFERROR(LOOKUP(2,1/(G195:J195&lt;&gt;""),G195:J195),0))</f>
        <v/>
      </c>
      <c r="L195" s="60">
        <f>IF(K195="","",IF(K195&gt;=1,"Completado",IF(K195&gt;0,"En curso","Pendiente")))</f>
        <v/>
      </c>
      <c r="M195" s="61" t="n"/>
      <c r="N195" s="66">
        <f>IF(NOT((COUNTA($B195:$J195)+COUNTA($M195))&gt;0),"",IF((IF(B195="","Macroactividad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 OK","⚠ "&amp;LEFT(IF(B195="","Macroactividad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",""),LEN(IF(B195="","Macroactividad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",""))-3)))</f>
        <v/>
      </c>
      <c r="O195" s="67">
        <f>IF(NOT((COUNTA($B195:$J195)+COUNTA($M195))&gt;0),"",IF(ISNUMBER($D195),DATE(YEAR($D195),MONTH($D195),1),IF(ISNUMBER($E195),DATE(YEAR($E195),MONTH($E195),1),MesCiclo)))</f>
        <v/>
      </c>
      <c r="P195" s="68">
        <f>IF(OR($O195="",$O195&lt;&gt;MesCiclo),"",COUNTIF($O$5:$O195,MesCiclo))</f>
        <v/>
      </c>
    </row>
    <row r="196">
      <c r="A196" s="60">
        <f>IF(NOT((COUNTA($B196:$J196)+COUNTA($M196))&gt;0),"",COUNTIFS($L$5:$L196,"?*",$O$5:$O196,$O196))</f>
        <v/>
      </c>
      <c r="B196" s="61" t="n"/>
      <c r="C196" s="61" t="n"/>
      <c r="D196" s="62" t="n"/>
      <c r="E196" s="62" t="n"/>
      <c r="F196" s="63" t="n"/>
      <c r="G196" s="64" t="n"/>
      <c r="H196" s="64" t="n"/>
      <c r="I196" s="64" t="n"/>
      <c r="J196" s="64" t="n"/>
      <c r="K196" s="65">
        <f>IF(NOT((COUNTA($B196:$J196)+COUNTA($M196))&gt;0),"",IFERROR(LOOKUP(2,1/(G196:J196&lt;&gt;""),G196:J196),0))</f>
        <v/>
      </c>
      <c r="L196" s="60">
        <f>IF(K196="","",IF(K196&gt;=1,"Completado",IF(K196&gt;0,"En curso","Pendiente")))</f>
        <v/>
      </c>
      <c r="M196" s="61" t="n"/>
      <c r="N196" s="66">
        <f>IF(NOT((COUNTA($B196:$J196)+COUNTA($M196))&gt;0),"",IF((IF(B196="","Macroactividad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 OK","⚠ "&amp;LEFT(IF(B196="","Macroactividad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",""),LEN(IF(B196="","Macroactividad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",""))-3)))</f>
        <v/>
      </c>
      <c r="O196" s="67">
        <f>IF(NOT((COUNTA($B196:$J196)+COUNTA($M196))&gt;0),"",IF(ISNUMBER($D196),DATE(YEAR($D196),MONTH($D196),1),IF(ISNUMBER($E196),DATE(YEAR($E196),MONTH($E196),1),MesCiclo)))</f>
        <v/>
      </c>
      <c r="P196" s="68">
        <f>IF(OR($O196="",$O196&lt;&gt;MesCiclo),"",COUNTIF($O$5:$O196,MesCiclo))</f>
        <v/>
      </c>
    </row>
    <row r="197">
      <c r="A197" s="60">
        <f>IF(NOT((COUNTA($B197:$J197)+COUNTA($M197))&gt;0),"",COUNTIFS($L$5:$L197,"?*",$O$5:$O197,$O197))</f>
        <v/>
      </c>
      <c r="B197" s="61" t="n"/>
      <c r="C197" s="61" t="n"/>
      <c r="D197" s="62" t="n"/>
      <c r="E197" s="62" t="n"/>
      <c r="F197" s="63" t="n"/>
      <c r="G197" s="64" t="n"/>
      <c r="H197" s="64" t="n"/>
      <c r="I197" s="64" t="n"/>
      <c r="J197" s="64" t="n"/>
      <c r="K197" s="65">
        <f>IF(NOT((COUNTA($B197:$J197)+COUNTA($M197))&gt;0),"",IFERROR(LOOKUP(2,1/(G197:J197&lt;&gt;""),G197:J197),0))</f>
        <v/>
      </c>
      <c r="L197" s="60">
        <f>IF(K197="","",IF(K197&gt;=1,"Completado",IF(K197&gt;0,"En curso","Pendiente")))</f>
        <v/>
      </c>
      <c r="M197" s="61" t="n"/>
      <c r="N197" s="66">
        <f>IF(NOT((COUNTA($B197:$J197)+COUNTA($M197))&gt;0),"",IF((IF(B197="","Macroactividad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 OK","⚠ "&amp;LEFT(IF(B197="","Macroactividad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",""),LEN(IF(B197="","Macroactividad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",""))-3)))</f>
        <v/>
      </c>
      <c r="O197" s="67">
        <f>IF(NOT((COUNTA($B197:$J197)+COUNTA($M197))&gt;0),"",IF(ISNUMBER($D197),DATE(YEAR($D197),MONTH($D197),1),IF(ISNUMBER($E197),DATE(YEAR($E197),MONTH($E197),1),MesCiclo)))</f>
        <v/>
      </c>
      <c r="P197" s="68">
        <f>IF(OR($O197="",$O197&lt;&gt;MesCiclo),"",COUNTIF($O$5:$O197,MesCiclo))</f>
        <v/>
      </c>
    </row>
    <row r="198">
      <c r="A198" s="60">
        <f>IF(NOT((COUNTA($B198:$J198)+COUNTA($M198))&gt;0),"",COUNTIFS($L$5:$L198,"?*",$O$5:$O198,$O198))</f>
        <v/>
      </c>
      <c r="B198" s="61" t="n"/>
      <c r="C198" s="61" t="n"/>
      <c r="D198" s="62" t="n"/>
      <c r="E198" s="62" t="n"/>
      <c r="F198" s="63" t="n"/>
      <c r="G198" s="64" t="n"/>
      <c r="H198" s="64" t="n"/>
      <c r="I198" s="64" t="n"/>
      <c r="J198" s="64" t="n"/>
      <c r="K198" s="65">
        <f>IF(NOT((COUNTA($B198:$J198)+COUNTA($M198))&gt;0),"",IFERROR(LOOKUP(2,1/(G198:J198&lt;&gt;""),G198:J198),0))</f>
        <v/>
      </c>
      <c r="L198" s="60">
        <f>IF(K198="","",IF(K198&gt;=1,"Completado",IF(K198&gt;0,"En curso","Pendiente")))</f>
        <v/>
      </c>
      <c r="M198" s="61" t="n"/>
      <c r="N198" s="66">
        <f>IF(NOT((COUNTA($B198:$J198)+COUNTA($M198))&gt;0),"",IF((IF(B198="","Macroactividad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 OK","⚠ "&amp;LEFT(IF(B198="","Macroactividad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",""),LEN(IF(B198="","Macroactividad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",""))-3)))</f>
        <v/>
      </c>
      <c r="O198" s="67">
        <f>IF(NOT((COUNTA($B198:$J198)+COUNTA($M198))&gt;0),"",IF(ISNUMBER($D198),DATE(YEAR($D198),MONTH($D198),1),IF(ISNUMBER($E198),DATE(YEAR($E198),MONTH($E198),1),MesCiclo)))</f>
        <v/>
      </c>
      <c r="P198" s="68">
        <f>IF(OR($O198="",$O198&lt;&gt;MesCiclo),"",COUNTIF($O$5:$O198,MesCiclo))</f>
        <v/>
      </c>
    </row>
    <row r="199">
      <c r="A199" s="60">
        <f>IF(NOT((COUNTA($B199:$J199)+COUNTA($M199))&gt;0),"",COUNTIFS($L$5:$L199,"?*",$O$5:$O199,$O199))</f>
        <v/>
      </c>
      <c r="B199" s="61" t="n"/>
      <c r="C199" s="61" t="n"/>
      <c r="D199" s="62" t="n"/>
      <c r="E199" s="62" t="n"/>
      <c r="F199" s="63" t="n"/>
      <c r="G199" s="64" t="n"/>
      <c r="H199" s="64" t="n"/>
      <c r="I199" s="64" t="n"/>
      <c r="J199" s="64" t="n"/>
      <c r="K199" s="65">
        <f>IF(NOT((COUNTA($B199:$J199)+COUNTA($M199))&gt;0),"",IFERROR(LOOKUP(2,1/(G199:J199&lt;&gt;""),G199:J199),0))</f>
        <v/>
      </c>
      <c r="L199" s="60">
        <f>IF(K199="","",IF(K199&gt;=1,"Completado",IF(K199&gt;0,"En curso","Pendiente")))</f>
        <v/>
      </c>
      <c r="M199" s="61" t="n"/>
      <c r="N199" s="66">
        <f>IF(NOT((COUNTA($B199:$J199)+COUNTA($M199))&gt;0),"",IF((IF(B199="","Macroactividad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 OK","⚠ "&amp;LEFT(IF(B199="","Macroactividad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",""),LEN(IF(B199="","Macroactividad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",""))-3)))</f>
        <v/>
      </c>
      <c r="O199" s="67">
        <f>IF(NOT((COUNTA($B199:$J199)+COUNTA($M199))&gt;0),"",IF(ISNUMBER($D199),DATE(YEAR($D199),MONTH($D199),1),IF(ISNUMBER($E199),DATE(YEAR($E199),MONTH($E199),1),MesCiclo)))</f>
        <v/>
      </c>
      <c r="P199" s="68">
        <f>IF(OR($O199="",$O199&lt;&gt;MesCiclo),"",COUNTIF($O$5:$O199,MesCiclo))</f>
        <v/>
      </c>
    </row>
    <row r="200">
      <c r="A200" s="60">
        <f>IF(NOT((COUNTA($B200:$J200)+COUNTA($M200))&gt;0),"",COUNTIFS($L$5:$L200,"?*",$O$5:$O200,$O200))</f>
        <v/>
      </c>
      <c r="B200" s="61" t="n"/>
      <c r="C200" s="61" t="n"/>
      <c r="D200" s="62" t="n"/>
      <c r="E200" s="62" t="n"/>
      <c r="F200" s="63" t="n"/>
      <c r="G200" s="64" t="n"/>
      <c r="H200" s="64" t="n"/>
      <c r="I200" s="64" t="n"/>
      <c r="J200" s="64" t="n"/>
      <c r="K200" s="65">
        <f>IF(NOT((COUNTA($B200:$J200)+COUNTA($M200))&gt;0),"",IFERROR(LOOKUP(2,1/(G200:J200&lt;&gt;""),G200:J200),0))</f>
        <v/>
      </c>
      <c r="L200" s="60">
        <f>IF(K200="","",IF(K200&gt;=1,"Completado",IF(K200&gt;0,"En curso","Pendiente")))</f>
        <v/>
      </c>
      <c r="M200" s="61" t="n"/>
      <c r="N200" s="66">
        <f>IF(NOT((COUNTA($B200:$J200)+COUNTA($M200))&gt;0),"",IF((IF(B200="","Macroactividad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 OK","⚠ "&amp;LEFT(IF(B200="","Macroactividad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",""),LEN(IF(B200="","Macroactividad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",""))-3)))</f>
        <v/>
      </c>
      <c r="O200" s="67">
        <f>IF(NOT((COUNTA($B200:$J200)+COUNTA($M200))&gt;0),"",IF(ISNUMBER($D200),DATE(YEAR($D200),MONTH($D200),1),IF(ISNUMBER($E200),DATE(YEAR($E200),MONTH($E200),1),MesCiclo)))</f>
        <v/>
      </c>
      <c r="P200" s="68">
        <f>IF(OR($O200="",$O200&lt;&gt;MesCiclo),"",COUNTIF($O$5:$O200,MesCiclo))</f>
        <v/>
      </c>
    </row>
    <row r="201">
      <c r="A201" s="60">
        <f>IF(NOT((COUNTA($B201:$J201)+COUNTA($M201))&gt;0),"",COUNTIFS($L$5:$L201,"?*",$O$5:$O201,$O201))</f>
        <v/>
      </c>
      <c r="B201" s="61" t="n"/>
      <c r="C201" s="61" t="n"/>
      <c r="D201" s="62" t="n"/>
      <c r="E201" s="62" t="n"/>
      <c r="F201" s="63" t="n"/>
      <c r="G201" s="64" t="n"/>
      <c r="H201" s="64" t="n"/>
      <c r="I201" s="64" t="n"/>
      <c r="J201" s="64" t="n"/>
      <c r="K201" s="65">
        <f>IF(NOT((COUNTA($B201:$J201)+COUNTA($M201))&gt;0),"",IFERROR(LOOKUP(2,1/(G201:J201&lt;&gt;""),G201:J201),0))</f>
        <v/>
      </c>
      <c r="L201" s="60">
        <f>IF(K201="","",IF(K201&gt;=1,"Completado",IF(K201&gt;0,"En curso","Pendiente")))</f>
        <v/>
      </c>
      <c r="M201" s="61" t="n"/>
      <c r="N201" s="66">
        <f>IF(NOT((COUNTA($B201:$J201)+COUNTA($M201))&gt;0),"",IF((IF(B201="","Macroactividad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 OK","⚠ "&amp;LEFT(IF(B201="","Macroactividad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",""),LEN(IF(B201="","Macroactividad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",""))-3)))</f>
        <v/>
      </c>
      <c r="O201" s="67">
        <f>IF(NOT((COUNTA($B201:$J201)+COUNTA($M201))&gt;0),"",IF(ISNUMBER($D201),DATE(YEAR($D201),MONTH($D201),1),IF(ISNUMBER($E201),DATE(YEAR($E201),MONTH($E201),1),MesCiclo)))</f>
        <v/>
      </c>
      <c r="P201" s="68">
        <f>IF(OR($O201="",$O201&lt;&gt;MesCiclo),"",COUNTIF($O$5:$O201,MesCiclo))</f>
        <v/>
      </c>
    </row>
    <row r="202">
      <c r="A202" s="60">
        <f>IF(NOT((COUNTA($B202:$J202)+COUNTA($M202))&gt;0),"",COUNTIFS($L$5:$L202,"?*",$O$5:$O202,$O202))</f>
        <v/>
      </c>
      <c r="B202" s="61" t="n"/>
      <c r="C202" s="61" t="n"/>
      <c r="D202" s="62" t="n"/>
      <c r="E202" s="62" t="n"/>
      <c r="F202" s="63" t="n"/>
      <c r="G202" s="64" t="n"/>
      <c r="H202" s="64" t="n"/>
      <c r="I202" s="64" t="n"/>
      <c r="J202" s="64" t="n"/>
      <c r="K202" s="65">
        <f>IF(NOT((COUNTA($B202:$J202)+COUNTA($M202))&gt;0),"",IFERROR(LOOKUP(2,1/(G202:J202&lt;&gt;""),G202:J202),0))</f>
        <v/>
      </c>
      <c r="L202" s="60">
        <f>IF(K202="","",IF(K202&gt;=1,"Completado",IF(K202&gt;0,"En curso","Pendiente")))</f>
        <v/>
      </c>
      <c r="M202" s="61" t="n"/>
      <c r="N202" s="66">
        <f>IF(NOT((COUNTA($B202:$J202)+COUNTA($M202))&gt;0),"",IF((IF(B202="","Macroactividad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 OK","⚠ "&amp;LEFT(IF(B202="","Macroactividad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",""),LEN(IF(B202="","Macroactividad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",""))-3)))</f>
        <v/>
      </c>
      <c r="O202" s="67">
        <f>IF(NOT((COUNTA($B202:$J202)+COUNTA($M202))&gt;0),"",IF(ISNUMBER($D202),DATE(YEAR($D202),MONTH($D202),1),IF(ISNUMBER($E202),DATE(YEAR($E202),MONTH($E202),1),MesCiclo)))</f>
        <v/>
      </c>
      <c r="P202" s="68">
        <f>IF(OR($O202="",$O202&lt;&gt;MesCiclo),"",COUNTIF($O$5:$O202,MesCiclo))</f>
        <v/>
      </c>
    </row>
    <row r="203">
      <c r="A203" s="60">
        <f>IF(NOT((COUNTA($B203:$J203)+COUNTA($M203))&gt;0),"",COUNTIFS($L$5:$L203,"?*",$O$5:$O203,$O203))</f>
        <v/>
      </c>
      <c r="B203" s="61" t="n"/>
      <c r="C203" s="61" t="n"/>
      <c r="D203" s="62" t="n"/>
      <c r="E203" s="62" t="n"/>
      <c r="F203" s="63" t="n"/>
      <c r="G203" s="64" t="n"/>
      <c r="H203" s="64" t="n"/>
      <c r="I203" s="64" t="n"/>
      <c r="J203" s="64" t="n"/>
      <c r="K203" s="65">
        <f>IF(NOT((COUNTA($B203:$J203)+COUNTA($M203))&gt;0),"",IFERROR(LOOKUP(2,1/(G203:J203&lt;&gt;""),G203:J203),0))</f>
        <v/>
      </c>
      <c r="L203" s="60">
        <f>IF(K203="","",IF(K203&gt;=1,"Completado",IF(K203&gt;0,"En curso","Pendiente")))</f>
        <v/>
      </c>
      <c r="M203" s="61" t="n"/>
      <c r="N203" s="66">
        <f>IF(NOT((COUNTA($B203:$J203)+COUNTA($M203))&gt;0),"",IF((IF(B203="","Macroactividad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 OK","⚠ "&amp;LEFT(IF(B203="","Macroactividad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",""),LEN(IF(B203="","Macroactividad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",""))-3)))</f>
        <v/>
      </c>
      <c r="O203" s="67">
        <f>IF(NOT((COUNTA($B203:$J203)+COUNTA($M203))&gt;0),"",IF(ISNUMBER($D203),DATE(YEAR($D203),MONTH($D203),1),IF(ISNUMBER($E203),DATE(YEAR($E203),MONTH($E203),1),MesCiclo)))</f>
        <v/>
      </c>
      <c r="P203" s="68">
        <f>IF(OR($O203="",$O203&lt;&gt;MesCiclo),"",COUNTIF($O$5:$O203,MesCiclo))</f>
        <v/>
      </c>
    </row>
    <row r="204">
      <c r="A204" s="60">
        <f>IF(NOT((COUNTA($B204:$J204)+COUNTA($M204))&gt;0),"",COUNTIFS($L$5:$L204,"?*",$O$5:$O204,$O204))</f>
        <v/>
      </c>
      <c r="B204" s="61" t="n"/>
      <c r="C204" s="61" t="n"/>
      <c r="D204" s="62" t="n"/>
      <c r="E204" s="62" t="n"/>
      <c r="F204" s="63" t="n"/>
      <c r="G204" s="64" t="n"/>
      <c r="H204" s="64" t="n"/>
      <c r="I204" s="64" t="n"/>
      <c r="J204" s="64" t="n"/>
      <c r="K204" s="65">
        <f>IF(NOT((COUNTA($B204:$J204)+COUNTA($M204))&gt;0),"",IFERROR(LOOKUP(2,1/(G204:J204&lt;&gt;""),G204:J204),0))</f>
        <v/>
      </c>
      <c r="L204" s="60">
        <f>IF(K204="","",IF(K204&gt;=1,"Completado",IF(K204&gt;0,"En curso","Pendiente")))</f>
        <v/>
      </c>
      <c r="M204" s="61" t="n"/>
      <c r="N204" s="66">
        <f>IF(NOT((COUNTA($B204:$J204)+COUNTA($M204))&gt;0),"",IF((IF(B204="","Macroactividad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 OK","⚠ "&amp;LEFT(IF(B204="","Macroactividad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",""),LEN(IF(B204="","Macroactividad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",""))-3)))</f>
        <v/>
      </c>
      <c r="O204" s="67">
        <f>IF(NOT((COUNTA($B204:$J204)+COUNTA($M204))&gt;0),"",IF(ISNUMBER($D204),DATE(YEAR($D204),MONTH($D204),1),IF(ISNUMBER($E204),DATE(YEAR($E204),MONTH($E204),1),MesCiclo)))</f>
        <v/>
      </c>
      <c r="P204" s="68">
        <f>IF(OR($O204="",$O204&lt;&gt;MesCiclo),"",COUNTIF($O$5:$O204,MesCiclo))</f>
        <v/>
      </c>
    </row>
    <row r="205">
      <c r="A205" s="60">
        <f>IF(NOT((COUNTA($B205:$J205)+COUNTA($M205))&gt;0),"",COUNTIFS($L$5:$L205,"?*",$O$5:$O205,$O205))</f>
        <v/>
      </c>
      <c r="B205" s="61" t="n"/>
      <c r="C205" s="61" t="n"/>
      <c r="D205" s="62" t="n"/>
      <c r="E205" s="62" t="n"/>
      <c r="F205" s="63" t="n"/>
      <c r="G205" s="64" t="n"/>
      <c r="H205" s="64" t="n"/>
      <c r="I205" s="64" t="n"/>
      <c r="J205" s="64" t="n"/>
      <c r="K205" s="65">
        <f>IF(NOT((COUNTA($B205:$J205)+COUNTA($M205))&gt;0),"",IFERROR(LOOKUP(2,1/(G205:J205&lt;&gt;""),G205:J205),0))</f>
        <v/>
      </c>
      <c r="L205" s="60">
        <f>IF(K205="","",IF(K205&gt;=1,"Completado",IF(K205&gt;0,"En curso","Pendiente")))</f>
        <v/>
      </c>
      <c r="M205" s="61" t="n"/>
      <c r="N205" s="66">
        <f>IF(NOT((COUNTA($B205:$J205)+COUNTA($M205))&gt;0),"",IF((IF(B205="","Macroactividad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 OK","⚠ "&amp;LEFT(IF(B205="","Macroactividad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",""),LEN(IF(B205="","Macroactividad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",""))-3)))</f>
        <v/>
      </c>
      <c r="O205" s="67">
        <f>IF(NOT((COUNTA($B205:$J205)+COUNTA($M205))&gt;0),"",IF(ISNUMBER($D205),DATE(YEAR($D205),MONTH($D205),1),IF(ISNUMBER($E205),DATE(YEAR($E205),MONTH($E205),1),MesCiclo)))</f>
        <v/>
      </c>
      <c r="P205" s="68">
        <f>IF(OR($O205="",$O205&lt;&gt;MesCiclo),"",COUNTIF($O$5:$O205,MesCiclo))</f>
        <v/>
      </c>
    </row>
    <row r="206">
      <c r="A206" s="60">
        <f>IF(NOT((COUNTA($B206:$J206)+COUNTA($M206))&gt;0),"",COUNTIFS($L$5:$L206,"?*",$O$5:$O206,$O206))</f>
        <v/>
      </c>
      <c r="B206" s="61" t="n"/>
      <c r="C206" s="61" t="n"/>
      <c r="D206" s="62" t="n"/>
      <c r="E206" s="62" t="n"/>
      <c r="F206" s="63" t="n"/>
      <c r="G206" s="64" t="n"/>
      <c r="H206" s="64" t="n"/>
      <c r="I206" s="64" t="n"/>
      <c r="J206" s="64" t="n"/>
      <c r="K206" s="65">
        <f>IF(NOT((COUNTA($B206:$J206)+COUNTA($M206))&gt;0),"",IFERROR(LOOKUP(2,1/(G206:J206&lt;&gt;""),G206:J206),0))</f>
        <v/>
      </c>
      <c r="L206" s="60">
        <f>IF(K206="","",IF(K206&gt;=1,"Completado",IF(K206&gt;0,"En curso","Pendiente")))</f>
        <v/>
      </c>
      <c r="M206" s="61" t="n"/>
      <c r="N206" s="66">
        <f>IF(NOT((COUNTA($B206:$J206)+COUNTA($M206))&gt;0),"",IF((IF(B206="","Macroactividad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 OK","⚠ "&amp;LEFT(IF(B206="","Macroactividad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",""),LEN(IF(B206="","Macroactividad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",""))-3)))</f>
        <v/>
      </c>
      <c r="O206" s="67">
        <f>IF(NOT((COUNTA($B206:$J206)+COUNTA($M206))&gt;0),"",IF(ISNUMBER($D206),DATE(YEAR($D206),MONTH($D206),1),IF(ISNUMBER($E206),DATE(YEAR($E206),MONTH($E206),1),MesCiclo)))</f>
        <v/>
      </c>
      <c r="P206" s="68">
        <f>IF(OR($O206="",$O206&lt;&gt;MesCiclo),"",COUNTIF($O$5:$O206,MesCiclo))</f>
        <v/>
      </c>
    </row>
    <row r="207">
      <c r="A207" s="60">
        <f>IF(NOT((COUNTA($B207:$J207)+COUNTA($M207))&gt;0),"",COUNTIFS($L$5:$L207,"?*",$O$5:$O207,$O207))</f>
        <v/>
      </c>
      <c r="B207" s="61" t="n"/>
      <c r="C207" s="61" t="n"/>
      <c r="D207" s="62" t="n"/>
      <c r="E207" s="62" t="n"/>
      <c r="F207" s="63" t="n"/>
      <c r="G207" s="64" t="n"/>
      <c r="H207" s="64" t="n"/>
      <c r="I207" s="64" t="n"/>
      <c r="J207" s="64" t="n"/>
      <c r="K207" s="65">
        <f>IF(NOT((COUNTA($B207:$J207)+COUNTA($M207))&gt;0),"",IFERROR(LOOKUP(2,1/(G207:J207&lt;&gt;""),G207:J207),0))</f>
        <v/>
      </c>
      <c r="L207" s="60">
        <f>IF(K207="","",IF(K207&gt;=1,"Completado",IF(K207&gt;0,"En curso","Pendiente")))</f>
        <v/>
      </c>
      <c r="M207" s="61" t="n"/>
      <c r="N207" s="66">
        <f>IF(NOT((COUNTA($B207:$J207)+COUNTA($M207))&gt;0),"",IF((IF(B207="","Macroactividad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 OK","⚠ "&amp;LEFT(IF(B207="","Macroactividad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",""),LEN(IF(B207="","Macroactividad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",""))-3)))</f>
        <v/>
      </c>
      <c r="O207" s="67">
        <f>IF(NOT((COUNTA($B207:$J207)+COUNTA($M207))&gt;0),"",IF(ISNUMBER($D207),DATE(YEAR($D207),MONTH($D207),1),IF(ISNUMBER($E207),DATE(YEAR($E207),MONTH($E207),1),MesCiclo)))</f>
        <v/>
      </c>
      <c r="P207" s="68">
        <f>IF(OR($O207="",$O207&lt;&gt;MesCiclo),"",COUNTIF($O$5:$O207,MesCiclo))</f>
        <v/>
      </c>
    </row>
    <row r="208">
      <c r="A208" s="60">
        <f>IF(NOT((COUNTA($B208:$J208)+COUNTA($M208))&gt;0),"",COUNTIFS($L$5:$L208,"?*",$O$5:$O208,$O208))</f>
        <v/>
      </c>
      <c r="B208" s="61" t="n"/>
      <c r="C208" s="61" t="n"/>
      <c r="D208" s="62" t="n"/>
      <c r="E208" s="62" t="n"/>
      <c r="F208" s="63" t="n"/>
      <c r="G208" s="64" t="n"/>
      <c r="H208" s="64" t="n"/>
      <c r="I208" s="64" t="n"/>
      <c r="J208" s="64" t="n"/>
      <c r="K208" s="65">
        <f>IF(NOT((COUNTA($B208:$J208)+COUNTA($M208))&gt;0),"",IFERROR(LOOKUP(2,1/(G208:J208&lt;&gt;""),G208:J208),0))</f>
        <v/>
      </c>
      <c r="L208" s="60">
        <f>IF(K208="","",IF(K208&gt;=1,"Completado",IF(K208&gt;0,"En curso","Pendiente")))</f>
        <v/>
      </c>
      <c r="M208" s="61" t="n"/>
      <c r="N208" s="66">
        <f>IF(NOT((COUNTA($B208:$J208)+COUNTA($M208))&gt;0),"",IF((IF(B208="","Macroactividad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 OK","⚠ "&amp;LEFT(IF(B208="","Macroactividad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",""),LEN(IF(B208="","Macroactividad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",""))-3)))</f>
        <v/>
      </c>
      <c r="O208" s="67">
        <f>IF(NOT((COUNTA($B208:$J208)+COUNTA($M208))&gt;0),"",IF(ISNUMBER($D208),DATE(YEAR($D208),MONTH($D208),1),IF(ISNUMBER($E208),DATE(YEAR($E208),MONTH($E208),1),MesCiclo)))</f>
        <v/>
      </c>
      <c r="P208" s="68">
        <f>IF(OR($O208="",$O208&lt;&gt;MesCiclo),"",COUNTIF($O$5:$O208,MesCiclo))</f>
        <v/>
      </c>
    </row>
    <row r="209">
      <c r="A209" s="60">
        <f>IF(NOT((COUNTA($B209:$J209)+COUNTA($M209))&gt;0),"",COUNTIFS($L$5:$L209,"?*",$O$5:$O209,$O209))</f>
        <v/>
      </c>
      <c r="B209" s="61" t="n"/>
      <c r="C209" s="61" t="n"/>
      <c r="D209" s="62" t="n"/>
      <c r="E209" s="62" t="n"/>
      <c r="F209" s="63" t="n"/>
      <c r="G209" s="64" t="n"/>
      <c r="H209" s="64" t="n"/>
      <c r="I209" s="64" t="n"/>
      <c r="J209" s="64" t="n"/>
      <c r="K209" s="65">
        <f>IF(NOT((COUNTA($B209:$J209)+COUNTA($M209))&gt;0),"",IFERROR(LOOKUP(2,1/(G209:J209&lt;&gt;""),G209:J209),0))</f>
        <v/>
      </c>
      <c r="L209" s="60">
        <f>IF(K209="","",IF(K209&gt;=1,"Completado",IF(K209&gt;0,"En curso","Pendiente")))</f>
        <v/>
      </c>
      <c r="M209" s="61" t="n"/>
      <c r="N209" s="66">
        <f>IF(NOT((COUNTA($B209:$J209)+COUNTA($M209))&gt;0),"",IF((IF(B209="","Macroactividad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 OK","⚠ "&amp;LEFT(IF(B209="","Macroactividad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",""),LEN(IF(B209="","Macroactividad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",""))-3)))</f>
        <v/>
      </c>
      <c r="O209" s="67">
        <f>IF(NOT((COUNTA($B209:$J209)+COUNTA($M209))&gt;0),"",IF(ISNUMBER($D209),DATE(YEAR($D209),MONTH($D209),1),IF(ISNUMBER($E209),DATE(YEAR($E209),MONTH($E209),1),MesCiclo)))</f>
        <v/>
      </c>
      <c r="P209" s="68">
        <f>IF(OR($O209="",$O209&lt;&gt;MesCiclo),"",COUNTIF($O$5:$O209,MesCiclo))</f>
        <v/>
      </c>
    </row>
    <row r="210">
      <c r="A210" s="60">
        <f>IF(NOT((COUNTA($B210:$J210)+COUNTA($M210))&gt;0),"",COUNTIFS($L$5:$L210,"?*",$O$5:$O210,$O210))</f>
        <v/>
      </c>
      <c r="B210" s="61" t="n"/>
      <c r="C210" s="61" t="n"/>
      <c r="D210" s="62" t="n"/>
      <c r="E210" s="62" t="n"/>
      <c r="F210" s="63" t="n"/>
      <c r="G210" s="64" t="n"/>
      <c r="H210" s="64" t="n"/>
      <c r="I210" s="64" t="n"/>
      <c r="J210" s="64" t="n"/>
      <c r="K210" s="65">
        <f>IF(NOT((COUNTA($B210:$J210)+COUNTA($M210))&gt;0),"",IFERROR(LOOKUP(2,1/(G210:J210&lt;&gt;""),G210:J210),0))</f>
        <v/>
      </c>
      <c r="L210" s="60">
        <f>IF(K210="","",IF(K210&gt;=1,"Completado",IF(K210&gt;0,"En curso","Pendiente")))</f>
        <v/>
      </c>
      <c r="M210" s="61" t="n"/>
      <c r="N210" s="66">
        <f>IF(NOT((COUNTA($B210:$J210)+COUNTA($M210))&gt;0),"",IF((IF(B210="","Macroactividad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 OK","⚠ "&amp;LEFT(IF(B210="","Macroactividad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",""),LEN(IF(B210="","Macroactividad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",""))-3)))</f>
        <v/>
      </c>
      <c r="O210" s="67">
        <f>IF(NOT((COUNTA($B210:$J210)+COUNTA($M210))&gt;0),"",IF(ISNUMBER($D210),DATE(YEAR($D210),MONTH($D210),1),IF(ISNUMBER($E210),DATE(YEAR($E210),MONTH($E210),1),MesCiclo)))</f>
        <v/>
      </c>
      <c r="P210" s="68">
        <f>IF(OR($O210="",$O210&lt;&gt;MesCiclo),"",COUNTIF($O$5:$O210,MesCiclo))</f>
        <v/>
      </c>
    </row>
    <row r="211">
      <c r="A211" s="60">
        <f>IF(NOT((COUNTA($B211:$J211)+COUNTA($M211))&gt;0),"",COUNTIFS($L$5:$L211,"?*",$O$5:$O211,$O211))</f>
        <v/>
      </c>
      <c r="B211" s="61" t="n"/>
      <c r="C211" s="61" t="n"/>
      <c r="D211" s="62" t="n"/>
      <c r="E211" s="62" t="n"/>
      <c r="F211" s="63" t="n"/>
      <c r="G211" s="64" t="n"/>
      <c r="H211" s="64" t="n"/>
      <c r="I211" s="64" t="n"/>
      <c r="J211" s="64" t="n"/>
      <c r="K211" s="65">
        <f>IF(NOT((COUNTA($B211:$J211)+COUNTA($M211))&gt;0),"",IFERROR(LOOKUP(2,1/(G211:J211&lt;&gt;""),G211:J211),0))</f>
        <v/>
      </c>
      <c r="L211" s="60">
        <f>IF(K211="","",IF(K211&gt;=1,"Completado",IF(K211&gt;0,"En curso","Pendiente")))</f>
        <v/>
      </c>
      <c r="M211" s="61" t="n"/>
      <c r="N211" s="66">
        <f>IF(NOT((COUNTA($B211:$J211)+COUNTA($M211))&gt;0),"",IF((IF(B211="","Macroactividad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 OK","⚠ "&amp;LEFT(IF(B211="","Macroactividad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",""),LEN(IF(B211="","Macroactividad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",""))-3)))</f>
        <v/>
      </c>
      <c r="O211" s="67">
        <f>IF(NOT((COUNTA($B211:$J211)+COUNTA($M211))&gt;0),"",IF(ISNUMBER($D211),DATE(YEAR($D211),MONTH($D211),1),IF(ISNUMBER($E211),DATE(YEAR($E211),MONTH($E211),1),MesCiclo)))</f>
        <v/>
      </c>
      <c r="P211" s="68">
        <f>IF(OR($O211="",$O211&lt;&gt;MesCiclo),"",COUNTIF($O$5:$O211,MesCiclo))</f>
        <v/>
      </c>
    </row>
    <row r="212">
      <c r="A212" s="60">
        <f>IF(NOT((COUNTA($B212:$J212)+COUNTA($M212))&gt;0),"",COUNTIFS($L$5:$L212,"?*",$O$5:$O212,$O212))</f>
        <v/>
      </c>
      <c r="B212" s="61" t="n"/>
      <c r="C212" s="61" t="n"/>
      <c r="D212" s="62" t="n"/>
      <c r="E212" s="62" t="n"/>
      <c r="F212" s="63" t="n"/>
      <c r="G212" s="64" t="n"/>
      <c r="H212" s="64" t="n"/>
      <c r="I212" s="64" t="n"/>
      <c r="J212" s="64" t="n"/>
      <c r="K212" s="65">
        <f>IF(NOT((COUNTA($B212:$J212)+COUNTA($M212))&gt;0),"",IFERROR(LOOKUP(2,1/(G212:J212&lt;&gt;""),G212:J212),0))</f>
        <v/>
      </c>
      <c r="L212" s="60">
        <f>IF(K212="","",IF(K212&gt;=1,"Completado",IF(K212&gt;0,"En curso","Pendiente")))</f>
        <v/>
      </c>
      <c r="M212" s="61" t="n"/>
      <c r="N212" s="66">
        <f>IF(NOT((COUNTA($B212:$J212)+COUNTA($M212))&gt;0),"",IF((IF(B212="","Macroactividad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 OK","⚠ "&amp;LEFT(IF(B212="","Macroactividad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",""),LEN(IF(B212="","Macroactividad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",""))-3)))</f>
        <v/>
      </c>
      <c r="O212" s="67">
        <f>IF(NOT((COUNTA($B212:$J212)+COUNTA($M212))&gt;0),"",IF(ISNUMBER($D212),DATE(YEAR($D212),MONTH($D212),1),IF(ISNUMBER($E212),DATE(YEAR($E212),MONTH($E212),1),MesCiclo)))</f>
        <v/>
      </c>
      <c r="P212" s="68">
        <f>IF(OR($O212="",$O212&lt;&gt;MesCiclo),"",COUNTIF($O$5:$O212,MesCiclo))</f>
        <v/>
      </c>
    </row>
    <row r="213">
      <c r="A213" s="60">
        <f>IF(NOT((COUNTA($B213:$J213)+COUNTA($M213))&gt;0),"",COUNTIFS($L$5:$L213,"?*",$O$5:$O213,$O213))</f>
        <v/>
      </c>
      <c r="B213" s="61" t="n"/>
      <c r="C213" s="61" t="n"/>
      <c r="D213" s="62" t="n"/>
      <c r="E213" s="62" t="n"/>
      <c r="F213" s="63" t="n"/>
      <c r="G213" s="64" t="n"/>
      <c r="H213" s="64" t="n"/>
      <c r="I213" s="64" t="n"/>
      <c r="J213" s="64" t="n"/>
      <c r="K213" s="65">
        <f>IF(NOT((COUNTA($B213:$J213)+COUNTA($M213))&gt;0),"",IFERROR(LOOKUP(2,1/(G213:J213&lt;&gt;""),G213:J213),0))</f>
        <v/>
      </c>
      <c r="L213" s="60">
        <f>IF(K213="","",IF(K213&gt;=1,"Completado",IF(K213&gt;0,"En curso","Pendiente")))</f>
        <v/>
      </c>
      <c r="M213" s="61" t="n"/>
      <c r="N213" s="66">
        <f>IF(NOT((COUNTA($B213:$J213)+COUNTA($M213))&gt;0),"",IF((IF(B213="","Macroactividad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 OK","⚠ "&amp;LEFT(IF(B213="","Macroactividad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",""),LEN(IF(B213="","Macroactividad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",""))-3)))</f>
        <v/>
      </c>
      <c r="O213" s="67">
        <f>IF(NOT((COUNTA($B213:$J213)+COUNTA($M213))&gt;0),"",IF(ISNUMBER($D213),DATE(YEAR($D213),MONTH($D213),1),IF(ISNUMBER($E213),DATE(YEAR($E213),MONTH($E213),1),MesCiclo)))</f>
        <v/>
      </c>
      <c r="P213" s="68">
        <f>IF(OR($O213="",$O213&lt;&gt;MesCiclo),"",COUNTIF($O$5:$O213,MesCiclo))</f>
        <v/>
      </c>
    </row>
    <row r="214">
      <c r="A214" s="60">
        <f>IF(NOT((COUNTA($B214:$J214)+COUNTA($M214))&gt;0),"",COUNTIFS($L$5:$L214,"?*",$O$5:$O214,$O214))</f>
        <v/>
      </c>
      <c r="B214" s="61" t="n"/>
      <c r="C214" s="61" t="n"/>
      <c r="D214" s="62" t="n"/>
      <c r="E214" s="62" t="n"/>
      <c r="F214" s="63" t="n"/>
      <c r="G214" s="64" t="n"/>
      <c r="H214" s="64" t="n"/>
      <c r="I214" s="64" t="n"/>
      <c r="J214" s="64" t="n"/>
      <c r="K214" s="65">
        <f>IF(NOT((COUNTA($B214:$J214)+COUNTA($M214))&gt;0),"",IFERROR(LOOKUP(2,1/(G214:J214&lt;&gt;""),G214:J214),0))</f>
        <v/>
      </c>
      <c r="L214" s="60">
        <f>IF(K214="","",IF(K214&gt;=1,"Completado",IF(K214&gt;0,"En curso","Pendiente")))</f>
        <v/>
      </c>
      <c r="M214" s="61" t="n"/>
      <c r="N214" s="66">
        <f>IF(NOT((COUNTA($B214:$J214)+COUNTA($M214))&gt;0),"",IF((IF(B214="","Macroactividad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 OK","⚠ "&amp;LEFT(IF(B214="","Macroactividad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",""),LEN(IF(B214="","Macroactividad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",""))-3)))</f>
        <v/>
      </c>
      <c r="O214" s="67">
        <f>IF(NOT((COUNTA($B214:$J214)+COUNTA($M214))&gt;0),"",IF(ISNUMBER($D214),DATE(YEAR($D214),MONTH($D214),1),IF(ISNUMBER($E214),DATE(YEAR($E214),MONTH($E214),1),MesCiclo)))</f>
        <v/>
      </c>
      <c r="P214" s="68">
        <f>IF(OR($O214="",$O214&lt;&gt;MesCiclo),"",COUNTIF($O$5:$O214,MesCiclo))</f>
        <v/>
      </c>
    </row>
    <row r="215">
      <c r="A215" s="60">
        <f>IF(NOT((COUNTA($B215:$J215)+COUNTA($M215))&gt;0),"",COUNTIFS($L$5:$L215,"?*",$O$5:$O215,$O215))</f>
        <v/>
      </c>
      <c r="B215" s="61" t="n"/>
      <c r="C215" s="61" t="n"/>
      <c r="D215" s="62" t="n"/>
      <c r="E215" s="62" t="n"/>
      <c r="F215" s="63" t="n"/>
      <c r="G215" s="64" t="n"/>
      <c r="H215" s="64" t="n"/>
      <c r="I215" s="64" t="n"/>
      <c r="J215" s="64" t="n"/>
      <c r="K215" s="65">
        <f>IF(NOT((COUNTA($B215:$J215)+COUNTA($M215))&gt;0),"",IFERROR(LOOKUP(2,1/(G215:J215&lt;&gt;""),G215:J215),0))</f>
        <v/>
      </c>
      <c r="L215" s="60">
        <f>IF(K215="","",IF(K215&gt;=1,"Completado",IF(K215&gt;0,"En curso","Pendiente")))</f>
        <v/>
      </c>
      <c r="M215" s="61" t="n"/>
      <c r="N215" s="66">
        <f>IF(NOT((COUNTA($B215:$J215)+COUNTA($M215))&gt;0),"",IF((IF(B215="","Macroactividad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 OK","⚠ "&amp;LEFT(IF(B215="","Macroactividad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",""),LEN(IF(B215="","Macroactividad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",""))-3)))</f>
        <v/>
      </c>
      <c r="O215" s="67">
        <f>IF(NOT((COUNTA($B215:$J215)+COUNTA($M215))&gt;0),"",IF(ISNUMBER($D215),DATE(YEAR($D215),MONTH($D215),1),IF(ISNUMBER($E215),DATE(YEAR($E215),MONTH($E215),1),MesCiclo)))</f>
        <v/>
      </c>
      <c r="P215" s="68">
        <f>IF(OR($O215="",$O215&lt;&gt;MesCiclo),"",COUNTIF($O$5:$O215,MesCiclo))</f>
        <v/>
      </c>
    </row>
    <row r="216">
      <c r="A216" s="60">
        <f>IF(NOT((COUNTA($B216:$J216)+COUNTA($M216))&gt;0),"",COUNTIFS($L$5:$L216,"?*",$O$5:$O216,$O216))</f>
        <v/>
      </c>
      <c r="B216" s="61" t="n"/>
      <c r="C216" s="61" t="n"/>
      <c r="D216" s="62" t="n"/>
      <c r="E216" s="62" t="n"/>
      <c r="F216" s="63" t="n"/>
      <c r="G216" s="64" t="n"/>
      <c r="H216" s="64" t="n"/>
      <c r="I216" s="64" t="n"/>
      <c r="J216" s="64" t="n"/>
      <c r="K216" s="65">
        <f>IF(NOT((COUNTA($B216:$J216)+COUNTA($M216))&gt;0),"",IFERROR(LOOKUP(2,1/(G216:J216&lt;&gt;""),G216:J216),0))</f>
        <v/>
      </c>
      <c r="L216" s="60">
        <f>IF(K216="","",IF(K216&gt;=1,"Completado",IF(K216&gt;0,"En curso","Pendiente")))</f>
        <v/>
      </c>
      <c r="M216" s="61" t="n"/>
      <c r="N216" s="66">
        <f>IF(NOT((COUNTA($B216:$J216)+COUNTA($M216))&gt;0),"",IF((IF(B216="","Macroactividad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 OK","⚠ "&amp;LEFT(IF(B216="","Macroactividad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",""),LEN(IF(B216="","Macroactividad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",""))-3)))</f>
        <v/>
      </c>
      <c r="O216" s="67">
        <f>IF(NOT((COUNTA($B216:$J216)+COUNTA($M216))&gt;0),"",IF(ISNUMBER($D216),DATE(YEAR($D216),MONTH($D216),1),IF(ISNUMBER($E216),DATE(YEAR($E216),MONTH($E216),1),MesCiclo)))</f>
        <v/>
      </c>
      <c r="P216" s="68">
        <f>IF(OR($O216="",$O216&lt;&gt;MesCiclo),"",COUNTIF($O$5:$O216,MesCiclo))</f>
        <v/>
      </c>
    </row>
    <row r="217">
      <c r="A217" s="60">
        <f>IF(NOT((COUNTA($B217:$J217)+COUNTA($M217))&gt;0),"",COUNTIFS($L$5:$L217,"?*",$O$5:$O217,$O217))</f>
        <v/>
      </c>
      <c r="B217" s="61" t="n"/>
      <c r="C217" s="61" t="n"/>
      <c r="D217" s="62" t="n"/>
      <c r="E217" s="62" t="n"/>
      <c r="F217" s="63" t="n"/>
      <c r="G217" s="64" t="n"/>
      <c r="H217" s="64" t="n"/>
      <c r="I217" s="64" t="n"/>
      <c r="J217" s="64" t="n"/>
      <c r="K217" s="65">
        <f>IF(NOT((COUNTA($B217:$J217)+COUNTA($M217))&gt;0),"",IFERROR(LOOKUP(2,1/(G217:J217&lt;&gt;""),G217:J217),0))</f>
        <v/>
      </c>
      <c r="L217" s="60">
        <f>IF(K217="","",IF(K217&gt;=1,"Completado",IF(K217&gt;0,"En curso","Pendiente")))</f>
        <v/>
      </c>
      <c r="M217" s="61" t="n"/>
      <c r="N217" s="66">
        <f>IF(NOT((COUNTA($B217:$J217)+COUNTA($M217))&gt;0),"",IF((IF(B217="","Macroactividad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 OK","⚠ "&amp;LEFT(IF(B217="","Macroactividad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",""),LEN(IF(B217="","Macroactividad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",""))-3)))</f>
        <v/>
      </c>
      <c r="O217" s="67">
        <f>IF(NOT((COUNTA($B217:$J217)+COUNTA($M217))&gt;0),"",IF(ISNUMBER($D217),DATE(YEAR($D217),MONTH($D217),1),IF(ISNUMBER($E217),DATE(YEAR($E217),MONTH($E217),1),MesCiclo)))</f>
        <v/>
      </c>
      <c r="P217" s="68">
        <f>IF(OR($O217="",$O217&lt;&gt;MesCiclo),"",COUNTIF($O$5:$O217,MesCiclo))</f>
        <v/>
      </c>
    </row>
    <row r="218">
      <c r="A218" s="60">
        <f>IF(NOT((COUNTA($B218:$J218)+COUNTA($M218))&gt;0),"",COUNTIFS($L$5:$L218,"?*",$O$5:$O218,$O218))</f>
        <v/>
      </c>
      <c r="B218" s="61" t="n"/>
      <c r="C218" s="61" t="n"/>
      <c r="D218" s="62" t="n"/>
      <c r="E218" s="62" t="n"/>
      <c r="F218" s="63" t="n"/>
      <c r="G218" s="64" t="n"/>
      <c r="H218" s="64" t="n"/>
      <c r="I218" s="64" t="n"/>
      <c r="J218" s="64" t="n"/>
      <c r="K218" s="65">
        <f>IF(NOT((COUNTA($B218:$J218)+COUNTA($M218))&gt;0),"",IFERROR(LOOKUP(2,1/(G218:J218&lt;&gt;""),G218:J218),0))</f>
        <v/>
      </c>
      <c r="L218" s="60">
        <f>IF(K218="","",IF(K218&gt;=1,"Completado",IF(K218&gt;0,"En curso","Pendiente")))</f>
        <v/>
      </c>
      <c r="M218" s="61" t="n"/>
      <c r="N218" s="66">
        <f>IF(NOT((COUNTA($B218:$J218)+COUNTA($M218))&gt;0),"",IF((IF(B218="","Macroactividad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 OK","⚠ "&amp;LEFT(IF(B218="","Macroactividad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",""),LEN(IF(B218="","Macroactividad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",""))-3)))</f>
        <v/>
      </c>
      <c r="O218" s="67">
        <f>IF(NOT((COUNTA($B218:$J218)+COUNTA($M218))&gt;0),"",IF(ISNUMBER($D218),DATE(YEAR($D218),MONTH($D218),1),IF(ISNUMBER($E218),DATE(YEAR($E218),MONTH($E218),1),MesCiclo)))</f>
        <v/>
      </c>
      <c r="P218" s="68">
        <f>IF(OR($O218="",$O218&lt;&gt;MesCiclo),"",COUNTIF($O$5:$O218,MesCiclo))</f>
        <v/>
      </c>
    </row>
    <row r="219">
      <c r="A219" s="60">
        <f>IF(NOT((COUNTA($B219:$J219)+COUNTA($M219))&gt;0),"",COUNTIFS($L$5:$L219,"?*",$O$5:$O219,$O219))</f>
        <v/>
      </c>
      <c r="B219" s="61" t="n"/>
      <c r="C219" s="61" t="n"/>
      <c r="D219" s="62" t="n"/>
      <c r="E219" s="62" t="n"/>
      <c r="F219" s="63" t="n"/>
      <c r="G219" s="64" t="n"/>
      <c r="H219" s="64" t="n"/>
      <c r="I219" s="64" t="n"/>
      <c r="J219" s="64" t="n"/>
      <c r="K219" s="65">
        <f>IF(NOT((COUNTA($B219:$J219)+COUNTA($M219))&gt;0),"",IFERROR(LOOKUP(2,1/(G219:J219&lt;&gt;""),G219:J219),0))</f>
        <v/>
      </c>
      <c r="L219" s="60">
        <f>IF(K219="","",IF(K219&gt;=1,"Completado",IF(K219&gt;0,"En curso","Pendiente")))</f>
        <v/>
      </c>
      <c r="M219" s="61" t="n"/>
      <c r="N219" s="66">
        <f>IF(NOT((COUNTA($B219:$J219)+COUNTA($M219))&gt;0),"",IF((IF(B219="","Macroactividad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 OK","⚠ "&amp;LEFT(IF(B219="","Macroactividad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",""),LEN(IF(B219="","Macroactividad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",""))-3)))</f>
        <v/>
      </c>
      <c r="O219" s="67">
        <f>IF(NOT((COUNTA($B219:$J219)+COUNTA($M219))&gt;0),"",IF(ISNUMBER($D219),DATE(YEAR($D219),MONTH($D219),1),IF(ISNUMBER($E219),DATE(YEAR($E219),MONTH($E219),1),MesCiclo)))</f>
        <v/>
      </c>
      <c r="P219" s="68">
        <f>IF(OR($O219="",$O219&lt;&gt;MesCiclo),"",COUNTIF($O$5:$O219,MesCiclo))</f>
        <v/>
      </c>
    </row>
    <row r="220">
      <c r="A220" s="60">
        <f>IF(NOT((COUNTA($B220:$J220)+COUNTA($M220))&gt;0),"",COUNTIFS($L$5:$L220,"?*",$O$5:$O220,$O220))</f>
        <v/>
      </c>
      <c r="B220" s="61" t="n"/>
      <c r="C220" s="61" t="n"/>
      <c r="D220" s="62" t="n"/>
      <c r="E220" s="62" t="n"/>
      <c r="F220" s="63" t="n"/>
      <c r="G220" s="64" t="n"/>
      <c r="H220" s="64" t="n"/>
      <c r="I220" s="64" t="n"/>
      <c r="J220" s="64" t="n"/>
      <c r="K220" s="65">
        <f>IF(NOT((COUNTA($B220:$J220)+COUNTA($M220))&gt;0),"",IFERROR(LOOKUP(2,1/(G220:J220&lt;&gt;""),G220:J220),0))</f>
        <v/>
      </c>
      <c r="L220" s="60">
        <f>IF(K220="","",IF(K220&gt;=1,"Completado",IF(K220&gt;0,"En curso","Pendiente")))</f>
        <v/>
      </c>
      <c r="M220" s="61" t="n"/>
      <c r="N220" s="66">
        <f>IF(NOT((COUNTA($B220:$J220)+COUNTA($M220))&gt;0),"",IF((IF(B220="","Macroactividad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 OK","⚠ "&amp;LEFT(IF(B220="","Macroactividad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",""),LEN(IF(B220="","Macroactividad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",""))-3)))</f>
        <v/>
      </c>
      <c r="O220" s="67">
        <f>IF(NOT((COUNTA($B220:$J220)+COUNTA($M220))&gt;0),"",IF(ISNUMBER($D220),DATE(YEAR($D220),MONTH($D220),1),IF(ISNUMBER($E220),DATE(YEAR($E220),MONTH($E220),1),MesCiclo)))</f>
        <v/>
      </c>
      <c r="P220" s="68">
        <f>IF(OR($O220="",$O220&lt;&gt;MesCiclo),"",COUNTIF($O$5:$O220,MesCiclo))</f>
        <v/>
      </c>
    </row>
    <row r="221">
      <c r="A221" s="60">
        <f>IF(NOT((COUNTA($B221:$J221)+COUNTA($M221))&gt;0),"",COUNTIFS($L$5:$L221,"?*",$O$5:$O221,$O221))</f>
        <v/>
      </c>
      <c r="B221" s="61" t="n"/>
      <c r="C221" s="61" t="n"/>
      <c r="D221" s="62" t="n"/>
      <c r="E221" s="62" t="n"/>
      <c r="F221" s="63" t="n"/>
      <c r="G221" s="64" t="n"/>
      <c r="H221" s="64" t="n"/>
      <c r="I221" s="64" t="n"/>
      <c r="J221" s="64" t="n"/>
      <c r="K221" s="65">
        <f>IF(NOT((COUNTA($B221:$J221)+COUNTA($M221))&gt;0),"",IFERROR(LOOKUP(2,1/(G221:J221&lt;&gt;""),G221:J221),0))</f>
        <v/>
      </c>
      <c r="L221" s="60">
        <f>IF(K221="","",IF(K221&gt;=1,"Completado",IF(K221&gt;0,"En curso","Pendiente")))</f>
        <v/>
      </c>
      <c r="M221" s="61" t="n"/>
      <c r="N221" s="66">
        <f>IF(NOT((COUNTA($B221:$J221)+COUNTA($M221))&gt;0),"",IF((IF(B221="","Macroactividad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 OK","⚠ "&amp;LEFT(IF(B221="","Macroactividad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",""),LEN(IF(B221="","Macroactividad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",""))-3)))</f>
        <v/>
      </c>
      <c r="O221" s="67">
        <f>IF(NOT((COUNTA($B221:$J221)+COUNTA($M221))&gt;0),"",IF(ISNUMBER($D221),DATE(YEAR($D221),MONTH($D221),1),IF(ISNUMBER($E221),DATE(YEAR($E221),MONTH($E221),1),MesCiclo)))</f>
        <v/>
      </c>
      <c r="P221" s="68">
        <f>IF(OR($O221="",$O221&lt;&gt;MesCiclo),"",COUNTIF($O$5:$O221,MesCiclo))</f>
        <v/>
      </c>
    </row>
    <row r="222">
      <c r="A222" s="60">
        <f>IF(NOT((COUNTA($B222:$J222)+COUNTA($M222))&gt;0),"",COUNTIFS($L$5:$L222,"?*",$O$5:$O222,$O222))</f>
        <v/>
      </c>
      <c r="B222" s="61" t="n"/>
      <c r="C222" s="61" t="n"/>
      <c r="D222" s="62" t="n"/>
      <c r="E222" s="62" t="n"/>
      <c r="F222" s="63" t="n"/>
      <c r="G222" s="64" t="n"/>
      <c r="H222" s="64" t="n"/>
      <c r="I222" s="64" t="n"/>
      <c r="J222" s="64" t="n"/>
      <c r="K222" s="65">
        <f>IF(NOT((COUNTA($B222:$J222)+COUNTA($M222))&gt;0),"",IFERROR(LOOKUP(2,1/(G222:J222&lt;&gt;""),G222:J222),0))</f>
        <v/>
      </c>
      <c r="L222" s="60">
        <f>IF(K222="","",IF(K222&gt;=1,"Completado",IF(K222&gt;0,"En curso","Pendiente")))</f>
        <v/>
      </c>
      <c r="M222" s="61" t="n"/>
      <c r="N222" s="66">
        <f>IF(NOT((COUNTA($B222:$J222)+COUNTA($M222))&gt;0),"",IF((IF(B222="","Macroactividad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 OK","⚠ "&amp;LEFT(IF(B222="","Macroactividad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",""),LEN(IF(B222="","Macroactividad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",""))-3)))</f>
        <v/>
      </c>
      <c r="O222" s="67">
        <f>IF(NOT((COUNTA($B222:$J222)+COUNTA($M222))&gt;0),"",IF(ISNUMBER($D222),DATE(YEAR($D222),MONTH($D222),1),IF(ISNUMBER($E222),DATE(YEAR($E222),MONTH($E222),1),MesCiclo)))</f>
        <v/>
      </c>
      <c r="P222" s="68">
        <f>IF(OR($O222="",$O222&lt;&gt;MesCiclo),"",COUNTIF($O$5:$O222,MesCiclo))</f>
        <v/>
      </c>
    </row>
    <row r="223">
      <c r="A223" s="60">
        <f>IF(NOT((COUNTA($B223:$J223)+COUNTA($M223))&gt;0),"",COUNTIFS($L$5:$L223,"?*",$O$5:$O223,$O223))</f>
        <v/>
      </c>
      <c r="B223" s="61" t="n"/>
      <c r="C223" s="61" t="n"/>
      <c r="D223" s="62" t="n"/>
      <c r="E223" s="62" t="n"/>
      <c r="F223" s="63" t="n"/>
      <c r="G223" s="64" t="n"/>
      <c r="H223" s="64" t="n"/>
      <c r="I223" s="64" t="n"/>
      <c r="J223" s="64" t="n"/>
      <c r="K223" s="65">
        <f>IF(NOT((COUNTA($B223:$J223)+COUNTA($M223))&gt;0),"",IFERROR(LOOKUP(2,1/(G223:J223&lt;&gt;""),G223:J223),0))</f>
        <v/>
      </c>
      <c r="L223" s="60">
        <f>IF(K223="","",IF(K223&gt;=1,"Completado",IF(K223&gt;0,"En curso","Pendiente")))</f>
        <v/>
      </c>
      <c r="M223" s="61" t="n"/>
      <c r="N223" s="66">
        <f>IF(NOT((COUNTA($B223:$J223)+COUNTA($M223))&gt;0),"",IF((IF(B223="","Macroactividad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 OK","⚠ "&amp;LEFT(IF(B223="","Macroactividad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",""),LEN(IF(B223="","Macroactividad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",""))-3)))</f>
        <v/>
      </c>
      <c r="O223" s="67">
        <f>IF(NOT((COUNTA($B223:$J223)+COUNTA($M223))&gt;0),"",IF(ISNUMBER($D223),DATE(YEAR($D223),MONTH($D223),1),IF(ISNUMBER($E223),DATE(YEAR($E223),MONTH($E223),1),MesCiclo)))</f>
        <v/>
      </c>
      <c r="P223" s="68">
        <f>IF(OR($O223="",$O223&lt;&gt;MesCiclo),"",COUNTIF($O$5:$O223,MesCiclo))</f>
        <v/>
      </c>
    </row>
    <row r="224">
      <c r="A224" s="60">
        <f>IF(NOT((COUNTA($B224:$J224)+COUNTA($M224))&gt;0),"",COUNTIFS($L$5:$L224,"?*",$O$5:$O224,$O224))</f>
        <v/>
      </c>
      <c r="B224" s="61" t="n"/>
      <c r="C224" s="61" t="n"/>
      <c r="D224" s="62" t="n"/>
      <c r="E224" s="62" t="n"/>
      <c r="F224" s="63" t="n"/>
      <c r="G224" s="64" t="n"/>
      <c r="H224" s="64" t="n"/>
      <c r="I224" s="64" t="n"/>
      <c r="J224" s="64" t="n"/>
      <c r="K224" s="65">
        <f>IF(NOT((COUNTA($B224:$J224)+COUNTA($M224))&gt;0),"",IFERROR(LOOKUP(2,1/(G224:J224&lt;&gt;""),G224:J224),0))</f>
        <v/>
      </c>
      <c r="L224" s="60">
        <f>IF(K224="","",IF(K224&gt;=1,"Completado",IF(K224&gt;0,"En curso","Pendiente")))</f>
        <v/>
      </c>
      <c r="M224" s="61" t="n"/>
      <c r="N224" s="66">
        <f>IF(NOT((COUNTA($B224:$J224)+COUNTA($M224))&gt;0),"",IF((IF(B224="","Macroactividad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 OK","⚠ "&amp;LEFT(IF(B224="","Macroactividad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",""),LEN(IF(B224="","Macroactividad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",""))-3)))</f>
        <v/>
      </c>
      <c r="O224" s="67">
        <f>IF(NOT((COUNTA($B224:$J224)+COUNTA($M224))&gt;0),"",IF(ISNUMBER($D224),DATE(YEAR($D224),MONTH($D224),1),IF(ISNUMBER($E224),DATE(YEAR($E224),MONTH($E224),1),MesCiclo)))</f>
        <v/>
      </c>
      <c r="P224" s="68">
        <f>IF(OR($O224="",$O224&lt;&gt;MesCiclo),"",COUNTIF($O$5:$O224,MesCiclo))</f>
        <v/>
      </c>
    </row>
    <row r="225">
      <c r="A225" s="60">
        <f>IF(NOT((COUNTA($B225:$J225)+COUNTA($M225))&gt;0),"",COUNTIFS($L$5:$L225,"?*",$O$5:$O225,$O225))</f>
        <v/>
      </c>
      <c r="B225" s="61" t="n"/>
      <c r="C225" s="61" t="n"/>
      <c r="D225" s="62" t="n"/>
      <c r="E225" s="62" t="n"/>
      <c r="F225" s="63" t="n"/>
      <c r="G225" s="64" t="n"/>
      <c r="H225" s="64" t="n"/>
      <c r="I225" s="64" t="n"/>
      <c r="J225" s="64" t="n"/>
      <c r="K225" s="65">
        <f>IF(NOT((COUNTA($B225:$J225)+COUNTA($M225))&gt;0),"",IFERROR(LOOKUP(2,1/(G225:J225&lt;&gt;""),G225:J225),0))</f>
        <v/>
      </c>
      <c r="L225" s="60">
        <f>IF(K225="","",IF(K225&gt;=1,"Completado",IF(K225&gt;0,"En curso","Pendiente")))</f>
        <v/>
      </c>
      <c r="M225" s="61" t="n"/>
      <c r="N225" s="66">
        <f>IF(NOT((COUNTA($B225:$J225)+COUNTA($M225))&gt;0),"",IF((IF(B225="","Macroactividad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 OK","⚠ "&amp;LEFT(IF(B225="","Macroactividad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",""),LEN(IF(B225="","Macroactividad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",""))-3)))</f>
        <v/>
      </c>
      <c r="O225" s="67">
        <f>IF(NOT((COUNTA($B225:$J225)+COUNTA($M225))&gt;0),"",IF(ISNUMBER($D225),DATE(YEAR($D225),MONTH($D225),1),IF(ISNUMBER($E225),DATE(YEAR($E225),MONTH($E225),1),MesCiclo)))</f>
        <v/>
      </c>
      <c r="P225" s="68">
        <f>IF(OR($O225="",$O225&lt;&gt;MesCiclo),"",COUNTIF($O$5:$O225,MesCiclo))</f>
        <v/>
      </c>
    </row>
    <row r="226">
      <c r="A226" s="60">
        <f>IF(NOT((COUNTA($B226:$J226)+COUNTA($M226))&gt;0),"",COUNTIFS($L$5:$L226,"?*",$O$5:$O226,$O226))</f>
        <v/>
      </c>
      <c r="B226" s="61" t="n"/>
      <c r="C226" s="61" t="n"/>
      <c r="D226" s="62" t="n"/>
      <c r="E226" s="62" t="n"/>
      <c r="F226" s="63" t="n"/>
      <c r="G226" s="64" t="n"/>
      <c r="H226" s="64" t="n"/>
      <c r="I226" s="64" t="n"/>
      <c r="J226" s="64" t="n"/>
      <c r="K226" s="65">
        <f>IF(NOT((COUNTA($B226:$J226)+COUNTA($M226))&gt;0),"",IFERROR(LOOKUP(2,1/(G226:J226&lt;&gt;""),G226:J226),0))</f>
        <v/>
      </c>
      <c r="L226" s="60">
        <f>IF(K226="","",IF(K226&gt;=1,"Completado",IF(K226&gt;0,"En curso","Pendiente")))</f>
        <v/>
      </c>
      <c r="M226" s="61" t="n"/>
      <c r="N226" s="66">
        <f>IF(NOT((COUNTA($B226:$J226)+COUNTA($M226))&gt;0),"",IF((IF(B226="","Macroactividad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 OK","⚠ "&amp;LEFT(IF(B226="","Macroactividad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",""),LEN(IF(B226="","Macroactividad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",""))-3)))</f>
        <v/>
      </c>
      <c r="O226" s="67">
        <f>IF(NOT((COUNTA($B226:$J226)+COUNTA($M226))&gt;0),"",IF(ISNUMBER($D226),DATE(YEAR($D226),MONTH($D226),1),IF(ISNUMBER($E226),DATE(YEAR($E226),MONTH($E226),1),MesCiclo)))</f>
        <v/>
      </c>
      <c r="P226" s="68">
        <f>IF(OR($O226="",$O226&lt;&gt;MesCiclo),"",COUNTIF($O$5:$O226,MesCiclo))</f>
        <v/>
      </c>
    </row>
    <row r="227">
      <c r="A227" s="60">
        <f>IF(NOT((COUNTA($B227:$J227)+COUNTA($M227))&gt;0),"",COUNTIFS($L$5:$L227,"?*",$O$5:$O227,$O227))</f>
        <v/>
      </c>
      <c r="B227" s="61" t="n"/>
      <c r="C227" s="61" t="n"/>
      <c r="D227" s="62" t="n"/>
      <c r="E227" s="62" t="n"/>
      <c r="F227" s="63" t="n"/>
      <c r="G227" s="64" t="n"/>
      <c r="H227" s="64" t="n"/>
      <c r="I227" s="64" t="n"/>
      <c r="J227" s="64" t="n"/>
      <c r="K227" s="65">
        <f>IF(NOT((COUNTA($B227:$J227)+COUNTA($M227))&gt;0),"",IFERROR(LOOKUP(2,1/(G227:J227&lt;&gt;""),G227:J227),0))</f>
        <v/>
      </c>
      <c r="L227" s="60">
        <f>IF(K227="","",IF(K227&gt;=1,"Completado",IF(K227&gt;0,"En curso","Pendiente")))</f>
        <v/>
      </c>
      <c r="M227" s="61" t="n"/>
      <c r="N227" s="66">
        <f>IF(NOT((COUNTA($B227:$J227)+COUNTA($M227))&gt;0),"",IF((IF(B227="","Macroactividad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 OK","⚠ "&amp;LEFT(IF(B227="","Macroactividad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",""),LEN(IF(B227="","Macroactividad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",""))-3)))</f>
        <v/>
      </c>
      <c r="O227" s="67">
        <f>IF(NOT((COUNTA($B227:$J227)+COUNTA($M227))&gt;0),"",IF(ISNUMBER($D227),DATE(YEAR($D227),MONTH($D227),1),IF(ISNUMBER($E227),DATE(YEAR($E227),MONTH($E227),1),MesCiclo)))</f>
        <v/>
      </c>
      <c r="P227" s="68">
        <f>IF(OR($O227="",$O227&lt;&gt;MesCiclo),"",COUNTIF($O$5:$O227,MesCiclo))</f>
        <v/>
      </c>
    </row>
    <row r="228">
      <c r="A228" s="60">
        <f>IF(NOT((COUNTA($B228:$J228)+COUNTA($M228))&gt;0),"",COUNTIFS($L$5:$L228,"?*",$O$5:$O228,$O228))</f>
        <v/>
      </c>
      <c r="B228" s="61" t="n"/>
      <c r="C228" s="61" t="n"/>
      <c r="D228" s="62" t="n"/>
      <c r="E228" s="62" t="n"/>
      <c r="F228" s="63" t="n"/>
      <c r="G228" s="64" t="n"/>
      <c r="H228" s="64" t="n"/>
      <c r="I228" s="64" t="n"/>
      <c r="J228" s="64" t="n"/>
      <c r="K228" s="65">
        <f>IF(NOT((COUNTA($B228:$J228)+COUNTA($M228))&gt;0),"",IFERROR(LOOKUP(2,1/(G228:J228&lt;&gt;""),G228:J228),0))</f>
        <v/>
      </c>
      <c r="L228" s="60">
        <f>IF(K228="","",IF(K228&gt;=1,"Completado",IF(K228&gt;0,"En curso","Pendiente")))</f>
        <v/>
      </c>
      <c r="M228" s="61" t="n"/>
      <c r="N228" s="66">
        <f>IF(NOT((COUNTA($B228:$J228)+COUNTA($M228))&gt;0),"",IF((IF(B228="","Macroactividad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 OK","⚠ "&amp;LEFT(IF(B228="","Macroactividad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",""),LEN(IF(B228="","Macroactividad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",""))-3)))</f>
        <v/>
      </c>
      <c r="O228" s="67">
        <f>IF(NOT((COUNTA($B228:$J228)+COUNTA($M228))&gt;0),"",IF(ISNUMBER($D228),DATE(YEAR($D228),MONTH($D228),1),IF(ISNUMBER($E228),DATE(YEAR($E228),MONTH($E228),1),MesCiclo)))</f>
        <v/>
      </c>
      <c r="P228" s="68">
        <f>IF(OR($O228="",$O228&lt;&gt;MesCiclo),"",COUNTIF($O$5:$O228,MesCiclo))</f>
        <v/>
      </c>
    </row>
    <row r="229">
      <c r="A229" s="60">
        <f>IF(NOT((COUNTA($B229:$J229)+COUNTA($M229))&gt;0),"",COUNTIFS($L$5:$L229,"?*",$O$5:$O229,$O229))</f>
        <v/>
      </c>
      <c r="B229" s="61" t="n"/>
      <c r="C229" s="61" t="n"/>
      <c r="D229" s="62" t="n"/>
      <c r="E229" s="62" t="n"/>
      <c r="F229" s="63" t="n"/>
      <c r="G229" s="64" t="n"/>
      <c r="H229" s="64" t="n"/>
      <c r="I229" s="64" t="n"/>
      <c r="J229" s="64" t="n"/>
      <c r="K229" s="65">
        <f>IF(NOT((COUNTA($B229:$J229)+COUNTA($M229))&gt;0),"",IFERROR(LOOKUP(2,1/(G229:J229&lt;&gt;""),G229:J229),0))</f>
        <v/>
      </c>
      <c r="L229" s="60">
        <f>IF(K229="","",IF(K229&gt;=1,"Completado",IF(K229&gt;0,"En curso","Pendiente")))</f>
        <v/>
      </c>
      <c r="M229" s="61" t="n"/>
      <c r="N229" s="66">
        <f>IF(NOT((COUNTA($B229:$J229)+COUNTA($M229))&gt;0),"",IF((IF(B229="","Macroactividad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 OK","⚠ "&amp;LEFT(IF(B229="","Macroactividad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",""),LEN(IF(B229="","Macroactividad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",""))-3)))</f>
        <v/>
      </c>
      <c r="O229" s="67">
        <f>IF(NOT((COUNTA($B229:$J229)+COUNTA($M229))&gt;0),"",IF(ISNUMBER($D229),DATE(YEAR($D229),MONTH($D229),1),IF(ISNUMBER($E229),DATE(YEAR($E229),MONTH($E229),1),MesCiclo)))</f>
        <v/>
      </c>
      <c r="P229" s="68">
        <f>IF(OR($O229="",$O229&lt;&gt;MesCiclo),"",COUNTIF($O$5:$O229,MesCiclo))</f>
        <v/>
      </c>
    </row>
    <row r="230">
      <c r="A230" s="60">
        <f>IF(NOT((COUNTA($B230:$J230)+COUNTA($M230))&gt;0),"",COUNTIFS($L$5:$L230,"?*",$O$5:$O230,$O230))</f>
        <v/>
      </c>
      <c r="B230" s="61" t="n"/>
      <c r="C230" s="61" t="n"/>
      <c r="D230" s="62" t="n"/>
      <c r="E230" s="62" t="n"/>
      <c r="F230" s="63" t="n"/>
      <c r="G230" s="64" t="n"/>
      <c r="H230" s="64" t="n"/>
      <c r="I230" s="64" t="n"/>
      <c r="J230" s="64" t="n"/>
      <c r="K230" s="65">
        <f>IF(NOT((COUNTA($B230:$J230)+COUNTA($M230))&gt;0),"",IFERROR(LOOKUP(2,1/(G230:J230&lt;&gt;""),G230:J230),0))</f>
        <v/>
      </c>
      <c r="L230" s="60">
        <f>IF(K230="","",IF(K230&gt;=1,"Completado",IF(K230&gt;0,"En curso","Pendiente")))</f>
        <v/>
      </c>
      <c r="M230" s="61" t="n"/>
      <c r="N230" s="66">
        <f>IF(NOT((COUNTA($B230:$J230)+COUNTA($M230))&gt;0),"",IF((IF(B230="","Macroactividad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 OK","⚠ "&amp;LEFT(IF(B230="","Macroactividad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",""),LEN(IF(B230="","Macroactividad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",""))-3)))</f>
        <v/>
      </c>
      <c r="O230" s="67">
        <f>IF(NOT((COUNTA($B230:$J230)+COUNTA($M230))&gt;0),"",IF(ISNUMBER($D230),DATE(YEAR($D230),MONTH($D230),1),IF(ISNUMBER($E230),DATE(YEAR($E230),MONTH($E230),1),MesCiclo)))</f>
        <v/>
      </c>
      <c r="P230" s="68">
        <f>IF(OR($O230="",$O230&lt;&gt;MesCiclo),"",COUNTIF($O$5:$O230,MesCiclo))</f>
        <v/>
      </c>
    </row>
    <row r="231">
      <c r="A231" s="60">
        <f>IF(NOT((COUNTA($B231:$J231)+COUNTA($M231))&gt;0),"",COUNTIFS($L$5:$L231,"?*",$O$5:$O231,$O231))</f>
        <v/>
      </c>
      <c r="B231" s="61" t="n"/>
      <c r="C231" s="61" t="n"/>
      <c r="D231" s="62" t="n"/>
      <c r="E231" s="62" t="n"/>
      <c r="F231" s="63" t="n"/>
      <c r="G231" s="64" t="n"/>
      <c r="H231" s="64" t="n"/>
      <c r="I231" s="64" t="n"/>
      <c r="J231" s="64" t="n"/>
      <c r="K231" s="65">
        <f>IF(NOT((COUNTA($B231:$J231)+COUNTA($M231))&gt;0),"",IFERROR(LOOKUP(2,1/(G231:J231&lt;&gt;""),G231:J231),0))</f>
        <v/>
      </c>
      <c r="L231" s="60">
        <f>IF(K231="","",IF(K231&gt;=1,"Completado",IF(K231&gt;0,"En curso","Pendiente")))</f>
        <v/>
      </c>
      <c r="M231" s="61" t="n"/>
      <c r="N231" s="66">
        <f>IF(NOT((COUNTA($B231:$J231)+COUNTA($M231))&gt;0),"",IF((IF(B231="","Macroactividad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 OK","⚠ "&amp;LEFT(IF(B231="","Macroactividad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",""),LEN(IF(B231="","Macroactividad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",""))-3)))</f>
        <v/>
      </c>
      <c r="O231" s="67">
        <f>IF(NOT((COUNTA($B231:$J231)+COUNTA($M231))&gt;0),"",IF(ISNUMBER($D231),DATE(YEAR($D231),MONTH($D231),1),IF(ISNUMBER($E231),DATE(YEAR($E231),MONTH($E231),1),MesCiclo)))</f>
        <v/>
      </c>
      <c r="P231" s="68">
        <f>IF(OR($O231="",$O231&lt;&gt;MesCiclo),"",COUNTIF($O$5:$O231,MesCiclo))</f>
        <v/>
      </c>
    </row>
    <row r="232">
      <c r="A232" s="60">
        <f>IF(NOT((COUNTA($B232:$J232)+COUNTA($M232))&gt;0),"",COUNTIFS($L$5:$L232,"?*",$O$5:$O232,$O232))</f>
        <v/>
      </c>
      <c r="B232" s="61" t="n"/>
      <c r="C232" s="61" t="n"/>
      <c r="D232" s="62" t="n"/>
      <c r="E232" s="62" t="n"/>
      <c r="F232" s="63" t="n"/>
      <c r="G232" s="64" t="n"/>
      <c r="H232" s="64" t="n"/>
      <c r="I232" s="64" t="n"/>
      <c r="J232" s="64" t="n"/>
      <c r="K232" s="65">
        <f>IF(NOT((COUNTA($B232:$J232)+COUNTA($M232))&gt;0),"",IFERROR(LOOKUP(2,1/(G232:J232&lt;&gt;""),G232:J232),0))</f>
        <v/>
      </c>
      <c r="L232" s="60">
        <f>IF(K232="","",IF(K232&gt;=1,"Completado",IF(K232&gt;0,"En curso","Pendiente")))</f>
        <v/>
      </c>
      <c r="M232" s="61" t="n"/>
      <c r="N232" s="66">
        <f>IF(NOT((COUNTA($B232:$J232)+COUNTA($M232))&gt;0),"",IF((IF(B232="","Macroactividad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 OK","⚠ "&amp;LEFT(IF(B232="","Macroactividad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",""),LEN(IF(B232="","Macroactividad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",""))-3)))</f>
        <v/>
      </c>
      <c r="O232" s="67">
        <f>IF(NOT((COUNTA($B232:$J232)+COUNTA($M232))&gt;0),"",IF(ISNUMBER($D232),DATE(YEAR($D232),MONTH($D232),1),IF(ISNUMBER($E232),DATE(YEAR($E232),MONTH($E232),1),MesCiclo)))</f>
        <v/>
      </c>
      <c r="P232" s="68">
        <f>IF(OR($O232="",$O232&lt;&gt;MesCiclo),"",COUNTIF($O$5:$O232,MesCiclo))</f>
        <v/>
      </c>
    </row>
    <row r="233">
      <c r="A233" s="60">
        <f>IF(NOT((COUNTA($B233:$J233)+COUNTA($M233))&gt;0),"",COUNTIFS($L$5:$L233,"?*",$O$5:$O233,$O233))</f>
        <v/>
      </c>
      <c r="B233" s="61" t="n"/>
      <c r="C233" s="61" t="n"/>
      <c r="D233" s="62" t="n"/>
      <c r="E233" s="62" t="n"/>
      <c r="F233" s="63" t="n"/>
      <c r="G233" s="64" t="n"/>
      <c r="H233" s="64" t="n"/>
      <c r="I233" s="64" t="n"/>
      <c r="J233" s="64" t="n"/>
      <c r="K233" s="65">
        <f>IF(NOT((COUNTA($B233:$J233)+COUNTA($M233))&gt;0),"",IFERROR(LOOKUP(2,1/(G233:J233&lt;&gt;""),G233:J233),0))</f>
        <v/>
      </c>
      <c r="L233" s="60">
        <f>IF(K233="","",IF(K233&gt;=1,"Completado",IF(K233&gt;0,"En curso","Pendiente")))</f>
        <v/>
      </c>
      <c r="M233" s="61" t="n"/>
      <c r="N233" s="66">
        <f>IF(NOT((COUNTA($B233:$J233)+COUNTA($M233))&gt;0),"",IF((IF(B233="","Macroactividad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 OK","⚠ "&amp;LEFT(IF(B233="","Macroactividad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",""),LEN(IF(B233="","Macroactividad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",""))-3)))</f>
        <v/>
      </c>
      <c r="O233" s="67">
        <f>IF(NOT((COUNTA($B233:$J233)+COUNTA($M233))&gt;0),"",IF(ISNUMBER($D233),DATE(YEAR($D233),MONTH($D233),1),IF(ISNUMBER($E233),DATE(YEAR($E233),MONTH($E233),1),MesCiclo)))</f>
        <v/>
      </c>
      <c r="P233" s="68">
        <f>IF(OR($O233="",$O233&lt;&gt;MesCiclo),"",COUNTIF($O$5:$O233,MesCiclo))</f>
        <v/>
      </c>
    </row>
    <row r="234">
      <c r="A234" s="60">
        <f>IF(NOT((COUNTA($B234:$J234)+COUNTA($M234))&gt;0),"",COUNTIFS($L$5:$L234,"?*",$O$5:$O234,$O234))</f>
        <v/>
      </c>
      <c r="B234" s="61" t="n"/>
      <c r="C234" s="61" t="n"/>
      <c r="D234" s="62" t="n"/>
      <c r="E234" s="62" t="n"/>
      <c r="F234" s="63" t="n"/>
      <c r="G234" s="64" t="n"/>
      <c r="H234" s="64" t="n"/>
      <c r="I234" s="64" t="n"/>
      <c r="J234" s="64" t="n"/>
      <c r="K234" s="65">
        <f>IF(NOT((COUNTA($B234:$J234)+COUNTA($M234))&gt;0),"",IFERROR(LOOKUP(2,1/(G234:J234&lt;&gt;""),G234:J234),0))</f>
        <v/>
      </c>
      <c r="L234" s="60">
        <f>IF(K234="","",IF(K234&gt;=1,"Completado",IF(K234&gt;0,"En curso","Pendiente")))</f>
        <v/>
      </c>
      <c r="M234" s="61" t="n"/>
      <c r="N234" s="66">
        <f>IF(NOT((COUNTA($B234:$J234)+COUNTA($M234))&gt;0),"",IF((IF(B234="","Macroactividad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 OK","⚠ "&amp;LEFT(IF(B234="","Macroactividad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",""),LEN(IF(B234="","Macroactividad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",""))-3)))</f>
        <v/>
      </c>
      <c r="O234" s="67">
        <f>IF(NOT((COUNTA($B234:$J234)+COUNTA($M234))&gt;0),"",IF(ISNUMBER($D234),DATE(YEAR($D234),MONTH($D234),1),IF(ISNUMBER($E234),DATE(YEAR($E234),MONTH($E234),1),MesCiclo)))</f>
        <v/>
      </c>
      <c r="P234" s="68">
        <f>IF(OR($O234="",$O234&lt;&gt;MesCiclo),"",COUNTIF($O$5:$O234,MesCiclo))</f>
        <v/>
      </c>
    </row>
    <row r="235">
      <c r="A235" s="60">
        <f>IF(NOT((COUNTA($B235:$J235)+COUNTA($M235))&gt;0),"",COUNTIFS($L$5:$L235,"?*",$O$5:$O235,$O235))</f>
        <v/>
      </c>
      <c r="B235" s="61" t="n"/>
      <c r="C235" s="61" t="n"/>
      <c r="D235" s="62" t="n"/>
      <c r="E235" s="62" t="n"/>
      <c r="F235" s="63" t="n"/>
      <c r="G235" s="64" t="n"/>
      <c r="H235" s="64" t="n"/>
      <c r="I235" s="64" t="n"/>
      <c r="J235" s="64" t="n"/>
      <c r="K235" s="65">
        <f>IF(NOT((COUNTA($B235:$J235)+COUNTA($M235))&gt;0),"",IFERROR(LOOKUP(2,1/(G235:J235&lt;&gt;""),G235:J235),0))</f>
        <v/>
      </c>
      <c r="L235" s="60">
        <f>IF(K235="","",IF(K235&gt;=1,"Completado",IF(K235&gt;0,"En curso","Pendiente")))</f>
        <v/>
      </c>
      <c r="M235" s="61" t="n"/>
      <c r="N235" s="66">
        <f>IF(NOT((COUNTA($B235:$J235)+COUNTA($M235))&gt;0),"",IF((IF(B235="","Macroactividad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 OK","⚠ "&amp;LEFT(IF(B235="","Macroactividad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",""),LEN(IF(B235="","Macroactividad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",""))-3)))</f>
        <v/>
      </c>
      <c r="O235" s="67">
        <f>IF(NOT((COUNTA($B235:$J235)+COUNTA($M235))&gt;0),"",IF(ISNUMBER($D235),DATE(YEAR($D235),MONTH($D235),1),IF(ISNUMBER($E235),DATE(YEAR($E235),MONTH($E235),1),MesCiclo)))</f>
        <v/>
      </c>
      <c r="P235" s="68">
        <f>IF(OR($O235="",$O235&lt;&gt;MesCiclo),"",COUNTIF($O$5:$O235,MesCiclo))</f>
        <v/>
      </c>
    </row>
    <row r="236">
      <c r="A236" s="60">
        <f>IF(NOT((COUNTA($B236:$J236)+COUNTA($M236))&gt;0),"",COUNTIFS($L$5:$L236,"?*",$O$5:$O236,$O236))</f>
        <v/>
      </c>
      <c r="B236" s="61" t="n"/>
      <c r="C236" s="61" t="n"/>
      <c r="D236" s="62" t="n"/>
      <c r="E236" s="62" t="n"/>
      <c r="F236" s="63" t="n"/>
      <c r="G236" s="64" t="n"/>
      <c r="H236" s="64" t="n"/>
      <c r="I236" s="64" t="n"/>
      <c r="J236" s="64" t="n"/>
      <c r="K236" s="65">
        <f>IF(NOT((COUNTA($B236:$J236)+COUNTA($M236))&gt;0),"",IFERROR(LOOKUP(2,1/(G236:J236&lt;&gt;""),G236:J236),0))</f>
        <v/>
      </c>
      <c r="L236" s="60">
        <f>IF(K236="","",IF(K236&gt;=1,"Completado",IF(K236&gt;0,"En curso","Pendiente")))</f>
        <v/>
      </c>
      <c r="M236" s="61" t="n"/>
      <c r="N236" s="66">
        <f>IF(NOT((COUNTA($B236:$J236)+COUNTA($M236))&gt;0),"",IF((IF(B236="","Macroactividad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 OK","⚠ "&amp;LEFT(IF(B236="","Macroactividad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",""),LEN(IF(B236="","Macroactividad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",""))-3)))</f>
        <v/>
      </c>
      <c r="O236" s="67">
        <f>IF(NOT((COUNTA($B236:$J236)+COUNTA($M236))&gt;0),"",IF(ISNUMBER($D236),DATE(YEAR($D236),MONTH($D236),1),IF(ISNUMBER($E236),DATE(YEAR($E236),MONTH($E236),1),MesCiclo)))</f>
        <v/>
      </c>
      <c r="P236" s="68">
        <f>IF(OR($O236="",$O236&lt;&gt;MesCiclo),"",COUNTIF($O$5:$O236,MesCiclo))</f>
        <v/>
      </c>
    </row>
    <row r="237">
      <c r="A237" s="60">
        <f>IF(NOT((COUNTA($B237:$J237)+COUNTA($M237))&gt;0),"",COUNTIFS($L$5:$L237,"?*",$O$5:$O237,$O237))</f>
        <v/>
      </c>
      <c r="B237" s="61" t="n"/>
      <c r="C237" s="61" t="n"/>
      <c r="D237" s="62" t="n"/>
      <c r="E237" s="62" t="n"/>
      <c r="F237" s="63" t="n"/>
      <c r="G237" s="64" t="n"/>
      <c r="H237" s="64" t="n"/>
      <c r="I237" s="64" t="n"/>
      <c r="J237" s="64" t="n"/>
      <c r="K237" s="65">
        <f>IF(NOT((COUNTA($B237:$J237)+COUNTA($M237))&gt;0),"",IFERROR(LOOKUP(2,1/(G237:J237&lt;&gt;""),G237:J237),0))</f>
        <v/>
      </c>
      <c r="L237" s="60">
        <f>IF(K237="","",IF(K237&gt;=1,"Completado",IF(K237&gt;0,"En curso","Pendiente")))</f>
        <v/>
      </c>
      <c r="M237" s="61" t="n"/>
      <c r="N237" s="66">
        <f>IF(NOT((COUNTA($B237:$J237)+COUNTA($M237))&gt;0),"",IF((IF(B237="","Macroactividad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 OK","⚠ "&amp;LEFT(IF(B237="","Macroactividad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",""),LEN(IF(B237="","Macroactividad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",""))-3)))</f>
        <v/>
      </c>
      <c r="O237" s="67">
        <f>IF(NOT((COUNTA($B237:$J237)+COUNTA($M237))&gt;0),"",IF(ISNUMBER($D237),DATE(YEAR($D237),MONTH($D237),1),IF(ISNUMBER($E237),DATE(YEAR($E237),MONTH($E237),1),MesCiclo)))</f>
        <v/>
      </c>
      <c r="P237" s="68">
        <f>IF(OR($O237="",$O237&lt;&gt;MesCiclo),"",COUNTIF($O$5:$O237,MesCiclo))</f>
        <v/>
      </c>
    </row>
    <row r="238">
      <c r="A238" s="60">
        <f>IF(NOT((COUNTA($B238:$J238)+COUNTA($M238))&gt;0),"",COUNTIFS($L$5:$L238,"?*",$O$5:$O238,$O238))</f>
        <v/>
      </c>
      <c r="B238" s="61" t="n"/>
      <c r="C238" s="61" t="n"/>
      <c r="D238" s="62" t="n"/>
      <c r="E238" s="62" t="n"/>
      <c r="F238" s="63" t="n"/>
      <c r="G238" s="64" t="n"/>
      <c r="H238" s="64" t="n"/>
      <c r="I238" s="64" t="n"/>
      <c r="J238" s="64" t="n"/>
      <c r="K238" s="65">
        <f>IF(NOT((COUNTA($B238:$J238)+COUNTA($M238))&gt;0),"",IFERROR(LOOKUP(2,1/(G238:J238&lt;&gt;""),G238:J238),0))</f>
        <v/>
      </c>
      <c r="L238" s="60">
        <f>IF(K238="","",IF(K238&gt;=1,"Completado",IF(K238&gt;0,"En curso","Pendiente")))</f>
        <v/>
      </c>
      <c r="M238" s="61" t="n"/>
      <c r="N238" s="66">
        <f>IF(NOT((COUNTA($B238:$J238)+COUNTA($M238))&gt;0),"",IF((IF(B238="","Macroactividad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 OK","⚠ "&amp;LEFT(IF(B238="","Macroactividad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",""),LEN(IF(B238="","Macroactividad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",""))-3)))</f>
        <v/>
      </c>
      <c r="O238" s="67">
        <f>IF(NOT((COUNTA($B238:$J238)+COUNTA($M238))&gt;0),"",IF(ISNUMBER($D238),DATE(YEAR($D238),MONTH($D238),1),IF(ISNUMBER($E238),DATE(YEAR($E238),MONTH($E238),1),MesCiclo)))</f>
        <v/>
      </c>
      <c r="P238" s="68">
        <f>IF(OR($O238="",$O238&lt;&gt;MesCiclo),"",COUNTIF($O$5:$O238,MesCiclo))</f>
        <v/>
      </c>
    </row>
    <row r="239">
      <c r="A239" s="60">
        <f>IF(NOT((COUNTA($B239:$J239)+COUNTA($M239))&gt;0),"",COUNTIFS($L$5:$L239,"?*",$O$5:$O239,$O239))</f>
        <v/>
      </c>
      <c r="B239" s="61" t="n"/>
      <c r="C239" s="61" t="n"/>
      <c r="D239" s="62" t="n"/>
      <c r="E239" s="62" t="n"/>
      <c r="F239" s="63" t="n"/>
      <c r="G239" s="64" t="n"/>
      <c r="H239" s="64" t="n"/>
      <c r="I239" s="64" t="n"/>
      <c r="J239" s="64" t="n"/>
      <c r="K239" s="65">
        <f>IF(NOT((COUNTA($B239:$J239)+COUNTA($M239))&gt;0),"",IFERROR(LOOKUP(2,1/(G239:J239&lt;&gt;""),G239:J239),0))</f>
        <v/>
      </c>
      <c r="L239" s="60">
        <f>IF(K239="","",IF(K239&gt;=1,"Completado",IF(K239&gt;0,"En curso","Pendiente")))</f>
        <v/>
      </c>
      <c r="M239" s="61" t="n"/>
      <c r="N239" s="66">
        <f>IF(NOT((COUNTA($B239:$J239)+COUNTA($M239))&gt;0),"",IF((IF(B239="","Macroactividad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 OK","⚠ "&amp;LEFT(IF(B239="","Macroactividad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",""),LEN(IF(B239="","Macroactividad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",""))-3)))</f>
        <v/>
      </c>
      <c r="O239" s="67">
        <f>IF(NOT((COUNTA($B239:$J239)+COUNTA($M239))&gt;0),"",IF(ISNUMBER($D239),DATE(YEAR($D239),MONTH($D239),1),IF(ISNUMBER($E239),DATE(YEAR($E239),MONTH($E239),1),MesCiclo)))</f>
        <v/>
      </c>
      <c r="P239" s="68">
        <f>IF(OR($O239="",$O239&lt;&gt;MesCiclo),"",COUNTIF($O$5:$O239,MesCiclo))</f>
        <v/>
      </c>
    </row>
    <row r="240">
      <c r="A240" s="60">
        <f>IF(NOT((COUNTA($B240:$J240)+COUNTA($M240))&gt;0),"",COUNTIFS($L$5:$L240,"?*",$O$5:$O240,$O240))</f>
        <v/>
      </c>
      <c r="B240" s="61" t="n"/>
      <c r="C240" s="61" t="n"/>
      <c r="D240" s="62" t="n"/>
      <c r="E240" s="62" t="n"/>
      <c r="F240" s="63" t="n"/>
      <c r="G240" s="64" t="n"/>
      <c r="H240" s="64" t="n"/>
      <c r="I240" s="64" t="n"/>
      <c r="J240" s="64" t="n"/>
      <c r="K240" s="65">
        <f>IF(NOT((COUNTA($B240:$J240)+COUNTA($M240))&gt;0),"",IFERROR(LOOKUP(2,1/(G240:J240&lt;&gt;""),G240:J240),0))</f>
        <v/>
      </c>
      <c r="L240" s="60">
        <f>IF(K240="","",IF(K240&gt;=1,"Completado",IF(K240&gt;0,"En curso","Pendiente")))</f>
        <v/>
      </c>
      <c r="M240" s="61" t="n"/>
      <c r="N240" s="66">
        <f>IF(NOT((COUNTA($B240:$J240)+COUNTA($M240))&gt;0),"",IF((IF(B240="","Macroactividad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 OK","⚠ "&amp;LEFT(IF(B240="","Macroactividad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",""),LEN(IF(B240="","Macroactividad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",""))-3)))</f>
        <v/>
      </c>
      <c r="O240" s="67">
        <f>IF(NOT((COUNTA($B240:$J240)+COUNTA($M240))&gt;0),"",IF(ISNUMBER($D240),DATE(YEAR($D240),MONTH($D240),1),IF(ISNUMBER($E240),DATE(YEAR($E240),MONTH($E240),1),MesCiclo)))</f>
        <v/>
      </c>
      <c r="P240" s="68">
        <f>IF(OR($O240="",$O240&lt;&gt;MesCiclo),"",COUNTIF($O$5:$O240,MesCiclo))</f>
        <v/>
      </c>
    </row>
    <row r="241">
      <c r="A241" s="60">
        <f>IF(NOT((COUNTA($B241:$J241)+COUNTA($M241))&gt;0),"",COUNTIFS($L$5:$L241,"?*",$O$5:$O241,$O241))</f>
        <v/>
      </c>
      <c r="B241" s="61" t="n"/>
      <c r="C241" s="61" t="n"/>
      <c r="D241" s="62" t="n"/>
      <c r="E241" s="62" t="n"/>
      <c r="F241" s="63" t="n"/>
      <c r="G241" s="64" t="n"/>
      <c r="H241" s="64" t="n"/>
      <c r="I241" s="64" t="n"/>
      <c r="J241" s="64" t="n"/>
      <c r="K241" s="65">
        <f>IF(NOT((COUNTA($B241:$J241)+COUNTA($M241))&gt;0),"",IFERROR(LOOKUP(2,1/(G241:J241&lt;&gt;""),G241:J241),0))</f>
        <v/>
      </c>
      <c r="L241" s="60">
        <f>IF(K241="","",IF(K241&gt;=1,"Completado",IF(K241&gt;0,"En curso","Pendiente")))</f>
        <v/>
      </c>
      <c r="M241" s="61" t="n"/>
      <c r="N241" s="66">
        <f>IF(NOT((COUNTA($B241:$J241)+COUNTA($M241))&gt;0),"",IF((IF(B241="","Macroactividad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 OK","⚠ "&amp;LEFT(IF(B241="","Macroactividad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",""),LEN(IF(B241="","Macroactividad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",""))-3)))</f>
        <v/>
      </c>
      <c r="O241" s="67">
        <f>IF(NOT((COUNTA($B241:$J241)+COUNTA($M241))&gt;0),"",IF(ISNUMBER($D241),DATE(YEAR($D241),MONTH($D241),1),IF(ISNUMBER($E241),DATE(YEAR($E241),MONTH($E241),1),MesCiclo)))</f>
        <v/>
      </c>
      <c r="P241" s="68">
        <f>IF(OR($O241="",$O241&lt;&gt;MesCiclo),"",COUNTIF($O$5:$O241,MesCiclo))</f>
        <v/>
      </c>
    </row>
    <row r="242">
      <c r="A242" s="60">
        <f>IF(NOT((COUNTA($B242:$J242)+COUNTA($M242))&gt;0),"",COUNTIFS($L$5:$L242,"?*",$O$5:$O242,$O242))</f>
        <v/>
      </c>
      <c r="B242" s="61" t="n"/>
      <c r="C242" s="61" t="n"/>
      <c r="D242" s="62" t="n"/>
      <c r="E242" s="62" t="n"/>
      <c r="F242" s="63" t="n"/>
      <c r="G242" s="64" t="n"/>
      <c r="H242" s="64" t="n"/>
      <c r="I242" s="64" t="n"/>
      <c r="J242" s="64" t="n"/>
      <c r="K242" s="65">
        <f>IF(NOT((COUNTA($B242:$J242)+COUNTA($M242))&gt;0),"",IFERROR(LOOKUP(2,1/(G242:J242&lt;&gt;""),G242:J242),0))</f>
        <v/>
      </c>
      <c r="L242" s="60">
        <f>IF(K242="","",IF(K242&gt;=1,"Completado",IF(K242&gt;0,"En curso","Pendiente")))</f>
        <v/>
      </c>
      <c r="M242" s="61" t="n"/>
      <c r="N242" s="66">
        <f>IF(NOT((COUNTA($B242:$J242)+COUNTA($M242))&gt;0),"",IF((IF(B242="","Macroactividad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 OK","⚠ "&amp;LEFT(IF(B242="","Macroactividad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",""),LEN(IF(B242="","Macroactividad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",""))-3)))</f>
        <v/>
      </c>
      <c r="O242" s="67">
        <f>IF(NOT((COUNTA($B242:$J242)+COUNTA($M242))&gt;0),"",IF(ISNUMBER($D242),DATE(YEAR($D242),MONTH($D242),1),IF(ISNUMBER($E242),DATE(YEAR($E242),MONTH($E242),1),MesCiclo)))</f>
        <v/>
      </c>
      <c r="P242" s="68">
        <f>IF(OR($O242="",$O242&lt;&gt;MesCiclo),"",COUNTIF($O$5:$O242,MesCiclo))</f>
        <v/>
      </c>
    </row>
    <row r="243">
      <c r="A243" s="60">
        <f>IF(NOT((COUNTA($B243:$J243)+COUNTA($M243))&gt;0),"",COUNTIFS($L$5:$L243,"?*",$O$5:$O243,$O243))</f>
        <v/>
      </c>
      <c r="B243" s="61" t="n"/>
      <c r="C243" s="61" t="n"/>
      <c r="D243" s="62" t="n"/>
      <c r="E243" s="62" t="n"/>
      <c r="F243" s="63" t="n"/>
      <c r="G243" s="64" t="n"/>
      <c r="H243" s="64" t="n"/>
      <c r="I243" s="64" t="n"/>
      <c r="J243" s="64" t="n"/>
      <c r="K243" s="65">
        <f>IF(NOT((COUNTA($B243:$J243)+COUNTA($M243))&gt;0),"",IFERROR(LOOKUP(2,1/(G243:J243&lt;&gt;""),G243:J243),0))</f>
        <v/>
      </c>
      <c r="L243" s="60">
        <f>IF(K243="","",IF(K243&gt;=1,"Completado",IF(K243&gt;0,"En curso","Pendiente")))</f>
        <v/>
      </c>
      <c r="M243" s="61" t="n"/>
      <c r="N243" s="66">
        <f>IF(NOT((COUNTA($B243:$J243)+COUNTA($M243))&gt;0),"",IF((IF(B243="","Macroactividad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 OK","⚠ "&amp;LEFT(IF(B243="","Macroactividad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",""),LEN(IF(B243="","Macroactividad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",""))-3)))</f>
        <v/>
      </c>
      <c r="O243" s="67">
        <f>IF(NOT((COUNTA($B243:$J243)+COUNTA($M243))&gt;0),"",IF(ISNUMBER($D243),DATE(YEAR($D243),MONTH($D243),1),IF(ISNUMBER($E243),DATE(YEAR($E243),MONTH($E243),1),MesCiclo)))</f>
        <v/>
      </c>
      <c r="P243" s="68">
        <f>IF(OR($O243="",$O243&lt;&gt;MesCiclo),"",COUNTIF($O$5:$O243,MesCiclo))</f>
        <v/>
      </c>
    </row>
    <row r="244">
      <c r="A244" s="60">
        <f>IF(NOT((COUNTA($B244:$J244)+COUNTA($M244))&gt;0),"",COUNTIFS($L$5:$L244,"?*",$O$5:$O244,$O244))</f>
        <v/>
      </c>
      <c r="B244" s="61" t="n"/>
      <c r="C244" s="61" t="n"/>
      <c r="D244" s="62" t="n"/>
      <c r="E244" s="62" t="n"/>
      <c r="F244" s="63" t="n"/>
      <c r="G244" s="64" t="n"/>
      <c r="H244" s="64" t="n"/>
      <c r="I244" s="64" t="n"/>
      <c r="J244" s="64" t="n"/>
      <c r="K244" s="65">
        <f>IF(NOT((COUNTA($B244:$J244)+COUNTA($M244))&gt;0),"",IFERROR(LOOKUP(2,1/(G244:J244&lt;&gt;""),G244:J244),0))</f>
        <v/>
      </c>
      <c r="L244" s="60">
        <f>IF(K244="","",IF(K244&gt;=1,"Completado",IF(K244&gt;0,"En curso","Pendiente")))</f>
        <v/>
      </c>
      <c r="M244" s="61" t="n"/>
      <c r="N244" s="66">
        <f>IF(NOT((COUNTA($B244:$J244)+COUNTA($M244))&gt;0),"",IF((IF(B244="","Macroactividad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 OK","⚠ "&amp;LEFT(IF(B244="","Macroactividad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",""),LEN(IF(B244="","Macroactividad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",""))-3)))</f>
        <v/>
      </c>
      <c r="O244" s="67">
        <f>IF(NOT((COUNTA($B244:$J244)+COUNTA($M244))&gt;0),"",IF(ISNUMBER($D244),DATE(YEAR($D244),MONTH($D244),1),IF(ISNUMBER($E244),DATE(YEAR($E244),MONTH($E244),1),MesCiclo)))</f>
        <v/>
      </c>
      <c r="P244" s="68">
        <f>IF(OR($O244="",$O244&lt;&gt;MesCiclo),"",COUNTIF($O$5:$O244,MesCiclo))</f>
        <v/>
      </c>
    </row>
    <row r="245">
      <c r="A245" s="60">
        <f>IF(NOT((COUNTA($B245:$J245)+COUNTA($M245))&gt;0),"",COUNTIFS($L$5:$L245,"?*",$O$5:$O245,$O245))</f>
        <v/>
      </c>
      <c r="B245" s="61" t="n"/>
      <c r="C245" s="61" t="n"/>
      <c r="D245" s="62" t="n"/>
      <c r="E245" s="62" t="n"/>
      <c r="F245" s="63" t="n"/>
      <c r="G245" s="64" t="n"/>
      <c r="H245" s="64" t="n"/>
      <c r="I245" s="64" t="n"/>
      <c r="J245" s="64" t="n"/>
      <c r="K245" s="65">
        <f>IF(NOT((COUNTA($B245:$J245)+COUNTA($M245))&gt;0),"",IFERROR(LOOKUP(2,1/(G245:J245&lt;&gt;""),G245:J245),0))</f>
        <v/>
      </c>
      <c r="L245" s="60">
        <f>IF(K245="","",IF(K245&gt;=1,"Completado",IF(K245&gt;0,"En curso","Pendiente")))</f>
        <v/>
      </c>
      <c r="M245" s="61" t="n"/>
      <c r="N245" s="66">
        <f>IF(NOT((COUNTA($B245:$J245)+COUNTA($M245))&gt;0),"",IF((IF(B245="","Macroactividad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 OK","⚠ "&amp;LEFT(IF(B245="","Macroactividad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",""),LEN(IF(B245="","Macroactividad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",""))-3)))</f>
        <v/>
      </c>
      <c r="O245" s="67">
        <f>IF(NOT((COUNTA($B245:$J245)+COUNTA($M245))&gt;0),"",IF(ISNUMBER($D245),DATE(YEAR($D245),MONTH($D245),1),IF(ISNUMBER($E245),DATE(YEAR($E245),MONTH($E245),1),MesCiclo)))</f>
        <v/>
      </c>
      <c r="P245" s="68">
        <f>IF(OR($O245="",$O245&lt;&gt;MesCiclo),"",COUNTIF($O$5:$O245,MesCiclo))</f>
        <v/>
      </c>
    </row>
    <row r="246">
      <c r="A246" s="60">
        <f>IF(NOT((COUNTA($B246:$J246)+COUNTA($M246))&gt;0),"",COUNTIFS($L$5:$L246,"?*",$O$5:$O246,$O246))</f>
        <v/>
      </c>
      <c r="B246" s="61" t="n"/>
      <c r="C246" s="61" t="n"/>
      <c r="D246" s="62" t="n"/>
      <c r="E246" s="62" t="n"/>
      <c r="F246" s="63" t="n"/>
      <c r="G246" s="64" t="n"/>
      <c r="H246" s="64" t="n"/>
      <c r="I246" s="64" t="n"/>
      <c r="J246" s="64" t="n"/>
      <c r="K246" s="65">
        <f>IF(NOT((COUNTA($B246:$J246)+COUNTA($M246))&gt;0),"",IFERROR(LOOKUP(2,1/(G246:J246&lt;&gt;""),G246:J246),0))</f>
        <v/>
      </c>
      <c r="L246" s="60">
        <f>IF(K246="","",IF(K246&gt;=1,"Completado",IF(K246&gt;0,"En curso","Pendiente")))</f>
        <v/>
      </c>
      <c r="M246" s="61" t="n"/>
      <c r="N246" s="66">
        <f>IF(NOT((COUNTA($B246:$J246)+COUNTA($M246))&gt;0),"",IF((IF(B246="","Macroactividad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 OK","⚠ "&amp;LEFT(IF(B246="","Macroactividad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",""),LEN(IF(B246="","Macroactividad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",""))-3)))</f>
        <v/>
      </c>
      <c r="O246" s="67">
        <f>IF(NOT((COUNTA($B246:$J246)+COUNTA($M246))&gt;0),"",IF(ISNUMBER($D246),DATE(YEAR($D246),MONTH($D246),1),IF(ISNUMBER($E246),DATE(YEAR($E246),MONTH($E246),1),MesCiclo)))</f>
        <v/>
      </c>
      <c r="P246" s="68">
        <f>IF(OR($O246="",$O246&lt;&gt;MesCiclo),"",COUNTIF($O$5:$O246,MesCiclo))</f>
        <v/>
      </c>
    </row>
    <row r="247">
      <c r="A247" s="60">
        <f>IF(NOT((COUNTA($B247:$J247)+COUNTA($M247))&gt;0),"",COUNTIFS($L$5:$L247,"?*",$O$5:$O247,$O247))</f>
        <v/>
      </c>
      <c r="B247" s="61" t="n"/>
      <c r="C247" s="61" t="n"/>
      <c r="D247" s="62" t="n"/>
      <c r="E247" s="62" t="n"/>
      <c r="F247" s="63" t="n"/>
      <c r="G247" s="64" t="n"/>
      <c r="H247" s="64" t="n"/>
      <c r="I247" s="64" t="n"/>
      <c r="J247" s="64" t="n"/>
      <c r="K247" s="65">
        <f>IF(NOT((COUNTA($B247:$J247)+COUNTA($M247))&gt;0),"",IFERROR(LOOKUP(2,1/(G247:J247&lt;&gt;""),G247:J247),0))</f>
        <v/>
      </c>
      <c r="L247" s="60">
        <f>IF(K247="","",IF(K247&gt;=1,"Completado",IF(K247&gt;0,"En curso","Pendiente")))</f>
        <v/>
      </c>
      <c r="M247" s="61" t="n"/>
      <c r="N247" s="66">
        <f>IF(NOT((COUNTA($B247:$J247)+COUNTA($M247))&gt;0),"",IF((IF(B247="","Macroactividad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 OK","⚠ "&amp;LEFT(IF(B247="","Macroactividad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",""),LEN(IF(B247="","Macroactividad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",""))-3)))</f>
        <v/>
      </c>
      <c r="O247" s="67">
        <f>IF(NOT((COUNTA($B247:$J247)+COUNTA($M247))&gt;0),"",IF(ISNUMBER($D247),DATE(YEAR($D247),MONTH($D247),1),IF(ISNUMBER($E247),DATE(YEAR($E247),MONTH($E247),1),MesCiclo)))</f>
        <v/>
      </c>
      <c r="P247" s="68">
        <f>IF(OR($O247="",$O247&lt;&gt;MesCiclo),"",COUNTIF($O$5:$O247,MesCiclo))</f>
        <v/>
      </c>
    </row>
    <row r="248">
      <c r="A248" s="60">
        <f>IF(NOT((COUNTA($B248:$J248)+COUNTA($M248))&gt;0),"",COUNTIFS($L$5:$L248,"?*",$O$5:$O248,$O248))</f>
        <v/>
      </c>
      <c r="B248" s="61" t="n"/>
      <c r="C248" s="61" t="n"/>
      <c r="D248" s="62" t="n"/>
      <c r="E248" s="62" t="n"/>
      <c r="F248" s="63" t="n"/>
      <c r="G248" s="64" t="n"/>
      <c r="H248" s="64" t="n"/>
      <c r="I248" s="64" t="n"/>
      <c r="J248" s="64" t="n"/>
      <c r="K248" s="65">
        <f>IF(NOT((COUNTA($B248:$J248)+COUNTA($M248))&gt;0),"",IFERROR(LOOKUP(2,1/(G248:J248&lt;&gt;""),G248:J248),0))</f>
        <v/>
      </c>
      <c r="L248" s="60">
        <f>IF(K248="","",IF(K248&gt;=1,"Completado",IF(K248&gt;0,"En curso","Pendiente")))</f>
        <v/>
      </c>
      <c r="M248" s="61" t="n"/>
      <c r="N248" s="66">
        <f>IF(NOT((COUNTA($B248:$J248)+COUNTA($M248))&gt;0),"",IF((IF(B248="","Macroactividad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 OK","⚠ "&amp;LEFT(IF(B248="","Macroactividad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",""),LEN(IF(B248="","Macroactividad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",""))-3)))</f>
        <v/>
      </c>
      <c r="O248" s="67">
        <f>IF(NOT((COUNTA($B248:$J248)+COUNTA($M248))&gt;0),"",IF(ISNUMBER($D248),DATE(YEAR($D248),MONTH($D248),1),IF(ISNUMBER($E248),DATE(YEAR($E248),MONTH($E248),1),MesCiclo)))</f>
        <v/>
      </c>
      <c r="P248" s="68">
        <f>IF(OR($O248="",$O248&lt;&gt;MesCiclo),"",COUNTIF($O$5:$O248,MesCiclo))</f>
        <v/>
      </c>
    </row>
    <row r="249">
      <c r="A249" s="60">
        <f>IF(NOT((COUNTA($B249:$J249)+COUNTA($M249))&gt;0),"",COUNTIFS($L$5:$L249,"?*",$O$5:$O249,$O249))</f>
        <v/>
      </c>
      <c r="B249" s="61" t="n"/>
      <c r="C249" s="61" t="n"/>
      <c r="D249" s="62" t="n"/>
      <c r="E249" s="62" t="n"/>
      <c r="F249" s="63" t="n"/>
      <c r="G249" s="64" t="n"/>
      <c r="H249" s="64" t="n"/>
      <c r="I249" s="64" t="n"/>
      <c r="J249" s="64" t="n"/>
      <c r="K249" s="65">
        <f>IF(NOT((COUNTA($B249:$J249)+COUNTA($M249))&gt;0),"",IFERROR(LOOKUP(2,1/(G249:J249&lt;&gt;""),G249:J249),0))</f>
        <v/>
      </c>
      <c r="L249" s="60">
        <f>IF(K249="","",IF(K249&gt;=1,"Completado",IF(K249&gt;0,"En curso","Pendiente")))</f>
        <v/>
      </c>
      <c r="M249" s="61" t="n"/>
      <c r="N249" s="66">
        <f>IF(NOT((COUNTA($B249:$J249)+COUNTA($M249))&gt;0),"",IF((IF(B249="","Macroactividad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 OK","⚠ "&amp;LEFT(IF(B249="","Macroactividad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",""),LEN(IF(B249="","Macroactividad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",""))-3)))</f>
        <v/>
      </c>
      <c r="O249" s="67">
        <f>IF(NOT((COUNTA($B249:$J249)+COUNTA($M249))&gt;0),"",IF(ISNUMBER($D249),DATE(YEAR($D249),MONTH($D249),1),IF(ISNUMBER($E249),DATE(YEAR($E249),MONTH($E249),1),MesCiclo)))</f>
        <v/>
      </c>
      <c r="P249" s="68">
        <f>IF(OR($O249="",$O249&lt;&gt;MesCiclo),"",COUNTIF($O$5:$O249,MesCiclo))</f>
        <v/>
      </c>
    </row>
    <row r="250">
      <c r="A250" s="60">
        <f>IF(NOT((COUNTA($B250:$J250)+COUNTA($M250))&gt;0),"",COUNTIFS($L$5:$L250,"?*",$O$5:$O250,$O250))</f>
        <v/>
      </c>
      <c r="B250" s="61" t="n"/>
      <c r="C250" s="61" t="n"/>
      <c r="D250" s="62" t="n"/>
      <c r="E250" s="62" t="n"/>
      <c r="F250" s="63" t="n"/>
      <c r="G250" s="64" t="n"/>
      <c r="H250" s="64" t="n"/>
      <c r="I250" s="64" t="n"/>
      <c r="J250" s="64" t="n"/>
      <c r="K250" s="65">
        <f>IF(NOT((COUNTA($B250:$J250)+COUNTA($M250))&gt;0),"",IFERROR(LOOKUP(2,1/(G250:J250&lt;&gt;""),G250:J250),0))</f>
        <v/>
      </c>
      <c r="L250" s="60">
        <f>IF(K250="","",IF(K250&gt;=1,"Completado",IF(K250&gt;0,"En curso","Pendiente")))</f>
        <v/>
      </c>
      <c r="M250" s="61" t="n"/>
      <c r="N250" s="66">
        <f>IF(NOT((COUNTA($B250:$J250)+COUNTA($M250))&gt;0),"",IF((IF(B250="","Macroactividad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 OK","⚠ "&amp;LEFT(IF(B250="","Macroactividad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",""),LEN(IF(B250="","Macroactividad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",""))-3)))</f>
        <v/>
      </c>
      <c r="O250" s="67">
        <f>IF(NOT((COUNTA($B250:$J250)+COUNTA($M250))&gt;0),"",IF(ISNUMBER($D250),DATE(YEAR($D250),MONTH($D250),1),IF(ISNUMBER($E250),DATE(YEAR($E250),MONTH($E250),1),MesCiclo)))</f>
        <v/>
      </c>
      <c r="P250" s="68">
        <f>IF(OR($O250="",$O250&lt;&gt;MesCiclo),"",COUNTIF($O$5:$O250,MesCiclo))</f>
        <v/>
      </c>
    </row>
    <row r="251">
      <c r="A251" s="60">
        <f>IF(NOT((COUNTA($B251:$J251)+COUNTA($M251))&gt;0),"",COUNTIFS($L$5:$L251,"?*",$O$5:$O251,$O251))</f>
        <v/>
      </c>
      <c r="B251" s="61" t="n"/>
      <c r="C251" s="61" t="n"/>
      <c r="D251" s="62" t="n"/>
      <c r="E251" s="62" t="n"/>
      <c r="F251" s="63" t="n"/>
      <c r="G251" s="64" t="n"/>
      <c r="H251" s="64" t="n"/>
      <c r="I251" s="64" t="n"/>
      <c r="J251" s="64" t="n"/>
      <c r="K251" s="65">
        <f>IF(NOT((COUNTA($B251:$J251)+COUNTA($M251))&gt;0),"",IFERROR(LOOKUP(2,1/(G251:J251&lt;&gt;""),G251:J251),0))</f>
        <v/>
      </c>
      <c r="L251" s="60">
        <f>IF(K251="","",IF(K251&gt;=1,"Completado",IF(K251&gt;0,"En curso","Pendiente")))</f>
        <v/>
      </c>
      <c r="M251" s="61" t="n"/>
      <c r="N251" s="66">
        <f>IF(NOT((COUNTA($B251:$J251)+COUNTA($M251))&gt;0),"",IF((IF(B251="","Macroactividad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 OK","⚠ "&amp;LEFT(IF(B251="","Macroactividad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",""),LEN(IF(B251="","Macroactividad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",""))-3)))</f>
        <v/>
      </c>
      <c r="O251" s="67">
        <f>IF(NOT((COUNTA($B251:$J251)+COUNTA($M251))&gt;0),"",IF(ISNUMBER($D251),DATE(YEAR($D251),MONTH($D251),1),IF(ISNUMBER($E251),DATE(YEAR($E251),MONTH($E251),1),MesCiclo)))</f>
        <v/>
      </c>
      <c r="P251" s="68">
        <f>IF(OR($O251="",$O251&lt;&gt;MesCiclo),"",COUNTIF($O$5:$O251,MesCiclo))</f>
        <v/>
      </c>
    </row>
    <row r="252">
      <c r="A252" s="60">
        <f>IF(NOT((COUNTA($B252:$J252)+COUNTA($M252))&gt;0),"",COUNTIFS($L$5:$L252,"?*",$O$5:$O252,$O252))</f>
        <v/>
      </c>
      <c r="B252" s="61" t="n"/>
      <c r="C252" s="61" t="n"/>
      <c r="D252" s="62" t="n"/>
      <c r="E252" s="62" t="n"/>
      <c r="F252" s="63" t="n"/>
      <c r="G252" s="64" t="n"/>
      <c r="H252" s="64" t="n"/>
      <c r="I252" s="64" t="n"/>
      <c r="J252" s="64" t="n"/>
      <c r="K252" s="65">
        <f>IF(NOT((COUNTA($B252:$J252)+COUNTA($M252))&gt;0),"",IFERROR(LOOKUP(2,1/(G252:J252&lt;&gt;""),G252:J252),0))</f>
        <v/>
      </c>
      <c r="L252" s="60">
        <f>IF(K252="","",IF(K252&gt;=1,"Completado",IF(K252&gt;0,"En curso","Pendiente")))</f>
        <v/>
      </c>
      <c r="M252" s="61" t="n"/>
      <c r="N252" s="66">
        <f>IF(NOT((COUNTA($B252:$J252)+COUNTA($M252))&gt;0),"",IF((IF(B252="","Macroactividad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 OK","⚠ "&amp;LEFT(IF(B252="","Macroactividad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",""),LEN(IF(B252="","Macroactividad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",""))-3)))</f>
        <v/>
      </c>
      <c r="O252" s="67">
        <f>IF(NOT((COUNTA($B252:$J252)+COUNTA($M252))&gt;0),"",IF(ISNUMBER($D252),DATE(YEAR($D252),MONTH($D252),1),IF(ISNUMBER($E252),DATE(YEAR($E252),MONTH($E252),1),MesCiclo)))</f>
        <v/>
      </c>
      <c r="P252" s="68">
        <f>IF(OR($O252="",$O252&lt;&gt;MesCiclo),"",COUNTIF($O$5:$O252,MesCiclo))</f>
        <v/>
      </c>
    </row>
    <row r="253">
      <c r="A253" s="60">
        <f>IF(NOT((COUNTA($B253:$J253)+COUNTA($M253))&gt;0),"",COUNTIFS($L$5:$L253,"?*",$O$5:$O253,$O253))</f>
        <v/>
      </c>
      <c r="B253" s="61" t="n"/>
      <c r="C253" s="61" t="n"/>
      <c r="D253" s="62" t="n"/>
      <c r="E253" s="62" t="n"/>
      <c r="F253" s="63" t="n"/>
      <c r="G253" s="64" t="n"/>
      <c r="H253" s="64" t="n"/>
      <c r="I253" s="64" t="n"/>
      <c r="J253" s="64" t="n"/>
      <c r="K253" s="65">
        <f>IF(NOT((COUNTA($B253:$J253)+COUNTA($M253))&gt;0),"",IFERROR(LOOKUP(2,1/(G253:J253&lt;&gt;""),G253:J253),0))</f>
        <v/>
      </c>
      <c r="L253" s="60">
        <f>IF(K253="","",IF(K253&gt;=1,"Completado",IF(K253&gt;0,"En curso","Pendiente")))</f>
        <v/>
      </c>
      <c r="M253" s="61" t="n"/>
      <c r="N253" s="66">
        <f>IF(NOT((COUNTA($B253:$J253)+COUNTA($M253))&gt;0),"",IF((IF(B253="","Macroactividad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 OK","⚠ "&amp;LEFT(IF(B253="","Macroactividad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",""),LEN(IF(B253="","Macroactividad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",""))-3)))</f>
        <v/>
      </c>
      <c r="O253" s="67">
        <f>IF(NOT((COUNTA($B253:$J253)+COUNTA($M253))&gt;0),"",IF(ISNUMBER($D253),DATE(YEAR($D253),MONTH($D253),1),IF(ISNUMBER($E253),DATE(YEAR($E253),MONTH($E253),1),MesCiclo)))</f>
        <v/>
      </c>
      <c r="P253" s="68">
        <f>IF(OR($O253="",$O253&lt;&gt;MesCiclo),"",COUNTIF($O$5:$O253,MesCiclo))</f>
        <v/>
      </c>
    </row>
    <row r="254">
      <c r="A254" s="60">
        <f>IF(NOT((COUNTA($B254:$J254)+COUNTA($M254))&gt;0),"",COUNTIFS($L$5:$L254,"?*",$O$5:$O254,$O254))</f>
        <v/>
      </c>
      <c r="B254" s="61" t="n"/>
      <c r="C254" s="61" t="n"/>
      <c r="D254" s="62" t="n"/>
      <c r="E254" s="62" t="n"/>
      <c r="F254" s="63" t="n"/>
      <c r="G254" s="64" t="n"/>
      <c r="H254" s="64" t="n"/>
      <c r="I254" s="64" t="n"/>
      <c r="J254" s="64" t="n"/>
      <c r="K254" s="65">
        <f>IF(NOT((COUNTA($B254:$J254)+COUNTA($M254))&gt;0),"",IFERROR(LOOKUP(2,1/(G254:J254&lt;&gt;""),G254:J254),0))</f>
        <v/>
      </c>
      <c r="L254" s="60">
        <f>IF(K254="","",IF(K254&gt;=1,"Completado",IF(K254&gt;0,"En curso","Pendiente")))</f>
        <v/>
      </c>
      <c r="M254" s="61" t="n"/>
      <c r="N254" s="66">
        <f>IF(NOT((COUNTA($B254:$J254)+COUNTA($M254))&gt;0),"",IF((IF(B254="","Macroactividad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 OK","⚠ "&amp;LEFT(IF(B254="","Macroactividad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",""),LEN(IF(B254="","Macroactividad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",""))-3)))</f>
        <v/>
      </c>
      <c r="O254" s="67">
        <f>IF(NOT((COUNTA($B254:$J254)+COUNTA($M254))&gt;0),"",IF(ISNUMBER($D254),DATE(YEAR($D254),MONTH($D254),1),IF(ISNUMBER($E254),DATE(YEAR($E254),MONTH($E254),1),MesCiclo)))</f>
        <v/>
      </c>
      <c r="P254" s="68">
        <f>IF(OR($O254="",$O254&lt;&gt;MesCiclo),"",COUNTIF($O$5:$O254,MesCiclo))</f>
        <v/>
      </c>
    </row>
    <row r="255">
      <c r="A255" s="60">
        <f>IF(NOT((COUNTA($B255:$J255)+COUNTA($M255))&gt;0),"",COUNTIFS($L$5:$L255,"?*",$O$5:$O255,$O255))</f>
        <v/>
      </c>
      <c r="B255" s="61" t="n"/>
      <c r="C255" s="61" t="n"/>
      <c r="D255" s="62" t="n"/>
      <c r="E255" s="62" t="n"/>
      <c r="F255" s="63" t="n"/>
      <c r="G255" s="64" t="n"/>
      <c r="H255" s="64" t="n"/>
      <c r="I255" s="64" t="n"/>
      <c r="J255" s="64" t="n"/>
      <c r="K255" s="65">
        <f>IF(NOT((COUNTA($B255:$J255)+COUNTA($M255))&gt;0),"",IFERROR(LOOKUP(2,1/(G255:J255&lt;&gt;""),G255:J255),0))</f>
        <v/>
      </c>
      <c r="L255" s="60">
        <f>IF(K255="","",IF(K255&gt;=1,"Completado",IF(K255&gt;0,"En curso","Pendiente")))</f>
        <v/>
      </c>
      <c r="M255" s="61" t="n"/>
      <c r="N255" s="66">
        <f>IF(NOT((COUNTA($B255:$J255)+COUNTA($M255))&gt;0),"",IF((IF(B255="","Macroactividad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 OK","⚠ "&amp;LEFT(IF(B255="","Macroactividad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",""),LEN(IF(B255="","Macroactividad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",""))-3)))</f>
        <v/>
      </c>
      <c r="O255" s="67">
        <f>IF(NOT((COUNTA($B255:$J255)+COUNTA($M255))&gt;0),"",IF(ISNUMBER($D255),DATE(YEAR($D255),MONTH($D255),1),IF(ISNUMBER($E255),DATE(YEAR($E255),MONTH($E255),1),MesCiclo)))</f>
        <v/>
      </c>
      <c r="P255" s="68">
        <f>IF(OR($O255="",$O255&lt;&gt;MesCiclo),"",COUNTIF($O$5:$O255,MesCiclo))</f>
        <v/>
      </c>
    </row>
    <row r="256">
      <c r="A256" s="60">
        <f>IF(NOT((COUNTA($B256:$J256)+COUNTA($M256))&gt;0),"",COUNTIFS($L$5:$L256,"?*",$O$5:$O256,$O256))</f>
        <v/>
      </c>
      <c r="B256" s="61" t="n"/>
      <c r="C256" s="61" t="n"/>
      <c r="D256" s="62" t="n"/>
      <c r="E256" s="62" t="n"/>
      <c r="F256" s="63" t="n"/>
      <c r="G256" s="64" t="n"/>
      <c r="H256" s="64" t="n"/>
      <c r="I256" s="64" t="n"/>
      <c r="J256" s="64" t="n"/>
      <c r="K256" s="65">
        <f>IF(NOT((COUNTA($B256:$J256)+COUNTA($M256))&gt;0),"",IFERROR(LOOKUP(2,1/(G256:J256&lt;&gt;""),G256:J256),0))</f>
        <v/>
      </c>
      <c r="L256" s="60">
        <f>IF(K256="","",IF(K256&gt;=1,"Completado",IF(K256&gt;0,"En curso","Pendiente")))</f>
        <v/>
      </c>
      <c r="M256" s="61" t="n"/>
      <c r="N256" s="66">
        <f>IF(NOT((COUNTA($B256:$J256)+COUNTA($M256))&gt;0),"",IF((IF(B256="","Macroactividad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 OK","⚠ "&amp;LEFT(IF(B256="","Macroactividad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",""),LEN(IF(B256="","Macroactividad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",""))-3)))</f>
        <v/>
      </c>
      <c r="O256" s="67">
        <f>IF(NOT((COUNTA($B256:$J256)+COUNTA($M256))&gt;0),"",IF(ISNUMBER($D256),DATE(YEAR($D256),MONTH($D256),1),IF(ISNUMBER($E256),DATE(YEAR($E256),MONTH($E256),1),MesCiclo)))</f>
        <v/>
      </c>
      <c r="P256" s="68">
        <f>IF(OR($O256="",$O256&lt;&gt;MesCiclo),"",COUNTIF($O$5:$O256,MesCiclo))</f>
        <v/>
      </c>
    </row>
    <row r="257">
      <c r="A257" s="60">
        <f>IF(NOT((COUNTA($B257:$J257)+COUNTA($M257))&gt;0),"",COUNTIFS($L$5:$L257,"?*",$O$5:$O257,$O257))</f>
        <v/>
      </c>
      <c r="B257" s="61" t="n"/>
      <c r="C257" s="61" t="n"/>
      <c r="D257" s="62" t="n"/>
      <c r="E257" s="62" t="n"/>
      <c r="F257" s="63" t="n"/>
      <c r="G257" s="64" t="n"/>
      <c r="H257" s="64" t="n"/>
      <c r="I257" s="64" t="n"/>
      <c r="J257" s="64" t="n"/>
      <c r="K257" s="65">
        <f>IF(NOT((COUNTA($B257:$J257)+COUNTA($M257))&gt;0),"",IFERROR(LOOKUP(2,1/(G257:J257&lt;&gt;""),G257:J257),0))</f>
        <v/>
      </c>
      <c r="L257" s="60">
        <f>IF(K257="","",IF(K257&gt;=1,"Completado",IF(K257&gt;0,"En curso","Pendiente")))</f>
        <v/>
      </c>
      <c r="M257" s="61" t="n"/>
      <c r="N257" s="66">
        <f>IF(NOT((COUNTA($B257:$J257)+COUNTA($M257))&gt;0),"",IF((IF(B257="","Macroactividad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 OK","⚠ "&amp;LEFT(IF(B257="","Macroactividad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",""),LEN(IF(B257="","Macroactividad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",""))-3)))</f>
        <v/>
      </c>
      <c r="O257" s="67">
        <f>IF(NOT((COUNTA($B257:$J257)+COUNTA($M257))&gt;0),"",IF(ISNUMBER($D257),DATE(YEAR($D257),MONTH($D257),1),IF(ISNUMBER($E257),DATE(YEAR($E257),MONTH($E257),1),MesCiclo)))</f>
        <v/>
      </c>
      <c r="P257" s="68">
        <f>IF(OR($O257="",$O257&lt;&gt;MesCiclo),"",COUNTIF($O$5:$O257,MesCiclo))</f>
        <v/>
      </c>
    </row>
    <row r="258">
      <c r="A258" s="60">
        <f>IF(NOT((COUNTA($B258:$J258)+COUNTA($M258))&gt;0),"",COUNTIFS($L$5:$L258,"?*",$O$5:$O258,$O258))</f>
        <v/>
      </c>
      <c r="B258" s="61" t="n"/>
      <c r="C258" s="61" t="n"/>
      <c r="D258" s="62" t="n"/>
      <c r="E258" s="62" t="n"/>
      <c r="F258" s="63" t="n"/>
      <c r="G258" s="64" t="n"/>
      <c r="H258" s="64" t="n"/>
      <c r="I258" s="64" t="n"/>
      <c r="J258" s="64" t="n"/>
      <c r="K258" s="65">
        <f>IF(NOT((COUNTA($B258:$J258)+COUNTA($M258))&gt;0),"",IFERROR(LOOKUP(2,1/(G258:J258&lt;&gt;""),G258:J258),0))</f>
        <v/>
      </c>
      <c r="L258" s="60">
        <f>IF(K258="","",IF(K258&gt;=1,"Completado",IF(K258&gt;0,"En curso","Pendiente")))</f>
        <v/>
      </c>
      <c r="M258" s="61" t="n"/>
      <c r="N258" s="66">
        <f>IF(NOT((COUNTA($B258:$J258)+COUNTA($M258))&gt;0),"",IF((IF(B258="","Macroactividad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 OK","⚠ "&amp;LEFT(IF(B258="","Macroactividad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",""),LEN(IF(B258="","Macroactividad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",""))-3)))</f>
        <v/>
      </c>
      <c r="O258" s="67">
        <f>IF(NOT((COUNTA($B258:$J258)+COUNTA($M258))&gt;0),"",IF(ISNUMBER($D258),DATE(YEAR($D258),MONTH($D258),1),IF(ISNUMBER($E258),DATE(YEAR($E258),MONTH($E258),1),MesCiclo)))</f>
        <v/>
      </c>
      <c r="P258" s="68">
        <f>IF(OR($O258="",$O258&lt;&gt;MesCiclo),"",COUNTIF($O$5:$O258,MesCiclo))</f>
        <v/>
      </c>
    </row>
    <row r="259">
      <c r="A259" s="60">
        <f>IF(NOT((COUNTA($B259:$J259)+COUNTA($M259))&gt;0),"",COUNTIFS($L$5:$L259,"?*",$O$5:$O259,$O259))</f>
        <v/>
      </c>
      <c r="B259" s="61" t="n"/>
      <c r="C259" s="61" t="n"/>
      <c r="D259" s="62" t="n"/>
      <c r="E259" s="62" t="n"/>
      <c r="F259" s="63" t="n"/>
      <c r="G259" s="64" t="n"/>
      <c r="H259" s="64" t="n"/>
      <c r="I259" s="64" t="n"/>
      <c r="J259" s="64" t="n"/>
      <c r="K259" s="65">
        <f>IF(NOT((COUNTA($B259:$J259)+COUNTA($M259))&gt;0),"",IFERROR(LOOKUP(2,1/(G259:J259&lt;&gt;""),G259:J259),0))</f>
        <v/>
      </c>
      <c r="L259" s="60">
        <f>IF(K259="","",IF(K259&gt;=1,"Completado",IF(K259&gt;0,"En curso","Pendiente")))</f>
        <v/>
      </c>
      <c r="M259" s="61" t="n"/>
      <c r="N259" s="66">
        <f>IF(NOT((COUNTA($B259:$J259)+COUNTA($M259))&gt;0),"",IF((IF(B259="","Macroactividad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 OK","⚠ "&amp;LEFT(IF(B259="","Macroactividad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",""),LEN(IF(B259="","Macroactividad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",""))-3)))</f>
        <v/>
      </c>
      <c r="O259" s="67">
        <f>IF(NOT((COUNTA($B259:$J259)+COUNTA($M259))&gt;0),"",IF(ISNUMBER($D259),DATE(YEAR($D259),MONTH($D259),1),IF(ISNUMBER($E259),DATE(YEAR($E259),MONTH($E259),1),MesCiclo)))</f>
        <v/>
      </c>
      <c r="P259" s="68">
        <f>IF(OR($O259="",$O259&lt;&gt;MesCiclo),"",COUNTIF($O$5:$O259,MesCiclo))</f>
        <v/>
      </c>
    </row>
    <row r="260">
      <c r="A260" s="60">
        <f>IF(NOT((COUNTA($B260:$J260)+COUNTA($M260))&gt;0),"",COUNTIFS($L$5:$L260,"?*",$O$5:$O260,$O260))</f>
        <v/>
      </c>
      <c r="B260" s="61" t="n"/>
      <c r="C260" s="61" t="n"/>
      <c r="D260" s="62" t="n"/>
      <c r="E260" s="62" t="n"/>
      <c r="F260" s="63" t="n"/>
      <c r="G260" s="64" t="n"/>
      <c r="H260" s="64" t="n"/>
      <c r="I260" s="64" t="n"/>
      <c r="J260" s="64" t="n"/>
      <c r="K260" s="65">
        <f>IF(NOT((COUNTA($B260:$J260)+COUNTA($M260))&gt;0),"",IFERROR(LOOKUP(2,1/(G260:J260&lt;&gt;""),G260:J260),0))</f>
        <v/>
      </c>
      <c r="L260" s="60">
        <f>IF(K260="","",IF(K260&gt;=1,"Completado",IF(K260&gt;0,"En curso","Pendiente")))</f>
        <v/>
      </c>
      <c r="M260" s="61" t="n"/>
      <c r="N260" s="66">
        <f>IF(NOT((COUNTA($B260:$J260)+COUNTA($M260))&gt;0),"",IF((IF(B260="","Macroactividad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 OK","⚠ "&amp;LEFT(IF(B260="","Macroactividad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",""),LEN(IF(B260="","Macroactividad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",""))-3)))</f>
        <v/>
      </c>
      <c r="O260" s="67">
        <f>IF(NOT((COUNTA($B260:$J260)+COUNTA($M260))&gt;0),"",IF(ISNUMBER($D260),DATE(YEAR($D260),MONTH($D260),1),IF(ISNUMBER($E260),DATE(YEAR($E260),MONTH($E260),1),MesCiclo)))</f>
        <v/>
      </c>
      <c r="P260" s="68">
        <f>IF(OR($O260="",$O260&lt;&gt;MesCiclo),"",COUNTIF($O$5:$O260,MesCiclo))</f>
        <v/>
      </c>
    </row>
    <row r="261">
      <c r="A261" s="60">
        <f>IF(NOT((COUNTA($B261:$J261)+COUNTA($M261))&gt;0),"",COUNTIFS($L$5:$L261,"?*",$O$5:$O261,$O261))</f>
        <v/>
      </c>
      <c r="B261" s="61" t="n"/>
      <c r="C261" s="61" t="n"/>
      <c r="D261" s="62" t="n"/>
      <c r="E261" s="62" t="n"/>
      <c r="F261" s="63" t="n"/>
      <c r="G261" s="64" t="n"/>
      <c r="H261" s="64" t="n"/>
      <c r="I261" s="64" t="n"/>
      <c r="J261" s="64" t="n"/>
      <c r="K261" s="65">
        <f>IF(NOT((COUNTA($B261:$J261)+COUNTA($M261))&gt;0),"",IFERROR(LOOKUP(2,1/(G261:J261&lt;&gt;""),G261:J261),0))</f>
        <v/>
      </c>
      <c r="L261" s="60">
        <f>IF(K261="","",IF(K261&gt;=1,"Completado",IF(K261&gt;0,"En curso","Pendiente")))</f>
        <v/>
      </c>
      <c r="M261" s="61" t="n"/>
      <c r="N261" s="66">
        <f>IF(NOT((COUNTA($B261:$J261)+COUNTA($M261))&gt;0),"",IF((IF(B261="","Macroactividad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 OK","⚠ "&amp;LEFT(IF(B261="","Macroactividad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",""),LEN(IF(B261="","Macroactividad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",""))-3)))</f>
        <v/>
      </c>
      <c r="O261" s="67">
        <f>IF(NOT((COUNTA($B261:$J261)+COUNTA($M261))&gt;0),"",IF(ISNUMBER($D261),DATE(YEAR($D261),MONTH($D261),1),IF(ISNUMBER($E261),DATE(YEAR($E261),MONTH($E261),1),MesCiclo)))</f>
        <v/>
      </c>
      <c r="P261" s="68">
        <f>IF(OR($O261="",$O261&lt;&gt;MesCiclo),"",COUNTIF($O$5:$O261,MesCiclo))</f>
        <v/>
      </c>
    </row>
    <row r="262">
      <c r="A262" s="60">
        <f>IF(NOT((COUNTA($B262:$J262)+COUNTA($M262))&gt;0),"",COUNTIFS($L$5:$L262,"?*",$O$5:$O262,$O262))</f>
        <v/>
      </c>
      <c r="B262" s="61" t="n"/>
      <c r="C262" s="61" t="n"/>
      <c r="D262" s="62" t="n"/>
      <c r="E262" s="62" t="n"/>
      <c r="F262" s="63" t="n"/>
      <c r="G262" s="64" t="n"/>
      <c r="H262" s="64" t="n"/>
      <c r="I262" s="64" t="n"/>
      <c r="J262" s="64" t="n"/>
      <c r="K262" s="65">
        <f>IF(NOT((COUNTA($B262:$J262)+COUNTA($M262))&gt;0),"",IFERROR(LOOKUP(2,1/(G262:J262&lt;&gt;""),G262:J262),0))</f>
        <v/>
      </c>
      <c r="L262" s="60">
        <f>IF(K262="","",IF(K262&gt;=1,"Completado",IF(K262&gt;0,"En curso","Pendiente")))</f>
        <v/>
      </c>
      <c r="M262" s="61" t="n"/>
      <c r="N262" s="66">
        <f>IF(NOT((COUNTA($B262:$J262)+COUNTA($M262))&gt;0),"",IF((IF(B262="","Macroactividad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 OK","⚠ "&amp;LEFT(IF(B262="","Macroactividad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",""),LEN(IF(B262="","Macroactividad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",""))-3)))</f>
        <v/>
      </c>
      <c r="O262" s="67">
        <f>IF(NOT((COUNTA($B262:$J262)+COUNTA($M262))&gt;0),"",IF(ISNUMBER($D262),DATE(YEAR($D262),MONTH($D262),1),IF(ISNUMBER($E262),DATE(YEAR($E262),MONTH($E262),1),MesCiclo)))</f>
        <v/>
      </c>
      <c r="P262" s="68">
        <f>IF(OR($O262="",$O262&lt;&gt;MesCiclo),"",COUNTIF($O$5:$O262,MesCiclo))</f>
        <v/>
      </c>
    </row>
    <row r="263">
      <c r="A263" s="60">
        <f>IF(NOT((COUNTA($B263:$J263)+COUNTA($M263))&gt;0),"",COUNTIFS($L$5:$L263,"?*",$O$5:$O263,$O263))</f>
        <v/>
      </c>
      <c r="B263" s="61" t="n"/>
      <c r="C263" s="61" t="n"/>
      <c r="D263" s="62" t="n"/>
      <c r="E263" s="62" t="n"/>
      <c r="F263" s="63" t="n"/>
      <c r="G263" s="64" t="n"/>
      <c r="H263" s="64" t="n"/>
      <c r="I263" s="64" t="n"/>
      <c r="J263" s="64" t="n"/>
      <c r="K263" s="65">
        <f>IF(NOT((COUNTA($B263:$J263)+COUNTA($M263))&gt;0),"",IFERROR(LOOKUP(2,1/(G263:J263&lt;&gt;""),G263:J263),0))</f>
        <v/>
      </c>
      <c r="L263" s="60">
        <f>IF(K263="","",IF(K263&gt;=1,"Completado",IF(K263&gt;0,"En curso","Pendiente")))</f>
        <v/>
      </c>
      <c r="M263" s="61" t="n"/>
      <c r="N263" s="66">
        <f>IF(NOT((COUNTA($B263:$J263)+COUNTA($M263))&gt;0),"",IF((IF(B263="","Macroactividad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 OK","⚠ "&amp;LEFT(IF(B263="","Macroactividad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",""),LEN(IF(B263="","Macroactividad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",""))-3)))</f>
        <v/>
      </c>
      <c r="O263" s="67">
        <f>IF(NOT((COUNTA($B263:$J263)+COUNTA($M263))&gt;0),"",IF(ISNUMBER($D263),DATE(YEAR($D263),MONTH($D263),1),IF(ISNUMBER($E263),DATE(YEAR($E263),MONTH($E263),1),MesCiclo)))</f>
        <v/>
      </c>
      <c r="P263" s="68">
        <f>IF(OR($O263="",$O263&lt;&gt;MesCiclo),"",COUNTIF($O$5:$O263,MesCiclo))</f>
        <v/>
      </c>
    </row>
    <row r="264">
      <c r="A264" s="60">
        <f>IF(NOT((COUNTA($B264:$J264)+COUNTA($M264))&gt;0),"",COUNTIFS($L$5:$L264,"?*",$O$5:$O264,$O264))</f>
        <v/>
      </c>
      <c r="B264" s="61" t="n"/>
      <c r="C264" s="61" t="n"/>
      <c r="D264" s="62" t="n"/>
      <c r="E264" s="62" t="n"/>
      <c r="F264" s="63" t="n"/>
      <c r="G264" s="64" t="n"/>
      <c r="H264" s="64" t="n"/>
      <c r="I264" s="64" t="n"/>
      <c r="J264" s="64" t="n"/>
      <c r="K264" s="65">
        <f>IF(NOT((COUNTA($B264:$J264)+COUNTA($M264))&gt;0),"",IFERROR(LOOKUP(2,1/(G264:J264&lt;&gt;""),G264:J264),0))</f>
        <v/>
      </c>
      <c r="L264" s="60">
        <f>IF(K264="","",IF(K264&gt;=1,"Completado",IF(K264&gt;0,"En curso","Pendiente")))</f>
        <v/>
      </c>
      <c r="M264" s="61" t="n"/>
      <c r="N264" s="66">
        <f>IF(NOT((COUNTA($B264:$J264)+COUNTA($M264))&gt;0),"",IF((IF(B264="","Macroactividad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 OK","⚠ "&amp;LEFT(IF(B264="","Macroactividad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",""),LEN(IF(B264="","Macroactividad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",""))-3)))</f>
        <v/>
      </c>
      <c r="O264" s="67">
        <f>IF(NOT((COUNTA($B264:$J264)+COUNTA($M264))&gt;0),"",IF(ISNUMBER($D264),DATE(YEAR($D264),MONTH($D264),1),IF(ISNUMBER($E264),DATE(YEAR($E264),MONTH($E264),1),MesCiclo)))</f>
        <v/>
      </c>
      <c r="P264" s="68">
        <f>IF(OR($O264="",$O264&lt;&gt;MesCiclo),"",COUNTIF($O$5:$O264,MesCiclo))</f>
        <v/>
      </c>
    </row>
    <row r="265">
      <c r="A265" s="60">
        <f>IF(NOT((COUNTA($B265:$J265)+COUNTA($M265))&gt;0),"",COUNTIFS($L$5:$L265,"?*",$O$5:$O265,$O265))</f>
        <v/>
      </c>
      <c r="B265" s="61" t="n"/>
      <c r="C265" s="61" t="n"/>
      <c r="D265" s="62" t="n"/>
      <c r="E265" s="62" t="n"/>
      <c r="F265" s="63" t="n"/>
      <c r="G265" s="64" t="n"/>
      <c r="H265" s="64" t="n"/>
      <c r="I265" s="64" t="n"/>
      <c r="J265" s="64" t="n"/>
      <c r="K265" s="65">
        <f>IF(NOT((COUNTA($B265:$J265)+COUNTA($M265))&gt;0),"",IFERROR(LOOKUP(2,1/(G265:J265&lt;&gt;""),G265:J265),0))</f>
        <v/>
      </c>
      <c r="L265" s="60">
        <f>IF(K265="","",IF(K265&gt;=1,"Completado",IF(K265&gt;0,"En curso","Pendiente")))</f>
        <v/>
      </c>
      <c r="M265" s="61" t="n"/>
      <c r="N265" s="66">
        <f>IF(NOT((COUNTA($B265:$J265)+COUNTA($M265))&gt;0),"",IF((IF(B265="","Macroactividad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 OK","⚠ "&amp;LEFT(IF(B265="","Macroactividad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",""),LEN(IF(B265="","Macroactividad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",""))-3)))</f>
        <v/>
      </c>
      <c r="O265" s="67">
        <f>IF(NOT((COUNTA($B265:$J265)+COUNTA($M265))&gt;0),"",IF(ISNUMBER($D265),DATE(YEAR($D265),MONTH($D265),1),IF(ISNUMBER($E265),DATE(YEAR($E265),MONTH($E265),1),MesCiclo)))</f>
        <v/>
      </c>
      <c r="P265" s="68">
        <f>IF(OR($O265="",$O265&lt;&gt;MesCiclo),"",COUNTIF($O$5:$O265,MesCiclo))</f>
        <v/>
      </c>
    </row>
    <row r="266">
      <c r="A266" s="60">
        <f>IF(NOT((COUNTA($B266:$J266)+COUNTA($M266))&gt;0),"",COUNTIFS($L$5:$L266,"?*",$O$5:$O266,$O266))</f>
        <v/>
      </c>
      <c r="B266" s="61" t="n"/>
      <c r="C266" s="61" t="n"/>
      <c r="D266" s="62" t="n"/>
      <c r="E266" s="62" t="n"/>
      <c r="F266" s="63" t="n"/>
      <c r="G266" s="64" t="n"/>
      <c r="H266" s="64" t="n"/>
      <c r="I266" s="64" t="n"/>
      <c r="J266" s="64" t="n"/>
      <c r="K266" s="65">
        <f>IF(NOT((COUNTA($B266:$J266)+COUNTA($M266))&gt;0),"",IFERROR(LOOKUP(2,1/(G266:J266&lt;&gt;""),G266:J266),0))</f>
        <v/>
      </c>
      <c r="L266" s="60">
        <f>IF(K266="","",IF(K266&gt;=1,"Completado",IF(K266&gt;0,"En curso","Pendiente")))</f>
        <v/>
      </c>
      <c r="M266" s="61" t="n"/>
      <c r="N266" s="66">
        <f>IF(NOT((COUNTA($B266:$J266)+COUNTA($M266))&gt;0),"",IF((IF(B266="","Macroactividad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 OK","⚠ "&amp;LEFT(IF(B266="","Macroactividad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",""),LEN(IF(B266="","Macroactividad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",""))-3)))</f>
        <v/>
      </c>
      <c r="O266" s="67">
        <f>IF(NOT((COUNTA($B266:$J266)+COUNTA($M266))&gt;0),"",IF(ISNUMBER($D266),DATE(YEAR($D266),MONTH($D266),1),IF(ISNUMBER($E266),DATE(YEAR($E266),MONTH($E266),1),MesCiclo)))</f>
        <v/>
      </c>
      <c r="P266" s="68">
        <f>IF(OR($O266="",$O266&lt;&gt;MesCiclo),"",COUNTIF($O$5:$O266,MesCiclo))</f>
        <v/>
      </c>
    </row>
    <row r="267">
      <c r="A267" s="60">
        <f>IF(NOT((COUNTA($B267:$J267)+COUNTA($M267))&gt;0),"",COUNTIFS($L$5:$L267,"?*",$O$5:$O267,$O267))</f>
        <v/>
      </c>
      <c r="B267" s="61" t="n"/>
      <c r="C267" s="61" t="n"/>
      <c r="D267" s="62" t="n"/>
      <c r="E267" s="62" t="n"/>
      <c r="F267" s="63" t="n"/>
      <c r="G267" s="64" t="n"/>
      <c r="H267" s="64" t="n"/>
      <c r="I267" s="64" t="n"/>
      <c r="J267" s="64" t="n"/>
      <c r="K267" s="65">
        <f>IF(NOT((COUNTA($B267:$J267)+COUNTA($M267))&gt;0),"",IFERROR(LOOKUP(2,1/(G267:J267&lt;&gt;""),G267:J267),0))</f>
        <v/>
      </c>
      <c r="L267" s="60">
        <f>IF(K267="","",IF(K267&gt;=1,"Completado",IF(K267&gt;0,"En curso","Pendiente")))</f>
        <v/>
      </c>
      <c r="M267" s="61" t="n"/>
      <c r="N267" s="66">
        <f>IF(NOT((COUNTA($B267:$J267)+COUNTA($M267))&gt;0),"",IF((IF(B267="","Macroactividad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 OK","⚠ "&amp;LEFT(IF(B267="","Macroactividad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",""),LEN(IF(B267="","Macroactividad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",""))-3)))</f>
        <v/>
      </c>
      <c r="O267" s="67">
        <f>IF(NOT((COUNTA($B267:$J267)+COUNTA($M267))&gt;0),"",IF(ISNUMBER($D267),DATE(YEAR($D267),MONTH($D267),1),IF(ISNUMBER($E267),DATE(YEAR($E267),MONTH($E267),1),MesCiclo)))</f>
        <v/>
      </c>
      <c r="P267" s="68">
        <f>IF(OR($O267="",$O267&lt;&gt;MesCiclo),"",COUNTIF($O$5:$O267,MesCiclo))</f>
        <v/>
      </c>
    </row>
    <row r="268">
      <c r="A268" s="60">
        <f>IF(NOT((COUNTA($B268:$J268)+COUNTA($M268))&gt;0),"",COUNTIFS($L$5:$L268,"?*",$O$5:$O268,$O268))</f>
        <v/>
      </c>
      <c r="B268" s="61" t="n"/>
      <c r="C268" s="61" t="n"/>
      <c r="D268" s="62" t="n"/>
      <c r="E268" s="62" t="n"/>
      <c r="F268" s="63" t="n"/>
      <c r="G268" s="64" t="n"/>
      <c r="H268" s="64" t="n"/>
      <c r="I268" s="64" t="n"/>
      <c r="J268" s="64" t="n"/>
      <c r="K268" s="65">
        <f>IF(NOT((COUNTA($B268:$J268)+COUNTA($M268))&gt;0),"",IFERROR(LOOKUP(2,1/(G268:J268&lt;&gt;""),G268:J268),0))</f>
        <v/>
      </c>
      <c r="L268" s="60">
        <f>IF(K268="","",IF(K268&gt;=1,"Completado",IF(K268&gt;0,"En curso","Pendiente")))</f>
        <v/>
      </c>
      <c r="M268" s="61" t="n"/>
      <c r="N268" s="66">
        <f>IF(NOT((COUNTA($B268:$J268)+COUNTA($M268))&gt;0),"",IF((IF(B268="","Macroactividad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 OK","⚠ "&amp;LEFT(IF(B268="","Macroactividad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",""),LEN(IF(B268="","Macroactividad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",""))-3)))</f>
        <v/>
      </c>
      <c r="O268" s="67">
        <f>IF(NOT((COUNTA($B268:$J268)+COUNTA($M268))&gt;0),"",IF(ISNUMBER($D268),DATE(YEAR($D268),MONTH($D268),1),IF(ISNUMBER($E268),DATE(YEAR($E268),MONTH($E268),1),MesCiclo)))</f>
        <v/>
      </c>
      <c r="P268" s="68">
        <f>IF(OR($O268="",$O268&lt;&gt;MesCiclo),"",COUNTIF($O$5:$O268,MesCiclo))</f>
        <v/>
      </c>
    </row>
    <row r="269">
      <c r="A269" s="60">
        <f>IF(NOT((COUNTA($B269:$J269)+COUNTA($M269))&gt;0),"",COUNTIFS($L$5:$L269,"?*",$O$5:$O269,$O269))</f>
        <v/>
      </c>
      <c r="B269" s="61" t="n"/>
      <c r="C269" s="61" t="n"/>
      <c r="D269" s="62" t="n"/>
      <c r="E269" s="62" t="n"/>
      <c r="F269" s="63" t="n"/>
      <c r="G269" s="64" t="n"/>
      <c r="H269" s="64" t="n"/>
      <c r="I269" s="64" t="n"/>
      <c r="J269" s="64" t="n"/>
      <c r="K269" s="65">
        <f>IF(NOT((COUNTA($B269:$J269)+COUNTA($M269))&gt;0),"",IFERROR(LOOKUP(2,1/(G269:J269&lt;&gt;""),G269:J269),0))</f>
        <v/>
      </c>
      <c r="L269" s="60">
        <f>IF(K269="","",IF(K269&gt;=1,"Completado",IF(K269&gt;0,"En curso","Pendiente")))</f>
        <v/>
      </c>
      <c r="M269" s="61" t="n"/>
      <c r="N269" s="66">
        <f>IF(NOT((COUNTA($B269:$J269)+COUNTA($M269))&gt;0),"",IF((IF(B269="","Macroactividad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 OK","⚠ "&amp;LEFT(IF(B269="","Macroactividad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",""),LEN(IF(B269="","Macroactividad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",""))-3)))</f>
        <v/>
      </c>
      <c r="O269" s="67">
        <f>IF(NOT((COUNTA($B269:$J269)+COUNTA($M269))&gt;0),"",IF(ISNUMBER($D269),DATE(YEAR($D269),MONTH($D269),1),IF(ISNUMBER($E269),DATE(YEAR($E269),MONTH($E269),1),MesCiclo)))</f>
        <v/>
      </c>
      <c r="P269" s="68">
        <f>IF(OR($O269="",$O269&lt;&gt;MesCiclo),"",COUNTIF($O$5:$O269,MesCiclo))</f>
        <v/>
      </c>
    </row>
    <row r="270">
      <c r="A270" s="60">
        <f>IF(NOT((COUNTA($B270:$J270)+COUNTA($M270))&gt;0),"",COUNTIFS($L$5:$L270,"?*",$O$5:$O270,$O270))</f>
        <v/>
      </c>
      <c r="B270" s="61" t="n"/>
      <c r="C270" s="61" t="n"/>
      <c r="D270" s="62" t="n"/>
      <c r="E270" s="62" t="n"/>
      <c r="F270" s="63" t="n"/>
      <c r="G270" s="64" t="n"/>
      <c r="H270" s="64" t="n"/>
      <c r="I270" s="64" t="n"/>
      <c r="J270" s="64" t="n"/>
      <c r="K270" s="65">
        <f>IF(NOT((COUNTA($B270:$J270)+COUNTA($M270))&gt;0),"",IFERROR(LOOKUP(2,1/(G270:J270&lt;&gt;""),G270:J270),0))</f>
        <v/>
      </c>
      <c r="L270" s="60">
        <f>IF(K270="","",IF(K270&gt;=1,"Completado",IF(K270&gt;0,"En curso","Pendiente")))</f>
        <v/>
      </c>
      <c r="M270" s="61" t="n"/>
      <c r="N270" s="66">
        <f>IF(NOT((COUNTA($B270:$J270)+COUNTA($M270))&gt;0),"",IF((IF(B270="","Macroactividad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 OK","⚠ "&amp;LEFT(IF(B270="","Macroactividad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",""),LEN(IF(B270="","Macroactividad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",""))-3)))</f>
        <v/>
      </c>
      <c r="O270" s="67">
        <f>IF(NOT((COUNTA($B270:$J270)+COUNTA($M270))&gt;0),"",IF(ISNUMBER($D270),DATE(YEAR($D270),MONTH($D270),1),IF(ISNUMBER($E270),DATE(YEAR($E270),MONTH($E270),1),MesCiclo)))</f>
        <v/>
      </c>
      <c r="P270" s="68">
        <f>IF(OR($O270="",$O270&lt;&gt;MesCiclo),"",COUNTIF($O$5:$O270,MesCiclo))</f>
        <v/>
      </c>
    </row>
    <row r="271">
      <c r="A271" s="60">
        <f>IF(NOT((COUNTA($B271:$J271)+COUNTA($M271))&gt;0),"",COUNTIFS($L$5:$L271,"?*",$O$5:$O271,$O271))</f>
        <v/>
      </c>
      <c r="B271" s="61" t="n"/>
      <c r="C271" s="61" t="n"/>
      <c r="D271" s="62" t="n"/>
      <c r="E271" s="62" t="n"/>
      <c r="F271" s="63" t="n"/>
      <c r="G271" s="64" t="n"/>
      <c r="H271" s="64" t="n"/>
      <c r="I271" s="64" t="n"/>
      <c r="J271" s="64" t="n"/>
      <c r="K271" s="65">
        <f>IF(NOT((COUNTA($B271:$J271)+COUNTA($M271))&gt;0),"",IFERROR(LOOKUP(2,1/(G271:J271&lt;&gt;""),G271:J271),0))</f>
        <v/>
      </c>
      <c r="L271" s="60">
        <f>IF(K271="","",IF(K271&gt;=1,"Completado",IF(K271&gt;0,"En curso","Pendiente")))</f>
        <v/>
      </c>
      <c r="M271" s="61" t="n"/>
      <c r="N271" s="66">
        <f>IF(NOT((COUNTA($B271:$J271)+COUNTA($M271))&gt;0),"",IF((IF(B271="","Macroactividad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 OK","⚠ "&amp;LEFT(IF(B271="","Macroactividad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",""),LEN(IF(B271="","Macroactividad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",""))-3)))</f>
        <v/>
      </c>
      <c r="O271" s="67">
        <f>IF(NOT((COUNTA($B271:$J271)+COUNTA($M271))&gt;0),"",IF(ISNUMBER($D271),DATE(YEAR($D271),MONTH($D271),1),IF(ISNUMBER($E271),DATE(YEAR($E271),MONTH($E271),1),MesCiclo)))</f>
        <v/>
      </c>
      <c r="P271" s="68">
        <f>IF(OR($O271="",$O271&lt;&gt;MesCiclo),"",COUNTIF($O$5:$O271,MesCiclo))</f>
        <v/>
      </c>
    </row>
    <row r="272">
      <c r="A272" s="60">
        <f>IF(NOT((COUNTA($B272:$J272)+COUNTA($M272))&gt;0),"",COUNTIFS($L$5:$L272,"?*",$O$5:$O272,$O272))</f>
        <v/>
      </c>
      <c r="B272" s="61" t="n"/>
      <c r="C272" s="61" t="n"/>
      <c r="D272" s="62" t="n"/>
      <c r="E272" s="62" t="n"/>
      <c r="F272" s="63" t="n"/>
      <c r="G272" s="64" t="n"/>
      <c r="H272" s="64" t="n"/>
      <c r="I272" s="64" t="n"/>
      <c r="J272" s="64" t="n"/>
      <c r="K272" s="65">
        <f>IF(NOT((COUNTA($B272:$J272)+COUNTA($M272))&gt;0),"",IFERROR(LOOKUP(2,1/(G272:J272&lt;&gt;""),G272:J272),0))</f>
        <v/>
      </c>
      <c r="L272" s="60">
        <f>IF(K272="","",IF(K272&gt;=1,"Completado",IF(K272&gt;0,"En curso","Pendiente")))</f>
        <v/>
      </c>
      <c r="M272" s="61" t="n"/>
      <c r="N272" s="66">
        <f>IF(NOT((COUNTA($B272:$J272)+COUNTA($M272))&gt;0),"",IF((IF(B272="","Macroactividad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 OK","⚠ "&amp;LEFT(IF(B272="","Macroactividad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",""),LEN(IF(B272="","Macroactividad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",""))-3)))</f>
        <v/>
      </c>
      <c r="O272" s="67">
        <f>IF(NOT((COUNTA($B272:$J272)+COUNTA($M272))&gt;0),"",IF(ISNUMBER($D272),DATE(YEAR($D272),MONTH($D272),1),IF(ISNUMBER($E272),DATE(YEAR($E272),MONTH($E272),1),MesCiclo)))</f>
        <v/>
      </c>
      <c r="P272" s="68">
        <f>IF(OR($O272="",$O272&lt;&gt;MesCiclo),"",COUNTIF($O$5:$O272,MesCiclo))</f>
        <v/>
      </c>
    </row>
    <row r="273">
      <c r="A273" s="60">
        <f>IF(NOT((COUNTA($B273:$J273)+COUNTA($M273))&gt;0),"",COUNTIFS($L$5:$L273,"?*",$O$5:$O273,$O273))</f>
        <v/>
      </c>
      <c r="B273" s="61" t="n"/>
      <c r="C273" s="61" t="n"/>
      <c r="D273" s="62" t="n"/>
      <c r="E273" s="62" t="n"/>
      <c r="F273" s="63" t="n"/>
      <c r="G273" s="64" t="n"/>
      <c r="H273" s="64" t="n"/>
      <c r="I273" s="64" t="n"/>
      <c r="J273" s="64" t="n"/>
      <c r="K273" s="65">
        <f>IF(NOT((COUNTA($B273:$J273)+COUNTA($M273))&gt;0),"",IFERROR(LOOKUP(2,1/(G273:J273&lt;&gt;""),G273:J273),0))</f>
        <v/>
      </c>
      <c r="L273" s="60">
        <f>IF(K273="","",IF(K273&gt;=1,"Completado",IF(K273&gt;0,"En curso","Pendiente")))</f>
        <v/>
      </c>
      <c r="M273" s="61" t="n"/>
      <c r="N273" s="66">
        <f>IF(NOT((COUNTA($B273:$J273)+COUNTA($M273))&gt;0),"",IF((IF(B273="","Macroactividad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 OK","⚠ "&amp;LEFT(IF(B273="","Macroactividad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",""),LEN(IF(B273="","Macroactividad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",""))-3)))</f>
        <v/>
      </c>
      <c r="O273" s="67">
        <f>IF(NOT((COUNTA($B273:$J273)+COUNTA($M273))&gt;0),"",IF(ISNUMBER($D273),DATE(YEAR($D273),MONTH($D273),1),IF(ISNUMBER($E273),DATE(YEAR($E273),MONTH($E273),1),MesCiclo)))</f>
        <v/>
      </c>
      <c r="P273" s="68">
        <f>IF(OR($O273="",$O273&lt;&gt;MesCiclo),"",COUNTIF($O$5:$O273,MesCiclo))</f>
        <v/>
      </c>
    </row>
    <row r="274">
      <c r="A274" s="60">
        <f>IF(NOT((COUNTA($B274:$J274)+COUNTA($M274))&gt;0),"",COUNTIFS($L$5:$L274,"?*",$O$5:$O274,$O274))</f>
        <v/>
      </c>
      <c r="B274" s="61" t="n"/>
      <c r="C274" s="61" t="n"/>
      <c r="D274" s="62" t="n"/>
      <c r="E274" s="62" t="n"/>
      <c r="F274" s="63" t="n"/>
      <c r="G274" s="64" t="n"/>
      <c r="H274" s="64" t="n"/>
      <c r="I274" s="64" t="n"/>
      <c r="J274" s="64" t="n"/>
      <c r="K274" s="65">
        <f>IF(NOT((COUNTA($B274:$J274)+COUNTA($M274))&gt;0),"",IFERROR(LOOKUP(2,1/(G274:J274&lt;&gt;""),G274:J274),0))</f>
        <v/>
      </c>
      <c r="L274" s="60">
        <f>IF(K274="","",IF(K274&gt;=1,"Completado",IF(K274&gt;0,"En curso","Pendiente")))</f>
        <v/>
      </c>
      <c r="M274" s="61" t="n"/>
      <c r="N274" s="66">
        <f>IF(NOT((COUNTA($B274:$J274)+COUNTA($M274))&gt;0),"",IF((IF(B274="","Macroactividad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 OK","⚠ "&amp;LEFT(IF(B274="","Macroactividad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",""),LEN(IF(B274="","Macroactividad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",""))-3)))</f>
        <v/>
      </c>
      <c r="O274" s="67">
        <f>IF(NOT((COUNTA($B274:$J274)+COUNTA($M274))&gt;0),"",IF(ISNUMBER($D274),DATE(YEAR($D274),MONTH($D274),1),IF(ISNUMBER($E274),DATE(YEAR($E274),MONTH($E274),1),MesCiclo)))</f>
        <v/>
      </c>
      <c r="P274" s="68">
        <f>IF(OR($O274="",$O274&lt;&gt;MesCiclo),"",COUNTIF($O$5:$O274,MesCiclo))</f>
        <v/>
      </c>
    </row>
    <row r="275">
      <c r="A275" s="60">
        <f>IF(NOT((COUNTA($B275:$J275)+COUNTA($M275))&gt;0),"",COUNTIFS($L$5:$L275,"?*",$O$5:$O275,$O275))</f>
        <v/>
      </c>
      <c r="B275" s="61" t="n"/>
      <c r="C275" s="61" t="n"/>
      <c r="D275" s="62" t="n"/>
      <c r="E275" s="62" t="n"/>
      <c r="F275" s="63" t="n"/>
      <c r="G275" s="64" t="n"/>
      <c r="H275" s="64" t="n"/>
      <c r="I275" s="64" t="n"/>
      <c r="J275" s="64" t="n"/>
      <c r="K275" s="65">
        <f>IF(NOT((COUNTA($B275:$J275)+COUNTA($M275))&gt;0),"",IFERROR(LOOKUP(2,1/(G275:J275&lt;&gt;""),G275:J275),0))</f>
        <v/>
      </c>
      <c r="L275" s="60">
        <f>IF(K275="","",IF(K275&gt;=1,"Completado",IF(K275&gt;0,"En curso","Pendiente")))</f>
        <v/>
      </c>
      <c r="M275" s="61" t="n"/>
      <c r="N275" s="66">
        <f>IF(NOT((COUNTA($B275:$J275)+COUNTA($M275))&gt;0),"",IF((IF(B275="","Macroactividad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 OK","⚠ "&amp;LEFT(IF(B275="","Macroactividad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",""),LEN(IF(B275="","Macroactividad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",""))-3)))</f>
        <v/>
      </c>
      <c r="O275" s="67">
        <f>IF(NOT((COUNTA($B275:$J275)+COUNTA($M275))&gt;0),"",IF(ISNUMBER($D275),DATE(YEAR($D275),MONTH($D275),1),IF(ISNUMBER($E275),DATE(YEAR($E275),MONTH($E275),1),MesCiclo)))</f>
        <v/>
      </c>
      <c r="P275" s="68">
        <f>IF(OR($O275="",$O275&lt;&gt;MesCiclo),"",COUNTIF($O$5:$O275,MesCiclo))</f>
        <v/>
      </c>
    </row>
    <row r="276">
      <c r="A276" s="60">
        <f>IF(NOT((COUNTA($B276:$J276)+COUNTA($M276))&gt;0),"",COUNTIFS($L$5:$L276,"?*",$O$5:$O276,$O276))</f>
        <v/>
      </c>
      <c r="B276" s="61" t="n"/>
      <c r="C276" s="61" t="n"/>
      <c r="D276" s="62" t="n"/>
      <c r="E276" s="62" t="n"/>
      <c r="F276" s="63" t="n"/>
      <c r="G276" s="64" t="n"/>
      <c r="H276" s="64" t="n"/>
      <c r="I276" s="64" t="n"/>
      <c r="J276" s="64" t="n"/>
      <c r="K276" s="65">
        <f>IF(NOT((COUNTA($B276:$J276)+COUNTA($M276))&gt;0),"",IFERROR(LOOKUP(2,1/(G276:J276&lt;&gt;""),G276:J276),0))</f>
        <v/>
      </c>
      <c r="L276" s="60">
        <f>IF(K276="","",IF(K276&gt;=1,"Completado",IF(K276&gt;0,"En curso","Pendiente")))</f>
        <v/>
      </c>
      <c r="M276" s="61" t="n"/>
      <c r="N276" s="66">
        <f>IF(NOT((COUNTA($B276:$J276)+COUNTA($M276))&gt;0),"",IF((IF(B276="","Macroactividad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 OK","⚠ "&amp;LEFT(IF(B276="","Macroactividad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",""),LEN(IF(B276="","Macroactividad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",""))-3)))</f>
        <v/>
      </c>
      <c r="O276" s="67">
        <f>IF(NOT((COUNTA($B276:$J276)+COUNTA($M276))&gt;0),"",IF(ISNUMBER($D276),DATE(YEAR($D276),MONTH($D276),1),IF(ISNUMBER($E276),DATE(YEAR($E276),MONTH($E276),1),MesCiclo)))</f>
        <v/>
      </c>
      <c r="P276" s="68">
        <f>IF(OR($O276="",$O276&lt;&gt;MesCiclo),"",COUNTIF($O$5:$O276,MesCiclo))</f>
        <v/>
      </c>
    </row>
    <row r="277">
      <c r="A277" s="60">
        <f>IF(NOT((COUNTA($B277:$J277)+COUNTA($M277))&gt;0),"",COUNTIFS($L$5:$L277,"?*",$O$5:$O277,$O277))</f>
        <v/>
      </c>
      <c r="B277" s="61" t="n"/>
      <c r="C277" s="61" t="n"/>
      <c r="D277" s="62" t="n"/>
      <c r="E277" s="62" t="n"/>
      <c r="F277" s="63" t="n"/>
      <c r="G277" s="64" t="n"/>
      <c r="H277" s="64" t="n"/>
      <c r="I277" s="64" t="n"/>
      <c r="J277" s="64" t="n"/>
      <c r="K277" s="65">
        <f>IF(NOT((COUNTA($B277:$J277)+COUNTA($M277))&gt;0),"",IFERROR(LOOKUP(2,1/(G277:J277&lt;&gt;""),G277:J277),0))</f>
        <v/>
      </c>
      <c r="L277" s="60">
        <f>IF(K277="","",IF(K277&gt;=1,"Completado",IF(K277&gt;0,"En curso","Pendiente")))</f>
        <v/>
      </c>
      <c r="M277" s="61" t="n"/>
      <c r="N277" s="66">
        <f>IF(NOT((COUNTA($B277:$J277)+COUNTA($M277))&gt;0),"",IF((IF(B277="","Macroactividad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 OK","⚠ "&amp;LEFT(IF(B277="","Macroactividad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",""),LEN(IF(B277="","Macroactividad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",""))-3)))</f>
        <v/>
      </c>
      <c r="O277" s="67">
        <f>IF(NOT((COUNTA($B277:$J277)+COUNTA($M277))&gt;0),"",IF(ISNUMBER($D277),DATE(YEAR($D277),MONTH($D277),1),IF(ISNUMBER($E277),DATE(YEAR($E277),MONTH($E277),1),MesCiclo)))</f>
        <v/>
      </c>
      <c r="P277" s="68">
        <f>IF(OR($O277="",$O277&lt;&gt;MesCiclo),"",COUNTIF($O$5:$O277,MesCiclo))</f>
        <v/>
      </c>
    </row>
    <row r="278">
      <c r="A278" s="60">
        <f>IF(NOT((COUNTA($B278:$J278)+COUNTA($M278))&gt;0),"",COUNTIFS($L$5:$L278,"?*",$O$5:$O278,$O278))</f>
        <v/>
      </c>
      <c r="B278" s="61" t="n"/>
      <c r="C278" s="61" t="n"/>
      <c r="D278" s="62" t="n"/>
      <c r="E278" s="62" t="n"/>
      <c r="F278" s="63" t="n"/>
      <c r="G278" s="64" t="n"/>
      <c r="H278" s="64" t="n"/>
      <c r="I278" s="64" t="n"/>
      <c r="J278" s="64" t="n"/>
      <c r="K278" s="65">
        <f>IF(NOT((COUNTA($B278:$J278)+COUNTA($M278))&gt;0),"",IFERROR(LOOKUP(2,1/(G278:J278&lt;&gt;""),G278:J278),0))</f>
        <v/>
      </c>
      <c r="L278" s="60">
        <f>IF(K278="","",IF(K278&gt;=1,"Completado",IF(K278&gt;0,"En curso","Pendiente")))</f>
        <v/>
      </c>
      <c r="M278" s="61" t="n"/>
      <c r="N278" s="66">
        <f>IF(NOT((COUNTA($B278:$J278)+COUNTA($M278))&gt;0),"",IF((IF(B278="","Macroactividad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 OK","⚠ "&amp;LEFT(IF(B278="","Macroactividad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",""),LEN(IF(B278="","Macroactividad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",""))-3)))</f>
        <v/>
      </c>
      <c r="O278" s="67">
        <f>IF(NOT((COUNTA($B278:$J278)+COUNTA($M278))&gt;0),"",IF(ISNUMBER($D278),DATE(YEAR($D278),MONTH($D278),1),IF(ISNUMBER($E278),DATE(YEAR($E278),MONTH($E278),1),MesCiclo)))</f>
        <v/>
      </c>
      <c r="P278" s="68">
        <f>IF(OR($O278="",$O278&lt;&gt;MesCiclo),"",COUNTIF($O$5:$O278,MesCiclo))</f>
        <v/>
      </c>
    </row>
    <row r="279">
      <c r="A279" s="60">
        <f>IF(NOT((COUNTA($B279:$J279)+COUNTA($M279))&gt;0),"",COUNTIFS($L$5:$L279,"?*",$O$5:$O279,$O279))</f>
        <v/>
      </c>
      <c r="B279" s="61" t="n"/>
      <c r="C279" s="61" t="n"/>
      <c r="D279" s="62" t="n"/>
      <c r="E279" s="62" t="n"/>
      <c r="F279" s="63" t="n"/>
      <c r="G279" s="64" t="n"/>
      <c r="H279" s="64" t="n"/>
      <c r="I279" s="64" t="n"/>
      <c r="J279" s="64" t="n"/>
      <c r="K279" s="65">
        <f>IF(NOT((COUNTA($B279:$J279)+COUNTA($M279))&gt;0),"",IFERROR(LOOKUP(2,1/(G279:J279&lt;&gt;""),G279:J279),0))</f>
        <v/>
      </c>
      <c r="L279" s="60">
        <f>IF(K279="","",IF(K279&gt;=1,"Completado",IF(K279&gt;0,"En curso","Pendiente")))</f>
        <v/>
      </c>
      <c r="M279" s="61" t="n"/>
      <c r="N279" s="66">
        <f>IF(NOT((COUNTA($B279:$J279)+COUNTA($M279))&gt;0),"",IF((IF(B279="","Macroactividad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 OK","⚠ "&amp;LEFT(IF(B279="","Macroactividad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",""),LEN(IF(B279="","Macroactividad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",""))-3)))</f>
        <v/>
      </c>
      <c r="O279" s="67">
        <f>IF(NOT((COUNTA($B279:$J279)+COUNTA($M279))&gt;0),"",IF(ISNUMBER($D279),DATE(YEAR($D279),MONTH($D279),1),IF(ISNUMBER($E279),DATE(YEAR($E279),MONTH($E279),1),MesCiclo)))</f>
        <v/>
      </c>
      <c r="P279" s="68">
        <f>IF(OR($O279="",$O279&lt;&gt;MesCiclo),"",COUNTIF($O$5:$O279,MesCiclo))</f>
        <v/>
      </c>
    </row>
    <row r="280">
      <c r="A280" s="60">
        <f>IF(NOT((COUNTA($B280:$J280)+COUNTA($M280))&gt;0),"",COUNTIFS($L$5:$L280,"?*",$O$5:$O280,$O280))</f>
        <v/>
      </c>
      <c r="B280" s="61" t="n"/>
      <c r="C280" s="61" t="n"/>
      <c r="D280" s="62" t="n"/>
      <c r="E280" s="62" t="n"/>
      <c r="F280" s="63" t="n"/>
      <c r="G280" s="64" t="n"/>
      <c r="H280" s="64" t="n"/>
      <c r="I280" s="64" t="n"/>
      <c r="J280" s="64" t="n"/>
      <c r="K280" s="65">
        <f>IF(NOT((COUNTA($B280:$J280)+COUNTA($M280))&gt;0),"",IFERROR(LOOKUP(2,1/(G280:J280&lt;&gt;""),G280:J280),0))</f>
        <v/>
      </c>
      <c r="L280" s="60">
        <f>IF(K280="","",IF(K280&gt;=1,"Completado",IF(K280&gt;0,"En curso","Pendiente")))</f>
        <v/>
      </c>
      <c r="M280" s="61" t="n"/>
      <c r="N280" s="66">
        <f>IF(NOT((COUNTA($B280:$J280)+COUNTA($M280))&gt;0),"",IF((IF(B280="","Macroactividad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 OK","⚠ "&amp;LEFT(IF(B280="","Macroactividad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",""),LEN(IF(B280="","Macroactividad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",""))-3)))</f>
        <v/>
      </c>
      <c r="O280" s="67">
        <f>IF(NOT((COUNTA($B280:$J280)+COUNTA($M280))&gt;0),"",IF(ISNUMBER($D280),DATE(YEAR($D280),MONTH($D280),1),IF(ISNUMBER($E280),DATE(YEAR($E280),MONTH($E280),1),MesCiclo)))</f>
        <v/>
      </c>
      <c r="P280" s="68">
        <f>IF(OR($O280="",$O280&lt;&gt;MesCiclo),"",COUNTIF($O$5:$O280,MesCiclo))</f>
        <v/>
      </c>
    </row>
    <row r="281">
      <c r="A281" s="60">
        <f>IF(NOT((COUNTA($B281:$J281)+COUNTA($M281))&gt;0),"",COUNTIFS($L$5:$L281,"?*",$O$5:$O281,$O281))</f>
        <v/>
      </c>
      <c r="B281" s="61" t="n"/>
      <c r="C281" s="61" t="n"/>
      <c r="D281" s="62" t="n"/>
      <c r="E281" s="62" t="n"/>
      <c r="F281" s="63" t="n"/>
      <c r="G281" s="64" t="n"/>
      <c r="H281" s="64" t="n"/>
      <c r="I281" s="64" t="n"/>
      <c r="J281" s="64" t="n"/>
      <c r="K281" s="65">
        <f>IF(NOT((COUNTA($B281:$J281)+COUNTA($M281))&gt;0),"",IFERROR(LOOKUP(2,1/(G281:J281&lt;&gt;""),G281:J281),0))</f>
        <v/>
      </c>
      <c r="L281" s="60">
        <f>IF(K281="","",IF(K281&gt;=1,"Completado",IF(K281&gt;0,"En curso","Pendiente")))</f>
        <v/>
      </c>
      <c r="M281" s="61" t="n"/>
      <c r="N281" s="66">
        <f>IF(NOT((COUNTA($B281:$J281)+COUNTA($M281))&gt;0),"",IF((IF(B281="","Macroactividad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 OK","⚠ "&amp;LEFT(IF(B281="","Macroactividad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",""),LEN(IF(B281="","Macroactividad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",""))-3)))</f>
        <v/>
      </c>
      <c r="O281" s="67">
        <f>IF(NOT((COUNTA($B281:$J281)+COUNTA($M281))&gt;0),"",IF(ISNUMBER($D281),DATE(YEAR($D281),MONTH($D281),1),IF(ISNUMBER($E281),DATE(YEAR($E281),MONTH($E281),1),MesCiclo)))</f>
        <v/>
      </c>
      <c r="P281" s="68">
        <f>IF(OR($O281="",$O281&lt;&gt;MesCiclo),"",COUNTIF($O$5:$O281,MesCiclo))</f>
        <v/>
      </c>
    </row>
    <row r="282">
      <c r="A282" s="60">
        <f>IF(NOT((COUNTA($B282:$J282)+COUNTA($M282))&gt;0),"",COUNTIFS($L$5:$L282,"?*",$O$5:$O282,$O282))</f>
        <v/>
      </c>
      <c r="B282" s="61" t="n"/>
      <c r="C282" s="61" t="n"/>
      <c r="D282" s="62" t="n"/>
      <c r="E282" s="62" t="n"/>
      <c r="F282" s="63" t="n"/>
      <c r="G282" s="64" t="n"/>
      <c r="H282" s="64" t="n"/>
      <c r="I282" s="64" t="n"/>
      <c r="J282" s="64" t="n"/>
      <c r="K282" s="65">
        <f>IF(NOT((COUNTA($B282:$J282)+COUNTA($M282))&gt;0),"",IFERROR(LOOKUP(2,1/(G282:J282&lt;&gt;""),G282:J282),0))</f>
        <v/>
      </c>
      <c r="L282" s="60">
        <f>IF(K282="","",IF(K282&gt;=1,"Completado",IF(K282&gt;0,"En curso","Pendiente")))</f>
        <v/>
      </c>
      <c r="M282" s="61" t="n"/>
      <c r="N282" s="66">
        <f>IF(NOT((COUNTA($B282:$J282)+COUNTA($M282))&gt;0),"",IF((IF(B282="","Macroactividad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 OK","⚠ "&amp;LEFT(IF(B282="","Macroactividad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",""),LEN(IF(B282="","Macroactividad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",""))-3)))</f>
        <v/>
      </c>
      <c r="O282" s="67">
        <f>IF(NOT((COUNTA($B282:$J282)+COUNTA($M282))&gt;0),"",IF(ISNUMBER($D282),DATE(YEAR($D282),MONTH($D282),1),IF(ISNUMBER($E282),DATE(YEAR($E282),MONTH($E282),1),MesCiclo)))</f>
        <v/>
      </c>
      <c r="P282" s="68">
        <f>IF(OR($O282="",$O282&lt;&gt;MesCiclo),"",COUNTIF($O$5:$O282,MesCiclo))</f>
        <v/>
      </c>
    </row>
    <row r="283">
      <c r="A283" s="60">
        <f>IF(NOT((COUNTA($B283:$J283)+COUNTA($M283))&gt;0),"",COUNTIFS($L$5:$L283,"?*",$O$5:$O283,$O283))</f>
        <v/>
      </c>
      <c r="B283" s="61" t="n"/>
      <c r="C283" s="61" t="n"/>
      <c r="D283" s="62" t="n"/>
      <c r="E283" s="62" t="n"/>
      <c r="F283" s="63" t="n"/>
      <c r="G283" s="64" t="n"/>
      <c r="H283" s="64" t="n"/>
      <c r="I283" s="64" t="n"/>
      <c r="J283" s="64" t="n"/>
      <c r="K283" s="65">
        <f>IF(NOT((COUNTA($B283:$J283)+COUNTA($M283))&gt;0),"",IFERROR(LOOKUP(2,1/(G283:J283&lt;&gt;""),G283:J283),0))</f>
        <v/>
      </c>
      <c r="L283" s="60">
        <f>IF(K283="","",IF(K283&gt;=1,"Completado",IF(K283&gt;0,"En curso","Pendiente")))</f>
        <v/>
      </c>
      <c r="M283" s="61" t="n"/>
      <c r="N283" s="66">
        <f>IF(NOT((COUNTA($B283:$J283)+COUNTA($M283))&gt;0),"",IF((IF(B283="","Macroactividad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 OK","⚠ "&amp;LEFT(IF(B283="","Macroactividad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",""),LEN(IF(B283="","Macroactividad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",""))-3)))</f>
        <v/>
      </c>
      <c r="O283" s="67">
        <f>IF(NOT((COUNTA($B283:$J283)+COUNTA($M283))&gt;0),"",IF(ISNUMBER($D283),DATE(YEAR($D283),MONTH($D283),1),IF(ISNUMBER($E283),DATE(YEAR($E283),MONTH($E283),1),MesCiclo)))</f>
        <v/>
      </c>
      <c r="P283" s="68">
        <f>IF(OR($O283="",$O283&lt;&gt;MesCiclo),"",COUNTIF($O$5:$O283,MesCiclo))</f>
        <v/>
      </c>
    </row>
    <row r="284">
      <c r="A284" s="60">
        <f>IF(NOT((COUNTA($B284:$J284)+COUNTA($M284))&gt;0),"",COUNTIFS($L$5:$L284,"?*",$O$5:$O284,$O284))</f>
        <v/>
      </c>
      <c r="B284" s="61" t="n"/>
      <c r="C284" s="61" t="n"/>
      <c r="D284" s="62" t="n"/>
      <c r="E284" s="62" t="n"/>
      <c r="F284" s="63" t="n"/>
      <c r="G284" s="64" t="n"/>
      <c r="H284" s="64" t="n"/>
      <c r="I284" s="64" t="n"/>
      <c r="J284" s="64" t="n"/>
      <c r="K284" s="65">
        <f>IF(NOT((COUNTA($B284:$J284)+COUNTA($M284))&gt;0),"",IFERROR(LOOKUP(2,1/(G284:J284&lt;&gt;""),G284:J284),0))</f>
        <v/>
      </c>
      <c r="L284" s="60">
        <f>IF(K284="","",IF(K284&gt;=1,"Completado",IF(K284&gt;0,"En curso","Pendiente")))</f>
        <v/>
      </c>
      <c r="M284" s="61" t="n"/>
      <c r="N284" s="66">
        <f>IF(NOT((COUNTA($B284:$J284)+COUNTA($M284))&gt;0),"",IF((IF(B284="","Macroactividad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 OK","⚠ "&amp;LEFT(IF(B284="","Macroactividad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",""),LEN(IF(B284="","Macroactividad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",""))-3)))</f>
        <v/>
      </c>
      <c r="O284" s="67">
        <f>IF(NOT((COUNTA($B284:$J284)+COUNTA($M284))&gt;0),"",IF(ISNUMBER($D284),DATE(YEAR($D284),MONTH($D284),1),IF(ISNUMBER($E284),DATE(YEAR($E284),MONTH($E284),1),MesCiclo)))</f>
        <v/>
      </c>
      <c r="P284" s="68">
        <f>IF(OR($O284="",$O284&lt;&gt;MesCiclo),"",COUNTIF($O$5:$O284,MesCiclo))</f>
        <v/>
      </c>
    </row>
    <row r="285">
      <c r="A285" s="60">
        <f>IF(NOT((COUNTA($B285:$J285)+COUNTA($M285))&gt;0),"",COUNTIFS($L$5:$L285,"?*",$O$5:$O285,$O285))</f>
        <v/>
      </c>
      <c r="B285" s="61" t="n"/>
      <c r="C285" s="61" t="n"/>
      <c r="D285" s="62" t="n"/>
      <c r="E285" s="62" t="n"/>
      <c r="F285" s="63" t="n"/>
      <c r="G285" s="64" t="n"/>
      <c r="H285" s="64" t="n"/>
      <c r="I285" s="64" t="n"/>
      <c r="J285" s="64" t="n"/>
      <c r="K285" s="65">
        <f>IF(NOT((COUNTA($B285:$J285)+COUNTA($M285))&gt;0),"",IFERROR(LOOKUP(2,1/(G285:J285&lt;&gt;""),G285:J285),0))</f>
        <v/>
      </c>
      <c r="L285" s="60">
        <f>IF(K285="","",IF(K285&gt;=1,"Completado",IF(K285&gt;0,"En curso","Pendiente")))</f>
        <v/>
      </c>
      <c r="M285" s="61" t="n"/>
      <c r="N285" s="66">
        <f>IF(NOT((COUNTA($B285:$J285)+COUNTA($M285))&gt;0),"",IF((IF(B285="","Macroactividad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 OK","⚠ "&amp;LEFT(IF(B285="","Macroactividad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",""),LEN(IF(B285="","Macroactividad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",""))-3)))</f>
        <v/>
      </c>
      <c r="O285" s="67">
        <f>IF(NOT((COUNTA($B285:$J285)+COUNTA($M285))&gt;0),"",IF(ISNUMBER($D285),DATE(YEAR($D285),MONTH($D285),1),IF(ISNUMBER($E285),DATE(YEAR($E285),MONTH($E285),1),MesCiclo)))</f>
        <v/>
      </c>
      <c r="P285" s="68">
        <f>IF(OR($O285="",$O285&lt;&gt;MesCiclo),"",COUNTIF($O$5:$O285,MesCiclo))</f>
        <v/>
      </c>
    </row>
    <row r="286">
      <c r="A286" s="60">
        <f>IF(NOT((COUNTA($B286:$J286)+COUNTA($M286))&gt;0),"",COUNTIFS($L$5:$L286,"?*",$O$5:$O286,$O286))</f>
        <v/>
      </c>
      <c r="B286" s="61" t="n"/>
      <c r="C286" s="61" t="n"/>
      <c r="D286" s="62" t="n"/>
      <c r="E286" s="62" t="n"/>
      <c r="F286" s="63" t="n"/>
      <c r="G286" s="64" t="n"/>
      <c r="H286" s="64" t="n"/>
      <c r="I286" s="64" t="n"/>
      <c r="J286" s="64" t="n"/>
      <c r="K286" s="65">
        <f>IF(NOT((COUNTA($B286:$J286)+COUNTA($M286))&gt;0),"",IFERROR(LOOKUP(2,1/(G286:J286&lt;&gt;""),G286:J286),0))</f>
        <v/>
      </c>
      <c r="L286" s="60">
        <f>IF(K286="","",IF(K286&gt;=1,"Completado",IF(K286&gt;0,"En curso","Pendiente")))</f>
        <v/>
      </c>
      <c r="M286" s="61" t="n"/>
      <c r="N286" s="66">
        <f>IF(NOT((COUNTA($B286:$J286)+COUNTA($M286))&gt;0),"",IF((IF(B286="","Macroactividad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 OK","⚠ "&amp;LEFT(IF(B286="","Macroactividad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",""),LEN(IF(B286="","Macroactividad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",""))-3)))</f>
        <v/>
      </c>
      <c r="O286" s="67">
        <f>IF(NOT((COUNTA($B286:$J286)+COUNTA($M286))&gt;0),"",IF(ISNUMBER($D286),DATE(YEAR($D286),MONTH($D286),1),IF(ISNUMBER($E286),DATE(YEAR($E286),MONTH($E286),1),MesCiclo)))</f>
        <v/>
      </c>
      <c r="P286" s="68">
        <f>IF(OR($O286="",$O286&lt;&gt;MesCiclo),"",COUNTIF($O$5:$O286,MesCiclo))</f>
        <v/>
      </c>
    </row>
    <row r="287">
      <c r="A287" s="60">
        <f>IF(NOT((COUNTA($B287:$J287)+COUNTA($M287))&gt;0),"",COUNTIFS($L$5:$L287,"?*",$O$5:$O287,$O287))</f>
        <v/>
      </c>
      <c r="B287" s="61" t="n"/>
      <c r="C287" s="61" t="n"/>
      <c r="D287" s="62" t="n"/>
      <c r="E287" s="62" t="n"/>
      <c r="F287" s="63" t="n"/>
      <c r="G287" s="64" t="n"/>
      <c r="H287" s="64" t="n"/>
      <c r="I287" s="64" t="n"/>
      <c r="J287" s="64" t="n"/>
      <c r="K287" s="65">
        <f>IF(NOT((COUNTA($B287:$J287)+COUNTA($M287))&gt;0),"",IFERROR(LOOKUP(2,1/(G287:J287&lt;&gt;""),G287:J287),0))</f>
        <v/>
      </c>
      <c r="L287" s="60">
        <f>IF(K287="","",IF(K287&gt;=1,"Completado",IF(K287&gt;0,"En curso","Pendiente")))</f>
        <v/>
      </c>
      <c r="M287" s="61" t="n"/>
      <c r="N287" s="66">
        <f>IF(NOT((COUNTA($B287:$J287)+COUNTA($M287))&gt;0),"",IF((IF(B287="","Macroactividad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 OK","⚠ "&amp;LEFT(IF(B287="","Macroactividad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",""),LEN(IF(B287="","Macroactividad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",""))-3)))</f>
        <v/>
      </c>
      <c r="O287" s="67">
        <f>IF(NOT((COUNTA($B287:$J287)+COUNTA($M287))&gt;0),"",IF(ISNUMBER($D287),DATE(YEAR($D287),MONTH($D287),1),IF(ISNUMBER($E287),DATE(YEAR($E287),MONTH($E287),1),MesCiclo)))</f>
        <v/>
      </c>
      <c r="P287" s="68">
        <f>IF(OR($O287="",$O287&lt;&gt;MesCiclo),"",COUNTIF($O$5:$O287,MesCiclo))</f>
        <v/>
      </c>
    </row>
    <row r="288">
      <c r="A288" s="60">
        <f>IF(NOT((COUNTA($B288:$J288)+COUNTA($M288))&gt;0),"",COUNTIFS($L$5:$L288,"?*",$O$5:$O288,$O288))</f>
        <v/>
      </c>
      <c r="B288" s="61" t="n"/>
      <c r="C288" s="61" t="n"/>
      <c r="D288" s="62" t="n"/>
      <c r="E288" s="62" t="n"/>
      <c r="F288" s="63" t="n"/>
      <c r="G288" s="64" t="n"/>
      <c r="H288" s="64" t="n"/>
      <c r="I288" s="64" t="n"/>
      <c r="J288" s="64" t="n"/>
      <c r="K288" s="65">
        <f>IF(NOT((COUNTA($B288:$J288)+COUNTA($M288))&gt;0),"",IFERROR(LOOKUP(2,1/(G288:J288&lt;&gt;""),G288:J288),0))</f>
        <v/>
      </c>
      <c r="L288" s="60">
        <f>IF(K288="","",IF(K288&gt;=1,"Completado",IF(K288&gt;0,"En curso","Pendiente")))</f>
        <v/>
      </c>
      <c r="M288" s="61" t="n"/>
      <c r="N288" s="66">
        <f>IF(NOT((COUNTA($B288:$J288)+COUNTA($M288))&gt;0),"",IF((IF(B288="","Macroactividad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 OK","⚠ "&amp;LEFT(IF(B288="","Macroactividad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",""),LEN(IF(B288="","Macroactividad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",""))-3)))</f>
        <v/>
      </c>
      <c r="O288" s="67">
        <f>IF(NOT((COUNTA($B288:$J288)+COUNTA($M288))&gt;0),"",IF(ISNUMBER($D288),DATE(YEAR($D288),MONTH($D288),1),IF(ISNUMBER($E288),DATE(YEAR($E288),MONTH($E288),1),MesCiclo)))</f>
        <v/>
      </c>
      <c r="P288" s="68">
        <f>IF(OR($O288="",$O288&lt;&gt;MesCiclo),"",COUNTIF($O$5:$O288,MesCiclo))</f>
        <v/>
      </c>
    </row>
    <row r="289">
      <c r="A289" s="60">
        <f>IF(NOT((COUNTA($B289:$J289)+COUNTA($M289))&gt;0),"",COUNTIFS($L$5:$L289,"?*",$O$5:$O289,$O289))</f>
        <v/>
      </c>
      <c r="B289" s="61" t="n"/>
      <c r="C289" s="61" t="n"/>
      <c r="D289" s="62" t="n"/>
      <c r="E289" s="62" t="n"/>
      <c r="F289" s="63" t="n"/>
      <c r="G289" s="64" t="n"/>
      <c r="H289" s="64" t="n"/>
      <c r="I289" s="64" t="n"/>
      <c r="J289" s="64" t="n"/>
      <c r="K289" s="65">
        <f>IF(NOT((COUNTA($B289:$J289)+COUNTA($M289))&gt;0),"",IFERROR(LOOKUP(2,1/(G289:J289&lt;&gt;""),G289:J289),0))</f>
        <v/>
      </c>
      <c r="L289" s="60">
        <f>IF(K289="","",IF(K289&gt;=1,"Completado",IF(K289&gt;0,"En curso","Pendiente")))</f>
        <v/>
      </c>
      <c r="M289" s="61" t="n"/>
      <c r="N289" s="66">
        <f>IF(NOT((COUNTA($B289:$J289)+COUNTA($M289))&gt;0),"",IF((IF(B289="","Macroactividad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 OK","⚠ "&amp;LEFT(IF(B289="","Macroactividad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",""),LEN(IF(B289="","Macroactividad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",""))-3)))</f>
        <v/>
      </c>
      <c r="O289" s="67">
        <f>IF(NOT((COUNTA($B289:$J289)+COUNTA($M289))&gt;0),"",IF(ISNUMBER($D289),DATE(YEAR($D289),MONTH($D289),1),IF(ISNUMBER($E289),DATE(YEAR($E289),MONTH($E289),1),MesCiclo)))</f>
        <v/>
      </c>
      <c r="P289" s="68">
        <f>IF(OR($O289="",$O289&lt;&gt;MesCiclo),"",COUNTIF($O$5:$O289,MesCiclo))</f>
        <v/>
      </c>
    </row>
    <row r="290">
      <c r="A290" s="60">
        <f>IF(NOT((COUNTA($B290:$J290)+COUNTA($M290))&gt;0),"",COUNTIFS($L$5:$L290,"?*",$O$5:$O290,$O290))</f>
        <v/>
      </c>
      <c r="B290" s="61" t="n"/>
      <c r="C290" s="61" t="n"/>
      <c r="D290" s="62" t="n"/>
      <c r="E290" s="62" t="n"/>
      <c r="F290" s="63" t="n"/>
      <c r="G290" s="64" t="n"/>
      <c r="H290" s="64" t="n"/>
      <c r="I290" s="64" t="n"/>
      <c r="J290" s="64" t="n"/>
      <c r="K290" s="65">
        <f>IF(NOT((COUNTA($B290:$J290)+COUNTA($M290))&gt;0),"",IFERROR(LOOKUP(2,1/(G290:J290&lt;&gt;""),G290:J290),0))</f>
        <v/>
      </c>
      <c r="L290" s="60">
        <f>IF(K290="","",IF(K290&gt;=1,"Completado",IF(K290&gt;0,"En curso","Pendiente")))</f>
        <v/>
      </c>
      <c r="M290" s="61" t="n"/>
      <c r="N290" s="66">
        <f>IF(NOT((COUNTA($B290:$J290)+COUNTA($M290))&gt;0),"",IF((IF(B290="","Macroactividad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 OK","⚠ "&amp;LEFT(IF(B290="","Macroactividad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",""),LEN(IF(B290="","Macroactividad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",""))-3)))</f>
        <v/>
      </c>
      <c r="O290" s="67">
        <f>IF(NOT((COUNTA($B290:$J290)+COUNTA($M290))&gt;0),"",IF(ISNUMBER($D290),DATE(YEAR($D290),MONTH($D290),1),IF(ISNUMBER($E290),DATE(YEAR($E290),MONTH($E290),1),MesCiclo)))</f>
        <v/>
      </c>
      <c r="P290" s="68">
        <f>IF(OR($O290="",$O290&lt;&gt;MesCiclo),"",COUNTIF($O$5:$O290,MesCiclo))</f>
        <v/>
      </c>
    </row>
    <row r="291">
      <c r="A291" s="60">
        <f>IF(NOT((COUNTA($B291:$J291)+COUNTA($M291))&gt;0),"",COUNTIFS($L$5:$L291,"?*",$O$5:$O291,$O291))</f>
        <v/>
      </c>
      <c r="B291" s="61" t="n"/>
      <c r="C291" s="61" t="n"/>
      <c r="D291" s="62" t="n"/>
      <c r="E291" s="62" t="n"/>
      <c r="F291" s="63" t="n"/>
      <c r="G291" s="64" t="n"/>
      <c r="H291" s="64" t="n"/>
      <c r="I291" s="64" t="n"/>
      <c r="J291" s="64" t="n"/>
      <c r="K291" s="65">
        <f>IF(NOT((COUNTA($B291:$J291)+COUNTA($M291))&gt;0),"",IFERROR(LOOKUP(2,1/(G291:J291&lt;&gt;""),G291:J291),0))</f>
        <v/>
      </c>
      <c r="L291" s="60">
        <f>IF(K291="","",IF(K291&gt;=1,"Completado",IF(K291&gt;0,"En curso","Pendiente")))</f>
        <v/>
      </c>
      <c r="M291" s="61" t="n"/>
      <c r="N291" s="66">
        <f>IF(NOT((COUNTA($B291:$J291)+COUNTA($M291))&gt;0),"",IF((IF(B291="","Macroactividad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 OK","⚠ "&amp;LEFT(IF(B291="","Macroactividad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",""),LEN(IF(B291="","Macroactividad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",""))-3)))</f>
        <v/>
      </c>
      <c r="O291" s="67">
        <f>IF(NOT((COUNTA($B291:$J291)+COUNTA($M291))&gt;0),"",IF(ISNUMBER($D291),DATE(YEAR($D291),MONTH($D291),1),IF(ISNUMBER($E291),DATE(YEAR($E291),MONTH($E291),1),MesCiclo)))</f>
        <v/>
      </c>
      <c r="P291" s="68">
        <f>IF(OR($O291="",$O291&lt;&gt;MesCiclo),"",COUNTIF($O$5:$O291,MesCiclo))</f>
        <v/>
      </c>
    </row>
    <row r="292">
      <c r="A292" s="60">
        <f>IF(NOT((COUNTA($B292:$J292)+COUNTA($M292))&gt;0),"",COUNTIFS($L$5:$L292,"?*",$O$5:$O292,$O292))</f>
        <v/>
      </c>
      <c r="B292" s="61" t="n"/>
      <c r="C292" s="61" t="n"/>
      <c r="D292" s="62" t="n"/>
      <c r="E292" s="62" t="n"/>
      <c r="F292" s="63" t="n"/>
      <c r="G292" s="64" t="n"/>
      <c r="H292" s="64" t="n"/>
      <c r="I292" s="64" t="n"/>
      <c r="J292" s="64" t="n"/>
      <c r="K292" s="65">
        <f>IF(NOT((COUNTA($B292:$J292)+COUNTA($M292))&gt;0),"",IFERROR(LOOKUP(2,1/(G292:J292&lt;&gt;""),G292:J292),0))</f>
        <v/>
      </c>
      <c r="L292" s="60">
        <f>IF(K292="","",IF(K292&gt;=1,"Completado",IF(K292&gt;0,"En curso","Pendiente")))</f>
        <v/>
      </c>
      <c r="M292" s="61" t="n"/>
      <c r="N292" s="66">
        <f>IF(NOT((COUNTA($B292:$J292)+COUNTA($M292))&gt;0),"",IF((IF(B292="","Macroactividad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 OK","⚠ "&amp;LEFT(IF(B292="","Macroactividad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",""),LEN(IF(B292="","Macroactividad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",""))-3)))</f>
        <v/>
      </c>
      <c r="O292" s="67">
        <f>IF(NOT((COUNTA($B292:$J292)+COUNTA($M292))&gt;0),"",IF(ISNUMBER($D292),DATE(YEAR($D292),MONTH($D292),1),IF(ISNUMBER($E292),DATE(YEAR($E292),MONTH($E292),1),MesCiclo)))</f>
        <v/>
      </c>
      <c r="P292" s="68">
        <f>IF(OR($O292="",$O292&lt;&gt;MesCiclo),"",COUNTIF($O$5:$O292,MesCiclo))</f>
        <v/>
      </c>
    </row>
    <row r="293">
      <c r="A293" s="60">
        <f>IF(NOT((COUNTA($B293:$J293)+COUNTA($M293))&gt;0),"",COUNTIFS($L$5:$L293,"?*",$O$5:$O293,$O293))</f>
        <v/>
      </c>
      <c r="B293" s="61" t="n"/>
      <c r="C293" s="61" t="n"/>
      <c r="D293" s="62" t="n"/>
      <c r="E293" s="62" t="n"/>
      <c r="F293" s="63" t="n"/>
      <c r="G293" s="64" t="n"/>
      <c r="H293" s="64" t="n"/>
      <c r="I293" s="64" t="n"/>
      <c r="J293" s="64" t="n"/>
      <c r="K293" s="65">
        <f>IF(NOT((COUNTA($B293:$J293)+COUNTA($M293))&gt;0),"",IFERROR(LOOKUP(2,1/(G293:J293&lt;&gt;""),G293:J293),0))</f>
        <v/>
      </c>
      <c r="L293" s="60">
        <f>IF(K293="","",IF(K293&gt;=1,"Completado",IF(K293&gt;0,"En curso","Pendiente")))</f>
        <v/>
      </c>
      <c r="M293" s="61" t="n"/>
      <c r="N293" s="66">
        <f>IF(NOT((COUNTA($B293:$J293)+COUNTA($M293))&gt;0),"",IF((IF(B293="","Macroactividad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 OK","⚠ "&amp;LEFT(IF(B293="","Macroactividad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",""),LEN(IF(B293="","Macroactividad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",""))-3)))</f>
        <v/>
      </c>
      <c r="O293" s="67">
        <f>IF(NOT((COUNTA($B293:$J293)+COUNTA($M293))&gt;0),"",IF(ISNUMBER($D293),DATE(YEAR($D293),MONTH($D293),1),IF(ISNUMBER($E293),DATE(YEAR($E293),MONTH($E293),1),MesCiclo)))</f>
        <v/>
      </c>
      <c r="P293" s="68">
        <f>IF(OR($O293="",$O293&lt;&gt;MesCiclo),"",COUNTIF($O$5:$O293,MesCiclo))</f>
        <v/>
      </c>
    </row>
    <row r="294">
      <c r="A294" s="60">
        <f>IF(NOT((COUNTA($B294:$J294)+COUNTA($M294))&gt;0),"",COUNTIFS($L$5:$L294,"?*",$O$5:$O294,$O294))</f>
        <v/>
      </c>
      <c r="B294" s="61" t="n"/>
      <c r="C294" s="61" t="n"/>
      <c r="D294" s="62" t="n"/>
      <c r="E294" s="62" t="n"/>
      <c r="F294" s="63" t="n"/>
      <c r="G294" s="64" t="n"/>
      <c r="H294" s="64" t="n"/>
      <c r="I294" s="64" t="n"/>
      <c r="J294" s="64" t="n"/>
      <c r="K294" s="65">
        <f>IF(NOT((COUNTA($B294:$J294)+COUNTA($M294))&gt;0),"",IFERROR(LOOKUP(2,1/(G294:J294&lt;&gt;""),G294:J294),0))</f>
        <v/>
      </c>
      <c r="L294" s="60">
        <f>IF(K294="","",IF(K294&gt;=1,"Completado",IF(K294&gt;0,"En curso","Pendiente")))</f>
        <v/>
      </c>
      <c r="M294" s="61" t="n"/>
      <c r="N294" s="66">
        <f>IF(NOT((COUNTA($B294:$J294)+COUNTA($M294))&gt;0),"",IF((IF(B294="","Macroactividad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 OK","⚠ "&amp;LEFT(IF(B294="","Macroactividad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",""),LEN(IF(B294="","Macroactividad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",""))-3)))</f>
        <v/>
      </c>
      <c r="O294" s="67">
        <f>IF(NOT((COUNTA($B294:$J294)+COUNTA($M294))&gt;0),"",IF(ISNUMBER($D294),DATE(YEAR($D294),MONTH($D294),1),IF(ISNUMBER($E294),DATE(YEAR($E294),MONTH($E294),1),MesCiclo)))</f>
        <v/>
      </c>
      <c r="P294" s="68">
        <f>IF(OR($O294="",$O294&lt;&gt;MesCiclo),"",COUNTIF($O$5:$O294,MesCiclo))</f>
        <v/>
      </c>
    </row>
    <row r="295">
      <c r="A295" s="60">
        <f>IF(NOT((COUNTA($B295:$J295)+COUNTA($M295))&gt;0),"",COUNTIFS($L$5:$L295,"?*",$O$5:$O295,$O295))</f>
        <v/>
      </c>
      <c r="B295" s="61" t="n"/>
      <c r="C295" s="61" t="n"/>
      <c r="D295" s="62" t="n"/>
      <c r="E295" s="62" t="n"/>
      <c r="F295" s="63" t="n"/>
      <c r="G295" s="64" t="n"/>
      <c r="H295" s="64" t="n"/>
      <c r="I295" s="64" t="n"/>
      <c r="J295" s="64" t="n"/>
      <c r="K295" s="65">
        <f>IF(NOT((COUNTA($B295:$J295)+COUNTA($M295))&gt;0),"",IFERROR(LOOKUP(2,1/(G295:J295&lt;&gt;""),G295:J295),0))</f>
        <v/>
      </c>
      <c r="L295" s="60">
        <f>IF(K295="","",IF(K295&gt;=1,"Completado",IF(K295&gt;0,"En curso","Pendiente")))</f>
        <v/>
      </c>
      <c r="M295" s="61" t="n"/>
      <c r="N295" s="66">
        <f>IF(NOT((COUNTA($B295:$J295)+COUNTA($M295))&gt;0),"",IF((IF(B295="","Macroactividad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 OK","⚠ "&amp;LEFT(IF(B295="","Macroactividad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",""),LEN(IF(B295="","Macroactividad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",""))-3)))</f>
        <v/>
      </c>
      <c r="O295" s="67">
        <f>IF(NOT((COUNTA($B295:$J295)+COUNTA($M295))&gt;0),"",IF(ISNUMBER($D295),DATE(YEAR($D295),MONTH($D295),1),IF(ISNUMBER($E295),DATE(YEAR($E295),MONTH($E295),1),MesCiclo)))</f>
        <v/>
      </c>
      <c r="P295" s="68">
        <f>IF(OR($O295="",$O295&lt;&gt;MesCiclo),"",COUNTIF($O$5:$O295,MesCiclo))</f>
        <v/>
      </c>
    </row>
    <row r="296">
      <c r="A296" s="60">
        <f>IF(NOT((COUNTA($B296:$J296)+COUNTA($M296))&gt;0),"",COUNTIFS($L$5:$L296,"?*",$O$5:$O296,$O296))</f>
        <v/>
      </c>
      <c r="B296" s="61" t="n"/>
      <c r="C296" s="61" t="n"/>
      <c r="D296" s="62" t="n"/>
      <c r="E296" s="62" t="n"/>
      <c r="F296" s="63" t="n"/>
      <c r="G296" s="64" t="n"/>
      <c r="H296" s="64" t="n"/>
      <c r="I296" s="64" t="n"/>
      <c r="J296" s="64" t="n"/>
      <c r="K296" s="65">
        <f>IF(NOT((COUNTA($B296:$J296)+COUNTA($M296))&gt;0),"",IFERROR(LOOKUP(2,1/(G296:J296&lt;&gt;""),G296:J296),0))</f>
        <v/>
      </c>
      <c r="L296" s="60">
        <f>IF(K296="","",IF(K296&gt;=1,"Completado",IF(K296&gt;0,"En curso","Pendiente")))</f>
        <v/>
      </c>
      <c r="M296" s="61" t="n"/>
      <c r="N296" s="66">
        <f>IF(NOT((COUNTA($B296:$J296)+COUNTA($M296))&gt;0),"",IF((IF(B296="","Macroactividad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 OK","⚠ "&amp;LEFT(IF(B296="","Macroactividad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",""),LEN(IF(B296="","Macroactividad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",""))-3)))</f>
        <v/>
      </c>
      <c r="O296" s="67">
        <f>IF(NOT((COUNTA($B296:$J296)+COUNTA($M296))&gt;0),"",IF(ISNUMBER($D296),DATE(YEAR($D296),MONTH($D296),1),IF(ISNUMBER($E296),DATE(YEAR($E296),MONTH($E296),1),MesCiclo)))</f>
        <v/>
      </c>
      <c r="P296" s="68">
        <f>IF(OR($O296="",$O296&lt;&gt;MesCiclo),"",COUNTIF($O$5:$O296,MesCiclo))</f>
        <v/>
      </c>
    </row>
    <row r="297">
      <c r="A297" s="60">
        <f>IF(NOT((COUNTA($B297:$J297)+COUNTA($M297))&gt;0),"",COUNTIFS($L$5:$L297,"?*",$O$5:$O297,$O297))</f>
        <v/>
      </c>
      <c r="B297" s="61" t="n"/>
      <c r="C297" s="61" t="n"/>
      <c r="D297" s="62" t="n"/>
      <c r="E297" s="62" t="n"/>
      <c r="F297" s="63" t="n"/>
      <c r="G297" s="64" t="n"/>
      <c r="H297" s="64" t="n"/>
      <c r="I297" s="64" t="n"/>
      <c r="J297" s="64" t="n"/>
      <c r="K297" s="65">
        <f>IF(NOT((COUNTA($B297:$J297)+COUNTA($M297))&gt;0),"",IFERROR(LOOKUP(2,1/(G297:J297&lt;&gt;""),G297:J297),0))</f>
        <v/>
      </c>
      <c r="L297" s="60">
        <f>IF(K297="","",IF(K297&gt;=1,"Completado",IF(K297&gt;0,"En curso","Pendiente")))</f>
        <v/>
      </c>
      <c r="M297" s="61" t="n"/>
      <c r="N297" s="66">
        <f>IF(NOT((COUNTA($B297:$J297)+COUNTA($M297))&gt;0),"",IF((IF(B297="","Macroactividad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 OK","⚠ "&amp;LEFT(IF(B297="","Macroactividad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",""),LEN(IF(B297="","Macroactividad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",""))-3)))</f>
        <v/>
      </c>
      <c r="O297" s="67">
        <f>IF(NOT((COUNTA($B297:$J297)+COUNTA($M297))&gt;0),"",IF(ISNUMBER($D297),DATE(YEAR($D297),MONTH($D297),1),IF(ISNUMBER($E297),DATE(YEAR($E297),MONTH($E297),1),MesCiclo)))</f>
        <v/>
      </c>
      <c r="P297" s="68">
        <f>IF(OR($O297="",$O297&lt;&gt;MesCiclo),"",COUNTIF($O$5:$O297,MesCiclo))</f>
        <v/>
      </c>
    </row>
    <row r="298">
      <c r="A298" s="60">
        <f>IF(NOT((COUNTA($B298:$J298)+COUNTA($M298))&gt;0),"",COUNTIFS($L$5:$L298,"?*",$O$5:$O298,$O298))</f>
        <v/>
      </c>
      <c r="B298" s="61" t="n"/>
      <c r="C298" s="61" t="n"/>
      <c r="D298" s="62" t="n"/>
      <c r="E298" s="62" t="n"/>
      <c r="F298" s="63" t="n"/>
      <c r="G298" s="64" t="n"/>
      <c r="H298" s="64" t="n"/>
      <c r="I298" s="64" t="n"/>
      <c r="J298" s="64" t="n"/>
      <c r="K298" s="65">
        <f>IF(NOT((COUNTA($B298:$J298)+COUNTA($M298))&gt;0),"",IFERROR(LOOKUP(2,1/(G298:J298&lt;&gt;""),G298:J298),0))</f>
        <v/>
      </c>
      <c r="L298" s="60">
        <f>IF(K298="","",IF(K298&gt;=1,"Completado",IF(K298&gt;0,"En curso","Pendiente")))</f>
        <v/>
      </c>
      <c r="M298" s="61" t="n"/>
      <c r="N298" s="66">
        <f>IF(NOT((COUNTA($B298:$J298)+COUNTA($M298))&gt;0),"",IF((IF(B298="","Macroactividad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 OK","⚠ "&amp;LEFT(IF(B298="","Macroactividad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",""),LEN(IF(B298="","Macroactividad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",""))-3)))</f>
        <v/>
      </c>
      <c r="O298" s="67">
        <f>IF(NOT((COUNTA($B298:$J298)+COUNTA($M298))&gt;0),"",IF(ISNUMBER($D298),DATE(YEAR($D298),MONTH($D298),1),IF(ISNUMBER($E298),DATE(YEAR($E298),MONTH($E298),1),MesCiclo)))</f>
        <v/>
      </c>
      <c r="P298" s="68">
        <f>IF(OR($O298="",$O298&lt;&gt;MesCiclo),"",COUNTIF($O$5:$O298,MesCiclo))</f>
        <v/>
      </c>
    </row>
    <row r="299">
      <c r="A299" s="60">
        <f>IF(NOT((COUNTA($B299:$J299)+COUNTA($M299))&gt;0),"",COUNTIFS($L$5:$L299,"?*",$O$5:$O299,$O299))</f>
        <v/>
      </c>
      <c r="B299" s="61" t="n"/>
      <c r="C299" s="61" t="n"/>
      <c r="D299" s="62" t="n"/>
      <c r="E299" s="62" t="n"/>
      <c r="F299" s="63" t="n"/>
      <c r="G299" s="64" t="n"/>
      <c r="H299" s="64" t="n"/>
      <c r="I299" s="64" t="n"/>
      <c r="J299" s="64" t="n"/>
      <c r="K299" s="65">
        <f>IF(NOT((COUNTA($B299:$J299)+COUNTA($M299))&gt;0),"",IFERROR(LOOKUP(2,1/(G299:J299&lt;&gt;""),G299:J299),0))</f>
        <v/>
      </c>
      <c r="L299" s="60">
        <f>IF(K299="","",IF(K299&gt;=1,"Completado",IF(K299&gt;0,"En curso","Pendiente")))</f>
        <v/>
      </c>
      <c r="M299" s="61" t="n"/>
      <c r="N299" s="66">
        <f>IF(NOT((COUNTA($B299:$J299)+COUNTA($M299))&gt;0),"",IF((IF(B299="","Macroactividad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 OK","⚠ "&amp;LEFT(IF(B299="","Macroactividad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",""),LEN(IF(B299="","Macroactividad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",""))-3)))</f>
        <v/>
      </c>
      <c r="O299" s="67">
        <f>IF(NOT((COUNTA($B299:$J299)+COUNTA($M299))&gt;0),"",IF(ISNUMBER($D299),DATE(YEAR($D299),MONTH($D299),1),IF(ISNUMBER($E299),DATE(YEAR($E299),MONTH($E299),1),MesCiclo)))</f>
        <v/>
      </c>
      <c r="P299" s="68">
        <f>IF(OR($O299="",$O299&lt;&gt;MesCiclo),"",COUNTIF($O$5:$O299,MesCiclo))</f>
        <v/>
      </c>
    </row>
    <row r="300">
      <c r="A300" s="60">
        <f>IF(NOT((COUNTA($B300:$J300)+COUNTA($M300))&gt;0),"",COUNTIFS($L$5:$L300,"?*",$O$5:$O300,$O300))</f>
        <v/>
      </c>
      <c r="B300" s="61" t="n"/>
      <c r="C300" s="61" t="n"/>
      <c r="D300" s="62" t="n"/>
      <c r="E300" s="62" t="n"/>
      <c r="F300" s="63" t="n"/>
      <c r="G300" s="64" t="n"/>
      <c r="H300" s="64" t="n"/>
      <c r="I300" s="64" t="n"/>
      <c r="J300" s="64" t="n"/>
      <c r="K300" s="65">
        <f>IF(NOT((COUNTA($B300:$J300)+COUNTA($M300))&gt;0),"",IFERROR(LOOKUP(2,1/(G300:J300&lt;&gt;""),G300:J300),0))</f>
        <v/>
      </c>
      <c r="L300" s="60">
        <f>IF(K300="","",IF(K300&gt;=1,"Completado",IF(K300&gt;0,"En curso","Pendiente")))</f>
        <v/>
      </c>
      <c r="M300" s="61" t="n"/>
      <c r="N300" s="66">
        <f>IF(NOT((COUNTA($B300:$J300)+COUNTA($M300))&gt;0),"",IF((IF(B300="","Macroactividad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 OK","⚠ "&amp;LEFT(IF(B300="","Macroactividad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",""),LEN(IF(B300="","Macroactividad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",""))-3)))</f>
        <v/>
      </c>
      <c r="O300" s="67">
        <f>IF(NOT((COUNTA($B300:$J300)+COUNTA($M300))&gt;0),"",IF(ISNUMBER($D300),DATE(YEAR($D300),MONTH($D300),1),IF(ISNUMBER($E300),DATE(YEAR($E300),MONTH($E300),1),MesCiclo)))</f>
        <v/>
      </c>
      <c r="P300" s="68">
        <f>IF(OR($O300="",$O300&lt;&gt;MesCiclo),"",COUNTIF($O$5:$O300,MesCiclo))</f>
        <v/>
      </c>
    </row>
    <row r="301">
      <c r="A301" s="60">
        <f>IF(NOT((COUNTA($B301:$J301)+COUNTA($M301))&gt;0),"",COUNTIFS($L$5:$L301,"?*",$O$5:$O301,$O301))</f>
        <v/>
      </c>
      <c r="B301" s="61" t="n"/>
      <c r="C301" s="61" t="n"/>
      <c r="D301" s="62" t="n"/>
      <c r="E301" s="62" t="n"/>
      <c r="F301" s="63" t="n"/>
      <c r="G301" s="64" t="n"/>
      <c r="H301" s="64" t="n"/>
      <c r="I301" s="64" t="n"/>
      <c r="J301" s="64" t="n"/>
      <c r="K301" s="65">
        <f>IF(NOT((COUNTA($B301:$J301)+COUNTA($M301))&gt;0),"",IFERROR(LOOKUP(2,1/(G301:J301&lt;&gt;""),G301:J301),0))</f>
        <v/>
      </c>
      <c r="L301" s="60">
        <f>IF(K301="","",IF(K301&gt;=1,"Completado",IF(K301&gt;0,"En curso","Pendiente")))</f>
        <v/>
      </c>
      <c r="M301" s="61" t="n"/>
      <c r="N301" s="66">
        <f>IF(NOT((COUNTA($B301:$J301)+COUNTA($M301))&gt;0),"",IF((IF(B301="","Macroactividad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 OK","⚠ "&amp;LEFT(IF(B301="","Macroactividad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",""),LEN(IF(B301="","Macroactividad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",""))-3)))</f>
        <v/>
      </c>
      <c r="O301" s="67">
        <f>IF(NOT((COUNTA($B301:$J301)+COUNTA($M301))&gt;0),"",IF(ISNUMBER($D301),DATE(YEAR($D301),MONTH($D301),1),IF(ISNUMBER($E301),DATE(YEAR($E301),MONTH($E301),1),MesCiclo)))</f>
        <v/>
      </c>
      <c r="P301" s="68">
        <f>IF(OR($O301="",$O301&lt;&gt;MesCiclo),"",COUNTIF($O$5:$O301,MesCiclo))</f>
        <v/>
      </c>
    </row>
    <row r="302">
      <c r="A302" s="60">
        <f>IF(NOT((COUNTA($B302:$J302)+COUNTA($M302))&gt;0),"",COUNTIFS($L$5:$L302,"?*",$O$5:$O302,$O302))</f>
        <v/>
      </c>
      <c r="B302" s="61" t="n"/>
      <c r="C302" s="61" t="n"/>
      <c r="D302" s="62" t="n"/>
      <c r="E302" s="62" t="n"/>
      <c r="F302" s="63" t="n"/>
      <c r="G302" s="64" t="n"/>
      <c r="H302" s="64" t="n"/>
      <c r="I302" s="64" t="n"/>
      <c r="J302" s="64" t="n"/>
      <c r="K302" s="65">
        <f>IF(NOT((COUNTA($B302:$J302)+COUNTA($M302))&gt;0),"",IFERROR(LOOKUP(2,1/(G302:J302&lt;&gt;""),G302:J302),0))</f>
        <v/>
      </c>
      <c r="L302" s="60">
        <f>IF(K302="","",IF(K302&gt;=1,"Completado",IF(K302&gt;0,"En curso","Pendiente")))</f>
        <v/>
      </c>
      <c r="M302" s="61" t="n"/>
      <c r="N302" s="66">
        <f>IF(NOT((COUNTA($B302:$J302)+COUNTA($M302))&gt;0),"",IF((IF(B302="","Macroactividad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 OK","⚠ "&amp;LEFT(IF(B302="","Macroactividad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",""),LEN(IF(B302="","Macroactividad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",""))-3)))</f>
        <v/>
      </c>
      <c r="O302" s="67">
        <f>IF(NOT((COUNTA($B302:$J302)+COUNTA($M302))&gt;0),"",IF(ISNUMBER($D302),DATE(YEAR($D302),MONTH($D302),1),IF(ISNUMBER($E302),DATE(YEAR($E302),MONTH($E302),1),MesCiclo)))</f>
        <v/>
      </c>
      <c r="P302" s="68">
        <f>IF(OR($O302="",$O302&lt;&gt;MesCiclo),"",COUNTIF($O$5:$O302,MesCiclo))</f>
        <v/>
      </c>
    </row>
    <row r="303">
      <c r="A303" s="60">
        <f>IF(NOT((COUNTA($B303:$J303)+COUNTA($M303))&gt;0),"",COUNTIFS($L$5:$L303,"?*",$O$5:$O303,$O303))</f>
        <v/>
      </c>
      <c r="B303" s="61" t="n"/>
      <c r="C303" s="61" t="n"/>
      <c r="D303" s="62" t="n"/>
      <c r="E303" s="62" t="n"/>
      <c r="F303" s="63" t="n"/>
      <c r="G303" s="64" t="n"/>
      <c r="H303" s="64" t="n"/>
      <c r="I303" s="64" t="n"/>
      <c r="J303" s="64" t="n"/>
      <c r="K303" s="65">
        <f>IF(NOT((COUNTA($B303:$J303)+COUNTA($M303))&gt;0),"",IFERROR(LOOKUP(2,1/(G303:J303&lt;&gt;""),G303:J303),0))</f>
        <v/>
      </c>
      <c r="L303" s="60">
        <f>IF(K303="","",IF(K303&gt;=1,"Completado",IF(K303&gt;0,"En curso","Pendiente")))</f>
        <v/>
      </c>
      <c r="M303" s="61" t="n"/>
      <c r="N303" s="66">
        <f>IF(NOT((COUNTA($B303:$J303)+COUNTA($M303))&gt;0),"",IF((IF(B303="","Macroactividad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 OK","⚠ "&amp;LEFT(IF(B303="","Macroactividad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",""),LEN(IF(B303="","Macroactividad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",""))-3)))</f>
        <v/>
      </c>
      <c r="O303" s="67">
        <f>IF(NOT((COUNTA($B303:$J303)+COUNTA($M303))&gt;0),"",IF(ISNUMBER($D303),DATE(YEAR($D303),MONTH($D303),1),IF(ISNUMBER($E303),DATE(YEAR($E303),MONTH($E303),1),MesCiclo)))</f>
        <v/>
      </c>
      <c r="P303" s="68">
        <f>IF(OR($O303="",$O303&lt;&gt;MesCiclo),"",COUNTIF($O$5:$O303,MesCiclo))</f>
        <v/>
      </c>
    </row>
    <row r="304">
      <c r="A304" s="60">
        <f>IF(NOT((COUNTA($B304:$J304)+COUNTA($M304))&gt;0),"",COUNTIFS($L$5:$L304,"?*",$O$5:$O304,$O304))</f>
        <v/>
      </c>
      <c r="B304" s="61" t="n"/>
      <c r="C304" s="61" t="n"/>
      <c r="D304" s="62" t="n"/>
      <c r="E304" s="62" t="n"/>
      <c r="F304" s="63" t="n"/>
      <c r="G304" s="64" t="n"/>
      <c r="H304" s="64" t="n"/>
      <c r="I304" s="64" t="n"/>
      <c r="J304" s="64" t="n"/>
      <c r="K304" s="65">
        <f>IF(NOT((COUNTA($B304:$J304)+COUNTA($M304))&gt;0),"",IFERROR(LOOKUP(2,1/(G304:J304&lt;&gt;""),G304:J304),0))</f>
        <v/>
      </c>
      <c r="L304" s="60">
        <f>IF(K304="","",IF(K304&gt;=1,"Completado",IF(K304&gt;0,"En curso","Pendiente")))</f>
        <v/>
      </c>
      <c r="M304" s="61" t="n"/>
      <c r="N304" s="66">
        <f>IF(NOT((COUNTA($B304:$J304)+COUNTA($M304))&gt;0),"",IF((IF(B304="","Macroactividad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 OK","⚠ "&amp;LEFT(IF(B304="","Macroactividad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",""),LEN(IF(B304="","Macroactividad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",""))-3)))</f>
        <v/>
      </c>
      <c r="O304" s="67">
        <f>IF(NOT((COUNTA($B304:$J304)+COUNTA($M304))&gt;0),"",IF(ISNUMBER($D304),DATE(YEAR($D304),MONTH($D304),1),IF(ISNUMBER($E304),DATE(YEAR($E304),MONTH($E304),1),MesCiclo)))</f>
        <v/>
      </c>
      <c r="P304" s="68">
        <f>IF(OR($O304="",$O304&lt;&gt;MesCiclo),"",COUNTIF($O$5:$O304,MesCiclo))</f>
        <v/>
      </c>
    </row>
  </sheetData>
  <sheetProtection selectLockedCells="0" selectUnlockedCells="0" sheet="1" objects="0" insertRows="1" insertHyperlinks="1" autoFilter="0" scenarios="0" formatColumns="0" deleteColumns="1" insertColumns="1" pivotTables="1" deleteRows="1" formatCells="1" formatRows="0" sort="0"/>
  <mergeCells count="3">
    <mergeCell ref="A1:O1"/>
    <mergeCell ref="E3:F3"/>
    <mergeCell ref="A2:O2"/>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10">
      <formula>LEFT($N5,1)="✔"</formula>
    </cfRule>
  </conditionalFormatting>
  <conditionalFormatting sqref="O5:O1000">
    <cfRule type="expression" priority="18" dxfId="1">
      <formula>AND($O5&lt;&gt;"",$O5=MesCiclo)</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s>
  <sheetData>
    <row r="1" ht="28" customHeight="1">
      <c r="A1" s="75" t="inlineStr">
        <is>
          <t>Actividades del mes por semana – Riesgo Normativo</t>
        </is>
      </c>
      <c r="B1" s="75" t="n"/>
      <c r="C1" s="75" t="n"/>
      <c r="D1" s="75" t="n"/>
      <c r="E1" s="75" t="n"/>
      <c r="F1" s="75" t="n"/>
      <c r="G1" s="75" t="n"/>
      <c r="H1" s="75" t="n"/>
      <c r="I1" s="75" t="n"/>
      <c r="J1" s="75" t="n"/>
      <c r="K1" s="75" t="n"/>
      <c r="L1" s="75" t="n"/>
      <c r="M1" s="75" t="n"/>
    </row>
    <row r="2" ht="32" customHeight="1">
      <c r="A2" s="69" t="inlineStr">
        <is>
          <t>HOJA AUTOMÁTICA Y BLOQUEADA: muestra solo las actividades del mes indicado abajo, tomadas de «Cronograma R. Normativo». No hay que escribir nada aquí. La barra de color marca las semanas en que cada actividad está programada (de la fecha de inicio a la fecha límite) y dentro aparece el avance registrado en esa semana.</t>
        </is>
      </c>
      <c r="B2" s="69" t="n"/>
      <c r="C2" s="69" t="n"/>
      <c r="D2" s="69" t="n"/>
      <c r="E2" s="69" t="n"/>
      <c r="F2" s="69" t="n"/>
      <c r="G2" s="69" t="n"/>
      <c r="H2" s="69" t="n"/>
      <c r="I2" s="69" t="n"/>
      <c r="J2" s="69" t="n"/>
      <c r="K2" s="69" t="n"/>
      <c r="L2" s="69" t="n"/>
      <c r="M2" s="69" t="n"/>
    </row>
    <row r="3">
      <c r="A3" s="70" t="inlineStr">
        <is>
          <t>Mes:</t>
        </is>
      </c>
      <c r="B3" s="71">
        <f>MesCiclo</f>
        <v/>
      </c>
      <c r="F3" s="72" t="inlineStr">
        <is>
          <t>Semana del:</t>
        </is>
      </c>
      <c r="G3" s="73">
        <f>(InicioCiclo+0)</f>
        <v/>
      </c>
      <c r="H3" s="73">
        <f>(InicioCiclo+7)</f>
        <v/>
      </c>
      <c r="I3" s="73">
        <f>(InicioCiclo+14)</f>
        <v/>
      </c>
      <c r="J3" s="73">
        <f>(InicioCiclo+21)</f>
        <v/>
      </c>
    </row>
    <row r="4" ht="34" customHeight="1">
      <c r="A4" s="59" t="inlineStr">
        <is>
          <t>N°</t>
        </is>
      </c>
      <c r="B4" s="59" t="inlineStr">
        <is>
          <t>Macro Actividad</t>
        </is>
      </c>
      <c r="C4" s="59" t="inlineStr">
        <is>
          <t>Responsable</t>
        </is>
      </c>
      <c r="D4" s="59" t="inlineStr">
        <is>
          <t>Fecha de inicio</t>
        </is>
      </c>
      <c r="E4" s="59" t="inlineStr">
        <is>
          <t>Fecha límite</t>
        </is>
      </c>
      <c r="F4" s="59" t="inlineStr">
        <is>
          <t>Semana de entrega</t>
        </is>
      </c>
      <c r="G4" s="49" t="inlineStr">
        <is>
          <t>Semana 1</t>
        </is>
      </c>
      <c r="H4" s="49" t="inlineStr">
        <is>
          <t>Semana 2</t>
        </is>
      </c>
      <c r="I4" s="49" t="inlineStr">
        <is>
          <t>Semana 3</t>
        </is>
      </c>
      <c r="J4" s="49" t="inlineStr">
        <is>
          <t>Semana 4</t>
        </is>
      </c>
      <c r="K4" s="59" t="inlineStr">
        <is>
          <t>% Avance actual</t>
        </is>
      </c>
      <c r="L4" s="59" t="inlineStr">
        <is>
          <t>Estado</t>
        </is>
      </c>
      <c r="M4" s="59" t="inlineStr">
        <is>
          <t>Observaciones</t>
        </is>
      </c>
      <c r="N4" t="inlineStr">
        <is>
          <t>Fila origen (auxiliar)</t>
        </is>
      </c>
    </row>
    <row r="5">
      <c r="A5" s="60">
        <f>IF($N5="","",INDEX('Cronograma R. Normativo'!$A$5:$A$1000,$N5))</f>
        <v/>
      </c>
      <c r="B5" s="68">
        <f>IF($N5="","",INDEX('Cronograma R. Normativo'!$B$5:$B$1000,$N5)&amp;"")</f>
        <v/>
      </c>
      <c r="C5" s="68">
        <f>IF($N5="","",INDEX('Cronograma R. Normativo'!$C$5:$C$1000,$N5)&amp;"")</f>
        <v/>
      </c>
      <c r="D5" s="74">
        <f>IF($N5="","",IF(INDEX('Cronograma R. Normativo'!$D$5:$D$1000,$N5)="","",INDEX('Cronograma R. Normativo'!$D$5:$D$1000,$N5)))</f>
        <v/>
      </c>
      <c r="E5" s="74">
        <f>IF($N5="","",IF(INDEX('Cronograma R. Normativo'!$E$5:$E$1000,$N5)="","",INDEX('Cronograma R. Normativo'!$E$5:$E$1000,$N5)))</f>
        <v/>
      </c>
      <c r="F5" s="60">
        <f>IF($N5="","",IF(NOT(ISNUMBER($E5)),"",IF($E5&lt;InicioCiclo,"Antes del ciclo",IF($E5&gt;=InicioCiclo+28,"Después del ciclo","Semana "&amp;(INT(($E5-InicioCiclo)/7)+1)))))</f>
        <v/>
      </c>
      <c r="G5" s="65">
        <f>IF($N5="","",IF(INDEX('Cronograma R. Normativo'!$G$5:$G$1000,$N5)="","",INDEX('Cronograma R. Normativo'!$G$5:$G$1000,$N5)))</f>
        <v/>
      </c>
      <c r="H5" s="65">
        <f>IF($N5="","",IF(INDEX('Cronograma R. Normativo'!$H$5:$H$1000,$N5)="","",INDEX('Cronograma R. Normativo'!$H$5:$H$1000,$N5)))</f>
        <v/>
      </c>
      <c r="I5" s="65">
        <f>IF($N5="","",IF(INDEX('Cronograma R. Normativo'!$I$5:$I$1000,$N5)="","",INDEX('Cronograma R. Normativo'!$I$5:$I$1000,$N5)))</f>
        <v/>
      </c>
      <c r="J5" s="65">
        <f>IF($N5="","",IF(INDEX('Cronograma R. Normativo'!$J$5:$J$1000,$N5)="","",INDEX('Cronograma R. Normativo'!$J$5:$J$1000,$N5)))</f>
        <v/>
      </c>
      <c r="K5" s="65">
        <f>IF($N5="","",INDEX('Cronograma R. Normativo'!$K$5:$K$1000,$N5))</f>
        <v/>
      </c>
      <c r="L5" s="60">
        <f>IF($N5="","",IF(N($K5)&gt;=1,"Completado",IF(AND(ISNUMBER($E5),$E5&lt;FechaRef),"Vencida",IF(N($K5)&gt;0,"En curso","Pendiente"))))</f>
        <v/>
      </c>
      <c r="M5" s="68">
        <f>IF($N5="","",INDEX('Cronograma R. Normativo'!$M$5:$M$1000,$N5)&amp;"")</f>
        <v/>
      </c>
      <c r="N5">
        <f>IFERROR(MATCH(ROW()-4,rOrden_RN,0),"")</f>
        <v/>
      </c>
    </row>
    <row r="6">
      <c r="A6" s="60">
        <f>IF($N6="","",INDEX('Cronograma R. Normativo'!$A$5:$A$1000,$N6))</f>
        <v/>
      </c>
      <c r="B6" s="68">
        <f>IF($N6="","",INDEX('Cronograma R. Normativo'!$B$5:$B$1000,$N6)&amp;"")</f>
        <v/>
      </c>
      <c r="C6" s="68">
        <f>IF($N6="","",INDEX('Cronograma R. Normativo'!$C$5:$C$1000,$N6)&amp;"")</f>
        <v/>
      </c>
      <c r="D6" s="74">
        <f>IF($N6="","",IF(INDEX('Cronograma R. Normativo'!$D$5:$D$1000,$N6)="","",INDEX('Cronograma R. Normativo'!$D$5:$D$1000,$N6)))</f>
        <v/>
      </c>
      <c r="E6" s="74">
        <f>IF($N6="","",IF(INDEX('Cronograma R. Normativo'!$E$5:$E$1000,$N6)="","",INDEX('Cronograma R. Normativo'!$E$5:$E$1000,$N6)))</f>
        <v/>
      </c>
      <c r="F6" s="60">
        <f>IF($N6="","",IF(NOT(ISNUMBER($E6)),"",IF($E6&lt;InicioCiclo,"Antes del ciclo",IF($E6&gt;=InicioCiclo+28,"Después del ciclo","Semana "&amp;(INT(($E6-InicioCiclo)/7)+1)))))</f>
        <v/>
      </c>
      <c r="G6" s="65">
        <f>IF($N6="","",IF(INDEX('Cronograma R. Normativo'!$G$5:$G$1000,$N6)="","",INDEX('Cronograma R. Normativo'!$G$5:$G$1000,$N6)))</f>
        <v/>
      </c>
      <c r="H6" s="65">
        <f>IF($N6="","",IF(INDEX('Cronograma R. Normativo'!$H$5:$H$1000,$N6)="","",INDEX('Cronograma R. Normativo'!$H$5:$H$1000,$N6)))</f>
        <v/>
      </c>
      <c r="I6" s="65">
        <f>IF($N6="","",IF(INDEX('Cronograma R. Normativo'!$I$5:$I$1000,$N6)="","",INDEX('Cronograma R. Normativo'!$I$5:$I$1000,$N6)))</f>
        <v/>
      </c>
      <c r="J6" s="65">
        <f>IF($N6="","",IF(INDEX('Cronograma R. Normativo'!$J$5:$J$1000,$N6)="","",INDEX('Cronograma R. Normativo'!$J$5:$J$1000,$N6)))</f>
        <v/>
      </c>
      <c r="K6" s="65">
        <f>IF($N6="","",INDEX('Cronograma R. Normativo'!$K$5:$K$1000,$N6))</f>
        <v/>
      </c>
      <c r="L6" s="60">
        <f>IF($N6="","",IF(N($K6)&gt;=1,"Completado",IF(AND(ISNUMBER($E6),$E6&lt;FechaRef),"Vencida",IF(N($K6)&gt;0,"En curso","Pendiente"))))</f>
        <v/>
      </c>
      <c r="M6" s="68">
        <f>IF($N6="","",INDEX('Cronograma R. Normativo'!$M$5:$M$1000,$N6)&amp;"")</f>
        <v/>
      </c>
      <c r="N6">
        <f>IFERROR(MATCH(ROW()-4,rOrden_RN,0),"")</f>
        <v/>
      </c>
    </row>
    <row r="7">
      <c r="A7" s="60">
        <f>IF($N7="","",INDEX('Cronograma R. Normativo'!$A$5:$A$1000,$N7))</f>
        <v/>
      </c>
      <c r="B7" s="68">
        <f>IF($N7="","",INDEX('Cronograma R. Normativo'!$B$5:$B$1000,$N7)&amp;"")</f>
        <v/>
      </c>
      <c r="C7" s="68">
        <f>IF($N7="","",INDEX('Cronograma R. Normativo'!$C$5:$C$1000,$N7)&amp;"")</f>
        <v/>
      </c>
      <c r="D7" s="74">
        <f>IF($N7="","",IF(INDEX('Cronograma R. Normativo'!$D$5:$D$1000,$N7)="","",INDEX('Cronograma R. Normativo'!$D$5:$D$1000,$N7)))</f>
        <v/>
      </c>
      <c r="E7" s="74">
        <f>IF($N7="","",IF(INDEX('Cronograma R. Normativo'!$E$5:$E$1000,$N7)="","",INDEX('Cronograma R. Normativo'!$E$5:$E$1000,$N7)))</f>
        <v/>
      </c>
      <c r="F7" s="60">
        <f>IF($N7="","",IF(NOT(ISNUMBER($E7)),"",IF($E7&lt;InicioCiclo,"Antes del ciclo",IF($E7&gt;=InicioCiclo+28,"Después del ciclo","Semana "&amp;(INT(($E7-InicioCiclo)/7)+1)))))</f>
        <v/>
      </c>
      <c r="G7" s="65">
        <f>IF($N7="","",IF(INDEX('Cronograma R. Normativo'!$G$5:$G$1000,$N7)="","",INDEX('Cronograma R. Normativo'!$G$5:$G$1000,$N7)))</f>
        <v/>
      </c>
      <c r="H7" s="65">
        <f>IF($N7="","",IF(INDEX('Cronograma R. Normativo'!$H$5:$H$1000,$N7)="","",INDEX('Cronograma R. Normativo'!$H$5:$H$1000,$N7)))</f>
        <v/>
      </c>
      <c r="I7" s="65">
        <f>IF($N7="","",IF(INDEX('Cronograma R. Normativo'!$I$5:$I$1000,$N7)="","",INDEX('Cronograma R. Normativo'!$I$5:$I$1000,$N7)))</f>
        <v/>
      </c>
      <c r="J7" s="65">
        <f>IF($N7="","",IF(INDEX('Cronograma R. Normativo'!$J$5:$J$1000,$N7)="","",INDEX('Cronograma R. Normativo'!$J$5:$J$1000,$N7)))</f>
        <v/>
      </c>
      <c r="K7" s="65">
        <f>IF($N7="","",INDEX('Cronograma R. Normativo'!$K$5:$K$1000,$N7))</f>
        <v/>
      </c>
      <c r="L7" s="60">
        <f>IF($N7="","",IF(N($K7)&gt;=1,"Completado",IF(AND(ISNUMBER($E7),$E7&lt;FechaRef),"Vencida",IF(N($K7)&gt;0,"En curso","Pendiente"))))</f>
        <v/>
      </c>
      <c r="M7" s="68">
        <f>IF($N7="","",INDEX('Cronograma R. Normativo'!$M$5:$M$1000,$N7)&amp;"")</f>
        <v/>
      </c>
      <c r="N7">
        <f>IFERROR(MATCH(ROW()-4,rOrden_RN,0),"")</f>
        <v/>
      </c>
    </row>
    <row r="8">
      <c r="A8" s="60">
        <f>IF($N8="","",INDEX('Cronograma R. Normativo'!$A$5:$A$1000,$N8))</f>
        <v/>
      </c>
      <c r="B8" s="68">
        <f>IF($N8="","",INDEX('Cronograma R. Normativo'!$B$5:$B$1000,$N8)&amp;"")</f>
        <v/>
      </c>
      <c r="C8" s="68">
        <f>IF($N8="","",INDEX('Cronograma R. Normativo'!$C$5:$C$1000,$N8)&amp;"")</f>
        <v/>
      </c>
      <c r="D8" s="74">
        <f>IF($N8="","",IF(INDEX('Cronograma R. Normativo'!$D$5:$D$1000,$N8)="","",INDEX('Cronograma R. Normativo'!$D$5:$D$1000,$N8)))</f>
        <v/>
      </c>
      <c r="E8" s="74">
        <f>IF($N8="","",IF(INDEX('Cronograma R. Normativo'!$E$5:$E$1000,$N8)="","",INDEX('Cronograma R. Normativo'!$E$5:$E$1000,$N8)))</f>
        <v/>
      </c>
      <c r="F8" s="60">
        <f>IF($N8="","",IF(NOT(ISNUMBER($E8)),"",IF($E8&lt;InicioCiclo,"Antes del ciclo",IF($E8&gt;=InicioCiclo+28,"Después del ciclo","Semana "&amp;(INT(($E8-InicioCiclo)/7)+1)))))</f>
        <v/>
      </c>
      <c r="G8" s="65">
        <f>IF($N8="","",IF(INDEX('Cronograma R. Normativo'!$G$5:$G$1000,$N8)="","",INDEX('Cronograma R. Normativo'!$G$5:$G$1000,$N8)))</f>
        <v/>
      </c>
      <c r="H8" s="65">
        <f>IF($N8="","",IF(INDEX('Cronograma R. Normativo'!$H$5:$H$1000,$N8)="","",INDEX('Cronograma R. Normativo'!$H$5:$H$1000,$N8)))</f>
        <v/>
      </c>
      <c r="I8" s="65">
        <f>IF($N8="","",IF(INDEX('Cronograma R. Normativo'!$I$5:$I$1000,$N8)="","",INDEX('Cronograma R. Normativo'!$I$5:$I$1000,$N8)))</f>
        <v/>
      </c>
      <c r="J8" s="65">
        <f>IF($N8="","",IF(INDEX('Cronograma R. Normativo'!$J$5:$J$1000,$N8)="","",INDEX('Cronograma R. Normativo'!$J$5:$J$1000,$N8)))</f>
        <v/>
      </c>
      <c r="K8" s="65">
        <f>IF($N8="","",INDEX('Cronograma R. Normativo'!$K$5:$K$1000,$N8))</f>
        <v/>
      </c>
      <c r="L8" s="60">
        <f>IF($N8="","",IF(N($K8)&gt;=1,"Completado",IF(AND(ISNUMBER($E8),$E8&lt;FechaRef),"Vencida",IF(N($K8)&gt;0,"En curso","Pendiente"))))</f>
        <v/>
      </c>
      <c r="M8" s="68">
        <f>IF($N8="","",INDEX('Cronograma R. Normativo'!$M$5:$M$1000,$N8)&amp;"")</f>
        <v/>
      </c>
      <c r="N8">
        <f>IFERROR(MATCH(ROW()-4,rOrden_RN,0),"")</f>
        <v/>
      </c>
    </row>
    <row r="9">
      <c r="A9" s="60">
        <f>IF($N9="","",INDEX('Cronograma R. Normativo'!$A$5:$A$1000,$N9))</f>
        <v/>
      </c>
      <c r="B9" s="68">
        <f>IF($N9="","",INDEX('Cronograma R. Normativo'!$B$5:$B$1000,$N9)&amp;"")</f>
        <v/>
      </c>
      <c r="C9" s="68">
        <f>IF($N9="","",INDEX('Cronograma R. Normativo'!$C$5:$C$1000,$N9)&amp;"")</f>
        <v/>
      </c>
      <c r="D9" s="74">
        <f>IF($N9="","",IF(INDEX('Cronograma R. Normativo'!$D$5:$D$1000,$N9)="","",INDEX('Cronograma R. Normativo'!$D$5:$D$1000,$N9)))</f>
        <v/>
      </c>
      <c r="E9" s="74">
        <f>IF($N9="","",IF(INDEX('Cronograma R. Normativo'!$E$5:$E$1000,$N9)="","",INDEX('Cronograma R. Normativo'!$E$5:$E$1000,$N9)))</f>
        <v/>
      </c>
      <c r="F9" s="60">
        <f>IF($N9="","",IF(NOT(ISNUMBER($E9)),"",IF($E9&lt;InicioCiclo,"Antes del ciclo",IF($E9&gt;=InicioCiclo+28,"Después del ciclo","Semana "&amp;(INT(($E9-InicioCiclo)/7)+1)))))</f>
        <v/>
      </c>
      <c r="G9" s="65">
        <f>IF($N9="","",IF(INDEX('Cronograma R. Normativo'!$G$5:$G$1000,$N9)="","",INDEX('Cronograma R. Normativo'!$G$5:$G$1000,$N9)))</f>
        <v/>
      </c>
      <c r="H9" s="65">
        <f>IF($N9="","",IF(INDEX('Cronograma R. Normativo'!$H$5:$H$1000,$N9)="","",INDEX('Cronograma R. Normativo'!$H$5:$H$1000,$N9)))</f>
        <v/>
      </c>
      <c r="I9" s="65">
        <f>IF($N9="","",IF(INDEX('Cronograma R. Normativo'!$I$5:$I$1000,$N9)="","",INDEX('Cronograma R. Normativo'!$I$5:$I$1000,$N9)))</f>
        <v/>
      </c>
      <c r="J9" s="65">
        <f>IF($N9="","",IF(INDEX('Cronograma R. Normativo'!$J$5:$J$1000,$N9)="","",INDEX('Cronograma R. Normativo'!$J$5:$J$1000,$N9)))</f>
        <v/>
      </c>
      <c r="K9" s="65">
        <f>IF($N9="","",INDEX('Cronograma R. Normativo'!$K$5:$K$1000,$N9))</f>
        <v/>
      </c>
      <c r="L9" s="60">
        <f>IF($N9="","",IF(N($K9)&gt;=1,"Completado",IF(AND(ISNUMBER($E9),$E9&lt;FechaRef),"Vencida",IF(N($K9)&gt;0,"En curso","Pendiente"))))</f>
        <v/>
      </c>
      <c r="M9" s="68">
        <f>IF($N9="","",INDEX('Cronograma R. Normativo'!$M$5:$M$1000,$N9)&amp;"")</f>
        <v/>
      </c>
      <c r="N9">
        <f>IFERROR(MATCH(ROW()-4,rOrden_RN,0),"")</f>
        <v/>
      </c>
    </row>
    <row r="10">
      <c r="A10" s="60">
        <f>IF($N10="","",INDEX('Cronograma R. Normativo'!$A$5:$A$1000,$N10))</f>
        <v/>
      </c>
      <c r="B10" s="68">
        <f>IF($N10="","",INDEX('Cronograma R. Normativo'!$B$5:$B$1000,$N10)&amp;"")</f>
        <v/>
      </c>
      <c r="C10" s="68">
        <f>IF($N10="","",INDEX('Cronograma R. Normativo'!$C$5:$C$1000,$N10)&amp;"")</f>
        <v/>
      </c>
      <c r="D10" s="74">
        <f>IF($N10="","",IF(INDEX('Cronograma R. Normativo'!$D$5:$D$1000,$N10)="","",INDEX('Cronograma R. Normativo'!$D$5:$D$1000,$N10)))</f>
        <v/>
      </c>
      <c r="E10" s="74">
        <f>IF($N10="","",IF(INDEX('Cronograma R. Normativo'!$E$5:$E$1000,$N10)="","",INDEX('Cronograma R. Normativo'!$E$5:$E$1000,$N10)))</f>
        <v/>
      </c>
      <c r="F10" s="60">
        <f>IF($N10="","",IF(NOT(ISNUMBER($E10)),"",IF($E10&lt;InicioCiclo,"Antes del ciclo",IF($E10&gt;=InicioCiclo+28,"Después del ciclo","Semana "&amp;(INT(($E10-InicioCiclo)/7)+1)))))</f>
        <v/>
      </c>
      <c r="G10" s="65">
        <f>IF($N10="","",IF(INDEX('Cronograma R. Normativo'!$G$5:$G$1000,$N10)="","",INDEX('Cronograma R. Normativo'!$G$5:$G$1000,$N10)))</f>
        <v/>
      </c>
      <c r="H10" s="65">
        <f>IF($N10="","",IF(INDEX('Cronograma R. Normativo'!$H$5:$H$1000,$N10)="","",INDEX('Cronograma R. Normativo'!$H$5:$H$1000,$N10)))</f>
        <v/>
      </c>
      <c r="I10" s="65">
        <f>IF($N10="","",IF(INDEX('Cronograma R. Normativo'!$I$5:$I$1000,$N10)="","",INDEX('Cronograma R. Normativo'!$I$5:$I$1000,$N10)))</f>
        <v/>
      </c>
      <c r="J10" s="65">
        <f>IF($N10="","",IF(INDEX('Cronograma R. Normativo'!$J$5:$J$1000,$N10)="","",INDEX('Cronograma R. Normativo'!$J$5:$J$1000,$N10)))</f>
        <v/>
      </c>
      <c r="K10" s="65">
        <f>IF($N10="","",INDEX('Cronograma R. Normativo'!$K$5:$K$1000,$N10))</f>
        <v/>
      </c>
      <c r="L10" s="60">
        <f>IF($N10="","",IF(N($K10)&gt;=1,"Completado",IF(AND(ISNUMBER($E10),$E10&lt;FechaRef),"Vencida",IF(N($K10)&gt;0,"En curso","Pendiente"))))</f>
        <v/>
      </c>
      <c r="M10" s="68">
        <f>IF($N10="","",INDEX('Cronograma R. Normativo'!$M$5:$M$1000,$N10)&amp;"")</f>
        <v/>
      </c>
      <c r="N10">
        <f>IFERROR(MATCH(ROW()-4,rOrden_RN,0),"")</f>
        <v/>
      </c>
    </row>
    <row r="11">
      <c r="A11" s="60">
        <f>IF($N11="","",INDEX('Cronograma R. Normativo'!$A$5:$A$1000,$N11))</f>
        <v/>
      </c>
      <c r="B11" s="68">
        <f>IF($N11="","",INDEX('Cronograma R. Normativo'!$B$5:$B$1000,$N11)&amp;"")</f>
        <v/>
      </c>
      <c r="C11" s="68">
        <f>IF($N11="","",INDEX('Cronograma R. Normativo'!$C$5:$C$1000,$N11)&amp;"")</f>
        <v/>
      </c>
      <c r="D11" s="74">
        <f>IF($N11="","",IF(INDEX('Cronograma R. Normativo'!$D$5:$D$1000,$N11)="","",INDEX('Cronograma R. Normativo'!$D$5:$D$1000,$N11)))</f>
        <v/>
      </c>
      <c r="E11" s="74">
        <f>IF($N11="","",IF(INDEX('Cronograma R. Normativo'!$E$5:$E$1000,$N11)="","",INDEX('Cronograma R. Normativo'!$E$5:$E$1000,$N11)))</f>
        <v/>
      </c>
      <c r="F11" s="60">
        <f>IF($N11="","",IF(NOT(ISNUMBER($E11)),"",IF($E11&lt;InicioCiclo,"Antes del ciclo",IF($E11&gt;=InicioCiclo+28,"Después del ciclo","Semana "&amp;(INT(($E11-InicioCiclo)/7)+1)))))</f>
        <v/>
      </c>
      <c r="G11" s="65">
        <f>IF($N11="","",IF(INDEX('Cronograma R. Normativo'!$G$5:$G$1000,$N11)="","",INDEX('Cronograma R. Normativo'!$G$5:$G$1000,$N11)))</f>
        <v/>
      </c>
      <c r="H11" s="65">
        <f>IF($N11="","",IF(INDEX('Cronograma R. Normativo'!$H$5:$H$1000,$N11)="","",INDEX('Cronograma R. Normativo'!$H$5:$H$1000,$N11)))</f>
        <v/>
      </c>
      <c r="I11" s="65">
        <f>IF($N11="","",IF(INDEX('Cronograma R. Normativo'!$I$5:$I$1000,$N11)="","",INDEX('Cronograma R. Normativo'!$I$5:$I$1000,$N11)))</f>
        <v/>
      </c>
      <c r="J11" s="65">
        <f>IF($N11="","",IF(INDEX('Cronograma R. Normativo'!$J$5:$J$1000,$N11)="","",INDEX('Cronograma R. Normativo'!$J$5:$J$1000,$N11)))</f>
        <v/>
      </c>
      <c r="K11" s="65">
        <f>IF($N11="","",INDEX('Cronograma R. Normativo'!$K$5:$K$1000,$N11))</f>
        <v/>
      </c>
      <c r="L11" s="60">
        <f>IF($N11="","",IF(N($K11)&gt;=1,"Completado",IF(AND(ISNUMBER($E11),$E11&lt;FechaRef),"Vencida",IF(N($K11)&gt;0,"En curso","Pendiente"))))</f>
        <v/>
      </c>
      <c r="M11" s="68">
        <f>IF($N11="","",INDEX('Cronograma R. Normativo'!$M$5:$M$1000,$N11)&amp;"")</f>
        <v/>
      </c>
      <c r="N11">
        <f>IFERROR(MATCH(ROW()-4,rOrden_RN,0),"")</f>
        <v/>
      </c>
    </row>
    <row r="12">
      <c r="A12" s="60">
        <f>IF($N12="","",INDEX('Cronograma R. Normativo'!$A$5:$A$1000,$N12))</f>
        <v/>
      </c>
      <c r="B12" s="68">
        <f>IF($N12="","",INDEX('Cronograma R. Normativo'!$B$5:$B$1000,$N12)&amp;"")</f>
        <v/>
      </c>
      <c r="C12" s="68">
        <f>IF($N12="","",INDEX('Cronograma R. Normativo'!$C$5:$C$1000,$N12)&amp;"")</f>
        <v/>
      </c>
      <c r="D12" s="74">
        <f>IF($N12="","",IF(INDEX('Cronograma R. Normativo'!$D$5:$D$1000,$N12)="","",INDEX('Cronograma R. Normativo'!$D$5:$D$1000,$N12)))</f>
        <v/>
      </c>
      <c r="E12" s="74">
        <f>IF($N12="","",IF(INDEX('Cronograma R. Normativo'!$E$5:$E$1000,$N12)="","",INDEX('Cronograma R. Normativo'!$E$5:$E$1000,$N12)))</f>
        <v/>
      </c>
      <c r="F12" s="60">
        <f>IF($N12="","",IF(NOT(ISNUMBER($E12)),"",IF($E12&lt;InicioCiclo,"Antes del ciclo",IF($E12&gt;=InicioCiclo+28,"Después del ciclo","Semana "&amp;(INT(($E12-InicioCiclo)/7)+1)))))</f>
        <v/>
      </c>
      <c r="G12" s="65">
        <f>IF($N12="","",IF(INDEX('Cronograma R. Normativo'!$G$5:$G$1000,$N12)="","",INDEX('Cronograma R. Normativo'!$G$5:$G$1000,$N12)))</f>
        <v/>
      </c>
      <c r="H12" s="65">
        <f>IF($N12="","",IF(INDEX('Cronograma R. Normativo'!$H$5:$H$1000,$N12)="","",INDEX('Cronograma R. Normativo'!$H$5:$H$1000,$N12)))</f>
        <v/>
      </c>
      <c r="I12" s="65">
        <f>IF($N12="","",IF(INDEX('Cronograma R. Normativo'!$I$5:$I$1000,$N12)="","",INDEX('Cronograma R. Normativo'!$I$5:$I$1000,$N12)))</f>
        <v/>
      </c>
      <c r="J12" s="65">
        <f>IF($N12="","",IF(INDEX('Cronograma R. Normativo'!$J$5:$J$1000,$N12)="","",INDEX('Cronograma R. Normativo'!$J$5:$J$1000,$N12)))</f>
        <v/>
      </c>
      <c r="K12" s="65">
        <f>IF($N12="","",INDEX('Cronograma R. Normativo'!$K$5:$K$1000,$N12))</f>
        <v/>
      </c>
      <c r="L12" s="60">
        <f>IF($N12="","",IF(N($K12)&gt;=1,"Completado",IF(AND(ISNUMBER($E12),$E12&lt;FechaRef),"Vencida",IF(N($K12)&gt;0,"En curso","Pendiente"))))</f>
        <v/>
      </c>
      <c r="M12" s="68">
        <f>IF($N12="","",INDEX('Cronograma R. Normativo'!$M$5:$M$1000,$N12)&amp;"")</f>
        <v/>
      </c>
      <c r="N12">
        <f>IFERROR(MATCH(ROW()-4,rOrden_RN,0),"")</f>
        <v/>
      </c>
    </row>
    <row r="13">
      <c r="A13" s="60">
        <f>IF($N13="","",INDEX('Cronograma R. Normativo'!$A$5:$A$1000,$N13))</f>
        <v/>
      </c>
      <c r="B13" s="68">
        <f>IF($N13="","",INDEX('Cronograma R. Normativo'!$B$5:$B$1000,$N13)&amp;"")</f>
        <v/>
      </c>
      <c r="C13" s="68">
        <f>IF($N13="","",INDEX('Cronograma R. Normativo'!$C$5:$C$1000,$N13)&amp;"")</f>
        <v/>
      </c>
      <c r="D13" s="74">
        <f>IF($N13="","",IF(INDEX('Cronograma R. Normativo'!$D$5:$D$1000,$N13)="","",INDEX('Cronograma R. Normativo'!$D$5:$D$1000,$N13)))</f>
        <v/>
      </c>
      <c r="E13" s="74">
        <f>IF($N13="","",IF(INDEX('Cronograma R. Normativo'!$E$5:$E$1000,$N13)="","",INDEX('Cronograma R. Normativo'!$E$5:$E$1000,$N13)))</f>
        <v/>
      </c>
      <c r="F13" s="60">
        <f>IF($N13="","",IF(NOT(ISNUMBER($E13)),"",IF($E13&lt;InicioCiclo,"Antes del ciclo",IF($E13&gt;=InicioCiclo+28,"Después del ciclo","Semana "&amp;(INT(($E13-InicioCiclo)/7)+1)))))</f>
        <v/>
      </c>
      <c r="G13" s="65">
        <f>IF($N13="","",IF(INDEX('Cronograma R. Normativo'!$G$5:$G$1000,$N13)="","",INDEX('Cronograma R. Normativo'!$G$5:$G$1000,$N13)))</f>
        <v/>
      </c>
      <c r="H13" s="65">
        <f>IF($N13="","",IF(INDEX('Cronograma R. Normativo'!$H$5:$H$1000,$N13)="","",INDEX('Cronograma R. Normativo'!$H$5:$H$1000,$N13)))</f>
        <v/>
      </c>
      <c r="I13" s="65">
        <f>IF($N13="","",IF(INDEX('Cronograma R. Normativo'!$I$5:$I$1000,$N13)="","",INDEX('Cronograma R. Normativo'!$I$5:$I$1000,$N13)))</f>
        <v/>
      </c>
      <c r="J13" s="65">
        <f>IF($N13="","",IF(INDEX('Cronograma R. Normativo'!$J$5:$J$1000,$N13)="","",INDEX('Cronograma R. Normativo'!$J$5:$J$1000,$N13)))</f>
        <v/>
      </c>
      <c r="K13" s="65">
        <f>IF($N13="","",INDEX('Cronograma R. Normativo'!$K$5:$K$1000,$N13))</f>
        <v/>
      </c>
      <c r="L13" s="60">
        <f>IF($N13="","",IF(N($K13)&gt;=1,"Completado",IF(AND(ISNUMBER($E13),$E13&lt;FechaRef),"Vencida",IF(N($K13)&gt;0,"En curso","Pendiente"))))</f>
        <v/>
      </c>
      <c r="M13" s="68">
        <f>IF($N13="","",INDEX('Cronograma R. Normativo'!$M$5:$M$1000,$N13)&amp;"")</f>
        <v/>
      </c>
      <c r="N13">
        <f>IFERROR(MATCH(ROW()-4,rOrden_RN,0),"")</f>
        <v/>
      </c>
    </row>
    <row r="14">
      <c r="A14" s="60">
        <f>IF($N14="","",INDEX('Cronograma R. Normativo'!$A$5:$A$1000,$N14))</f>
        <v/>
      </c>
      <c r="B14" s="68">
        <f>IF($N14="","",INDEX('Cronograma R. Normativo'!$B$5:$B$1000,$N14)&amp;"")</f>
        <v/>
      </c>
      <c r="C14" s="68">
        <f>IF($N14="","",INDEX('Cronograma R. Normativo'!$C$5:$C$1000,$N14)&amp;"")</f>
        <v/>
      </c>
      <c r="D14" s="74">
        <f>IF($N14="","",IF(INDEX('Cronograma R. Normativo'!$D$5:$D$1000,$N14)="","",INDEX('Cronograma R. Normativo'!$D$5:$D$1000,$N14)))</f>
        <v/>
      </c>
      <c r="E14" s="74">
        <f>IF($N14="","",IF(INDEX('Cronograma R. Normativo'!$E$5:$E$1000,$N14)="","",INDEX('Cronograma R. Normativo'!$E$5:$E$1000,$N14)))</f>
        <v/>
      </c>
      <c r="F14" s="60">
        <f>IF($N14="","",IF(NOT(ISNUMBER($E14)),"",IF($E14&lt;InicioCiclo,"Antes del ciclo",IF($E14&gt;=InicioCiclo+28,"Después del ciclo","Semana "&amp;(INT(($E14-InicioCiclo)/7)+1)))))</f>
        <v/>
      </c>
      <c r="G14" s="65">
        <f>IF($N14="","",IF(INDEX('Cronograma R. Normativo'!$G$5:$G$1000,$N14)="","",INDEX('Cronograma R. Normativo'!$G$5:$G$1000,$N14)))</f>
        <v/>
      </c>
      <c r="H14" s="65">
        <f>IF($N14="","",IF(INDEX('Cronograma R. Normativo'!$H$5:$H$1000,$N14)="","",INDEX('Cronograma R. Normativo'!$H$5:$H$1000,$N14)))</f>
        <v/>
      </c>
      <c r="I14" s="65">
        <f>IF($N14="","",IF(INDEX('Cronograma R. Normativo'!$I$5:$I$1000,$N14)="","",INDEX('Cronograma R. Normativo'!$I$5:$I$1000,$N14)))</f>
        <v/>
      </c>
      <c r="J14" s="65">
        <f>IF($N14="","",IF(INDEX('Cronograma R. Normativo'!$J$5:$J$1000,$N14)="","",INDEX('Cronograma R. Normativo'!$J$5:$J$1000,$N14)))</f>
        <v/>
      </c>
      <c r="K14" s="65">
        <f>IF($N14="","",INDEX('Cronograma R. Normativo'!$K$5:$K$1000,$N14))</f>
        <v/>
      </c>
      <c r="L14" s="60">
        <f>IF($N14="","",IF(N($K14)&gt;=1,"Completado",IF(AND(ISNUMBER($E14),$E14&lt;FechaRef),"Vencida",IF(N($K14)&gt;0,"En curso","Pendiente"))))</f>
        <v/>
      </c>
      <c r="M14" s="68">
        <f>IF($N14="","",INDEX('Cronograma R. Normativo'!$M$5:$M$1000,$N14)&amp;"")</f>
        <v/>
      </c>
      <c r="N14">
        <f>IFERROR(MATCH(ROW()-4,rOrden_RN,0),"")</f>
        <v/>
      </c>
    </row>
    <row r="15">
      <c r="A15" s="60">
        <f>IF($N15="","",INDEX('Cronograma R. Normativo'!$A$5:$A$1000,$N15))</f>
        <v/>
      </c>
      <c r="B15" s="68">
        <f>IF($N15="","",INDEX('Cronograma R. Normativo'!$B$5:$B$1000,$N15)&amp;"")</f>
        <v/>
      </c>
      <c r="C15" s="68">
        <f>IF($N15="","",INDEX('Cronograma R. Normativo'!$C$5:$C$1000,$N15)&amp;"")</f>
        <v/>
      </c>
      <c r="D15" s="74">
        <f>IF($N15="","",IF(INDEX('Cronograma R. Normativo'!$D$5:$D$1000,$N15)="","",INDEX('Cronograma R. Normativo'!$D$5:$D$1000,$N15)))</f>
        <v/>
      </c>
      <c r="E15" s="74">
        <f>IF($N15="","",IF(INDEX('Cronograma R. Normativo'!$E$5:$E$1000,$N15)="","",INDEX('Cronograma R. Normativo'!$E$5:$E$1000,$N15)))</f>
        <v/>
      </c>
      <c r="F15" s="60">
        <f>IF($N15="","",IF(NOT(ISNUMBER($E15)),"",IF($E15&lt;InicioCiclo,"Antes del ciclo",IF($E15&gt;=InicioCiclo+28,"Después del ciclo","Semana "&amp;(INT(($E15-InicioCiclo)/7)+1)))))</f>
        <v/>
      </c>
      <c r="G15" s="65">
        <f>IF($N15="","",IF(INDEX('Cronograma R. Normativo'!$G$5:$G$1000,$N15)="","",INDEX('Cronograma R. Normativo'!$G$5:$G$1000,$N15)))</f>
        <v/>
      </c>
      <c r="H15" s="65">
        <f>IF($N15="","",IF(INDEX('Cronograma R. Normativo'!$H$5:$H$1000,$N15)="","",INDEX('Cronograma R. Normativo'!$H$5:$H$1000,$N15)))</f>
        <v/>
      </c>
      <c r="I15" s="65">
        <f>IF($N15="","",IF(INDEX('Cronograma R. Normativo'!$I$5:$I$1000,$N15)="","",INDEX('Cronograma R. Normativo'!$I$5:$I$1000,$N15)))</f>
        <v/>
      </c>
      <c r="J15" s="65">
        <f>IF($N15="","",IF(INDEX('Cronograma R. Normativo'!$J$5:$J$1000,$N15)="","",INDEX('Cronograma R. Normativo'!$J$5:$J$1000,$N15)))</f>
        <v/>
      </c>
      <c r="K15" s="65">
        <f>IF($N15="","",INDEX('Cronograma R. Normativo'!$K$5:$K$1000,$N15))</f>
        <v/>
      </c>
      <c r="L15" s="60">
        <f>IF($N15="","",IF(N($K15)&gt;=1,"Completado",IF(AND(ISNUMBER($E15),$E15&lt;FechaRef),"Vencida",IF(N($K15)&gt;0,"En curso","Pendiente"))))</f>
        <v/>
      </c>
      <c r="M15" s="68">
        <f>IF($N15="","",INDEX('Cronograma R. Normativo'!$M$5:$M$1000,$N15)&amp;"")</f>
        <v/>
      </c>
      <c r="N15">
        <f>IFERROR(MATCH(ROW()-4,rOrden_RN,0),"")</f>
        <v/>
      </c>
    </row>
    <row r="16">
      <c r="A16" s="60">
        <f>IF($N16="","",INDEX('Cronograma R. Normativo'!$A$5:$A$1000,$N16))</f>
        <v/>
      </c>
      <c r="B16" s="68">
        <f>IF($N16="","",INDEX('Cronograma R. Normativo'!$B$5:$B$1000,$N16)&amp;"")</f>
        <v/>
      </c>
      <c r="C16" s="68">
        <f>IF($N16="","",INDEX('Cronograma R. Normativo'!$C$5:$C$1000,$N16)&amp;"")</f>
        <v/>
      </c>
      <c r="D16" s="74">
        <f>IF($N16="","",IF(INDEX('Cronograma R. Normativo'!$D$5:$D$1000,$N16)="","",INDEX('Cronograma R. Normativo'!$D$5:$D$1000,$N16)))</f>
        <v/>
      </c>
      <c r="E16" s="74">
        <f>IF($N16="","",IF(INDEX('Cronograma R. Normativo'!$E$5:$E$1000,$N16)="","",INDEX('Cronograma R. Normativo'!$E$5:$E$1000,$N16)))</f>
        <v/>
      </c>
      <c r="F16" s="60">
        <f>IF($N16="","",IF(NOT(ISNUMBER($E16)),"",IF($E16&lt;InicioCiclo,"Antes del ciclo",IF($E16&gt;=InicioCiclo+28,"Después del ciclo","Semana "&amp;(INT(($E16-InicioCiclo)/7)+1)))))</f>
        <v/>
      </c>
      <c r="G16" s="65">
        <f>IF($N16="","",IF(INDEX('Cronograma R. Normativo'!$G$5:$G$1000,$N16)="","",INDEX('Cronograma R. Normativo'!$G$5:$G$1000,$N16)))</f>
        <v/>
      </c>
      <c r="H16" s="65">
        <f>IF($N16="","",IF(INDEX('Cronograma R. Normativo'!$H$5:$H$1000,$N16)="","",INDEX('Cronograma R. Normativo'!$H$5:$H$1000,$N16)))</f>
        <v/>
      </c>
      <c r="I16" s="65">
        <f>IF($N16="","",IF(INDEX('Cronograma R. Normativo'!$I$5:$I$1000,$N16)="","",INDEX('Cronograma R. Normativo'!$I$5:$I$1000,$N16)))</f>
        <v/>
      </c>
      <c r="J16" s="65">
        <f>IF($N16="","",IF(INDEX('Cronograma R. Normativo'!$J$5:$J$1000,$N16)="","",INDEX('Cronograma R. Normativo'!$J$5:$J$1000,$N16)))</f>
        <v/>
      </c>
      <c r="K16" s="65">
        <f>IF($N16="","",INDEX('Cronograma R. Normativo'!$K$5:$K$1000,$N16))</f>
        <v/>
      </c>
      <c r="L16" s="60">
        <f>IF($N16="","",IF(N($K16)&gt;=1,"Completado",IF(AND(ISNUMBER($E16),$E16&lt;FechaRef),"Vencida",IF(N($K16)&gt;0,"En curso","Pendiente"))))</f>
        <v/>
      </c>
      <c r="M16" s="68">
        <f>IF($N16="","",INDEX('Cronograma R. Normativo'!$M$5:$M$1000,$N16)&amp;"")</f>
        <v/>
      </c>
      <c r="N16">
        <f>IFERROR(MATCH(ROW()-4,rOrden_RN,0),"")</f>
        <v/>
      </c>
    </row>
    <row r="17">
      <c r="A17" s="60">
        <f>IF($N17="","",INDEX('Cronograma R. Normativo'!$A$5:$A$1000,$N17))</f>
        <v/>
      </c>
      <c r="B17" s="68">
        <f>IF($N17="","",INDEX('Cronograma R. Normativo'!$B$5:$B$1000,$N17)&amp;"")</f>
        <v/>
      </c>
      <c r="C17" s="68">
        <f>IF($N17="","",INDEX('Cronograma R. Normativo'!$C$5:$C$1000,$N17)&amp;"")</f>
        <v/>
      </c>
      <c r="D17" s="74">
        <f>IF($N17="","",IF(INDEX('Cronograma R. Normativo'!$D$5:$D$1000,$N17)="","",INDEX('Cronograma R. Normativo'!$D$5:$D$1000,$N17)))</f>
        <v/>
      </c>
      <c r="E17" s="74">
        <f>IF($N17="","",IF(INDEX('Cronograma R. Normativo'!$E$5:$E$1000,$N17)="","",INDEX('Cronograma R. Normativo'!$E$5:$E$1000,$N17)))</f>
        <v/>
      </c>
      <c r="F17" s="60">
        <f>IF($N17="","",IF(NOT(ISNUMBER($E17)),"",IF($E17&lt;InicioCiclo,"Antes del ciclo",IF($E17&gt;=InicioCiclo+28,"Después del ciclo","Semana "&amp;(INT(($E17-InicioCiclo)/7)+1)))))</f>
        <v/>
      </c>
      <c r="G17" s="65">
        <f>IF($N17="","",IF(INDEX('Cronograma R. Normativo'!$G$5:$G$1000,$N17)="","",INDEX('Cronograma R. Normativo'!$G$5:$G$1000,$N17)))</f>
        <v/>
      </c>
      <c r="H17" s="65">
        <f>IF($N17="","",IF(INDEX('Cronograma R. Normativo'!$H$5:$H$1000,$N17)="","",INDEX('Cronograma R. Normativo'!$H$5:$H$1000,$N17)))</f>
        <v/>
      </c>
      <c r="I17" s="65">
        <f>IF($N17="","",IF(INDEX('Cronograma R. Normativo'!$I$5:$I$1000,$N17)="","",INDEX('Cronograma R. Normativo'!$I$5:$I$1000,$N17)))</f>
        <v/>
      </c>
      <c r="J17" s="65">
        <f>IF($N17="","",IF(INDEX('Cronograma R. Normativo'!$J$5:$J$1000,$N17)="","",INDEX('Cronograma R. Normativo'!$J$5:$J$1000,$N17)))</f>
        <v/>
      </c>
      <c r="K17" s="65">
        <f>IF($N17="","",INDEX('Cronograma R. Normativo'!$K$5:$K$1000,$N17))</f>
        <v/>
      </c>
      <c r="L17" s="60">
        <f>IF($N17="","",IF(N($K17)&gt;=1,"Completado",IF(AND(ISNUMBER($E17),$E17&lt;FechaRef),"Vencida",IF(N($K17)&gt;0,"En curso","Pendiente"))))</f>
        <v/>
      </c>
      <c r="M17" s="68">
        <f>IF($N17="","",INDEX('Cronograma R. Normativo'!$M$5:$M$1000,$N17)&amp;"")</f>
        <v/>
      </c>
      <c r="N17">
        <f>IFERROR(MATCH(ROW()-4,rOrden_RN,0),"")</f>
        <v/>
      </c>
    </row>
    <row r="18">
      <c r="A18" s="60">
        <f>IF($N18="","",INDEX('Cronograma R. Normativo'!$A$5:$A$1000,$N18))</f>
        <v/>
      </c>
      <c r="B18" s="68">
        <f>IF($N18="","",INDEX('Cronograma R. Normativo'!$B$5:$B$1000,$N18)&amp;"")</f>
        <v/>
      </c>
      <c r="C18" s="68">
        <f>IF($N18="","",INDEX('Cronograma R. Normativo'!$C$5:$C$1000,$N18)&amp;"")</f>
        <v/>
      </c>
      <c r="D18" s="74">
        <f>IF($N18="","",IF(INDEX('Cronograma R. Normativo'!$D$5:$D$1000,$N18)="","",INDEX('Cronograma R. Normativo'!$D$5:$D$1000,$N18)))</f>
        <v/>
      </c>
      <c r="E18" s="74">
        <f>IF($N18="","",IF(INDEX('Cronograma R. Normativo'!$E$5:$E$1000,$N18)="","",INDEX('Cronograma R. Normativo'!$E$5:$E$1000,$N18)))</f>
        <v/>
      </c>
      <c r="F18" s="60">
        <f>IF($N18="","",IF(NOT(ISNUMBER($E18)),"",IF($E18&lt;InicioCiclo,"Antes del ciclo",IF($E18&gt;=InicioCiclo+28,"Después del ciclo","Semana "&amp;(INT(($E18-InicioCiclo)/7)+1)))))</f>
        <v/>
      </c>
      <c r="G18" s="65">
        <f>IF($N18="","",IF(INDEX('Cronograma R. Normativo'!$G$5:$G$1000,$N18)="","",INDEX('Cronograma R. Normativo'!$G$5:$G$1000,$N18)))</f>
        <v/>
      </c>
      <c r="H18" s="65">
        <f>IF($N18="","",IF(INDEX('Cronograma R. Normativo'!$H$5:$H$1000,$N18)="","",INDEX('Cronograma R. Normativo'!$H$5:$H$1000,$N18)))</f>
        <v/>
      </c>
      <c r="I18" s="65">
        <f>IF($N18="","",IF(INDEX('Cronograma R. Normativo'!$I$5:$I$1000,$N18)="","",INDEX('Cronograma R. Normativo'!$I$5:$I$1000,$N18)))</f>
        <v/>
      </c>
      <c r="J18" s="65">
        <f>IF($N18="","",IF(INDEX('Cronograma R. Normativo'!$J$5:$J$1000,$N18)="","",INDEX('Cronograma R. Normativo'!$J$5:$J$1000,$N18)))</f>
        <v/>
      </c>
      <c r="K18" s="65">
        <f>IF($N18="","",INDEX('Cronograma R. Normativo'!$K$5:$K$1000,$N18))</f>
        <v/>
      </c>
      <c r="L18" s="60">
        <f>IF($N18="","",IF(N($K18)&gt;=1,"Completado",IF(AND(ISNUMBER($E18),$E18&lt;FechaRef),"Vencida",IF(N($K18)&gt;0,"En curso","Pendiente"))))</f>
        <v/>
      </c>
      <c r="M18" s="68">
        <f>IF($N18="","",INDEX('Cronograma R. Normativo'!$M$5:$M$1000,$N18)&amp;"")</f>
        <v/>
      </c>
      <c r="N18">
        <f>IFERROR(MATCH(ROW()-4,rOrden_RN,0),"")</f>
        <v/>
      </c>
    </row>
    <row r="19">
      <c r="A19" s="60">
        <f>IF($N19="","",INDEX('Cronograma R. Normativo'!$A$5:$A$1000,$N19))</f>
        <v/>
      </c>
      <c r="B19" s="68">
        <f>IF($N19="","",INDEX('Cronograma R. Normativo'!$B$5:$B$1000,$N19)&amp;"")</f>
        <v/>
      </c>
      <c r="C19" s="68">
        <f>IF($N19="","",INDEX('Cronograma R. Normativo'!$C$5:$C$1000,$N19)&amp;"")</f>
        <v/>
      </c>
      <c r="D19" s="74">
        <f>IF($N19="","",IF(INDEX('Cronograma R. Normativo'!$D$5:$D$1000,$N19)="","",INDEX('Cronograma R. Normativo'!$D$5:$D$1000,$N19)))</f>
        <v/>
      </c>
      <c r="E19" s="74">
        <f>IF($N19="","",IF(INDEX('Cronograma R. Normativo'!$E$5:$E$1000,$N19)="","",INDEX('Cronograma R. Normativo'!$E$5:$E$1000,$N19)))</f>
        <v/>
      </c>
      <c r="F19" s="60">
        <f>IF($N19="","",IF(NOT(ISNUMBER($E19)),"",IF($E19&lt;InicioCiclo,"Antes del ciclo",IF($E19&gt;=InicioCiclo+28,"Después del ciclo","Semana "&amp;(INT(($E19-InicioCiclo)/7)+1)))))</f>
        <v/>
      </c>
      <c r="G19" s="65">
        <f>IF($N19="","",IF(INDEX('Cronograma R. Normativo'!$G$5:$G$1000,$N19)="","",INDEX('Cronograma R. Normativo'!$G$5:$G$1000,$N19)))</f>
        <v/>
      </c>
      <c r="H19" s="65">
        <f>IF($N19="","",IF(INDEX('Cronograma R. Normativo'!$H$5:$H$1000,$N19)="","",INDEX('Cronograma R. Normativo'!$H$5:$H$1000,$N19)))</f>
        <v/>
      </c>
      <c r="I19" s="65">
        <f>IF($N19="","",IF(INDEX('Cronograma R. Normativo'!$I$5:$I$1000,$N19)="","",INDEX('Cronograma R. Normativo'!$I$5:$I$1000,$N19)))</f>
        <v/>
      </c>
      <c r="J19" s="65">
        <f>IF($N19="","",IF(INDEX('Cronograma R. Normativo'!$J$5:$J$1000,$N19)="","",INDEX('Cronograma R. Normativo'!$J$5:$J$1000,$N19)))</f>
        <v/>
      </c>
      <c r="K19" s="65">
        <f>IF($N19="","",INDEX('Cronograma R. Normativo'!$K$5:$K$1000,$N19))</f>
        <v/>
      </c>
      <c r="L19" s="60">
        <f>IF($N19="","",IF(N($K19)&gt;=1,"Completado",IF(AND(ISNUMBER($E19),$E19&lt;FechaRef),"Vencida",IF(N($K19)&gt;0,"En curso","Pendiente"))))</f>
        <v/>
      </c>
      <c r="M19" s="68">
        <f>IF($N19="","",INDEX('Cronograma R. Normativo'!$M$5:$M$1000,$N19)&amp;"")</f>
        <v/>
      </c>
      <c r="N19">
        <f>IFERROR(MATCH(ROW()-4,rOrden_RN,0),"")</f>
        <v/>
      </c>
    </row>
    <row r="20">
      <c r="A20" s="60">
        <f>IF($N20="","",INDEX('Cronograma R. Normativo'!$A$5:$A$1000,$N20))</f>
        <v/>
      </c>
      <c r="B20" s="68">
        <f>IF($N20="","",INDEX('Cronograma R. Normativo'!$B$5:$B$1000,$N20)&amp;"")</f>
        <v/>
      </c>
      <c r="C20" s="68">
        <f>IF($N20="","",INDEX('Cronograma R. Normativo'!$C$5:$C$1000,$N20)&amp;"")</f>
        <v/>
      </c>
      <c r="D20" s="74">
        <f>IF($N20="","",IF(INDEX('Cronograma R. Normativo'!$D$5:$D$1000,$N20)="","",INDEX('Cronograma R. Normativo'!$D$5:$D$1000,$N20)))</f>
        <v/>
      </c>
      <c r="E20" s="74">
        <f>IF($N20="","",IF(INDEX('Cronograma R. Normativo'!$E$5:$E$1000,$N20)="","",INDEX('Cronograma R. Normativo'!$E$5:$E$1000,$N20)))</f>
        <v/>
      </c>
      <c r="F20" s="60">
        <f>IF($N20="","",IF(NOT(ISNUMBER($E20)),"",IF($E20&lt;InicioCiclo,"Antes del ciclo",IF($E20&gt;=InicioCiclo+28,"Después del ciclo","Semana "&amp;(INT(($E20-InicioCiclo)/7)+1)))))</f>
        <v/>
      </c>
      <c r="G20" s="65">
        <f>IF($N20="","",IF(INDEX('Cronograma R. Normativo'!$G$5:$G$1000,$N20)="","",INDEX('Cronograma R. Normativo'!$G$5:$G$1000,$N20)))</f>
        <v/>
      </c>
      <c r="H20" s="65">
        <f>IF($N20="","",IF(INDEX('Cronograma R. Normativo'!$H$5:$H$1000,$N20)="","",INDEX('Cronograma R. Normativo'!$H$5:$H$1000,$N20)))</f>
        <v/>
      </c>
      <c r="I20" s="65">
        <f>IF($N20="","",IF(INDEX('Cronograma R. Normativo'!$I$5:$I$1000,$N20)="","",INDEX('Cronograma R. Normativo'!$I$5:$I$1000,$N20)))</f>
        <v/>
      </c>
      <c r="J20" s="65">
        <f>IF($N20="","",IF(INDEX('Cronograma R. Normativo'!$J$5:$J$1000,$N20)="","",INDEX('Cronograma R. Normativo'!$J$5:$J$1000,$N20)))</f>
        <v/>
      </c>
      <c r="K20" s="65">
        <f>IF($N20="","",INDEX('Cronograma R. Normativo'!$K$5:$K$1000,$N20))</f>
        <v/>
      </c>
      <c r="L20" s="60">
        <f>IF($N20="","",IF(N($K20)&gt;=1,"Completado",IF(AND(ISNUMBER($E20),$E20&lt;FechaRef),"Vencida",IF(N($K20)&gt;0,"En curso","Pendiente"))))</f>
        <v/>
      </c>
      <c r="M20" s="68">
        <f>IF($N20="","",INDEX('Cronograma R. Normativo'!$M$5:$M$1000,$N20)&amp;"")</f>
        <v/>
      </c>
      <c r="N20">
        <f>IFERROR(MATCH(ROW()-4,rOrden_RN,0),"")</f>
        <v/>
      </c>
    </row>
    <row r="21">
      <c r="A21" s="60">
        <f>IF($N21="","",INDEX('Cronograma R. Normativo'!$A$5:$A$1000,$N21))</f>
        <v/>
      </c>
      <c r="B21" s="68">
        <f>IF($N21="","",INDEX('Cronograma R. Normativo'!$B$5:$B$1000,$N21)&amp;"")</f>
        <v/>
      </c>
      <c r="C21" s="68">
        <f>IF($N21="","",INDEX('Cronograma R. Normativo'!$C$5:$C$1000,$N21)&amp;"")</f>
        <v/>
      </c>
      <c r="D21" s="74">
        <f>IF($N21="","",IF(INDEX('Cronograma R. Normativo'!$D$5:$D$1000,$N21)="","",INDEX('Cronograma R. Normativo'!$D$5:$D$1000,$N21)))</f>
        <v/>
      </c>
      <c r="E21" s="74">
        <f>IF($N21="","",IF(INDEX('Cronograma R. Normativo'!$E$5:$E$1000,$N21)="","",INDEX('Cronograma R. Normativo'!$E$5:$E$1000,$N21)))</f>
        <v/>
      </c>
      <c r="F21" s="60">
        <f>IF($N21="","",IF(NOT(ISNUMBER($E21)),"",IF($E21&lt;InicioCiclo,"Antes del ciclo",IF($E21&gt;=InicioCiclo+28,"Después del ciclo","Semana "&amp;(INT(($E21-InicioCiclo)/7)+1)))))</f>
        <v/>
      </c>
      <c r="G21" s="65">
        <f>IF($N21="","",IF(INDEX('Cronograma R. Normativo'!$G$5:$G$1000,$N21)="","",INDEX('Cronograma R. Normativo'!$G$5:$G$1000,$N21)))</f>
        <v/>
      </c>
      <c r="H21" s="65">
        <f>IF($N21="","",IF(INDEX('Cronograma R. Normativo'!$H$5:$H$1000,$N21)="","",INDEX('Cronograma R. Normativo'!$H$5:$H$1000,$N21)))</f>
        <v/>
      </c>
      <c r="I21" s="65">
        <f>IF($N21="","",IF(INDEX('Cronograma R. Normativo'!$I$5:$I$1000,$N21)="","",INDEX('Cronograma R. Normativo'!$I$5:$I$1000,$N21)))</f>
        <v/>
      </c>
      <c r="J21" s="65">
        <f>IF($N21="","",IF(INDEX('Cronograma R. Normativo'!$J$5:$J$1000,$N21)="","",INDEX('Cronograma R. Normativo'!$J$5:$J$1000,$N21)))</f>
        <v/>
      </c>
      <c r="K21" s="65">
        <f>IF($N21="","",INDEX('Cronograma R. Normativo'!$K$5:$K$1000,$N21))</f>
        <v/>
      </c>
      <c r="L21" s="60">
        <f>IF($N21="","",IF(N($K21)&gt;=1,"Completado",IF(AND(ISNUMBER($E21),$E21&lt;FechaRef),"Vencida",IF(N($K21)&gt;0,"En curso","Pendiente"))))</f>
        <v/>
      </c>
      <c r="M21" s="68">
        <f>IF($N21="","",INDEX('Cronograma R. Normativo'!$M$5:$M$1000,$N21)&amp;"")</f>
        <v/>
      </c>
      <c r="N21">
        <f>IFERROR(MATCH(ROW()-4,rOrden_RN,0),"")</f>
        <v/>
      </c>
    </row>
    <row r="22">
      <c r="A22" s="60">
        <f>IF($N22="","",INDEX('Cronograma R. Normativo'!$A$5:$A$1000,$N22))</f>
        <v/>
      </c>
      <c r="B22" s="68">
        <f>IF($N22="","",INDEX('Cronograma R. Normativo'!$B$5:$B$1000,$N22)&amp;"")</f>
        <v/>
      </c>
      <c r="C22" s="68">
        <f>IF($N22="","",INDEX('Cronograma R. Normativo'!$C$5:$C$1000,$N22)&amp;"")</f>
        <v/>
      </c>
      <c r="D22" s="74">
        <f>IF($N22="","",IF(INDEX('Cronograma R. Normativo'!$D$5:$D$1000,$N22)="","",INDEX('Cronograma R. Normativo'!$D$5:$D$1000,$N22)))</f>
        <v/>
      </c>
      <c r="E22" s="74">
        <f>IF($N22="","",IF(INDEX('Cronograma R. Normativo'!$E$5:$E$1000,$N22)="","",INDEX('Cronograma R. Normativo'!$E$5:$E$1000,$N22)))</f>
        <v/>
      </c>
      <c r="F22" s="60">
        <f>IF($N22="","",IF(NOT(ISNUMBER($E22)),"",IF($E22&lt;InicioCiclo,"Antes del ciclo",IF($E22&gt;=InicioCiclo+28,"Después del ciclo","Semana "&amp;(INT(($E22-InicioCiclo)/7)+1)))))</f>
        <v/>
      </c>
      <c r="G22" s="65">
        <f>IF($N22="","",IF(INDEX('Cronograma R. Normativo'!$G$5:$G$1000,$N22)="","",INDEX('Cronograma R. Normativo'!$G$5:$G$1000,$N22)))</f>
        <v/>
      </c>
      <c r="H22" s="65">
        <f>IF($N22="","",IF(INDEX('Cronograma R. Normativo'!$H$5:$H$1000,$N22)="","",INDEX('Cronograma R. Normativo'!$H$5:$H$1000,$N22)))</f>
        <v/>
      </c>
      <c r="I22" s="65">
        <f>IF($N22="","",IF(INDEX('Cronograma R. Normativo'!$I$5:$I$1000,$N22)="","",INDEX('Cronograma R. Normativo'!$I$5:$I$1000,$N22)))</f>
        <v/>
      </c>
      <c r="J22" s="65">
        <f>IF($N22="","",IF(INDEX('Cronograma R. Normativo'!$J$5:$J$1000,$N22)="","",INDEX('Cronograma R. Normativo'!$J$5:$J$1000,$N22)))</f>
        <v/>
      </c>
      <c r="K22" s="65">
        <f>IF($N22="","",INDEX('Cronograma R. Normativo'!$K$5:$K$1000,$N22))</f>
        <v/>
      </c>
      <c r="L22" s="60">
        <f>IF($N22="","",IF(N($K22)&gt;=1,"Completado",IF(AND(ISNUMBER($E22),$E22&lt;FechaRef),"Vencida",IF(N($K22)&gt;0,"En curso","Pendiente"))))</f>
        <v/>
      </c>
      <c r="M22" s="68">
        <f>IF($N22="","",INDEX('Cronograma R. Normativo'!$M$5:$M$1000,$N22)&amp;"")</f>
        <v/>
      </c>
      <c r="N22">
        <f>IFERROR(MATCH(ROW()-4,rOrden_RN,0),"")</f>
        <v/>
      </c>
    </row>
    <row r="23">
      <c r="A23" s="60">
        <f>IF($N23="","",INDEX('Cronograma R. Normativo'!$A$5:$A$1000,$N23))</f>
        <v/>
      </c>
      <c r="B23" s="68">
        <f>IF($N23="","",INDEX('Cronograma R. Normativo'!$B$5:$B$1000,$N23)&amp;"")</f>
        <v/>
      </c>
      <c r="C23" s="68">
        <f>IF($N23="","",INDEX('Cronograma R. Normativo'!$C$5:$C$1000,$N23)&amp;"")</f>
        <v/>
      </c>
      <c r="D23" s="74">
        <f>IF($N23="","",IF(INDEX('Cronograma R. Normativo'!$D$5:$D$1000,$N23)="","",INDEX('Cronograma R. Normativo'!$D$5:$D$1000,$N23)))</f>
        <v/>
      </c>
      <c r="E23" s="74">
        <f>IF($N23="","",IF(INDEX('Cronograma R. Normativo'!$E$5:$E$1000,$N23)="","",INDEX('Cronograma R. Normativo'!$E$5:$E$1000,$N23)))</f>
        <v/>
      </c>
      <c r="F23" s="60">
        <f>IF($N23="","",IF(NOT(ISNUMBER($E23)),"",IF($E23&lt;InicioCiclo,"Antes del ciclo",IF($E23&gt;=InicioCiclo+28,"Después del ciclo","Semana "&amp;(INT(($E23-InicioCiclo)/7)+1)))))</f>
        <v/>
      </c>
      <c r="G23" s="65">
        <f>IF($N23="","",IF(INDEX('Cronograma R. Normativo'!$G$5:$G$1000,$N23)="","",INDEX('Cronograma R. Normativo'!$G$5:$G$1000,$N23)))</f>
        <v/>
      </c>
      <c r="H23" s="65">
        <f>IF($N23="","",IF(INDEX('Cronograma R. Normativo'!$H$5:$H$1000,$N23)="","",INDEX('Cronograma R. Normativo'!$H$5:$H$1000,$N23)))</f>
        <v/>
      </c>
      <c r="I23" s="65">
        <f>IF($N23="","",IF(INDEX('Cronograma R. Normativo'!$I$5:$I$1000,$N23)="","",INDEX('Cronograma R. Normativo'!$I$5:$I$1000,$N23)))</f>
        <v/>
      </c>
      <c r="J23" s="65">
        <f>IF($N23="","",IF(INDEX('Cronograma R. Normativo'!$J$5:$J$1000,$N23)="","",INDEX('Cronograma R. Normativo'!$J$5:$J$1000,$N23)))</f>
        <v/>
      </c>
      <c r="K23" s="65">
        <f>IF($N23="","",INDEX('Cronograma R. Normativo'!$K$5:$K$1000,$N23))</f>
        <v/>
      </c>
      <c r="L23" s="60">
        <f>IF($N23="","",IF(N($K23)&gt;=1,"Completado",IF(AND(ISNUMBER($E23),$E23&lt;FechaRef),"Vencida",IF(N($K23)&gt;0,"En curso","Pendiente"))))</f>
        <v/>
      </c>
      <c r="M23" s="68">
        <f>IF($N23="","",INDEX('Cronograma R. Normativo'!$M$5:$M$1000,$N23)&amp;"")</f>
        <v/>
      </c>
      <c r="N23">
        <f>IFERROR(MATCH(ROW()-4,rOrden_RN,0),"")</f>
        <v/>
      </c>
    </row>
    <row r="24">
      <c r="A24" s="60">
        <f>IF($N24="","",INDEX('Cronograma R. Normativo'!$A$5:$A$1000,$N24))</f>
        <v/>
      </c>
      <c r="B24" s="68">
        <f>IF($N24="","",INDEX('Cronograma R. Normativo'!$B$5:$B$1000,$N24)&amp;"")</f>
        <v/>
      </c>
      <c r="C24" s="68">
        <f>IF($N24="","",INDEX('Cronograma R. Normativo'!$C$5:$C$1000,$N24)&amp;"")</f>
        <v/>
      </c>
      <c r="D24" s="74">
        <f>IF($N24="","",IF(INDEX('Cronograma R. Normativo'!$D$5:$D$1000,$N24)="","",INDEX('Cronograma R. Normativo'!$D$5:$D$1000,$N24)))</f>
        <v/>
      </c>
      <c r="E24" s="74">
        <f>IF($N24="","",IF(INDEX('Cronograma R. Normativo'!$E$5:$E$1000,$N24)="","",INDEX('Cronograma R. Normativo'!$E$5:$E$1000,$N24)))</f>
        <v/>
      </c>
      <c r="F24" s="60">
        <f>IF($N24="","",IF(NOT(ISNUMBER($E24)),"",IF($E24&lt;InicioCiclo,"Antes del ciclo",IF($E24&gt;=InicioCiclo+28,"Después del ciclo","Semana "&amp;(INT(($E24-InicioCiclo)/7)+1)))))</f>
        <v/>
      </c>
      <c r="G24" s="65">
        <f>IF($N24="","",IF(INDEX('Cronograma R. Normativo'!$G$5:$G$1000,$N24)="","",INDEX('Cronograma R. Normativo'!$G$5:$G$1000,$N24)))</f>
        <v/>
      </c>
      <c r="H24" s="65">
        <f>IF($N24="","",IF(INDEX('Cronograma R. Normativo'!$H$5:$H$1000,$N24)="","",INDEX('Cronograma R. Normativo'!$H$5:$H$1000,$N24)))</f>
        <v/>
      </c>
      <c r="I24" s="65">
        <f>IF($N24="","",IF(INDEX('Cronograma R. Normativo'!$I$5:$I$1000,$N24)="","",INDEX('Cronograma R. Normativo'!$I$5:$I$1000,$N24)))</f>
        <v/>
      </c>
      <c r="J24" s="65">
        <f>IF($N24="","",IF(INDEX('Cronograma R. Normativo'!$J$5:$J$1000,$N24)="","",INDEX('Cronograma R. Normativo'!$J$5:$J$1000,$N24)))</f>
        <v/>
      </c>
      <c r="K24" s="65">
        <f>IF($N24="","",INDEX('Cronograma R. Normativo'!$K$5:$K$1000,$N24))</f>
        <v/>
      </c>
      <c r="L24" s="60">
        <f>IF($N24="","",IF(N($K24)&gt;=1,"Completado",IF(AND(ISNUMBER($E24),$E24&lt;FechaRef),"Vencida",IF(N($K24)&gt;0,"En curso","Pendiente"))))</f>
        <v/>
      </c>
      <c r="M24" s="68">
        <f>IF($N24="","",INDEX('Cronograma R. Normativo'!$M$5:$M$1000,$N24)&amp;"")</f>
        <v/>
      </c>
      <c r="N24">
        <f>IFERROR(MATCH(ROW()-4,rOrden_RN,0),"")</f>
        <v/>
      </c>
    </row>
    <row r="25">
      <c r="A25" s="60">
        <f>IF($N25="","",INDEX('Cronograma R. Normativo'!$A$5:$A$1000,$N25))</f>
        <v/>
      </c>
      <c r="B25" s="68">
        <f>IF($N25="","",INDEX('Cronograma R. Normativo'!$B$5:$B$1000,$N25)&amp;"")</f>
        <v/>
      </c>
      <c r="C25" s="68">
        <f>IF($N25="","",INDEX('Cronograma R. Normativo'!$C$5:$C$1000,$N25)&amp;"")</f>
        <v/>
      </c>
      <c r="D25" s="74">
        <f>IF($N25="","",IF(INDEX('Cronograma R. Normativo'!$D$5:$D$1000,$N25)="","",INDEX('Cronograma R. Normativo'!$D$5:$D$1000,$N25)))</f>
        <v/>
      </c>
      <c r="E25" s="74">
        <f>IF($N25="","",IF(INDEX('Cronograma R. Normativo'!$E$5:$E$1000,$N25)="","",INDEX('Cronograma R. Normativo'!$E$5:$E$1000,$N25)))</f>
        <v/>
      </c>
      <c r="F25" s="60">
        <f>IF($N25="","",IF(NOT(ISNUMBER($E25)),"",IF($E25&lt;InicioCiclo,"Antes del ciclo",IF($E25&gt;=InicioCiclo+28,"Después del ciclo","Semana "&amp;(INT(($E25-InicioCiclo)/7)+1)))))</f>
        <v/>
      </c>
      <c r="G25" s="65">
        <f>IF($N25="","",IF(INDEX('Cronograma R. Normativo'!$G$5:$G$1000,$N25)="","",INDEX('Cronograma R. Normativo'!$G$5:$G$1000,$N25)))</f>
        <v/>
      </c>
      <c r="H25" s="65">
        <f>IF($N25="","",IF(INDEX('Cronograma R. Normativo'!$H$5:$H$1000,$N25)="","",INDEX('Cronograma R. Normativo'!$H$5:$H$1000,$N25)))</f>
        <v/>
      </c>
      <c r="I25" s="65">
        <f>IF($N25="","",IF(INDEX('Cronograma R. Normativo'!$I$5:$I$1000,$N25)="","",INDEX('Cronograma R. Normativo'!$I$5:$I$1000,$N25)))</f>
        <v/>
      </c>
      <c r="J25" s="65">
        <f>IF($N25="","",IF(INDEX('Cronograma R. Normativo'!$J$5:$J$1000,$N25)="","",INDEX('Cronograma R. Normativo'!$J$5:$J$1000,$N25)))</f>
        <v/>
      </c>
      <c r="K25" s="65">
        <f>IF($N25="","",INDEX('Cronograma R. Normativo'!$K$5:$K$1000,$N25))</f>
        <v/>
      </c>
      <c r="L25" s="60">
        <f>IF($N25="","",IF(N($K25)&gt;=1,"Completado",IF(AND(ISNUMBER($E25),$E25&lt;FechaRef),"Vencida",IF(N($K25)&gt;0,"En curso","Pendiente"))))</f>
        <v/>
      </c>
      <c r="M25" s="68">
        <f>IF($N25="","",INDEX('Cronograma R. Normativo'!$M$5:$M$1000,$N25)&amp;"")</f>
        <v/>
      </c>
      <c r="N25">
        <f>IFERROR(MATCH(ROW()-4,rOrden_RN,0),"")</f>
        <v/>
      </c>
    </row>
    <row r="26">
      <c r="A26" s="60">
        <f>IF($N26="","",INDEX('Cronograma R. Normativo'!$A$5:$A$1000,$N26))</f>
        <v/>
      </c>
      <c r="B26" s="68">
        <f>IF($N26="","",INDEX('Cronograma R. Normativo'!$B$5:$B$1000,$N26)&amp;"")</f>
        <v/>
      </c>
      <c r="C26" s="68">
        <f>IF($N26="","",INDEX('Cronograma R. Normativo'!$C$5:$C$1000,$N26)&amp;"")</f>
        <v/>
      </c>
      <c r="D26" s="74">
        <f>IF($N26="","",IF(INDEX('Cronograma R. Normativo'!$D$5:$D$1000,$N26)="","",INDEX('Cronograma R. Normativo'!$D$5:$D$1000,$N26)))</f>
        <v/>
      </c>
      <c r="E26" s="74">
        <f>IF($N26="","",IF(INDEX('Cronograma R. Normativo'!$E$5:$E$1000,$N26)="","",INDEX('Cronograma R. Normativo'!$E$5:$E$1000,$N26)))</f>
        <v/>
      </c>
      <c r="F26" s="60">
        <f>IF($N26="","",IF(NOT(ISNUMBER($E26)),"",IF($E26&lt;InicioCiclo,"Antes del ciclo",IF($E26&gt;=InicioCiclo+28,"Después del ciclo","Semana "&amp;(INT(($E26-InicioCiclo)/7)+1)))))</f>
        <v/>
      </c>
      <c r="G26" s="65">
        <f>IF($N26="","",IF(INDEX('Cronograma R. Normativo'!$G$5:$G$1000,$N26)="","",INDEX('Cronograma R. Normativo'!$G$5:$G$1000,$N26)))</f>
        <v/>
      </c>
      <c r="H26" s="65">
        <f>IF($N26="","",IF(INDEX('Cronograma R. Normativo'!$H$5:$H$1000,$N26)="","",INDEX('Cronograma R. Normativo'!$H$5:$H$1000,$N26)))</f>
        <v/>
      </c>
      <c r="I26" s="65">
        <f>IF($N26="","",IF(INDEX('Cronograma R. Normativo'!$I$5:$I$1000,$N26)="","",INDEX('Cronograma R. Normativo'!$I$5:$I$1000,$N26)))</f>
        <v/>
      </c>
      <c r="J26" s="65">
        <f>IF($N26="","",IF(INDEX('Cronograma R. Normativo'!$J$5:$J$1000,$N26)="","",INDEX('Cronograma R. Normativo'!$J$5:$J$1000,$N26)))</f>
        <v/>
      </c>
      <c r="K26" s="65">
        <f>IF($N26="","",INDEX('Cronograma R. Normativo'!$K$5:$K$1000,$N26))</f>
        <v/>
      </c>
      <c r="L26" s="60">
        <f>IF($N26="","",IF(N($K26)&gt;=1,"Completado",IF(AND(ISNUMBER($E26),$E26&lt;FechaRef),"Vencida",IF(N($K26)&gt;0,"En curso","Pendiente"))))</f>
        <v/>
      </c>
      <c r="M26" s="68">
        <f>IF($N26="","",INDEX('Cronograma R. Normativo'!$M$5:$M$1000,$N26)&amp;"")</f>
        <v/>
      </c>
      <c r="N26">
        <f>IFERROR(MATCH(ROW()-4,rOrden_RN,0),"")</f>
        <v/>
      </c>
    </row>
    <row r="27">
      <c r="A27" s="60">
        <f>IF($N27="","",INDEX('Cronograma R. Normativo'!$A$5:$A$1000,$N27))</f>
        <v/>
      </c>
      <c r="B27" s="68">
        <f>IF($N27="","",INDEX('Cronograma R. Normativo'!$B$5:$B$1000,$N27)&amp;"")</f>
        <v/>
      </c>
      <c r="C27" s="68">
        <f>IF($N27="","",INDEX('Cronograma R. Normativo'!$C$5:$C$1000,$N27)&amp;"")</f>
        <v/>
      </c>
      <c r="D27" s="74">
        <f>IF($N27="","",IF(INDEX('Cronograma R. Normativo'!$D$5:$D$1000,$N27)="","",INDEX('Cronograma R. Normativo'!$D$5:$D$1000,$N27)))</f>
        <v/>
      </c>
      <c r="E27" s="74">
        <f>IF($N27="","",IF(INDEX('Cronograma R. Normativo'!$E$5:$E$1000,$N27)="","",INDEX('Cronograma R. Normativo'!$E$5:$E$1000,$N27)))</f>
        <v/>
      </c>
      <c r="F27" s="60">
        <f>IF($N27="","",IF(NOT(ISNUMBER($E27)),"",IF($E27&lt;InicioCiclo,"Antes del ciclo",IF($E27&gt;=InicioCiclo+28,"Después del ciclo","Semana "&amp;(INT(($E27-InicioCiclo)/7)+1)))))</f>
        <v/>
      </c>
      <c r="G27" s="65">
        <f>IF($N27="","",IF(INDEX('Cronograma R. Normativo'!$G$5:$G$1000,$N27)="","",INDEX('Cronograma R. Normativo'!$G$5:$G$1000,$N27)))</f>
        <v/>
      </c>
      <c r="H27" s="65">
        <f>IF($N27="","",IF(INDEX('Cronograma R. Normativo'!$H$5:$H$1000,$N27)="","",INDEX('Cronograma R. Normativo'!$H$5:$H$1000,$N27)))</f>
        <v/>
      </c>
      <c r="I27" s="65">
        <f>IF($N27="","",IF(INDEX('Cronograma R. Normativo'!$I$5:$I$1000,$N27)="","",INDEX('Cronograma R. Normativo'!$I$5:$I$1000,$N27)))</f>
        <v/>
      </c>
      <c r="J27" s="65">
        <f>IF($N27="","",IF(INDEX('Cronograma R. Normativo'!$J$5:$J$1000,$N27)="","",INDEX('Cronograma R. Normativo'!$J$5:$J$1000,$N27)))</f>
        <v/>
      </c>
      <c r="K27" s="65">
        <f>IF($N27="","",INDEX('Cronograma R. Normativo'!$K$5:$K$1000,$N27))</f>
        <v/>
      </c>
      <c r="L27" s="60">
        <f>IF($N27="","",IF(N($K27)&gt;=1,"Completado",IF(AND(ISNUMBER($E27),$E27&lt;FechaRef),"Vencida",IF(N($K27)&gt;0,"En curso","Pendiente"))))</f>
        <v/>
      </c>
      <c r="M27" s="68">
        <f>IF($N27="","",INDEX('Cronograma R. Normativo'!$M$5:$M$1000,$N27)&amp;"")</f>
        <v/>
      </c>
      <c r="N27">
        <f>IFERROR(MATCH(ROW()-4,rOrden_RN,0),"")</f>
        <v/>
      </c>
    </row>
    <row r="28">
      <c r="A28" s="60">
        <f>IF($N28="","",INDEX('Cronograma R. Normativo'!$A$5:$A$1000,$N28))</f>
        <v/>
      </c>
      <c r="B28" s="68">
        <f>IF($N28="","",INDEX('Cronograma R. Normativo'!$B$5:$B$1000,$N28)&amp;"")</f>
        <v/>
      </c>
      <c r="C28" s="68">
        <f>IF($N28="","",INDEX('Cronograma R. Normativo'!$C$5:$C$1000,$N28)&amp;"")</f>
        <v/>
      </c>
      <c r="D28" s="74">
        <f>IF($N28="","",IF(INDEX('Cronograma R. Normativo'!$D$5:$D$1000,$N28)="","",INDEX('Cronograma R. Normativo'!$D$5:$D$1000,$N28)))</f>
        <v/>
      </c>
      <c r="E28" s="74">
        <f>IF($N28="","",IF(INDEX('Cronograma R. Normativo'!$E$5:$E$1000,$N28)="","",INDEX('Cronograma R. Normativo'!$E$5:$E$1000,$N28)))</f>
        <v/>
      </c>
      <c r="F28" s="60">
        <f>IF($N28="","",IF(NOT(ISNUMBER($E28)),"",IF($E28&lt;InicioCiclo,"Antes del ciclo",IF($E28&gt;=InicioCiclo+28,"Después del ciclo","Semana "&amp;(INT(($E28-InicioCiclo)/7)+1)))))</f>
        <v/>
      </c>
      <c r="G28" s="65">
        <f>IF($N28="","",IF(INDEX('Cronograma R. Normativo'!$G$5:$G$1000,$N28)="","",INDEX('Cronograma R. Normativo'!$G$5:$G$1000,$N28)))</f>
        <v/>
      </c>
      <c r="H28" s="65">
        <f>IF($N28="","",IF(INDEX('Cronograma R. Normativo'!$H$5:$H$1000,$N28)="","",INDEX('Cronograma R. Normativo'!$H$5:$H$1000,$N28)))</f>
        <v/>
      </c>
      <c r="I28" s="65">
        <f>IF($N28="","",IF(INDEX('Cronograma R. Normativo'!$I$5:$I$1000,$N28)="","",INDEX('Cronograma R. Normativo'!$I$5:$I$1000,$N28)))</f>
        <v/>
      </c>
      <c r="J28" s="65">
        <f>IF($N28="","",IF(INDEX('Cronograma R. Normativo'!$J$5:$J$1000,$N28)="","",INDEX('Cronograma R. Normativo'!$J$5:$J$1000,$N28)))</f>
        <v/>
      </c>
      <c r="K28" s="65">
        <f>IF($N28="","",INDEX('Cronograma R. Normativo'!$K$5:$K$1000,$N28))</f>
        <v/>
      </c>
      <c r="L28" s="60">
        <f>IF($N28="","",IF(N($K28)&gt;=1,"Completado",IF(AND(ISNUMBER($E28),$E28&lt;FechaRef),"Vencida",IF(N($K28)&gt;0,"En curso","Pendiente"))))</f>
        <v/>
      </c>
      <c r="M28" s="68">
        <f>IF($N28="","",INDEX('Cronograma R. Normativo'!$M$5:$M$1000,$N28)&amp;"")</f>
        <v/>
      </c>
      <c r="N28">
        <f>IFERROR(MATCH(ROW()-4,rOrden_RN,0),"")</f>
        <v/>
      </c>
    </row>
    <row r="29">
      <c r="A29" s="60">
        <f>IF($N29="","",INDEX('Cronograma R. Normativo'!$A$5:$A$1000,$N29))</f>
        <v/>
      </c>
      <c r="B29" s="68">
        <f>IF($N29="","",INDEX('Cronograma R. Normativo'!$B$5:$B$1000,$N29)&amp;"")</f>
        <v/>
      </c>
      <c r="C29" s="68">
        <f>IF($N29="","",INDEX('Cronograma R. Normativo'!$C$5:$C$1000,$N29)&amp;"")</f>
        <v/>
      </c>
      <c r="D29" s="74">
        <f>IF($N29="","",IF(INDEX('Cronograma R. Normativo'!$D$5:$D$1000,$N29)="","",INDEX('Cronograma R. Normativo'!$D$5:$D$1000,$N29)))</f>
        <v/>
      </c>
      <c r="E29" s="74">
        <f>IF($N29="","",IF(INDEX('Cronograma R. Normativo'!$E$5:$E$1000,$N29)="","",INDEX('Cronograma R. Normativo'!$E$5:$E$1000,$N29)))</f>
        <v/>
      </c>
      <c r="F29" s="60">
        <f>IF($N29="","",IF(NOT(ISNUMBER($E29)),"",IF($E29&lt;InicioCiclo,"Antes del ciclo",IF($E29&gt;=InicioCiclo+28,"Después del ciclo","Semana "&amp;(INT(($E29-InicioCiclo)/7)+1)))))</f>
        <v/>
      </c>
      <c r="G29" s="65">
        <f>IF($N29="","",IF(INDEX('Cronograma R. Normativo'!$G$5:$G$1000,$N29)="","",INDEX('Cronograma R. Normativo'!$G$5:$G$1000,$N29)))</f>
        <v/>
      </c>
      <c r="H29" s="65">
        <f>IF($N29="","",IF(INDEX('Cronograma R. Normativo'!$H$5:$H$1000,$N29)="","",INDEX('Cronograma R. Normativo'!$H$5:$H$1000,$N29)))</f>
        <v/>
      </c>
      <c r="I29" s="65">
        <f>IF($N29="","",IF(INDEX('Cronograma R. Normativo'!$I$5:$I$1000,$N29)="","",INDEX('Cronograma R. Normativo'!$I$5:$I$1000,$N29)))</f>
        <v/>
      </c>
      <c r="J29" s="65">
        <f>IF($N29="","",IF(INDEX('Cronograma R. Normativo'!$J$5:$J$1000,$N29)="","",INDEX('Cronograma R. Normativo'!$J$5:$J$1000,$N29)))</f>
        <v/>
      </c>
      <c r="K29" s="65">
        <f>IF($N29="","",INDEX('Cronograma R. Normativo'!$K$5:$K$1000,$N29))</f>
        <v/>
      </c>
      <c r="L29" s="60">
        <f>IF($N29="","",IF(N($K29)&gt;=1,"Completado",IF(AND(ISNUMBER($E29),$E29&lt;FechaRef),"Vencida",IF(N($K29)&gt;0,"En curso","Pendiente"))))</f>
        <v/>
      </c>
      <c r="M29" s="68">
        <f>IF($N29="","",INDEX('Cronograma R. Normativo'!$M$5:$M$1000,$N29)&amp;"")</f>
        <v/>
      </c>
      <c r="N29">
        <f>IFERROR(MATCH(ROW()-4,rOrden_RN,0),"")</f>
        <v/>
      </c>
    </row>
    <row r="30">
      <c r="A30" s="60">
        <f>IF($N30="","",INDEX('Cronograma R. Normativo'!$A$5:$A$1000,$N30))</f>
        <v/>
      </c>
      <c r="B30" s="68">
        <f>IF($N30="","",INDEX('Cronograma R. Normativo'!$B$5:$B$1000,$N30)&amp;"")</f>
        <v/>
      </c>
      <c r="C30" s="68">
        <f>IF($N30="","",INDEX('Cronograma R. Normativo'!$C$5:$C$1000,$N30)&amp;"")</f>
        <v/>
      </c>
      <c r="D30" s="74">
        <f>IF($N30="","",IF(INDEX('Cronograma R. Normativo'!$D$5:$D$1000,$N30)="","",INDEX('Cronograma R. Normativo'!$D$5:$D$1000,$N30)))</f>
        <v/>
      </c>
      <c r="E30" s="74">
        <f>IF($N30="","",IF(INDEX('Cronograma R. Normativo'!$E$5:$E$1000,$N30)="","",INDEX('Cronograma R. Normativo'!$E$5:$E$1000,$N30)))</f>
        <v/>
      </c>
      <c r="F30" s="60">
        <f>IF($N30="","",IF(NOT(ISNUMBER($E30)),"",IF($E30&lt;InicioCiclo,"Antes del ciclo",IF($E30&gt;=InicioCiclo+28,"Después del ciclo","Semana "&amp;(INT(($E30-InicioCiclo)/7)+1)))))</f>
        <v/>
      </c>
      <c r="G30" s="65">
        <f>IF($N30="","",IF(INDEX('Cronograma R. Normativo'!$G$5:$G$1000,$N30)="","",INDEX('Cronograma R. Normativo'!$G$5:$G$1000,$N30)))</f>
        <v/>
      </c>
      <c r="H30" s="65">
        <f>IF($N30="","",IF(INDEX('Cronograma R. Normativo'!$H$5:$H$1000,$N30)="","",INDEX('Cronograma R. Normativo'!$H$5:$H$1000,$N30)))</f>
        <v/>
      </c>
      <c r="I30" s="65">
        <f>IF($N30="","",IF(INDEX('Cronograma R. Normativo'!$I$5:$I$1000,$N30)="","",INDEX('Cronograma R. Normativo'!$I$5:$I$1000,$N30)))</f>
        <v/>
      </c>
      <c r="J30" s="65">
        <f>IF($N30="","",IF(INDEX('Cronograma R. Normativo'!$J$5:$J$1000,$N30)="","",INDEX('Cronograma R. Normativo'!$J$5:$J$1000,$N30)))</f>
        <v/>
      </c>
      <c r="K30" s="65">
        <f>IF($N30="","",INDEX('Cronograma R. Normativo'!$K$5:$K$1000,$N30))</f>
        <v/>
      </c>
      <c r="L30" s="60">
        <f>IF($N30="","",IF(N($K30)&gt;=1,"Completado",IF(AND(ISNUMBER($E30),$E30&lt;FechaRef),"Vencida",IF(N($K30)&gt;0,"En curso","Pendiente"))))</f>
        <v/>
      </c>
      <c r="M30" s="68">
        <f>IF($N30="","",INDEX('Cronograma R. Normativo'!$M$5:$M$1000,$N30)&amp;"")</f>
        <v/>
      </c>
      <c r="N30">
        <f>IFERROR(MATCH(ROW()-4,rOrden_RN,0),"")</f>
        <v/>
      </c>
    </row>
    <row r="31">
      <c r="A31" s="60">
        <f>IF($N31="","",INDEX('Cronograma R. Normativo'!$A$5:$A$1000,$N31))</f>
        <v/>
      </c>
      <c r="B31" s="68">
        <f>IF($N31="","",INDEX('Cronograma R. Normativo'!$B$5:$B$1000,$N31)&amp;"")</f>
        <v/>
      </c>
      <c r="C31" s="68">
        <f>IF($N31="","",INDEX('Cronograma R. Normativo'!$C$5:$C$1000,$N31)&amp;"")</f>
        <v/>
      </c>
      <c r="D31" s="74">
        <f>IF($N31="","",IF(INDEX('Cronograma R. Normativo'!$D$5:$D$1000,$N31)="","",INDEX('Cronograma R. Normativo'!$D$5:$D$1000,$N31)))</f>
        <v/>
      </c>
      <c r="E31" s="74">
        <f>IF($N31="","",IF(INDEX('Cronograma R. Normativo'!$E$5:$E$1000,$N31)="","",INDEX('Cronograma R. Normativo'!$E$5:$E$1000,$N31)))</f>
        <v/>
      </c>
      <c r="F31" s="60">
        <f>IF($N31="","",IF(NOT(ISNUMBER($E31)),"",IF($E31&lt;InicioCiclo,"Antes del ciclo",IF($E31&gt;=InicioCiclo+28,"Después del ciclo","Semana "&amp;(INT(($E31-InicioCiclo)/7)+1)))))</f>
        <v/>
      </c>
      <c r="G31" s="65">
        <f>IF($N31="","",IF(INDEX('Cronograma R. Normativo'!$G$5:$G$1000,$N31)="","",INDEX('Cronograma R. Normativo'!$G$5:$G$1000,$N31)))</f>
        <v/>
      </c>
      <c r="H31" s="65">
        <f>IF($N31="","",IF(INDEX('Cronograma R. Normativo'!$H$5:$H$1000,$N31)="","",INDEX('Cronograma R. Normativo'!$H$5:$H$1000,$N31)))</f>
        <v/>
      </c>
      <c r="I31" s="65">
        <f>IF($N31="","",IF(INDEX('Cronograma R. Normativo'!$I$5:$I$1000,$N31)="","",INDEX('Cronograma R. Normativo'!$I$5:$I$1000,$N31)))</f>
        <v/>
      </c>
      <c r="J31" s="65">
        <f>IF($N31="","",IF(INDEX('Cronograma R. Normativo'!$J$5:$J$1000,$N31)="","",INDEX('Cronograma R. Normativo'!$J$5:$J$1000,$N31)))</f>
        <v/>
      </c>
      <c r="K31" s="65">
        <f>IF($N31="","",INDEX('Cronograma R. Normativo'!$K$5:$K$1000,$N31))</f>
        <v/>
      </c>
      <c r="L31" s="60">
        <f>IF($N31="","",IF(N($K31)&gt;=1,"Completado",IF(AND(ISNUMBER($E31),$E31&lt;FechaRef),"Vencida",IF(N($K31)&gt;0,"En curso","Pendiente"))))</f>
        <v/>
      </c>
      <c r="M31" s="68">
        <f>IF($N31="","",INDEX('Cronograma R. Normativo'!$M$5:$M$1000,$N31)&amp;"")</f>
        <v/>
      </c>
      <c r="N31">
        <f>IFERROR(MATCH(ROW()-4,rOrden_RN,0),"")</f>
        <v/>
      </c>
    </row>
    <row r="32">
      <c r="A32" s="60">
        <f>IF($N32="","",INDEX('Cronograma R. Normativo'!$A$5:$A$1000,$N32))</f>
        <v/>
      </c>
      <c r="B32" s="68">
        <f>IF($N32="","",INDEX('Cronograma R. Normativo'!$B$5:$B$1000,$N32)&amp;"")</f>
        <v/>
      </c>
      <c r="C32" s="68">
        <f>IF($N32="","",INDEX('Cronograma R. Normativo'!$C$5:$C$1000,$N32)&amp;"")</f>
        <v/>
      </c>
      <c r="D32" s="74">
        <f>IF($N32="","",IF(INDEX('Cronograma R. Normativo'!$D$5:$D$1000,$N32)="","",INDEX('Cronograma R. Normativo'!$D$5:$D$1000,$N32)))</f>
        <v/>
      </c>
      <c r="E32" s="74">
        <f>IF($N32="","",IF(INDEX('Cronograma R. Normativo'!$E$5:$E$1000,$N32)="","",INDEX('Cronograma R. Normativo'!$E$5:$E$1000,$N32)))</f>
        <v/>
      </c>
      <c r="F32" s="60">
        <f>IF($N32="","",IF(NOT(ISNUMBER($E32)),"",IF($E32&lt;InicioCiclo,"Antes del ciclo",IF($E32&gt;=InicioCiclo+28,"Después del ciclo","Semana "&amp;(INT(($E32-InicioCiclo)/7)+1)))))</f>
        <v/>
      </c>
      <c r="G32" s="65">
        <f>IF($N32="","",IF(INDEX('Cronograma R. Normativo'!$G$5:$G$1000,$N32)="","",INDEX('Cronograma R. Normativo'!$G$5:$G$1000,$N32)))</f>
        <v/>
      </c>
      <c r="H32" s="65">
        <f>IF($N32="","",IF(INDEX('Cronograma R. Normativo'!$H$5:$H$1000,$N32)="","",INDEX('Cronograma R. Normativo'!$H$5:$H$1000,$N32)))</f>
        <v/>
      </c>
      <c r="I32" s="65">
        <f>IF($N32="","",IF(INDEX('Cronograma R. Normativo'!$I$5:$I$1000,$N32)="","",INDEX('Cronograma R. Normativo'!$I$5:$I$1000,$N32)))</f>
        <v/>
      </c>
      <c r="J32" s="65">
        <f>IF($N32="","",IF(INDEX('Cronograma R. Normativo'!$J$5:$J$1000,$N32)="","",INDEX('Cronograma R. Normativo'!$J$5:$J$1000,$N32)))</f>
        <v/>
      </c>
      <c r="K32" s="65">
        <f>IF($N32="","",INDEX('Cronograma R. Normativo'!$K$5:$K$1000,$N32))</f>
        <v/>
      </c>
      <c r="L32" s="60">
        <f>IF($N32="","",IF(N($K32)&gt;=1,"Completado",IF(AND(ISNUMBER($E32),$E32&lt;FechaRef),"Vencida",IF(N($K32)&gt;0,"En curso","Pendiente"))))</f>
        <v/>
      </c>
      <c r="M32" s="68">
        <f>IF($N32="","",INDEX('Cronograma R. Normativo'!$M$5:$M$1000,$N32)&amp;"")</f>
        <v/>
      </c>
      <c r="N32">
        <f>IFERROR(MATCH(ROW()-4,rOrden_RN,0),"")</f>
        <v/>
      </c>
    </row>
    <row r="33">
      <c r="A33" s="60">
        <f>IF($N33="","",INDEX('Cronograma R. Normativo'!$A$5:$A$1000,$N33))</f>
        <v/>
      </c>
      <c r="B33" s="68">
        <f>IF($N33="","",INDEX('Cronograma R. Normativo'!$B$5:$B$1000,$N33)&amp;"")</f>
        <v/>
      </c>
      <c r="C33" s="68">
        <f>IF($N33="","",INDEX('Cronograma R. Normativo'!$C$5:$C$1000,$N33)&amp;"")</f>
        <v/>
      </c>
      <c r="D33" s="74">
        <f>IF($N33="","",IF(INDEX('Cronograma R. Normativo'!$D$5:$D$1000,$N33)="","",INDEX('Cronograma R. Normativo'!$D$5:$D$1000,$N33)))</f>
        <v/>
      </c>
      <c r="E33" s="74">
        <f>IF($N33="","",IF(INDEX('Cronograma R. Normativo'!$E$5:$E$1000,$N33)="","",INDEX('Cronograma R. Normativo'!$E$5:$E$1000,$N33)))</f>
        <v/>
      </c>
      <c r="F33" s="60">
        <f>IF($N33="","",IF(NOT(ISNUMBER($E33)),"",IF($E33&lt;InicioCiclo,"Antes del ciclo",IF($E33&gt;=InicioCiclo+28,"Después del ciclo","Semana "&amp;(INT(($E33-InicioCiclo)/7)+1)))))</f>
        <v/>
      </c>
      <c r="G33" s="65">
        <f>IF($N33="","",IF(INDEX('Cronograma R. Normativo'!$G$5:$G$1000,$N33)="","",INDEX('Cronograma R. Normativo'!$G$5:$G$1000,$N33)))</f>
        <v/>
      </c>
      <c r="H33" s="65">
        <f>IF($N33="","",IF(INDEX('Cronograma R. Normativo'!$H$5:$H$1000,$N33)="","",INDEX('Cronograma R. Normativo'!$H$5:$H$1000,$N33)))</f>
        <v/>
      </c>
      <c r="I33" s="65">
        <f>IF($N33="","",IF(INDEX('Cronograma R. Normativo'!$I$5:$I$1000,$N33)="","",INDEX('Cronograma R. Normativo'!$I$5:$I$1000,$N33)))</f>
        <v/>
      </c>
      <c r="J33" s="65">
        <f>IF($N33="","",IF(INDEX('Cronograma R. Normativo'!$J$5:$J$1000,$N33)="","",INDEX('Cronograma R. Normativo'!$J$5:$J$1000,$N33)))</f>
        <v/>
      </c>
      <c r="K33" s="65">
        <f>IF($N33="","",INDEX('Cronograma R. Normativo'!$K$5:$K$1000,$N33))</f>
        <v/>
      </c>
      <c r="L33" s="60">
        <f>IF($N33="","",IF(N($K33)&gt;=1,"Completado",IF(AND(ISNUMBER($E33),$E33&lt;FechaRef),"Vencida",IF(N($K33)&gt;0,"En curso","Pendiente"))))</f>
        <v/>
      </c>
      <c r="M33" s="68">
        <f>IF($N33="","",INDEX('Cronograma R. Normativo'!$M$5:$M$1000,$N33)&amp;"")</f>
        <v/>
      </c>
      <c r="N33">
        <f>IFERROR(MATCH(ROW()-4,rOrden_RN,0),"")</f>
        <v/>
      </c>
    </row>
    <row r="34">
      <c r="A34" s="60">
        <f>IF($N34="","",INDEX('Cronograma R. Normativo'!$A$5:$A$1000,$N34))</f>
        <v/>
      </c>
      <c r="B34" s="68">
        <f>IF($N34="","",INDEX('Cronograma R. Normativo'!$B$5:$B$1000,$N34)&amp;"")</f>
        <v/>
      </c>
      <c r="C34" s="68">
        <f>IF($N34="","",INDEX('Cronograma R. Normativo'!$C$5:$C$1000,$N34)&amp;"")</f>
        <v/>
      </c>
      <c r="D34" s="74">
        <f>IF($N34="","",IF(INDEX('Cronograma R. Normativo'!$D$5:$D$1000,$N34)="","",INDEX('Cronograma R. Normativo'!$D$5:$D$1000,$N34)))</f>
        <v/>
      </c>
      <c r="E34" s="74">
        <f>IF($N34="","",IF(INDEX('Cronograma R. Normativo'!$E$5:$E$1000,$N34)="","",INDEX('Cronograma R. Normativo'!$E$5:$E$1000,$N34)))</f>
        <v/>
      </c>
      <c r="F34" s="60">
        <f>IF($N34="","",IF(NOT(ISNUMBER($E34)),"",IF($E34&lt;InicioCiclo,"Antes del ciclo",IF($E34&gt;=InicioCiclo+28,"Después del ciclo","Semana "&amp;(INT(($E34-InicioCiclo)/7)+1)))))</f>
        <v/>
      </c>
      <c r="G34" s="65">
        <f>IF($N34="","",IF(INDEX('Cronograma R. Normativo'!$G$5:$G$1000,$N34)="","",INDEX('Cronograma R. Normativo'!$G$5:$G$1000,$N34)))</f>
        <v/>
      </c>
      <c r="H34" s="65">
        <f>IF($N34="","",IF(INDEX('Cronograma R. Normativo'!$H$5:$H$1000,$N34)="","",INDEX('Cronograma R. Normativo'!$H$5:$H$1000,$N34)))</f>
        <v/>
      </c>
      <c r="I34" s="65">
        <f>IF($N34="","",IF(INDEX('Cronograma R. Normativo'!$I$5:$I$1000,$N34)="","",INDEX('Cronograma R. Normativo'!$I$5:$I$1000,$N34)))</f>
        <v/>
      </c>
      <c r="J34" s="65">
        <f>IF($N34="","",IF(INDEX('Cronograma R. Normativo'!$J$5:$J$1000,$N34)="","",INDEX('Cronograma R. Normativo'!$J$5:$J$1000,$N34)))</f>
        <v/>
      </c>
      <c r="K34" s="65">
        <f>IF($N34="","",INDEX('Cronograma R. Normativo'!$K$5:$K$1000,$N34))</f>
        <v/>
      </c>
      <c r="L34" s="60">
        <f>IF($N34="","",IF(N($K34)&gt;=1,"Completado",IF(AND(ISNUMBER($E34),$E34&lt;FechaRef),"Vencida",IF(N($K34)&gt;0,"En curso","Pendiente"))))</f>
        <v/>
      </c>
      <c r="M34" s="68">
        <f>IF($N34="","",INDEX('Cronograma R. Normativo'!$M$5:$M$1000,$N34)&amp;"")</f>
        <v/>
      </c>
      <c r="N34">
        <f>IFERROR(MATCH(ROW()-4,rOrden_RN,0),"")</f>
        <v/>
      </c>
    </row>
    <row r="35">
      <c r="A35" s="60">
        <f>IF($N35="","",INDEX('Cronograma R. Normativo'!$A$5:$A$1000,$N35))</f>
        <v/>
      </c>
      <c r="B35" s="68">
        <f>IF($N35="","",INDEX('Cronograma R. Normativo'!$B$5:$B$1000,$N35)&amp;"")</f>
        <v/>
      </c>
      <c r="C35" s="68">
        <f>IF($N35="","",INDEX('Cronograma R. Normativo'!$C$5:$C$1000,$N35)&amp;"")</f>
        <v/>
      </c>
      <c r="D35" s="74">
        <f>IF($N35="","",IF(INDEX('Cronograma R. Normativo'!$D$5:$D$1000,$N35)="","",INDEX('Cronograma R. Normativo'!$D$5:$D$1000,$N35)))</f>
        <v/>
      </c>
      <c r="E35" s="74">
        <f>IF($N35="","",IF(INDEX('Cronograma R. Normativo'!$E$5:$E$1000,$N35)="","",INDEX('Cronograma R. Normativo'!$E$5:$E$1000,$N35)))</f>
        <v/>
      </c>
      <c r="F35" s="60">
        <f>IF($N35="","",IF(NOT(ISNUMBER($E35)),"",IF($E35&lt;InicioCiclo,"Antes del ciclo",IF($E35&gt;=InicioCiclo+28,"Después del ciclo","Semana "&amp;(INT(($E35-InicioCiclo)/7)+1)))))</f>
        <v/>
      </c>
      <c r="G35" s="65">
        <f>IF($N35="","",IF(INDEX('Cronograma R. Normativo'!$G$5:$G$1000,$N35)="","",INDEX('Cronograma R. Normativo'!$G$5:$G$1000,$N35)))</f>
        <v/>
      </c>
      <c r="H35" s="65">
        <f>IF($N35="","",IF(INDEX('Cronograma R. Normativo'!$H$5:$H$1000,$N35)="","",INDEX('Cronograma R. Normativo'!$H$5:$H$1000,$N35)))</f>
        <v/>
      </c>
      <c r="I35" s="65">
        <f>IF($N35="","",IF(INDEX('Cronograma R. Normativo'!$I$5:$I$1000,$N35)="","",INDEX('Cronograma R. Normativo'!$I$5:$I$1000,$N35)))</f>
        <v/>
      </c>
      <c r="J35" s="65">
        <f>IF($N35="","",IF(INDEX('Cronograma R. Normativo'!$J$5:$J$1000,$N35)="","",INDEX('Cronograma R. Normativo'!$J$5:$J$1000,$N35)))</f>
        <v/>
      </c>
      <c r="K35" s="65">
        <f>IF($N35="","",INDEX('Cronograma R. Normativo'!$K$5:$K$1000,$N35))</f>
        <v/>
      </c>
      <c r="L35" s="60">
        <f>IF($N35="","",IF(N($K35)&gt;=1,"Completado",IF(AND(ISNUMBER($E35),$E35&lt;FechaRef),"Vencida",IF(N($K35)&gt;0,"En curso","Pendiente"))))</f>
        <v/>
      </c>
      <c r="M35" s="68">
        <f>IF($N35="","",INDEX('Cronograma R. Normativo'!$M$5:$M$1000,$N35)&amp;"")</f>
        <v/>
      </c>
      <c r="N35">
        <f>IFERROR(MATCH(ROW()-4,rOrden_RN,0),"")</f>
        <v/>
      </c>
    </row>
    <row r="36">
      <c r="A36" s="60">
        <f>IF($N36="","",INDEX('Cronograma R. Normativo'!$A$5:$A$1000,$N36))</f>
        <v/>
      </c>
      <c r="B36" s="68">
        <f>IF($N36="","",INDEX('Cronograma R. Normativo'!$B$5:$B$1000,$N36)&amp;"")</f>
        <v/>
      </c>
      <c r="C36" s="68">
        <f>IF($N36="","",INDEX('Cronograma R. Normativo'!$C$5:$C$1000,$N36)&amp;"")</f>
        <v/>
      </c>
      <c r="D36" s="74">
        <f>IF($N36="","",IF(INDEX('Cronograma R. Normativo'!$D$5:$D$1000,$N36)="","",INDEX('Cronograma R. Normativo'!$D$5:$D$1000,$N36)))</f>
        <v/>
      </c>
      <c r="E36" s="74">
        <f>IF($N36="","",IF(INDEX('Cronograma R. Normativo'!$E$5:$E$1000,$N36)="","",INDEX('Cronograma R. Normativo'!$E$5:$E$1000,$N36)))</f>
        <v/>
      </c>
      <c r="F36" s="60">
        <f>IF($N36="","",IF(NOT(ISNUMBER($E36)),"",IF($E36&lt;InicioCiclo,"Antes del ciclo",IF($E36&gt;=InicioCiclo+28,"Después del ciclo","Semana "&amp;(INT(($E36-InicioCiclo)/7)+1)))))</f>
        <v/>
      </c>
      <c r="G36" s="65">
        <f>IF($N36="","",IF(INDEX('Cronograma R. Normativo'!$G$5:$G$1000,$N36)="","",INDEX('Cronograma R. Normativo'!$G$5:$G$1000,$N36)))</f>
        <v/>
      </c>
      <c r="H36" s="65">
        <f>IF($N36="","",IF(INDEX('Cronograma R. Normativo'!$H$5:$H$1000,$N36)="","",INDEX('Cronograma R. Normativo'!$H$5:$H$1000,$N36)))</f>
        <v/>
      </c>
      <c r="I36" s="65">
        <f>IF($N36="","",IF(INDEX('Cronograma R. Normativo'!$I$5:$I$1000,$N36)="","",INDEX('Cronograma R. Normativo'!$I$5:$I$1000,$N36)))</f>
        <v/>
      </c>
      <c r="J36" s="65">
        <f>IF($N36="","",IF(INDEX('Cronograma R. Normativo'!$J$5:$J$1000,$N36)="","",INDEX('Cronograma R. Normativo'!$J$5:$J$1000,$N36)))</f>
        <v/>
      </c>
      <c r="K36" s="65">
        <f>IF($N36="","",INDEX('Cronograma R. Normativo'!$K$5:$K$1000,$N36))</f>
        <v/>
      </c>
      <c r="L36" s="60">
        <f>IF($N36="","",IF(N($K36)&gt;=1,"Completado",IF(AND(ISNUMBER($E36),$E36&lt;FechaRef),"Vencida",IF(N($K36)&gt;0,"En curso","Pendiente"))))</f>
        <v/>
      </c>
      <c r="M36" s="68">
        <f>IF($N36="","",INDEX('Cronograma R. Normativo'!$M$5:$M$1000,$N36)&amp;"")</f>
        <v/>
      </c>
      <c r="N36">
        <f>IFERROR(MATCH(ROW()-4,rOrden_RN,0),"")</f>
        <v/>
      </c>
    </row>
    <row r="37">
      <c r="A37" s="60">
        <f>IF($N37="","",INDEX('Cronograma R. Normativo'!$A$5:$A$1000,$N37))</f>
        <v/>
      </c>
      <c r="B37" s="68">
        <f>IF($N37="","",INDEX('Cronograma R. Normativo'!$B$5:$B$1000,$N37)&amp;"")</f>
        <v/>
      </c>
      <c r="C37" s="68">
        <f>IF($N37="","",INDEX('Cronograma R. Normativo'!$C$5:$C$1000,$N37)&amp;"")</f>
        <v/>
      </c>
      <c r="D37" s="74">
        <f>IF($N37="","",IF(INDEX('Cronograma R. Normativo'!$D$5:$D$1000,$N37)="","",INDEX('Cronograma R. Normativo'!$D$5:$D$1000,$N37)))</f>
        <v/>
      </c>
      <c r="E37" s="74">
        <f>IF($N37="","",IF(INDEX('Cronograma R. Normativo'!$E$5:$E$1000,$N37)="","",INDEX('Cronograma R. Normativo'!$E$5:$E$1000,$N37)))</f>
        <v/>
      </c>
      <c r="F37" s="60">
        <f>IF($N37="","",IF(NOT(ISNUMBER($E37)),"",IF($E37&lt;InicioCiclo,"Antes del ciclo",IF($E37&gt;=InicioCiclo+28,"Después del ciclo","Semana "&amp;(INT(($E37-InicioCiclo)/7)+1)))))</f>
        <v/>
      </c>
      <c r="G37" s="65">
        <f>IF($N37="","",IF(INDEX('Cronograma R. Normativo'!$G$5:$G$1000,$N37)="","",INDEX('Cronograma R. Normativo'!$G$5:$G$1000,$N37)))</f>
        <v/>
      </c>
      <c r="H37" s="65">
        <f>IF($N37="","",IF(INDEX('Cronograma R. Normativo'!$H$5:$H$1000,$N37)="","",INDEX('Cronograma R. Normativo'!$H$5:$H$1000,$N37)))</f>
        <v/>
      </c>
      <c r="I37" s="65">
        <f>IF($N37="","",IF(INDEX('Cronograma R. Normativo'!$I$5:$I$1000,$N37)="","",INDEX('Cronograma R. Normativo'!$I$5:$I$1000,$N37)))</f>
        <v/>
      </c>
      <c r="J37" s="65">
        <f>IF($N37="","",IF(INDEX('Cronograma R. Normativo'!$J$5:$J$1000,$N37)="","",INDEX('Cronograma R. Normativo'!$J$5:$J$1000,$N37)))</f>
        <v/>
      </c>
      <c r="K37" s="65">
        <f>IF($N37="","",INDEX('Cronograma R. Normativo'!$K$5:$K$1000,$N37))</f>
        <v/>
      </c>
      <c r="L37" s="60">
        <f>IF($N37="","",IF(N($K37)&gt;=1,"Completado",IF(AND(ISNUMBER($E37),$E37&lt;FechaRef),"Vencida",IF(N($K37)&gt;0,"En curso","Pendiente"))))</f>
        <v/>
      </c>
      <c r="M37" s="68">
        <f>IF($N37="","",INDEX('Cronograma R. Normativo'!$M$5:$M$1000,$N37)&amp;"")</f>
        <v/>
      </c>
      <c r="N37">
        <f>IFERROR(MATCH(ROW()-4,rOrden_RN,0),"")</f>
        <v/>
      </c>
    </row>
    <row r="38">
      <c r="A38" s="60">
        <f>IF($N38="","",INDEX('Cronograma R. Normativo'!$A$5:$A$1000,$N38))</f>
        <v/>
      </c>
      <c r="B38" s="68">
        <f>IF($N38="","",INDEX('Cronograma R. Normativo'!$B$5:$B$1000,$N38)&amp;"")</f>
        <v/>
      </c>
      <c r="C38" s="68">
        <f>IF($N38="","",INDEX('Cronograma R. Normativo'!$C$5:$C$1000,$N38)&amp;"")</f>
        <v/>
      </c>
      <c r="D38" s="74">
        <f>IF($N38="","",IF(INDEX('Cronograma R. Normativo'!$D$5:$D$1000,$N38)="","",INDEX('Cronograma R. Normativo'!$D$5:$D$1000,$N38)))</f>
        <v/>
      </c>
      <c r="E38" s="74">
        <f>IF($N38="","",IF(INDEX('Cronograma R. Normativo'!$E$5:$E$1000,$N38)="","",INDEX('Cronograma R. Normativo'!$E$5:$E$1000,$N38)))</f>
        <v/>
      </c>
      <c r="F38" s="60">
        <f>IF($N38="","",IF(NOT(ISNUMBER($E38)),"",IF($E38&lt;InicioCiclo,"Antes del ciclo",IF($E38&gt;=InicioCiclo+28,"Después del ciclo","Semana "&amp;(INT(($E38-InicioCiclo)/7)+1)))))</f>
        <v/>
      </c>
      <c r="G38" s="65">
        <f>IF($N38="","",IF(INDEX('Cronograma R. Normativo'!$G$5:$G$1000,$N38)="","",INDEX('Cronograma R. Normativo'!$G$5:$G$1000,$N38)))</f>
        <v/>
      </c>
      <c r="H38" s="65">
        <f>IF($N38="","",IF(INDEX('Cronograma R. Normativo'!$H$5:$H$1000,$N38)="","",INDEX('Cronograma R. Normativo'!$H$5:$H$1000,$N38)))</f>
        <v/>
      </c>
      <c r="I38" s="65">
        <f>IF($N38="","",IF(INDEX('Cronograma R. Normativo'!$I$5:$I$1000,$N38)="","",INDEX('Cronograma R. Normativo'!$I$5:$I$1000,$N38)))</f>
        <v/>
      </c>
      <c r="J38" s="65">
        <f>IF($N38="","",IF(INDEX('Cronograma R. Normativo'!$J$5:$J$1000,$N38)="","",INDEX('Cronograma R. Normativo'!$J$5:$J$1000,$N38)))</f>
        <v/>
      </c>
      <c r="K38" s="65">
        <f>IF($N38="","",INDEX('Cronograma R. Normativo'!$K$5:$K$1000,$N38))</f>
        <v/>
      </c>
      <c r="L38" s="60">
        <f>IF($N38="","",IF(N($K38)&gt;=1,"Completado",IF(AND(ISNUMBER($E38),$E38&lt;FechaRef),"Vencida",IF(N($K38)&gt;0,"En curso","Pendiente"))))</f>
        <v/>
      </c>
      <c r="M38" s="68">
        <f>IF($N38="","",INDEX('Cronograma R. Normativo'!$M$5:$M$1000,$N38)&amp;"")</f>
        <v/>
      </c>
      <c r="N38">
        <f>IFERROR(MATCH(ROW()-4,rOrden_RN,0),"")</f>
        <v/>
      </c>
    </row>
    <row r="39">
      <c r="A39" s="60">
        <f>IF($N39="","",INDEX('Cronograma R. Normativo'!$A$5:$A$1000,$N39))</f>
        <v/>
      </c>
      <c r="B39" s="68">
        <f>IF($N39="","",INDEX('Cronograma R. Normativo'!$B$5:$B$1000,$N39)&amp;"")</f>
        <v/>
      </c>
      <c r="C39" s="68">
        <f>IF($N39="","",INDEX('Cronograma R. Normativo'!$C$5:$C$1000,$N39)&amp;"")</f>
        <v/>
      </c>
      <c r="D39" s="74">
        <f>IF($N39="","",IF(INDEX('Cronograma R. Normativo'!$D$5:$D$1000,$N39)="","",INDEX('Cronograma R. Normativo'!$D$5:$D$1000,$N39)))</f>
        <v/>
      </c>
      <c r="E39" s="74">
        <f>IF($N39="","",IF(INDEX('Cronograma R. Normativo'!$E$5:$E$1000,$N39)="","",INDEX('Cronograma R. Normativo'!$E$5:$E$1000,$N39)))</f>
        <v/>
      </c>
      <c r="F39" s="60">
        <f>IF($N39="","",IF(NOT(ISNUMBER($E39)),"",IF($E39&lt;InicioCiclo,"Antes del ciclo",IF($E39&gt;=InicioCiclo+28,"Después del ciclo","Semana "&amp;(INT(($E39-InicioCiclo)/7)+1)))))</f>
        <v/>
      </c>
      <c r="G39" s="65">
        <f>IF($N39="","",IF(INDEX('Cronograma R. Normativo'!$G$5:$G$1000,$N39)="","",INDEX('Cronograma R. Normativo'!$G$5:$G$1000,$N39)))</f>
        <v/>
      </c>
      <c r="H39" s="65">
        <f>IF($N39="","",IF(INDEX('Cronograma R. Normativo'!$H$5:$H$1000,$N39)="","",INDEX('Cronograma R. Normativo'!$H$5:$H$1000,$N39)))</f>
        <v/>
      </c>
      <c r="I39" s="65">
        <f>IF($N39="","",IF(INDEX('Cronograma R. Normativo'!$I$5:$I$1000,$N39)="","",INDEX('Cronograma R. Normativo'!$I$5:$I$1000,$N39)))</f>
        <v/>
      </c>
      <c r="J39" s="65">
        <f>IF($N39="","",IF(INDEX('Cronograma R. Normativo'!$J$5:$J$1000,$N39)="","",INDEX('Cronograma R. Normativo'!$J$5:$J$1000,$N39)))</f>
        <v/>
      </c>
      <c r="K39" s="65">
        <f>IF($N39="","",INDEX('Cronograma R. Normativo'!$K$5:$K$1000,$N39))</f>
        <v/>
      </c>
      <c r="L39" s="60">
        <f>IF($N39="","",IF(N($K39)&gt;=1,"Completado",IF(AND(ISNUMBER($E39),$E39&lt;FechaRef),"Vencida",IF(N($K39)&gt;0,"En curso","Pendiente"))))</f>
        <v/>
      </c>
      <c r="M39" s="68">
        <f>IF($N39="","",INDEX('Cronograma R. Normativo'!$M$5:$M$1000,$N39)&amp;"")</f>
        <v/>
      </c>
      <c r="N39">
        <f>IFERROR(MATCH(ROW()-4,rOrden_RN,0),"")</f>
        <v/>
      </c>
    </row>
    <row r="40">
      <c r="A40" s="60">
        <f>IF($N40="","",INDEX('Cronograma R. Normativo'!$A$5:$A$1000,$N40))</f>
        <v/>
      </c>
      <c r="B40" s="68">
        <f>IF($N40="","",INDEX('Cronograma R. Normativo'!$B$5:$B$1000,$N40)&amp;"")</f>
        <v/>
      </c>
      <c r="C40" s="68">
        <f>IF($N40="","",INDEX('Cronograma R. Normativo'!$C$5:$C$1000,$N40)&amp;"")</f>
        <v/>
      </c>
      <c r="D40" s="74">
        <f>IF($N40="","",IF(INDEX('Cronograma R. Normativo'!$D$5:$D$1000,$N40)="","",INDEX('Cronograma R. Normativo'!$D$5:$D$1000,$N40)))</f>
        <v/>
      </c>
      <c r="E40" s="74">
        <f>IF($N40="","",IF(INDEX('Cronograma R. Normativo'!$E$5:$E$1000,$N40)="","",INDEX('Cronograma R. Normativo'!$E$5:$E$1000,$N40)))</f>
        <v/>
      </c>
      <c r="F40" s="60">
        <f>IF($N40="","",IF(NOT(ISNUMBER($E40)),"",IF($E40&lt;InicioCiclo,"Antes del ciclo",IF($E40&gt;=InicioCiclo+28,"Después del ciclo","Semana "&amp;(INT(($E40-InicioCiclo)/7)+1)))))</f>
        <v/>
      </c>
      <c r="G40" s="65">
        <f>IF($N40="","",IF(INDEX('Cronograma R. Normativo'!$G$5:$G$1000,$N40)="","",INDEX('Cronograma R. Normativo'!$G$5:$G$1000,$N40)))</f>
        <v/>
      </c>
      <c r="H40" s="65">
        <f>IF($N40="","",IF(INDEX('Cronograma R. Normativo'!$H$5:$H$1000,$N40)="","",INDEX('Cronograma R. Normativo'!$H$5:$H$1000,$N40)))</f>
        <v/>
      </c>
      <c r="I40" s="65">
        <f>IF($N40="","",IF(INDEX('Cronograma R. Normativo'!$I$5:$I$1000,$N40)="","",INDEX('Cronograma R. Normativo'!$I$5:$I$1000,$N40)))</f>
        <v/>
      </c>
      <c r="J40" s="65">
        <f>IF($N40="","",IF(INDEX('Cronograma R. Normativo'!$J$5:$J$1000,$N40)="","",INDEX('Cronograma R. Normativo'!$J$5:$J$1000,$N40)))</f>
        <v/>
      </c>
      <c r="K40" s="65">
        <f>IF($N40="","",INDEX('Cronograma R. Normativo'!$K$5:$K$1000,$N40))</f>
        <v/>
      </c>
      <c r="L40" s="60">
        <f>IF($N40="","",IF(N($K40)&gt;=1,"Completado",IF(AND(ISNUMBER($E40),$E40&lt;FechaRef),"Vencida",IF(N($K40)&gt;0,"En curso","Pendiente"))))</f>
        <v/>
      </c>
      <c r="M40" s="68">
        <f>IF($N40="","",INDEX('Cronograma R. Normativo'!$M$5:$M$1000,$N40)&amp;"")</f>
        <v/>
      </c>
      <c r="N40">
        <f>IFERROR(MATCH(ROW()-4,rOrden_RN,0),"")</f>
        <v/>
      </c>
    </row>
    <row r="41">
      <c r="A41" s="60">
        <f>IF($N41="","",INDEX('Cronograma R. Normativo'!$A$5:$A$1000,$N41))</f>
        <v/>
      </c>
      <c r="B41" s="68">
        <f>IF($N41="","",INDEX('Cronograma R. Normativo'!$B$5:$B$1000,$N41)&amp;"")</f>
        <v/>
      </c>
      <c r="C41" s="68">
        <f>IF($N41="","",INDEX('Cronograma R. Normativo'!$C$5:$C$1000,$N41)&amp;"")</f>
        <v/>
      </c>
      <c r="D41" s="74">
        <f>IF($N41="","",IF(INDEX('Cronograma R. Normativo'!$D$5:$D$1000,$N41)="","",INDEX('Cronograma R. Normativo'!$D$5:$D$1000,$N41)))</f>
        <v/>
      </c>
      <c r="E41" s="74">
        <f>IF($N41="","",IF(INDEX('Cronograma R. Normativo'!$E$5:$E$1000,$N41)="","",INDEX('Cronograma R. Normativo'!$E$5:$E$1000,$N41)))</f>
        <v/>
      </c>
      <c r="F41" s="60">
        <f>IF($N41="","",IF(NOT(ISNUMBER($E41)),"",IF($E41&lt;InicioCiclo,"Antes del ciclo",IF($E41&gt;=InicioCiclo+28,"Después del ciclo","Semana "&amp;(INT(($E41-InicioCiclo)/7)+1)))))</f>
        <v/>
      </c>
      <c r="G41" s="65">
        <f>IF($N41="","",IF(INDEX('Cronograma R. Normativo'!$G$5:$G$1000,$N41)="","",INDEX('Cronograma R. Normativo'!$G$5:$G$1000,$N41)))</f>
        <v/>
      </c>
      <c r="H41" s="65">
        <f>IF($N41="","",IF(INDEX('Cronograma R. Normativo'!$H$5:$H$1000,$N41)="","",INDEX('Cronograma R. Normativo'!$H$5:$H$1000,$N41)))</f>
        <v/>
      </c>
      <c r="I41" s="65">
        <f>IF($N41="","",IF(INDEX('Cronograma R. Normativo'!$I$5:$I$1000,$N41)="","",INDEX('Cronograma R. Normativo'!$I$5:$I$1000,$N41)))</f>
        <v/>
      </c>
      <c r="J41" s="65">
        <f>IF($N41="","",IF(INDEX('Cronograma R. Normativo'!$J$5:$J$1000,$N41)="","",INDEX('Cronograma R. Normativo'!$J$5:$J$1000,$N41)))</f>
        <v/>
      </c>
      <c r="K41" s="65">
        <f>IF($N41="","",INDEX('Cronograma R. Normativo'!$K$5:$K$1000,$N41))</f>
        <v/>
      </c>
      <c r="L41" s="60">
        <f>IF($N41="","",IF(N($K41)&gt;=1,"Completado",IF(AND(ISNUMBER($E41),$E41&lt;FechaRef),"Vencida",IF(N($K41)&gt;0,"En curso","Pendiente"))))</f>
        <v/>
      </c>
      <c r="M41" s="68">
        <f>IF($N41="","",INDEX('Cronograma R. Normativo'!$M$5:$M$1000,$N41)&amp;"")</f>
        <v/>
      </c>
      <c r="N41">
        <f>IFERROR(MATCH(ROW()-4,rOrden_RN,0),"")</f>
        <v/>
      </c>
    </row>
    <row r="42">
      <c r="A42" s="60">
        <f>IF($N42="","",INDEX('Cronograma R. Normativo'!$A$5:$A$1000,$N42))</f>
        <v/>
      </c>
      <c r="B42" s="68">
        <f>IF($N42="","",INDEX('Cronograma R. Normativo'!$B$5:$B$1000,$N42)&amp;"")</f>
        <v/>
      </c>
      <c r="C42" s="68">
        <f>IF($N42="","",INDEX('Cronograma R. Normativo'!$C$5:$C$1000,$N42)&amp;"")</f>
        <v/>
      </c>
      <c r="D42" s="74">
        <f>IF($N42="","",IF(INDEX('Cronograma R. Normativo'!$D$5:$D$1000,$N42)="","",INDEX('Cronograma R. Normativo'!$D$5:$D$1000,$N42)))</f>
        <v/>
      </c>
      <c r="E42" s="74">
        <f>IF($N42="","",IF(INDEX('Cronograma R. Normativo'!$E$5:$E$1000,$N42)="","",INDEX('Cronograma R. Normativo'!$E$5:$E$1000,$N42)))</f>
        <v/>
      </c>
      <c r="F42" s="60">
        <f>IF($N42="","",IF(NOT(ISNUMBER($E42)),"",IF($E42&lt;InicioCiclo,"Antes del ciclo",IF($E42&gt;=InicioCiclo+28,"Después del ciclo","Semana "&amp;(INT(($E42-InicioCiclo)/7)+1)))))</f>
        <v/>
      </c>
      <c r="G42" s="65">
        <f>IF($N42="","",IF(INDEX('Cronograma R. Normativo'!$G$5:$G$1000,$N42)="","",INDEX('Cronograma R. Normativo'!$G$5:$G$1000,$N42)))</f>
        <v/>
      </c>
      <c r="H42" s="65">
        <f>IF($N42="","",IF(INDEX('Cronograma R. Normativo'!$H$5:$H$1000,$N42)="","",INDEX('Cronograma R. Normativo'!$H$5:$H$1000,$N42)))</f>
        <v/>
      </c>
      <c r="I42" s="65">
        <f>IF($N42="","",IF(INDEX('Cronograma R. Normativo'!$I$5:$I$1000,$N42)="","",INDEX('Cronograma R. Normativo'!$I$5:$I$1000,$N42)))</f>
        <v/>
      </c>
      <c r="J42" s="65">
        <f>IF($N42="","",IF(INDEX('Cronograma R. Normativo'!$J$5:$J$1000,$N42)="","",INDEX('Cronograma R. Normativo'!$J$5:$J$1000,$N42)))</f>
        <v/>
      </c>
      <c r="K42" s="65">
        <f>IF($N42="","",INDEX('Cronograma R. Normativo'!$K$5:$K$1000,$N42))</f>
        <v/>
      </c>
      <c r="L42" s="60">
        <f>IF($N42="","",IF(N($K42)&gt;=1,"Completado",IF(AND(ISNUMBER($E42),$E42&lt;FechaRef),"Vencida",IF(N($K42)&gt;0,"En curso","Pendiente"))))</f>
        <v/>
      </c>
      <c r="M42" s="68">
        <f>IF($N42="","",INDEX('Cronograma R. Normativo'!$M$5:$M$1000,$N42)&amp;"")</f>
        <v/>
      </c>
      <c r="N42">
        <f>IFERROR(MATCH(ROW()-4,rOrden_RN,0),"")</f>
        <v/>
      </c>
    </row>
    <row r="43">
      <c r="A43" s="60">
        <f>IF($N43="","",INDEX('Cronograma R. Normativo'!$A$5:$A$1000,$N43))</f>
        <v/>
      </c>
      <c r="B43" s="68">
        <f>IF($N43="","",INDEX('Cronograma R. Normativo'!$B$5:$B$1000,$N43)&amp;"")</f>
        <v/>
      </c>
      <c r="C43" s="68">
        <f>IF($N43="","",INDEX('Cronograma R. Normativo'!$C$5:$C$1000,$N43)&amp;"")</f>
        <v/>
      </c>
      <c r="D43" s="74">
        <f>IF($N43="","",IF(INDEX('Cronograma R. Normativo'!$D$5:$D$1000,$N43)="","",INDEX('Cronograma R. Normativo'!$D$5:$D$1000,$N43)))</f>
        <v/>
      </c>
      <c r="E43" s="74">
        <f>IF($N43="","",IF(INDEX('Cronograma R. Normativo'!$E$5:$E$1000,$N43)="","",INDEX('Cronograma R. Normativo'!$E$5:$E$1000,$N43)))</f>
        <v/>
      </c>
      <c r="F43" s="60">
        <f>IF($N43="","",IF(NOT(ISNUMBER($E43)),"",IF($E43&lt;InicioCiclo,"Antes del ciclo",IF($E43&gt;=InicioCiclo+28,"Después del ciclo","Semana "&amp;(INT(($E43-InicioCiclo)/7)+1)))))</f>
        <v/>
      </c>
      <c r="G43" s="65">
        <f>IF($N43="","",IF(INDEX('Cronograma R. Normativo'!$G$5:$G$1000,$N43)="","",INDEX('Cronograma R. Normativo'!$G$5:$G$1000,$N43)))</f>
        <v/>
      </c>
      <c r="H43" s="65">
        <f>IF($N43="","",IF(INDEX('Cronograma R. Normativo'!$H$5:$H$1000,$N43)="","",INDEX('Cronograma R. Normativo'!$H$5:$H$1000,$N43)))</f>
        <v/>
      </c>
      <c r="I43" s="65">
        <f>IF($N43="","",IF(INDEX('Cronograma R. Normativo'!$I$5:$I$1000,$N43)="","",INDEX('Cronograma R. Normativo'!$I$5:$I$1000,$N43)))</f>
        <v/>
      </c>
      <c r="J43" s="65">
        <f>IF($N43="","",IF(INDEX('Cronograma R. Normativo'!$J$5:$J$1000,$N43)="","",INDEX('Cronograma R. Normativo'!$J$5:$J$1000,$N43)))</f>
        <v/>
      </c>
      <c r="K43" s="65">
        <f>IF($N43="","",INDEX('Cronograma R. Normativo'!$K$5:$K$1000,$N43))</f>
        <v/>
      </c>
      <c r="L43" s="60">
        <f>IF($N43="","",IF(N($K43)&gt;=1,"Completado",IF(AND(ISNUMBER($E43),$E43&lt;FechaRef),"Vencida",IF(N($K43)&gt;0,"En curso","Pendiente"))))</f>
        <v/>
      </c>
      <c r="M43" s="68">
        <f>IF($N43="","",INDEX('Cronograma R. Normativo'!$M$5:$M$1000,$N43)&amp;"")</f>
        <v/>
      </c>
      <c r="N43">
        <f>IFERROR(MATCH(ROW()-4,rOrden_RN,0),"")</f>
        <v/>
      </c>
    </row>
    <row r="44">
      <c r="A44" s="60">
        <f>IF($N44="","",INDEX('Cronograma R. Normativo'!$A$5:$A$1000,$N44))</f>
        <v/>
      </c>
      <c r="B44" s="68">
        <f>IF($N44="","",INDEX('Cronograma R. Normativo'!$B$5:$B$1000,$N44)&amp;"")</f>
        <v/>
      </c>
      <c r="C44" s="68">
        <f>IF($N44="","",INDEX('Cronograma R. Normativo'!$C$5:$C$1000,$N44)&amp;"")</f>
        <v/>
      </c>
      <c r="D44" s="74">
        <f>IF($N44="","",IF(INDEX('Cronograma R. Normativo'!$D$5:$D$1000,$N44)="","",INDEX('Cronograma R. Normativo'!$D$5:$D$1000,$N44)))</f>
        <v/>
      </c>
      <c r="E44" s="74">
        <f>IF($N44="","",IF(INDEX('Cronograma R. Normativo'!$E$5:$E$1000,$N44)="","",INDEX('Cronograma R. Normativo'!$E$5:$E$1000,$N44)))</f>
        <v/>
      </c>
      <c r="F44" s="60">
        <f>IF($N44="","",IF(NOT(ISNUMBER($E44)),"",IF($E44&lt;InicioCiclo,"Antes del ciclo",IF($E44&gt;=InicioCiclo+28,"Después del ciclo","Semana "&amp;(INT(($E44-InicioCiclo)/7)+1)))))</f>
        <v/>
      </c>
      <c r="G44" s="65">
        <f>IF($N44="","",IF(INDEX('Cronograma R. Normativo'!$G$5:$G$1000,$N44)="","",INDEX('Cronograma R. Normativo'!$G$5:$G$1000,$N44)))</f>
        <v/>
      </c>
      <c r="H44" s="65">
        <f>IF($N44="","",IF(INDEX('Cronograma R. Normativo'!$H$5:$H$1000,$N44)="","",INDEX('Cronograma R. Normativo'!$H$5:$H$1000,$N44)))</f>
        <v/>
      </c>
      <c r="I44" s="65">
        <f>IF($N44="","",IF(INDEX('Cronograma R. Normativo'!$I$5:$I$1000,$N44)="","",INDEX('Cronograma R. Normativo'!$I$5:$I$1000,$N44)))</f>
        <v/>
      </c>
      <c r="J44" s="65">
        <f>IF($N44="","",IF(INDEX('Cronograma R. Normativo'!$J$5:$J$1000,$N44)="","",INDEX('Cronograma R. Normativo'!$J$5:$J$1000,$N44)))</f>
        <v/>
      </c>
      <c r="K44" s="65">
        <f>IF($N44="","",INDEX('Cronograma R. Normativo'!$K$5:$K$1000,$N44))</f>
        <v/>
      </c>
      <c r="L44" s="60">
        <f>IF($N44="","",IF(N($K44)&gt;=1,"Completado",IF(AND(ISNUMBER($E44),$E44&lt;FechaRef),"Vencida",IF(N($K44)&gt;0,"En curso","Pendiente"))))</f>
        <v/>
      </c>
      <c r="M44" s="68">
        <f>IF($N44="","",INDEX('Cronograma R. Normativo'!$M$5:$M$1000,$N44)&amp;"")</f>
        <v/>
      </c>
      <c r="N44">
        <f>IFERROR(MATCH(ROW()-4,rOrden_RN,0),"")</f>
        <v/>
      </c>
    </row>
    <row r="45">
      <c r="A45" s="60">
        <f>IF($N45="","",INDEX('Cronograma R. Normativo'!$A$5:$A$1000,$N45))</f>
        <v/>
      </c>
      <c r="B45" s="68">
        <f>IF($N45="","",INDEX('Cronograma R. Normativo'!$B$5:$B$1000,$N45)&amp;"")</f>
        <v/>
      </c>
      <c r="C45" s="68">
        <f>IF($N45="","",INDEX('Cronograma R. Normativo'!$C$5:$C$1000,$N45)&amp;"")</f>
        <v/>
      </c>
      <c r="D45" s="74">
        <f>IF($N45="","",IF(INDEX('Cronograma R. Normativo'!$D$5:$D$1000,$N45)="","",INDEX('Cronograma R. Normativo'!$D$5:$D$1000,$N45)))</f>
        <v/>
      </c>
      <c r="E45" s="74">
        <f>IF($N45="","",IF(INDEX('Cronograma R. Normativo'!$E$5:$E$1000,$N45)="","",INDEX('Cronograma R. Normativo'!$E$5:$E$1000,$N45)))</f>
        <v/>
      </c>
      <c r="F45" s="60">
        <f>IF($N45="","",IF(NOT(ISNUMBER($E45)),"",IF($E45&lt;InicioCiclo,"Antes del ciclo",IF($E45&gt;=InicioCiclo+28,"Después del ciclo","Semana "&amp;(INT(($E45-InicioCiclo)/7)+1)))))</f>
        <v/>
      </c>
      <c r="G45" s="65">
        <f>IF($N45="","",IF(INDEX('Cronograma R. Normativo'!$G$5:$G$1000,$N45)="","",INDEX('Cronograma R. Normativo'!$G$5:$G$1000,$N45)))</f>
        <v/>
      </c>
      <c r="H45" s="65">
        <f>IF($N45="","",IF(INDEX('Cronograma R. Normativo'!$H$5:$H$1000,$N45)="","",INDEX('Cronograma R. Normativo'!$H$5:$H$1000,$N45)))</f>
        <v/>
      </c>
      <c r="I45" s="65">
        <f>IF($N45="","",IF(INDEX('Cronograma R. Normativo'!$I$5:$I$1000,$N45)="","",INDEX('Cronograma R. Normativo'!$I$5:$I$1000,$N45)))</f>
        <v/>
      </c>
      <c r="J45" s="65">
        <f>IF($N45="","",IF(INDEX('Cronograma R. Normativo'!$J$5:$J$1000,$N45)="","",INDEX('Cronograma R. Normativo'!$J$5:$J$1000,$N45)))</f>
        <v/>
      </c>
      <c r="K45" s="65">
        <f>IF($N45="","",INDEX('Cronograma R. Normativo'!$K$5:$K$1000,$N45))</f>
        <v/>
      </c>
      <c r="L45" s="60">
        <f>IF($N45="","",IF(N($K45)&gt;=1,"Completado",IF(AND(ISNUMBER($E45),$E45&lt;FechaRef),"Vencida",IF(N($K45)&gt;0,"En curso","Pendiente"))))</f>
        <v/>
      </c>
      <c r="M45" s="68">
        <f>IF($N45="","",INDEX('Cronograma R. Normativo'!$M$5:$M$1000,$N45)&amp;"")</f>
        <v/>
      </c>
      <c r="N45">
        <f>IFERROR(MATCH(ROW()-4,rOrden_RN,0),"")</f>
        <v/>
      </c>
    </row>
    <row r="46">
      <c r="A46" s="60">
        <f>IF($N46="","",INDEX('Cronograma R. Normativo'!$A$5:$A$1000,$N46))</f>
        <v/>
      </c>
      <c r="B46" s="68">
        <f>IF($N46="","",INDEX('Cronograma R. Normativo'!$B$5:$B$1000,$N46)&amp;"")</f>
        <v/>
      </c>
      <c r="C46" s="68">
        <f>IF($N46="","",INDEX('Cronograma R. Normativo'!$C$5:$C$1000,$N46)&amp;"")</f>
        <v/>
      </c>
      <c r="D46" s="74">
        <f>IF($N46="","",IF(INDEX('Cronograma R. Normativo'!$D$5:$D$1000,$N46)="","",INDEX('Cronograma R. Normativo'!$D$5:$D$1000,$N46)))</f>
        <v/>
      </c>
      <c r="E46" s="74">
        <f>IF($N46="","",IF(INDEX('Cronograma R. Normativo'!$E$5:$E$1000,$N46)="","",INDEX('Cronograma R. Normativo'!$E$5:$E$1000,$N46)))</f>
        <v/>
      </c>
      <c r="F46" s="60">
        <f>IF($N46="","",IF(NOT(ISNUMBER($E46)),"",IF($E46&lt;InicioCiclo,"Antes del ciclo",IF($E46&gt;=InicioCiclo+28,"Después del ciclo","Semana "&amp;(INT(($E46-InicioCiclo)/7)+1)))))</f>
        <v/>
      </c>
      <c r="G46" s="65">
        <f>IF($N46="","",IF(INDEX('Cronograma R. Normativo'!$G$5:$G$1000,$N46)="","",INDEX('Cronograma R. Normativo'!$G$5:$G$1000,$N46)))</f>
        <v/>
      </c>
      <c r="H46" s="65">
        <f>IF($N46="","",IF(INDEX('Cronograma R. Normativo'!$H$5:$H$1000,$N46)="","",INDEX('Cronograma R. Normativo'!$H$5:$H$1000,$N46)))</f>
        <v/>
      </c>
      <c r="I46" s="65">
        <f>IF($N46="","",IF(INDEX('Cronograma R. Normativo'!$I$5:$I$1000,$N46)="","",INDEX('Cronograma R. Normativo'!$I$5:$I$1000,$N46)))</f>
        <v/>
      </c>
      <c r="J46" s="65">
        <f>IF($N46="","",IF(INDEX('Cronograma R. Normativo'!$J$5:$J$1000,$N46)="","",INDEX('Cronograma R. Normativo'!$J$5:$J$1000,$N46)))</f>
        <v/>
      </c>
      <c r="K46" s="65">
        <f>IF($N46="","",INDEX('Cronograma R. Normativo'!$K$5:$K$1000,$N46))</f>
        <v/>
      </c>
      <c r="L46" s="60">
        <f>IF($N46="","",IF(N($K46)&gt;=1,"Completado",IF(AND(ISNUMBER($E46),$E46&lt;FechaRef),"Vencida",IF(N($K46)&gt;0,"En curso","Pendiente"))))</f>
        <v/>
      </c>
      <c r="M46" s="68">
        <f>IF($N46="","",INDEX('Cronograma R. Normativo'!$M$5:$M$1000,$N46)&amp;"")</f>
        <v/>
      </c>
      <c r="N46">
        <f>IFERROR(MATCH(ROW()-4,rOrden_RN,0),"")</f>
        <v/>
      </c>
    </row>
    <row r="47">
      <c r="A47" s="60">
        <f>IF($N47="","",INDEX('Cronograma R. Normativo'!$A$5:$A$1000,$N47))</f>
        <v/>
      </c>
      <c r="B47" s="68">
        <f>IF($N47="","",INDEX('Cronograma R. Normativo'!$B$5:$B$1000,$N47)&amp;"")</f>
        <v/>
      </c>
      <c r="C47" s="68">
        <f>IF($N47="","",INDEX('Cronograma R. Normativo'!$C$5:$C$1000,$N47)&amp;"")</f>
        <v/>
      </c>
      <c r="D47" s="74">
        <f>IF($N47="","",IF(INDEX('Cronograma R. Normativo'!$D$5:$D$1000,$N47)="","",INDEX('Cronograma R. Normativo'!$D$5:$D$1000,$N47)))</f>
        <v/>
      </c>
      <c r="E47" s="74">
        <f>IF($N47="","",IF(INDEX('Cronograma R. Normativo'!$E$5:$E$1000,$N47)="","",INDEX('Cronograma R. Normativo'!$E$5:$E$1000,$N47)))</f>
        <v/>
      </c>
      <c r="F47" s="60">
        <f>IF($N47="","",IF(NOT(ISNUMBER($E47)),"",IF($E47&lt;InicioCiclo,"Antes del ciclo",IF($E47&gt;=InicioCiclo+28,"Después del ciclo","Semana "&amp;(INT(($E47-InicioCiclo)/7)+1)))))</f>
        <v/>
      </c>
      <c r="G47" s="65">
        <f>IF($N47="","",IF(INDEX('Cronograma R. Normativo'!$G$5:$G$1000,$N47)="","",INDEX('Cronograma R. Normativo'!$G$5:$G$1000,$N47)))</f>
        <v/>
      </c>
      <c r="H47" s="65">
        <f>IF($N47="","",IF(INDEX('Cronograma R. Normativo'!$H$5:$H$1000,$N47)="","",INDEX('Cronograma R. Normativo'!$H$5:$H$1000,$N47)))</f>
        <v/>
      </c>
      <c r="I47" s="65">
        <f>IF($N47="","",IF(INDEX('Cronograma R. Normativo'!$I$5:$I$1000,$N47)="","",INDEX('Cronograma R. Normativo'!$I$5:$I$1000,$N47)))</f>
        <v/>
      </c>
      <c r="J47" s="65">
        <f>IF($N47="","",IF(INDEX('Cronograma R. Normativo'!$J$5:$J$1000,$N47)="","",INDEX('Cronograma R. Normativo'!$J$5:$J$1000,$N47)))</f>
        <v/>
      </c>
      <c r="K47" s="65">
        <f>IF($N47="","",INDEX('Cronograma R. Normativo'!$K$5:$K$1000,$N47))</f>
        <v/>
      </c>
      <c r="L47" s="60">
        <f>IF($N47="","",IF(N($K47)&gt;=1,"Completado",IF(AND(ISNUMBER($E47),$E47&lt;FechaRef),"Vencida",IF(N($K47)&gt;0,"En curso","Pendiente"))))</f>
        <v/>
      </c>
      <c r="M47" s="68">
        <f>IF($N47="","",INDEX('Cronograma R. Normativo'!$M$5:$M$1000,$N47)&amp;"")</f>
        <v/>
      </c>
      <c r="N47">
        <f>IFERROR(MATCH(ROW()-4,rOrden_RN,0),"")</f>
        <v/>
      </c>
    </row>
    <row r="48">
      <c r="A48" s="60">
        <f>IF($N48="","",INDEX('Cronograma R. Normativo'!$A$5:$A$1000,$N48))</f>
        <v/>
      </c>
      <c r="B48" s="68">
        <f>IF($N48="","",INDEX('Cronograma R. Normativo'!$B$5:$B$1000,$N48)&amp;"")</f>
        <v/>
      </c>
      <c r="C48" s="68">
        <f>IF($N48="","",INDEX('Cronograma R. Normativo'!$C$5:$C$1000,$N48)&amp;"")</f>
        <v/>
      </c>
      <c r="D48" s="74">
        <f>IF($N48="","",IF(INDEX('Cronograma R. Normativo'!$D$5:$D$1000,$N48)="","",INDEX('Cronograma R. Normativo'!$D$5:$D$1000,$N48)))</f>
        <v/>
      </c>
      <c r="E48" s="74">
        <f>IF($N48="","",IF(INDEX('Cronograma R. Normativo'!$E$5:$E$1000,$N48)="","",INDEX('Cronograma R. Normativo'!$E$5:$E$1000,$N48)))</f>
        <v/>
      </c>
      <c r="F48" s="60">
        <f>IF($N48="","",IF(NOT(ISNUMBER($E48)),"",IF($E48&lt;InicioCiclo,"Antes del ciclo",IF($E48&gt;=InicioCiclo+28,"Después del ciclo","Semana "&amp;(INT(($E48-InicioCiclo)/7)+1)))))</f>
        <v/>
      </c>
      <c r="G48" s="65">
        <f>IF($N48="","",IF(INDEX('Cronograma R. Normativo'!$G$5:$G$1000,$N48)="","",INDEX('Cronograma R. Normativo'!$G$5:$G$1000,$N48)))</f>
        <v/>
      </c>
      <c r="H48" s="65">
        <f>IF($N48="","",IF(INDEX('Cronograma R. Normativo'!$H$5:$H$1000,$N48)="","",INDEX('Cronograma R. Normativo'!$H$5:$H$1000,$N48)))</f>
        <v/>
      </c>
      <c r="I48" s="65">
        <f>IF($N48="","",IF(INDEX('Cronograma R. Normativo'!$I$5:$I$1000,$N48)="","",INDEX('Cronograma R. Normativo'!$I$5:$I$1000,$N48)))</f>
        <v/>
      </c>
      <c r="J48" s="65">
        <f>IF($N48="","",IF(INDEX('Cronograma R. Normativo'!$J$5:$J$1000,$N48)="","",INDEX('Cronograma R. Normativo'!$J$5:$J$1000,$N48)))</f>
        <v/>
      </c>
      <c r="K48" s="65">
        <f>IF($N48="","",INDEX('Cronograma R. Normativo'!$K$5:$K$1000,$N48))</f>
        <v/>
      </c>
      <c r="L48" s="60">
        <f>IF($N48="","",IF(N($K48)&gt;=1,"Completado",IF(AND(ISNUMBER($E48),$E48&lt;FechaRef),"Vencida",IF(N($K48)&gt;0,"En curso","Pendiente"))))</f>
        <v/>
      </c>
      <c r="M48" s="68">
        <f>IF($N48="","",INDEX('Cronograma R. Normativo'!$M$5:$M$1000,$N48)&amp;"")</f>
        <v/>
      </c>
      <c r="N48">
        <f>IFERROR(MATCH(ROW()-4,rOrden_RN,0),"")</f>
        <v/>
      </c>
    </row>
    <row r="49">
      <c r="A49" s="60">
        <f>IF($N49="","",INDEX('Cronograma R. Normativo'!$A$5:$A$1000,$N49))</f>
        <v/>
      </c>
      <c r="B49" s="68">
        <f>IF($N49="","",INDEX('Cronograma R. Normativo'!$B$5:$B$1000,$N49)&amp;"")</f>
        <v/>
      </c>
      <c r="C49" s="68">
        <f>IF($N49="","",INDEX('Cronograma R. Normativo'!$C$5:$C$1000,$N49)&amp;"")</f>
        <v/>
      </c>
      <c r="D49" s="74">
        <f>IF($N49="","",IF(INDEX('Cronograma R. Normativo'!$D$5:$D$1000,$N49)="","",INDEX('Cronograma R. Normativo'!$D$5:$D$1000,$N49)))</f>
        <v/>
      </c>
      <c r="E49" s="74">
        <f>IF($N49="","",IF(INDEX('Cronograma R. Normativo'!$E$5:$E$1000,$N49)="","",INDEX('Cronograma R. Normativo'!$E$5:$E$1000,$N49)))</f>
        <v/>
      </c>
      <c r="F49" s="60">
        <f>IF($N49="","",IF(NOT(ISNUMBER($E49)),"",IF($E49&lt;InicioCiclo,"Antes del ciclo",IF($E49&gt;=InicioCiclo+28,"Después del ciclo","Semana "&amp;(INT(($E49-InicioCiclo)/7)+1)))))</f>
        <v/>
      </c>
      <c r="G49" s="65">
        <f>IF($N49="","",IF(INDEX('Cronograma R. Normativo'!$G$5:$G$1000,$N49)="","",INDEX('Cronograma R. Normativo'!$G$5:$G$1000,$N49)))</f>
        <v/>
      </c>
      <c r="H49" s="65">
        <f>IF($N49="","",IF(INDEX('Cronograma R. Normativo'!$H$5:$H$1000,$N49)="","",INDEX('Cronograma R. Normativo'!$H$5:$H$1000,$N49)))</f>
        <v/>
      </c>
      <c r="I49" s="65">
        <f>IF($N49="","",IF(INDEX('Cronograma R. Normativo'!$I$5:$I$1000,$N49)="","",INDEX('Cronograma R. Normativo'!$I$5:$I$1000,$N49)))</f>
        <v/>
      </c>
      <c r="J49" s="65">
        <f>IF($N49="","",IF(INDEX('Cronograma R. Normativo'!$J$5:$J$1000,$N49)="","",INDEX('Cronograma R. Normativo'!$J$5:$J$1000,$N49)))</f>
        <v/>
      </c>
      <c r="K49" s="65">
        <f>IF($N49="","",INDEX('Cronograma R. Normativo'!$K$5:$K$1000,$N49))</f>
        <v/>
      </c>
      <c r="L49" s="60">
        <f>IF($N49="","",IF(N($K49)&gt;=1,"Completado",IF(AND(ISNUMBER($E49),$E49&lt;FechaRef),"Vencida",IF(N($K49)&gt;0,"En curso","Pendiente"))))</f>
        <v/>
      </c>
      <c r="M49" s="68">
        <f>IF($N49="","",INDEX('Cronograma R. Normativo'!$M$5:$M$1000,$N49)&amp;"")</f>
        <v/>
      </c>
      <c r="N49">
        <f>IFERROR(MATCH(ROW()-4,rOrden_RN,0),"")</f>
        <v/>
      </c>
    </row>
    <row r="50">
      <c r="A50" s="60">
        <f>IF($N50="","",INDEX('Cronograma R. Normativo'!$A$5:$A$1000,$N50))</f>
        <v/>
      </c>
      <c r="B50" s="68">
        <f>IF($N50="","",INDEX('Cronograma R. Normativo'!$B$5:$B$1000,$N50)&amp;"")</f>
        <v/>
      </c>
      <c r="C50" s="68">
        <f>IF($N50="","",INDEX('Cronograma R. Normativo'!$C$5:$C$1000,$N50)&amp;"")</f>
        <v/>
      </c>
      <c r="D50" s="74">
        <f>IF($N50="","",IF(INDEX('Cronograma R. Normativo'!$D$5:$D$1000,$N50)="","",INDEX('Cronograma R. Normativo'!$D$5:$D$1000,$N50)))</f>
        <v/>
      </c>
      <c r="E50" s="74">
        <f>IF($N50="","",IF(INDEX('Cronograma R. Normativo'!$E$5:$E$1000,$N50)="","",INDEX('Cronograma R. Normativo'!$E$5:$E$1000,$N50)))</f>
        <v/>
      </c>
      <c r="F50" s="60">
        <f>IF($N50="","",IF(NOT(ISNUMBER($E50)),"",IF($E50&lt;InicioCiclo,"Antes del ciclo",IF($E50&gt;=InicioCiclo+28,"Después del ciclo","Semana "&amp;(INT(($E50-InicioCiclo)/7)+1)))))</f>
        <v/>
      </c>
      <c r="G50" s="65">
        <f>IF($N50="","",IF(INDEX('Cronograma R. Normativo'!$G$5:$G$1000,$N50)="","",INDEX('Cronograma R. Normativo'!$G$5:$G$1000,$N50)))</f>
        <v/>
      </c>
      <c r="H50" s="65">
        <f>IF($N50="","",IF(INDEX('Cronograma R. Normativo'!$H$5:$H$1000,$N50)="","",INDEX('Cronograma R. Normativo'!$H$5:$H$1000,$N50)))</f>
        <v/>
      </c>
      <c r="I50" s="65">
        <f>IF($N50="","",IF(INDEX('Cronograma R. Normativo'!$I$5:$I$1000,$N50)="","",INDEX('Cronograma R. Normativo'!$I$5:$I$1000,$N50)))</f>
        <v/>
      </c>
      <c r="J50" s="65">
        <f>IF($N50="","",IF(INDEX('Cronograma R. Normativo'!$J$5:$J$1000,$N50)="","",INDEX('Cronograma R. Normativo'!$J$5:$J$1000,$N50)))</f>
        <v/>
      </c>
      <c r="K50" s="65">
        <f>IF($N50="","",INDEX('Cronograma R. Normativo'!$K$5:$K$1000,$N50))</f>
        <v/>
      </c>
      <c r="L50" s="60">
        <f>IF($N50="","",IF(N($K50)&gt;=1,"Completado",IF(AND(ISNUMBER($E50),$E50&lt;FechaRef),"Vencida",IF(N($K50)&gt;0,"En curso","Pendiente"))))</f>
        <v/>
      </c>
      <c r="M50" s="68">
        <f>IF($N50="","",INDEX('Cronograma R. Normativo'!$M$5:$M$1000,$N50)&amp;"")</f>
        <v/>
      </c>
      <c r="N50">
        <f>IFERROR(MATCH(ROW()-4,rOrden_RN,0),"")</f>
        <v/>
      </c>
    </row>
    <row r="51">
      <c r="A51" s="60">
        <f>IF($N51="","",INDEX('Cronograma R. Normativo'!$A$5:$A$1000,$N51))</f>
        <v/>
      </c>
      <c r="B51" s="68">
        <f>IF($N51="","",INDEX('Cronograma R. Normativo'!$B$5:$B$1000,$N51)&amp;"")</f>
        <v/>
      </c>
      <c r="C51" s="68">
        <f>IF($N51="","",INDEX('Cronograma R. Normativo'!$C$5:$C$1000,$N51)&amp;"")</f>
        <v/>
      </c>
      <c r="D51" s="74">
        <f>IF($N51="","",IF(INDEX('Cronograma R. Normativo'!$D$5:$D$1000,$N51)="","",INDEX('Cronograma R. Normativo'!$D$5:$D$1000,$N51)))</f>
        <v/>
      </c>
      <c r="E51" s="74">
        <f>IF($N51="","",IF(INDEX('Cronograma R. Normativo'!$E$5:$E$1000,$N51)="","",INDEX('Cronograma R. Normativo'!$E$5:$E$1000,$N51)))</f>
        <v/>
      </c>
      <c r="F51" s="60">
        <f>IF($N51="","",IF(NOT(ISNUMBER($E51)),"",IF($E51&lt;InicioCiclo,"Antes del ciclo",IF($E51&gt;=InicioCiclo+28,"Después del ciclo","Semana "&amp;(INT(($E51-InicioCiclo)/7)+1)))))</f>
        <v/>
      </c>
      <c r="G51" s="65">
        <f>IF($N51="","",IF(INDEX('Cronograma R. Normativo'!$G$5:$G$1000,$N51)="","",INDEX('Cronograma R. Normativo'!$G$5:$G$1000,$N51)))</f>
        <v/>
      </c>
      <c r="H51" s="65">
        <f>IF($N51="","",IF(INDEX('Cronograma R. Normativo'!$H$5:$H$1000,$N51)="","",INDEX('Cronograma R. Normativo'!$H$5:$H$1000,$N51)))</f>
        <v/>
      </c>
      <c r="I51" s="65">
        <f>IF($N51="","",IF(INDEX('Cronograma R. Normativo'!$I$5:$I$1000,$N51)="","",INDEX('Cronograma R. Normativo'!$I$5:$I$1000,$N51)))</f>
        <v/>
      </c>
      <c r="J51" s="65">
        <f>IF($N51="","",IF(INDEX('Cronograma R. Normativo'!$J$5:$J$1000,$N51)="","",INDEX('Cronograma R. Normativo'!$J$5:$J$1000,$N51)))</f>
        <v/>
      </c>
      <c r="K51" s="65">
        <f>IF($N51="","",INDEX('Cronograma R. Normativo'!$K$5:$K$1000,$N51))</f>
        <v/>
      </c>
      <c r="L51" s="60">
        <f>IF($N51="","",IF(N($K51)&gt;=1,"Completado",IF(AND(ISNUMBER($E51),$E51&lt;FechaRef),"Vencida",IF(N($K51)&gt;0,"En curso","Pendiente"))))</f>
        <v/>
      </c>
      <c r="M51" s="68">
        <f>IF($N51="","",INDEX('Cronograma R. Normativo'!$M$5:$M$1000,$N51)&amp;"")</f>
        <v/>
      </c>
      <c r="N51">
        <f>IFERROR(MATCH(ROW()-4,rOrden_RN,0),"")</f>
        <v/>
      </c>
    </row>
    <row r="52">
      <c r="A52" s="60">
        <f>IF($N52="","",INDEX('Cronograma R. Normativo'!$A$5:$A$1000,$N52))</f>
        <v/>
      </c>
      <c r="B52" s="68">
        <f>IF($N52="","",INDEX('Cronograma R. Normativo'!$B$5:$B$1000,$N52)&amp;"")</f>
        <v/>
      </c>
      <c r="C52" s="68">
        <f>IF($N52="","",INDEX('Cronograma R. Normativo'!$C$5:$C$1000,$N52)&amp;"")</f>
        <v/>
      </c>
      <c r="D52" s="74">
        <f>IF($N52="","",IF(INDEX('Cronograma R. Normativo'!$D$5:$D$1000,$N52)="","",INDEX('Cronograma R. Normativo'!$D$5:$D$1000,$N52)))</f>
        <v/>
      </c>
      <c r="E52" s="74">
        <f>IF($N52="","",IF(INDEX('Cronograma R. Normativo'!$E$5:$E$1000,$N52)="","",INDEX('Cronograma R. Normativo'!$E$5:$E$1000,$N52)))</f>
        <v/>
      </c>
      <c r="F52" s="60">
        <f>IF($N52="","",IF(NOT(ISNUMBER($E52)),"",IF($E52&lt;InicioCiclo,"Antes del ciclo",IF($E52&gt;=InicioCiclo+28,"Después del ciclo","Semana "&amp;(INT(($E52-InicioCiclo)/7)+1)))))</f>
        <v/>
      </c>
      <c r="G52" s="65">
        <f>IF($N52="","",IF(INDEX('Cronograma R. Normativo'!$G$5:$G$1000,$N52)="","",INDEX('Cronograma R. Normativo'!$G$5:$G$1000,$N52)))</f>
        <v/>
      </c>
      <c r="H52" s="65">
        <f>IF($N52="","",IF(INDEX('Cronograma R. Normativo'!$H$5:$H$1000,$N52)="","",INDEX('Cronograma R. Normativo'!$H$5:$H$1000,$N52)))</f>
        <v/>
      </c>
      <c r="I52" s="65">
        <f>IF($N52="","",IF(INDEX('Cronograma R. Normativo'!$I$5:$I$1000,$N52)="","",INDEX('Cronograma R. Normativo'!$I$5:$I$1000,$N52)))</f>
        <v/>
      </c>
      <c r="J52" s="65">
        <f>IF($N52="","",IF(INDEX('Cronograma R. Normativo'!$J$5:$J$1000,$N52)="","",INDEX('Cronograma R. Normativo'!$J$5:$J$1000,$N52)))</f>
        <v/>
      </c>
      <c r="K52" s="65">
        <f>IF($N52="","",INDEX('Cronograma R. Normativo'!$K$5:$K$1000,$N52))</f>
        <v/>
      </c>
      <c r="L52" s="60">
        <f>IF($N52="","",IF(N($K52)&gt;=1,"Completado",IF(AND(ISNUMBER($E52),$E52&lt;FechaRef),"Vencida",IF(N($K52)&gt;0,"En curso","Pendiente"))))</f>
        <v/>
      </c>
      <c r="M52" s="68">
        <f>IF($N52="","",INDEX('Cronograma R. Normativo'!$M$5:$M$1000,$N52)&amp;"")</f>
        <v/>
      </c>
      <c r="N52">
        <f>IFERROR(MATCH(ROW()-4,rOrden_RN,0),"")</f>
        <v/>
      </c>
    </row>
    <row r="53">
      <c r="A53" s="60">
        <f>IF($N53="","",INDEX('Cronograma R. Normativo'!$A$5:$A$1000,$N53))</f>
        <v/>
      </c>
      <c r="B53" s="68">
        <f>IF($N53="","",INDEX('Cronograma R. Normativo'!$B$5:$B$1000,$N53)&amp;"")</f>
        <v/>
      </c>
      <c r="C53" s="68">
        <f>IF($N53="","",INDEX('Cronograma R. Normativo'!$C$5:$C$1000,$N53)&amp;"")</f>
        <v/>
      </c>
      <c r="D53" s="74">
        <f>IF($N53="","",IF(INDEX('Cronograma R. Normativo'!$D$5:$D$1000,$N53)="","",INDEX('Cronograma R. Normativo'!$D$5:$D$1000,$N53)))</f>
        <v/>
      </c>
      <c r="E53" s="74">
        <f>IF($N53="","",IF(INDEX('Cronograma R. Normativo'!$E$5:$E$1000,$N53)="","",INDEX('Cronograma R. Normativo'!$E$5:$E$1000,$N53)))</f>
        <v/>
      </c>
      <c r="F53" s="60">
        <f>IF($N53="","",IF(NOT(ISNUMBER($E53)),"",IF($E53&lt;InicioCiclo,"Antes del ciclo",IF($E53&gt;=InicioCiclo+28,"Después del ciclo","Semana "&amp;(INT(($E53-InicioCiclo)/7)+1)))))</f>
        <v/>
      </c>
      <c r="G53" s="65">
        <f>IF($N53="","",IF(INDEX('Cronograma R. Normativo'!$G$5:$G$1000,$N53)="","",INDEX('Cronograma R. Normativo'!$G$5:$G$1000,$N53)))</f>
        <v/>
      </c>
      <c r="H53" s="65">
        <f>IF($N53="","",IF(INDEX('Cronograma R. Normativo'!$H$5:$H$1000,$N53)="","",INDEX('Cronograma R. Normativo'!$H$5:$H$1000,$N53)))</f>
        <v/>
      </c>
      <c r="I53" s="65">
        <f>IF($N53="","",IF(INDEX('Cronograma R. Normativo'!$I$5:$I$1000,$N53)="","",INDEX('Cronograma R. Normativo'!$I$5:$I$1000,$N53)))</f>
        <v/>
      </c>
      <c r="J53" s="65">
        <f>IF($N53="","",IF(INDEX('Cronograma R. Normativo'!$J$5:$J$1000,$N53)="","",INDEX('Cronograma R. Normativo'!$J$5:$J$1000,$N53)))</f>
        <v/>
      </c>
      <c r="K53" s="65">
        <f>IF($N53="","",INDEX('Cronograma R. Normativo'!$K$5:$K$1000,$N53))</f>
        <v/>
      </c>
      <c r="L53" s="60">
        <f>IF($N53="","",IF(N($K53)&gt;=1,"Completado",IF(AND(ISNUMBER($E53),$E53&lt;FechaRef),"Vencida",IF(N($K53)&gt;0,"En curso","Pendiente"))))</f>
        <v/>
      </c>
      <c r="M53" s="68">
        <f>IF($N53="","",INDEX('Cronograma R. Normativo'!$M$5:$M$1000,$N53)&amp;"")</f>
        <v/>
      </c>
      <c r="N53">
        <f>IFERROR(MATCH(ROW()-4,rOrden_RN,0),"")</f>
        <v/>
      </c>
    </row>
    <row r="54">
      <c r="A54" s="60">
        <f>IF($N54="","",INDEX('Cronograma R. Normativo'!$A$5:$A$1000,$N54))</f>
        <v/>
      </c>
      <c r="B54" s="68">
        <f>IF($N54="","",INDEX('Cronograma R. Normativo'!$B$5:$B$1000,$N54)&amp;"")</f>
        <v/>
      </c>
      <c r="C54" s="68">
        <f>IF($N54="","",INDEX('Cronograma R. Normativo'!$C$5:$C$1000,$N54)&amp;"")</f>
        <v/>
      </c>
      <c r="D54" s="74">
        <f>IF($N54="","",IF(INDEX('Cronograma R. Normativo'!$D$5:$D$1000,$N54)="","",INDEX('Cronograma R. Normativo'!$D$5:$D$1000,$N54)))</f>
        <v/>
      </c>
      <c r="E54" s="74">
        <f>IF($N54="","",IF(INDEX('Cronograma R. Normativo'!$E$5:$E$1000,$N54)="","",INDEX('Cronograma R. Normativo'!$E$5:$E$1000,$N54)))</f>
        <v/>
      </c>
      <c r="F54" s="60">
        <f>IF($N54="","",IF(NOT(ISNUMBER($E54)),"",IF($E54&lt;InicioCiclo,"Antes del ciclo",IF($E54&gt;=InicioCiclo+28,"Después del ciclo","Semana "&amp;(INT(($E54-InicioCiclo)/7)+1)))))</f>
        <v/>
      </c>
      <c r="G54" s="65">
        <f>IF($N54="","",IF(INDEX('Cronograma R. Normativo'!$G$5:$G$1000,$N54)="","",INDEX('Cronograma R. Normativo'!$G$5:$G$1000,$N54)))</f>
        <v/>
      </c>
      <c r="H54" s="65">
        <f>IF($N54="","",IF(INDEX('Cronograma R. Normativo'!$H$5:$H$1000,$N54)="","",INDEX('Cronograma R. Normativo'!$H$5:$H$1000,$N54)))</f>
        <v/>
      </c>
      <c r="I54" s="65">
        <f>IF($N54="","",IF(INDEX('Cronograma R. Normativo'!$I$5:$I$1000,$N54)="","",INDEX('Cronograma R. Normativo'!$I$5:$I$1000,$N54)))</f>
        <v/>
      </c>
      <c r="J54" s="65">
        <f>IF($N54="","",IF(INDEX('Cronograma R. Normativo'!$J$5:$J$1000,$N54)="","",INDEX('Cronograma R. Normativo'!$J$5:$J$1000,$N54)))</f>
        <v/>
      </c>
      <c r="K54" s="65">
        <f>IF($N54="","",INDEX('Cronograma R. Normativo'!$K$5:$K$1000,$N54))</f>
        <v/>
      </c>
      <c r="L54" s="60">
        <f>IF($N54="","",IF(N($K54)&gt;=1,"Completado",IF(AND(ISNUMBER($E54),$E54&lt;FechaRef),"Vencida",IF(N($K54)&gt;0,"En curso","Pendiente"))))</f>
        <v/>
      </c>
      <c r="M54" s="68">
        <f>IF($N54="","",INDEX('Cronograma R. Normativo'!$M$5:$M$1000,$N54)&amp;"")</f>
        <v/>
      </c>
      <c r="N54">
        <f>IFERROR(MATCH(ROW()-4,rOrden_RN,0),"")</f>
        <v/>
      </c>
    </row>
    <row r="55">
      <c r="A55" s="60">
        <f>IF($N55="","",INDEX('Cronograma R. Normativo'!$A$5:$A$1000,$N55))</f>
        <v/>
      </c>
      <c r="B55" s="68">
        <f>IF($N55="","",INDEX('Cronograma R. Normativo'!$B$5:$B$1000,$N55)&amp;"")</f>
        <v/>
      </c>
      <c r="C55" s="68">
        <f>IF($N55="","",INDEX('Cronograma R. Normativo'!$C$5:$C$1000,$N55)&amp;"")</f>
        <v/>
      </c>
      <c r="D55" s="74">
        <f>IF($N55="","",IF(INDEX('Cronograma R. Normativo'!$D$5:$D$1000,$N55)="","",INDEX('Cronograma R. Normativo'!$D$5:$D$1000,$N55)))</f>
        <v/>
      </c>
      <c r="E55" s="74">
        <f>IF($N55="","",IF(INDEX('Cronograma R. Normativo'!$E$5:$E$1000,$N55)="","",INDEX('Cronograma R. Normativo'!$E$5:$E$1000,$N55)))</f>
        <v/>
      </c>
      <c r="F55" s="60">
        <f>IF($N55="","",IF(NOT(ISNUMBER($E55)),"",IF($E55&lt;InicioCiclo,"Antes del ciclo",IF($E55&gt;=InicioCiclo+28,"Después del ciclo","Semana "&amp;(INT(($E55-InicioCiclo)/7)+1)))))</f>
        <v/>
      </c>
      <c r="G55" s="65">
        <f>IF($N55="","",IF(INDEX('Cronograma R. Normativo'!$G$5:$G$1000,$N55)="","",INDEX('Cronograma R. Normativo'!$G$5:$G$1000,$N55)))</f>
        <v/>
      </c>
      <c r="H55" s="65">
        <f>IF($N55="","",IF(INDEX('Cronograma R. Normativo'!$H$5:$H$1000,$N55)="","",INDEX('Cronograma R. Normativo'!$H$5:$H$1000,$N55)))</f>
        <v/>
      </c>
      <c r="I55" s="65">
        <f>IF($N55="","",IF(INDEX('Cronograma R. Normativo'!$I$5:$I$1000,$N55)="","",INDEX('Cronograma R. Normativo'!$I$5:$I$1000,$N55)))</f>
        <v/>
      </c>
      <c r="J55" s="65">
        <f>IF($N55="","",IF(INDEX('Cronograma R. Normativo'!$J$5:$J$1000,$N55)="","",INDEX('Cronograma R. Normativo'!$J$5:$J$1000,$N55)))</f>
        <v/>
      </c>
      <c r="K55" s="65">
        <f>IF($N55="","",INDEX('Cronograma R. Normativo'!$K$5:$K$1000,$N55))</f>
        <v/>
      </c>
      <c r="L55" s="60">
        <f>IF($N55="","",IF(N($K55)&gt;=1,"Completado",IF(AND(ISNUMBER($E55),$E55&lt;FechaRef),"Vencida",IF(N($K55)&gt;0,"En curso","Pendiente"))))</f>
        <v/>
      </c>
      <c r="M55" s="68">
        <f>IF($N55="","",INDEX('Cronograma R. Normativo'!$M$5:$M$1000,$N55)&amp;"")</f>
        <v/>
      </c>
      <c r="N55">
        <f>IFERROR(MATCH(ROW()-4,rOrden_RN,0),"")</f>
        <v/>
      </c>
    </row>
    <row r="56">
      <c r="A56" s="60">
        <f>IF($N56="","",INDEX('Cronograma R. Normativo'!$A$5:$A$1000,$N56))</f>
        <v/>
      </c>
      <c r="B56" s="68">
        <f>IF($N56="","",INDEX('Cronograma R. Normativo'!$B$5:$B$1000,$N56)&amp;"")</f>
        <v/>
      </c>
      <c r="C56" s="68">
        <f>IF($N56="","",INDEX('Cronograma R. Normativo'!$C$5:$C$1000,$N56)&amp;"")</f>
        <v/>
      </c>
      <c r="D56" s="74">
        <f>IF($N56="","",IF(INDEX('Cronograma R. Normativo'!$D$5:$D$1000,$N56)="","",INDEX('Cronograma R. Normativo'!$D$5:$D$1000,$N56)))</f>
        <v/>
      </c>
      <c r="E56" s="74">
        <f>IF($N56="","",IF(INDEX('Cronograma R. Normativo'!$E$5:$E$1000,$N56)="","",INDEX('Cronograma R. Normativo'!$E$5:$E$1000,$N56)))</f>
        <v/>
      </c>
      <c r="F56" s="60">
        <f>IF($N56="","",IF(NOT(ISNUMBER($E56)),"",IF($E56&lt;InicioCiclo,"Antes del ciclo",IF($E56&gt;=InicioCiclo+28,"Después del ciclo","Semana "&amp;(INT(($E56-InicioCiclo)/7)+1)))))</f>
        <v/>
      </c>
      <c r="G56" s="65">
        <f>IF($N56="","",IF(INDEX('Cronograma R. Normativo'!$G$5:$G$1000,$N56)="","",INDEX('Cronograma R. Normativo'!$G$5:$G$1000,$N56)))</f>
        <v/>
      </c>
      <c r="H56" s="65">
        <f>IF($N56="","",IF(INDEX('Cronograma R. Normativo'!$H$5:$H$1000,$N56)="","",INDEX('Cronograma R. Normativo'!$H$5:$H$1000,$N56)))</f>
        <v/>
      </c>
      <c r="I56" s="65">
        <f>IF($N56="","",IF(INDEX('Cronograma R. Normativo'!$I$5:$I$1000,$N56)="","",INDEX('Cronograma R. Normativo'!$I$5:$I$1000,$N56)))</f>
        <v/>
      </c>
      <c r="J56" s="65">
        <f>IF($N56="","",IF(INDEX('Cronograma R. Normativo'!$J$5:$J$1000,$N56)="","",INDEX('Cronograma R. Normativo'!$J$5:$J$1000,$N56)))</f>
        <v/>
      </c>
      <c r="K56" s="65">
        <f>IF($N56="","",INDEX('Cronograma R. Normativo'!$K$5:$K$1000,$N56))</f>
        <v/>
      </c>
      <c r="L56" s="60">
        <f>IF($N56="","",IF(N($K56)&gt;=1,"Completado",IF(AND(ISNUMBER($E56),$E56&lt;FechaRef),"Vencida",IF(N($K56)&gt;0,"En curso","Pendiente"))))</f>
        <v/>
      </c>
      <c r="M56" s="68">
        <f>IF($N56="","",INDEX('Cronograma R. Normativo'!$M$5:$M$1000,$N56)&amp;"")</f>
        <v/>
      </c>
      <c r="N56">
        <f>IFERROR(MATCH(ROW()-4,rOrden_RN,0),"")</f>
        <v/>
      </c>
    </row>
    <row r="57">
      <c r="A57" s="60">
        <f>IF($N57="","",INDEX('Cronograma R. Normativo'!$A$5:$A$1000,$N57))</f>
        <v/>
      </c>
      <c r="B57" s="68">
        <f>IF($N57="","",INDEX('Cronograma R. Normativo'!$B$5:$B$1000,$N57)&amp;"")</f>
        <v/>
      </c>
      <c r="C57" s="68">
        <f>IF($N57="","",INDEX('Cronograma R. Normativo'!$C$5:$C$1000,$N57)&amp;"")</f>
        <v/>
      </c>
      <c r="D57" s="74">
        <f>IF($N57="","",IF(INDEX('Cronograma R. Normativo'!$D$5:$D$1000,$N57)="","",INDEX('Cronograma R. Normativo'!$D$5:$D$1000,$N57)))</f>
        <v/>
      </c>
      <c r="E57" s="74">
        <f>IF($N57="","",IF(INDEX('Cronograma R. Normativo'!$E$5:$E$1000,$N57)="","",INDEX('Cronograma R. Normativo'!$E$5:$E$1000,$N57)))</f>
        <v/>
      </c>
      <c r="F57" s="60">
        <f>IF($N57="","",IF(NOT(ISNUMBER($E57)),"",IF($E57&lt;InicioCiclo,"Antes del ciclo",IF($E57&gt;=InicioCiclo+28,"Después del ciclo","Semana "&amp;(INT(($E57-InicioCiclo)/7)+1)))))</f>
        <v/>
      </c>
      <c r="G57" s="65">
        <f>IF($N57="","",IF(INDEX('Cronograma R. Normativo'!$G$5:$G$1000,$N57)="","",INDEX('Cronograma R. Normativo'!$G$5:$G$1000,$N57)))</f>
        <v/>
      </c>
      <c r="H57" s="65">
        <f>IF($N57="","",IF(INDEX('Cronograma R. Normativo'!$H$5:$H$1000,$N57)="","",INDEX('Cronograma R. Normativo'!$H$5:$H$1000,$N57)))</f>
        <v/>
      </c>
      <c r="I57" s="65">
        <f>IF($N57="","",IF(INDEX('Cronograma R. Normativo'!$I$5:$I$1000,$N57)="","",INDEX('Cronograma R. Normativo'!$I$5:$I$1000,$N57)))</f>
        <v/>
      </c>
      <c r="J57" s="65">
        <f>IF($N57="","",IF(INDEX('Cronograma R. Normativo'!$J$5:$J$1000,$N57)="","",INDEX('Cronograma R. Normativo'!$J$5:$J$1000,$N57)))</f>
        <v/>
      </c>
      <c r="K57" s="65">
        <f>IF($N57="","",INDEX('Cronograma R. Normativo'!$K$5:$K$1000,$N57))</f>
        <v/>
      </c>
      <c r="L57" s="60">
        <f>IF($N57="","",IF(N($K57)&gt;=1,"Completado",IF(AND(ISNUMBER($E57),$E57&lt;FechaRef),"Vencida",IF(N($K57)&gt;0,"En curso","Pendiente"))))</f>
        <v/>
      </c>
      <c r="M57" s="68">
        <f>IF($N57="","",INDEX('Cronograma R. Normativo'!$M$5:$M$1000,$N57)&amp;"")</f>
        <v/>
      </c>
      <c r="N57">
        <f>IFERROR(MATCH(ROW()-4,rOrden_RN,0),"")</f>
        <v/>
      </c>
    </row>
    <row r="58">
      <c r="A58" s="60">
        <f>IF($N58="","",INDEX('Cronograma R. Normativo'!$A$5:$A$1000,$N58))</f>
        <v/>
      </c>
      <c r="B58" s="68">
        <f>IF($N58="","",INDEX('Cronograma R. Normativo'!$B$5:$B$1000,$N58)&amp;"")</f>
        <v/>
      </c>
      <c r="C58" s="68">
        <f>IF($N58="","",INDEX('Cronograma R. Normativo'!$C$5:$C$1000,$N58)&amp;"")</f>
        <v/>
      </c>
      <c r="D58" s="74">
        <f>IF($N58="","",IF(INDEX('Cronograma R. Normativo'!$D$5:$D$1000,$N58)="","",INDEX('Cronograma R. Normativo'!$D$5:$D$1000,$N58)))</f>
        <v/>
      </c>
      <c r="E58" s="74">
        <f>IF($N58="","",IF(INDEX('Cronograma R. Normativo'!$E$5:$E$1000,$N58)="","",INDEX('Cronograma R. Normativo'!$E$5:$E$1000,$N58)))</f>
        <v/>
      </c>
      <c r="F58" s="60">
        <f>IF($N58="","",IF(NOT(ISNUMBER($E58)),"",IF($E58&lt;InicioCiclo,"Antes del ciclo",IF($E58&gt;=InicioCiclo+28,"Después del ciclo","Semana "&amp;(INT(($E58-InicioCiclo)/7)+1)))))</f>
        <v/>
      </c>
      <c r="G58" s="65">
        <f>IF($N58="","",IF(INDEX('Cronograma R. Normativo'!$G$5:$G$1000,$N58)="","",INDEX('Cronograma R. Normativo'!$G$5:$G$1000,$N58)))</f>
        <v/>
      </c>
      <c r="H58" s="65">
        <f>IF($N58="","",IF(INDEX('Cronograma R. Normativo'!$H$5:$H$1000,$N58)="","",INDEX('Cronograma R. Normativo'!$H$5:$H$1000,$N58)))</f>
        <v/>
      </c>
      <c r="I58" s="65">
        <f>IF($N58="","",IF(INDEX('Cronograma R. Normativo'!$I$5:$I$1000,$N58)="","",INDEX('Cronograma R. Normativo'!$I$5:$I$1000,$N58)))</f>
        <v/>
      </c>
      <c r="J58" s="65">
        <f>IF($N58="","",IF(INDEX('Cronograma R. Normativo'!$J$5:$J$1000,$N58)="","",INDEX('Cronograma R. Normativo'!$J$5:$J$1000,$N58)))</f>
        <v/>
      </c>
      <c r="K58" s="65">
        <f>IF($N58="","",INDEX('Cronograma R. Normativo'!$K$5:$K$1000,$N58))</f>
        <v/>
      </c>
      <c r="L58" s="60">
        <f>IF($N58="","",IF(N($K58)&gt;=1,"Completado",IF(AND(ISNUMBER($E58),$E58&lt;FechaRef),"Vencida",IF(N($K58)&gt;0,"En curso","Pendiente"))))</f>
        <v/>
      </c>
      <c r="M58" s="68">
        <f>IF($N58="","",INDEX('Cronograma R. Normativo'!$M$5:$M$1000,$N58)&amp;"")</f>
        <v/>
      </c>
      <c r="N58">
        <f>IFERROR(MATCH(ROW()-4,rOrden_RN,0),"")</f>
        <v/>
      </c>
    </row>
    <row r="59">
      <c r="A59" s="60">
        <f>IF($N59="","",INDEX('Cronograma R. Normativo'!$A$5:$A$1000,$N59))</f>
        <v/>
      </c>
      <c r="B59" s="68">
        <f>IF($N59="","",INDEX('Cronograma R. Normativo'!$B$5:$B$1000,$N59)&amp;"")</f>
        <v/>
      </c>
      <c r="C59" s="68">
        <f>IF($N59="","",INDEX('Cronograma R. Normativo'!$C$5:$C$1000,$N59)&amp;"")</f>
        <v/>
      </c>
      <c r="D59" s="74">
        <f>IF($N59="","",IF(INDEX('Cronograma R. Normativo'!$D$5:$D$1000,$N59)="","",INDEX('Cronograma R. Normativo'!$D$5:$D$1000,$N59)))</f>
        <v/>
      </c>
      <c r="E59" s="74">
        <f>IF($N59="","",IF(INDEX('Cronograma R. Normativo'!$E$5:$E$1000,$N59)="","",INDEX('Cronograma R. Normativo'!$E$5:$E$1000,$N59)))</f>
        <v/>
      </c>
      <c r="F59" s="60">
        <f>IF($N59="","",IF(NOT(ISNUMBER($E59)),"",IF($E59&lt;InicioCiclo,"Antes del ciclo",IF($E59&gt;=InicioCiclo+28,"Después del ciclo","Semana "&amp;(INT(($E59-InicioCiclo)/7)+1)))))</f>
        <v/>
      </c>
      <c r="G59" s="65">
        <f>IF($N59="","",IF(INDEX('Cronograma R. Normativo'!$G$5:$G$1000,$N59)="","",INDEX('Cronograma R. Normativo'!$G$5:$G$1000,$N59)))</f>
        <v/>
      </c>
      <c r="H59" s="65">
        <f>IF($N59="","",IF(INDEX('Cronograma R. Normativo'!$H$5:$H$1000,$N59)="","",INDEX('Cronograma R. Normativo'!$H$5:$H$1000,$N59)))</f>
        <v/>
      </c>
      <c r="I59" s="65">
        <f>IF($N59="","",IF(INDEX('Cronograma R. Normativo'!$I$5:$I$1000,$N59)="","",INDEX('Cronograma R. Normativo'!$I$5:$I$1000,$N59)))</f>
        <v/>
      </c>
      <c r="J59" s="65">
        <f>IF($N59="","",IF(INDEX('Cronograma R. Normativo'!$J$5:$J$1000,$N59)="","",INDEX('Cronograma R. Normativo'!$J$5:$J$1000,$N59)))</f>
        <v/>
      </c>
      <c r="K59" s="65">
        <f>IF($N59="","",INDEX('Cronograma R. Normativo'!$K$5:$K$1000,$N59))</f>
        <v/>
      </c>
      <c r="L59" s="60">
        <f>IF($N59="","",IF(N($K59)&gt;=1,"Completado",IF(AND(ISNUMBER($E59),$E59&lt;FechaRef),"Vencida",IF(N($K59)&gt;0,"En curso","Pendiente"))))</f>
        <v/>
      </c>
      <c r="M59" s="68">
        <f>IF($N59="","",INDEX('Cronograma R. Normativo'!$M$5:$M$1000,$N59)&amp;"")</f>
        <v/>
      </c>
      <c r="N59">
        <f>IFERROR(MATCH(ROW()-4,rOrden_RN,0),"")</f>
        <v/>
      </c>
    </row>
    <row r="60">
      <c r="A60" s="60">
        <f>IF($N60="","",INDEX('Cronograma R. Normativo'!$A$5:$A$1000,$N60))</f>
        <v/>
      </c>
      <c r="B60" s="68">
        <f>IF($N60="","",INDEX('Cronograma R. Normativo'!$B$5:$B$1000,$N60)&amp;"")</f>
        <v/>
      </c>
      <c r="C60" s="68">
        <f>IF($N60="","",INDEX('Cronograma R. Normativo'!$C$5:$C$1000,$N60)&amp;"")</f>
        <v/>
      </c>
      <c r="D60" s="74">
        <f>IF($N60="","",IF(INDEX('Cronograma R. Normativo'!$D$5:$D$1000,$N60)="","",INDEX('Cronograma R. Normativo'!$D$5:$D$1000,$N60)))</f>
        <v/>
      </c>
      <c r="E60" s="74">
        <f>IF($N60="","",IF(INDEX('Cronograma R. Normativo'!$E$5:$E$1000,$N60)="","",INDEX('Cronograma R. Normativo'!$E$5:$E$1000,$N60)))</f>
        <v/>
      </c>
      <c r="F60" s="60">
        <f>IF($N60="","",IF(NOT(ISNUMBER($E60)),"",IF($E60&lt;InicioCiclo,"Antes del ciclo",IF($E60&gt;=InicioCiclo+28,"Después del ciclo","Semana "&amp;(INT(($E60-InicioCiclo)/7)+1)))))</f>
        <v/>
      </c>
      <c r="G60" s="65">
        <f>IF($N60="","",IF(INDEX('Cronograma R. Normativo'!$G$5:$G$1000,$N60)="","",INDEX('Cronograma R. Normativo'!$G$5:$G$1000,$N60)))</f>
        <v/>
      </c>
      <c r="H60" s="65">
        <f>IF($N60="","",IF(INDEX('Cronograma R. Normativo'!$H$5:$H$1000,$N60)="","",INDEX('Cronograma R. Normativo'!$H$5:$H$1000,$N60)))</f>
        <v/>
      </c>
      <c r="I60" s="65">
        <f>IF($N60="","",IF(INDEX('Cronograma R. Normativo'!$I$5:$I$1000,$N60)="","",INDEX('Cronograma R. Normativo'!$I$5:$I$1000,$N60)))</f>
        <v/>
      </c>
      <c r="J60" s="65">
        <f>IF($N60="","",IF(INDEX('Cronograma R. Normativo'!$J$5:$J$1000,$N60)="","",INDEX('Cronograma R. Normativo'!$J$5:$J$1000,$N60)))</f>
        <v/>
      </c>
      <c r="K60" s="65">
        <f>IF($N60="","",INDEX('Cronograma R. Normativo'!$K$5:$K$1000,$N60))</f>
        <v/>
      </c>
      <c r="L60" s="60">
        <f>IF($N60="","",IF(N($K60)&gt;=1,"Completado",IF(AND(ISNUMBER($E60),$E60&lt;FechaRef),"Vencida",IF(N($K60)&gt;0,"En curso","Pendiente"))))</f>
        <v/>
      </c>
      <c r="M60" s="68">
        <f>IF($N60="","",INDEX('Cronograma R. Normativo'!$M$5:$M$1000,$N60)&amp;"")</f>
        <v/>
      </c>
      <c r="N60">
        <f>IFERROR(MATCH(ROW()-4,rOrden_RN,0),"")</f>
        <v/>
      </c>
    </row>
    <row r="61">
      <c r="A61" s="60">
        <f>IF($N61="","",INDEX('Cronograma R. Normativo'!$A$5:$A$1000,$N61))</f>
        <v/>
      </c>
      <c r="B61" s="68">
        <f>IF($N61="","",INDEX('Cronograma R. Normativo'!$B$5:$B$1000,$N61)&amp;"")</f>
        <v/>
      </c>
      <c r="C61" s="68">
        <f>IF($N61="","",INDEX('Cronograma R. Normativo'!$C$5:$C$1000,$N61)&amp;"")</f>
        <v/>
      </c>
      <c r="D61" s="74">
        <f>IF($N61="","",IF(INDEX('Cronograma R. Normativo'!$D$5:$D$1000,$N61)="","",INDEX('Cronograma R. Normativo'!$D$5:$D$1000,$N61)))</f>
        <v/>
      </c>
      <c r="E61" s="74">
        <f>IF($N61="","",IF(INDEX('Cronograma R. Normativo'!$E$5:$E$1000,$N61)="","",INDEX('Cronograma R. Normativo'!$E$5:$E$1000,$N61)))</f>
        <v/>
      </c>
      <c r="F61" s="60">
        <f>IF($N61="","",IF(NOT(ISNUMBER($E61)),"",IF($E61&lt;InicioCiclo,"Antes del ciclo",IF($E61&gt;=InicioCiclo+28,"Después del ciclo","Semana "&amp;(INT(($E61-InicioCiclo)/7)+1)))))</f>
        <v/>
      </c>
      <c r="G61" s="65">
        <f>IF($N61="","",IF(INDEX('Cronograma R. Normativo'!$G$5:$G$1000,$N61)="","",INDEX('Cronograma R. Normativo'!$G$5:$G$1000,$N61)))</f>
        <v/>
      </c>
      <c r="H61" s="65">
        <f>IF($N61="","",IF(INDEX('Cronograma R. Normativo'!$H$5:$H$1000,$N61)="","",INDEX('Cronograma R. Normativo'!$H$5:$H$1000,$N61)))</f>
        <v/>
      </c>
      <c r="I61" s="65">
        <f>IF($N61="","",IF(INDEX('Cronograma R. Normativo'!$I$5:$I$1000,$N61)="","",INDEX('Cronograma R. Normativo'!$I$5:$I$1000,$N61)))</f>
        <v/>
      </c>
      <c r="J61" s="65">
        <f>IF($N61="","",IF(INDEX('Cronograma R. Normativo'!$J$5:$J$1000,$N61)="","",INDEX('Cronograma R. Normativo'!$J$5:$J$1000,$N61)))</f>
        <v/>
      </c>
      <c r="K61" s="65">
        <f>IF($N61="","",INDEX('Cronograma R. Normativo'!$K$5:$K$1000,$N61))</f>
        <v/>
      </c>
      <c r="L61" s="60">
        <f>IF($N61="","",IF(N($K61)&gt;=1,"Completado",IF(AND(ISNUMBER($E61),$E61&lt;FechaRef),"Vencida",IF(N($K61)&gt;0,"En curso","Pendiente"))))</f>
        <v/>
      </c>
      <c r="M61" s="68">
        <f>IF($N61="","",INDEX('Cronograma R. Normativo'!$M$5:$M$1000,$N61)&amp;"")</f>
        <v/>
      </c>
      <c r="N61">
        <f>IFERROR(MATCH(ROW()-4,rOrden_RN,0),"")</f>
        <v/>
      </c>
    </row>
    <row r="62">
      <c r="A62" s="60">
        <f>IF($N62="","",INDEX('Cronograma R. Normativo'!$A$5:$A$1000,$N62))</f>
        <v/>
      </c>
      <c r="B62" s="68">
        <f>IF($N62="","",INDEX('Cronograma R. Normativo'!$B$5:$B$1000,$N62)&amp;"")</f>
        <v/>
      </c>
      <c r="C62" s="68">
        <f>IF($N62="","",INDEX('Cronograma R. Normativo'!$C$5:$C$1000,$N62)&amp;"")</f>
        <v/>
      </c>
      <c r="D62" s="74">
        <f>IF($N62="","",IF(INDEX('Cronograma R. Normativo'!$D$5:$D$1000,$N62)="","",INDEX('Cronograma R. Normativo'!$D$5:$D$1000,$N62)))</f>
        <v/>
      </c>
      <c r="E62" s="74">
        <f>IF($N62="","",IF(INDEX('Cronograma R. Normativo'!$E$5:$E$1000,$N62)="","",INDEX('Cronograma R. Normativo'!$E$5:$E$1000,$N62)))</f>
        <v/>
      </c>
      <c r="F62" s="60">
        <f>IF($N62="","",IF(NOT(ISNUMBER($E62)),"",IF($E62&lt;InicioCiclo,"Antes del ciclo",IF($E62&gt;=InicioCiclo+28,"Después del ciclo","Semana "&amp;(INT(($E62-InicioCiclo)/7)+1)))))</f>
        <v/>
      </c>
      <c r="G62" s="65">
        <f>IF($N62="","",IF(INDEX('Cronograma R. Normativo'!$G$5:$G$1000,$N62)="","",INDEX('Cronograma R. Normativo'!$G$5:$G$1000,$N62)))</f>
        <v/>
      </c>
      <c r="H62" s="65">
        <f>IF($N62="","",IF(INDEX('Cronograma R. Normativo'!$H$5:$H$1000,$N62)="","",INDEX('Cronograma R. Normativo'!$H$5:$H$1000,$N62)))</f>
        <v/>
      </c>
      <c r="I62" s="65">
        <f>IF($N62="","",IF(INDEX('Cronograma R. Normativo'!$I$5:$I$1000,$N62)="","",INDEX('Cronograma R. Normativo'!$I$5:$I$1000,$N62)))</f>
        <v/>
      </c>
      <c r="J62" s="65">
        <f>IF($N62="","",IF(INDEX('Cronograma R. Normativo'!$J$5:$J$1000,$N62)="","",INDEX('Cronograma R. Normativo'!$J$5:$J$1000,$N62)))</f>
        <v/>
      </c>
      <c r="K62" s="65">
        <f>IF($N62="","",INDEX('Cronograma R. Normativo'!$K$5:$K$1000,$N62))</f>
        <v/>
      </c>
      <c r="L62" s="60">
        <f>IF($N62="","",IF(N($K62)&gt;=1,"Completado",IF(AND(ISNUMBER($E62),$E62&lt;FechaRef),"Vencida",IF(N($K62)&gt;0,"En curso","Pendiente"))))</f>
        <v/>
      </c>
      <c r="M62" s="68">
        <f>IF($N62="","",INDEX('Cronograma R. Normativo'!$M$5:$M$1000,$N62)&amp;"")</f>
        <v/>
      </c>
      <c r="N62">
        <f>IFERROR(MATCH(ROW()-4,rOrden_RN,0),"")</f>
        <v/>
      </c>
    </row>
    <row r="63">
      <c r="A63" s="60">
        <f>IF($N63="","",INDEX('Cronograma R. Normativo'!$A$5:$A$1000,$N63))</f>
        <v/>
      </c>
      <c r="B63" s="68">
        <f>IF($N63="","",INDEX('Cronograma R. Normativo'!$B$5:$B$1000,$N63)&amp;"")</f>
        <v/>
      </c>
      <c r="C63" s="68">
        <f>IF($N63="","",INDEX('Cronograma R. Normativo'!$C$5:$C$1000,$N63)&amp;"")</f>
        <v/>
      </c>
      <c r="D63" s="74">
        <f>IF($N63="","",IF(INDEX('Cronograma R. Normativo'!$D$5:$D$1000,$N63)="","",INDEX('Cronograma R. Normativo'!$D$5:$D$1000,$N63)))</f>
        <v/>
      </c>
      <c r="E63" s="74">
        <f>IF($N63="","",IF(INDEX('Cronograma R. Normativo'!$E$5:$E$1000,$N63)="","",INDEX('Cronograma R. Normativo'!$E$5:$E$1000,$N63)))</f>
        <v/>
      </c>
      <c r="F63" s="60">
        <f>IF($N63="","",IF(NOT(ISNUMBER($E63)),"",IF($E63&lt;InicioCiclo,"Antes del ciclo",IF($E63&gt;=InicioCiclo+28,"Después del ciclo","Semana "&amp;(INT(($E63-InicioCiclo)/7)+1)))))</f>
        <v/>
      </c>
      <c r="G63" s="65">
        <f>IF($N63="","",IF(INDEX('Cronograma R. Normativo'!$G$5:$G$1000,$N63)="","",INDEX('Cronograma R. Normativo'!$G$5:$G$1000,$N63)))</f>
        <v/>
      </c>
      <c r="H63" s="65">
        <f>IF($N63="","",IF(INDEX('Cronograma R. Normativo'!$H$5:$H$1000,$N63)="","",INDEX('Cronograma R. Normativo'!$H$5:$H$1000,$N63)))</f>
        <v/>
      </c>
      <c r="I63" s="65">
        <f>IF($N63="","",IF(INDEX('Cronograma R. Normativo'!$I$5:$I$1000,$N63)="","",INDEX('Cronograma R. Normativo'!$I$5:$I$1000,$N63)))</f>
        <v/>
      </c>
      <c r="J63" s="65">
        <f>IF($N63="","",IF(INDEX('Cronograma R. Normativo'!$J$5:$J$1000,$N63)="","",INDEX('Cronograma R. Normativo'!$J$5:$J$1000,$N63)))</f>
        <v/>
      </c>
      <c r="K63" s="65">
        <f>IF($N63="","",INDEX('Cronograma R. Normativo'!$K$5:$K$1000,$N63))</f>
        <v/>
      </c>
      <c r="L63" s="60">
        <f>IF($N63="","",IF(N($K63)&gt;=1,"Completado",IF(AND(ISNUMBER($E63),$E63&lt;FechaRef),"Vencida",IF(N($K63)&gt;0,"En curso","Pendiente"))))</f>
        <v/>
      </c>
      <c r="M63" s="68">
        <f>IF($N63="","",INDEX('Cronograma R. Normativo'!$M$5:$M$1000,$N63)&amp;"")</f>
        <v/>
      </c>
      <c r="N63">
        <f>IFERROR(MATCH(ROW()-4,rOrden_RN,0),"")</f>
        <v/>
      </c>
    </row>
    <row r="64">
      <c r="A64" s="60">
        <f>IF($N64="","",INDEX('Cronograma R. Normativo'!$A$5:$A$1000,$N64))</f>
        <v/>
      </c>
      <c r="B64" s="68">
        <f>IF($N64="","",INDEX('Cronograma R. Normativo'!$B$5:$B$1000,$N64)&amp;"")</f>
        <v/>
      </c>
      <c r="C64" s="68">
        <f>IF($N64="","",INDEX('Cronograma R. Normativo'!$C$5:$C$1000,$N64)&amp;"")</f>
        <v/>
      </c>
      <c r="D64" s="74">
        <f>IF($N64="","",IF(INDEX('Cronograma R. Normativo'!$D$5:$D$1000,$N64)="","",INDEX('Cronograma R. Normativo'!$D$5:$D$1000,$N64)))</f>
        <v/>
      </c>
      <c r="E64" s="74">
        <f>IF($N64="","",IF(INDEX('Cronograma R. Normativo'!$E$5:$E$1000,$N64)="","",INDEX('Cronograma R. Normativo'!$E$5:$E$1000,$N64)))</f>
        <v/>
      </c>
      <c r="F64" s="60">
        <f>IF($N64="","",IF(NOT(ISNUMBER($E64)),"",IF($E64&lt;InicioCiclo,"Antes del ciclo",IF($E64&gt;=InicioCiclo+28,"Después del ciclo","Semana "&amp;(INT(($E64-InicioCiclo)/7)+1)))))</f>
        <v/>
      </c>
      <c r="G64" s="65">
        <f>IF($N64="","",IF(INDEX('Cronograma R. Normativo'!$G$5:$G$1000,$N64)="","",INDEX('Cronograma R. Normativo'!$G$5:$G$1000,$N64)))</f>
        <v/>
      </c>
      <c r="H64" s="65">
        <f>IF($N64="","",IF(INDEX('Cronograma R. Normativo'!$H$5:$H$1000,$N64)="","",INDEX('Cronograma R. Normativo'!$H$5:$H$1000,$N64)))</f>
        <v/>
      </c>
      <c r="I64" s="65">
        <f>IF($N64="","",IF(INDEX('Cronograma R. Normativo'!$I$5:$I$1000,$N64)="","",INDEX('Cronograma R. Normativo'!$I$5:$I$1000,$N64)))</f>
        <v/>
      </c>
      <c r="J64" s="65">
        <f>IF($N64="","",IF(INDEX('Cronograma R. Normativo'!$J$5:$J$1000,$N64)="","",INDEX('Cronograma R. Normativo'!$J$5:$J$1000,$N64)))</f>
        <v/>
      </c>
      <c r="K64" s="65">
        <f>IF($N64="","",INDEX('Cronograma R. Normativo'!$K$5:$K$1000,$N64))</f>
        <v/>
      </c>
      <c r="L64" s="60">
        <f>IF($N64="","",IF(N($K64)&gt;=1,"Completado",IF(AND(ISNUMBER($E64),$E64&lt;FechaRef),"Vencida",IF(N($K64)&gt;0,"En curso","Pendiente"))))</f>
        <v/>
      </c>
      <c r="M64" s="68">
        <f>IF($N64="","",INDEX('Cronograma R. Normativo'!$M$5:$M$1000,$N64)&amp;"")</f>
        <v/>
      </c>
      <c r="N64">
        <f>IFERROR(MATCH(ROW()-4,rOrden_RN,0),"")</f>
        <v/>
      </c>
    </row>
    <row r="65">
      <c r="A65" s="60">
        <f>IF($N65="","",INDEX('Cronograma R. Normativo'!$A$5:$A$1000,$N65))</f>
        <v/>
      </c>
      <c r="B65" s="68">
        <f>IF($N65="","",INDEX('Cronograma R. Normativo'!$B$5:$B$1000,$N65)&amp;"")</f>
        <v/>
      </c>
      <c r="C65" s="68">
        <f>IF($N65="","",INDEX('Cronograma R. Normativo'!$C$5:$C$1000,$N65)&amp;"")</f>
        <v/>
      </c>
      <c r="D65" s="74">
        <f>IF($N65="","",IF(INDEX('Cronograma R. Normativo'!$D$5:$D$1000,$N65)="","",INDEX('Cronograma R. Normativo'!$D$5:$D$1000,$N65)))</f>
        <v/>
      </c>
      <c r="E65" s="74">
        <f>IF($N65="","",IF(INDEX('Cronograma R. Normativo'!$E$5:$E$1000,$N65)="","",INDEX('Cronograma R. Normativo'!$E$5:$E$1000,$N65)))</f>
        <v/>
      </c>
      <c r="F65" s="60">
        <f>IF($N65="","",IF(NOT(ISNUMBER($E65)),"",IF($E65&lt;InicioCiclo,"Antes del ciclo",IF($E65&gt;=InicioCiclo+28,"Después del ciclo","Semana "&amp;(INT(($E65-InicioCiclo)/7)+1)))))</f>
        <v/>
      </c>
      <c r="G65" s="65">
        <f>IF($N65="","",IF(INDEX('Cronograma R. Normativo'!$G$5:$G$1000,$N65)="","",INDEX('Cronograma R. Normativo'!$G$5:$G$1000,$N65)))</f>
        <v/>
      </c>
      <c r="H65" s="65">
        <f>IF($N65="","",IF(INDEX('Cronograma R. Normativo'!$H$5:$H$1000,$N65)="","",INDEX('Cronograma R. Normativo'!$H$5:$H$1000,$N65)))</f>
        <v/>
      </c>
      <c r="I65" s="65">
        <f>IF($N65="","",IF(INDEX('Cronograma R. Normativo'!$I$5:$I$1000,$N65)="","",INDEX('Cronograma R. Normativo'!$I$5:$I$1000,$N65)))</f>
        <v/>
      </c>
      <c r="J65" s="65">
        <f>IF($N65="","",IF(INDEX('Cronograma R. Normativo'!$J$5:$J$1000,$N65)="","",INDEX('Cronograma R. Normativo'!$J$5:$J$1000,$N65)))</f>
        <v/>
      </c>
      <c r="K65" s="65">
        <f>IF($N65="","",INDEX('Cronograma R. Normativo'!$K$5:$K$1000,$N65))</f>
        <v/>
      </c>
      <c r="L65" s="60">
        <f>IF($N65="","",IF(N($K65)&gt;=1,"Completado",IF(AND(ISNUMBER($E65),$E65&lt;FechaRef),"Vencida",IF(N($K65)&gt;0,"En curso","Pendiente"))))</f>
        <v/>
      </c>
      <c r="M65" s="68">
        <f>IF($N65="","",INDEX('Cronograma R. Normativo'!$M$5:$M$1000,$N65)&amp;"")</f>
        <v/>
      </c>
      <c r="N65">
        <f>IFERROR(MATCH(ROW()-4,rOrden_RN,0),"")</f>
        <v/>
      </c>
    </row>
    <row r="66">
      <c r="A66" s="60">
        <f>IF($N66="","",INDEX('Cronograma R. Normativo'!$A$5:$A$1000,$N66))</f>
        <v/>
      </c>
      <c r="B66" s="68">
        <f>IF($N66="","",INDEX('Cronograma R. Normativo'!$B$5:$B$1000,$N66)&amp;"")</f>
        <v/>
      </c>
      <c r="C66" s="68">
        <f>IF($N66="","",INDEX('Cronograma R. Normativo'!$C$5:$C$1000,$N66)&amp;"")</f>
        <v/>
      </c>
      <c r="D66" s="74">
        <f>IF($N66="","",IF(INDEX('Cronograma R. Normativo'!$D$5:$D$1000,$N66)="","",INDEX('Cronograma R. Normativo'!$D$5:$D$1000,$N66)))</f>
        <v/>
      </c>
      <c r="E66" s="74">
        <f>IF($N66="","",IF(INDEX('Cronograma R. Normativo'!$E$5:$E$1000,$N66)="","",INDEX('Cronograma R. Normativo'!$E$5:$E$1000,$N66)))</f>
        <v/>
      </c>
      <c r="F66" s="60">
        <f>IF($N66="","",IF(NOT(ISNUMBER($E66)),"",IF($E66&lt;InicioCiclo,"Antes del ciclo",IF($E66&gt;=InicioCiclo+28,"Después del ciclo","Semana "&amp;(INT(($E66-InicioCiclo)/7)+1)))))</f>
        <v/>
      </c>
      <c r="G66" s="65">
        <f>IF($N66="","",IF(INDEX('Cronograma R. Normativo'!$G$5:$G$1000,$N66)="","",INDEX('Cronograma R. Normativo'!$G$5:$G$1000,$N66)))</f>
        <v/>
      </c>
      <c r="H66" s="65">
        <f>IF($N66="","",IF(INDEX('Cronograma R. Normativo'!$H$5:$H$1000,$N66)="","",INDEX('Cronograma R. Normativo'!$H$5:$H$1000,$N66)))</f>
        <v/>
      </c>
      <c r="I66" s="65">
        <f>IF($N66="","",IF(INDEX('Cronograma R. Normativo'!$I$5:$I$1000,$N66)="","",INDEX('Cronograma R. Normativo'!$I$5:$I$1000,$N66)))</f>
        <v/>
      </c>
      <c r="J66" s="65">
        <f>IF($N66="","",IF(INDEX('Cronograma R. Normativo'!$J$5:$J$1000,$N66)="","",INDEX('Cronograma R. Normativo'!$J$5:$J$1000,$N66)))</f>
        <v/>
      </c>
      <c r="K66" s="65">
        <f>IF($N66="","",INDEX('Cronograma R. Normativo'!$K$5:$K$1000,$N66))</f>
        <v/>
      </c>
      <c r="L66" s="60">
        <f>IF($N66="","",IF(N($K66)&gt;=1,"Completado",IF(AND(ISNUMBER($E66),$E66&lt;FechaRef),"Vencida",IF(N($K66)&gt;0,"En curso","Pendiente"))))</f>
        <v/>
      </c>
      <c r="M66" s="68">
        <f>IF($N66="","",INDEX('Cronograma R. Normativo'!$M$5:$M$1000,$N66)&amp;"")</f>
        <v/>
      </c>
      <c r="N66">
        <f>IFERROR(MATCH(ROW()-4,rOrden_RN,0),"")</f>
        <v/>
      </c>
    </row>
    <row r="67">
      <c r="A67" s="60">
        <f>IF($N67="","",INDEX('Cronograma R. Normativo'!$A$5:$A$1000,$N67))</f>
        <v/>
      </c>
      <c r="B67" s="68">
        <f>IF($N67="","",INDEX('Cronograma R. Normativo'!$B$5:$B$1000,$N67)&amp;"")</f>
        <v/>
      </c>
      <c r="C67" s="68">
        <f>IF($N67="","",INDEX('Cronograma R. Normativo'!$C$5:$C$1000,$N67)&amp;"")</f>
        <v/>
      </c>
      <c r="D67" s="74">
        <f>IF($N67="","",IF(INDEX('Cronograma R. Normativo'!$D$5:$D$1000,$N67)="","",INDEX('Cronograma R. Normativo'!$D$5:$D$1000,$N67)))</f>
        <v/>
      </c>
      <c r="E67" s="74">
        <f>IF($N67="","",IF(INDEX('Cronograma R. Normativo'!$E$5:$E$1000,$N67)="","",INDEX('Cronograma R. Normativo'!$E$5:$E$1000,$N67)))</f>
        <v/>
      </c>
      <c r="F67" s="60">
        <f>IF($N67="","",IF(NOT(ISNUMBER($E67)),"",IF($E67&lt;InicioCiclo,"Antes del ciclo",IF($E67&gt;=InicioCiclo+28,"Después del ciclo","Semana "&amp;(INT(($E67-InicioCiclo)/7)+1)))))</f>
        <v/>
      </c>
      <c r="G67" s="65">
        <f>IF($N67="","",IF(INDEX('Cronograma R. Normativo'!$G$5:$G$1000,$N67)="","",INDEX('Cronograma R. Normativo'!$G$5:$G$1000,$N67)))</f>
        <v/>
      </c>
      <c r="H67" s="65">
        <f>IF($N67="","",IF(INDEX('Cronograma R. Normativo'!$H$5:$H$1000,$N67)="","",INDEX('Cronograma R. Normativo'!$H$5:$H$1000,$N67)))</f>
        <v/>
      </c>
      <c r="I67" s="65">
        <f>IF($N67="","",IF(INDEX('Cronograma R. Normativo'!$I$5:$I$1000,$N67)="","",INDEX('Cronograma R. Normativo'!$I$5:$I$1000,$N67)))</f>
        <v/>
      </c>
      <c r="J67" s="65">
        <f>IF($N67="","",IF(INDEX('Cronograma R. Normativo'!$J$5:$J$1000,$N67)="","",INDEX('Cronograma R. Normativo'!$J$5:$J$1000,$N67)))</f>
        <v/>
      </c>
      <c r="K67" s="65">
        <f>IF($N67="","",INDEX('Cronograma R. Normativo'!$K$5:$K$1000,$N67))</f>
        <v/>
      </c>
      <c r="L67" s="60">
        <f>IF($N67="","",IF(N($K67)&gt;=1,"Completado",IF(AND(ISNUMBER($E67),$E67&lt;FechaRef),"Vencida",IF(N($K67)&gt;0,"En curso","Pendiente"))))</f>
        <v/>
      </c>
      <c r="M67" s="68">
        <f>IF($N67="","",INDEX('Cronograma R. Normativo'!$M$5:$M$1000,$N67)&amp;"")</f>
        <v/>
      </c>
      <c r="N67">
        <f>IFERROR(MATCH(ROW()-4,rOrden_RN,0),"")</f>
        <v/>
      </c>
    </row>
    <row r="68">
      <c r="A68" s="60">
        <f>IF($N68="","",INDEX('Cronograma R. Normativo'!$A$5:$A$1000,$N68))</f>
        <v/>
      </c>
      <c r="B68" s="68">
        <f>IF($N68="","",INDEX('Cronograma R. Normativo'!$B$5:$B$1000,$N68)&amp;"")</f>
        <v/>
      </c>
      <c r="C68" s="68">
        <f>IF($N68="","",INDEX('Cronograma R. Normativo'!$C$5:$C$1000,$N68)&amp;"")</f>
        <v/>
      </c>
      <c r="D68" s="74">
        <f>IF($N68="","",IF(INDEX('Cronograma R. Normativo'!$D$5:$D$1000,$N68)="","",INDEX('Cronograma R. Normativo'!$D$5:$D$1000,$N68)))</f>
        <v/>
      </c>
      <c r="E68" s="74">
        <f>IF($N68="","",IF(INDEX('Cronograma R. Normativo'!$E$5:$E$1000,$N68)="","",INDEX('Cronograma R. Normativo'!$E$5:$E$1000,$N68)))</f>
        <v/>
      </c>
      <c r="F68" s="60">
        <f>IF($N68="","",IF(NOT(ISNUMBER($E68)),"",IF($E68&lt;InicioCiclo,"Antes del ciclo",IF($E68&gt;=InicioCiclo+28,"Después del ciclo","Semana "&amp;(INT(($E68-InicioCiclo)/7)+1)))))</f>
        <v/>
      </c>
      <c r="G68" s="65">
        <f>IF($N68="","",IF(INDEX('Cronograma R. Normativo'!$G$5:$G$1000,$N68)="","",INDEX('Cronograma R. Normativo'!$G$5:$G$1000,$N68)))</f>
        <v/>
      </c>
      <c r="H68" s="65">
        <f>IF($N68="","",IF(INDEX('Cronograma R. Normativo'!$H$5:$H$1000,$N68)="","",INDEX('Cronograma R. Normativo'!$H$5:$H$1000,$N68)))</f>
        <v/>
      </c>
      <c r="I68" s="65">
        <f>IF($N68="","",IF(INDEX('Cronograma R. Normativo'!$I$5:$I$1000,$N68)="","",INDEX('Cronograma R. Normativo'!$I$5:$I$1000,$N68)))</f>
        <v/>
      </c>
      <c r="J68" s="65">
        <f>IF($N68="","",IF(INDEX('Cronograma R. Normativo'!$J$5:$J$1000,$N68)="","",INDEX('Cronograma R. Normativo'!$J$5:$J$1000,$N68)))</f>
        <v/>
      </c>
      <c r="K68" s="65">
        <f>IF($N68="","",INDEX('Cronograma R. Normativo'!$K$5:$K$1000,$N68))</f>
        <v/>
      </c>
      <c r="L68" s="60">
        <f>IF($N68="","",IF(N($K68)&gt;=1,"Completado",IF(AND(ISNUMBER($E68),$E68&lt;FechaRef),"Vencida",IF(N($K68)&gt;0,"En curso","Pendiente"))))</f>
        <v/>
      </c>
      <c r="M68" s="68">
        <f>IF($N68="","",INDEX('Cronograma R. Normativo'!$M$5:$M$1000,$N68)&amp;"")</f>
        <v/>
      </c>
      <c r="N68">
        <f>IFERROR(MATCH(ROW()-4,rOrden_RN,0),"")</f>
        <v/>
      </c>
    </row>
    <row r="69">
      <c r="A69" s="60">
        <f>IF($N69="","",INDEX('Cronograma R. Normativo'!$A$5:$A$1000,$N69))</f>
        <v/>
      </c>
      <c r="B69" s="68">
        <f>IF($N69="","",INDEX('Cronograma R. Normativo'!$B$5:$B$1000,$N69)&amp;"")</f>
        <v/>
      </c>
      <c r="C69" s="68">
        <f>IF($N69="","",INDEX('Cronograma R. Normativo'!$C$5:$C$1000,$N69)&amp;"")</f>
        <v/>
      </c>
      <c r="D69" s="74">
        <f>IF($N69="","",IF(INDEX('Cronograma R. Normativo'!$D$5:$D$1000,$N69)="","",INDEX('Cronograma R. Normativo'!$D$5:$D$1000,$N69)))</f>
        <v/>
      </c>
      <c r="E69" s="74">
        <f>IF($N69="","",IF(INDEX('Cronograma R. Normativo'!$E$5:$E$1000,$N69)="","",INDEX('Cronograma R. Normativo'!$E$5:$E$1000,$N69)))</f>
        <v/>
      </c>
      <c r="F69" s="60">
        <f>IF($N69="","",IF(NOT(ISNUMBER($E69)),"",IF($E69&lt;InicioCiclo,"Antes del ciclo",IF($E69&gt;=InicioCiclo+28,"Después del ciclo","Semana "&amp;(INT(($E69-InicioCiclo)/7)+1)))))</f>
        <v/>
      </c>
      <c r="G69" s="65">
        <f>IF($N69="","",IF(INDEX('Cronograma R. Normativo'!$G$5:$G$1000,$N69)="","",INDEX('Cronograma R. Normativo'!$G$5:$G$1000,$N69)))</f>
        <v/>
      </c>
      <c r="H69" s="65">
        <f>IF($N69="","",IF(INDEX('Cronograma R. Normativo'!$H$5:$H$1000,$N69)="","",INDEX('Cronograma R. Normativo'!$H$5:$H$1000,$N69)))</f>
        <v/>
      </c>
      <c r="I69" s="65">
        <f>IF($N69="","",IF(INDEX('Cronograma R. Normativo'!$I$5:$I$1000,$N69)="","",INDEX('Cronograma R. Normativo'!$I$5:$I$1000,$N69)))</f>
        <v/>
      </c>
      <c r="J69" s="65">
        <f>IF($N69="","",IF(INDEX('Cronograma R. Normativo'!$J$5:$J$1000,$N69)="","",INDEX('Cronograma R. Normativo'!$J$5:$J$1000,$N69)))</f>
        <v/>
      </c>
      <c r="K69" s="65">
        <f>IF($N69="","",INDEX('Cronograma R. Normativo'!$K$5:$K$1000,$N69))</f>
        <v/>
      </c>
      <c r="L69" s="60">
        <f>IF($N69="","",IF(N($K69)&gt;=1,"Completado",IF(AND(ISNUMBER($E69),$E69&lt;FechaRef),"Vencida",IF(N($K69)&gt;0,"En curso","Pendiente"))))</f>
        <v/>
      </c>
      <c r="M69" s="68">
        <f>IF($N69="","",INDEX('Cronograma R. Normativo'!$M$5:$M$1000,$N69)&amp;"")</f>
        <v/>
      </c>
      <c r="N69">
        <f>IFERROR(MATCH(ROW()-4,rOrden_RN,0),"")</f>
        <v/>
      </c>
    </row>
    <row r="70">
      <c r="A70" s="60">
        <f>IF($N70="","",INDEX('Cronograma R. Normativo'!$A$5:$A$1000,$N70))</f>
        <v/>
      </c>
      <c r="B70" s="68">
        <f>IF($N70="","",INDEX('Cronograma R. Normativo'!$B$5:$B$1000,$N70)&amp;"")</f>
        <v/>
      </c>
      <c r="C70" s="68">
        <f>IF($N70="","",INDEX('Cronograma R. Normativo'!$C$5:$C$1000,$N70)&amp;"")</f>
        <v/>
      </c>
      <c r="D70" s="74">
        <f>IF($N70="","",IF(INDEX('Cronograma R. Normativo'!$D$5:$D$1000,$N70)="","",INDEX('Cronograma R. Normativo'!$D$5:$D$1000,$N70)))</f>
        <v/>
      </c>
      <c r="E70" s="74">
        <f>IF($N70="","",IF(INDEX('Cronograma R. Normativo'!$E$5:$E$1000,$N70)="","",INDEX('Cronograma R. Normativo'!$E$5:$E$1000,$N70)))</f>
        <v/>
      </c>
      <c r="F70" s="60">
        <f>IF($N70="","",IF(NOT(ISNUMBER($E70)),"",IF($E70&lt;InicioCiclo,"Antes del ciclo",IF($E70&gt;=InicioCiclo+28,"Después del ciclo","Semana "&amp;(INT(($E70-InicioCiclo)/7)+1)))))</f>
        <v/>
      </c>
      <c r="G70" s="65">
        <f>IF($N70="","",IF(INDEX('Cronograma R. Normativo'!$G$5:$G$1000,$N70)="","",INDEX('Cronograma R. Normativo'!$G$5:$G$1000,$N70)))</f>
        <v/>
      </c>
      <c r="H70" s="65">
        <f>IF($N70="","",IF(INDEX('Cronograma R. Normativo'!$H$5:$H$1000,$N70)="","",INDEX('Cronograma R. Normativo'!$H$5:$H$1000,$N70)))</f>
        <v/>
      </c>
      <c r="I70" s="65">
        <f>IF($N70="","",IF(INDEX('Cronograma R. Normativo'!$I$5:$I$1000,$N70)="","",INDEX('Cronograma R. Normativo'!$I$5:$I$1000,$N70)))</f>
        <v/>
      </c>
      <c r="J70" s="65">
        <f>IF($N70="","",IF(INDEX('Cronograma R. Normativo'!$J$5:$J$1000,$N70)="","",INDEX('Cronograma R. Normativo'!$J$5:$J$1000,$N70)))</f>
        <v/>
      </c>
      <c r="K70" s="65">
        <f>IF($N70="","",INDEX('Cronograma R. Normativo'!$K$5:$K$1000,$N70))</f>
        <v/>
      </c>
      <c r="L70" s="60">
        <f>IF($N70="","",IF(N($K70)&gt;=1,"Completado",IF(AND(ISNUMBER($E70),$E70&lt;FechaRef),"Vencida",IF(N($K70)&gt;0,"En curso","Pendiente"))))</f>
        <v/>
      </c>
      <c r="M70" s="68">
        <f>IF($N70="","",INDEX('Cronograma R. Normativo'!$M$5:$M$1000,$N70)&amp;"")</f>
        <v/>
      </c>
      <c r="N70">
        <f>IFERROR(MATCH(ROW()-4,rOrden_RN,0),"")</f>
        <v/>
      </c>
    </row>
    <row r="71">
      <c r="A71" s="60">
        <f>IF($N71="","",INDEX('Cronograma R. Normativo'!$A$5:$A$1000,$N71))</f>
        <v/>
      </c>
      <c r="B71" s="68">
        <f>IF($N71="","",INDEX('Cronograma R. Normativo'!$B$5:$B$1000,$N71)&amp;"")</f>
        <v/>
      </c>
      <c r="C71" s="68">
        <f>IF($N71="","",INDEX('Cronograma R. Normativo'!$C$5:$C$1000,$N71)&amp;"")</f>
        <v/>
      </c>
      <c r="D71" s="74">
        <f>IF($N71="","",IF(INDEX('Cronograma R. Normativo'!$D$5:$D$1000,$N71)="","",INDEX('Cronograma R. Normativo'!$D$5:$D$1000,$N71)))</f>
        <v/>
      </c>
      <c r="E71" s="74">
        <f>IF($N71="","",IF(INDEX('Cronograma R. Normativo'!$E$5:$E$1000,$N71)="","",INDEX('Cronograma R. Normativo'!$E$5:$E$1000,$N71)))</f>
        <v/>
      </c>
      <c r="F71" s="60">
        <f>IF($N71="","",IF(NOT(ISNUMBER($E71)),"",IF($E71&lt;InicioCiclo,"Antes del ciclo",IF($E71&gt;=InicioCiclo+28,"Después del ciclo","Semana "&amp;(INT(($E71-InicioCiclo)/7)+1)))))</f>
        <v/>
      </c>
      <c r="G71" s="65">
        <f>IF($N71="","",IF(INDEX('Cronograma R. Normativo'!$G$5:$G$1000,$N71)="","",INDEX('Cronograma R. Normativo'!$G$5:$G$1000,$N71)))</f>
        <v/>
      </c>
      <c r="H71" s="65">
        <f>IF($N71="","",IF(INDEX('Cronograma R. Normativo'!$H$5:$H$1000,$N71)="","",INDEX('Cronograma R. Normativo'!$H$5:$H$1000,$N71)))</f>
        <v/>
      </c>
      <c r="I71" s="65">
        <f>IF($N71="","",IF(INDEX('Cronograma R. Normativo'!$I$5:$I$1000,$N71)="","",INDEX('Cronograma R. Normativo'!$I$5:$I$1000,$N71)))</f>
        <v/>
      </c>
      <c r="J71" s="65">
        <f>IF($N71="","",IF(INDEX('Cronograma R. Normativo'!$J$5:$J$1000,$N71)="","",INDEX('Cronograma R. Normativo'!$J$5:$J$1000,$N71)))</f>
        <v/>
      </c>
      <c r="K71" s="65">
        <f>IF($N71="","",INDEX('Cronograma R. Normativo'!$K$5:$K$1000,$N71))</f>
        <v/>
      </c>
      <c r="L71" s="60">
        <f>IF($N71="","",IF(N($K71)&gt;=1,"Completado",IF(AND(ISNUMBER($E71),$E71&lt;FechaRef),"Vencida",IF(N($K71)&gt;0,"En curso","Pendiente"))))</f>
        <v/>
      </c>
      <c r="M71" s="68">
        <f>IF($N71="","",INDEX('Cronograma R. Normativo'!$M$5:$M$1000,$N71)&amp;"")</f>
        <v/>
      </c>
      <c r="N71">
        <f>IFERROR(MATCH(ROW()-4,rOrden_RN,0),"")</f>
        <v/>
      </c>
    </row>
    <row r="72">
      <c r="A72" s="60">
        <f>IF($N72="","",INDEX('Cronograma R. Normativo'!$A$5:$A$1000,$N72))</f>
        <v/>
      </c>
      <c r="B72" s="68">
        <f>IF($N72="","",INDEX('Cronograma R. Normativo'!$B$5:$B$1000,$N72)&amp;"")</f>
        <v/>
      </c>
      <c r="C72" s="68">
        <f>IF($N72="","",INDEX('Cronograma R. Normativo'!$C$5:$C$1000,$N72)&amp;"")</f>
        <v/>
      </c>
      <c r="D72" s="74">
        <f>IF($N72="","",IF(INDEX('Cronograma R. Normativo'!$D$5:$D$1000,$N72)="","",INDEX('Cronograma R. Normativo'!$D$5:$D$1000,$N72)))</f>
        <v/>
      </c>
      <c r="E72" s="74">
        <f>IF($N72="","",IF(INDEX('Cronograma R. Normativo'!$E$5:$E$1000,$N72)="","",INDEX('Cronograma R. Normativo'!$E$5:$E$1000,$N72)))</f>
        <v/>
      </c>
      <c r="F72" s="60">
        <f>IF($N72="","",IF(NOT(ISNUMBER($E72)),"",IF($E72&lt;InicioCiclo,"Antes del ciclo",IF($E72&gt;=InicioCiclo+28,"Después del ciclo","Semana "&amp;(INT(($E72-InicioCiclo)/7)+1)))))</f>
        <v/>
      </c>
      <c r="G72" s="65">
        <f>IF($N72="","",IF(INDEX('Cronograma R. Normativo'!$G$5:$G$1000,$N72)="","",INDEX('Cronograma R. Normativo'!$G$5:$G$1000,$N72)))</f>
        <v/>
      </c>
      <c r="H72" s="65">
        <f>IF($N72="","",IF(INDEX('Cronograma R. Normativo'!$H$5:$H$1000,$N72)="","",INDEX('Cronograma R. Normativo'!$H$5:$H$1000,$N72)))</f>
        <v/>
      </c>
      <c r="I72" s="65">
        <f>IF($N72="","",IF(INDEX('Cronograma R. Normativo'!$I$5:$I$1000,$N72)="","",INDEX('Cronograma R. Normativo'!$I$5:$I$1000,$N72)))</f>
        <v/>
      </c>
      <c r="J72" s="65">
        <f>IF($N72="","",IF(INDEX('Cronograma R. Normativo'!$J$5:$J$1000,$N72)="","",INDEX('Cronograma R. Normativo'!$J$5:$J$1000,$N72)))</f>
        <v/>
      </c>
      <c r="K72" s="65">
        <f>IF($N72="","",INDEX('Cronograma R. Normativo'!$K$5:$K$1000,$N72))</f>
        <v/>
      </c>
      <c r="L72" s="60">
        <f>IF($N72="","",IF(N($K72)&gt;=1,"Completado",IF(AND(ISNUMBER($E72),$E72&lt;FechaRef),"Vencida",IF(N($K72)&gt;0,"En curso","Pendiente"))))</f>
        <v/>
      </c>
      <c r="M72" s="68">
        <f>IF($N72="","",INDEX('Cronograma R. Normativo'!$M$5:$M$1000,$N72)&amp;"")</f>
        <v/>
      </c>
      <c r="N72">
        <f>IFERROR(MATCH(ROW()-4,rOrden_RN,0),"")</f>
        <v/>
      </c>
    </row>
    <row r="73">
      <c r="A73" s="60">
        <f>IF($N73="","",INDEX('Cronograma R. Normativo'!$A$5:$A$1000,$N73))</f>
        <v/>
      </c>
      <c r="B73" s="68">
        <f>IF($N73="","",INDEX('Cronograma R. Normativo'!$B$5:$B$1000,$N73)&amp;"")</f>
        <v/>
      </c>
      <c r="C73" s="68">
        <f>IF($N73="","",INDEX('Cronograma R. Normativo'!$C$5:$C$1000,$N73)&amp;"")</f>
        <v/>
      </c>
      <c r="D73" s="74">
        <f>IF($N73="","",IF(INDEX('Cronograma R. Normativo'!$D$5:$D$1000,$N73)="","",INDEX('Cronograma R. Normativo'!$D$5:$D$1000,$N73)))</f>
        <v/>
      </c>
      <c r="E73" s="74">
        <f>IF($N73="","",IF(INDEX('Cronograma R. Normativo'!$E$5:$E$1000,$N73)="","",INDEX('Cronograma R. Normativo'!$E$5:$E$1000,$N73)))</f>
        <v/>
      </c>
      <c r="F73" s="60">
        <f>IF($N73="","",IF(NOT(ISNUMBER($E73)),"",IF($E73&lt;InicioCiclo,"Antes del ciclo",IF($E73&gt;=InicioCiclo+28,"Después del ciclo","Semana "&amp;(INT(($E73-InicioCiclo)/7)+1)))))</f>
        <v/>
      </c>
      <c r="G73" s="65">
        <f>IF($N73="","",IF(INDEX('Cronograma R. Normativo'!$G$5:$G$1000,$N73)="","",INDEX('Cronograma R. Normativo'!$G$5:$G$1000,$N73)))</f>
        <v/>
      </c>
      <c r="H73" s="65">
        <f>IF($N73="","",IF(INDEX('Cronograma R. Normativo'!$H$5:$H$1000,$N73)="","",INDEX('Cronograma R. Normativo'!$H$5:$H$1000,$N73)))</f>
        <v/>
      </c>
      <c r="I73" s="65">
        <f>IF($N73="","",IF(INDEX('Cronograma R. Normativo'!$I$5:$I$1000,$N73)="","",INDEX('Cronograma R. Normativo'!$I$5:$I$1000,$N73)))</f>
        <v/>
      </c>
      <c r="J73" s="65">
        <f>IF($N73="","",IF(INDEX('Cronograma R. Normativo'!$J$5:$J$1000,$N73)="","",INDEX('Cronograma R. Normativo'!$J$5:$J$1000,$N73)))</f>
        <v/>
      </c>
      <c r="K73" s="65">
        <f>IF($N73="","",INDEX('Cronograma R. Normativo'!$K$5:$K$1000,$N73))</f>
        <v/>
      </c>
      <c r="L73" s="60">
        <f>IF($N73="","",IF(N($K73)&gt;=1,"Completado",IF(AND(ISNUMBER($E73),$E73&lt;FechaRef),"Vencida",IF(N($K73)&gt;0,"En curso","Pendiente"))))</f>
        <v/>
      </c>
      <c r="M73" s="68">
        <f>IF($N73="","",INDEX('Cronograma R. Normativo'!$M$5:$M$1000,$N73)&amp;"")</f>
        <v/>
      </c>
      <c r="N73">
        <f>IFERROR(MATCH(ROW()-4,rOrden_RN,0),"")</f>
        <v/>
      </c>
    </row>
    <row r="74">
      <c r="A74" s="60">
        <f>IF($N74="","",INDEX('Cronograma R. Normativo'!$A$5:$A$1000,$N74))</f>
        <v/>
      </c>
      <c r="B74" s="68">
        <f>IF($N74="","",INDEX('Cronograma R. Normativo'!$B$5:$B$1000,$N74)&amp;"")</f>
        <v/>
      </c>
      <c r="C74" s="68">
        <f>IF($N74="","",INDEX('Cronograma R. Normativo'!$C$5:$C$1000,$N74)&amp;"")</f>
        <v/>
      </c>
      <c r="D74" s="74">
        <f>IF($N74="","",IF(INDEX('Cronograma R. Normativo'!$D$5:$D$1000,$N74)="","",INDEX('Cronograma R. Normativo'!$D$5:$D$1000,$N74)))</f>
        <v/>
      </c>
      <c r="E74" s="74">
        <f>IF($N74="","",IF(INDEX('Cronograma R. Normativo'!$E$5:$E$1000,$N74)="","",INDEX('Cronograma R. Normativo'!$E$5:$E$1000,$N74)))</f>
        <v/>
      </c>
      <c r="F74" s="60">
        <f>IF($N74="","",IF(NOT(ISNUMBER($E74)),"",IF($E74&lt;InicioCiclo,"Antes del ciclo",IF($E74&gt;=InicioCiclo+28,"Después del ciclo","Semana "&amp;(INT(($E74-InicioCiclo)/7)+1)))))</f>
        <v/>
      </c>
      <c r="G74" s="65">
        <f>IF($N74="","",IF(INDEX('Cronograma R. Normativo'!$G$5:$G$1000,$N74)="","",INDEX('Cronograma R. Normativo'!$G$5:$G$1000,$N74)))</f>
        <v/>
      </c>
      <c r="H74" s="65">
        <f>IF($N74="","",IF(INDEX('Cronograma R. Normativo'!$H$5:$H$1000,$N74)="","",INDEX('Cronograma R. Normativo'!$H$5:$H$1000,$N74)))</f>
        <v/>
      </c>
      <c r="I74" s="65">
        <f>IF($N74="","",IF(INDEX('Cronograma R. Normativo'!$I$5:$I$1000,$N74)="","",INDEX('Cronograma R. Normativo'!$I$5:$I$1000,$N74)))</f>
        <v/>
      </c>
      <c r="J74" s="65">
        <f>IF($N74="","",IF(INDEX('Cronograma R. Normativo'!$J$5:$J$1000,$N74)="","",INDEX('Cronograma R. Normativo'!$J$5:$J$1000,$N74)))</f>
        <v/>
      </c>
      <c r="K74" s="65">
        <f>IF($N74="","",INDEX('Cronograma R. Normativo'!$K$5:$K$1000,$N74))</f>
        <v/>
      </c>
      <c r="L74" s="60">
        <f>IF($N74="","",IF(N($K74)&gt;=1,"Completado",IF(AND(ISNUMBER($E74),$E74&lt;FechaRef),"Vencida",IF(N($K74)&gt;0,"En curso","Pendiente"))))</f>
        <v/>
      </c>
      <c r="M74" s="68">
        <f>IF($N74="","",INDEX('Cronograma R. Normativo'!$M$5:$M$1000,$N74)&amp;"")</f>
        <v/>
      </c>
      <c r="N74">
        <f>IFERROR(MATCH(ROW()-4,rOrden_RN,0),"")</f>
        <v/>
      </c>
    </row>
    <row r="75">
      <c r="A75" s="60">
        <f>IF($N75="","",INDEX('Cronograma R. Normativo'!$A$5:$A$1000,$N75))</f>
        <v/>
      </c>
      <c r="B75" s="68">
        <f>IF($N75="","",INDEX('Cronograma R. Normativo'!$B$5:$B$1000,$N75)&amp;"")</f>
        <v/>
      </c>
      <c r="C75" s="68">
        <f>IF($N75="","",INDEX('Cronograma R. Normativo'!$C$5:$C$1000,$N75)&amp;"")</f>
        <v/>
      </c>
      <c r="D75" s="74">
        <f>IF($N75="","",IF(INDEX('Cronograma R. Normativo'!$D$5:$D$1000,$N75)="","",INDEX('Cronograma R. Normativo'!$D$5:$D$1000,$N75)))</f>
        <v/>
      </c>
      <c r="E75" s="74">
        <f>IF($N75="","",IF(INDEX('Cronograma R. Normativo'!$E$5:$E$1000,$N75)="","",INDEX('Cronograma R. Normativo'!$E$5:$E$1000,$N75)))</f>
        <v/>
      </c>
      <c r="F75" s="60">
        <f>IF($N75="","",IF(NOT(ISNUMBER($E75)),"",IF($E75&lt;InicioCiclo,"Antes del ciclo",IF($E75&gt;=InicioCiclo+28,"Después del ciclo","Semana "&amp;(INT(($E75-InicioCiclo)/7)+1)))))</f>
        <v/>
      </c>
      <c r="G75" s="65">
        <f>IF($N75="","",IF(INDEX('Cronograma R. Normativo'!$G$5:$G$1000,$N75)="","",INDEX('Cronograma R. Normativo'!$G$5:$G$1000,$N75)))</f>
        <v/>
      </c>
      <c r="H75" s="65">
        <f>IF($N75="","",IF(INDEX('Cronograma R. Normativo'!$H$5:$H$1000,$N75)="","",INDEX('Cronograma R. Normativo'!$H$5:$H$1000,$N75)))</f>
        <v/>
      </c>
      <c r="I75" s="65">
        <f>IF($N75="","",IF(INDEX('Cronograma R. Normativo'!$I$5:$I$1000,$N75)="","",INDEX('Cronograma R. Normativo'!$I$5:$I$1000,$N75)))</f>
        <v/>
      </c>
      <c r="J75" s="65">
        <f>IF($N75="","",IF(INDEX('Cronograma R. Normativo'!$J$5:$J$1000,$N75)="","",INDEX('Cronograma R. Normativo'!$J$5:$J$1000,$N75)))</f>
        <v/>
      </c>
      <c r="K75" s="65">
        <f>IF($N75="","",INDEX('Cronograma R. Normativo'!$K$5:$K$1000,$N75))</f>
        <v/>
      </c>
      <c r="L75" s="60">
        <f>IF($N75="","",IF(N($K75)&gt;=1,"Completado",IF(AND(ISNUMBER($E75),$E75&lt;FechaRef),"Vencida",IF(N($K75)&gt;0,"En curso","Pendiente"))))</f>
        <v/>
      </c>
      <c r="M75" s="68">
        <f>IF($N75="","",INDEX('Cronograma R. Normativo'!$M$5:$M$1000,$N75)&amp;"")</f>
        <v/>
      </c>
      <c r="N75">
        <f>IFERROR(MATCH(ROW()-4,rOrden_RN,0),"")</f>
        <v/>
      </c>
    </row>
    <row r="76">
      <c r="A76" s="60">
        <f>IF($N76="","",INDEX('Cronograma R. Normativo'!$A$5:$A$1000,$N76))</f>
        <v/>
      </c>
      <c r="B76" s="68">
        <f>IF($N76="","",INDEX('Cronograma R. Normativo'!$B$5:$B$1000,$N76)&amp;"")</f>
        <v/>
      </c>
      <c r="C76" s="68">
        <f>IF($N76="","",INDEX('Cronograma R. Normativo'!$C$5:$C$1000,$N76)&amp;"")</f>
        <v/>
      </c>
      <c r="D76" s="74">
        <f>IF($N76="","",IF(INDEX('Cronograma R. Normativo'!$D$5:$D$1000,$N76)="","",INDEX('Cronograma R. Normativo'!$D$5:$D$1000,$N76)))</f>
        <v/>
      </c>
      <c r="E76" s="74">
        <f>IF($N76="","",IF(INDEX('Cronograma R. Normativo'!$E$5:$E$1000,$N76)="","",INDEX('Cronograma R. Normativo'!$E$5:$E$1000,$N76)))</f>
        <v/>
      </c>
      <c r="F76" s="60">
        <f>IF($N76="","",IF(NOT(ISNUMBER($E76)),"",IF($E76&lt;InicioCiclo,"Antes del ciclo",IF($E76&gt;=InicioCiclo+28,"Después del ciclo","Semana "&amp;(INT(($E76-InicioCiclo)/7)+1)))))</f>
        <v/>
      </c>
      <c r="G76" s="65">
        <f>IF($N76="","",IF(INDEX('Cronograma R. Normativo'!$G$5:$G$1000,$N76)="","",INDEX('Cronograma R. Normativo'!$G$5:$G$1000,$N76)))</f>
        <v/>
      </c>
      <c r="H76" s="65">
        <f>IF($N76="","",IF(INDEX('Cronograma R. Normativo'!$H$5:$H$1000,$N76)="","",INDEX('Cronograma R. Normativo'!$H$5:$H$1000,$N76)))</f>
        <v/>
      </c>
      <c r="I76" s="65">
        <f>IF($N76="","",IF(INDEX('Cronograma R. Normativo'!$I$5:$I$1000,$N76)="","",INDEX('Cronograma R. Normativo'!$I$5:$I$1000,$N76)))</f>
        <v/>
      </c>
      <c r="J76" s="65">
        <f>IF($N76="","",IF(INDEX('Cronograma R. Normativo'!$J$5:$J$1000,$N76)="","",INDEX('Cronograma R. Normativo'!$J$5:$J$1000,$N76)))</f>
        <v/>
      </c>
      <c r="K76" s="65">
        <f>IF($N76="","",INDEX('Cronograma R. Normativo'!$K$5:$K$1000,$N76))</f>
        <v/>
      </c>
      <c r="L76" s="60">
        <f>IF($N76="","",IF(N($K76)&gt;=1,"Completado",IF(AND(ISNUMBER($E76),$E76&lt;FechaRef),"Vencida",IF(N($K76)&gt;0,"En curso","Pendiente"))))</f>
        <v/>
      </c>
      <c r="M76" s="68">
        <f>IF($N76="","",INDEX('Cronograma R. Normativo'!$M$5:$M$1000,$N76)&amp;"")</f>
        <v/>
      </c>
      <c r="N76">
        <f>IFERROR(MATCH(ROW()-4,rOrden_RN,0),"")</f>
        <v/>
      </c>
    </row>
    <row r="77">
      <c r="A77" s="60">
        <f>IF($N77="","",INDEX('Cronograma R. Normativo'!$A$5:$A$1000,$N77))</f>
        <v/>
      </c>
      <c r="B77" s="68">
        <f>IF($N77="","",INDEX('Cronograma R. Normativo'!$B$5:$B$1000,$N77)&amp;"")</f>
        <v/>
      </c>
      <c r="C77" s="68">
        <f>IF($N77="","",INDEX('Cronograma R. Normativo'!$C$5:$C$1000,$N77)&amp;"")</f>
        <v/>
      </c>
      <c r="D77" s="74">
        <f>IF($N77="","",IF(INDEX('Cronograma R. Normativo'!$D$5:$D$1000,$N77)="","",INDEX('Cronograma R. Normativo'!$D$5:$D$1000,$N77)))</f>
        <v/>
      </c>
      <c r="E77" s="74">
        <f>IF($N77="","",IF(INDEX('Cronograma R. Normativo'!$E$5:$E$1000,$N77)="","",INDEX('Cronograma R. Normativo'!$E$5:$E$1000,$N77)))</f>
        <v/>
      </c>
      <c r="F77" s="60">
        <f>IF($N77="","",IF(NOT(ISNUMBER($E77)),"",IF($E77&lt;InicioCiclo,"Antes del ciclo",IF($E77&gt;=InicioCiclo+28,"Después del ciclo","Semana "&amp;(INT(($E77-InicioCiclo)/7)+1)))))</f>
        <v/>
      </c>
      <c r="G77" s="65">
        <f>IF($N77="","",IF(INDEX('Cronograma R. Normativo'!$G$5:$G$1000,$N77)="","",INDEX('Cronograma R. Normativo'!$G$5:$G$1000,$N77)))</f>
        <v/>
      </c>
      <c r="H77" s="65">
        <f>IF($N77="","",IF(INDEX('Cronograma R. Normativo'!$H$5:$H$1000,$N77)="","",INDEX('Cronograma R. Normativo'!$H$5:$H$1000,$N77)))</f>
        <v/>
      </c>
      <c r="I77" s="65">
        <f>IF($N77="","",IF(INDEX('Cronograma R. Normativo'!$I$5:$I$1000,$N77)="","",INDEX('Cronograma R. Normativo'!$I$5:$I$1000,$N77)))</f>
        <v/>
      </c>
      <c r="J77" s="65">
        <f>IF($N77="","",IF(INDEX('Cronograma R. Normativo'!$J$5:$J$1000,$N77)="","",INDEX('Cronograma R. Normativo'!$J$5:$J$1000,$N77)))</f>
        <v/>
      </c>
      <c r="K77" s="65">
        <f>IF($N77="","",INDEX('Cronograma R. Normativo'!$K$5:$K$1000,$N77))</f>
        <v/>
      </c>
      <c r="L77" s="60">
        <f>IF($N77="","",IF(N($K77)&gt;=1,"Completado",IF(AND(ISNUMBER($E77),$E77&lt;FechaRef),"Vencida",IF(N($K77)&gt;0,"En curso","Pendiente"))))</f>
        <v/>
      </c>
      <c r="M77" s="68">
        <f>IF($N77="","",INDEX('Cronograma R. Normativo'!$M$5:$M$1000,$N77)&amp;"")</f>
        <v/>
      </c>
      <c r="N77">
        <f>IFERROR(MATCH(ROW()-4,rOrden_RN,0),"")</f>
        <v/>
      </c>
    </row>
    <row r="78">
      <c r="A78" s="60">
        <f>IF($N78="","",INDEX('Cronograma R. Normativo'!$A$5:$A$1000,$N78))</f>
        <v/>
      </c>
      <c r="B78" s="68">
        <f>IF($N78="","",INDEX('Cronograma R. Normativo'!$B$5:$B$1000,$N78)&amp;"")</f>
        <v/>
      </c>
      <c r="C78" s="68">
        <f>IF($N78="","",INDEX('Cronograma R. Normativo'!$C$5:$C$1000,$N78)&amp;"")</f>
        <v/>
      </c>
      <c r="D78" s="74">
        <f>IF($N78="","",IF(INDEX('Cronograma R. Normativo'!$D$5:$D$1000,$N78)="","",INDEX('Cronograma R. Normativo'!$D$5:$D$1000,$N78)))</f>
        <v/>
      </c>
      <c r="E78" s="74">
        <f>IF($N78="","",IF(INDEX('Cronograma R. Normativo'!$E$5:$E$1000,$N78)="","",INDEX('Cronograma R. Normativo'!$E$5:$E$1000,$N78)))</f>
        <v/>
      </c>
      <c r="F78" s="60">
        <f>IF($N78="","",IF(NOT(ISNUMBER($E78)),"",IF($E78&lt;InicioCiclo,"Antes del ciclo",IF($E78&gt;=InicioCiclo+28,"Después del ciclo","Semana "&amp;(INT(($E78-InicioCiclo)/7)+1)))))</f>
        <v/>
      </c>
      <c r="G78" s="65">
        <f>IF($N78="","",IF(INDEX('Cronograma R. Normativo'!$G$5:$G$1000,$N78)="","",INDEX('Cronograma R. Normativo'!$G$5:$G$1000,$N78)))</f>
        <v/>
      </c>
      <c r="H78" s="65">
        <f>IF($N78="","",IF(INDEX('Cronograma R. Normativo'!$H$5:$H$1000,$N78)="","",INDEX('Cronograma R. Normativo'!$H$5:$H$1000,$N78)))</f>
        <v/>
      </c>
      <c r="I78" s="65">
        <f>IF($N78="","",IF(INDEX('Cronograma R. Normativo'!$I$5:$I$1000,$N78)="","",INDEX('Cronograma R. Normativo'!$I$5:$I$1000,$N78)))</f>
        <v/>
      </c>
      <c r="J78" s="65">
        <f>IF($N78="","",IF(INDEX('Cronograma R. Normativo'!$J$5:$J$1000,$N78)="","",INDEX('Cronograma R. Normativo'!$J$5:$J$1000,$N78)))</f>
        <v/>
      </c>
      <c r="K78" s="65">
        <f>IF($N78="","",INDEX('Cronograma R. Normativo'!$K$5:$K$1000,$N78))</f>
        <v/>
      </c>
      <c r="L78" s="60">
        <f>IF($N78="","",IF(N($K78)&gt;=1,"Completado",IF(AND(ISNUMBER($E78),$E78&lt;FechaRef),"Vencida",IF(N($K78)&gt;0,"En curso","Pendiente"))))</f>
        <v/>
      </c>
      <c r="M78" s="68">
        <f>IF($N78="","",INDEX('Cronograma R. Normativo'!$M$5:$M$1000,$N78)&amp;"")</f>
        <v/>
      </c>
      <c r="N78">
        <f>IFERROR(MATCH(ROW()-4,rOrden_RN,0),"")</f>
        <v/>
      </c>
    </row>
    <row r="79">
      <c r="A79" s="60">
        <f>IF($N79="","",INDEX('Cronograma R. Normativo'!$A$5:$A$1000,$N79))</f>
        <v/>
      </c>
      <c r="B79" s="68">
        <f>IF($N79="","",INDEX('Cronograma R. Normativo'!$B$5:$B$1000,$N79)&amp;"")</f>
        <v/>
      </c>
      <c r="C79" s="68">
        <f>IF($N79="","",INDEX('Cronograma R. Normativo'!$C$5:$C$1000,$N79)&amp;"")</f>
        <v/>
      </c>
      <c r="D79" s="74">
        <f>IF($N79="","",IF(INDEX('Cronograma R. Normativo'!$D$5:$D$1000,$N79)="","",INDEX('Cronograma R. Normativo'!$D$5:$D$1000,$N79)))</f>
        <v/>
      </c>
      <c r="E79" s="74">
        <f>IF($N79="","",IF(INDEX('Cronograma R. Normativo'!$E$5:$E$1000,$N79)="","",INDEX('Cronograma R. Normativo'!$E$5:$E$1000,$N79)))</f>
        <v/>
      </c>
      <c r="F79" s="60">
        <f>IF($N79="","",IF(NOT(ISNUMBER($E79)),"",IF($E79&lt;InicioCiclo,"Antes del ciclo",IF($E79&gt;=InicioCiclo+28,"Después del ciclo","Semana "&amp;(INT(($E79-InicioCiclo)/7)+1)))))</f>
        <v/>
      </c>
      <c r="G79" s="65">
        <f>IF($N79="","",IF(INDEX('Cronograma R. Normativo'!$G$5:$G$1000,$N79)="","",INDEX('Cronograma R. Normativo'!$G$5:$G$1000,$N79)))</f>
        <v/>
      </c>
      <c r="H79" s="65">
        <f>IF($N79="","",IF(INDEX('Cronograma R. Normativo'!$H$5:$H$1000,$N79)="","",INDEX('Cronograma R. Normativo'!$H$5:$H$1000,$N79)))</f>
        <v/>
      </c>
      <c r="I79" s="65">
        <f>IF($N79="","",IF(INDEX('Cronograma R. Normativo'!$I$5:$I$1000,$N79)="","",INDEX('Cronograma R. Normativo'!$I$5:$I$1000,$N79)))</f>
        <v/>
      </c>
      <c r="J79" s="65">
        <f>IF($N79="","",IF(INDEX('Cronograma R. Normativo'!$J$5:$J$1000,$N79)="","",INDEX('Cronograma R. Normativo'!$J$5:$J$1000,$N79)))</f>
        <v/>
      </c>
      <c r="K79" s="65">
        <f>IF($N79="","",INDEX('Cronograma R. Normativo'!$K$5:$K$1000,$N79))</f>
        <v/>
      </c>
      <c r="L79" s="60">
        <f>IF($N79="","",IF(N($K79)&gt;=1,"Completado",IF(AND(ISNUMBER($E79),$E79&lt;FechaRef),"Vencida",IF(N($K79)&gt;0,"En curso","Pendiente"))))</f>
        <v/>
      </c>
      <c r="M79" s="68">
        <f>IF($N79="","",INDEX('Cronograma R. Normativo'!$M$5:$M$1000,$N79)&amp;"")</f>
        <v/>
      </c>
      <c r="N79">
        <f>IFERROR(MATCH(ROW()-4,rOrden_RN,0),"")</f>
        <v/>
      </c>
    </row>
    <row r="80">
      <c r="A80" s="60">
        <f>IF($N80="","",INDEX('Cronograma R. Normativo'!$A$5:$A$1000,$N80))</f>
        <v/>
      </c>
      <c r="B80" s="68">
        <f>IF($N80="","",INDEX('Cronograma R. Normativo'!$B$5:$B$1000,$N80)&amp;"")</f>
        <v/>
      </c>
      <c r="C80" s="68">
        <f>IF($N80="","",INDEX('Cronograma R. Normativo'!$C$5:$C$1000,$N80)&amp;"")</f>
        <v/>
      </c>
      <c r="D80" s="74">
        <f>IF($N80="","",IF(INDEX('Cronograma R. Normativo'!$D$5:$D$1000,$N80)="","",INDEX('Cronograma R. Normativo'!$D$5:$D$1000,$N80)))</f>
        <v/>
      </c>
      <c r="E80" s="74">
        <f>IF($N80="","",IF(INDEX('Cronograma R. Normativo'!$E$5:$E$1000,$N80)="","",INDEX('Cronograma R. Normativo'!$E$5:$E$1000,$N80)))</f>
        <v/>
      </c>
      <c r="F80" s="60">
        <f>IF($N80="","",IF(NOT(ISNUMBER($E80)),"",IF($E80&lt;InicioCiclo,"Antes del ciclo",IF($E80&gt;=InicioCiclo+28,"Después del ciclo","Semana "&amp;(INT(($E80-InicioCiclo)/7)+1)))))</f>
        <v/>
      </c>
      <c r="G80" s="65">
        <f>IF($N80="","",IF(INDEX('Cronograma R. Normativo'!$G$5:$G$1000,$N80)="","",INDEX('Cronograma R. Normativo'!$G$5:$G$1000,$N80)))</f>
        <v/>
      </c>
      <c r="H80" s="65">
        <f>IF($N80="","",IF(INDEX('Cronograma R. Normativo'!$H$5:$H$1000,$N80)="","",INDEX('Cronograma R. Normativo'!$H$5:$H$1000,$N80)))</f>
        <v/>
      </c>
      <c r="I80" s="65">
        <f>IF($N80="","",IF(INDEX('Cronograma R. Normativo'!$I$5:$I$1000,$N80)="","",INDEX('Cronograma R. Normativo'!$I$5:$I$1000,$N80)))</f>
        <v/>
      </c>
      <c r="J80" s="65">
        <f>IF($N80="","",IF(INDEX('Cronograma R. Normativo'!$J$5:$J$1000,$N80)="","",INDEX('Cronograma R. Normativo'!$J$5:$J$1000,$N80)))</f>
        <v/>
      </c>
      <c r="K80" s="65">
        <f>IF($N80="","",INDEX('Cronograma R. Normativo'!$K$5:$K$1000,$N80))</f>
        <v/>
      </c>
      <c r="L80" s="60">
        <f>IF($N80="","",IF(N($K80)&gt;=1,"Completado",IF(AND(ISNUMBER($E80),$E80&lt;FechaRef),"Vencida",IF(N($K80)&gt;0,"En curso","Pendiente"))))</f>
        <v/>
      </c>
      <c r="M80" s="68">
        <f>IF($N80="","",INDEX('Cronograma R. Normativo'!$M$5:$M$1000,$N80)&amp;"")</f>
        <v/>
      </c>
      <c r="N80">
        <f>IFERROR(MATCH(ROW()-4,rOrden_RN,0),"")</f>
        <v/>
      </c>
    </row>
    <row r="81">
      <c r="A81" s="60">
        <f>IF($N81="","",INDEX('Cronograma R. Normativo'!$A$5:$A$1000,$N81))</f>
        <v/>
      </c>
      <c r="B81" s="68">
        <f>IF($N81="","",INDEX('Cronograma R. Normativo'!$B$5:$B$1000,$N81)&amp;"")</f>
        <v/>
      </c>
      <c r="C81" s="68">
        <f>IF($N81="","",INDEX('Cronograma R. Normativo'!$C$5:$C$1000,$N81)&amp;"")</f>
        <v/>
      </c>
      <c r="D81" s="74">
        <f>IF($N81="","",IF(INDEX('Cronograma R. Normativo'!$D$5:$D$1000,$N81)="","",INDEX('Cronograma R. Normativo'!$D$5:$D$1000,$N81)))</f>
        <v/>
      </c>
      <c r="E81" s="74">
        <f>IF($N81="","",IF(INDEX('Cronograma R. Normativo'!$E$5:$E$1000,$N81)="","",INDEX('Cronograma R. Normativo'!$E$5:$E$1000,$N81)))</f>
        <v/>
      </c>
      <c r="F81" s="60">
        <f>IF($N81="","",IF(NOT(ISNUMBER($E81)),"",IF($E81&lt;InicioCiclo,"Antes del ciclo",IF($E81&gt;=InicioCiclo+28,"Después del ciclo","Semana "&amp;(INT(($E81-InicioCiclo)/7)+1)))))</f>
        <v/>
      </c>
      <c r="G81" s="65">
        <f>IF($N81="","",IF(INDEX('Cronograma R. Normativo'!$G$5:$G$1000,$N81)="","",INDEX('Cronograma R. Normativo'!$G$5:$G$1000,$N81)))</f>
        <v/>
      </c>
      <c r="H81" s="65">
        <f>IF($N81="","",IF(INDEX('Cronograma R. Normativo'!$H$5:$H$1000,$N81)="","",INDEX('Cronograma R. Normativo'!$H$5:$H$1000,$N81)))</f>
        <v/>
      </c>
      <c r="I81" s="65">
        <f>IF($N81="","",IF(INDEX('Cronograma R. Normativo'!$I$5:$I$1000,$N81)="","",INDEX('Cronograma R. Normativo'!$I$5:$I$1000,$N81)))</f>
        <v/>
      </c>
      <c r="J81" s="65">
        <f>IF($N81="","",IF(INDEX('Cronograma R. Normativo'!$J$5:$J$1000,$N81)="","",INDEX('Cronograma R. Normativo'!$J$5:$J$1000,$N81)))</f>
        <v/>
      </c>
      <c r="K81" s="65">
        <f>IF($N81="","",INDEX('Cronograma R. Normativo'!$K$5:$K$1000,$N81))</f>
        <v/>
      </c>
      <c r="L81" s="60">
        <f>IF($N81="","",IF(N($K81)&gt;=1,"Completado",IF(AND(ISNUMBER($E81),$E81&lt;FechaRef),"Vencida",IF(N($K81)&gt;0,"En curso","Pendiente"))))</f>
        <v/>
      </c>
      <c r="M81" s="68">
        <f>IF($N81="","",INDEX('Cronograma R. Normativo'!$M$5:$M$1000,$N81)&amp;"")</f>
        <v/>
      </c>
      <c r="N81">
        <f>IFERROR(MATCH(ROW()-4,rOrden_RN,0),"")</f>
        <v/>
      </c>
    </row>
    <row r="82">
      <c r="A82" s="60">
        <f>IF($N82="","",INDEX('Cronograma R. Normativo'!$A$5:$A$1000,$N82))</f>
        <v/>
      </c>
      <c r="B82" s="68">
        <f>IF($N82="","",INDEX('Cronograma R. Normativo'!$B$5:$B$1000,$N82)&amp;"")</f>
        <v/>
      </c>
      <c r="C82" s="68">
        <f>IF($N82="","",INDEX('Cronograma R. Normativo'!$C$5:$C$1000,$N82)&amp;"")</f>
        <v/>
      </c>
      <c r="D82" s="74">
        <f>IF($N82="","",IF(INDEX('Cronograma R. Normativo'!$D$5:$D$1000,$N82)="","",INDEX('Cronograma R. Normativo'!$D$5:$D$1000,$N82)))</f>
        <v/>
      </c>
      <c r="E82" s="74">
        <f>IF($N82="","",IF(INDEX('Cronograma R. Normativo'!$E$5:$E$1000,$N82)="","",INDEX('Cronograma R. Normativo'!$E$5:$E$1000,$N82)))</f>
        <v/>
      </c>
      <c r="F82" s="60">
        <f>IF($N82="","",IF(NOT(ISNUMBER($E82)),"",IF($E82&lt;InicioCiclo,"Antes del ciclo",IF($E82&gt;=InicioCiclo+28,"Después del ciclo","Semana "&amp;(INT(($E82-InicioCiclo)/7)+1)))))</f>
        <v/>
      </c>
      <c r="G82" s="65">
        <f>IF($N82="","",IF(INDEX('Cronograma R. Normativo'!$G$5:$G$1000,$N82)="","",INDEX('Cronograma R. Normativo'!$G$5:$G$1000,$N82)))</f>
        <v/>
      </c>
      <c r="H82" s="65">
        <f>IF($N82="","",IF(INDEX('Cronograma R. Normativo'!$H$5:$H$1000,$N82)="","",INDEX('Cronograma R. Normativo'!$H$5:$H$1000,$N82)))</f>
        <v/>
      </c>
      <c r="I82" s="65">
        <f>IF($N82="","",IF(INDEX('Cronograma R. Normativo'!$I$5:$I$1000,$N82)="","",INDEX('Cronograma R. Normativo'!$I$5:$I$1000,$N82)))</f>
        <v/>
      </c>
      <c r="J82" s="65">
        <f>IF($N82="","",IF(INDEX('Cronograma R. Normativo'!$J$5:$J$1000,$N82)="","",INDEX('Cronograma R. Normativo'!$J$5:$J$1000,$N82)))</f>
        <v/>
      </c>
      <c r="K82" s="65">
        <f>IF($N82="","",INDEX('Cronograma R. Normativo'!$K$5:$K$1000,$N82))</f>
        <v/>
      </c>
      <c r="L82" s="60">
        <f>IF($N82="","",IF(N($K82)&gt;=1,"Completado",IF(AND(ISNUMBER($E82),$E82&lt;FechaRef),"Vencida",IF(N($K82)&gt;0,"En curso","Pendiente"))))</f>
        <v/>
      </c>
      <c r="M82" s="68">
        <f>IF($N82="","",INDEX('Cronograma R. Normativo'!$M$5:$M$1000,$N82)&amp;"")</f>
        <v/>
      </c>
      <c r="N82">
        <f>IFERROR(MATCH(ROW()-4,rOrden_RN,0),"")</f>
        <v/>
      </c>
    </row>
    <row r="83">
      <c r="A83" s="60">
        <f>IF($N83="","",INDEX('Cronograma R. Normativo'!$A$5:$A$1000,$N83))</f>
        <v/>
      </c>
      <c r="B83" s="68">
        <f>IF($N83="","",INDEX('Cronograma R. Normativo'!$B$5:$B$1000,$N83)&amp;"")</f>
        <v/>
      </c>
      <c r="C83" s="68">
        <f>IF($N83="","",INDEX('Cronograma R. Normativo'!$C$5:$C$1000,$N83)&amp;"")</f>
        <v/>
      </c>
      <c r="D83" s="74">
        <f>IF($N83="","",IF(INDEX('Cronograma R. Normativo'!$D$5:$D$1000,$N83)="","",INDEX('Cronograma R. Normativo'!$D$5:$D$1000,$N83)))</f>
        <v/>
      </c>
      <c r="E83" s="74">
        <f>IF($N83="","",IF(INDEX('Cronograma R. Normativo'!$E$5:$E$1000,$N83)="","",INDEX('Cronograma R. Normativo'!$E$5:$E$1000,$N83)))</f>
        <v/>
      </c>
      <c r="F83" s="60">
        <f>IF($N83="","",IF(NOT(ISNUMBER($E83)),"",IF($E83&lt;InicioCiclo,"Antes del ciclo",IF($E83&gt;=InicioCiclo+28,"Después del ciclo","Semana "&amp;(INT(($E83-InicioCiclo)/7)+1)))))</f>
        <v/>
      </c>
      <c r="G83" s="65">
        <f>IF($N83="","",IF(INDEX('Cronograma R. Normativo'!$G$5:$G$1000,$N83)="","",INDEX('Cronograma R. Normativo'!$G$5:$G$1000,$N83)))</f>
        <v/>
      </c>
      <c r="H83" s="65">
        <f>IF($N83="","",IF(INDEX('Cronograma R. Normativo'!$H$5:$H$1000,$N83)="","",INDEX('Cronograma R. Normativo'!$H$5:$H$1000,$N83)))</f>
        <v/>
      </c>
      <c r="I83" s="65">
        <f>IF($N83="","",IF(INDEX('Cronograma R. Normativo'!$I$5:$I$1000,$N83)="","",INDEX('Cronograma R. Normativo'!$I$5:$I$1000,$N83)))</f>
        <v/>
      </c>
      <c r="J83" s="65">
        <f>IF($N83="","",IF(INDEX('Cronograma R. Normativo'!$J$5:$J$1000,$N83)="","",INDEX('Cronograma R. Normativo'!$J$5:$J$1000,$N83)))</f>
        <v/>
      </c>
      <c r="K83" s="65">
        <f>IF($N83="","",INDEX('Cronograma R. Normativo'!$K$5:$K$1000,$N83))</f>
        <v/>
      </c>
      <c r="L83" s="60">
        <f>IF($N83="","",IF(N($K83)&gt;=1,"Completado",IF(AND(ISNUMBER($E83),$E83&lt;FechaRef),"Vencida",IF(N($K83)&gt;0,"En curso","Pendiente"))))</f>
        <v/>
      </c>
      <c r="M83" s="68">
        <f>IF($N83="","",INDEX('Cronograma R. Normativo'!$M$5:$M$1000,$N83)&amp;"")</f>
        <v/>
      </c>
      <c r="N83">
        <f>IFERROR(MATCH(ROW()-4,rOrden_RN,0),"")</f>
        <v/>
      </c>
    </row>
    <row r="84">
      <c r="A84" s="60">
        <f>IF($N84="","",INDEX('Cronograma R. Normativo'!$A$5:$A$1000,$N84))</f>
        <v/>
      </c>
      <c r="B84" s="68">
        <f>IF($N84="","",INDEX('Cronograma R. Normativo'!$B$5:$B$1000,$N84)&amp;"")</f>
        <v/>
      </c>
      <c r="C84" s="68">
        <f>IF($N84="","",INDEX('Cronograma R. Normativo'!$C$5:$C$1000,$N84)&amp;"")</f>
        <v/>
      </c>
      <c r="D84" s="74">
        <f>IF($N84="","",IF(INDEX('Cronograma R. Normativo'!$D$5:$D$1000,$N84)="","",INDEX('Cronograma R. Normativo'!$D$5:$D$1000,$N84)))</f>
        <v/>
      </c>
      <c r="E84" s="74">
        <f>IF($N84="","",IF(INDEX('Cronograma R. Normativo'!$E$5:$E$1000,$N84)="","",INDEX('Cronograma R. Normativo'!$E$5:$E$1000,$N84)))</f>
        <v/>
      </c>
      <c r="F84" s="60">
        <f>IF($N84="","",IF(NOT(ISNUMBER($E84)),"",IF($E84&lt;InicioCiclo,"Antes del ciclo",IF($E84&gt;=InicioCiclo+28,"Después del ciclo","Semana "&amp;(INT(($E84-InicioCiclo)/7)+1)))))</f>
        <v/>
      </c>
      <c r="G84" s="65">
        <f>IF($N84="","",IF(INDEX('Cronograma R. Normativo'!$G$5:$G$1000,$N84)="","",INDEX('Cronograma R. Normativo'!$G$5:$G$1000,$N84)))</f>
        <v/>
      </c>
      <c r="H84" s="65">
        <f>IF($N84="","",IF(INDEX('Cronograma R. Normativo'!$H$5:$H$1000,$N84)="","",INDEX('Cronograma R. Normativo'!$H$5:$H$1000,$N84)))</f>
        <v/>
      </c>
      <c r="I84" s="65">
        <f>IF($N84="","",IF(INDEX('Cronograma R. Normativo'!$I$5:$I$1000,$N84)="","",INDEX('Cronograma R. Normativo'!$I$5:$I$1000,$N84)))</f>
        <v/>
      </c>
      <c r="J84" s="65">
        <f>IF($N84="","",IF(INDEX('Cronograma R. Normativo'!$J$5:$J$1000,$N84)="","",INDEX('Cronograma R. Normativo'!$J$5:$J$1000,$N84)))</f>
        <v/>
      </c>
      <c r="K84" s="65">
        <f>IF($N84="","",INDEX('Cronograma R. Normativo'!$K$5:$K$1000,$N84))</f>
        <v/>
      </c>
      <c r="L84" s="60">
        <f>IF($N84="","",IF(N($K84)&gt;=1,"Completado",IF(AND(ISNUMBER($E84),$E84&lt;FechaRef),"Vencida",IF(N($K84)&gt;0,"En curso","Pendiente"))))</f>
        <v/>
      </c>
      <c r="M84" s="68">
        <f>IF($N84="","",INDEX('Cronograma R. Normativo'!$M$5:$M$1000,$N84)&amp;"")</f>
        <v/>
      </c>
      <c r="N84">
        <f>IFERROR(MATCH(ROW()-4,rOrden_RN,0),"")</f>
        <v/>
      </c>
    </row>
    <row r="85">
      <c r="A85" s="60">
        <f>IF($N85="","",INDEX('Cronograma R. Normativo'!$A$5:$A$1000,$N85))</f>
        <v/>
      </c>
      <c r="B85" s="68">
        <f>IF($N85="","",INDEX('Cronograma R. Normativo'!$B$5:$B$1000,$N85)&amp;"")</f>
        <v/>
      </c>
      <c r="C85" s="68">
        <f>IF($N85="","",INDEX('Cronograma R. Normativo'!$C$5:$C$1000,$N85)&amp;"")</f>
        <v/>
      </c>
      <c r="D85" s="74">
        <f>IF($N85="","",IF(INDEX('Cronograma R. Normativo'!$D$5:$D$1000,$N85)="","",INDEX('Cronograma R. Normativo'!$D$5:$D$1000,$N85)))</f>
        <v/>
      </c>
      <c r="E85" s="74">
        <f>IF($N85="","",IF(INDEX('Cronograma R. Normativo'!$E$5:$E$1000,$N85)="","",INDEX('Cronograma R. Normativo'!$E$5:$E$1000,$N85)))</f>
        <v/>
      </c>
      <c r="F85" s="60">
        <f>IF($N85="","",IF(NOT(ISNUMBER($E85)),"",IF($E85&lt;InicioCiclo,"Antes del ciclo",IF($E85&gt;=InicioCiclo+28,"Después del ciclo","Semana "&amp;(INT(($E85-InicioCiclo)/7)+1)))))</f>
        <v/>
      </c>
      <c r="G85" s="65">
        <f>IF($N85="","",IF(INDEX('Cronograma R. Normativo'!$G$5:$G$1000,$N85)="","",INDEX('Cronograma R. Normativo'!$G$5:$G$1000,$N85)))</f>
        <v/>
      </c>
      <c r="H85" s="65">
        <f>IF($N85="","",IF(INDEX('Cronograma R. Normativo'!$H$5:$H$1000,$N85)="","",INDEX('Cronograma R. Normativo'!$H$5:$H$1000,$N85)))</f>
        <v/>
      </c>
      <c r="I85" s="65">
        <f>IF($N85="","",IF(INDEX('Cronograma R. Normativo'!$I$5:$I$1000,$N85)="","",INDEX('Cronograma R. Normativo'!$I$5:$I$1000,$N85)))</f>
        <v/>
      </c>
      <c r="J85" s="65">
        <f>IF($N85="","",IF(INDEX('Cronograma R. Normativo'!$J$5:$J$1000,$N85)="","",INDEX('Cronograma R. Normativo'!$J$5:$J$1000,$N85)))</f>
        <v/>
      </c>
      <c r="K85" s="65">
        <f>IF($N85="","",INDEX('Cronograma R. Normativo'!$K$5:$K$1000,$N85))</f>
        <v/>
      </c>
      <c r="L85" s="60">
        <f>IF($N85="","",IF(N($K85)&gt;=1,"Completado",IF(AND(ISNUMBER($E85),$E85&lt;FechaRef),"Vencida",IF(N($K85)&gt;0,"En curso","Pendiente"))))</f>
        <v/>
      </c>
      <c r="M85" s="68">
        <f>IF($N85="","",INDEX('Cronograma R. Normativo'!$M$5:$M$1000,$N85)&amp;"")</f>
        <v/>
      </c>
      <c r="N85">
        <f>IFERROR(MATCH(ROW()-4,rOrden_RN,0),"")</f>
        <v/>
      </c>
    </row>
    <row r="86">
      <c r="A86" s="60">
        <f>IF($N86="","",INDEX('Cronograma R. Normativo'!$A$5:$A$1000,$N86))</f>
        <v/>
      </c>
      <c r="B86" s="68">
        <f>IF($N86="","",INDEX('Cronograma R. Normativo'!$B$5:$B$1000,$N86)&amp;"")</f>
        <v/>
      </c>
      <c r="C86" s="68">
        <f>IF($N86="","",INDEX('Cronograma R. Normativo'!$C$5:$C$1000,$N86)&amp;"")</f>
        <v/>
      </c>
      <c r="D86" s="74">
        <f>IF($N86="","",IF(INDEX('Cronograma R. Normativo'!$D$5:$D$1000,$N86)="","",INDEX('Cronograma R. Normativo'!$D$5:$D$1000,$N86)))</f>
        <v/>
      </c>
      <c r="E86" s="74">
        <f>IF($N86="","",IF(INDEX('Cronograma R. Normativo'!$E$5:$E$1000,$N86)="","",INDEX('Cronograma R. Normativo'!$E$5:$E$1000,$N86)))</f>
        <v/>
      </c>
      <c r="F86" s="60">
        <f>IF($N86="","",IF(NOT(ISNUMBER($E86)),"",IF($E86&lt;InicioCiclo,"Antes del ciclo",IF($E86&gt;=InicioCiclo+28,"Después del ciclo","Semana "&amp;(INT(($E86-InicioCiclo)/7)+1)))))</f>
        <v/>
      </c>
      <c r="G86" s="65">
        <f>IF($N86="","",IF(INDEX('Cronograma R. Normativo'!$G$5:$G$1000,$N86)="","",INDEX('Cronograma R. Normativo'!$G$5:$G$1000,$N86)))</f>
        <v/>
      </c>
      <c r="H86" s="65">
        <f>IF($N86="","",IF(INDEX('Cronograma R. Normativo'!$H$5:$H$1000,$N86)="","",INDEX('Cronograma R. Normativo'!$H$5:$H$1000,$N86)))</f>
        <v/>
      </c>
      <c r="I86" s="65">
        <f>IF($N86="","",IF(INDEX('Cronograma R. Normativo'!$I$5:$I$1000,$N86)="","",INDEX('Cronograma R. Normativo'!$I$5:$I$1000,$N86)))</f>
        <v/>
      </c>
      <c r="J86" s="65">
        <f>IF($N86="","",IF(INDEX('Cronograma R. Normativo'!$J$5:$J$1000,$N86)="","",INDEX('Cronograma R. Normativo'!$J$5:$J$1000,$N86)))</f>
        <v/>
      </c>
      <c r="K86" s="65">
        <f>IF($N86="","",INDEX('Cronograma R. Normativo'!$K$5:$K$1000,$N86))</f>
        <v/>
      </c>
      <c r="L86" s="60">
        <f>IF($N86="","",IF(N($K86)&gt;=1,"Completado",IF(AND(ISNUMBER($E86),$E86&lt;FechaRef),"Vencida",IF(N($K86)&gt;0,"En curso","Pendiente"))))</f>
        <v/>
      </c>
      <c r="M86" s="68">
        <f>IF($N86="","",INDEX('Cronograma R. Normativo'!$M$5:$M$1000,$N86)&amp;"")</f>
        <v/>
      </c>
      <c r="N86">
        <f>IFERROR(MATCH(ROW()-4,rOrden_RN,0),"")</f>
        <v/>
      </c>
    </row>
    <row r="87">
      <c r="A87" s="60">
        <f>IF($N87="","",INDEX('Cronograma R. Normativo'!$A$5:$A$1000,$N87))</f>
        <v/>
      </c>
      <c r="B87" s="68">
        <f>IF($N87="","",INDEX('Cronograma R. Normativo'!$B$5:$B$1000,$N87)&amp;"")</f>
        <v/>
      </c>
      <c r="C87" s="68">
        <f>IF($N87="","",INDEX('Cronograma R. Normativo'!$C$5:$C$1000,$N87)&amp;"")</f>
        <v/>
      </c>
      <c r="D87" s="74">
        <f>IF($N87="","",IF(INDEX('Cronograma R. Normativo'!$D$5:$D$1000,$N87)="","",INDEX('Cronograma R. Normativo'!$D$5:$D$1000,$N87)))</f>
        <v/>
      </c>
      <c r="E87" s="74">
        <f>IF($N87="","",IF(INDEX('Cronograma R. Normativo'!$E$5:$E$1000,$N87)="","",INDEX('Cronograma R. Normativo'!$E$5:$E$1000,$N87)))</f>
        <v/>
      </c>
      <c r="F87" s="60">
        <f>IF($N87="","",IF(NOT(ISNUMBER($E87)),"",IF($E87&lt;InicioCiclo,"Antes del ciclo",IF($E87&gt;=InicioCiclo+28,"Después del ciclo","Semana "&amp;(INT(($E87-InicioCiclo)/7)+1)))))</f>
        <v/>
      </c>
      <c r="G87" s="65">
        <f>IF($N87="","",IF(INDEX('Cronograma R. Normativo'!$G$5:$G$1000,$N87)="","",INDEX('Cronograma R. Normativo'!$G$5:$G$1000,$N87)))</f>
        <v/>
      </c>
      <c r="H87" s="65">
        <f>IF($N87="","",IF(INDEX('Cronograma R. Normativo'!$H$5:$H$1000,$N87)="","",INDEX('Cronograma R. Normativo'!$H$5:$H$1000,$N87)))</f>
        <v/>
      </c>
      <c r="I87" s="65">
        <f>IF($N87="","",IF(INDEX('Cronograma R. Normativo'!$I$5:$I$1000,$N87)="","",INDEX('Cronograma R. Normativo'!$I$5:$I$1000,$N87)))</f>
        <v/>
      </c>
      <c r="J87" s="65">
        <f>IF($N87="","",IF(INDEX('Cronograma R. Normativo'!$J$5:$J$1000,$N87)="","",INDEX('Cronograma R. Normativo'!$J$5:$J$1000,$N87)))</f>
        <v/>
      </c>
      <c r="K87" s="65">
        <f>IF($N87="","",INDEX('Cronograma R. Normativo'!$K$5:$K$1000,$N87))</f>
        <v/>
      </c>
      <c r="L87" s="60">
        <f>IF($N87="","",IF(N($K87)&gt;=1,"Completado",IF(AND(ISNUMBER($E87),$E87&lt;FechaRef),"Vencida",IF(N($K87)&gt;0,"En curso","Pendiente"))))</f>
        <v/>
      </c>
      <c r="M87" s="68">
        <f>IF($N87="","",INDEX('Cronograma R. Normativo'!$M$5:$M$1000,$N87)&amp;"")</f>
        <v/>
      </c>
      <c r="N87">
        <f>IFERROR(MATCH(ROW()-4,rOrden_RN,0),"")</f>
        <v/>
      </c>
    </row>
    <row r="88">
      <c r="A88" s="60">
        <f>IF($N88="","",INDEX('Cronograma R. Normativo'!$A$5:$A$1000,$N88))</f>
        <v/>
      </c>
      <c r="B88" s="68">
        <f>IF($N88="","",INDEX('Cronograma R. Normativo'!$B$5:$B$1000,$N88)&amp;"")</f>
        <v/>
      </c>
      <c r="C88" s="68">
        <f>IF($N88="","",INDEX('Cronograma R. Normativo'!$C$5:$C$1000,$N88)&amp;"")</f>
        <v/>
      </c>
      <c r="D88" s="74">
        <f>IF($N88="","",IF(INDEX('Cronograma R. Normativo'!$D$5:$D$1000,$N88)="","",INDEX('Cronograma R. Normativo'!$D$5:$D$1000,$N88)))</f>
        <v/>
      </c>
      <c r="E88" s="74">
        <f>IF($N88="","",IF(INDEX('Cronograma R. Normativo'!$E$5:$E$1000,$N88)="","",INDEX('Cronograma R. Normativo'!$E$5:$E$1000,$N88)))</f>
        <v/>
      </c>
      <c r="F88" s="60">
        <f>IF($N88="","",IF(NOT(ISNUMBER($E88)),"",IF($E88&lt;InicioCiclo,"Antes del ciclo",IF($E88&gt;=InicioCiclo+28,"Después del ciclo","Semana "&amp;(INT(($E88-InicioCiclo)/7)+1)))))</f>
        <v/>
      </c>
      <c r="G88" s="65">
        <f>IF($N88="","",IF(INDEX('Cronograma R. Normativo'!$G$5:$G$1000,$N88)="","",INDEX('Cronograma R. Normativo'!$G$5:$G$1000,$N88)))</f>
        <v/>
      </c>
      <c r="H88" s="65">
        <f>IF($N88="","",IF(INDEX('Cronograma R. Normativo'!$H$5:$H$1000,$N88)="","",INDEX('Cronograma R. Normativo'!$H$5:$H$1000,$N88)))</f>
        <v/>
      </c>
      <c r="I88" s="65">
        <f>IF($N88="","",IF(INDEX('Cronograma R. Normativo'!$I$5:$I$1000,$N88)="","",INDEX('Cronograma R. Normativo'!$I$5:$I$1000,$N88)))</f>
        <v/>
      </c>
      <c r="J88" s="65">
        <f>IF($N88="","",IF(INDEX('Cronograma R. Normativo'!$J$5:$J$1000,$N88)="","",INDEX('Cronograma R. Normativo'!$J$5:$J$1000,$N88)))</f>
        <v/>
      </c>
      <c r="K88" s="65">
        <f>IF($N88="","",INDEX('Cronograma R. Normativo'!$K$5:$K$1000,$N88))</f>
        <v/>
      </c>
      <c r="L88" s="60">
        <f>IF($N88="","",IF(N($K88)&gt;=1,"Completado",IF(AND(ISNUMBER($E88),$E88&lt;FechaRef),"Vencida",IF(N($K88)&gt;0,"En curso","Pendiente"))))</f>
        <v/>
      </c>
      <c r="M88" s="68">
        <f>IF($N88="","",INDEX('Cronograma R. Normativo'!$M$5:$M$1000,$N88)&amp;"")</f>
        <v/>
      </c>
      <c r="N88">
        <f>IFERROR(MATCH(ROW()-4,rOrden_RN,0),"")</f>
        <v/>
      </c>
    </row>
    <row r="89">
      <c r="A89" s="60">
        <f>IF($N89="","",INDEX('Cronograma R. Normativo'!$A$5:$A$1000,$N89))</f>
        <v/>
      </c>
      <c r="B89" s="68">
        <f>IF($N89="","",INDEX('Cronograma R. Normativo'!$B$5:$B$1000,$N89)&amp;"")</f>
        <v/>
      </c>
      <c r="C89" s="68">
        <f>IF($N89="","",INDEX('Cronograma R. Normativo'!$C$5:$C$1000,$N89)&amp;"")</f>
        <v/>
      </c>
      <c r="D89" s="74">
        <f>IF($N89="","",IF(INDEX('Cronograma R. Normativo'!$D$5:$D$1000,$N89)="","",INDEX('Cronograma R. Normativo'!$D$5:$D$1000,$N89)))</f>
        <v/>
      </c>
      <c r="E89" s="74">
        <f>IF($N89="","",IF(INDEX('Cronograma R. Normativo'!$E$5:$E$1000,$N89)="","",INDEX('Cronograma R. Normativo'!$E$5:$E$1000,$N89)))</f>
        <v/>
      </c>
      <c r="F89" s="60">
        <f>IF($N89="","",IF(NOT(ISNUMBER($E89)),"",IF($E89&lt;InicioCiclo,"Antes del ciclo",IF($E89&gt;=InicioCiclo+28,"Después del ciclo","Semana "&amp;(INT(($E89-InicioCiclo)/7)+1)))))</f>
        <v/>
      </c>
      <c r="G89" s="65">
        <f>IF($N89="","",IF(INDEX('Cronograma R. Normativo'!$G$5:$G$1000,$N89)="","",INDEX('Cronograma R. Normativo'!$G$5:$G$1000,$N89)))</f>
        <v/>
      </c>
      <c r="H89" s="65">
        <f>IF($N89="","",IF(INDEX('Cronograma R. Normativo'!$H$5:$H$1000,$N89)="","",INDEX('Cronograma R. Normativo'!$H$5:$H$1000,$N89)))</f>
        <v/>
      </c>
      <c r="I89" s="65">
        <f>IF($N89="","",IF(INDEX('Cronograma R. Normativo'!$I$5:$I$1000,$N89)="","",INDEX('Cronograma R. Normativo'!$I$5:$I$1000,$N89)))</f>
        <v/>
      </c>
      <c r="J89" s="65">
        <f>IF($N89="","",IF(INDEX('Cronograma R. Normativo'!$J$5:$J$1000,$N89)="","",INDEX('Cronograma R. Normativo'!$J$5:$J$1000,$N89)))</f>
        <v/>
      </c>
      <c r="K89" s="65">
        <f>IF($N89="","",INDEX('Cronograma R. Normativo'!$K$5:$K$1000,$N89))</f>
        <v/>
      </c>
      <c r="L89" s="60">
        <f>IF($N89="","",IF(N($K89)&gt;=1,"Completado",IF(AND(ISNUMBER($E89),$E89&lt;FechaRef),"Vencida",IF(N($K89)&gt;0,"En curso","Pendiente"))))</f>
        <v/>
      </c>
      <c r="M89" s="68">
        <f>IF($N89="","",INDEX('Cronograma R. Normativo'!$M$5:$M$1000,$N89)&amp;"")</f>
        <v/>
      </c>
      <c r="N89">
        <f>IFERROR(MATCH(ROW()-4,rOrden_RN,0),"")</f>
        <v/>
      </c>
    </row>
    <row r="90">
      <c r="A90" s="60">
        <f>IF($N90="","",INDEX('Cronograma R. Normativo'!$A$5:$A$1000,$N90))</f>
        <v/>
      </c>
      <c r="B90" s="68">
        <f>IF($N90="","",INDEX('Cronograma R. Normativo'!$B$5:$B$1000,$N90)&amp;"")</f>
        <v/>
      </c>
      <c r="C90" s="68">
        <f>IF($N90="","",INDEX('Cronograma R. Normativo'!$C$5:$C$1000,$N90)&amp;"")</f>
        <v/>
      </c>
      <c r="D90" s="74">
        <f>IF($N90="","",IF(INDEX('Cronograma R. Normativo'!$D$5:$D$1000,$N90)="","",INDEX('Cronograma R. Normativo'!$D$5:$D$1000,$N90)))</f>
        <v/>
      </c>
      <c r="E90" s="74">
        <f>IF($N90="","",IF(INDEX('Cronograma R. Normativo'!$E$5:$E$1000,$N90)="","",INDEX('Cronograma R. Normativo'!$E$5:$E$1000,$N90)))</f>
        <v/>
      </c>
      <c r="F90" s="60">
        <f>IF($N90="","",IF(NOT(ISNUMBER($E90)),"",IF($E90&lt;InicioCiclo,"Antes del ciclo",IF($E90&gt;=InicioCiclo+28,"Después del ciclo","Semana "&amp;(INT(($E90-InicioCiclo)/7)+1)))))</f>
        <v/>
      </c>
      <c r="G90" s="65">
        <f>IF($N90="","",IF(INDEX('Cronograma R. Normativo'!$G$5:$G$1000,$N90)="","",INDEX('Cronograma R. Normativo'!$G$5:$G$1000,$N90)))</f>
        <v/>
      </c>
      <c r="H90" s="65">
        <f>IF($N90="","",IF(INDEX('Cronograma R. Normativo'!$H$5:$H$1000,$N90)="","",INDEX('Cronograma R. Normativo'!$H$5:$H$1000,$N90)))</f>
        <v/>
      </c>
      <c r="I90" s="65">
        <f>IF($N90="","",IF(INDEX('Cronograma R. Normativo'!$I$5:$I$1000,$N90)="","",INDEX('Cronograma R. Normativo'!$I$5:$I$1000,$N90)))</f>
        <v/>
      </c>
      <c r="J90" s="65">
        <f>IF($N90="","",IF(INDEX('Cronograma R. Normativo'!$J$5:$J$1000,$N90)="","",INDEX('Cronograma R. Normativo'!$J$5:$J$1000,$N90)))</f>
        <v/>
      </c>
      <c r="K90" s="65">
        <f>IF($N90="","",INDEX('Cronograma R. Normativo'!$K$5:$K$1000,$N90))</f>
        <v/>
      </c>
      <c r="L90" s="60">
        <f>IF($N90="","",IF(N($K90)&gt;=1,"Completado",IF(AND(ISNUMBER($E90),$E90&lt;FechaRef),"Vencida",IF(N($K90)&gt;0,"En curso","Pendiente"))))</f>
        <v/>
      </c>
      <c r="M90" s="68">
        <f>IF($N90="","",INDEX('Cronograma R. Normativo'!$M$5:$M$1000,$N90)&amp;"")</f>
        <v/>
      </c>
      <c r="N90">
        <f>IFERROR(MATCH(ROW()-4,rOrden_RN,0),"")</f>
        <v/>
      </c>
    </row>
    <row r="91">
      <c r="A91" s="60">
        <f>IF($N91="","",INDEX('Cronograma R. Normativo'!$A$5:$A$1000,$N91))</f>
        <v/>
      </c>
      <c r="B91" s="68">
        <f>IF($N91="","",INDEX('Cronograma R. Normativo'!$B$5:$B$1000,$N91)&amp;"")</f>
        <v/>
      </c>
      <c r="C91" s="68">
        <f>IF($N91="","",INDEX('Cronograma R. Normativo'!$C$5:$C$1000,$N91)&amp;"")</f>
        <v/>
      </c>
      <c r="D91" s="74">
        <f>IF($N91="","",IF(INDEX('Cronograma R. Normativo'!$D$5:$D$1000,$N91)="","",INDEX('Cronograma R. Normativo'!$D$5:$D$1000,$N91)))</f>
        <v/>
      </c>
      <c r="E91" s="74">
        <f>IF($N91="","",IF(INDEX('Cronograma R. Normativo'!$E$5:$E$1000,$N91)="","",INDEX('Cronograma R. Normativo'!$E$5:$E$1000,$N91)))</f>
        <v/>
      </c>
      <c r="F91" s="60">
        <f>IF($N91="","",IF(NOT(ISNUMBER($E91)),"",IF($E91&lt;InicioCiclo,"Antes del ciclo",IF($E91&gt;=InicioCiclo+28,"Después del ciclo","Semana "&amp;(INT(($E91-InicioCiclo)/7)+1)))))</f>
        <v/>
      </c>
      <c r="G91" s="65">
        <f>IF($N91="","",IF(INDEX('Cronograma R. Normativo'!$G$5:$G$1000,$N91)="","",INDEX('Cronograma R. Normativo'!$G$5:$G$1000,$N91)))</f>
        <v/>
      </c>
      <c r="H91" s="65">
        <f>IF($N91="","",IF(INDEX('Cronograma R. Normativo'!$H$5:$H$1000,$N91)="","",INDEX('Cronograma R. Normativo'!$H$5:$H$1000,$N91)))</f>
        <v/>
      </c>
      <c r="I91" s="65">
        <f>IF($N91="","",IF(INDEX('Cronograma R. Normativo'!$I$5:$I$1000,$N91)="","",INDEX('Cronograma R. Normativo'!$I$5:$I$1000,$N91)))</f>
        <v/>
      </c>
      <c r="J91" s="65">
        <f>IF($N91="","",IF(INDEX('Cronograma R. Normativo'!$J$5:$J$1000,$N91)="","",INDEX('Cronograma R. Normativo'!$J$5:$J$1000,$N91)))</f>
        <v/>
      </c>
      <c r="K91" s="65">
        <f>IF($N91="","",INDEX('Cronograma R. Normativo'!$K$5:$K$1000,$N91))</f>
        <v/>
      </c>
      <c r="L91" s="60">
        <f>IF($N91="","",IF(N($K91)&gt;=1,"Completado",IF(AND(ISNUMBER($E91),$E91&lt;FechaRef),"Vencida",IF(N($K91)&gt;0,"En curso","Pendiente"))))</f>
        <v/>
      </c>
      <c r="M91" s="68">
        <f>IF($N91="","",INDEX('Cronograma R. Normativo'!$M$5:$M$1000,$N91)&amp;"")</f>
        <v/>
      </c>
      <c r="N91">
        <f>IFERROR(MATCH(ROW()-4,rOrden_RN,0),"")</f>
        <v/>
      </c>
    </row>
    <row r="92">
      <c r="A92" s="60">
        <f>IF($N92="","",INDEX('Cronograma R. Normativo'!$A$5:$A$1000,$N92))</f>
        <v/>
      </c>
      <c r="B92" s="68">
        <f>IF($N92="","",INDEX('Cronograma R. Normativo'!$B$5:$B$1000,$N92)&amp;"")</f>
        <v/>
      </c>
      <c r="C92" s="68">
        <f>IF($N92="","",INDEX('Cronograma R. Normativo'!$C$5:$C$1000,$N92)&amp;"")</f>
        <v/>
      </c>
      <c r="D92" s="74">
        <f>IF($N92="","",IF(INDEX('Cronograma R. Normativo'!$D$5:$D$1000,$N92)="","",INDEX('Cronograma R. Normativo'!$D$5:$D$1000,$N92)))</f>
        <v/>
      </c>
      <c r="E92" s="74">
        <f>IF($N92="","",IF(INDEX('Cronograma R. Normativo'!$E$5:$E$1000,$N92)="","",INDEX('Cronograma R. Normativo'!$E$5:$E$1000,$N92)))</f>
        <v/>
      </c>
      <c r="F92" s="60">
        <f>IF($N92="","",IF(NOT(ISNUMBER($E92)),"",IF($E92&lt;InicioCiclo,"Antes del ciclo",IF($E92&gt;=InicioCiclo+28,"Después del ciclo","Semana "&amp;(INT(($E92-InicioCiclo)/7)+1)))))</f>
        <v/>
      </c>
      <c r="G92" s="65">
        <f>IF($N92="","",IF(INDEX('Cronograma R. Normativo'!$G$5:$G$1000,$N92)="","",INDEX('Cronograma R. Normativo'!$G$5:$G$1000,$N92)))</f>
        <v/>
      </c>
      <c r="H92" s="65">
        <f>IF($N92="","",IF(INDEX('Cronograma R. Normativo'!$H$5:$H$1000,$N92)="","",INDEX('Cronograma R. Normativo'!$H$5:$H$1000,$N92)))</f>
        <v/>
      </c>
      <c r="I92" s="65">
        <f>IF($N92="","",IF(INDEX('Cronograma R. Normativo'!$I$5:$I$1000,$N92)="","",INDEX('Cronograma R. Normativo'!$I$5:$I$1000,$N92)))</f>
        <v/>
      </c>
      <c r="J92" s="65">
        <f>IF($N92="","",IF(INDEX('Cronograma R. Normativo'!$J$5:$J$1000,$N92)="","",INDEX('Cronograma R. Normativo'!$J$5:$J$1000,$N92)))</f>
        <v/>
      </c>
      <c r="K92" s="65">
        <f>IF($N92="","",INDEX('Cronograma R. Normativo'!$K$5:$K$1000,$N92))</f>
        <v/>
      </c>
      <c r="L92" s="60">
        <f>IF($N92="","",IF(N($K92)&gt;=1,"Completado",IF(AND(ISNUMBER($E92),$E92&lt;FechaRef),"Vencida",IF(N($K92)&gt;0,"En curso","Pendiente"))))</f>
        <v/>
      </c>
      <c r="M92" s="68">
        <f>IF($N92="","",INDEX('Cronograma R. Normativo'!$M$5:$M$1000,$N92)&amp;"")</f>
        <v/>
      </c>
      <c r="N92">
        <f>IFERROR(MATCH(ROW()-4,rOrden_RN,0),"")</f>
        <v/>
      </c>
    </row>
    <row r="93">
      <c r="A93" s="60">
        <f>IF($N93="","",INDEX('Cronograma R. Normativo'!$A$5:$A$1000,$N93))</f>
        <v/>
      </c>
      <c r="B93" s="68">
        <f>IF($N93="","",INDEX('Cronograma R. Normativo'!$B$5:$B$1000,$N93)&amp;"")</f>
        <v/>
      </c>
      <c r="C93" s="68">
        <f>IF($N93="","",INDEX('Cronograma R. Normativo'!$C$5:$C$1000,$N93)&amp;"")</f>
        <v/>
      </c>
      <c r="D93" s="74">
        <f>IF($N93="","",IF(INDEX('Cronograma R. Normativo'!$D$5:$D$1000,$N93)="","",INDEX('Cronograma R. Normativo'!$D$5:$D$1000,$N93)))</f>
        <v/>
      </c>
      <c r="E93" s="74">
        <f>IF($N93="","",IF(INDEX('Cronograma R. Normativo'!$E$5:$E$1000,$N93)="","",INDEX('Cronograma R. Normativo'!$E$5:$E$1000,$N93)))</f>
        <v/>
      </c>
      <c r="F93" s="60">
        <f>IF($N93="","",IF(NOT(ISNUMBER($E93)),"",IF($E93&lt;InicioCiclo,"Antes del ciclo",IF($E93&gt;=InicioCiclo+28,"Después del ciclo","Semana "&amp;(INT(($E93-InicioCiclo)/7)+1)))))</f>
        <v/>
      </c>
      <c r="G93" s="65">
        <f>IF($N93="","",IF(INDEX('Cronograma R. Normativo'!$G$5:$G$1000,$N93)="","",INDEX('Cronograma R. Normativo'!$G$5:$G$1000,$N93)))</f>
        <v/>
      </c>
      <c r="H93" s="65">
        <f>IF($N93="","",IF(INDEX('Cronograma R. Normativo'!$H$5:$H$1000,$N93)="","",INDEX('Cronograma R. Normativo'!$H$5:$H$1000,$N93)))</f>
        <v/>
      </c>
      <c r="I93" s="65">
        <f>IF($N93="","",IF(INDEX('Cronograma R. Normativo'!$I$5:$I$1000,$N93)="","",INDEX('Cronograma R. Normativo'!$I$5:$I$1000,$N93)))</f>
        <v/>
      </c>
      <c r="J93" s="65">
        <f>IF($N93="","",IF(INDEX('Cronograma R. Normativo'!$J$5:$J$1000,$N93)="","",INDEX('Cronograma R. Normativo'!$J$5:$J$1000,$N93)))</f>
        <v/>
      </c>
      <c r="K93" s="65">
        <f>IF($N93="","",INDEX('Cronograma R. Normativo'!$K$5:$K$1000,$N93))</f>
        <v/>
      </c>
      <c r="L93" s="60">
        <f>IF($N93="","",IF(N($K93)&gt;=1,"Completado",IF(AND(ISNUMBER($E93),$E93&lt;FechaRef),"Vencida",IF(N($K93)&gt;0,"En curso","Pendiente"))))</f>
        <v/>
      </c>
      <c r="M93" s="68">
        <f>IF($N93="","",INDEX('Cronograma R. Normativo'!$M$5:$M$1000,$N93)&amp;"")</f>
        <v/>
      </c>
      <c r="N93">
        <f>IFERROR(MATCH(ROW()-4,rOrden_RN,0),"")</f>
        <v/>
      </c>
    </row>
    <row r="94">
      <c r="A94" s="60">
        <f>IF($N94="","",INDEX('Cronograma R. Normativo'!$A$5:$A$1000,$N94))</f>
        <v/>
      </c>
      <c r="B94" s="68">
        <f>IF($N94="","",INDEX('Cronograma R. Normativo'!$B$5:$B$1000,$N94)&amp;"")</f>
        <v/>
      </c>
      <c r="C94" s="68">
        <f>IF($N94="","",INDEX('Cronograma R. Normativo'!$C$5:$C$1000,$N94)&amp;"")</f>
        <v/>
      </c>
      <c r="D94" s="74">
        <f>IF($N94="","",IF(INDEX('Cronograma R. Normativo'!$D$5:$D$1000,$N94)="","",INDEX('Cronograma R. Normativo'!$D$5:$D$1000,$N94)))</f>
        <v/>
      </c>
      <c r="E94" s="74">
        <f>IF($N94="","",IF(INDEX('Cronograma R. Normativo'!$E$5:$E$1000,$N94)="","",INDEX('Cronograma R. Normativo'!$E$5:$E$1000,$N94)))</f>
        <v/>
      </c>
      <c r="F94" s="60">
        <f>IF($N94="","",IF(NOT(ISNUMBER($E94)),"",IF($E94&lt;InicioCiclo,"Antes del ciclo",IF($E94&gt;=InicioCiclo+28,"Después del ciclo","Semana "&amp;(INT(($E94-InicioCiclo)/7)+1)))))</f>
        <v/>
      </c>
      <c r="G94" s="65">
        <f>IF($N94="","",IF(INDEX('Cronograma R. Normativo'!$G$5:$G$1000,$N94)="","",INDEX('Cronograma R. Normativo'!$G$5:$G$1000,$N94)))</f>
        <v/>
      </c>
      <c r="H94" s="65">
        <f>IF($N94="","",IF(INDEX('Cronograma R. Normativo'!$H$5:$H$1000,$N94)="","",INDEX('Cronograma R. Normativo'!$H$5:$H$1000,$N94)))</f>
        <v/>
      </c>
      <c r="I94" s="65">
        <f>IF($N94="","",IF(INDEX('Cronograma R. Normativo'!$I$5:$I$1000,$N94)="","",INDEX('Cronograma R. Normativo'!$I$5:$I$1000,$N94)))</f>
        <v/>
      </c>
      <c r="J94" s="65">
        <f>IF($N94="","",IF(INDEX('Cronograma R. Normativo'!$J$5:$J$1000,$N94)="","",INDEX('Cronograma R. Normativo'!$J$5:$J$1000,$N94)))</f>
        <v/>
      </c>
      <c r="K94" s="65">
        <f>IF($N94="","",INDEX('Cronograma R. Normativo'!$K$5:$K$1000,$N94))</f>
        <v/>
      </c>
      <c r="L94" s="60">
        <f>IF($N94="","",IF(N($K94)&gt;=1,"Completado",IF(AND(ISNUMBER($E94),$E94&lt;FechaRef),"Vencida",IF(N($K94)&gt;0,"En curso","Pendiente"))))</f>
        <v/>
      </c>
      <c r="M94" s="68">
        <f>IF($N94="","",INDEX('Cronograma R. Normativo'!$M$5:$M$1000,$N94)&amp;"")</f>
        <v/>
      </c>
      <c r="N94">
        <f>IFERROR(MATCH(ROW()-4,rOrden_RN,0),"")</f>
        <v/>
      </c>
    </row>
    <row r="95">
      <c r="A95" s="60">
        <f>IF($N95="","",INDEX('Cronograma R. Normativo'!$A$5:$A$1000,$N95))</f>
        <v/>
      </c>
      <c r="B95" s="68">
        <f>IF($N95="","",INDEX('Cronograma R. Normativo'!$B$5:$B$1000,$N95)&amp;"")</f>
        <v/>
      </c>
      <c r="C95" s="68">
        <f>IF($N95="","",INDEX('Cronograma R. Normativo'!$C$5:$C$1000,$N95)&amp;"")</f>
        <v/>
      </c>
      <c r="D95" s="74">
        <f>IF($N95="","",IF(INDEX('Cronograma R. Normativo'!$D$5:$D$1000,$N95)="","",INDEX('Cronograma R. Normativo'!$D$5:$D$1000,$N95)))</f>
        <v/>
      </c>
      <c r="E95" s="74">
        <f>IF($N95="","",IF(INDEX('Cronograma R. Normativo'!$E$5:$E$1000,$N95)="","",INDEX('Cronograma R. Normativo'!$E$5:$E$1000,$N95)))</f>
        <v/>
      </c>
      <c r="F95" s="60">
        <f>IF($N95="","",IF(NOT(ISNUMBER($E95)),"",IF($E95&lt;InicioCiclo,"Antes del ciclo",IF($E95&gt;=InicioCiclo+28,"Después del ciclo","Semana "&amp;(INT(($E95-InicioCiclo)/7)+1)))))</f>
        <v/>
      </c>
      <c r="G95" s="65">
        <f>IF($N95="","",IF(INDEX('Cronograma R. Normativo'!$G$5:$G$1000,$N95)="","",INDEX('Cronograma R. Normativo'!$G$5:$G$1000,$N95)))</f>
        <v/>
      </c>
      <c r="H95" s="65">
        <f>IF($N95="","",IF(INDEX('Cronograma R. Normativo'!$H$5:$H$1000,$N95)="","",INDEX('Cronograma R. Normativo'!$H$5:$H$1000,$N95)))</f>
        <v/>
      </c>
      <c r="I95" s="65">
        <f>IF($N95="","",IF(INDEX('Cronograma R. Normativo'!$I$5:$I$1000,$N95)="","",INDEX('Cronograma R. Normativo'!$I$5:$I$1000,$N95)))</f>
        <v/>
      </c>
      <c r="J95" s="65">
        <f>IF($N95="","",IF(INDEX('Cronograma R. Normativo'!$J$5:$J$1000,$N95)="","",INDEX('Cronograma R. Normativo'!$J$5:$J$1000,$N95)))</f>
        <v/>
      </c>
      <c r="K95" s="65">
        <f>IF($N95="","",INDEX('Cronograma R. Normativo'!$K$5:$K$1000,$N95))</f>
        <v/>
      </c>
      <c r="L95" s="60">
        <f>IF($N95="","",IF(N($K95)&gt;=1,"Completado",IF(AND(ISNUMBER($E95),$E95&lt;FechaRef),"Vencida",IF(N($K95)&gt;0,"En curso","Pendiente"))))</f>
        <v/>
      </c>
      <c r="M95" s="68">
        <f>IF($N95="","",INDEX('Cronograma R. Normativo'!$M$5:$M$1000,$N95)&amp;"")</f>
        <v/>
      </c>
      <c r="N95">
        <f>IFERROR(MATCH(ROW()-4,rOrden_RN,0),"")</f>
        <v/>
      </c>
    </row>
    <row r="96">
      <c r="A96" s="60">
        <f>IF($N96="","",INDEX('Cronograma R. Normativo'!$A$5:$A$1000,$N96))</f>
        <v/>
      </c>
      <c r="B96" s="68">
        <f>IF($N96="","",INDEX('Cronograma R. Normativo'!$B$5:$B$1000,$N96)&amp;"")</f>
        <v/>
      </c>
      <c r="C96" s="68">
        <f>IF($N96="","",INDEX('Cronograma R. Normativo'!$C$5:$C$1000,$N96)&amp;"")</f>
        <v/>
      </c>
      <c r="D96" s="74">
        <f>IF($N96="","",IF(INDEX('Cronograma R. Normativo'!$D$5:$D$1000,$N96)="","",INDEX('Cronograma R. Normativo'!$D$5:$D$1000,$N96)))</f>
        <v/>
      </c>
      <c r="E96" s="74">
        <f>IF($N96="","",IF(INDEX('Cronograma R. Normativo'!$E$5:$E$1000,$N96)="","",INDEX('Cronograma R. Normativo'!$E$5:$E$1000,$N96)))</f>
        <v/>
      </c>
      <c r="F96" s="60">
        <f>IF($N96="","",IF(NOT(ISNUMBER($E96)),"",IF($E96&lt;InicioCiclo,"Antes del ciclo",IF($E96&gt;=InicioCiclo+28,"Después del ciclo","Semana "&amp;(INT(($E96-InicioCiclo)/7)+1)))))</f>
        <v/>
      </c>
      <c r="G96" s="65">
        <f>IF($N96="","",IF(INDEX('Cronograma R. Normativo'!$G$5:$G$1000,$N96)="","",INDEX('Cronograma R. Normativo'!$G$5:$G$1000,$N96)))</f>
        <v/>
      </c>
      <c r="H96" s="65">
        <f>IF($N96="","",IF(INDEX('Cronograma R. Normativo'!$H$5:$H$1000,$N96)="","",INDEX('Cronograma R. Normativo'!$H$5:$H$1000,$N96)))</f>
        <v/>
      </c>
      <c r="I96" s="65">
        <f>IF($N96="","",IF(INDEX('Cronograma R. Normativo'!$I$5:$I$1000,$N96)="","",INDEX('Cronograma R. Normativo'!$I$5:$I$1000,$N96)))</f>
        <v/>
      </c>
      <c r="J96" s="65">
        <f>IF($N96="","",IF(INDEX('Cronograma R. Normativo'!$J$5:$J$1000,$N96)="","",INDEX('Cronograma R. Normativo'!$J$5:$J$1000,$N96)))</f>
        <v/>
      </c>
      <c r="K96" s="65">
        <f>IF($N96="","",INDEX('Cronograma R. Normativo'!$K$5:$K$1000,$N96))</f>
        <v/>
      </c>
      <c r="L96" s="60">
        <f>IF($N96="","",IF(N($K96)&gt;=1,"Completado",IF(AND(ISNUMBER($E96),$E96&lt;FechaRef),"Vencida",IF(N($K96)&gt;0,"En curso","Pendiente"))))</f>
        <v/>
      </c>
      <c r="M96" s="68">
        <f>IF($N96="","",INDEX('Cronograma R. Normativo'!$M$5:$M$1000,$N96)&amp;"")</f>
        <v/>
      </c>
      <c r="N96">
        <f>IFERROR(MATCH(ROW()-4,rOrden_RN,0),"")</f>
        <v/>
      </c>
    </row>
    <row r="97">
      <c r="A97" s="60">
        <f>IF($N97="","",INDEX('Cronograma R. Normativo'!$A$5:$A$1000,$N97))</f>
        <v/>
      </c>
      <c r="B97" s="68">
        <f>IF($N97="","",INDEX('Cronograma R. Normativo'!$B$5:$B$1000,$N97)&amp;"")</f>
        <v/>
      </c>
      <c r="C97" s="68">
        <f>IF($N97="","",INDEX('Cronograma R. Normativo'!$C$5:$C$1000,$N97)&amp;"")</f>
        <v/>
      </c>
      <c r="D97" s="74">
        <f>IF($N97="","",IF(INDEX('Cronograma R. Normativo'!$D$5:$D$1000,$N97)="","",INDEX('Cronograma R. Normativo'!$D$5:$D$1000,$N97)))</f>
        <v/>
      </c>
      <c r="E97" s="74">
        <f>IF($N97="","",IF(INDEX('Cronograma R. Normativo'!$E$5:$E$1000,$N97)="","",INDEX('Cronograma R. Normativo'!$E$5:$E$1000,$N97)))</f>
        <v/>
      </c>
      <c r="F97" s="60">
        <f>IF($N97="","",IF(NOT(ISNUMBER($E97)),"",IF($E97&lt;InicioCiclo,"Antes del ciclo",IF($E97&gt;=InicioCiclo+28,"Después del ciclo","Semana "&amp;(INT(($E97-InicioCiclo)/7)+1)))))</f>
        <v/>
      </c>
      <c r="G97" s="65">
        <f>IF($N97="","",IF(INDEX('Cronograma R. Normativo'!$G$5:$G$1000,$N97)="","",INDEX('Cronograma R. Normativo'!$G$5:$G$1000,$N97)))</f>
        <v/>
      </c>
      <c r="H97" s="65">
        <f>IF($N97="","",IF(INDEX('Cronograma R. Normativo'!$H$5:$H$1000,$N97)="","",INDEX('Cronograma R. Normativo'!$H$5:$H$1000,$N97)))</f>
        <v/>
      </c>
      <c r="I97" s="65">
        <f>IF($N97="","",IF(INDEX('Cronograma R. Normativo'!$I$5:$I$1000,$N97)="","",INDEX('Cronograma R. Normativo'!$I$5:$I$1000,$N97)))</f>
        <v/>
      </c>
      <c r="J97" s="65">
        <f>IF($N97="","",IF(INDEX('Cronograma R. Normativo'!$J$5:$J$1000,$N97)="","",INDEX('Cronograma R. Normativo'!$J$5:$J$1000,$N97)))</f>
        <v/>
      </c>
      <c r="K97" s="65">
        <f>IF($N97="","",INDEX('Cronograma R. Normativo'!$K$5:$K$1000,$N97))</f>
        <v/>
      </c>
      <c r="L97" s="60">
        <f>IF($N97="","",IF(N($K97)&gt;=1,"Completado",IF(AND(ISNUMBER($E97),$E97&lt;FechaRef),"Vencida",IF(N($K97)&gt;0,"En curso","Pendiente"))))</f>
        <v/>
      </c>
      <c r="M97" s="68">
        <f>IF($N97="","",INDEX('Cronograma R. Normativo'!$M$5:$M$1000,$N97)&amp;"")</f>
        <v/>
      </c>
      <c r="N97">
        <f>IFERROR(MATCH(ROW()-4,rOrden_RN,0),"")</f>
        <v/>
      </c>
    </row>
    <row r="98">
      <c r="A98" s="60">
        <f>IF($N98="","",INDEX('Cronograma R. Normativo'!$A$5:$A$1000,$N98))</f>
        <v/>
      </c>
      <c r="B98" s="68">
        <f>IF($N98="","",INDEX('Cronograma R. Normativo'!$B$5:$B$1000,$N98)&amp;"")</f>
        <v/>
      </c>
      <c r="C98" s="68">
        <f>IF($N98="","",INDEX('Cronograma R. Normativo'!$C$5:$C$1000,$N98)&amp;"")</f>
        <v/>
      </c>
      <c r="D98" s="74">
        <f>IF($N98="","",IF(INDEX('Cronograma R. Normativo'!$D$5:$D$1000,$N98)="","",INDEX('Cronograma R. Normativo'!$D$5:$D$1000,$N98)))</f>
        <v/>
      </c>
      <c r="E98" s="74">
        <f>IF($N98="","",IF(INDEX('Cronograma R. Normativo'!$E$5:$E$1000,$N98)="","",INDEX('Cronograma R. Normativo'!$E$5:$E$1000,$N98)))</f>
        <v/>
      </c>
      <c r="F98" s="60">
        <f>IF($N98="","",IF(NOT(ISNUMBER($E98)),"",IF($E98&lt;InicioCiclo,"Antes del ciclo",IF($E98&gt;=InicioCiclo+28,"Después del ciclo","Semana "&amp;(INT(($E98-InicioCiclo)/7)+1)))))</f>
        <v/>
      </c>
      <c r="G98" s="65">
        <f>IF($N98="","",IF(INDEX('Cronograma R. Normativo'!$G$5:$G$1000,$N98)="","",INDEX('Cronograma R. Normativo'!$G$5:$G$1000,$N98)))</f>
        <v/>
      </c>
      <c r="H98" s="65">
        <f>IF($N98="","",IF(INDEX('Cronograma R. Normativo'!$H$5:$H$1000,$N98)="","",INDEX('Cronograma R. Normativo'!$H$5:$H$1000,$N98)))</f>
        <v/>
      </c>
      <c r="I98" s="65">
        <f>IF($N98="","",IF(INDEX('Cronograma R. Normativo'!$I$5:$I$1000,$N98)="","",INDEX('Cronograma R. Normativo'!$I$5:$I$1000,$N98)))</f>
        <v/>
      </c>
      <c r="J98" s="65">
        <f>IF($N98="","",IF(INDEX('Cronograma R. Normativo'!$J$5:$J$1000,$N98)="","",INDEX('Cronograma R. Normativo'!$J$5:$J$1000,$N98)))</f>
        <v/>
      </c>
      <c r="K98" s="65">
        <f>IF($N98="","",INDEX('Cronograma R. Normativo'!$K$5:$K$1000,$N98))</f>
        <v/>
      </c>
      <c r="L98" s="60">
        <f>IF($N98="","",IF(N($K98)&gt;=1,"Completado",IF(AND(ISNUMBER($E98),$E98&lt;FechaRef),"Vencida",IF(N($K98)&gt;0,"En curso","Pendiente"))))</f>
        <v/>
      </c>
      <c r="M98" s="68">
        <f>IF($N98="","",INDEX('Cronograma R. Normativo'!$M$5:$M$1000,$N98)&amp;"")</f>
        <v/>
      </c>
      <c r="N98">
        <f>IFERROR(MATCH(ROW()-4,rOrden_RN,0),"")</f>
        <v/>
      </c>
    </row>
    <row r="99">
      <c r="A99" s="60">
        <f>IF($N99="","",INDEX('Cronograma R. Normativo'!$A$5:$A$1000,$N99))</f>
        <v/>
      </c>
      <c r="B99" s="68">
        <f>IF($N99="","",INDEX('Cronograma R. Normativo'!$B$5:$B$1000,$N99)&amp;"")</f>
        <v/>
      </c>
      <c r="C99" s="68">
        <f>IF($N99="","",INDEX('Cronograma R. Normativo'!$C$5:$C$1000,$N99)&amp;"")</f>
        <v/>
      </c>
      <c r="D99" s="74">
        <f>IF($N99="","",IF(INDEX('Cronograma R. Normativo'!$D$5:$D$1000,$N99)="","",INDEX('Cronograma R. Normativo'!$D$5:$D$1000,$N99)))</f>
        <v/>
      </c>
      <c r="E99" s="74">
        <f>IF($N99="","",IF(INDEX('Cronograma R. Normativo'!$E$5:$E$1000,$N99)="","",INDEX('Cronograma R. Normativo'!$E$5:$E$1000,$N99)))</f>
        <v/>
      </c>
      <c r="F99" s="60">
        <f>IF($N99="","",IF(NOT(ISNUMBER($E99)),"",IF($E99&lt;InicioCiclo,"Antes del ciclo",IF($E99&gt;=InicioCiclo+28,"Después del ciclo","Semana "&amp;(INT(($E99-InicioCiclo)/7)+1)))))</f>
        <v/>
      </c>
      <c r="G99" s="65">
        <f>IF($N99="","",IF(INDEX('Cronograma R. Normativo'!$G$5:$G$1000,$N99)="","",INDEX('Cronograma R. Normativo'!$G$5:$G$1000,$N99)))</f>
        <v/>
      </c>
      <c r="H99" s="65">
        <f>IF($N99="","",IF(INDEX('Cronograma R. Normativo'!$H$5:$H$1000,$N99)="","",INDEX('Cronograma R. Normativo'!$H$5:$H$1000,$N99)))</f>
        <v/>
      </c>
      <c r="I99" s="65">
        <f>IF($N99="","",IF(INDEX('Cronograma R. Normativo'!$I$5:$I$1000,$N99)="","",INDEX('Cronograma R. Normativo'!$I$5:$I$1000,$N99)))</f>
        <v/>
      </c>
      <c r="J99" s="65">
        <f>IF($N99="","",IF(INDEX('Cronograma R. Normativo'!$J$5:$J$1000,$N99)="","",INDEX('Cronograma R. Normativo'!$J$5:$J$1000,$N99)))</f>
        <v/>
      </c>
      <c r="K99" s="65">
        <f>IF($N99="","",INDEX('Cronograma R. Normativo'!$K$5:$K$1000,$N99))</f>
        <v/>
      </c>
      <c r="L99" s="60">
        <f>IF($N99="","",IF(N($K99)&gt;=1,"Completado",IF(AND(ISNUMBER($E99),$E99&lt;FechaRef),"Vencida",IF(N($K99)&gt;0,"En curso","Pendiente"))))</f>
        <v/>
      </c>
      <c r="M99" s="68">
        <f>IF($N99="","",INDEX('Cronograma R. Normativo'!$M$5:$M$1000,$N99)&amp;"")</f>
        <v/>
      </c>
      <c r="N99">
        <f>IFERROR(MATCH(ROW()-4,rOrden_RN,0),"")</f>
        <v/>
      </c>
    </row>
    <row r="100">
      <c r="A100" s="60">
        <f>IF($N100="","",INDEX('Cronograma R. Normativo'!$A$5:$A$1000,$N100))</f>
        <v/>
      </c>
      <c r="B100" s="68">
        <f>IF($N100="","",INDEX('Cronograma R. Normativo'!$B$5:$B$1000,$N100)&amp;"")</f>
        <v/>
      </c>
      <c r="C100" s="68">
        <f>IF($N100="","",INDEX('Cronograma R. Normativo'!$C$5:$C$1000,$N100)&amp;"")</f>
        <v/>
      </c>
      <c r="D100" s="74">
        <f>IF($N100="","",IF(INDEX('Cronograma R. Normativo'!$D$5:$D$1000,$N100)="","",INDEX('Cronograma R. Normativo'!$D$5:$D$1000,$N100)))</f>
        <v/>
      </c>
      <c r="E100" s="74">
        <f>IF($N100="","",IF(INDEX('Cronograma R. Normativo'!$E$5:$E$1000,$N100)="","",INDEX('Cronograma R. Normativo'!$E$5:$E$1000,$N100)))</f>
        <v/>
      </c>
      <c r="F100" s="60">
        <f>IF($N100="","",IF(NOT(ISNUMBER($E100)),"",IF($E100&lt;InicioCiclo,"Antes del ciclo",IF($E100&gt;=InicioCiclo+28,"Después del ciclo","Semana "&amp;(INT(($E100-InicioCiclo)/7)+1)))))</f>
        <v/>
      </c>
      <c r="G100" s="65">
        <f>IF($N100="","",IF(INDEX('Cronograma R. Normativo'!$G$5:$G$1000,$N100)="","",INDEX('Cronograma R. Normativo'!$G$5:$G$1000,$N100)))</f>
        <v/>
      </c>
      <c r="H100" s="65">
        <f>IF($N100="","",IF(INDEX('Cronograma R. Normativo'!$H$5:$H$1000,$N100)="","",INDEX('Cronograma R. Normativo'!$H$5:$H$1000,$N100)))</f>
        <v/>
      </c>
      <c r="I100" s="65">
        <f>IF($N100="","",IF(INDEX('Cronograma R. Normativo'!$I$5:$I$1000,$N100)="","",INDEX('Cronograma R. Normativo'!$I$5:$I$1000,$N100)))</f>
        <v/>
      </c>
      <c r="J100" s="65">
        <f>IF($N100="","",IF(INDEX('Cronograma R. Normativo'!$J$5:$J$1000,$N100)="","",INDEX('Cronograma R. Normativo'!$J$5:$J$1000,$N100)))</f>
        <v/>
      </c>
      <c r="K100" s="65">
        <f>IF($N100="","",INDEX('Cronograma R. Normativo'!$K$5:$K$1000,$N100))</f>
        <v/>
      </c>
      <c r="L100" s="60">
        <f>IF($N100="","",IF(N($K100)&gt;=1,"Completado",IF(AND(ISNUMBER($E100),$E100&lt;FechaRef),"Vencida",IF(N($K100)&gt;0,"En curso","Pendiente"))))</f>
        <v/>
      </c>
      <c r="M100" s="68">
        <f>IF($N100="","",INDEX('Cronograma R. Normativo'!$M$5:$M$1000,$N100)&amp;"")</f>
        <v/>
      </c>
      <c r="N100">
        <f>IFERROR(MATCH(ROW()-4,rOrden_RN,0),"")</f>
        <v/>
      </c>
    </row>
    <row r="101">
      <c r="A101" s="60">
        <f>IF($N101="","",INDEX('Cronograma R. Normativo'!$A$5:$A$1000,$N101))</f>
        <v/>
      </c>
      <c r="B101" s="68">
        <f>IF($N101="","",INDEX('Cronograma R. Normativo'!$B$5:$B$1000,$N101)&amp;"")</f>
        <v/>
      </c>
      <c r="C101" s="68">
        <f>IF($N101="","",INDEX('Cronograma R. Normativo'!$C$5:$C$1000,$N101)&amp;"")</f>
        <v/>
      </c>
      <c r="D101" s="74">
        <f>IF($N101="","",IF(INDEX('Cronograma R. Normativo'!$D$5:$D$1000,$N101)="","",INDEX('Cronograma R. Normativo'!$D$5:$D$1000,$N101)))</f>
        <v/>
      </c>
      <c r="E101" s="74">
        <f>IF($N101="","",IF(INDEX('Cronograma R. Normativo'!$E$5:$E$1000,$N101)="","",INDEX('Cronograma R. Normativo'!$E$5:$E$1000,$N101)))</f>
        <v/>
      </c>
      <c r="F101" s="60">
        <f>IF($N101="","",IF(NOT(ISNUMBER($E101)),"",IF($E101&lt;InicioCiclo,"Antes del ciclo",IF($E101&gt;=InicioCiclo+28,"Después del ciclo","Semana "&amp;(INT(($E101-InicioCiclo)/7)+1)))))</f>
        <v/>
      </c>
      <c r="G101" s="65">
        <f>IF($N101="","",IF(INDEX('Cronograma R. Normativo'!$G$5:$G$1000,$N101)="","",INDEX('Cronograma R. Normativo'!$G$5:$G$1000,$N101)))</f>
        <v/>
      </c>
      <c r="H101" s="65">
        <f>IF($N101="","",IF(INDEX('Cronograma R. Normativo'!$H$5:$H$1000,$N101)="","",INDEX('Cronograma R. Normativo'!$H$5:$H$1000,$N101)))</f>
        <v/>
      </c>
      <c r="I101" s="65">
        <f>IF($N101="","",IF(INDEX('Cronograma R. Normativo'!$I$5:$I$1000,$N101)="","",INDEX('Cronograma R. Normativo'!$I$5:$I$1000,$N101)))</f>
        <v/>
      </c>
      <c r="J101" s="65">
        <f>IF($N101="","",IF(INDEX('Cronograma R. Normativo'!$J$5:$J$1000,$N101)="","",INDEX('Cronograma R. Normativo'!$J$5:$J$1000,$N101)))</f>
        <v/>
      </c>
      <c r="K101" s="65">
        <f>IF($N101="","",INDEX('Cronograma R. Normativo'!$K$5:$K$1000,$N101))</f>
        <v/>
      </c>
      <c r="L101" s="60">
        <f>IF($N101="","",IF(N($K101)&gt;=1,"Completado",IF(AND(ISNUMBER($E101),$E101&lt;FechaRef),"Vencida",IF(N($K101)&gt;0,"En curso","Pendiente"))))</f>
        <v/>
      </c>
      <c r="M101" s="68">
        <f>IF($N101="","",INDEX('Cronograma R. Normativo'!$M$5:$M$1000,$N101)&amp;"")</f>
        <v/>
      </c>
      <c r="N101">
        <f>IFERROR(MATCH(ROW()-4,rOrden_RN,0),"")</f>
        <v/>
      </c>
    </row>
    <row r="102">
      <c r="A102" s="60">
        <f>IF($N102="","",INDEX('Cronograma R. Normativo'!$A$5:$A$1000,$N102))</f>
        <v/>
      </c>
      <c r="B102" s="68">
        <f>IF($N102="","",INDEX('Cronograma R. Normativo'!$B$5:$B$1000,$N102)&amp;"")</f>
        <v/>
      </c>
      <c r="C102" s="68">
        <f>IF($N102="","",INDEX('Cronograma R. Normativo'!$C$5:$C$1000,$N102)&amp;"")</f>
        <v/>
      </c>
      <c r="D102" s="74">
        <f>IF($N102="","",IF(INDEX('Cronograma R. Normativo'!$D$5:$D$1000,$N102)="","",INDEX('Cronograma R. Normativo'!$D$5:$D$1000,$N102)))</f>
        <v/>
      </c>
      <c r="E102" s="74">
        <f>IF($N102="","",IF(INDEX('Cronograma R. Normativo'!$E$5:$E$1000,$N102)="","",INDEX('Cronograma R. Normativo'!$E$5:$E$1000,$N102)))</f>
        <v/>
      </c>
      <c r="F102" s="60">
        <f>IF($N102="","",IF(NOT(ISNUMBER($E102)),"",IF($E102&lt;InicioCiclo,"Antes del ciclo",IF($E102&gt;=InicioCiclo+28,"Después del ciclo","Semana "&amp;(INT(($E102-InicioCiclo)/7)+1)))))</f>
        <v/>
      </c>
      <c r="G102" s="65">
        <f>IF($N102="","",IF(INDEX('Cronograma R. Normativo'!$G$5:$G$1000,$N102)="","",INDEX('Cronograma R. Normativo'!$G$5:$G$1000,$N102)))</f>
        <v/>
      </c>
      <c r="H102" s="65">
        <f>IF($N102="","",IF(INDEX('Cronograma R. Normativo'!$H$5:$H$1000,$N102)="","",INDEX('Cronograma R. Normativo'!$H$5:$H$1000,$N102)))</f>
        <v/>
      </c>
      <c r="I102" s="65">
        <f>IF($N102="","",IF(INDEX('Cronograma R. Normativo'!$I$5:$I$1000,$N102)="","",INDEX('Cronograma R. Normativo'!$I$5:$I$1000,$N102)))</f>
        <v/>
      </c>
      <c r="J102" s="65">
        <f>IF($N102="","",IF(INDEX('Cronograma R. Normativo'!$J$5:$J$1000,$N102)="","",INDEX('Cronograma R. Normativo'!$J$5:$J$1000,$N102)))</f>
        <v/>
      </c>
      <c r="K102" s="65">
        <f>IF($N102="","",INDEX('Cronograma R. Normativo'!$K$5:$K$1000,$N102))</f>
        <v/>
      </c>
      <c r="L102" s="60">
        <f>IF($N102="","",IF(N($K102)&gt;=1,"Completado",IF(AND(ISNUMBER($E102),$E102&lt;FechaRef),"Vencida",IF(N($K102)&gt;0,"En curso","Pendiente"))))</f>
        <v/>
      </c>
      <c r="M102" s="68">
        <f>IF($N102="","",INDEX('Cronograma R. Normativo'!$M$5:$M$1000,$N102)&amp;"")</f>
        <v/>
      </c>
      <c r="N102">
        <f>IFERROR(MATCH(ROW()-4,rOrden_RN,0),"")</f>
        <v/>
      </c>
    </row>
    <row r="103">
      <c r="A103" s="60">
        <f>IF($N103="","",INDEX('Cronograma R. Normativo'!$A$5:$A$1000,$N103))</f>
        <v/>
      </c>
      <c r="B103" s="68">
        <f>IF($N103="","",INDEX('Cronograma R. Normativo'!$B$5:$B$1000,$N103)&amp;"")</f>
        <v/>
      </c>
      <c r="C103" s="68">
        <f>IF($N103="","",INDEX('Cronograma R. Normativo'!$C$5:$C$1000,$N103)&amp;"")</f>
        <v/>
      </c>
      <c r="D103" s="74">
        <f>IF($N103="","",IF(INDEX('Cronograma R. Normativo'!$D$5:$D$1000,$N103)="","",INDEX('Cronograma R. Normativo'!$D$5:$D$1000,$N103)))</f>
        <v/>
      </c>
      <c r="E103" s="74">
        <f>IF($N103="","",IF(INDEX('Cronograma R. Normativo'!$E$5:$E$1000,$N103)="","",INDEX('Cronograma R. Normativo'!$E$5:$E$1000,$N103)))</f>
        <v/>
      </c>
      <c r="F103" s="60">
        <f>IF($N103="","",IF(NOT(ISNUMBER($E103)),"",IF($E103&lt;InicioCiclo,"Antes del ciclo",IF($E103&gt;=InicioCiclo+28,"Después del ciclo","Semana "&amp;(INT(($E103-InicioCiclo)/7)+1)))))</f>
        <v/>
      </c>
      <c r="G103" s="65">
        <f>IF($N103="","",IF(INDEX('Cronograma R. Normativo'!$G$5:$G$1000,$N103)="","",INDEX('Cronograma R. Normativo'!$G$5:$G$1000,$N103)))</f>
        <v/>
      </c>
      <c r="H103" s="65">
        <f>IF($N103="","",IF(INDEX('Cronograma R. Normativo'!$H$5:$H$1000,$N103)="","",INDEX('Cronograma R. Normativo'!$H$5:$H$1000,$N103)))</f>
        <v/>
      </c>
      <c r="I103" s="65">
        <f>IF($N103="","",IF(INDEX('Cronograma R. Normativo'!$I$5:$I$1000,$N103)="","",INDEX('Cronograma R. Normativo'!$I$5:$I$1000,$N103)))</f>
        <v/>
      </c>
      <c r="J103" s="65">
        <f>IF($N103="","",IF(INDEX('Cronograma R. Normativo'!$J$5:$J$1000,$N103)="","",INDEX('Cronograma R. Normativo'!$J$5:$J$1000,$N103)))</f>
        <v/>
      </c>
      <c r="K103" s="65">
        <f>IF($N103="","",INDEX('Cronograma R. Normativo'!$K$5:$K$1000,$N103))</f>
        <v/>
      </c>
      <c r="L103" s="60">
        <f>IF($N103="","",IF(N($K103)&gt;=1,"Completado",IF(AND(ISNUMBER($E103),$E103&lt;FechaRef),"Vencida",IF(N($K103)&gt;0,"En curso","Pendiente"))))</f>
        <v/>
      </c>
      <c r="M103" s="68">
        <f>IF($N103="","",INDEX('Cronograma R. Normativo'!$M$5:$M$1000,$N103)&amp;"")</f>
        <v/>
      </c>
      <c r="N103">
        <f>IFERROR(MATCH(ROW()-4,rOrden_RN,0),"")</f>
        <v/>
      </c>
    </row>
    <row r="104">
      <c r="A104" s="60">
        <f>IF($N104="","",INDEX('Cronograma R. Normativo'!$A$5:$A$1000,$N104))</f>
        <v/>
      </c>
      <c r="B104" s="68">
        <f>IF($N104="","",INDEX('Cronograma R. Normativo'!$B$5:$B$1000,$N104)&amp;"")</f>
        <v/>
      </c>
      <c r="C104" s="68">
        <f>IF($N104="","",INDEX('Cronograma R. Normativo'!$C$5:$C$1000,$N104)&amp;"")</f>
        <v/>
      </c>
      <c r="D104" s="74">
        <f>IF($N104="","",IF(INDEX('Cronograma R. Normativo'!$D$5:$D$1000,$N104)="","",INDEX('Cronograma R. Normativo'!$D$5:$D$1000,$N104)))</f>
        <v/>
      </c>
      <c r="E104" s="74">
        <f>IF($N104="","",IF(INDEX('Cronograma R. Normativo'!$E$5:$E$1000,$N104)="","",INDEX('Cronograma R. Normativo'!$E$5:$E$1000,$N104)))</f>
        <v/>
      </c>
      <c r="F104" s="60">
        <f>IF($N104="","",IF(NOT(ISNUMBER($E104)),"",IF($E104&lt;InicioCiclo,"Antes del ciclo",IF($E104&gt;=InicioCiclo+28,"Después del ciclo","Semana "&amp;(INT(($E104-InicioCiclo)/7)+1)))))</f>
        <v/>
      </c>
      <c r="G104" s="65">
        <f>IF($N104="","",IF(INDEX('Cronograma R. Normativo'!$G$5:$G$1000,$N104)="","",INDEX('Cronograma R. Normativo'!$G$5:$G$1000,$N104)))</f>
        <v/>
      </c>
      <c r="H104" s="65">
        <f>IF($N104="","",IF(INDEX('Cronograma R. Normativo'!$H$5:$H$1000,$N104)="","",INDEX('Cronograma R. Normativo'!$H$5:$H$1000,$N104)))</f>
        <v/>
      </c>
      <c r="I104" s="65">
        <f>IF($N104="","",IF(INDEX('Cronograma R. Normativo'!$I$5:$I$1000,$N104)="","",INDEX('Cronograma R. Normativo'!$I$5:$I$1000,$N104)))</f>
        <v/>
      </c>
      <c r="J104" s="65">
        <f>IF($N104="","",IF(INDEX('Cronograma R. Normativo'!$J$5:$J$1000,$N104)="","",INDEX('Cronograma R. Normativo'!$J$5:$J$1000,$N104)))</f>
        <v/>
      </c>
      <c r="K104" s="65">
        <f>IF($N104="","",INDEX('Cronograma R. Normativo'!$K$5:$K$1000,$N104))</f>
        <v/>
      </c>
      <c r="L104" s="60">
        <f>IF($N104="","",IF(N($K104)&gt;=1,"Completado",IF(AND(ISNUMBER($E104),$E104&lt;FechaRef),"Vencida",IF(N($K104)&gt;0,"En curso","Pendiente"))))</f>
        <v/>
      </c>
      <c r="M104" s="68">
        <f>IF($N104="","",INDEX('Cronograma R. Normativo'!$M$5:$M$1000,$N104)&amp;"")</f>
        <v/>
      </c>
      <c r="N104">
        <f>IFERROR(MATCH(ROW()-4,rOrden_RN,0),"")</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2">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fitToPage="1"/>
  </sheetPr>
  <dimension ref="A1:P3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 width="15" customWidth="1" min="15" max="15"/>
    <col hidden="1" width="8" customWidth="1" min="16" max="16"/>
  </cols>
  <sheetData>
    <row r="1" ht="28" customHeight="1">
      <c r="A1" s="76" t="inlineStr">
        <is>
          <t>Cronograma – Riesgo Financiero</t>
        </is>
      </c>
      <c r="B1" s="76" t="n"/>
      <c r="C1" s="76" t="n"/>
      <c r="D1" s="76" t="n"/>
      <c r="E1" s="76" t="n"/>
      <c r="F1" s="76" t="n"/>
      <c r="G1" s="76" t="n"/>
      <c r="H1" s="76" t="n"/>
      <c r="I1" s="76" t="n"/>
      <c r="J1" s="76" t="n"/>
      <c r="K1" s="76" t="n"/>
      <c r="L1" s="76" t="n"/>
      <c r="M1" s="76" t="n"/>
      <c r="N1" s="76" t="n"/>
      <c r="O1" s="76" t="n"/>
    </row>
    <row r="2" ht="40" customHeight="1">
      <c r="A2" s="46" t="inlineStr">
        <is>
          <t>Llene solo las celdas GRIS SUAVE (desbloqueadas); las celdas AZUL CLARO son automáticas y están bloqueadas. Cada mes agregue sus actividades debajo de las anteriores (NO borre los meses pasados: quedan como historial). El mes se asigna solo con la fecha de inicio. En cada semana escriba el % TOTAL logrado hasta esa semana (ej. 20%, 45%, 75%, 100%). Los pesos de las actividades de un mismo mes deben sumar 100%. Si una actividad no se cumple, explique el motivo en Observaciones.</t>
        </is>
      </c>
      <c r="B2" s="46" t="n"/>
      <c r="C2" s="46" t="n"/>
      <c r="D2" s="46" t="n"/>
      <c r="E2" s="46" t="n"/>
      <c r="F2" s="46" t="n"/>
      <c r="G2" s="46" t="n"/>
      <c r="H2" s="46" t="n"/>
      <c r="I2" s="46" t="n"/>
      <c r="J2" s="46" t="n"/>
      <c r="K2" s="46" t="n"/>
      <c r="L2" s="46" t="n"/>
      <c r="M2" s="46" t="n"/>
      <c r="N2" s="46" t="n"/>
      <c r="O2" s="46" t="n"/>
    </row>
    <row r="3">
      <c r="A3" s="54" t="inlineStr">
        <is>
          <t>Llenar</t>
        </is>
      </c>
      <c r="B3" s="55" t="inlineStr">
        <is>
          <t>Automático (bloqueado)</t>
        </is>
      </c>
      <c r="C3" s="56" t="inlineStr">
        <is>
          <t>Pesos del mes:</t>
        </is>
      </c>
      <c r="D3" s="57">
        <f>SUMIFS(F5:F1000,O5:O1000,MesCiclo)</f>
        <v/>
      </c>
      <c r="E3" s="58">
        <f>IF(COUNTIFS(N5:N1000,"?*",O5:O1000,MesCiclo)=0,"",IF(ABS(D3-1)&lt;=0.0001,"✔ 100%","⚠ Debe sumar 100%"))</f>
        <v/>
      </c>
      <c r="F3" s="58" t="n"/>
    </row>
    <row r="4" ht="42" customHeight="1">
      <c r="A4" s="59" t="inlineStr">
        <is>
          <t>N°</t>
        </is>
      </c>
      <c r="B4" s="50" t="inlineStr">
        <is>
          <t>Macro Actividad</t>
        </is>
      </c>
      <c r="C4" s="50" t="inlineStr">
        <is>
          <t>Responsable</t>
        </is>
      </c>
      <c r="D4" s="50" t="inlineStr">
        <is>
          <t>Fecha de inicio</t>
        </is>
      </c>
      <c r="E4" s="50" t="inlineStr">
        <is>
          <t>Fecha límite</t>
        </is>
      </c>
      <c r="F4" s="50" t="inlineStr">
        <is>
          <t>Peso de actividad (%)</t>
        </is>
      </c>
      <c r="G4" s="50" t="inlineStr">
        <is>
          <t>Avance Semana 1 (%)</t>
        </is>
      </c>
      <c r="H4" s="50" t="inlineStr">
        <is>
          <t>Avance Semana 2 (%)</t>
        </is>
      </c>
      <c r="I4" s="50" t="inlineStr">
        <is>
          <t>Avance Semana 3 (%)</t>
        </is>
      </c>
      <c r="J4" s="50" t="inlineStr">
        <is>
          <t>Avance Semana 4 (%)</t>
        </is>
      </c>
      <c r="K4" s="59" t="inlineStr">
        <is>
          <t>% de Avance Total Actual</t>
        </is>
      </c>
      <c r="L4" s="59" t="inlineStr">
        <is>
          <t>Estado</t>
        </is>
      </c>
      <c r="M4" s="50" t="inlineStr">
        <is>
          <t>Observaciones</t>
        </is>
      </c>
      <c r="N4" s="59" t="inlineStr">
        <is>
          <t>Revisión automática (alertas)</t>
        </is>
      </c>
      <c r="O4" s="59" t="inlineStr">
        <is>
          <t>Mes</t>
        </is>
      </c>
      <c r="P4" s="59" t="inlineStr">
        <is>
          <t>Orden en el mes (aux)</t>
        </is>
      </c>
    </row>
    <row r="5">
      <c r="A5" s="60">
        <f>IF(NOT((COUNTA($B5:$J5)+COUNTA($M5))&gt;0),"",COUNTIFS($L$5:$L5,"?*",$O$5:$O5,$O5))</f>
        <v/>
      </c>
      <c r="B5" s="61" t="n"/>
      <c r="C5" s="61" t="n"/>
      <c r="D5" s="62" t="n"/>
      <c r="E5" s="62" t="n"/>
      <c r="F5" s="63" t="n"/>
      <c r="G5" s="64" t="n"/>
      <c r="H5" s="64" t="n"/>
      <c r="I5" s="64" t="n"/>
      <c r="J5" s="64" t="n"/>
      <c r="K5" s="65">
        <f>IF(NOT((COUNTA($B5:$J5)+COUNTA($M5))&gt;0),"",IFERROR(LOOKUP(2,1/(G5:J5&lt;&gt;""),G5:J5),0))</f>
        <v/>
      </c>
      <c r="L5" s="60">
        <f>IF(K5="","",IF(K5&gt;=1,"Completado",IF(K5&gt;0,"En curso","Pendiente")))</f>
        <v/>
      </c>
      <c r="M5" s="61" t="n"/>
      <c r="N5" s="66">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c r="O5" s="67">
        <f>IF(NOT((COUNTA($B5:$J5)+COUNTA($M5))&gt;0),"",IF(ISNUMBER($D5),DATE(YEAR($D5),MONTH($D5),1),IF(ISNUMBER($E5),DATE(YEAR($E5),MONTH($E5),1),MesCiclo)))</f>
        <v/>
      </c>
      <c r="P5" s="68">
        <f>IF(OR($O5="",$O5&lt;&gt;MesCiclo),"",COUNTIF($O$5:$O5,MesCiclo))</f>
        <v/>
      </c>
    </row>
    <row r="6">
      <c r="A6" s="60">
        <f>IF(NOT((COUNTA($B6:$J6)+COUNTA($M6))&gt;0),"",COUNTIFS($L$5:$L6,"?*",$O$5:$O6,$O6))</f>
        <v/>
      </c>
      <c r="B6" s="61" t="n"/>
      <c r="C6" s="61" t="n"/>
      <c r="D6" s="62" t="n"/>
      <c r="E6" s="62" t="n"/>
      <c r="F6" s="63" t="n"/>
      <c r="G6" s="64" t="n"/>
      <c r="H6" s="64" t="n"/>
      <c r="I6" s="64" t="n"/>
      <c r="J6" s="64" t="n"/>
      <c r="K6" s="65">
        <f>IF(NOT((COUNTA($B6:$J6)+COUNTA($M6))&gt;0),"",IFERROR(LOOKUP(2,1/(G6:J6&lt;&gt;""),G6:J6),0))</f>
        <v/>
      </c>
      <c r="L6" s="60">
        <f>IF(K6="","",IF(K6&gt;=1,"Completado",IF(K6&gt;0,"En curso","Pendiente")))</f>
        <v/>
      </c>
      <c r="M6" s="61" t="n"/>
      <c r="N6" s="66">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c r="O6" s="67">
        <f>IF(NOT((COUNTA($B6:$J6)+COUNTA($M6))&gt;0),"",IF(ISNUMBER($D6),DATE(YEAR($D6),MONTH($D6),1),IF(ISNUMBER($E6),DATE(YEAR($E6),MONTH($E6),1),MesCiclo)))</f>
        <v/>
      </c>
      <c r="P6" s="68">
        <f>IF(OR($O6="",$O6&lt;&gt;MesCiclo),"",COUNTIF($O$5:$O6,MesCiclo))</f>
        <v/>
      </c>
    </row>
    <row r="7">
      <c r="A7" s="60">
        <f>IF(NOT((COUNTA($B7:$J7)+COUNTA($M7))&gt;0),"",COUNTIFS($L$5:$L7,"?*",$O$5:$O7,$O7))</f>
        <v/>
      </c>
      <c r="B7" s="61" t="n"/>
      <c r="C7" s="61" t="n"/>
      <c r="D7" s="62" t="n"/>
      <c r="E7" s="62" t="n"/>
      <c r="F7" s="63" t="n"/>
      <c r="G7" s="64" t="n"/>
      <c r="H7" s="64" t="n"/>
      <c r="I7" s="64" t="n"/>
      <c r="J7" s="64" t="n"/>
      <c r="K7" s="65">
        <f>IF(NOT((COUNTA($B7:$J7)+COUNTA($M7))&gt;0),"",IFERROR(LOOKUP(2,1/(G7:J7&lt;&gt;""),G7:J7),0))</f>
        <v/>
      </c>
      <c r="L7" s="60">
        <f>IF(K7="","",IF(K7&gt;=1,"Completado",IF(K7&gt;0,"En curso","Pendiente")))</f>
        <v/>
      </c>
      <c r="M7" s="61" t="n"/>
      <c r="N7" s="66">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c r="O7" s="67">
        <f>IF(NOT((COUNTA($B7:$J7)+COUNTA($M7))&gt;0),"",IF(ISNUMBER($D7),DATE(YEAR($D7),MONTH($D7),1),IF(ISNUMBER($E7),DATE(YEAR($E7),MONTH($E7),1),MesCiclo)))</f>
        <v/>
      </c>
      <c r="P7" s="68">
        <f>IF(OR($O7="",$O7&lt;&gt;MesCiclo),"",COUNTIF($O$5:$O7,MesCiclo))</f>
        <v/>
      </c>
    </row>
    <row r="8">
      <c r="A8" s="60">
        <f>IF(NOT((COUNTA($B8:$J8)+COUNTA($M8))&gt;0),"",COUNTIFS($L$5:$L8,"?*",$O$5:$O8,$O8))</f>
        <v/>
      </c>
      <c r="B8" s="61" t="n"/>
      <c r="C8" s="61" t="n"/>
      <c r="D8" s="62" t="n"/>
      <c r="E8" s="62" t="n"/>
      <c r="F8" s="63" t="n"/>
      <c r="G8" s="64" t="n"/>
      <c r="H8" s="64" t="n"/>
      <c r="I8" s="64" t="n"/>
      <c r="J8" s="64" t="n"/>
      <c r="K8" s="65">
        <f>IF(NOT((COUNTA($B8:$J8)+COUNTA($M8))&gt;0),"",IFERROR(LOOKUP(2,1/(G8:J8&lt;&gt;""),G8:J8),0))</f>
        <v/>
      </c>
      <c r="L8" s="60">
        <f>IF(K8="","",IF(K8&gt;=1,"Completado",IF(K8&gt;0,"En curso","Pendiente")))</f>
        <v/>
      </c>
      <c r="M8" s="61" t="n"/>
      <c r="N8" s="66">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c r="O8" s="67">
        <f>IF(NOT((COUNTA($B8:$J8)+COUNTA($M8))&gt;0),"",IF(ISNUMBER($D8),DATE(YEAR($D8),MONTH($D8),1),IF(ISNUMBER($E8),DATE(YEAR($E8),MONTH($E8),1),MesCiclo)))</f>
        <v/>
      </c>
      <c r="P8" s="68">
        <f>IF(OR($O8="",$O8&lt;&gt;MesCiclo),"",COUNTIF($O$5:$O8,MesCiclo))</f>
        <v/>
      </c>
    </row>
    <row r="9">
      <c r="A9" s="60">
        <f>IF(NOT((COUNTA($B9:$J9)+COUNTA($M9))&gt;0),"",COUNTIFS($L$5:$L9,"?*",$O$5:$O9,$O9))</f>
        <v/>
      </c>
      <c r="B9" s="61" t="n"/>
      <c r="C9" s="61" t="n"/>
      <c r="D9" s="62" t="n"/>
      <c r="E9" s="62" t="n"/>
      <c r="F9" s="63" t="n"/>
      <c r="G9" s="64" t="n"/>
      <c r="H9" s="64" t="n"/>
      <c r="I9" s="64" t="n"/>
      <c r="J9" s="64" t="n"/>
      <c r="K9" s="65">
        <f>IF(NOT((COUNTA($B9:$J9)+COUNTA($M9))&gt;0),"",IFERROR(LOOKUP(2,1/(G9:J9&lt;&gt;""),G9:J9),0))</f>
        <v/>
      </c>
      <c r="L9" s="60">
        <f>IF(K9="","",IF(K9&gt;=1,"Completado",IF(K9&gt;0,"En curso","Pendiente")))</f>
        <v/>
      </c>
      <c r="M9" s="61" t="n"/>
      <c r="N9" s="66">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c r="O9" s="67">
        <f>IF(NOT((COUNTA($B9:$J9)+COUNTA($M9))&gt;0),"",IF(ISNUMBER($D9),DATE(YEAR($D9),MONTH($D9),1),IF(ISNUMBER($E9),DATE(YEAR($E9),MONTH($E9),1),MesCiclo)))</f>
        <v/>
      </c>
      <c r="P9" s="68">
        <f>IF(OR($O9="",$O9&lt;&gt;MesCiclo),"",COUNTIF($O$5:$O9,MesCiclo))</f>
        <v/>
      </c>
    </row>
    <row r="10">
      <c r="A10" s="60">
        <f>IF(NOT((COUNTA($B10:$J10)+COUNTA($M10))&gt;0),"",COUNTIFS($L$5:$L10,"?*",$O$5:$O10,$O10))</f>
        <v/>
      </c>
      <c r="B10" s="61" t="n"/>
      <c r="C10" s="61" t="n"/>
      <c r="D10" s="62" t="n"/>
      <c r="E10" s="62" t="n"/>
      <c r="F10" s="63" t="n"/>
      <c r="G10" s="64" t="n"/>
      <c r="H10" s="64" t="n"/>
      <c r="I10" s="64" t="n"/>
      <c r="J10" s="64" t="n"/>
      <c r="K10" s="65">
        <f>IF(NOT((COUNTA($B10:$J10)+COUNTA($M10))&gt;0),"",IFERROR(LOOKUP(2,1/(G10:J10&lt;&gt;""),G10:J10),0))</f>
        <v/>
      </c>
      <c r="L10" s="60">
        <f>IF(K10="","",IF(K10&gt;=1,"Completado",IF(K10&gt;0,"En curso","Pendiente")))</f>
        <v/>
      </c>
      <c r="M10" s="61" t="n"/>
      <c r="N10" s="66">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c r="O10" s="67">
        <f>IF(NOT((COUNTA($B10:$J10)+COUNTA($M10))&gt;0),"",IF(ISNUMBER($D10),DATE(YEAR($D10),MONTH($D10),1),IF(ISNUMBER($E10),DATE(YEAR($E10),MONTH($E10),1),MesCiclo)))</f>
        <v/>
      </c>
      <c r="P10" s="68">
        <f>IF(OR($O10="",$O10&lt;&gt;MesCiclo),"",COUNTIF($O$5:$O10,MesCiclo))</f>
        <v/>
      </c>
    </row>
    <row r="11">
      <c r="A11" s="60">
        <f>IF(NOT((COUNTA($B11:$J11)+COUNTA($M11))&gt;0),"",COUNTIFS($L$5:$L11,"?*",$O$5:$O11,$O11))</f>
        <v/>
      </c>
      <c r="B11" s="61" t="n"/>
      <c r="C11" s="61" t="n"/>
      <c r="D11" s="62" t="n"/>
      <c r="E11" s="62" t="n"/>
      <c r="F11" s="63" t="n"/>
      <c r="G11" s="64" t="n"/>
      <c r="H11" s="64" t="n"/>
      <c r="I11" s="64" t="n"/>
      <c r="J11" s="64" t="n"/>
      <c r="K11" s="65">
        <f>IF(NOT((COUNTA($B11:$J11)+COUNTA($M11))&gt;0),"",IFERROR(LOOKUP(2,1/(G11:J11&lt;&gt;""),G11:J11),0))</f>
        <v/>
      </c>
      <c r="L11" s="60">
        <f>IF(K11="","",IF(K11&gt;=1,"Completado",IF(K11&gt;0,"En curso","Pendiente")))</f>
        <v/>
      </c>
      <c r="M11" s="61" t="n"/>
      <c r="N11" s="66">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c r="O11" s="67">
        <f>IF(NOT((COUNTA($B11:$J11)+COUNTA($M11))&gt;0),"",IF(ISNUMBER($D11),DATE(YEAR($D11),MONTH($D11),1),IF(ISNUMBER($E11),DATE(YEAR($E11),MONTH($E11),1),MesCiclo)))</f>
        <v/>
      </c>
      <c r="P11" s="68">
        <f>IF(OR($O11="",$O11&lt;&gt;MesCiclo),"",COUNTIF($O$5:$O11,MesCiclo))</f>
        <v/>
      </c>
    </row>
    <row r="12">
      <c r="A12" s="60">
        <f>IF(NOT((COUNTA($B12:$J12)+COUNTA($M12))&gt;0),"",COUNTIFS($L$5:$L12,"?*",$O$5:$O12,$O12))</f>
        <v/>
      </c>
      <c r="B12" s="61" t="n"/>
      <c r="C12" s="61" t="n"/>
      <c r="D12" s="62" t="n"/>
      <c r="E12" s="62" t="n"/>
      <c r="F12" s="63" t="n"/>
      <c r="G12" s="64" t="n"/>
      <c r="H12" s="64" t="n"/>
      <c r="I12" s="64" t="n"/>
      <c r="J12" s="64" t="n"/>
      <c r="K12" s="65">
        <f>IF(NOT((COUNTA($B12:$J12)+COUNTA($M12))&gt;0),"",IFERROR(LOOKUP(2,1/(G12:J12&lt;&gt;""),G12:J12),0))</f>
        <v/>
      </c>
      <c r="L12" s="60">
        <f>IF(K12="","",IF(K12&gt;=1,"Completado",IF(K12&gt;0,"En curso","Pendiente")))</f>
        <v/>
      </c>
      <c r="M12" s="61" t="n"/>
      <c r="N12" s="66">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c r="O12" s="67">
        <f>IF(NOT((COUNTA($B12:$J12)+COUNTA($M12))&gt;0),"",IF(ISNUMBER($D12),DATE(YEAR($D12),MONTH($D12),1),IF(ISNUMBER($E12),DATE(YEAR($E12),MONTH($E12),1),MesCiclo)))</f>
        <v/>
      </c>
      <c r="P12" s="68">
        <f>IF(OR($O12="",$O12&lt;&gt;MesCiclo),"",COUNTIF($O$5:$O12,MesCiclo))</f>
        <v/>
      </c>
    </row>
    <row r="13">
      <c r="A13" s="60">
        <f>IF(NOT((COUNTA($B13:$J13)+COUNTA($M13))&gt;0),"",COUNTIFS($L$5:$L13,"?*",$O$5:$O13,$O13))</f>
        <v/>
      </c>
      <c r="B13" s="61" t="n"/>
      <c r="C13" s="61" t="n"/>
      <c r="D13" s="62" t="n"/>
      <c r="E13" s="62" t="n"/>
      <c r="F13" s="63" t="n"/>
      <c r="G13" s="64" t="n"/>
      <c r="H13" s="64" t="n"/>
      <c r="I13" s="64" t="n"/>
      <c r="J13" s="64" t="n"/>
      <c r="K13" s="65">
        <f>IF(NOT((COUNTA($B13:$J13)+COUNTA($M13))&gt;0),"",IFERROR(LOOKUP(2,1/(G13:J13&lt;&gt;""),G13:J13),0))</f>
        <v/>
      </c>
      <c r="L13" s="60">
        <f>IF(K13="","",IF(K13&gt;=1,"Completado",IF(K13&gt;0,"En curso","Pendiente")))</f>
        <v/>
      </c>
      <c r="M13" s="61" t="n"/>
      <c r="N13" s="66">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c r="O13" s="67">
        <f>IF(NOT((COUNTA($B13:$J13)+COUNTA($M13))&gt;0),"",IF(ISNUMBER($D13),DATE(YEAR($D13),MONTH($D13),1),IF(ISNUMBER($E13),DATE(YEAR($E13),MONTH($E13),1),MesCiclo)))</f>
        <v/>
      </c>
      <c r="P13" s="68">
        <f>IF(OR($O13="",$O13&lt;&gt;MesCiclo),"",COUNTIF($O$5:$O13,MesCiclo))</f>
        <v/>
      </c>
    </row>
    <row r="14">
      <c r="A14" s="60">
        <f>IF(NOT((COUNTA($B14:$J14)+COUNTA($M14))&gt;0),"",COUNTIFS($L$5:$L14,"?*",$O$5:$O14,$O14))</f>
        <v/>
      </c>
      <c r="B14" s="61" t="n"/>
      <c r="C14" s="61" t="n"/>
      <c r="D14" s="62" t="n"/>
      <c r="E14" s="62" t="n"/>
      <c r="F14" s="63" t="n"/>
      <c r="G14" s="64" t="n"/>
      <c r="H14" s="64" t="n"/>
      <c r="I14" s="64" t="n"/>
      <c r="J14" s="64" t="n"/>
      <c r="K14" s="65">
        <f>IF(NOT((COUNTA($B14:$J14)+COUNTA($M14))&gt;0),"",IFERROR(LOOKUP(2,1/(G14:J14&lt;&gt;""),G14:J14),0))</f>
        <v/>
      </c>
      <c r="L14" s="60">
        <f>IF(K14="","",IF(K14&gt;=1,"Completado",IF(K14&gt;0,"En curso","Pendiente")))</f>
        <v/>
      </c>
      <c r="M14" s="61" t="n"/>
      <c r="N14" s="66">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c r="O14" s="67">
        <f>IF(NOT((COUNTA($B14:$J14)+COUNTA($M14))&gt;0),"",IF(ISNUMBER($D14),DATE(YEAR($D14),MONTH($D14),1),IF(ISNUMBER($E14),DATE(YEAR($E14),MONTH($E14),1),MesCiclo)))</f>
        <v/>
      </c>
      <c r="P14" s="68">
        <f>IF(OR($O14="",$O14&lt;&gt;MesCiclo),"",COUNTIF($O$5:$O14,MesCiclo))</f>
        <v/>
      </c>
    </row>
    <row r="15">
      <c r="A15" s="60">
        <f>IF(NOT((COUNTA($B15:$J15)+COUNTA($M15))&gt;0),"",COUNTIFS($L$5:$L15,"?*",$O$5:$O15,$O15))</f>
        <v/>
      </c>
      <c r="B15" s="61" t="n"/>
      <c r="C15" s="61" t="n"/>
      <c r="D15" s="62" t="n"/>
      <c r="E15" s="62" t="n"/>
      <c r="F15" s="63" t="n"/>
      <c r="G15" s="64" t="n"/>
      <c r="H15" s="64" t="n"/>
      <c r="I15" s="64" t="n"/>
      <c r="J15" s="64" t="n"/>
      <c r="K15" s="65">
        <f>IF(NOT((COUNTA($B15:$J15)+COUNTA($M15))&gt;0),"",IFERROR(LOOKUP(2,1/(G15:J15&lt;&gt;""),G15:J15),0))</f>
        <v/>
      </c>
      <c r="L15" s="60">
        <f>IF(K15="","",IF(K15&gt;=1,"Completado",IF(K15&gt;0,"En curso","Pendiente")))</f>
        <v/>
      </c>
      <c r="M15" s="61" t="n"/>
      <c r="N15" s="66">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c r="O15" s="67">
        <f>IF(NOT((COUNTA($B15:$J15)+COUNTA($M15))&gt;0),"",IF(ISNUMBER($D15),DATE(YEAR($D15),MONTH($D15),1),IF(ISNUMBER($E15),DATE(YEAR($E15),MONTH($E15),1),MesCiclo)))</f>
        <v/>
      </c>
      <c r="P15" s="68">
        <f>IF(OR($O15="",$O15&lt;&gt;MesCiclo),"",COUNTIF($O$5:$O15,MesCiclo))</f>
        <v/>
      </c>
    </row>
    <row r="16">
      <c r="A16" s="60">
        <f>IF(NOT((COUNTA($B16:$J16)+COUNTA($M16))&gt;0),"",COUNTIFS($L$5:$L16,"?*",$O$5:$O16,$O16))</f>
        <v/>
      </c>
      <c r="B16" s="61" t="n"/>
      <c r="C16" s="61" t="n"/>
      <c r="D16" s="62" t="n"/>
      <c r="E16" s="62" t="n"/>
      <c r="F16" s="63" t="n"/>
      <c r="G16" s="64" t="n"/>
      <c r="H16" s="64" t="n"/>
      <c r="I16" s="64" t="n"/>
      <c r="J16" s="64" t="n"/>
      <c r="K16" s="65">
        <f>IF(NOT((COUNTA($B16:$J16)+COUNTA($M16))&gt;0),"",IFERROR(LOOKUP(2,1/(G16:J16&lt;&gt;""),G16:J16),0))</f>
        <v/>
      </c>
      <c r="L16" s="60">
        <f>IF(K16="","",IF(K16&gt;=1,"Completado",IF(K16&gt;0,"En curso","Pendiente")))</f>
        <v/>
      </c>
      <c r="M16" s="61" t="n"/>
      <c r="N16" s="66">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c r="O16" s="67">
        <f>IF(NOT((COUNTA($B16:$J16)+COUNTA($M16))&gt;0),"",IF(ISNUMBER($D16),DATE(YEAR($D16),MONTH($D16),1),IF(ISNUMBER($E16),DATE(YEAR($E16),MONTH($E16),1),MesCiclo)))</f>
        <v/>
      </c>
      <c r="P16" s="68">
        <f>IF(OR($O16="",$O16&lt;&gt;MesCiclo),"",COUNTIF($O$5:$O16,MesCiclo))</f>
        <v/>
      </c>
    </row>
    <row r="17">
      <c r="A17" s="60">
        <f>IF(NOT((COUNTA($B17:$J17)+COUNTA($M17))&gt;0),"",COUNTIFS($L$5:$L17,"?*",$O$5:$O17,$O17))</f>
        <v/>
      </c>
      <c r="B17" s="61" t="n"/>
      <c r="C17" s="61" t="n"/>
      <c r="D17" s="62" t="n"/>
      <c r="E17" s="62" t="n"/>
      <c r="F17" s="63" t="n"/>
      <c r="G17" s="64" t="n"/>
      <c r="H17" s="64" t="n"/>
      <c r="I17" s="64" t="n"/>
      <c r="J17" s="64" t="n"/>
      <c r="K17" s="65">
        <f>IF(NOT((COUNTA($B17:$J17)+COUNTA($M17))&gt;0),"",IFERROR(LOOKUP(2,1/(G17:J17&lt;&gt;""),G17:J17),0))</f>
        <v/>
      </c>
      <c r="L17" s="60">
        <f>IF(K17="","",IF(K17&gt;=1,"Completado",IF(K17&gt;0,"En curso","Pendiente")))</f>
        <v/>
      </c>
      <c r="M17" s="61" t="n"/>
      <c r="N17" s="66">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c r="O17" s="67">
        <f>IF(NOT((COUNTA($B17:$J17)+COUNTA($M17))&gt;0),"",IF(ISNUMBER($D17),DATE(YEAR($D17),MONTH($D17),1),IF(ISNUMBER($E17),DATE(YEAR($E17),MONTH($E17),1),MesCiclo)))</f>
        <v/>
      </c>
      <c r="P17" s="68">
        <f>IF(OR($O17="",$O17&lt;&gt;MesCiclo),"",COUNTIF($O$5:$O17,MesCiclo))</f>
        <v/>
      </c>
    </row>
    <row r="18">
      <c r="A18" s="60">
        <f>IF(NOT((COUNTA($B18:$J18)+COUNTA($M18))&gt;0),"",COUNTIFS($L$5:$L18,"?*",$O$5:$O18,$O18))</f>
        <v/>
      </c>
      <c r="B18" s="61" t="n"/>
      <c r="C18" s="61" t="n"/>
      <c r="D18" s="62" t="n"/>
      <c r="E18" s="62" t="n"/>
      <c r="F18" s="63" t="n"/>
      <c r="G18" s="64" t="n"/>
      <c r="H18" s="64" t="n"/>
      <c r="I18" s="64" t="n"/>
      <c r="J18" s="64" t="n"/>
      <c r="K18" s="65">
        <f>IF(NOT((COUNTA($B18:$J18)+COUNTA($M18))&gt;0),"",IFERROR(LOOKUP(2,1/(G18:J18&lt;&gt;""),G18:J18),0))</f>
        <v/>
      </c>
      <c r="L18" s="60">
        <f>IF(K18="","",IF(K18&gt;=1,"Completado",IF(K18&gt;0,"En curso","Pendiente")))</f>
        <v/>
      </c>
      <c r="M18" s="61" t="n"/>
      <c r="N18" s="66">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c r="O18" s="67">
        <f>IF(NOT((COUNTA($B18:$J18)+COUNTA($M18))&gt;0),"",IF(ISNUMBER($D18),DATE(YEAR($D18),MONTH($D18),1),IF(ISNUMBER($E18),DATE(YEAR($E18),MONTH($E18),1),MesCiclo)))</f>
        <v/>
      </c>
      <c r="P18" s="68">
        <f>IF(OR($O18="",$O18&lt;&gt;MesCiclo),"",COUNTIF($O$5:$O18,MesCiclo))</f>
        <v/>
      </c>
    </row>
    <row r="19">
      <c r="A19" s="60">
        <f>IF(NOT((COUNTA($B19:$J19)+COUNTA($M19))&gt;0),"",COUNTIFS($L$5:$L19,"?*",$O$5:$O19,$O19))</f>
        <v/>
      </c>
      <c r="B19" s="61" t="n"/>
      <c r="C19" s="61" t="n"/>
      <c r="D19" s="62" t="n"/>
      <c r="E19" s="62" t="n"/>
      <c r="F19" s="63" t="n"/>
      <c r="G19" s="64" t="n"/>
      <c r="H19" s="64" t="n"/>
      <c r="I19" s="64" t="n"/>
      <c r="J19" s="64" t="n"/>
      <c r="K19" s="65">
        <f>IF(NOT((COUNTA($B19:$J19)+COUNTA($M19))&gt;0),"",IFERROR(LOOKUP(2,1/(G19:J19&lt;&gt;""),G19:J19),0))</f>
        <v/>
      </c>
      <c r="L19" s="60">
        <f>IF(K19="","",IF(K19&gt;=1,"Completado",IF(K19&gt;0,"En curso","Pendiente")))</f>
        <v/>
      </c>
      <c r="M19" s="61" t="n"/>
      <c r="N19" s="66">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c r="O19" s="67">
        <f>IF(NOT((COUNTA($B19:$J19)+COUNTA($M19))&gt;0),"",IF(ISNUMBER($D19),DATE(YEAR($D19),MONTH($D19),1),IF(ISNUMBER($E19),DATE(YEAR($E19),MONTH($E19),1),MesCiclo)))</f>
        <v/>
      </c>
      <c r="P19" s="68">
        <f>IF(OR($O19="",$O19&lt;&gt;MesCiclo),"",COUNTIF($O$5:$O19,MesCiclo))</f>
        <v/>
      </c>
    </row>
    <row r="20">
      <c r="A20" s="60">
        <f>IF(NOT((COUNTA($B20:$J20)+COUNTA($M20))&gt;0),"",COUNTIFS($L$5:$L20,"?*",$O$5:$O20,$O20))</f>
        <v/>
      </c>
      <c r="B20" s="61" t="n"/>
      <c r="C20" s="61" t="n"/>
      <c r="D20" s="62" t="n"/>
      <c r="E20" s="62" t="n"/>
      <c r="F20" s="63" t="n"/>
      <c r="G20" s="64" t="n"/>
      <c r="H20" s="64" t="n"/>
      <c r="I20" s="64" t="n"/>
      <c r="J20" s="64" t="n"/>
      <c r="K20" s="65">
        <f>IF(NOT((COUNTA($B20:$J20)+COUNTA($M20))&gt;0),"",IFERROR(LOOKUP(2,1/(G20:J20&lt;&gt;""),G20:J20),0))</f>
        <v/>
      </c>
      <c r="L20" s="60">
        <f>IF(K20="","",IF(K20&gt;=1,"Completado",IF(K20&gt;0,"En curso","Pendiente")))</f>
        <v/>
      </c>
      <c r="M20" s="61" t="n"/>
      <c r="N20" s="66">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c r="O20" s="67">
        <f>IF(NOT((COUNTA($B20:$J20)+COUNTA($M20))&gt;0),"",IF(ISNUMBER($D20),DATE(YEAR($D20),MONTH($D20),1),IF(ISNUMBER($E20),DATE(YEAR($E20),MONTH($E20),1),MesCiclo)))</f>
        <v/>
      </c>
      <c r="P20" s="68">
        <f>IF(OR($O20="",$O20&lt;&gt;MesCiclo),"",COUNTIF($O$5:$O20,MesCiclo))</f>
        <v/>
      </c>
    </row>
    <row r="21">
      <c r="A21" s="60">
        <f>IF(NOT((COUNTA($B21:$J21)+COUNTA($M21))&gt;0),"",COUNTIFS($L$5:$L21,"?*",$O$5:$O21,$O21))</f>
        <v/>
      </c>
      <c r="B21" s="61" t="n"/>
      <c r="C21" s="61" t="n"/>
      <c r="D21" s="62" t="n"/>
      <c r="E21" s="62" t="n"/>
      <c r="F21" s="63" t="n"/>
      <c r="G21" s="64" t="n"/>
      <c r="H21" s="64" t="n"/>
      <c r="I21" s="64" t="n"/>
      <c r="J21" s="64" t="n"/>
      <c r="K21" s="65">
        <f>IF(NOT((COUNTA($B21:$J21)+COUNTA($M21))&gt;0),"",IFERROR(LOOKUP(2,1/(G21:J21&lt;&gt;""),G21:J21),0))</f>
        <v/>
      </c>
      <c r="L21" s="60">
        <f>IF(K21="","",IF(K21&gt;=1,"Completado",IF(K21&gt;0,"En curso","Pendiente")))</f>
        <v/>
      </c>
      <c r="M21" s="61" t="n"/>
      <c r="N21" s="66">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c r="O21" s="67">
        <f>IF(NOT((COUNTA($B21:$J21)+COUNTA($M21))&gt;0),"",IF(ISNUMBER($D21),DATE(YEAR($D21),MONTH($D21),1),IF(ISNUMBER($E21),DATE(YEAR($E21),MONTH($E21),1),MesCiclo)))</f>
        <v/>
      </c>
      <c r="P21" s="68">
        <f>IF(OR($O21="",$O21&lt;&gt;MesCiclo),"",COUNTIF($O$5:$O21,MesCiclo))</f>
        <v/>
      </c>
    </row>
    <row r="22">
      <c r="A22" s="60">
        <f>IF(NOT((COUNTA($B22:$J22)+COUNTA($M22))&gt;0),"",COUNTIFS($L$5:$L22,"?*",$O$5:$O22,$O22))</f>
        <v/>
      </c>
      <c r="B22" s="61" t="n"/>
      <c r="C22" s="61" t="n"/>
      <c r="D22" s="62" t="n"/>
      <c r="E22" s="62" t="n"/>
      <c r="F22" s="63" t="n"/>
      <c r="G22" s="64" t="n"/>
      <c r="H22" s="64" t="n"/>
      <c r="I22" s="64" t="n"/>
      <c r="J22" s="64" t="n"/>
      <c r="K22" s="65">
        <f>IF(NOT((COUNTA($B22:$J22)+COUNTA($M22))&gt;0),"",IFERROR(LOOKUP(2,1/(G22:J22&lt;&gt;""),G22:J22),0))</f>
        <v/>
      </c>
      <c r="L22" s="60">
        <f>IF(K22="","",IF(K22&gt;=1,"Completado",IF(K22&gt;0,"En curso","Pendiente")))</f>
        <v/>
      </c>
      <c r="M22" s="61" t="n"/>
      <c r="N22" s="66">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c r="O22" s="67">
        <f>IF(NOT((COUNTA($B22:$J22)+COUNTA($M22))&gt;0),"",IF(ISNUMBER($D22),DATE(YEAR($D22),MONTH($D22),1),IF(ISNUMBER($E22),DATE(YEAR($E22),MONTH($E22),1),MesCiclo)))</f>
        <v/>
      </c>
      <c r="P22" s="68">
        <f>IF(OR($O22="",$O22&lt;&gt;MesCiclo),"",COUNTIF($O$5:$O22,MesCiclo))</f>
        <v/>
      </c>
    </row>
    <row r="23">
      <c r="A23" s="60">
        <f>IF(NOT((COUNTA($B23:$J23)+COUNTA($M23))&gt;0),"",COUNTIFS($L$5:$L23,"?*",$O$5:$O23,$O23))</f>
        <v/>
      </c>
      <c r="B23" s="61" t="n"/>
      <c r="C23" s="61" t="n"/>
      <c r="D23" s="62" t="n"/>
      <c r="E23" s="62" t="n"/>
      <c r="F23" s="63" t="n"/>
      <c r="G23" s="64" t="n"/>
      <c r="H23" s="64" t="n"/>
      <c r="I23" s="64" t="n"/>
      <c r="J23" s="64" t="n"/>
      <c r="K23" s="65">
        <f>IF(NOT((COUNTA($B23:$J23)+COUNTA($M23))&gt;0),"",IFERROR(LOOKUP(2,1/(G23:J23&lt;&gt;""),G23:J23),0))</f>
        <v/>
      </c>
      <c r="L23" s="60">
        <f>IF(K23="","",IF(K23&gt;=1,"Completado",IF(K23&gt;0,"En curso","Pendiente")))</f>
        <v/>
      </c>
      <c r="M23" s="61" t="n"/>
      <c r="N23" s="66">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c r="O23" s="67">
        <f>IF(NOT((COUNTA($B23:$J23)+COUNTA($M23))&gt;0),"",IF(ISNUMBER($D23),DATE(YEAR($D23),MONTH($D23),1),IF(ISNUMBER($E23),DATE(YEAR($E23),MONTH($E23),1),MesCiclo)))</f>
        <v/>
      </c>
      <c r="P23" s="68">
        <f>IF(OR($O23="",$O23&lt;&gt;MesCiclo),"",COUNTIF($O$5:$O23,MesCiclo))</f>
        <v/>
      </c>
    </row>
    <row r="24">
      <c r="A24" s="60">
        <f>IF(NOT((COUNTA($B24:$J24)+COUNTA($M24))&gt;0),"",COUNTIFS($L$5:$L24,"?*",$O$5:$O24,$O24))</f>
        <v/>
      </c>
      <c r="B24" s="61" t="n"/>
      <c r="C24" s="61" t="n"/>
      <c r="D24" s="62" t="n"/>
      <c r="E24" s="62" t="n"/>
      <c r="F24" s="63" t="n"/>
      <c r="G24" s="64" t="n"/>
      <c r="H24" s="64" t="n"/>
      <c r="I24" s="64" t="n"/>
      <c r="J24" s="64" t="n"/>
      <c r="K24" s="65">
        <f>IF(NOT((COUNTA($B24:$J24)+COUNTA($M24))&gt;0),"",IFERROR(LOOKUP(2,1/(G24:J24&lt;&gt;""),G24:J24),0))</f>
        <v/>
      </c>
      <c r="L24" s="60">
        <f>IF(K24="","",IF(K24&gt;=1,"Completado",IF(K24&gt;0,"En curso","Pendiente")))</f>
        <v/>
      </c>
      <c r="M24" s="61" t="n"/>
      <c r="N24" s="66">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c r="O24" s="67">
        <f>IF(NOT((COUNTA($B24:$J24)+COUNTA($M24))&gt;0),"",IF(ISNUMBER($D24),DATE(YEAR($D24),MONTH($D24),1),IF(ISNUMBER($E24),DATE(YEAR($E24),MONTH($E24),1),MesCiclo)))</f>
        <v/>
      </c>
      <c r="P24" s="68">
        <f>IF(OR($O24="",$O24&lt;&gt;MesCiclo),"",COUNTIF($O$5:$O24,MesCiclo))</f>
        <v/>
      </c>
    </row>
    <row r="25">
      <c r="A25" s="60">
        <f>IF(NOT((COUNTA($B25:$J25)+COUNTA($M25))&gt;0),"",COUNTIFS($L$5:$L25,"?*",$O$5:$O25,$O25))</f>
        <v/>
      </c>
      <c r="B25" s="61" t="n"/>
      <c r="C25" s="61" t="n"/>
      <c r="D25" s="62" t="n"/>
      <c r="E25" s="62" t="n"/>
      <c r="F25" s="63" t="n"/>
      <c r="G25" s="64" t="n"/>
      <c r="H25" s="64" t="n"/>
      <c r="I25" s="64" t="n"/>
      <c r="J25" s="64" t="n"/>
      <c r="K25" s="65">
        <f>IF(NOT((COUNTA($B25:$J25)+COUNTA($M25))&gt;0),"",IFERROR(LOOKUP(2,1/(G25:J25&lt;&gt;""),G25:J25),0))</f>
        <v/>
      </c>
      <c r="L25" s="60">
        <f>IF(K25="","",IF(K25&gt;=1,"Completado",IF(K25&gt;0,"En curso","Pendiente")))</f>
        <v/>
      </c>
      <c r="M25" s="61" t="n"/>
      <c r="N25" s="66">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c r="O25" s="67">
        <f>IF(NOT((COUNTA($B25:$J25)+COUNTA($M25))&gt;0),"",IF(ISNUMBER($D25),DATE(YEAR($D25),MONTH($D25),1),IF(ISNUMBER($E25),DATE(YEAR($E25),MONTH($E25),1),MesCiclo)))</f>
        <v/>
      </c>
      <c r="P25" s="68">
        <f>IF(OR($O25="",$O25&lt;&gt;MesCiclo),"",COUNTIF($O$5:$O25,MesCiclo))</f>
        <v/>
      </c>
    </row>
    <row r="26">
      <c r="A26" s="60">
        <f>IF(NOT((COUNTA($B26:$J26)+COUNTA($M26))&gt;0),"",COUNTIFS($L$5:$L26,"?*",$O$5:$O26,$O26))</f>
        <v/>
      </c>
      <c r="B26" s="61" t="n"/>
      <c r="C26" s="61" t="n"/>
      <c r="D26" s="62" t="n"/>
      <c r="E26" s="62" t="n"/>
      <c r="F26" s="63" t="n"/>
      <c r="G26" s="64" t="n"/>
      <c r="H26" s="64" t="n"/>
      <c r="I26" s="64" t="n"/>
      <c r="J26" s="64" t="n"/>
      <c r="K26" s="65">
        <f>IF(NOT((COUNTA($B26:$J26)+COUNTA($M26))&gt;0),"",IFERROR(LOOKUP(2,1/(G26:J26&lt;&gt;""),G26:J26),0))</f>
        <v/>
      </c>
      <c r="L26" s="60">
        <f>IF(K26="","",IF(K26&gt;=1,"Completado",IF(K26&gt;0,"En curso","Pendiente")))</f>
        <v/>
      </c>
      <c r="M26" s="61" t="n"/>
      <c r="N26" s="66">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c r="O26" s="67">
        <f>IF(NOT((COUNTA($B26:$J26)+COUNTA($M26))&gt;0),"",IF(ISNUMBER($D26),DATE(YEAR($D26),MONTH($D26),1),IF(ISNUMBER($E26),DATE(YEAR($E26),MONTH($E26),1),MesCiclo)))</f>
        <v/>
      </c>
      <c r="P26" s="68">
        <f>IF(OR($O26="",$O26&lt;&gt;MesCiclo),"",COUNTIF($O$5:$O26,MesCiclo))</f>
        <v/>
      </c>
    </row>
    <row r="27">
      <c r="A27" s="60">
        <f>IF(NOT((COUNTA($B27:$J27)+COUNTA($M27))&gt;0),"",COUNTIFS($L$5:$L27,"?*",$O$5:$O27,$O27))</f>
        <v/>
      </c>
      <c r="B27" s="61" t="n"/>
      <c r="C27" s="61" t="n"/>
      <c r="D27" s="62" t="n"/>
      <c r="E27" s="62" t="n"/>
      <c r="F27" s="63" t="n"/>
      <c r="G27" s="64" t="n"/>
      <c r="H27" s="64" t="n"/>
      <c r="I27" s="64" t="n"/>
      <c r="J27" s="64" t="n"/>
      <c r="K27" s="65">
        <f>IF(NOT((COUNTA($B27:$J27)+COUNTA($M27))&gt;0),"",IFERROR(LOOKUP(2,1/(G27:J27&lt;&gt;""),G27:J27),0))</f>
        <v/>
      </c>
      <c r="L27" s="60">
        <f>IF(K27="","",IF(K27&gt;=1,"Completado",IF(K27&gt;0,"En curso","Pendiente")))</f>
        <v/>
      </c>
      <c r="M27" s="61" t="n"/>
      <c r="N27" s="66">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c r="O27" s="67">
        <f>IF(NOT((COUNTA($B27:$J27)+COUNTA($M27))&gt;0),"",IF(ISNUMBER($D27),DATE(YEAR($D27),MONTH($D27),1),IF(ISNUMBER($E27),DATE(YEAR($E27),MONTH($E27),1),MesCiclo)))</f>
        <v/>
      </c>
      <c r="P27" s="68">
        <f>IF(OR($O27="",$O27&lt;&gt;MesCiclo),"",COUNTIF($O$5:$O27,MesCiclo))</f>
        <v/>
      </c>
    </row>
    <row r="28">
      <c r="A28" s="60">
        <f>IF(NOT((COUNTA($B28:$J28)+COUNTA($M28))&gt;0),"",COUNTIFS($L$5:$L28,"?*",$O$5:$O28,$O28))</f>
        <v/>
      </c>
      <c r="B28" s="61" t="n"/>
      <c r="C28" s="61" t="n"/>
      <c r="D28" s="62" t="n"/>
      <c r="E28" s="62" t="n"/>
      <c r="F28" s="63" t="n"/>
      <c r="G28" s="64" t="n"/>
      <c r="H28" s="64" t="n"/>
      <c r="I28" s="64" t="n"/>
      <c r="J28" s="64" t="n"/>
      <c r="K28" s="65">
        <f>IF(NOT((COUNTA($B28:$J28)+COUNTA($M28))&gt;0),"",IFERROR(LOOKUP(2,1/(G28:J28&lt;&gt;""),G28:J28),0))</f>
        <v/>
      </c>
      <c r="L28" s="60">
        <f>IF(K28="","",IF(K28&gt;=1,"Completado",IF(K28&gt;0,"En curso","Pendiente")))</f>
        <v/>
      </c>
      <c r="M28" s="61" t="n"/>
      <c r="N28" s="66">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c r="O28" s="67">
        <f>IF(NOT((COUNTA($B28:$J28)+COUNTA($M28))&gt;0),"",IF(ISNUMBER($D28),DATE(YEAR($D28),MONTH($D28),1),IF(ISNUMBER($E28),DATE(YEAR($E28),MONTH($E28),1),MesCiclo)))</f>
        <v/>
      </c>
      <c r="P28" s="68">
        <f>IF(OR($O28="",$O28&lt;&gt;MesCiclo),"",COUNTIF($O$5:$O28,MesCiclo))</f>
        <v/>
      </c>
    </row>
    <row r="29">
      <c r="A29" s="60">
        <f>IF(NOT((COUNTA($B29:$J29)+COUNTA($M29))&gt;0),"",COUNTIFS($L$5:$L29,"?*",$O$5:$O29,$O29))</f>
        <v/>
      </c>
      <c r="B29" s="61" t="n"/>
      <c r="C29" s="61" t="n"/>
      <c r="D29" s="62" t="n"/>
      <c r="E29" s="62" t="n"/>
      <c r="F29" s="63" t="n"/>
      <c r="G29" s="64" t="n"/>
      <c r="H29" s="64" t="n"/>
      <c r="I29" s="64" t="n"/>
      <c r="J29" s="64" t="n"/>
      <c r="K29" s="65">
        <f>IF(NOT((COUNTA($B29:$J29)+COUNTA($M29))&gt;0),"",IFERROR(LOOKUP(2,1/(G29:J29&lt;&gt;""),G29:J29),0))</f>
        <v/>
      </c>
      <c r="L29" s="60">
        <f>IF(K29="","",IF(K29&gt;=1,"Completado",IF(K29&gt;0,"En curso","Pendiente")))</f>
        <v/>
      </c>
      <c r="M29" s="61" t="n"/>
      <c r="N29" s="66">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c r="O29" s="67">
        <f>IF(NOT((COUNTA($B29:$J29)+COUNTA($M29))&gt;0),"",IF(ISNUMBER($D29),DATE(YEAR($D29),MONTH($D29),1),IF(ISNUMBER($E29),DATE(YEAR($E29),MONTH($E29),1),MesCiclo)))</f>
        <v/>
      </c>
      <c r="P29" s="68">
        <f>IF(OR($O29="",$O29&lt;&gt;MesCiclo),"",COUNTIF($O$5:$O29,MesCiclo))</f>
        <v/>
      </c>
    </row>
    <row r="30">
      <c r="A30" s="60">
        <f>IF(NOT((COUNTA($B30:$J30)+COUNTA($M30))&gt;0),"",COUNTIFS($L$5:$L30,"?*",$O$5:$O30,$O30))</f>
        <v/>
      </c>
      <c r="B30" s="61" t="n"/>
      <c r="C30" s="61" t="n"/>
      <c r="D30" s="62" t="n"/>
      <c r="E30" s="62" t="n"/>
      <c r="F30" s="63" t="n"/>
      <c r="G30" s="64" t="n"/>
      <c r="H30" s="64" t="n"/>
      <c r="I30" s="64" t="n"/>
      <c r="J30" s="64" t="n"/>
      <c r="K30" s="65">
        <f>IF(NOT((COUNTA($B30:$J30)+COUNTA($M30))&gt;0),"",IFERROR(LOOKUP(2,1/(G30:J30&lt;&gt;""),G30:J30),0))</f>
        <v/>
      </c>
      <c r="L30" s="60">
        <f>IF(K30="","",IF(K30&gt;=1,"Completado",IF(K30&gt;0,"En curso","Pendiente")))</f>
        <v/>
      </c>
      <c r="M30" s="61" t="n"/>
      <c r="N30" s="66">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c r="O30" s="67">
        <f>IF(NOT((COUNTA($B30:$J30)+COUNTA($M30))&gt;0),"",IF(ISNUMBER($D30),DATE(YEAR($D30),MONTH($D30),1),IF(ISNUMBER($E30),DATE(YEAR($E30),MONTH($E30),1),MesCiclo)))</f>
        <v/>
      </c>
      <c r="P30" s="68">
        <f>IF(OR($O30="",$O30&lt;&gt;MesCiclo),"",COUNTIF($O$5:$O30,MesCiclo))</f>
        <v/>
      </c>
    </row>
    <row r="31">
      <c r="A31" s="60">
        <f>IF(NOT((COUNTA($B31:$J31)+COUNTA($M31))&gt;0),"",COUNTIFS($L$5:$L31,"?*",$O$5:$O31,$O31))</f>
        <v/>
      </c>
      <c r="B31" s="61" t="n"/>
      <c r="C31" s="61" t="n"/>
      <c r="D31" s="62" t="n"/>
      <c r="E31" s="62" t="n"/>
      <c r="F31" s="63" t="n"/>
      <c r="G31" s="64" t="n"/>
      <c r="H31" s="64" t="n"/>
      <c r="I31" s="64" t="n"/>
      <c r="J31" s="64" t="n"/>
      <c r="K31" s="65">
        <f>IF(NOT((COUNTA($B31:$J31)+COUNTA($M31))&gt;0),"",IFERROR(LOOKUP(2,1/(G31:J31&lt;&gt;""),G31:J31),0))</f>
        <v/>
      </c>
      <c r="L31" s="60">
        <f>IF(K31="","",IF(K31&gt;=1,"Completado",IF(K31&gt;0,"En curso","Pendiente")))</f>
        <v/>
      </c>
      <c r="M31" s="61" t="n"/>
      <c r="N31" s="66">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c r="O31" s="67">
        <f>IF(NOT((COUNTA($B31:$J31)+COUNTA($M31))&gt;0),"",IF(ISNUMBER($D31),DATE(YEAR($D31),MONTH($D31),1),IF(ISNUMBER($E31),DATE(YEAR($E31),MONTH($E31),1),MesCiclo)))</f>
        <v/>
      </c>
      <c r="P31" s="68">
        <f>IF(OR($O31="",$O31&lt;&gt;MesCiclo),"",COUNTIF($O$5:$O31,MesCiclo))</f>
        <v/>
      </c>
    </row>
    <row r="32">
      <c r="A32" s="60">
        <f>IF(NOT((COUNTA($B32:$J32)+COUNTA($M32))&gt;0),"",COUNTIFS($L$5:$L32,"?*",$O$5:$O32,$O32))</f>
        <v/>
      </c>
      <c r="B32" s="61" t="n"/>
      <c r="C32" s="61" t="n"/>
      <c r="D32" s="62" t="n"/>
      <c r="E32" s="62" t="n"/>
      <c r="F32" s="63" t="n"/>
      <c r="G32" s="64" t="n"/>
      <c r="H32" s="64" t="n"/>
      <c r="I32" s="64" t="n"/>
      <c r="J32" s="64" t="n"/>
      <c r="K32" s="65">
        <f>IF(NOT((COUNTA($B32:$J32)+COUNTA($M32))&gt;0),"",IFERROR(LOOKUP(2,1/(G32:J32&lt;&gt;""),G32:J32),0))</f>
        <v/>
      </c>
      <c r="L32" s="60">
        <f>IF(K32="","",IF(K32&gt;=1,"Completado",IF(K32&gt;0,"En curso","Pendiente")))</f>
        <v/>
      </c>
      <c r="M32" s="61" t="n"/>
      <c r="N32" s="66">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c r="O32" s="67">
        <f>IF(NOT((COUNTA($B32:$J32)+COUNTA($M32))&gt;0),"",IF(ISNUMBER($D32),DATE(YEAR($D32),MONTH($D32),1),IF(ISNUMBER($E32),DATE(YEAR($E32),MONTH($E32),1),MesCiclo)))</f>
        <v/>
      </c>
      <c r="P32" s="68">
        <f>IF(OR($O32="",$O32&lt;&gt;MesCiclo),"",COUNTIF($O$5:$O32,MesCiclo))</f>
        <v/>
      </c>
    </row>
    <row r="33">
      <c r="A33" s="60">
        <f>IF(NOT((COUNTA($B33:$J33)+COUNTA($M33))&gt;0),"",COUNTIFS($L$5:$L33,"?*",$O$5:$O33,$O33))</f>
        <v/>
      </c>
      <c r="B33" s="61" t="n"/>
      <c r="C33" s="61" t="n"/>
      <c r="D33" s="62" t="n"/>
      <c r="E33" s="62" t="n"/>
      <c r="F33" s="63" t="n"/>
      <c r="G33" s="64" t="n"/>
      <c r="H33" s="64" t="n"/>
      <c r="I33" s="64" t="n"/>
      <c r="J33" s="64" t="n"/>
      <c r="K33" s="65">
        <f>IF(NOT((COUNTA($B33:$J33)+COUNTA($M33))&gt;0),"",IFERROR(LOOKUP(2,1/(G33:J33&lt;&gt;""),G33:J33),0))</f>
        <v/>
      </c>
      <c r="L33" s="60">
        <f>IF(K33="","",IF(K33&gt;=1,"Completado",IF(K33&gt;0,"En curso","Pendiente")))</f>
        <v/>
      </c>
      <c r="M33" s="61" t="n"/>
      <c r="N33" s="66">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c r="O33" s="67">
        <f>IF(NOT((COUNTA($B33:$J33)+COUNTA($M33))&gt;0),"",IF(ISNUMBER($D33),DATE(YEAR($D33),MONTH($D33),1),IF(ISNUMBER($E33),DATE(YEAR($E33),MONTH($E33),1),MesCiclo)))</f>
        <v/>
      </c>
      <c r="P33" s="68">
        <f>IF(OR($O33="",$O33&lt;&gt;MesCiclo),"",COUNTIF($O$5:$O33,MesCiclo))</f>
        <v/>
      </c>
    </row>
    <row r="34">
      <c r="A34" s="60">
        <f>IF(NOT((COUNTA($B34:$J34)+COUNTA($M34))&gt;0),"",COUNTIFS($L$5:$L34,"?*",$O$5:$O34,$O34))</f>
        <v/>
      </c>
      <c r="B34" s="61" t="n"/>
      <c r="C34" s="61" t="n"/>
      <c r="D34" s="62" t="n"/>
      <c r="E34" s="62" t="n"/>
      <c r="F34" s="63" t="n"/>
      <c r="G34" s="64" t="n"/>
      <c r="H34" s="64" t="n"/>
      <c r="I34" s="64" t="n"/>
      <c r="J34" s="64" t="n"/>
      <c r="K34" s="65">
        <f>IF(NOT((COUNTA($B34:$J34)+COUNTA($M34))&gt;0),"",IFERROR(LOOKUP(2,1/(G34:J34&lt;&gt;""),G34:J34),0))</f>
        <v/>
      </c>
      <c r="L34" s="60">
        <f>IF(K34="","",IF(K34&gt;=1,"Completado",IF(K34&gt;0,"En curso","Pendiente")))</f>
        <v/>
      </c>
      <c r="M34" s="61" t="n"/>
      <c r="N34" s="66">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c r="O34" s="67">
        <f>IF(NOT((COUNTA($B34:$J34)+COUNTA($M34))&gt;0),"",IF(ISNUMBER($D34),DATE(YEAR($D34),MONTH($D34),1),IF(ISNUMBER($E34),DATE(YEAR($E34),MONTH($E34),1),MesCiclo)))</f>
        <v/>
      </c>
      <c r="P34" s="68">
        <f>IF(OR($O34="",$O34&lt;&gt;MesCiclo),"",COUNTIF($O$5:$O34,MesCiclo))</f>
        <v/>
      </c>
    </row>
    <row r="35">
      <c r="A35" s="60">
        <f>IF(NOT((COUNTA($B35:$J35)+COUNTA($M35))&gt;0),"",COUNTIFS($L$5:$L35,"?*",$O$5:$O35,$O35))</f>
        <v/>
      </c>
      <c r="B35" s="61" t="n"/>
      <c r="C35" s="61" t="n"/>
      <c r="D35" s="62" t="n"/>
      <c r="E35" s="62" t="n"/>
      <c r="F35" s="63" t="n"/>
      <c r="G35" s="64" t="n"/>
      <c r="H35" s="64" t="n"/>
      <c r="I35" s="64" t="n"/>
      <c r="J35" s="64" t="n"/>
      <c r="K35" s="65">
        <f>IF(NOT((COUNTA($B35:$J35)+COUNTA($M35))&gt;0),"",IFERROR(LOOKUP(2,1/(G35:J35&lt;&gt;""),G35:J35),0))</f>
        <v/>
      </c>
      <c r="L35" s="60">
        <f>IF(K35="","",IF(K35&gt;=1,"Completado",IF(K35&gt;0,"En curso","Pendiente")))</f>
        <v/>
      </c>
      <c r="M35" s="61" t="n"/>
      <c r="N35" s="66">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c r="O35" s="67">
        <f>IF(NOT((COUNTA($B35:$J35)+COUNTA($M35))&gt;0),"",IF(ISNUMBER($D35),DATE(YEAR($D35),MONTH($D35),1),IF(ISNUMBER($E35),DATE(YEAR($E35),MONTH($E35),1),MesCiclo)))</f>
        <v/>
      </c>
      <c r="P35" s="68">
        <f>IF(OR($O35="",$O35&lt;&gt;MesCiclo),"",COUNTIF($O$5:$O35,MesCiclo))</f>
        <v/>
      </c>
    </row>
    <row r="36">
      <c r="A36" s="60">
        <f>IF(NOT((COUNTA($B36:$J36)+COUNTA($M36))&gt;0),"",COUNTIFS($L$5:$L36,"?*",$O$5:$O36,$O36))</f>
        <v/>
      </c>
      <c r="B36" s="61" t="n"/>
      <c r="C36" s="61" t="n"/>
      <c r="D36" s="62" t="n"/>
      <c r="E36" s="62" t="n"/>
      <c r="F36" s="63" t="n"/>
      <c r="G36" s="64" t="n"/>
      <c r="H36" s="64" t="n"/>
      <c r="I36" s="64" t="n"/>
      <c r="J36" s="64" t="n"/>
      <c r="K36" s="65">
        <f>IF(NOT((COUNTA($B36:$J36)+COUNTA($M36))&gt;0),"",IFERROR(LOOKUP(2,1/(G36:J36&lt;&gt;""),G36:J36),0))</f>
        <v/>
      </c>
      <c r="L36" s="60">
        <f>IF(K36="","",IF(K36&gt;=1,"Completado",IF(K36&gt;0,"En curso","Pendiente")))</f>
        <v/>
      </c>
      <c r="M36" s="61" t="n"/>
      <c r="N36" s="66">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c r="O36" s="67">
        <f>IF(NOT((COUNTA($B36:$J36)+COUNTA($M36))&gt;0),"",IF(ISNUMBER($D36),DATE(YEAR($D36),MONTH($D36),1),IF(ISNUMBER($E36),DATE(YEAR($E36),MONTH($E36),1),MesCiclo)))</f>
        <v/>
      </c>
      <c r="P36" s="68">
        <f>IF(OR($O36="",$O36&lt;&gt;MesCiclo),"",COUNTIF($O$5:$O36,MesCiclo))</f>
        <v/>
      </c>
    </row>
    <row r="37">
      <c r="A37" s="60">
        <f>IF(NOT((COUNTA($B37:$J37)+COUNTA($M37))&gt;0),"",COUNTIFS($L$5:$L37,"?*",$O$5:$O37,$O37))</f>
        <v/>
      </c>
      <c r="B37" s="61" t="n"/>
      <c r="C37" s="61" t="n"/>
      <c r="D37" s="62" t="n"/>
      <c r="E37" s="62" t="n"/>
      <c r="F37" s="63" t="n"/>
      <c r="G37" s="64" t="n"/>
      <c r="H37" s="64" t="n"/>
      <c r="I37" s="64" t="n"/>
      <c r="J37" s="64" t="n"/>
      <c r="K37" s="65">
        <f>IF(NOT((COUNTA($B37:$J37)+COUNTA($M37))&gt;0),"",IFERROR(LOOKUP(2,1/(G37:J37&lt;&gt;""),G37:J37),0))</f>
        <v/>
      </c>
      <c r="L37" s="60">
        <f>IF(K37="","",IF(K37&gt;=1,"Completado",IF(K37&gt;0,"En curso","Pendiente")))</f>
        <v/>
      </c>
      <c r="M37" s="61" t="n"/>
      <c r="N37" s="66">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c r="O37" s="67">
        <f>IF(NOT((COUNTA($B37:$J37)+COUNTA($M37))&gt;0),"",IF(ISNUMBER($D37),DATE(YEAR($D37),MONTH($D37),1),IF(ISNUMBER($E37),DATE(YEAR($E37),MONTH($E37),1),MesCiclo)))</f>
        <v/>
      </c>
      <c r="P37" s="68">
        <f>IF(OR($O37="",$O37&lt;&gt;MesCiclo),"",COUNTIF($O$5:$O37,MesCiclo))</f>
        <v/>
      </c>
    </row>
    <row r="38">
      <c r="A38" s="60">
        <f>IF(NOT((COUNTA($B38:$J38)+COUNTA($M38))&gt;0),"",COUNTIFS($L$5:$L38,"?*",$O$5:$O38,$O38))</f>
        <v/>
      </c>
      <c r="B38" s="61" t="n"/>
      <c r="C38" s="61" t="n"/>
      <c r="D38" s="62" t="n"/>
      <c r="E38" s="62" t="n"/>
      <c r="F38" s="63" t="n"/>
      <c r="G38" s="64" t="n"/>
      <c r="H38" s="64" t="n"/>
      <c r="I38" s="64" t="n"/>
      <c r="J38" s="64" t="n"/>
      <c r="K38" s="65">
        <f>IF(NOT((COUNTA($B38:$J38)+COUNTA($M38))&gt;0),"",IFERROR(LOOKUP(2,1/(G38:J38&lt;&gt;""),G38:J38),0))</f>
        <v/>
      </c>
      <c r="L38" s="60">
        <f>IF(K38="","",IF(K38&gt;=1,"Completado",IF(K38&gt;0,"En curso","Pendiente")))</f>
        <v/>
      </c>
      <c r="M38" s="61" t="n"/>
      <c r="N38" s="66">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c r="O38" s="67">
        <f>IF(NOT((COUNTA($B38:$J38)+COUNTA($M38))&gt;0),"",IF(ISNUMBER($D38),DATE(YEAR($D38),MONTH($D38),1),IF(ISNUMBER($E38),DATE(YEAR($E38),MONTH($E38),1),MesCiclo)))</f>
        <v/>
      </c>
      <c r="P38" s="68">
        <f>IF(OR($O38="",$O38&lt;&gt;MesCiclo),"",COUNTIF($O$5:$O38,MesCiclo))</f>
        <v/>
      </c>
    </row>
    <row r="39">
      <c r="A39" s="60">
        <f>IF(NOT((COUNTA($B39:$J39)+COUNTA($M39))&gt;0),"",COUNTIFS($L$5:$L39,"?*",$O$5:$O39,$O39))</f>
        <v/>
      </c>
      <c r="B39" s="61" t="n"/>
      <c r="C39" s="61" t="n"/>
      <c r="D39" s="62" t="n"/>
      <c r="E39" s="62" t="n"/>
      <c r="F39" s="63" t="n"/>
      <c r="G39" s="64" t="n"/>
      <c r="H39" s="64" t="n"/>
      <c r="I39" s="64" t="n"/>
      <c r="J39" s="64" t="n"/>
      <c r="K39" s="65">
        <f>IF(NOT((COUNTA($B39:$J39)+COUNTA($M39))&gt;0),"",IFERROR(LOOKUP(2,1/(G39:J39&lt;&gt;""),G39:J39),0))</f>
        <v/>
      </c>
      <c r="L39" s="60">
        <f>IF(K39="","",IF(K39&gt;=1,"Completado",IF(K39&gt;0,"En curso","Pendiente")))</f>
        <v/>
      </c>
      <c r="M39" s="61" t="n"/>
      <c r="N39" s="66">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c r="O39" s="67">
        <f>IF(NOT((COUNTA($B39:$J39)+COUNTA($M39))&gt;0),"",IF(ISNUMBER($D39),DATE(YEAR($D39),MONTH($D39),1),IF(ISNUMBER($E39),DATE(YEAR($E39),MONTH($E39),1),MesCiclo)))</f>
        <v/>
      </c>
      <c r="P39" s="68">
        <f>IF(OR($O39="",$O39&lt;&gt;MesCiclo),"",COUNTIF($O$5:$O39,MesCiclo))</f>
        <v/>
      </c>
    </row>
    <row r="40">
      <c r="A40" s="60">
        <f>IF(NOT((COUNTA($B40:$J40)+COUNTA($M40))&gt;0),"",COUNTIFS($L$5:$L40,"?*",$O$5:$O40,$O40))</f>
        <v/>
      </c>
      <c r="B40" s="61" t="n"/>
      <c r="C40" s="61" t="n"/>
      <c r="D40" s="62" t="n"/>
      <c r="E40" s="62" t="n"/>
      <c r="F40" s="63" t="n"/>
      <c r="G40" s="64" t="n"/>
      <c r="H40" s="64" t="n"/>
      <c r="I40" s="64" t="n"/>
      <c r="J40" s="64" t="n"/>
      <c r="K40" s="65">
        <f>IF(NOT((COUNTA($B40:$J40)+COUNTA($M40))&gt;0),"",IFERROR(LOOKUP(2,1/(G40:J40&lt;&gt;""),G40:J40),0))</f>
        <v/>
      </c>
      <c r="L40" s="60">
        <f>IF(K40="","",IF(K40&gt;=1,"Completado",IF(K40&gt;0,"En curso","Pendiente")))</f>
        <v/>
      </c>
      <c r="M40" s="61" t="n"/>
      <c r="N40" s="66">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c r="O40" s="67">
        <f>IF(NOT((COUNTA($B40:$J40)+COUNTA($M40))&gt;0),"",IF(ISNUMBER($D40),DATE(YEAR($D40),MONTH($D40),1),IF(ISNUMBER($E40),DATE(YEAR($E40),MONTH($E40),1),MesCiclo)))</f>
        <v/>
      </c>
      <c r="P40" s="68">
        <f>IF(OR($O40="",$O40&lt;&gt;MesCiclo),"",COUNTIF($O$5:$O40,MesCiclo))</f>
        <v/>
      </c>
    </row>
    <row r="41">
      <c r="A41" s="60">
        <f>IF(NOT((COUNTA($B41:$J41)+COUNTA($M41))&gt;0),"",COUNTIFS($L$5:$L41,"?*",$O$5:$O41,$O41))</f>
        <v/>
      </c>
      <c r="B41" s="61" t="n"/>
      <c r="C41" s="61" t="n"/>
      <c r="D41" s="62" t="n"/>
      <c r="E41" s="62" t="n"/>
      <c r="F41" s="63" t="n"/>
      <c r="G41" s="64" t="n"/>
      <c r="H41" s="64" t="n"/>
      <c r="I41" s="64" t="n"/>
      <c r="J41" s="64" t="n"/>
      <c r="K41" s="65">
        <f>IF(NOT((COUNTA($B41:$J41)+COUNTA($M41))&gt;0),"",IFERROR(LOOKUP(2,1/(G41:J41&lt;&gt;""),G41:J41),0))</f>
        <v/>
      </c>
      <c r="L41" s="60">
        <f>IF(K41="","",IF(K41&gt;=1,"Completado",IF(K41&gt;0,"En curso","Pendiente")))</f>
        <v/>
      </c>
      <c r="M41" s="61" t="n"/>
      <c r="N41" s="66">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c r="O41" s="67">
        <f>IF(NOT((COUNTA($B41:$J41)+COUNTA($M41))&gt;0),"",IF(ISNUMBER($D41),DATE(YEAR($D41),MONTH($D41),1),IF(ISNUMBER($E41),DATE(YEAR($E41),MONTH($E41),1),MesCiclo)))</f>
        <v/>
      </c>
      <c r="P41" s="68">
        <f>IF(OR($O41="",$O41&lt;&gt;MesCiclo),"",COUNTIF($O$5:$O41,MesCiclo))</f>
        <v/>
      </c>
    </row>
    <row r="42">
      <c r="A42" s="60">
        <f>IF(NOT((COUNTA($B42:$J42)+COUNTA($M42))&gt;0),"",COUNTIFS($L$5:$L42,"?*",$O$5:$O42,$O42))</f>
        <v/>
      </c>
      <c r="B42" s="61" t="n"/>
      <c r="C42" s="61" t="n"/>
      <c r="D42" s="62" t="n"/>
      <c r="E42" s="62" t="n"/>
      <c r="F42" s="63" t="n"/>
      <c r="G42" s="64" t="n"/>
      <c r="H42" s="64" t="n"/>
      <c r="I42" s="64" t="n"/>
      <c r="J42" s="64" t="n"/>
      <c r="K42" s="65">
        <f>IF(NOT((COUNTA($B42:$J42)+COUNTA($M42))&gt;0),"",IFERROR(LOOKUP(2,1/(G42:J42&lt;&gt;""),G42:J42),0))</f>
        <v/>
      </c>
      <c r="L42" s="60">
        <f>IF(K42="","",IF(K42&gt;=1,"Completado",IF(K42&gt;0,"En curso","Pendiente")))</f>
        <v/>
      </c>
      <c r="M42" s="61" t="n"/>
      <c r="N42" s="66">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c r="O42" s="67">
        <f>IF(NOT((COUNTA($B42:$J42)+COUNTA($M42))&gt;0),"",IF(ISNUMBER($D42),DATE(YEAR($D42),MONTH($D42),1),IF(ISNUMBER($E42),DATE(YEAR($E42),MONTH($E42),1),MesCiclo)))</f>
        <v/>
      </c>
      <c r="P42" s="68">
        <f>IF(OR($O42="",$O42&lt;&gt;MesCiclo),"",COUNTIF($O$5:$O42,MesCiclo))</f>
        <v/>
      </c>
    </row>
    <row r="43">
      <c r="A43" s="60">
        <f>IF(NOT((COUNTA($B43:$J43)+COUNTA($M43))&gt;0),"",COUNTIFS($L$5:$L43,"?*",$O$5:$O43,$O43))</f>
        <v/>
      </c>
      <c r="B43" s="61" t="n"/>
      <c r="C43" s="61" t="n"/>
      <c r="D43" s="62" t="n"/>
      <c r="E43" s="62" t="n"/>
      <c r="F43" s="63" t="n"/>
      <c r="G43" s="64" t="n"/>
      <c r="H43" s="64" t="n"/>
      <c r="I43" s="64" t="n"/>
      <c r="J43" s="64" t="n"/>
      <c r="K43" s="65">
        <f>IF(NOT((COUNTA($B43:$J43)+COUNTA($M43))&gt;0),"",IFERROR(LOOKUP(2,1/(G43:J43&lt;&gt;""),G43:J43),0))</f>
        <v/>
      </c>
      <c r="L43" s="60">
        <f>IF(K43="","",IF(K43&gt;=1,"Completado",IF(K43&gt;0,"En curso","Pendiente")))</f>
        <v/>
      </c>
      <c r="M43" s="61" t="n"/>
      <c r="N43" s="66">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c r="O43" s="67">
        <f>IF(NOT((COUNTA($B43:$J43)+COUNTA($M43))&gt;0),"",IF(ISNUMBER($D43),DATE(YEAR($D43),MONTH($D43),1),IF(ISNUMBER($E43),DATE(YEAR($E43),MONTH($E43),1),MesCiclo)))</f>
        <v/>
      </c>
      <c r="P43" s="68">
        <f>IF(OR($O43="",$O43&lt;&gt;MesCiclo),"",COUNTIF($O$5:$O43,MesCiclo))</f>
        <v/>
      </c>
    </row>
    <row r="44">
      <c r="A44" s="60">
        <f>IF(NOT((COUNTA($B44:$J44)+COUNTA($M44))&gt;0),"",COUNTIFS($L$5:$L44,"?*",$O$5:$O44,$O44))</f>
        <v/>
      </c>
      <c r="B44" s="61" t="n"/>
      <c r="C44" s="61" t="n"/>
      <c r="D44" s="62" t="n"/>
      <c r="E44" s="62" t="n"/>
      <c r="F44" s="63" t="n"/>
      <c r="G44" s="64" t="n"/>
      <c r="H44" s="64" t="n"/>
      <c r="I44" s="64" t="n"/>
      <c r="J44" s="64" t="n"/>
      <c r="K44" s="65">
        <f>IF(NOT((COUNTA($B44:$J44)+COUNTA($M44))&gt;0),"",IFERROR(LOOKUP(2,1/(G44:J44&lt;&gt;""),G44:J44),0))</f>
        <v/>
      </c>
      <c r="L44" s="60">
        <f>IF(K44="","",IF(K44&gt;=1,"Completado",IF(K44&gt;0,"En curso","Pendiente")))</f>
        <v/>
      </c>
      <c r="M44" s="61" t="n"/>
      <c r="N44" s="66">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c r="O44" s="67">
        <f>IF(NOT((COUNTA($B44:$J44)+COUNTA($M44))&gt;0),"",IF(ISNUMBER($D44),DATE(YEAR($D44),MONTH($D44),1),IF(ISNUMBER($E44),DATE(YEAR($E44),MONTH($E44),1),MesCiclo)))</f>
        <v/>
      </c>
      <c r="P44" s="68">
        <f>IF(OR($O44="",$O44&lt;&gt;MesCiclo),"",COUNTIF($O$5:$O44,MesCiclo))</f>
        <v/>
      </c>
    </row>
    <row r="45">
      <c r="A45" s="60">
        <f>IF(NOT((COUNTA($B45:$J45)+COUNTA($M45))&gt;0),"",COUNTIFS($L$5:$L45,"?*",$O$5:$O45,$O45))</f>
        <v/>
      </c>
      <c r="B45" s="61" t="n"/>
      <c r="C45" s="61" t="n"/>
      <c r="D45" s="62" t="n"/>
      <c r="E45" s="62" t="n"/>
      <c r="F45" s="63" t="n"/>
      <c r="G45" s="64" t="n"/>
      <c r="H45" s="64" t="n"/>
      <c r="I45" s="64" t="n"/>
      <c r="J45" s="64" t="n"/>
      <c r="K45" s="65">
        <f>IF(NOT((COUNTA($B45:$J45)+COUNTA($M45))&gt;0),"",IFERROR(LOOKUP(2,1/(G45:J45&lt;&gt;""),G45:J45),0))</f>
        <v/>
      </c>
      <c r="L45" s="60">
        <f>IF(K45="","",IF(K45&gt;=1,"Completado",IF(K45&gt;0,"En curso","Pendiente")))</f>
        <v/>
      </c>
      <c r="M45" s="61" t="n"/>
      <c r="N45" s="66">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c r="O45" s="67">
        <f>IF(NOT((COUNTA($B45:$J45)+COUNTA($M45))&gt;0),"",IF(ISNUMBER($D45),DATE(YEAR($D45),MONTH($D45),1),IF(ISNUMBER($E45),DATE(YEAR($E45),MONTH($E45),1),MesCiclo)))</f>
        <v/>
      </c>
      <c r="P45" s="68">
        <f>IF(OR($O45="",$O45&lt;&gt;MesCiclo),"",COUNTIF($O$5:$O45,MesCiclo))</f>
        <v/>
      </c>
    </row>
    <row r="46">
      <c r="A46" s="60">
        <f>IF(NOT((COUNTA($B46:$J46)+COUNTA($M46))&gt;0),"",COUNTIFS($L$5:$L46,"?*",$O$5:$O46,$O46))</f>
        <v/>
      </c>
      <c r="B46" s="61" t="n"/>
      <c r="C46" s="61" t="n"/>
      <c r="D46" s="62" t="n"/>
      <c r="E46" s="62" t="n"/>
      <c r="F46" s="63" t="n"/>
      <c r="G46" s="64" t="n"/>
      <c r="H46" s="64" t="n"/>
      <c r="I46" s="64" t="n"/>
      <c r="J46" s="64" t="n"/>
      <c r="K46" s="65">
        <f>IF(NOT((COUNTA($B46:$J46)+COUNTA($M46))&gt;0),"",IFERROR(LOOKUP(2,1/(G46:J46&lt;&gt;""),G46:J46),0))</f>
        <v/>
      </c>
      <c r="L46" s="60">
        <f>IF(K46="","",IF(K46&gt;=1,"Completado",IF(K46&gt;0,"En curso","Pendiente")))</f>
        <v/>
      </c>
      <c r="M46" s="61" t="n"/>
      <c r="N46" s="66">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c r="O46" s="67">
        <f>IF(NOT((COUNTA($B46:$J46)+COUNTA($M46))&gt;0),"",IF(ISNUMBER($D46),DATE(YEAR($D46),MONTH($D46),1),IF(ISNUMBER($E46),DATE(YEAR($E46),MONTH($E46),1),MesCiclo)))</f>
        <v/>
      </c>
      <c r="P46" s="68">
        <f>IF(OR($O46="",$O46&lt;&gt;MesCiclo),"",COUNTIF($O$5:$O46,MesCiclo))</f>
        <v/>
      </c>
    </row>
    <row r="47">
      <c r="A47" s="60">
        <f>IF(NOT((COUNTA($B47:$J47)+COUNTA($M47))&gt;0),"",COUNTIFS($L$5:$L47,"?*",$O$5:$O47,$O47))</f>
        <v/>
      </c>
      <c r="B47" s="61" t="n"/>
      <c r="C47" s="61" t="n"/>
      <c r="D47" s="62" t="n"/>
      <c r="E47" s="62" t="n"/>
      <c r="F47" s="63" t="n"/>
      <c r="G47" s="64" t="n"/>
      <c r="H47" s="64" t="n"/>
      <c r="I47" s="64" t="n"/>
      <c r="J47" s="64" t="n"/>
      <c r="K47" s="65">
        <f>IF(NOT((COUNTA($B47:$J47)+COUNTA($M47))&gt;0),"",IFERROR(LOOKUP(2,1/(G47:J47&lt;&gt;""),G47:J47),0))</f>
        <v/>
      </c>
      <c r="L47" s="60">
        <f>IF(K47="","",IF(K47&gt;=1,"Completado",IF(K47&gt;0,"En curso","Pendiente")))</f>
        <v/>
      </c>
      <c r="M47" s="61" t="n"/>
      <c r="N47" s="66">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c r="O47" s="67">
        <f>IF(NOT((COUNTA($B47:$J47)+COUNTA($M47))&gt;0),"",IF(ISNUMBER($D47),DATE(YEAR($D47),MONTH($D47),1),IF(ISNUMBER($E47),DATE(YEAR($E47),MONTH($E47),1),MesCiclo)))</f>
        <v/>
      </c>
      <c r="P47" s="68">
        <f>IF(OR($O47="",$O47&lt;&gt;MesCiclo),"",COUNTIF($O$5:$O47,MesCiclo))</f>
        <v/>
      </c>
    </row>
    <row r="48">
      <c r="A48" s="60">
        <f>IF(NOT((COUNTA($B48:$J48)+COUNTA($M48))&gt;0),"",COUNTIFS($L$5:$L48,"?*",$O$5:$O48,$O48))</f>
        <v/>
      </c>
      <c r="B48" s="61" t="n"/>
      <c r="C48" s="61" t="n"/>
      <c r="D48" s="62" t="n"/>
      <c r="E48" s="62" t="n"/>
      <c r="F48" s="63" t="n"/>
      <c r="G48" s="64" t="n"/>
      <c r="H48" s="64" t="n"/>
      <c r="I48" s="64" t="n"/>
      <c r="J48" s="64" t="n"/>
      <c r="K48" s="65">
        <f>IF(NOT((COUNTA($B48:$J48)+COUNTA($M48))&gt;0),"",IFERROR(LOOKUP(2,1/(G48:J48&lt;&gt;""),G48:J48),0))</f>
        <v/>
      </c>
      <c r="L48" s="60">
        <f>IF(K48="","",IF(K48&gt;=1,"Completado",IF(K48&gt;0,"En curso","Pendiente")))</f>
        <v/>
      </c>
      <c r="M48" s="61" t="n"/>
      <c r="N48" s="66">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c r="O48" s="67">
        <f>IF(NOT((COUNTA($B48:$J48)+COUNTA($M48))&gt;0),"",IF(ISNUMBER($D48),DATE(YEAR($D48),MONTH($D48),1),IF(ISNUMBER($E48),DATE(YEAR($E48),MONTH($E48),1),MesCiclo)))</f>
        <v/>
      </c>
      <c r="P48" s="68">
        <f>IF(OR($O48="",$O48&lt;&gt;MesCiclo),"",COUNTIF($O$5:$O48,MesCiclo))</f>
        <v/>
      </c>
    </row>
    <row r="49">
      <c r="A49" s="60">
        <f>IF(NOT((COUNTA($B49:$J49)+COUNTA($M49))&gt;0),"",COUNTIFS($L$5:$L49,"?*",$O$5:$O49,$O49))</f>
        <v/>
      </c>
      <c r="B49" s="61" t="n"/>
      <c r="C49" s="61" t="n"/>
      <c r="D49" s="62" t="n"/>
      <c r="E49" s="62" t="n"/>
      <c r="F49" s="63" t="n"/>
      <c r="G49" s="64" t="n"/>
      <c r="H49" s="64" t="n"/>
      <c r="I49" s="64" t="n"/>
      <c r="J49" s="64" t="n"/>
      <c r="K49" s="65">
        <f>IF(NOT((COUNTA($B49:$J49)+COUNTA($M49))&gt;0),"",IFERROR(LOOKUP(2,1/(G49:J49&lt;&gt;""),G49:J49),0))</f>
        <v/>
      </c>
      <c r="L49" s="60">
        <f>IF(K49="","",IF(K49&gt;=1,"Completado",IF(K49&gt;0,"En curso","Pendiente")))</f>
        <v/>
      </c>
      <c r="M49" s="61" t="n"/>
      <c r="N49" s="66">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c r="O49" s="67">
        <f>IF(NOT((COUNTA($B49:$J49)+COUNTA($M49))&gt;0),"",IF(ISNUMBER($D49),DATE(YEAR($D49),MONTH($D49),1),IF(ISNUMBER($E49),DATE(YEAR($E49),MONTH($E49),1),MesCiclo)))</f>
        <v/>
      </c>
      <c r="P49" s="68">
        <f>IF(OR($O49="",$O49&lt;&gt;MesCiclo),"",COUNTIF($O$5:$O49,MesCiclo))</f>
        <v/>
      </c>
    </row>
    <row r="50">
      <c r="A50" s="60">
        <f>IF(NOT((COUNTA($B50:$J50)+COUNTA($M50))&gt;0),"",COUNTIFS($L$5:$L50,"?*",$O$5:$O50,$O50))</f>
        <v/>
      </c>
      <c r="B50" s="61" t="n"/>
      <c r="C50" s="61" t="n"/>
      <c r="D50" s="62" t="n"/>
      <c r="E50" s="62" t="n"/>
      <c r="F50" s="63" t="n"/>
      <c r="G50" s="64" t="n"/>
      <c r="H50" s="64" t="n"/>
      <c r="I50" s="64" t="n"/>
      <c r="J50" s="64" t="n"/>
      <c r="K50" s="65">
        <f>IF(NOT((COUNTA($B50:$J50)+COUNTA($M50))&gt;0),"",IFERROR(LOOKUP(2,1/(G50:J50&lt;&gt;""),G50:J50),0))</f>
        <v/>
      </c>
      <c r="L50" s="60">
        <f>IF(K50="","",IF(K50&gt;=1,"Completado",IF(K50&gt;0,"En curso","Pendiente")))</f>
        <v/>
      </c>
      <c r="M50" s="61" t="n"/>
      <c r="N50" s="66">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c r="O50" s="67">
        <f>IF(NOT((COUNTA($B50:$J50)+COUNTA($M50))&gt;0),"",IF(ISNUMBER($D50),DATE(YEAR($D50),MONTH($D50),1),IF(ISNUMBER($E50),DATE(YEAR($E50),MONTH($E50),1),MesCiclo)))</f>
        <v/>
      </c>
      <c r="P50" s="68">
        <f>IF(OR($O50="",$O50&lt;&gt;MesCiclo),"",COUNTIF($O$5:$O50,MesCiclo))</f>
        <v/>
      </c>
    </row>
    <row r="51">
      <c r="A51" s="60">
        <f>IF(NOT((COUNTA($B51:$J51)+COUNTA($M51))&gt;0),"",COUNTIFS($L$5:$L51,"?*",$O$5:$O51,$O51))</f>
        <v/>
      </c>
      <c r="B51" s="61" t="n"/>
      <c r="C51" s="61" t="n"/>
      <c r="D51" s="62" t="n"/>
      <c r="E51" s="62" t="n"/>
      <c r="F51" s="63" t="n"/>
      <c r="G51" s="64" t="n"/>
      <c r="H51" s="64" t="n"/>
      <c r="I51" s="64" t="n"/>
      <c r="J51" s="64" t="n"/>
      <c r="K51" s="65">
        <f>IF(NOT((COUNTA($B51:$J51)+COUNTA($M51))&gt;0),"",IFERROR(LOOKUP(2,1/(G51:J51&lt;&gt;""),G51:J51),0))</f>
        <v/>
      </c>
      <c r="L51" s="60">
        <f>IF(K51="","",IF(K51&gt;=1,"Completado",IF(K51&gt;0,"En curso","Pendiente")))</f>
        <v/>
      </c>
      <c r="M51" s="61" t="n"/>
      <c r="N51" s="66">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c r="O51" s="67">
        <f>IF(NOT((COUNTA($B51:$J51)+COUNTA($M51))&gt;0),"",IF(ISNUMBER($D51),DATE(YEAR($D51),MONTH($D51),1),IF(ISNUMBER($E51),DATE(YEAR($E51),MONTH($E51),1),MesCiclo)))</f>
        <v/>
      </c>
      <c r="P51" s="68">
        <f>IF(OR($O51="",$O51&lt;&gt;MesCiclo),"",COUNTIF($O$5:$O51,MesCiclo))</f>
        <v/>
      </c>
    </row>
    <row r="52">
      <c r="A52" s="60">
        <f>IF(NOT((COUNTA($B52:$J52)+COUNTA($M52))&gt;0),"",COUNTIFS($L$5:$L52,"?*",$O$5:$O52,$O52))</f>
        <v/>
      </c>
      <c r="B52" s="61" t="n"/>
      <c r="C52" s="61" t="n"/>
      <c r="D52" s="62" t="n"/>
      <c r="E52" s="62" t="n"/>
      <c r="F52" s="63" t="n"/>
      <c r="G52" s="64" t="n"/>
      <c r="H52" s="64" t="n"/>
      <c r="I52" s="64" t="n"/>
      <c r="J52" s="64" t="n"/>
      <c r="K52" s="65">
        <f>IF(NOT((COUNTA($B52:$J52)+COUNTA($M52))&gt;0),"",IFERROR(LOOKUP(2,1/(G52:J52&lt;&gt;""),G52:J52),0))</f>
        <v/>
      </c>
      <c r="L52" s="60">
        <f>IF(K52="","",IF(K52&gt;=1,"Completado",IF(K52&gt;0,"En curso","Pendiente")))</f>
        <v/>
      </c>
      <c r="M52" s="61" t="n"/>
      <c r="N52" s="66">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c r="O52" s="67">
        <f>IF(NOT((COUNTA($B52:$J52)+COUNTA($M52))&gt;0),"",IF(ISNUMBER($D52),DATE(YEAR($D52),MONTH($D52),1),IF(ISNUMBER($E52),DATE(YEAR($E52),MONTH($E52),1),MesCiclo)))</f>
        <v/>
      </c>
      <c r="P52" s="68">
        <f>IF(OR($O52="",$O52&lt;&gt;MesCiclo),"",COUNTIF($O$5:$O52,MesCiclo))</f>
        <v/>
      </c>
    </row>
    <row r="53">
      <c r="A53" s="60">
        <f>IF(NOT((COUNTA($B53:$J53)+COUNTA($M53))&gt;0),"",COUNTIFS($L$5:$L53,"?*",$O$5:$O53,$O53))</f>
        <v/>
      </c>
      <c r="B53" s="61" t="n"/>
      <c r="C53" s="61" t="n"/>
      <c r="D53" s="62" t="n"/>
      <c r="E53" s="62" t="n"/>
      <c r="F53" s="63" t="n"/>
      <c r="G53" s="64" t="n"/>
      <c r="H53" s="64" t="n"/>
      <c r="I53" s="64" t="n"/>
      <c r="J53" s="64" t="n"/>
      <c r="K53" s="65">
        <f>IF(NOT((COUNTA($B53:$J53)+COUNTA($M53))&gt;0),"",IFERROR(LOOKUP(2,1/(G53:J53&lt;&gt;""),G53:J53),0))</f>
        <v/>
      </c>
      <c r="L53" s="60">
        <f>IF(K53="","",IF(K53&gt;=1,"Completado",IF(K53&gt;0,"En curso","Pendiente")))</f>
        <v/>
      </c>
      <c r="M53" s="61" t="n"/>
      <c r="N53" s="66">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c r="O53" s="67">
        <f>IF(NOT((COUNTA($B53:$J53)+COUNTA($M53))&gt;0),"",IF(ISNUMBER($D53),DATE(YEAR($D53),MONTH($D53),1),IF(ISNUMBER($E53),DATE(YEAR($E53),MONTH($E53),1),MesCiclo)))</f>
        <v/>
      </c>
      <c r="P53" s="68">
        <f>IF(OR($O53="",$O53&lt;&gt;MesCiclo),"",COUNTIF($O$5:$O53,MesCiclo))</f>
        <v/>
      </c>
    </row>
    <row r="54">
      <c r="A54" s="60">
        <f>IF(NOT((COUNTA($B54:$J54)+COUNTA($M54))&gt;0),"",COUNTIFS($L$5:$L54,"?*",$O$5:$O54,$O54))</f>
        <v/>
      </c>
      <c r="B54" s="61" t="n"/>
      <c r="C54" s="61" t="n"/>
      <c r="D54" s="62" t="n"/>
      <c r="E54" s="62" t="n"/>
      <c r="F54" s="63" t="n"/>
      <c r="G54" s="64" t="n"/>
      <c r="H54" s="64" t="n"/>
      <c r="I54" s="64" t="n"/>
      <c r="J54" s="64" t="n"/>
      <c r="K54" s="65">
        <f>IF(NOT((COUNTA($B54:$J54)+COUNTA($M54))&gt;0),"",IFERROR(LOOKUP(2,1/(G54:J54&lt;&gt;""),G54:J54),0))</f>
        <v/>
      </c>
      <c r="L54" s="60">
        <f>IF(K54="","",IF(K54&gt;=1,"Completado",IF(K54&gt;0,"En curso","Pendiente")))</f>
        <v/>
      </c>
      <c r="M54" s="61" t="n"/>
      <c r="N54" s="66">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c r="O54" s="67">
        <f>IF(NOT((COUNTA($B54:$J54)+COUNTA($M54))&gt;0),"",IF(ISNUMBER($D54),DATE(YEAR($D54),MONTH($D54),1),IF(ISNUMBER($E54),DATE(YEAR($E54),MONTH($E54),1),MesCiclo)))</f>
        <v/>
      </c>
      <c r="P54" s="68">
        <f>IF(OR($O54="",$O54&lt;&gt;MesCiclo),"",COUNTIF($O$5:$O54,MesCiclo))</f>
        <v/>
      </c>
    </row>
    <row r="55">
      <c r="A55" s="60">
        <f>IF(NOT((COUNTA($B55:$J55)+COUNTA($M55))&gt;0),"",COUNTIFS($L$5:$L55,"?*",$O$5:$O55,$O55))</f>
        <v/>
      </c>
      <c r="B55" s="61" t="n"/>
      <c r="C55" s="61" t="n"/>
      <c r="D55" s="62" t="n"/>
      <c r="E55" s="62" t="n"/>
      <c r="F55" s="63" t="n"/>
      <c r="G55" s="64" t="n"/>
      <c r="H55" s="64" t="n"/>
      <c r="I55" s="64" t="n"/>
      <c r="J55" s="64" t="n"/>
      <c r="K55" s="65">
        <f>IF(NOT((COUNTA($B55:$J55)+COUNTA($M55))&gt;0),"",IFERROR(LOOKUP(2,1/(G55:J55&lt;&gt;""),G55:J55),0))</f>
        <v/>
      </c>
      <c r="L55" s="60">
        <f>IF(K55="","",IF(K55&gt;=1,"Completado",IF(K55&gt;0,"En curso","Pendiente")))</f>
        <v/>
      </c>
      <c r="M55" s="61" t="n"/>
      <c r="N55" s="66">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c r="O55" s="67">
        <f>IF(NOT((COUNTA($B55:$J55)+COUNTA($M55))&gt;0),"",IF(ISNUMBER($D55),DATE(YEAR($D55),MONTH($D55),1),IF(ISNUMBER($E55),DATE(YEAR($E55),MONTH($E55),1),MesCiclo)))</f>
        <v/>
      </c>
      <c r="P55" s="68">
        <f>IF(OR($O55="",$O55&lt;&gt;MesCiclo),"",COUNTIF($O$5:$O55,MesCiclo))</f>
        <v/>
      </c>
    </row>
    <row r="56">
      <c r="A56" s="60">
        <f>IF(NOT((COUNTA($B56:$J56)+COUNTA($M56))&gt;0),"",COUNTIFS($L$5:$L56,"?*",$O$5:$O56,$O56))</f>
        <v/>
      </c>
      <c r="B56" s="61" t="n"/>
      <c r="C56" s="61" t="n"/>
      <c r="D56" s="62" t="n"/>
      <c r="E56" s="62" t="n"/>
      <c r="F56" s="63" t="n"/>
      <c r="G56" s="64" t="n"/>
      <c r="H56" s="64" t="n"/>
      <c r="I56" s="64" t="n"/>
      <c r="J56" s="64" t="n"/>
      <c r="K56" s="65">
        <f>IF(NOT((COUNTA($B56:$J56)+COUNTA($M56))&gt;0),"",IFERROR(LOOKUP(2,1/(G56:J56&lt;&gt;""),G56:J56),0))</f>
        <v/>
      </c>
      <c r="L56" s="60">
        <f>IF(K56="","",IF(K56&gt;=1,"Completado",IF(K56&gt;0,"En curso","Pendiente")))</f>
        <v/>
      </c>
      <c r="M56" s="61" t="n"/>
      <c r="N56" s="66">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c r="O56" s="67">
        <f>IF(NOT((COUNTA($B56:$J56)+COUNTA($M56))&gt;0),"",IF(ISNUMBER($D56),DATE(YEAR($D56),MONTH($D56),1),IF(ISNUMBER($E56),DATE(YEAR($E56),MONTH($E56),1),MesCiclo)))</f>
        <v/>
      </c>
      <c r="P56" s="68">
        <f>IF(OR($O56="",$O56&lt;&gt;MesCiclo),"",COUNTIF($O$5:$O56,MesCiclo))</f>
        <v/>
      </c>
    </row>
    <row r="57">
      <c r="A57" s="60">
        <f>IF(NOT((COUNTA($B57:$J57)+COUNTA($M57))&gt;0),"",COUNTIFS($L$5:$L57,"?*",$O$5:$O57,$O57))</f>
        <v/>
      </c>
      <c r="B57" s="61" t="n"/>
      <c r="C57" s="61" t="n"/>
      <c r="D57" s="62" t="n"/>
      <c r="E57" s="62" t="n"/>
      <c r="F57" s="63" t="n"/>
      <c r="G57" s="64" t="n"/>
      <c r="H57" s="64" t="n"/>
      <c r="I57" s="64" t="n"/>
      <c r="J57" s="64" t="n"/>
      <c r="K57" s="65">
        <f>IF(NOT((COUNTA($B57:$J57)+COUNTA($M57))&gt;0),"",IFERROR(LOOKUP(2,1/(G57:J57&lt;&gt;""),G57:J57),0))</f>
        <v/>
      </c>
      <c r="L57" s="60">
        <f>IF(K57="","",IF(K57&gt;=1,"Completado",IF(K57&gt;0,"En curso","Pendiente")))</f>
        <v/>
      </c>
      <c r="M57" s="61" t="n"/>
      <c r="N57" s="66">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c r="O57" s="67">
        <f>IF(NOT((COUNTA($B57:$J57)+COUNTA($M57))&gt;0),"",IF(ISNUMBER($D57),DATE(YEAR($D57),MONTH($D57),1),IF(ISNUMBER($E57),DATE(YEAR($E57),MONTH($E57),1),MesCiclo)))</f>
        <v/>
      </c>
      <c r="P57" s="68">
        <f>IF(OR($O57="",$O57&lt;&gt;MesCiclo),"",COUNTIF($O$5:$O57,MesCiclo))</f>
        <v/>
      </c>
    </row>
    <row r="58">
      <c r="A58" s="60">
        <f>IF(NOT((COUNTA($B58:$J58)+COUNTA($M58))&gt;0),"",COUNTIFS($L$5:$L58,"?*",$O$5:$O58,$O58))</f>
        <v/>
      </c>
      <c r="B58" s="61" t="n"/>
      <c r="C58" s="61" t="n"/>
      <c r="D58" s="62" t="n"/>
      <c r="E58" s="62" t="n"/>
      <c r="F58" s="63" t="n"/>
      <c r="G58" s="64" t="n"/>
      <c r="H58" s="64" t="n"/>
      <c r="I58" s="64" t="n"/>
      <c r="J58" s="64" t="n"/>
      <c r="K58" s="65">
        <f>IF(NOT((COUNTA($B58:$J58)+COUNTA($M58))&gt;0),"",IFERROR(LOOKUP(2,1/(G58:J58&lt;&gt;""),G58:J58),0))</f>
        <v/>
      </c>
      <c r="L58" s="60">
        <f>IF(K58="","",IF(K58&gt;=1,"Completado",IF(K58&gt;0,"En curso","Pendiente")))</f>
        <v/>
      </c>
      <c r="M58" s="61" t="n"/>
      <c r="N58" s="66">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c r="O58" s="67">
        <f>IF(NOT((COUNTA($B58:$J58)+COUNTA($M58))&gt;0),"",IF(ISNUMBER($D58),DATE(YEAR($D58),MONTH($D58),1),IF(ISNUMBER($E58),DATE(YEAR($E58),MONTH($E58),1),MesCiclo)))</f>
        <v/>
      </c>
      <c r="P58" s="68">
        <f>IF(OR($O58="",$O58&lt;&gt;MesCiclo),"",COUNTIF($O$5:$O58,MesCiclo))</f>
        <v/>
      </c>
    </row>
    <row r="59">
      <c r="A59" s="60">
        <f>IF(NOT((COUNTA($B59:$J59)+COUNTA($M59))&gt;0),"",COUNTIFS($L$5:$L59,"?*",$O$5:$O59,$O59))</f>
        <v/>
      </c>
      <c r="B59" s="61" t="n"/>
      <c r="C59" s="61" t="n"/>
      <c r="D59" s="62" t="n"/>
      <c r="E59" s="62" t="n"/>
      <c r="F59" s="63" t="n"/>
      <c r="G59" s="64" t="n"/>
      <c r="H59" s="64" t="n"/>
      <c r="I59" s="64" t="n"/>
      <c r="J59" s="64" t="n"/>
      <c r="K59" s="65">
        <f>IF(NOT((COUNTA($B59:$J59)+COUNTA($M59))&gt;0),"",IFERROR(LOOKUP(2,1/(G59:J59&lt;&gt;""),G59:J59),0))</f>
        <v/>
      </c>
      <c r="L59" s="60">
        <f>IF(K59="","",IF(K59&gt;=1,"Completado",IF(K59&gt;0,"En curso","Pendiente")))</f>
        <v/>
      </c>
      <c r="M59" s="61" t="n"/>
      <c r="N59" s="66">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c r="O59" s="67">
        <f>IF(NOT((COUNTA($B59:$J59)+COUNTA($M59))&gt;0),"",IF(ISNUMBER($D59),DATE(YEAR($D59),MONTH($D59),1),IF(ISNUMBER($E59),DATE(YEAR($E59),MONTH($E59),1),MesCiclo)))</f>
        <v/>
      </c>
      <c r="P59" s="68">
        <f>IF(OR($O59="",$O59&lt;&gt;MesCiclo),"",COUNTIF($O$5:$O59,MesCiclo))</f>
        <v/>
      </c>
    </row>
    <row r="60">
      <c r="A60" s="60">
        <f>IF(NOT((COUNTA($B60:$J60)+COUNTA($M60))&gt;0),"",COUNTIFS($L$5:$L60,"?*",$O$5:$O60,$O60))</f>
        <v/>
      </c>
      <c r="B60" s="61" t="n"/>
      <c r="C60" s="61" t="n"/>
      <c r="D60" s="62" t="n"/>
      <c r="E60" s="62" t="n"/>
      <c r="F60" s="63" t="n"/>
      <c r="G60" s="64" t="n"/>
      <c r="H60" s="64" t="n"/>
      <c r="I60" s="64" t="n"/>
      <c r="J60" s="64" t="n"/>
      <c r="K60" s="65">
        <f>IF(NOT((COUNTA($B60:$J60)+COUNTA($M60))&gt;0),"",IFERROR(LOOKUP(2,1/(G60:J60&lt;&gt;""),G60:J60),0))</f>
        <v/>
      </c>
      <c r="L60" s="60">
        <f>IF(K60="","",IF(K60&gt;=1,"Completado",IF(K60&gt;0,"En curso","Pendiente")))</f>
        <v/>
      </c>
      <c r="M60" s="61" t="n"/>
      <c r="N60" s="66">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c r="O60" s="67">
        <f>IF(NOT((COUNTA($B60:$J60)+COUNTA($M60))&gt;0),"",IF(ISNUMBER($D60),DATE(YEAR($D60),MONTH($D60),1),IF(ISNUMBER($E60),DATE(YEAR($E60),MONTH($E60),1),MesCiclo)))</f>
        <v/>
      </c>
      <c r="P60" s="68">
        <f>IF(OR($O60="",$O60&lt;&gt;MesCiclo),"",COUNTIF($O$5:$O60,MesCiclo))</f>
        <v/>
      </c>
    </row>
    <row r="61">
      <c r="A61" s="60">
        <f>IF(NOT((COUNTA($B61:$J61)+COUNTA($M61))&gt;0),"",COUNTIFS($L$5:$L61,"?*",$O$5:$O61,$O61))</f>
        <v/>
      </c>
      <c r="B61" s="61" t="n"/>
      <c r="C61" s="61" t="n"/>
      <c r="D61" s="62" t="n"/>
      <c r="E61" s="62" t="n"/>
      <c r="F61" s="63" t="n"/>
      <c r="G61" s="64" t="n"/>
      <c r="H61" s="64" t="n"/>
      <c r="I61" s="64" t="n"/>
      <c r="J61" s="64" t="n"/>
      <c r="K61" s="65">
        <f>IF(NOT((COUNTA($B61:$J61)+COUNTA($M61))&gt;0),"",IFERROR(LOOKUP(2,1/(G61:J61&lt;&gt;""),G61:J61),0))</f>
        <v/>
      </c>
      <c r="L61" s="60">
        <f>IF(K61="","",IF(K61&gt;=1,"Completado",IF(K61&gt;0,"En curso","Pendiente")))</f>
        <v/>
      </c>
      <c r="M61" s="61" t="n"/>
      <c r="N61" s="66">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c r="O61" s="67">
        <f>IF(NOT((COUNTA($B61:$J61)+COUNTA($M61))&gt;0),"",IF(ISNUMBER($D61),DATE(YEAR($D61),MONTH($D61),1),IF(ISNUMBER($E61),DATE(YEAR($E61),MONTH($E61),1),MesCiclo)))</f>
        <v/>
      </c>
      <c r="P61" s="68">
        <f>IF(OR($O61="",$O61&lt;&gt;MesCiclo),"",COUNTIF($O$5:$O61,MesCiclo))</f>
        <v/>
      </c>
    </row>
    <row r="62">
      <c r="A62" s="60">
        <f>IF(NOT((COUNTA($B62:$J62)+COUNTA($M62))&gt;0),"",COUNTIFS($L$5:$L62,"?*",$O$5:$O62,$O62))</f>
        <v/>
      </c>
      <c r="B62" s="61" t="n"/>
      <c r="C62" s="61" t="n"/>
      <c r="D62" s="62" t="n"/>
      <c r="E62" s="62" t="n"/>
      <c r="F62" s="63" t="n"/>
      <c r="G62" s="64" t="n"/>
      <c r="H62" s="64" t="n"/>
      <c r="I62" s="64" t="n"/>
      <c r="J62" s="64" t="n"/>
      <c r="K62" s="65">
        <f>IF(NOT((COUNTA($B62:$J62)+COUNTA($M62))&gt;0),"",IFERROR(LOOKUP(2,1/(G62:J62&lt;&gt;""),G62:J62),0))</f>
        <v/>
      </c>
      <c r="L62" s="60">
        <f>IF(K62="","",IF(K62&gt;=1,"Completado",IF(K62&gt;0,"En curso","Pendiente")))</f>
        <v/>
      </c>
      <c r="M62" s="61" t="n"/>
      <c r="N62" s="66">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c r="O62" s="67">
        <f>IF(NOT((COUNTA($B62:$J62)+COUNTA($M62))&gt;0),"",IF(ISNUMBER($D62),DATE(YEAR($D62),MONTH($D62),1),IF(ISNUMBER($E62),DATE(YEAR($E62),MONTH($E62),1),MesCiclo)))</f>
        <v/>
      </c>
      <c r="P62" s="68">
        <f>IF(OR($O62="",$O62&lt;&gt;MesCiclo),"",COUNTIF($O$5:$O62,MesCiclo))</f>
        <v/>
      </c>
    </row>
    <row r="63">
      <c r="A63" s="60">
        <f>IF(NOT((COUNTA($B63:$J63)+COUNTA($M63))&gt;0),"",COUNTIFS($L$5:$L63,"?*",$O$5:$O63,$O63))</f>
        <v/>
      </c>
      <c r="B63" s="61" t="n"/>
      <c r="C63" s="61" t="n"/>
      <c r="D63" s="62" t="n"/>
      <c r="E63" s="62" t="n"/>
      <c r="F63" s="63" t="n"/>
      <c r="G63" s="64" t="n"/>
      <c r="H63" s="64" t="n"/>
      <c r="I63" s="64" t="n"/>
      <c r="J63" s="64" t="n"/>
      <c r="K63" s="65">
        <f>IF(NOT((COUNTA($B63:$J63)+COUNTA($M63))&gt;0),"",IFERROR(LOOKUP(2,1/(G63:J63&lt;&gt;""),G63:J63),0))</f>
        <v/>
      </c>
      <c r="L63" s="60">
        <f>IF(K63="","",IF(K63&gt;=1,"Completado",IF(K63&gt;0,"En curso","Pendiente")))</f>
        <v/>
      </c>
      <c r="M63" s="61" t="n"/>
      <c r="N63" s="66">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c r="O63" s="67">
        <f>IF(NOT((COUNTA($B63:$J63)+COUNTA($M63))&gt;0),"",IF(ISNUMBER($D63),DATE(YEAR($D63),MONTH($D63),1),IF(ISNUMBER($E63),DATE(YEAR($E63),MONTH($E63),1),MesCiclo)))</f>
        <v/>
      </c>
      <c r="P63" s="68">
        <f>IF(OR($O63="",$O63&lt;&gt;MesCiclo),"",COUNTIF($O$5:$O63,MesCiclo))</f>
        <v/>
      </c>
    </row>
    <row r="64">
      <c r="A64" s="60">
        <f>IF(NOT((COUNTA($B64:$J64)+COUNTA($M64))&gt;0),"",COUNTIFS($L$5:$L64,"?*",$O$5:$O64,$O64))</f>
        <v/>
      </c>
      <c r="B64" s="61" t="n"/>
      <c r="C64" s="61" t="n"/>
      <c r="D64" s="62" t="n"/>
      <c r="E64" s="62" t="n"/>
      <c r="F64" s="63" t="n"/>
      <c r="G64" s="64" t="n"/>
      <c r="H64" s="64" t="n"/>
      <c r="I64" s="64" t="n"/>
      <c r="J64" s="64" t="n"/>
      <c r="K64" s="65">
        <f>IF(NOT((COUNTA($B64:$J64)+COUNTA($M64))&gt;0),"",IFERROR(LOOKUP(2,1/(G64:J64&lt;&gt;""),G64:J64),0))</f>
        <v/>
      </c>
      <c r="L64" s="60">
        <f>IF(K64="","",IF(K64&gt;=1,"Completado",IF(K64&gt;0,"En curso","Pendiente")))</f>
        <v/>
      </c>
      <c r="M64" s="61" t="n"/>
      <c r="N64" s="66">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c r="O64" s="67">
        <f>IF(NOT((COUNTA($B64:$J64)+COUNTA($M64))&gt;0),"",IF(ISNUMBER($D64),DATE(YEAR($D64),MONTH($D64),1),IF(ISNUMBER($E64),DATE(YEAR($E64),MONTH($E64),1),MesCiclo)))</f>
        <v/>
      </c>
      <c r="P64" s="68">
        <f>IF(OR($O64="",$O64&lt;&gt;MesCiclo),"",COUNTIF($O$5:$O64,MesCiclo))</f>
        <v/>
      </c>
    </row>
    <row r="65">
      <c r="A65" s="60">
        <f>IF(NOT((COUNTA($B65:$J65)+COUNTA($M65))&gt;0),"",COUNTIFS($L$5:$L65,"?*",$O$5:$O65,$O65))</f>
        <v/>
      </c>
      <c r="B65" s="61" t="n"/>
      <c r="C65" s="61" t="n"/>
      <c r="D65" s="62" t="n"/>
      <c r="E65" s="62" t="n"/>
      <c r="F65" s="63" t="n"/>
      <c r="G65" s="64" t="n"/>
      <c r="H65" s="64" t="n"/>
      <c r="I65" s="64" t="n"/>
      <c r="J65" s="64" t="n"/>
      <c r="K65" s="65">
        <f>IF(NOT((COUNTA($B65:$J65)+COUNTA($M65))&gt;0),"",IFERROR(LOOKUP(2,1/(G65:J65&lt;&gt;""),G65:J65),0))</f>
        <v/>
      </c>
      <c r="L65" s="60">
        <f>IF(K65="","",IF(K65&gt;=1,"Completado",IF(K65&gt;0,"En curso","Pendiente")))</f>
        <v/>
      </c>
      <c r="M65" s="61" t="n"/>
      <c r="N65" s="66">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c r="O65" s="67">
        <f>IF(NOT((COUNTA($B65:$J65)+COUNTA($M65))&gt;0),"",IF(ISNUMBER($D65),DATE(YEAR($D65),MONTH($D65),1),IF(ISNUMBER($E65),DATE(YEAR($E65),MONTH($E65),1),MesCiclo)))</f>
        <v/>
      </c>
      <c r="P65" s="68">
        <f>IF(OR($O65="",$O65&lt;&gt;MesCiclo),"",COUNTIF($O$5:$O65,MesCiclo))</f>
        <v/>
      </c>
    </row>
    <row r="66">
      <c r="A66" s="60">
        <f>IF(NOT((COUNTA($B66:$J66)+COUNTA($M66))&gt;0),"",COUNTIFS($L$5:$L66,"?*",$O$5:$O66,$O66))</f>
        <v/>
      </c>
      <c r="B66" s="61" t="n"/>
      <c r="C66" s="61" t="n"/>
      <c r="D66" s="62" t="n"/>
      <c r="E66" s="62" t="n"/>
      <c r="F66" s="63" t="n"/>
      <c r="G66" s="64" t="n"/>
      <c r="H66" s="64" t="n"/>
      <c r="I66" s="64" t="n"/>
      <c r="J66" s="64" t="n"/>
      <c r="K66" s="65">
        <f>IF(NOT((COUNTA($B66:$J66)+COUNTA($M66))&gt;0),"",IFERROR(LOOKUP(2,1/(G66:J66&lt;&gt;""),G66:J66),0))</f>
        <v/>
      </c>
      <c r="L66" s="60">
        <f>IF(K66="","",IF(K66&gt;=1,"Completado",IF(K66&gt;0,"En curso","Pendiente")))</f>
        <v/>
      </c>
      <c r="M66" s="61" t="n"/>
      <c r="N66" s="66">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c r="O66" s="67">
        <f>IF(NOT((COUNTA($B66:$J66)+COUNTA($M66))&gt;0),"",IF(ISNUMBER($D66),DATE(YEAR($D66),MONTH($D66),1),IF(ISNUMBER($E66),DATE(YEAR($E66),MONTH($E66),1),MesCiclo)))</f>
        <v/>
      </c>
      <c r="P66" s="68">
        <f>IF(OR($O66="",$O66&lt;&gt;MesCiclo),"",COUNTIF($O$5:$O66,MesCiclo))</f>
        <v/>
      </c>
    </row>
    <row r="67">
      <c r="A67" s="60">
        <f>IF(NOT((COUNTA($B67:$J67)+COUNTA($M67))&gt;0),"",COUNTIFS($L$5:$L67,"?*",$O$5:$O67,$O67))</f>
        <v/>
      </c>
      <c r="B67" s="61" t="n"/>
      <c r="C67" s="61" t="n"/>
      <c r="D67" s="62" t="n"/>
      <c r="E67" s="62" t="n"/>
      <c r="F67" s="63" t="n"/>
      <c r="G67" s="64" t="n"/>
      <c r="H67" s="64" t="n"/>
      <c r="I67" s="64" t="n"/>
      <c r="J67" s="64" t="n"/>
      <c r="K67" s="65">
        <f>IF(NOT((COUNTA($B67:$J67)+COUNTA($M67))&gt;0),"",IFERROR(LOOKUP(2,1/(G67:J67&lt;&gt;""),G67:J67),0))</f>
        <v/>
      </c>
      <c r="L67" s="60">
        <f>IF(K67="","",IF(K67&gt;=1,"Completado",IF(K67&gt;0,"En curso","Pendiente")))</f>
        <v/>
      </c>
      <c r="M67" s="61" t="n"/>
      <c r="N67" s="66">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c r="O67" s="67">
        <f>IF(NOT((COUNTA($B67:$J67)+COUNTA($M67))&gt;0),"",IF(ISNUMBER($D67),DATE(YEAR($D67),MONTH($D67),1),IF(ISNUMBER($E67),DATE(YEAR($E67),MONTH($E67),1),MesCiclo)))</f>
        <v/>
      </c>
      <c r="P67" s="68">
        <f>IF(OR($O67="",$O67&lt;&gt;MesCiclo),"",COUNTIF($O$5:$O67,MesCiclo))</f>
        <v/>
      </c>
    </row>
    <row r="68">
      <c r="A68" s="60">
        <f>IF(NOT((COUNTA($B68:$J68)+COUNTA($M68))&gt;0),"",COUNTIFS($L$5:$L68,"?*",$O$5:$O68,$O68))</f>
        <v/>
      </c>
      <c r="B68" s="61" t="n"/>
      <c r="C68" s="61" t="n"/>
      <c r="D68" s="62" t="n"/>
      <c r="E68" s="62" t="n"/>
      <c r="F68" s="63" t="n"/>
      <c r="G68" s="64" t="n"/>
      <c r="H68" s="64" t="n"/>
      <c r="I68" s="64" t="n"/>
      <c r="J68" s="64" t="n"/>
      <c r="K68" s="65">
        <f>IF(NOT((COUNTA($B68:$J68)+COUNTA($M68))&gt;0),"",IFERROR(LOOKUP(2,1/(G68:J68&lt;&gt;""),G68:J68),0))</f>
        <v/>
      </c>
      <c r="L68" s="60">
        <f>IF(K68="","",IF(K68&gt;=1,"Completado",IF(K68&gt;0,"En curso","Pendiente")))</f>
        <v/>
      </c>
      <c r="M68" s="61" t="n"/>
      <c r="N68" s="66">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c r="O68" s="67">
        <f>IF(NOT((COUNTA($B68:$J68)+COUNTA($M68))&gt;0),"",IF(ISNUMBER($D68),DATE(YEAR($D68),MONTH($D68),1),IF(ISNUMBER($E68),DATE(YEAR($E68),MONTH($E68),1),MesCiclo)))</f>
        <v/>
      </c>
      <c r="P68" s="68">
        <f>IF(OR($O68="",$O68&lt;&gt;MesCiclo),"",COUNTIF($O$5:$O68,MesCiclo))</f>
        <v/>
      </c>
    </row>
    <row r="69">
      <c r="A69" s="60">
        <f>IF(NOT((COUNTA($B69:$J69)+COUNTA($M69))&gt;0),"",COUNTIFS($L$5:$L69,"?*",$O$5:$O69,$O69))</f>
        <v/>
      </c>
      <c r="B69" s="61" t="n"/>
      <c r="C69" s="61" t="n"/>
      <c r="D69" s="62" t="n"/>
      <c r="E69" s="62" t="n"/>
      <c r="F69" s="63" t="n"/>
      <c r="G69" s="64" t="n"/>
      <c r="H69" s="64" t="n"/>
      <c r="I69" s="64" t="n"/>
      <c r="J69" s="64" t="n"/>
      <c r="K69" s="65">
        <f>IF(NOT((COUNTA($B69:$J69)+COUNTA($M69))&gt;0),"",IFERROR(LOOKUP(2,1/(G69:J69&lt;&gt;""),G69:J69),0))</f>
        <v/>
      </c>
      <c r="L69" s="60">
        <f>IF(K69="","",IF(K69&gt;=1,"Completado",IF(K69&gt;0,"En curso","Pendiente")))</f>
        <v/>
      </c>
      <c r="M69" s="61" t="n"/>
      <c r="N69" s="66">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c r="O69" s="67">
        <f>IF(NOT((COUNTA($B69:$J69)+COUNTA($M69))&gt;0),"",IF(ISNUMBER($D69),DATE(YEAR($D69),MONTH($D69),1),IF(ISNUMBER($E69),DATE(YEAR($E69),MONTH($E69),1),MesCiclo)))</f>
        <v/>
      </c>
      <c r="P69" s="68">
        <f>IF(OR($O69="",$O69&lt;&gt;MesCiclo),"",COUNTIF($O$5:$O69,MesCiclo))</f>
        <v/>
      </c>
    </row>
    <row r="70">
      <c r="A70" s="60">
        <f>IF(NOT((COUNTA($B70:$J70)+COUNTA($M70))&gt;0),"",COUNTIFS($L$5:$L70,"?*",$O$5:$O70,$O70))</f>
        <v/>
      </c>
      <c r="B70" s="61" t="n"/>
      <c r="C70" s="61" t="n"/>
      <c r="D70" s="62" t="n"/>
      <c r="E70" s="62" t="n"/>
      <c r="F70" s="63" t="n"/>
      <c r="G70" s="64" t="n"/>
      <c r="H70" s="64" t="n"/>
      <c r="I70" s="64" t="n"/>
      <c r="J70" s="64" t="n"/>
      <c r="K70" s="65">
        <f>IF(NOT((COUNTA($B70:$J70)+COUNTA($M70))&gt;0),"",IFERROR(LOOKUP(2,1/(G70:J70&lt;&gt;""),G70:J70),0))</f>
        <v/>
      </c>
      <c r="L70" s="60">
        <f>IF(K70="","",IF(K70&gt;=1,"Completado",IF(K70&gt;0,"En curso","Pendiente")))</f>
        <v/>
      </c>
      <c r="M70" s="61" t="n"/>
      <c r="N70" s="66">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c r="O70" s="67">
        <f>IF(NOT((COUNTA($B70:$J70)+COUNTA($M70))&gt;0),"",IF(ISNUMBER($D70),DATE(YEAR($D70),MONTH($D70),1),IF(ISNUMBER($E70),DATE(YEAR($E70),MONTH($E70),1),MesCiclo)))</f>
        <v/>
      </c>
      <c r="P70" s="68">
        <f>IF(OR($O70="",$O70&lt;&gt;MesCiclo),"",COUNTIF($O$5:$O70,MesCiclo))</f>
        <v/>
      </c>
    </row>
    <row r="71">
      <c r="A71" s="60">
        <f>IF(NOT((COUNTA($B71:$J71)+COUNTA($M71))&gt;0),"",COUNTIFS($L$5:$L71,"?*",$O$5:$O71,$O71))</f>
        <v/>
      </c>
      <c r="B71" s="61" t="n"/>
      <c r="C71" s="61" t="n"/>
      <c r="D71" s="62" t="n"/>
      <c r="E71" s="62" t="n"/>
      <c r="F71" s="63" t="n"/>
      <c r="G71" s="64" t="n"/>
      <c r="H71" s="64" t="n"/>
      <c r="I71" s="64" t="n"/>
      <c r="J71" s="64" t="n"/>
      <c r="K71" s="65">
        <f>IF(NOT((COUNTA($B71:$J71)+COUNTA($M71))&gt;0),"",IFERROR(LOOKUP(2,1/(G71:J71&lt;&gt;""),G71:J71),0))</f>
        <v/>
      </c>
      <c r="L71" s="60">
        <f>IF(K71="","",IF(K71&gt;=1,"Completado",IF(K71&gt;0,"En curso","Pendiente")))</f>
        <v/>
      </c>
      <c r="M71" s="61" t="n"/>
      <c r="N71" s="66">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c r="O71" s="67">
        <f>IF(NOT((COUNTA($B71:$J71)+COUNTA($M71))&gt;0),"",IF(ISNUMBER($D71),DATE(YEAR($D71),MONTH($D71),1),IF(ISNUMBER($E71),DATE(YEAR($E71),MONTH($E71),1),MesCiclo)))</f>
        <v/>
      </c>
      <c r="P71" s="68">
        <f>IF(OR($O71="",$O71&lt;&gt;MesCiclo),"",COUNTIF($O$5:$O71,MesCiclo))</f>
        <v/>
      </c>
    </row>
    <row r="72">
      <c r="A72" s="60">
        <f>IF(NOT((COUNTA($B72:$J72)+COUNTA($M72))&gt;0),"",COUNTIFS($L$5:$L72,"?*",$O$5:$O72,$O72))</f>
        <v/>
      </c>
      <c r="B72" s="61" t="n"/>
      <c r="C72" s="61" t="n"/>
      <c r="D72" s="62" t="n"/>
      <c r="E72" s="62" t="n"/>
      <c r="F72" s="63" t="n"/>
      <c r="G72" s="64" t="n"/>
      <c r="H72" s="64" t="n"/>
      <c r="I72" s="64" t="n"/>
      <c r="J72" s="64" t="n"/>
      <c r="K72" s="65">
        <f>IF(NOT((COUNTA($B72:$J72)+COUNTA($M72))&gt;0),"",IFERROR(LOOKUP(2,1/(G72:J72&lt;&gt;""),G72:J72),0))</f>
        <v/>
      </c>
      <c r="L72" s="60">
        <f>IF(K72="","",IF(K72&gt;=1,"Completado",IF(K72&gt;0,"En curso","Pendiente")))</f>
        <v/>
      </c>
      <c r="M72" s="61" t="n"/>
      <c r="N72" s="66">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c r="O72" s="67">
        <f>IF(NOT((COUNTA($B72:$J72)+COUNTA($M72))&gt;0),"",IF(ISNUMBER($D72),DATE(YEAR($D72),MONTH($D72),1),IF(ISNUMBER($E72),DATE(YEAR($E72),MONTH($E72),1),MesCiclo)))</f>
        <v/>
      </c>
      <c r="P72" s="68">
        <f>IF(OR($O72="",$O72&lt;&gt;MesCiclo),"",COUNTIF($O$5:$O72,MesCiclo))</f>
        <v/>
      </c>
    </row>
    <row r="73">
      <c r="A73" s="60">
        <f>IF(NOT((COUNTA($B73:$J73)+COUNTA($M73))&gt;0),"",COUNTIFS($L$5:$L73,"?*",$O$5:$O73,$O73))</f>
        <v/>
      </c>
      <c r="B73" s="61" t="n"/>
      <c r="C73" s="61" t="n"/>
      <c r="D73" s="62" t="n"/>
      <c r="E73" s="62" t="n"/>
      <c r="F73" s="63" t="n"/>
      <c r="G73" s="64" t="n"/>
      <c r="H73" s="64" t="n"/>
      <c r="I73" s="64" t="n"/>
      <c r="J73" s="64" t="n"/>
      <c r="K73" s="65">
        <f>IF(NOT((COUNTA($B73:$J73)+COUNTA($M73))&gt;0),"",IFERROR(LOOKUP(2,1/(G73:J73&lt;&gt;""),G73:J73),0))</f>
        <v/>
      </c>
      <c r="L73" s="60">
        <f>IF(K73="","",IF(K73&gt;=1,"Completado",IF(K73&gt;0,"En curso","Pendiente")))</f>
        <v/>
      </c>
      <c r="M73" s="61" t="n"/>
      <c r="N73" s="66">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c r="O73" s="67">
        <f>IF(NOT((COUNTA($B73:$J73)+COUNTA($M73))&gt;0),"",IF(ISNUMBER($D73),DATE(YEAR($D73),MONTH($D73),1),IF(ISNUMBER($E73),DATE(YEAR($E73),MONTH($E73),1),MesCiclo)))</f>
        <v/>
      </c>
      <c r="P73" s="68">
        <f>IF(OR($O73="",$O73&lt;&gt;MesCiclo),"",COUNTIF($O$5:$O73,MesCiclo))</f>
        <v/>
      </c>
    </row>
    <row r="74">
      <c r="A74" s="60">
        <f>IF(NOT((COUNTA($B74:$J74)+COUNTA($M74))&gt;0),"",COUNTIFS($L$5:$L74,"?*",$O$5:$O74,$O74))</f>
        <v/>
      </c>
      <c r="B74" s="61" t="n"/>
      <c r="C74" s="61" t="n"/>
      <c r="D74" s="62" t="n"/>
      <c r="E74" s="62" t="n"/>
      <c r="F74" s="63" t="n"/>
      <c r="G74" s="64" t="n"/>
      <c r="H74" s="64" t="n"/>
      <c r="I74" s="64" t="n"/>
      <c r="J74" s="64" t="n"/>
      <c r="K74" s="65">
        <f>IF(NOT((COUNTA($B74:$J74)+COUNTA($M74))&gt;0),"",IFERROR(LOOKUP(2,1/(G74:J74&lt;&gt;""),G74:J74),0))</f>
        <v/>
      </c>
      <c r="L74" s="60">
        <f>IF(K74="","",IF(K74&gt;=1,"Completado",IF(K74&gt;0,"En curso","Pendiente")))</f>
        <v/>
      </c>
      <c r="M74" s="61" t="n"/>
      <c r="N74" s="66">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c r="O74" s="67">
        <f>IF(NOT((COUNTA($B74:$J74)+COUNTA($M74))&gt;0),"",IF(ISNUMBER($D74),DATE(YEAR($D74),MONTH($D74),1),IF(ISNUMBER($E74),DATE(YEAR($E74),MONTH($E74),1),MesCiclo)))</f>
        <v/>
      </c>
      <c r="P74" s="68">
        <f>IF(OR($O74="",$O74&lt;&gt;MesCiclo),"",COUNTIF($O$5:$O74,MesCiclo))</f>
        <v/>
      </c>
    </row>
    <row r="75">
      <c r="A75" s="60">
        <f>IF(NOT((COUNTA($B75:$J75)+COUNTA($M75))&gt;0),"",COUNTIFS($L$5:$L75,"?*",$O$5:$O75,$O75))</f>
        <v/>
      </c>
      <c r="B75" s="61" t="n"/>
      <c r="C75" s="61" t="n"/>
      <c r="D75" s="62" t="n"/>
      <c r="E75" s="62" t="n"/>
      <c r="F75" s="63" t="n"/>
      <c r="G75" s="64" t="n"/>
      <c r="H75" s="64" t="n"/>
      <c r="I75" s="64" t="n"/>
      <c r="J75" s="64" t="n"/>
      <c r="K75" s="65">
        <f>IF(NOT((COUNTA($B75:$J75)+COUNTA($M75))&gt;0),"",IFERROR(LOOKUP(2,1/(G75:J75&lt;&gt;""),G75:J75),0))</f>
        <v/>
      </c>
      <c r="L75" s="60">
        <f>IF(K75="","",IF(K75&gt;=1,"Completado",IF(K75&gt;0,"En curso","Pendiente")))</f>
        <v/>
      </c>
      <c r="M75" s="61" t="n"/>
      <c r="N75" s="66">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c r="O75" s="67">
        <f>IF(NOT((COUNTA($B75:$J75)+COUNTA($M75))&gt;0),"",IF(ISNUMBER($D75),DATE(YEAR($D75),MONTH($D75),1),IF(ISNUMBER($E75),DATE(YEAR($E75),MONTH($E75),1),MesCiclo)))</f>
        <v/>
      </c>
      <c r="P75" s="68">
        <f>IF(OR($O75="",$O75&lt;&gt;MesCiclo),"",COUNTIF($O$5:$O75,MesCiclo))</f>
        <v/>
      </c>
    </row>
    <row r="76">
      <c r="A76" s="60">
        <f>IF(NOT((COUNTA($B76:$J76)+COUNTA($M76))&gt;0),"",COUNTIFS($L$5:$L76,"?*",$O$5:$O76,$O76))</f>
        <v/>
      </c>
      <c r="B76" s="61" t="n"/>
      <c r="C76" s="61" t="n"/>
      <c r="D76" s="62" t="n"/>
      <c r="E76" s="62" t="n"/>
      <c r="F76" s="63" t="n"/>
      <c r="G76" s="64" t="n"/>
      <c r="H76" s="64" t="n"/>
      <c r="I76" s="64" t="n"/>
      <c r="J76" s="64" t="n"/>
      <c r="K76" s="65">
        <f>IF(NOT((COUNTA($B76:$J76)+COUNTA($M76))&gt;0),"",IFERROR(LOOKUP(2,1/(G76:J76&lt;&gt;""),G76:J76),0))</f>
        <v/>
      </c>
      <c r="L76" s="60">
        <f>IF(K76="","",IF(K76&gt;=1,"Completado",IF(K76&gt;0,"En curso","Pendiente")))</f>
        <v/>
      </c>
      <c r="M76" s="61" t="n"/>
      <c r="N76" s="66">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c r="O76" s="67">
        <f>IF(NOT((COUNTA($B76:$J76)+COUNTA($M76))&gt;0),"",IF(ISNUMBER($D76),DATE(YEAR($D76),MONTH($D76),1),IF(ISNUMBER($E76),DATE(YEAR($E76),MONTH($E76),1),MesCiclo)))</f>
        <v/>
      </c>
      <c r="P76" s="68">
        <f>IF(OR($O76="",$O76&lt;&gt;MesCiclo),"",COUNTIF($O$5:$O76,MesCiclo))</f>
        <v/>
      </c>
    </row>
    <row r="77">
      <c r="A77" s="60">
        <f>IF(NOT((COUNTA($B77:$J77)+COUNTA($M77))&gt;0),"",COUNTIFS($L$5:$L77,"?*",$O$5:$O77,$O77))</f>
        <v/>
      </c>
      <c r="B77" s="61" t="n"/>
      <c r="C77" s="61" t="n"/>
      <c r="D77" s="62" t="n"/>
      <c r="E77" s="62" t="n"/>
      <c r="F77" s="63" t="n"/>
      <c r="G77" s="64" t="n"/>
      <c r="H77" s="64" t="n"/>
      <c r="I77" s="64" t="n"/>
      <c r="J77" s="64" t="n"/>
      <c r="K77" s="65">
        <f>IF(NOT((COUNTA($B77:$J77)+COUNTA($M77))&gt;0),"",IFERROR(LOOKUP(2,1/(G77:J77&lt;&gt;""),G77:J77),0))</f>
        <v/>
      </c>
      <c r="L77" s="60">
        <f>IF(K77="","",IF(K77&gt;=1,"Completado",IF(K77&gt;0,"En curso","Pendiente")))</f>
        <v/>
      </c>
      <c r="M77" s="61" t="n"/>
      <c r="N77" s="66">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c r="O77" s="67">
        <f>IF(NOT((COUNTA($B77:$J77)+COUNTA($M77))&gt;0),"",IF(ISNUMBER($D77),DATE(YEAR($D77),MONTH($D77),1),IF(ISNUMBER($E77),DATE(YEAR($E77),MONTH($E77),1),MesCiclo)))</f>
        <v/>
      </c>
      <c r="P77" s="68">
        <f>IF(OR($O77="",$O77&lt;&gt;MesCiclo),"",COUNTIF($O$5:$O77,MesCiclo))</f>
        <v/>
      </c>
    </row>
    <row r="78">
      <c r="A78" s="60">
        <f>IF(NOT((COUNTA($B78:$J78)+COUNTA($M78))&gt;0),"",COUNTIFS($L$5:$L78,"?*",$O$5:$O78,$O78))</f>
        <v/>
      </c>
      <c r="B78" s="61" t="n"/>
      <c r="C78" s="61" t="n"/>
      <c r="D78" s="62" t="n"/>
      <c r="E78" s="62" t="n"/>
      <c r="F78" s="63" t="n"/>
      <c r="G78" s="64" t="n"/>
      <c r="H78" s="64" t="n"/>
      <c r="I78" s="64" t="n"/>
      <c r="J78" s="64" t="n"/>
      <c r="K78" s="65">
        <f>IF(NOT((COUNTA($B78:$J78)+COUNTA($M78))&gt;0),"",IFERROR(LOOKUP(2,1/(G78:J78&lt;&gt;""),G78:J78),0))</f>
        <v/>
      </c>
      <c r="L78" s="60">
        <f>IF(K78="","",IF(K78&gt;=1,"Completado",IF(K78&gt;0,"En curso","Pendiente")))</f>
        <v/>
      </c>
      <c r="M78" s="61" t="n"/>
      <c r="N78" s="66">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c r="O78" s="67">
        <f>IF(NOT((COUNTA($B78:$J78)+COUNTA($M78))&gt;0),"",IF(ISNUMBER($D78),DATE(YEAR($D78),MONTH($D78),1),IF(ISNUMBER($E78),DATE(YEAR($E78),MONTH($E78),1),MesCiclo)))</f>
        <v/>
      </c>
      <c r="P78" s="68">
        <f>IF(OR($O78="",$O78&lt;&gt;MesCiclo),"",COUNTIF($O$5:$O78,MesCiclo))</f>
        <v/>
      </c>
    </row>
    <row r="79">
      <c r="A79" s="60">
        <f>IF(NOT((COUNTA($B79:$J79)+COUNTA($M79))&gt;0),"",COUNTIFS($L$5:$L79,"?*",$O$5:$O79,$O79))</f>
        <v/>
      </c>
      <c r="B79" s="61" t="n"/>
      <c r="C79" s="61" t="n"/>
      <c r="D79" s="62" t="n"/>
      <c r="E79" s="62" t="n"/>
      <c r="F79" s="63" t="n"/>
      <c r="G79" s="64" t="n"/>
      <c r="H79" s="64" t="n"/>
      <c r="I79" s="64" t="n"/>
      <c r="J79" s="64" t="n"/>
      <c r="K79" s="65">
        <f>IF(NOT((COUNTA($B79:$J79)+COUNTA($M79))&gt;0),"",IFERROR(LOOKUP(2,1/(G79:J79&lt;&gt;""),G79:J79),0))</f>
        <v/>
      </c>
      <c r="L79" s="60">
        <f>IF(K79="","",IF(K79&gt;=1,"Completado",IF(K79&gt;0,"En curso","Pendiente")))</f>
        <v/>
      </c>
      <c r="M79" s="61" t="n"/>
      <c r="N79" s="66">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c r="O79" s="67">
        <f>IF(NOT((COUNTA($B79:$J79)+COUNTA($M79))&gt;0),"",IF(ISNUMBER($D79),DATE(YEAR($D79),MONTH($D79),1),IF(ISNUMBER($E79),DATE(YEAR($E79),MONTH($E79),1),MesCiclo)))</f>
        <v/>
      </c>
      <c r="P79" s="68">
        <f>IF(OR($O79="",$O79&lt;&gt;MesCiclo),"",COUNTIF($O$5:$O79,MesCiclo))</f>
        <v/>
      </c>
    </row>
    <row r="80">
      <c r="A80" s="60">
        <f>IF(NOT((COUNTA($B80:$J80)+COUNTA($M80))&gt;0),"",COUNTIFS($L$5:$L80,"?*",$O$5:$O80,$O80))</f>
        <v/>
      </c>
      <c r="B80" s="61" t="n"/>
      <c r="C80" s="61" t="n"/>
      <c r="D80" s="62" t="n"/>
      <c r="E80" s="62" t="n"/>
      <c r="F80" s="63" t="n"/>
      <c r="G80" s="64" t="n"/>
      <c r="H80" s="64" t="n"/>
      <c r="I80" s="64" t="n"/>
      <c r="J80" s="64" t="n"/>
      <c r="K80" s="65">
        <f>IF(NOT((COUNTA($B80:$J80)+COUNTA($M80))&gt;0),"",IFERROR(LOOKUP(2,1/(G80:J80&lt;&gt;""),G80:J80),0))</f>
        <v/>
      </c>
      <c r="L80" s="60">
        <f>IF(K80="","",IF(K80&gt;=1,"Completado",IF(K80&gt;0,"En curso","Pendiente")))</f>
        <v/>
      </c>
      <c r="M80" s="61" t="n"/>
      <c r="N80" s="66">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c r="O80" s="67">
        <f>IF(NOT((COUNTA($B80:$J80)+COUNTA($M80))&gt;0),"",IF(ISNUMBER($D80),DATE(YEAR($D80),MONTH($D80),1),IF(ISNUMBER($E80),DATE(YEAR($E80),MONTH($E80),1),MesCiclo)))</f>
        <v/>
      </c>
      <c r="P80" s="68">
        <f>IF(OR($O80="",$O80&lt;&gt;MesCiclo),"",COUNTIF($O$5:$O80,MesCiclo))</f>
        <v/>
      </c>
    </row>
    <row r="81">
      <c r="A81" s="60">
        <f>IF(NOT((COUNTA($B81:$J81)+COUNTA($M81))&gt;0),"",COUNTIFS($L$5:$L81,"?*",$O$5:$O81,$O81))</f>
        <v/>
      </c>
      <c r="B81" s="61" t="n"/>
      <c r="C81" s="61" t="n"/>
      <c r="D81" s="62" t="n"/>
      <c r="E81" s="62" t="n"/>
      <c r="F81" s="63" t="n"/>
      <c r="G81" s="64" t="n"/>
      <c r="H81" s="64" t="n"/>
      <c r="I81" s="64" t="n"/>
      <c r="J81" s="64" t="n"/>
      <c r="K81" s="65">
        <f>IF(NOT((COUNTA($B81:$J81)+COUNTA($M81))&gt;0),"",IFERROR(LOOKUP(2,1/(G81:J81&lt;&gt;""),G81:J81),0))</f>
        <v/>
      </c>
      <c r="L81" s="60">
        <f>IF(K81="","",IF(K81&gt;=1,"Completado",IF(K81&gt;0,"En curso","Pendiente")))</f>
        <v/>
      </c>
      <c r="M81" s="61" t="n"/>
      <c r="N81" s="66">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c r="O81" s="67">
        <f>IF(NOT((COUNTA($B81:$J81)+COUNTA($M81))&gt;0),"",IF(ISNUMBER($D81),DATE(YEAR($D81),MONTH($D81),1),IF(ISNUMBER($E81),DATE(YEAR($E81),MONTH($E81),1),MesCiclo)))</f>
        <v/>
      </c>
      <c r="P81" s="68">
        <f>IF(OR($O81="",$O81&lt;&gt;MesCiclo),"",COUNTIF($O$5:$O81,MesCiclo))</f>
        <v/>
      </c>
    </row>
    <row r="82">
      <c r="A82" s="60">
        <f>IF(NOT((COUNTA($B82:$J82)+COUNTA($M82))&gt;0),"",COUNTIFS($L$5:$L82,"?*",$O$5:$O82,$O82))</f>
        <v/>
      </c>
      <c r="B82" s="61" t="n"/>
      <c r="C82" s="61" t="n"/>
      <c r="D82" s="62" t="n"/>
      <c r="E82" s="62" t="n"/>
      <c r="F82" s="63" t="n"/>
      <c r="G82" s="64" t="n"/>
      <c r="H82" s="64" t="n"/>
      <c r="I82" s="64" t="n"/>
      <c r="J82" s="64" t="n"/>
      <c r="K82" s="65">
        <f>IF(NOT((COUNTA($B82:$J82)+COUNTA($M82))&gt;0),"",IFERROR(LOOKUP(2,1/(G82:J82&lt;&gt;""),G82:J82),0))</f>
        <v/>
      </c>
      <c r="L82" s="60">
        <f>IF(K82="","",IF(K82&gt;=1,"Completado",IF(K82&gt;0,"En curso","Pendiente")))</f>
        <v/>
      </c>
      <c r="M82" s="61" t="n"/>
      <c r="N82" s="66">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c r="O82" s="67">
        <f>IF(NOT((COUNTA($B82:$J82)+COUNTA($M82))&gt;0),"",IF(ISNUMBER($D82),DATE(YEAR($D82),MONTH($D82),1),IF(ISNUMBER($E82),DATE(YEAR($E82),MONTH($E82),1),MesCiclo)))</f>
        <v/>
      </c>
      <c r="P82" s="68">
        <f>IF(OR($O82="",$O82&lt;&gt;MesCiclo),"",COUNTIF($O$5:$O82,MesCiclo))</f>
        <v/>
      </c>
    </row>
    <row r="83">
      <c r="A83" s="60">
        <f>IF(NOT((COUNTA($B83:$J83)+COUNTA($M83))&gt;0),"",COUNTIFS($L$5:$L83,"?*",$O$5:$O83,$O83))</f>
        <v/>
      </c>
      <c r="B83" s="61" t="n"/>
      <c r="C83" s="61" t="n"/>
      <c r="D83" s="62" t="n"/>
      <c r="E83" s="62" t="n"/>
      <c r="F83" s="63" t="n"/>
      <c r="G83" s="64" t="n"/>
      <c r="H83" s="64" t="n"/>
      <c r="I83" s="64" t="n"/>
      <c r="J83" s="64" t="n"/>
      <c r="K83" s="65">
        <f>IF(NOT((COUNTA($B83:$J83)+COUNTA($M83))&gt;0),"",IFERROR(LOOKUP(2,1/(G83:J83&lt;&gt;""),G83:J83),0))</f>
        <v/>
      </c>
      <c r="L83" s="60">
        <f>IF(K83="","",IF(K83&gt;=1,"Completado",IF(K83&gt;0,"En curso","Pendiente")))</f>
        <v/>
      </c>
      <c r="M83" s="61" t="n"/>
      <c r="N83" s="66">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c r="O83" s="67">
        <f>IF(NOT((COUNTA($B83:$J83)+COUNTA($M83))&gt;0),"",IF(ISNUMBER($D83),DATE(YEAR($D83),MONTH($D83),1),IF(ISNUMBER($E83),DATE(YEAR($E83),MONTH($E83),1),MesCiclo)))</f>
        <v/>
      </c>
      <c r="P83" s="68">
        <f>IF(OR($O83="",$O83&lt;&gt;MesCiclo),"",COUNTIF($O$5:$O83,MesCiclo))</f>
        <v/>
      </c>
    </row>
    <row r="84">
      <c r="A84" s="60">
        <f>IF(NOT((COUNTA($B84:$J84)+COUNTA($M84))&gt;0),"",COUNTIFS($L$5:$L84,"?*",$O$5:$O84,$O84))</f>
        <v/>
      </c>
      <c r="B84" s="61" t="n"/>
      <c r="C84" s="61" t="n"/>
      <c r="D84" s="62" t="n"/>
      <c r="E84" s="62" t="n"/>
      <c r="F84" s="63" t="n"/>
      <c r="G84" s="64" t="n"/>
      <c r="H84" s="64" t="n"/>
      <c r="I84" s="64" t="n"/>
      <c r="J84" s="64" t="n"/>
      <c r="K84" s="65">
        <f>IF(NOT((COUNTA($B84:$J84)+COUNTA($M84))&gt;0),"",IFERROR(LOOKUP(2,1/(G84:J84&lt;&gt;""),G84:J84),0))</f>
        <v/>
      </c>
      <c r="L84" s="60">
        <f>IF(K84="","",IF(K84&gt;=1,"Completado",IF(K84&gt;0,"En curso","Pendiente")))</f>
        <v/>
      </c>
      <c r="M84" s="61" t="n"/>
      <c r="N84" s="66">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c r="O84" s="67">
        <f>IF(NOT((COUNTA($B84:$J84)+COUNTA($M84))&gt;0),"",IF(ISNUMBER($D84),DATE(YEAR($D84),MONTH($D84),1),IF(ISNUMBER($E84),DATE(YEAR($E84),MONTH($E84),1),MesCiclo)))</f>
        <v/>
      </c>
      <c r="P84" s="68">
        <f>IF(OR($O84="",$O84&lt;&gt;MesCiclo),"",COUNTIF($O$5:$O84,MesCiclo))</f>
        <v/>
      </c>
    </row>
    <row r="85">
      <c r="A85" s="60">
        <f>IF(NOT((COUNTA($B85:$J85)+COUNTA($M85))&gt;0),"",COUNTIFS($L$5:$L85,"?*",$O$5:$O85,$O85))</f>
        <v/>
      </c>
      <c r="B85" s="61" t="n"/>
      <c r="C85" s="61" t="n"/>
      <c r="D85" s="62" t="n"/>
      <c r="E85" s="62" t="n"/>
      <c r="F85" s="63" t="n"/>
      <c r="G85" s="64" t="n"/>
      <c r="H85" s="64" t="n"/>
      <c r="I85" s="64" t="n"/>
      <c r="J85" s="64" t="n"/>
      <c r="K85" s="65">
        <f>IF(NOT((COUNTA($B85:$J85)+COUNTA($M85))&gt;0),"",IFERROR(LOOKUP(2,1/(G85:J85&lt;&gt;""),G85:J85),0))</f>
        <v/>
      </c>
      <c r="L85" s="60">
        <f>IF(K85="","",IF(K85&gt;=1,"Completado",IF(K85&gt;0,"En curso","Pendiente")))</f>
        <v/>
      </c>
      <c r="M85" s="61" t="n"/>
      <c r="N85" s="66">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c r="O85" s="67">
        <f>IF(NOT((COUNTA($B85:$J85)+COUNTA($M85))&gt;0),"",IF(ISNUMBER($D85),DATE(YEAR($D85),MONTH($D85),1),IF(ISNUMBER($E85),DATE(YEAR($E85),MONTH($E85),1),MesCiclo)))</f>
        <v/>
      </c>
      <c r="P85" s="68">
        <f>IF(OR($O85="",$O85&lt;&gt;MesCiclo),"",COUNTIF($O$5:$O85,MesCiclo))</f>
        <v/>
      </c>
    </row>
    <row r="86">
      <c r="A86" s="60">
        <f>IF(NOT((COUNTA($B86:$J86)+COUNTA($M86))&gt;0),"",COUNTIFS($L$5:$L86,"?*",$O$5:$O86,$O86))</f>
        <v/>
      </c>
      <c r="B86" s="61" t="n"/>
      <c r="C86" s="61" t="n"/>
      <c r="D86" s="62" t="n"/>
      <c r="E86" s="62" t="n"/>
      <c r="F86" s="63" t="n"/>
      <c r="G86" s="64" t="n"/>
      <c r="H86" s="64" t="n"/>
      <c r="I86" s="64" t="n"/>
      <c r="J86" s="64" t="n"/>
      <c r="K86" s="65">
        <f>IF(NOT((COUNTA($B86:$J86)+COUNTA($M86))&gt;0),"",IFERROR(LOOKUP(2,1/(G86:J86&lt;&gt;""),G86:J86),0))</f>
        <v/>
      </c>
      <c r="L86" s="60">
        <f>IF(K86="","",IF(K86&gt;=1,"Completado",IF(K86&gt;0,"En curso","Pendiente")))</f>
        <v/>
      </c>
      <c r="M86" s="61" t="n"/>
      <c r="N86" s="66">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c r="O86" s="67">
        <f>IF(NOT((COUNTA($B86:$J86)+COUNTA($M86))&gt;0),"",IF(ISNUMBER($D86),DATE(YEAR($D86),MONTH($D86),1),IF(ISNUMBER($E86),DATE(YEAR($E86),MONTH($E86),1),MesCiclo)))</f>
        <v/>
      </c>
      <c r="P86" s="68">
        <f>IF(OR($O86="",$O86&lt;&gt;MesCiclo),"",COUNTIF($O$5:$O86,MesCiclo))</f>
        <v/>
      </c>
    </row>
    <row r="87">
      <c r="A87" s="60">
        <f>IF(NOT((COUNTA($B87:$J87)+COUNTA($M87))&gt;0),"",COUNTIFS($L$5:$L87,"?*",$O$5:$O87,$O87))</f>
        <v/>
      </c>
      <c r="B87" s="61" t="n"/>
      <c r="C87" s="61" t="n"/>
      <c r="D87" s="62" t="n"/>
      <c r="E87" s="62" t="n"/>
      <c r="F87" s="63" t="n"/>
      <c r="G87" s="64" t="n"/>
      <c r="H87" s="64" t="n"/>
      <c r="I87" s="64" t="n"/>
      <c r="J87" s="64" t="n"/>
      <c r="K87" s="65">
        <f>IF(NOT((COUNTA($B87:$J87)+COUNTA($M87))&gt;0),"",IFERROR(LOOKUP(2,1/(G87:J87&lt;&gt;""),G87:J87),0))</f>
        <v/>
      </c>
      <c r="L87" s="60">
        <f>IF(K87="","",IF(K87&gt;=1,"Completado",IF(K87&gt;0,"En curso","Pendiente")))</f>
        <v/>
      </c>
      <c r="M87" s="61" t="n"/>
      <c r="N87" s="66">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c r="O87" s="67">
        <f>IF(NOT((COUNTA($B87:$J87)+COUNTA($M87))&gt;0),"",IF(ISNUMBER($D87),DATE(YEAR($D87),MONTH($D87),1),IF(ISNUMBER($E87),DATE(YEAR($E87),MONTH($E87),1),MesCiclo)))</f>
        <v/>
      </c>
      <c r="P87" s="68">
        <f>IF(OR($O87="",$O87&lt;&gt;MesCiclo),"",COUNTIF($O$5:$O87,MesCiclo))</f>
        <v/>
      </c>
    </row>
    <row r="88">
      <c r="A88" s="60">
        <f>IF(NOT((COUNTA($B88:$J88)+COUNTA($M88))&gt;0),"",COUNTIFS($L$5:$L88,"?*",$O$5:$O88,$O88))</f>
        <v/>
      </c>
      <c r="B88" s="61" t="n"/>
      <c r="C88" s="61" t="n"/>
      <c r="D88" s="62" t="n"/>
      <c r="E88" s="62" t="n"/>
      <c r="F88" s="63" t="n"/>
      <c r="G88" s="64" t="n"/>
      <c r="H88" s="64" t="n"/>
      <c r="I88" s="64" t="n"/>
      <c r="J88" s="64" t="n"/>
      <c r="K88" s="65">
        <f>IF(NOT((COUNTA($B88:$J88)+COUNTA($M88))&gt;0),"",IFERROR(LOOKUP(2,1/(G88:J88&lt;&gt;""),G88:J88),0))</f>
        <v/>
      </c>
      <c r="L88" s="60">
        <f>IF(K88="","",IF(K88&gt;=1,"Completado",IF(K88&gt;0,"En curso","Pendiente")))</f>
        <v/>
      </c>
      <c r="M88" s="61" t="n"/>
      <c r="N88" s="66">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c r="O88" s="67">
        <f>IF(NOT((COUNTA($B88:$J88)+COUNTA($M88))&gt;0),"",IF(ISNUMBER($D88),DATE(YEAR($D88),MONTH($D88),1),IF(ISNUMBER($E88),DATE(YEAR($E88),MONTH($E88),1),MesCiclo)))</f>
        <v/>
      </c>
      <c r="P88" s="68">
        <f>IF(OR($O88="",$O88&lt;&gt;MesCiclo),"",COUNTIF($O$5:$O88,MesCiclo))</f>
        <v/>
      </c>
    </row>
    <row r="89">
      <c r="A89" s="60">
        <f>IF(NOT((COUNTA($B89:$J89)+COUNTA($M89))&gt;0),"",COUNTIFS($L$5:$L89,"?*",$O$5:$O89,$O89))</f>
        <v/>
      </c>
      <c r="B89" s="61" t="n"/>
      <c r="C89" s="61" t="n"/>
      <c r="D89" s="62" t="n"/>
      <c r="E89" s="62" t="n"/>
      <c r="F89" s="63" t="n"/>
      <c r="G89" s="64" t="n"/>
      <c r="H89" s="64" t="n"/>
      <c r="I89" s="64" t="n"/>
      <c r="J89" s="64" t="n"/>
      <c r="K89" s="65">
        <f>IF(NOT((COUNTA($B89:$J89)+COUNTA($M89))&gt;0),"",IFERROR(LOOKUP(2,1/(G89:J89&lt;&gt;""),G89:J89),0))</f>
        <v/>
      </c>
      <c r="L89" s="60">
        <f>IF(K89="","",IF(K89&gt;=1,"Completado",IF(K89&gt;0,"En curso","Pendiente")))</f>
        <v/>
      </c>
      <c r="M89" s="61" t="n"/>
      <c r="N89" s="66">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c r="O89" s="67">
        <f>IF(NOT((COUNTA($B89:$J89)+COUNTA($M89))&gt;0),"",IF(ISNUMBER($D89),DATE(YEAR($D89),MONTH($D89),1),IF(ISNUMBER($E89),DATE(YEAR($E89),MONTH($E89),1),MesCiclo)))</f>
        <v/>
      </c>
      <c r="P89" s="68">
        <f>IF(OR($O89="",$O89&lt;&gt;MesCiclo),"",COUNTIF($O$5:$O89,MesCiclo))</f>
        <v/>
      </c>
    </row>
    <row r="90">
      <c r="A90" s="60">
        <f>IF(NOT((COUNTA($B90:$J90)+COUNTA($M90))&gt;0),"",COUNTIFS($L$5:$L90,"?*",$O$5:$O90,$O90))</f>
        <v/>
      </c>
      <c r="B90" s="61" t="n"/>
      <c r="C90" s="61" t="n"/>
      <c r="D90" s="62" t="n"/>
      <c r="E90" s="62" t="n"/>
      <c r="F90" s="63" t="n"/>
      <c r="G90" s="64" t="n"/>
      <c r="H90" s="64" t="n"/>
      <c r="I90" s="64" t="n"/>
      <c r="J90" s="64" t="n"/>
      <c r="K90" s="65">
        <f>IF(NOT((COUNTA($B90:$J90)+COUNTA($M90))&gt;0),"",IFERROR(LOOKUP(2,1/(G90:J90&lt;&gt;""),G90:J90),0))</f>
        <v/>
      </c>
      <c r="L90" s="60">
        <f>IF(K90="","",IF(K90&gt;=1,"Completado",IF(K90&gt;0,"En curso","Pendiente")))</f>
        <v/>
      </c>
      <c r="M90" s="61" t="n"/>
      <c r="N90" s="66">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c r="O90" s="67">
        <f>IF(NOT((COUNTA($B90:$J90)+COUNTA($M90))&gt;0),"",IF(ISNUMBER($D90),DATE(YEAR($D90),MONTH($D90),1),IF(ISNUMBER($E90),DATE(YEAR($E90),MONTH($E90),1),MesCiclo)))</f>
        <v/>
      </c>
      <c r="P90" s="68">
        <f>IF(OR($O90="",$O90&lt;&gt;MesCiclo),"",COUNTIF($O$5:$O90,MesCiclo))</f>
        <v/>
      </c>
    </row>
    <row r="91">
      <c r="A91" s="60">
        <f>IF(NOT((COUNTA($B91:$J91)+COUNTA($M91))&gt;0),"",COUNTIFS($L$5:$L91,"?*",$O$5:$O91,$O91))</f>
        <v/>
      </c>
      <c r="B91" s="61" t="n"/>
      <c r="C91" s="61" t="n"/>
      <c r="D91" s="62" t="n"/>
      <c r="E91" s="62" t="n"/>
      <c r="F91" s="63" t="n"/>
      <c r="G91" s="64" t="n"/>
      <c r="H91" s="64" t="n"/>
      <c r="I91" s="64" t="n"/>
      <c r="J91" s="64" t="n"/>
      <c r="K91" s="65">
        <f>IF(NOT((COUNTA($B91:$J91)+COUNTA($M91))&gt;0),"",IFERROR(LOOKUP(2,1/(G91:J91&lt;&gt;""),G91:J91),0))</f>
        <v/>
      </c>
      <c r="L91" s="60">
        <f>IF(K91="","",IF(K91&gt;=1,"Completado",IF(K91&gt;0,"En curso","Pendiente")))</f>
        <v/>
      </c>
      <c r="M91" s="61" t="n"/>
      <c r="N91" s="66">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c r="O91" s="67">
        <f>IF(NOT((COUNTA($B91:$J91)+COUNTA($M91))&gt;0),"",IF(ISNUMBER($D91),DATE(YEAR($D91),MONTH($D91),1),IF(ISNUMBER($E91),DATE(YEAR($E91),MONTH($E91),1),MesCiclo)))</f>
        <v/>
      </c>
      <c r="P91" s="68">
        <f>IF(OR($O91="",$O91&lt;&gt;MesCiclo),"",COUNTIF($O$5:$O91,MesCiclo))</f>
        <v/>
      </c>
    </row>
    <row r="92">
      <c r="A92" s="60">
        <f>IF(NOT((COUNTA($B92:$J92)+COUNTA($M92))&gt;0),"",COUNTIFS($L$5:$L92,"?*",$O$5:$O92,$O92))</f>
        <v/>
      </c>
      <c r="B92" s="61" t="n"/>
      <c r="C92" s="61" t="n"/>
      <c r="D92" s="62" t="n"/>
      <c r="E92" s="62" t="n"/>
      <c r="F92" s="63" t="n"/>
      <c r="G92" s="64" t="n"/>
      <c r="H92" s="64" t="n"/>
      <c r="I92" s="64" t="n"/>
      <c r="J92" s="64" t="n"/>
      <c r="K92" s="65">
        <f>IF(NOT((COUNTA($B92:$J92)+COUNTA($M92))&gt;0),"",IFERROR(LOOKUP(2,1/(G92:J92&lt;&gt;""),G92:J92),0))</f>
        <v/>
      </c>
      <c r="L92" s="60">
        <f>IF(K92="","",IF(K92&gt;=1,"Completado",IF(K92&gt;0,"En curso","Pendiente")))</f>
        <v/>
      </c>
      <c r="M92" s="61" t="n"/>
      <c r="N92" s="66">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c r="O92" s="67">
        <f>IF(NOT((COUNTA($B92:$J92)+COUNTA($M92))&gt;0),"",IF(ISNUMBER($D92),DATE(YEAR($D92),MONTH($D92),1),IF(ISNUMBER($E92),DATE(YEAR($E92),MONTH($E92),1),MesCiclo)))</f>
        <v/>
      </c>
      <c r="P92" s="68">
        <f>IF(OR($O92="",$O92&lt;&gt;MesCiclo),"",COUNTIF($O$5:$O92,MesCiclo))</f>
        <v/>
      </c>
    </row>
    <row r="93">
      <c r="A93" s="60">
        <f>IF(NOT((COUNTA($B93:$J93)+COUNTA($M93))&gt;0),"",COUNTIFS($L$5:$L93,"?*",$O$5:$O93,$O93))</f>
        <v/>
      </c>
      <c r="B93" s="61" t="n"/>
      <c r="C93" s="61" t="n"/>
      <c r="D93" s="62" t="n"/>
      <c r="E93" s="62" t="n"/>
      <c r="F93" s="63" t="n"/>
      <c r="G93" s="64" t="n"/>
      <c r="H93" s="64" t="n"/>
      <c r="I93" s="64" t="n"/>
      <c r="J93" s="64" t="n"/>
      <c r="K93" s="65">
        <f>IF(NOT((COUNTA($B93:$J93)+COUNTA($M93))&gt;0),"",IFERROR(LOOKUP(2,1/(G93:J93&lt;&gt;""),G93:J93),0))</f>
        <v/>
      </c>
      <c r="L93" s="60">
        <f>IF(K93="","",IF(K93&gt;=1,"Completado",IF(K93&gt;0,"En curso","Pendiente")))</f>
        <v/>
      </c>
      <c r="M93" s="61" t="n"/>
      <c r="N93" s="66">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c r="O93" s="67">
        <f>IF(NOT((COUNTA($B93:$J93)+COUNTA($M93))&gt;0),"",IF(ISNUMBER($D93),DATE(YEAR($D93),MONTH($D93),1),IF(ISNUMBER($E93),DATE(YEAR($E93),MONTH($E93),1),MesCiclo)))</f>
        <v/>
      </c>
      <c r="P93" s="68">
        <f>IF(OR($O93="",$O93&lt;&gt;MesCiclo),"",COUNTIF($O$5:$O93,MesCiclo))</f>
        <v/>
      </c>
    </row>
    <row r="94">
      <c r="A94" s="60">
        <f>IF(NOT((COUNTA($B94:$J94)+COUNTA($M94))&gt;0),"",COUNTIFS($L$5:$L94,"?*",$O$5:$O94,$O94))</f>
        <v/>
      </c>
      <c r="B94" s="61" t="n"/>
      <c r="C94" s="61" t="n"/>
      <c r="D94" s="62" t="n"/>
      <c r="E94" s="62" t="n"/>
      <c r="F94" s="63" t="n"/>
      <c r="G94" s="64" t="n"/>
      <c r="H94" s="64" t="n"/>
      <c r="I94" s="64" t="n"/>
      <c r="J94" s="64" t="n"/>
      <c r="K94" s="65">
        <f>IF(NOT((COUNTA($B94:$J94)+COUNTA($M94))&gt;0),"",IFERROR(LOOKUP(2,1/(G94:J94&lt;&gt;""),G94:J94),0))</f>
        <v/>
      </c>
      <c r="L94" s="60">
        <f>IF(K94="","",IF(K94&gt;=1,"Completado",IF(K94&gt;0,"En curso","Pendiente")))</f>
        <v/>
      </c>
      <c r="M94" s="61" t="n"/>
      <c r="N94" s="66">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c r="O94" s="67">
        <f>IF(NOT((COUNTA($B94:$J94)+COUNTA($M94))&gt;0),"",IF(ISNUMBER($D94),DATE(YEAR($D94),MONTH($D94),1),IF(ISNUMBER($E94),DATE(YEAR($E94),MONTH($E94),1),MesCiclo)))</f>
        <v/>
      </c>
      <c r="P94" s="68">
        <f>IF(OR($O94="",$O94&lt;&gt;MesCiclo),"",COUNTIF($O$5:$O94,MesCiclo))</f>
        <v/>
      </c>
    </row>
    <row r="95">
      <c r="A95" s="60">
        <f>IF(NOT((COUNTA($B95:$J95)+COUNTA($M95))&gt;0),"",COUNTIFS($L$5:$L95,"?*",$O$5:$O95,$O95))</f>
        <v/>
      </c>
      <c r="B95" s="61" t="n"/>
      <c r="C95" s="61" t="n"/>
      <c r="D95" s="62" t="n"/>
      <c r="E95" s="62" t="n"/>
      <c r="F95" s="63" t="n"/>
      <c r="G95" s="64" t="n"/>
      <c r="H95" s="64" t="n"/>
      <c r="I95" s="64" t="n"/>
      <c r="J95" s="64" t="n"/>
      <c r="K95" s="65">
        <f>IF(NOT((COUNTA($B95:$J95)+COUNTA($M95))&gt;0),"",IFERROR(LOOKUP(2,1/(G95:J95&lt;&gt;""),G95:J95),0))</f>
        <v/>
      </c>
      <c r="L95" s="60">
        <f>IF(K95="","",IF(K95&gt;=1,"Completado",IF(K95&gt;0,"En curso","Pendiente")))</f>
        <v/>
      </c>
      <c r="M95" s="61" t="n"/>
      <c r="N95" s="66">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c r="O95" s="67">
        <f>IF(NOT((COUNTA($B95:$J95)+COUNTA($M95))&gt;0),"",IF(ISNUMBER($D95),DATE(YEAR($D95),MONTH($D95),1),IF(ISNUMBER($E95),DATE(YEAR($E95),MONTH($E95),1),MesCiclo)))</f>
        <v/>
      </c>
      <c r="P95" s="68">
        <f>IF(OR($O95="",$O95&lt;&gt;MesCiclo),"",COUNTIF($O$5:$O95,MesCiclo))</f>
        <v/>
      </c>
    </row>
    <row r="96">
      <c r="A96" s="60">
        <f>IF(NOT((COUNTA($B96:$J96)+COUNTA($M96))&gt;0),"",COUNTIFS($L$5:$L96,"?*",$O$5:$O96,$O96))</f>
        <v/>
      </c>
      <c r="B96" s="61" t="n"/>
      <c r="C96" s="61" t="n"/>
      <c r="D96" s="62" t="n"/>
      <c r="E96" s="62" t="n"/>
      <c r="F96" s="63" t="n"/>
      <c r="G96" s="64" t="n"/>
      <c r="H96" s="64" t="n"/>
      <c r="I96" s="64" t="n"/>
      <c r="J96" s="64" t="n"/>
      <c r="K96" s="65">
        <f>IF(NOT((COUNTA($B96:$J96)+COUNTA($M96))&gt;0),"",IFERROR(LOOKUP(2,1/(G96:J96&lt;&gt;""),G96:J96),0))</f>
        <v/>
      </c>
      <c r="L96" s="60">
        <f>IF(K96="","",IF(K96&gt;=1,"Completado",IF(K96&gt;0,"En curso","Pendiente")))</f>
        <v/>
      </c>
      <c r="M96" s="61" t="n"/>
      <c r="N96" s="66">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c r="O96" s="67">
        <f>IF(NOT((COUNTA($B96:$J96)+COUNTA($M96))&gt;0),"",IF(ISNUMBER($D96),DATE(YEAR($D96),MONTH($D96),1),IF(ISNUMBER($E96),DATE(YEAR($E96),MONTH($E96),1),MesCiclo)))</f>
        <v/>
      </c>
      <c r="P96" s="68">
        <f>IF(OR($O96="",$O96&lt;&gt;MesCiclo),"",COUNTIF($O$5:$O96,MesCiclo))</f>
        <v/>
      </c>
    </row>
    <row r="97">
      <c r="A97" s="60">
        <f>IF(NOT((COUNTA($B97:$J97)+COUNTA($M97))&gt;0),"",COUNTIFS($L$5:$L97,"?*",$O$5:$O97,$O97))</f>
        <v/>
      </c>
      <c r="B97" s="61" t="n"/>
      <c r="C97" s="61" t="n"/>
      <c r="D97" s="62" t="n"/>
      <c r="E97" s="62" t="n"/>
      <c r="F97" s="63" t="n"/>
      <c r="G97" s="64" t="n"/>
      <c r="H97" s="64" t="n"/>
      <c r="I97" s="64" t="n"/>
      <c r="J97" s="64" t="n"/>
      <c r="K97" s="65">
        <f>IF(NOT((COUNTA($B97:$J97)+COUNTA($M97))&gt;0),"",IFERROR(LOOKUP(2,1/(G97:J97&lt;&gt;""),G97:J97),0))</f>
        <v/>
      </c>
      <c r="L97" s="60">
        <f>IF(K97="","",IF(K97&gt;=1,"Completado",IF(K97&gt;0,"En curso","Pendiente")))</f>
        <v/>
      </c>
      <c r="M97" s="61" t="n"/>
      <c r="N97" s="66">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c r="O97" s="67">
        <f>IF(NOT((COUNTA($B97:$J97)+COUNTA($M97))&gt;0),"",IF(ISNUMBER($D97),DATE(YEAR($D97),MONTH($D97),1),IF(ISNUMBER($E97),DATE(YEAR($E97),MONTH($E97),1),MesCiclo)))</f>
        <v/>
      </c>
      <c r="P97" s="68">
        <f>IF(OR($O97="",$O97&lt;&gt;MesCiclo),"",COUNTIF($O$5:$O97,MesCiclo))</f>
        <v/>
      </c>
    </row>
    <row r="98">
      <c r="A98" s="60">
        <f>IF(NOT((COUNTA($B98:$J98)+COUNTA($M98))&gt;0),"",COUNTIFS($L$5:$L98,"?*",$O$5:$O98,$O98))</f>
        <v/>
      </c>
      <c r="B98" s="61" t="n"/>
      <c r="C98" s="61" t="n"/>
      <c r="D98" s="62" t="n"/>
      <c r="E98" s="62" t="n"/>
      <c r="F98" s="63" t="n"/>
      <c r="G98" s="64" t="n"/>
      <c r="H98" s="64" t="n"/>
      <c r="I98" s="64" t="n"/>
      <c r="J98" s="64" t="n"/>
      <c r="K98" s="65">
        <f>IF(NOT((COUNTA($B98:$J98)+COUNTA($M98))&gt;0),"",IFERROR(LOOKUP(2,1/(G98:J98&lt;&gt;""),G98:J98),0))</f>
        <v/>
      </c>
      <c r="L98" s="60">
        <f>IF(K98="","",IF(K98&gt;=1,"Completado",IF(K98&gt;0,"En curso","Pendiente")))</f>
        <v/>
      </c>
      <c r="M98" s="61" t="n"/>
      <c r="N98" s="66">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c r="O98" s="67">
        <f>IF(NOT((COUNTA($B98:$J98)+COUNTA($M98))&gt;0),"",IF(ISNUMBER($D98),DATE(YEAR($D98),MONTH($D98),1),IF(ISNUMBER($E98),DATE(YEAR($E98),MONTH($E98),1),MesCiclo)))</f>
        <v/>
      </c>
      <c r="P98" s="68">
        <f>IF(OR($O98="",$O98&lt;&gt;MesCiclo),"",COUNTIF($O$5:$O98,MesCiclo))</f>
        <v/>
      </c>
    </row>
    <row r="99">
      <c r="A99" s="60">
        <f>IF(NOT((COUNTA($B99:$J99)+COUNTA($M99))&gt;0),"",COUNTIFS($L$5:$L99,"?*",$O$5:$O99,$O99))</f>
        <v/>
      </c>
      <c r="B99" s="61" t="n"/>
      <c r="C99" s="61" t="n"/>
      <c r="D99" s="62" t="n"/>
      <c r="E99" s="62" t="n"/>
      <c r="F99" s="63" t="n"/>
      <c r="G99" s="64" t="n"/>
      <c r="H99" s="64" t="n"/>
      <c r="I99" s="64" t="n"/>
      <c r="J99" s="64" t="n"/>
      <c r="K99" s="65">
        <f>IF(NOT((COUNTA($B99:$J99)+COUNTA($M99))&gt;0),"",IFERROR(LOOKUP(2,1/(G99:J99&lt;&gt;""),G99:J99),0))</f>
        <v/>
      </c>
      <c r="L99" s="60">
        <f>IF(K99="","",IF(K99&gt;=1,"Completado",IF(K99&gt;0,"En curso","Pendiente")))</f>
        <v/>
      </c>
      <c r="M99" s="61" t="n"/>
      <c r="N99" s="66">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c r="O99" s="67">
        <f>IF(NOT((COUNTA($B99:$J99)+COUNTA($M99))&gt;0),"",IF(ISNUMBER($D99),DATE(YEAR($D99),MONTH($D99),1),IF(ISNUMBER($E99),DATE(YEAR($E99),MONTH($E99),1),MesCiclo)))</f>
        <v/>
      </c>
      <c r="P99" s="68">
        <f>IF(OR($O99="",$O99&lt;&gt;MesCiclo),"",COUNTIF($O$5:$O99,MesCiclo))</f>
        <v/>
      </c>
    </row>
    <row r="100">
      <c r="A100" s="60">
        <f>IF(NOT((COUNTA($B100:$J100)+COUNTA($M100))&gt;0),"",COUNTIFS($L$5:$L100,"?*",$O$5:$O100,$O100))</f>
        <v/>
      </c>
      <c r="B100" s="61" t="n"/>
      <c r="C100" s="61" t="n"/>
      <c r="D100" s="62" t="n"/>
      <c r="E100" s="62" t="n"/>
      <c r="F100" s="63" t="n"/>
      <c r="G100" s="64" t="n"/>
      <c r="H100" s="64" t="n"/>
      <c r="I100" s="64" t="n"/>
      <c r="J100" s="64" t="n"/>
      <c r="K100" s="65">
        <f>IF(NOT((COUNTA($B100:$J100)+COUNTA($M100))&gt;0),"",IFERROR(LOOKUP(2,1/(G100:J100&lt;&gt;""),G100:J100),0))</f>
        <v/>
      </c>
      <c r="L100" s="60">
        <f>IF(K100="","",IF(K100&gt;=1,"Completado",IF(K100&gt;0,"En curso","Pendiente")))</f>
        <v/>
      </c>
      <c r="M100" s="61" t="n"/>
      <c r="N100" s="66">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c r="O100" s="67">
        <f>IF(NOT((COUNTA($B100:$J100)+COUNTA($M100))&gt;0),"",IF(ISNUMBER($D100),DATE(YEAR($D100),MONTH($D100),1),IF(ISNUMBER($E100),DATE(YEAR($E100),MONTH($E100),1),MesCiclo)))</f>
        <v/>
      </c>
      <c r="P100" s="68">
        <f>IF(OR($O100="",$O100&lt;&gt;MesCiclo),"",COUNTIF($O$5:$O100,MesCiclo))</f>
        <v/>
      </c>
    </row>
    <row r="101">
      <c r="A101" s="60">
        <f>IF(NOT((COUNTA($B101:$J101)+COUNTA($M101))&gt;0),"",COUNTIFS($L$5:$L101,"?*",$O$5:$O101,$O101))</f>
        <v/>
      </c>
      <c r="B101" s="61" t="n"/>
      <c r="C101" s="61" t="n"/>
      <c r="D101" s="62" t="n"/>
      <c r="E101" s="62" t="n"/>
      <c r="F101" s="63" t="n"/>
      <c r="G101" s="64" t="n"/>
      <c r="H101" s="64" t="n"/>
      <c r="I101" s="64" t="n"/>
      <c r="J101" s="64" t="n"/>
      <c r="K101" s="65">
        <f>IF(NOT((COUNTA($B101:$J101)+COUNTA($M101))&gt;0),"",IFERROR(LOOKUP(2,1/(G101:J101&lt;&gt;""),G101:J101),0))</f>
        <v/>
      </c>
      <c r="L101" s="60">
        <f>IF(K101="","",IF(K101&gt;=1,"Completado",IF(K101&gt;0,"En curso","Pendiente")))</f>
        <v/>
      </c>
      <c r="M101" s="61" t="n"/>
      <c r="N101" s="66">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c r="O101" s="67">
        <f>IF(NOT((COUNTA($B101:$J101)+COUNTA($M101))&gt;0),"",IF(ISNUMBER($D101),DATE(YEAR($D101),MONTH($D101),1),IF(ISNUMBER($E101),DATE(YEAR($E101),MONTH($E101),1),MesCiclo)))</f>
        <v/>
      </c>
      <c r="P101" s="68">
        <f>IF(OR($O101="",$O101&lt;&gt;MesCiclo),"",COUNTIF($O$5:$O101,MesCiclo))</f>
        <v/>
      </c>
    </row>
    <row r="102">
      <c r="A102" s="60">
        <f>IF(NOT((COUNTA($B102:$J102)+COUNTA($M102))&gt;0),"",COUNTIFS($L$5:$L102,"?*",$O$5:$O102,$O102))</f>
        <v/>
      </c>
      <c r="B102" s="61" t="n"/>
      <c r="C102" s="61" t="n"/>
      <c r="D102" s="62" t="n"/>
      <c r="E102" s="62" t="n"/>
      <c r="F102" s="63" t="n"/>
      <c r="G102" s="64" t="n"/>
      <c r="H102" s="64" t="n"/>
      <c r="I102" s="64" t="n"/>
      <c r="J102" s="64" t="n"/>
      <c r="K102" s="65">
        <f>IF(NOT((COUNTA($B102:$J102)+COUNTA($M102))&gt;0),"",IFERROR(LOOKUP(2,1/(G102:J102&lt;&gt;""),G102:J102),0))</f>
        <v/>
      </c>
      <c r="L102" s="60">
        <f>IF(K102="","",IF(K102&gt;=1,"Completado",IF(K102&gt;0,"En curso","Pendiente")))</f>
        <v/>
      </c>
      <c r="M102" s="61" t="n"/>
      <c r="N102" s="66">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c r="O102" s="67">
        <f>IF(NOT((COUNTA($B102:$J102)+COUNTA($M102))&gt;0),"",IF(ISNUMBER($D102),DATE(YEAR($D102),MONTH($D102),1),IF(ISNUMBER($E102),DATE(YEAR($E102),MONTH($E102),1),MesCiclo)))</f>
        <v/>
      </c>
      <c r="P102" s="68">
        <f>IF(OR($O102="",$O102&lt;&gt;MesCiclo),"",COUNTIF($O$5:$O102,MesCiclo))</f>
        <v/>
      </c>
    </row>
    <row r="103">
      <c r="A103" s="60">
        <f>IF(NOT((COUNTA($B103:$J103)+COUNTA($M103))&gt;0),"",COUNTIFS($L$5:$L103,"?*",$O$5:$O103,$O103))</f>
        <v/>
      </c>
      <c r="B103" s="61" t="n"/>
      <c r="C103" s="61" t="n"/>
      <c r="D103" s="62" t="n"/>
      <c r="E103" s="62" t="n"/>
      <c r="F103" s="63" t="n"/>
      <c r="G103" s="64" t="n"/>
      <c r="H103" s="64" t="n"/>
      <c r="I103" s="64" t="n"/>
      <c r="J103" s="64" t="n"/>
      <c r="K103" s="65">
        <f>IF(NOT((COUNTA($B103:$J103)+COUNTA($M103))&gt;0),"",IFERROR(LOOKUP(2,1/(G103:J103&lt;&gt;""),G103:J103),0))</f>
        <v/>
      </c>
      <c r="L103" s="60">
        <f>IF(K103="","",IF(K103&gt;=1,"Completado",IF(K103&gt;0,"En curso","Pendiente")))</f>
        <v/>
      </c>
      <c r="M103" s="61" t="n"/>
      <c r="N103" s="66">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c r="O103" s="67">
        <f>IF(NOT((COUNTA($B103:$J103)+COUNTA($M103))&gt;0),"",IF(ISNUMBER($D103),DATE(YEAR($D103),MONTH($D103),1),IF(ISNUMBER($E103),DATE(YEAR($E103),MONTH($E103),1),MesCiclo)))</f>
        <v/>
      </c>
      <c r="P103" s="68">
        <f>IF(OR($O103="",$O103&lt;&gt;MesCiclo),"",COUNTIF($O$5:$O103,MesCiclo))</f>
        <v/>
      </c>
    </row>
    <row r="104">
      <c r="A104" s="60">
        <f>IF(NOT((COUNTA($B104:$J104)+COUNTA($M104))&gt;0),"",COUNTIFS($L$5:$L104,"?*",$O$5:$O104,$O104))</f>
        <v/>
      </c>
      <c r="B104" s="61" t="n"/>
      <c r="C104" s="61" t="n"/>
      <c r="D104" s="62" t="n"/>
      <c r="E104" s="62" t="n"/>
      <c r="F104" s="63" t="n"/>
      <c r="G104" s="64" t="n"/>
      <c r="H104" s="64" t="n"/>
      <c r="I104" s="64" t="n"/>
      <c r="J104" s="64" t="n"/>
      <c r="K104" s="65">
        <f>IF(NOT((COUNTA($B104:$J104)+COUNTA($M104))&gt;0),"",IFERROR(LOOKUP(2,1/(G104:J104&lt;&gt;""),G104:J104),0))</f>
        <v/>
      </c>
      <c r="L104" s="60">
        <f>IF(K104="","",IF(K104&gt;=1,"Completado",IF(K104&gt;0,"En curso","Pendiente")))</f>
        <v/>
      </c>
      <c r="M104" s="61" t="n"/>
      <c r="N104" s="66">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c r="O104" s="67">
        <f>IF(NOT((COUNTA($B104:$J104)+COUNTA($M104))&gt;0),"",IF(ISNUMBER($D104),DATE(YEAR($D104),MONTH($D104),1),IF(ISNUMBER($E104),DATE(YEAR($E104),MONTH($E104),1),MesCiclo)))</f>
        <v/>
      </c>
      <c r="P104" s="68">
        <f>IF(OR($O104="",$O104&lt;&gt;MesCiclo),"",COUNTIF($O$5:$O104,MesCiclo))</f>
        <v/>
      </c>
    </row>
    <row r="105">
      <c r="A105" s="60">
        <f>IF(NOT((COUNTA($B105:$J105)+COUNTA($M105))&gt;0),"",COUNTIFS($L$5:$L105,"?*",$O$5:$O105,$O105))</f>
        <v/>
      </c>
      <c r="B105" s="61" t="n"/>
      <c r="C105" s="61" t="n"/>
      <c r="D105" s="62" t="n"/>
      <c r="E105" s="62" t="n"/>
      <c r="F105" s="63" t="n"/>
      <c r="G105" s="64" t="n"/>
      <c r="H105" s="64" t="n"/>
      <c r="I105" s="64" t="n"/>
      <c r="J105" s="64" t="n"/>
      <c r="K105" s="65">
        <f>IF(NOT((COUNTA($B105:$J105)+COUNTA($M105))&gt;0),"",IFERROR(LOOKUP(2,1/(G105:J105&lt;&gt;""),G105:J105),0))</f>
        <v/>
      </c>
      <c r="L105" s="60">
        <f>IF(K105="","",IF(K105&gt;=1,"Completado",IF(K105&gt;0,"En curso","Pendiente")))</f>
        <v/>
      </c>
      <c r="M105" s="61" t="n"/>
      <c r="N105" s="66">
        <f>IF(NOT((COUNTA($B105:$J105)+COUNTA($M105))&gt;0),"",IF((IF(B105="","Macroactividad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 OK","⚠ "&amp;LEFT(IF(B105="","Macroactividad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",""),LEN(IF(B105="","Macroactividad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",""))-3)))</f>
        <v/>
      </c>
      <c r="O105" s="67">
        <f>IF(NOT((COUNTA($B105:$J105)+COUNTA($M105))&gt;0),"",IF(ISNUMBER($D105),DATE(YEAR($D105),MONTH($D105),1),IF(ISNUMBER($E105),DATE(YEAR($E105),MONTH($E105),1),MesCiclo)))</f>
        <v/>
      </c>
      <c r="P105" s="68">
        <f>IF(OR($O105="",$O105&lt;&gt;MesCiclo),"",COUNTIF($O$5:$O105,MesCiclo))</f>
        <v/>
      </c>
    </row>
    <row r="106">
      <c r="A106" s="60">
        <f>IF(NOT((COUNTA($B106:$J106)+COUNTA($M106))&gt;0),"",COUNTIFS($L$5:$L106,"?*",$O$5:$O106,$O106))</f>
        <v/>
      </c>
      <c r="B106" s="61" t="n"/>
      <c r="C106" s="61" t="n"/>
      <c r="D106" s="62" t="n"/>
      <c r="E106" s="62" t="n"/>
      <c r="F106" s="63" t="n"/>
      <c r="G106" s="64" t="n"/>
      <c r="H106" s="64" t="n"/>
      <c r="I106" s="64" t="n"/>
      <c r="J106" s="64" t="n"/>
      <c r="K106" s="65">
        <f>IF(NOT((COUNTA($B106:$J106)+COUNTA($M106))&gt;0),"",IFERROR(LOOKUP(2,1/(G106:J106&lt;&gt;""),G106:J106),0))</f>
        <v/>
      </c>
      <c r="L106" s="60">
        <f>IF(K106="","",IF(K106&gt;=1,"Completado",IF(K106&gt;0,"En curso","Pendiente")))</f>
        <v/>
      </c>
      <c r="M106" s="61" t="n"/>
      <c r="N106" s="66">
        <f>IF(NOT((COUNTA($B106:$J106)+COUNTA($M106))&gt;0),"",IF((IF(B106="","Macroactividad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 OK","⚠ "&amp;LEFT(IF(B106="","Macroactividad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",""),LEN(IF(B106="","Macroactividad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",""))-3)))</f>
        <v/>
      </c>
      <c r="O106" s="67">
        <f>IF(NOT((COUNTA($B106:$J106)+COUNTA($M106))&gt;0),"",IF(ISNUMBER($D106),DATE(YEAR($D106),MONTH($D106),1),IF(ISNUMBER($E106),DATE(YEAR($E106),MONTH($E106),1),MesCiclo)))</f>
        <v/>
      </c>
      <c r="P106" s="68">
        <f>IF(OR($O106="",$O106&lt;&gt;MesCiclo),"",COUNTIF($O$5:$O106,MesCiclo))</f>
        <v/>
      </c>
    </row>
    <row r="107">
      <c r="A107" s="60">
        <f>IF(NOT((COUNTA($B107:$J107)+COUNTA($M107))&gt;0),"",COUNTIFS($L$5:$L107,"?*",$O$5:$O107,$O107))</f>
        <v/>
      </c>
      <c r="B107" s="61" t="n"/>
      <c r="C107" s="61" t="n"/>
      <c r="D107" s="62" t="n"/>
      <c r="E107" s="62" t="n"/>
      <c r="F107" s="63" t="n"/>
      <c r="G107" s="64" t="n"/>
      <c r="H107" s="64" t="n"/>
      <c r="I107" s="64" t="n"/>
      <c r="J107" s="64" t="n"/>
      <c r="K107" s="65">
        <f>IF(NOT((COUNTA($B107:$J107)+COUNTA($M107))&gt;0),"",IFERROR(LOOKUP(2,1/(G107:J107&lt;&gt;""),G107:J107),0))</f>
        <v/>
      </c>
      <c r="L107" s="60">
        <f>IF(K107="","",IF(K107&gt;=1,"Completado",IF(K107&gt;0,"En curso","Pendiente")))</f>
        <v/>
      </c>
      <c r="M107" s="61" t="n"/>
      <c r="N107" s="66">
        <f>IF(NOT((COUNTA($B107:$J107)+COUNTA($M107))&gt;0),"",IF((IF(B107="","Macroactividad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 OK","⚠ "&amp;LEFT(IF(B107="","Macroactividad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",""),LEN(IF(B107="","Macroactividad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",""))-3)))</f>
        <v/>
      </c>
      <c r="O107" s="67">
        <f>IF(NOT((COUNTA($B107:$J107)+COUNTA($M107))&gt;0),"",IF(ISNUMBER($D107),DATE(YEAR($D107),MONTH($D107),1),IF(ISNUMBER($E107),DATE(YEAR($E107),MONTH($E107),1),MesCiclo)))</f>
        <v/>
      </c>
      <c r="P107" s="68">
        <f>IF(OR($O107="",$O107&lt;&gt;MesCiclo),"",COUNTIF($O$5:$O107,MesCiclo))</f>
        <v/>
      </c>
    </row>
    <row r="108">
      <c r="A108" s="60">
        <f>IF(NOT((COUNTA($B108:$J108)+COUNTA($M108))&gt;0),"",COUNTIFS($L$5:$L108,"?*",$O$5:$O108,$O108))</f>
        <v/>
      </c>
      <c r="B108" s="61" t="n"/>
      <c r="C108" s="61" t="n"/>
      <c r="D108" s="62" t="n"/>
      <c r="E108" s="62" t="n"/>
      <c r="F108" s="63" t="n"/>
      <c r="G108" s="64" t="n"/>
      <c r="H108" s="64" t="n"/>
      <c r="I108" s="64" t="n"/>
      <c r="J108" s="64" t="n"/>
      <c r="K108" s="65">
        <f>IF(NOT((COUNTA($B108:$J108)+COUNTA($M108))&gt;0),"",IFERROR(LOOKUP(2,1/(G108:J108&lt;&gt;""),G108:J108),0))</f>
        <v/>
      </c>
      <c r="L108" s="60">
        <f>IF(K108="","",IF(K108&gt;=1,"Completado",IF(K108&gt;0,"En curso","Pendiente")))</f>
        <v/>
      </c>
      <c r="M108" s="61" t="n"/>
      <c r="N108" s="66">
        <f>IF(NOT((COUNTA($B108:$J108)+COUNTA($M108))&gt;0),"",IF((IF(B108="","Macroactividad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 OK","⚠ "&amp;LEFT(IF(B108="","Macroactividad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",""),LEN(IF(B108="","Macroactividad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",""))-3)))</f>
        <v/>
      </c>
      <c r="O108" s="67">
        <f>IF(NOT((COUNTA($B108:$J108)+COUNTA($M108))&gt;0),"",IF(ISNUMBER($D108),DATE(YEAR($D108),MONTH($D108),1),IF(ISNUMBER($E108),DATE(YEAR($E108),MONTH($E108),1),MesCiclo)))</f>
        <v/>
      </c>
      <c r="P108" s="68">
        <f>IF(OR($O108="",$O108&lt;&gt;MesCiclo),"",COUNTIF($O$5:$O108,MesCiclo))</f>
        <v/>
      </c>
    </row>
    <row r="109">
      <c r="A109" s="60">
        <f>IF(NOT((COUNTA($B109:$J109)+COUNTA($M109))&gt;0),"",COUNTIFS($L$5:$L109,"?*",$O$5:$O109,$O109))</f>
        <v/>
      </c>
      <c r="B109" s="61" t="n"/>
      <c r="C109" s="61" t="n"/>
      <c r="D109" s="62" t="n"/>
      <c r="E109" s="62" t="n"/>
      <c r="F109" s="63" t="n"/>
      <c r="G109" s="64" t="n"/>
      <c r="H109" s="64" t="n"/>
      <c r="I109" s="64" t="n"/>
      <c r="J109" s="64" t="n"/>
      <c r="K109" s="65">
        <f>IF(NOT((COUNTA($B109:$J109)+COUNTA($M109))&gt;0),"",IFERROR(LOOKUP(2,1/(G109:J109&lt;&gt;""),G109:J109),0))</f>
        <v/>
      </c>
      <c r="L109" s="60">
        <f>IF(K109="","",IF(K109&gt;=1,"Completado",IF(K109&gt;0,"En curso","Pendiente")))</f>
        <v/>
      </c>
      <c r="M109" s="61" t="n"/>
      <c r="N109" s="66">
        <f>IF(NOT((COUNTA($B109:$J109)+COUNTA($M109))&gt;0),"",IF((IF(B109="","Macroactividad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 OK","⚠ "&amp;LEFT(IF(B109="","Macroactividad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",""),LEN(IF(B109="","Macroactividad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",""))-3)))</f>
        <v/>
      </c>
      <c r="O109" s="67">
        <f>IF(NOT((COUNTA($B109:$J109)+COUNTA($M109))&gt;0),"",IF(ISNUMBER($D109),DATE(YEAR($D109),MONTH($D109),1),IF(ISNUMBER($E109),DATE(YEAR($E109),MONTH($E109),1),MesCiclo)))</f>
        <v/>
      </c>
      <c r="P109" s="68">
        <f>IF(OR($O109="",$O109&lt;&gt;MesCiclo),"",COUNTIF($O$5:$O109,MesCiclo))</f>
        <v/>
      </c>
    </row>
    <row r="110">
      <c r="A110" s="60">
        <f>IF(NOT((COUNTA($B110:$J110)+COUNTA($M110))&gt;0),"",COUNTIFS($L$5:$L110,"?*",$O$5:$O110,$O110))</f>
        <v/>
      </c>
      <c r="B110" s="61" t="n"/>
      <c r="C110" s="61" t="n"/>
      <c r="D110" s="62" t="n"/>
      <c r="E110" s="62" t="n"/>
      <c r="F110" s="63" t="n"/>
      <c r="G110" s="64" t="n"/>
      <c r="H110" s="64" t="n"/>
      <c r="I110" s="64" t="n"/>
      <c r="J110" s="64" t="n"/>
      <c r="K110" s="65">
        <f>IF(NOT((COUNTA($B110:$J110)+COUNTA($M110))&gt;0),"",IFERROR(LOOKUP(2,1/(G110:J110&lt;&gt;""),G110:J110),0))</f>
        <v/>
      </c>
      <c r="L110" s="60">
        <f>IF(K110="","",IF(K110&gt;=1,"Completado",IF(K110&gt;0,"En curso","Pendiente")))</f>
        <v/>
      </c>
      <c r="M110" s="61" t="n"/>
      <c r="N110" s="66">
        <f>IF(NOT((COUNTA($B110:$J110)+COUNTA($M110))&gt;0),"",IF((IF(B110="","Macroactividad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 OK","⚠ "&amp;LEFT(IF(B110="","Macroactividad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",""),LEN(IF(B110="","Macroactividad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",""))-3)))</f>
        <v/>
      </c>
      <c r="O110" s="67">
        <f>IF(NOT((COUNTA($B110:$J110)+COUNTA($M110))&gt;0),"",IF(ISNUMBER($D110),DATE(YEAR($D110),MONTH($D110),1),IF(ISNUMBER($E110),DATE(YEAR($E110),MONTH($E110),1),MesCiclo)))</f>
        <v/>
      </c>
      <c r="P110" s="68">
        <f>IF(OR($O110="",$O110&lt;&gt;MesCiclo),"",COUNTIF($O$5:$O110,MesCiclo))</f>
        <v/>
      </c>
    </row>
    <row r="111">
      <c r="A111" s="60">
        <f>IF(NOT((COUNTA($B111:$J111)+COUNTA($M111))&gt;0),"",COUNTIFS($L$5:$L111,"?*",$O$5:$O111,$O111))</f>
        <v/>
      </c>
      <c r="B111" s="61" t="n"/>
      <c r="C111" s="61" t="n"/>
      <c r="D111" s="62" t="n"/>
      <c r="E111" s="62" t="n"/>
      <c r="F111" s="63" t="n"/>
      <c r="G111" s="64" t="n"/>
      <c r="H111" s="64" t="n"/>
      <c r="I111" s="64" t="n"/>
      <c r="J111" s="64" t="n"/>
      <c r="K111" s="65">
        <f>IF(NOT((COUNTA($B111:$J111)+COUNTA($M111))&gt;0),"",IFERROR(LOOKUP(2,1/(G111:J111&lt;&gt;""),G111:J111),0))</f>
        <v/>
      </c>
      <c r="L111" s="60">
        <f>IF(K111="","",IF(K111&gt;=1,"Completado",IF(K111&gt;0,"En curso","Pendiente")))</f>
        <v/>
      </c>
      <c r="M111" s="61" t="n"/>
      <c r="N111" s="66">
        <f>IF(NOT((COUNTA($B111:$J111)+COUNTA($M111))&gt;0),"",IF((IF(B111="","Macroactividad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 OK","⚠ "&amp;LEFT(IF(B111="","Macroactividad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",""),LEN(IF(B111="","Macroactividad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",""))-3)))</f>
        <v/>
      </c>
      <c r="O111" s="67">
        <f>IF(NOT((COUNTA($B111:$J111)+COUNTA($M111))&gt;0),"",IF(ISNUMBER($D111),DATE(YEAR($D111),MONTH($D111),1),IF(ISNUMBER($E111),DATE(YEAR($E111),MONTH($E111),1),MesCiclo)))</f>
        <v/>
      </c>
      <c r="P111" s="68">
        <f>IF(OR($O111="",$O111&lt;&gt;MesCiclo),"",COUNTIF($O$5:$O111,MesCiclo))</f>
        <v/>
      </c>
    </row>
    <row r="112">
      <c r="A112" s="60">
        <f>IF(NOT((COUNTA($B112:$J112)+COUNTA($M112))&gt;0),"",COUNTIFS($L$5:$L112,"?*",$O$5:$O112,$O112))</f>
        <v/>
      </c>
      <c r="B112" s="61" t="n"/>
      <c r="C112" s="61" t="n"/>
      <c r="D112" s="62" t="n"/>
      <c r="E112" s="62" t="n"/>
      <c r="F112" s="63" t="n"/>
      <c r="G112" s="64" t="n"/>
      <c r="H112" s="64" t="n"/>
      <c r="I112" s="64" t="n"/>
      <c r="J112" s="64" t="n"/>
      <c r="K112" s="65">
        <f>IF(NOT((COUNTA($B112:$J112)+COUNTA($M112))&gt;0),"",IFERROR(LOOKUP(2,1/(G112:J112&lt;&gt;""),G112:J112),0))</f>
        <v/>
      </c>
      <c r="L112" s="60">
        <f>IF(K112="","",IF(K112&gt;=1,"Completado",IF(K112&gt;0,"En curso","Pendiente")))</f>
        <v/>
      </c>
      <c r="M112" s="61" t="n"/>
      <c r="N112" s="66">
        <f>IF(NOT((COUNTA($B112:$J112)+COUNTA($M112))&gt;0),"",IF((IF(B112="","Macroactividad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 OK","⚠ "&amp;LEFT(IF(B112="","Macroactividad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",""),LEN(IF(B112="","Macroactividad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",""))-3)))</f>
        <v/>
      </c>
      <c r="O112" s="67">
        <f>IF(NOT((COUNTA($B112:$J112)+COUNTA($M112))&gt;0),"",IF(ISNUMBER($D112),DATE(YEAR($D112),MONTH($D112),1),IF(ISNUMBER($E112),DATE(YEAR($E112),MONTH($E112),1),MesCiclo)))</f>
        <v/>
      </c>
      <c r="P112" s="68">
        <f>IF(OR($O112="",$O112&lt;&gt;MesCiclo),"",COUNTIF($O$5:$O112,MesCiclo))</f>
        <v/>
      </c>
    </row>
    <row r="113">
      <c r="A113" s="60">
        <f>IF(NOT((COUNTA($B113:$J113)+COUNTA($M113))&gt;0),"",COUNTIFS($L$5:$L113,"?*",$O$5:$O113,$O113))</f>
        <v/>
      </c>
      <c r="B113" s="61" t="n"/>
      <c r="C113" s="61" t="n"/>
      <c r="D113" s="62" t="n"/>
      <c r="E113" s="62" t="n"/>
      <c r="F113" s="63" t="n"/>
      <c r="G113" s="64" t="n"/>
      <c r="H113" s="64" t="n"/>
      <c r="I113" s="64" t="n"/>
      <c r="J113" s="64" t="n"/>
      <c r="K113" s="65">
        <f>IF(NOT((COUNTA($B113:$J113)+COUNTA($M113))&gt;0),"",IFERROR(LOOKUP(2,1/(G113:J113&lt;&gt;""),G113:J113),0))</f>
        <v/>
      </c>
      <c r="L113" s="60">
        <f>IF(K113="","",IF(K113&gt;=1,"Completado",IF(K113&gt;0,"En curso","Pendiente")))</f>
        <v/>
      </c>
      <c r="M113" s="61" t="n"/>
      <c r="N113" s="66">
        <f>IF(NOT((COUNTA($B113:$J113)+COUNTA($M113))&gt;0),"",IF((IF(B113="","Macroactividad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 OK","⚠ "&amp;LEFT(IF(B113="","Macroactividad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",""),LEN(IF(B113="","Macroactividad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",""))-3)))</f>
        <v/>
      </c>
      <c r="O113" s="67">
        <f>IF(NOT((COUNTA($B113:$J113)+COUNTA($M113))&gt;0),"",IF(ISNUMBER($D113),DATE(YEAR($D113),MONTH($D113),1),IF(ISNUMBER($E113),DATE(YEAR($E113),MONTH($E113),1),MesCiclo)))</f>
        <v/>
      </c>
      <c r="P113" s="68">
        <f>IF(OR($O113="",$O113&lt;&gt;MesCiclo),"",COUNTIF($O$5:$O113,MesCiclo))</f>
        <v/>
      </c>
    </row>
    <row r="114">
      <c r="A114" s="60">
        <f>IF(NOT((COUNTA($B114:$J114)+COUNTA($M114))&gt;0),"",COUNTIFS($L$5:$L114,"?*",$O$5:$O114,$O114))</f>
        <v/>
      </c>
      <c r="B114" s="61" t="n"/>
      <c r="C114" s="61" t="n"/>
      <c r="D114" s="62" t="n"/>
      <c r="E114" s="62" t="n"/>
      <c r="F114" s="63" t="n"/>
      <c r="G114" s="64" t="n"/>
      <c r="H114" s="64" t="n"/>
      <c r="I114" s="64" t="n"/>
      <c r="J114" s="64" t="n"/>
      <c r="K114" s="65">
        <f>IF(NOT((COUNTA($B114:$J114)+COUNTA($M114))&gt;0),"",IFERROR(LOOKUP(2,1/(G114:J114&lt;&gt;""),G114:J114),0))</f>
        <v/>
      </c>
      <c r="L114" s="60">
        <f>IF(K114="","",IF(K114&gt;=1,"Completado",IF(K114&gt;0,"En curso","Pendiente")))</f>
        <v/>
      </c>
      <c r="M114" s="61" t="n"/>
      <c r="N114" s="66">
        <f>IF(NOT((COUNTA($B114:$J114)+COUNTA($M114))&gt;0),"",IF((IF(B114="","Macroactividad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 OK","⚠ "&amp;LEFT(IF(B114="","Macroactividad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",""),LEN(IF(B114="","Macroactividad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",""))-3)))</f>
        <v/>
      </c>
      <c r="O114" s="67">
        <f>IF(NOT((COUNTA($B114:$J114)+COUNTA($M114))&gt;0),"",IF(ISNUMBER($D114),DATE(YEAR($D114),MONTH($D114),1),IF(ISNUMBER($E114),DATE(YEAR($E114),MONTH($E114),1),MesCiclo)))</f>
        <v/>
      </c>
      <c r="P114" s="68">
        <f>IF(OR($O114="",$O114&lt;&gt;MesCiclo),"",COUNTIF($O$5:$O114,MesCiclo))</f>
        <v/>
      </c>
    </row>
    <row r="115">
      <c r="A115" s="60">
        <f>IF(NOT((COUNTA($B115:$J115)+COUNTA($M115))&gt;0),"",COUNTIFS($L$5:$L115,"?*",$O$5:$O115,$O115))</f>
        <v/>
      </c>
      <c r="B115" s="61" t="n"/>
      <c r="C115" s="61" t="n"/>
      <c r="D115" s="62" t="n"/>
      <c r="E115" s="62" t="n"/>
      <c r="F115" s="63" t="n"/>
      <c r="G115" s="64" t="n"/>
      <c r="H115" s="64" t="n"/>
      <c r="I115" s="64" t="n"/>
      <c r="J115" s="64" t="n"/>
      <c r="K115" s="65">
        <f>IF(NOT((COUNTA($B115:$J115)+COUNTA($M115))&gt;0),"",IFERROR(LOOKUP(2,1/(G115:J115&lt;&gt;""),G115:J115),0))</f>
        <v/>
      </c>
      <c r="L115" s="60">
        <f>IF(K115="","",IF(K115&gt;=1,"Completado",IF(K115&gt;0,"En curso","Pendiente")))</f>
        <v/>
      </c>
      <c r="M115" s="61" t="n"/>
      <c r="N115" s="66">
        <f>IF(NOT((COUNTA($B115:$J115)+COUNTA($M115))&gt;0),"",IF((IF(B115="","Macroactividad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 OK","⚠ "&amp;LEFT(IF(B115="","Macroactividad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",""),LEN(IF(B115="","Macroactividad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",""))-3)))</f>
        <v/>
      </c>
      <c r="O115" s="67">
        <f>IF(NOT((COUNTA($B115:$J115)+COUNTA($M115))&gt;0),"",IF(ISNUMBER($D115),DATE(YEAR($D115),MONTH($D115),1),IF(ISNUMBER($E115),DATE(YEAR($E115),MONTH($E115),1),MesCiclo)))</f>
        <v/>
      </c>
      <c r="P115" s="68">
        <f>IF(OR($O115="",$O115&lt;&gt;MesCiclo),"",COUNTIF($O$5:$O115,MesCiclo))</f>
        <v/>
      </c>
    </row>
    <row r="116">
      <c r="A116" s="60">
        <f>IF(NOT((COUNTA($B116:$J116)+COUNTA($M116))&gt;0),"",COUNTIFS($L$5:$L116,"?*",$O$5:$O116,$O116))</f>
        <v/>
      </c>
      <c r="B116" s="61" t="n"/>
      <c r="C116" s="61" t="n"/>
      <c r="D116" s="62" t="n"/>
      <c r="E116" s="62" t="n"/>
      <c r="F116" s="63" t="n"/>
      <c r="G116" s="64" t="n"/>
      <c r="H116" s="64" t="n"/>
      <c r="I116" s="64" t="n"/>
      <c r="J116" s="64" t="n"/>
      <c r="K116" s="65">
        <f>IF(NOT((COUNTA($B116:$J116)+COUNTA($M116))&gt;0),"",IFERROR(LOOKUP(2,1/(G116:J116&lt;&gt;""),G116:J116),0))</f>
        <v/>
      </c>
      <c r="L116" s="60">
        <f>IF(K116="","",IF(K116&gt;=1,"Completado",IF(K116&gt;0,"En curso","Pendiente")))</f>
        <v/>
      </c>
      <c r="M116" s="61" t="n"/>
      <c r="N116" s="66">
        <f>IF(NOT((COUNTA($B116:$J116)+COUNTA($M116))&gt;0),"",IF((IF(B116="","Macroactividad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 OK","⚠ "&amp;LEFT(IF(B116="","Macroactividad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",""),LEN(IF(B116="","Macroactividad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",""))-3)))</f>
        <v/>
      </c>
      <c r="O116" s="67">
        <f>IF(NOT((COUNTA($B116:$J116)+COUNTA($M116))&gt;0),"",IF(ISNUMBER($D116),DATE(YEAR($D116),MONTH($D116),1),IF(ISNUMBER($E116),DATE(YEAR($E116),MONTH($E116),1),MesCiclo)))</f>
        <v/>
      </c>
      <c r="P116" s="68">
        <f>IF(OR($O116="",$O116&lt;&gt;MesCiclo),"",COUNTIF($O$5:$O116,MesCiclo))</f>
        <v/>
      </c>
    </row>
    <row r="117">
      <c r="A117" s="60">
        <f>IF(NOT((COUNTA($B117:$J117)+COUNTA($M117))&gt;0),"",COUNTIFS($L$5:$L117,"?*",$O$5:$O117,$O117))</f>
        <v/>
      </c>
      <c r="B117" s="61" t="n"/>
      <c r="C117" s="61" t="n"/>
      <c r="D117" s="62" t="n"/>
      <c r="E117" s="62" t="n"/>
      <c r="F117" s="63" t="n"/>
      <c r="G117" s="64" t="n"/>
      <c r="H117" s="64" t="n"/>
      <c r="I117" s="64" t="n"/>
      <c r="J117" s="64" t="n"/>
      <c r="K117" s="65">
        <f>IF(NOT((COUNTA($B117:$J117)+COUNTA($M117))&gt;0),"",IFERROR(LOOKUP(2,1/(G117:J117&lt;&gt;""),G117:J117),0))</f>
        <v/>
      </c>
      <c r="L117" s="60">
        <f>IF(K117="","",IF(K117&gt;=1,"Completado",IF(K117&gt;0,"En curso","Pendiente")))</f>
        <v/>
      </c>
      <c r="M117" s="61" t="n"/>
      <c r="N117" s="66">
        <f>IF(NOT((COUNTA($B117:$J117)+COUNTA($M117))&gt;0),"",IF((IF(B117="","Macroactividad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 OK","⚠ "&amp;LEFT(IF(B117="","Macroactividad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",""),LEN(IF(B117="","Macroactividad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",""))-3)))</f>
        <v/>
      </c>
      <c r="O117" s="67">
        <f>IF(NOT((COUNTA($B117:$J117)+COUNTA($M117))&gt;0),"",IF(ISNUMBER($D117),DATE(YEAR($D117),MONTH($D117),1),IF(ISNUMBER($E117),DATE(YEAR($E117),MONTH($E117),1),MesCiclo)))</f>
        <v/>
      </c>
      <c r="P117" s="68">
        <f>IF(OR($O117="",$O117&lt;&gt;MesCiclo),"",COUNTIF($O$5:$O117,MesCiclo))</f>
        <v/>
      </c>
    </row>
    <row r="118">
      <c r="A118" s="60">
        <f>IF(NOT((COUNTA($B118:$J118)+COUNTA($M118))&gt;0),"",COUNTIFS($L$5:$L118,"?*",$O$5:$O118,$O118))</f>
        <v/>
      </c>
      <c r="B118" s="61" t="n"/>
      <c r="C118" s="61" t="n"/>
      <c r="D118" s="62" t="n"/>
      <c r="E118" s="62" t="n"/>
      <c r="F118" s="63" t="n"/>
      <c r="G118" s="64" t="n"/>
      <c r="H118" s="64" t="n"/>
      <c r="I118" s="64" t="n"/>
      <c r="J118" s="64" t="n"/>
      <c r="K118" s="65">
        <f>IF(NOT((COUNTA($B118:$J118)+COUNTA($M118))&gt;0),"",IFERROR(LOOKUP(2,1/(G118:J118&lt;&gt;""),G118:J118),0))</f>
        <v/>
      </c>
      <c r="L118" s="60">
        <f>IF(K118="","",IF(K118&gt;=1,"Completado",IF(K118&gt;0,"En curso","Pendiente")))</f>
        <v/>
      </c>
      <c r="M118" s="61" t="n"/>
      <c r="N118" s="66">
        <f>IF(NOT((COUNTA($B118:$J118)+COUNTA($M118))&gt;0),"",IF((IF(B118="","Macroactividad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 OK","⚠ "&amp;LEFT(IF(B118="","Macroactividad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",""),LEN(IF(B118="","Macroactividad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",""))-3)))</f>
        <v/>
      </c>
      <c r="O118" s="67">
        <f>IF(NOT((COUNTA($B118:$J118)+COUNTA($M118))&gt;0),"",IF(ISNUMBER($D118),DATE(YEAR($D118),MONTH($D118),1),IF(ISNUMBER($E118),DATE(YEAR($E118),MONTH($E118),1),MesCiclo)))</f>
        <v/>
      </c>
      <c r="P118" s="68">
        <f>IF(OR($O118="",$O118&lt;&gt;MesCiclo),"",COUNTIF($O$5:$O118,MesCiclo))</f>
        <v/>
      </c>
    </row>
    <row r="119">
      <c r="A119" s="60">
        <f>IF(NOT((COUNTA($B119:$J119)+COUNTA($M119))&gt;0),"",COUNTIFS($L$5:$L119,"?*",$O$5:$O119,$O119))</f>
        <v/>
      </c>
      <c r="B119" s="61" t="n"/>
      <c r="C119" s="61" t="n"/>
      <c r="D119" s="62" t="n"/>
      <c r="E119" s="62" t="n"/>
      <c r="F119" s="63" t="n"/>
      <c r="G119" s="64" t="n"/>
      <c r="H119" s="64" t="n"/>
      <c r="I119" s="64" t="n"/>
      <c r="J119" s="64" t="n"/>
      <c r="K119" s="65">
        <f>IF(NOT((COUNTA($B119:$J119)+COUNTA($M119))&gt;0),"",IFERROR(LOOKUP(2,1/(G119:J119&lt;&gt;""),G119:J119),0))</f>
        <v/>
      </c>
      <c r="L119" s="60">
        <f>IF(K119="","",IF(K119&gt;=1,"Completado",IF(K119&gt;0,"En curso","Pendiente")))</f>
        <v/>
      </c>
      <c r="M119" s="61" t="n"/>
      <c r="N119" s="66">
        <f>IF(NOT((COUNTA($B119:$J119)+COUNTA($M119))&gt;0),"",IF((IF(B119="","Macroactividad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 OK","⚠ "&amp;LEFT(IF(B119="","Macroactividad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",""),LEN(IF(B119="","Macroactividad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",""))-3)))</f>
        <v/>
      </c>
      <c r="O119" s="67">
        <f>IF(NOT((COUNTA($B119:$J119)+COUNTA($M119))&gt;0),"",IF(ISNUMBER($D119),DATE(YEAR($D119),MONTH($D119),1),IF(ISNUMBER($E119),DATE(YEAR($E119),MONTH($E119),1),MesCiclo)))</f>
        <v/>
      </c>
      <c r="P119" s="68">
        <f>IF(OR($O119="",$O119&lt;&gt;MesCiclo),"",COUNTIF($O$5:$O119,MesCiclo))</f>
        <v/>
      </c>
    </row>
    <row r="120">
      <c r="A120" s="60">
        <f>IF(NOT((COUNTA($B120:$J120)+COUNTA($M120))&gt;0),"",COUNTIFS($L$5:$L120,"?*",$O$5:$O120,$O120))</f>
        <v/>
      </c>
      <c r="B120" s="61" t="n"/>
      <c r="C120" s="61" t="n"/>
      <c r="D120" s="62" t="n"/>
      <c r="E120" s="62" t="n"/>
      <c r="F120" s="63" t="n"/>
      <c r="G120" s="64" t="n"/>
      <c r="H120" s="64" t="n"/>
      <c r="I120" s="64" t="n"/>
      <c r="J120" s="64" t="n"/>
      <c r="K120" s="65">
        <f>IF(NOT((COUNTA($B120:$J120)+COUNTA($M120))&gt;0),"",IFERROR(LOOKUP(2,1/(G120:J120&lt;&gt;""),G120:J120),0))</f>
        <v/>
      </c>
      <c r="L120" s="60">
        <f>IF(K120="","",IF(K120&gt;=1,"Completado",IF(K120&gt;0,"En curso","Pendiente")))</f>
        <v/>
      </c>
      <c r="M120" s="61" t="n"/>
      <c r="N120" s="66">
        <f>IF(NOT((COUNTA($B120:$J120)+COUNTA($M120))&gt;0),"",IF((IF(B120="","Macroactividad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 OK","⚠ "&amp;LEFT(IF(B120="","Macroactividad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",""),LEN(IF(B120="","Macroactividad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",""))-3)))</f>
        <v/>
      </c>
      <c r="O120" s="67">
        <f>IF(NOT((COUNTA($B120:$J120)+COUNTA($M120))&gt;0),"",IF(ISNUMBER($D120),DATE(YEAR($D120),MONTH($D120),1),IF(ISNUMBER($E120),DATE(YEAR($E120),MONTH($E120),1),MesCiclo)))</f>
        <v/>
      </c>
      <c r="P120" s="68">
        <f>IF(OR($O120="",$O120&lt;&gt;MesCiclo),"",COUNTIF($O$5:$O120,MesCiclo))</f>
        <v/>
      </c>
    </row>
    <row r="121">
      <c r="A121" s="60">
        <f>IF(NOT((COUNTA($B121:$J121)+COUNTA($M121))&gt;0),"",COUNTIFS($L$5:$L121,"?*",$O$5:$O121,$O121))</f>
        <v/>
      </c>
      <c r="B121" s="61" t="n"/>
      <c r="C121" s="61" t="n"/>
      <c r="D121" s="62" t="n"/>
      <c r="E121" s="62" t="n"/>
      <c r="F121" s="63" t="n"/>
      <c r="G121" s="64" t="n"/>
      <c r="H121" s="64" t="n"/>
      <c r="I121" s="64" t="n"/>
      <c r="J121" s="64" t="n"/>
      <c r="K121" s="65">
        <f>IF(NOT((COUNTA($B121:$J121)+COUNTA($M121))&gt;0),"",IFERROR(LOOKUP(2,1/(G121:J121&lt;&gt;""),G121:J121),0))</f>
        <v/>
      </c>
      <c r="L121" s="60">
        <f>IF(K121="","",IF(K121&gt;=1,"Completado",IF(K121&gt;0,"En curso","Pendiente")))</f>
        <v/>
      </c>
      <c r="M121" s="61" t="n"/>
      <c r="N121" s="66">
        <f>IF(NOT((COUNTA($B121:$J121)+COUNTA($M121))&gt;0),"",IF((IF(B121="","Macroactividad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 OK","⚠ "&amp;LEFT(IF(B121="","Macroactividad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",""),LEN(IF(B121="","Macroactividad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",""))-3)))</f>
        <v/>
      </c>
      <c r="O121" s="67">
        <f>IF(NOT((COUNTA($B121:$J121)+COUNTA($M121))&gt;0),"",IF(ISNUMBER($D121),DATE(YEAR($D121),MONTH($D121),1),IF(ISNUMBER($E121),DATE(YEAR($E121),MONTH($E121),1),MesCiclo)))</f>
        <v/>
      </c>
      <c r="P121" s="68">
        <f>IF(OR($O121="",$O121&lt;&gt;MesCiclo),"",COUNTIF($O$5:$O121,MesCiclo))</f>
        <v/>
      </c>
    </row>
    <row r="122">
      <c r="A122" s="60">
        <f>IF(NOT((COUNTA($B122:$J122)+COUNTA($M122))&gt;0),"",COUNTIFS($L$5:$L122,"?*",$O$5:$O122,$O122))</f>
        <v/>
      </c>
      <c r="B122" s="61" t="n"/>
      <c r="C122" s="61" t="n"/>
      <c r="D122" s="62" t="n"/>
      <c r="E122" s="62" t="n"/>
      <c r="F122" s="63" t="n"/>
      <c r="G122" s="64" t="n"/>
      <c r="H122" s="64" t="n"/>
      <c r="I122" s="64" t="n"/>
      <c r="J122" s="64" t="n"/>
      <c r="K122" s="65">
        <f>IF(NOT((COUNTA($B122:$J122)+COUNTA($M122))&gt;0),"",IFERROR(LOOKUP(2,1/(G122:J122&lt;&gt;""),G122:J122),0))</f>
        <v/>
      </c>
      <c r="L122" s="60">
        <f>IF(K122="","",IF(K122&gt;=1,"Completado",IF(K122&gt;0,"En curso","Pendiente")))</f>
        <v/>
      </c>
      <c r="M122" s="61" t="n"/>
      <c r="N122" s="66">
        <f>IF(NOT((COUNTA($B122:$J122)+COUNTA($M122))&gt;0),"",IF((IF(B122="","Macroactividad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 OK","⚠ "&amp;LEFT(IF(B122="","Macroactividad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",""),LEN(IF(B122="","Macroactividad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",""))-3)))</f>
        <v/>
      </c>
      <c r="O122" s="67">
        <f>IF(NOT((COUNTA($B122:$J122)+COUNTA($M122))&gt;0),"",IF(ISNUMBER($D122),DATE(YEAR($D122),MONTH($D122),1),IF(ISNUMBER($E122),DATE(YEAR($E122),MONTH($E122),1),MesCiclo)))</f>
        <v/>
      </c>
      <c r="P122" s="68">
        <f>IF(OR($O122="",$O122&lt;&gt;MesCiclo),"",COUNTIF($O$5:$O122,MesCiclo))</f>
        <v/>
      </c>
    </row>
    <row r="123">
      <c r="A123" s="60">
        <f>IF(NOT((COUNTA($B123:$J123)+COUNTA($M123))&gt;0),"",COUNTIFS($L$5:$L123,"?*",$O$5:$O123,$O123))</f>
        <v/>
      </c>
      <c r="B123" s="61" t="n"/>
      <c r="C123" s="61" t="n"/>
      <c r="D123" s="62" t="n"/>
      <c r="E123" s="62" t="n"/>
      <c r="F123" s="63" t="n"/>
      <c r="G123" s="64" t="n"/>
      <c r="H123" s="64" t="n"/>
      <c r="I123" s="64" t="n"/>
      <c r="J123" s="64" t="n"/>
      <c r="K123" s="65">
        <f>IF(NOT((COUNTA($B123:$J123)+COUNTA($M123))&gt;0),"",IFERROR(LOOKUP(2,1/(G123:J123&lt;&gt;""),G123:J123),0))</f>
        <v/>
      </c>
      <c r="L123" s="60">
        <f>IF(K123="","",IF(K123&gt;=1,"Completado",IF(K123&gt;0,"En curso","Pendiente")))</f>
        <v/>
      </c>
      <c r="M123" s="61" t="n"/>
      <c r="N123" s="66">
        <f>IF(NOT((COUNTA($B123:$J123)+COUNTA($M123))&gt;0),"",IF((IF(B123="","Macroactividad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 OK","⚠ "&amp;LEFT(IF(B123="","Macroactividad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",""),LEN(IF(B123="","Macroactividad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",""))-3)))</f>
        <v/>
      </c>
      <c r="O123" s="67">
        <f>IF(NOT((COUNTA($B123:$J123)+COUNTA($M123))&gt;0),"",IF(ISNUMBER($D123),DATE(YEAR($D123),MONTH($D123),1),IF(ISNUMBER($E123),DATE(YEAR($E123),MONTH($E123),1),MesCiclo)))</f>
        <v/>
      </c>
      <c r="P123" s="68">
        <f>IF(OR($O123="",$O123&lt;&gt;MesCiclo),"",COUNTIF($O$5:$O123,MesCiclo))</f>
        <v/>
      </c>
    </row>
    <row r="124">
      <c r="A124" s="60">
        <f>IF(NOT((COUNTA($B124:$J124)+COUNTA($M124))&gt;0),"",COUNTIFS($L$5:$L124,"?*",$O$5:$O124,$O124))</f>
        <v/>
      </c>
      <c r="B124" s="61" t="n"/>
      <c r="C124" s="61" t="n"/>
      <c r="D124" s="62" t="n"/>
      <c r="E124" s="62" t="n"/>
      <c r="F124" s="63" t="n"/>
      <c r="G124" s="64" t="n"/>
      <c r="H124" s="64" t="n"/>
      <c r="I124" s="64" t="n"/>
      <c r="J124" s="64" t="n"/>
      <c r="K124" s="65">
        <f>IF(NOT((COUNTA($B124:$J124)+COUNTA($M124))&gt;0),"",IFERROR(LOOKUP(2,1/(G124:J124&lt;&gt;""),G124:J124),0))</f>
        <v/>
      </c>
      <c r="L124" s="60">
        <f>IF(K124="","",IF(K124&gt;=1,"Completado",IF(K124&gt;0,"En curso","Pendiente")))</f>
        <v/>
      </c>
      <c r="M124" s="61" t="n"/>
      <c r="N124" s="66">
        <f>IF(NOT((COUNTA($B124:$J124)+COUNTA($M124))&gt;0),"",IF((IF(B124="","Macroactividad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 OK","⚠ "&amp;LEFT(IF(B124="","Macroactividad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",""),LEN(IF(B124="","Macroactividad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",""))-3)))</f>
        <v/>
      </c>
      <c r="O124" s="67">
        <f>IF(NOT((COUNTA($B124:$J124)+COUNTA($M124))&gt;0),"",IF(ISNUMBER($D124),DATE(YEAR($D124),MONTH($D124),1),IF(ISNUMBER($E124),DATE(YEAR($E124),MONTH($E124),1),MesCiclo)))</f>
        <v/>
      </c>
      <c r="P124" s="68">
        <f>IF(OR($O124="",$O124&lt;&gt;MesCiclo),"",COUNTIF($O$5:$O124,MesCiclo))</f>
        <v/>
      </c>
    </row>
    <row r="125">
      <c r="A125" s="60">
        <f>IF(NOT((COUNTA($B125:$J125)+COUNTA($M125))&gt;0),"",COUNTIFS($L$5:$L125,"?*",$O$5:$O125,$O125))</f>
        <v/>
      </c>
      <c r="B125" s="61" t="n"/>
      <c r="C125" s="61" t="n"/>
      <c r="D125" s="62" t="n"/>
      <c r="E125" s="62" t="n"/>
      <c r="F125" s="63" t="n"/>
      <c r="G125" s="64" t="n"/>
      <c r="H125" s="64" t="n"/>
      <c r="I125" s="64" t="n"/>
      <c r="J125" s="64" t="n"/>
      <c r="K125" s="65">
        <f>IF(NOT((COUNTA($B125:$J125)+COUNTA($M125))&gt;0),"",IFERROR(LOOKUP(2,1/(G125:J125&lt;&gt;""),G125:J125),0))</f>
        <v/>
      </c>
      <c r="L125" s="60">
        <f>IF(K125="","",IF(K125&gt;=1,"Completado",IF(K125&gt;0,"En curso","Pendiente")))</f>
        <v/>
      </c>
      <c r="M125" s="61" t="n"/>
      <c r="N125" s="66">
        <f>IF(NOT((COUNTA($B125:$J125)+COUNTA($M125))&gt;0),"",IF((IF(B125="","Macroactividad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 OK","⚠ "&amp;LEFT(IF(B125="","Macroactividad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",""),LEN(IF(B125="","Macroactividad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",""))-3)))</f>
        <v/>
      </c>
      <c r="O125" s="67">
        <f>IF(NOT((COUNTA($B125:$J125)+COUNTA($M125))&gt;0),"",IF(ISNUMBER($D125),DATE(YEAR($D125),MONTH($D125),1),IF(ISNUMBER($E125),DATE(YEAR($E125),MONTH($E125),1),MesCiclo)))</f>
        <v/>
      </c>
      <c r="P125" s="68">
        <f>IF(OR($O125="",$O125&lt;&gt;MesCiclo),"",COUNTIF($O$5:$O125,MesCiclo))</f>
        <v/>
      </c>
    </row>
    <row r="126">
      <c r="A126" s="60">
        <f>IF(NOT((COUNTA($B126:$J126)+COUNTA($M126))&gt;0),"",COUNTIFS($L$5:$L126,"?*",$O$5:$O126,$O126))</f>
        <v/>
      </c>
      <c r="B126" s="61" t="n"/>
      <c r="C126" s="61" t="n"/>
      <c r="D126" s="62" t="n"/>
      <c r="E126" s="62" t="n"/>
      <c r="F126" s="63" t="n"/>
      <c r="G126" s="64" t="n"/>
      <c r="H126" s="64" t="n"/>
      <c r="I126" s="64" t="n"/>
      <c r="J126" s="64" t="n"/>
      <c r="K126" s="65">
        <f>IF(NOT((COUNTA($B126:$J126)+COUNTA($M126))&gt;0),"",IFERROR(LOOKUP(2,1/(G126:J126&lt;&gt;""),G126:J126),0))</f>
        <v/>
      </c>
      <c r="L126" s="60">
        <f>IF(K126="","",IF(K126&gt;=1,"Completado",IF(K126&gt;0,"En curso","Pendiente")))</f>
        <v/>
      </c>
      <c r="M126" s="61" t="n"/>
      <c r="N126" s="66">
        <f>IF(NOT((COUNTA($B126:$J126)+COUNTA($M126))&gt;0),"",IF((IF(B126="","Macroactividad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 OK","⚠ "&amp;LEFT(IF(B126="","Macroactividad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",""),LEN(IF(B126="","Macroactividad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",""))-3)))</f>
        <v/>
      </c>
      <c r="O126" s="67">
        <f>IF(NOT((COUNTA($B126:$J126)+COUNTA($M126))&gt;0),"",IF(ISNUMBER($D126),DATE(YEAR($D126),MONTH($D126),1),IF(ISNUMBER($E126),DATE(YEAR($E126),MONTH($E126),1),MesCiclo)))</f>
        <v/>
      </c>
      <c r="P126" s="68">
        <f>IF(OR($O126="",$O126&lt;&gt;MesCiclo),"",COUNTIF($O$5:$O126,MesCiclo))</f>
        <v/>
      </c>
    </row>
    <row r="127">
      <c r="A127" s="60">
        <f>IF(NOT((COUNTA($B127:$J127)+COUNTA($M127))&gt;0),"",COUNTIFS($L$5:$L127,"?*",$O$5:$O127,$O127))</f>
        <v/>
      </c>
      <c r="B127" s="61" t="n"/>
      <c r="C127" s="61" t="n"/>
      <c r="D127" s="62" t="n"/>
      <c r="E127" s="62" t="n"/>
      <c r="F127" s="63" t="n"/>
      <c r="G127" s="64" t="n"/>
      <c r="H127" s="64" t="n"/>
      <c r="I127" s="64" t="n"/>
      <c r="J127" s="64" t="n"/>
      <c r="K127" s="65">
        <f>IF(NOT((COUNTA($B127:$J127)+COUNTA($M127))&gt;0),"",IFERROR(LOOKUP(2,1/(G127:J127&lt;&gt;""),G127:J127),0))</f>
        <v/>
      </c>
      <c r="L127" s="60">
        <f>IF(K127="","",IF(K127&gt;=1,"Completado",IF(K127&gt;0,"En curso","Pendiente")))</f>
        <v/>
      </c>
      <c r="M127" s="61" t="n"/>
      <c r="N127" s="66">
        <f>IF(NOT((COUNTA($B127:$J127)+COUNTA($M127))&gt;0),"",IF((IF(B127="","Macroactividad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 OK","⚠ "&amp;LEFT(IF(B127="","Macroactividad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",""),LEN(IF(B127="","Macroactividad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",""))-3)))</f>
        <v/>
      </c>
      <c r="O127" s="67">
        <f>IF(NOT((COUNTA($B127:$J127)+COUNTA($M127))&gt;0),"",IF(ISNUMBER($D127),DATE(YEAR($D127),MONTH($D127),1),IF(ISNUMBER($E127),DATE(YEAR($E127),MONTH($E127),1),MesCiclo)))</f>
        <v/>
      </c>
      <c r="P127" s="68">
        <f>IF(OR($O127="",$O127&lt;&gt;MesCiclo),"",COUNTIF($O$5:$O127,MesCiclo))</f>
        <v/>
      </c>
    </row>
    <row r="128">
      <c r="A128" s="60">
        <f>IF(NOT((COUNTA($B128:$J128)+COUNTA($M128))&gt;0),"",COUNTIFS($L$5:$L128,"?*",$O$5:$O128,$O128))</f>
        <v/>
      </c>
      <c r="B128" s="61" t="n"/>
      <c r="C128" s="61" t="n"/>
      <c r="D128" s="62" t="n"/>
      <c r="E128" s="62" t="n"/>
      <c r="F128" s="63" t="n"/>
      <c r="G128" s="64" t="n"/>
      <c r="H128" s="64" t="n"/>
      <c r="I128" s="64" t="n"/>
      <c r="J128" s="64" t="n"/>
      <c r="K128" s="65">
        <f>IF(NOT((COUNTA($B128:$J128)+COUNTA($M128))&gt;0),"",IFERROR(LOOKUP(2,1/(G128:J128&lt;&gt;""),G128:J128),0))</f>
        <v/>
      </c>
      <c r="L128" s="60">
        <f>IF(K128="","",IF(K128&gt;=1,"Completado",IF(K128&gt;0,"En curso","Pendiente")))</f>
        <v/>
      </c>
      <c r="M128" s="61" t="n"/>
      <c r="N128" s="66">
        <f>IF(NOT((COUNTA($B128:$J128)+COUNTA($M128))&gt;0),"",IF((IF(B128="","Macroactividad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 OK","⚠ "&amp;LEFT(IF(B128="","Macroactividad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",""),LEN(IF(B128="","Macroactividad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",""))-3)))</f>
        <v/>
      </c>
      <c r="O128" s="67">
        <f>IF(NOT((COUNTA($B128:$J128)+COUNTA($M128))&gt;0),"",IF(ISNUMBER($D128),DATE(YEAR($D128),MONTH($D128),1),IF(ISNUMBER($E128),DATE(YEAR($E128),MONTH($E128),1),MesCiclo)))</f>
        <v/>
      </c>
      <c r="P128" s="68">
        <f>IF(OR($O128="",$O128&lt;&gt;MesCiclo),"",COUNTIF($O$5:$O128,MesCiclo))</f>
        <v/>
      </c>
    </row>
    <row r="129">
      <c r="A129" s="60">
        <f>IF(NOT((COUNTA($B129:$J129)+COUNTA($M129))&gt;0),"",COUNTIFS($L$5:$L129,"?*",$O$5:$O129,$O129))</f>
        <v/>
      </c>
      <c r="B129" s="61" t="n"/>
      <c r="C129" s="61" t="n"/>
      <c r="D129" s="62" t="n"/>
      <c r="E129" s="62" t="n"/>
      <c r="F129" s="63" t="n"/>
      <c r="G129" s="64" t="n"/>
      <c r="H129" s="64" t="n"/>
      <c r="I129" s="64" t="n"/>
      <c r="J129" s="64" t="n"/>
      <c r="K129" s="65">
        <f>IF(NOT((COUNTA($B129:$J129)+COUNTA($M129))&gt;0),"",IFERROR(LOOKUP(2,1/(G129:J129&lt;&gt;""),G129:J129),0))</f>
        <v/>
      </c>
      <c r="L129" s="60">
        <f>IF(K129="","",IF(K129&gt;=1,"Completado",IF(K129&gt;0,"En curso","Pendiente")))</f>
        <v/>
      </c>
      <c r="M129" s="61" t="n"/>
      <c r="N129" s="66">
        <f>IF(NOT((COUNTA($B129:$J129)+COUNTA($M129))&gt;0),"",IF((IF(B129="","Macroactividad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 OK","⚠ "&amp;LEFT(IF(B129="","Macroactividad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",""),LEN(IF(B129="","Macroactividad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",""))-3)))</f>
        <v/>
      </c>
      <c r="O129" s="67">
        <f>IF(NOT((COUNTA($B129:$J129)+COUNTA($M129))&gt;0),"",IF(ISNUMBER($D129),DATE(YEAR($D129),MONTH($D129),1),IF(ISNUMBER($E129),DATE(YEAR($E129),MONTH($E129),1),MesCiclo)))</f>
        <v/>
      </c>
      <c r="P129" s="68">
        <f>IF(OR($O129="",$O129&lt;&gt;MesCiclo),"",COUNTIF($O$5:$O129,MesCiclo))</f>
        <v/>
      </c>
    </row>
    <row r="130">
      <c r="A130" s="60">
        <f>IF(NOT((COUNTA($B130:$J130)+COUNTA($M130))&gt;0),"",COUNTIFS($L$5:$L130,"?*",$O$5:$O130,$O130))</f>
        <v/>
      </c>
      <c r="B130" s="61" t="n"/>
      <c r="C130" s="61" t="n"/>
      <c r="D130" s="62" t="n"/>
      <c r="E130" s="62" t="n"/>
      <c r="F130" s="63" t="n"/>
      <c r="G130" s="64" t="n"/>
      <c r="H130" s="64" t="n"/>
      <c r="I130" s="64" t="n"/>
      <c r="J130" s="64" t="n"/>
      <c r="K130" s="65">
        <f>IF(NOT((COUNTA($B130:$J130)+COUNTA($M130))&gt;0),"",IFERROR(LOOKUP(2,1/(G130:J130&lt;&gt;""),G130:J130),0))</f>
        <v/>
      </c>
      <c r="L130" s="60">
        <f>IF(K130="","",IF(K130&gt;=1,"Completado",IF(K130&gt;0,"En curso","Pendiente")))</f>
        <v/>
      </c>
      <c r="M130" s="61" t="n"/>
      <c r="N130" s="66">
        <f>IF(NOT((COUNTA($B130:$J130)+COUNTA($M130))&gt;0),"",IF((IF(B130="","Macroactividad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 OK","⚠ "&amp;LEFT(IF(B130="","Macroactividad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",""),LEN(IF(B130="","Macroactividad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",""))-3)))</f>
        <v/>
      </c>
      <c r="O130" s="67">
        <f>IF(NOT((COUNTA($B130:$J130)+COUNTA($M130))&gt;0),"",IF(ISNUMBER($D130),DATE(YEAR($D130),MONTH($D130),1),IF(ISNUMBER($E130),DATE(YEAR($E130),MONTH($E130),1),MesCiclo)))</f>
        <v/>
      </c>
      <c r="P130" s="68">
        <f>IF(OR($O130="",$O130&lt;&gt;MesCiclo),"",COUNTIF($O$5:$O130,MesCiclo))</f>
        <v/>
      </c>
    </row>
    <row r="131">
      <c r="A131" s="60">
        <f>IF(NOT((COUNTA($B131:$J131)+COUNTA($M131))&gt;0),"",COUNTIFS($L$5:$L131,"?*",$O$5:$O131,$O131))</f>
        <v/>
      </c>
      <c r="B131" s="61" t="n"/>
      <c r="C131" s="61" t="n"/>
      <c r="D131" s="62" t="n"/>
      <c r="E131" s="62" t="n"/>
      <c r="F131" s="63" t="n"/>
      <c r="G131" s="64" t="n"/>
      <c r="H131" s="64" t="n"/>
      <c r="I131" s="64" t="n"/>
      <c r="J131" s="64" t="n"/>
      <c r="K131" s="65">
        <f>IF(NOT((COUNTA($B131:$J131)+COUNTA($M131))&gt;0),"",IFERROR(LOOKUP(2,1/(G131:J131&lt;&gt;""),G131:J131),0))</f>
        <v/>
      </c>
      <c r="L131" s="60">
        <f>IF(K131="","",IF(K131&gt;=1,"Completado",IF(K131&gt;0,"En curso","Pendiente")))</f>
        <v/>
      </c>
      <c r="M131" s="61" t="n"/>
      <c r="N131" s="66">
        <f>IF(NOT((COUNTA($B131:$J131)+COUNTA($M131))&gt;0),"",IF((IF(B131="","Macroactividad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 OK","⚠ "&amp;LEFT(IF(B131="","Macroactividad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",""),LEN(IF(B131="","Macroactividad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",""))-3)))</f>
        <v/>
      </c>
      <c r="O131" s="67">
        <f>IF(NOT((COUNTA($B131:$J131)+COUNTA($M131))&gt;0),"",IF(ISNUMBER($D131),DATE(YEAR($D131),MONTH($D131),1),IF(ISNUMBER($E131),DATE(YEAR($E131),MONTH($E131),1),MesCiclo)))</f>
        <v/>
      </c>
      <c r="P131" s="68">
        <f>IF(OR($O131="",$O131&lt;&gt;MesCiclo),"",COUNTIF($O$5:$O131,MesCiclo))</f>
        <v/>
      </c>
    </row>
    <row r="132">
      <c r="A132" s="60">
        <f>IF(NOT((COUNTA($B132:$J132)+COUNTA($M132))&gt;0),"",COUNTIFS($L$5:$L132,"?*",$O$5:$O132,$O132))</f>
        <v/>
      </c>
      <c r="B132" s="61" t="n"/>
      <c r="C132" s="61" t="n"/>
      <c r="D132" s="62" t="n"/>
      <c r="E132" s="62" t="n"/>
      <c r="F132" s="63" t="n"/>
      <c r="G132" s="64" t="n"/>
      <c r="H132" s="64" t="n"/>
      <c r="I132" s="64" t="n"/>
      <c r="J132" s="64" t="n"/>
      <c r="K132" s="65">
        <f>IF(NOT((COUNTA($B132:$J132)+COUNTA($M132))&gt;0),"",IFERROR(LOOKUP(2,1/(G132:J132&lt;&gt;""),G132:J132),0))</f>
        <v/>
      </c>
      <c r="L132" s="60">
        <f>IF(K132="","",IF(K132&gt;=1,"Completado",IF(K132&gt;0,"En curso","Pendiente")))</f>
        <v/>
      </c>
      <c r="M132" s="61" t="n"/>
      <c r="N132" s="66">
        <f>IF(NOT((COUNTA($B132:$J132)+COUNTA($M132))&gt;0),"",IF((IF(B132="","Macroactividad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 OK","⚠ "&amp;LEFT(IF(B132="","Macroactividad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",""),LEN(IF(B132="","Macroactividad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",""))-3)))</f>
        <v/>
      </c>
      <c r="O132" s="67">
        <f>IF(NOT((COUNTA($B132:$J132)+COUNTA($M132))&gt;0),"",IF(ISNUMBER($D132),DATE(YEAR($D132),MONTH($D132),1),IF(ISNUMBER($E132),DATE(YEAR($E132),MONTH($E132),1),MesCiclo)))</f>
        <v/>
      </c>
      <c r="P132" s="68">
        <f>IF(OR($O132="",$O132&lt;&gt;MesCiclo),"",COUNTIF($O$5:$O132,MesCiclo))</f>
        <v/>
      </c>
    </row>
    <row r="133">
      <c r="A133" s="60">
        <f>IF(NOT((COUNTA($B133:$J133)+COUNTA($M133))&gt;0),"",COUNTIFS($L$5:$L133,"?*",$O$5:$O133,$O133))</f>
        <v/>
      </c>
      <c r="B133" s="61" t="n"/>
      <c r="C133" s="61" t="n"/>
      <c r="D133" s="62" t="n"/>
      <c r="E133" s="62" t="n"/>
      <c r="F133" s="63" t="n"/>
      <c r="G133" s="64" t="n"/>
      <c r="H133" s="64" t="n"/>
      <c r="I133" s="64" t="n"/>
      <c r="J133" s="64" t="n"/>
      <c r="K133" s="65">
        <f>IF(NOT((COUNTA($B133:$J133)+COUNTA($M133))&gt;0),"",IFERROR(LOOKUP(2,1/(G133:J133&lt;&gt;""),G133:J133),0))</f>
        <v/>
      </c>
      <c r="L133" s="60">
        <f>IF(K133="","",IF(K133&gt;=1,"Completado",IF(K133&gt;0,"En curso","Pendiente")))</f>
        <v/>
      </c>
      <c r="M133" s="61" t="n"/>
      <c r="N133" s="66">
        <f>IF(NOT((COUNTA($B133:$J133)+COUNTA($M133))&gt;0),"",IF((IF(B133="","Macroactividad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 OK","⚠ "&amp;LEFT(IF(B133="","Macroactividad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",""),LEN(IF(B133="","Macroactividad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",""))-3)))</f>
        <v/>
      </c>
      <c r="O133" s="67">
        <f>IF(NOT((COUNTA($B133:$J133)+COUNTA($M133))&gt;0),"",IF(ISNUMBER($D133),DATE(YEAR($D133),MONTH($D133),1),IF(ISNUMBER($E133),DATE(YEAR($E133),MONTH($E133),1),MesCiclo)))</f>
        <v/>
      </c>
      <c r="P133" s="68">
        <f>IF(OR($O133="",$O133&lt;&gt;MesCiclo),"",COUNTIF($O$5:$O133,MesCiclo))</f>
        <v/>
      </c>
    </row>
    <row r="134">
      <c r="A134" s="60">
        <f>IF(NOT((COUNTA($B134:$J134)+COUNTA($M134))&gt;0),"",COUNTIFS($L$5:$L134,"?*",$O$5:$O134,$O134))</f>
        <v/>
      </c>
      <c r="B134" s="61" t="n"/>
      <c r="C134" s="61" t="n"/>
      <c r="D134" s="62" t="n"/>
      <c r="E134" s="62" t="n"/>
      <c r="F134" s="63" t="n"/>
      <c r="G134" s="64" t="n"/>
      <c r="H134" s="64" t="n"/>
      <c r="I134" s="64" t="n"/>
      <c r="J134" s="64" t="n"/>
      <c r="K134" s="65">
        <f>IF(NOT((COUNTA($B134:$J134)+COUNTA($M134))&gt;0),"",IFERROR(LOOKUP(2,1/(G134:J134&lt;&gt;""),G134:J134),0))</f>
        <v/>
      </c>
      <c r="L134" s="60">
        <f>IF(K134="","",IF(K134&gt;=1,"Completado",IF(K134&gt;0,"En curso","Pendiente")))</f>
        <v/>
      </c>
      <c r="M134" s="61" t="n"/>
      <c r="N134" s="66">
        <f>IF(NOT((COUNTA($B134:$J134)+COUNTA($M134))&gt;0),"",IF((IF(B134="","Macroactividad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 OK","⚠ "&amp;LEFT(IF(B134="","Macroactividad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",""),LEN(IF(B134="","Macroactividad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",""))-3)))</f>
        <v/>
      </c>
      <c r="O134" s="67">
        <f>IF(NOT((COUNTA($B134:$J134)+COUNTA($M134))&gt;0),"",IF(ISNUMBER($D134),DATE(YEAR($D134),MONTH($D134),1),IF(ISNUMBER($E134),DATE(YEAR($E134),MONTH($E134),1),MesCiclo)))</f>
        <v/>
      </c>
      <c r="P134" s="68">
        <f>IF(OR($O134="",$O134&lt;&gt;MesCiclo),"",COUNTIF($O$5:$O134,MesCiclo))</f>
        <v/>
      </c>
    </row>
    <row r="135">
      <c r="A135" s="60">
        <f>IF(NOT((COUNTA($B135:$J135)+COUNTA($M135))&gt;0),"",COUNTIFS($L$5:$L135,"?*",$O$5:$O135,$O135))</f>
        <v/>
      </c>
      <c r="B135" s="61" t="n"/>
      <c r="C135" s="61" t="n"/>
      <c r="D135" s="62" t="n"/>
      <c r="E135" s="62" t="n"/>
      <c r="F135" s="63" t="n"/>
      <c r="G135" s="64" t="n"/>
      <c r="H135" s="64" t="n"/>
      <c r="I135" s="64" t="n"/>
      <c r="J135" s="64" t="n"/>
      <c r="K135" s="65">
        <f>IF(NOT((COUNTA($B135:$J135)+COUNTA($M135))&gt;0),"",IFERROR(LOOKUP(2,1/(G135:J135&lt;&gt;""),G135:J135),0))</f>
        <v/>
      </c>
      <c r="L135" s="60">
        <f>IF(K135="","",IF(K135&gt;=1,"Completado",IF(K135&gt;0,"En curso","Pendiente")))</f>
        <v/>
      </c>
      <c r="M135" s="61" t="n"/>
      <c r="N135" s="66">
        <f>IF(NOT((COUNTA($B135:$J135)+COUNTA($M135))&gt;0),"",IF((IF(B135="","Macroactividad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 OK","⚠ "&amp;LEFT(IF(B135="","Macroactividad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",""),LEN(IF(B135="","Macroactividad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",""))-3)))</f>
        <v/>
      </c>
      <c r="O135" s="67">
        <f>IF(NOT((COUNTA($B135:$J135)+COUNTA($M135))&gt;0),"",IF(ISNUMBER($D135),DATE(YEAR($D135),MONTH($D135),1),IF(ISNUMBER($E135),DATE(YEAR($E135),MONTH($E135),1),MesCiclo)))</f>
        <v/>
      </c>
      <c r="P135" s="68">
        <f>IF(OR($O135="",$O135&lt;&gt;MesCiclo),"",COUNTIF($O$5:$O135,MesCiclo))</f>
        <v/>
      </c>
    </row>
    <row r="136">
      <c r="A136" s="60">
        <f>IF(NOT((COUNTA($B136:$J136)+COUNTA($M136))&gt;0),"",COUNTIFS($L$5:$L136,"?*",$O$5:$O136,$O136))</f>
        <v/>
      </c>
      <c r="B136" s="61" t="n"/>
      <c r="C136" s="61" t="n"/>
      <c r="D136" s="62" t="n"/>
      <c r="E136" s="62" t="n"/>
      <c r="F136" s="63" t="n"/>
      <c r="G136" s="64" t="n"/>
      <c r="H136" s="64" t="n"/>
      <c r="I136" s="64" t="n"/>
      <c r="J136" s="64" t="n"/>
      <c r="K136" s="65">
        <f>IF(NOT((COUNTA($B136:$J136)+COUNTA($M136))&gt;0),"",IFERROR(LOOKUP(2,1/(G136:J136&lt;&gt;""),G136:J136),0))</f>
        <v/>
      </c>
      <c r="L136" s="60">
        <f>IF(K136="","",IF(K136&gt;=1,"Completado",IF(K136&gt;0,"En curso","Pendiente")))</f>
        <v/>
      </c>
      <c r="M136" s="61" t="n"/>
      <c r="N136" s="66">
        <f>IF(NOT((COUNTA($B136:$J136)+COUNTA($M136))&gt;0),"",IF((IF(B136="","Macroactividad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 OK","⚠ "&amp;LEFT(IF(B136="","Macroactividad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",""),LEN(IF(B136="","Macroactividad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",""))-3)))</f>
        <v/>
      </c>
      <c r="O136" s="67">
        <f>IF(NOT((COUNTA($B136:$J136)+COUNTA($M136))&gt;0),"",IF(ISNUMBER($D136),DATE(YEAR($D136),MONTH($D136),1),IF(ISNUMBER($E136),DATE(YEAR($E136),MONTH($E136),1),MesCiclo)))</f>
        <v/>
      </c>
      <c r="P136" s="68">
        <f>IF(OR($O136="",$O136&lt;&gt;MesCiclo),"",COUNTIF($O$5:$O136,MesCiclo))</f>
        <v/>
      </c>
    </row>
    <row r="137">
      <c r="A137" s="60">
        <f>IF(NOT((COUNTA($B137:$J137)+COUNTA($M137))&gt;0),"",COUNTIFS($L$5:$L137,"?*",$O$5:$O137,$O137))</f>
        <v/>
      </c>
      <c r="B137" s="61" t="n"/>
      <c r="C137" s="61" t="n"/>
      <c r="D137" s="62" t="n"/>
      <c r="E137" s="62" t="n"/>
      <c r="F137" s="63" t="n"/>
      <c r="G137" s="64" t="n"/>
      <c r="H137" s="64" t="n"/>
      <c r="I137" s="64" t="n"/>
      <c r="J137" s="64" t="n"/>
      <c r="K137" s="65">
        <f>IF(NOT((COUNTA($B137:$J137)+COUNTA($M137))&gt;0),"",IFERROR(LOOKUP(2,1/(G137:J137&lt;&gt;""),G137:J137),0))</f>
        <v/>
      </c>
      <c r="L137" s="60">
        <f>IF(K137="","",IF(K137&gt;=1,"Completado",IF(K137&gt;0,"En curso","Pendiente")))</f>
        <v/>
      </c>
      <c r="M137" s="61" t="n"/>
      <c r="N137" s="66">
        <f>IF(NOT((COUNTA($B137:$J137)+COUNTA($M137))&gt;0),"",IF((IF(B137="","Macroactividad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 OK","⚠ "&amp;LEFT(IF(B137="","Macroactividad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",""),LEN(IF(B137="","Macroactividad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",""))-3)))</f>
        <v/>
      </c>
      <c r="O137" s="67">
        <f>IF(NOT((COUNTA($B137:$J137)+COUNTA($M137))&gt;0),"",IF(ISNUMBER($D137),DATE(YEAR($D137),MONTH($D137),1),IF(ISNUMBER($E137),DATE(YEAR($E137),MONTH($E137),1),MesCiclo)))</f>
        <v/>
      </c>
      <c r="P137" s="68">
        <f>IF(OR($O137="",$O137&lt;&gt;MesCiclo),"",COUNTIF($O$5:$O137,MesCiclo))</f>
        <v/>
      </c>
    </row>
    <row r="138">
      <c r="A138" s="60">
        <f>IF(NOT((COUNTA($B138:$J138)+COUNTA($M138))&gt;0),"",COUNTIFS($L$5:$L138,"?*",$O$5:$O138,$O138))</f>
        <v/>
      </c>
      <c r="B138" s="61" t="n"/>
      <c r="C138" s="61" t="n"/>
      <c r="D138" s="62" t="n"/>
      <c r="E138" s="62" t="n"/>
      <c r="F138" s="63" t="n"/>
      <c r="G138" s="64" t="n"/>
      <c r="H138" s="64" t="n"/>
      <c r="I138" s="64" t="n"/>
      <c r="J138" s="64" t="n"/>
      <c r="K138" s="65">
        <f>IF(NOT((COUNTA($B138:$J138)+COUNTA($M138))&gt;0),"",IFERROR(LOOKUP(2,1/(G138:J138&lt;&gt;""),G138:J138),0))</f>
        <v/>
      </c>
      <c r="L138" s="60">
        <f>IF(K138="","",IF(K138&gt;=1,"Completado",IF(K138&gt;0,"En curso","Pendiente")))</f>
        <v/>
      </c>
      <c r="M138" s="61" t="n"/>
      <c r="N138" s="66">
        <f>IF(NOT((COUNTA($B138:$J138)+COUNTA($M138))&gt;0),"",IF((IF(B138="","Macroactividad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 OK","⚠ "&amp;LEFT(IF(B138="","Macroactividad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",""),LEN(IF(B138="","Macroactividad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",""))-3)))</f>
        <v/>
      </c>
      <c r="O138" s="67">
        <f>IF(NOT((COUNTA($B138:$J138)+COUNTA($M138))&gt;0),"",IF(ISNUMBER($D138),DATE(YEAR($D138),MONTH($D138),1),IF(ISNUMBER($E138),DATE(YEAR($E138),MONTH($E138),1),MesCiclo)))</f>
        <v/>
      </c>
      <c r="P138" s="68">
        <f>IF(OR($O138="",$O138&lt;&gt;MesCiclo),"",COUNTIF($O$5:$O138,MesCiclo))</f>
        <v/>
      </c>
    </row>
    <row r="139">
      <c r="A139" s="60">
        <f>IF(NOT((COUNTA($B139:$J139)+COUNTA($M139))&gt;0),"",COUNTIFS($L$5:$L139,"?*",$O$5:$O139,$O139))</f>
        <v/>
      </c>
      <c r="B139" s="61" t="n"/>
      <c r="C139" s="61" t="n"/>
      <c r="D139" s="62" t="n"/>
      <c r="E139" s="62" t="n"/>
      <c r="F139" s="63" t="n"/>
      <c r="G139" s="64" t="n"/>
      <c r="H139" s="64" t="n"/>
      <c r="I139" s="64" t="n"/>
      <c r="J139" s="64" t="n"/>
      <c r="K139" s="65">
        <f>IF(NOT((COUNTA($B139:$J139)+COUNTA($M139))&gt;0),"",IFERROR(LOOKUP(2,1/(G139:J139&lt;&gt;""),G139:J139),0))</f>
        <v/>
      </c>
      <c r="L139" s="60">
        <f>IF(K139="","",IF(K139&gt;=1,"Completado",IF(K139&gt;0,"En curso","Pendiente")))</f>
        <v/>
      </c>
      <c r="M139" s="61" t="n"/>
      <c r="N139" s="66">
        <f>IF(NOT((COUNTA($B139:$J139)+COUNTA($M139))&gt;0),"",IF((IF(B139="","Macroactividad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 OK","⚠ "&amp;LEFT(IF(B139="","Macroactividad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",""),LEN(IF(B139="","Macroactividad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",""))-3)))</f>
        <v/>
      </c>
      <c r="O139" s="67">
        <f>IF(NOT((COUNTA($B139:$J139)+COUNTA($M139))&gt;0),"",IF(ISNUMBER($D139),DATE(YEAR($D139),MONTH($D139),1),IF(ISNUMBER($E139),DATE(YEAR($E139),MONTH($E139),1),MesCiclo)))</f>
        <v/>
      </c>
      <c r="P139" s="68">
        <f>IF(OR($O139="",$O139&lt;&gt;MesCiclo),"",COUNTIF($O$5:$O139,MesCiclo))</f>
        <v/>
      </c>
    </row>
    <row r="140">
      <c r="A140" s="60">
        <f>IF(NOT((COUNTA($B140:$J140)+COUNTA($M140))&gt;0),"",COUNTIFS($L$5:$L140,"?*",$O$5:$O140,$O140))</f>
        <v/>
      </c>
      <c r="B140" s="61" t="n"/>
      <c r="C140" s="61" t="n"/>
      <c r="D140" s="62" t="n"/>
      <c r="E140" s="62" t="n"/>
      <c r="F140" s="63" t="n"/>
      <c r="G140" s="64" t="n"/>
      <c r="H140" s="64" t="n"/>
      <c r="I140" s="64" t="n"/>
      <c r="J140" s="64" t="n"/>
      <c r="K140" s="65">
        <f>IF(NOT((COUNTA($B140:$J140)+COUNTA($M140))&gt;0),"",IFERROR(LOOKUP(2,1/(G140:J140&lt;&gt;""),G140:J140),0))</f>
        <v/>
      </c>
      <c r="L140" s="60">
        <f>IF(K140="","",IF(K140&gt;=1,"Completado",IF(K140&gt;0,"En curso","Pendiente")))</f>
        <v/>
      </c>
      <c r="M140" s="61" t="n"/>
      <c r="N140" s="66">
        <f>IF(NOT((COUNTA($B140:$J140)+COUNTA($M140))&gt;0),"",IF((IF(B140="","Macroactividad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 OK","⚠ "&amp;LEFT(IF(B140="","Macroactividad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",""),LEN(IF(B140="","Macroactividad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",""))-3)))</f>
        <v/>
      </c>
      <c r="O140" s="67">
        <f>IF(NOT((COUNTA($B140:$J140)+COUNTA($M140))&gt;0),"",IF(ISNUMBER($D140),DATE(YEAR($D140),MONTH($D140),1),IF(ISNUMBER($E140),DATE(YEAR($E140),MONTH($E140),1),MesCiclo)))</f>
        <v/>
      </c>
      <c r="P140" s="68">
        <f>IF(OR($O140="",$O140&lt;&gt;MesCiclo),"",COUNTIF($O$5:$O140,MesCiclo))</f>
        <v/>
      </c>
    </row>
    <row r="141">
      <c r="A141" s="60">
        <f>IF(NOT((COUNTA($B141:$J141)+COUNTA($M141))&gt;0),"",COUNTIFS($L$5:$L141,"?*",$O$5:$O141,$O141))</f>
        <v/>
      </c>
      <c r="B141" s="61" t="n"/>
      <c r="C141" s="61" t="n"/>
      <c r="D141" s="62" t="n"/>
      <c r="E141" s="62" t="n"/>
      <c r="F141" s="63" t="n"/>
      <c r="G141" s="64" t="n"/>
      <c r="H141" s="64" t="n"/>
      <c r="I141" s="64" t="n"/>
      <c r="J141" s="64" t="n"/>
      <c r="K141" s="65">
        <f>IF(NOT((COUNTA($B141:$J141)+COUNTA($M141))&gt;0),"",IFERROR(LOOKUP(2,1/(G141:J141&lt;&gt;""),G141:J141),0))</f>
        <v/>
      </c>
      <c r="L141" s="60">
        <f>IF(K141="","",IF(K141&gt;=1,"Completado",IF(K141&gt;0,"En curso","Pendiente")))</f>
        <v/>
      </c>
      <c r="M141" s="61" t="n"/>
      <c r="N141" s="66">
        <f>IF(NOT((COUNTA($B141:$J141)+COUNTA($M141))&gt;0),"",IF((IF(B141="","Macroactividad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 OK","⚠ "&amp;LEFT(IF(B141="","Macroactividad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",""),LEN(IF(B141="","Macroactividad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",""))-3)))</f>
        <v/>
      </c>
      <c r="O141" s="67">
        <f>IF(NOT((COUNTA($B141:$J141)+COUNTA($M141))&gt;0),"",IF(ISNUMBER($D141),DATE(YEAR($D141),MONTH($D141),1),IF(ISNUMBER($E141),DATE(YEAR($E141),MONTH($E141),1),MesCiclo)))</f>
        <v/>
      </c>
      <c r="P141" s="68">
        <f>IF(OR($O141="",$O141&lt;&gt;MesCiclo),"",COUNTIF($O$5:$O141,MesCiclo))</f>
        <v/>
      </c>
    </row>
    <row r="142">
      <c r="A142" s="60">
        <f>IF(NOT((COUNTA($B142:$J142)+COUNTA($M142))&gt;0),"",COUNTIFS($L$5:$L142,"?*",$O$5:$O142,$O142))</f>
        <v/>
      </c>
      <c r="B142" s="61" t="n"/>
      <c r="C142" s="61" t="n"/>
      <c r="D142" s="62" t="n"/>
      <c r="E142" s="62" t="n"/>
      <c r="F142" s="63" t="n"/>
      <c r="G142" s="64" t="n"/>
      <c r="H142" s="64" t="n"/>
      <c r="I142" s="64" t="n"/>
      <c r="J142" s="64" t="n"/>
      <c r="K142" s="65">
        <f>IF(NOT((COUNTA($B142:$J142)+COUNTA($M142))&gt;0),"",IFERROR(LOOKUP(2,1/(G142:J142&lt;&gt;""),G142:J142),0))</f>
        <v/>
      </c>
      <c r="L142" s="60">
        <f>IF(K142="","",IF(K142&gt;=1,"Completado",IF(K142&gt;0,"En curso","Pendiente")))</f>
        <v/>
      </c>
      <c r="M142" s="61" t="n"/>
      <c r="N142" s="66">
        <f>IF(NOT((COUNTA($B142:$J142)+COUNTA($M142))&gt;0),"",IF((IF(B142="","Macroactividad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 OK","⚠ "&amp;LEFT(IF(B142="","Macroactividad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",""),LEN(IF(B142="","Macroactividad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",""))-3)))</f>
        <v/>
      </c>
      <c r="O142" s="67">
        <f>IF(NOT((COUNTA($B142:$J142)+COUNTA($M142))&gt;0),"",IF(ISNUMBER($D142),DATE(YEAR($D142),MONTH($D142),1),IF(ISNUMBER($E142),DATE(YEAR($E142),MONTH($E142),1),MesCiclo)))</f>
        <v/>
      </c>
      <c r="P142" s="68">
        <f>IF(OR($O142="",$O142&lt;&gt;MesCiclo),"",COUNTIF($O$5:$O142,MesCiclo))</f>
        <v/>
      </c>
    </row>
    <row r="143">
      <c r="A143" s="60">
        <f>IF(NOT((COUNTA($B143:$J143)+COUNTA($M143))&gt;0),"",COUNTIFS($L$5:$L143,"?*",$O$5:$O143,$O143))</f>
        <v/>
      </c>
      <c r="B143" s="61" t="n"/>
      <c r="C143" s="61" t="n"/>
      <c r="D143" s="62" t="n"/>
      <c r="E143" s="62" t="n"/>
      <c r="F143" s="63" t="n"/>
      <c r="G143" s="64" t="n"/>
      <c r="H143" s="64" t="n"/>
      <c r="I143" s="64" t="n"/>
      <c r="J143" s="64" t="n"/>
      <c r="K143" s="65">
        <f>IF(NOT((COUNTA($B143:$J143)+COUNTA($M143))&gt;0),"",IFERROR(LOOKUP(2,1/(G143:J143&lt;&gt;""),G143:J143),0))</f>
        <v/>
      </c>
      <c r="L143" s="60">
        <f>IF(K143="","",IF(K143&gt;=1,"Completado",IF(K143&gt;0,"En curso","Pendiente")))</f>
        <v/>
      </c>
      <c r="M143" s="61" t="n"/>
      <c r="N143" s="66">
        <f>IF(NOT((COUNTA($B143:$J143)+COUNTA($M143))&gt;0),"",IF((IF(B143="","Macroactividad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 OK","⚠ "&amp;LEFT(IF(B143="","Macroactividad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",""),LEN(IF(B143="","Macroactividad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",""))-3)))</f>
        <v/>
      </c>
      <c r="O143" s="67">
        <f>IF(NOT((COUNTA($B143:$J143)+COUNTA($M143))&gt;0),"",IF(ISNUMBER($D143),DATE(YEAR($D143),MONTH($D143),1),IF(ISNUMBER($E143),DATE(YEAR($E143),MONTH($E143),1),MesCiclo)))</f>
        <v/>
      </c>
      <c r="P143" s="68">
        <f>IF(OR($O143="",$O143&lt;&gt;MesCiclo),"",COUNTIF($O$5:$O143,MesCiclo))</f>
        <v/>
      </c>
    </row>
    <row r="144">
      <c r="A144" s="60">
        <f>IF(NOT((COUNTA($B144:$J144)+COUNTA($M144))&gt;0),"",COUNTIFS($L$5:$L144,"?*",$O$5:$O144,$O144))</f>
        <v/>
      </c>
      <c r="B144" s="61" t="n"/>
      <c r="C144" s="61" t="n"/>
      <c r="D144" s="62" t="n"/>
      <c r="E144" s="62" t="n"/>
      <c r="F144" s="63" t="n"/>
      <c r="G144" s="64" t="n"/>
      <c r="H144" s="64" t="n"/>
      <c r="I144" s="64" t="n"/>
      <c r="J144" s="64" t="n"/>
      <c r="K144" s="65">
        <f>IF(NOT((COUNTA($B144:$J144)+COUNTA($M144))&gt;0),"",IFERROR(LOOKUP(2,1/(G144:J144&lt;&gt;""),G144:J144),0))</f>
        <v/>
      </c>
      <c r="L144" s="60">
        <f>IF(K144="","",IF(K144&gt;=1,"Completado",IF(K144&gt;0,"En curso","Pendiente")))</f>
        <v/>
      </c>
      <c r="M144" s="61" t="n"/>
      <c r="N144" s="66">
        <f>IF(NOT((COUNTA($B144:$J144)+COUNTA($M144))&gt;0),"",IF((IF(B144="","Macroactividad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 OK","⚠ "&amp;LEFT(IF(B144="","Macroactividad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",""),LEN(IF(B144="","Macroactividad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",""))-3)))</f>
        <v/>
      </c>
      <c r="O144" s="67">
        <f>IF(NOT((COUNTA($B144:$J144)+COUNTA($M144))&gt;0),"",IF(ISNUMBER($D144),DATE(YEAR($D144),MONTH($D144),1),IF(ISNUMBER($E144),DATE(YEAR($E144),MONTH($E144),1),MesCiclo)))</f>
        <v/>
      </c>
      <c r="P144" s="68">
        <f>IF(OR($O144="",$O144&lt;&gt;MesCiclo),"",COUNTIF($O$5:$O144,MesCiclo))</f>
        <v/>
      </c>
    </row>
    <row r="145">
      <c r="A145" s="60">
        <f>IF(NOT((COUNTA($B145:$J145)+COUNTA($M145))&gt;0),"",COUNTIFS($L$5:$L145,"?*",$O$5:$O145,$O145))</f>
        <v/>
      </c>
      <c r="B145" s="61" t="n"/>
      <c r="C145" s="61" t="n"/>
      <c r="D145" s="62" t="n"/>
      <c r="E145" s="62" t="n"/>
      <c r="F145" s="63" t="n"/>
      <c r="G145" s="64" t="n"/>
      <c r="H145" s="64" t="n"/>
      <c r="I145" s="64" t="n"/>
      <c r="J145" s="64" t="n"/>
      <c r="K145" s="65">
        <f>IF(NOT((COUNTA($B145:$J145)+COUNTA($M145))&gt;0),"",IFERROR(LOOKUP(2,1/(G145:J145&lt;&gt;""),G145:J145),0))</f>
        <v/>
      </c>
      <c r="L145" s="60">
        <f>IF(K145="","",IF(K145&gt;=1,"Completado",IF(K145&gt;0,"En curso","Pendiente")))</f>
        <v/>
      </c>
      <c r="M145" s="61" t="n"/>
      <c r="N145" s="66">
        <f>IF(NOT((COUNTA($B145:$J145)+COUNTA($M145))&gt;0),"",IF((IF(B145="","Macroactividad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 OK","⚠ "&amp;LEFT(IF(B145="","Macroactividad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",""),LEN(IF(B145="","Macroactividad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",""))-3)))</f>
        <v/>
      </c>
      <c r="O145" s="67">
        <f>IF(NOT((COUNTA($B145:$J145)+COUNTA($M145))&gt;0),"",IF(ISNUMBER($D145),DATE(YEAR($D145),MONTH($D145),1),IF(ISNUMBER($E145),DATE(YEAR($E145),MONTH($E145),1),MesCiclo)))</f>
        <v/>
      </c>
      <c r="P145" s="68">
        <f>IF(OR($O145="",$O145&lt;&gt;MesCiclo),"",COUNTIF($O$5:$O145,MesCiclo))</f>
        <v/>
      </c>
    </row>
    <row r="146">
      <c r="A146" s="60">
        <f>IF(NOT((COUNTA($B146:$J146)+COUNTA($M146))&gt;0),"",COUNTIFS($L$5:$L146,"?*",$O$5:$O146,$O146))</f>
        <v/>
      </c>
      <c r="B146" s="61" t="n"/>
      <c r="C146" s="61" t="n"/>
      <c r="D146" s="62" t="n"/>
      <c r="E146" s="62" t="n"/>
      <c r="F146" s="63" t="n"/>
      <c r="G146" s="64" t="n"/>
      <c r="H146" s="64" t="n"/>
      <c r="I146" s="64" t="n"/>
      <c r="J146" s="64" t="n"/>
      <c r="K146" s="65">
        <f>IF(NOT((COUNTA($B146:$J146)+COUNTA($M146))&gt;0),"",IFERROR(LOOKUP(2,1/(G146:J146&lt;&gt;""),G146:J146),0))</f>
        <v/>
      </c>
      <c r="L146" s="60">
        <f>IF(K146="","",IF(K146&gt;=1,"Completado",IF(K146&gt;0,"En curso","Pendiente")))</f>
        <v/>
      </c>
      <c r="M146" s="61" t="n"/>
      <c r="N146" s="66">
        <f>IF(NOT((COUNTA($B146:$J146)+COUNTA($M146))&gt;0),"",IF((IF(B146="","Macroactividad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 OK","⚠ "&amp;LEFT(IF(B146="","Macroactividad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",""),LEN(IF(B146="","Macroactividad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",""))-3)))</f>
        <v/>
      </c>
      <c r="O146" s="67">
        <f>IF(NOT((COUNTA($B146:$J146)+COUNTA($M146))&gt;0),"",IF(ISNUMBER($D146),DATE(YEAR($D146),MONTH($D146),1),IF(ISNUMBER($E146),DATE(YEAR($E146),MONTH($E146),1),MesCiclo)))</f>
        <v/>
      </c>
      <c r="P146" s="68">
        <f>IF(OR($O146="",$O146&lt;&gt;MesCiclo),"",COUNTIF($O$5:$O146,MesCiclo))</f>
        <v/>
      </c>
    </row>
    <row r="147">
      <c r="A147" s="60">
        <f>IF(NOT((COUNTA($B147:$J147)+COUNTA($M147))&gt;0),"",COUNTIFS($L$5:$L147,"?*",$O$5:$O147,$O147))</f>
        <v/>
      </c>
      <c r="B147" s="61" t="n"/>
      <c r="C147" s="61" t="n"/>
      <c r="D147" s="62" t="n"/>
      <c r="E147" s="62" t="n"/>
      <c r="F147" s="63" t="n"/>
      <c r="G147" s="64" t="n"/>
      <c r="H147" s="64" t="n"/>
      <c r="I147" s="64" t="n"/>
      <c r="J147" s="64" t="n"/>
      <c r="K147" s="65">
        <f>IF(NOT((COUNTA($B147:$J147)+COUNTA($M147))&gt;0),"",IFERROR(LOOKUP(2,1/(G147:J147&lt;&gt;""),G147:J147),0))</f>
        <v/>
      </c>
      <c r="L147" s="60">
        <f>IF(K147="","",IF(K147&gt;=1,"Completado",IF(K147&gt;0,"En curso","Pendiente")))</f>
        <v/>
      </c>
      <c r="M147" s="61" t="n"/>
      <c r="N147" s="66">
        <f>IF(NOT((COUNTA($B147:$J147)+COUNTA($M147))&gt;0),"",IF((IF(B147="","Macroactividad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 OK","⚠ "&amp;LEFT(IF(B147="","Macroactividad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",""),LEN(IF(B147="","Macroactividad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",""))-3)))</f>
        <v/>
      </c>
      <c r="O147" s="67">
        <f>IF(NOT((COUNTA($B147:$J147)+COUNTA($M147))&gt;0),"",IF(ISNUMBER($D147),DATE(YEAR($D147),MONTH($D147),1),IF(ISNUMBER($E147),DATE(YEAR($E147),MONTH($E147),1),MesCiclo)))</f>
        <v/>
      </c>
      <c r="P147" s="68">
        <f>IF(OR($O147="",$O147&lt;&gt;MesCiclo),"",COUNTIF($O$5:$O147,MesCiclo))</f>
        <v/>
      </c>
    </row>
    <row r="148">
      <c r="A148" s="60">
        <f>IF(NOT((COUNTA($B148:$J148)+COUNTA($M148))&gt;0),"",COUNTIFS($L$5:$L148,"?*",$O$5:$O148,$O148))</f>
        <v/>
      </c>
      <c r="B148" s="61" t="n"/>
      <c r="C148" s="61" t="n"/>
      <c r="D148" s="62" t="n"/>
      <c r="E148" s="62" t="n"/>
      <c r="F148" s="63" t="n"/>
      <c r="G148" s="64" t="n"/>
      <c r="H148" s="64" t="n"/>
      <c r="I148" s="64" t="n"/>
      <c r="J148" s="64" t="n"/>
      <c r="K148" s="65">
        <f>IF(NOT((COUNTA($B148:$J148)+COUNTA($M148))&gt;0),"",IFERROR(LOOKUP(2,1/(G148:J148&lt;&gt;""),G148:J148),0))</f>
        <v/>
      </c>
      <c r="L148" s="60">
        <f>IF(K148="","",IF(K148&gt;=1,"Completado",IF(K148&gt;0,"En curso","Pendiente")))</f>
        <v/>
      </c>
      <c r="M148" s="61" t="n"/>
      <c r="N148" s="66">
        <f>IF(NOT((COUNTA($B148:$J148)+COUNTA($M148))&gt;0),"",IF((IF(B148="","Macroactividad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 OK","⚠ "&amp;LEFT(IF(B148="","Macroactividad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",""),LEN(IF(B148="","Macroactividad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",""))-3)))</f>
        <v/>
      </c>
      <c r="O148" s="67">
        <f>IF(NOT((COUNTA($B148:$J148)+COUNTA($M148))&gt;0),"",IF(ISNUMBER($D148),DATE(YEAR($D148),MONTH($D148),1),IF(ISNUMBER($E148),DATE(YEAR($E148),MONTH($E148),1),MesCiclo)))</f>
        <v/>
      </c>
      <c r="P148" s="68">
        <f>IF(OR($O148="",$O148&lt;&gt;MesCiclo),"",COUNTIF($O$5:$O148,MesCiclo))</f>
        <v/>
      </c>
    </row>
    <row r="149">
      <c r="A149" s="60">
        <f>IF(NOT((COUNTA($B149:$J149)+COUNTA($M149))&gt;0),"",COUNTIFS($L$5:$L149,"?*",$O$5:$O149,$O149))</f>
        <v/>
      </c>
      <c r="B149" s="61" t="n"/>
      <c r="C149" s="61" t="n"/>
      <c r="D149" s="62" t="n"/>
      <c r="E149" s="62" t="n"/>
      <c r="F149" s="63" t="n"/>
      <c r="G149" s="64" t="n"/>
      <c r="H149" s="64" t="n"/>
      <c r="I149" s="64" t="n"/>
      <c r="J149" s="64" t="n"/>
      <c r="K149" s="65">
        <f>IF(NOT((COUNTA($B149:$J149)+COUNTA($M149))&gt;0),"",IFERROR(LOOKUP(2,1/(G149:J149&lt;&gt;""),G149:J149),0))</f>
        <v/>
      </c>
      <c r="L149" s="60">
        <f>IF(K149="","",IF(K149&gt;=1,"Completado",IF(K149&gt;0,"En curso","Pendiente")))</f>
        <v/>
      </c>
      <c r="M149" s="61" t="n"/>
      <c r="N149" s="66">
        <f>IF(NOT((COUNTA($B149:$J149)+COUNTA($M149))&gt;0),"",IF((IF(B149="","Macroactividad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 OK","⚠ "&amp;LEFT(IF(B149="","Macroactividad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",""),LEN(IF(B149="","Macroactividad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",""))-3)))</f>
        <v/>
      </c>
      <c r="O149" s="67">
        <f>IF(NOT((COUNTA($B149:$J149)+COUNTA($M149))&gt;0),"",IF(ISNUMBER($D149),DATE(YEAR($D149),MONTH($D149),1),IF(ISNUMBER($E149),DATE(YEAR($E149),MONTH($E149),1),MesCiclo)))</f>
        <v/>
      </c>
      <c r="P149" s="68">
        <f>IF(OR($O149="",$O149&lt;&gt;MesCiclo),"",COUNTIF($O$5:$O149,MesCiclo))</f>
        <v/>
      </c>
    </row>
    <row r="150">
      <c r="A150" s="60">
        <f>IF(NOT((COUNTA($B150:$J150)+COUNTA($M150))&gt;0),"",COUNTIFS($L$5:$L150,"?*",$O$5:$O150,$O150))</f>
        <v/>
      </c>
      <c r="B150" s="61" t="n"/>
      <c r="C150" s="61" t="n"/>
      <c r="D150" s="62" t="n"/>
      <c r="E150" s="62" t="n"/>
      <c r="F150" s="63" t="n"/>
      <c r="G150" s="64" t="n"/>
      <c r="H150" s="64" t="n"/>
      <c r="I150" s="64" t="n"/>
      <c r="J150" s="64" t="n"/>
      <c r="K150" s="65">
        <f>IF(NOT((COUNTA($B150:$J150)+COUNTA($M150))&gt;0),"",IFERROR(LOOKUP(2,1/(G150:J150&lt;&gt;""),G150:J150),0))</f>
        <v/>
      </c>
      <c r="L150" s="60">
        <f>IF(K150="","",IF(K150&gt;=1,"Completado",IF(K150&gt;0,"En curso","Pendiente")))</f>
        <v/>
      </c>
      <c r="M150" s="61" t="n"/>
      <c r="N150" s="66">
        <f>IF(NOT((COUNTA($B150:$J150)+COUNTA($M150))&gt;0),"",IF((IF(B150="","Macroactividad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 OK","⚠ "&amp;LEFT(IF(B150="","Macroactividad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",""),LEN(IF(B150="","Macroactividad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",""))-3)))</f>
        <v/>
      </c>
      <c r="O150" s="67">
        <f>IF(NOT((COUNTA($B150:$J150)+COUNTA($M150))&gt;0),"",IF(ISNUMBER($D150),DATE(YEAR($D150),MONTH($D150),1),IF(ISNUMBER($E150),DATE(YEAR($E150),MONTH($E150),1),MesCiclo)))</f>
        <v/>
      </c>
      <c r="P150" s="68">
        <f>IF(OR($O150="",$O150&lt;&gt;MesCiclo),"",COUNTIF($O$5:$O150,MesCiclo))</f>
        <v/>
      </c>
    </row>
    <row r="151">
      <c r="A151" s="60">
        <f>IF(NOT((COUNTA($B151:$J151)+COUNTA($M151))&gt;0),"",COUNTIFS($L$5:$L151,"?*",$O$5:$O151,$O151))</f>
        <v/>
      </c>
      <c r="B151" s="61" t="n"/>
      <c r="C151" s="61" t="n"/>
      <c r="D151" s="62" t="n"/>
      <c r="E151" s="62" t="n"/>
      <c r="F151" s="63" t="n"/>
      <c r="G151" s="64" t="n"/>
      <c r="H151" s="64" t="n"/>
      <c r="I151" s="64" t="n"/>
      <c r="J151" s="64" t="n"/>
      <c r="K151" s="65">
        <f>IF(NOT((COUNTA($B151:$J151)+COUNTA($M151))&gt;0),"",IFERROR(LOOKUP(2,1/(G151:J151&lt;&gt;""),G151:J151),0))</f>
        <v/>
      </c>
      <c r="L151" s="60">
        <f>IF(K151="","",IF(K151&gt;=1,"Completado",IF(K151&gt;0,"En curso","Pendiente")))</f>
        <v/>
      </c>
      <c r="M151" s="61" t="n"/>
      <c r="N151" s="66">
        <f>IF(NOT((COUNTA($B151:$J151)+COUNTA($M151))&gt;0),"",IF((IF(B151="","Macroactividad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 OK","⚠ "&amp;LEFT(IF(B151="","Macroactividad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",""),LEN(IF(B151="","Macroactividad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",""))-3)))</f>
        <v/>
      </c>
      <c r="O151" s="67">
        <f>IF(NOT((COUNTA($B151:$J151)+COUNTA($M151))&gt;0),"",IF(ISNUMBER($D151),DATE(YEAR($D151),MONTH($D151),1),IF(ISNUMBER($E151),DATE(YEAR($E151),MONTH($E151),1),MesCiclo)))</f>
        <v/>
      </c>
      <c r="P151" s="68">
        <f>IF(OR($O151="",$O151&lt;&gt;MesCiclo),"",COUNTIF($O$5:$O151,MesCiclo))</f>
        <v/>
      </c>
    </row>
    <row r="152">
      <c r="A152" s="60">
        <f>IF(NOT((COUNTA($B152:$J152)+COUNTA($M152))&gt;0),"",COUNTIFS($L$5:$L152,"?*",$O$5:$O152,$O152))</f>
        <v/>
      </c>
      <c r="B152" s="61" t="n"/>
      <c r="C152" s="61" t="n"/>
      <c r="D152" s="62" t="n"/>
      <c r="E152" s="62" t="n"/>
      <c r="F152" s="63" t="n"/>
      <c r="G152" s="64" t="n"/>
      <c r="H152" s="64" t="n"/>
      <c r="I152" s="64" t="n"/>
      <c r="J152" s="64" t="n"/>
      <c r="K152" s="65">
        <f>IF(NOT((COUNTA($B152:$J152)+COUNTA($M152))&gt;0),"",IFERROR(LOOKUP(2,1/(G152:J152&lt;&gt;""),G152:J152),0))</f>
        <v/>
      </c>
      <c r="L152" s="60">
        <f>IF(K152="","",IF(K152&gt;=1,"Completado",IF(K152&gt;0,"En curso","Pendiente")))</f>
        <v/>
      </c>
      <c r="M152" s="61" t="n"/>
      <c r="N152" s="66">
        <f>IF(NOT((COUNTA($B152:$J152)+COUNTA($M152))&gt;0),"",IF((IF(B152="","Macroactividad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 OK","⚠ "&amp;LEFT(IF(B152="","Macroactividad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",""),LEN(IF(B152="","Macroactividad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",""))-3)))</f>
        <v/>
      </c>
      <c r="O152" s="67">
        <f>IF(NOT((COUNTA($B152:$J152)+COUNTA($M152))&gt;0),"",IF(ISNUMBER($D152),DATE(YEAR($D152),MONTH($D152),1),IF(ISNUMBER($E152),DATE(YEAR($E152),MONTH($E152),1),MesCiclo)))</f>
        <v/>
      </c>
      <c r="P152" s="68">
        <f>IF(OR($O152="",$O152&lt;&gt;MesCiclo),"",COUNTIF($O$5:$O152,MesCiclo))</f>
        <v/>
      </c>
    </row>
    <row r="153">
      <c r="A153" s="60">
        <f>IF(NOT((COUNTA($B153:$J153)+COUNTA($M153))&gt;0),"",COUNTIFS($L$5:$L153,"?*",$O$5:$O153,$O153))</f>
        <v/>
      </c>
      <c r="B153" s="61" t="n"/>
      <c r="C153" s="61" t="n"/>
      <c r="D153" s="62" t="n"/>
      <c r="E153" s="62" t="n"/>
      <c r="F153" s="63" t="n"/>
      <c r="G153" s="64" t="n"/>
      <c r="H153" s="64" t="n"/>
      <c r="I153" s="64" t="n"/>
      <c r="J153" s="64" t="n"/>
      <c r="K153" s="65">
        <f>IF(NOT((COUNTA($B153:$J153)+COUNTA($M153))&gt;0),"",IFERROR(LOOKUP(2,1/(G153:J153&lt;&gt;""),G153:J153),0))</f>
        <v/>
      </c>
      <c r="L153" s="60">
        <f>IF(K153="","",IF(K153&gt;=1,"Completado",IF(K153&gt;0,"En curso","Pendiente")))</f>
        <v/>
      </c>
      <c r="M153" s="61" t="n"/>
      <c r="N153" s="66">
        <f>IF(NOT((COUNTA($B153:$J153)+COUNTA($M153))&gt;0),"",IF((IF(B153="","Macroactividad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 OK","⚠ "&amp;LEFT(IF(B153="","Macroactividad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",""),LEN(IF(B153="","Macroactividad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",""))-3)))</f>
        <v/>
      </c>
      <c r="O153" s="67">
        <f>IF(NOT((COUNTA($B153:$J153)+COUNTA($M153))&gt;0),"",IF(ISNUMBER($D153),DATE(YEAR($D153),MONTH($D153),1),IF(ISNUMBER($E153),DATE(YEAR($E153),MONTH($E153),1),MesCiclo)))</f>
        <v/>
      </c>
      <c r="P153" s="68">
        <f>IF(OR($O153="",$O153&lt;&gt;MesCiclo),"",COUNTIF($O$5:$O153,MesCiclo))</f>
        <v/>
      </c>
    </row>
    <row r="154">
      <c r="A154" s="60">
        <f>IF(NOT((COUNTA($B154:$J154)+COUNTA($M154))&gt;0),"",COUNTIFS($L$5:$L154,"?*",$O$5:$O154,$O154))</f>
        <v/>
      </c>
      <c r="B154" s="61" t="n"/>
      <c r="C154" s="61" t="n"/>
      <c r="D154" s="62" t="n"/>
      <c r="E154" s="62" t="n"/>
      <c r="F154" s="63" t="n"/>
      <c r="G154" s="64" t="n"/>
      <c r="H154" s="64" t="n"/>
      <c r="I154" s="64" t="n"/>
      <c r="J154" s="64" t="n"/>
      <c r="K154" s="65">
        <f>IF(NOT((COUNTA($B154:$J154)+COUNTA($M154))&gt;0),"",IFERROR(LOOKUP(2,1/(G154:J154&lt;&gt;""),G154:J154),0))</f>
        <v/>
      </c>
      <c r="L154" s="60">
        <f>IF(K154="","",IF(K154&gt;=1,"Completado",IF(K154&gt;0,"En curso","Pendiente")))</f>
        <v/>
      </c>
      <c r="M154" s="61" t="n"/>
      <c r="N154" s="66">
        <f>IF(NOT((COUNTA($B154:$J154)+COUNTA($M154))&gt;0),"",IF((IF(B154="","Macroactividad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 OK","⚠ "&amp;LEFT(IF(B154="","Macroactividad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",""),LEN(IF(B154="","Macroactividad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",""))-3)))</f>
        <v/>
      </c>
      <c r="O154" s="67">
        <f>IF(NOT((COUNTA($B154:$J154)+COUNTA($M154))&gt;0),"",IF(ISNUMBER($D154),DATE(YEAR($D154),MONTH($D154),1),IF(ISNUMBER($E154),DATE(YEAR($E154),MONTH($E154),1),MesCiclo)))</f>
        <v/>
      </c>
      <c r="P154" s="68">
        <f>IF(OR($O154="",$O154&lt;&gt;MesCiclo),"",COUNTIF($O$5:$O154,MesCiclo))</f>
        <v/>
      </c>
    </row>
    <row r="155">
      <c r="A155" s="60">
        <f>IF(NOT((COUNTA($B155:$J155)+COUNTA($M155))&gt;0),"",COUNTIFS($L$5:$L155,"?*",$O$5:$O155,$O155))</f>
        <v/>
      </c>
      <c r="B155" s="61" t="n"/>
      <c r="C155" s="61" t="n"/>
      <c r="D155" s="62" t="n"/>
      <c r="E155" s="62" t="n"/>
      <c r="F155" s="63" t="n"/>
      <c r="G155" s="64" t="n"/>
      <c r="H155" s="64" t="n"/>
      <c r="I155" s="64" t="n"/>
      <c r="J155" s="64" t="n"/>
      <c r="K155" s="65">
        <f>IF(NOT((COUNTA($B155:$J155)+COUNTA($M155))&gt;0),"",IFERROR(LOOKUP(2,1/(G155:J155&lt;&gt;""),G155:J155),0))</f>
        <v/>
      </c>
      <c r="L155" s="60">
        <f>IF(K155="","",IF(K155&gt;=1,"Completado",IF(K155&gt;0,"En curso","Pendiente")))</f>
        <v/>
      </c>
      <c r="M155" s="61" t="n"/>
      <c r="N155" s="66">
        <f>IF(NOT((COUNTA($B155:$J155)+COUNTA($M155))&gt;0),"",IF((IF(B155="","Macroactividad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 OK","⚠ "&amp;LEFT(IF(B155="","Macroactividad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",""),LEN(IF(B155="","Macroactividad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",""))-3)))</f>
        <v/>
      </c>
      <c r="O155" s="67">
        <f>IF(NOT((COUNTA($B155:$J155)+COUNTA($M155))&gt;0),"",IF(ISNUMBER($D155),DATE(YEAR($D155),MONTH($D155),1),IF(ISNUMBER($E155),DATE(YEAR($E155),MONTH($E155),1),MesCiclo)))</f>
        <v/>
      </c>
      <c r="P155" s="68">
        <f>IF(OR($O155="",$O155&lt;&gt;MesCiclo),"",COUNTIF($O$5:$O155,MesCiclo))</f>
        <v/>
      </c>
    </row>
    <row r="156">
      <c r="A156" s="60">
        <f>IF(NOT((COUNTA($B156:$J156)+COUNTA($M156))&gt;0),"",COUNTIFS($L$5:$L156,"?*",$O$5:$O156,$O156))</f>
        <v/>
      </c>
      <c r="B156" s="61" t="n"/>
      <c r="C156" s="61" t="n"/>
      <c r="D156" s="62" t="n"/>
      <c r="E156" s="62" t="n"/>
      <c r="F156" s="63" t="n"/>
      <c r="G156" s="64" t="n"/>
      <c r="H156" s="64" t="n"/>
      <c r="I156" s="64" t="n"/>
      <c r="J156" s="64" t="n"/>
      <c r="K156" s="65">
        <f>IF(NOT((COUNTA($B156:$J156)+COUNTA($M156))&gt;0),"",IFERROR(LOOKUP(2,1/(G156:J156&lt;&gt;""),G156:J156),0))</f>
        <v/>
      </c>
      <c r="L156" s="60">
        <f>IF(K156="","",IF(K156&gt;=1,"Completado",IF(K156&gt;0,"En curso","Pendiente")))</f>
        <v/>
      </c>
      <c r="M156" s="61" t="n"/>
      <c r="N156" s="66">
        <f>IF(NOT((COUNTA($B156:$J156)+COUNTA($M156))&gt;0),"",IF((IF(B156="","Macroactividad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 OK","⚠ "&amp;LEFT(IF(B156="","Macroactividad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",""),LEN(IF(B156="","Macroactividad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",""))-3)))</f>
        <v/>
      </c>
      <c r="O156" s="67">
        <f>IF(NOT((COUNTA($B156:$J156)+COUNTA($M156))&gt;0),"",IF(ISNUMBER($D156),DATE(YEAR($D156),MONTH($D156),1),IF(ISNUMBER($E156),DATE(YEAR($E156),MONTH($E156),1),MesCiclo)))</f>
        <v/>
      </c>
      <c r="P156" s="68">
        <f>IF(OR($O156="",$O156&lt;&gt;MesCiclo),"",COUNTIF($O$5:$O156,MesCiclo))</f>
        <v/>
      </c>
    </row>
    <row r="157">
      <c r="A157" s="60">
        <f>IF(NOT((COUNTA($B157:$J157)+COUNTA($M157))&gt;0),"",COUNTIFS($L$5:$L157,"?*",$O$5:$O157,$O157))</f>
        <v/>
      </c>
      <c r="B157" s="61" t="n"/>
      <c r="C157" s="61" t="n"/>
      <c r="D157" s="62" t="n"/>
      <c r="E157" s="62" t="n"/>
      <c r="F157" s="63" t="n"/>
      <c r="G157" s="64" t="n"/>
      <c r="H157" s="64" t="n"/>
      <c r="I157" s="64" t="n"/>
      <c r="J157" s="64" t="n"/>
      <c r="K157" s="65">
        <f>IF(NOT((COUNTA($B157:$J157)+COUNTA($M157))&gt;0),"",IFERROR(LOOKUP(2,1/(G157:J157&lt;&gt;""),G157:J157),0))</f>
        <v/>
      </c>
      <c r="L157" s="60">
        <f>IF(K157="","",IF(K157&gt;=1,"Completado",IF(K157&gt;0,"En curso","Pendiente")))</f>
        <v/>
      </c>
      <c r="M157" s="61" t="n"/>
      <c r="N157" s="66">
        <f>IF(NOT((COUNTA($B157:$J157)+COUNTA($M157))&gt;0),"",IF((IF(B157="","Macroactividad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 OK","⚠ "&amp;LEFT(IF(B157="","Macroactividad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",""),LEN(IF(B157="","Macroactividad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",""))-3)))</f>
        <v/>
      </c>
      <c r="O157" s="67">
        <f>IF(NOT((COUNTA($B157:$J157)+COUNTA($M157))&gt;0),"",IF(ISNUMBER($D157),DATE(YEAR($D157),MONTH($D157),1),IF(ISNUMBER($E157),DATE(YEAR($E157),MONTH($E157),1),MesCiclo)))</f>
        <v/>
      </c>
      <c r="P157" s="68">
        <f>IF(OR($O157="",$O157&lt;&gt;MesCiclo),"",COUNTIF($O$5:$O157,MesCiclo))</f>
        <v/>
      </c>
    </row>
    <row r="158">
      <c r="A158" s="60">
        <f>IF(NOT((COUNTA($B158:$J158)+COUNTA($M158))&gt;0),"",COUNTIFS($L$5:$L158,"?*",$O$5:$O158,$O158))</f>
        <v/>
      </c>
      <c r="B158" s="61" t="n"/>
      <c r="C158" s="61" t="n"/>
      <c r="D158" s="62" t="n"/>
      <c r="E158" s="62" t="n"/>
      <c r="F158" s="63" t="n"/>
      <c r="G158" s="64" t="n"/>
      <c r="H158" s="64" t="n"/>
      <c r="I158" s="64" t="n"/>
      <c r="J158" s="64" t="n"/>
      <c r="K158" s="65">
        <f>IF(NOT((COUNTA($B158:$J158)+COUNTA($M158))&gt;0),"",IFERROR(LOOKUP(2,1/(G158:J158&lt;&gt;""),G158:J158),0))</f>
        <v/>
      </c>
      <c r="L158" s="60">
        <f>IF(K158="","",IF(K158&gt;=1,"Completado",IF(K158&gt;0,"En curso","Pendiente")))</f>
        <v/>
      </c>
      <c r="M158" s="61" t="n"/>
      <c r="N158" s="66">
        <f>IF(NOT((COUNTA($B158:$J158)+COUNTA($M158))&gt;0),"",IF((IF(B158="","Macroactividad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 OK","⚠ "&amp;LEFT(IF(B158="","Macroactividad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",""),LEN(IF(B158="","Macroactividad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",""))-3)))</f>
        <v/>
      </c>
      <c r="O158" s="67">
        <f>IF(NOT((COUNTA($B158:$J158)+COUNTA($M158))&gt;0),"",IF(ISNUMBER($D158),DATE(YEAR($D158),MONTH($D158),1),IF(ISNUMBER($E158),DATE(YEAR($E158),MONTH($E158),1),MesCiclo)))</f>
        <v/>
      </c>
      <c r="P158" s="68">
        <f>IF(OR($O158="",$O158&lt;&gt;MesCiclo),"",COUNTIF($O$5:$O158,MesCiclo))</f>
        <v/>
      </c>
    </row>
    <row r="159">
      <c r="A159" s="60">
        <f>IF(NOT((COUNTA($B159:$J159)+COUNTA($M159))&gt;0),"",COUNTIFS($L$5:$L159,"?*",$O$5:$O159,$O159))</f>
        <v/>
      </c>
      <c r="B159" s="61" t="n"/>
      <c r="C159" s="61" t="n"/>
      <c r="D159" s="62" t="n"/>
      <c r="E159" s="62" t="n"/>
      <c r="F159" s="63" t="n"/>
      <c r="G159" s="64" t="n"/>
      <c r="H159" s="64" t="n"/>
      <c r="I159" s="64" t="n"/>
      <c r="J159" s="64" t="n"/>
      <c r="K159" s="65">
        <f>IF(NOT((COUNTA($B159:$J159)+COUNTA($M159))&gt;0),"",IFERROR(LOOKUP(2,1/(G159:J159&lt;&gt;""),G159:J159),0))</f>
        <v/>
      </c>
      <c r="L159" s="60">
        <f>IF(K159="","",IF(K159&gt;=1,"Completado",IF(K159&gt;0,"En curso","Pendiente")))</f>
        <v/>
      </c>
      <c r="M159" s="61" t="n"/>
      <c r="N159" s="66">
        <f>IF(NOT((COUNTA($B159:$J159)+COUNTA($M159))&gt;0),"",IF((IF(B159="","Macroactividad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 OK","⚠ "&amp;LEFT(IF(B159="","Macroactividad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",""),LEN(IF(B159="","Macroactividad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",""))-3)))</f>
        <v/>
      </c>
      <c r="O159" s="67">
        <f>IF(NOT((COUNTA($B159:$J159)+COUNTA($M159))&gt;0),"",IF(ISNUMBER($D159),DATE(YEAR($D159),MONTH($D159),1),IF(ISNUMBER($E159),DATE(YEAR($E159),MONTH($E159),1),MesCiclo)))</f>
        <v/>
      </c>
      <c r="P159" s="68">
        <f>IF(OR($O159="",$O159&lt;&gt;MesCiclo),"",COUNTIF($O$5:$O159,MesCiclo))</f>
        <v/>
      </c>
    </row>
    <row r="160">
      <c r="A160" s="60">
        <f>IF(NOT((COUNTA($B160:$J160)+COUNTA($M160))&gt;0),"",COUNTIFS($L$5:$L160,"?*",$O$5:$O160,$O160))</f>
        <v/>
      </c>
      <c r="B160" s="61" t="n"/>
      <c r="C160" s="61" t="n"/>
      <c r="D160" s="62" t="n"/>
      <c r="E160" s="62" t="n"/>
      <c r="F160" s="63" t="n"/>
      <c r="G160" s="64" t="n"/>
      <c r="H160" s="64" t="n"/>
      <c r="I160" s="64" t="n"/>
      <c r="J160" s="64" t="n"/>
      <c r="K160" s="65">
        <f>IF(NOT((COUNTA($B160:$J160)+COUNTA($M160))&gt;0),"",IFERROR(LOOKUP(2,1/(G160:J160&lt;&gt;""),G160:J160),0))</f>
        <v/>
      </c>
      <c r="L160" s="60">
        <f>IF(K160="","",IF(K160&gt;=1,"Completado",IF(K160&gt;0,"En curso","Pendiente")))</f>
        <v/>
      </c>
      <c r="M160" s="61" t="n"/>
      <c r="N160" s="66">
        <f>IF(NOT((COUNTA($B160:$J160)+COUNTA($M160))&gt;0),"",IF((IF(B160="","Macroactividad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 OK","⚠ "&amp;LEFT(IF(B160="","Macroactividad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",""),LEN(IF(B160="","Macroactividad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",""))-3)))</f>
        <v/>
      </c>
      <c r="O160" s="67">
        <f>IF(NOT((COUNTA($B160:$J160)+COUNTA($M160))&gt;0),"",IF(ISNUMBER($D160),DATE(YEAR($D160),MONTH($D160),1),IF(ISNUMBER($E160),DATE(YEAR($E160),MONTH($E160),1),MesCiclo)))</f>
        <v/>
      </c>
      <c r="P160" s="68">
        <f>IF(OR($O160="",$O160&lt;&gt;MesCiclo),"",COUNTIF($O$5:$O160,MesCiclo))</f>
        <v/>
      </c>
    </row>
    <row r="161">
      <c r="A161" s="60">
        <f>IF(NOT((COUNTA($B161:$J161)+COUNTA($M161))&gt;0),"",COUNTIFS($L$5:$L161,"?*",$O$5:$O161,$O161))</f>
        <v/>
      </c>
      <c r="B161" s="61" t="n"/>
      <c r="C161" s="61" t="n"/>
      <c r="D161" s="62" t="n"/>
      <c r="E161" s="62" t="n"/>
      <c r="F161" s="63" t="n"/>
      <c r="G161" s="64" t="n"/>
      <c r="H161" s="64" t="n"/>
      <c r="I161" s="64" t="n"/>
      <c r="J161" s="64" t="n"/>
      <c r="K161" s="65">
        <f>IF(NOT((COUNTA($B161:$J161)+COUNTA($M161))&gt;0),"",IFERROR(LOOKUP(2,1/(G161:J161&lt;&gt;""),G161:J161),0))</f>
        <v/>
      </c>
      <c r="L161" s="60">
        <f>IF(K161="","",IF(K161&gt;=1,"Completado",IF(K161&gt;0,"En curso","Pendiente")))</f>
        <v/>
      </c>
      <c r="M161" s="61" t="n"/>
      <c r="N161" s="66">
        <f>IF(NOT((COUNTA($B161:$J161)+COUNTA($M161))&gt;0),"",IF((IF(B161="","Macroactividad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 OK","⚠ "&amp;LEFT(IF(B161="","Macroactividad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",""),LEN(IF(B161="","Macroactividad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",""))-3)))</f>
        <v/>
      </c>
      <c r="O161" s="67">
        <f>IF(NOT((COUNTA($B161:$J161)+COUNTA($M161))&gt;0),"",IF(ISNUMBER($D161),DATE(YEAR($D161),MONTH($D161),1),IF(ISNUMBER($E161),DATE(YEAR($E161),MONTH($E161),1),MesCiclo)))</f>
        <v/>
      </c>
      <c r="P161" s="68">
        <f>IF(OR($O161="",$O161&lt;&gt;MesCiclo),"",COUNTIF($O$5:$O161,MesCiclo))</f>
        <v/>
      </c>
    </row>
    <row r="162">
      <c r="A162" s="60">
        <f>IF(NOT((COUNTA($B162:$J162)+COUNTA($M162))&gt;0),"",COUNTIFS($L$5:$L162,"?*",$O$5:$O162,$O162))</f>
        <v/>
      </c>
      <c r="B162" s="61" t="n"/>
      <c r="C162" s="61" t="n"/>
      <c r="D162" s="62" t="n"/>
      <c r="E162" s="62" t="n"/>
      <c r="F162" s="63" t="n"/>
      <c r="G162" s="64" t="n"/>
      <c r="H162" s="64" t="n"/>
      <c r="I162" s="64" t="n"/>
      <c r="J162" s="64" t="n"/>
      <c r="K162" s="65">
        <f>IF(NOT((COUNTA($B162:$J162)+COUNTA($M162))&gt;0),"",IFERROR(LOOKUP(2,1/(G162:J162&lt;&gt;""),G162:J162),0))</f>
        <v/>
      </c>
      <c r="L162" s="60">
        <f>IF(K162="","",IF(K162&gt;=1,"Completado",IF(K162&gt;0,"En curso","Pendiente")))</f>
        <v/>
      </c>
      <c r="M162" s="61" t="n"/>
      <c r="N162" s="66">
        <f>IF(NOT((COUNTA($B162:$J162)+COUNTA($M162))&gt;0),"",IF((IF(B162="","Macroactividad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 OK","⚠ "&amp;LEFT(IF(B162="","Macroactividad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",""),LEN(IF(B162="","Macroactividad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",""))-3)))</f>
        <v/>
      </c>
      <c r="O162" s="67">
        <f>IF(NOT((COUNTA($B162:$J162)+COUNTA($M162))&gt;0),"",IF(ISNUMBER($D162),DATE(YEAR($D162),MONTH($D162),1),IF(ISNUMBER($E162),DATE(YEAR($E162),MONTH($E162),1),MesCiclo)))</f>
        <v/>
      </c>
      <c r="P162" s="68">
        <f>IF(OR($O162="",$O162&lt;&gt;MesCiclo),"",COUNTIF($O$5:$O162,MesCiclo))</f>
        <v/>
      </c>
    </row>
    <row r="163">
      <c r="A163" s="60">
        <f>IF(NOT((COUNTA($B163:$J163)+COUNTA($M163))&gt;0),"",COUNTIFS($L$5:$L163,"?*",$O$5:$O163,$O163))</f>
        <v/>
      </c>
      <c r="B163" s="61" t="n"/>
      <c r="C163" s="61" t="n"/>
      <c r="D163" s="62" t="n"/>
      <c r="E163" s="62" t="n"/>
      <c r="F163" s="63" t="n"/>
      <c r="G163" s="64" t="n"/>
      <c r="H163" s="64" t="n"/>
      <c r="I163" s="64" t="n"/>
      <c r="J163" s="64" t="n"/>
      <c r="K163" s="65">
        <f>IF(NOT((COUNTA($B163:$J163)+COUNTA($M163))&gt;0),"",IFERROR(LOOKUP(2,1/(G163:J163&lt;&gt;""),G163:J163),0))</f>
        <v/>
      </c>
      <c r="L163" s="60">
        <f>IF(K163="","",IF(K163&gt;=1,"Completado",IF(K163&gt;0,"En curso","Pendiente")))</f>
        <v/>
      </c>
      <c r="M163" s="61" t="n"/>
      <c r="N163" s="66">
        <f>IF(NOT((COUNTA($B163:$J163)+COUNTA($M163))&gt;0),"",IF((IF(B163="","Macroactividad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 OK","⚠ "&amp;LEFT(IF(B163="","Macroactividad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",""),LEN(IF(B163="","Macroactividad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",""))-3)))</f>
        <v/>
      </c>
      <c r="O163" s="67">
        <f>IF(NOT((COUNTA($B163:$J163)+COUNTA($M163))&gt;0),"",IF(ISNUMBER($D163),DATE(YEAR($D163),MONTH($D163),1),IF(ISNUMBER($E163),DATE(YEAR($E163),MONTH($E163),1),MesCiclo)))</f>
        <v/>
      </c>
      <c r="P163" s="68">
        <f>IF(OR($O163="",$O163&lt;&gt;MesCiclo),"",COUNTIF($O$5:$O163,MesCiclo))</f>
        <v/>
      </c>
    </row>
    <row r="164">
      <c r="A164" s="60">
        <f>IF(NOT((COUNTA($B164:$J164)+COUNTA($M164))&gt;0),"",COUNTIFS($L$5:$L164,"?*",$O$5:$O164,$O164))</f>
        <v/>
      </c>
      <c r="B164" s="61" t="n"/>
      <c r="C164" s="61" t="n"/>
      <c r="D164" s="62" t="n"/>
      <c r="E164" s="62" t="n"/>
      <c r="F164" s="63" t="n"/>
      <c r="G164" s="64" t="n"/>
      <c r="H164" s="64" t="n"/>
      <c r="I164" s="64" t="n"/>
      <c r="J164" s="64" t="n"/>
      <c r="K164" s="65">
        <f>IF(NOT((COUNTA($B164:$J164)+COUNTA($M164))&gt;0),"",IFERROR(LOOKUP(2,1/(G164:J164&lt;&gt;""),G164:J164),0))</f>
        <v/>
      </c>
      <c r="L164" s="60">
        <f>IF(K164="","",IF(K164&gt;=1,"Completado",IF(K164&gt;0,"En curso","Pendiente")))</f>
        <v/>
      </c>
      <c r="M164" s="61" t="n"/>
      <c r="N164" s="66">
        <f>IF(NOT((COUNTA($B164:$J164)+COUNTA($M164))&gt;0),"",IF((IF(B164="","Macroactividad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 OK","⚠ "&amp;LEFT(IF(B164="","Macroactividad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",""),LEN(IF(B164="","Macroactividad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",""))-3)))</f>
        <v/>
      </c>
      <c r="O164" s="67">
        <f>IF(NOT((COUNTA($B164:$J164)+COUNTA($M164))&gt;0),"",IF(ISNUMBER($D164),DATE(YEAR($D164),MONTH($D164),1),IF(ISNUMBER($E164),DATE(YEAR($E164),MONTH($E164),1),MesCiclo)))</f>
        <v/>
      </c>
      <c r="P164" s="68">
        <f>IF(OR($O164="",$O164&lt;&gt;MesCiclo),"",COUNTIF($O$5:$O164,MesCiclo))</f>
        <v/>
      </c>
    </row>
    <row r="165">
      <c r="A165" s="60">
        <f>IF(NOT((COUNTA($B165:$J165)+COUNTA($M165))&gt;0),"",COUNTIFS($L$5:$L165,"?*",$O$5:$O165,$O165))</f>
        <v/>
      </c>
      <c r="B165" s="61" t="n"/>
      <c r="C165" s="61" t="n"/>
      <c r="D165" s="62" t="n"/>
      <c r="E165" s="62" t="n"/>
      <c r="F165" s="63" t="n"/>
      <c r="G165" s="64" t="n"/>
      <c r="H165" s="64" t="n"/>
      <c r="I165" s="64" t="n"/>
      <c r="J165" s="64" t="n"/>
      <c r="K165" s="65">
        <f>IF(NOT((COUNTA($B165:$J165)+COUNTA($M165))&gt;0),"",IFERROR(LOOKUP(2,1/(G165:J165&lt;&gt;""),G165:J165),0))</f>
        <v/>
      </c>
      <c r="L165" s="60">
        <f>IF(K165="","",IF(K165&gt;=1,"Completado",IF(K165&gt;0,"En curso","Pendiente")))</f>
        <v/>
      </c>
      <c r="M165" s="61" t="n"/>
      <c r="N165" s="66">
        <f>IF(NOT((COUNTA($B165:$J165)+COUNTA($M165))&gt;0),"",IF((IF(B165="","Macroactividad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 OK","⚠ "&amp;LEFT(IF(B165="","Macroactividad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",""),LEN(IF(B165="","Macroactividad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",""))-3)))</f>
        <v/>
      </c>
      <c r="O165" s="67">
        <f>IF(NOT((COUNTA($B165:$J165)+COUNTA($M165))&gt;0),"",IF(ISNUMBER($D165),DATE(YEAR($D165),MONTH($D165),1),IF(ISNUMBER($E165),DATE(YEAR($E165),MONTH($E165),1),MesCiclo)))</f>
        <v/>
      </c>
      <c r="P165" s="68">
        <f>IF(OR($O165="",$O165&lt;&gt;MesCiclo),"",COUNTIF($O$5:$O165,MesCiclo))</f>
        <v/>
      </c>
    </row>
    <row r="166">
      <c r="A166" s="60">
        <f>IF(NOT((COUNTA($B166:$J166)+COUNTA($M166))&gt;0),"",COUNTIFS($L$5:$L166,"?*",$O$5:$O166,$O166))</f>
        <v/>
      </c>
      <c r="B166" s="61" t="n"/>
      <c r="C166" s="61" t="n"/>
      <c r="D166" s="62" t="n"/>
      <c r="E166" s="62" t="n"/>
      <c r="F166" s="63" t="n"/>
      <c r="G166" s="64" t="n"/>
      <c r="H166" s="64" t="n"/>
      <c r="I166" s="64" t="n"/>
      <c r="J166" s="64" t="n"/>
      <c r="K166" s="65">
        <f>IF(NOT((COUNTA($B166:$J166)+COUNTA($M166))&gt;0),"",IFERROR(LOOKUP(2,1/(G166:J166&lt;&gt;""),G166:J166),0))</f>
        <v/>
      </c>
      <c r="L166" s="60">
        <f>IF(K166="","",IF(K166&gt;=1,"Completado",IF(K166&gt;0,"En curso","Pendiente")))</f>
        <v/>
      </c>
      <c r="M166" s="61" t="n"/>
      <c r="N166" s="66">
        <f>IF(NOT((COUNTA($B166:$J166)+COUNTA($M166))&gt;0),"",IF((IF(B166="","Macroactividad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 OK","⚠ "&amp;LEFT(IF(B166="","Macroactividad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",""),LEN(IF(B166="","Macroactividad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",""))-3)))</f>
        <v/>
      </c>
      <c r="O166" s="67">
        <f>IF(NOT((COUNTA($B166:$J166)+COUNTA($M166))&gt;0),"",IF(ISNUMBER($D166),DATE(YEAR($D166),MONTH($D166),1),IF(ISNUMBER($E166),DATE(YEAR($E166),MONTH($E166),1),MesCiclo)))</f>
        <v/>
      </c>
      <c r="P166" s="68">
        <f>IF(OR($O166="",$O166&lt;&gt;MesCiclo),"",COUNTIF($O$5:$O166,MesCiclo))</f>
        <v/>
      </c>
    </row>
    <row r="167">
      <c r="A167" s="60">
        <f>IF(NOT((COUNTA($B167:$J167)+COUNTA($M167))&gt;0),"",COUNTIFS($L$5:$L167,"?*",$O$5:$O167,$O167))</f>
        <v/>
      </c>
      <c r="B167" s="61" t="n"/>
      <c r="C167" s="61" t="n"/>
      <c r="D167" s="62" t="n"/>
      <c r="E167" s="62" t="n"/>
      <c r="F167" s="63" t="n"/>
      <c r="G167" s="64" t="n"/>
      <c r="H167" s="64" t="n"/>
      <c r="I167" s="64" t="n"/>
      <c r="J167" s="64" t="n"/>
      <c r="K167" s="65">
        <f>IF(NOT((COUNTA($B167:$J167)+COUNTA($M167))&gt;0),"",IFERROR(LOOKUP(2,1/(G167:J167&lt;&gt;""),G167:J167),0))</f>
        <v/>
      </c>
      <c r="L167" s="60">
        <f>IF(K167="","",IF(K167&gt;=1,"Completado",IF(K167&gt;0,"En curso","Pendiente")))</f>
        <v/>
      </c>
      <c r="M167" s="61" t="n"/>
      <c r="N167" s="66">
        <f>IF(NOT((COUNTA($B167:$J167)+COUNTA($M167))&gt;0),"",IF((IF(B167="","Macroactividad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 OK","⚠ "&amp;LEFT(IF(B167="","Macroactividad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",""),LEN(IF(B167="","Macroactividad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",""))-3)))</f>
        <v/>
      </c>
      <c r="O167" s="67">
        <f>IF(NOT((COUNTA($B167:$J167)+COUNTA($M167))&gt;0),"",IF(ISNUMBER($D167),DATE(YEAR($D167),MONTH($D167),1),IF(ISNUMBER($E167),DATE(YEAR($E167),MONTH($E167),1),MesCiclo)))</f>
        <v/>
      </c>
      <c r="P167" s="68">
        <f>IF(OR($O167="",$O167&lt;&gt;MesCiclo),"",COUNTIF($O$5:$O167,MesCiclo))</f>
        <v/>
      </c>
    </row>
    <row r="168">
      <c r="A168" s="60">
        <f>IF(NOT((COUNTA($B168:$J168)+COUNTA($M168))&gt;0),"",COUNTIFS($L$5:$L168,"?*",$O$5:$O168,$O168))</f>
        <v/>
      </c>
      <c r="B168" s="61" t="n"/>
      <c r="C168" s="61" t="n"/>
      <c r="D168" s="62" t="n"/>
      <c r="E168" s="62" t="n"/>
      <c r="F168" s="63" t="n"/>
      <c r="G168" s="64" t="n"/>
      <c r="H168" s="64" t="n"/>
      <c r="I168" s="64" t="n"/>
      <c r="J168" s="64" t="n"/>
      <c r="K168" s="65">
        <f>IF(NOT((COUNTA($B168:$J168)+COUNTA($M168))&gt;0),"",IFERROR(LOOKUP(2,1/(G168:J168&lt;&gt;""),G168:J168),0))</f>
        <v/>
      </c>
      <c r="L168" s="60">
        <f>IF(K168="","",IF(K168&gt;=1,"Completado",IF(K168&gt;0,"En curso","Pendiente")))</f>
        <v/>
      </c>
      <c r="M168" s="61" t="n"/>
      <c r="N168" s="66">
        <f>IF(NOT((COUNTA($B168:$J168)+COUNTA($M168))&gt;0),"",IF((IF(B168="","Macroactividad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 OK","⚠ "&amp;LEFT(IF(B168="","Macroactividad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",""),LEN(IF(B168="","Macroactividad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",""))-3)))</f>
        <v/>
      </c>
      <c r="O168" s="67">
        <f>IF(NOT((COUNTA($B168:$J168)+COUNTA($M168))&gt;0),"",IF(ISNUMBER($D168),DATE(YEAR($D168),MONTH($D168),1),IF(ISNUMBER($E168),DATE(YEAR($E168),MONTH($E168),1),MesCiclo)))</f>
        <v/>
      </c>
      <c r="P168" s="68">
        <f>IF(OR($O168="",$O168&lt;&gt;MesCiclo),"",COUNTIF($O$5:$O168,MesCiclo))</f>
        <v/>
      </c>
    </row>
    <row r="169">
      <c r="A169" s="60">
        <f>IF(NOT((COUNTA($B169:$J169)+COUNTA($M169))&gt;0),"",COUNTIFS($L$5:$L169,"?*",$O$5:$O169,$O169))</f>
        <v/>
      </c>
      <c r="B169" s="61" t="n"/>
      <c r="C169" s="61" t="n"/>
      <c r="D169" s="62" t="n"/>
      <c r="E169" s="62" t="n"/>
      <c r="F169" s="63" t="n"/>
      <c r="G169" s="64" t="n"/>
      <c r="H169" s="64" t="n"/>
      <c r="I169" s="64" t="n"/>
      <c r="J169" s="64" t="n"/>
      <c r="K169" s="65">
        <f>IF(NOT((COUNTA($B169:$J169)+COUNTA($M169))&gt;0),"",IFERROR(LOOKUP(2,1/(G169:J169&lt;&gt;""),G169:J169),0))</f>
        <v/>
      </c>
      <c r="L169" s="60">
        <f>IF(K169="","",IF(K169&gt;=1,"Completado",IF(K169&gt;0,"En curso","Pendiente")))</f>
        <v/>
      </c>
      <c r="M169" s="61" t="n"/>
      <c r="N169" s="66">
        <f>IF(NOT((COUNTA($B169:$J169)+COUNTA($M169))&gt;0),"",IF((IF(B169="","Macroactividad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 OK","⚠ "&amp;LEFT(IF(B169="","Macroactividad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",""),LEN(IF(B169="","Macroactividad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",""))-3)))</f>
        <v/>
      </c>
      <c r="O169" s="67">
        <f>IF(NOT((COUNTA($B169:$J169)+COUNTA($M169))&gt;0),"",IF(ISNUMBER($D169),DATE(YEAR($D169),MONTH($D169),1),IF(ISNUMBER($E169),DATE(YEAR($E169),MONTH($E169),1),MesCiclo)))</f>
        <v/>
      </c>
      <c r="P169" s="68">
        <f>IF(OR($O169="",$O169&lt;&gt;MesCiclo),"",COUNTIF($O$5:$O169,MesCiclo))</f>
        <v/>
      </c>
    </row>
    <row r="170">
      <c r="A170" s="60">
        <f>IF(NOT((COUNTA($B170:$J170)+COUNTA($M170))&gt;0),"",COUNTIFS($L$5:$L170,"?*",$O$5:$O170,$O170))</f>
        <v/>
      </c>
      <c r="B170" s="61" t="n"/>
      <c r="C170" s="61" t="n"/>
      <c r="D170" s="62" t="n"/>
      <c r="E170" s="62" t="n"/>
      <c r="F170" s="63" t="n"/>
      <c r="G170" s="64" t="n"/>
      <c r="H170" s="64" t="n"/>
      <c r="I170" s="64" t="n"/>
      <c r="J170" s="64" t="n"/>
      <c r="K170" s="65">
        <f>IF(NOT((COUNTA($B170:$J170)+COUNTA($M170))&gt;0),"",IFERROR(LOOKUP(2,1/(G170:J170&lt;&gt;""),G170:J170),0))</f>
        <v/>
      </c>
      <c r="L170" s="60">
        <f>IF(K170="","",IF(K170&gt;=1,"Completado",IF(K170&gt;0,"En curso","Pendiente")))</f>
        <v/>
      </c>
      <c r="M170" s="61" t="n"/>
      <c r="N170" s="66">
        <f>IF(NOT((COUNTA($B170:$J170)+COUNTA($M170))&gt;0),"",IF((IF(B170="","Macroactividad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 OK","⚠ "&amp;LEFT(IF(B170="","Macroactividad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",""),LEN(IF(B170="","Macroactividad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",""))-3)))</f>
        <v/>
      </c>
      <c r="O170" s="67">
        <f>IF(NOT((COUNTA($B170:$J170)+COUNTA($M170))&gt;0),"",IF(ISNUMBER($D170),DATE(YEAR($D170),MONTH($D170),1),IF(ISNUMBER($E170),DATE(YEAR($E170),MONTH($E170),1),MesCiclo)))</f>
        <v/>
      </c>
      <c r="P170" s="68">
        <f>IF(OR($O170="",$O170&lt;&gt;MesCiclo),"",COUNTIF($O$5:$O170,MesCiclo))</f>
        <v/>
      </c>
    </row>
    <row r="171">
      <c r="A171" s="60">
        <f>IF(NOT((COUNTA($B171:$J171)+COUNTA($M171))&gt;0),"",COUNTIFS($L$5:$L171,"?*",$O$5:$O171,$O171))</f>
        <v/>
      </c>
      <c r="B171" s="61" t="n"/>
      <c r="C171" s="61" t="n"/>
      <c r="D171" s="62" t="n"/>
      <c r="E171" s="62" t="n"/>
      <c r="F171" s="63" t="n"/>
      <c r="G171" s="64" t="n"/>
      <c r="H171" s="64" t="n"/>
      <c r="I171" s="64" t="n"/>
      <c r="J171" s="64" t="n"/>
      <c r="K171" s="65">
        <f>IF(NOT((COUNTA($B171:$J171)+COUNTA($M171))&gt;0),"",IFERROR(LOOKUP(2,1/(G171:J171&lt;&gt;""),G171:J171),0))</f>
        <v/>
      </c>
      <c r="L171" s="60">
        <f>IF(K171="","",IF(K171&gt;=1,"Completado",IF(K171&gt;0,"En curso","Pendiente")))</f>
        <v/>
      </c>
      <c r="M171" s="61" t="n"/>
      <c r="N171" s="66">
        <f>IF(NOT((COUNTA($B171:$J171)+COUNTA($M171))&gt;0),"",IF((IF(B171="","Macroactividad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 OK","⚠ "&amp;LEFT(IF(B171="","Macroactividad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",""),LEN(IF(B171="","Macroactividad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",""))-3)))</f>
        <v/>
      </c>
      <c r="O171" s="67">
        <f>IF(NOT((COUNTA($B171:$J171)+COUNTA($M171))&gt;0),"",IF(ISNUMBER($D171),DATE(YEAR($D171),MONTH($D171),1),IF(ISNUMBER($E171),DATE(YEAR($E171),MONTH($E171),1),MesCiclo)))</f>
        <v/>
      </c>
      <c r="P171" s="68">
        <f>IF(OR($O171="",$O171&lt;&gt;MesCiclo),"",COUNTIF($O$5:$O171,MesCiclo))</f>
        <v/>
      </c>
    </row>
    <row r="172">
      <c r="A172" s="60">
        <f>IF(NOT((COUNTA($B172:$J172)+COUNTA($M172))&gt;0),"",COUNTIFS($L$5:$L172,"?*",$O$5:$O172,$O172))</f>
        <v/>
      </c>
      <c r="B172" s="61" t="n"/>
      <c r="C172" s="61" t="n"/>
      <c r="D172" s="62" t="n"/>
      <c r="E172" s="62" t="n"/>
      <c r="F172" s="63" t="n"/>
      <c r="G172" s="64" t="n"/>
      <c r="H172" s="64" t="n"/>
      <c r="I172" s="64" t="n"/>
      <c r="J172" s="64" t="n"/>
      <c r="K172" s="65">
        <f>IF(NOT((COUNTA($B172:$J172)+COUNTA($M172))&gt;0),"",IFERROR(LOOKUP(2,1/(G172:J172&lt;&gt;""),G172:J172),0))</f>
        <v/>
      </c>
      <c r="L172" s="60">
        <f>IF(K172="","",IF(K172&gt;=1,"Completado",IF(K172&gt;0,"En curso","Pendiente")))</f>
        <v/>
      </c>
      <c r="M172" s="61" t="n"/>
      <c r="N172" s="66">
        <f>IF(NOT((COUNTA($B172:$J172)+COUNTA($M172))&gt;0),"",IF((IF(B172="","Macroactividad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 OK","⚠ "&amp;LEFT(IF(B172="","Macroactividad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",""),LEN(IF(B172="","Macroactividad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",""))-3)))</f>
        <v/>
      </c>
      <c r="O172" s="67">
        <f>IF(NOT((COUNTA($B172:$J172)+COUNTA($M172))&gt;0),"",IF(ISNUMBER($D172),DATE(YEAR($D172),MONTH($D172),1),IF(ISNUMBER($E172),DATE(YEAR($E172),MONTH($E172),1),MesCiclo)))</f>
        <v/>
      </c>
      <c r="P172" s="68">
        <f>IF(OR($O172="",$O172&lt;&gt;MesCiclo),"",COUNTIF($O$5:$O172,MesCiclo))</f>
        <v/>
      </c>
    </row>
    <row r="173">
      <c r="A173" s="60">
        <f>IF(NOT((COUNTA($B173:$J173)+COUNTA($M173))&gt;0),"",COUNTIFS($L$5:$L173,"?*",$O$5:$O173,$O173))</f>
        <v/>
      </c>
      <c r="B173" s="61" t="n"/>
      <c r="C173" s="61" t="n"/>
      <c r="D173" s="62" t="n"/>
      <c r="E173" s="62" t="n"/>
      <c r="F173" s="63" t="n"/>
      <c r="G173" s="64" t="n"/>
      <c r="H173" s="64" t="n"/>
      <c r="I173" s="64" t="n"/>
      <c r="J173" s="64" t="n"/>
      <c r="K173" s="65">
        <f>IF(NOT((COUNTA($B173:$J173)+COUNTA($M173))&gt;0),"",IFERROR(LOOKUP(2,1/(G173:J173&lt;&gt;""),G173:J173),0))</f>
        <v/>
      </c>
      <c r="L173" s="60">
        <f>IF(K173="","",IF(K173&gt;=1,"Completado",IF(K173&gt;0,"En curso","Pendiente")))</f>
        <v/>
      </c>
      <c r="M173" s="61" t="n"/>
      <c r="N173" s="66">
        <f>IF(NOT((COUNTA($B173:$J173)+COUNTA($M173))&gt;0),"",IF((IF(B173="","Macroactividad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 OK","⚠ "&amp;LEFT(IF(B173="","Macroactividad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",""),LEN(IF(B173="","Macroactividad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",""))-3)))</f>
        <v/>
      </c>
      <c r="O173" s="67">
        <f>IF(NOT((COUNTA($B173:$J173)+COUNTA($M173))&gt;0),"",IF(ISNUMBER($D173),DATE(YEAR($D173),MONTH($D173),1),IF(ISNUMBER($E173),DATE(YEAR($E173),MONTH($E173),1),MesCiclo)))</f>
        <v/>
      </c>
      <c r="P173" s="68">
        <f>IF(OR($O173="",$O173&lt;&gt;MesCiclo),"",COUNTIF($O$5:$O173,MesCiclo))</f>
        <v/>
      </c>
    </row>
    <row r="174">
      <c r="A174" s="60">
        <f>IF(NOT((COUNTA($B174:$J174)+COUNTA($M174))&gt;0),"",COUNTIFS($L$5:$L174,"?*",$O$5:$O174,$O174))</f>
        <v/>
      </c>
      <c r="B174" s="61" t="n"/>
      <c r="C174" s="61" t="n"/>
      <c r="D174" s="62" t="n"/>
      <c r="E174" s="62" t="n"/>
      <c r="F174" s="63" t="n"/>
      <c r="G174" s="64" t="n"/>
      <c r="H174" s="64" t="n"/>
      <c r="I174" s="64" t="n"/>
      <c r="J174" s="64" t="n"/>
      <c r="K174" s="65">
        <f>IF(NOT((COUNTA($B174:$J174)+COUNTA($M174))&gt;0),"",IFERROR(LOOKUP(2,1/(G174:J174&lt;&gt;""),G174:J174),0))</f>
        <v/>
      </c>
      <c r="L174" s="60">
        <f>IF(K174="","",IF(K174&gt;=1,"Completado",IF(K174&gt;0,"En curso","Pendiente")))</f>
        <v/>
      </c>
      <c r="M174" s="61" t="n"/>
      <c r="N174" s="66">
        <f>IF(NOT((COUNTA($B174:$J174)+COUNTA($M174))&gt;0),"",IF((IF(B174="","Macroactividad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 OK","⚠ "&amp;LEFT(IF(B174="","Macroactividad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",""),LEN(IF(B174="","Macroactividad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",""))-3)))</f>
        <v/>
      </c>
      <c r="O174" s="67">
        <f>IF(NOT((COUNTA($B174:$J174)+COUNTA($M174))&gt;0),"",IF(ISNUMBER($D174),DATE(YEAR($D174),MONTH($D174),1),IF(ISNUMBER($E174),DATE(YEAR($E174),MONTH($E174),1),MesCiclo)))</f>
        <v/>
      </c>
      <c r="P174" s="68">
        <f>IF(OR($O174="",$O174&lt;&gt;MesCiclo),"",COUNTIF($O$5:$O174,MesCiclo))</f>
        <v/>
      </c>
    </row>
    <row r="175">
      <c r="A175" s="60">
        <f>IF(NOT((COUNTA($B175:$J175)+COUNTA($M175))&gt;0),"",COUNTIFS($L$5:$L175,"?*",$O$5:$O175,$O175))</f>
        <v/>
      </c>
      <c r="B175" s="61" t="n"/>
      <c r="C175" s="61" t="n"/>
      <c r="D175" s="62" t="n"/>
      <c r="E175" s="62" t="n"/>
      <c r="F175" s="63" t="n"/>
      <c r="G175" s="64" t="n"/>
      <c r="H175" s="64" t="n"/>
      <c r="I175" s="64" t="n"/>
      <c r="J175" s="64" t="n"/>
      <c r="K175" s="65">
        <f>IF(NOT((COUNTA($B175:$J175)+COUNTA($M175))&gt;0),"",IFERROR(LOOKUP(2,1/(G175:J175&lt;&gt;""),G175:J175),0))</f>
        <v/>
      </c>
      <c r="L175" s="60">
        <f>IF(K175="","",IF(K175&gt;=1,"Completado",IF(K175&gt;0,"En curso","Pendiente")))</f>
        <v/>
      </c>
      <c r="M175" s="61" t="n"/>
      <c r="N175" s="66">
        <f>IF(NOT((COUNTA($B175:$J175)+COUNTA($M175))&gt;0),"",IF((IF(B175="","Macroactividad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 OK","⚠ "&amp;LEFT(IF(B175="","Macroactividad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",""),LEN(IF(B175="","Macroactividad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",""))-3)))</f>
        <v/>
      </c>
      <c r="O175" s="67">
        <f>IF(NOT((COUNTA($B175:$J175)+COUNTA($M175))&gt;0),"",IF(ISNUMBER($D175),DATE(YEAR($D175),MONTH($D175),1),IF(ISNUMBER($E175),DATE(YEAR($E175),MONTH($E175),1),MesCiclo)))</f>
        <v/>
      </c>
      <c r="P175" s="68">
        <f>IF(OR($O175="",$O175&lt;&gt;MesCiclo),"",COUNTIF($O$5:$O175,MesCiclo))</f>
        <v/>
      </c>
    </row>
    <row r="176">
      <c r="A176" s="60">
        <f>IF(NOT((COUNTA($B176:$J176)+COUNTA($M176))&gt;0),"",COUNTIFS($L$5:$L176,"?*",$O$5:$O176,$O176))</f>
        <v/>
      </c>
      <c r="B176" s="61" t="n"/>
      <c r="C176" s="61" t="n"/>
      <c r="D176" s="62" t="n"/>
      <c r="E176" s="62" t="n"/>
      <c r="F176" s="63" t="n"/>
      <c r="G176" s="64" t="n"/>
      <c r="H176" s="64" t="n"/>
      <c r="I176" s="64" t="n"/>
      <c r="J176" s="64" t="n"/>
      <c r="K176" s="65">
        <f>IF(NOT((COUNTA($B176:$J176)+COUNTA($M176))&gt;0),"",IFERROR(LOOKUP(2,1/(G176:J176&lt;&gt;""),G176:J176),0))</f>
        <v/>
      </c>
      <c r="L176" s="60">
        <f>IF(K176="","",IF(K176&gt;=1,"Completado",IF(K176&gt;0,"En curso","Pendiente")))</f>
        <v/>
      </c>
      <c r="M176" s="61" t="n"/>
      <c r="N176" s="66">
        <f>IF(NOT((COUNTA($B176:$J176)+COUNTA($M176))&gt;0),"",IF((IF(B176="","Macroactividad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 OK","⚠ "&amp;LEFT(IF(B176="","Macroactividad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",""),LEN(IF(B176="","Macroactividad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",""))-3)))</f>
        <v/>
      </c>
      <c r="O176" s="67">
        <f>IF(NOT((COUNTA($B176:$J176)+COUNTA($M176))&gt;0),"",IF(ISNUMBER($D176),DATE(YEAR($D176),MONTH($D176),1),IF(ISNUMBER($E176),DATE(YEAR($E176),MONTH($E176),1),MesCiclo)))</f>
        <v/>
      </c>
      <c r="P176" s="68">
        <f>IF(OR($O176="",$O176&lt;&gt;MesCiclo),"",COUNTIF($O$5:$O176,MesCiclo))</f>
        <v/>
      </c>
    </row>
    <row r="177">
      <c r="A177" s="60">
        <f>IF(NOT((COUNTA($B177:$J177)+COUNTA($M177))&gt;0),"",COUNTIFS($L$5:$L177,"?*",$O$5:$O177,$O177))</f>
        <v/>
      </c>
      <c r="B177" s="61" t="n"/>
      <c r="C177" s="61" t="n"/>
      <c r="D177" s="62" t="n"/>
      <c r="E177" s="62" t="n"/>
      <c r="F177" s="63" t="n"/>
      <c r="G177" s="64" t="n"/>
      <c r="H177" s="64" t="n"/>
      <c r="I177" s="64" t="n"/>
      <c r="J177" s="64" t="n"/>
      <c r="K177" s="65">
        <f>IF(NOT((COUNTA($B177:$J177)+COUNTA($M177))&gt;0),"",IFERROR(LOOKUP(2,1/(G177:J177&lt;&gt;""),G177:J177),0))</f>
        <v/>
      </c>
      <c r="L177" s="60">
        <f>IF(K177="","",IF(K177&gt;=1,"Completado",IF(K177&gt;0,"En curso","Pendiente")))</f>
        <v/>
      </c>
      <c r="M177" s="61" t="n"/>
      <c r="N177" s="66">
        <f>IF(NOT((COUNTA($B177:$J177)+COUNTA($M177))&gt;0),"",IF((IF(B177="","Macroactividad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 OK","⚠ "&amp;LEFT(IF(B177="","Macroactividad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",""),LEN(IF(B177="","Macroactividad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",""))-3)))</f>
        <v/>
      </c>
      <c r="O177" s="67">
        <f>IF(NOT((COUNTA($B177:$J177)+COUNTA($M177))&gt;0),"",IF(ISNUMBER($D177),DATE(YEAR($D177),MONTH($D177),1),IF(ISNUMBER($E177),DATE(YEAR($E177),MONTH($E177),1),MesCiclo)))</f>
        <v/>
      </c>
      <c r="P177" s="68">
        <f>IF(OR($O177="",$O177&lt;&gt;MesCiclo),"",COUNTIF($O$5:$O177,MesCiclo))</f>
        <v/>
      </c>
    </row>
    <row r="178">
      <c r="A178" s="60">
        <f>IF(NOT((COUNTA($B178:$J178)+COUNTA($M178))&gt;0),"",COUNTIFS($L$5:$L178,"?*",$O$5:$O178,$O178))</f>
        <v/>
      </c>
      <c r="B178" s="61" t="n"/>
      <c r="C178" s="61" t="n"/>
      <c r="D178" s="62" t="n"/>
      <c r="E178" s="62" t="n"/>
      <c r="F178" s="63" t="n"/>
      <c r="G178" s="64" t="n"/>
      <c r="H178" s="64" t="n"/>
      <c r="I178" s="64" t="n"/>
      <c r="J178" s="64" t="n"/>
      <c r="K178" s="65">
        <f>IF(NOT((COUNTA($B178:$J178)+COUNTA($M178))&gt;0),"",IFERROR(LOOKUP(2,1/(G178:J178&lt;&gt;""),G178:J178),0))</f>
        <v/>
      </c>
      <c r="L178" s="60">
        <f>IF(K178="","",IF(K178&gt;=1,"Completado",IF(K178&gt;0,"En curso","Pendiente")))</f>
        <v/>
      </c>
      <c r="M178" s="61" t="n"/>
      <c r="N178" s="66">
        <f>IF(NOT((COUNTA($B178:$J178)+COUNTA($M178))&gt;0),"",IF((IF(B178="","Macroactividad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 OK","⚠ "&amp;LEFT(IF(B178="","Macroactividad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",""),LEN(IF(B178="","Macroactividad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",""))-3)))</f>
        <v/>
      </c>
      <c r="O178" s="67">
        <f>IF(NOT((COUNTA($B178:$J178)+COUNTA($M178))&gt;0),"",IF(ISNUMBER($D178),DATE(YEAR($D178),MONTH($D178),1),IF(ISNUMBER($E178),DATE(YEAR($E178),MONTH($E178),1),MesCiclo)))</f>
        <v/>
      </c>
      <c r="P178" s="68">
        <f>IF(OR($O178="",$O178&lt;&gt;MesCiclo),"",COUNTIF($O$5:$O178,MesCiclo))</f>
        <v/>
      </c>
    </row>
    <row r="179">
      <c r="A179" s="60">
        <f>IF(NOT((COUNTA($B179:$J179)+COUNTA($M179))&gt;0),"",COUNTIFS($L$5:$L179,"?*",$O$5:$O179,$O179))</f>
        <v/>
      </c>
      <c r="B179" s="61" t="n"/>
      <c r="C179" s="61" t="n"/>
      <c r="D179" s="62" t="n"/>
      <c r="E179" s="62" t="n"/>
      <c r="F179" s="63" t="n"/>
      <c r="G179" s="64" t="n"/>
      <c r="H179" s="64" t="n"/>
      <c r="I179" s="64" t="n"/>
      <c r="J179" s="64" t="n"/>
      <c r="K179" s="65">
        <f>IF(NOT((COUNTA($B179:$J179)+COUNTA($M179))&gt;0),"",IFERROR(LOOKUP(2,1/(G179:J179&lt;&gt;""),G179:J179),0))</f>
        <v/>
      </c>
      <c r="L179" s="60">
        <f>IF(K179="","",IF(K179&gt;=1,"Completado",IF(K179&gt;0,"En curso","Pendiente")))</f>
        <v/>
      </c>
      <c r="M179" s="61" t="n"/>
      <c r="N179" s="66">
        <f>IF(NOT((COUNTA($B179:$J179)+COUNTA($M179))&gt;0),"",IF((IF(B179="","Macroactividad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 OK","⚠ "&amp;LEFT(IF(B179="","Macroactividad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",""),LEN(IF(B179="","Macroactividad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",""))-3)))</f>
        <v/>
      </c>
      <c r="O179" s="67">
        <f>IF(NOT((COUNTA($B179:$J179)+COUNTA($M179))&gt;0),"",IF(ISNUMBER($D179),DATE(YEAR($D179),MONTH($D179),1),IF(ISNUMBER($E179),DATE(YEAR($E179),MONTH($E179),1),MesCiclo)))</f>
        <v/>
      </c>
      <c r="P179" s="68">
        <f>IF(OR($O179="",$O179&lt;&gt;MesCiclo),"",COUNTIF($O$5:$O179,MesCiclo))</f>
        <v/>
      </c>
    </row>
    <row r="180">
      <c r="A180" s="60">
        <f>IF(NOT((COUNTA($B180:$J180)+COUNTA($M180))&gt;0),"",COUNTIFS($L$5:$L180,"?*",$O$5:$O180,$O180))</f>
        <v/>
      </c>
      <c r="B180" s="61" t="n"/>
      <c r="C180" s="61" t="n"/>
      <c r="D180" s="62" t="n"/>
      <c r="E180" s="62" t="n"/>
      <c r="F180" s="63" t="n"/>
      <c r="G180" s="64" t="n"/>
      <c r="H180" s="64" t="n"/>
      <c r="I180" s="64" t="n"/>
      <c r="J180" s="64" t="n"/>
      <c r="K180" s="65">
        <f>IF(NOT((COUNTA($B180:$J180)+COUNTA($M180))&gt;0),"",IFERROR(LOOKUP(2,1/(G180:J180&lt;&gt;""),G180:J180),0))</f>
        <v/>
      </c>
      <c r="L180" s="60">
        <f>IF(K180="","",IF(K180&gt;=1,"Completado",IF(K180&gt;0,"En curso","Pendiente")))</f>
        <v/>
      </c>
      <c r="M180" s="61" t="n"/>
      <c r="N180" s="66">
        <f>IF(NOT((COUNTA($B180:$J180)+COUNTA($M180))&gt;0),"",IF((IF(B180="","Macroactividad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 OK","⚠ "&amp;LEFT(IF(B180="","Macroactividad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",""),LEN(IF(B180="","Macroactividad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",""))-3)))</f>
        <v/>
      </c>
      <c r="O180" s="67">
        <f>IF(NOT((COUNTA($B180:$J180)+COUNTA($M180))&gt;0),"",IF(ISNUMBER($D180),DATE(YEAR($D180),MONTH($D180),1),IF(ISNUMBER($E180),DATE(YEAR($E180),MONTH($E180),1),MesCiclo)))</f>
        <v/>
      </c>
      <c r="P180" s="68">
        <f>IF(OR($O180="",$O180&lt;&gt;MesCiclo),"",COUNTIF($O$5:$O180,MesCiclo))</f>
        <v/>
      </c>
    </row>
    <row r="181">
      <c r="A181" s="60">
        <f>IF(NOT((COUNTA($B181:$J181)+COUNTA($M181))&gt;0),"",COUNTIFS($L$5:$L181,"?*",$O$5:$O181,$O181))</f>
        <v/>
      </c>
      <c r="B181" s="61" t="n"/>
      <c r="C181" s="61" t="n"/>
      <c r="D181" s="62" t="n"/>
      <c r="E181" s="62" t="n"/>
      <c r="F181" s="63" t="n"/>
      <c r="G181" s="64" t="n"/>
      <c r="H181" s="64" t="n"/>
      <c r="I181" s="64" t="n"/>
      <c r="J181" s="64" t="n"/>
      <c r="K181" s="65">
        <f>IF(NOT((COUNTA($B181:$J181)+COUNTA($M181))&gt;0),"",IFERROR(LOOKUP(2,1/(G181:J181&lt;&gt;""),G181:J181),0))</f>
        <v/>
      </c>
      <c r="L181" s="60">
        <f>IF(K181="","",IF(K181&gt;=1,"Completado",IF(K181&gt;0,"En curso","Pendiente")))</f>
        <v/>
      </c>
      <c r="M181" s="61" t="n"/>
      <c r="N181" s="66">
        <f>IF(NOT((COUNTA($B181:$J181)+COUNTA($M181))&gt;0),"",IF((IF(B181="","Macroactividad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 OK","⚠ "&amp;LEFT(IF(B181="","Macroactividad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",""),LEN(IF(B181="","Macroactividad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",""))-3)))</f>
        <v/>
      </c>
      <c r="O181" s="67">
        <f>IF(NOT((COUNTA($B181:$J181)+COUNTA($M181))&gt;0),"",IF(ISNUMBER($D181),DATE(YEAR($D181),MONTH($D181),1),IF(ISNUMBER($E181),DATE(YEAR($E181),MONTH($E181),1),MesCiclo)))</f>
        <v/>
      </c>
      <c r="P181" s="68">
        <f>IF(OR($O181="",$O181&lt;&gt;MesCiclo),"",COUNTIF($O$5:$O181,MesCiclo))</f>
        <v/>
      </c>
    </row>
    <row r="182">
      <c r="A182" s="60">
        <f>IF(NOT((COUNTA($B182:$J182)+COUNTA($M182))&gt;0),"",COUNTIFS($L$5:$L182,"?*",$O$5:$O182,$O182))</f>
        <v/>
      </c>
      <c r="B182" s="61" t="n"/>
      <c r="C182" s="61" t="n"/>
      <c r="D182" s="62" t="n"/>
      <c r="E182" s="62" t="n"/>
      <c r="F182" s="63" t="n"/>
      <c r="G182" s="64" t="n"/>
      <c r="H182" s="64" t="n"/>
      <c r="I182" s="64" t="n"/>
      <c r="J182" s="64" t="n"/>
      <c r="K182" s="65">
        <f>IF(NOT((COUNTA($B182:$J182)+COUNTA($M182))&gt;0),"",IFERROR(LOOKUP(2,1/(G182:J182&lt;&gt;""),G182:J182),0))</f>
        <v/>
      </c>
      <c r="L182" s="60">
        <f>IF(K182="","",IF(K182&gt;=1,"Completado",IF(K182&gt;0,"En curso","Pendiente")))</f>
        <v/>
      </c>
      <c r="M182" s="61" t="n"/>
      <c r="N182" s="66">
        <f>IF(NOT((COUNTA($B182:$J182)+COUNTA($M182))&gt;0),"",IF((IF(B182="","Macroactividad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 OK","⚠ "&amp;LEFT(IF(B182="","Macroactividad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",""),LEN(IF(B182="","Macroactividad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",""))-3)))</f>
        <v/>
      </c>
      <c r="O182" s="67">
        <f>IF(NOT((COUNTA($B182:$J182)+COUNTA($M182))&gt;0),"",IF(ISNUMBER($D182),DATE(YEAR($D182),MONTH($D182),1),IF(ISNUMBER($E182),DATE(YEAR($E182),MONTH($E182),1),MesCiclo)))</f>
        <v/>
      </c>
      <c r="P182" s="68">
        <f>IF(OR($O182="",$O182&lt;&gt;MesCiclo),"",COUNTIF($O$5:$O182,MesCiclo))</f>
        <v/>
      </c>
    </row>
    <row r="183">
      <c r="A183" s="60">
        <f>IF(NOT((COUNTA($B183:$J183)+COUNTA($M183))&gt;0),"",COUNTIFS($L$5:$L183,"?*",$O$5:$O183,$O183))</f>
        <v/>
      </c>
      <c r="B183" s="61" t="n"/>
      <c r="C183" s="61" t="n"/>
      <c r="D183" s="62" t="n"/>
      <c r="E183" s="62" t="n"/>
      <c r="F183" s="63" t="n"/>
      <c r="G183" s="64" t="n"/>
      <c r="H183" s="64" t="n"/>
      <c r="I183" s="64" t="n"/>
      <c r="J183" s="64" t="n"/>
      <c r="K183" s="65">
        <f>IF(NOT((COUNTA($B183:$J183)+COUNTA($M183))&gt;0),"",IFERROR(LOOKUP(2,1/(G183:J183&lt;&gt;""),G183:J183),0))</f>
        <v/>
      </c>
      <c r="L183" s="60">
        <f>IF(K183="","",IF(K183&gt;=1,"Completado",IF(K183&gt;0,"En curso","Pendiente")))</f>
        <v/>
      </c>
      <c r="M183" s="61" t="n"/>
      <c r="N183" s="66">
        <f>IF(NOT((COUNTA($B183:$J183)+COUNTA($M183))&gt;0),"",IF((IF(B183="","Macroactividad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 OK","⚠ "&amp;LEFT(IF(B183="","Macroactividad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",""),LEN(IF(B183="","Macroactividad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",""))-3)))</f>
        <v/>
      </c>
      <c r="O183" s="67">
        <f>IF(NOT((COUNTA($B183:$J183)+COUNTA($M183))&gt;0),"",IF(ISNUMBER($D183),DATE(YEAR($D183),MONTH($D183),1),IF(ISNUMBER($E183),DATE(YEAR($E183),MONTH($E183),1),MesCiclo)))</f>
        <v/>
      </c>
      <c r="P183" s="68">
        <f>IF(OR($O183="",$O183&lt;&gt;MesCiclo),"",COUNTIF($O$5:$O183,MesCiclo))</f>
        <v/>
      </c>
    </row>
    <row r="184">
      <c r="A184" s="60">
        <f>IF(NOT((COUNTA($B184:$J184)+COUNTA($M184))&gt;0),"",COUNTIFS($L$5:$L184,"?*",$O$5:$O184,$O184))</f>
        <v/>
      </c>
      <c r="B184" s="61" t="n"/>
      <c r="C184" s="61" t="n"/>
      <c r="D184" s="62" t="n"/>
      <c r="E184" s="62" t="n"/>
      <c r="F184" s="63" t="n"/>
      <c r="G184" s="64" t="n"/>
      <c r="H184" s="64" t="n"/>
      <c r="I184" s="64" t="n"/>
      <c r="J184" s="64" t="n"/>
      <c r="K184" s="65">
        <f>IF(NOT((COUNTA($B184:$J184)+COUNTA($M184))&gt;0),"",IFERROR(LOOKUP(2,1/(G184:J184&lt;&gt;""),G184:J184),0))</f>
        <v/>
      </c>
      <c r="L184" s="60">
        <f>IF(K184="","",IF(K184&gt;=1,"Completado",IF(K184&gt;0,"En curso","Pendiente")))</f>
        <v/>
      </c>
      <c r="M184" s="61" t="n"/>
      <c r="N184" s="66">
        <f>IF(NOT((COUNTA($B184:$J184)+COUNTA($M184))&gt;0),"",IF((IF(B184="","Macroactividad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 OK","⚠ "&amp;LEFT(IF(B184="","Macroactividad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",""),LEN(IF(B184="","Macroactividad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",""))-3)))</f>
        <v/>
      </c>
      <c r="O184" s="67">
        <f>IF(NOT((COUNTA($B184:$J184)+COUNTA($M184))&gt;0),"",IF(ISNUMBER($D184),DATE(YEAR($D184),MONTH($D184),1),IF(ISNUMBER($E184),DATE(YEAR($E184),MONTH($E184),1),MesCiclo)))</f>
        <v/>
      </c>
      <c r="P184" s="68">
        <f>IF(OR($O184="",$O184&lt;&gt;MesCiclo),"",COUNTIF($O$5:$O184,MesCiclo))</f>
        <v/>
      </c>
    </row>
    <row r="185">
      <c r="A185" s="60">
        <f>IF(NOT((COUNTA($B185:$J185)+COUNTA($M185))&gt;0),"",COUNTIFS($L$5:$L185,"?*",$O$5:$O185,$O185))</f>
        <v/>
      </c>
      <c r="B185" s="61" t="n"/>
      <c r="C185" s="61" t="n"/>
      <c r="D185" s="62" t="n"/>
      <c r="E185" s="62" t="n"/>
      <c r="F185" s="63" t="n"/>
      <c r="G185" s="64" t="n"/>
      <c r="H185" s="64" t="n"/>
      <c r="I185" s="64" t="n"/>
      <c r="J185" s="64" t="n"/>
      <c r="K185" s="65">
        <f>IF(NOT((COUNTA($B185:$J185)+COUNTA($M185))&gt;0),"",IFERROR(LOOKUP(2,1/(G185:J185&lt;&gt;""),G185:J185),0))</f>
        <v/>
      </c>
      <c r="L185" s="60">
        <f>IF(K185="","",IF(K185&gt;=1,"Completado",IF(K185&gt;0,"En curso","Pendiente")))</f>
        <v/>
      </c>
      <c r="M185" s="61" t="n"/>
      <c r="N185" s="66">
        <f>IF(NOT((COUNTA($B185:$J185)+COUNTA($M185))&gt;0),"",IF((IF(B185="","Macroactividad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 OK","⚠ "&amp;LEFT(IF(B185="","Macroactividad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",""),LEN(IF(B185="","Macroactividad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",""))-3)))</f>
        <v/>
      </c>
      <c r="O185" s="67">
        <f>IF(NOT((COUNTA($B185:$J185)+COUNTA($M185))&gt;0),"",IF(ISNUMBER($D185),DATE(YEAR($D185),MONTH($D185),1),IF(ISNUMBER($E185),DATE(YEAR($E185),MONTH($E185),1),MesCiclo)))</f>
        <v/>
      </c>
      <c r="P185" s="68">
        <f>IF(OR($O185="",$O185&lt;&gt;MesCiclo),"",COUNTIF($O$5:$O185,MesCiclo))</f>
        <v/>
      </c>
    </row>
    <row r="186">
      <c r="A186" s="60">
        <f>IF(NOT((COUNTA($B186:$J186)+COUNTA($M186))&gt;0),"",COUNTIFS($L$5:$L186,"?*",$O$5:$O186,$O186))</f>
        <v/>
      </c>
      <c r="B186" s="61" t="n"/>
      <c r="C186" s="61" t="n"/>
      <c r="D186" s="62" t="n"/>
      <c r="E186" s="62" t="n"/>
      <c r="F186" s="63" t="n"/>
      <c r="G186" s="64" t="n"/>
      <c r="H186" s="64" t="n"/>
      <c r="I186" s="64" t="n"/>
      <c r="J186" s="64" t="n"/>
      <c r="K186" s="65">
        <f>IF(NOT((COUNTA($B186:$J186)+COUNTA($M186))&gt;0),"",IFERROR(LOOKUP(2,1/(G186:J186&lt;&gt;""),G186:J186),0))</f>
        <v/>
      </c>
      <c r="L186" s="60">
        <f>IF(K186="","",IF(K186&gt;=1,"Completado",IF(K186&gt;0,"En curso","Pendiente")))</f>
        <v/>
      </c>
      <c r="M186" s="61" t="n"/>
      <c r="N186" s="66">
        <f>IF(NOT((COUNTA($B186:$J186)+COUNTA($M186))&gt;0),"",IF((IF(B186="","Macroactividad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 OK","⚠ "&amp;LEFT(IF(B186="","Macroactividad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",""),LEN(IF(B186="","Macroactividad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",""))-3)))</f>
        <v/>
      </c>
      <c r="O186" s="67">
        <f>IF(NOT((COUNTA($B186:$J186)+COUNTA($M186))&gt;0),"",IF(ISNUMBER($D186),DATE(YEAR($D186),MONTH($D186),1),IF(ISNUMBER($E186),DATE(YEAR($E186),MONTH($E186),1),MesCiclo)))</f>
        <v/>
      </c>
      <c r="P186" s="68">
        <f>IF(OR($O186="",$O186&lt;&gt;MesCiclo),"",COUNTIF($O$5:$O186,MesCiclo))</f>
        <v/>
      </c>
    </row>
    <row r="187">
      <c r="A187" s="60">
        <f>IF(NOT((COUNTA($B187:$J187)+COUNTA($M187))&gt;0),"",COUNTIFS($L$5:$L187,"?*",$O$5:$O187,$O187))</f>
        <v/>
      </c>
      <c r="B187" s="61" t="n"/>
      <c r="C187" s="61" t="n"/>
      <c r="D187" s="62" t="n"/>
      <c r="E187" s="62" t="n"/>
      <c r="F187" s="63" t="n"/>
      <c r="G187" s="64" t="n"/>
      <c r="H187" s="64" t="n"/>
      <c r="I187" s="64" t="n"/>
      <c r="J187" s="64" t="n"/>
      <c r="K187" s="65">
        <f>IF(NOT((COUNTA($B187:$J187)+COUNTA($M187))&gt;0),"",IFERROR(LOOKUP(2,1/(G187:J187&lt;&gt;""),G187:J187),0))</f>
        <v/>
      </c>
      <c r="L187" s="60">
        <f>IF(K187="","",IF(K187&gt;=1,"Completado",IF(K187&gt;0,"En curso","Pendiente")))</f>
        <v/>
      </c>
      <c r="M187" s="61" t="n"/>
      <c r="N187" s="66">
        <f>IF(NOT((COUNTA($B187:$J187)+COUNTA($M187))&gt;0),"",IF((IF(B187="","Macroactividad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 OK","⚠ "&amp;LEFT(IF(B187="","Macroactividad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",""),LEN(IF(B187="","Macroactividad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",""))-3)))</f>
        <v/>
      </c>
      <c r="O187" s="67">
        <f>IF(NOT((COUNTA($B187:$J187)+COUNTA($M187))&gt;0),"",IF(ISNUMBER($D187),DATE(YEAR($D187),MONTH($D187),1),IF(ISNUMBER($E187),DATE(YEAR($E187),MONTH($E187),1),MesCiclo)))</f>
        <v/>
      </c>
      <c r="P187" s="68">
        <f>IF(OR($O187="",$O187&lt;&gt;MesCiclo),"",COUNTIF($O$5:$O187,MesCiclo))</f>
        <v/>
      </c>
    </row>
    <row r="188">
      <c r="A188" s="60">
        <f>IF(NOT((COUNTA($B188:$J188)+COUNTA($M188))&gt;0),"",COUNTIFS($L$5:$L188,"?*",$O$5:$O188,$O188))</f>
        <v/>
      </c>
      <c r="B188" s="61" t="n"/>
      <c r="C188" s="61" t="n"/>
      <c r="D188" s="62" t="n"/>
      <c r="E188" s="62" t="n"/>
      <c r="F188" s="63" t="n"/>
      <c r="G188" s="64" t="n"/>
      <c r="H188" s="64" t="n"/>
      <c r="I188" s="64" t="n"/>
      <c r="J188" s="64" t="n"/>
      <c r="K188" s="65">
        <f>IF(NOT((COUNTA($B188:$J188)+COUNTA($M188))&gt;0),"",IFERROR(LOOKUP(2,1/(G188:J188&lt;&gt;""),G188:J188),0))</f>
        <v/>
      </c>
      <c r="L188" s="60">
        <f>IF(K188="","",IF(K188&gt;=1,"Completado",IF(K188&gt;0,"En curso","Pendiente")))</f>
        <v/>
      </c>
      <c r="M188" s="61" t="n"/>
      <c r="N188" s="66">
        <f>IF(NOT((COUNTA($B188:$J188)+COUNTA($M188))&gt;0),"",IF((IF(B188="","Macroactividad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 OK","⚠ "&amp;LEFT(IF(B188="","Macroactividad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",""),LEN(IF(B188="","Macroactividad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",""))-3)))</f>
        <v/>
      </c>
      <c r="O188" s="67">
        <f>IF(NOT((COUNTA($B188:$J188)+COUNTA($M188))&gt;0),"",IF(ISNUMBER($D188),DATE(YEAR($D188),MONTH($D188),1),IF(ISNUMBER($E188),DATE(YEAR($E188),MONTH($E188),1),MesCiclo)))</f>
        <v/>
      </c>
      <c r="P188" s="68">
        <f>IF(OR($O188="",$O188&lt;&gt;MesCiclo),"",COUNTIF($O$5:$O188,MesCiclo))</f>
        <v/>
      </c>
    </row>
    <row r="189">
      <c r="A189" s="60">
        <f>IF(NOT((COUNTA($B189:$J189)+COUNTA($M189))&gt;0),"",COUNTIFS($L$5:$L189,"?*",$O$5:$O189,$O189))</f>
        <v/>
      </c>
      <c r="B189" s="61" t="n"/>
      <c r="C189" s="61" t="n"/>
      <c r="D189" s="62" t="n"/>
      <c r="E189" s="62" t="n"/>
      <c r="F189" s="63" t="n"/>
      <c r="G189" s="64" t="n"/>
      <c r="H189" s="64" t="n"/>
      <c r="I189" s="64" t="n"/>
      <c r="J189" s="64" t="n"/>
      <c r="K189" s="65">
        <f>IF(NOT((COUNTA($B189:$J189)+COUNTA($M189))&gt;0),"",IFERROR(LOOKUP(2,1/(G189:J189&lt;&gt;""),G189:J189),0))</f>
        <v/>
      </c>
      <c r="L189" s="60">
        <f>IF(K189="","",IF(K189&gt;=1,"Completado",IF(K189&gt;0,"En curso","Pendiente")))</f>
        <v/>
      </c>
      <c r="M189" s="61" t="n"/>
      <c r="N189" s="66">
        <f>IF(NOT((COUNTA($B189:$J189)+COUNTA($M189))&gt;0),"",IF((IF(B189="","Macroactividad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 OK","⚠ "&amp;LEFT(IF(B189="","Macroactividad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",""),LEN(IF(B189="","Macroactividad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",""))-3)))</f>
        <v/>
      </c>
      <c r="O189" s="67">
        <f>IF(NOT((COUNTA($B189:$J189)+COUNTA($M189))&gt;0),"",IF(ISNUMBER($D189),DATE(YEAR($D189),MONTH($D189),1),IF(ISNUMBER($E189),DATE(YEAR($E189),MONTH($E189),1),MesCiclo)))</f>
        <v/>
      </c>
      <c r="P189" s="68">
        <f>IF(OR($O189="",$O189&lt;&gt;MesCiclo),"",COUNTIF($O$5:$O189,MesCiclo))</f>
        <v/>
      </c>
    </row>
    <row r="190">
      <c r="A190" s="60">
        <f>IF(NOT((COUNTA($B190:$J190)+COUNTA($M190))&gt;0),"",COUNTIFS($L$5:$L190,"?*",$O$5:$O190,$O190))</f>
        <v/>
      </c>
      <c r="B190" s="61" t="n"/>
      <c r="C190" s="61" t="n"/>
      <c r="D190" s="62" t="n"/>
      <c r="E190" s="62" t="n"/>
      <c r="F190" s="63" t="n"/>
      <c r="G190" s="64" t="n"/>
      <c r="H190" s="64" t="n"/>
      <c r="I190" s="64" t="n"/>
      <c r="J190" s="64" t="n"/>
      <c r="K190" s="65">
        <f>IF(NOT((COUNTA($B190:$J190)+COUNTA($M190))&gt;0),"",IFERROR(LOOKUP(2,1/(G190:J190&lt;&gt;""),G190:J190),0))</f>
        <v/>
      </c>
      <c r="L190" s="60">
        <f>IF(K190="","",IF(K190&gt;=1,"Completado",IF(K190&gt;0,"En curso","Pendiente")))</f>
        <v/>
      </c>
      <c r="M190" s="61" t="n"/>
      <c r="N190" s="66">
        <f>IF(NOT((COUNTA($B190:$J190)+COUNTA($M190))&gt;0),"",IF((IF(B190="","Macroactividad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 OK","⚠ "&amp;LEFT(IF(B190="","Macroactividad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",""),LEN(IF(B190="","Macroactividad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",""))-3)))</f>
        <v/>
      </c>
      <c r="O190" s="67">
        <f>IF(NOT((COUNTA($B190:$J190)+COUNTA($M190))&gt;0),"",IF(ISNUMBER($D190),DATE(YEAR($D190),MONTH($D190),1),IF(ISNUMBER($E190),DATE(YEAR($E190),MONTH($E190),1),MesCiclo)))</f>
        <v/>
      </c>
      <c r="P190" s="68">
        <f>IF(OR($O190="",$O190&lt;&gt;MesCiclo),"",COUNTIF($O$5:$O190,MesCiclo))</f>
        <v/>
      </c>
    </row>
    <row r="191">
      <c r="A191" s="60">
        <f>IF(NOT((COUNTA($B191:$J191)+COUNTA($M191))&gt;0),"",COUNTIFS($L$5:$L191,"?*",$O$5:$O191,$O191))</f>
        <v/>
      </c>
      <c r="B191" s="61" t="n"/>
      <c r="C191" s="61" t="n"/>
      <c r="D191" s="62" t="n"/>
      <c r="E191" s="62" t="n"/>
      <c r="F191" s="63" t="n"/>
      <c r="G191" s="64" t="n"/>
      <c r="H191" s="64" t="n"/>
      <c r="I191" s="64" t="n"/>
      <c r="J191" s="64" t="n"/>
      <c r="K191" s="65">
        <f>IF(NOT((COUNTA($B191:$J191)+COUNTA($M191))&gt;0),"",IFERROR(LOOKUP(2,1/(G191:J191&lt;&gt;""),G191:J191),0))</f>
        <v/>
      </c>
      <c r="L191" s="60">
        <f>IF(K191="","",IF(K191&gt;=1,"Completado",IF(K191&gt;0,"En curso","Pendiente")))</f>
        <v/>
      </c>
      <c r="M191" s="61" t="n"/>
      <c r="N191" s="66">
        <f>IF(NOT((COUNTA($B191:$J191)+COUNTA($M191))&gt;0),"",IF((IF(B191="","Macroactividad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 OK","⚠ "&amp;LEFT(IF(B191="","Macroactividad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",""),LEN(IF(B191="","Macroactividad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",""))-3)))</f>
        <v/>
      </c>
      <c r="O191" s="67">
        <f>IF(NOT((COUNTA($B191:$J191)+COUNTA($M191))&gt;0),"",IF(ISNUMBER($D191),DATE(YEAR($D191),MONTH($D191),1),IF(ISNUMBER($E191),DATE(YEAR($E191),MONTH($E191),1),MesCiclo)))</f>
        <v/>
      </c>
      <c r="P191" s="68">
        <f>IF(OR($O191="",$O191&lt;&gt;MesCiclo),"",COUNTIF($O$5:$O191,MesCiclo))</f>
        <v/>
      </c>
    </row>
    <row r="192">
      <c r="A192" s="60">
        <f>IF(NOT((COUNTA($B192:$J192)+COUNTA($M192))&gt;0),"",COUNTIFS($L$5:$L192,"?*",$O$5:$O192,$O192))</f>
        <v/>
      </c>
      <c r="B192" s="61" t="n"/>
      <c r="C192" s="61" t="n"/>
      <c r="D192" s="62" t="n"/>
      <c r="E192" s="62" t="n"/>
      <c r="F192" s="63" t="n"/>
      <c r="G192" s="64" t="n"/>
      <c r="H192" s="64" t="n"/>
      <c r="I192" s="64" t="n"/>
      <c r="J192" s="64" t="n"/>
      <c r="K192" s="65">
        <f>IF(NOT((COUNTA($B192:$J192)+COUNTA($M192))&gt;0),"",IFERROR(LOOKUP(2,1/(G192:J192&lt;&gt;""),G192:J192),0))</f>
        <v/>
      </c>
      <c r="L192" s="60">
        <f>IF(K192="","",IF(K192&gt;=1,"Completado",IF(K192&gt;0,"En curso","Pendiente")))</f>
        <v/>
      </c>
      <c r="M192" s="61" t="n"/>
      <c r="N192" s="66">
        <f>IF(NOT((COUNTA($B192:$J192)+COUNTA($M192))&gt;0),"",IF((IF(B192="","Macroactividad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 OK","⚠ "&amp;LEFT(IF(B192="","Macroactividad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",""),LEN(IF(B192="","Macroactividad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",""))-3)))</f>
        <v/>
      </c>
      <c r="O192" s="67">
        <f>IF(NOT((COUNTA($B192:$J192)+COUNTA($M192))&gt;0),"",IF(ISNUMBER($D192),DATE(YEAR($D192),MONTH($D192),1),IF(ISNUMBER($E192),DATE(YEAR($E192),MONTH($E192),1),MesCiclo)))</f>
        <v/>
      </c>
      <c r="P192" s="68">
        <f>IF(OR($O192="",$O192&lt;&gt;MesCiclo),"",COUNTIF($O$5:$O192,MesCiclo))</f>
        <v/>
      </c>
    </row>
    <row r="193">
      <c r="A193" s="60">
        <f>IF(NOT((COUNTA($B193:$J193)+COUNTA($M193))&gt;0),"",COUNTIFS($L$5:$L193,"?*",$O$5:$O193,$O193))</f>
        <v/>
      </c>
      <c r="B193" s="61" t="n"/>
      <c r="C193" s="61" t="n"/>
      <c r="D193" s="62" t="n"/>
      <c r="E193" s="62" t="n"/>
      <c r="F193" s="63" t="n"/>
      <c r="G193" s="64" t="n"/>
      <c r="H193" s="64" t="n"/>
      <c r="I193" s="64" t="n"/>
      <c r="J193" s="64" t="n"/>
      <c r="K193" s="65">
        <f>IF(NOT((COUNTA($B193:$J193)+COUNTA($M193))&gt;0),"",IFERROR(LOOKUP(2,1/(G193:J193&lt;&gt;""),G193:J193),0))</f>
        <v/>
      </c>
      <c r="L193" s="60">
        <f>IF(K193="","",IF(K193&gt;=1,"Completado",IF(K193&gt;0,"En curso","Pendiente")))</f>
        <v/>
      </c>
      <c r="M193" s="61" t="n"/>
      <c r="N193" s="66">
        <f>IF(NOT((COUNTA($B193:$J193)+COUNTA($M193))&gt;0),"",IF((IF(B193="","Macroactividad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 OK","⚠ "&amp;LEFT(IF(B193="","Macroactividad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",""),LEN(IF(B193="","Macroactividad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",""))-3)))</f>
        <v/>
      </c>
      <c r="O193" s="67">
        <f>IF(NOT((COUNTA($B193:$J193)+COUNTA($M193))&gt;0),"",IF(ISNUMBER($D193),DATE(YEAR($D193),MONTH($D193),1),IF(ISNUMBER($E193),DATE(YEAR($E193),MONTH($E193),1),MesCiclo)))</f>
        <v/>
      </c>
      <c r="P193" s="68">
        <f>IF(OR($O193="",$O193&lt;&gt;MesCiclo),"",COUNTIF($O$5:$O193,MesCiclo))</f>
        <v/>
      </c>
    </row>
    <row r="194">
      <c r="A194" s="60">
        <f>IF(NOT((COUNTA($B194:$J194)+COUNTA($M194))&gt;0),"",COUNTIFS($L$5:$L194,"?*",$O$5:$O194,$O194))</f>
        <v/>
      </c>
      <c r="B194" s="61" t="n"/>
      <c r="C194" s="61" t="n"/>
      <c r="D194" s="62" t="n"/>
      <c r="E194" s="62" t="n"/>
      <c r="F194" s="63" t="n"/>
      <c r="G194" s="64" t="n"/>
      <c r="H194" s="64" t="n"/>
      <c r="I194" s="64" t="n"/>
      <c r="J194" s="64" t="n"/>
      <c r="K194" s="65">
        <f>IF(NOT((COUNTA($B194:$J194)+COUNTA($M194))&gt;0),"",IFERROR(LOOKUP(2,1/(G194:J194&lt;&gt;""),G194:J194),0))</f>
        <v/>
      </c>
      <c r="L194" s="60">
        <f>IF(K194="","",IF(K194&gt;=1,"Completado",IF(K194&gt;0,"En curso","Pendiente")))</f>
        <v/>
      </c>
      <c r="M194" s="61" t="n"/>
      <c r="N194" s="66">
        <f>IF(NOT((COUNTA($B194:$J194)+COUNTA($M194))&gt;0),"",IF((IF(B194="","Macroactividad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 OK","⚠ "&amp;LEFT(IF(B194="","Macroactividad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",""),LEN(IF(B194="","Macroactividad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",""))-3)))</f>
        <v/>
      </c>
      <c r="O194" s="67">
        <f>IF(NOT((COUNTA($B194:$J194)+COUNTA($M194))&gt;0),"",IF(ISNUMBER($D194),DATE(YEAR($D194),MONTH($D194),1),IF(ISNUMBER($E194),DATE(YEAR($E194),MONTH($E194),1),MesCiclo)))</f>
        <v/>
      </c>
      <c r="P194" s="68">
        <f>IF(OR($O194="",$O194&lt;&gt;MesCiclo),"",COUNTIF($O$5:$O194,MesCiclo))</f>
        <v/>
      </c>
    </row>
    <row r="195">
      <c r="A195" s="60">
        <f>IF(NOT((COUNTA($B195:$J195)+COUNTA($M195))&gt;0),"",COUNTIFS($L$5:$L195,"?*",$O$5:$O195,$O195))</f>
        <v/>
      </c>
      <c r="B195" s="61" t="n"/>
      <c r="C195" s="61" t="n"/>
      <c r="D195" s="62" t="n"/>
      <c r="E195" s="62" t="n"/>
      <c r="F195" s="63" t="n"/>
      <c r="G195" s="64" t="n"/>
      <c r="H195" s="64" t="n"/>
      <c r="I195" s="64" t="n"/>
      <c r="J195" s="64" t="n"/>
      <c r="K195" s="65">
        <f>IF(NOT((COUNTA($B195:$J195)+COUNTA($M195))&gt;0),"",IFERROR(LOOKUP(2,1/(G195:J195&lt;&gt;""),G195:J195),0))</f>
        <v/>
      </c>
      <c r="L195" s="60">
        <f>IF(K195="","",IF(K195&gt;=1,"Completado",IF(K195&gt;0,"En curso","Pendiente")))</f>
        <v/>
      </c>
      <c r="M195" s="61" t="n"/>
      <c r="N195" s="66">
        <f>IF(NOT((COUNTA($B195:$J195)+COUNTA($M195))&gt;0),"",IF((IF(B195="","Macroactividad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 OK","⚠ "&amp;LEFT(IF(B195="","Macroactividad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",""),LEN(IF(B195="","Macroactividad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",""))-3)))</f>
        <v/>
      </c>
      <c r="O195" s="67">
        <f>IF(NOT((COUNTA($B195:$J195)+COUNTA($M195))&gt;0),"",IF(ISNUMBER($D195),DATE(YEAR($D195),MONTH($D195),1),IF(ISNUMBER($E195),DATE(YEAR($E195),MONTH($E195),1),MesCiclo)))</f>
        <v/>
      </c>
      <c r="P195" s="68">
        <f>IF(OR($O195="",$O195&lt;&gt;MesCiclo),"",COUNTIF($O$5:$O195,MesCiclo))</f>
        <v/>
      </c>
    </row>
    <row r="196">
      <c r="A196" s="60">
        <f>IF(NOT((COUNTA($B196:$J196)+COUNTA($M196))&gt;0),"",COUNTIFS($L$5:$L196,"?*",$O$5:$O196,$O196))</f>
        <v/>
      </c>
      <c r="B196" s="61" t="n"/>
      <c r="C196" s="61" t="n"/>
      <c r="D196" s="62" t="n"/>
      <c r="E196" s="62" t="n"/>
      <c r="F196" s="63" t="n"/>
      <c r="G196" s="64" t="n"/>
      <c r="H196" s="64" t="n"/>
      <c r="I196" s="64" t="n"/>
      <c r="J196" s="64" t="n"/>
      <c r="K196" s="65">
        <f>IF(NOT((COUNTA($B196:$J196)+COUNTA($M196))&gt;0),"",IFERROR(LOOKUP(2,1/(G196:J196&lt;&gt;""),G196:J196),0))</f>
        <v/>
      </c>
      <c r="L196" s="60">
        <f>IF(K196="","",IF(K196&gt;=1,"Completado",IF(K196&gt;0,"En curso","Pendiente")))</f>
        <v/>
      </c>
      <c r="M196" s="61" t="n"/>
      <c r="N196" s="66">
        <f>IF(NOT((COUNTA($B196:$J196)+COUNTA($M196))&gt;0),"",IF((IF(B196="","Macroactividad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 OK","⚠ "&amp;LEFT(IF(B196="","Macroactividad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",""),LEN(IF(B196="","Macroactividad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",""))-3)))</f>
        <v/>
      </c>
      <c r="O196" s="67">
        <f>IF(NOT((COUNTA($B196:$J196)+COUNTA($M196))&gt;0),"",IF(ISNUMBER($D196),DATE(YEAR($D196),MONTH($D196),1),IF(ISNUMBER($E196),DATE(YEAR($E196),MONTH($E196),1),MesCiclo)))</f>
        <v/>
      </c>
      <c r="P196" s="68">
        <f>IF(OR($O196="",$O196&lt;&gt;MesCiclo),"",COUNTIF($O$5:$O196,MesCiclo))</f>
        <v/>
      </c>
    </row>
    <row r="197">
      <c r="A197" s="60">
        <f>IF(NOT((COUNTA($B197:$J197)+COUNTA($M197))&gt;0),"",COUNTIFS($L$5:$L197,"?*",$O$5:$O197,$O197))</f>
        <v/>
      </c>
      <c r="B197" s="61" t="n"/>
      <c r="C197" s="61" t="n"/>
      <c r="D197" s="62" t="n"/>
      <c r="E197" s="62" t="n"/>
      <c r="F197" s="63" t="n"/>
      <c r="G197" s="64" t="n"/>
      <c r="H197" s="64" t="n"/>
      <c r="I197" s="64" t="n"/>
      <c r="J197" s="64" t="n"/>
      <c r="K197" s="65">
        <f>IF(NOT((COUNTA($B197:$J197)+COUNTA($M197))&gt;0),"",IFERROR(LOOKUP(2,1/(G197:J197&lt;&gt;""),G197:J197),0))</f>
        <v/>
      </c>
      <c r="L197" s="60">
        <f>IF(K197="","",IF(K197&gt;=1,"Completado",IF(K197&gt;0,"En curso","Pendiente")))</f>
        <v/>
      </c>
      <c r="M197" s="61" t="n"/>
      <c r="N197" s="66">
        <f>IF(NOT((COUNTA($B197:$J197)+COUNTA($M197))&gt;0),"",IF((IF(B197="","Macroactividad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 OK","⚠ "&amp;LEFT(IF(B197="","Macroactividad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",""),LEN(IF(B197="","Macroactividad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",""))-3)))</f>
        <v/>
      </c>
      <c r="O197" s="67">
        <f>IF(NOT((COUNTA($B197:$J197)+COUNTA($M197))&gt;0),"",IF(ISNUMBER($D197),DATE(YEAR($D197),MONTH($D197),1),IF(ISNUMBER($E197),DATE(YEAR($E197),MONTH($E197),1),MesCiclo)))</f>
        <v/>
      </c>
      <c r="P197" s="68">
        <f>IF(OR($O197="",$O197&lt;&gt;MesCiclo),"",COUNTIF($O$5:$O197,MesCiclo))</f>
        <v/>
      </c>
    </row>
    <row r="198">
      <c r="A198" s="60">
        <f>IF(NOT((COUNTA($B198:$J198)+COUNTA($M198))&gt;0),"",COUNTIFS($L$5:$L198,"?*",$O$5:$O198,$O198))</f>
        <v/>
      </c>
      <c r="B198" s="61" t="n"/>
      <c r="C198" s="61" t="n"/>
      <c r="D198" s="62" t="n"/>
      <c r="E198" s="62" t="n"/>
      <c r="F198" s="63" t="n"/>
      <c r="G198" s="64" t="n"/>
      <c r="H198" s="64" t="n"/>
      <c r="I198" s="64" t="n"/>
      <c r="J198" s="64" t="n"/>
      <c r="K198" s="65">
        <f>IF(NOT((COUNTA($B198:$J198)+COUNTA($M198))&gt;0),"",IFERROR(LOOKUP(2,1/(G198:J198&lt;&gt;""),G198:J198),0))</f>
        <v/>
      </c>
      <c r="L198" s="60">
        <f>IF(K198="","",IF(K198&gt;=1,"Completado",IF(K198&gt;0,"En curso","Pendiente")))</f>
        <v/>
      </c>
      <c r="M198" s="61" t="n"/>
      <c r="N198" s="66">
        <f>IF(NOT((COUNTA($B198:$J198)+COUNTA($M198))&gt;0),"",IF((IF(B198="","Macroactividad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 OK","⚠ "&amp;LEFT(IF(B198="","Macroactividad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",""),LEN(IF(B198="","Macroactividad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",""))-3)))</f>
        <v/>
      </c>
      <c r="O198" s="67">
        <f>IF(NOT((COUNTA($B198:$J198)+COUNTA($M198))&gt;0),"",IF(ISNUMBER($D198),DATE(YEAR($D198),MONTH($D198),1),IF(ISNUMBER($E198),DATE(YEAR($E198),MONTH($E198),1),MesCiclo)))</f>
        <v/>
      </c>
      <c r="P198" s="68">
        <f>IF(OR($O198="",$O198&lt;&gt;MesCiclo),"",COUNTIF($O$5:$O198,MesCiclo))</f>
        <v/>
      </c>
    </row>
    <row r="199">
      <c r="A199" s="60">
        <f>IF(NOT((COUNTA($B199:$J199)+COUNTA($M199))&gt;0),"",COUNTIFS($L$5:$L199,"?*",$O$5:$O199,$O199))</f>
        <v/>
      </c>
      <c r="B199" s="61" t="n"/>
      <c r="C199" s="61" t="n"/>
      <c r="D199" s="62" t="n"/>
      <c r="E199" s="62" t="n"/>
      <c r="F199" s="63" t="n"/>
      <c r="G199" s="64" t="n"/>
      <c r="H199" s="64" t="n"/>
      <c r="I199" s="64" t="n"/>
      <c r="J199" s="64" t="n"/>
      <c r="K199" s="65">
        <f>IF(NOT((COUNTA($B199:$J199)+COUNTA($M199))&gt;0),"",IFERROR(LOOKUP(2,1/(G199:J199&lt;&gt;""),G199:J199),0))</f>
        <v/>
      </c>
      <c r="L199" s="60">
        <f>IF(K199="","",IF(K199&gt;=1,"Completado",IF(K199&gt;0,"En curso","Pendiente")))</f>
        <v/>
      </c>
      <c r="M199" s="61" t="n"/>
      <c r="N199" s="66">
        <f>IF(NOT((COUNTA($B199:$J199)+COUNTA($M199))&gt;0),"",IF((IF(B199="","Macroactividad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 OK","⚠ "&amp;LEFT(IF(B199="","Macroactividad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",""),LEN(IF(B199="","Macroactividad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",""))-3)))</f>
        <v/>
      </c>
      <c r="O199" s="67">
        <f>IF(NOT((COUNTA($B199:$J199)+COUNTA($M199))&gt;0),"",IF(ISNUMBER($D199),DATE(YEAR($D199),MONTH($D199),1),IF(ISNUMBER($E199),DATE(YEAR($E199),MONTH($E199),1),MesCiclo)))</f>
        <v/>
      </c>
      <c r="P199" s="68">
        <f>IF(OR($O199="",$O199&lt;&gt;MesCiclo),"",COUNTIF($O$5:$O199,MesCiclo))</f>
        <v/>
      </c>
    </row>
    <row r="200">
      <c r="A200" s="60">
        <f>IF(NOT((COUNTA($B200:$J200)+COUNTA($M200))&gt;0),"",COUNTIFS($L$5:$L200,"?*",$O$5:$O200,$O200))</f>
        <v/>
      </c>
      <c r="B200" s="61" t="n"/>
      <c r="C200" s="61" t="n"/>
      <c r="D200" s="62" t="n"/>
      <c r="E200" s="62" t="n"/>
      <c r="F200" s="63" t="n"/>
      <c r="G200" s="64" t="n"/>
      <c r="H200" s="64" t="n"/>
      <c r="I200" s="64" t="n"/>
      <c r="J200" s="64" t="n"/>
      <c r="K200" s="65">
        <f>IF(NOT((COUNTA($B200:$J200)+COUNTA($M200))&gt;0),"",IFERROR(LOOKUP(2,1/(G200:J200&lt;&gt;""),G200:J200),0))</f>
        <v/>
      </c>
      <c r="L200" s="60">
        <f>IF(K200="","",IF(K200&gt;=1,"Completado",IF(K200&gt;0,"En curso","Pendiente")))</f>
        <v/>
      </c>
      <c r="M200" s="61" t="n"/>
      <c r="N200" s="66">
        <f>IF(NOT((COUNTA($B200:$J200)+COUNTA($M200))&gt;0),"",IF((IF(B200="","Macroactividad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 OK","⚠ "&amp;LEFT(IF(B200="","Macroactividad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",""),LEN(IF(B200="","Macroactividad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",""))-3)))</f>
        <v/>
      </c>
      <c r="O200" s="67">
        <f>IF(NOT((COUNTA($B200:$J200)+COUNTA($M200))&gt;0),"",IF(ISNUMBER($D200),DATE(YEAR($D200),MONTH($D200),1),IF(ISNUMBER($E200),DATE(YEAR($E200),MONTH($E200),1),MesCiclo)))</f>
        <v/>
      </c>
      <c r="P200" s="68">
        <f>IF(OR($O200="",$O200&lt;&gt;MesCiclo),"",COUNTIF($O$5:$O200,MesCiclo))</f>
        <v/>
      </c>
    </row>
    <row r="201">
      <c r="A201" s="60">
        <f>IF(NOT((COUNTA($B201:$J201)+COUNTA($M201))&gt;0),"",COUNTIFS($L$5:$L201,"?*",$O$5:$O201,$O201))</f>
        <v/>
      </c>
      <c r="B201" s="61" t="n"/>
      <c r="C201" s="61" t="n"/>
      <c r="D201" s="62" t="n"/>
      <c r="E201" s="62" t="n"/>
      <c r="F201" s="63" t="n"/>
      <c r="G201" s="64" t="n"/>
      <c r="H201" s="64" t="n"/>
      <c r="I201" s="64" t="n"/>
      <c r="J201" s="64" t="n"/>
      <c r="K201" s="65">
        <f>IF(NOT((COUNTA($B201:$J201)+COUNTA($M201))&gt;0),"",IFERROR(LOOKUP(2,1/(G201:J201&lt;&gt;""),G201:J201),0))</f>
        <v/>
      </c>
      <c r="L201" s="60">
        <f>IF(K201="","",IF(K201&gt;=1,"Completado",IF(K201&gt;0,"En curso","Pendiente")))</f>
        <v/>
      </c>
      <c r="M201" s="61" t="n"/>
      <c r="N201" s="66">
        <f>IF(NOT((COUNTA($B201:$J201)+COUNTA($M201))&gt;0),"",IF((IF(B201="","Macroactividad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 OK","⚠ "&amp;LEFT(IF(B201="","Macroactividad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",""),LEN(IF(B201="","Macroactividad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",""))-3)))</f>
        <v/>
      </c>
      <c r="O201" s="67">
        <f>IF(NOT((COUNTA($B201:$J201)+COUNTA($M201))&gt;0),"",IF(ISNUMBER($D201),DATE(YEAR($D201),MONTH($D201),1),IF(ISNUMBER($E201),DATE(YEAR($E201),MONTH($E201),1),MesCiclo)))</f>
        <v/>
      </c>
      <c r="P201" s="68">
        <f>IF(OR($O201="",$O201&lt;&gt;MesCiclo),"",COUNTIF($O$5:$O201,MesCiclo))</f>
        <v/>
      </c>
    </row>
    <row r="202">
      <c r="A202" s="60">
        <f>IF(NOT((COUNTA($B202:$J202)+COUNTA($M202))&gt;0),"",COUNTIFS($L$5:$L202,"?*",$O$5:$O202,$O202))</f>
        <v/>
      </c>
      <c r="B202" s="61" t="n"/>
      <c r="C202" s="61" t="n"/>
      <c r="D202" s="62" t="n"/>
      <c r="E202" s="62" t="n"/>
      <c r="F202" s="63" t="n"/>
      <c r="G202" s="64" t="n"/>
      <c r="H202" s="64" t="n"/>
      <c r="I202" s="64" t="n"/>
      <c r="J202" s="64" t="n"/>
      <c r="K202" s="65">
        <f>IF(NOT((COUNTA($B202:$J202)+COUNTA($M202))&gt;0),"",IFERROR(LOOKUP(2,1/(G202:J202&lt;&gt;""),G202:J202),0))</f>
        <v/>
      </c>
      <c r="L202" s="60">
        <f>IF(K202="","",IF(K202&gt;=1,"Completado",IF(K202&gt;0,"En curso","Pendiente")))</f>
        <v/>
      </c>
      <c r="M202" s="61" t="n"/>
      <c r="N202" s="66">
        <f>IF(NOT((COUNTA($B202:$J202)+COUNTA($M202))&gt;0),"",IF((IF(B202="","Macroactividad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 OK","⚠ "&amp;LEFT(IF(B202="","Macroactividad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",""),LEN(IF(B202="","Macroactividad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",""))-3)))</f>
        <v/>
      </c>
      <c r="O202" s="67">
        <f>IF(NOT((COUNTA($B202:$J202)+COUNTA($M202))&gt;0),"",IF(ISNUMBER($D202),DATE(YEAR($D202),MONTH($D202),1),IF(ISNUMBER($E202),DATE(YEAR($E202),MONTH($E202),1),MesCiclo)))</f>
        <v/>
      </c>
      <c r="P202" s="68">
        <f>IF(OR($O202="",$O202&lt;&gt;MesCiclo),"",COUNTIF($O$5:$O202,MesCiclo))</f>
        <v/>
      </c>
    </row>
    <row r="203">
      <c r="A203" s="60">
        <f>IF(NOT((COUNTA($B203:$J203)+COUNTA($M203))&gt;0),"",COUNTIFS($L$5:$L203,"?*",$O$5:$O203,$O203))</f>
        <v/>
      </c>
      <c r="B203" s="61" t="n"/>
      <c r="C203" s="61" t="n"/>
      <c r="D203" s="62" t="n"/>
      <c r="E203" s="62" t="n"/>
      <c r="F203" s="63" t="n"/>
      <c r="G203" s="64" t="n"/>
      <c r="H203" s="64" t="n"/>
      <c r="I203" s="64" t="n"/>
      <c r="J203" s="64" t="n"/>
      <c r="K203" s="65">
        <f>IF(NOT((COUNTA($B203:$J203)+COUNTA($M203))&gt;0),"",IFERROR(LOOKUP(2,1/(G203:J203&lt;&gt;""),G203:J203),0))</f>
        <v/>
      </c>
      <c r="L203" s="60">
        <f>IF(K203="","",IF(K203&gt;=1,"Completado",IF(K203&gt;0,"En curso","Pendiente")))</f>
        <v/>
      </c>
      <c r="M203" s="61" t="n"/>
      <c r="N203" s="66">
        <f>IF(NOT((COUNTA($B203:$J203)+COUNTA($M203))&gt;0),"",IF((IF(B203="","Macroactividad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 OK","⚠ "&amp;LEFT(IF(B203="","Macroactividad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",""),LEN(IF(B203="","Macroactividad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",""))-3)))</f>
        <v/>
      </c>
      <c r="O203" s="67">
        <f>IF(NOT((COUNTA($B203:$J203)+COUNTA($M203))&gt;0),"",IF(ISNUMBER($D203),DATE(YEAR($D203),MONTH($D203),1),IF(ISNUMBER($E203),DATE(YEAR($E203),MONTH($E203),1),MesCiclo)))</f>
        <v/>
      </c>
      <c r="P203" s="68">
        <f>IF(OR($O203="",$O203&lt;&gt;MesCiclo),"",COUNTIF($O$5:$O203,MesCiclo))</f>
        <v/>
      </c>
    </row>
    <row r="204">
      <c r="A204" s="60">
        <f>IF(NOT((COUNTA($B204:$J204)+COUNTA($M204))&gt;0),"",COUNTIFS($L$5:$L204,"?*",$O$5:$O204,$O204))</f>
        <v/>
      </c>
      <c r="B204" s="61" t="n"/>
      <c r="C204" s="61" t="n"/>
      <c r="D204" s="62" t="n"/>
      <c r="E204" s="62" t="n"/>
      <c r="F204" s="63" t="n"/>
      <c r="G204" s="64" t="n"/>
      <c r="H204" s="64" t="n"/>
      <c r="I204" s="64" t="n"/>
      <c r="J204" s="64" t="n"/>
      <c r="K204" s="65">
        <f>IF(NOT((COUNTA($B204:$J204)+COUNTA($M204))&gt;0),"",IFERROR(LOOKUP(2,1/(G204:J204&lt;&gt;""),G204:J204),0))</f>
        <v/>
      </c>
      <c r="L204" s="60">
        <f>IF(K204="","",IF(K204&gt;=1,"Completado",IF(K204&gt;0,"En curso","Pendiente")))</f>
        <v/>
      </c>
      <c r="M204" s="61" t="n"/>
      <c r="N204" s="66">
        <f>IF(NOT((COUNTA($B204:$J204)+COUNTA($M204))&gt;0),"",IF((IF(B204="","Macroactividad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 OK","⚠ "&amp;LEFT(IF(B204="","Macroactividad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",""),LEN(IF(B204="","Macroactividad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",""))-3)))</f>
        <v/>
      </c>
      <c r="O204" s="67">
        <f>IF(NOT((COUNTA($B204:$J204)+COUNTA($M204))&gt;0),"",IF(ISNUMBER($D204),DATE(YEAR($D204),MONTH($D204),1),IF(ISNUMBER($E204),DATE(YEAR($E204),MONTH($E204),1),MesCiclo)))</f>
        <v/>
      </c>
      <c r="P204" s="68">
        <f>IF(OR($O204="",$O204&lt;&gt;MesCiclo),"",COUNTIF($O$5:$O204,MesCiclo))</f>
        <v/>
      </c>
    </row>
    <row r="205">
      <c r="A205" s="60">
        <f>IF(NOT((COUNTA($B205:$J205)+COUNTA($M205))&gt;0),"",COUNTIFS($L$5:$L205,"?*",$O$5:$O205,$O205))</f>
        <v/>
      </c>
      <c r="B205" s="61" t="n"/>
      <c r="C205" s="61" t="n"/>
      <c r="D205" s="62" t="n"/>
      <c r="E205" s="62" t="n"/>
      <c r="F205" s="63" t="n"/>
      <c r="G205" s="64" t="n"/>
      <c r="H205" s="64" t="n"/>
      <c r="I205" s="64" t="n"/>
      <c r="J205" s="64" t="n"/>
      <c r="K205" s="65">
        <f>IF(NOT((COUNTA($B205:$J205)+COUNTA($M205))&gt;0),"",IFERROR(LOOKUP(2,1/(G205:J205&lt;&gt;""),G205:J205),0))</f>
        <v/>
      </c>
      <c r="L205" s="60">
        <f>IF(K205="","",IF(K205&gt;=1,"Completado",IF(K205&gt;0,"En curso","Pendiente")))</f>
        <v/>
      </c>
      <c r="M205" s="61" t="n"/>
      <c r="N205" s="66">
        <f>IF(NOT((COUNTA($B205:$J205)+COUNTA($M205))&gt;0),"",IF((IF(B205="","Macroactividad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 OK","⚠ "&amp;LEFT(IF(B205="","Macroactividad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",""),LEN(IF(B205="","Macroactividad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",""))-3)))</f>
        <v/>
      </c>
      <c r="O205" s="67">
        <f>IF(NOT((COUNTA($B205:$J205)+COUNTA($M205))&gt;0),"",IF(ISNUMBER($D205),DATE(YEAR($D205),MONTH($D205),1),IF(ISNUMBER($E205),DATE(YEAR($E205),MONTH($E205),1),MesCiclo)))</f>
        <v/>
      </c>
      <c r="P205" s="68">
        <f>IF(OR($O205="",$O205&lt;&gt;MesCiclo),"",COUNTIF($O$5:$O205,MesCiclo))</f>
        <v/>
      </c>
    </row>
    <row r="206">
      <c r="A206" s="60">
        <f>IF(NOT((COUNTA($B206:$J206)+COUNTA($M206))&gt;0),"",COUNTIFS($L$5:$L206,"?*",$O$5:$O206,$O206))</f>
        <v/>
      </c>
      <c r="B206" s="61" t="n"/>
      <c r="C206" s="61" t="n"/>
      <c r="D206" s="62" t="n"/>
      <c r="E206" s="62" t="n"/>
      <c r="F206" s="63" t="n"/>
      <c r="G206" s="64" t="n"/>
      <c r="H206" s="64" t="n"/>
      <c r="I206" s="64" t="n"/>
      <c r="J206" s="64" t="n"/>
      <c r="K206" s="65">
        <f>IF(NOT((COUNTA($B206:$J206)+COUNTA($M206))&gt;0),"",IFERROR(LOOKUP(2,1/(G206:J206&lt;&gt;""),G206:J206),0))</f>
        <v/>
      </c>
      <c r="L206" s="60">
        <f>IF(K206="","",IF(K206&gt;=1,"Completado",IF(K206&gt;0,"En curso","Pendiente")))</f>
        <v/>
      </c>
      <c r="M206" s="61" t="n"/>
      <c r="N206" s="66">
        <f>IF(NOT((COUNTA($B206:$J206)+COUNTA($M206))&gt;0),"",IF((IF(B206="","Macroactividad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 OK","⚠ "&amp;LEFT(IF(B206="","Macroactividad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",""),LEN(IF(B206="","Macroactividad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",""))-3)))</f>
        <v/>
      </c>
      <c r="O206" s="67">
        <f>IF(NOT((COUNTA($B206:$J206)+COUNTA($M206))&gt;0),"",IF(ISNUMBER($D206),DATE(YEAR($D206),MONTH($D206),1),IF(ISNUMBER($E206),DATE(YEAR($E206),MONTH($E206),1),MesCiclo)))</f>
        <v/>
      </c>
      <c r="P206" s="68">
        <f>IF(OR($O206="",$O206&lt;&gt;MesCiclo),"",COUNTIF($O$5:$O206,MesCiclo))</f>
        <v/>
      </c>
    </row>
    <row r="207">
      <c r="A207" s="60">
        <f>IF(NOT((COUNTA($B207:$J207)+COUNTA($M207))&gt;0),"",COUNTIFS($L$5:$L207,"?*",$O$5:$O207,$O207))</f>
        <v/>
      </c>
      <c r="B207" s="61" t="n"/>
      <c r="C207" s="61" t="n"/>
      <c r="D207" s="62" t="n"/>
      <c r="E207" s="62" t="n"/>
      <c r="F207" s="63" t="n"/>
      <c r="G207" s="64" t="n"/>
      <c r="H207" s="64" t="n"/>
      <c r="I207" s="64" t="n"/>
      <c r="J207" s="64" t="n"/>
      <c r="K207" s="65">
        <f>IF(NOT((COUNTA($B207:$J207)+COUNTA($M207))&gt;0),"",IFERROR(LOOKUP(2,1/(G207:J207&lt;&gt;""),G207:J207),0))</f>
        <v/>
      </c>
      <c r="L207" s="60">
        <f>IF(K207="","",IF(K207&gt;=1,"Completado",IF(K207&gt;0,"En curso","Pendiente")))</f>
        <v/>
      </c>
      <c r="M207" s="61" t="n"/>
      <c r="N207" s="66">
        <f>IF(NOT((COUNTA($B207:$J207)+COUNTA($M207))&gt;0),"",IF((IF(B207="","Macroactividad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 OK","⚠ "&amp;LEFT(IF(B207="","Macroactividad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",""),LEN(IF(B207="","Macroactividad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",""))-3)))</f>
        <v/>
      </c>
      <c r="O207" s="67">
        <f>IF(NOT((COUNTA($B207:$J207)+COUNTA($M207))&gt;0),"",IF(ISNUMBER($D207),DATE(YEAR($D207),MONTH($D207),1),IF(ISNUMBER($E207),DATE(YEAR($E207),MONTH($E207),1),MesCiclo)))</f>
        <v/>
      </c>
      <c r="P207" s="68">
        <f>IF(OR($O207="",$O207&lt;&gt;MesCiclo),"",COUNTIF($O$5:$O207,MesCiclo))</f>
        <v/>
      </c>
    </row>
    <row r="208">
      <c r="A208" s="60">
        <f>IF(NOT((COUNTA($B208:$J208)+COUNTA($M208))&gt;0),"",COUNTIFS($L$5:$L208,"?*",$O$5:$O208,$O208))</f>
        <v/>
      </c>
      <c r="B208" s="61" t="n"/>
      <c r="C208" s="61" t="n"/>
      <c r="D208" s="62" t="n"/>
      <c r="E208" s="62" t="n"/>
      <c r="F208" s="63" t="n"/>
      <c r="G208" s="64" t="n"/>
      <c r="H208" s="64" t="n"/>
      <c r="I208" s="64" t="n"/>
      <c r="J208" s="64" t="n"/>
      <c r="K208" s="65">
        <f>IF(NOT((COUNTA($B208:$J208)+COUNTA($M208))&gt;0),"",IFERROR(LOOKUP(2,1/(G208:J208&lt;&gt;""),G208:J208),0))</f>
        <v/>
      </c>
      <c r="L208" s="60">
        <f>IF(K208="","",IF(K208&gt;=1,"Completado",IF(K208&gt;0,"En curso","Pendiente")))</f>
        <v/>
      </c>
      <c r="M208" s="61" t="n"/>
      <c r="N208" s="66">
        <f>IF(NOT((COUNTA($B208:$J208)+COUNTA($M208))&gt;0),"",IF((IF(B208="","Macroactividad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 OK","⚠ "&amp;LEFT(IF(B208="","Macroactividad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",""),LEN(IF(B208="","Macroactividad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",""))-3)))</f>
        <v/>
      </c>
      <c r="O208" s="67">
        <f>IF(NOT((COUNTA($B208:$J208)+COUNTA($M208))&gt;0),"",IF(ISNUMBER($D208),DATE(YEAR($D208),MONTH($D208),1),IF(ISNUMBER($E208),DATE(YEAR($E208),MONTH($E208),1),MesCiclo)))</f>
        <v/>
      </c>
      <c r="P208" s="68">
        <f>IF(OR($O208="",$O208&lt;&gt;MesCiclo),"",COUNTIF($O$5:$O208,MesCiclo))</f>
        <v/>
      </c>
    </row>
    <row r="209">
      <c r="A209" s="60">
        <f>IF(NOT((COUNTA($B209:$J209)+COUNTA($M209))&gt;0),"",COUNTIFS($L$5:$L209,"?*",$O$5:$O209,$O209))</f>
        <v/>
      </c>
      <c r="B209" s="61" t="n"/>
      <c r="C209" s="61" t="n"/>
      <c r="D209" s="62" t="n"/>
      <c r="E209" s="62" t="n"/>
      <c r="F209" s="63" t="n"/>
      <c r="G209" s="64" t="n"/>
      <c r="H209" s="64" t="n"/>
      <c r="I209" s="64" t="n"/>
      <c r="J209" s="64" t="n"/>
      <c r="K209" s="65">
        <f>IF(NOT((COUNTA($B209:$J209)+COUNTA($M209))&gt;0),"",IFERROR(LOOKUP(2,1/(G209:J209&lt;&gt;""),G209:J209),0))</f>
        <v/>
      </c>
      <c r="L209" s="60">
        <f>IF(K209="","",IF(K209&gt;=1,"Completado",IF(K209&gt;0,"En curso","Pendiente")))</f>
        <v/>
      </c>
      <c r="M209" s="61" t="n"/>
      <c r="N209" s="66">
        <f>IF(NOT((COUNTA($B209:$J209)+COUNTA($M209))&gt;0),"",IF((IF(B209="","Macroactividad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 OK","⚠ "&amp;LEFT(IF(B209="","Macroactividad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",""),LEN(IF(B209="","Macroactividad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",""))-3)))</f>
        <v/>
      </c>
      <c r="O209" s="67">
        <f>IF(NOT((COUNTA($B209:$J209)+COUNTA($M209))&gt;0),"",IF(ISNUMBER($D209),DATE(YEAR($D209),MONTH($D209),1),IF(ISNUMBER($E209),DATE(YEAR($E209),MONTH($E209),1),MesCiclo)))</f>
        <v/>
      </c>
      <c r="P209" s="68">
        <f>IF(OR($O209="",$O209&lt;&gt;MesCiclo),"",COUNTIF($O$5:$O209,MesCiclo))</f>
        <v/>
      </c>
    </row>
    <row r="210">
      <c r="A210" s="60">
        <f>IF(NOT((COUNTA($B210:$J210)+COUNTA($M210))&gt;0),"",COUNTIFS($L$5:$L210,"?*",$O$5:$O210,$O210))</f>
        <v/>
      </c>
      <c r="B210" s="61" t="n"/>
      <c r="C210" s="61" t="n"/>
      <c r="D210" s="62" t="n"/>
      <c r="E210" s="62" t="n"/>
      <c r="F210" s="63" t="n"/>
      <c r="G210" s="64" t="n"/>
      <c r="H210" s="64" t="n"/>
      <c r="I210" s="64" t="n"/>
      <c r="J210" s="64" t="n"/>
      <c r="K210" s="65">
        <f>IF(NOT((COUNTA($B210:$J210)+COUNTA($M210))&gt;0),"",IFERROR(LOOKUP(2,1/(G210:J210&lt;&gt;""),G210:J210),0))</f>
        <v/>
      </c>
      <c r="L210" s="60">
        <f>IF(K210="","",IF(K210&gt;=1,"Completado",IF(K210&gt;0,"En curso","Pendiente")))</f>
        <v/>
      </c>
      <c r="M210" s="61" t="n"/>
      <c r="N210" s="66">
        <f>IF(NOT((COUNTA($B210:$J210)+COUNTA($M210))&gt;0),"",IF((IF(B210="","Macroactividad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 OK","⚠ "&amp;LEFT(IF(B210="","Macroactividad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",""),LEN(IF(B210="","Macroactividad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",""))-3)))</f>
        <v/>
      </c>
      <c r="O210" s="67">
        <f>IF(NOT((COUNTA($B210:$J210)+COUNTA($M210))&gt;0),"",IF(ISNUMBER($D210),DATE(YEAR($D210),MONTH($D210),1),IF(ISNUMBER($E210),DATE(YEAR($E210),MONTH($E210),1),MesCiclo)))</f>
        <v/>
      </c>
      <c r="P210" s="68">
        <f>IF(OR($O210="",$O210&lt;&gt;MesCiclo),"",COUNTIF($O$5:$O210,MesCiclo))</f>
        <v/>
      </c>
    </row>
    <row r="211">
      <c r="A211" s="60">
        <f>IF(NOT((COUNTA($B211:$J211)+COUNTA($M211))&gt;0),"",COUNTIFS($L$5:$L211,"?*",$O$5:$O211,$O211))</f>
        <v/>
      </c>
      <c r="B211" s="61" t="n"/>
      <c r="C211" s="61" t="n"/>
      <c r="D211" s="62" t="n"/>
      <c r="E211" s="62" t="n"/>
      <c r="F211" s="63" t="n"/>
      <c r="G211" s="64" t="n"/>
      <c r="H211" s="64" t="n"/>
      <c r="I211" s="64" t="n"/>
      <c r="J211" s="64" t="n"/>
      <c r="K211" s="65">
        <f>IF(NOT((COUNTA($B211:$J211)+COUNTA($M211))&gt;0),"",IFERROR(LOOKUP(2,1/(G211:J211&lt;&gt;""),G211:J211),0))</f>
        <v/>
      </c>
      <c r="L211" s="60">
        <f>IF(K211="","",IF(K211&gt;=1,"Completado",IF(K211&gt;0,"En curso","Pendiente")))</f>
        <v/>
      </c>
      <c r="M211" s="61" t="n"/>
      <c r="N211" s="66">
        <f>IF(NOT((COUNTA($B211:$J211)+COUNTA($M211))&gt;0),"",IF((IF(B211="","Macroactividad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 OK","⚠ "&amp;LEFT(IF(B211="","Macroactividad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",""),LEN(IF(B211="","Macroactividad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",""))-3)))</f>
        <v/>
      </c>
      <c r="O211" s="67">
        <f>IF(NOT((COUNTA($B211:$J211)+COUNTA($M211))&gt;0),"",IF(ISNUMBER($D211),DATE(YEAR($D211),MONTH($D211),1),IF(ISNUMBER($E211),DATE(YEAR($E211),MONTH($E211),1),MesCiclo)))</f>
        <v/>
      </c>
      <c r="P211" s="68">
        <f>IF(OR($O211="",$O211&lt;&gt;MesCiclo),"",COUNTIF($O$5:$O211,MesCiclo))</f>
        <v/>
      </c>
    </row>
    <row r="212">
      <c r="A212" s="60">
        <f>IF(NOT((COUNTA($B212:$J212)+COUNTA($M212))&gt;0),"",COUNTIFS($L$5:$L212,"?*",$O$5:$O212,$O212))</f>
        <v/>
      </c>
      <c r="B212" s="61" t="n"/>
      <c r="C212" s="61" t="n"/>
      <c r="D212" s="62" t="n"/>
      <c r="E212" s="62" t="n"/>
      <c r="F212" s="63" t="n"/>
      <c r="G212" s="64" t="n"/>
      <c r="H212" s="64" t="n"/>
      <c r="I212" s="64" t="n"/>
      <c r="J212" s="64" t="n"/>
      <c r="K212" s="65">
        <f>IF(NOT((COUNTA($B212:$J212)+COUNTA($M212))&gt;0),"",IFERROR(LOOKUP(2,1/(G212:J212&lt;&gt;""),G212:J212),0))</f>
        <v/>
      </c>
      <c r="L212" s="60">
        <f>IF(K212="","",IF(K212&gt;=1,"Completado",IF(K212&gt;0,"En curso","Pendiente")))</f>
        <v/>
      </c>
      <c r="M212" s="61" t="n"/>
      <c r="N212" s="66">
        <f>IF(NOT((COUNTA($B212:$J212)+COUNTA($M212))&gt;0),"",IF((IF(B212="","Macroactividad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 OK","⚠ "&amp;LEFT(IF(B212="","Macroactividad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",""),LEN(IF(B212="","Macroactividad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",""))-3)))</f>
        <v/>
      </c>
      <c r="O212" s="67">
        <f>IF(NOT((COUNTA($B212:$J212)+COUNTA($M212))&gt;0),"",IF(ISNUMBER($D212),DATE(YEAR($D212),MONTH($D212),1),IF(ISNUMBER($E212),DATE(YEAR($E212),MONTH($E212),1),MesCiclo)))</f>
        <v/>
      </c>
      <c r="P212" s="68">
        <f>IF(OR($O212="",$O212&lt;&gt;MesCiclo),"",COUNTIF($O$5:$O212,MesCiclo))</f>
        <v/>
      </c>
    </row>
    <row r="213">
      <c r="A213" s="60">
        <f>IF(NOT((COUNTA($B213:$J213)+COUNTA($M213))&gt;0),"",COUNTIFS($L$5:$L213,"?*",$O$5:$O213,$O213))</f>
        <v/>
      </c>
      <c r="B213" s="61" t="n"/>
      <c r="C213" s="61" t="n"/>
      <c r="D213" s="62" t="n"/>
      <c r="E213" s="62" t="n"/>
      <c r="F213" s="63" t="n"/>
      <c r="G213" s="64" t="n"/>
      <c r="H213" s="64" t="n"/>
      <c r="I213" s="64" t="n"/>
      <c r="J213" s="64" t="n"/>
      <c r="K213" s="65">
        <f>IF(NOT((COUNTA($B213:$J213)+COUNTA($M213))&gt;0),"",IFERROR(LOOKUP(2,1/(G213:J213&lt;&gt;""),G213:J213),0))</f>
        <v/>
      </c>
      <c r="L213" s="60">
        <f>IF(K213="","",IF(K213&gt;=1,"Completado",IF(K213&gt;0,"En curso","Pendiente")))</f>
        <v/>
      </c>
      <c r="M213" s="61" t="n"/>
      <c r="N213" s="66">
        <f>IF(NOT((COUNTA($B213:$J213)+COUNTA($M213))&gt;0),"",IF((IF(B213="","Macroactividad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 OK","⚠ "&amp;LEFT(IF(B213="","Macroactividad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",""),LEN(IF(B213="","Macroactividad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",""))-3)))</f>
        <v/>
      </c>
      <c r="O213" s="67">
        <f>IF(NOT((COUNTA($B213:$J213)+COUNTA($M213))&gt;0),"",IF(ISNUMBER($D213),DATE(YEAR($D213),MONTH($D213),1),IF(ISNUMBER($E213),DATE(YEAR($E213),MONTH($E213),1),MesCiclo)))</f>
        <v/>
      </c>
      <c r="P213" s="68">
        <f>IF(OR($O213="",$O213&lt;&gt;MesCiclo),"",COUNTIF($O$5:$O213,MesCiclo))</f>
        <v/>
      </c>
    </row>
    <row r="214">
      <c r="A214" s="60">
        <f>IF(NOT((COUNTA($B214:$J214)+COUNTA($M214))&gt;0),"",COUNTIFS($L$5:$L214,"?*",$O$5:$O214,$O214))</f>
        <v/>
      </c>
      <c r="B214" s="61" t="n"/>
      <c r="C214" s="61" t="n"/>
      <c r="D214" s="62" t="n"/>
      <c r="E214" s="62" t="n"/>
      <c r="F214" s="63" t="n"/>
      <c r="G214" s="64" t="n"/>
      <c r="H214" s="64" t="n"/>
      <c r="I214" s="64" t="n"/>
      <c r="J214" s="64" t="n"/>
      <c r="K214" s="65">
        <f>IF(NOT((COUNTA($B214:$J214)+COUNTA($M214))&gt;0),"",IFERROR(LOOKUP(2,1/(G214:J214&lt;&gt;""),G214:J214),0))</f>
        <v/>
      </c>
      <c r="L214" s="60">
        <f>IF(K214="","",IF(K214&gt;=1,"Completado",IF(K214&gt;0,"En curso","Pendiente")))</f>
        <v/>
      </c>
      <c r="M214" s="61" t="n"/>
      <c r="N214" s="66">
        <f>IF(NOT((COUNTA($B214:$J214)+COUNTA($M214))&gt;0),"",IF((IF(B214="","Macroactividad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 OK","⚠ "&amp;LEFT(IF(B214="","Macroactividad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",""),LEN(IF(B214="","Macroactividad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",""))-3)))</f>
        <v/>
      </c>
      <c r="O214" s="67">
        <f>IF(NOT((COUNTA($B214:$J214)+COUNTA($M214))&gt;0),"",IF(ISNUMBER($D214),DATE(YEAR($D214),MONTH($D214),1),IF(ISNUMBER($E214),DATE(YEAR($E214),MONTH($E214),1),MesCiclo)))</f>
        <v/>
      </c>
      <c r="P214" s="68">
        <f>IF(OR($O214="",$O214&lt;&gt;MesCiclo),"",COUNTIF($O$5:$O214,MesCiclo))</f>
        <v/>
      </c>
    </row>
    <row r="215">
      <c r="A215" s="60">
        <f>IF(NOT((COUNTA($B215:$J215)+COUNTA($M215))&gt;0),"",COUNTIFS($L$5:$L215,"?*",$O$5:$O215,$O215))</f>
        <v/>
      </c>
      <c r="B215" s="61" t="n"/>
      <c r="C215" s="61" t="n"/>
      <c r="D215" s="62" t="n"/>
      <c r="E215" s="62" t="n"/>
      <c r="F215" s="63" t="n"/>
      <c r="G215" s="64" t="n"/>
      <c r="H215" s="64" t="n"/>
      <c r="I215" s="64" t="n"/>
      <c r="J215" s="64" t="n"/>
      <c r="K215" s="65">
        <f>IF(NOT((COUNTA($B215:$J215)+COUNTA($M215))&gt;0),"",IFERROR(LOOKUP(2,1/(G215:J215&lt;&gt;""),G215:J215),0))</f>
        <v/>
      </c>
      <c r="L215" s="60">
        <f>IF(K215="","",IF(K215&gt;=1,"Completado",IF(K215&gt;0,"En curso","Pendiente")))</f>
        <v/>
      </c>
      <c r="M215" s="61" t="n"/>
      <c r="N215" s="66">
        <f>IF(NOT((COUNTA($B215:$J215)+COUNTA($M215))&gt;0),"",IF((IF(B215="","Macroactividad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 OK","⚠ "&amp;LEFT(IF(B215="","Macroactividad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",""),LEN(IF(B215="","Macroactividad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",""))-3)))</f>
        <v/>
      </c>
      <c r="O215" s="67">
        <f>IF(NOT((COUNTA($B215:$J215)+COUNTA($M215))&gt;0),"",IF(ISNUMBER($D215),DATE(YEAR($D215),MONTH($D215),1),IF(ISNUMBER($E215),DATE(YEAR($E215),MONTH($E215),1),MesCiclo)))</f>
        <v/>
      </c>
      <c r="P215" s="68">
        <f>IF(OR($O215="",$O215&lt;&gt;MesCiclo),"",COUNTIF($O$5:$O215,MesCiclo))</f>
        <v/>
      </c>
    </row>
    <row r="216">
      <c r="A216" s="60">
        <f>IF(NOT((COUNTA($B216:$J216)+COUNTA($M216))&gt;0),"",COUNTIFS($L$5:$L216,"?*",$O$5:$O216,$O216))</f>
        <v/>
      </c>
      <c r="B216" s="61" t="n"/>
      <c r="C216" s="61" t="n"/>
      <c r="D216" s="62" t="n"/>
      <c r="E216" s="62" t="n"/>
      <c r="F216" s="63" t="n"/>
      <c r="G216" s="64" t="n"/>
      <c r="H216" s="64" t="n"/>
      <c r="I216" s="64" t="n"/>
      <c r="J216" s="64" t="n"/>
      <c r="K216" s="65">
        <f>IF(NOT((COUNTA($B216:$J216)+COUNTA($M216))&gt;0),"",IFERROR(LOOKUP(2,1/(G216:J216&lt;&gt;""),G216:J216),0))</f>
        <v/>
      </c>
      <c r="L216" s="60">
        <f>IF(K216="","",IF(K216&gt;=1,"Completado",IF(K216&gt;0,"En curso","Pendiente")))</f>
        <v/>
      </c>
      <c r="M216" s="61" t="n"/>
      <c r="N216" s="66">
        <f>IF(NOT((COUNTA($B216:$J216)+COUNTA($M216))&gt;0),"",IF((IF(B216="","Macroactividad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 OK","⚠ "&amp;LEFT(IF(B216="","Macroactividad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",""),LEN(IF(B216="","Macroactividad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",""))-3)))</f>
        <v/>
      </c>
      <c r="O216" s="67">
        <f>IF(NOT((COUNTA($B216:$J216)+COUNTA($M216))&gt;0),"",IF(ISNUMBER($D216),DATE(YEAR($D216),MONTH($D216),1),IF(ISNUMBER($E216),DATE(YEAR($E216),MONTH($E216),1),MesCiclo)))</f>
        <v/>
      </c>
      <c r="P216" s="68">
        <f>IF(OR($O216="",$O216&lt;&gt;MesCiclo),"",COUNTIF($O$5:$O216,MesCiclo))</f>
        <v/>
      </c>
    </row>
    <row r="217">
      <c r="A217" s="60">
        <f>IF(NOT((COUNTA($B217:$J217)+COUNTA($M217))&gt;0),"",COUNTIFS($L$5:$L217,"?*",$O$5:$O217,$O217))</f>
        <v/>
      </c>
      <c r="B217" s="61" t="n"/>
      <c r="C217" s="61" t="n"/>
      <c r="D217" s="62" t="n"/>
      <c r="E217" s="62" t="n"/>
      <c r="F217" s="63" t="n"/>
      <c r="G217" s="64" t="n"/>
      <c r="H217" s="64" t="n"/>
      <c r="I217" s="64" t="n"/>
      <c r="J217" s="64" t="n"/>
      <c r="K217" s="65">
        <f>IF(NOT((COUNTA($B217:$J217)+COUNTA($M217))&gt;0),"",IFERROR(LOOKUP(2,1/(G217:J217&lt;&gt;""),G217:J217),0))</f>
        <v/>
      </c>
      <c r="L217" s="60">
        <f>IF(K217="","",IF(K217&gt;=1,"Completado",IF(K217&gt;0,"En curso","Pendiente")))</f>
        <v/>
      </c>
      <c r="M217" s="61" t="n"/>
      <c r="N217" s="66">
        <f>IF(NOT((COUNTA($B217:$J217)+COUNTA($M217))&gt;0),"",IF((IF(B217="","Macroactividad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 OK","⚠ "&amp;LEFT(IF(B217="","Macroactividad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",""),LEN(IF(B217="","Macroactividad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",""))-3)))</f>
        <v/>
      </c>
      <c r="O217" s="67">
        <f>IF(NOT((COUNTA($B217:$J217)+COUNTA($M217))&gt;0),"",IF(ISNUMBER($D217),DATE(YEAR($D217),MONTH($D217),1),IF(ISNUMBER($E217),DATE(YEAR($E217),MONTH($E217),1),MesCiclo)))</f>
        <v/>
      </c>
      <c r="P217" s="68">
        <f>IF(OR($O217="",$O217&lt;&gt;MesCiclo),"",COUNTIF($O$5:$O217,MesCiclo))</f>
        <v/>
      </c>
    </row>
    <row r="218">
      <c r="A218" s="60">
        <f>IF(NOT((COUNTA($B218:$J218)+COUNTA($M218))&gt;0),"",COUNTIFS($L$5:$L218,"?*",$O$5:$O218,$O218))</f>
        <v/>
      </c>
      <c r="B218" s="61" t="n"/>
      <c r="C218" s="61" t="n"/>
      <c r="D218" s="62" t="n"/>
      <c r="E218" s="62" t="n"/>
      <c r="F218" s="63" t="n"/>
      <c r="G218" s="64" t="n"/>
      <c r="H218" s="64" t="n"/>
      <c r="I218" s="64" t="n"/>
      <c r="J218" s="64" t="n"/>
      <c r="K218" s="65">
        <f>IF(NOT((COUNTA($B218:$J218)+COUNTA($M218))&gt;0),"",IFERROR(LOOKUP(2,1/(G218:J218&lt;&gt;""),G218:J218),0))</f>
        <v/>
      </c>
      <c r="L218" s="60">
        <f>IF(K218="","",IF(K218&gt;=1,"Completado",IF(K218&gt;0,"En curso","Pendiente")))</f>
        <v/>
      </c>
      <c r="M218" s="61" t="n"/>
      <c r="N218" s="66">
        <f>IF(NOT((COUNTA($B218:$J218)+COUNTA($M218))&gt;0),"",IF((IF(B218="","Macroactividad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 OK","⚠ "&amp;LEFT(IF(B218="","Macroactividad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",""),LEN(IF(B218="","Macroactividad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",""))-3)))</f>
        <v/>
      </c>
      <c r="O218" s="67">
        <f>IF(NOT((COUNTA($B218:$J218)+COUNTA($M218))&gt;0),"",IF(ISNUMBER($D218),DATE(YEAR($D218),MONTH($D218),1),IF(ISNUMBER($E218),DATE(YEAR($E218),MONTH($E218),1),MesCiclo)))</f>
        <v/>
      </c>
      <c r="P218" s="68">
        <f>IF(OR($O218="",$O218&lt;&gt;MesCiclo),"",COUNTIF($O$5:$O218,MesCiclo))</f>
        <v/>
      </c>
    </row>
    <row r="219">
      <c r="A219" s="60">
        <f>IF(NOT((COUNTA($B219:$J219)+COUNTA($M219))&gt;0),"",COUNTIFS($L$5:$L219,"?*",$O$5:$O219,$O219))</f>
        <v/>
      </c>
      <c r="B219" s="61" t="n"/>
      <c r="C219" s="61" t="n"/>
      <c r="D219" s="62" t="n"/>
      <c r="E219" s="62" t="n"/>
      <c r="F219" s="63" t="n"/>
      <c r="G219" s="64" t="n"/>
      <c r="H219" s="64" t="n"/>
      <c r="I219" s="64" t="n"/>
      <c r="J219" s="64" t="n"/>
      <c r="K219" s="65">
        <f>IF(NOT((COUNTA($B219:$J219)+COUNTA($M219))&gt;0),"",IFERROR(LOOKUP(2,1/(G219:J219&lt;&gt;""),G219:J219),0))</f>
        <v/>
      </c>
      <c r="L219" s="60">
        <f>IF(K219="","",IF(K219&gt;=1,"Completado",IF(K219&gt;0,"En curso","Pendiente")))</f>
        <v/>
      </c>
      <c r="M219" s="61" t="n"/>
      <c r="N219" s="66">
        <f>IF(NOT((COUNTA($B219:$J219)+COUNTA($M219))&gt;0),"",IF((IF(B219="","Macroactividad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 OK","⚠ "&amp;LEFT(IF(B219="","Macroactividad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",""),LEN(IF(B219="","Macroactividad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",""))-3)))</f>
        <v/>
      </c>
      <c r="O219" s="67">
        <f>IF(NOT((COUNTA($B219:$J219)+COUNTA($M219))&gt;0),"",IF(ISNUMBER($D219),DATE(YEAR($D219),MONTH($D219),1),IF(ISNUMBER($E219),DATE(YEAR($E219),MONTH($E219),1),MesCiclo)))</f>
        <v/>
      </c>
      <c r="P219" s="68">
        <f>IF(OR($O219="",$O219&lt;&gt;MesCiclo),"",COUNTIF($O$5:$O219,MesCiclo))</f>
        <v/>
      </c>
    </row>
    <row r="220">
      <c r="A220" s="60">
        <f>IF(NOT((COUNTA($B220:$J220)+COUNTA($M220))&gt;0),"",COUNTIFS($L$5:$L220,"?*",$O$5:$O220,$O220))</f>
        <v/>
      </c>
      <c r="B220" s="61" t="n"/>
      <c r="C220" s="61" t="n"/>
      <c r="D220" s="62" t="n"/>
      <c r="E220" s="62" t="n"/>
      <c r="F220" s="63" t="n"/>
      <c r="G220" s="64" t="n"/>
      <c r="H220" s="64" t="n"/>
      <c r="I220" s="64" t="n"/>
      <c r="J220" s="64" t="n"/>
      <c r="K220" s="65">
        <f>IF(NOT((COUNTA($B220:$J220)+COUNTA($M220))&gt;0),"",IFERROR(LOOKUP(2,1/(G220:J220&lt;&gt;""),G220:J220),0))</f>
        <v/>
      </c>
      <c r="L220" s="60">
        <f>IF(K220="","",IF(K220&gt;=1,"Completado",IF(K220&gt;0,"En curso","Pendiente")))</f>
        <v/>
      </c>
      <c r="M220" s="61" t="n"/>
      <c r="N220" s="66">
        <f>IF(NOT((COUNTA($B220:$J220)+COUNTA($M220))&gt;0),"",IF((IF(B220="","Macroactividad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 OK","⚠ "&amp;LEFT(IF(B220="","Macroactividad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",""),LEN(IF(B220="","Macroactividad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",""))-3)))</f>
        <v/>
      </c>
      <c r="O220" s="67">
        <f>IF(NOT((COUNTA($B220:$J220)+COUNTA($M220))&gt;0),"",IF(ISNUMBER($D220),DATE(YEAR($D220),MONTH($D220),1),IF(ISNUMBER($E220),DATE(YEAR($E220),MONTH($E220),1),MesCiclo)))</f>
        <v/>
      </c>
      <c r="P220" s="68">
        <f>IF(OR($O220="",$O220&lt;&gt;MesCiclo),"",COUNTIF($O$5:$O220,MesCiclo))</f>
        <v/>
      </c>
    </row>
    <row r="221">
      <c r="A221" s="60">
        <f>IF(NOT((COUNTA($B221:$J221)+COUNTA($M221))&gt;0),"",COUNTIFS($L$5:$L221,"?*",$O$5:$O221,$O221))</f>
        <v/>
      </c>
      <c r="B221" s="61" t="n"/>
      <c r="C221" s="61" t="n"/>
      <c r="D221" s="62" t="n"/>
      <c r="E221" s="62" t="n"/>
      <c r="F221" s="63" t="n"/>
      <c r="G221" s="64" t="n"/>
      <c r="H221" s="64" t="n"/>
      <c r="I221" s="64" t="n"/>
      <c r="J221" s="64" t="n"/>
      <c r="K221" s="65">
        <f>IF(NOT((COUNTA($B221:$J221)+COUNTA($M221))&gt;0),"",IFERROR(LOOKUP(2,1/(G221:J221&lt;&gt;""),G221:J221),0))</f>
        <v/>
      </c>
      <c r="L221" s="60">
        <f>IF(K221="","",IF(K221&gt;=1,"Completado",IF(K221&gt;0,"En curso","Pendiente")))</f>
        <v/>
      </c>
      <c r="M221" s="61" t="n"/>
      <c r="N221" s="66">
        <f>IF(NOT((COUNTA($B221:$J221)+COUNTA($M221))&gt;0),"",IF((IF(B221="","Macroactividad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 OK","⚠ "&amp;LEFT(IF(B221="","Macroactividad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",""),LEN(IF(B221="","Macroactividad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",""))-3)))</f>
        <v/>
      </c>
      <c r="O221" s="67">
        <f>IF(NOT((COUNTA($B221:$J221)+COUNTA($M221))&gt;0),"",IF(ISNUMBER($D221),DATE(YEAR($D221),MONTH($D221),1),IF(ISNUMBER($E221),DATE(YEAR($E221),MONTH($E221),1),MesCiclo)))</f>
        <v/>
      </c>
      <c r="P221" s="68">
        <f>IF(OR($O221="",$O221&lt;&gt;MesCiclo),"",COUNTIF($O$5:$O221,MesCiclo))</f>
        <v/>
      </c>
    </row>
    <row r="222">
      <c r="A222" s="60">
        <f>IF(NOT((COUNTA($B222:$J222)+COUNTA($M222))&gt;0),"",COUNTIFS($L$5:$L222,"?*",$O$5:$O222,$O222))</f>
        <v/>
      </c>
      <c r="B222" s="61" t="n"/>
      <c r="C222" s="61" t="n"/>
      <c r="D222" s="62" t="n"/>
      <c r="E222" s="62" t="n"/>
      <c r="F222" s="63" t="n"/>
      <c r="G222" s="64" t="n"/>
      <c r="H222" s="64" t="n"/>
      <c r="I222" s="64" t="n"/>
      <c r="J222" s="64" t="n"/>
      <c r="K222" s="65">
        <f>IF(NOT((COUNTA($B222:$J222)+COUNTA($M222))&gt;0),"",IFERROR(LOOKUP(2,1/(G222:J222&lt;&gt;""),G222:J222),0))</f>
        <v/>
      </c>
      <c r="L222" s="60">
        <f>IF(K222="","",IF(K222&gt;=1,"Completado",IF(K222&gt;0,"En curso","Pendiente")))</f>
        <v/>
      </c>
      <c r="M222" s="61" t="n"/>
      <c r="N222" s="66">
        <f>IF(NOT((COUNTA($B222:$J222)+COUNTA($M222))&gt;0),"",IF((IF(B222="","Macroactividad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 OK","⚠ "&amp;LEFT(IF(B222="","Macroactividad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",""),LEN(IF(B222="","Macroactividad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",""))-3)))</f>
        <v/>
      </c>
      <c r="O222" s="67">
        <f>IF(NOT((COUNTA($B222:$J222)+COUNTA($M222))&gt;0),"",IF(ISNUMBER($D222),DATE(YEAR($D222),MONTH($D222),1),IF(ISNUMBER($E222),DATE(YEAR($E222),MONTH($E222),1),MesCiclo)))</f>
        <v/>
      </c>
      <c r="P222" s="68">
        <f>IF(OR($O222="",$O222&lt;&gt;MesCiclo),"",COUNTIF($O$5:$O222,MesCiclo))</f>
        <v/>
      </c>
    </row>
    <row r="223">
      <c r="A223" s="60">
        <f>IF(NOT((COUNTA($B223:$J223)+COUNTA($M223))&gt;0),"",COUNTIFS($L$5:$L223,"?*",$O$5:$O223,$O223))</f>
        <v/>
      </c>
      <c r="B223" s="61" t="n"/>
      <c r="C223" s="61" t="n"/>
      <c r="D223" s="62" t="n"/>
      <c r="E223" s="62" t="n"/>
      <c r="F223" s="63" t="n"/>
      <c r="G223" s="64" t="n"/>
      <c r="H223" s="64" t="n"/>
      <c r="I223" s="64" t="n"/>
      <c r="J223" s="64" t="n"/>
      <c r="K223" s="65">
        <f>IF(NOT((COUNTA($B223:$J223)+COUNTA($M223))&gt;0),"",IFERROR(LOOKUP(2,1/(G223:J223&lt;&gt;""),G223:J223),0))</f>
        <v/>
      </c>
      <c r="L223" s="60">
        <f>IF(K223="","",IF(K223&gt;=1,"Completado",IF(K223&gt;0,"En curso","Pendiente")))</f>
        <v/>
      </c>
      <c r="M223" s="61" t="n"/>
      <c r="N223" s="66">
        <f>IF(NOT((COUNTA($B223:$J223)+COUNTA($M223))&gt;0),"",IF((IF(B223="","Macroactividad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 OK","⚠ "&amp;LEFT(IF(B223="","Macroactividad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",""),LEN(IF(B223="","Macroactividad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",""))-3)))</f>
        <v/>
      </c>
      <c r="O223" s="67">
        <f>IF(NOT((COUNTA($B223:$J223)+COUNTA($M223))&gt;0),"",IF(ISNUMBER($D223),DATE(YEAR($D223),MONTH($D223),1),IF(ISNUMBER($E223),DATE(YEAR($E223),MONTH($E223),1),MesCiclo)))</f>
        <v/>
      </c>
      <c r="P223" s="68">
        <f>IF(OR($O223="",$O223&lt;&gt;MesCiclo),"",COUNTIF($O$5:$O223,MesCiclo))</f>
        <v/>
      </c>
    </row>
    <row r="224">
      <c r="A224" s="60">
        <f>IF(NOT((COUNTA($B224:$J224)+COUNTA($M224))&gt;0),"",COUNTIFS($L$5:$L224,"?*",$O$5:$O224,$O224))</f>
        <v/>
      </c>
      <c r="B224" s="61" t="n"/>
      <c r="C224" s="61" t="n"/>
      <c r="D224" s="62" t="n"/>
      <c r="E224" s="62" t="n"/>
      <c r="F224" s="63" t="n"/>
      <c r="G224" s="64" t="n"/>
      <c r="H224" s="64" t="n"/>
      <c r="I224" s="64" t="n"/>
      <c r="J224" s="64" t="n"/>
      <c r="K224" s="65">
        <f>IF(NOT((COUNTA($B224:$J224)+COUNTA($M224))&gt;0),"",IFERROR(LOOKUP(2,1/(G224:J224&lt;&gt;""),G224:J224),0))</f>
        <v/>
      </c>
      <c r="L224" s="60">
        <f>IF(K224="","",IF(K224&gt;=1,"Completado",IF(K224&gt;0,"En curso","Pendiente")))</f>
        <v/>
      </c>
      <c r="M224" s="61" t="n"/>
      <c r="N224" s="66">
        <f>IF(NOT((COUNTA($B224:$J224)+COUNTA($M224))&gt;0),"",IF((IF(B224="","Macroactividad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 OK","⚠ "&amp;LEFT(IF(B224="","Macroactividad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",""),LEN(IF(B224="","Macroactividad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",""))-3)))</f>
        <v/>
      </c>
      <c r="O224" s="67">
        <f>IF(NOT((COUNTA($B224:$J224)+COUNTA($M224))&gt;0),"",IF(ISNUMBER($D224),DATE(YEAR($D224),MONTH($D224),1),IF(ISNUMBER($E224),DATE(YEAR($E224),MONTH($E224),1),MesCiclo)))</f>
        <v/>
      </c>
      <c r="P224" s="68">
        <f>IF(OR($O224="",$O224&lt;&gt;MesCiclo),"",COUNTIF($O$5:$O224,MesCiclo))</f>
        <v/>
      </c>
    </row>
    <row r="225">
      <c r="A225" s="60">
        <f>IF(NOT((COUNTA($B225:$J225)+COUNTA($M225))&gt;0),"",COUNTIFS($L$5:$L225,"?*",$O$5:$O225,$O225))</f>
        <v/>
      </c>
      <c r="B225" s="61" t="n"/>
      <c r="C225" s="61" t="n"/>
      <c r="D225" s="62" t="n"/>
      <c r="E225" s="62" t="n"/>
      <c r="F225" s="63" t="n"/>
      <c r="G225" s="64" t="n"/>
      <c r="H225" s="64" t="n"/>
      <c r="I225" s="64" t="n"/>
      <c r="J225" s="64" t="n"/>
      <c r="K225" s="65">
        <f>IF(NOT((COUNTA($B225:$J225)+COUNTA($M225))&gt;0),"",IFERROR(LOOKUP(2,1/(G225:J225&lt;&gt;""),G225:J225),0))</f>
        <v/>
      </c>
      <c r="L225" s="60">
        <f>IF(K225="","",IF(K225&gt;=1,"Completado",IF(K225&gt;0,"En curso","Pendiente")))</f>
        <v/>
      </c>
      <c r="M225" s="61" t="n"/>
      <c r="N225" s="66">
        <f>IF(NOT((COUNTA($B225:$J225)+COUNTA($M225))&gt;0),"",IF((IF(B225="","Macroactividad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 OK","⚠ "&amp;LEFT(IF(B225="","Macroactividad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",""),LEN(IF(B225="","Macroactividad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",""))-3)))</f>
        <v/>
      </c>
      <c r="O225" s="67">
        <f>IF(NOT((COUNTA($B225:$J225)+COUNTA($M225))&gt;0),"",IF(ISNUMBER($D225),DATE(YEAR($D225),MONTH($D225),1),IF(ISNUMBER($E225),DATE(YEAR($E225),MONTH($E225),1),MesCiclo)))</f>
        <v/>
      </c>
      <c r="P225" s="68">
        <f>IF(OR($O225="",$O225&lt;&gt;MesCiclo),"",COUNTIF($O$5:$O225,MesCiclo))</f>
        <v/>
      </c>
    </row>
    <row r="226">
      <c r="A226" s="60">
        <f>IF(NOT((COUNTA($B226:$J226)+COUNTA($M226))&gt;0),"",COUNTIFS($L$5:$L226,"?*",$O$5:$O226,$O226))</f>
        <v/>
      </c>
      <c r="B226" s="61" t="n"/>
      <c r="C226" s="61" t="n"/>
      <c r="D226" s="62" t="n"/>
      <c r="E226" s="62" t="n"/>
      <c r="F226" s="63" t="n"/>
      <c r="G226" s="64" t="n"/>
      <c r="H226" s="64" t="n"/>
      <c r="I226" s="64" t="n"/>
      <c r="J226" s="64" t="n"/>
      <c r="K226" s="65">
        <f>IF(NOT((COUNTA($B226:$J226)+COUNTA($M226))&gt;0),"",IFERROR(LOOKUP(2,1/(G226:J226&lt;&gt;""),G226:J226),0))</f>
        <v/>
      </c>
      <c r="L226" s="60">
        <f>IF(K226="","",IF(K226&gt;=1,"Completado",IF(K226&gt;0,"En curso","Pendiente")))</f>
        <v/>
      </c>
      <c r="M226" s="61" t="n"/>
      <c r="N226" s="66">
        <f>IF(NOT((COUNTA($B226:$J226)+COUNTA($M226))&gt;0),"",IF((IF(B226="","Macroactividad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 OK","⚠ "&amp;LEFT(IF(B226="","Macroactividad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",""),LEN(IF(B226="","Macroactividad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",""))-3)))</f>
        <v/>
      </c>
      <c r="O226" s="67">
        <f>IF(NOT((COUNTA($B226:$J226)+COUNTA($M226))&gt;0),"",IF(ISNUMBER($D226),DATE(YEAR($D226),MONTH($D226),1),IF(ISNUMBER($E226),DATE(YEAR($E226),MONTH($E226),1),MesCiclo)))</f>
        <v/>
      </c>
      <c r="P226" s="68">
        <f>IF(OR($O226="",$O226&lt;&gt;MesCiclo),"",COUNTIF($O$5:$O226,MesCiclo))</f>
        <v/>
      </c>
    </row>
    <row r="227">
      <c r="A227" s="60">
        <f>IF(NOT((COUNTA($B227:$J227)+COUNTA($M227))&gt;0),"",COUNTIFS($L$5:$L227,"?*",$O$5:$O227,$O227))</f>
        <v/>
      </c>
      <c r="B227" s="61" t="n"/>
      <c r="C227" s="61" t="n"/>
      <c r="D227" s="62" t="n"/>
      <c r="E227" s="62" t="n"/>
      <c r="F227" s="63" t="n"/>
      <c r="G227" s="64" t="n"/>
      <c r="H227" s="64" t="n"/>
      <c r="I227" s="64" t="n"/>
      <c r="J227" s="64" t="n"/>
      <c r="K227" s="65">
        <f>IF(NOT((COUNTA($B227:$J227)+COUNTA($M227))&gt;0),"",IFERROR(LOOKUP(2,1/(G227:J227&lt;&gt;""),G227:J227),0))</f>
        <v/>
      </c>
      <c r="L227" s="60">
        <f>IF(K227="","",IF(K227&gt;=1,"Completado",IF(K227&gt;0,"En curso","Pendiente")))</f>
        <v/>
      </c>
      <c r="M227" s="61" t="n"/>
      <c r="N227" s="66">
        <f>IF(NOT((COUNTA($B227:$J227)+COUNTA($M227))&gt;0),"",IF((IF(B227="","Macroactividad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 OK","⚠ "&amp;LEFT(IF(B227="","Macroactividad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",""),LEN(IF(B227="","Macroactividad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",""))-3)))</f>
        <v/>
      </c>
      <c r="O227" s="67">
        <f>IF(NOT((COUNTA($B227:$J227)+COUNTA($M227))&gt;0),"",IF(ISNUMBER($D227),DATE(YEAR($D227),MONTH($D227),1),IF(ISNUMBER($E227),DATE(YEAR($E227),MONTH($E227),1),MesCiclo)))</f>
        <v/>
      </c>
      <c r="P227" s="68">
        <f>IF(OR($O227="",$O227&lt;&gt;MesCiclo),"",COUNTIF($O$5:$O227,MesCiclo))</f>
        <v/>
      </c>
    </row>
    <row r="228">
      <c r="A228" s="60">
        <f>IF(NOT((COUNTA($B228:$J228)+COUNTA($M228))&gt;0),"",COUNTIFS($L$5:$L228,"?*",$O$5:$O228,$O228))</f>
        <v/>
      </c>
      <c r="B228" s="61" t="n"/>
      <c r="C228" s="61" t="n"/>
      <c r="D228" s="62" t="n"/>
      <c r="E228" s="62" t="n"/>
      <c r="F228" s="63" t="n"/>
      <c r="G228" s="64" t="n"/>
      <c r="H228" s="64" t="n"/>
      <c r="I228" s="64" t="n"/>
      <c r="J228" s="64" t="n"/>
      <c r="K228" s="65">
        <f>IF(NOT((COUNTA($B228:$J228)+COUNTA($M228))&gt;0),"",IFERROR(LOOKUP(2,1/(G228:J228&lt;&gt;""),G228:J228),0))</f>
        <v/>
      </c>
      <c r="L228" s="60">
        <f>IF(K228="","",IF(K228&gt;=1,"Completado",IF(K228&gt;0,"En curso","Pendiente")))</f>
        <v/>
      </c>
      <c r="M228" s="61" t="n"/>
      <c r="N228" s="66">
        <f>IF(NOT((COUNTA($B228:$J228)+COUNTA($M228))&gt;0),"",IF((IF(B228="","Macroactividad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 OK","⚠ "&amp;LEFT(IF(B228="","Macroactividad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",""),LEN(IF(B228="","Macroactividad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",""))-3)))</f>
        <v/>
      </c>
      <c r="O228" s="67">
        <f>IF(NOT((COUNTA($B228:$J228)+COUNTA($M228))&gt;0),"",IF(ISNUMBER($D228),DATE(YEAR($D228),MONTH($D228),1),IF(ISNUMBER($E228),DATE(YEAR($E228),MONTH($E228),1),MesCiclo)))</f>
        <v/>
      </c>
      <c r="P228" s="68">
        <f>IF(OR($O228="",$O228&lt;&gt;MesCiclo),"",COUNTIF($O$5:$O228,MesCiclo))</f>
        <v/>
      </c>
    </row>
    <row r="229">
      <c r="A229" s="60">
        <f>IF(NOT((COUNTA($B229:$J229)+COUNTA($M229))&gt;0),"",COUNTIFS($L$5:$L229,"?*",$O$5:$O229,$O229))</f>
        <v/>
      </c>
      <c r="B229" s="61" t="n"/>
      <c r="C229" s="61" t="n"/>
      <c r="D229" s="62" t="n"/>
      <c r="E229" s="62" t="n"/>
      <c r="F229" s="63" t="n"/>
      <c r="G229" s="64" t="n"/>
      <c r="H229" s="64" t="n"/>
      <c r="I229" s="64" t="n"/>
      <c r="J229" s="64" t="n"/>
      <c r="K229" s="65">
        <f>IF(NOT((COUNTA($B229:$J229)+COUNTA($M229))&gt;0),"",IFERROR(LOOKUP(2,1/(G229:J229&lt;&gt;""),G229:J229),0))</f>
        <v/>
      </c>
      <c r="L229" s="60">
        <f>IF(K229="","",IF(K229&gt;=1,"Completado",IF(K229&gt;0,"En curso","Pendiente")))</f>
        <v/>
      </c>
      <c r="M229" s="61" t="n"/>
      <c r="N229" s="66">
        <f>IF(NOT((COUNTA($B229:$J229)+COUNTA($M229))&gt;0),"",IF((IF(B229="","Macroactividad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 OK","⚠ "&amp;LEFT(IF(B229="","Macroactividad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",""),LEN(IF(B229="","Macroactividad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",""))-3)))</f>
        <v/>
      </c>
      <c r="O229" s="67">
        <f>IF(NOT((COUNTA($B229:$J229)+COUNTA($M229))&gt;0),"",IF(ISNUMBER($D229),DATE(YEAR($D229),MONTH($D229),1),IF(ISNUMBER($E229),DATE(YEAR($E229),MONTH($E229),1),MesCiclo)))</f>
        <v/>
      </c>
      <c r="P229" s="68">
        <f>IF(OR($O229="",$O229&lt;&gt;MesCiclo),"",COUNTIF($O$5:$O229,MesCiclo))</f>
        <v/>
      </c>
    </row>
    <row r="230">
      <c r="A230" s="60">
        <f>IF(NOT((COUNTA($B230:$J230)+COUNTA($M230))&gt;0),"",COUNTIFS($L$5:$L230,"?*",$O$5:$O230,$O230))</f>
        <v/>
      </c>
      <c r="B230" s="61" t="n"/>
      <c r="C230" s="61" t="n"/>
      <c r="D230" s="62" t="n"/>
      <c r="E230" s="62" t="n"/>
      <c r="F230" s="63" t="n"/>
      <c r="G230" s="64" t="n"/>
      <c r="H230" s="64" t="n"/>
      <c r="I230" s="64" t="n"/>
      <c r="J230" s="64" t="n"/>
      <c r="K230" s="65">
        <f>IF(NOT((COUNTA($B230:$J230)+COUNTA($M230))&gt;0),"",IFERROR(LOOKUP(2,1/(G230:J230&lt;&gt;""),G230:J230),0))</f>
        <v/>
      </c>
      <c r="L230" s="60">
        <f>IF(K230="","",IF(K230&gt;=1,"Completado",IF(K230&gt;0,"En curso","Pendiente")))</f>
        <v/>
      </c>
      <c r="M230" s="61" t="n"/>
      <c r="N230" s="66">
        <f>IF(NOT((COUNTA($B230:$J230)+COUNTA($M230))&gt;0),"",IF((IF(B230="","Macroactividad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 OK","⚠ "&amp;LEFT(IF(B230="","Macroactividad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",""),LEN(IF(B230="","Macroactividad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",""))-3)))</f>
        <v/>
      </c>
      <c r="O230" s="67">
        <f>IF(NOT((COUNTA($B230:$J230)+COUNTA($M230))&gt;0),"",IF(ISNUMBER($D230),DATE(YEAR($D230),MONTH($D230),1),IF(ISNUMBER($E230),DATE(YEAR($E230),MONTH($E230),1),MesCiclo)))</f>
        <v/>
      </c>
      <c r="P230" s="68">
        <f>IF(OR($O230="",$O230&lt;&gt;MesCiclo),"",COUNTIF($O$5:$O230,MesCiclo))</f>
        <v/>
      </c>
    </row>
    <row r="231">
      <c r="A231" s="60">
        <f>IF(NOT((COUNTA($B231:$J231)+COUNTA($M231))&gt;0),"",COUNTIFS($L$5:$L231,"?*",$O$5:$O231,$O231))</f>
        <v/>
      </c>
      <c r="B231" s="61" t="n"/>
      <c r="C231" s="61" t="n"/>
      <c r="D231" s="62" t="n"/>
      <c r="E231" s="62" t="n"/>
      <c r="F231" s="63" t="n"/>
      <c r="G231" s="64" t="n"/>
      <c r="H231" s="64" t="n"/>
      <c r="I231" s="64" t="n"/>
      <c r="J231" s="64" t="n"/>
      <c r="K231" s="65">
        <f>IF(NOT((COUNTA($B231:$J231)+COUNTA($M231))&gt;0),"",IFERROR(LOOKUP(2,1/(G231:J231&lt;&gt;""),G231:J231),0))</f>
        <v/>
      </c>
      <c r="L231" s="60">
        <f>IF(K231="","",IF(K231&gt;=1,"Completado",IF(K231&gt;0,"En curso","Pendiente")))</f>
        <v/>
      </c>
      <c r="M231" s="61" t="n"/>
      <c r="N231" s="66">
        <f>IF(NOT((COUNTA($B231:$J231)+COUNTA($M231))&gt;0),"",IF((IF(B231="","Macroactividad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 OK","⚠ "&amp;LEFT(IF(B231="","Macroactividad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",""),LEN(IF(B231="","Macroactividad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",""))-3)))</f>
        <v/>
      </c>
      <c r="O231" s="67">
        <f>IF(NOT((COUNTA($B231:$J231)+COUNTA($M231))&gt;0),"",IF(ISNUMBER($D231),DATE(YEAR($D231),MONTH($D231),1),IF(ISNUMBER($E231),DATE(YEAR($E231),MONTH($E231),1),MesCiclo)))</f>
        <v/>
      </c>
      <c r="P231" s="68">
        <f>IF(OR($O231="",$O231&lt;&gt;MesCiclo),"",COUNTIF($O$5:$O231,MesCiclo))</f>
        <v/>
      </c>
    </row>
    <row r="232">
      <c r="A232" s="60">
        <f>IF(NOT((COUNTA($B232:$J232)+COUNTA($M232))&gt;0),"",COUNTIFS($L$5:$L232,"?*",$O$5:$O232,$O232))</f>
        <v/>
      </c>
      <c r="B232" s="61" t="n"/>
      <c r="C232" s="61" t="n"/>
      <c r="D232" s="62" t="n"/>
      <c r="E232" s="62" t="n"/>
      <c r="F232" s="63" t="n"/>
      <c r="G232" s="64" t="n"/>
      <c r="H232" s="64" t="n"/>
      <c r="I232" s="64" t="n"/>
      <c r="J232" s="64" t="n"/>
      <c r="K232" s="65">
        <f>IF(NOT((COUNTA($B232:$J232)+COUNTA($M232))&gt;0),"",IFERROR(LOOKUP(2,1/(G232:J232&lt;&gt;""),G232:J232),0))</f>
        <v/>
      </c>
      <c r="L232" s="60">
        <f>IF(K232="","",IF(K232&gt;=1,"Completado",IF(K232&gt;0,"En curso","Pendiente")))</f>
        <v/>
      </c>
      <c r="M232" s="61" t="n"/>
      <c r="N232" s="66">
        <f>IF(NOT((COUNTA($B232:$J232)+COUNTA($M232))&gt;0),"",IF((IF(B232="","Macroactividad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 OK","⚠ "&amp;LEFT(IF(B232="","Macroactividad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",""),LEN(IF(B232="","Macroactividad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",""))-3)))</f>
        <v/>
      </c>
      <c r="O232" s="67">
        <f>IF(NOT((COUNTA($B232:$J232)+COUNTA($M232))&gt;0),"",IF(ISNUMBER($D232),DATE(YEAR($D232),MONTH($D232),1),IF(ISNUMBER($E232),DATE(YEAR($E232),MONTH($E232),1),MesCiclo)))</f>
        <v/>
      </c>
      <c r="P232" s="68">
        <f>IF(OR($O232="",$O232&lt;&gt;MesCiclo),"",COUNTIF($O$5:$O232,MesCiclo))</f>
        <v/>
      </c>
    </row>
    <row r="233">
      <c r="A233" s="60">
        <f>IF(NOT((COUNTA($B233:$J233)+COUNTA($M233))&gt;0),"",COUNTIFS($L$5:$L233,"?*",$O$5:$O233,$O233))</f>
        <v/>
      </c>
      <c r="B233" s="61" t="n"/>
      <c r="C233" s="61" t="n"/>
      <c r="D233" s="62" t="n"/>
      <c r="E233" s="62" t="n"/>
      <c r="F233" s="63" t="n"/>
      <c r="G233" s="64" t="n"/>
      <c r="H233" s="64" t="n"/>
      <c r="I233" s="64" t="n"/>
      <c r="J233" s="64" t="n"/>
      <c r="K233" s="65">
        <f>IF(NOT((COUNTA($B233:$J233)+COUNTA($M233))&gt;0),"",IFERROR(LOOKUP(2,1/(G233:J233&lt;&gt;""),G233:J233),0))</f>
        <v/>
      </c>
      <c r="L233" s="60">
        <f>IF(K233="","",IF(K233&gt;=1,"Completado",IF(K233&gt;0,"En curso","Pendiente")))</f>
        <v/>
      </c>
      <c r="M233" s="61" t="n"/>
      <c r="N233" s="66">
        <f>IF(NOT((COUNTA($B233:$J233)+COUNTA($M233))&gt;0),"",IF((IF(B233="","Macroactividad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 OK","⚠ "&amp;LEFT(IF(B233="","Macroactividad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",""),LEN(IF(B233="","Macroactividad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",""))-3)))</f>
        <v/>
      </c>
      <c r="O233" s="67">
        <f>IF(NOT((COUNTA($B233:$J233)+COUNTA($M233))&gt;0),"",IF(ISNUMBER($D233),DATE(YEAR($D233),MONTH($D233),1),IF(ISNUMBER($E233),DATE(YEAR($E233),MONTH($E233),1),MesCiclo)))</f>
        <v/>
      </c>
      <c r="P233" s="68">
        <f>IF(OR($O233="",$O233&lt;&gt;MesCiclo),"",COUNTIF($O$5:$O233,MesCiclo))</f>
        <v/>
      </c>
    </row>
    <row r="234">
      <c r="A234" s="60">
        <f>IF(NOT((COUNTA($B234:$J234)+COUNTA($M234))&gt;0),"",COUNTIFS($L$5:$L234,"?*",$O$5:$O234,$O234))</f>
        <v/>
      </c>
      <c r="B234" s="61" t="n"/>
      <c r="C234" s="61" t="n"/>
      <c r="D234" s="62" t="n"/>
      <c r="E234" s="62" t="n"/>
      <c r="F234" s="63" t="n"/>
      <c r="G234" s="64" t="n"/>
      <c r="H234" s="64" t="n"/>
      <c r="I234" s="64" t="n"/>
      <c r="J234" s="64" t="n"/>
      <c r="K234" s="65">
        <f>IF(NOT((COUNTA($B234:$J234)+COUNTA($M234))&gt;0),"",IFERROR(LOOKUP(2,1/(G234:J234&lt;&gt;""),G234:J234),0))</f>
        <v/>
      </c>
      <c r="L234" s="60">
        <f>IF(K234="","",IF(K234&gt;=1,"Completado",IF(K234&gt;0,"En curso","Pendiente")))</f>
        <v/>
      </c>
      <c r="M234" s="61" t="n"/>
      <c r="N234" s="66">
        <f>IF(NOT((COUNTA($B234:$J234)+COUNTA($M234))&gt;0),"",IF((IF(B234="","Macroactividad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 OK","⚠ "&amp;LEFT(IF(B234="","Macroactividad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",""),LEN(IF(B234="","Macroactividad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",""))-3)))</f>
        <v/>
      </c>
      <c r="O234" s="67">
        <f>IF(NOT((COUNTA($B234:$J234)+COUNTA($M234))&gt;0),"",IF(ISNUMBER($D234),DATE(YEAR($D234),MONTH($D234),1),IF(ISNUMBER($E234),DATE(YEAR($E234),MONTH($E234),1),MesCiclo)))</f>
        <v/>
      </c>
      <c r="P234" s="68">
        <f>IF(OR($O234="",$O234&lt;&gt;MesCiclo),"",COUNTIF($O$5:$O234,MesCiclo))</f>
        <v/>
      </c>
    </row>
    <row r="235">
      <c r="A235" s="60">
        <f>IF(NOT((COUNTA($B235:$J235)+COUNTA($M235))&gt;0),"",COUNTIFS($L$5:$L235,"?*",$O$5:$O235,$O235))</f>
        <v/>
      </c>
      <c r="B235" s="61" t="n"/>
      <c r="C235" s="61" t="n"/>
      <c r="D235" s="62" t="n"/>
      <c r="E235" s="62" t="n"/>
      <c r="F235" s="63" t="n"/>
      <c r="G235" s="64" t="n"/>
      <c r="H235" s="64" t="n"/>
      <c r="I235" s="64" t="n"/>
      <c r="J235" s="64" t="n"/>
      <c r="K235" s="65">
        <f>IF(NOT((COUNTA($B235:$J235)+COUNTA($M235))&gt;0),"",IFERROR(LOOKUP(2,1/(G235:J235&lt;&gt;""),G235:J235),0))</f>
        <v/>
      </c>
      <c r="L235" s="60">
        <f>IF(K235="","",IF(K235&gt;=1,"Completado",IF(K235&gt;0,"En curso","Pendiente")))</f>
        <v/>
      </c>
      <c r="M235" s="61" t="n"/>
      <c r="N235" s="66">
        <f>IF(NOT((COUNTA($B235:$J235)+COUNTA($M235))&gt;0),"",IF((IF(B235="","Macroactividad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 OK","⚠ "&amp;LEFT(IF(B235="","Macroactividad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",""),LEN(IF(B235="","Macroactividad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",""))-3)))</f>
        <v/>
      </c>
      <c r="O235" s="67">
        <f>IF(NOT((COUNTA($B235:$J235)+COUNTA($M235))&gt;0),"",IF(ISNUMBER($D235),DATE(YEAR($D235),MONTH($D235),1),IF(ISNUMBER($E235),DATE(YEAR($E235),MONTH($E235),1),MesCiclo)))</f>
        <v/>
      </c>
      <c r="P235" s="68">
        <f>IF(OR($O235="",$O235&lt;&gt;MesCiclo),"",COUNTIF($O$5:$O235,MesCiclo))</f>
        <v/>
      </c>
    </row>
    <row r="236">
      <c r="A236" s="60">
        <f>IF(NOT((COUNTA($B236:$J236)+COUNTA($M236))&gt;0),"",COUNTIFS($L$5:$L236,"?*",$O$5:$O236,$O236))</f>
        <v/>
      </c>
      <c r="B236" s="61" t="n"/>
      <c r="C236" s="61" t="n"/>
      <c r="D236" s="62" t="n"/>
      <c r="E236" s="62" t="n"/>
      <c r="F236" s="63" t="n"/>
      <c r="G236" s="64" t="n"/>
      <c r="H236" s="64" t="n"/>
      <c r="I236" s="64" t="n"/>
      <c r="J236" s="64" t="n"/>
      <c r="K236" s="65">
        <f>IF(NOT((COUNTA($B236:$J236)+COUNTA($M236))&gt;0),"",IFERROR(LOOKUP(2,1/(G236:J236&lt;&gt;""),G236:J236),0))</f>
        <v/>
      </c>
      <c r="L236" s="60">
        <f>IF(K236="","",IF(K236&gt;=1,"Completado",IF(K236&gt;0,"En curso","Pendiente")))</f>
        <v/>
      </c>
      <c r="M236" s="61" t="n"/>
      <c r="N236" s="66">
        <f>IF(NOT((COUNTA($B236:$J236)+COUNTA($M236))&gt;0),"",IF((IF(B236="","Macroactividad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 OK","⚠ "&amp;LEFT(IF(B236="","Macroactividad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",""),LEN(IF(B236="","Macroactividad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",""))-3)))</f>
        <v/>
      </c>
      <c r="O236" s="67">
        <f>IF(NOT((COUNTA($B236:$J236)+COUNTA($M236))&gt;0),"",IF(ISNUMBER($D236),DATE(YEAR($D236),MONTH($D236),1),IF(ISNUMBER($E236),DATE(YEAR($E236),MONTH($E236),1),MesCiclo)))</f>
        <v/>
      </c>
      <c r="P236" s="68">
        <f>IF(OR($O236="",$O236&lt;&gt;MesCiclo),"",COUNTIF($O$5:$O236,MesCiclo))</f>
        <v/>
      </c>
    </row>
    <row r="237">
      <c r="A237" s="60">
        <f>IF(NOT((COUNTA($B237:$J237)+COUNTA($M237))&gt;0),"",COUNTIFS($L$5:$L237,"?*",$O$5:$O237,$O237))</f>
        <v/>
      </c>
      <c r="B237" s="61" t="n"/>
      <c r="C237" s="61" t="n"/>
      <c r="D237" s="62" t="n"/>
      <c r="E237" s="62" t="n"/>
      <c r="F237" s="63" t="n"/>
      <c r="G237" s="64" t="n"/>
      <c r="H237" s="64" t="n"/>
      <c r="I237" s="64" t="n"/>
      <c r="J237" s="64" t="n"/>
      <c r="K237" s="65">
        <f>IF(NOT((COUNTA($B237:$J237)+COUNTA($M237))&gt;0),"",IFERROR(LOOKUP(2,1/(G237:J237&lt;&gt;""),G237:J237),0))</f>
        <v/>
      </c>
      <c r="L237" s="60">
        <f>IF(K237="","",IF(K237&gt;=1,"Completado",IF(K237&gt;0,"En curso","Pendiente")))</f>
        <v/>
      </c>
      <c r="M237" s="61" t="n"/>
      <c r="N237" s="66">
        <f>IF(NOT((COUNTA($B237:$J237)+COUNTA($M237))&gt;0),"",IF((IF(B237="","Macroactividad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 OK","⚠ "&amp;LEFT(IF(B237="","Macroactividad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",""),LEN(IF(B237="","Macroactividad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",""))-3)))</f>
        <v/>
      </c>
      <c r="O237" s="67">
        <f>IF(NOT((COUNTA($B237:$J237)+COUNTA($M237))&gt;0),"",IF(ISNUMBER($D237),DATE(YEAR($D237),MONTH($D237),1),IF(ISNUMBER($E237),DATE(YEAR($E237),MONTH($E237),1),MesCiclo)))</f>
        <v/>
      </c>
      <c r="P237" s="68">
        <f>IF(OR($O237="",$O237&lt;&gt;MesCiclo),"",COUNTIF($O$5:$O237,MesCiclo))</f>
        <v/>
      </c>
    </row>
    <row r="238">
      <c r="A238" s="60">
        <f>IF(NOT((COUNTA($B238:$J238)+COUNTA($M238))&gt;0),"",COUNTIFS($L$5:$L238,"?*",$O$5:$O238,$O238))</f>
        <v/>
      </c>
      <c r="B238" s="61" t="n"/>
      <c r="C238" s="61" t="n"/>
      <c r="D238" s="62" t="n"/>
      <c r="E238" s="62" t="n"/>
      <c r="F238" s="63" t="n"/>
      <c r="G238" s="64" t="n"/>
      <c r="H238" s="64" t="n"/>
      <c r="I238" s="64" t="n"/>
      <c r="J238" s="64" t="n"/>
      <c r="K238" s="65">
        <f>IF(NOT((COUNTA($B238:$J238)+COUNTA($M238))&gt;0),"",IFERROR(LOOKUP(2,1/(G238:J238&lt;&gt;""),G238:J238),0))</f>
        <v/>
      </c>
      <c r="L238" s="60">
        <f>IF(K238="","",IF(K238&gt;=1,"Completado",IF(K238&gt;0,"En curso","Pendiente")))</f>
        <v/>
      </c>
      <c r="M238" s="61" t="n"/>
      <c r="N238" s="66">
        <f>IF(NOT((COUNTA($B238:$J238)+COUNTA($M238))&gt;0),"",IF((IF(B238="","Macroactividad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 OK","⚠ "&amp;LEFT(IF(B238="","Macroactividad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",""),LEN(IF(B238="","Macroactividad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",""))-3)))</f>
        <v/>
      </c>
      <c r="O238" s="67">
        <f>IF(NOT((COUNTA($B238:$J238)+COUNTA($M238))&gt;0),"",IF(ISNUMBER($D238),DATE(YEAR($D238),MONTH($D238),1),IF(ISNUMBER($E238),DATE(YEAR($E238),MONTH($E238),1),MesCiclo)))</f>
        <v/>
      </c>
      <c r="P238" s="68">
        <f>IF(OR($O238="",$O238&lt;&gt;MesCiclo),"",COUNTIF($O$5:$O238,MesCiclo))</f>
        <v/>
      </c>
    </row>
    <row r="239">
      <c r="A239" s="60">
        <f>IF(NOT((COUNTA($B239:$J239)+COUNTA($M239))&gt;0),"",COUNTIFS($L$5:$L239,"?*",$O$5:$O239,$O239))</f>
        <v/>
      </c>
      <c r="B239" s="61" t="n"/>
      <c r="C239" s="61" t="n"/>
      <c r="D239" s="62" t="n"/>
      <c r="E239" s="62" t="n"/>
      <c r="F239" s="63" t="n"/>
      <c r="G239" s="64" t="n"/>
      <c r="H239" s="64" t="n"/>
      <c r="I239" s="64" t="n"/>
      <c r="J239" s="64" t="n"/>
      <c r="K239" s="65">
        <f>IF(NOT((COUNTA($B239:$J239)+COUNTA($M239))&gt;0),"",IFERROR(LOOKUP(2,1/(G239:J239&lt;&gt;""),G239:J239),0))</f>
        <v/>
      </c>
      <c r="L239" s="60">
        <f>IF(K239="","",IF(K239&gt;=1,"Completado",IF(K239&gt;0,"En curso","Pendiente")))</f>
        <v/>
      </c>
      <c r="M239" s="61" t="n"/>
      <c r="N239" s="66">
        <f>IF(NOT((COUNTA($B239:$J239)+COUNTA($M239))&gt;0),"",IF((IF(B239="","Macroactividad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 OK","⚠ "&amp;LEFT(IF(B239="","Macroactividad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",""),LEN(IF(B239="","Macroactividad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",""))-3)))</f>
        <v/>
      </c>
      <c r="O239" s="67">
        <f>IF(NOT((COUNTA($B239:$J239)+COUNTA($M239))&gt;0),"",IF(ISNUMBER($D239),DATE(YEAR($D239),MONTH($D239),1),IF(ISNUMBER($E239),DATE(YEAR($E239),MONTH($E239),1),MesCiclo)))</f>
        <v/>
      </c>
      <c r="P239" s="68">
        <f>IF(OR($O239="",$O239&lt;&gt;MesCiclo),"",COUNTIF($O$5:$O239,MesCiclo))</f>
        <v/>
      </c>
    </row>
    <row r="240">
      <c r="A240" s="60">
        <f>IF(NOT((COUNTA($B240:$J240)+COUNTA($M240))&gt;0),"",COUNTIFS($L$5:$L240,"?*",$O$5:$O240,$O240))</f>
        <v/>
      </c>
      <c r="B240" s="61" t="n"/>
      <c r="C240" s="61" t="n"/>
      <c r="D240" s="62" t="n"/>
      <c r="E240" s="62" t="n"/>
      <c r="F240" s="63" t="n"/>
      <c r="G240" s="64" t="n"/>
      <c r="H240" s="64" t="n"/>
      <c r="I240" s="64" t="n"/>
      <c r="J240" s="64" t="n"/>
      <c r="K240" s="65">
        <f>IF(NOT((COUNTA($B240:$J240)+COUNTA($M240))&gt;0),"",IFERROR(LOOKUP(2,1/(G240:J240&lt;&gt;""),G240:J240),0))</f>
        <v/>
      </c>
      <c r="L240" s="60">
        <f>IF(K240="","",IF(K240&gt;=1,"Completado",IF(K240&gt;0,"En curso","Pendiente")))</f>
        <v/>
      </c>
      <c r="M240" s="61" t="n"/>
      <c r="N240" s="66">
        <f>IF(NOT((COUNTA($B240:$J240)+COUNTA($M240))&gt;0),"",IF((IF(B240="","Macroactividad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 OK","⚠ "&amp;LEFT(IF(B240="","Macroactividad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",""),LEN(IF(B240="","Macroactividad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",""))-3)))</f>
        <v/>
      </c>
      <c r="O240" s="67">
        <f>IF(NOT((COUNTA($B240:$J240)+COUNTA($M240))&gt;0),"",IF(ISNUMBER($D240),DATE(YEAR($D240),MONTH($D240),1),IF(ISNUMBER($E240),DATE(YEAR($E240),MONTH($E240),1),MesCiclo)))</f>
        <v/>
      </c>
      <c r="P240" s="68">
        <f>IF(OR($O240="",$O240&lt;&gt;MesCiclo),"",COUNTIF($O$5:$O240,MesCiclo))</f>
        <v/>
      </c>
    </row>
    <row r="241">
      <c r="A241" s="60">
        <f>IF(NOT((COUNTA($B241:$J241)+COUNTA($M241))&gt;0),"",COUNTIFS($L$5:$L241,"?*",$O$5:$O241,$O241))</f>
        <v/>
      </c>
      <c r="B241" s="61" t="n"/>
      <c r="C241" s="61" t="n"/>
      <c r="D241" s="62" t="n"/>
      <c r="E241" s="62" t="n"/>
      <c r="F241" s="63" t="n"/>
      <c r="G241" s="64" t="n"/>
      <c r="H241" s="64" t="n"/>
      <c r="I241" s="64" t="n"/>
      <c r="J241" s="64" t="n"/>
      <c r="K241" s="65">
        <f>IF(NOT((COUNTA($B241:$J241)+COUNTA($M241))&gt;0),"",IFERROR(LOOKUP(2,1/(G241:J241&lt;&gt;""),G241:J241),0))</f>
        <v/>
      </c>
      <c r="L241" s="60">
        <f>IF(K241="","",IF(K241&gt;=1,"Completado",IF(K241&gt;0,"En curso","Pendiente")))</f>
        <v/>
      </c>
      <c r="M241" s="61" t="n"/>
      <c r="N241" s="66">
        <f>IF(NOT((COUNTA($B241:$J241)+COUNTA($M241))&gt;0),"",IF((IF(B241="","Macroactividad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 OK","⚠ "&amp;LEFT(IF(B241="","Macroactividad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",""),LEN(IF(B241="","Macroactividad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",""))-3)))</f>
        <v/>
      </c>
      <c r="O241" s="67">
        <f>IF(NOT((COUNTA($B241:$J241)+COUNTA($M241))&gt;0),"",IF(ISNUMBER($D241),DATE(YEAR($D241),MONTH($D241),1),IF(ISNUMBER($E241),DATE(YEAR($E241),MONTH($E241),1),MesCiclo)))</f>
        <v/>
      </c>
      <c r="P241" s="68">
        <f>IF(OR($O241="",$O241&lt;&gt;MesCiclo),"",COUNTIF($O$5:$O241,MesCiclo))</f>
        <v/>
      </c>
    </row>
    <row r="242">
      <c r="A242" s="60">
        <f>IF(NOT((COUNTA($B242:$J242)+COUNTA($M242))&gt;0),"",COUNTIFS($L$5:$L242,"?*",$O$5:$O242,$O242))</f>
        <v/>
      </c>
      <c r="B242" s="61" t="n"/>
      <c r="C242" s="61" t="n"/>
      <c r="D242" s="62" t="n"/>
      <c r="E242" s="62" t="n"/>
      <c r="F242" s="63" t="n"/>
      <c r="G242" s="64" t="n"/>
      <c r="H242" s="64" t="n"/>
      <c r="I242" s="64" t="n"/>
      <c r="J242" s="64" t="n"/>
      <c r="K242" s="65">
        <f>IF(NOT((COUNTA($B242:$J242)+COUNTA($M242))&gt;0),"",IFERROR(LOOKUP(2,1/(G242:J242&lt;&gt;""),G242:J242),0))</f>
        <v/>
      </c>
      <c r="L242" s="60">
        <f>IF(K242="","",IF(K242&gt;=1,"Completado",IF(K242&gt;0,"En curso","Pendiente")))</f>
        <v/>
      </c>
      <c r="M242" s="61" t="n"/>
      <c r="N242" s="66">
        <f>IF(NOT((COUNTA($B242:$J242)+COUNTA($M242))&gt;0),"",IF((IF(B242="","Macroactividad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 OK","⚠ "&amp;LEFT(IF(B242="","Macroactividad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",""),LEN(IF(B242="","Macroactividad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",""))-3)))</f>
        <v/>
      </c>
      <c r="O242" s="67">
        <f>IF(NOT((COUNTA($B242:$J242)+COUNTA($M242))&gt;0),"",IF(ISNUMBER($D242),DATE(YEAR($D242),MONTH($D242),1),IF(ISNUMBER($E242),DATE(YEAR($E242),MONTH($E242),1),MesCiclo)))</f>
        <v/>
      </c>
      <c r="P242" s="68">
        <f>IF(OR($O242="",$O242&lt;&gt;MesCiclo),"",COUNTIF($O$5:$O242,MesCiclo))</f>
        <v/>
      </c>
    </row>
    <row r="243">
      <c r="A243" s="60">
        <f>IF(NOT((COUNTA($B243:$J243)+COUNTA($M243))&gt;0),"",COUNTIFS($L$5:$L243,"?*",$O$5:$O243,$O243))</f>
        <v/>
      </c>
      <c r="B243" s="61" t="n"/>
      <c r="C243" s="61" t="n"/>
      <c r="D243" s="62" t="n"/>
      <c r="E243" s="62" t="n"/>
      <c r="F243" s="63" t="n"/>
      <c r="G243" s="64" t="n"/>
      <c r="H243" s="64" t="n"/>
      <c r="I243" s="64" t="n"/>
      <c r="J243" s="64" t="n"/>
      <c r="K243" s="65">
        <f>IF(NOT((COUNTA($B243:$J243)+COUNTA($M243))&gt;0),"",IFERROR(LOOKUP(2,1/(G243:J243&lt;&gt;""),G243:J243),0))</f>
        <v/>
      </c>
      <c r="L243" s="60">
        <f>IF(K243="","",IF(K243&gt;=1,"Completado",IF(K243&gt;0,"En curso","Pendiente")))</f>
        <v/>
      </c>
      <c r="M243" s="61" t="n"/>
      <c r="N243" s="66">
        <f>IF(NOT((COUNTA($B243:$J243)+COUNTA($M243))&gt;0),"",IF((IF(B243="","Macroactividad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 OK","⚠ "&amp;LEFT(IF(B243="","Macroactividad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",""),LEN(IF(B243="","Macroactividad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",""))-3)))</f>
        <v/>
      </c>
      <c r="O243" s="67">
        <f>IF(NOT((COUNTA($B243:$J243)+COUNTA($M243))&gt;0),"",IF(ISNUMBER($D243),DATE(YEAR($D243),MONTH($D243),1),IF(ISNUMBER($E243),DATE(YEAR($E243),MONTH($E243),1),MesCiclo)))</f>
        <v/>
      </c>
      <c r="P243" s="68">
        <f>IF(OR($O243="",$O243&lt;&gt;MesCiclo),"",COUNTIF($O$5:$O243,MesCiclo))</f>
        <v/>
      </c>
    </row>
    <row r="244">
      <c r="A244" s="60">
        <f>IF(NOT((COUNTA($B244:$J244)+COUNTA($M244))&gt;0),"",COUNTIFS($L$5:$L244,"?*",$O$5:$O244,$O244))</f>
        <v/>
      </c>
      <c r="B244" s="61" t="n"/>
      <c r="C244" s="61" t="n"/>
      <c r="D244" s="62" t="n"/>
      <c r="E244" s="62" t="n"/>
      <c r="F244" s="63" t="n"/>
      <c r="G244" s="64" t="n"/>
      <c r="H244" s="64" t="n"/>
      <c r="I244" s="64" t="n"/>
      <c r="J244" s="64" t="n"/>
      <c r="K244" s="65">
        <f>IF(NOT((COUNTA($B244:$J244)+COUNTA($M244))&gt;0),"",IFERROR(LOOKUP(2,1/(G244:J244&lt;&gt;""),G244:J244),0))</f>
        <v/>
      </c>
      <c r="L244" s="60">
        <f>IF(K244="","",IF(K244&gt;=1,"Completado",IF(K244&gt;0,"En curso","Pendiente")))</f>
        <v/>
      </c>
      <c r="M244" s="61" t="n"/>
      <c r="N244" s="66">
        <f>IF(NOT((COUNTA($B244:$J244)+COUNTA($M244))&gt;0),"",IF((IF(B244="","Macroactividad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 OK","⚠ "&amp;LEFT(IF(B244="","Macroactividad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",""),LEN(IF(B244="","Macroactividad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",""))-3)))</f>
        <v/>
      </c>
      <c r="O244" s="67">
        <f>IF(NOT((COUNTA($B244:$J244)+COUNTA($M244))&gt;0),"",IF(ISNUMBER($D244),DATE(YEAR($D244),MONTH($D244),1),IF(ISNUMBER($E244),DATE(YEAR($E244),MONTH($E244),1),MesCiclo)))</f>
        <v/>
      </c>
      <c r="P244" s="68">
        <f>IF(OR($O244="",$O244&lt;&gt;MesCiclo),"",COUNTIF($O$5:$O244,MesCiclo))</f>
        <v/>
      </c>
    </row>
    <row r="245">
      <c r="A245" s="60">
        <f>IF(NOT((COUNTA($B245:$J245)+COUNTA($M245))&gt;0),"",COUNTIFS($L$5:$L245,"?*",$O$5:$O245,$O245))</f>
        <v/>
      </c>
      <c r="B245" s="61" t="n"/>
      <c r="C245" s="61" t="n"/>
      <c r="D245" s="62" t="n"/>
      <c r="E245" s="62" t="n"/>
      <c r="F245" s="63" t="n"/>
      <c r="G245" s="64" t="n"/>
      <c r="H245" s="64" t="n"/>
      <c r="I245" s="64" t="n"/>
      <c r="J245" s="64" t="n"/>
      <c r="K245" s="65">
        <f>IF(NOT((COUNTA($B245:$J245)+COUNTA($M245))&gt;0),"",IFERROR(LOOKUP(2,1/(G245:J245&lt;&gt;""),G245:J245),0))</f>
        <v/>
      </c>
      <c r="L245" s="60">
        <f>IF(K245="","",IF(K245&gt;=1,"Completado",IF(K245&gt;0,"En curso","Pendiente")))</f>
        <v/>
      </c>
      <c r="M245" s="61" t="n"/>
      <c r="N245" s="66">
        <f>IF(NOT((COUNTA($B245:$J245)+COUNTA($M245))&gt;0),"",IF((IF(B245="","Macroactividad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 OK","⚠ "&amp;LEFT(IF(B245="","Macroactividad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",""),LEN(IF(B245="","Macroactividad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",""))-3)))</f>
        <v/>
      </c>
      <c r="O245" s="67">
        <f>IF(NOT((COUNTA($B245:$J245)+COUNTA($M245))&gt;0),"",IF(ISNUMBER($D245),DATE(YEAR($D245),MONTH($D245),1),IF(ISNUMBER($E245),DATE(YEAR($E245),MONTH($E245),1),MesCiclo)))</f>
        <v/>
      </c>
      <c r="P245" s="68">
        <f>IF(OR($O245="",$O245&lt;&gt;MesCiclo),"",COUNTIF($O$5:$O245,MesCiclo))</f>
        <v/>
      </c>
    </row>
    <row r="246">
      <c r="A246" s="60">
        <f>IF(NOT((COUNTA($B246:$J246)+COUNTA($M246))&gt;0),"",COUNTIFS($L$5:$L246,"?*",$O$5:$O246,$O246))</f>
        <v/>
      </c>
      <c r="B246" s="61" t="n"/>
      <c r="C246" s="61" t="n"/>
      <c r="D246" s="62" t="n"/>
      <c r="E246" s="62" t="n"/>
      <c r="F246" s="63" t="n"/>
      <c r="G246" s="64" t="n"/>
      <c r="H246" s="64" t="n"/>
      <c r="I246" s="64" t="n"/>
      <c r="J246" s="64" t="n"/>
      <c r="K246" s="65">
        <f>IF(NOT((COUNTA($B246:$J246)+COUNTA($M246))&gt;0),"",IFERROR(LOOKUP(2,1/(G246:J246&lt;&gt;""),G246:J246),0))</f>
        <v/>
      </c>
      <c r="L246" s="60">
        <f>IF(K246="","",IF(K246&gt;=1,"Completado",IF(K246&gt;0,"En curso","Pendiente")))</f>
        <v/>
      </c>
      <c r="M246" s="61" t="n"/>
      <c r="N246" s="66">
        <f>IF(NOT((COUNTA($B246:$J246)+COUNTA($M246))&gt;0),"",IF((IF(B246="","Macroactividad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 OK","⚠ "&amp;LEFT(IF(B246="","Macroactividad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",""),LEN(IF(B246="","Macroactividad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",""))-3)))</f>
        <v/>
      </c>
      <c r="O246" s="67">
        <f>IF(NOT((COUNTA($B246:$J246)+COUNTA($M246))&gt;0),"",IF(ISNUMBER($D246),DATE(YEAR($D246),MONTH($D246),1),IF(ISNUMBER($E246),DATE(YEAR($E246),MONTH($E246),1),MesCiclo)))</f>
        <v/>
      </c>
      <c r="P246" s="68">
        <f>IF(OR($O246="",$O246&lt;&gt;MesCiclo),"",COUNTIF($O$5:$O246,MesCiclo))</f>
        <v/>
      </c>
    </row>
    <row r="247">
      <c r="A247" s="60">
        <f>IF(NOT((COUNTA($B247:$J247)+COUNTA($M247))&gt;0),"",COUNTIFS($L$5:$L247,"?*",$O$5:$O247,$O247))</f>
        <v/>
      </c>
      <c r="B247" s="61" t="n"/>
      <c r="C247" s="61" t="n"/>
      <c r="D247" s="62" t="n"/>
      <c r="E247" s="62" t="n"/>
      <c r="F247" s="63" t="n"/>
      <c r="G247" s="64" t="n"/>
      <c r="H247" s="64" t="n"/>
      <c r="I247" s="64" t="n"/>
      <c r="J247" s="64" t="n"/>
      <c r="K247" s="65">
        <f>IF(NOT((COUNTA($B247:$J247)+COUNTA($M247))&gt;0),"",IFERROR(LOOKUP(2,1/(G247:J247&lt;&gt;""),G247:J247),0))</f>
        <v/>
      </c>
      <c r="L247" s="60">
        <f>IF(K247="","",IF(K247&gt;=1,"Completado",IF(K247&gt;0,"En curso","Pendiente")))</f>
        <v/>
      </c>
      <c r="M247" s="61" t="n"/>
      <c r="N247" s="66">
        <f>IF(NOT((COUNTA($B247:$J247)+COUNTA($M247))&gt;0),"",IF((IF(B247="","Macroactividad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 OK","⚠ "&amp;LEFT(IF(B247="","Macroactividad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",""),LEN(IF(B247="","Macroactividad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",""))-3)))</f>
        <v/>
      </c>
      <c r="O247" s="67">
        <f>IF(NOT((COUNTA($B247:$J247)+COUNTA($M247))&gt;0),"",IF(ISNUMBER($D247),DATE(YEAR($D247),MONTH($D247),1),IF(ISNUMBER($E247),DATE(YEAR($E247),MONTH($E247),1),MesCiclo)))</f>
        <v/>
      </c>
      <c r="P247" s="68">
        <f>IF(OR($O247="",$O247&lt;&gt;MesCiclo),"",COUNTIF($O$5:$O247,MesCiclo))</f>
        <v/>
      </c>
    </row>
    <row r="248">
      <c r="A248" s="60">
        <f>IF(NOT((COUNTA($B248:$J248)+COUNTA($M248))&gt;0),"",COUNTIFS($L$5:$L248,"?*",$O$5:$O248,$O248))</f>
        <v/>
      </c>
      <c r="B248" s="61" t="n"/>
      <c r="C248" s="61" t="n"/>
      <c r="D248" s="62" t="n"/>
      <c r="E248" s="62" t="n"/>
      <c r="F248" s="63" t="n"/>
      <c r="G248" s="64" t="n"/>
      <c r="H248" s="64" t="n"/>
      <c r="I248" s="64" t="n"/>
      <c r="J248" s="64" t="n"/>
      <c r="K248" s="65">
        <f>IF(NOT((COUNTA($B248:$J248)+COUNTA($M248))&gt;0),"",IFERROR(LOOKUP(2,1/(G248:J248&lt;&gt;""),G248:J248),0))</f>
        <v/>
      </c>
      <c r="L248" s="60">
        <f>IF(K248="","",IF(K248&gt;=1,"Completado",IF(K248&gt;0,"En curso","Pendiente")))</f>
        <v/>
      </c>
      <c r="M248" s="61" t="n"/>
      <c r="N248" s="66">
        <f>IF(NOT((COUNTA($B248:$J248)+COUNTA($M248))&gt;0),"",IF((IF(B248="","Macroactividad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 OK","⚠ "&amp;LEFT(IF(B248="","Macroactividad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",""),LEN(IF(B248="","Macroactividad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",""))-3)))</f>
        <v/>
      </c>
      <c r="O248" s="67">
        <f>IF(NOT((COUNTA($B248:$J248)+COUNTA($M248))&gt;0),"",IF(ISNUMBER($D248),DATE(YEAR($D248),MONTH($D248),1),IF(ISNUMBER($E248),DATE(YEAR($E248),MONTH($E248),1),MesCiclo)))</f>
        <v/>
      </c>
      <c r="P248" s="68">
        <f>IF(OR($O248="",$O248&lt;&gt;MesCiclo),"",COUNTIF($O$5:$O248,MesCiclo))</f>
        <v/>
      </c>
    </row>
    <row r="249">
      <c r="A249" s="60">
        <f>IF(NOT((COUNTA($B249:$J249)+COUNTA($M249))&gt;0),"",COUNTIFS($L$5:$L249,"?*",$O$5:$O249,$O249))</f>
        <v/>
      </c>
      <c r="B249" s="61" t="n"/>
      <c r="C249" s="61" t="n"/>
      <c r="D249" s="62" t="n"/>
      <c r="E249" s="62" t="n"/>
      <c r="F249" s="63" t="n"/>
      <c r="G249" s="64" t="n"/>
      <c r="H249" s="64" t="n"/>
      <c r="I249" s="64" t="n"/>
      <c r="J249" s="64" t="n"/>
      <c r="K249" s="65">
        <f>IF(NOT((COUNTA($B249:$J249)+COUNTA($M249))&gt;0),"",IFERROR(LOOKUP(2,1/(G249:J249&lt;&gt;""),G249:J249),0))</f>
        <v/>
      </c>
      <c r="L249" s="60">
        <f>IF(K249="","",IF(K249&gt;=1,"Completado",IF(K249&gt;0,"En curso","Pendiente")))</f>
        <v/>
      </c>
      <c r="M249" s="61" t="n"/>
      <c r="N249" s="66">
        <f>IF(NOT((COUNTA($B249:$J249)+COUNTA($M249))&gt;0),"",IF((IF(B249="","Macroactividad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 OK","⚠ "&amp;LEFT(IF(B249="","Macroactividad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",""),LEN(IF(B249="","Macroactividad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",""))-3)))</f>
        <v/>
      </c>
      <c r="O249" s="67">
        <f>IF(NOT((COUNTA($B249:$J249)+COUNTA($M249))&gt;0),"",IF(ISNUMBER($D249),DATE(YEAR($D249),MONTH($D249),1),IF(ISNUMBER($E249),DATE(YEAR($E249),MONTH($E249),1),MesCiclo)))</f>
        <v/>
      </c>
      <c r="P249" s="68">
        <f>IF(OR($O249="",$O249&lt;&gt;MesCiclo),"",COUNTIF($O$5:$O249,MesCiclo))</f>
        <v/>
      </c>
    </row>
    <row r="250">
      <c r="A250" s="60">
        <f>IF(NOT((COUNTA($B250:$J250)+COUNTA($M250))&gt;0),"",COUNTIFS($L$5:$L250,"?*",$O$5:$O250,$O250))</f>
        <v/>
      </c>
      <c r="B250" s="61" t="n"/>
      <c r="C250" s="61" t="n"/>
      <c r="D250" s="62" t="n"/>
      <c r="E250" s="62" t="n"/>
      <c r="F250" s="63" t="n"/>
      <c r="G250" s="64" t="n"/>
      <c r="H250" s="64" t="n"/>
      <c r="I250" s="64" t="n"/>
      <c r="J250" s="64" t="n"/>
      <c r="K250" s="65">
        <f>IF(NOT((COUNTA($B250:$J250)+COUNTA($M250))&gt;0),"",IFERROR(LOOKUP(2,1/(G250:J250&lt;&gt;""),G250:J250),0))</f>
        <v/>
      </c>
      <c r="L250" s="60">
        <f>IF(K250="","",IF(K250&gt;=1,"Completado",IF(K250&gt;0,"En curso","Pendiente")))</f>
        <v/>
      </c>
      <c r="M250" s="61" t="n"/>
      <c r="N250" s="66">
        <f>IF(NOT((COUNTA($B250:$J250)+COUNTA($M250))&gt;0),"",IF((IF(B250="","Macroactividad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 OK","⚠ "&amp;LEFT(IF(B250="","Macroactividad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",""),LEN(IF(B250="","Macroactividad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",""))-3)))</f>
        <v/>
      </c>
      <c r="O250" s="67">
        <f>IF(NOT((COUNTA($B250:$J250)+COUNTA($M250))&gt;0),"",IF(ISNUMBER($D250),DATE(YEAR($D250),MONTH($D250),1),IF(ISNUMBER($E250),DATE(YEAR($E250),MONTH($E250),1),MesCiclo)))</f>
        <v/>
      </c>
      <c r="P250" s="68">
        <f>IF(OR($O250="",$O250&lt;&gt;MesCiclo),"",COUNTIF($O$5:$O250,MesCiclo))</f>
        <v/>
      </c>
    </row>
    <row r="251">
      <c r="A251" s="60">
        <f>IF(NOT((COUNTA($B251:$J251)+COUNTA($M251))&gt;0),"",COUNTIFS($L$5:$L251,"?*",$O$5:$O251,$O251))</f>
        <v/>
      </c>
      <c r="B251" s="61" t="n"/>
      <c r="C251" s="61" t="n"/>
      <c r="D251" s="62" t="n"/>
      <c r="E251" s="62" t="n"/>
      <c r="F251" s="63" t="n"/>
      <c r="G251" s="64" t="n"/>
      <c r="H251" s="64" t="n"/>
      <c r="I251" s="64" t="n"/>
      <c r="J251" s="64" t="n"/>
      <c r="K251" s="65">
        <f>IF(NOT((COUNTA($B251:$J251)+COUNTA($M251))&gt;0),"",IFERROR(LOOKUP(2,1/(G251:J251&lt;&gt;""),G251:J251),0))</f>
        <v/>
      </c>
      <c r="L251" s="60">
        <f>IF(K251="","",IF(K251&gt;=1,"Completado",IF(K251&gt;0,"En curso","Pendiente")))</f>
        <v/>
      </c>
      <c r="M251" s="61" t="n"/>
      <c r="N251" s="66">
        <f>IF(NOT((COUNTA($B251:$J251)+COUNTA($M251))&gt;0),"",IF((IF(B251="","Macroactividad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 OK","⚠ "&amp;LEFT(IF(B251="","Macroactividad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",""),LEN(IF(B251="","Macroactividad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",""))-3)))</f>
        <v/>
      </c>
      <c r="O251" s="67">
        <f>IF(NOT((COUNTA($B251:$J251)+COUNTA($M251))&gt;0),"",IF(ISNUMBER($D251),DATE(YEAR($D251),MONTH($D251),1),IF(ISNUMBER($E251),DATE(YEAR($E251),MONTH($E251),1),MesCiclo)))</f>
        <v/>
      </c>
      <c r="P251" s="68">
        <f>IF(OR($O251="",$O251&lt;&gt;MesCiclo),"",COUNTIF($O$5:$O251,MesCiclo))</f>
        <v/>
      </c>
    </row>
    <row r="252">
      <c r="A252" s="60">
        <f>IF(NOT((COUNTA($B252:$J252)+COUNTA($M252))&gt;0),"",COUNTIFS($L$5:$L252,"?*",$O$5:$O252,$O252))</f>
        <v/>
      </c>
      <c r="B252" s="61" t="n"/>
      <c r="C252" s="61" t="n"/>
      <c r="D252" s="62" t="n"/>
      <c r="E252" s="62" t="n"/>
      <c r="F252" s="63" t="n"/>
      <c r="G252" s="64" t="n"/>
      <c r="H252" s="64" t="n"/>
      <c r="I252" s="64" t="n"/>
      <c r="J252" s="64" t="n"/>
      <c r="K252" s="65">
        <f>IF(NOT((COUNTA($B252:$J252)+COUNTA($M252))&gt;0),"",IFERROR(LOOKUP(2,1/(G252:J252&lt;&gt;""),G252:J252),0))</f>
        <v/>
      </c>
      <c r="L252" s="60">
        <f>IF(K252="","",IF(K252&gt;=1,"Completado",IF(K252&gt;0,"En curso","Pendiente")))</f>
        <v/>
      </c>
      <c r="M252" s="61" t="n"/>
      <c r="N252" s="66">
        <f>IF(NOT((COUNTA($B252:$J252)+COUNTA($M252))&gt;0),"",IF((IF(B252="","Macroactividad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 OK","⚠ "&amp;LEFT(IF(B252="","Macroactividad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",""),LEN(IF(B252="","Macroactividad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",""))-3)))</f>
        <v/>
      </c>
      <c r="O252" s="67">
        <f>IF(NOT((COUNTA($B252:$J252)+COUNTA($M252))&gt;0),"",IF(ISNUMBER($D252),DATE(YEAR($D252),MONTH($D252),1),IF(ISNUMBER($E252),DATE(YEAR($E252),MONTH($E252),1),MesCiclo)))</f>
        <v/>
      </c>
      <c r="P252" s="68">
        <f>IF(OR($O252="",$O252&lt;&gt;MesCiclo),"",COUNTIF($O$5:$O252,MesCiclo))</f>
        <v/>
      </c>
    </row>
    <row r="253">
      <c r="A253" s="60">
        <f>IF(NOT((COUNTA($B253:$J253)+COUNTA($M253))&gt;0),"",COUNTIFS($L$5:$L253,"?*",$O$5:$O253,$O253))</f>
        <v/>
      </c>
      <c r="B253" s="61" t="n"/>
      <c r="C253" s="61" t="n"/>
      <c r="D253" s="62" t="n"/>
      <c r="E253" s="62" t="n"/>
      <c r="F253" s="63" t="n"/>
      <c r="G253" s="64" t="n"/>
      <c r="H253" s="64" t="n"/>
      <c r="I253" s="64" t="n"/>
      <c r="J253" s="64" t="n"/>
      <c r="K253" s="65">
        <f>IF(NOT((COUNTA($B253:$J253)+COUNTA($M253))&gt;0),"",IFERROR(LOOKUP(2,1/(G253:J253&lt;&gt;""),G253:J253),0))</f>
        <v/>
      </c>
      <c r="L253" s="60">
        <f>IF(K253="","",IF(K253&gt;=1,"Completado",IF(K253&gt;0,"En curso","Pendiente")))</f>
        <v/>
      </c>
      <c r="M253" s="61" t="n"/>
      <c r="N253" s="66">
        <f>IF(NOT((COUNTA($B253:$J253)+COUNTA($M253))&gt;0),"",IF((IF(B253="","Macroactividad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 OK","⚠ "&amp;LEFT(IF(B253="","Macroactividad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",""),LEN(IF(B253="","Macroactividad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",""))-3)))</f>
        <v/>
      </c>
      <c r="O253" s="67">
        <f>IF(NOT((COUNTA($B253:$J253)+COUNTA($M253))&gt;0),"",IF(ISNUMBER($D253),DATE(YEAR($D253),MONTH($D253),1),IF(ISNUMBER($E253),DATE(YEAR($E253),MONTH($E253),1),MesCiclo)))</f>
        <v/>
      </c>
      <c r="P253" s="68">
        <f>IF(OR($O253="",$O253&lt;&gt;MesCiclo),"",COUNTIF($O$5:$O253,MesCiclo))</f>
        <v/>
      </c>
    </row>
    <row r="254">
      <c r="A254" s="60">
        <f>IF(NOT((COUNTA($B254:$J254)+COUNTA($M254))&gt;0),"",COUNTIFS($L$5:$L254,"?*",$O$5:$O254,$O254))</f>
        <v/>
      </c>
      <c r="B254" s="61" t="n"/>
      <c r="C254" s="61" t="n"/>
      <c r="D254" s="62" t="n"/>
      <c r="E254" s="62" t="n"/>
      <c r="F254" s="63" t="n"/>
      <c r="G254" s="64" t="n"/>
      <c r="H254" s="64" t="n"/>
      <c r="I254" s="64" t="n"/>
      <c r="J254" s="64" t="n"/>
      <c r="K254" s="65">
        <f>IF(NOT((COUNTA($B254:$J254)+COUNTA($M254))&gt;0),"",IFERROR(LOOKUP(2,1/(G254:J254&lt;&gt;""),G254:J254),0))</f>
        <v/>
      </c>
      <c r="L254" s="60">
        <f>IF(K254="","",IF(K254&gt;=1,"Completado",IF(K254&gt;0,"En curso","Pendiente")))</f>
        <v/>
      </c>
      <c r="M254" s="61" t="n"/>
      <c r="N254" s="66">
        <f>IF(NOT((COUNTA($B254:$J254)+COUNTA($M254))&gt;0),"",IF((IF(B254="","Macroactividad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 OK","⚠ "&amp;LEFT(IF(B254="","Macroactividad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",""),LEN(IF(B254="","Macroactividad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",""))-3)))</f>
        <v/>
      </c>
      <c r="O254" s="67">
        <f>IF(NOT((COUNTA($B254:$J254)+COUNTA($M254))&gt;0),"",IF(ISNUMBER($D254),DATE(YEAR($D254),MONTH($D254),1),IF(ISNUMBER($E254),DATE(YEAR($E254),MONTH($E254),1),MesCiclo)))</f>
        <v/>
      </c>
      <c r="P254" s="68">
        <f>IF(OR($O254="",$O254&lt;&gt;MesCiclo),"",COUNTIF($O$5:$O254,MesCiclo))</f>
        <v/>
      </c>
    </row>
    <row r="255">
      <c r="A255" s="60">
        <f>IF(NOT((COUNTA($B255:$J255)+COUNTA($M255))&gt;0),"",COUNTIFS($L$5:$L255,"?*",$O$5:$O255,$O255))</f>
        <v/>
      </c>
      <c r="B255" s="61" t="n"/>
      <c r="C255" s="61" t="n"/>
      <c r="D255" s="62" t="n"/>
      <c r="E255" s="62" t="n"/>
      <c r="F255" s="63" t="n"/>
      <c r="G255" s="64" t="n"/>
      <c r="H255" s="64" t="n"/>
      <c r="I255" s="64" t="n"/>
      <c r="J255" s="64" t="n"/>
      <c r="K255" s="65">
        <f>IF(NOT((COUNTA($B255:$J255)+COUNTA($M255))&gt;0),"",IFERROR(LOOKUP(2,1/(G255:J255&lt;&gt;""),G255:J255),0))</f>
        <v/>
      </c>
      <c r="L255" s="60">
        <f>IF(K255="","",IF(K255&gt;=1,"Completado",IF(K255&gt;0,"En curso","Pendiente")))</f>
        <v/>
      </c>
      <c r="M255" s="61" t="n"/>
      <c r="N255" s="66">
        <f>IF(NOT((COUNTA($B255:$J255)+COUNTA($M255))&gt;0),"",IF((IF(B255="","Macroactividad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 OK","⚠ "&amp;LEFT(IF(B255="","Macroactividad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",""),LEN(IF(B255="","Macroactividad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",""))-3)))</f>
        <v/>
      </c>
      <c r="O255" s="67">
        <f>IF(NOT((COUNTA($B255:$J255)+COUNTA($M255))&gt;0),"",IF(ISNUMBER($D255),DATE(YEAR($D255),MONTH($D255),1),IF(ISNUMBER($E255),DATE(YEAR($E255),MONTH($E255),1),MesCiclo)))</f>
        <v/>
      </c>
      <c r="P255" s="68">
        <f>IF(OR($O255="",$O255&lt;&gt;MesCiclo),"",COUNTIF($O$5:$O255,MesCiclo))</f>
        <v/>
      </c>
    </row>
    <row r="256">
      <c r="A256" s="60">
        <f>IF(NOT((COUNTA($B256:$J256)+COUNTA($M256))&gt;0),"",COUNTIFS($L$5:$L256,"?*",$O$5:$O256,$O256))</f>
        <v/>
      </c>
      <c r="B256" s="61" t="n"/>
      <c r="C256" s="61" t="n"/>
      <c r="D256" s="62" t="n"/>
      <c r="E256" s="62" t="n"/>
      <c r="F256" s="63" t="n"/>
      <c r="G256" s="64" t="n"/>
      <c r="H256" s="64" t="n"/>
      <c r="I256" s="64" t="n"/>
      <c r="J256" s="64" t="n"/>
      <c r="K256" s="65">
        <f>IF(NOT((COUNTA($B256:$J256)+COUNTA($M256))&gt;0),"",IFERROR(LOOKUP(2,1/(G256:J256&lt;&gt;""),G256:J256),0))</f>
        <v/>
      </c>
      <c r="L256" s="60">
        <f>IF(K256="","",IF(K256&gt;=1,"Completado",IF(K256&gt;0,"En curso","Pendiente")))</f>
        <v/>
      </c>
      <c r="M256" s="61" t="n"/>
      <c r="N256" s="66">
        <f>IF(NOT((COUNTA($B256:$J256)+COUNTA($M256))&gt;0),"",IF((IF(B256="","Macroactividad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 OK","⚠ "&amp;LEFT(IF(B256="","Macroactividad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",""),LEN(IF(B256="","Macroactividad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",""))-3)))</f>
        <v/>
      </c>
      <c r="O256" s="67">
        <f>IF(NOT((COUNTA($B256:$J256)+COUNTA($M256))&gt;0),"",IF(ISNUMBER($D256),DATE(YEAR($D256),MONTH($D256),1),IF(ISNUMBER($E256),DATE(YEAR($E256),MONTH($E256),1),MesCiclo)))</f>
        <v/>
      </c>
      <c r="P256" s="68">
        <f>IF(OR($O256="",$O256&lt;&gt;MesCiclo),"",COUNTIF($O$5:$O256,MesCiclo))</f>
        <v/>
      </c>
    </row>
    <row r="257">
      <c r="A257" s="60">
        <f>IF(NOT((COUNTA($B257:$J257)+COUNTA($M257))&gt;0),"",COUNTIFS($L$5:$L257,"?*",$O$5:$O257,$O257))</f>
        <v/>
      </c>
      <c r="B257" s="61" t="n"/>
      <c r="C257" s="61" t="n"/>
      <c r="D257" s="62" t="n"/>
      <c r="E257" s="62" t="n"/>
      <c r="F257" s="63" t="n"/>
      <c r="G257" s="64" t="n"/>
      <c r="H257" s="64" t="n"/>
      <c r="I257" s="64" t="n"/>
      <c r="J257" s="64" t="n"/>
      <c r="K257" s="65">
        <f>IF(NOT((COUNTA($B257:$J257)+COUNTA($M257))&gt;0),"",IFERROR(LOOKUP(2,1/(G257:J257&lt;&gt;""),G257:J257),0))</f>
        <v/>
      </c>
      <c r="L257" s="60">
        <f>IF(K257="","",IF(K257&gt;=1,"Completado",IF(K257&gt;0,"En curso","Pendiente")))</f>
        <v/>
      </c>
      <c r="M257" s="61" t="n"/>
      <c r="N257" s="66">
        <f>IF(NOT((COUNTA($B257:$J257)+COUNTA($M257))&gt;0),"",IF((IF(B257="","Macroactividad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 OK","⚠ "&amp;LEFT(IF(B257="","Macroactividad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",""),LEN(IF(B257="","Macroactividad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",""))-3)))</f>
        <v/>
      </c>
      <c r="O257" s="67">
        <f>IF(NOT((COUNTA($B257:$J257)+COUNTA($M257))&gt;0),"",IF(ISNUMBER($D257),DATE(YEAR($D257),MONTH($D257),1),IF(ISNUMBER($E257),DATE(YEAR($E257),MONTH($E257),1),MesCiclo)))</f>
        <v/>
      </c>
      <c r="P257" s="68">
        <f>IF(OR($O257="",$O257&lt;&gt;MesCiclo),"",COUNTIF($O$5:$O257,MesCiclo))</f>
        <v/>
      </c>
    </row>
    <row r="258">
      <c r="A258" s="60">
        <f>IF(NOT((COUNTA($B258:$J258)+COUNTA($M258))&gt;0),"",COUNTIFS($L$5:$L258,"?*",$O$5:$O258,$O258))</f>
        <v/>
      </c>
      <c r="B258" s="61" t="n"/>
      <c r="C258" s="61" t="n"/>
      <c r="D258" s="62" t="n"/>
      <c r="E258" s="62" t="n"/>
      <c r="F258" s="63" t="n"/>
      <c r="G258" s="64" t="n"/>
      <c r="H258" s="64" t="n"/>
      <c r="I258" s="64" t="n"/>
      <c r="J258" s="64" t="n"/>
      <c r="K258" s="65">
        <f>IF(NOT((COUNTA($B258:$J258)+COUNTA($M258))&gt;0),"",IFERROR(LOOKUP(2,1/(G258:J258&lt;&gt;""),G258:J258),0))</f>
        <v/>
      </c>
      <c r="L258" s="60">
        <f>IF(K258="","",IF(K258&gt;=1,"Completado",IF(K258&gt;0,"En curso","Pendiente")))</f>
        <v/>
      </c>
      <c r="M258" s="61" t="n"/>
      <c r="N258" s="66">
        <f>IF(NOT((COUNTA($B258:$J258)+COUNTA($M258))&gt;0),"",IF((IF(B258="","Macroactividad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 OK","⚠ "&amp;LEFT(IF(B258="","Macroactividad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",""),LEN(IF(B258="","Macroactividad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",""))-3)))</f>
        <v/>
      </c>
      <c r="O258" s="67">
        <f>IF(NOT((COUNTA($B258:$J258)+COUNTA($M258))&gt;0),"",IF(ISNUMBER($D258),DATE(YEAR($D258),MONTH($D258),1),IF(ISNUMBER($E258),DATE(YEAR($E258),MONTH($E258),1),MesCiclo)))</f>
        <v/>
      </c>
      <c r="P258" s="68">
        <f>IF(OR($O258="",$O258&lt;&gt;MesCiclo),"",COUNTIF($O$5:$O258,MesCiclo))</f>
        <v/>
      </c>
    </row>
    <row r="259">
      <c r="A259" s="60">
        <f>IF(NOT((COUNTA($B259:$J259)+COUNTA($M259))&gt;0),"",COUNTIFS($L$5:$L259,"?*",$O$5:$O259,$O259))</f>
        <v/>
      </c>
      <c r="B259" s="61" t="n"/>
      <c r="C259" s="61" t="n"/>
      <c r="D259" s="62" t="n"/>
      <c r="E259" s="62" t="n"/>
      <c r="F259" s="63" t="n"/>
      <c r="G259" s="64" t="n"/>
      <c r="H259" s="64" t="n"/>
      <c r="I259" s="64" t="n"/>
      <c r="J259" s="64" t="n"/>
      <c r="K259" s="65">
        <f>IF(NOT((COUNTA($B259:$J259)+COUNTA($M259))&gt;0),"",IFERROR(LOOKUP(2,1/(G259:J259&lt;&gt;""),G259:J259),0))</f>
        <v/>
      </c>
      <c r="L259" s="60">
        <f>IF(K259="","",IF(K259&gt;=1,"Completado",IF(K259&gt;0,"En curso","Pendiente")))</f>
        <v/>
      </c>
      <c r="M259" s="61" t="n"/>
      <c r="N259" s="66">
        <f>IF(NOT((COUNTA($B259:$J259)+COUNTA($M259))&gt;0),"",IF((IF(B259="","Macroactividad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 OK","⚠ "&amp;LEFT(IF(B259="","Macroactividad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",""),LEN(IF(B259="","Macroactividad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",""))-3)))</f>
        <v/>
      </c>
      <c r="O259" s="67">
        <f>IF(NOT((COUNTA($B259:$J259)+COUNTA($M259))&gt;0),"",IF(ISNUMBER($D259),DATE(YEAR($D259),MONTH($D259),1),IF(ISNUMBER($E259),DATE(YEAR($E259),MONTH($E259),1),MesCiclo)))</f>
        <v/>
      </c>
      <c r="P259" s="68">
        <f>IF(OR($O259="",$O259&lt;&gt;MesCiclo),"",COUNTIF($O$5:$O259,MesCiclo))</f>
        <v/>
      </c>
    </row>
    <row r="260">
      <c r="A260" s="60">
        <f>IF(NOT((COUNTA($B260:$J260)+COUNTA($M260))&gt;0),"",COUNTIFS($L$5:$L260,"?*",$O$5:$O260,$O260))</f>
        <v/>
      </c>
      <c r="B260" s="61" t="n"/>
      <c r="C260" s="61" t="n"/>
      <c r="D260" s="62" t="n"/>
      <c r="E260" s="62" t="n"/>
      <c r="F260" s="63" t="n"/>
      <c r="G260" s="64" t="n"/>
      <c r="H260" s="64" t="n"/>
      <c r="I260" s="64" t="n"/>
      <c r="J260" s="64" t="n"/>
      <c r="K260" s="65">
        <f>IF(NOT((COUNTA($B260:$J260)+COUNTA($M260))&gt;0),"",IFERROR(LOOKUP(2,1/(G260:J260&lt;&gt;""),G260:J260),0))</f>
        <v/>
      </c>
      <c r="L260" s="60">
        <f>IF(K260="","",IF(K260&gt;=1,"Completado",IF(K260&gt;0,"En curso","Pendiente")))</f>
        <v/>
      </c>
      <c r="M260" s="61" t="n"/>
      <c r="N260" s="66">
        <f>IF(NOT((COUNTA($B260:$J260)+COUNTA($M260))&gt;0),"",IF((IF(B260="","Macroactividad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 OK","⚠ "&amp;LEFT(IF(B260="","Macroactividad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",""),LEN(IF(B260="","Macroactividad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",""))-3)))</f>
        <v/>
      </c>
      <c r="O260" s="67">
        <f>IF(NOT((COUNTA($B260:$J260)+COUNTA($M260))&gt;0),"",IF(ISNUMBER($D260),DATE(YEAR($D260),MONTH($D260),1),IF(ISNUMBER($E260),DATE(YEAR($E260),MONTH($E260),1),MesCiclo)))</f>
        <v/>
      </c>
      <c r="P260" s="68">
        <f>IF(OR($O260="",$O260&lt;&gt;MesCiclo),"",COUNTIF($O$5:$O260,MesCiclo))</f>
        <v/>
      </c>
    </row>
    <row r="261">
      <c r="A261" s="60">
        <f>IF(NOT((COUNTA($B261:$J261)+COUNTA($M261))&gt;0),"",COUNTIFS($L$5:$L261,"?*",$O$5:$O261,$O261))</f>
        <v/>
      </c>
      <c r="B261" s="61" t="n"/>
      <c r="C261" s="61" t="n"/>
      <c r="D261" s="62" t="n"/>
      <c r="E261" s="62" t="n"/>
      <c r="F261" s="63" t="n"/>
      <c r="G261" s="64" t="n"/>
      <c r="H261" s="64" t="n"/>
      <c r="I261" s="64" t="n"/>
      <c r="J261" s="64" t="n"/>
      <c r="K261" s="65">
        <f>IF(NOT((COUNTA($B261:$J261)+COUNTA($M261))&gt;0),"",IFERROR(LOOKUP(2,1/(G261:J261&lt;&gt;""),G261:J261),0))</f>
        <v/>
      </c>
      <c r="L261" s="60">
        <f>IF(K261="","",IF(K261&gt;=1,"Completado",IF(K261&gt;0,"En curso","Pendiente")))</f>
        <v/>
      </c>
      <c r="M261" s="61" t="n"/>
      <c r="N261" s="66">
        <f>IF(NOT((COUNTA($B261:$J261)+COUNTA($M261))&gt;0),"",IF((IF(B261="","Macroactividad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 OK","⚠ "&amp;LEFT(IF(B261="","Macroactividad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",""),LEN(IF(B261="","Macroactividad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",""))-3)))</f>
        <v/>
      </c>
      <c r="O261" s="67">
        <f>IF(NOT((COUNTA($B261:$J261)+COUNTA($M261))&gt;0),"",IF(ISNUMBER($D261),DATE(YEAR($D261),MONTH($D261),1),IF(ISNUMBER($E261),DATE(YEAR($E261),MONTH($E261),1),MesCiclo)))</f>
        <v/>
      </c>
      <c r="P261" s="68">
        <f>IF(OR($O261="",$O261&lt;&gt;MesCiclo),"",COUNTIF($O$5:$O261,MesCiclo))</f>
        <v/>
      </c>
    </row>
    <row r="262">
      <c r="A262" s="60">
        <f>IF(NOT((COUNTA($B262:$J262)+COUNTA($M262))&gt;0),"",COUNTIFS($L$5:$L262,"?*",$O$5:$O262,$O262))</f>
        <v/>
      </c>
      <c r="B262" s="61" t="n"/>
      <c r="C262" s="61" t="n"/>
      <c r="D262" s="62" t="n"/>
      <c r="E262" s="62" t="n"/>
      <c r="F262" s="63" t="n"/>
      <c r="G262" s="64" t="n"/>
      <c r="H262" s="64" t="n"/>
      <c r="I262" s="64" t="n"/>
      <c r="J262" s="64" t="n"/>
      <c r="K262" s="65">
        <f>IF(NOT((COUNTA($B262:$J262)+COUNTA($M262))&gt;0),"",IFERROR(LOOKUP(2,1/(G262:J262&lt;&gt;""),G262:J262),0))</f>
        <v/>
      </c>
      <c r="L262" s="60">
        <f>IF(K262="","",IF(K262&gt;=1,"Completado",IF(K262&gt;0,"En curso","Pendiente")))</f>
        <v/>
      </c>
      <c r="M262" s="61" t="n"/>
      <c r="N262" s="66">
        <f>IF(NOT((COUNTA($B262:$J262)+COUNTA($M262))&gt;0),"",IF((IF(B262="","Macroactividad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 OK","⚠ "&amp;LEFT(IF(B262="","Macroactividad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",""),LEN(IF(B262="","Macroactividad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",""))-3)))</f>
        <v/>
      </c>
      <c r="O262" s="67">
        <f>IF(NOT((COUNTA($B262:$J262)+COUNTA($M262))&gt;0),"",IF(ISNUMBER($D262),DATE(YEAR($D262),MONTH($D262),1),IF(ISNUMBER($E262),DATE(YEAR($E262),MONTH($E262),1),MesCiclo)))</f>
        <v/>
      </c>
      <c r="P262" s="68">
        <f>IF(OR($O262="",$O262&lt;&gt;MesCiclo),"",COUNTIF($O$5:$O262,MesCiclo))</f>
        <v/>
      </c>
    </row>
    <row r="263">
      <c r="A263" s="60">
        <f>IF(NOT((COUNTA($B263:$J263)+COUNTA($M263))&gt;0),"",COUNTIFS($L$5:$L263,"?*",$O$5:$O263,$O263))</f>
        <v/>
      </c>
      <c r="B263" s="61" t="n"/>
      <c r="C263" s="61" t="n"/>
      <c r="D263" s="62" t="n"/>
      <c r="E263" s="62" t="n"/>
      <c r="F263" s="63" t="n"/>
      <c r="G263" s="64" t="n"/>
      <c r="H263" s="64" t="n"/>
      <c r="I263" s="64" t="n"/>
      <c r="J263" s="64" t="n"/>
      <c r="K263" s="65">
        <f>IF(NOT((COUNTA($B263:$J263)+COUNTA($M263))&gt;0),"",IFERROR(LOOKUP(2,1/(G263:J263&lt;&gt;""),G263:J263),0))</f>
        <v/>
      </c>
      <c r="L263" s="60">
        <f>IF(K263="","",IF(K263&gt;=1,"Completado",IF(K263&gt;0,"En curso","Pendiente")))</f>
        <v/>
      </c>
      <c r="M263" s="61" t="n"/>
      <c r="N263" s="66">
        <f>IF(NOT((COUNTA($B263:$J263)+COUNTA($M263))&gt;0),"",IF((IF(B263="","Macroactividad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 OK","⚠ "&amp;LEFT(IF(B263="","Macroactividad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",""),LEN(IF(B263="","Macroactividad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",""))-3)))</f>
        <v/>
      </c>
      <c r="O263" s="67">
        <f>IF(NOT((COUNTA($B263:$J263)+COUNTA($M263))&gt;0),"",IF(ISNUMBER($D263),DATE(YEAR($D263),MONTH($D263),1),IF(ISNUMBER($E263),DATE(YEAR($E263),MONTH($E263),1),MesCiclo)))</f>
        <v/>
      </c>
      <c r="P263" s="68">
        <f>IF(OR($O263="",$O263&lt;&gt;MesCiclo),"",COUNTIF($O$5:$O263,MesCiclo))</f>
        <v/>
      </c>
    </row>
    <row r="264">
      <c r="A264" s="60">
        <f>IF(NOT((COUNTA($B264:$J264)+COUNTA($M264))&gt;0),"",COUNTIFS($L$5:$L264,"?*",$O$5:$O264,$O264))</f>
        <v/>
      </c>
      <c r="B264" s="61" t="n"/>
      <c r="C264" s="61" t="n"/>
      <c r="D264" s="62" t="n"/>
      <c r="E264" s="62" t="n"/>
      <c r="F264" s="63" t="n"/>
      <c r="G264" s="64" t="n"/>
      <c r="H264" s="64" t="n"/>
      <c r="I264" s="64" t="n"/>
      <c r="J264" s="64" t="n"/>
      <c r="K264" s="65">
        <f>IF(NOT((COUNTA($B264:$J264)+COUNTA($M264))&gt;0),"",IFERROR(LOOKUP(2,1/(G264:J264&lt;&gt;""),G264:J264),0))</f>
        <v/>
      </c>
      <c r="L264" s="60">
        <f>IF(K264="","",IF(K264&gt;=1,"Completado",IF(K264&gt;0,"En curso","Pendiente")))</f>
        <v/>
      </c>
      <c r="M264" s="61" t="n"/>
      <c r="N264" s="66">
        <f>IF(NOT((COUNTA($B264:$J264)+COUNTA($M264))&gt;0),"",IF((IF(B264="","Macroactividad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 OK","⚠ "&amp;LEFT(IF(B264="","Macroactividad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",""),LEN(IF(B264="","Macroactividad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",""))-3)))</f>
        <v/>
      </c>
      <c r="O264" s="67">
        <f>IF(NOT((COUNTA($B264:$J264)+COUNTA($M264))&gt;0),"",IF(ISNUMBER($D264),DATE(YEAR($D264),MONTH($D264),1),IF(ISNUMBER($E264),DATE(YEAR($E264),MONTH($E264),1),MesCiclo)))</f>
        <v/>
      </c>
      <c r="P264" s="68">
        <f>IF(OR($O264="",$O264&lt;&gt;MesCiclo),"",COUNTIF($O$5:$O264,MesCiclo))</f>
        <v/>
      </c>
    </row>
    <row r="265">
      <c r="A265" s="60">
        <f>IF(NOT((COUNTA($B265:$J265)+COUNTA($M265))&gt;0),"",COUNTIFS($L$5:$L265,"?*",$O$5:$O265,$O265))</f>
        <v/>
      </c>
      <c r="B265" s="61" t="n"/>
      <c r="C265" s="61" t="n"/>
      <c r="D265" s="62" t="n"/>
      <c r="E265" s="62" t="n"/>
      <c r="F265" s="63" t="n"/>
      <c r="G265" s="64" t="n"/>
      <c r="H265" s="64" t="n"/>
      <c r="I265" s="64" t="n"/>
      <c r="J265" s="64" t="n"/>
      <c r="K265" s="65">
        <f>IF(NOT((COUNTA($B265:$J265)+COUNTA($M265))&gt;0),"",IFERROR(LOOKUP(2,1/(G265:J265&lt;&gt;""),G265:J265),0))</f>
        <v/>
      </c>
      <c r="L265" s="60">
        <f>IF(K265="","",IF(K265&gt;=1,"Completado",IF(K265&gt;0,"En curso","Pendiente")))</f>
        <v/>
      </c>
      <c r="M265" s="61" t="n"/>
      <c r="N265" s="66">
        <f>IF(NOT((COUNTA($B265:$J265)+COUNTA($M265))&gt;0),"",IF((IF(B265="","Macroactividad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 OK","⚠ "&amp;LEFT(IF(B265="","Macroactividad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",""),LEN(IF(B265="","Macroactividad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",""))-3)))</f>
        <v/>
      </c>
      <c r="O265" s="67">
        <f>IF(NOT((COUNTA($B265:$J265)+COUNTA($M265))&gt;0),"",IF(ISNUMBER($D265),DATE(YEAR($D265),MONTH($D265),1),IF(ISNUMBER($E265),DATE(YEAR($E265),MONTH($E265),1),MesCiclo)))</f>
        <v/>
      </c>
      <c r="P265" s="68">
        <f>IF(OR($O265="",$O265&lt;&gt;MesCiclo),"",COUNTIF($O$5:$O265,MesCiclo))</f>
        <v/>
      </c>
    </row>
    <row r="266">
      <c r="A266" s="60">
        <f>IF(NOT((COUNTA($B266:$J266)+COUNTA($M266))&gt;0),"",COUNTIFS($L$5:$L266,"?*",$O$5:$O266,$O266))</f>
        <v/>
      </c>
      <c r="B266" s="61" t="n"/>
      <c r="C266" s="61" t="n"/>
      <c r="D266" s="62" t="n"/>
      <c r="E266" s="62" t="n"/>
      <c r="F266" s="63" t="n"/>
      <c r="G266" s="64" t="n"/>
      <c r="H266" s="64" t="n"/>
      <c r="I266" s="64" t="n"/>
      <c r="J266" s="64" t="n"/>
      <c r="K266" s="65">
        <f>IF(NOT((COUNTA($B266:$J266)+COUNTA($M266))&gt;0),"",IFERROR(LOOKUP(2,1/(G266:J266&lt;&gt;""),G266:J266),0))</f>
        <v/>
      </c>
      <c r="L266" s="60">
        <f>IF(K266="","",IF(K266&gt;=1,"Completado",IF(K266&gt;0,"En curso","Pendiente")))</f>
        <v/>
      </c>
      <c r="M266" s="61" t="n"/>
      <c r="N266" s="66">
        <f>IF(NOT((COUNTA($B266:$J266)+COUNTA($M266))&gt;0),"",IF((IF(B266="","Macroactividad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 OK","⚠ "&amp;LEFT(IF(B266="","Macroactividad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",""),LEN(IF(B266="","Macroactividad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",""))-3)))</f>
        <v/>
      </c>
      <c r="O266" s="67">
        <f>IF(NOT((COUNTA($B266:$J266)+COUNTA($M266))&gt;0),"",IF(ISNUMBER($D266),DATE(YEAR($D266),MONTH($D266),1),IF(ISNUMBER($E266),DATE(YEAR($E266),MONTH($E266),1),MesCiclo)))</f>
        <v/>
      </c>
      <c r="P266" s="68">
        <f>IF(OR($O266="",$O266&lt;&gt;MesCiclo),"",COUNTIF($O$5:$O266,MesCiclo))</f>
        <v/>
      </c>
    </row>
    <row r="267">
      <c r="A267" s="60">
        <f>IF(NOT((COUNTA($B267:$J267)+COUNTA($M267))&gt;0),"",COUNTIFS($L$5:$L267,"?*",$O$5:$O267,$O267))</f>
        <v/>
      </c>
      <c r="B267" s="61" t="n"/>
      <c r="C267" s="61" t="n"/>
      <c r="D267" s="62" t="n"/>
      <c r="E267" s="62" t="n"/>
      <c r="F267" s="63" t="n"/>
      <c r="G267" s="64" t="n"/>
      <c r="H267" s="64" t="n"/>
      <c r="I267" s="64" t="n"/>
      <c r="J267" s="64" t="n"/>
      <c r="K267" s="65">
        <f>IF(NOT((COUNTA($B267:$J267)+COUNTA($M267))&gt;0),"",IFERROR(LOOKUP(2,1/(G267:J267&lt;&gt;""),G267:J267),0))</f>
        <v/>
      </c>
      <c r="L267" s="60">
        <f>IF(K267="","",IF(K267&gt;=1,"Completado",IF(K267&gt;0,"En curso","Pendiente")))</f>
        <v/>
      </c>
      <c r="M267" s="61" t="n"/>
      <c r="N267" s="66">
        <f>IF(NOT((COUNTA($B267:$J267)+COUNTA($M267))&gt;0),"",IF((IF(B267="","Macroactividad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 OK","⚠ "&amp;LEFT(IF(B267="","Macroactividad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",""),LEN(IF(B267="","Macroactividad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",""))-3)))</f>
        <v/>
      </c>
      <c r="O267" s="67">
        <f>IF(NOT((COUNTA($B267:$J267)+COUNTA($M267))&gt;0),"",IF(ISNUMBER($D267),DATE(YEAR($D267),MONTH($D267),1),IF(ISNUMBER($E267),DATE(YEAR($E267),MONTH($E267),1),MesCiclo)))</f>
        <v/>
      </c>
      <c r="P267" s="68">
        <f>IF(OR($O267="",$O267&lt;&gt;MesCiclo),"",COUNTIF($O$5:$O267,MesCiclo))</f>
        <v/>
      </c>
    </row>
    <row r="268">
      <c r="A268" s="60">
        <f>IF(NOT((COUNTA($B268:$J268)+COUNTA($M268))&gt;0),"",COUNTIFS($L$5:$L268,"?*",$O$5:$O268,$O268))</f>
        <v/>
      </c>
      <c r="B268" s="61" t="n"/>
      <c r="C268" s="61" t="n"/>
      <c r="D268" s="62" t="n"/>
      <c r="E268" s="62" t="n"/>
      <c r="F268" s="63" t="n"/>
      <c r="G268" s="64" t="n"/>
      <c r="H268" s="64" t="n"/>
      <c r="I268" s="64" t="n"/>
      <c r="J268" s="64" t="n"/>
      <c r="K268" s="65">
        <f>IF(NOT((COUNTA($B268:$J268)+COUNTA($M268))&gt;0),"",IFERROR(LOOKUP(2,1/(G268:J268&lt;&gt;""),G268:J268),0))</f>
        <v/>
      </c>
      <c r="L268" s="60">
        <f>IF(K268="","",IF(K268&gt;=1,"Completado",IF(K268&gt;0,"En curso","Pendiente")))</f>
        <v/>
      </c>
      <c r="M268" s="61" t="n"/>
      <c r="N268" s="66">
        <f>IF(NOT((COUNTA($B268:$J268)+COUNTA($M268))&gt;0),"",IF((IF(B268="","Macroactividad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 OK","⚠ "&amp;LEFT(IF(B268="","Macroactividad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",""),LEN(IF(B268="","Macroactividad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",""))-3)))</f>
        <v/>
      </c>
      <c r="O268" s="67">
        <f>IF(NOT((COUNTA($B268:$J268)+COUNTA($M268))&gt;0),"",IF(ISNUMBER($D268),DATE(YEAR($D268),MONTH($D268),1),IF(ISNUMBER($E268),DATE(YEAR($E268),MONTH($E268),1),MesCiclo)))</f>
        <v/>
      </c>
      <c r="P268" s="68">
        <f>IF(OR($O268="",$O268&lt;&gt;MesCiclo),"",COUNTIF($O$5:$O268,MesCiclo))</f>
        <v/>
      </c>
    </row>
    <row r="269">
      <c r="A269" s="60">
        <f>IF(NOT((COUNTA($B269:$J269)+COUNTA($M269))&gt;0),"",COUNTIFS($L$5:$L269,"?*",$O$5:$O269,$O269))</f>
        <v/>
      </c>
      <c r="B269" s="61" t="n"/>
      <c r="C269" s="61" t="n"/>
      <c r="D269" s="62" t="n"/>
      <c r="E269" s="62" t="n"/>
      <c r="F269" s="63" t="n"/>
      <c r="G269" s="64" t="n"/>
      <c r="H269" s="64" t="n"/>
      <c r="I269" s="64" t="n"/>
      <c r="J269" s="64" t="n"/>
      <c r="K269" s="65">
        <f>IF(NOT((COUNTA($B269:$J269)+COUNTA($M269))&gt;0),"",IFERROR(LOOKUP(2,1/(G269:J269&lt;&gt;""),G269:J269),0))</f>
        <v/>
      </c>
      <c r="L269" s="60">
        <f>IF(K269="","",IF(K269&gt;=1,"Completado",IF(K269&gt;0,"En curso","Pendiente")))</f>
        <v/>
      </c>
      <c r="M269" s="61" t="n"/>
      <c r="N269" s="66">
        <f>IF(NOT((COUNTA($B269:$J269)+COUNTA($M269))&gt;0),"",IF((IF(B269="","Macroactividad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 OK","⚠ "&amp;LEFT(IF(B269="","Macroactividad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",""),LEN(IF(B269="","Macroactividad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",""))-3)))</f>
        <v/>
      </c>
      <c r="O269" s="67">
        <f>IF(NOT((COUNTA($B269:$J269)+COUNTA($M269))&gt;0),"",IF(ISNUMBER($D269),DATE(YEAR($D269),MONTH($D269),1),IF(ISNUMBER($E269),DATE(YEAR($E269),MONTH($E269),1),MesCiclo)))</f>
        <v/>
      </c>
      <c r="P269" s="68">
        <f>IF(OR($O269="",$O269&lt;&gt;MesCiclo),"",COUNTIF($O$5:$O269,MesCiclo))</f>
        <v/>
      </c>
    </row>
    <row r="270">
      <c r="A270" s="60">
        <f>IF(NOT((COUNTA($B270:$J270)+COUNTA($M270))&gt;0),"",COUNTIFS($L$5:$L270,"?*",$O$5:$O270,$O270))</f>
        <v/>
      </c>
      <c r="B270" s="61" t="n"/>
      <c r="C270" s="61" t="n"/>
      <c r="D270" s="62" t="n"/>
      <c r="E270" s="62" t="n"/>
      <c r="F270" s="63" t="n"/>
      <c r="G270" s="64" t="n"/>
      <c r="H270" s="64" t="n"/>
      <c r="I270" s="64" t="n"/>
      <c r="J270" s="64" t="n"/>
      <c r="K270" s="65">
        <f>IF(NOT((COUNTA($B270:$J270)+COUNTA($M270))&gt;0),"",IFERROR(LOOKUP(2,1/(G270:J270&lt;&gt;""),G270:J270),0))</f>
        <v/>
      </c>
      <c r="L270" s="60">
        <f>IF(K270="","",IF(K270&gt;=1,"Completado",IF(K270&gt;0,"En curso","Pendiente")))</f>
        <v/>
      </c>
      <c r="M270" s="61" t="n"/>
      <c r="N270" s="66">
        <f>IF(NOT((COUNTA($B270:$J270)+COUNTA($M270))&gt;0),"",IF((IF(B270="","Macroactividad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 OK","⚠ "&amp;LEFT(IF(B270="","Macroactividad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",""),LEN(IF(B270="","Macroactividad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",""))-3)))</f>
        <v/>
      </c>
      <c r="O270" s="67">
        <f>IF(NOT((COUNTA($B270:$J270)+COUNTA($M270))&gt;0),"",IF(ISNUMBER($D270),DATE(YEAR($D270),MONTH($D270),1),IF(ISNUMBER($E270),DATE(YEAR($E270),MONTH($E270),1),MesCiclo)))</f>
        <v/>
      </c>
      <c r="P270" s="68">
        <f>IF(OR($O270="",$O270&lt;&gt;MesCiclo),"",COUNTIF($O$5:$O270,MesCiclo))</f>
        <v/>
      </c>
    </row>
    <row r="271">
      <c r="A271" s="60">
        <f>IF(NOT((COUNTA($B271:$J271)+COUNTA($M271))&gt;0),"",COUNTIFS($L$5:$L271,"?*",$O$5:$O271,$O271))</f>
        <v/>
      </c>
      <c r="B271" s="61" t="n"/>
      <c r="C271" s="61" t="n"/>
      <c r="D271" s="62" t="n"/>
      <c r="E271" s="62" t="n"/>
      <c r="F271" s="63" t="n"/>
      <c r="G271" s="64" t="n"/>
      <c r="H271" s="64" t="n"/>
      <c r="I271" s="64" t="n"/>
      <c r="J271" s="64" t="n"/>
      <c r="K271" s="65">
        <f>IF(NOT((COUNTA($B271:$J271)+COUNTA($M271))&gt;0),"",IFERROR(LOOKUP(2,1/(G271:J271&lt;&gt;""),G271:J271),0))</f>
        <v/>
      </c>
      <c r="L271" s="60">
        <f>IF(K271="","",IF(K271&gt;=1,"Completado",IF(K271&gt;0,"En curso","Pendiente")))</f>
        <v/>
      </c>
      <c r="M271" s="61" t="n"/>
      <c r="N271" s="66">
        <f>IF(NOT((COUNTA($B271:$J271)+COUNTA($M271))&gt;0),"",IF((IF(B271="","Macroactividad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 OK","⚠ "&amp;LEFT(IF(B271="","Macroactividad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",""),LEN(IF(B271="","Macroactividad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",""))-3)))</f>
        <v/>
      </c>
      <c r="O271" s="67">
        <f>IF(NOT((COUNTA($B271:$J271)+COUNTA($M271))&gt;0),"",IF(ISNUMBER($D271),DATE(YEAR($D271),MONTH($D271),1),IF(ISNUMBER($E271),DATE(YEAR($E271),MONTH($E271),1),MesCiclo)))</f>
        <v/>
      </c>
      <c r="P271" s="68">
        <f>IF(OR($O271="",$O271&lt;&gt;MesCiclo),"",COUNTIF($O$5:$O271,MesCiclo))</f>
        <v/>
      </c>
    </row>
    <row r="272">
      <c r="A272" s="60">
        <f>IF(NOT((COUNTA($B272:$J272)+COUNTA($M272))&gt;0),"",COUNTIFS($L$5:$L272,"?*",$O$5:$O272,$O272))</f>
        <v/>
      </c>
      <c r="B272" s="61" t="n"/>
      <c r="C272" s="61" t="n"/>
      <c r="D272" s="62" t="n"/>
      <c r="E272" s="62" t="n"/>
      <c r="F272" s="63" t="n"/>
      <c r="G272" s="64" t="n"/>
      <c r="H272" s="64" t="n"/>
      <c r="I272" s="64" t="n"/>
      <c r="J272" s="64" t="n"/>
      <c r="K272" s="65">
        <f>IF(NOT((COUNTA($B272:$J272)+COUNTA($M272))&gt;0),"",IFERROR(LOOKUP(2,1/(G272:J272&lt;&gt;""),G272:J272),0))</f>
        <v/>
      </c>
      <c r="L272" s="60">
        <f>IF(K272="","",IF(K272&gt;=1,"Completado",IF(K272&gt;0,"En curso","Pendiente")))</f>
        <v/>
      </c>
      <c r="M272" s="61" t="n"/>
      <c r="N272" s="66">
        <f>IF(NOT((COUNTA($B272:$J272)+COUNTA($M272))&gt;0),"",IF((IF(B272="","Macroactividad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 OK","⚠ "&amp;LEFT(IF(B272="","Macroactividad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",""),LEN(IF(B272="","Macroactividad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",""))-3)))</f>
        <v/>
      </c>
      <c r="O272" s="67">
        <f>IF(NOT((COUNTA($B272:$J272)+COUNTA($M272))&gt;0),"",IF(ISNUMBER($D272),DATE(YEAR($D272),MONTH($D272),1),IF(ISNUMBER($E272),DATE(YEAR($E272),MONTH($E272),1),MesCiclo)))</f>
        <v/>
      </c>
      <c r="P272" s="68">
        <f>IF(OR($O272="",$O272&lt;&gt;MesCiclo),"",COUNTIF($O$5:$O272,MesCiclo))</f>
        <v/>
      </c>
    </row>
    <row r="273">
      <c r="A273" s="60">
        <f>IF(NOT((COUNTA($B273:$J273)+COUNTA($M273))&gt;0),"",COUNTIFS($L$5:$L273,"?*",$O$5:$O273,$O273))</f>
        <v/>
      </c>
      <c r="B273" s="61" t="n"/>
      <c r="C273" s="61" t="n"/>
      <c r="D273" s="62" t="n"/>
      <c r="E273" s="62" t="n"/>
      <c r="F273" s="63" t="n"/>
      <c r="G273" s="64" t="n"/>
      <c r="H273" s="64" t="n"/>
      <c r="I273" s="64" t="n"/>
      <c r="J273" s="64" t="n"/>
      <c r="K273" s="65">
        <f>IF(NOT((COUNTA($B273:$J273)+COUNTA($M273))&gt;0),"",IFERROR(LOOKUP(2,1/(G273:J273&lt;&gt;""),G273:J273),0))</f>
        <v/>
      </c>
      <c r="L273" s="60">
        <f>IF(K273="","",IF(K273&gt;=1,"Completado",IF(K273&gt;0,"En curso","Pendiente")))</f>
        <v/>
      </c>
      <c r="M273" s="61" t="n"/>
      <c r="N273" s="66">
        <f>IF(NOT((COUNTA($B273:$J273)+COUNTA($M273))&gt;0),"",IF((IF(B273="","Macroactividad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 OK","⚠ "&amp;LEFT(IF(B273="","Macroactividad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",""),LEN(IF(B273="","Macroactividad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",""))-3)))</f>
        <v/>
      </c>
      <c r="O273" s="67">
        <f>IF(NOT((COUNTA($B273:$J273)+COUNTA($M273))&gt;0),"",IF(ISNUMBER($D273),DATE(YEAR($D273),MONTH($D273),1),IF(ISNUMBER($E273),DATE(YEAR($E273),MONTH($E273),1),MesCiclo)))</f>
        <v/>
      </c>
      <c r="P273" s="68">
        <f>IF(OR($O273="",$O273&lt;&gt;MesCiclo),"",COUNTIF($O$5:$O273,MesCiclo))</f>
        <v/>
      </c>
    </row>
    <row r="274">
      <c r="A274" s="60">
        <f>IF(NOT((COUNTA($B274:$J274)+COUNTA($M274))&gt;0),"",COUNTIFS($L$5:$L274,"?*",$O$5:$O274,$O274))</f>
        <v/>
      </c>
      <c r="B274" s="61" t="n"/>
      <c r="C274" s="61" t="n"/>
      <c r="D274" s="62" t="n"/>
      <c r="E274" s="62" t="n"/>
      <c r="F274" s="63" t="n"/>
      <c r="G274" s="64" t="n"/>
      <c r="H274" s="64" t="n"/>
      <c r="I274" s="64" t="n"/>
      <c r="J274" s="64" t="n"/>
      <c r="K274" s="65">
        <f>IF(NOT((COUNTA($B274:$J274)+COUNTA($M274))&gt;0),"",IFERROR(LOOKUP(2,1/(G274:J274&lt;&gt;""),G274:J274),0))</f>
        <v/>
      </c>
      <c r="L274" s="60">
        <f>IF(K274="","",IF(K274&gt;=1,"Completado",IF(K274&gt;0,"En curso","Pendiente")))</f>
        <v/>
      </c>
      <c r="M274" s="61" t="n"/>
      <c r="N274" s="66">
        <f>IF(NOT((COUNTA($B274:$J274)+COUNTA($M274))&gt;0),"",IF((IF(B274="","Macroactividad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 OK","⚠ "&amp;LEFT(IF(B274="","Macroactividad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",""),LEN(IF(B274="","Macroactividad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",""))-3)))</f>
        <v/>
      </c>
      <c r="O274" s="67">
        <f>IF(NOT((COUNTA($B274:$J274)+COUNTA($M274))&gt;0),"",IF(ISNUMBER($D274),DATE(YEAR($D274),MONTH($D274),1),IF(ISNUMBER($E274),DATE(YEAR($E274),MONTH($E274),1),MesCiclo)))</f>
        <v/>
      </c>
      <c r="P274" s="68">
        <f>IF(OR($O274="",$O274&lt;&gt;MesCiclo),"",COUNTIF($O$5:$O274,MesCiclo))</f>
        <v/>
      </c>
    </row>
    <row r="275">
      <c r="A275" s="60">
        <f>IF(NOT((COUNTA($B275:$J275)+COUNTA($M275))&gt;0),"",COUNTIFS($L$5:$L275,"?*",$O$5:$O275,$O275))</f>
        <v/>
      </c>
      <c r="B275" s="61" t="n"/>
      <c r="C275" s="61" t="n"/>
      <c r="D275" s="62" t="n"/>
      <c r="E275" s="62" t="n"/>
      <c r="F275" s="63" t="n"/>
      <c r="G275" s="64" t="n"/>
      <c r="H275" s="64" t="n"/>
      <c r="I275" s="64" t="n"/>
      <c r="J275" s="64" t="n"/>
      <c r="K275" s="65">
        <f>IF(NOT((COUNTA($B275:$J275)+COUNTA($M275))&gt;0),"",IFERROR(LOOKUP(2,1/(G275:J275&lt;&gt;""),G275:J275),0))</f>
        <v/>
      </c>
      <c r="L275" s="60">
        <f>IF(K275="","",IF(K275&gt;=1,"Completado",IF(K275&gt;0,"En curso","Pendiente")))</f>
        <v/>
      </c>
      <c r="M275" s="61" t="n"/>
      <c r="N275" s="66">
        <f>IF(NOT((COUNTA($B275:$J275)+COUNTA($M275))&gt;0),"",IF((IF(B275="","Macroactividad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 OK","⚠ "&amp;LEFT(IF(B275="","Macroactividad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",""),LEN(IF(B275="","Macroactividad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",""))-3)))</f>
        <v/>
      </c>
      <c r="O275" s="67">
        <f>IF(NOT((COUNTA($B275:$J275)+COUNTA($M275))&gt;0),"",IF(ISNUMBER($D275),DATE(YEAR($D275),MONTH($D275),1),IF(ISNUMBER($E275),DATE(YEAR($E275),MONTH($E275),1),MesCiclo)))</f>
        <v/>
      </c>
      <c r="P275" s="68">
        <f>IF(OR($O275="",$O275&lt;&gt;MesCiclo),"",COUNTIF($O$5:$O275,MesCiclo))</f>
        <v/>
      </c>
    </row>
    <row r="276">
      <c r="A276" s="60">
        <f>IF(NOT((COUNTA($B276:$J276)+COUNTA($M276))&gt;0),"",COUNTIFS($L$5:$L276,"?*",$O$5:$O276,$O276))</f>
        <v/>
      </c>
      <c r="B276" s="61" t="n"/>
      <c r="C276" s="61" t="n"/>
      <c r="D276" s="62" t="n"/>
      <c r="E276" s="62" t="n"/>
      <c r="F276" s="63" t="n"/>
      <c r="G276" s="64" t="n"/>
      <c r="H276" s="64" t="n"/>
      <c r="I276" s="64" t="n"/>
      <c r="J276" s="64" t="n"/>
      <c r="K276" s="65">
        <f>IF(NOT((COUNTA($B276:$J276)+COUNTA($M276))&gt;0),"",IFERROR(LOOKUP(2,1/(G276:J276&lt;&gt;""),G276:J276),0))</f>
        <v/>
      </c>
      <c r="L276" s="60">
        <f>IF(K276="","",IF(K276&gt;=1,"Completado",IF(K276&gt;0,"En curso","Pendiente")))</f>
        <v/>
      </c>
      <c r="M276" s="61" t="n"/>
      <c r="N276" s="66">
        <f>IF(NOT((COUNTA($B276:$J276)+COUNTA($M276))&gt;0),"",IF((IF(B276="","Macroactividad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 OK","⚠ "&amp;LEFT(IF(B276="","Macroactividad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",""),LEN(IF(B276="","Macroactividad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",""))-3)))</f>
        <v/>
      </c>
      <c r="O276" s="67">
        <f>IF(NOT((COUNTA($B276:$J276)+COUNTA($M276))&gt;0),"",IF(ISNUMBER($D276),DATE(YEAR($D276),MONTH($D276),1),IF(ISNUMBER($E276),DATE(YEAR($E276),MONTH($E276),1),MesCiclo)))</f>
        <v/>
      </c>
      <c r="P276" s="68">
        <f>IF(OR($O276="",$O276&lt;&gt;MesCiclo),"",COUNTIF($O$5:$O276,MesCiclo))</f>
        <v/>
      </c>
    </row>
    <row r="277">
      <c r="A277" s="60">
        <f>IF(NOT((COUNTA($B277:$J277)+COUNTA($M277))&gt;0),"",COUNTIFS($L$5:$L277,"?*",$O$5:$O277,$O277))</f>
        <v/>
      </c>
      <c r="B277" s="61" t="n"/>
      <c r="C277" s="61" t="n"/>
      <c r="D277" s="62" t="n"/>
      <c r="E277" s="62" t="n"/>
      <c r="F277" s="63" t="n"/>
      <c r="G277" s="64" t="n"/>
      <c r="H277" s="64" t="n"/>
      <c r="I277" s="64" t="n"/>
      <c r="J277" s="64" t="n"/>
      <c r="K277" s="65">
        <f>IF(NOT((COUNTA($B277:$J277)+COUNTA($M277))&gt;0),"",IFERROR(LOOKUP(2,1/(G277:J277&lt;&gt;""),G277:J277),0))</f>
        <v/>
      </c>
      <c r="L277" s="60">
        <f>IF(K277="","",IF(K277&gt;=1,"Completado",IF(K277&gt;0,"En curso","Pendiente")))</f>
        <v/>
      </c>
      <c r="M277" s="61" t="n"/>
      <c r="N277" s="66">
        <f>IF(NOT((COUNTA($B277:$J277)+COUNTA($M277))&gt;0),"",IF((IF(B277="","Macroactividad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 OK","⚠ "&amp;LEFT(IF(B277="","Macroactividad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",""),LEN(IF(B277="","Macroactividad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",""))-3)))</f>
        <v/>
      </c>
      <c r="O277" s="67">
        <f>IF(NOT((COUNTA($B277:$J277)+COUNTA($M277))&gt;0),"",IF(ISNUMBER($D277),DATE(YEAR($D277),MONTH($D277),1),IF(ISNUMBER($E277),DATE(YEAR($E277),MONTH($E277),1),MesCiclo)))</f>
        <v/>
      </c>
      <c r="P277" s="68">
        <f>IF(OR($O277="",$O277&lt;&gt;MesCiclo),"",COUNTIF($O$5:$O277,MesCiclo))</f>
        <v/>
      </c>
    </row>
    <row r="278">
      <c r="A278" s="60">
        <f>IF(NOT((COUNTA($B278:$J278)+COUNTA($M278))&gt;0),"",COUNTIFS($L$5:$L278,"?*",$O$5:$O278,$O278))</f>
        <v/>
      </c>
      <c r="B278" s="61" t="n"/>
      <c r="C278" s="61" t="n"/>
      <c r="D278" s="62" t="n"/>
      <c r="E278" s="62" t="n"/>
      <c r="F278" s="63" t="n"/>
      <c r="G278" s="64" t="n"/>
      <c r="H278" s="64" t="n"/>
      <c r="I278" s="64" t="n"/>
      <c r="J278" s="64" t="n"/>
      <c r="K278" s="65">
        <f>IF(NOT((COUNTA($B278:$J278)+COUNTA($M278))&gt;0),"",IFERROR(LOOKUP(2,1/(G278:J278&lt;&gt;""),G278:J278),0))</f>
        <v/>
      </c>
      <c r="L278" s="60">
        <f>IF(K278="","",IF(K278&gt;=1,"Completado",IF(K278&gt;0,"En curso","Pendiente")))</f>
        <v/>
      </c>
      <c r="M278" s="61" t="n"/>
      <c r="N278" s="66">
        <f>IF(NOT((COUNTA($B278:$J278)+COUNTA($M278))&gt;0),"",IF((IF(B278="","Macroactividad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 OK","⚠ "&amp;LEFT(IF(B278="","Macroactividad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",""),LEN(IF(B278="","Macroactividad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",""))-3)))</f>
        <v/>
      </c>
      <c r="O278" s="67">
        <f>IF(NOT((COUNTA($B278:$J278)+COUNTA($M278))&gt;0),"",IF(ISNUMBER($D278),DATE(YEAR($D278),MONTH($D278),1),IF(ISNUMBER($E278),DATE(YEAR($E278),MONTH($E278),1),MesCiclo)))</f>
        <v/>
      </c>
      <c r="P278" s="68">
        <f>IF(OR($O278="",$O278&lt;&gt;MesCiclo),"",COUNTIF($O$5:$O278,MesCiclo))</f>
        <v/>
      </c>
    </row>
    <row r="279">
      <c r="A279" s="60">
        <f>IF(NOT((COUNTA($B279:$J279)+COUNTA($M279))&gt;0),"",COUNTIFS($L$5:$L279,"?*",$O$5:$O279,$O279))</f>
        <v/>
      </c>
      <c r="B279" s="61" t="n"/>
      <c r="C279" s="61" t="n"/>
      <c r="D279" s="62" t="n"/>
      <c r="E279" s="62" t="n"/>
      <c r="F279" s="63" t="n"/>
      <c r="G279" s="64" t="n"/>
      <c r="H279" s="64" t="n"/>
      <c r="I279" s="64" t="n"/>
      <c r="J279" s="64" t="n"/>
      <c r="K279" s="65">
        <f>IF(NOT((COUNTA($B279:$J279)+COUNTA($M279))&gt;0),"",IFERROR(LOOKUP(2,1/(G279:J279&lt;&gt;""),G279:J279),0))</f>
        <v/>
      </c>
      <c r="L279" s="60">
        <f>IF(K279="","",IF(K279&gt;=1,"Completado",IF(K279&gt;0,"En curso","Pendiente")))</f>
        <v/>
      </c>
      <c r="M279" s="61" t="n"/>
      <c r="N279" s="66">
        <f>IF(NOT((COUNTA($B279:$J279)+COUNTA($M279))&gt;0),"",IF((IF(B279="","Macroactividad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 OK","⚠ "&amp;LEFT(IF(B279="","Macroactividad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",""),LEN(IF(B279="","Macroactividad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",""))-3)))</f>
        <v/>
      </c>
      <c r="O279" s="67">
        <f>IF(NOT((COUNTA($B279:$J279)+COUNTA($M279))&gt;0),"",IF(ISNUMBER($D279),DATE(YEAR($D279),MONTH($D279),1),IF(ISNUMBER($E279),DATE(YEAR($E279),MONTH($E279),1),MesCiclo)))</f>
        <v/>
      </c>
      <c r="P279" s="68">
        <f>IF(OR($O279="",$O279&lt;&gt;MesCiclo),"",COUNTIF($O$5:$O279,MesCiclo))</f>
        <v/>
      </c>
    </row>
    <row r="280">
      <c r="A280" s="60">
        <f>IF(NOT((COUNTA($B280:$J280)+COUNTA($M280))&gt;0),"",COUNTIFS($L$5:$L280,"?*",$O$5:$O280,$O280))</f>
        <v/>
      </c>
      <c r="B280" s="61" t="n"/>
      <c r="C280" s="61" t="n"/>
      <c r="D280" s="62" t="n"/>
      <c r="E280" s="62" t="n"/>
      <c r="F280" s="63" t="n"/>
      <c r="G280" s="64" t="n"/>
      <c r="H280" s="64" t="n"/>
      <c r="I280" s="64" t="n"/>
      <c r="J280" s="64" t="n"/>
      <c r="K280" s="65">
        <f>IF(NOT((COUNTA($B280:$J280)+COUNTA($M280))&gt;0),"",IFERROR(LOOKUP(2,1/(G280:J280&lt;&gt;""),G280:J280),0))</f>
        <v/>
      </c>
      <c r="L280" s="60">
        <f>IF(K280="","",IF(K280&gt;=1,"Completado",IF(K280&gt;0,"En curso","Pendiente")))</f>
        <v/>
      </c>
      <c r="M280" s="61" t="n"/>
      <c r="N280" s="66">
        <f>IF(NOT((COUNTA($B280:$J280)+COUNTA($M280))&gt;0),"",IF((IF(B280="","Macroactividad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 OK","⚠ "&amp;LEFT(IF(B280="","Macroactividad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",""),LEN(IF(B280="","Macroactividad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",""))-3)))</f>
        <v/>
      </c>
      <c r="O280" s="67">
        <f>IF(NOT((COUNTA($B280:$J280)+COUNTA($M280))&gt;0),"",IF(ISNUMBER($D280),DATE(YEAR($D280),MONTH($D280),1),IF(ISNUMBER($E280),DATE(YEAR($E280),MONTH($E280),1),MesCiclo)))</f>
        <v/>
      </c>
      <c r="P280" s="68">
        <f>IF(OR($O280="",$O280&lt;&gt;MesCiclo),"",COUNTIF($O$5:$O280,MesCiclo))</f>
        <v/>
      </c>
    </row>
    <row r="281">
      <c r="A281" s="60">
        <f>IF(NOT((COUNTA($B281:$J281)+COUNTA($M281))&gt;0),"",COUNTIFS($L$5:$L281,"?*",$O$5:$O281,$O281))</f>
        <v/>
      </c>
      <c r="B281" s="61" t="n"/>
      <c r="C281" s="61" t="n"/>
      <c r="D281" s="62" t="n"/>
      <c r="E281" s="62" t="n"/>
      <c r="F281" s="63" t="n"/>
      <c r="G281" s="64" t="n"/>
      <c r="H281" s="64" t="n"/>
      <c r="I281" s="64" t="n"/>
      <c r="J281" s="64" t="n"/>
      <c r="K281" s="65">
        <f>IF(NOT((COUNTA($B281:$J281)+COUNTA($M281))&gt;0),"",IFERROR(LOOKUP(2,1/(G281:J281&lt;&gt;""),G281:J281),0))</f>
        <v/>
      </c>
      <c r="L281" s="60">
        <f>IF(K281="","",IF(K281&gt;=1,"Completado",IF(K281&gt;0,"En curso","Pendiente")))</f>
        <v/>
      </c>
      <c r="M281" s="61" t="n"/>
      <c r="N281" s="66">
        <f>IF(NOT((COUNTA($B281:$J281)+COUNTA($M281))&gt;0),"",IF((IF(B281="","Macroactividad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 OK","⚠ "&amp;LEFT(IF(B281="","Macroactividad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",""),LEN(IF(B281="","Macroactividad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",""))-3)))</f>
        <v/>
      </c>
      <c r="O281" s="67">
        <f>IF(NOT((COUNTA($B281:$J281)+COUNTA($M281))&gt;0),"",IF(ISNUMBER($D281),DATE(YEAR($D281),MONTH($D281),1),IF(ISNUMBER($E281),DATE(YEAR($E281),MONTH($E281),1),MesCiclo)))</f>
        <v/>
      </c>
      <c r="P281" s="68">
        <f>IF(OR($O281="",$O281&lt;&gt;MesCiclo),"",COUNTIF($O$5:$O281,MesCiclo))</f>
        <v/>
      </c>
    </row>
    <row r="282">
      <c r="A282" s="60">
        <f>IF(NOT((COUNTA($B282:$J282)+COUNTA($M282))&gt;0),"",COUNTIFS($L$5:$L282,"?*",$O$5:$O282,$O282))</f>
        <v/>
      </c>
      <c r="B282" s="61" t="n"/>
      <c r="C282" s="61" t="n"/>
      <c r="D282" s="62" t="n"/>
      <c r="E282" s="62" t="n"/>
      <c r="F282" s="63" t="n"/>
      <c r="G282" s="64" t="n"/>
      <c r="H282" s="64" t="n"/>
      <c r="I282" s="64" t="n"/>
      <c r="J282" s="64" t="n"/>
      <c r="K282" s="65">
        <f>IF(NOT((COUNTA($B282:$J282)+COUNTA($M282))&gt;0),"",IFERROR(LOOKUP(2,1/(G282:J282&lt;&gt;""),G282:J282),0))</f>
        <v/>
      </c>
      <c r="L282" s="60">
        <f>IF(K282="","",IF(K282&gt;=1,"Completado",IF(K282&gt;0,"En curso","Pendiente")))</f>
        <v/>
      </c>
      <c r="M282" s="61" t="n"/>
      <c r="N282" s="66">
        <f>IF(NOT((COUNTA($B282:$J282)+COUNTA($M282))&gt;0),"",IF((IF(B282="","Macroactividad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 OK","⚠ "&amp;LEFT(IF(B282="","Macroactividad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",""),LEN(IF(B282="","Macroactividad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",""))-3)))</f>
        <v/>
      </c>
      <c r="O282" s="67">
        <f>IF(NOT((COUNTA($B282:$J282)+COUNTA($M282))&gt;0),"",IF(ISNUMBER($D282),DATE(YEAR($D282),MONTH($D282),1),IF(ISNUMBER($E282),DATE(YEAR($E282),MONTH($E282),1),MesCiclo)))</f>
        <v/>
      </c>
      <c r="P282" s="68">
        <f>IF(OR($O282="",$O282&lt;&gt;MesCiclo),"",COUNTIF($O$5:$O282,MesCiclo))</f>
        <v/>
      </c>
    </row>
    <row r="283">
      <c r="A283" s="60">
        <f>IF(NOT((COUNTA($B283:$J283)+COUNTA($M283))&gt;0),"",COUNTIFS($L$5:$L283,"?*",$O$5:$O283,$O283))</f>
        <v/>
      </c>
      <c r="B283" s="61" t="n"/>
      <c r="C283" s="61" t="n"/>
      <c r="D283" s="62" t="n"/>
      <c r="E283" s="62" t="n"/>
      <c r="F283" s="63" t="n"/>
      <c r="G283" s="64" t="n"/>
      <c r="H283" s="64" t="n"/>
      <c r="I283" s="64" t="n"/>
      <c r="J283" s="64" t="n"/>
      <c r="K283" s="65">
        <f>IF(NOT((COUNTA($B283:$J283)+COUNTA($M283))&gt;0),"",IFERROR(LOOKUP(2,1/(G283:J283&lt;&gt;""),G283:J283),0))</f>
        <v/>
      </c>
      <c r="L283" s="60">
        <f>IF(K283="","",IF(K283&gt;=1,"Completado",IF(K283&gt;0,"En curso","Pendiente")))</f>
        <v/>
      </c>
      <c r="M283" s="61" t="n"/>
      <c r="N283" s="66">
        <f>IF(NOT((COUNTA($B283:$J283)+COUNTA($M283))&gt;0),"",IF((IF(B283="","Macroactividad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 OK","⚠ "&amp;LEFT(IF(B283="","Macroactividad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",""),LEN(IF(B283="","Macroactividad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",""))-3)))</f>
        <v/>
      </c>
      <c r="O283" s="67">
        <f>IF(NOT((COUNTA($B283:$J283)+COUNTA($M283))&gt;0),"",IF(ISNUMBER($D283),DATE(YEAR($D283),MONTH($D283),1),IF(ISNUMBER($E283),DATE(YEAR($E283),MONTH($E283),1),MesCiclo)))</f>
        <v/>
      </c>
      <c r="P283" s="68">
        <f>IF(OR($O283="",$O283&lt;&gt;MesCiclo),"",COUNTIF($O$5:$O283,MesCiclo))</f>
        <v/>
      </c>
    </row>
    <row r="284">
      <c r="A284" s="60">
        <f>IF(NOT((COUNTA($B284:$J284)+COUNTA($M284))&gt;0),"",COUNTIFS($L$5:$L284,"?*",$O$5:$O284,$O284))</f>
        <v/>
      </c>
      <c r="B284" s="61" t="n"/>
      <c r="C284" s="61" t="n"/>
      <c r="D284" s="62" t="n"/>
      <c r="E284" s="62" t="n"/>
      <c r="F284" s="63" t="n"/>
      <c r="G284" s="64" t="n"/>
      <c r="H284" s="64" t="n"/>
      <c r="I284" s="64" t="n"/>
      <c r="J284" s="64" t="n"/>
      <c r="K284" s="65">
        <f>IF(NOT((COUNTA($B284:$J284)+COUNTA($M284))&gt;0),"",IFERROR(LOOKUP(2,1/(G284:J284&lt;&gt;""),G284:J284),0))</f>
        <v/>
      </c>
      <c r="L284" s="60">
        <f>IF(K284="","",IF(K284&gt;=1,"Completado",IF(K284&gt;0,"En curso","Pendiente")))</f>
        <v/>
      </c>
      <c r="M284" s="61" t="n"/>
      <c r="N284" s="66">
        <f>IF(NOT((COUNTA($B284:$J284)+COUNTA($M284))&gt;0),"",IF((IF(B284="","Macroactividad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 OK","⚠ "&amp;LEFT(IF(B284="","Macroactividad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",""),LEN(IF(B284="","Macroactividad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",""))-3)))</f>
        <v/>
      </c>
      <c r="O284" s="67">
        <f>IF(NOT((COUNTA($B284:$J284)+COUNTA($M284))&gt;0),"",IF(ISNUMBER($D284),DATE(YEAR($D284),MONTH($D284),1),IF(ISNUMBER($E284),DATE(YEAR($E284),MONTH($E284),1),MesCiclo)))</f>
        <v/>
      </c>
      <c r="P284" s="68">
        <f>IF(OR($O284="",$O284&lt;&gt;MesCiclo),"",COUNTIF($O$5:$O284,MesCiclo))</f>
        <v/>
      </c>
    </row>
    <row r="285">
      <c r="A285" s="60">
        <f>IF(NOT((COUNTA($B285:$J285)+COUNTA($M285))&gt;0),"",COUNTIFS($L$5:$L285,"?*",$O$5:$O285,$O285))</f>
        <v/>
      </c>
      <c r="B285" s="61" t="n"/>
      <c r="C285" s="61" t="n"/>
      <c r="D285" s="62" t="n"/>
      <c r="E285" s="62" t="n"/>
      <c r="F285" s="63" t="n"/>
      <c r="G285" s="64" t="n"/>
      <c r="H285" s="64" t="n"/>
      <c r="I285" s="64" t="n"/>
      <c r="J285" s="64" t="n"/>
      <c r="K285" s="65">
        <f>IF(NOT((COUNTA($B285:$J285)+COUNTA($M285))&gt;0),"",IFERROR(LOOKUP(2,1/(G285:J285&lt;&gt;""),G285:J285),0))</f>
        <v/>
      </c>
      <c r="L285" s="60">
        <f>IF(K285="","",IF(K285&gt;=1,"Completado",IF(K285&gt;0,"En curso","Pendiente")))</f>
        <v/>
      </c>
      <c r="M285" s="61" t="n"/>
      <c r="N285" s="66">
        <f>IF(NOT((COUNTA($B285:$J285)+COUNTA($M285))&gt;0),"",IF((IF(B285="","Macroactividad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 OK","⚠ "&amp;LEFT(IF(B285="","Macroactividad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",""),LEN(IF(B285="","Macroactividad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",""))-3)))</f>
        <v/>
      </c>
      <c r="O285" s="67">
        <f>IF(NOT((COUNTA($B285:$J285)+COUNTA($M285))&gt;0),"",IF(ISNUMBER($D285),DATE(YEAR($D285),MONTH($D285),1),IF(ISNUMBER($E285),DATE(YEAR($E285),MONTH($E285),1),MesCiclo)))</f>
        <v/>
      </c>
      <c r="P285" s="68">
        <f>IF(OR($O285="",$O285&lt;&gt;MesCiclo),"",COUNTIF($O$5:$O285,MesCiclo))</f>
        <v/>
      </c>
    </row>
    <row r="286">
      <c r="A286" s="60">
        <f>IF(NOT((COUNTA($B286:$J286)+COUNTA($M286))&gt;0),"",COUNTIFS($L$5:$L286,"?*",$O$5:$O286,$O286))</f>
        <v/>
      </c>
      <c r="B286" s="61" t="n"/>
      <c r="C286" s="61" t="n"/>
      <c r="D286" s="62" t="n"/>
      <c r="E286" s="62" t="n"/>
      <c r="F286" s="63" t="n"/>
      <c r="G286" s="64" t="n"/>
      <c r="H286" s="64" t="n"/>
      <c r="I286" s="64" t="n"/>
      <c r="J286" s="64" t="n"/>
      <c r="K286" s="65">
        <f>IF(NOT((COUNTA($B286:$J286)+COUNTA($M286))&gt;0),"",IFERROR(LOOKUP(2,1/(G286:J286&lt;&gt;""),G286:J286),0))</f>
        <v/>
      </c>
      <c r="L286" s="60">
        <f>IF(K286="","",IF(K286&gt;=1,"Completado",IF(K286&gt;0,"En curso","Pendiente")))</f>
        <v/>
      </c>
      <c r="M286" s="61" t="n"/>
      <c r="N286" s="66">
        <f>IF(NOT((COUNTA($B286:$J286)+COUNTA($M286))&gt;0),"",IF((IF(B286="","Macroactividad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 OK","⚠ "&amp;LEFT(IF(B286="","Macroactividad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",""),LEN(IF(B286="","Macroactividad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",""))-3)))</f>
        <v/>
      </c>
      <c r="O286" s="67">
        <f>IF(NOT((COUNTA($B286:$J286)+COUNTA($M286))&gt;0),"",IF(ISNUMBER($D286),DATE(YEAR($D286),MONTH($D286),1),IF(ISNUMBER($E286),DATE(YEAR($E286),MONTH($E286),1),MesCiclo)))</f>
        <v/>
      </c>
      <c r="P286" s="68">
        <f>IF(OR($O286="",$O286&lt;&gt;MesCiclo),"",COUNTIF($O$5:$O286,MesCiclo))</f>
        <v/>
      </c>
    </row>
    <row r="287">
      <c r="A287" s="60">
        <f>IF(NOT((COUNTA($B287:$J287)+COUNTA($M287))&gt;0),"",COUNTIFS($L$5:$L287,"?*",$O$5:$O287,$O287))</f>
        <v/>
      </c>
      <c r="B287" s="61" t="n"/>
      <c r="C287" s="61" t="n"/>
      <c r="D287" s="62" t="n"/>
      <c r="E287" s="62" t="n"/>
      <c r="F287" s="63" t="n"/>
      <c r="G287" s="64" t="n"/>
      <c r="H287" s="64" t="n"/>
      <c r="I287" s="64" t="n"/>
      <c r="J287" s="64" t="n"/>
      <c r="K287" s="65">
        <f>IF(NOT((COUNTA($B287:$J287)+COUNTA($M287))&gt;0),"",IFERROR(LOOKUP(2,1/(G287:J287&lt;&gt;""),G287:J287),0))</f>
        <v/>
      </c>
      <c r="L287" s="60">
        <f>IF(K287="","",IF(K287&gt;=1,"Completado",IF(K287&gt;0,"En curso","Pendiente")))</f>
        <v/>
      </c>
      <c r="M287" s="61" t="n"/>
      <c r="N287" s="66">
        <f>IF(NOT((COUNTA($B287:$J287)+COUNTA($M287))&gt;0),"",IF((IF(B287="","Macroactividad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 OK","⚠ "&amp;LEFT(IF(B287="","Macroactividad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",""),LEN(IF(B287="","Macroactividad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",""))-3)))</f>
        <v/>
      </c>
      <c r="O287" s="67">
        <f>IF(NOT((COUNTA($B287:$J287)+COUNTA($M287))&gt;0),"",IF(ISNUMBER($D287),DATE(YEAR($D287),MONTH($D287),1),IF(ISNUMBER($E287),DATE(YEAR($E287),MONTH($E287),1),MesCiclo)))</f>
        <v/>
      </c>
      <c r="P287" s="68">
        <f>IF(OR($O287="",$O287&lt;&gt;MesCiclo),"",COUNTIF($O$5:$O287,MesCiclo))</f>
        <v/>
      </c>
    </row>
    <row r="288">
      <c r="A288" s="60">
        <f>IF(NOT((COUNTA($B288:$J288)+COUNTA($M288))&gt;0),"",COUNTIFS($L$5:$L288,"?*",$O$5:$O288,$O288))</f>
        <v/>
      </c>
      <c r="B288" s="61" t="n"/>
      <c r="C288" s="61" t="n"/>
      <c r="D288" s="62" t="n"/>
      <c r="E288" s="62" t="n"/>
      <c r="F288" s="63" t="n"/>
      <c r="G288" s="64" t="n"/>
      <c r="H288" s="64" t="n"/>
      <c r="I288" s="64" t="n"/>
      <c r="J288" s="64" t="n"/>
      <c r="K288" s="65">
        <f>IF(NOT((COUNTA($B288:$J288)+COUNTA($M288))&gt;0),"",IFERROR(LOOKUP(2,1/(G288:J288&lt;&gt;""),G288:J288),0))</f>
        <v/>
      </c>
      <c r="L288" s="60">
        <f>IF(K288="","",IF(K288&gt;=1,"Completado",IF(K288&gt;0,"En curso","Pendiente")))</f>
        <v/>
      </c>
      <c r="M288" s="61" t="n"/>
      <c r="N288" s="66">
        <f>IF(NOT((COUNTA($B288:$J288)+COUNTA($M288))&gt;0),"",IF((IF(B288="","Macroactividad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 OK","⚠ "&amp;LEFT(IF(B288="","Macroactividad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",""),LEN(IF(B288="","Macroactividad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",""))-3)))</f>
        <v/>
      </c>
      <c r="O288" s="67">
        <f>IF(NOT((COUNTA($B288:$J288)+COUNTA($M288))&gt;0),"",IF(ISNUMBER($D288),DATE(YEAR($D288),MONTH($D288),1),IF(ISNUMBER($E288),DATE(YEAR($E288),MONTH($E288),1),MesCiclo)))</f>
        <v/>
      </c>
      <c r="P288" s="68">
        <f>IF(OR($O288="",$O288&lt;&gt;MesCiclo),"",COUNTIF($O$5:$O288,MesCiclo))</f>
        <v/>
      </c>
    </row>
    <row r="289">
      <c r="A289" s="60">
        <f>IF(NOT((COUNTA($B289:$J289)+COUNTA($M289))&gt;0),"",COUNTIFS($L$5:$L289,"?*",$O$5:$O289,$O289))</f>
        <v/>
      </c>
      <c r="B289" s="61" t="n"/>
      <c r="C289" s="61" t="n"/>
      <c r="D289" s="62" t="n"/>
      <c r="E289" s="62" t="n"/>
      <c r="F289" s="63" t="n"/>
      <c r="G289" s="64" t="n"/>
      <c r="H289" s="64" t="n"/>
      <c r="I289" s="64" t="n"/>
      <c r="J289" s="64" t="n"/>
      <c r="K289" s="65">
        <f>IF(NOT((COUNTA($B289:$J289)+COUNTA($M289))&gt;0),"",IFERROR(LOOKUP(2,1/(G289:J289&lt;&gt;""),G289:J289),0))</f>
        <v/>
      </c>
      <c r="L289" s="60">
        <f>IF(K289="","",IF(K289&gt;=1,"Completado",IF(K289&gt;0,"En curso","Pendiente")))</f>
        <v/>
      </c>
      <c r="M289" s="61" t="n"/>
      <c r="N289" s="66">
        <f>IF(NOT((COUNTA($B289:$J289)+COUNTA($M289))&gt;0),"",IF((IF(B289="","Macroactividad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 OK","⚠ "&amp;LEFT(IF(B289="","Macroactividad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",""),LEN(IF(B289="","Macroactividad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",""))-3)))</f>
        <v/>
      </c>
      <c r="O289" s="67">
        <f>IF(NOT((COUNTA($B289:$J289)+COUNTA($M289))&gt;0),"",IF(ISNUMBER($D289),DATE(YEAR($D289),MONTH($D289),1),IF(ISNUMBER($E289),DATE(YEAR($E289),MONTH($E289),1),MesCiclo)))</f>
        <v/>
      </c>
      <c r="P289" s="68">
        <f>IF(OR($O289="",$O289&lt;&gt;MesCiclo),"",COUNTIF($O$5:$O289,MesCiclo))</f>
        <v/>
      </c>
    </row>
    <row r="290">
      <c r="A290" s="60">
        <f>IF(NOT((COUNTA($B290:$J290)+COUNTA($M290))&gt;0),"",COUNTIFS($L$5:$L290,"?*",$O$5:$O290,$O290))</f>
        <v/>
      </c>
      <c r="B290" s="61" t="n"/>
      <c r="C290" s="61" t="n"/>
      <c r="D290" s="62" t="n"/>
      <c r="E290" s="62" t="n"/>
      <c r="F290" s="63" t="n"/>
      <c r="G290" s="64" t="n"/>
      <c r="H290" s="64" t="n"/>
      <c r="I290" s="64" t="n"/>
      <c r="J290" s="64" t="n"/>
      <c r="K290" s="65">
        <f>IF(NOT((COUNTA($B290:$J290)+COUNTA($M290))&gt;0),"",IFERROR(LOOKUP(2,1/(G290:J290&lt;&gt;""),G290:J290),0))</f>
        <v/>
      </c>
      <c r="L290" s="60">
        <f>IF(K290="","",IF(K290&gt;=1,"Completado",IF(K290&gt;0,"En curso","Pendiente")))</f>
        <v/>
      </c>
      <c r="M290" s="61" t="n"/>
      <c r="N290" s="66">
        <f>IF(NOT((COUNTA($B290:$J290)+COUNTA($M290))&gt;0),"",IF((IF(B290="","Macroactividad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 OK","⚠ "&amp;LEFT(IF(B290="","Macroactividad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",""),LEN(IF(B290="","Macroactividad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",""))-3)))</f>
        <v/>
      </c>
      <c r="O290" s="67">
        <f>IF(NOT((COUNTA($B290:$J290)+COUNTA($M290))&gt;0),"",IF(ISNUMBER($D290),DATE(YEAR($D290),MONTH($D290),1),IF(ISNUMBER($E290),DATE(YEAR($E290),MONTH($E290),1),MesCiclo)))</f>
        <v/>
      </c>
      <c r="P290" s="68">
        <f>IF(OR($O290="",$O290&lt;&gt;MesCiclo),"",COUNTIF($O$5:$O290,MesCiclo))</f>
        <v/>
      </c>
    </row>
    <row r="291">
      <c r="A291" s="60">
        <f>IF(NOT((COUNTA($B291:$J291)+COUNTA($M291))&gt;0),"",COUNTIFS($L$5:$L291,"?*",$O$5:$O291,$O291))</f>
        <v/>
      </c>
      <c r="B291" s="61" t="n"/>
      <c r="C291" s="61" t="n"/>
      <c r="D291" s="62" t="n"/>
      <c r="E291" s="62" t="n"/>
      <c r="F291" s="63" t="n"/>
      <c r="G291" s="64" t="n"/>
      <c r="H291" s="64" t="n"/>
      <c r="I291" s="64" t="n"/>
      <c r="J291" s="64" t="n"/>
      <c r="K291" s="65">
        <f>IF(NOT((COUNTA($B291:$J291)+COUNTA($M291))&gt;0),"",IFERROR(LOOKUP(2,1/(G291:J291&lt;&gt;""),G291:J291),0))</f>
        <v/>
      </c>
      <c r="L291" s="60">
        <f>IF(K291="","",IF(K291&gt;=1,"Completado",IF(K291&gt;0,"En curso","Pendiente")))</f>
        <v/>
      </c>
      <c r="M291" s="61" t="n"/>
      <c r="N291" s="66">
        <f>IF(NOT((COUNTA($B291:$J291)+COUNTA($M291))&gt;0),"",IF((IF(B291="","Macroactividad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 OK","⚠ "&amp;LEFT(IF(B291="","Macroactividad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",""),LEN(IF(B291="","Macroactividad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",""))-3)))</f>
        <v/>
      </c>
      <c r="O291" s="67">
        <f>IF(NOT((COUNTA($B291:$J291)+COUNTA($M291))&gt;0),"",IF(ISNUMBER($D291),DATE(YEAR($D291),MONTH($D291),1),IF(ISNUMBER($E291),DATE(YEAR($E291),MONTH($E291),1),MesCiclo)))</f>
        <v/>
      </c>
      <c r="P291" s="68">
        <f>IF(OR($O291="",$O291&lt;&gt;MesCiclo),"",COUNTIF($O$5:$O291,MesCiclo))</f>
        <v/>
      </c>
    </row>
    <row r="292">
      <c r="A292" s="60">
        <f>IF(NOT((COUNTA($B292:$J292)+COUNTA($M292))&gt;0),"",COUNTIFS($L$5:$L292,"?*",$O$5:$O292,$O292))</f>
        <v/>
      </c>
      <c r="B292" s="61" t="n"/>
      <c r="C292" s="61" t="n"/>
      <c r="D292" s="62" t="n"/>
      <c r="E292" s="62" t="n"/>
      <c r="F292" s="63" t="n"/>
      <c r="G292" s="64" t="n"/>
      <c r="H292" s="64" t="n"/>
      <c r="I292" s="64" t="n"/>
      <c r="J292" s="64" t="n"/>
      <c r="K292" s="65">
        <f>IF(NOT((COUNTA($B292:$J292)+COUNTA($M292))&gt;0),"",IFERROR(LOOKUP(2,1/(G292:J292&lt;&gt;""),G292:J292),0))</f>
        <v/>
      </c>
      <c r="L292" s="60">
        <f>IF(K292="","",IF(K292&gt;=1,"Completado",IF(K292&gt;0,"En curso","Pendiente")))</f>
        <v/>
      </c>
      <c r="M292" s="61" t="n"/>
      <c r="N292" s="66">
        <f>IF(NOT((COUNTA($B292:$J292)+COUNTA($M292))&gt;0),"",IF((IF(B292="","Macroactividad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 OK","⚠ "&amp;LEFT(IF(B292="","Macroactividad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",""),LEN(IF(B292="","Macroactividad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",""))-3)))</f>
        <v/>
      </c>
      <c r="O292" s="67">
        <f>IF(NOT((COUNTA($B292:$J292)+COUNTA($M292))&gt;0),"",IF(ISNUMBER($D292),DATE(YEAR($D292),MONTH($D292),1),IF(ISNUMBER($E292),DATE(YEAR($E292),MONTH($E292),1),MesCiclo)))</f>
        <v/>
      </c>
      <c r="P292" s="68">
        <f>IF(OR($O292="",$O292&lt;&gt;MesCiclo),"",COUNTIF($O$5:$O292,MesCiclo))</f>
        <v/>
      </c>
    </row>
    <row r="293">
      <c r="A293" s="60">
        <f>IF(NOT((COUNTA($B293:$J293)+COUNTA($M293))&gt;0),"",COUNTIFS($L$5:$L293,"?*",$O$5:$O293,$O293))</f>
        <v/>
      </c>
      <c r="B293" s="61" t="n"/>
      <c r="C293" s="61" t="n"/>
      <c r="D293" s="62" t="n"/>
      <c r="E293" s="62" t="n"/>
      <c r="F293" s="63" t="n"/>
      <c r="G293" s="64" t="n"/>
      <c r="H293" s="64" t="n"/>
      <c r="I293" s="64" t="n"/>
      <c r="J293" s="64" t="n"/>
      <c r="K293" s="65">
        <f>IF(NOT((COUNTA($B293:$J293)+COUNTA($M293))&gt;0),"",IFERROR(LOOKUP(2,1/(G293:J293&lt;&gt;""),G293:J293),0))</f>
        <v/>
      </c>
      <c r="L293" s="60">
        <f>IF(K293="","",IF(K293&gt;=1,"Completado",IF(K293&gt;0,"En curso","Pendiente")))</f>
        <v/>
      </c>
      <c r="M293" s="61" t="n"/>
      <c r="N293" s="66">
        <f>IF(NOT((COUNTA($B293:$J293)+COUNTA($M293))&gt;0),"",IF((IF(B293="","Macroactividad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 OK","⚠ "&amp;LEFT(IF(B293="","Macroactividad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",""),LEN(IF(B293="","Macroactividad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",""))-3)))</f>
        <v/>
      </c>
      <c r="O293" s="67">
        <f>IF(NOT((COUNTA($B293:$J293)+COUNTA($M293))&gt;0),"",IF(ISNUMBER($D293),DATE(YEAR($D293),MONTH($D293),1),IF(ISNUMBER($E293),DATE(YEAR($E293),MONTH($E293),1),MesCiclo)))</f>
        <v/>
      </c>
      <c r="P293" s="68">
        <f>IF(OR($O293="",$O293&lt;&gt;MesCiclo),"",COUNTIF($O$5:$O293,MesCiclo))</f>
        <v/>
      </c>
    </row>
    <row r="294">
      <c r="A294" s="60">
        <f>IF(NOT((COUNTA($B294:$J294)+COUNTA($M294))&gt;0),"",COUNTIFS($L$5:$L294,"?*",$O$5:$O294,$O294))</f>
        <v/>
      </c>
      <c r="B294" s="61" t="n"/>
      <c r="C294" s="61" t="n"/>
      <c r="D294" s="62" t="n"/>
      <c r="E294" s="62" t="n"/>
      <c r="F294" s="63" t="n"/>
      <c r="G294" s="64" t="n"/>
      <c r="H294" s="64" t="n"/>
      <c r="I294" s="64" t="n"/>
      <c r="J294" s="64" t="n"/>
      <c r="K294" s="65">
        <f>IF(NOT((COUNTA($B294:$J294)+COUNTA($M294))&gt;0),"",IFERROR(LOOKUP(2,1/(G294:J294&lt;&gt;""),G294:J294),0))</f>
        <v/>
      </c>
      <c r="L294" s="60">
        <f>IF(K294="","",IF(K294&gt;=1,"Completado",IF(K294&gt;0,"En curso","Pendiente")))</f>
        <v/>
      </c>
      <c r="M294" s="61" t="n"/>
      <c r="N294" s="66">
        <f>IF(NOT((COUNTA($B294:$J294)+COUNTA($M294))&gt;0),"",IF((IF(B294="","Macroactividad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 OK","⚠ "&amp;LEFT(IF(B294="","Macroactividad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",""),LEN(IF(B294="","Macroactividad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",""))-3)))</f>
        <v/>
      </c>
      <c r="O294" s="67">
        <f>IF(NOT((COUNTA($B294:$J294)+COUNTA($M294))&gt;0),"",IF(ISNUMBER($D294),DATE(YEAR($D294),MONTH($D294),1),IF(ISNUMBER($E294),DATE(YEAR($E294),MONTH($E294),1),MesCiclo)))</f>
        <v/>
      </c>
      <c r="P294" s="68">
        <f>IF(OR($O294="",$O294&lt;&gt;MesCiclo),"",COUNTIF($O$5:$O294,MesCiclo))</f>
        <v/>
      </c>
    </row>
    <row r="295">
      <c r="A295" s="60">
        <f>IF(NOT((COUNTA($B295:$J295)+COUNTA($M295))&gt;0),"",COUNTIFS($L$5:$L295,"?*",$O$5:$O295,$O295))</f>
        <v/>
      </c>
      <c r="B295" s="61" t="n"/>
      <c r="C295" s="61" t="n"/>
      <c r="D295" s="62" t="n"/>
      <c r="E295" s="62" t="n"/>
      <c r="F295" s="63" t="n"/>
      <c r="G295" s="64" t="n"/>
      <c r="H295" s="64" t="n"/>
      <c r="I295" s="64" t="n"/>
      <c r="J295" s="64" t="n"/>
      <c r="K295" s="65">
        <f>IF(NOT((COUNTA($B295:$J295)+COUNTA($M295))&gt;0),"",IFERROR(LOOKUP(2,1/(G295:J295&lt;&gt;""),G295:J295),0))</f>
        <v/>
      </c>
      <c r="L295" s="60">
        <f>IF(K295="","",IF(K295&gt;=1,"Completado",IF(K295&gt;0,"En curso","Pendiente")))</f>
        <v/>
      </c>
      <c r="M295" s="61" t="n"/>
      <c r="N295" s="66">
        <f>IF(NOT((COUNTA($B295:$J295)+COUNTA($M295))&gt;0),"",IF((IF(B295="","Macroactividad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 OK","⚠ "&amp;LEFT(IF(B295="","Macroactividad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",""),LEN(IF(B295="","Macroactividad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",""))-3)))</f>
        <v/>
      </c>
      <c r="O295" s="67">
        <f>IF(NOT((COUNTA($B295:$J295)+COUNTA($M295))&gt;0),"",IF(ISNUMBER($D295),DATE(YEAR($D295),MONTH($D295),1),IF(ISNUMBER($E295),DATE(YEAR($E295),MONTH($E295),1),MesCiclo)))</f>
        <v/>
      </c>
      <c r="P295" s="68">
        <f>IF(OR($O295="",$O295&lt;&gt;MesCiclo),"",COUNTIF($O$5:$O295,MesCiclo))</f>
        <v/>
      </c>
    </row>
    <row r="296">
      <c r="A296" s="60">
        <f>IF(NOT((COUNTA($B296:$J296)+COUNTA($M296))&gt;0),"",COUNTIFS($L$5:$L296,"?*",$O$5:$O296,$O296))</f>
        <v/>
      </c>
      <c r="B296" s="61" t="n"/>
      <c r="C296" s="61" t="n"/>
      <c r="D296" s="62" t="n"/>
      <c r="E296" s="62" t="n"/>
      <c r="F296" s="63" t="n"/>
      <c r="G296" s="64" t="n"/>
      <c r="H296" s="64" t="n"/>
      <c r="I296" s="64" t="n"/>
      <c r="J296" s="64" t="n"/>
      <c r="K296" s="65">
        <f>IF(NOT((COUNTA($B296:$J296)+COUNTA($M296))&gt;0),"",IFERROR(LOOKUP(2,1/(G296:J296&lt;&gt;""),G296:J296),0))</f>
        <v/>
      </c>
      <c r="L296" s="60">
        <f>IF(K296="","",IF(K296&gt;=1,"Completado",IF(K296&gt;0,"En curso","Pendiente")))</f>
        <v/>
      </c>
      <c r="M296" s="61" t="n"/>
      <c r="N296" s="66">
        <f>IF(NOT((COUNTA($B296:$J296)+COUNTA($M296))&gt;0),"",IF((IF(B296="","Macroactividad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 OK","⚠ "&amp;LEFT(IF(B296="","Macroactividad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",""),LEN(IF(B296="","Macroactividad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",""))-3)))</f>
        <v/>
      </c>
      <c r="O296" s="67">
        <f>IF(NOT((COUNTA($B296:$J296)+COUNTA($M296))&gt;0),"",IF(ISNUMBER($D296),DATE(YEAR($D296),MONTH($D296),1),IF(ISNUMBER($E296),DATE(YEAR($E296),MONTH($E296),1),MesCiclo)))</f>
        <v/>
      </c>
      <c r="P296" s="68">
        <f>IF(OR($O296="",$O296&lt;&gt;MesCiclo),"",COUNTIF($O$5:$O296,MesCiclo))</f>
        <v/>
      </c>
    </row>
    <row r="297">
      <c r="A297" s="60">
        <f>IF(NOT((COUNTA($B297:$J297)+COUNTA($M297))&gt;0),"",COUNTIFS($L$5:$L297,"?*",$O$5:$O297,$O297))</f>
        <v/>
      </c>
      <c r="B297" s="61" t="n"/>
      <c r="C297" s="61" t="n"/>
      <c r="D297" s="62" t="n"/>
      <c r="E297" s="62" t="n"/>
      <c r="F297" s="63" t="n"/>
      <c r="G297" s="64" t="n"/>
      <c r="H297" s="64" t="n"/>
      <c r="I297" s="64" t="n"/>
      <c r="J297" s="64" t="n"/>
      <c r="K297" s="65">
        <f>IF(NOT((COUNTA($B297:$J297)+COUNTA($M297))&gt;0),"",IFERROR(LOOKUP(2,1/(G297:J297&lt;&gt;""),G297:J297),0))</f>
        <v/>
      </c>
      <c r="L297" s="60">
        <f>IF(K297="","",IF(K297&gt;=1,"Completado",IF(K297&gt;0,"En curso","Pendiente")))</f>
        <v/>
      </c>
      <c r="M297" s="61" t="n"/>
      <c r="N297" s="66">
        <f>IF(NOT((COUNTA($B297:$J297)+COUNTA($M297))&gt;0),"",IF((IF(B297="","Macroactividad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 OK","⚠ "&amp;LEFT(IF(B297="","Macroactividad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",""),LEN(IF(B297="","Macroactividad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",""))-3)))</f>
        <v/>
      </c>
      <c r="O297" s="67">
        <f>IF(NOT((COUNTA($B297:$J297)+COUNTA($M297))&gt;0),"",IF(ISNUMBER($D297),DATE(YEAR($D297),MONTH($D297),1),IF(ISNUMBER($E297),DATE(YEAR($E297),MONTH($E297),1),MesCiclo)))</f>
        <v/>
      </c>
      <c r="P297" s="68">
        <f>IF(OR($O297="",$O297&lt;&gt;MesCiclo),"",COUNTIF($O$5:$O297,MesCiclo))</f>
        <v/>
      </c>
    </row>
    <row r="298">
      <c r="A298" s="60">
        <f>IF(NOT((COUNTA($B298:$J298)+COUNTA($M298))&gt;0),"",COUNTIFS($L$5:$L298,"?*",$O$5:$O298,$O298))</f>
        <v/>
      </c>
      <c r="B298" s="61" t="n"/>
      <c r="C298" s="61" t="n"/>
      <c r="D298" s="62" t="n"/>
      <c r="E298" s="62" t="n"/>
      <c r="F298" s="63" t="n"/>
      <c r="G298" s="64" t="n"/>
      <c r="H298" s="64" t="n"/>
      <c r="I298" s="64" t="n"/>
      <c r="J298" s="64" t="n"/>
      <c r="K298" s="65">
        <f>IF(NOT((COUNTA($B298:$J298)+COUNTA($M298))&gt;0),"",IFERROR(LOOKUP(2,1/(G298:J298&lt;&gt;""),G298:J298),0))</f>
        <v/>
      </c>
      <c r="L298" s="60">
        <f>IF(K298="","",IF(K298&gt;=1,"Completado",IF(K298&gt;0,"En curso","Pendiente")))</f>
        <v/>
      </c>
      <c r="M298" s="61" t="n"/>
      <c r="N298" s="66">
        <f>IF(NOT((COUNTA($B298:$J298)+COUNTA($M298))&gt;0),"",IF((IF(B298="","Macroactividad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 OK","⚠ "&amp;LEFT(IF(B298="","Macroactividad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",""),LEN(IF(B298="","Macroactividad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",""))-3)))</f>
        <v/>
      </c>
      <c r="O298" s="67">
        <f>IF(NOT((COUNTA($B298:$J298)+COUNTA($M298))&gt;0),"",IF(ISNUMBER($D298),DATE(YEAR($D298),MONTH($D298),1),IF(ISNUMBER($E298),DATE(YEAR($E298),MONTH($E298),1),MesCiclo)))</f>
        <v/>
      </c>
      <c r="P298" s="68">
        <f>IF(OR($O298="",$O298&lt;&gt;MesCiclo),"",COUNTIF($O$5:$O298,MesCiclo))</f>
        <v/>
      </c>
    </row>
    <row r="299">
      <c r="A299" s="60">
        <f>IF(NOT((COUNTA($B299:$J299)+COUNTA($M299))&gt;0),"",COUNTIFS($L$5:$L299,"?*",$O$5:$O299,$O299))</f>
        <v/>
      </c>
      <c r="B299" s="61" t="n"/>
      <c r="C299" s="61" t="n"/>
      <c r="D299" s="62" t="n"/>
      <c r="E299" s="62" t="n"/>
      <c r="F299" s="63" t="n"/>
      <c r="G299" s="64" t="n"/>
      <c r="H299" s="64" t="n"/>
      <c r="I299" s="64" t="n"/>
      <c r="J299" s="64" t="n"/>
      <c r="K299" s="65">
        <f>IF(NOT((COUNTA($B299:$J299)+COUNTA($M299))&gt;0),"",IFERROR(LOOKUP(2,1/(G299:J299&lt;&gt;""),G299:J299),0))</f>
        <v/>
      </c>
      <c r="L299" s="60">
        <f>IF(K299="","",IF(K299&gt;=1,"Completado",IF(K299&gt;0,"En curso","Pendiente")))</f>
        <v/>
      </c>
      <c r="M299" s="61" t="n"/>
      <c r="N299" s="66">
        <f>IF(NOT((COUNTA($B299:$J299)+COUNTA($M299))&gt;0),"",IF((IF(B299="","Macroactividad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 OK","⚠ "&amp;LEFT(IF(B299="","Macroactividad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",""),LEN(IF(B299="","Macroactividad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",""))-3)))</f>
        <v/>
      </c>
      <c r="O299" s="67">
        <f>IF(NOT((COUNTA($B299:$J299)+COUNTA($M299))&gt;0),"",IF(ISNUMBER($D299),DATE(YEAR($D299),MONTH($D299),1),IF(ISNUMBER($E299),DATE(YEAR($E299),MONTH($E299),1),MesCiclo)))</f>
        <v/>
      </c>
      <c r="P299" s="68">
        <f>IF(OR($O299="",$O299&lt;&gt;MesCiclo),"",COUNTIF($O$5:$O299,MesCiclo))</f>
        <v/>
      </c>
    </row>
    <row r="300">
      <c r="A300" s="60">
        <f>IF(NOT((COUNTA($B300:$J300)+COUNTA($M300))&gt;0),"",COUNTIFS($L$5:$L300,"?*",$O$5:$O300,$O300))</f>
        <v/>
      </c>
      <c r="B300" s="61" t="n"/>
      <c r="C300" s="61" t="n"/>
      <c r="D300" s="62" t="n"/>
      <c r="E300" s="62" t="n"/>
      <c r="F300" s="63" t="n"/>
      <c r="G300" s="64" t="n"/>
      <c r="H300" s="64" t="n"/>
      <c r="I300" s="64" t="n"/>
      <c r="J300" s="64" t="n"/>
      <c r="K300" s="65">
        <f>IF(NOT((COUNTA($B300:$J300)+COUNTA($M300))&gt;0),"",IFERROR(LOOKUP(2,1/(G300:J300&lt;&gt;""),G300:J300),0))</f>
        <v/>
      </c>
      <c r="L300" s="60">
        <f>IF(K300="","",IF(K300&gt;=1,"Completado",IF(K300&gt;0,"En curso","Pendiente")))</f>
        <v/>
      </c>
      <c r="M300" s="61" t="n"/>
      <c r="N300" s="66">
        <f>IF(NOT((COUNTA($B300:$J300)+COUNTA($M300))&gt;0),"",IF((IF(B300="","Macroactividad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 OK","⚠ "&amp;LEFT(IF(B300="","Macroactividad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",""),LEN(IF(B300="","Macroactividad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",""))-3)))</f>
        <v/>
      </c>
      <c r="O300" s="67">
        <f>IF(NOT((COUNTA($B300:$J300)+COUNTA($M300))&gt;0),"",IF(ISNUMBER($D300),DATE(YEAR($D300),MONTH($D300),1),IF(ISNUMBER($E300),DATE(YEAR($E300),MONTH($E300),1),MesCiclo)))</f>
        <v/>
      </c>
      <c r="P300" s="68">
        <f>IF(OR($O300="",$O300&lt;&gt;MesCiclo),"",COUNTIF($O$5:$O300,MesCiclo))</f>
        <v/>
      </c>
    </row>
    <row r="301">
      <c r="A301" s="60">
        <f>IF(NOT((COUNTA($B301:$J301)+COUNTA($M301))&gt;0),"",COUNTIFS($L$5:$L301,"?*",$O$5:$O301,$O301))</f>
        <v/>
      </c>
      <c r="B301" s="61" t="n"/>
      <c r="C301" s="61" t="n"/>
      <c r="D301" s="62" t="n"/>
      <c r="E301" s="62" t="n"/>
      <c r="F301" s="63" t="n"/>
      <c r="G301" s="64" t="n"/>
      <c r="H301" s="64" t="n"/>
      <c r="I301" s="64" t="n"/>
      <c r="J301" s="64" t="n"/>
      <c r="K301" s="65">
        <f>IF(NOT((COUNTA($B301:$J301)+COUNTA($M301))&gt;0),"",IFERROR(LOOKUP(2,1/(G301:J301&lt;&gt;""),G301:J301),0))</f>
        <v/>
      </c>
      <c r="L301" s="60">
        <f>IF(K301="","",IF(K301&gt;=1,"Completado",IF(K301&gt;0,"En curso","Pendiente")))</f>
        <v/>
      </c>
      <c r="M301" s="61" t="n"/>
      <c r="N301" s="66">
        <f>IF(NOT((COUNTA($B301:$J301)+COUNTA($M301))&gt;0),"",IF((IF(B301="","Macroactividad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 OK","⚠ "&amp;LEFT(IF(B301="","Macroactividad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",""),LEN(IF(B301="","Macroactividad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",""))-3)))</f>
        <v/>
      </c>
      <c r="O301" s="67">
        <f>IF(NOT((COUNTA($B301:$J301)+COUNTA($M301))&gt;0),"",IF(ISNUMBER($D301),DATE(YEAR($D301),MONTH($D301),1),IF(ISNUMBER($E301),DATE(YEAR($E301),MONTH($E301),1),MesCiclo)))</f>
        <v/>
      </c>
      <c r="P301" s="68">
        <f>IF(OR($O301="",$O301&lt;&gt;MesCiclo),"",COUNTIF($O$5:$O301,MesCiclo))</f>
        <v/>
      </c>
    </row>
    <row r="302">
      <c r="A302" s="60">
        <f>IF(NOT((COUNTA($B302:$J302)+COUNTA($M302))&gt;0),"",COUNTIFS($L$5:$L302,"?*",$O$5:$O302,$O302))</f>
        <v/>
      </c>
      <c r="B302" s="61" t="n"/>
      <c r="C302" s="61" t="n"/>
      <c r="D302" s="62" t="n"/>
      <c r="E302" s="62" t="n"/>
      <c r="F302" s="63" t="n"/>
      <c r="G302" s="64" t="n"/>
      <c r="H302" s="64" t="n"/>
      <c r="I302" s="64" t="n"/>
      <c r="J302" s="64" t="n"/>
      <c r="K302" s="65">
        <f>IF(NOT((COUNTA($B302:$J302)+COUNTA($M302))&gt;0),"",IFERROR(LOOKUP(2,1/(G302:J302&lt;&gt;""),G302:J302),0))</f>
        <v/>
      </c>
      <c r="L302" s="60">
        <f>IF(K302="","",IF(K302&gt;=1,"Completado",IF(K302&gt;0,"En curso","Pendiente")))</f>
        <v/>
      </c>
      <c r="M302" s="61" t="n"/>
      <c r="N302" s="66">
        <f>IF(NOT((COUNTA($B302:$J302)+COUNTA($M302))&gt;0),"",IF((IF(B302="","Macroactividad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 OK","⚠ "&amp;LEFT(IF(B302="","Macroactividad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",""),LEN(IF(B302="","Macroactividad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",""))-3)))</f>
        <v/>
      </c>
      <c r="O302" s="67">
        <f>IF(NOT((COUNTA($B302:$J302)+COUNTA($M302))&gt;0),"",IF(ISNUMBER($D302),DATE(YEAR($D302),MONTH($D302),1),IF(ISNUMBER($E302),DATE(YEAR($E302),MONTH($E302),1),MesCiclo)))</f>
        <v/>
      </c>
      <c r="P302" s="68">
        <f>IF(OR($O302="",$O302&lt;&gt;MesCiclo),"",COUNTIF($O$5:$O302,MesCiclo))</f>
        <v/>
      </c>
    </row>
    <row r="303">
      <c r="A303" s="60">
        <f>IF(NOT((COUNTA($B303:$J303)+COUNTA($M303))&gt;0),"",COUNTIFS($L$5:$L303,"?*",$O$5:$O303,$O303))</f>
        <v/>
      </c>
      <c r="B303" s="61" t="n"/>
      <c r="C303" s="61" t="n"/>
      <c r="D303" s="62" t="n"/>
      <c r="E303" s="62" t="n"/>
      <c r="F303" s="63" t="n"/>
      <c r="G303" s="64" t="n"/>
      <c r="H303" s="64" t="n"/>
      <c r="I303" s="64" t="n"/>
      <c r="J303" s="64" t="n"/>
      <c r="K303" s="65">
        <f>IF(NOT((COUNTA($B303:$J303)+COUNTA($M303))&gt;0),"",IFERROR(LOOKUP(2,1/(G303:J303&lt;&gt;""),G303:J303),0))</f>
        <v/>
      </c>
      <c r="L303" s="60">
        <f>IF(K303="","",IF(K303&gt;=1,"Completado",IF(K303&gt;0,"En curso","Pendiente")))</f>
        <v/>
      </c>
      <c r="M303" s="61" t="n"/>
      <c r="N303" s="66">
        <f>IF(NOT((COUNTA($B303:$J303)+COUNTA($M303))&gt;0),"",IF((IF(B303="","Macroactividad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 OK","⚠ "&amp;LEFT(IF(B303="","Macroactividad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",""),LEN(IF(B303="","Macroactividad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",""))-3)))</f>
        <v/>
      </c>
      <c r="O303" s="67">
        <f>IF(NOT((COUNTA($B303:$J303)+COUNTA($M303))&gt;0),"",IF(ISNUMBER($D303),DATE(YEAR($D303),MONTH($D303),1),IF(ISNUMBER($E303),DATE(YEAR($E303),MONTH($E303),1),MesCiclo)))</f>
        <v/>
      </c>
      <c r="P303" s="68">
        <f>IF(OR($O303="",$O303&lt;&gt;MesCiclo),"",COUNTIF($O$5:$O303,MesCiclo))</f>
        <v/>
      </c>
    </row>
    <row r="304">
      <c r="A304" s="60">
        <f>IF(NOT((COUNTA($B304:$J304)+COUNTA($M304))&gt;0),"",COUNTIFS($L$5:$L304,"?*",$O$5:$O304,$O304))</f>
        <v/>
      </c>
      <c r="B304" s="61" t="n"/>
      <c r="C304" s="61" t="n"/>
      <c r="D304" s="62" t="n"/>
      <c r="E304" s="62" t="n"/>
      <c r="F304" s="63" t="n"/>
      <c r="G304" s="64" t="n"/>
      <c r="H304" s="64" t="n"/>
      <c r="I304" s="64" t="n"/>
      <c r="J304" s="64" t="n"/>
      <c r="K304" s="65">
        <f>IF(NOT((COUNTA($B304:$J304)+COUNTA($M304))&gt;0),"",IFERROR(LOOKUP(2,1/(G304:J304&lt;&gt;""),G304:J304),0))</f>
        <v/>
      </c>
      <c r="L304" s="60">
        <f>IF(K304="","",IF(K304&gt;=1,"Completado",IF(K304&gt;0,"En curso","Pendiente")))</f>
        <v/>
      </c>
      <c r="M304" s="61" t="n"/>
      <c r="N304" s="66">
        <f>IF(NOT((COUNTA($B304:$J304)+COUNTA($M304))&gt;0),"",IF((IF(B304="","Macroactividad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 OK","⚠ "&amp;LEFT(IF(B304="","Macroactividad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",""),LEN(IF(B304="","Macroactividad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",""))-3)))</f>
        <v/>
      </c>
      <c r="O304" s="67">
        <f>IF(NOT((COUNTA($B304:$J304)+COUNTA($M304))&gt;0),"",IF(ISNUMBER($D304),DATE(YEAR($D304),MONTH($D304),1),IF(ISNUMBER($E304),DATE(YEAR($E304),MONTH($E304),1),MesCiclo)))</f>
        <v/>
      </c>
      <c r="P304" s="68">
        <f>IF(OR($O304="",$O304&lt;&gt;MesCiclo),"",COUNTIF($O$5:$O304,MesCiclo))</f>
        <v/>
      </c>
    </row>
  </sheetData>
  <sheetProtection selectLockedCells="0" selectUnlockedCells="0" sheet="1" objects="0" insertRows="1" insertHyperlinks="1" autoFilter="0" scenarios="0" formatColumns="0" deleteColumns="1" insertColumns="1" pivotTables="1" deleteRows="1" formatCells="1" formatRows="0" sort="0"/>
  <mergeCells count="3">
    <mergeCell ref="A1:O1"/>
    <mergeCell ref="E3:F3"/>
    <mergeCell ref="A2:O2"/>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10">
      <formula>LEFT($N5,1)="✔"</formula>
    </cfRule>
  </conditionalFormatting>
  <conditionalFormatting sqref="O5:O1000">
    <cfRule type="expression" priority="18" dxfId="1">
      <formula>AND($O5&lt;&gt;"",$O5=MesCiclo)</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s>
  <sheetData>
    <row r="1" ht="28" customHeight="1">
      <c r="A1" s="76" t="inlineStr">
        <is>
          <t>Actividades del mes por semana – Riesgo Financiero</t>
        </is>
      </c>
      <c r="B1" s="76" t="n"/>
      <c r="C1" s="76" t="n"/>
      <c r="D1" s="76" t="n"/>
      <c r="E1" s="76" t="n"/>
      <c r="F1" s="76" t="n"/>
      <c r="G1" s="76" t="n"/>
      <c r="H1" s="76" t="n"/>
      <c r="I1" s="76" t="n"/>
      <c r="J1" s="76" t="n"/>
      <c r="K1" s="76" t="n"/>
      <c r="L1" s="76" t="n"/>
      <c r="M1" s="76" t="n"/>
    </row>
    <row r="2" ht="32" customHeight="1">
      <c r="A2" s="69" t="inlineStr">
        <is>
          <t>HOJA AUTOMÁTICA Y BLOQUEADA: muestra solo las actividades del mes indicado abajo, tomadas de «Cronograma R. Financiero». No hay que escribir nada aquí. La barra de color marca las semanas en que cada actividad está programada (de la fecha de inicio a la fecha límite) y dentro aparece el avance registrado en esa semana.</t>
        </is>
      </c>
      <c r="B2" s="69" t="n"/>
      <c r="C2" s="69" t="n"/>
      <c r="D2" s="69" t="n"/>
      <c r="E2" s="69" t="n"/>
      <c r="F2" s="69" t="n"/>
      <c r="G2" s="69" t="n"/>
      <c r="H2" s="69" t="n"/>
      <c r="I2" s="69" t="n"/>
      <c r="J2" s="69" t="n"/>
      <c r="K2" s="69" t="n"/>
      <c r="L2" s="69" t="n"/>
      <c r="M2" s="69" t="n"/>
    </row>
    <row r="3">
      <c r="A3" s="70" t="inlineStr">
        <is>
          <t>Mes:</t>
        </is>
      </c>
      <c r="B3" s="71">
        <f>MesCiclo</f>
        <v/>
      </c>
      <c r="F3" s="72" t="inlineStr">
        <is>
          <t>Semana del:</t>
        </is>
      </c>
      <c r="G3" s="73">
        <f>(InicioCiclo+0)</f>
        <v/>
      </c>
      <c r="H3" s="73">
        <f>(InicioCiclo+7)</f>
        <v/>
      </c>
      <c r="I3" s="73">
        <f>(InicioCiclo+14)</f>
        <v/>
      </c>
      <c r="J3" s="73">
        <f>(InicioCiclo+21)</f>
        <v/>
      </c>
    </row>
    <row r="4" ht="34" customHeight="1">
      <c r="A4" s="59" t="inlineStr">
        <is>
          <t>N°</t>
        </is>
      </c>
      <c r="B4" s="59" t="inlineStr">
        <is>
          <t>Macro Actividad</t>
        </is>
      </c>
      <c r="C4" s="59" t="inlineStr">
        <is>
          <t>Responsable</t>
        </is>
      </c>
      <c r="D4" s="59" t="inlineStr">
        <is>
          <t>Fecha de inicio</t>
        </is>
      </c>
      <c r="E4" s="59" t="inlineStr">
        <is>
          <t>Fecha límite</t>
        </is>
      </c>
      <c r="F4" s="59" t="inlineStr">
        <is>
          <t>Semana de entrega</t>
        </is>
      </c>
      <c r="G4" s="50" t="inlineStr">
        <is>
          <t>Semana 1</t>
        </is>
      </c>
      <c r="H4" s="50" t="inlineStr">
        <is>
          <t>Semana 2</t>
        </is>
      </c>
      <c r="I4" s="50" t="inlineStr">
        <is>
          <t>Semana 3</t>
        </is>
      </c>
      <c r="J4" s="50" t="inlineStr">
        <is>
          <t>Semana 4</t>
        </is>
      </c>
      <c r="K4" s="59" t="inlineStr">
        <is>
          <t>% Avance actual</t>
        </is>
      </c>
      <c r="L4" s="59" t="inlineStr">
        <is>
          <t>Estado</t>
        </is>
      </c>
      <c r="M4" s="59" t="inlineStr">
        <is>
          <t>Observaciones</t>
        </is>
      </c>
      <c r="N4" t="inlineStr">
        <is>
          <t>Fila origen (auxiliar)</t>
        </is>
      </c>
    </row>
    <row r="5">
      <c r="A5" s="60">
        <f>IF($N5="","",INDEX('Cronograma R. Financiero'!$A$5:$A$1000,$N5))</f>
        <v/>
      </c>
      <c r="B5" s="68">
        <f>IF($N5="","",INDEX('Cronograma R. Financiero'!$B$5:$B$1000,$N5)&amp;"")</f>
        <v/>
      </c>
      <c r="C5" s="68">
        <f>IF($N5="","",INDEX('Cronograma R. Financiero'!$C$5:$C$1000,$N5)&amp;"")</f>
        <v/>
      </c>
      <c r="D5" s="74">
        <f>IF($N5="","",IF(INDEX('Cronograma R. Financiero'!$D$5:$D$1000,$N5)="","",INDEX('Cronograma R. Financiero'!$D$5:$D$1000,$N5)))</f>
        <v/>
      </c>
      <c r="E5" s="74">
        <f>IF($N5="","",IF(INDEX('Cronograma R. Financiero'!$E$5:$E$1000,$N5)="","",INDEX('Cronograma R. Financiero'!$E$5:$E$1000,$N5)))</f>
        <v/>
      </c>
      <c r="F5" s="60">
        <f>IF($N5="","",IF(NOT(ISNUMBER($E5)),"",IF($E5&lt;InicioCiclo,"Antes del ciclo",IF($E5&gt;=InicioCiclo+28,"Después del ciclo","Semana "&amp;(INT(($E5-InicioCiclo)/7)+1)))))</f>
        <v/>
      </c>
      <c r="G5" s="65">
        <f>IF($N5="","",IF(INDEX('Cronograma R. Financiero'!$G$5:$G$1000,$N5)="","",INDEX('Cronograma R. Financiero'!$G$5:$G$1000,$N5)))</f>
        <v/>
      </c>
      <c r="H5" s="65">
        <f>IF($N5="","",IF(INDEX('Cronograma R. Financiero'!$H$5:$H$1000,$N5)="","",INDEX('Cronograma R. Financiero'!$H$5:$H$1000,$N5)))</f>
        <v/>
      </c>
      <c r="I5" s="65">
        <f>IF($N5="","",IF(INDEX('Cronograma R. Financiero'!$I$5:$I$1000,$N5)="","",INDEX('Cronograma R. Financiero'!$I$5:$I$1000,$N5)))</f>
        <v/>
      </c>
      <c r="J5" s="65">
        <f>IF($N5="","",IF(INDEX('Cronograma R. Financiero'!$J$5:$J$1000,$N5)="","",INDEX('Cronograma R. Financiero'!$J$5:$J$1000,$N5)))</f>
        <v/>
      </c>
      <c r="K5" s="65">
        <f>IF($N5="","",INDEX('Cronograma R. Financiero'!$K$5:$K$1000,$N5))</f>
        <v/>
      </c>
      <c r="L5" s="60">
        <f>IF($N5="","",IF(N($K5)&gt;=1,"Completado",IF(AND(ISNUMBER($E5),$E5&lt;FechaRef),"Vencida",IF(N($K5)&gt;0,"En curso","Pendiente"))))</f>
        <v/>
      </c>
      <c r="M5" s="68">
        <f>IF($N5="","",INDEX('Cronograma R. Financiero'!$M$5:$M$1000,$N5)&amp;"")</f>
        <v/>
      </c>
      <c r="N5">
        <f>IFERROR(MATCH(ROW()-4,rOrden_RF,0),"")</f>
        <v/>
      </c>
    </row>
    <row r="6">
      <c r="A6" s="60">
        <f>IF($N6="","",INDEX('Cronograma R. Financiero'!$A$5:$A$1000,$N6))</f>
        <v/>
      </c>
      <c r="B6" s="68">
        <f>IF($N6="","",INDEX('Cronograma R. Financiero'!$B$5:$B$1000,$N6)&amp;"")</f>
        <v/>
      </c>
      <c r="C6" s="68">
        <f>IF($N6="","",INDEX('Cronograma R. Financiero'!$C$5:$C$1000,$N6)&amp;"")</f>
        <v/>
      </c>
      <c r="D6" s="74">
        <f>IF($N6="","",IF(INDEX('Cronograma R. Financiero'!$D$5:$D$1000,$N6)="","",INDEX('Cronograma R. Financiero'!$D$5:$D$1000,$N6)))</f>
        <v/>
      </c>
      <c r="E6" s="74">
        <f>IF($N6="","",IF(INDEX('Cronograma R. Financiero'!$E$5:$E$1000,$N6)="","",INDEX('Cronograma R. Financiero'!$E$5:$E$1000,$N6)))</f>
        <v/>
      </c>
      <c r="F6" s="60">
        <f>IF($N6="","",IF(NOT(ISNUMBER($E6)),"",IF($E6&lt;InicioCiclo,"Antes del ciclo",IF($E6&gt;=InicioCiclo+28,"Después del ciclo","Semana "&amp;(INT(($E6-InicioCiclo)/7)+1)))))</f>
        <v/>
      </c>
      <c r="G6" s="65">
        <f>IF($N6="","",IF(INDEX('Cronograma R. Financiero'!$G$5:$G$1000,$N6)="","",INDEX('Cronograma R. Financiero'!$G$5:$G$1000,$N6)))</f>
        <v/>
      </c>
      <c r="H6" s="65">
        <f>IF($N6="","",IF(INDEX('Cronograma R. Financiero'!$H$5:$H$1000,$N6)="","",INDEX('Cronograma R. Financiero'!$H$5:$H$1000,$N6)))</f>
        <v/>
      </c>
      <c r="I6" s="65">
        <f>IF($N6="","",IF(INDEX('Cronograma R. Financiero'!$I$5:$I$1000,$N6)="","",INDEX('Cronograma R. Financiero'!$I$5:$I$1000,$N6)))</f>
        <v/>
      </c>
      <c r="J6" s="65">
        <f>IF($N6="","",IF(INDEX('Cronograma R. Financiero'!$J$5:$J$1000,$N6)="","",INDEX('Cronograma R. Financiero'!$J$5:$J$1000,$N6)))</f>
        <v/>
      </c>
      <c r="K6" s="65">
        <f>IF($N6="","",INDEX('Cronograma R. Financiero'!$K$5:$K$1000,$N6))</f>
        <v/>
      </c>
      <c r="L6" s="60">
        <f>IF($N6="","",IF(N($K6)&gt;=1,"Completado",IF(AND(ISNUMBER($E6),$E6&lt;FechaRef),"Vencida",IF(N($K6)&gt;0,"En curso","Pendiente"))))</f>
        <v/>
      </c>
      <c r="M6" s="68">
        <f>IF($N6="","",INDEX('Cronograma R. Financiero'!$M$5:$M$1000,$N6)&amp;"")</f>
        <v/>
      </c>
      <c r="N6">
        <f>IFERROR(MATCH(ROW()-4,rOrden_RF,0),"")</f>
        <v/>
      </c>
    </row>
    <row r="7">
      <c r="A7" s="60">
        <f>IF($N7="","",INDEX('Cronograma R. Financiero'!$A$5:$A$1000,$N7))</f>
        <v/>
      </c>
      <c r="B7" s="68">
        <f>IF($N7="","",INDEX('Cronograma R. Financiero'!$B$5:$B$1000,$N7)&amp;"")</f>
        <v/>
      </c>
      <c r="C7" s="68">
        <f>IF($N7="","",INDEX('Cronograma R. Financiero'!$C$5:$C$1000,$N7)&amp;"")</f>
        <v/>
      </c>
      <c r="D7" s="74">
        <f>IF($N7="","",IF(INDEX('Cronograma R. Financiero'!$D$5:$D$1000,$N7)="","",INDEX('Cronograma R. Financiero'!$D$5:$D$1000,$N7)))</f>
        <v/>
      </c>
      <c r="E7" s="74">
        <f>IF($N7="","",IF(INDEX('Cronograma R. Financiero'!$E$5:$E$1000,$N7)="","",INDEX('Cronograma R. Financiero'!$E$5:$E$1000,$N7)))</f>
        <v/>
      </c>
      <c r="F7" s="60">
        <f>IF($N7="","",IF(NOT(ISNUMBER($E7)),"",IF($E7&lt;InicioCiclo,"Antes del ciclo",IF($E7&gt;=InicioCiclo+28,"Después del ciclo","Semana "&amp;(INT(($E7-InicioCiclo)/7)+1)))))</f>
        <v/>
      </c>
      <c r="G7" s="65">
        <f>IF($N7="","",IF(INDEX('Cronograma R. Financiero'!$G$5:$G$1000,$N7)="","",INDEX('Cronograma R. Financiero'!$G$5:$G$1000,$N7)))</f>
        <v/>
      </c>
      <c r="H7" s="65">
        <f>IF($N7="","",IF(INDEX('Cronograma R. Financiero'!$H$5:$H$1000,$N7)="","",INDEX('Cronograma R. Financiero'!$H$5:$H$1000,$N7)))</f>
        <v/>
      </c>
      <c r="I7" s="65">
        <f>IF($N7="","",IF(INDEX('Cronograma R. Financiero'!$I$5:$I$1000,$N7)="","",INDEX('Cronograma R. Financiero'!$I$5:$I$1000,$N7)))</f>
        <v/>
      </c>
      <c r="J7" s="65">
        <f>IF($N7="","",IF(INDEX('Cronograma R. Financiero'!$J$5:$J$1000,$N7)="","",INDEX('Cronograma R. Financiero'!$J$5:$J$1000,$N7)))</f>
        <v/>
      </c>
      <c r="K7" s="65">
        <f>IF($N7="","",INDEX('Cronograma R. Financiero'!$K$5:$K$1000,$N7))</f>
        <v/>
      </c>
      <c r="L7" s="60">
        <f>IF($N7="","",IF(N($K7)&gt;=1,"Completado",IF(AND(ISNUMBER($E7),$E7&lt;FechaRef),"Vencida",IF(N($K7)&gt;0,"En curso","Pendiente"))))</f>
        <v/>
      </c>
      <c r="M7" s="68">
        <f>IF($N7="","",INDEX('Cronograma R. Financiero'!$M$5:$M$1000,$N7)&amp;"")</f>
        <v/>
      </c>
      <c r="N7">
        <f>IFERROR(MATCH(ROW()-4,rOrden_RF,0),"")</f>
        <v/>
      </c>
    </row>
    <row r="8">
      <c r="A8" s="60">
        <f>IF($N8="","",INDEX('Cronograma R. Financiero'!$A$5:$A$1000,$N8))</f>
        <v/>
      </c>
      <c r="B8" s="68">
        <f>IF($N8="","",INDEX('Cronograma R. Financiero'!$B$5:$B$1000,$N8)&amp;"")</f>
        <v/>
      </c>
      <c r="C8" s="68">
        <f>IF($N8="","",INDEX('Cronograma R. Financiero'!$C$5:$C$1000,$N8)&amp;"")</f>
        <v/>
      </c>
      <c r="D8" s="74">
        <f>IF($N8="","",IF(INDEX('Cronograma R. Financiero'!$D$5:$D$1000,$N8)="","",INDEX('Cronograma R. Financiero'!$D$5:$D$1000,$N8)))</f>
        <v/>
      </c>
      <c r="E8" s="74">
        <f>IF($N8="","",IF(INDEX('Cronograma R. Financiero'!$E$5:$E$1000,$N8)="","",INDEX('Cronograma R. Financiero'!$E$5:$E$1000,$N8)))</f>
        <v/>
      </c>
      <c r="F8" s="60">
        <f>IF($N8="","",IF(NOT(ISNUMBER($E8)),"",IF($E8&lt;InicioCiclo,"Antes del ciclo",IF($E8&gt;=InicioCiclo+28,"Después del ciclo","Semana "&amp;(INT(($E8-InicioCiclo)/7)+1)))))</f>
        <v/>
      </c>
      <c r="G8" s="65">
        <f>IF($N8="","",IF(INDEX('Cronograma R. Financiero'!$G$5:$G$1000,$N8)="","",INDEX('Cronograma R. Financiero'!$G$5:$G$1000,$N8)))</f>
        <v/>
      </c>
      <c r="H8" s="65">
        <f>IF($N8="","",IF(INDEX('Cronograma R. Financiero'!$H$5:$H$1000,$N8)="","",INDEX('Cronograma R. Financiero'!$H$5:$H$1000,$N8)))</f>
        <v/>
      </c>
      <c r="I8" s="65">
        <f>IF($N8="","",IF(INDEX('Cronograma R. Financiero'!$I$5:$I$1000,$N8)="","",INDEX('Cronograma R. Financiero'!$I$5:$I$1000,$N8)))</f>
        <v/>
      </c>
      <c r="J8" s="65">
        <f>IF($N8="","",IF(INDEX('Cronograma R. Financiero'!$J$5:$J$1000,$N8)="","",INDEX('Cronograma R. Financiero'!$J$5:$J$1000,$N8)))</f>
        <v/>
      </c>
      <c r="K8" s="65">
        <f>IF($N8="","",INDEX('Cronograma R. Financiero'!$K$5:$K$1000,$N8))</f>
        <v/>
      </c>
      <c r="L8" s="60">
        <f>IF($N8="","",IF(N($K8)&gt;=1,"Completado",IF(AND(ISNUMBER($E8),$E8&lt;FechaRef),"Vencida",IF(N($K8)&gt;0,"En curso","Pendiente"))))</f>
        <v/>
      </c>
      <c r="M8" s="68">
        <f>IF($N8="","",INDEX('Cronograma R. Financiero'!$M$5:$M$1000,$N8)&amp;"")</f>
        <v/>
      </c>
      <c r="N8">
        <f>IFERROR(MATCH(ROW()-4,rOrden_RF,0),"")</f>
        <v/>
      </c>
    </row>
    <row r="9">
      <c r="A9" s="60">
        <f>IF($N9="","",INDEX('Cronograma R. Financiero'!$A$5:$A$1000,$N9))</f>
        <v/>
      </c>
      <c r="B9" s="68">
        <f>IF($N9="","",INDEX('Cronograma R. Financiero'!$B$5:$B$1000,$N9)&amp;"")</f>
        <v/>
      </c>
      <c r="C9" s="68">
        <f>IF($N9="","",INDEX('Cronograma R. Financiero'!$C$5:$C$1000,$N9)&amp;"")</f>
        <v/>
      </c>
      <c r="D9" s="74">
        <f>IF($N9="","",IF(INDEX('Cronograma R. Financiero'!$D$5:$D$1000,$N9)="","",INDEX('Cronograma R. Financiero'!$D$5:$D$1000,$N9)))</f>
        <v/>
      </c>
      <c r="E9" s="74">
        <f>IF($N9="","",IF(INDEX('Cronograma R. Financiero'!$E$5:$E$1000,$N9)="","",INDEX('Cronograma R. Financiero'!$E$5:$E$1000,$N9)))</f>
        <v/>
      </c>
      <c r="F9" s="60">
        <f>IF($N9="","",IF(NOT(ISNUMBER($E9)),"",IF($E9&lt;InicioCiclo,"Antes del ciclo",IF($E9&gt;=InicioCiclo+28,"Después del ciclo","Semana "&amp;(INT(($E9-InicioCiclo)/7)+1)))))</f>
        <v/>
      </c>
      <c r="G9" s="65">
        <f>IF($N9="","",IF(INDEX('Cronograma R. Financiero'!$G$5:$G$1000,$N9)="","",INDEX('Cronograma R. Financiero'!$G$5:$G$1000,$N9)))</f>
        <v/>
      </c>
      <c r="H9" s="65">
        <f>IF($N9="","",IF(INDEX('Cronograma R. Financiero'!$H$5:$H$1000,$N9)="","",INDEX('Cronograma R. Financiero'!$H$5:$H$1000,$N9)))</f>
        <v/>
      </c>
      <c r="I9" s="65">
        <f>IF($N9="","",IF(INDEX('Cronograma R. Financiero'!$I$5:$I$1000,$N9)="","",INDEX('Cronograma R. Financiero'!$I$5:$I$1000,$N9)))</f>
        <v/>
      </c>
      <c r="J9" s="65">
        <f>IF($N9="","",IF(INDEX('Cronograma R. Financiero'!$J$5:$J$1000,$N9)="","",INDEX('Cronograma R. Financiero'!$J$5:$J$1000,$N9)))</f>
        <v/>
      </c>
      <c r="K9" s="65">
        <f>IF($N9="","",INDEX('Cronograma R. Financiero'!$K$5:$K$1000,$N9))</f>
        <v/>
      </c>
      <c r="L9" s="60">
        <f>IF($N9="","",IF(N($K9)&gt;=1,"Completado",IF(AND(ISNUMBER($E9),$E9&lt;FechaRef),"Vencida",IF(N($K9)&gt;0,"En curso","Pendiente"))))</f>
        <v/>
      </c>
      <c r="M9" s="68">
        <f>IF($N9="","",INDEX('Cronograma R. Financiero'!$M$5:$M$1000,$N9)&amp;"")</f>
        <v/>
      </c>
      <c r="N9">
        <f>IFERROR(MATCH(ROW()-4,rOrden_RF,0),"")</f>
        <v/>
      </c>
    </row>
    <row r="10">
      <c r="A10" s="60">
        <f>IF($N10="","",INDEX('Cronograma R. Financiero'!$A$5:$A$1000,$N10))</f>
        <v/>
      </c>
      <c r="B10" s="68">
        <f>IF($N10="","",INDEX('Cronograma R. Financiero'!$B$5:$B$1000,$N10)&amp;"")</f>
        <v/>
      </c>
      <c r="C10" s="68">
        <f>IF($N10="","",INDEX('Cronograma R. Financiero'!$C$5:$C$1000,$N10)&amp;"")</f>
        <v/>
      </c>
      <c r="D10" s="74">
        <f>IF($N10="","",IF(INDEX('Cronograma R. Financiero'!$D$5:$D$1000,$N10)="","",INDEX('Cronograma R. Financiero'!$D$5:$D$1000,$N10)))</f>
        <v/>
      </c>
      <c r="E10" s="74">
        <f>IF($N10="","",IF(INDEX('Cronograma R. Financiero'!$E$5:$E$1000,$N10)="","",INDEX('Cronograma R. Financiero'!$E$5:$E$1000,$N10)))</f>
        <v/>
      </c>
      <c r="F10" s="60">
        <f>IF($N10="","",IF(NOT(ISNUMBER($E10)),"",IF($E10&lt;InicioCiclo,"Antes del ciclo",IF($E10&gt;=InicioCiclo+28,"Después del ciclo","Semana "&amp;(INT(($E10-InicioCiclo)/7)+1)))))</f>
        <v/>
      </c>
      <c r="G10" s="65">
        <f>IF($N10="","",IF(INDEX('Cronograma R. Financiero'!$G$5:$G$1000,$N10)="","",INDEX('Cronograma R. Financiero'!$G$5:$G$1000,$N10)))</f>
        <v/>
      </c>
      <c r="H10" s="65">
        <f>IF($N10="","",IF(INDEX('Cronograma R. Financiero'!$H$5:$H$1000,$N10)="","",INDEX('Cronograma R. Financiero'!$H$5:$H$1000,$N10)))</f>
        <v/>
      </c>
      <c r="I10" s="65">
        <f>IF($N10="","",IF(INDEX('Cronograma R. Financiero'!$I$5:$I$1000,$N10)="","",INDEX('Cronograma R. Financiero'!$I$5:$I$1000,$N10)))</f>
        <v/>
      </c>
      <c r="J10" s="65">
        <f>IF($N10="","",IF(INDEX('Cronograma R. Financiero'!$J$5:$J$1000,$N10)="","",INDEX('Cronograma R. Financiero'!$J$5:$J$1000,$N10)))</f>
        <v/>
      </c>
      <c r="K10" s="65">
        <f>IF($N10="","",INDEX('Cronograma R. Financiero'!$K$5:$K$1000,$N10))</f>
        <v/>
      </c>
      <c r="L10" s="60">
        <f>IF($N10="","",IF(N($K10)&gt;=1,"Completado",IF(AND(ISNUMBER($E10),$E10&lt;FechaRef),"Vencida",IF(N($K10)&gt;0,"En curso","Pendiente"))))</f>
        <v/>
      </c>
      <c r="M10" s="68">
        <f>IF($N10="","",INDEX('Cronograma R. Financiero'!$M$5:$M$1000,$N10)&amp;"")</f>
        <v/>
      </c>
      <c r="N10">
        <f>IFERROR(MATCH(ROW()-4,rOrden_RF,0),"")</f>
        <v/>
      </c>
    </row>
    <row r="11">
      <c r="A11" s="60">
        <f>IF($N11="","",INDEX('Cronograma R. Financiero'!$A$5:$A$1000,$N11))</f>
        <v/>
      </c>
      <c r="B11" s="68">
        <f>IF($N11="","",INDEX('Cronograma R. Financiero'!$B$5:$B$1000,$N11)&amp;"")</f>
        <v/>
      </c>
      <c r="C11" s="68">
        <f>IF($N11="","",INDEX('Cronograma R. Financiero'!$C$5:$C$1000,$N11)&amp;"")</f>
        <v/>
      </c>
      <c r="D11" s="74">
        <f>IF($N11="","",IF(INDEX('Cronograma R. Financiero'!$D$5:$D$1000,$N11)="","",INDEX('Cronograma R. Financiero'!$D$5:$D$1000,$N11)))</f>
        <v/>
      </c>
      <c r="E11" s="74">
        <f>IF($N11="","",IF(INDEX('Cronograma R. Financiero'!$E$5:$E$1000,$N11)="","",INDEX('Cronograma R. Financiero'!$E$5:$E$1000,$N11)))</f>
        <v/>
      </c>
      <c r="F11" s="60">
        <f>IF($N11="","",IF(NOT(ISNUMBER($E11)),"",IF($E11&lt;InicioCiclo,"Antes del ciclo",IF($E11&gt;=InicioCiclo+28,"Después del ciclo","Semana "&amp;(INT(($E11-InicioCiclo)/7)+1)))))</f>
        <v/>
      </c>
      <c r="G11" s="65">
        <f>IF($N11="","",IF(INDEX('Cronograma R. Financiero'!$G$5:$G$1000,$N11)="","",INDEX('Cronograma R. Financiero'!$G$5:$G$1000,$N11)))</f>
        <v/>
      </c>
      <c r="H11" s="65">
        <f>IF($N11="","",IF(INDEX('Cronograma R. Financiero'!$H$5:$H$1000,$N11)="","",INDEX('Cronograma R. Financiero'!$H$5:$H$1000,$N11)))</f>
        <v/>
      </c>
      <c r="I11" s="65">
        <f>IF($N11="","",IF(INDEX('Cronograma R. Financiero'!$I$5:$I$1000,$N11)="","",INDEX('Cronograma R. Financiero'!$I$5:$I$1000,$N11)))</f>
        <v/>
      </c>
      <c r="J11" s="65">
        <f>IF($N11="","",IF(INDEX('Cronograma R. Financiero'!$J$5:$J$1000,$N11)="","",INDEX('Cronograma R. Financiero'!$J$5:$J$1000,$N11)))</f>
        <v/>
      </c>
      <c r="K11" s="65">
        <f>IF($N11="","",INDEX('Cronograma R. Financiero'!$K$5:$K$1000,$N11))</f>
        <v/>
      </c>
      <c r="L11" s="60">
        <f>IF($N11="","",IF(N($K11)&gt;=1,"Completado",IF(AND(ISNUMBER($E11),$E11&lt;FechaRef),"Vencida",IF(N($K11)&gt;0,"En curso","Pendiente"))))</f>
        <v/>
      </c>
      <c r="M11" s="68">
        <f>IF($N11="","",INDEX('Cronograma R. Financiero'!$M$5:$M$1000,$N11)&amp;"")</f>
        <v/>
      </c>
      <c r="N11">
        <f>IFERROR(MATCH(ROW()-4,rOrden_RF,0),"")</f>
        <v/>
      </c>
    </row>
    <row r="12">
      <c r="A12" s="60">
        <f>IF($N12="","",INDEX('Cronograma R. Financiero'!$A$5:$A$1000,$N12))</f>
        <v/>
      </c>
      <c r="B12" s="68">
        <f>IF($N12="","",INDEX('Cronograma R. Financiero'!$B$5:$B$1000,$N12)&amp;"")</f>
        <v/>
      </c>
      <c r="C12" s="68">
        <f>IF($N12="","",INDEX('Cronograma R. Financiero'!$C$5:$C$1000,$N12)&amp;"")</f>
        <v/>
      </c>
      <c r="D12" s="74">
        <f>IF($N12="","",IF(INDEX('Cronograma R. Financiero'!$D$5:$D$1000,$N12)="","",INDEX('Cronograma R. Financiero'!$D$5:$D$1000,$N12)))</f>
        <v/>
      </c>
      <c r="E12" s="74">
        <f>IF($N12="","",IF(INDEX('Cronograma R. Financiero'!$E$5:$E$1000,$N12)="","",INDEX('Cronograma R. Financiero'!$E$5:$E$1000,$N12)))</f>
        <v/>
      </c>
      <c r="F12" s="60">
        <f>IF($N12="","",IF(NOT(ISNUMBER($E12)),"",IF($E12&lt;InicioCiclo,"Antes del ciclo",IF($E12&gt;=InicioCiclo+28,"Después del ciclo","Semana "&amp;(INT(($E12-InicioCiclo)/7)+1)))))</f>
        <v/>
      </c>
      <c r="G12" s="65">
        <f>IF($N12="","",IF(INDEX('Cronograma R. Financiero'!$G$5:$G$1000,$N12)="","",INDEX('Cronograma R. Financiero'!$G$5:$G$1000,$N12)))</f>
        <v/>
      </c>
      <c r="H12" s="65">
        <f>IF($N12="","",IF(INDEX('Cronograma R. Financiero'!$H$5:$H$1000,$N12)="","",INDEX('Cronograma R. Financiero'!$H$5:$H$1000,$N12)))</f>
        <v/>
      </c>
      <c r="I12" s="65">
        <f>IF($N12="","",IF(INDEX('Cronograma R. Financiero'!$I$5:$I$1000,$N12)="","",INDEX('Cronograma R. Financiero'!$I$5:$I$1000,$N12)))</f>
        <v/>
      </c>
      <c r="J12" s="65">
        <f>IF($N12="","",IF(INDEX('Cronograma R. Financiero'!$J$5:$J$1000,$N12)="","",INDEX('Cronograma R. Financiero'!$J$5:$J$1000,$N12)))</f>
        <v/>
      </c>
      <c r="K12" s="65">
        <f>IF($N12="","",INDEX('Cronograma R. Financiero'!$K$5:$K$1000,$N12))</f>
        <v/>
      </c>
      <c r="L12" s="60">
        <f>IF($N12="","",IF(N($K12)&gt;=1,"Completado",IF(AND(ISNUMBER($E12),$E12&lt;FechaRef),"Vencida",IF(N($K12)&gt;0,"En curso","Pendiente"))))</f>
        <v/>
      </c>
      <c r="M12" s="68">
        <f>IF($N12="","",INDEX('Cronograma R. Financiero'!$M$5:$M$1000,$N12)&amp;"")</f>
        <v/>
      </c>
      <c r="N12">
        <f>IFERROR(MATCH(ROW()-4,rOrden_RF,0),"")</f>
        <v/>
      </c>
    </row>
    <row r="13">
      <c r="A13" s="60">
        <f>IF($N13="","",INDEX('Cronograma R. Financiero'!$A$5:$A$1000,$N13))</f>
        <v/>
      </c>
      <c r="B13" s="68">
        <f>IF($N13="","",INDEX('Cronograma R. Financiero'!$B$5:$B$1000,$N13)&amp;"")</f>
        <v/>
      </c>
      <c r="C13" s="68">
        <f>IF($N13="","",INDEX('Cronograma R. Financiero'!$C$5:$C$1000,$N13)&amp;"")</f>
        <v/>
      </c>
      <c r="D13" s="74">
        <f>IF($N13="","",IF(INDEX('Cronograma R. Financiero'!$D$5:$D$1000,$N13)="","",INDEX('Cronograma R. Financiero'!$D$5:$D$1000,$N13)))</f>
        <v/>
      </c>
      <c r="E13" s="74">
        <f>IF($N13="","",IF(INDEX('Cronograma R. Financiero'!$E$5:$E$1000,$N13)="","",INDEX('Cronograma R. Financiero'!$E$5:$E$1000,$N13)))</f>
        <v/>
      </c>
      <c r="F13" s="60">
        <f>IF($N13="","",IF(NOT(ISNUMBER($E13)),"",IF($E13&lt;InicioCiclo,"Antes del ciclo",IF($E13&gt;=InicioCiclo+28,"Después del ciclo","Semana "&amp;(INT(($E13-InicioCiclo)/7)+1)))))</f>
        <v/>
      </c>
      <c r="G13" s="65">
        <f>IF($N13="","",IF(INDEX('Cronograma R. Financiero'!$G$5:$G$1000,$N13)="","",INDEX('Cronograma R. Financiero'!$G$5:$G$1000,$N13)))</f>
        <v/>
      </c>
      <c r="H13" s="65">
        <f>IF($N13="","",IF(INDEX('Cronograma R. Financiero'!$H$5:$H$1000,$N13)="","",INDEX('Cronograma R. Financiero'!$H$5:$H$1000,$N13)))</f>
        <v/>
      </c>
      <c r="I13" s="65">
        <f>IF($N13="","",IF(INDEX('Cronograma R. Financiero'!$I$5:$I$1000,$N13)="","",INDEX('Cronograma R. Financiero'!$I$5:$I$1000,$N13)))</f>
        <v/>
      </c>
      <c r="J13" s="65">
        <f>IF($N13="","",IF(INDEX('Cronograma R. Financiero'!$J$5:$J$1000,$N13)="","",INDEX('Cronograma R. Financiero'!$J$5:$J$1000,$N13)))</f>
        <v/>
      </c>
      <c r="K13" s="65">
        <f>IF($N13="","",INDEX('Cronograma R. Financiero'!$K$5:$K$1000,$N13))</f>
        <v/>
      </c>
      <c r="L13" s="60">
        <f>IF($N13="","",IF(N($K13)&gt;=1,"Completado",IF(AND(ISNUMBER($E13),$E13&lt;FechaRef),"Vencida",IF(N($K13)&gt;0,"En curso","Pendiente"))))</f>
        <v/>
      </c>
      <c r="M13" s="68">
        <f>IF($N13="","",INDEX('Cronograma R. Financiero'!$M$5:$M$1000,$N13)&amp;"")</f>
        <v/>
      </c>
      <c r="N13">
        <f>IFERROR(MATCH(ROW()-4,rOrden_RF,0),"")</f>
        <v/>
      </c>
    </row>
    <row r="14">
      <c r="A14" s="60">
        <f>IF($N14="","",INDEX('Cronograma R. Financiero'!$A$5:$A$1000,$N14))</f>
        <v/>
      </c>
      <c r="B14" s="68">
        <f>IF($N14="","",INDEX('Cronograma R. Financiero'!$B$5:$B$1000,$N14)&amp;"")</f>
        <v/>
      </c>
      <c r="C14" s="68">
        <f>IF($N14="","",INDEX('Cronograma R. Financiero'!$C$5:$C$1000,$N14)&amp;"")</f>
        <v/>
      </c>
      <c r="D14" s="74">
        <f>IF($N14="","",IF(INDEX('Cronograma R. Financiero'!$D$5:$D$1000,$N14)="","",INDEX('Cronograma R. Financiero'!$D$5:$D$1000,$N14)))</f>
        <v/>
      </c>
      <c r="E14" s="74">
        <f>IF($N14="","",IF(INDEX('Cronograma R. Financiero'!$E$5:$E$1000,$N14)="","",INDEX('Cronograma R. Financiero'!$E$5:$E$1000,$N14)))</f>
        <v/>
      </c>
      <c r="F14" s="60">
        <f>IF($N14="","",IF(NOT(ISNUMBER($E14)),"",IF($E14&lt;InicioCiclo,"Antes del ciclo",IF($E14&gt;=InicioCiclo+28,"Después del ciclo","Semana "&amp;(INT(($E14-InicioCiclo)/7)+1)))))</f>
        <v/>
      </c>
      <c r="G14" s="65">
        <f>IF($N14="","",IF(INDEX('Cronograma R. Financiero'!$G$5:$G$1000,$N14)="","",INDEX('Cronograma R. Financiero'!$G$5:$G$1000,$N14)))</f>
        <v/>
      </c>
      <c r="H14" s="65">
        <f>IF($N14="","",IF(INDEX('Cronograma R. Financiero'!$H$5:$H$1000,$N14)="","",INDEX('Cronograma R. Financiero'!$H$5:$H$1000,$N14)))</f>
        <v/>
      </c>
      <c r="I14" s="65">
        <f>IF($N14="","",IF(INDEX('Cronograma R. Financiero'!$I$5:$I$1000,$N14)="","",INDEX('Cronograma R. Financiero'!$I$5:$I$1000,$N14)))</f>
        <v/>
      </c>
      <c r="J14" s="65">
        <f>IF($N14="","",IF(INDEX('Cronograma R. Financiero'!$J$5:$J$1000,$N14)="","",INDEX('Cronograma R. Financiero'!$J$5:$J$1000,$N14)))</f>
        <v/>
      </c>
      <c r="K14" s="65">
        <f>IF($N14="","",INDEX('Cronograma R. Financiero'!$K$5:$K$1000,$N14))</f>
        <v/>
      </c>
      <c r="L14" s="60">
        <f>IF($N14="","",IF(N($K14)&gt;=1,"Completado",IF(AND(ISNUMBER($E14),$E14&lt;FechaRef),"Vencida",IF(N($K14)&gt;0,"En curso","Pendiente"))))</f>
        <v/>
      </c>
      <c r="M14" s="68">
        <f>IF($N14="","",INDEX('Cronograma R. Financiero'!$M$5:$M$1000,$N14)&amp;"")</f>
        <v/>
      </c>
      <c r="N14">
        <f>IFERROR(MATCH(ROW()-4,rOrden_RF,0),"")</f>
        <v/>
      </c>
    </row>
    <row r="15">
      <c r="A15" s="60">
        <f>IF($N15="","",INDEX('Cronograma R. Financiero'!$A$5:$A$1000,$N15))</f>
        <v/>
      </c>
      <c r="B15" s="68">
        <f>IF($N15="","",INDEX('Cronograma R. Financiero'!$B$5:$B$1000,$N15)&amp;"")</f>
        <v/>
      </c>
      <c r="C15" s="68">
        <f>IF($N15="","",INDEX('Cronograma R. Financiero'!$C$5:$C$1000,$N15)&amp;"")</f>
        <v/>
      </c>
      <c r="D15" s="74">
        <f>IF($N15="","",IF(INDEX('Cronograma R. Financiero'!$D$5:$D$1000,$N15)="","",INDEX('Cronograma R. Financiero'!$D$5:$D$1000,$N15)))</f>
        <v/>
      </c>
      <c r="E15" s="74">
        <f>IF($N15="","",IF(INDEX('Cronograma R. Financiero'!$E$5:$E$1000,$N15)="","",INDEX('Cronograma R. Financiero'!$E$5:$E$1000,$N15)))</f>
        <v/>
      </c>
      <c r="F15" s="60">
        <f>IF($N15="","",IF(NOT(ISNUMBER($E15)),"",IF($E15&lt;InicioCiclo,"Antes del ciclo",IF($E15&gt;=InicioCiclo+28,"Después del ciclo","Semana "&amp;(INT(($E15-InicioCiclo)/7)+1)))))</f>
        <v/>
      </c>
      <c r="G15" s="65">
        <f>IF($N15="","",IF(INDEX('Cronograma R. Financiero'!$G$5:$G$1000,$N15)="","",INDEX('Cronograma R. Financiero'!$G$5:$G$1000,$N15)))</f>
        <v/>
      </c>
      <c r="H15" s="65">
        <f>IF($N15="","",IF(INDEX('Cronograma R. Financiero'!$H$5:$H$1000,$N15)="","",INDEX('Cronograma R. Financiero'!$H$5:$H$1000,$N15)))</f>
        <v/>
      </c>
      <c r="I15" s="65">
        <f>IF($N15="","",IF(INDEX('Cronograma R. Financiero'!$I$5:$I$1000,$N15)="","",INDEX('Cronograma R. Financiero'!$I$5:$I$1000,$N15)))</f>
        <v/>
      </c>
      <c r="J15" s="65">
        <f>IF($N15="","",IF(INDEX('Cronograma R. Financiero'!$J$5:$J$1000,$N15)="","",INDEX('Cronograma R. Financiero'!$J$5:$J$1000,$N15)))</f>
        <v/>
      </c>
      <c r="K15" s="65">
        <f>IF($N15="","",INDEX('Cronograma R. Financiero'!$K$5:$K$1000,$N15))</f>
        <v/>
      </c>
      <c r="L15" s="60">
        <f>IF($N15="","",IF(N($K15)&gt;=1,"Completado",IF(AND(ISNUMBER($E15),$E15&lt;FechaRef),"Vencida",IF(N($K15)&gt;0,"En curso","Pendiente"))))</f>
        <v/>
      </c>
      <c r="M15" s="68">
        <f>IF($N15="","",INDEX('Cronograma R. Financiero'!$M$5:$M$1000,$N15)&amp;"")</f>
        <v/>
      </c>
      <c r="N15">
        <f>IFERROR(MATCH(ROW()-4,rOrden_RF,0),"")</f>
        <v/>
      </c>
    </row>
    <row r="16">
      <c r="A16" s="60">
        <f>IF($N16="","",INDEX('Cronograma R. Financiero'!$A$5:$A$1000,$N16))</f>
        <v/>
      </c>
      <c r="B16" s="68">
        <f>IF($N16="","",INDEX('Cronograma R. Financiero'!$B$5:$B$1000,$N16)&amp;"")</f>
        <v/>
      </c>
      <c r="C16" s="68">
        <f>IF($N16="","",INDEX('Cronograma R. Financiero'!$C$5:$C$1000,$N16)&amp;"")</f>
        <v/>
      </c>
      <c r="D16" s="74">
        <f>IF($N16="","",IF(INDEX('Cronograma R. Financiero'!$D$5:$D$1000,$N16)="","",INDEX('Cronograma R. Financiero'!$D$5:$D$1000,$N16)))</f>
        <v/>
      </c>
      <c r="E16" s="74">
        <f>IF($N16="","",IF(INDEX('Cronograma R. Financiero'!$E$5:$E$1000,$N16)="","",INDEX('Cronograma R. Financiero'!$E$5:$E$1000,$N16)))</f>
        <v/>
      </c>
      <c r="F16" s="60">
        <f>IF($N16="","",IF(NOT(ISNUMBER($E16)),"",IF($E16&lt;InicioCiclo,"Antes del ciclo",IF($E16&gt;=InicioCiclo+28,"Después del ciclo","Semana "&amp;(INT(($E16-InicioCiclo)/7)+1)))))</f>
        <v/>
      </c>
      <c r="G16" s="65">
        <f>IF($N16="","",IF(INDEX('Cronograma R. Financiero'!$G$5:$G$1000,$N16)="","",INDEX('Cronograma R. Financiero'!$G$5:$G$1000,$N16)))</f>
        <v/>
      </c>
      <c r="H16" s="65">
        <f>IF($N16="","",IF(INDEX('Cronograma R. Financiero'!$H$5:$H$1000,$N16)="","",INDEX('Cronograma R. Financiero'!$H$5:$H$1000,$N16)))</f>
        <v/>
      </c>
      <c r="I16" s="65">
        <f>IF($N16="","",IF(INDEX('Cronograma R. Financiero'!$I$5:$I$1000,$N16)="","",INDEX('Cronograma R. Financiero'!$I$5:$I$1000,$N16)))</f>
        <v/>
      </c>
      <c r="J16" s="65">
        <f>IF($N16="","",IF(INDEX('Cronograma R. Financiero'!$J$5:$J$1000,$N16)="","",INDEX('Cronograma R. Financiero'!$J$5:$J$1000,$N16)))</f>
        <v/>
      </c>
      <c r="K16" s="65">
        <f>IF($N16="","",INDEX('Cronograma R. Financiero'!$K$5:$K$1000,$N16))</f>
        <v/>
      </c>
      <c r="L16" s="60">
        <f>IF($N16="","",IF(N($K16)&gt;=1,"Completado",IF(AND(ISNUMBER($E16),$E16&lt;FechaRef),"Vencida",IF(N($K16)&gt;0,"En curso","Pendiente"))))</f>
        <v/>
      </c>
      <c r="M16" s="68">
        <f>IF($N16="","",INDEX('Cronograma R. Financiero'!$M$5:$M$1000,$N16)&amp;"")</f>
        <v/>
      </c>
      <c r="N16">
        <f>IFERROR(MATCH(ROW()-4,rOrden_RF,0),"")</f>
        <v/>
      </c>
    </row>
    <row r="17">
      <c r="A17" s="60">
        <f>IF($N17="","",INDEX('Cronograma R. Financiero'!$A$5:$A$1000,$N17))</f>
        <v/>
      </c>
      <c r="B17" s="68">
        <f>IF($N17="","",INDEX('Cronograma R. Financiero'!$B$5:$B$1000,$N17)&amp;"")</f>
        <v/>
      </c>
      <c r="C17" s="68">
        <f>IF($N17="","",INDEX('Cronograma R. Financiero'!$C$5:$C$1000,$N17)&amp;"")</f>
        <v/>
      </c>
      <c r="D17" s="74">
        <f>IF($N17="","",IF(INDEX('Cronograma R. Financiero'!$D$5:$D$1000,$N17)="","",INDEX('Cronograma R. Financiero'!$D$5:$D$1000,$N17)))</f>
        <v/>
      </c>
      <c r="E17" s="74">
        <f>IF($N17="","",IF(INDEX('Cronograma R. Financiero'!$E$5:$E$1000,$N17)="","",INDEX('Cronograma R. Financiero'!$E$5:$E$1000,$N17)))</f>
        <v/>
      </c>
      <c r="F17" s="60">
        <f>IF($N17="","",IF(NOT(ISNUMBER($E17)),"",IF($E17&lt;InicioCiclo,"Antes del ciclo",IF($E17&gt;=InicioCiclo+28,"Después del ciclo","Semana "&amp;(INT(($E17-InicioCiclo)/7)+1)))))</f>
        <v/>
      </c>
      <c r="G17" s="65">
        <f>IF($N17="","",IF(INDEX('Cronograma R. Financiero'!$G$5:$G$1000,$N17)="","",INDEX('Cronograma R. Financiero'!$G$5:$G$1000,$N17)))</f>
        <v/>
      </c>
      <c r="H17" s="65">
        <f>IF($N17="","",IF(INDEX('Cronograma R. Financiero'!$H$5:$H$1000,$N17)="","",INDEX('Cronograma R. Financiero'!$H$5:$H$1000,$N17)))</f>
        <v/>
      </c>
      <c r="I17" s="65">
        <f>IF($N17="","",IF(INDEX('Cronograma R. Financiero'!$I$5:$I$1000,$N17)="","",INDEX('Cronograma R. Financiero'!$I$5:$I$1000,$N17)))</f>
        <v/>
      </c>
      <c r="J17" s="65">
        <f>IF($N17="","",IF(INDEX('Cronograma R. Financiero'!$J$5:$J$1000,$N17)="","",INDEX('Cronograma R. Financiero'!$J$5:$J$1000,$N17)))</f>
        <v/>
      </c>
      <c r="K17" s="65">
        <f>IF($N17="","",INDEX('Cronograma R. Financiero'!$K$5:$K$1000,$N17))</f>
        <v/>
      </c>
      <c r="L17" s="60">
        <f>IF($N17="","",IF(N($K17)&gt;=1,"Completado",IF(AND(ISNUMBER($E17),$E17&lt;FechaRef),"Vencida",IF(N($K17)&gt;0,"En curso","Pendiente"))))</f>
        <v/>
      </c>
      <c r="M17" s="68">
        <f>IF($N17="","",INDEX('Cronograma R. Financiero'!$M$5:$M$1000,$N17)&amp;"")</f>
        <v/>
      </c>
      <c r="N17">
        <f>IFERROR(MATCH(ROW()-4,rOrden_RF,0),"")</f>
        <v/>
      </c>
    </row>
    <row r="18">
      <c r="A18" s="60">
        <f>IF($N18="","",INDEX('Cronograma R. Financiero'!$A$5:$A$1000,$N18))</f>
        <v/>
      </c>
      <c r="B18" s="68">
        <f>IF($N18="","",INDEX('Cronograma R. Financiero'!$B$5:$B$1000,$N18)&amp;"")</f>
        <v/>
      </c>
      <c r="C18" s="68">
        <f>IF($N18="","",INDEX('Cronograma R. Financiero'!$C$5:$C$1000,$N18)&amp;"")</f>
        <v/>
      </c>
      <c r="D18" s="74">
        <f>IF($N18="","",IF(INDEX('Cronograma R. Financiero'!$D$5:$D$1000,$N18)="","",INDEX('Cronograma R. Financiero'!$D$5:$D$1000,$N18)))</f>
        <v/>
      </c>
      <c r="E18" s="74">
        <f>IF($N18="","",IF(INDEX('Cronograma R. Financiero'!$E$5:$E$1000,$N18)="","",INDEX('Cronograma R. Financiero'!$E$5:$E$1000,$N18)))</f>
        <v/>
      </c>
      <c r="F18" s="60">
        <f>IF($N18="","",IF(NOT(ISNUMBER($E18)),"",IF($E18&lt;InicioCiclo,"Antes del ciclo",IF($E18&gt;=InicioCiclo+28,"Después del ciclo","Semana "&amp;(INT(($E18-InicioCiclo)/7)+1)))))</f>
        <v/>
      </c>
      <c r="G18" s="65">
        <f>IF($N18="","",IF(INDEX('Cronograma R. Financiero'!$G$5:$G$1000,$N18)="","",INDEX('Cronograma R. Financiero'!$G$5:$G$1000,$N18)))</f>
        <v/>
      </c>
      <c r="H18" s="65">
        <f>IF($N18="","",IF(INDEX('Cronograma R. Financiero'!$H$5:$H$1000,$N18)="","",INDEX('Cronograma R. Financiero'!$H$5:$H$1000,$N18)))</f>
        <v/>
      </c>
      <c r="I18" s="65">
        <f>IF($N18="","",IF(INDEX('Cronograma R. Financiero'!$I$5:$I$1000,$N18)="","",INDEX('Cronograma R. Financiero'!$I$5:$I$1000,$N18)))</f>
        <v/>
      </c>
      <c r="J18" s="65">
        <f>IF($N18="","",IF(INDEX('Cronograma R. Financiero'!$J$5:$J$1000,$N18)="","",INDEX('Cronograma R. Financiero'!$J$5:$J$1000,$N18)))</f>
        <v/>
      </c>
      <c r="K18" s="65">
        <f>IF($N18="","",INDEX('Cronograma R. Financiero'!$K$5:$K$1000,$N18))</f>
        <v/>
      </c>
      <c r="L18" s="60">
        <f>IF($N18="","",IF(N($K18)&gt;=1,"Completado",IF(AND(ISNUMBER($E18),$E18&lt;FechaRef),"Vencida",IF(N($K18)&gt;0,"En curso","Pendiente"))))</f>
        <v/>
      </c>
      <c r="M18" s="68">
        <f>IF($N18="","",INDEX('Cronograma R. Financiero'!$M$5:$M$1000,$N18)&amp;"")</f>
        <v/>
      </c>
      <c r="N18">
        <f>IFERROR(MATCH(ROW()-4,rOrden_RF,0),"")</f>
        <v/>
      </c>
    </row>
    <row r="19">
      <c r="A19" s="60">
        <f>IF($N19="","",INDEX('Cronograma R. Financiero'!$A$5:$A$1000,$N19))</f>
        <v/>
      </c>
      <c r="B19" s="68">
        <f>IF($N19="","",INDEX('Cronograma R. Financiero'!$B$5:$B$1000,$N19)&amp;"")</f>
        <v/>
      </c>
      <c r="C19" s="68">
        <f>IF($N19="","",INDEX('Cronograma R. Financiero'!$C$5:$C$1000,$N19)&amp;"")</f>
        <v/>
      </c>
      <c r="D19" s="74">
        <f>IF($N19="","",IF(INDEX('Cronograma R. Financiero'!$D$5:$D$1000,$N19)="","",INDEX('Cronograma R. Financiero'!$D$5:$D$1000,$N19)))</f>
        <v/>
      </c>
      <c r="E19" s="74">
        <f>IF($N19="","",IF(INDEX('Cronograma R. Financiero'!$E$5:$E$1000,$N19)="","",INDEX('Cronograma R. Financiero'!$E$5:$E$1000,$N19)))</f>
        <v/>
      </c>
      <c r="F19" s="60">
        <f>IF($N19="","",IF(NOT(ISNUMBER($E19)),"",IF($E19&lt;InicioCiclo,"Antes del ciclo",IF($E19&gt;=InicioCiclo+28,"Después del ciclo","Semana "&amp;(INT(($E19-InicioCiclo)/7)+1)))))</f>
        <v/>
      </c>
      <c r="G19" s="65">
        <f>IF($N19="","",IF(INDEX('Cronograma R. Financiero'!$G$5:$G$1000,$N19)="","",INDEX('Cronograma R. Financiero'!$G$5:$G$1000,$N19)))</f>
        <v/>
      </c>
      <c r="H19" s="65">
        <f>IF($N19="","",IF(INDEX('Cronograma R. Financiero'!$H$5:$H$1000,$N19)="","",INDEX('Cronograma R. Financiero'!$H$5:$H$1000,$N19)))</f>
        <v/>
      </c>
      <c r="I19" s="65">
        <f>IF($N19="","",IF(INDEX('Cronograma R. Financiero'!$I$5:$I$1000,$N19)="","",INDEX('Cronograma R. Financiero'!$I$5:$I$1000,$N19)))</f>
        <v/>
      </c>
      <c r="J19" s="65">
        <f>IF($N19="","",IF(INDEX('Cronograma R. Financiero'!$J$5:$J$1000,$N19)="","",INDEX('Cronograma R. Financiero'!$J$5:$J$1000,$N19)))</f>
        <v/>
      </c>
      <c r="K19" s="65">
        <f>IF($N19="","",INDEX('Cronograma R. Financiero'!$K$5:$K$1000,$N19))</f>
        <v/>
      </c>
      <c r="L19" s="60">
        <f>IF($N19="","",IF(N($K19)&gt;=1,"Completado",IF(AND(ISNUMBER($E19),$E19&lt;FechaRef),"Vencida",IF(N($K19)&gt;0,"En curso","Pendiente"))))</f>
        <v/>
      </c>
      <c r="M19" s="68">
        <f>IF($N19="","",INDEX('Cronograma R. Financiero'!$M$5:$M$1000,$N19)&amp;"")</f>
        <v/>
      </c>
      <c r="N19">
        <f>IFERROR(MATCH(ROW()-4,rOrden_RF,0),"")</f>
        <v/>
      </c>
    </row>
    <row r="20">
      <c r="A20" s="60">
        <f>IF($N20="","",INDEX('Cronograma R. Financiero'!$A$5:$A$1000,$N20))</f>
        <v/>
      </c>
      <c r="B20" s="68">
        <f>IF($N20="","",INDEX('Cronograma R. Financiero'!$B$5:$B$1000,$N20)&amp;"")</f>
        <v/>
      </c>
      <c r="C20" s="68">
        <f>IF($N20="","",INDEX('Cronograma R. Financiero'!$C$5:$C$1000,$N20)&amp;"")</f>
        <v/>
      </c>
      <c r="D20" s="74">
        <f>IF($N20="","",IF(INDEX('Cronograma R. Financiero'!$D$5:$D$1000,$N20)="","",INDEX('Cronograma R. Financiero'!$D$5:$D$1000,$N20)))</f>
        <v/>
      </c>
      <c r="E20" s="74">
        <f>IF($N20="","",IF(INDEX('Cronograma R. Financiero'!$E$5:$E$1000,$N20)="","",INDEX('Cronograma R. Financiero'!$E$5:$E$1000,$N20)))</f>
        <v/>
      </c>
      <c r="F20" s="60">
        <f>IF($N20="","",IF(NOT(ISNUMBER($E20)),"",IF($E20&lt;InicioCiclo,"Antes del ciclo",IF($E20&gt;=InicioCiclo+28,"Después del ciclo","Semana "&amp;(INT(($E20-InicioCiclo)/7)+1)))))</f>
        <v/>
      </c>
      <c r="G20" s="65">
        <f>IF($N20="","",IF(INDEX('Cronograma R. Financiero'!$G$5:$G$1000,$N20)="","",INDEX('Cronograma R. Financiero'!$G$5:$G$1000,$N20)))</f>
        <v/>
      </c>
      <c r="H20" s="65">
        <f>IF($N20="","",IF(INDEX('Cronograma R. Financiero'!$H$5:$H$1000,$N20)="","",INDEX('Cronograma R. Financiero'!$H$5:$H$1000,$N20)))</f>
        <v/>
      </c>
      <c r="I20" s="65">
        <f>IF($N20="","",IF(INDEX('Cronograma R. Financiero'!$I$5:$I$1000,$N20)="","",INDEX('Cronograma R. Financiero'!$I$5:$I$1000,$N20)))</f>
        <v/>
      </c>
      <c r="J20" s="65">
        <f>IF($N20="","",IF(INDEX('Cronograma R. Financiero'!$J$5:$J$1000,$N20)="","",INDEX('Cronograma R. Financiero'!$J$5:$J$1000,$N20)))</f>
        <v/>
      </c>
      <c r="K20" s="65">
        <f>IF($N20="","",INDEX('Cronograma R. Financiero'!$K$5:$K$1000,$N20))</f>
        <v/>
      </c>
      <c r="L20" s="60">
        <f>IF($N20="","",IF(N($K20)&gt;=1,"Completado",IF(AND(ISNUMBER($E20),$E20&lt;FechaRef),"Vencida",IF(N($K20)&gt;0,"En curso","Pendiente"))))</f>
        <v/>
      </c>
      <c r="M20" s="68">
        <f>IF($N20="","",INDEX('Cronograma R. Financiero'!$M$5:$M$1000,$N20)&amp;"")</f>
        <v/>
      </c>
      <c r="N20">
        <f>IFERROR(MATCH(ROW()-4,rOrden_RF,0),"")</f>
        <v/>
      </c>
    </row>
    <row r="21">
      <c r="A21" s="60">
        <f>IF($N21="","",INDEX('Cronograma R. Financiero'!$A$5:$A$1000,$N21))</f>
        <v/>
      </c>
      <c r="B21" s="68">
        <f>IF($N21="","",INDEX('Cronograma R. Financiero'!$B$5:$B$1000,$N21)&amp;"")</f>
        <v/>
      </c>
      <c r="C21" s="68">
        <f>IF($N21="","",INDEX('Cronograma R. Financiero'!$C$5:$C$1000,$N21)&amp;"")</f>
        <v/>
      </c>
      <c r="D21" s="74">
        <f>IF($N21="","",IF(INDEX('Cronograma R. Financiero'!$D$5:$D$1000,$N21)="","",INDEX('Cronograma R. Financiero'!$D$5:$D$1000,$N21)))</f>
        <v/>
      </c>
      <c r="E21" s="74">
        <f>IF($N21="","",IF(INDEX('Cronograma R. Financiero'!$E$5:$E$1000,$N21)="","",INDEX('Cronograma R. Financiero'!$E$5:$E$1000,$N21)))</f>
        <v/>
      </c>
      <c r="F21" s="60">
        <f>IF($N21="","",IF(NOT(ISNUMBER($E21)),"",IF($E21&lt;InicioCiclo,"Antes del ciclo",IF($E21&gt;=InicioCiclo+28,"Después del ciclo","Semana "&amp;(INT(($E21-InicioCiclo)/7)+1)))))</f>
        <v/>
      </c>
      <c r="G21" s="65">
        <f>IF($N21="","",IF(INDEX('Cronograma R. Financiero'!$G$5:$G$1000,$N21)="","",INDEX('Cronograma R. Financiero'!$G$5:$G$1000,$N21)))</f>
        <v/>
      </c>
      <c r="H21" s="65">
        <f>IF($N21="","",IF(INDEX('Cronograma R. Financiero'!$H$5:$H$1000,$N21)="","",INDEX('Cronograma R. Financiero'!$H$5:$H$1000,$N21)))</f>
        <v/>
      </c>
      <c r="I21" s="65">
        <f>IF($N21="","",IF(INDEX('Cronograma R. Financiero'!$I$5:$I$1000,$N21)="","",INDEX('Cronograma R. Financiero'!$I$5:$I$1000,$N21)))</f>
        <v/>
      </c>
      <c r="J21" s="65">
        <f>IF($N21="","",IF(INDEX('Cronograma R. Financiero'!$J$5:$J$1000,$N21)="","",INDEX('Cronograma R. Financiero'!$J$5:$J$1000,$N21)))</f>
        <v/>
      </c>
      <c r="K21" s="65">
        <f>IF($N21="","",INDEX('Cronograma R. Financiero'!$K$5:$K$1000,$N21))</f>
        <v/>
      </c>
      <c r="L21" s="60">
        <f>IF($N21="","",IF(N($K21)&gt;=1,"Completado",IF(AND(ISNUMBER($E21),$E21&lt;FechaRef),"Vencida",IF(N($K21)&gt;0,"En curso","Pendiente"))))</f>
        <v/>
      </c>
      <c r="M21" s="68">
        <f>IF($N21="","",INDEX('Cronograma R. Financiero'!$M$5:$M$1000,$N21)&amp;"")</f>
        <v/>
      </c>
      <c r="N21">
        <f>IFERROR(MATCH(ROW()-4,rOrden_RF,0),"")</f>
        <v/>
      </c>
    </row>
    <row r="22">
      <c r="A22" s="60">
        <f>IF($N22="","",INDEX('Cronograma R. Financiero'!$A$5:$A$1000,$N22))</f>
        <v/>
      </c>
      <c r="B22" s="68">
        <f>IF($N22="","",INDEX('Cronograma R. Financiero'!$B$5:$B$1000,$N22)&amp;"")</f>
        <v/>
      </c>
      <c r="C22" s="68">
        <f>IF($N22="","",INDEX('Cronograma R. Financiero'!$C$5:$C$1000,$N22)&amp;"")</f>
        <v/>
      </c>
      <c r="D22" s="74">
        <f>IF($N22="","",IF(INDEX('Cronograma R. Financiero'!$D$5:$D$1000,$N22)="","",INDEX('Cronograma R. Financiero'!$D$5:$D$1000,$N22)))</f>
        <v/>
      </c>
      <c r="E22" s="74">
        <f>IF($N22="","",IF(INDEX('Cronograma R. Financiero'!$E$5:$E$1000,$N22)="","",INDEX('Cronograma R. Financiero'!$E$5:$E$1000,$N22)))</f>
        <v/>
      </c>
      <c r="F22" s="60">
        <f>IF($N22="","",IF(NOT(ISNUMBER($E22)),"",IF($E22&lt;InicioCiclo,"Antes del ciclo",IF($E22&gt;=InicioCiclo+28,"Después del ciclo","Semana "&amp;(INT(($E22-InicioCiclo)/7)+1)))))</f>
        <v/>
      </c>
      <c r="G22" s="65">
        <f>IF($N22="","",IF(INDEX('Cronograma R. Financiero'!$G$5:$G$1000,$N22)="","",INDEX('Cronograma R. Financiero'!$G$5:$G$1000,$N22)))</f>
        <v/>
      </c>
      <c r="H22" s="65">
        <f>IF($N22="","",IF(INDEX('Cronograma R. Financiero'!$H$5:$H$1000,$N22)="","",INDEX('Cronograma R. Financiero'!$H$5:$H$1000,$N22)))</f>
        <v/>
      </c>
      <c r="I22" s="65">
        <f>IF($N22="","",IF(INDEX('Cronograma R. Financiero'!$I$5:$I$1000,$N22)="","",INDEX('Cronograma R. Financiero'!$I$5:$I$1000,$N22)))</f>
        <v/>
      </c>
      <c r="J22" s="65">
        <f>IF($N22="","",IF(INDEX('Cronograma R. Financiero'!$J$5:$J$1000,$N22)="","",INDEX('Cronograma R. Financiero'!$J$5:$J$1000,$N22)))</f>
        <v/>
      </c>
      <c r="K22" s="65">
        <f>IF($N22="","",INDEX('Cronograma R. Financiero'!$K$5:$K$1000,$N22))</f>
        <v/>
      </c>
      <c r="L22" s="60">
        <f>IF($N22="","",IF(N($K22)&gt;=1,"Completado",IF(AND(ISNUMBER($E22),$E22&lt;FechaRef),"Vencida",IF(N($K22)&gt;0,"En curso","Pendiente"))))</f>
        <v/>
      </c>
      <c r="M22" s="68">
        <f>IF($N22="","",INDEX('Cronograma R. Financiero'!$M$5:$M$1000,$N22)&amp;"")</f>
        <v/>
      </c>
      <c r="N22">
        <f>IFERROR(MATCH(ROW()-4,rOrden_RF,0),"")</f>
        <v/>
      </c>
    </row>
    <row r="23">
      <c r="A23" s="60">
        <f>IF($N23="","",INDEX('Cronograma R. Financiero'!$A$5:$A$1000,$N23))</f>
        <v/>
      </c>
      <c r="B23" s="68">
        <f>IF($N23="","",INDEX('Cronograma R. Financiero'!$B$5:$B$1000,$N23)&amp;"")</f>
        <v/>
      </c>
      <c r="C23" s="68">
        <f>IF($N23="","",INDEX('Cronograma R. Financiero'!$C$5:$C$1000,$N23)&amp;"")</f>
        <v/>
      </c>
      <c r="D23" s="74">
        <f>IF($N23="","",IF(INDEX('Cronograma R. Financiero'!$D$5:$D$1000,$N23)="","",INDEX('Cronograma R. Financiero'!$D$5:$D$1000,$N23)))</f>
        <v/>
      </c>
      <c r="E23" s="74">
        <f>IF($N23="","",IF(INDEX('Cronograma R. Financiero'!$E$5:$E$1000,$N23)="","",INDEX('Cronograma R. Financiero'!$E$5:$E$1000,$N23)))</f>
        <v/>
      </c>
      <c r="F23" s="60">
        <f>IF($N23="","",IF(NOT(ISNUMBER($E23)),"",IF($E23&lt;InicioCiclo,"Antes del ciclo",IF($E23&gt;=InicioCiclo+28,"Después del ciclo","Semana "&amp;(INT(($E23-InicioCiclo)/7)+1)))))</f>
        <v/>
      </c>
      <c r="G23" s="65">
        <f>IF($N23="","",IF(INDEX('Cronograma R. Financiero'!$G$5:$G$1000,$N23)="","",INDEX('Cronograma R. Financiero'!$G$5:$G$1000,$N23)))</f>
        <v/>
      </c>
      <c r="H23" s="65">
        <f>IF($N23="","",IF(INDEX('Cronograma R. Financiero'!$H$5:$H$1000,$N23)="","",INDEX('Cronograma R. Financiero'!$H$5:$H$1000,$N23)))</f>
        <v/>
      </c>
      <c r="I23" s="65">
        <f>IF($N23="","",IF(INDEX('Cronograma R. Financiero'!$I$5:$I$1000,$N23)="","",INDEX('Cronograma R. Financiero'!$I$5:$I$1000,$N23)))</f>
        <v/>
      </c>
      <c r="J23" s="65">
        <f>IF($N23="","",IF(INDEX('Cronograma R. Financiero'!$J$5:$J$1000,$N23)="","",INDEX('Cronograma R. Financiero'!$J$5:$J$1000,$N23)))</f>
        <v/>
      </c>
      <c r="K23" s="65">
        <f>IF($N23="","",INDEX('Cronograma R. Financiero'!$K$5:$K$1000,$N23))</f>
        <v/>
      </c>
      <c r="L23" s="60">
        <f>IF($N23="","",IF(N($K23)&gt;=1,"Completado",IF(AND(ISNUMBER($E23),$E23&lt;FechaRef),"Vencida",IF(N($K23)&gt;0,"En curso","Pendiente"))))</f>
        <v/>
      </c>
      <c r="M23" s="68">
        <f>IF($N23="","",INDEX('Cronograma R. Financiero'!$M$5:$M$1000,$N23)&amp;"")</f>
        <v/>
      </c>
      <c r="N23">
        <f>IFERROR(MATCH(ROW()-4,rOrden_RF,0),"")</f>
        <v/>
      </c>
    </row>
    <row r="24">
      <c r="A24" s="60">
        <f>IF($N24="","",INDEX('Cronograma R. Financiero'!$A$5:$A$1000,$N24))</f>
        <v/>
      </c>
      <c r="B24" s="68">
        <f>IF($N24="","",INDEX('Cronograma R. Financiero'!$B$5:$B$1000,$N24)&amp;"")</f>
        <v/>
      </c>
      <c r="C24" s="68">
        <f>IF($N24="","",INDEX('Cronograma R. Financiero'!$C$5:$C$1000,$N24)&amp;"")</f>
        <v/>
      </c>
      <c r="D24" s="74">
        <f>IF($N24="","",IF(INDEX('Cronograma R. Financiero'!$D$5:$D$1000,$N24)="","",INDEX('Cronograma R. Financiero'!$D$5:$D$1000,$N24)))</f>
        <v/>
      </c>
      <c r="E24" s="74">
        <f>IF($N24="","",IF(INDEX('Cronograma R. Financiero'!$E$5:$E$1000,$N24)="","",INDEX('Cronograma R. Financiero'!$E$5:$E$1000,$N24)))</f>
        <v/>
      </c>
      <c r="F24" s="60">
        <f>IF($N24="","",IF(NOT(ISNUMBER($E24)),"",IF($E24&lt;InicioCiclo,"Antes del ciclo",IF($E24&gt;=InicioCiclo+28,"Después del ciclo","Semana "&amp;(INT(($E24-InicioCiclo)/7)+1)))))</f>
        <v/>
      </c>
      <c r="G24" s="65">
        <f>IF($N24="","",IF(INDEX('Cronograma R. Financiero'!$G$5:$G$1000,$N24)="","",INDEX('Cronograma R. Financiero'!$G$5:$G$1000,$N24)))</f>
        <v/>
      </c>
      <c r="H24" s="65">
        <f>IF($N24="","",IF(INDEX('Cronograma R. Financiero'!$H$5:$H$1000,$N24)="","",INDEX('Cronograma R. Financiero'!$H$5:$H$1000,$N24)))</f>
        <v/>
      </c>
      <c r="I24" s="65">
        <f>IF($N24="","",IF(INDEX('Cronograma R. Financiero'!$I$5:$I$1000,$N24)="","",INDEX('Cronograma R. Financiero'!$I$5:$I$1000,$N24)))</f>
        <v/>
      </c>
      <c r="J24" s="65">
        <f>IF($N24="","",IF(INDEX('Cronograma R. Financiero'!$J$5:$J$1000,$N24)="","",INDEX('Cronograma R. Financiero'!$J$5:$J$1000,$N24)))</f>
        <v/>
      </c>
      <c r="K24" s="65">
        <f>IF($N24="","",INDEX('Cronograma R. Financiero'!$K$5:$K$1000,$N24))</f>
        <v/>
      </c>
      <c r="L24" s="60">
        <f>IF($N24="","",IF(N($K24)&gt;=1,"Completado",IF(AND(ISNUMBER($E24),$E24&lt;FechaRef),"Vencida",IF(N($K24)&gt;0,"En curso","Pendiente"))))</f>
        <v/>
      </c>
      <c r="M24" s="68">
        <f>IF($N24="","",INDEX('Cronograma R. Financiero'!$M$5:$M$1000,$N24)&amp;"")</f>
        <v/>
      </c>
      <c r="N24">
        <f>IFERROR(MATCH(ROW()-4,rOrden_RF,0),"")</f>
        <v/>
      </c>
    </row>
    <row r="25">
      <c r="A25" s="60">
        <f>IF($N25="","",INDEX('Cronograma R. Financiero'!$A$5:$A$1000,$N25))</f>
        <v/>
      </c>
      <c r="B25" s="68">
        <f>IF($N25="","",INDEX('Cronograma R. Financiero'!$B$5:$B$1000,$N25)&amp;"")</f>
        <v/>
      </c>
      <c r="C25" s="68">
        <f>IF($N25="","",INDEX('Cronograma R. Financiero'!$C$5:$C$1000,$N25)&amp;"")</f>
        <v/>
      </c>
      <c r="D25" s="74">
        <f>IF($N25="","",IF(INDEX('Cronograma R. Financiero'!$D$5:$D$1000,$N25)="","",INDEX('Cronograma R. Financiero'!$D$5:$D$1000,$N25)))</f>
        <v/>
      </c>
      <c r="E25" s="74">
        <f>IF($N25="","",IF(INDEX('Cronograma R. Financiero'!$E$5:$E$1000,$N25)="","",INDEX('Cronograma R. Financiero'!$E$5:$E$1000,$N25)))</f>
        <v/>
      </c>
      <c r="F25" s="60">
        <f>IF($N25="","",IF(NOT(ISNUMBER($E25)),"",IF($E25&lt;InicioCiclo,"Antes del ciclo",IF($E25&gt;=InicioCiclo+28,"Después del ciclo","Semana "&amp;(INT(($E25-InicioCiclo)/7)+1)))))</f>
        <v/>
      </c>
      <c r="G25" s="65">
        <f>IF($N25="","",IF(INDEX('Cronograma R. Financiero'!$G$5:$G$1000,$N25)="","",INDEX('Cronograma R. Financiero'!$G$5:$G$1000,$N25)))</f>
        <v/>
      </c>
      <c r="H25" s="65">
        <f>IF($N25="","",IF(INDEX('Cronograma R. Financiero'!$H$5:$H$1000,$N25)="","",INDEX('Cronograma R. Financiero'!$H$5:$H$1000,$N25)))</f>
        <v/>
      </c>
      <c r="I25" s="65">
        <f>IF($N25="","",IF(INDEX('Cronograma R. Financiero'!$I$5:$I$1000,$N25)="","",INDEX('Cronograma R. Financiero'!$I$5:$I$1000,$N25)))</f>
        <v/>
      </c>
      <c r="J25" s="65">
        <f>IF($N25="","",IF(INDEX('Cronograma R. Financiero'!$J$5:$J$1000,$N25)="","",INDEX('Cronograma R. Financiero'!$J$5:$J$1000,$N25)))</f>
        <v/>
      </c>
      <c r="K25" s="65">
        <f>IF($N25="","",INDEX('Cronograma R. Financiero'!$K$5:$K$1000,$N25))</f>
        <v/>
      </c>
      <c r="L25" s="60">
        <f>IF($N25="","",IF(N($K25)&gt;=1,"Completado",IF(AND(ISNUMBER($E25),$E25&lt;FechaRef),"Vencida",IF(N($K25)&gt;0,"En curso","Pendiente"))))</f>
        <v/>
      </c>
      <c r="M25" s="68">
        <f>IF($N25="","",INDEX('Cronograma R. Financiero'!$M$5:$M$1000,$N25)&amp;"")</f>
        <v/>
      </c>
      <c r="N25">
        <f>IFERROR(MATCH(ROW()-4,rOrden_RF,0),"")</f>
        <v/>
      </c>
    </row>
    <row r="26">
      <c r="A26" s="60">
        <f>IF($N26="","",INDEX('Cronograma R. Financiero'!$A$5:$A$1000,$N26))</f>
        <v/>
      </c>
      <c r="B26" s="68">
        <f>IF($N26="","",INDEX('Cronograma R. Financiero'!$B$5:$B$1000,$N26)&amp;"")</f>
        <v/>
      </c>
      <c r="C26" s="68">
        <f>IF($N26="","",INDEX('Cronograma R. Financiero'!$C$5:$C$1000,$N26)&amp;"")</f>
        <v/>
      </c>
      <c r="D26" s="74">
        <f>IF($N26="","",IF(INDEX('Cronograma R. Financiero'!$D$5:$D$1000,$N26)="","",INDEX('Cronograma R. Financiero'!$D$5:$D$1000,$N26)))</f>
        <v/>
      </c>
      <c r="E26" s="74">
        <f>IF($N26="","",IF(INDEX('Cronograma R. Financiero'!$E$5:$E$1000,$N26)="","",INDEX('Cronograma R. Financiero'!$E$5:$E$1000,$N26)))</f>
        <v/>
      </c>
      <c r="F26" s="60">
        <f>IF($N26="","",IF(NOT(ISNUMBER($E26)),"",IF($E26&lt;InicioCiclo,"Antes del ciclo",IF($E26&gt;=InicioCiclo+28,"Después del ciclo","Semana "&amp;(INT(($E26-InicioCiclo)/7)+1)))))</f>
        <v/>
      </c>
      <c r="G26" s="65">
        <f>IF($N26="","",IF(INDEX('Cronograma R. Financiero'!$G$5:$G$1000,$N26)="","",INDEX('Cronograma R. Financiero'!$G$5:$G$1000,$N26)))</f>
        <v/>
      </c>
      <c r="H26" s="65">
        <f>IF($N26="","",IF(INDEX('Cronograma R. Financiero'!$H$5:$H$1000,$N26)="","",INDEX('Cronograma R. Financiero'!$H$5:$H$1000,$N26)))</f>
        <v/>
      </c>
      <c r="I26" s="65">
        <f>IF($N26="","",IF(INDEX('Cronograma R. Financiero'!$I$5:$I$1000,$N26)="","",INDEX('Cronograma R. Financiero'!$I$5:$I$1000,$N26)))</f>
        <v/>
      </c>
      <c r="J26" s="65">
        <f>IF($N26="","",IF(INDEX('Cronograma R. Financiero'!$J$5:$J$1000,$N26)="","",INDEX('Cronograma R. Financiero'!$J$5:$J$1000,$N26)))</f>
        <v/>
      </c>
      <c r="K26" s="65">
        <f>IF($N26="","",INDEX('Cronograma R. Financiero'!$K$5:$K$1000,$N26))</f>
        <v/>
      </c>
      <c r="L26" s="60">
        <f>IF($N26="","",IF(N($K26)&gt;=1,"Completado",IF(AND(ISNUMBER($E26),$E26&lt;FechaRef),"Vencida",IF(N($K26)&gt;0,"En curso","Pendiente"))))</f>
        <v/>
      </c>
      <c r="M26" s="68">
        <f>IF($N26="","",INDEX('Cronograma R. Financiero'!$M$5:$M$1000,$N26)&amp;"")</f>
        <v/>
      </c>
      <c r="N26">
        <f>IFERROR(MATCH(ROW()-4,rOrden_RF,0),"")</f>
        <v/>
      </c>
    </row>
    <row r="27">
      <c r="A27" s="60">
        <f>IF($N27="","",INDEX('Cronograma R. Financiero'!$A$5:$A$1000,$N27))</f>
        <v/>
      </c>
      <c r="B27" s="68">
        <f>IF($N27="","",INDEX('Cronograma R. Financiero'!$B$5:$B$1000,$N27)&amp;"")</f>
        <v/>
      </c>
      <c r="C27" s="68">
        <f>IF($N27="","",INDEX('Cronograma R. Financiero'!$C$5:$C$1000,$N27)&amp;"")</f>
        <v/>
      </c>
      <c r="D27" s="74">
        <f>IF($N27="","",IF(INDEX('Cronograma R. Financiero'!$D$5:$D$1000,$N27)="","",INDEX('Cronograma R. Financiero'!$D$5:$D$1000,$N27)))</f>
        <v/>
      </c>
      <c r="E27" s="74">
        <f>IF($N27="","",IF(INDEX('Cronograma R. Financiero'!$E$5:$E$1000,$N27)="","",INDEX('Cronograma R. Financiero'!$E$5:$E$1000,$N27)))</f>
        <v/>
      </c>
      <c r="F27" s="60">
        <f>IF($N27="","",IF(NOT(ISNUMBER($E27)),"",IF($E27&lt;InicioCiclo,"Antes del ciclo",IF($E27&gt;=InicioCiclo+28,"Después del ciclo","Semana "&amp;(INT(($E27-InicioCiclo)/7)+1)))))</f>
        <v/>
      </c>
      <c r="G27" s="65">
        <f>IF($N27="","",IF(INDEX('Cronograma R. Financiero'!$G$5:$G$1000,$N27)="","",INDEX('Cronograma R. Financiero'!$G$5:$G$1000,$N27)))</f>
        <v/>
      </c>
      <c r="H27" s="65">
        <f>IF($N27="","",IF(INDEX('Cronograma R. Financiero'!$H$5:$H$1000,$N27)="","",INDEX('Cronograma R. Financiero'!$H$5:$H$1000,$N27)))</f>
        <v/>
      </c>
      <c r="I27" s="65">
        <f>IF($N27="","",IF(INDEX('Cronograma R. Financiero'!$I$5:$I$1000,$N27)="","",INDEX('Cronograma R. Financiero'!$I$5:$I$1000,$N27)))</f>
        <v/>
      </c>
      <c r="J27" s="65">
        <f>IF($N27="","",IF(INDEX('Cronograma R. Financiero'!$J$5:$J$1000,$N27)="","",INDEX('Cronograma R. Financiero'!$J$5:$J$1000,$N27)))</f>
        <v/>
      </c>
      <c r="K27" s="65">
        <f>IF($N27="","",INDEX('Cronograma R. Financiero'!$K$5:$K$1000,$N27))</f>
        <v/>
      </c>
      <c r="L27" s="60">
        <f>IF($N27="","",IF(N($K27)&gt;=1,"Completado",IF(AND(ISNUMBER($E27),$E27&lt;FechaRef),"Vencida",IF(N($K27)&gt;0,"En curso","Pendiente"))))</f>
        <v/>
      </c>
      <c r="M27" s="68">
        <f>IF($N27="","",INDEX('Cronograma R. Financiero'!$M$5:$M$1000,$N27)&amp;"")</f>
        <v/>
      </c>
      <c r="N27">
        <f>IFERROR(MATCH(ROW()-4,rOrden_RF,0),"")</f>
        <v/>
      </c>
    </row>
    <row r="28">
      <c r="A28" s="60">
        <f>IF($N28="","",INDEX('Cronograma R. Financiero'!$A$5:$A$1000,$N28))</f>
        <v/>
      </c>
      <c r="B28" s="68">
        <f>IF($N28="","",INDEX('Cronograma R. Financiero'!$B$5:$B$1000,$N28)&amp;"")</f>
        <v/>
      </c>
      <c r="C28" s="68">
        <f>IF($N28="","",INDEX('Cronograma R. Financiero'!$C$5:$C$1000,$N28)&amp;"")</f>
        <v/>
      </c>
      <c r="D28" s="74">
        <f>IF($N28="","",IF(INDEX('Cronograma R. Financiero'!$D$5:$D$1000,$N28)="","",INDEX('Cronograma R. Financiero'!$D$5:$D$1000,$N28)))</f>
        <v/>
      </c>
      <c r="E28" s="74">
        <f>IF($N28="","",IF(INDEX('Cronograma R. Financiero'!$E$5:$E$1000,$N28)="","",INDEX('Cronograma R. Financiero'!$E$5:$E$1000,$N28)))</f>
        <v/>
      </c>
      <c r="F28" s="60">
        <f>IF($N28="","",IF(NOT(ISNUMBER($E28)),"",IF($E28&lt;InicioCiclo,"Antes del ciclo",IF($E28&gt;=InicioCiclo+28,"Después del ciclo","Semana "&amp;(INT(($E28-InicioCiclo)/7)+1)))))</f>
        <v/>
      </c>
      <c r="G28" s="65">
        <f>IF($N28="","",IF(INDEX('Cronograma R. Financiero'!$G$5:$G$1000,$N28)="","",INDEX('Cronograma R. Financiero'!$G$5:$G$1000,$N28)))</f>
        <v/>
      </c>
      <c r="H28" s="65">
        <f>IF($N28="","",IF(INDEX('Cronograma R. Financiero'!$H$5:$H$1000,$N28)="","",INDEX('Cronograma R. Financiero'!$H$5:$H$1000,$N28)))</f>
        <v/>
      </c>
      <c r="I28" s="65">
        <f>IF($N28="","",IF(INDEX('Cronograma R. Financiero'!$I$5:$I$1000,$N28)="","",INDEX('Cronograma R. Financiero'!$I$5:$I$1000,$N28)))</f>
        <v/>
      </c>
      <c r="J28" s="65">
        <f>IF($N28="","",IF(INDEX('Cronograma R. Financiero'!$J$5:$J$1000,$N28)="","",INDEX('Cronograma R. Financiero'!$J$5:$J$1000,$N28)))</f>
        <v/>
      </c>
      <c r="K28" s="65">
        <f>IF($N28="","",INDEX('Cronograma R. Financiero'!$K$5:$K$1000,$N28))</f>
        <v/>
      </c>
      <c r="L28" s="60">
        <f>IF($N28="","",IF(N($K28)&gt;=1,"Completado",IF(AND(ISNUMBER($E28),$E28&lt;FechaRef),"Vencida",IF(N($K28)&gt;0,"En curso","Pendiente"))))</f>
        <v/>
      </c>
      <c r="M28" s="68">
        <f>IF($N28="","",INDEX('Cronograma R. Financiero'!$M$5:$M$1000,$N28)&amp;"")</f>
        <v/>
      </c>
      <c r="N28">
        <f>IFERROR(MATCH(ROW()-4,rOrden_RF,0),"")</f>
        <v/>
      </c>
    </row>
    <row r="29">
      <c r="A29" s="60">
        <f>IF($N29="","",INDEX('Cronograma R. Financiero'!$A$5:$A$1000,$N29))</f>
        <v/>
      </c>
      <c r="B29" s="68">
        <f>IF($N29="","",INDEX('Cronograma R. Financiero'!$B$5:$B$1000,$N29)&amp;"")</f>
        <v/>
      </c>
      <c r="C29" s="68">
        <f>IF($N29="","",INDEX('Cronograma R. Financiero'!$C$5:$C$1000,$N29)&amp;"")</f>
        <v/>
      </c>
      <c r="D29" s="74">
        <f>IF($N29="","",IF(INDEX('Cronograma R. Financiero'!$D$5:$D$1000,$N29)="","",INDEX('Cronograma R. Financiero'!$D$5:$D$1000,$N29)))</f>
        <v/>
      </c>
      <c r="E29" s="74">
        <f>IF($N29="","",IF(INDEX('Cronograma R. Financiero'!$E$5:$E$1000,$N29)="","",INDEX('Cronograma R. Financiero'!$E$5:$E$1000,$N29)))</f>
        <v/>
      </c>
      <c r="F29" s="60">
        <f>IF($N29="","",IF(NOT(ISNUMBER($E29)),"",IF($E29&lt;InicioCiclo,"Antes del ciclo",IF($E29&gt;=InicioCiclo+28,"Después del ciclo","Semana "&amp;(INT(($E29-InicioCiclo)/7)+1)))))</f>
        <v/>
      </c>
      <c r="G29" s="65">
        <f>IF($N29="","",IF(INDEX('Cronograma R. Financiero'!$G$5:$G$1000,$N29)="","",INDEX('Cronograma R. Financiero'!$G$5:$G$1000,$N29)))</f>
        <v/>
      </c>
      <c r="H29" s="65">
        <f>IF($N29="","",IF(INDEX('Cronograma R. Financiero'!$H$5:$H$1000,$N29)="","",INDEX('Cronograma R. Financiero'!$H$5:$H$1000,$N29)))</f>
        <v/>
      </c>
      <c r="I29" s="65">
        <f>IF($N29="","",IF(INDEX('Cronograma R. Financiero'!$I$5:$I$1000,$N29)="","",INDEX('Cronograma R. Financiero'!$I$5:$I$1000,$N29)))</f>
        <v/>
      </c>
      <c r="J29" s="65">
        <f>IF($N29="","",IF(INDEX('Cronograma R. Financiero'!$J$5:$J$1000,$N29)="","",INDEX('Cronograma R. Financiero'!$J$5:$J$1000,$N29)))</f>
        <v/>
      </c>
      <c r="K29" s="65">
        <f>IF($N29="","",INDEX('Cronograma R. Financiero'!$K$5:$K$1000,$N29))</f>
        <v/>
      </c>
      <c r="L29" s="60">
        <f>IF($N29="","",IF(N($K29)&gt;=1,"Completado",IF(AND(ISNUMBER($E29),$E29&lt;FechaRef),"Vencida",IF(N($K29)&gt;0,"En curso","Pendiente"))))</f>
        <v/>
      </c>
      <c r="M29" s="68">
        <f>IF($N29="","",INDEX('Cronograma R. Financiero'!$M$5:$M$1000,$N29)&amp;"")</f>
        <v/>
      </c>
      <c r="N29">
        <f>IFERROR(MATCH(ROW()-4,rOrden_RF,0),"")</f>
        <v/>
      </c>
    </row>
    <row r="30">
      <c r="A30" s="60">
        <f>IF($N30="","",INDEX('Cronograma R. Financiero'!$A$5:$A$1000,$N30))</f>
        <v/>
      </c>
      <c r="B30" s="68">
        <f>IF($N30="","",INDEX('Cronograma R. Financiero'!$B$5:$B$1000,$N30)&amp;"")</f>
        <v/>
      </c>
      <c r="C30" s="68">
        <f>IF($N30="","",INDEX('Cronograma R. Financiero'!$C$5:$C$1000,$N30)&amp;"")</f>
        <v/>
      </c>
      <c r="D30" s="74">
        <f>IF($N30="","",IF(INDEX('Cronograma R. Financiero'!$D$5:$D$1000,$N30)="","",INDEX('Cronograma R. Financiero'!$D$5:$D$1000,$N30)))</f>
        <v/>
      </c>
      <c r="E30" s="74">
        <f>IF($N30="","",IF(INDEX('Cronograma R. Financiero'!$E$5:$E$1000,$N30)="","",INDEX('Cronograma R. Financiero'!$E$5:$E$1000,$N30)))</f>
        <v/>
      </c>
      <c r="F30" s="60">
        <f>IF($N30="","",IF(NOT(ISNUMBER($E30)),"",IF($E30&lt;InicioCiclo,"Antes del ciclo",IF($E30&gt;=InicioCiclo+28,"Después del ciclo","Semana "&amp;(INT(($E30-InicioCiclo)/7)+1)))))</f>
        <v/>
      </c>
      <c r="G30" s="65">
        <f>IF($N30="","",IF(INDEX('Cronograma R. Financiero'!$G$5:$G$1000,$N30)="","",INDEX('Cronograma R. Financiero'!$G$5:$G$1000,$N30)))</f>
        <v/>
      </c>
      <c r="H30" s="65">
        <f>IF($N30="","",IF(INDEX('Cronograma R. Financiero'!$H$5:$H$1000,$N30)="","",INDEX('Cronograma R. Financiero'!$H$5:$H$1000,$N30)))</f>
        <v/>
      </c>
      <c r="I30" s="65">
        <f>IF($N30="","",IF(INDEX('Cronograma R. Financiero'!$I$5:$I$1000,$N30)="","",INDEX('Cronograma R. Financiero'!$I$5:$I$1000,$N30)))</f>
        <v/>
      </c>
      <c r="J30" s="65">
        <f>IF($N30="","",IF(INDEX('Cronograma R. Financiero'!$J$5:$J$1000,$N30)="","",INDEX('Cronograma R. Financiero'!$J$5:$J$1000,$N30)))</f>
        <v/>
      </c>
      <c r="K30" s="65">
        <f>IF($N30="","",INDEX('Cronograma R. Financiero'!$K$5:$K$1000,$N30))</f>
        <v/>
      </c>
      <c r="L30" s="60">
        <f>IF($N30="","",IF(N($K30)&gt;=1,"Completado",IF(AND(ISNUMBER($E30),$E30&lt;FechaRef),"Vencida",IF(N($K30)&gt;0,"En curso","Pendiente"))))</f>
        <v/>
      </c>
      <c r="M30" s="68">
        <f>IF($N30="","",INDEX('Cronograma R. Financiero'!$M$5:$M$1000,$N30)&amp;"")</f>
        <v/>
      </c>
      <c r="N30">
        <f>IFERROR(MATCH(ROW()-4,rOrden_RF,0),"")</f>
        <v/>
      </c>
    </row>
    <row r="31">
      <c r="A31" s="60">
        <f>IF($N31="","",INDEX('Cronograma R. Financiero'!$A$5:$A$1000,$N31))</f>
        <v/>
      </c>
      <c r="B31" s="68">
        <f>IF($N31="","",INDEX('Cronograma R. Financiero'!$B$5:$B$1000,$N31)&amp;"")</f>
        <v/>
      </c>
      <c r="C31" s="68">
        <f>IF($N31="","",INDEX('Cronograma R. Financiero'!$C$5:$C$1000,$N31)&amp;"")</f>
        <v/>
      </c>
      <c r="D31" s="74">
        <f>IF($N31="","",IF(INDEX('Cronograma R. Financiero'!$D$5:$D$1000,$N31)="","",INDEX('Cronograma R. Financiero'!$D$5:$D$1000,$N31)))</f>
        <v/>
      </c>
      <c r="E31" s="74">
        <f>IF($N31="","",IF(INDEX('Cronograma R. Financiero'!$E$5:$E$1000,$N31)="","",INDEX('Cronograma R. Financiero'!$E$5:$E$1000,$N31)))</f>
        <v/>
      </c>
      <c r="F31" s="60">
        <f>IF($N31="","",IF(NOT(ISNUMBER($E31)),"",IF($E31&lt;InicioCiclo,"Antes del ciclo",IF($E31&gt;=InicioCiclo+28,"Después del ciclo","Semana "&amp;(INT(($E31-InicioCiclo)/7)+1)))))</f>
        <v/>
      </c>
      <c r="G31" s="65">
        <f>IF($N31="","",IF(INDEX('Cronograma R. Financiero'!$G$5:$G$1000,$N31)="","",INDEX('Cronograma R. Financiero'!$G$5:$G$1000,$N31)))</f>
        <v/>
      </c>
      <c r="H31" s="65">
        <f>IF($N31="","",IF(INDEX('Cronograma R. Financiero'!$H$5:$H$1000,$N31)="","",INDEX('Cronograma R. Financiero'!$H$5:$H$1000,$N31)))</f>
        <v/>
      </c>
      <c r="I31" s="65">
        <f>IF($N31="","",IF(INDEX('Cronograma R. Financiero'!$I$5:$I$1000,$N31)="","",INDEX('Cronograma R. Financiero'!$I$5:$I$1000,$N31)))</f>
        <v/>
      </c>
      <c r="J31" s="65">
        <f>IF($N31="","",IF(INDEX('Cronograma R. Financiero'!$J$5:$J$1000,$N31)="","",INDEX('Cronograma R. Financiero'!$J$5:$J$1000,$N31)))</f>
        <v/>
      </c>
      <c r="K31" s="65">
        <f>IF($N31="","",INDEX('Cronograma R. Financiero'!$K$5:$K$1000,$N31))</f>
        <v/>
      </c>
      <c r="L31" s="60">
        <f>IF($N31="","",IF(N($K31)&gt;=1,"Completado",IF(AND(ISNUMBER($E31),$E31&lt;FechaRef),"Vencida",IF(N($K31)&gt;0,"En curso","Pendiente"))))</f>
        <v/>
      </c>
      <c r="M31" s="68">
        <f>IF($N31="","",INDEX('Cronograma R. Financiero'!$M$5:$M$1000,$N31)&amp;"")</f>
        <v/>
      </c>
      <c r="N31">
        <f>IFERROR(MATCH(ROW()-4,rOrden_RF,0),"")</f>
        <v/>
      </c>
    </row>
    <row r="32">
      <c r="A32" s="60">
        <f>IF($N32="","",INDEX('Cronograma R. Financiero'!$A$5:$A$1000,$N32))</f>
        <v/>
      </c>
      <c r="B32" s="68">
        <f>IF($N32="","",INDEX('Cronograma R. Financiero'!$B$5:$B$1000,$N32)&amp;"")</f>
        <v/>
      </c>
      <c r="C32" s="68">
        <f>IF($N32="","",INDEX('Cronograma R. Financiero'!$C$5:$C$1000,$N32)&amp;"")</f>
        <v/>
      </c>
      <c r="D32" s="74">
        <f>IF($N32="","",IF(INDEX('Cronograma R. Financiero'!$D$5:$D$1000,$N32)="","",INDEX('Cronograma R. Financiero'!$D$5:$D$1000,$N32)))</f>
        <v/>
      </c>
      <c r="E32" s="74">
        <f>IF($N32="","",IF(INDEX('Cronograma R. Financiero'!$E$5:$E$1000,$N32)="","",INDEX('Cronograma R. Financiero'!$E$5:$E$1000,$N32)))</f>
        <v/>
      </c>
      <c r="F32" s="60">
        <f>IF($N32="","",IF(NOT(ISNUMBER($E32)),"",IF($E32&lt;InicioCiclo,"Antes del ciclo",IF($E32&gt;=InicioCiclo+28,"Después del ciclo","Semana "&amp;(INT(($E32-InicioCiclo)/7)+1)))))</f>
        <v/>
      </c>
      <c r="G32" s="65">
        <f>IF($N32="","",IF(INDEX('Cronograma R. Financiero'!$G$5:$G$1000,$N32)="","",INDEX('Cronograma R. Financiero'!$G$5:$G$1000,$N32)))</f>
        <v/>
      </c>
      <c r="H32" s="65">
        <f>IF($N32="","",IF(INDEX('Cronograma R. Financiero'!$H$5:$H$1000,$N32)="","",INDEX('Cronograma R. Financiero'!$H$5:$H$1000,$N32)))</f>
        <v/>
      </c>
      <c r="I32" s="65">
        <f>IF($N32="","",IF(INDEX('Cronograma R. Financiero'!$I$5:$I$1000,$N32)="","",INDEX('Cronograma R. Financiero'!$I$5:$I$1000,$N32)))</f>
        <v/>
      </c>
      <c r="J32" s="65">
        <f>IF($N32="","",IF(INDEX('Cronograma R. Financiero'!$J$5:$J$1000,$N32)="","",INDEX('Cronograma R. Financiero'!$J$5:$J$1000,$N32)))</f>
        <v/>
      </c>
      <c r="K32" s="65">
        <f>IF($N32="","",INDEX('Cronograma R. Financiero'!$K$5:$K$1000,$N32))</f>
        <v/>
      </c>
      <c r="L32" s="60">
        <f>IF($N32="","",IF(N($K32)&gt;=1,"Completado",IF(AND(ISNUMBER($E32),$E32&lt;FechaRef),"Vencida",IF(N($K32)&gt;0,"En curso","Pendiente"))))</f>
        <v/>
      </c>
      <c r="M32" s="68">
        <f>IF($N32="","",INDEX('Cronograma R. Financiero'!$M$5:$M$1000,$N32)&amp;"")</f>
        <v/>
      </c>
      <c r="N32">
        <f>IFERROR(MATCH(ROW()-4,rOrden_RF,0),"")</f>
        <v/>
      </c>
    </row>
    <row r="33">
      <c r="A33" s="60">
        <f>IF($N33="","",INDEX('Cronograma R. Financiero'!$A$5:$A$1000,$N33))</f>
        <v/>
      </c>
      <c r="B33" s="68">
        <f>IF($N33="","",INDEX('Cronograma R. Financiero'!$B$5:$B$1000,$N33)&amp;"")</f>
        <v/>
      </c>
      <c r="C33" s="68">
        <f>IF($N33="","",INDEX('Cronograma R. Financiero'!$C$5:$C$1000,$N33)&amp;"")</f>
        <v/>
      </c>
      <c r="D33" s="74">
        <f>IF($N33="","",IF(INDEX('Cronograma R. Financiero'!$D$5:$D$1000,$N33)="","",INDEX('Cronograma R. Financiero'!$D$5:$D$1000,$N33)))</f>
        <v/>
      </c>
      <c r="E33" s="74">
        <f>IF($N33="","",IF(INDEX('Cronograma R. Financiero'!$E$5:$E$1000,$N33)="","",INDEX('Cronograma R. Financiero'!$E$5:$E$1000,$N33)))</f>
        <v/>
      </c>
      <c r="F33" s="60">
        <f>IF($N33="","",IF(NOT(ISNUMBER($E33)),"",IF($E33&lt;InicioCiclo,"Antes del ciclo",IF($E33&gt;=InicioCiclo+28,"Después del ciclo","Semana "&amp;(INT(($E33-InicioCiclo)/7)+1)))))</f>
        <v/>
      </c>
      <c r="G33" s="65">
        <f>IF($N33="","",IF(INDEX('Cronograma R. Financiero'!$G$5:$G$1000,$N33)="","",INDEX('Cronograma R. Financiero'!$G$5:$G$1000,$N33)))</f>
        <v/>
      </c>
      <c r="H33" s="65">
        <f>IF($N33="","",IF(INDEX('Cronograma R. Financiero'!$H$5:$H$1000,$N33)="","",INDEX('Cronograma R. Financiero'!$H$5:$H$1000,$N33)))</f>
        <v/>
      </c>
      <c r="I33" s="65">
        <f>IF($N33="","",IF(INDEX('Cronograma R. Financiero'!$I$5:$I$1000,$N33)="","",INDEX('Cronograma R. Financiero'!$I$5:$I$1000,$N33)))</f>
        <v/>
      </c>
      <c r="J33" s="65">
        <f>IF($N33="","",IF(INDEX('Cronograma R. Financiero'!$J$5:$J$1000,$N33)="","",INDEX('Cronograma R. Financiero'!$J$5:$J$1000,$N33)))</f>
        <v/>
      </c>
      <c r="K33" s="65">
        <f>IF($N33="","",INDEX('Cronograma R. Financiero'!$K$5:$K$1000,$N33))</f>
        <v/>
      </c>
      <c r="L33" s="60">
        <f>IF($N33="","",IF(N($K33)&gt;=1,"Completado",IF(AND(ISNUMBER($E33),$E33&lt;FechaRef),"Vencida",IF(N($K33)&gt;0,"En curso","Pendiente"))))</f>
        <v/>
      </c>
      <c r="M33" s="68">
        <f>IF($N33="","",INDEX('Cronograma R. Financiero'!$M$5:$M$1000,$N33)&amp;"")</f>
        <v/>
      </c>
      <c r="N33">
        <f>IFERROR(MATCH(ROW()-4,rOrden_RF,0),"")</f>
        <v/>
      </c>
    </row>
    <row r="34">
      <c r="A34" s="60">
        <f>IF($N34="","",INDEX('Cronograma R. Financiero'!$A$5:$A$1000,$N34))</f>
        <v/>
      </c>
      <c r="B34" s="68">
        <f>IF($N34="","",INDEX('Cronograma R. Financiero'!$B$5:$B$1000,$N34)&amp;"")</f>
        <v/>
      </c>
      <c r="C34" s="68">
        <f>IF($N34="","",INDEX('Cronograma R. Financiero'!$C$5:$C$1000,$N34)&amp;"")</f>
        <v/>
      </c>
      <c r="D34" s="74">
        <f>IF($N34="","",IF(INDEX('Cronograma R. Financiero'!$D$5:$D$1000,$N34)="","",INDEX('Cronograma R. Financiero'!$D$5:$D$1000,$N34)))</f>
        <v/>
      </c>
      <c r="E34" s="74">
        <f>IF($N34="","",IF(INDEX('Cronograma R. Financiero'!$E$5:$E$1000,$N34)="","",INDEX('Cronograma R. Financiero'!$E$5:$E$1000,$N34)))</f>
        <v/>
      </c>
      <c r="F34" s="60">
        <f>IF($N34="","",IF(NOT(ISNUMBER($E34)),"",IF($E34&lt;InicioCiclo,"Antes del ciclo",IF($E34&gt;=InicioCiclo+28,"Después del ciclo","Semana "&amp;(INT(($E34-InicioCiclo)/7)+1)))))</f>
        <v/>
      </c>
      <c r="G34" s="65">
        <f>IF($N34="","",IF(INDEX('Cronograma R. Financiero'!$G$5:$G$1000,$N34)="","",INDEX('Cronograma R. Financiero'!$G$5:$G$1000,$N34)))</f>
        <v/>
      </c>
      <c r="H34" s="65">
        <f>IF($N34="","",IF(INDEX('Cronograma R. Financiero'!$H$5:$H$1000,$N34)="","",INDEX('Cronograma R. Financiero'!$H$5:$H$1000,$N34)))</f>
        <v/>
      </c>
      <c r="I34" s="65">
        <f>IF($N34="","",IF(INDEX('Cronograma R. Financiero'!$I$5:$I$1000,$N34)="","",INDEX('Cronograma R. Financiero'!$I$5:$I$1000,$N34)))</f>
        <v/>
      </c>
      <c r="J34" s="65">
        <f>IF($N34="","",IF(INDEX('Cronograma R. Financiero'!$J$5:$J$1000,$N34)="","",INDEX('Cronograma R. Financiero'!$J$5:$J$1000,$N34)))</f>
        <v/>
      </c>
      <c r="K34" s="65">
        <f>IF($N34="","",INDEX('Cronograma R. Financiero'!$K$5:$K$1000,$N34))</f>
        <v/>
      </c>
      <c r="L34" s="60">
        <f>IF($N34="","",IF(N($K34)&gt;=1,"Completado",IF(AND(ISNUMBER($E34),$E34&lt;FechaRef),"Vencida",IF(N($K34)&gt;0,"En curso","Pendiente"))))</f>
        <v/>
      </c>
      <c r="M34" s="68">
        <f>IF($N34="","",INDEX('Cronograma R. Financiero'!$M$5:$M$1000,$N34)&amp;"")</f>
        <v/>
      </c>
      <c r="N34">
        <f>IFERROR(MATCH(ROW()-4,rOrden_RF,0),"")</f>
        <v/>
      </c>
    </row>
    <row r="35">
      <c r="A35" s="60">
        <f>IF($N35="","",INDEX('Cronograma R. Financiero'!$A$5:$A$1000,$N35))</f>
        <v/>
      </c>
      <c r="B35" s="68">
        <f>IF($N35="","",INDEX('Cronograma R. Financiero'!$B$5:$B$1000,$N35)&amp;"")</f>
        <v/>
      </c>
      <c r="C35" s="68">
        <f>IF($N35="","",INDEX('Cronograma R. Financiero'!$C$5:$C$1000,$N35)&amp;"")</f>
        <v/>
      </c>
      <c r="D35" s="74">
        <f>IF($N35="","",IF(INDEX('Cronograma R. Financiero'!$D$5:$D$1000,$N35)="","",INDEX('Cronograma R. Financiero'!$D$5:$D$1000,$N35)))</f>
        <v/>
      </c>
      <c r="E35" s="74">
        <f>IF($N35="","",IF(INDEX('Cronograma R. Financiero'!$E$5:$E$1000,$N35)="","",INDEX('Cronograma R. Financiero'!$E$5:$E$1000,$N35)))</f>
        <v/>
      </c>
      <c r="F35" s="60">
        <f>IF($N35="","",IF(NOT(ISNUMBER($E35)),"",IF($E35&lt;InicioCiclo,"Antes del ciclo",IF($E35&gt;=InicioCiclo+28,"Después del ciclo","Semana "&amp;(INT(($E35-InicioCiclo)/7)+1)))))</f>
        <v/>
      </c>
      <c r="G35" s="65">
        <f>IF($N35="","",IF(INDEX('Cronograma R. Financiero'!$G$5:$G$1000,$N35)="","",INDEX('Cronograma R. Financiero'!$G$5:$G$1000,$N35)))</f>
        <v/>
      </c>
      <c r="H35" s="65">
        <f>IF($N35="","",IF(INDEX('Cronograma R. Financiero'!$H$5:$H$1000,$N35)="","",INDEX('Cronograma R. Financiero'!$H$5:$H$1000,$N35)))</f>
        <v/>
      </c>
      <c r="I35" s="65">
        <f>IF($N35="","",IF(INDEX('Cronograma R. Financiero'!$I$5:$I$1000,$N35)="","",INDEX('Cronograma R. Financiero'!$I$5:$I$1000,$N35)))</f>
        <v/>
      </c>
      <c r="J35" s="65">
        <f>IF($N35="","",IF(INDEX('Cronograma R. Financiero'!$J$5:$J$1000,$N35)="","",INDEX('Cronograma R. Financiero'!$J$5:$J$1000,$N35)))</f>
        <v/>
      </c>
      <c r="K35" s="65">
        <f>IF($N35="","",INDEX('Cronograma R. Financiero'!$K$5:$K$1000,$N35))</f>
        <v/>
      </c>
      <c r="L35" s="60">
        <f>IF($N35="","",IF(N($K35)&gt;=1,"Completado",IF(AND(ISNUMBER($E35),$E35&lt;FechaRef),"Vencida",IF(N($K35)&gt;0,"En curso","Pendiente"))))</f>
        <v/>
      </c>
      <c r="M35" s="68">
        <f>IF($N35="","",INDEX('Cronograma R. Financiero'!$M$5:$M$1000,$N35)&amp;"")</f>
        <v/>
      </c>
      <c r="N35">
        <f>IFERROR(MATCH(ROW()-4,rOrden_RF,0),"")</f>
        <v/>
      </c>
    </row>
    <row r="36">
      <c r="A36" s="60">
        <f>IF($N36="","",INDEX('Cronograma R. Financiero'!$A$5:$A$1000,$N36))</f>
        <v/>
      </c>
      <c r="B36" s="68">
        <f>IF($N36="","",INDEX('Cronograma R. Financiero'!$B$5:$B$1000,$N36)&amp;"")</f>
        <v/>
      </c>
      <c r="C36" s="68">
        <f>IF($N36="","",INDEX('Cronograma R. Financiero'!$C$5:$C$1000,$N36)&amp;"")</f>
        <v/>
      </c>
      <c r="D36" s="74">
        <f>IF($N36="","",IF(INDEX('Cronograma R. Financiero'!$D$5:$D$1000,$N36)="","",INDEX('Cronograma R. Financiero'!$D$5:$D$1000,$N36)))</f>
        <v/>
      </c>
      <c r="E36" s="74">
        <f>IF($N36="","",IF(INDEX('Cronograma R. Financiero'!$E$5:$E$1000,$N36)="","",INDEX('Cronograma R. Financiero'!$E$5:$E$1000,$N36)))</f>
        <v/>
      </c>
      <c r="F36" s="60">
        <f>IF($N36="","",IF(NOT(ISNUMBER($E36)),"",IF($E36&lt;InicioCiclo,"Antes del ciclo",IF($E36&gt;=InicioCiclo+28,"Después del ciclo","Semana "&amp;(INT(($E36-InicioCiclo)/7)+1)))))</f>
        <v/>
      </c>
      <c r="G36" s="65">
        <f>IF($N36="","",IF(INDEX('Cronograma R. Financiero'!$G$5:$G$1000,$N36)="","",INDEX('Cronograma R. Financiero'!$G$5:$G$1000,$N36)))</f>
        <v/>
      </c>
      <c r="H36" s="65">
        <f>IF($N36="","",IF(INDEX('Cronograma R. Financiero'!$H$5:$H$1000,$N36)="","",INDEX('Cronograma R. Financiero'!$H$5:$H$1000,$N36)))</f>
        <v/>
      </c>
      <c r="I36" s="65">
        <f>IF($N36="","",IF(INDEX('Cronograma R. Financiero'!$I$5:$I$1000,$N36)="","",INDEX('Cronograma R. Financiero'!$I$5:$I$1000,$N36)))</f>
        <v/>
      </c>
      <c r="J36" s="65">
        <f>IF($N36="","",IF(INDEX('Cronograma R. Financiero'!$J$5:$J$1000,$N36)="","",INDEX('Cronograma R. Financiero'!$J$5:$J$1000,$N36)))</f>
        <v/>
      </c>
      <c r="K36" s="65">
        <f>IF($N36="","",INDEX('Cronograma R. Financiero'!$K$5:$K$1000,$N36))</f>
        <v/>
      </c>
      <c r="L36" s="60">
        <f>IF($N36="","",IF(N($K36)&gt;=1,"Completado",IF(AND(ISNUMBER($E36),$E36&lt;FechaRef),"Vencida",IF(N($K36)&gt;0,"En curso","Pendiente"))))</f>
        <v/>
      </c>
      <c r="M36" s="68">
        <f>IF($N36="","",INDEX('Cronograma R. Financiero'!$M$5:$M$1000,$N36)&amp;"")</f>
        <v/>
      </c>
      <c r="N36">
        <f>IFERROR(MATCH(ROW()-4,rOrden_RF,0),"")</f>
        <v/>
      </c>
    </row>
    <row r="37">
      <c r="A37" s="60">
        <f>IF($N37="","",INDEX('Cronograma R. Financiero'!$A$5:$A$1000,$N37))</f>
        <v/>
      </c>
      <c r="B37" s="68">
        <f>IF($N37="","",INDEX('Cronograma R. Financiero'!$B$5:$B$1000,$N37)&amp;"")</f>
        <v/>
      </c>
      <c r="C37" s="68">
        <f>IF($N37="","",INDEX('Cronograma R. Financiero'!$C$5:$C$1000,$N37)&amp;"")</f>
        <v/>
      </c>
      <c r="D37" s="74">
        <f>IF($N37="","",IF(INDEX('Cronograma R. Financiero'!$D$5:$D$1000,$N37)="","",INDEX('Cronograma R. Financiero'!$D$5:$D$1000,$N37)))</f>
        <v/>
      </c>
      <c r="E37" s="74">
        <f>IF($N37="","",IF(INDEX('Cronograma R. Financiero'!$E$5:$E$1000,$N37)="","",INDEX('Cronograma R. Financiero'!$E$5:$E$1000,$N37)))</f>
        <v/>
      </c>
      <c r="F37" s="60">
        <f>IF($N37="","",IF(NOT(ISNUMBER($E37)),"",IF($E37&lt;InicioCiclo,"Antes del ciclo",IF($E37&gt;=InicioCiclo+28,"Después del ciclo","Semana "&amp;(INT(($E37-InicioCiclo)/7)+1)))))</f>
        <v/>
      </c>
      <c r="G37" s="65">
        <f>IF($N37="","",IF(INDEX('Cronograma R. Financiero'!$G$5:$G$1000,$N37)="","",INDEX('Cronograma R. Financiero'!$G$5:$G$1000,$N37)))</f>
        <v/>
      </c>
      <c r="H37" s="65">
        <f>IF($N37="","",IF(INDEX('Cronograma R. Financiero'!$H$5:$H$1000,$N37)="","",INDEX('Cronograma R. Financiero'!$H$5:$H$1000,$N37)))</f>
        <v/>
      </c>
      <c r="I37" s="65">
        <f>IF($N37="","",IF(INDEX('Cronograma R. Financiero'!$I$5:$I$1000,$N37)="","",INDEX('Cronograma R. Financiero'!$I$5:$I$1000,$N37)))</f>
        <v/>
      </c>
      <c r="J37" s="65">
        <f>IF($N37="","",IF(INDEX('Cronograma R. Financiero'!$J$5:$J$1000,$N37)="","",INDEX('Cronograma R. Financiero'!$J$5:$J$1000,$N37)))</f>
        <v/>
      </c>
      <c r="K37" s="65">
        <f>IF($N37="","",INDEX('Cronograma R. Financiero'!$K$5:$K$1000,$N37))</f>
        <v/>
      </c>
      <c r="L37" s="60">
        <f>IF($N37="","",IF(N($K37)&gt;=1,"Completado",IF(AND(ISNUMBER($E37),$E37&lt;FechaRef),"Vencida",IF(N($K37)&gt;0,"En curso","Pendiente"))))</f>
        <v/>
      </c>
      <c r="M37" s="68">
        <f>IF($N37="","",INDEX('Cronograma R. Financiero'!$M$5:$M$1000,$N37)&amp;"")</f>
        <v/>
      </c>
      <c r="N37">
        <f>IFERROR(MATCH(ROW()-4,rOrden_RF,0),"")</f>
        <v/>
      </c>
    </row>
    <row r="38">
      <c r="A38" s="60">
        <f>IF($N38="","",INDEX('Cronograma R. Financiero'!$A$5:$A$1000,$N38))</f>
        <v/>
      </c>
      <c r="B38" s="68">
        <f>IF($N38="","",INDEX('Cronograma R. Financiero'!$B$5:$B$1000,$N38)&amp;"")</f>
        <v/>
      </c>
      <c r="C38" s="68">
        <f>IF($N38="","",INDEX('Cronograma R. Financiero'!$C$5:$C$1000,$N38)&amp;"")</f>
        <v/>
      </c>
      <c r="D38" s="74">
        <f>IF($N38="","",IF(INDEX('Cronograma R. Financiero'!$D$5:$D$1000,$N38)="","",INDEX('Cronograma R. Financiero'!$D$5:$D$1000,$N38)))</f>
        <v/>
      </c>
      <c r="E38" s="74">
        <f>IF($N38="","",IF(INDEX('Cronograma R. Financiero'!$E$5:$E$1000,$N38)="","",INDEX('Cronograma R. Financiero'!$E$5:$E$1000,$N38)))</f>
        <v/>
      </c>
      <c r="F38" s="60">
        <f>IF($N38="","",IF(NOT(ISNUMBER($E38)),"",IF($E38&lt;InicioCiclo,"Antes del ciclo",IF($E38&gt;=InicioCiclo+28,"Después del ciclo","Semana "&amp;(INT(($E38-InicioCiclo)/7)+1)))))</f>
        <v/>
      </c>
      <c r="G38" s="65">
        <f>IF($N38="","",IF(INDEX('Cronograma R. Financiero'!$G$5:$G$1000,$N38)="","",INDEX('Cronograma R. Financiero'!$G$5:$G$1000,$N38)))</f>
        <v/>
      </c>
      <c r="H38" s="65">
        <f>IF($N38="","",IF(INDEX('Cronograma R. Financiero'!$H$5:$H$1000,$N38)="","",INDEX('Cronograma R. Financiero'!$H$5:$H$1000,$N38)))</f>
        <v/>
      </c>
      <c r="I38" s="65">
        <f>IF($N38="","",IF(INDEX('Cronograma R. Financiero'!$I$5:$I$1000,$N38)="","",INDEX('Cronograma R. Financiero'!$I$5:$I$1000,$N38)))</f>
        <v/>
      </c>
      <c r="J38" s="65">
        <f>IF($N38="","",IF(INDEX('Cronograma R. Financiero'!$J$5:$J$1000,$N38)="","",INDEX('Cronograma R. Financiero'!$J$5:$J$1000,$N38)))</f>
        <v/>
      </c>
      <c r="K38" s="65">
        <f>IF($N38="","",INDEX('Cronograma R. Financiero'!$K$5:$K$1000,$N38))</f>
        <v/>
      </c>
      <c r="L38" s="60">
        <f>IF($N38="","",IF(N($K38)&gt;=1,"Completado",IF(AND(ISNUMBER($E38),$E38&lt;FechaRef),"Vencida",IF(N($K38)&gt;0,"En curso","Pendiente"))))</f>
        <v/>
      </c>
      <c r="M38" s="68">
        <f>IF($N38="","",INDEX('Cronograma R. Financiero'!$M$5:$M$1000,$N38)&amp;"")</f>
        <v/>
      </c>
      <c r="N38">
        <f>IFERROR(MATCH(ROW()-4,rOrden_RF,0),"")</f>
        <v/>
      </c>
    </row>
    <row r="39">
      <c r="A39" s="60">
        <f>IF($N39="","",INDEX('Cronograma R. Financiero'!$A$5:$A$1000,$N39))</f>
        <v/>
      </c>
      <c r="B39" s="68">
        <f>IF($N39="","",INDEX('Cronograma R. Financiero'!$B$5:$B$1000,$N39)&amp;"")</f>
        <v/>
      </c>
      <c r="C39" s="68">
        <f>IF($N39="","",INDEX('Cronograma R. Financiero'!$C$5:$C$1000,$N39)&amp;"")</f>
        <v/>
      </c>
      <c r="D39" s="74">
        <f>IF($N39="","",IF(INDEX('Cronograma R. Financiero'!$D$5:$D$1000,$N39)="","",INDEX('Cronograma R. Financiero'!$D$5:$D$1000,$N39)))</f>
        <v/>
      </c>
      <c r="E39" s="74">
        <f>IF($N39="","",IF(INDEX('Cronograma R. Financiero'!$E$5:$E$1000,$N39)="","",INDEX('Cronograma R. Financiero'!$E$5:$E$1000,$N39)))</f>
        <v/>
      </c>
      <c r="F39" s="60">
        <f>IF($N39="","",IF(NOT(ISNUMBER($E39)),"",IF($E39&lt;InicioCiclo,"Antes del ciclo",IF($E39&gt;=InicioCiclo+28,"Después del ciclo","Semana "&amp;(INT(($E39-InicioCiclo)/7)+1)))))</f>
        <v/>
      </c>
      <c r="G39" s="65">
        <f>IF($N39="","",IF(INDEX('Cronograma R. Financiero'!$G$5:$G$1000,$N39)="","",INDEX('Cronograma R. Financiero'!$G$5:$G$1000,$N39)))</f>
        <v/>
      </c>
      <c r="H39" s="65">
        <f>IF($N39="","",IF(INDEX('Cronograma R. Financiero'!$H$5:$H$1000,$N39)="","",INDEX('Cronograma R. Financiero'!$H$5:$H$1000,$N39)))</f>
        <v/>
      </c>
      <c r="I39" s="65">
        <f>IF($N39="","",IF(INDEX('Cronograma R. Financiero'!$I$5:$I$1000,$N39)="","",INDEX('Cronograma R. Financiero'!$I$5:$I$1000,$N39)))</f>
        <v/>
      </c>
      <c r="J39" s="65">
        <f>IF($N39="","",IF(INDEX('Cronograma R. Financiero'!$J$5:$J$1000,$N39)="","",INDEX('Cronograma R. Financiero'!$J$5:$J$1000,$N39)))</f>
        <v/>
      </c>
      <c r="K39" s="65">
        <f>IF($N39="","",INDEX('Cronograma R. Financiero'!$K$5:$K$1000,$N39))</f>
        <v/>
      </c>
      <c r="L39" s="60">
        <f>IF($N39="","",IF(N($K39)&gt;=1,"Completado",IF(AND(ISNUMBER($E39),$E39&lt;FechaRef),"Vencida",IF(N($K39)&gt;0,"En curso","Pendiente"))))</f>
        <v/>
      </c>
      <c r="M39" s="68">
        <f>IF($N39="","",INDEX('Cronograma R. Financiero'!$M$5:$M$1000,$N39)&amp;"")</f>
        <v/>
      </c>
      <c r="N39">
        <f>IFERROR(MATCH(ROW()-4,rOrden_RF,0),"")</f>
        <v/>
      </c>
    </row>
    <row r="40">
      <c r="A40" s="60">
        <f>IF($N40="","",INDEX('Cronograma R. Financiero'!$A$5:$A$1000,$N40))</f>
        <v/>
      </c>
      <c r="B40" s="68">
        <f>IF($N40="","",INDEX('Cronograma R. Financiero'!$B$5:$B$1000,$N40)&amp;"")</f>
        <v/>
      </c>
      <c r="C40" s="68">
        <f>IF($N40="","",INDEX('Cronograma R. Financiero'!$C$5:$C$1000,$N40)&amp;"")</f>
        <v/>
      </c>
      <c r="D40" s="74">
        <f>IF($N40="","",IF(INDEX('Cronograma R. Financiero'!$D$5:$D$1000,$N40)="","",INDEX('Cronograma R. Financiero'!$D$5:$D$1000,$N40)))</f>
        <v/>
      </c>
      <c r="E40" s="74">
        <f>IF($N40="","",IF(INDEX('Cronograma R. Financiero'!$E$5:$E$1000,$N40)="","",INDEX('Cronograma R. Financiero'!$E$5:$E$1000,$N40)))</f>
        <v/>
      </c>
      <c r="F40" s="60">
        <f>IF($N40="","",IF(NOT(ISNUMBER($E40)),"",IF($E40&lt;InicioCiclo,"Antes del ciclo",IF($E40&gt;=InicioCiclo+28,"Después del ciclo","Semana "&amp;(INT(($E40-InicioCiclo)/7)+1)))))</f>
        <v/>
      </c>
      <c r="G40" s="65">
        <f>IF($N40="","",IF(INDEX('Cronograma R. Financiero'!$G$5:$G$1000,$N40)="","",INDEX('Cronograma R. Financiero'!$G$5:$G$1000,$N40)))</f>
        <v/>
      </c>
      <c r="H40" s="65">
        <f>IF($N40="","",IF(INDEX('Cronograma R. Financiero'!$H$5:$H$1000,$N40)="","",INDEX('Cronograma R. Financiero'!$H$5:$H$1000,$N40)))</f>
        <v/>
      </c>
      <c r="I40" s="65">
        <f>IF($N40="","",IF(INDEX('Cronograma R. Financiero'!$I$5:$I$1000,$N40)="","",INDEX('Cronograma R. Financiero'!$I$5:$I$1000,$N40)))</f>
        <v/>
      </c>
      <c r="J40" s="65">
        <f>IF($N40="","",IF(INDEX('Cronograma R. Financiero'!$J$5:$J$1000,$N40)="","",INDEX('Cronograma R. Financiero'!$J$5:$J$1000,$N40)))</f>
        <v/>
      </c>
      <c r="K40" s="65">
        <f>IF($N40="","",INDEX('Cronograma R. Financiero'!$K$5:$K$1000,$N40))</f>
        <v/>
      </c>
      <c r="L40" s="60">
        <f>IF($N40="","",IF(N($K40)&gt;=1,"Completado",IF(AND(ISNUMBER($E40),$E40&lt;FechaRef),"Vencida",IF(N($K40)&gt;0,"En curso","Pendiente"))))</f>
        <v/>
      </c>
      <c r="M40" s="68">
        <f>IF($N40="","",INDEX('Cronograma R. Financiero'!$M$5:$M$1000,$N40)&amp;"")</f>
        <v/>
      </c>
      <c r="N40">
        <f>IFERROR(MATCH(ROW()-4,rOrden_RF,0),"")</f>
        <v/>
      </c>
    </row>
    <row r="41">
      <c r="A41" s="60">
        <f>IF($N41="","",INDEX('Cronograma R. Financiero'!$A$5:$A$1000,$N41))</f>
        <v/>
      </c>
      <c r="B41" s="68">
        <f>IF($N41="","",INDEX('Cronograma R. Financiero'!$B$5:$B$1000,$N41)&amp;"")</f>
        <v/>
      </c>
      <c r="C41" s="68">
        <f>IF($N41="","",INDEX('Cronograma R. Financiero'!$C$5:$C$1000,$N41)&amp;"")</f>
        <v/>
      </c>
      <c r="D41" s="74">
        <f>IF($N41="","",IF(INDEX('Cronograma R. Financiero'!$D$5:$D$1000,$N41)="","",INDEX('Cronograma R. Financiero'!$D$5:$D$1000,$N41)))</f>
        <v/>
      </c>
      <c r="E41" s="74">
        <f>IF($N41="","",IF(INDEX('Cronograma R. Financiero'!$E$5:$E$1000,$N41)="","",INDEX('Cronograma R. Financiero'!$E$5:$E$1000,$N41)))</f>
        <v/>
      </c>
      <c r="F41" s="60">
        <f>IF($N41="","",IF(NOT(ISNUMBER($E41)),"",IF($E41&lt;InicioCiclo,"Antes del ciclo",IF($E41&gt;=InicioCiclo+28,"Después del ciclo","Semana "&amp;(INT(($E41-InicioCiclo)/7)+1)))))</f>
        <v/>
      </c>
      <c r="G41" s="65">
        <f>IF($N41="","",IF(INDEX('Cronograma R. Financiero'!$G$5:$G$1000,$N41)="","",INDEX('Cronograma R. Financiero'!$G$5:$G$1000,$N41)))</f>
        <v/>
      </c>
      <c r="H41" s="65">
        <f>IF($N41="","",IF(INDEX('Cronograma R. Financiero'!$H$5:$H$1000,$N41)="","",INDEX('Cronograma R. Financiero'!$H$5:$H$1000,$N41)))</f>
        <v/>
      </c>
      <c r="I41" s="65">
        <f>IF($N41="","",IF(INDEX('Cronograma R. Financiero'!$I$5:$I$1000,$N41)="","",INDEX('Cronograma R. Financiero'!$I$5:$I$1000,$N41)))</f>
        <v/>
      </c>
      <c r="J41" s="65">
        <f>IF($N41="","",IF(INDEX('Cronograma R. Financiero'!$J$5:$J$1000,$N41)="","",INDEX('Cronograma R. Financiero'!$J$5:$J$1000,$N41)))</f>
        <v/>
      </c>
      <c r="K41" s="65">
        <f>IF($N41="","",INDEX('Cronograma R. Financiero'!$K$5:$K$1000,$N41))</f>
        <v/>
      </c>
      <c r="L41" s="60">
        <f>IF($N41="","",IF(N($K41)&gt;=1,"Completado",IF(AND(ISNUMBER($E41),$E41&lt;FechaRef),"Vencida",IF(N($K41)&gt;0,"En curso","Pendiente"))))</f>
        <v/>
      </c>
      <c r="M41" s="68">
        <f>IF($N41="","",INDEX('Cronograma R. Financiero'!$M$5:$M$1000,$N41)&amp;"")</f>
        <v/>
      </c>
      <c r="N41">
        <f>IFERROR(MATCH(ROW()-4,rOrden_RF,0),"")</f>
        <v/>
      </c>
    </row>
    <row r="42">
      <c r="A42" s="60">
        <f>IF($N42="","",INDEX('Cronograma R. Financiero'!$A$5:$A$1000,$N42))</f>
        <v/>
      </c>
      <c r="B42" s="68">
        <f>IF($N42="","",INDEX('Cronograma R. Financiero'!$B$5:$B$1000,$N42)&amp;"")</f>
        <v/>
      </c>
      <c r="C42" s="68">
        <f>IF($N42="","",INDEX('Cronograma R. Financiero'!$C$5:$C$1000,$N42)&amp;"")</f>
        <v/>
      </c>
      <c r="D42" s="74">
        <f>IF($N42="","",IF(INDEX('Cronograma R. Financiero'!$D$5:$D$1000,$N42)="","",INDEX('Cronograma R. Financiero'!$D$5:$D$1000,$N42)))</f>
        <v/>
      </c>
      <c r="E42" s="74">
        <f>IF($N42="","",IF(INDEX('Cronograma R. Financiero'!$E$5:$E$1000,$N42)="","",INDEX('Cronograma R. Financiero'!$E$5:$E$1000,$N42)))</f>
        <v/>
      </c>
      <c r="F42" s="60">
        <f>IF($N42="","",IF(NOT(ISNUMBER($E42)),"",IF($E42&lt;InicioCiclo,"Antes del ciclo",IF($E42&gt;=InicioCiclo+28,"Después del ciclo","Semana "&amp;(INT(($E42-InicioCiclo)/7)+1)))))</f>
        <v/>
      </c>
      <c r="G42" s="65">
        <f>IF($N42="","",IF(INDEX('Cronograma R. Financiero'!$G$5:$G$1000,$N42)="","",INDEX('Cronograma R. Financiero'!$G$5:$G$1000,$N42)))</f>
        <v/>
      </c>
      <c r="H42" s="65">
        <f>IF($N42="","",IF(INDEX('Cronograma R. Financiero'!$H$5:$H$1000,$N42)="","",INDEX('Cronograma R. Financiero'!$H$5:$H$1000,$N42)))</f>
        <v/>
      </c>
      <c r="I42" s="65">
        <f>IF($N42="","",IF(INDEX('Cronograma R. Financiero'!$I$5:$I$1000,$N42)="","",INDEX('Cronograma R. Financiero'!$I$5:$I$1000,$N42)))</f>
        <v/>
      </c>
      <c r="J42" s="65">
        <f>IF($N42="","",IF(INDEX('Cronograma R. Financiero'!$J$5:$J$1000,$N42)="","",INDEX('Cronograma R. Financiero'!$J$5:$J$1000,$N42)))</f>
        <v/>
      </c>
      <c r="K42" s="65">
        <f>IF($N42="","",INDEX('Cronograma R. Financiero'!$K$5:$K$1000,$N42))</f>
        <v/>
      </c>
      <c r="L42" s="60">
        <f>IF($N42="","",IF(N($K42)&gt;=1,"Completado",IF(AND(ISNUMBER($E42),$E42&lt;FechaRef),"Vencida",IF(N($K42)&gt;0,"En curso","Pendiente"))))</f>
        <v/>
      </c>
      <c r="M42" s="68">
        <f>IF($N42="","",INDEX('Cronograma R. Financiero'!$M$5:$M$1000,$N42)&amp;"")</f>
        <v/>
      </c>
      <c r="N42">
        <f>IFERROR(MATCH(ROW()-4,rOrden_RF,0),"")</f>
        <v/>
      </c>
    </row>
    <row r="43">
      <c r="A43" s="60">
        <f>IF($N43="","",INDEX('Cronograma R. Financiero'!$A$5:$A$1000,$N43))</f>
        <v/>
      </c>
      <c r="B43" s="68">
        <f>IF($N43="","",INDEX('Cronograma R. Financiero'!$B$5:$B$1000,$N43)&amp;"")</f>
        <v/>
      </c>
      <c r="C43" s="68">
        <f>IF($N43="","",INDEX('Cronograma R. Financiero'!$C$5:$C$1000,$N43)&amp;"")</f>
        <v/>
      </c>
      <c r="D43" s="74">
        <f>IF($N43="","",IF(INDEX('Cronograma R. Financiero'!$D$5:$D$1000,$N43)="","",INDEX('Cronograma R. Financiero'!$D$5:$D$1000,$N43)))</f>
        <v/>
      </c>
      <c r="E43" s="74">
        <f>IF($N43="","",IF(INDEX('Cronograma R. Financiero'!$E$5:$E$1000,$N43)="","",INDEX('Cronograma R. Financiero'!$E$5:$E$1000,$N43)))</f>
        <v/>
      </c>
      <c r="F43" s="60">
        <f>IF($N43="","",IF(NOT(ISNUMBER($E43)),"",IF($E43&lt;InicioCiclo,"Antes del ciclo",IF($E43&gt;=InicioCiclo+28,"Después del ciclo","Semana "&amp;(INT(($E43-InicioCiclo)/7)+1)))))</f>
        <v/>
      </c>
      <c r="G43" s="65">
        <f>IF($N43="","",IF(INDEX('Cronograma R. Financiero'!$G$5:$G$1000,$N43)="","",INDEX('Cronograma R. Financiero'!$G$5:$G$1000,$N43)))</f>
        <v/>
      </c>
      <c r="H43" s="65">
        <f>IF($N43="","",IF(INDEX('Cronograma R. Financiero'!$H$5:$H$1000,$N43)="","",INDEX('Cronograma R. Financiero'!$H$5:$H$1000,$N43)))</f>
        <v/>
      </c>
      <c r="I43" s="65">
        <f>IF($N43="","",IF(INDEX('Cronograma R. Financiero'!$I$5:$I$1000,$N43)="","",INDEX('Cronograma R. Financiero'!$I$5:$I$1000,$N43)))</f>
        <v/>
      </c>
      <c r="J43" s="65">
        <f>IF($N43="","",IF(INDEX('Cronograma R. Financiero'!$J$5:$J$1000,$N43)="","",INDEX('Cronograma R. Financiero'!$J$5:$J$1000,$N43)))</f>
        <v/>
      </c>
      <c r="K43" s="65">
        <f>IF($N43="","",INDEX('Cronograma R. Financiero'!$K$5:$K$1000,$N43))</f>
        <v/>
      </c>
      <c r="L43" s="60">
        <f>IF($N43="","",IF(N($K43)&gt;=1,"Completado",IF(AND(ISNUMBER($E43),$E43&lt;FechaRef),"Vencida",IF(N($K43)&gt;0,"En curso","Pendiente"))))</f>
        <v/>
      </c>
      <c r="M43" s="68">
        <f>IF($N43="","",INDEX('Cronograma R. Financiero'!$M$5:$M$1000,$N43)&amp;"")</f>
        <v/>
      </c>
      <c r="N43">
        <f>IFERROR(MATCH(ROW()-4,rOrden_RF,0),"")</f>
        <v/>
      </c>
    </row>
    <row r="44">
      <c r="A44" s="60">
        <f>IF($N44="","",INDEX('Cronograma R. Financiero'!$A$5:$A$1000,$N44))</f>
        <v/>
      </c>
      <c r="B44" s="68">
        <f>IF($N44="","",INDEX('Cronograma R. Financiero'!$B$5:$B$1000,$N44)&amp;"")</f>
        <v/>
      </c>
      <c r="C44" s="68">
        <f>IF($N44="","",INDEX('Cronograma R. Financiero'!$C$5:$C$1000,$N44)&amp;"")</f>
        <v/>
      </c>
      <c r="D44" s="74">
        <f>IF($N44="","",IF(INDEX('Cronograma R. Financiero'!$D$5:$D$1000,$N44)="","",INDEX('Cronograma R. Financiero'!$D$5:$D$1000,$N44)))</f>
        <v/>
      </c>
      <c r="E44" s="74">
        <f>IF($N44="","",IF(INDEX('Cronograma R. Financiero'!$E$5:$E$1000,$N44)="","",INDEX('Cronograma R. Financiero'!$E$5:$E$1000,$N44)))</f>
        <v/>
      </c>
      <c r="F44" s="60">
        <f>IF($N44="","",IF(NOT(ISNUMBER($E44)),"",IF($E44&lt;InicioCiclo,"Antes del ciclo",IF($E44&gt;=InicioCiclo+28,"Después del ciclo","Semana "&amp;(INT(($E44-InicioCiclo)/7)+1)))))</f>
        <v/>
      </c>
      <c r="G44" s="65">
        <f>IF($N44="","",IF(INDEX('Cronograma R. Financiero'!$G$5:$G$1000,$N44)="","",INDEX('Cronograma R. Financiero'!$G$5:$G$1000,$N44)))</f>
        <v/>
      </c>
      <c r="H44" s="65">
        <f>IF($N44="","",IF(INDEX('Cronograma R. Financiero'!$H$5:$H$1000,$N44)="","",INDEX('Cronograma R. Financiero'!$H$5:$H$1000,$N44)))</f>
        <v/>
      </c>
      <c r="I44" s="65">
        <f>IF($N44="","",IF(INDEX('Cronograma R. Financiero'!$I$5:$I$1000,$N44)="","",INDEX('Cronograma R. Financiero'!$I$5:$I$1000,$N44)))</f>
        <v/>
      </c>
      <c r="J44" s="65">
        <f>IF($N44="","",IF(INDEX('Cronograma R. Financiero'!$J$5:$J$1000,$N44)="","",INDEX('Cronograma R. Financiero'!$J$5:$J$1000,$N44)))</f>
        <v/>
      </c>
      <c r="K44" s="65">
        <f>IF($N44="","",INDEX('Cronograma R. Financiero'!$K$5:$K$1000,$N44))</f>
        <v/>
      </c>
      <c r="L44" s="60">
        <f>IF($N44="","",IF(N($K44)&gt;=1,"Completado",IF(AND(ISNUMBER($E44),$E44&lt;FechaRef),"Vencida",IF(N($K44)&gt;0,"En curso","Pendiente"))))</f>
        <v/>
      </c>
      <c r="M44" s="68">
        <f>IF($N44="","",INDEX('Cronograma R. Financiero'!$M$5:$M$1000,$N44)&amp;"")</f>
        <v/>
      </c>
      <c r="N44">
        <f>IFERROR(MATCH(ROW()-4,rOrden_RF,0),"")</f>
        <v/>
      </c>
    </row>
    <row r="45">
      <c r="A45" s="60">
        <f>IF($N45="","",INDEX('Cronograma R. Financiero'!$A$5:$A$1000,$N45))</f>
        <v/>
      </c>
      <c r="B45" s="68">
        <f>IF($N45="","",INDEX('Cronograma R. Financiero'!$B$5:$B$1000,$N45)&amp;"")</f>
        <v/>
      </c>
      <c r="C45" s="68">
        <f>IF($N45="","",INDEX('Cronograma R. Financiero'!$C$5:$C$1000,$N45)&amp;"")</f>
        <v/>
      </c>
      <c r="D45" s="74">
        <f>IF($N45="","",IF(INDEX('Cronograma R. Financiero'!$D$5:$D$1000,$N45)="","",INDEX('Cronograma R. Financiero'!$D$5:$D$1000,$N45)))</f>
        <v/>
      </c>
      <c r="E45" s="74">
        <f>IF($N45="","",IF(INDEX('Cronograma R. Financiero'!$E$5:$E$1000,$N45)="","",INDEX('Cronograma R. Financiero'!$E$5:$E$1000,$N45)))</f>
        <v/>
      </c>
      <c r="F45" s="60">
        <f>IF($N45="","",IF(NOT(ISNUMBER($E45)),"",IF($E45&lt;InicioCiclo,"Antes del ciclo",IF($E45&gt;=InicioCiclo+28,"Después del ciclo","Semana "&amp;(INT(($E45-InicioCiclo)/7)+1)))))</f>
        <v/>
      </c>
      <c r="G45" s="65">
        <f>IF($N45="","",IF(INDEX('Cronograma R. Financiero'!$G$5:$G$1000,$N45)="","",INDEX('Cronograma R. Financiero'!$G$5:$G$1000,$N45)))</f>
        <v/>
      </c>
      <c r="H45" s="65">
        <f>IF($N45="","",IF(INDEX('Cronograma R. Financiero'!$H$5:$H$1000,$N45)="","",INDEX('Cronograma R. Financiero'!$H$5:$H$1000,$N45)))</f>
        <v/>
      </c>
      <c r="I45" s="65">
        <f>IF($N45="","",IF(INDEX('Cronograma R. Financiero'!$I$5:$I$1000,$N45)="","",INDEX('Cronograma R. Financiero'!$I$5:$I$1000,$N45)))</f>
        <v/>
      </c>
      <c r="J45" s="65">
        <f>IF($N45="","",IF(INDEX('Cronograma R. Financiero'!$J$5:$J$1000,$N45)="","",INDEX('Cronograma R. Financiero'!$J$5:$J$1000,$N45)))</f>
        <v/>
      </c>
      <c r="K45" s="65">
        <f>IF($N45="","",INDEX('Cronograma R. Financiero'!$K$5:$K$1000,$N45))</f>
        <v/>
      </c>
      <c r="L45" s="60">
        <f>IF($N45="","",IF(N($K45)&gt;=1,"Completado",IF(AND(ISNUMBER($E45),$E45&lt;FechaRef),"Vencida",IF(N($K45)&gt;0,"En curso","Pendiente"))))</f>
        <v/>
      </c>
      <c r="M45" s="68">
        <f>IF($N45="","",INDEX('Cronograma R. Financiero'!$M$5:$M$1000,$N45)&amp;"")</f>
        <v/>
      </c>
      <c r="N45">
        <f>IFERROR(MATCH(ROW()-4,rOrden_RF,0),"")</f>
        <v/>
      </c>
    </row>
    <row r="46">
      <c r="A46" s="60">
        <f>IF($N46="","",INDEX('Cronograma R. Financiero'!$A$5:$A$1000,$N46))</f>
        <v/>
      </c>
      <c r="B46" s="68">
        <f>IF($N46="","",INDEX('Cronograma R. Financiero'!$B$5:$B$1000,$N46)&amp;"")</f>
        <v/>
      </c>
      <c r="C46" s="68">
        <f>IF($N46="","",INDEX('Cronograma R. Financiero'!$C$5:$C$1000,$N46)&amp;"")</f>
        <v/>
      </c>
      <c r="D46" s="74">
        <f>IF($N46="","",IF(INDEX('Cronograma R. Financiero'!$D$5:$D$1000,$N46)="","",INDEX('Cronograma R. Financiero'!$D$5:$D$1000,$N46)))</f>
        <v/>
      </c>
      <c r="E46" s="74">
        <f>IF($N46="","",IF(INDEX('Cronograma R. Financiero'!$E$5:$E$1000,$N46)="","",INDEX('Cronograma R. Financiero'!$E$5:$E$1000,$N46)))</f>
        <v/>
      </c>
      <c r="F46" s="60">
        <f>IF($N46="","",IF(NOT(ISNUMBER($E46)),"",IF($E46&lt;InicioCiclo,"Antes del ciclo",IF($E46&gt;=InicioCiclo+28,"Después del ciclo","Semana "&amp;(INT(($E46-InicioCiclo)/7)+1)))))</f>
        <v/>
      </c>
      <c r="G46" s="65">
        <f>IF($N46="","",IF(INDEX('Cronograma R. Financiero'!$G$5:$G$1000,$N46)="","",INDEX('Cronograma R. Financiero'!$G$5:$G$1000,$N46)))</f>
        <v/>
      </c>
      <c r="H46" s="65">
        <f>IF($N46="","",IF(INDEX('Cronograma R. Financiero'!$H$5:$H$1000,$N46)="","",INDEX('Cronograma R. Financiero'!$H$5:$H$1000,$N46)))</f>
        <v/>
      </c>
      <c r="I46" s="65">
        <f>IF($N46="","",IF(INDEX('Cronograma R. Financiero'!$I$5:$I$1000,$N46)="","",INDEX('Cronograma R. Financiero'!$I$5:$I$1000,$N46)))</f>
        <v/>
      </c>
      <c r="J46" s="65">
        <f>IF($N46="","",IF(INDEX('Cronograma R. Financiero'!$J$5:$J$1000,$N46)="","",INDEX('Cronograma R. Financiero'!$J$5:$J$1000,$N46)))</f>
        <v/>
      </c>
      <c r="K46" s="65">
        <f>IF($N46="","",INDEX('Cronograma R. Financiero'!$K$5:$K$1000,$N46))</f>
        <v/>
      </c>
      <c r="L46" s="60">
        <f>IF($N46="","",IF(N($K46)&gt;=1,"Completado",IF(AND(ISNUMBER($E46),$E46&lt;FechaRef),"Vencida",IF(N($K46)&gt;0,"En curso","Pendiente"))))</f>
        <v/>
      </c>
      <c r="M46" s="68">
        <f>IF($N46="","",INDEX('Cronograma R. Financiero'!$M$5:$M$1000,$N46)&amp;"")</f>
        <v/>
      </c>
      <c r="N46">
        <f>IFERROR(MATCH(ROW()-4,rOrden_RF,0),"")</f>
        <v/>
      </c>
    </row>
    <row r="47">
      <c r="A47" s="60">
        <f>IF($N47="","",INDEX('Cronograma R. Financiero'!$A$5:$A$1000,$N47))</f>
        <v/>
      </c>
      <c r="B47" s="68">
        <f>IF($N47="","",INDEX('Cronograma R. Financiero'!$B$5:$B$1000,$N47)&amp;"")</f>
        <v/>
      </c>
      <c r="C47" s="68">
        <f>IF($N47="","",INDEX('Cronograma R. Financiero'!$C$5:$C$1000,$N47)&amp;"")</f>
        <v/>
      </c>
      <c r="D47" s="74">
        <f>IF($N47="","",IF(INDEX('Cronograma R. Financiero'!$D$5:$D$1000,$N47)="","",INDEX('Cronograma R. Financiero'!$D$5:$D$1000,$N47)))</f>
        <v/>
      </c>
      <c r="E47" s="74">
        <f>IF($N47="","",IF(INDEX('Cronograma R. Financiero'!$E$5:$E$1000,$N47)="","",INDEX('Cronograma R. Financiero'!$E$5:$E$1000,$N47)))</f>
        <v/>
      </c>
      <c r="F47" s="60">
        <f>IF($N47="","",IF(NOT(ISNUMBER($E47)),"",IF($E47&lt;InicioCiclo,"Antes del ciclo",IF($E47&gt;=InicioCiclo+28,"Después del ciclo","Semana "&amp;(INT(($E47-InicioCiclo)/7)+1)))))</f>
        <v/>
      </c>
      <c r="G47" s="65">
        <f>IF($N47="","",IF(INDEX('Cronograma R. Financiero'!$G$5:$G$1000,$N47)="","",INDEX('Cronograma R. Financiero'!$G$5:$G$1000,$N47)))</f>
        <v/>
      </c>
      <c r="H47" s="65">
        <f>IF($N47="","",IF(INDEX('Cronograma R. Financiero'!$H$5:$H$1000,$N47)="","",INDEX('Cronograma R. Financiero'!$H$5:$H$1000,$N47)))</f>
        <v/>
      </c>
      <c r="I47" s="65">
        <f>IF($N47="","",IF(INDEX('Cronograma R. Financiero'!$I$5:$I$1000,$N47)="","",INDEX('Cronograma R. Financiero'!$I$5:$I$1000,$N47)))</f>
        <v/>
      </c>
      <c r="J47" s="65">
        <f>IF($N47="","",IF(INDEX('Cronograma R. Financiero'!$J$5:$J$1000,$N47)="","",INDEX('Cronograma R. Financiero'!$J$5:$J$1000,$N47)))</f>
        <v/>
      </c>
      <c r="K47" s="65">
        <f>IF($N47="","",INDEX('Cronograma R. Financiero'!$K$5:$K$1000,$N47))</f>
        <v/>
      </c>
      <c r="L47" s="60">
        <f>IF($N47="","",IF(N($K47)&gt;=1,"Completado",IF(AND(ISNUMBER($E47),$E47&lt;FechaRef),"Vencida",IF(N($K47)&gt;0,"En curso","Pendiente"))))</f>
        <v/>
      </c>
      <c r="M47" s="68">
        <f>IF($N47="","",INDEX('Cronograma R. Financiero'!$M$5:$M$1000,$N47)&amp;"")</f>
        <v/>
      </c>
      <c r="N47">
        <f>IFERROR(MATCH(ROW()-4,rOrden_RF,0),"")</f>
        <v/>
      </c>
    </row>
    <row r="48">
      <c r="A48" s="60">
        <f>IF($N48="","",INDEX('Cronograma R. Financiero'!$A$5:$A$1000,$N48))</f>
        <v/>
      </c>
      <c r="B48" s="68">
        <f>IF($N48="","",INDEX('Cronograma R. Financiero'!$B$5:$B$1000,$N48)&amp;"")</f>
        <v/>
      </c>
      <c r="C48" s="68">
        <f>IF($N48="","",INDEX('Cronograma R. Financiero'!$C$5:$C$1000,$N48)&amp;"")</f>
        <v/>
      </c>
      <c r="D48" s="74">
        <f>IF($N48="","",IF(INDEX('Cronograma R. Financiero'!$D$5:$D$1000,$N48)="","",INDEX('Cronograma R. Financiero'!$D$5:$D$1000,$N48)))</f>
        <v/>
      </c>
      <c r="E48" s="74">
        <f>IF($N48="","",IF(INDEX('Cronograma R. Financiero'!$E$5:$E$1000,$N48)="","",INDEX('Cronograma R. Financiero'!$E$5:$E$1000,$N48)))</f>
        <v/>
      </c>
      <c r="F48" s="60">
        <f>IF($N48="","",IF(NOT(ISNUMBER($E48)),"",IF($E48&lt;InicioCiclo,"Antes del ciclo",IF($E48&gt;=InicioCiclo+28,"Después del ciclo","Semana "&amp;(INT(($E48-InicioCiclo)/7)+1)))))</f>
        <v/>
      </c>
      <c r="G48" s="65">
        <f>IF($N48="","",IF(INDEX('Cronograma R. Financiero'!$G$5:$G$1000,$N48)="","",INDEX('Cronograma R. Financiero'!$G$5:$G$1000,$N48)))</f>
        <v/>
      </c>
      <c r="H48" s="65">
        <f>IF($N48="","",IF(INDEX('Cronograma R. Financiero'!$H$5:$H$1000,$N48)="","",INDEX('Cronograma R. Financiero'!$H$5:$H$1000,$N48)))</f>
        <v/>
      </c>
      <c r="I48" s="65">
        <f>IF($N48="","",IF(INDEX('Cronograma R. Financiero'!$I$5:$I$1000,$N48)="","",INDEX('Cronograma R. Financiero'!$I$5:$I$1000,$N48)))</f>
        <v/>
      </c>
      <c r="J48" s="65">
        <f>IF($N48="","",IF(INDEX('Cronograma R. Financiero'!$J$5:$J$1000,$N48)="","",INDEX('Cronograma R. Financiero'!$J$5:$J$1000,$N48)))</f>
        <v/>
      </c>
      <c r="K48" s="65">
        <f>IF($N48="","",INDEX('Cronograma R. Financiero'!$K$5:$K$1000,$N48))</f>
        <v/>
      </c>
      <c r="L48" s="60">
        <f>IF($N48="","",IF(N($K48)&gt;=1,"Completado",IF(AND(ISNUMBER($E48),$E48&lt;FechaRef),"Vencida",IF(N($K48)&gt;0,"En curso","Pendiente"))))</f>
        <v/>
      </c>
      <c r="M48" s="68">
        <f>IF($N48="","",INDEX('Cronograma R. Financiero'!$M$5:$M$1000,$N48)&amp;"")</f>
        <v/>
      </c>
      <c r="N48">
        <f>IFERROR(MATCH(ROW()-4,rOrden_RF,0),"")</f>
        <v/>
      </c>
    </row>
    <row r="49">
      <c r="A49" s="60">
        <f>IF($N49="","",INDEX('Cronograma R. Financiero'!$A$5:$A$1000,$N49))</f>
        <v/>
      </c>
      <c r="B49" s="68">
        <f>IF($N49="","",INDEX('Cronograma R. Financiero'!$B$5:$B$1000,$N49)&amp;"")</f>
        <v/>
      </c>
      <c r="C49" s="68">
        <f>IF($N49="","",INDEX('Cronograma R. Financiero'!$C$5:$C$1000,$N49)&amp;"")</f>
        <v/>
      </c>
      <c r="D49" s="74">
        <f>IF($N49="","",IF(INDEX('Cronograma R. Financiero'!$D$5:$D$1000,$N49)="","",INDEX('Cronograma R. Financiero'!$D$5:$D$1000,$N49)))</f>
        <v/>
      </c>
      <c r="E49" s="74">
        <f>IF($N49="","",IF(INDEX('Cronograma R. Financiero'!$E$5:$E$1000,$N49)="","",INDEX('Cronograma R. Financiero'!$E$5:$E$1000,$N49)))</f>
        <v/>
      </c>
      <c r="F49" s="60">
        <f>IF($N49="","",IF(NOT(ISNUMBER($E49)),"",IF($E49&lt;InicioCiclo,"Antes del ciclo",IF($E49&gt;=InicioCiclo+28,"Después del ciclo","Semana "&amp;(INT(($E49-InicioCiclo)/7)+1)))))</f>
        <v/>
      </c>
      <c r="G49" s="65">
        <f>IF($N49="","",IF(INDEX('Cronograma R. Financiero'!$G$5:$G$1000,$N49)="","",INDEX('Cronograma R. Financiero'!$G$5:$G$1000,$N49)))</f>
        <v/>
      </c>
      <c r="H49" s="65">
        <f>IF($N49="","",IF(INDEX('Cronograma R. Financiero'!$H$5:$H$1000,$N49)="","",INDEX('Cronograma R. Financiero'!$H$5:$H$1000,$N49)))</f>
        <v/>
      </c>
      <c r="I49" s="65">
        <f>IF($N49="","",IF(INDEX('Cronograma R. Financiero'!$I$5:$I$1000,$N49)="","",INDEX('Cronograma R. Financiero'!$I$5:$I$1000,$N49)))</f>
        <v/>
      </c>
      <c r="J49" s="65">
        <f>IF($N49="","",IF(INDEX('Cronograma R. Financiero'!$J$5:$J$1000,$N49)="","",INDEX('Cronograma R. Financiero'!$J$5:$J$1000,$N49)))</f>
        <v/>
      </c>
      <c r="K49" s="65">
        <f>IF($N49="","",INDEX('Cronograma R. Financiero'!$K$5:$K$1000,$N49))</f>
        <v/>
      </c>
      <c r="L49" s="60">
        <f>IF($N49="","",IF(N($K49)&gt;=1,"Completado",IF(AND(ISNUMBER($E49),$E49&lt;FechaRef),"Vencida",IF(N($K49)&gt;0,"En curso","Pendiente"))))</f>
        <v/>
      </c>
      <c r="M49" s="68">
        <f>IF($N49="","",INDEX('Cronograma R. Financiero'!$M$5:$M$1000,$N49)&amp;"")</f>
        <v/>
      </c>
      <c r="N49">
        <f>IFERROR(MATCH(ROW()-4,rOrden_RF,0),"")</f>
        <v/>
      </c>
    </row>
    <row r="50">
      <c r="A50" s="60">
        <f>IF($N50="","",INDEX('Cronograma R. Financiero'!$A$5:$A$1000,$N50))</f>
        <v/>
      </c>
      <c r="B50" s="68">
        <f>IF($N50="","",INDEX('Cronograma R. Financiero'!$B$5:$B$1000,$N50)&amp;"")</f>
        <v/>
      </c>
      <c r="C50" s="68">
        <f>IF($N50="","",INDEX('Cronograma R. Financiero'!$C$5:$C$1000,$N50)&amp;"")</f>
        <v/>
      </c>
      <c r="D50" s="74">
        <f>IF($N50="","",IF(INDEX('Cronograma R. Financiero'!$D$5:$D$1000,$N50)="","",INDEX('Cronograma R. Financiero'!$D$5:$D$1000,$N50)))</f>
        <v/>
      </c>
      <c r="E50" s="74">
        <f>IF($N50="","",IF(INDEX('Cronograma R. Financiero'!$E$5:$E$1000,$N50)="","",INDEX('Cronograma R. Financiero'!$E$5:$E$1000,$N50)))</f>
        <v/>
      </c>
      <c r="F50" s="60">
        <f>IF($N50="","",IF(NOT(ISNUMBER($E50)),"",IF($E50&lt;InicioCiclo,"Antes del ciclo",IF($E50&gt;=InicioCiclo+28,"Después del ciclo","Semana "&amp;(INT(($E50-InicioCiclo)/7)+1)))))</f>
        <v/>
      </c>
      <c r="G50" s="65">
        <f>IF($N50="","",IF(INDEX('Cronograma R. Financiero'!$G$5:$G$1000,$N50)="","",INDEX('Cronograma R. Financiero'!$G$5:$G$1000,$N50)))</f>
        <v/>
      </c>
      <c r="H50" s="65">
        <f>IF($N50="","",IF(INDEX('Cronograma R. Financiero'!$H$5:$H$1000,$N50)="","",INDEX('Cronograma R. Financiero'!$H$5:$H$1000,$N50)))</f>
        <v/>
      </c>
      <c r="I50" s="65">
        <f>IF($N50="","",IF(INDEX('Cronograma R. Financiero'!$I$5:$I$1000,$N50)="","",INDEX('Cronograma R. Financiero'!$I$5:$I$1000,$N50)))</f>
        <v/>
      </c>
      <c r="J50" s="65">
        <f>IF($N50="","",IF(INDEX('Cronograma R. Financiero'!$J$5:$J$1000,$N50)="","",INDEX('Cronograma R. Financiero'!$J$5:$J$1000,$N50)))</f>
        <v/>
      </c>
      <c r="K50" s="65">
        <f>IF($N50="","",INDEX('Cronograma R. Financiero'!$K$5:$K$1000,$N50))</f>
        <v/>
      </c>
      <c r="L50" s="60">
        <f>IF($N50="","",IF(N($K50)&gt;=1,"Completado",IF(AND(ISNUMBER($E50),$E50&lt;FechaRef),"Vencida",IF(N($K50)&gt;0,"En curso","Pendiente"))))</f>
        <v/>
      </c>
      <c r="M50" s="68">
        <f>IF($N50="","",INDEX('Cronograma R. Financiero'!$M$5:$M$1000,$N50)&amp;"")</f>
        <v/>
      </c>
      <c r="N50">
        <f>IFERROR(MATCH(ROW()-4,rOrden_RF,0),"")</f>
        <v/>
      </c>
    </row>
    <row r="51">
      <c r="A51" s="60">
        <f>IF($N51="","",INDEX('Cronograma R. Financiero'!$A$5:$A$1000,$N51))</f>
        <v/>
      </c>
      <c r="B51" s="68">
        <f>IF($N51="","",INDEX('Cronograma R. Financiero'!$B$5:$B$1000,$N51)&amp;"")</f>
        <v/>
      </c>
      <c r="C51" s="68">
        <f>IF($N51="","",INDEX('Cronograma R. Financiero'!$C$5:$C$1000,$N51)&amp;"")</f>
        <v/>
      </c>
      <c r="D51" s="74">
        <f>IF($N51="","",IF(INDEX('Cronograma R. Financiero'!$D$5:$D$1000,$N51)="","",INDEX('Cronograma R. Financiero'!$D$5:$D$1000,$N51)))</f>
        <v/>
      </c>
      <c r="E51" s="74">
        <f>IF($N51="","",IF(INDEX('Cronograma R. Financiero'!$E$5:$E$1000,$N51)="","",INDEX('Cronograma R. Financiero'!$E$5:$E$1000,$N51)))</f>
        <v/>
      </c>
      <c r="F51" s="60">
        <f>IF($N51="","",IF(NOT(ISNUMBER($E51)),"",IF($E51&lt;InicioCiclo,"Antes del ciclo",IF($E51&gt;=InicioCiclo+28,"Después del ciclo","Semana "&amp;(INT(($E51-InicioCiclo)/7)+1)))))</f>
        <v/>
      </c>
      <c r="G51" s="65">
        <f>IF($N51="","",IF(INDEX('Cronograma R. Financiero'!$G$5:$G$1000,$N51)="","",INDEX('Cronograma R. Financiero'!$G$5:$G$1000,$N51)))</f>
        <v/>
      </c>
      <c r="H51" s="65">
        <f>IF($N51="","",IF(INDEX('Cronograma R. Financiero'!$H$5:$H$1000,$N51)="","",INDEX('Cronograma R. Financiero'!$H$5:$H$1000,$N51)))</f>
        <v/>
      </c>
      <c r="I51" s="65">
        <f>IF($N51="","",IF(INDEX('Cronograma R. Financiero'!$I$5:$I$1000,$N51)="","",INDEX('Cronograma R. Financiero'!$I$5:$I$1000,$N51)))</f>
        <v/>
      </c>
      <c r="J51" s="65">
        <f>IF($N51="","",IF(INDEX('Cronograma R. Financiero'!$J$5:$J$1000,$N51)="","",INDEX('Cronograma R. Financiero'!$J$5:$J$1000,$N51)))</f>
        <v/>
      </c>
      <c r="K51" s="65">
        <f>IF($N51="","",INDEX('Cronograma R. Financiero'!$K$5:$K$1000,$N51))</f>
        <v/>
      </c>
      <c r="L51" s="60">
        <f>IF($N51="","",IF(N($K51)&gt;=1,"Completado",IF(AND(ISNUMBER($E51),$E51&lt;FechaRef),"Vencida",IF(N($K51)&gt;0,"En curso","Pendiente"))))</f>
        <v/>
      </c>
      <c r="M51" s="68">
        <f>IF($N51="","",INDEX('Cronograma R. Financiero'!$M$5:$M$1000,$N51)&amp;"")</f>
        <v/>
      </c>
      <c r="N51">
        <f>IFERROR(MATCH(ROW()-4,rOrden_RF,0),"")</f>
        <v/>
      </c>
    </row>
    <row r="52">
      <c r="A52" s="60">
        <f>IF($N52="","",INDEX('Cronograma R. Financiero'!$A$5:$A$1000,$N52))</f>
        <v/>
      </c>
      <c r="B52" s="68">
        <f>IF($N52="","",INDEX('Cronograma R. Financiero'!$B$5:$B$1000,$N52)&amp;"")</f>
        <v/>
      </c>
      <c r="C52" s="68">
        <f>IF($N52="","",INDEX('Cronograma R. Financiero'!$C$5:$C$1000,$N52)&amp;"")</f>
        <v/>
      </c>
      <c r="D52" s="74">
        <f>IF($N52="","",IF(INDEX('Cronograma R. Financiero'!$D$5:$D$1000,$N52)="","",INDEX('Cronograma R. Financiero'!$D$5:$D$1000,$N52)))</f>
        <v/>
      </c>
      <c r="E52" s="74">
        <f>IF($N52="","",IF(INDEX('Cronograma R. Financiero'!$E$5:$E$1000,$N52)="","",INDEX('Cronograma R. Financiero'!$E$5:$E$1000,$N52)))</f>
        <v/>
      </c>
      <c r="F52" s="60">
        <f>IF($N52="","",IF(NOT(ISNUMBER($E52)),"",IF($E52&lt;InicioCiclo,"Antes del ciclo",IF($E52&gt;=InicioCiclo+28,"Después del ciclo","Semana "&amp;(INT(($E52-InicioCiclo)/7)+1)))))</f>
        <v/>
      </c>
      <c r="G52" s="65">
        <f>IF($N52="","",IF(INDEX('Cronograma R. Financiero'!$G$5:$G$1000,$N52)="","",INDEX('Cronograma R. Financiero'!$G$5:$G$1000,$N52)))</f>
        <v/>
      </c>
      <c r="H52" s="65">
        <f>IF($N52="","",IF(INDEX('Cronograma R. Financiero'!$H$5:$H$1000,$N52)="","",INDEX('Cronograma R. Financiero'!$H$5:$H$1000,$N52)))</f>
        <v/>
      </c>
      <c r="I52" s="65">
        <f>IF($N52="","",IF(INDEX('Cronograma R. Financiero'!$I$5:$I$1000,$N52)="","",INDEX('Cronograma R. Financiero'!$I$5:$I$1000,$N52)))</f>
        <v/>
      </c>
      <c r="J52" s="65">
        <f>IF($N52="","",IF(INDEX('Cronograma R. Financiero'!$J$5:$J$1000,$N52)="","",INDEX('Cronograma R. Financiero'!$J$5:$J$1000,$N52)))</f>
        <v/>
      </c>
      <c r="K52" s="65">
        <f>IF($N52="","",INDEX('Cronograma R. Financiero'!$K$5:$K$1000,$N52))</f>
        <v/>
      </c>
      <c r="L52" s="60">
        <f>IF($N52="","",IF(N($K52)&gt;=1,"Completado",IF(AND(ISNUMBER($E52),$E52&lt;FechaRef),"Vencida",IF(N($K52)&gt;0,"En curso","Pendiente"))))</f>
        <v/>
      </c>
      <c r="M52" s="68">
        <f>IF($N52="","",INDEX('Cronograma R. Financiero'!$M$5:$M$1000,$N52)&amp;"")</f>
        <v/>
      </c>
      <c r="N52">
        <f>IFERROR(MATCH(ROW()-4,rOrden_RF,0),"")</f>
        <v/>
      </c>
    </row>
    <row r="53">
      <c r="A53" s="60">
        <f>IF($N53="","",INDEX('Cronograma R. Financiero'!$A$5:$A$1000,$N53))</f>
        <v/>
      </c>
      <c r="B53" s="68">
        <f>IF($N53="","",INDEX('Cronograma R. Financiero'!$B$5:$B$1000,$N53)&amp;"")</f>
        <v/>
      </c>
      <c r="C53" s="68">
        <f>IF($N53="","",INDEX('Cronograma R. Financiero'!$C$5:$C$1000,$N53)&amp;"")</f>
        <v/>
      </c>
      <c r="D53" s="74">
        <f>IF($N53="","",IF(INDEX('Cronograma R. Financiero'!$D$5:$D$1000,$N53)="","",INDEX('Cronograma R. Financiero'!$D$5:$D$1000,$N53)))</f>
        <v/>
      </c>
      <c r="E53" s="74">
        <f>IF($N53="","",IF(INDEX('Cronograma R. Financiero'!$E$5:$E$1000,$N53)="","",INDEX('Cronograma R. Financiero'!$E$5:$E$1000,$N53)))</f>
        <v/>
      </c>
      <c r="F53" s="60">
        <f>IF($N53="","",IF(NOT(ISNUMBER($E53)),"",IF($E53&lt;InicioCiclo,"Antes del ciclo",IF($E53&gt;=InicioCiclo+28,"Después del ciclo","Semana "&amp;(INT(($E53-InicioCiclo)/7)+1)))))</f>
        <v/>
      </c>
      <c r="G53" s="65">
        <f>IF($N53="","",IF(INDEX('Cronograma R. Financiero'!$G$5:$G$1000,$N53)="","",INDEX('Cronograma R. Financiero'!$G$5:$G$1000,$N53)))</f>
        <v/>
      </c>
      <c r="H53" s="65">
        <f>IF($N53="","",IF(INDEX('Cronograma R. Financiero'!$H$5:$H$1000,$N53)="","",INDEX('Cronograma R. Financiero'!$H$5:$H$1000,$N53)))</f>
        <v/>
      </c>
      <c r="I53" s="65">
        <f>IF($N53="","",IF(INDEX('Cronograma R. Financiero'!$I$5:$I$1000,$N53)="","",INDEX('Cronograma R. Financiero'!$I$5:$I$1000,$N53)))</f>
        <v/>
      </c>
      <c r="J53" s="65">
        <f>IF($N53="","",IF(INDEX('Cronograma R. Financiero'!$J$5:$J$1000,$N53)="","",INDEX('Cronograma R. Financiero'!$J$5:$J$1000,$N53)))</f>
        <v/>
      </c>
      <c r="K53" s="65">
        <f>IF($N53="","",INDEX('Cronograma R. Financiero'!$K$5:$K$1000,$N53))</f>
        <v/>
      </c>
      <c r="L53" s="60">
        <f>IF($N53="","",IF(N($K53)&gt;=1,"Completado",IF(AND(ISNUMBER($E53),$E53&lt;FechaRef),"Vencida",IF(N($K53)&gt;0,"En curso","Pendiente"))))</f>
        <v/>
      </c>
      <c r="M53" s="68">
        <f>IF($N53="","",INDEX('Cronograma R. Financiero'!$M$5:$M$1000,$N53)&amp;"")</f>
        <v/>
      </c>
      <c r="N53">
        <f>IFERROR(MATCH(ROW()-4,rOrden_RF,0),"")</f>
        <v/>
      </c>
    </row>
    <row r="54">
      <c r="A54" s="60">
        <f>IF($N54="","",INDEX('Cronograma R. Financiero'!$A$5:$A$1000,$N54))</f>
        <v/>
      </c>
      <c r="B54" s="68">
        <f>IF($N54="","",INDEX('Cronograma R. Financiero'!$B$5:$B$1000,$N54)&amp;"")</f>
        <v/>
      </c>
      <c r="C54" s="68">
        <f>IF($N54="","",INDEX('Cronograma R. Financiero'!$C$5:$C$1000,$N54)&amp;"")</f>
        <v/>
      </c>
      <c r="D54" s="74">
        <f>IF($N54="","",IF(INDEX('Cronograma R. Financiero'!$D$5:$D$1000,$N54)="","",INDEX('Cronograma R. Financiero'!$D$5:$D$1000,$N54)))</f>
        <v/>
      </c>
      <c r="E54" s="74">
        <f>IF($N54="","",IF(INDEX('Cronograma R. Financiero'!$E$5:$E$1000,$N54)="","",INDEX('Cronograma R. Financiero'!$E$5:$E$1000,$N54)))</f>
        <v/>
      </c>
      <c r="F54" s="60">
        <f>IF($N54="","",IF(NOT(ISNUMBER($E54)),"",IF($E54&lt;InicioCiclo,"Antes del ciclo",IF($E54&gt;=InicioCiclo+28,"Después del ciclo","Semana "&amp;(INT(($E54-InicioCiclo)/7)+1)))))</f>
        <v/>
      </c>
      <c r="G54" s="65">
        <f>IF($N54="","",IF(INDEX('Cronograma R. Financiero'!$G$5:$G$1000,$N54)="","",INDEX('Cronograma R. Financiero'!$G$5:$G$1000,$N54)))</f>
        <v/>
      </c>
      <c r="H54" s="65">
        <f>IF($N54="","",IF(INDEX('Cronograma R. Financiero'!$H$5:$H$1000,$N54)="","",INDEX('Cronograma R. Financiero'!$H$5:$H$1000,$N54)))</f>
        <v/>
      </c>
      <c r="I54" s="65">
        <f>IF($N54="","",IF(INDEX('Cronograma R. Financiero'!$I$5:$I$1000,$N54)="","",INDEX('Cronograma R. Financiero'!$I$5:$I$1000,$N54)))</f>
        <v/>
      </c>
      <c r="J54" s="65">
        <f>IF($N54="","",IF(INDEX('Cronograma R. Financiero'!$J$5:$J$1000,$N54)="","",INDEX('Cronograma R. Financiero'!$J$5:$J$1000,$N54)))</f>
        <v/>
      </c>
      <c r="K54" s="65">
        <f>IF($N54="","",INDEX('Cronograma R. Financiero'!$K$5:$K$1000,$N54))</f>
        <v/>
      </c>
      <c r="L54" s="60">
        <f>IF($N54="","",IF(N($K54)&gt;=1,"Completado",IF(AND(ISNUMBER($E54),$E54&lt;FechaRef),"Vencida",IF(N($K54)&gt;0,"En curso","Pendiente"))))</f>
        <v/>
      </c>
      <c r="M54" s="68">
        <f>IF($N54="","",INDEX('Cronograma R. Financiero'!$M$5:$M$1000,$N54)&amp;"")</f>
        <v/>
      </c>
      <c r="N54">
        <f>IFERROR(MATCH(ROW()-4,rOrden_RF,0),"")</f>
        <v/>
      </c>
    </row>
    <row r="55">
      <c r="A55" s="60">
        <f>IF($N55="","",INDEX('Cronograma R. Financiero'!$A$5:$A$1000,$N55))</f>
        <v/>
      </c>
      <c r="B55" s="68">
        <f>IF($N55="","",INDEX('Cronograma R. Financiero'!$B$5:$B$1000,$N55)&amp;"")</f>
        <v/>
      </c>
      <c r="C55" s="68">
        <f>IF($N55="","",INDEX('Cronograma R. Financiero'!$C$5:$C$1000,$N55)&amp;"")</f>
        <v/>
      </c>
      <c r="D55" s="74">
        <f>IF($N55="","",IF(INDEX('Cronograma R. Financiero'!$D$5:$D$1000,$N55)="","",INDEX('Cronograma R. Financiero'!$D$5:$D$1000,$N55)))</f>
        <v/>
      </c>
      <c r="E55" s="74">
        <f>IF($N55="","",IF(INDEX('Cronograma R. Financiero'!$E$5:$E$1000,$N55)="","",INDEX('Cronograma R. Financiero'!$E$5:$E$1000,$N55)))</f>
        <v/>
      </c>
      <c r="F55" s="60">
        <f>IF($N55="","",IF(NOT(ISNUMBER($E55)),"",IF($E55&lt;InicioCiclo,"Antes del ciclo",IF($E55&gt;=InicioCiclo+28,"Después del ciclo","Semana "&amp;(INT(($E55-InicioCiclo)/7)+1)))))</f>
        <v/>
      </c>
      <c r="G55" s="65">
        <f>IF($N55="","",IF(INDEX('Cronograma R. Financiero'!$G$5:$G$1000,$N55)="","",INDEX('Cronograma R. Financiero'!$G$5:$G$1000,$N55)))</f>
        <v/>
      </c>
      <c r="H55" s="65">
        <f>IF($N55="","",IF(INDEX('Cronograma R. Financiero'!$H$5:$H$1000,$N55)="","",INDEX('Cronograma R. Financiero'!$H$5:$H$1000,$N55)))</f>
        <v/>
      </c>
      <c r="I55" s="65">
        <f>IF($N55="","",IF(INDEX('Cronograma R. Financiero'!$I$5:$I$1000,$N55)="","",INDEX('Cronograma R. Financiero'!$I$5:$I$1000,$N55)))</f>
        <v/>
      </c>
      <c r="J55" s="65">
        <f>IF($N55="","",IF(INDEX('Cronograma R. Financiero'!$J$5:$J$1000,$N55)="","",INDEX('Cronograma R. Financiero'!$J$5:$J$1000,$N55)))</f>
        <v/>
      </c>
      <c r="K55" s="65">
        <f>IF($N55="","",INDEX('Cronograma R. Financiero'!$K$5:$K$1000,$N55))</f>
        <v/>
      </c>
      <c r="L55" s="60">
        <f>IF($N55="","",IF(N($K55)&gt;=1,"Completado",IF(AND(ISNUMBER($E55),$E55&lt;FechaRef),"Vencida",IF(N($K55)&gt;0,"En curso","Pendiente"))))</f>
        <v/>
      </c>
      <c r="M55" s="68">
        <f>IF($N55="","",INDEX('Cronograma R. Financiero'!$M$5:$M$1000,$N55)&amp;"")</f>
        <v/>
      </c>
      <c r="N55">
        <f>IFERROR(MATCH(ROW()-4,rOrden_RF,0),"")</f>
        <v/>
      </c>
    </row>
    <row r="56">
      <c r="A56" s="60">
        <f>IF($N56="","",INDEX('Cronograma R. Financiero'!$A$5:$A$1000,$N56))</f>
        <v/>
      </c>
      <c r="B56" s="68">
        <f>IF($N56="","",INDEX('Cronograma R. Financiero'!$B$5:$B$1000,$N56)&amp;"")</f>
        <v/>
      </c>
      <c r="C56" s="68">
        <f>IF($N56="","",INDEX('Cronograma R. Financiero'!$C$5:$C$1000,$N56)&amp;"")</f>
        <v/>
      </c>
      <c r="D56" s="74">
        <f>IF($N56="","",IF(INDEX('Cronograma R. Financiero'!$D$5:$D$1000,$N56)="","",INDEX('Cronograma R. Financiero'!$D$5:$D$1000,$N56)))</f>
        <v/>
      </c>
      <c r="E56" s="74">
        <f>IF($N56="","",IF(INDEX('Cronograma R. Financiero'!$E$5:$E$1000,$N56)="","",INDEX('Cronograma R. Financiero'!$E$5:$E$1000,$N56)))</f>
        <v/>
      </c>
      <c r="F56" s="60">
        <f>IF($N56="","",IF(NOT(ISNUMBER($E56)),"",IF($E56&lt;InicioCiclo,"Antes del ciclo",IF($E56&gt;=InicioCiclo+28,"Después del ciclo","Semana "&amp;(INT(($E56-InicioCiclo)/7)+1)))))</f>
        <v/>
      </c>
      <c r="G56" s="65">
        <f>IF($N56="","",IF(INDEX('Cronograma R. Financiero'!$G$5:$G$1000,$N56)="","",INDEX('Cronograma R. Financiero'!$G$5:$G$1000,$N56)))</f>
        <v/>
      </c>
      <c r="H56" s="65">
        <f>IF($N56="","",IF(INDEX('Cronograma R. Financiero'!$H$5:$H$1000,$N56)="","",INDEX('Cronograma R. Financiero'!$H$5:$H$1000,$N56)))</f>
        <v/>
      </c>
      <c r="I56" s="65">
        <f>IF($N56="","",IF(INDEX('Cronograma R. Financiero'!$I$5:$I$1000,$N56)="","",INDEX('Cronograma R. Financiero'!$I$5:$I$1000,$N56)))</f>
        <v/>
      </c>
      <c r="J56" s="65">
        <f>IF($N56="","",IF(INDEX('Cronograma R. Financiero'!$J$5:$J$1000,$N56)="","",INDEX('Cronograma R. Financiero'!$J$5:$J$1000,$N56)))</f>
        <v/>
      </c>
      <c r="K56" s="65">
        <f>IF($N56="","",INDEX('Cronograma R. Financiero'!$K$5:$K$1000,$N56))</f>
        <v/>
      </c>
      <c r="L56" s="60">
        <f>IF($N56="","",IF(N($K56)&gt;=1,"Completado",IF(AND(ISNUMBER($E56),$E56&lt;FechaRef),"Vencida",IF(N($K56)&gt;0,"En curso","Pendiente"))))</f>
        <v/>
      </c>
      <c r="M56" s="68">
        <f>IF($N56="","",INDEX('Cronograma R. Financiero'!$M$5:$M$1000,$N56)&amp;"")</f>
        <v/>
      </c>
      <c r="N56">
        <f>IFERROR(MATCH(ROW()-4,rOrden_RF,0),"")</f>
        <v/>
      </c>
    </row>
    <row r="57">
      <c r="A57" s="60">
        <f>IF($N57="","",INDEX('Cronograma R. Financiero'!$A$5:$A$1000,$N57))</f>
        <v/>
      </c>
      <c r="B57" s="68">
        <f>IF($N57="","",INDEX('Cronograma R. Financiero'!$B$5:$B$1000,$N57)&amp;"")</f>
        <v/>
      </c>
      <c r="C57" s="68">
        <f>IF($N57="","",INDEX('Cronograma R. Financiero'!$C$5:$C$1000,$N57)&amp;"")</f>
        <v/>
      </c>
      <c r="D57" s="74">
        <f>IF($N57="","",IF(INDEX('Cronograma R. Financiero'!$D$5:$D$1000,$N57)="","",INDEX('Cronograma R. Financiero'!$D$5:$D$1000,$N57)))</f>
        <v/>
      </c>
      <c r="E57" s="74">
        <f>IF($N57="","",IF(INDEX('Cronograma R. Financiero'!$E$5:$E$1000,$N57)="","",INDEX('Cronograma R. Financiero'!$E$5:$E$1000,$N57)))</f>
        <v/>
      </c>
      <c r="F57" s="60">
        <f>IF($N57="","",IF(NOT(ISNUMBER($E57)),"",IF($E57&lt;InicioCiclo,"Antes del ciclo",IF($E57&gt;=InicioCiclo+28,"Después del ciclo","Semana "&amp;(INT(($E57-InicioCiclo)/7)+1)))))</f>
        <v/>
      </c>
      <c r="G57" s="65">
        <f>IF($N57="","",IF(INDEX('Cronograma R. Financiero'!$G$5:$G$1000,$N57)="","",INDEX('Cronograma R. Financiero'!$G$5:$G$1000,$N57)))</f>
        <v/>
      </c>
      <c r="H57" s="65">
        <f>IF($N57="","",IF(INDEX('Cronograma R. Financiero'!$H$5:$H$1000,$N57)="","",INDEX('Cronograma R. Financiero'!$H$5:$H$1000,$N57)))</f>
        <v/>
      </c>
      <c r="I57" s="65">
        <f>IF($N57="","",IF(INDEX('Cronograma R. Financiero'!$I$5:$I$1000,$N57)="","",INDEX('Cronograma R. Financiero'!$I$5:$I$1000,$N57)))</f>
        <v/>
      </c>
      <c r="J57" s="65">
        <f>IF($N57="","",IF(INDEX('Cronograma R. Financiero'!$J$5:$J$1000,$N57)="","",INDEX('Cronograma R. Financiero'!$J$5:$J$1000,$N57)))</f>
        <v/>
      </c>
      <c r="K57" s="65">
        <f>IF($N57="","",INDEX('Cronograma R. Financiero'!$K$5:$K$1000,$N57))</f>
        <v/>
      </c>
      <c r="L57" s="60">
        <f>IF($N57="","",IF(N($K57)&gt;=1,"Completado",IF(AND(ISNUMBER($E57),$E57&lt;FechaRef),"Vencida",IF(N($K57)&gt;0,"En curso","Pendiente"))))</f>
        <v/>
      </c>
      <c r="M57" s="68">
        <f>IF($N57="","",INDEX('Cronograma R. Financiero'!$M$5:$M$1000,$N57)&amp;"")</f>
        <v/>
      </c>
      <c r="N57">
        <f>IFERROR(MATCH(ROW()-4,rOrden_RF,0),"")</f>
        <v/>
      </c>
    </row>
    <row r="58">
      <c r="A58" s="60">
        <f>IF($N58="","",INDEX('Cronograma R. Financiero'!$A$5:$A$1000,$N58))</f>
        <v/>
      </c>
      <c r="B58" s="68">
        <f>IF($N58="","",INDEX('Cronograma R. Financiero'!$B$5:$B$1000,$N58)&amp;"")</f>
        <v/>
      </c>
      <c r="C58" s="68">
        <f>IF($N58="","",INDEX('Cronograma R. Financiero'!$C$5:$C$1000,$N58)&amp;"")</f>
        <v/>
      </c>
      <c r="D58" s="74">
        <f>IF($N58="","",IF(INDEX('Cronograma R. Financiero'!$D$5:$D$1000,$N58)="","",INDEX('Cronograma R. Financiero'!$D$5:$D$1000,$N58)))</f>
        <v/>
      </c>
      <c r="E58" s="74">
        <f>IF($N58="","",IF(INDEX('Cronograma R. Financiero'!$E$5:$E$1000,$N58)="","",INDEX('Cronograma R. Financiero'!$E$5:$E$1000,$N58)))</f>
        <v/>
      </c>
      <c r="F58" s="60">
        <f>IF($N58="","",IF(NOT(ISNUMBER($E58)),"",IF($E58&lt;InicioCiclo,"Antes del ciclo",IF($E58&gt;=InicioCiclo+28,"Después del ciclo","Semana "&amp;(INT(($E58-InicioCiclo)/7)+1)))))</f>
        <v/>
      </c>
      <c r="G58" s="65">
        <f>IF($N58="","",IF(INDEX('Cronograma R. Financiero'!$G$5:$G$1000,$N58)="","",INDEX('Cronograma R. Financiero'!$G$5:$G$1000,$N58)))</f>
        <v/>
      </c>
      <c r="H58" s="65">
        <f>IF($N58="","",IF(INDEX('Cronograma R. Financiero'!$H$5:$H$1000,$N58)="","",INDEX('Cronograma R. Financiero'!$H$5:$H$1000,$N58)))</f>
        <v/>
      </c>
      <c r="I58" s="65">
        <f>IF($N58="","",IF(INDEX('Cronograma R. Financiero'!$I$5:$I$1000,$N58)="","",INDEX('Cronograma R. Financiero'!$I$5:$I$1000,$N58)))</f>
        <v/>
      </c>
      <c r="J58" s="65">
        <f>IF($N58="","",IF(INDEX('Cronograma R. Financiero'!$J$5:$J$1000,$N58)="","",INDEX('Cronograma R. Financiero'!$J$5:$J$1000,$N58)))</f>
        <v/>
      </c>
      <c r="K58" s="65">
        <f>IF($N58="","",INDEX('Cronograma R. Financiero'!$K$5:$K$1000,$N58))</f>
        <v/>
      </c>
      <c r="L58" s="60">
        <f>IF($N58="","",IF(N($K58)&gt;=1,"Completado",IF(AND(ISNUMBER($E58),$E58&lt;FechaRef),"Vencida",IF(N($K58)&gt;0,"En curso","Pendiente"))))</f>
        <v/>
      </c>
      <c r="M58" s="68">
        <f>IF($N58="","",INDEX('Cronograma R. Financiero'!$M$5:$M$1000,$N58)&amp;"")</f>
        <v/>
      </c>
      <c r="N58">
        <f>IFERROR(MATCH(ROW()-4,rOrden_RF,0),"")</f>
        <v/>
      </c>
    </row>
    <row r="59">
      <c r="A59" s="60">
        <f>IF($N59="","",INDEX('Cronograma R. Financiero'!$A$5:$A$1000,$N59))</f>
        <v/>
      </c>
      <c r="B59" s="68">
        <f>IF($N59="","",INDEX('Cronograma R. Financiero'!$B$5:$B$1000,$N59)&amp;"")</f>
        <v/>
      </c>
      <c r="C59" s="68">
        <f>IF($N59="","",INDEX('Cronograma R. Financiero'!$C$5:$C$1000,$N59)&amp;"")</f>
        <v/>
      </c>
      <c r="D59" s="74">
        <f>IF($N59="","",IF(INDEX('Cronograma R. Financiero'!$D$5:$D$1000,$N59)="","",INDEX('Cronograma R. Financiero'!$D$5:$D$1000,$N59)))</f>
        <v/>
      </c>
      <c r="E59" s="74">
        <f>IF($N59="","",IF(INDEX('Cronograma R. Financiero'!$E$5:$E$1000,$N59)="","",INDEX('Cronograma R. Financiero'!$E$5:$E$1000,$N59)))</f>
        <v/>
      </c>
      <c r="F59" s="60">
        <f>IF($N59="","",IF(NOT(ISNUMBER($E59)),"",IF($E59&lt;InicioCiclo,"Antes del ciclo",IF($E59&gt;=InicioCiclo+28,"Después del ciclo","Semana "&amp;(INT(($E59-InicioCiclo)/7)+1)))))</f>
        <v/>
      </c>
      <c r="G59" s="65">
        <f>IF($N59="","",IF(INDEX('Cronograma R. Financiero'!$G$5:$G$1000,$N59)="","",INDEX('Cronograma R. Financiero'!$G$5:$G$1000,$N59)))</f>
        <v/>
      </c>
      <c r="H59" s="65">
        <f>IF($N59="","",IF(INDEX('Cronograma R. Financiero'!$H$5:$H$1000,$N59)="","",INDEX('Cronograma R. Financiero'!$H$5:$H$1000,$N59)))</f>
        <v/>
      </c>
      <c r="I59" s="65">
        <f>IF($N59="","",IF(INDEX('Cronograma R. Financiero'!$I$5:$I$1000,$N59)="","",INDEX('Cronograma R. Financiero'!$I$5:$I$1000,$N59)))</f>
        <v/>
      </c>
      <c r="J59" s="65">
        <f>IF($N59="","",IF(INDEX('Cronograma R. Financiero'!$J$5:$J$1000,$N59)="","",INDEX('Cronograma R. Financiero'!$J$5:$J$1000,$N59)))</f>
        <v/>
      </c>
      <c r="K59" s="65">
        <f>IF($N59="","",INDEX('Cronograma R. Financiero'!$K$5:$K$1000,$N59))</f>
        <v/>
      </c>
      <c r="L59" s="60">
        <f>IF($N59="","",IF(N($K59)&gt;=1,"Completado",IF(AND(ISNUMBER($E59),$E59&lt;FechaRef),"Vencida",IF(N($K59)&gt;0,"En curso","Pendiente"))))</f>
        <v/>
      </c>
      <c r="M59" s="68">
        <f>IF($N59="","",INDEX('Cronograma R. Financiero'!$M$5:$M$1000,$N59)&amp;"")</f>
        <v/>
      </c>
      <c r="N59">
        <f>IFERROR(MATCH(ROW()-4,rOrden_RF,0),"")</f>
        <v/>
      </c>
    </row>
    <row r="60">
      <c r="A60" s="60">
        <f>IF($N60="","",INDEX('Cronograma R. Financiero'!$A$5:$A$1000,$N60))</f>
        <v/>
      </c>
      <c r="B60" s="68">
        <f>IF($N60="","",INDEX('Cronograma R. Financiero'!$B$5:$B$1000,$N60)&amp;"")</f>
        <v/>
      </c>
      <c r="C60" s="68">
        <f>IF($N60="","",INDEX('Cronograma R. Financiero'!$C$5:$C$1000,$N60)&amp;"")</f>
        <v/>
      </c>
      <c r="D60" s="74">
        <f>IF($N60="","",IF(INDEX('Cronograma R. Financiero'!$D$5:$D$1000,$N60)="","",INDEX('Cronograma R. Financiero'!$D$5:$D$1000,$N60)))</f>
        <v/>
      </c>
      <c r="E60" s="74">
        <f>IF($N60="","",IF(INDEX('Cronograma R. Financiero'!$E$5:$E$1000,$N60)="","",INDEX('Cronograma R. Financiero'!$E$5:$E$1000,$N60)))</f>
        <v/>
      </c>
      <c r="F60" s="60">
        <f>IF($N60="","",IF(NOT(ISNUMBER($E60)),"",IF($E60&lt;InicioCiclo,"Antes del ciclo",IF($E60&gt;=InicioCiclo+28,"Después del ciclo","Semana "&amp;(INT(($E60-InicioCiclo)/7)+1)))))</f>
        <v/>
      </c>
      <c r="G60" s="65">
        <f>IF($N60="","",IF(INDEX('Cronograma R. Financiero'!$G$5:$G$1000,$N60)="","",INDEX('Cronograma R. Financiero'!$G$5:$G$1000,$N60)))</f>
        <v/>
      </c>
      <c r="H60" s="65">
        <f>IF($N60="","",IF(INDEX('Cronograma R. Financiero'!$H$5:$H$1000,$N60)="","",INDEX('Cronograma R. Financiero'!$H$5:$H$1000,$N60)))</f>
        <v/>
      </c>
      <c r="I60" s="65">
        <f>IF($N60="","",IF(INDEX('Cronograma R. Financiero'!$I$5:$I$1000,$N60)="","",INDEX('Cronograma R. Financiero'!$I$5:$I$1000,$N60)))</f>
        <v/>
      </c>
      <c r="J60" s="65">
        <f>IF($N60="","",IF(INDEX('Cronograma R. Financiero'!$J$5:$J$1000,$N60)="","",INDEX('Cronograma R. Financiero'!$J$5:$J$1000,$N60)))</f>
        <v/>
      </c>
      <c r="K60" s="65">
        <f>IF($N60="","",INDEX('Cronograma R. Financiero'!$K$5:$K$1000,$N60))</f>
        <v/>
      </c>
      <c r="L60" s="60">
        <f>IF($N60="","",IF(N($K60)&gt;=1,"Completado",IF(AND(ISNUMBER($E60),$E60&lt;FechaRef),"Vencida",IF(N($K60)&gt;0,"En curso","Pendiente"))))</f>
        <v/>
      </c>
      <c r="M60" s="68">
        <f>IF($N60="","",INDEX('Cronograma R. Financiero'!$M$5:$M$1000,$N60)&amp;"")</f>
        <v/>
      </c>
      <c r="N60">
        <f>IFERROR(MATCH(ROW()-4,rOrden_RF,0),"")</f>
        <v/>
      </c>
    </row>
    <row r="61">
      <c r="A61" s="60">
        <f>IF($N61="","",INDEX('Cronograma R. Financiero'!$A$5:$A$1000,$N61))</f>
        <v/>
      </c>
      <c r="B61" s="68">
        <f>IF($N61="","",INDEX('Cronograma R. Financiero'!$B$5:$B$1000,$N61)&amp;"")</f>
        <v/>
      </c>
      <c r="C61" s="68">
        <f>IF($N61="","",INDEX('Cronograma R. Financiero'!$C$5:$C$1000,$N61)&amp;"")</f>
        <v/>
      </c>
      <c r="D61" s="74">
        <f>IF($N61="","",IF(INDEX('Cronograma R. Financiero'!$D$5:$D$1000,$N61)="","",INDEX('Cronograma R. Financiero'!$D$5:$D$1000,$N61)))</f>
        <v/>
      </c>
      <c r="E61" s="74">
        <f>IF($N61="","",IF(INDEX('Cronograma R. Financiero'!$E$5:$E$1000,$N61)="","",INDEX('Cronograma R. Financiero'!$E$5:$E$1000,$N61)))</f>
        <v/>
      </c>
      <c r="F61" s="60">
        <f>IF($N61="","",IF(NOT(ISNUMBER($E61)),"",IF($E61&lt;InicioCiclo,"Antes del ciclo",IF($E61&gt;=InicioCiclo+28,"Después del ciclo","Semana "&amp;(INT(($E61-InicioCiclo)/7)+1)))))</f>
        <v/>
      </c>
      <c r="G61" s="65">
        <f>IF($N61="","",IF(INDEX('Cronograma R. Financiero'!$G$5:$G$1000,$N61)="","",INDEX('Cronograma R. Financiero'!$G$5:$G$1000,$N61)))</f>
        <v/>
      </c>
      <c r="H61" s="65">
        <f>IF($N61="","",IF(INDEX('Cronograma R. Financiero'!$H$5:$H$1000,$N61)="","",INDEX('Cronograma R. Financiero'!$H$5:$H$1000,$N61)))</f>
        <v/>
      </c>
      <c r="I61" s="65">
        <f>IF($N61="","",IF(INDEX('Cronograma R. Financiero'!$I$5:$I$1000,$N61)="","",INDEX('Cronograma R. Financiero'!$I$5:$I$1000,$N61)))</f>
        <v/>
      </c>
      <c r="J61" s="65">
        <f>IF($N61="","",IF(INDEX('Cronograma R. Financiero'!$J$5:$J$1000,$N61)="","",INDEX('Cronograma R. Financiero'!$J$5:$J$1000,$N61)))</f>
        <v/>
      </c>
      <c r="K61" s="65">
        <f>IF($N61="","",INDEX('Cronograma R. Financiero'!$K$5:$K$1000,$N61))</f>
        <v/>
      </c>
      <c r="L61" s="60">
        <f>IF($N61="","",IF(N($K61)&gt;=1,"Completado",IF(AND(ISNUMBER($E61),$E61&lt;FechaRef),"Vencida",IF(N($K61)&gt;0,"En curso","Pendiente"))))</f>
        <v/>
      </c>
      <c r="M61" s="68">
        <f>IF($N61="","",INDEX('Cronograma R. Financiero'!$M$5:$M$1000,$N61)&amp;"")</f>
        <v/>
      </c>
      <c r="N61">
        <f>IFERROR(MATCH(ROW()-4,rOrden_RF,0),"")</f>
        <v/>
      </c>
    </row>
    <row r="62">
      <c r="A62" s="60">
        <f>IF($N62="","",INDEX('Cronograma R. Financiero'!$A$5:$A$1000,$N62))</f>
        <v/>
      </c>
      <c r="B62" s="68">
        <f>IF($N62="","",INDEX('Cronograma R. Financiero'!$B$5:$B$1000,$N62)&amp;"")</f>
        <v/>
      </c>
      <c r="C62" s="68">
        <f>IF($N62="","",INDEX('Cronograma R. Financiero'!$C$5:$C$1000,$N62)&amp;"")</f>
        <v/>
      </c>
      <c r="D62" s="74">
        <f>IF($N62="","",IF(INDEX('Cronograma R. Financiero'!$D$5:$D$1000,$N62)="","",INDEX('Cronograma R. Financiero'!$D$5:$D$1000,$N62)))</f>
        <v/>
      </c>
      <c r="E62" s="74">
        <f>IF($N62="","",IF(INDEX('Cronograma R. Financiero'!$E$5:$E$1000,$N62)="","",INDEX('Cronograma R. Financiero'!$E$5:$E$1000,$N62)))</f>
        <v/>
      </c>
      <c r="F62" s="60">
        <f>IF($N62="","",IF(NOT(ISNUMBER($E62)),"",IF($E62&lt;InicioCiclo,"Antes del ciclo",IF($E62&gt;=InicioCiclo+28,"Después del ciclo","Semana "&amp;(INT(($E62-InicioCiclo)/7)+1)))))</f>
        <v/>
      </c>
      <c r="G62" s="65">
        <f>IF($N62="","",IF(INDEX('Cronograma R. Financiero'!$G$5:$G$1000,$N62)="","",INDEX('Cronograma R. Financiero'!$G$5:$G$1000,$N62)))</f>
        <v/>
      </c>
      <c r="H62" s="65">
        <f>IF($N62="","",IF(INDEX('Cronograma R. Financiero'!$H$5:$H$1000,$N62)="","",INDEX('Cronograma R. Financiero'!$H$5:$H$1000,$N62)))</f>
        <v/>
      </c>
      <c r="I62" s="65">
        <f>IF($N62="","",IF(INDEX('Cronograma R. Financiero'!$I$5:$I$1000,$N62)="","",INDEX('Cronograma R. Financiero'!$I$5:$I$1000,$N62)))</f>
        <v/>
      </c>
      <c r="J62" s="65">
        <f>IF($N62="","",IF(INDEX('Cronograma R. Financiero'!$J$5:$J$1000,$N62)="","",INDEX('Cronograma R. Financiero'!$J$5:$J$1000,$N62)))</f>
        <v/>
      </c>
      <c r="K62" s="65">
        <f>IF($N62="","",INDEX('Cronograma R. Financiero'!$K$5:$K$1000,$N62))</f>
        <v/>
      </c>
      <c r="L62" s="60">
        <f>IF($N62="","",IF(N($K62)&gt;=1,"Completado",IF(AND(ISNUMBER($E62),$E62&lt;FechaRef),"Vencida",IF(N($K62)&gt;0,"En curso","Pendiente"))))</f>
        <v/>
      </c>
      <c r="M62" s="68">
        <f>IF($N62="","",INDEX('Cronograma R. Financiero'!$M$5:$M$1000,$N62)&amp;"")</f>
        <v/>
      </c>
      <c r="N62">
        <f>IFERROR(MATCH(ROW()-4,rOrden_RF,0),"")</f>
        <v/>
      </c>
    </row>
    <row r="63">
      <c r="A63" s="60">
        <f>IF($N63="","",INDEX('Cronograma R. Financiero'!$A$5:$A$1000,$N63))</f>
        <v/>
      </c>
      <c r="B63" s="68">
        <f>IF($N63="","",INDEX('Cronograma R. Financiero'!$B$5:$B$1000,$N63)&amp;"")</f>
        <v/>
      </c>
      <c r="C63" s="68">
        <f>IF($N63="","",INDEX('Cronograma R. Financiero'!$C$5:$C$1000,$N63)&amp;"")</f>
        <v/>
      </c>
      <c r="D63" s="74">
        <f>IF($N63="","",IF(INDEX('Cronograma R. Financiero'!$D$5:$D$1000,$N63)="","",INDEX('Cronograma R. Financiero'!$D$5:$D$1000,$N63)))</f>
        <v/>
      </c>
      <c r="E63" s="74">
        <f>IF($N63="","",IF(INDEX('Cronograma R. Financiero'!$E$5:$E$1000,$N63)="","",INDEX('Cronograma R. Financiero'!$E$5:$E$1000,$N63)))</f>
        <v/>
      </c>
      <c r="F63" s="60">
        <f>IF($N63="","",IF(NOT(ISNUMBER($E63)),"",IF($E63&lt;InicioCiclo,"Antes del ciclo",IF($E63&gt;=InicioCiclo+28,"Después del ciclo","Semana "&amp;(INT(($E63-InicioCiclo)/7)+1)))))</f>
        <v/>
      </c>
      <c r="G63" s="65">
        <f>IF($N63="","",IF(INDEX('Cronograma R. Financiero'!$G$5:$G$1000,$N63)="","",INDEX('Cronograma R. Financiero'!$G$5:$G$1000,$N63)))</f>
        <v/>
      </c>
      <c r="H63" s="65">
        <f>IF($N63="","",IF(INDEX('Cronograma R. Financiero'!$H$5:$H$1000,$N63)="","",INDEX('Cronograma R. Financiero'!$H$5:$H$1000,$N63)))</f>
        <v/>
      </c>
      <c r="I63" s="65">
        <f>IF($N63="","",IF(INDEX('Cronograma R. Financiero'!$I$5:$I$1000,$N63)="","",INDEX('Cronograma R. Financiero'!$I$5:$I$1000,$N63)))</f>
        <v/>
      </c>
      <c r="J63" s="65">
        <f>IF($N63="","",IF(INDEX('Cronograma R. Financiero'!$J$5:$J$1000,$N63)="","",INDEX('Cronograma R. Financiero'!$J$5:$J$1000,$N63)))</f>
        <v/>
      </c>
      <c r="K63" s="65">
        <f>IF($N63="","",INDEX('Cronograma R. Financiero'!$K$5:$K$1000,$N63))</f>
        <v/>
      </c>
      <c r="L63" s="60">
        <f>IF($N63="","",IF(N($K63)&gt;=1,"Completado",IF(AND(ISNUMBER($E63),$E63&lt;FechaRef),"Vencida",IF(N($K63)&gt;0,"En curso","Pendiente"))))</f>
        <v/>
      </c>
      <c r="M63" s="68">
        <f>IF($N63="","",INDEX('Cronograma R. Financiero'!$M$5:$M$1000,$N63)&amp;"")</f>
        <v/>
      </c>
      <c r="N63">
        <f>IFERROR(MATCH(ROW()-4,rOrden_RF,0),"")</f>
        <v/>
      </c>
    </row>
    <row r="64">
      <c r="A64" s="60">
        <f>IF($N64="","",INDEX('Cronograma R. Financiero'!$A$5:$A$1000,$N64))</f>
        <v/>
      </c>
      <c r="B64" s="68">
        <f>IF($N64="","",INDEX('Cronograma R. Financiero'!$B$5:$B$1000,$N64)&amp;"")</f>
        <v/>
      </c>
      <c r="C64" s="68">
        <f>IF($N64="","",INDEX('Cronograma R. Financiero'!$C$5:$C$1000,$N64)&amp;"")</f>
        <v/>
      </c>
      <c r="D64" s="74">
        <f>IF($N64="","",IF(INDEX('Cronograma R. Financiero'!$D$5:$D$1000,$N64)="","",INDEX('Cronograma R. Financiero'!$D$5:$D$1000,$N64)))</f>
        <v/>
      </c>
      <c r="E64" s="74">
        <f>IF($N64="","",IF(INDEX('Cronograma R. Financiero'!$E$5:$E$1000,$N64)="","",INDEX('Cronograma R. Financiero'!$E$5:$E$1000,$N64)))</f>
        <v/>
      </c>
      <c r="F64" s="60">
        <f>IF($N64="","",IF(NOT(ISNUMBER($E64)),"",IF($E64&lt;InicioCiclo,"Antes del ciclo",IF($E64&gt;=InicioCiclo+28,"Después del ciclo","Semana "&amp;(INT(($E64-InicioCiclo)/7)+1)))))</f>
        <v/>
      </c>
      <c r="G64" s="65">
        <f>IF($N64="","",IF(INDEX('Cronograma R. Financiero'!$G$5:$G$1000,$N64)="","",INDEX('Cronograma R. Financiero'!$G$5:$G$1000,$N64)))</f>
        <v/>
      </c>
      <c r="H64" s="65">
        <f>IF($N64="","",IF(INDEX('Cronograma R. Financiero'!$H$5:$H$1000,$N64)="","",INDEX('Cronograma R. Financiero'!$H$5:$H$1000,$N64)))</f>
        <v/>
      </c>
      <c r="I64" s="65">
        <f>IF($N64="","",IF(INDEX('Cronograma R. Financiero'!$I$5:$I$1000,$N64)="","",INDEX('Cronograma R. Financiero'!$I$5:$I$1000,$N64)))</f>
        <v/>
      </c>
      <c r="J64" s="65">
        <f>IF($N64="","",IF(INDEX('Cronograma R. Financiero'!$J$5:$J$1000,$N64)="","",INDEX('Cronograma R. Financiero'!$J$5:$J$1000,$N64)))</f>
        <v/>
      </c>
      <c r="K64" s="65">
        <f>IF($N64="","",INDEX('Cronograma R. Financiero'!$K$5:$K$1000,$N64))</f>
        <v/>
      </c>
      <c r="L64" s="60">
        <f>IF($N64="","",IF(N($K64)&gt;=1,"Completado",IF(AND(ISNUMBER($E64),$E64&lt;FechaRef),"Vencida",IF(N($K64)&gt;0,"En curso","Pendiente"))))</f>
        <v/>
      </c>
      <c r="M64" s="68">
        <f>IF($N64="","",INDEX('Cronograma R. Financiero'!$M$5:$M$1000,$N64)&amp;"")</f>
        <v/>
      </c>
      <c r="N64">
        <f>IFERROR(MATCH(ROW()-4,rOrden_RF,0),"")</f>
        <v/>
      </c>
    </row>
    <row r="65">
      <c r="A65" s="60">
        <f>IF($N65="","",INDEX('Cronograma R. Financiero'!$A$5:$A$1000,$N65))</f>
        <v/>
      </c>
      <c r="B65" s="68">
        <f>IF($N65="","",INDEX('Cronograma R. Financiero'!$B$5:$B$1000,$N65)&amp;"")</f>
        <v/>
      </c>
      <c r="C65" s="68">
        <f>IF($N65="","",INDEX('Cronograma R. Financiero'!$C$5:$C$1000,$N65)&amp;"")</f>
        <v/>
      </c>
      <c r="D65" s="74">
        <f>IF($N65="","",IF(INDEX('Cronograma R. Financiero'!$D$5:$D$1000,$N65)="","",INDEX('Cronograma R. Financiero'!$D$5:$D$1000,$N65)))</f>
        <v/>
      </c>
      <c r="E65" s="74">
        <f>IF($N65="","",IF(INDEX('Cronograma R. Financiero'!$E$5:$E$1000,$N65)="","",INDEX('Cronograma R. Financiero'!$E$5:$E$1000,$N65)))</f>
        <v/>
      </c>
      <c r="F65" s="60">
        <f>IF($N65="","",IF(NOT(ISNUMBER($E65)),"",IF($E65&lt;InicioCiclo,"Antes del ciclo",IF($E65&gt;=InicioCiclo+28,"Después del ciclo","Semana "&amp;(INT(($E65-InicioCiclo)/7)+1)))))</f>
        <v/>
      </c>
      <c r="G65" s="65">
        <f>IF($N65="","",IF(INDEX('Cronograma R. Financiero'!$G$5:$G$1000,$N65)="","",INDEX('Cronograma R. Financiero'!$G$5:$G$1000,$N65)))</f>
        <v/>
      </c>
      <c r="H65" s="65">
        <f>IF($N65="","",IF(INDEX('Cronograma R. Financiero'!$H$5:$H$1000,$N65)="","",INDEX('Cronograma R. Financiero'!$H$5:$H$1000,$N65)))</f>
        <v/>
      </c>
      <c r="I65" s="65">
        <f>IF($N65="","",IF(INDEX('Cronograma R. Financiero'!$I$5:$I$1000,$N65)="","",INDEX('Cronograma R. Financiero'!$I$5:$I$1000,$N65)))</f>
        <v/>
      </c>
      <c r="J65" s="65">
        <f>IF($N65="","",IF(INDEX('Cronograma R. Financiero'!$J$5:$J$1000,$N65)="","",INDEX('Cronograma R. Financiero'!$J$5:$J$1000,$N65)))</f>
        <v/>
      </c>
      <c r="K65" s="65">
        <f>IF($N65="","",INDEX('Cronograma R. Financiero'!$K$5:$K$1000,$N65))</f>
        <v/>
      </c>
      <c r="L65" s="60">
        <f>IF($N65="","",IF(N($K65)&gt;=1,"Completado",IF(AND(ISNUMBER($E65),$E65&lt;FechaRef),"Vencida",IF(N($K65)&gt;0,"En curso","Pendiente"))))</f>
        <v/>
      </c>
      <c r="M65" s="68">
        <f>IF($N65="","",INDEX('Cronograma R. Financiero'!$M$5:$M$1000,$N65)&amp;"")</f>
        <v/>
      </c>
      <c r="N65">
        <f>IFERROR(MATCH(ROW()-4,rOrden_RF,0),"")</f>
        <v/>
      </c>
    </row>
    <row r="66">
      <c r="A66" s="60">
        <f>IF($N66="","",INDEX('Cronograma R. Financiero'!$A$5:$A$1000,$N66))</f>
        <v/>
      </c>
      <c r="B66" s="68">
        <f>IF($N66="","",INDEX('Cronograma R. Financiero'!$B$5:$B$1000,$N66)&amp;"")</f>
        <v/>
      </c>
      <c r="C66" s="68">
        <f>IF($N66="","",INDEX('Cronograma R. Financiero'!$C$5:$C$1000,$N66)&amp;"")</f>
        <v/>
      </c>
      <c r="D66" s="74">
        <f>IF($N66="","",IF(INDEX('Cronograma R. Financiero'!$D$5:$D$1000,$N66)="","",INDEX('Cronograma R. Financiero'!$D$5:$D$1000,$N66)))</f>
        <v/>
      </c>
      <c r="E66" s="74">
        <f>IF($N66="","",IF(INDEX('Cronograma R. Financiero'!$E$5:$E$1000,$N66)="","",INDEX('Cronograma R. Financiero'!$E$5:$E$1000,$N66)))</f>
        <v/>
      </c>
      <c r="F66" s="60">
        <f>IF($N66="","",IF(NOT(ISNUMBER($E66)),"",IF($E66&lt;InicioCiclo,"Antes del ciclo",IF($E66&gt;=InicioCiclo+28,"Después del ciclo","Semana "&amp;(INT(($E66-InicioCiclo)/7)+1)))))</f>
        <v/>
      </c>
      <c r="G66" s="65">
        <f>IF($N66="","",IF(INDEX('Cronograma R. Financiero'!$G$5:$G$1000,$N66)="","",INDEX('Cronograma R. Financiero'!$G$5:$G$1000,$N66)))</f>
        <v/>
      </c>
      <c r="H66" s="65">
        <f>IF($N66="","",IF(INDEX('Cronograma R. Financiero'!$H$5:$H$1000,$N66)="","",INDEX('Cronograma R. Financiero'!$H$5:$H$1000,$N66)))</f>
        <v/>
      </c>
      <c r="I66" s="65">
        <f>IF($N66="","",IF(INDEX('Cronograma R. Financiero'!$I$5:$I$1000,$N66)="","",INDEX('Cronograma R. Financiero'!$I$5:$I$1000,$N66)))</f>
        <v/>
      </c>
      <c r="J66" s="65">
        <f>IF($N66="","",IF(INDEX('Cronograma R. Financiero'!$J$5:$J$1000,$N66)="","",INDEX('Cronograma R. Financiero'!$J$5:$J$1000,$N66)))</f>
        <v/>
      </c>
      <c r="K66" s="65">
        <f>IF($N66="","",INDEX('Cronograma R. Financiero'!$K$5:$K$1000,$N66))</f>
        <v/>
      </c>
      <c r="L66" s="60">
        <f>IF($N66="","",IF(N($K66)&gt;=1,"Completado",IF(AND(ISNUMBER($E66),$E66&lt;FechaRef),"Vencida",IF(N($K66)&gt;0,"En curso","Pendiente"))))</f>
        <v/>
      </c>
      <c r="M66" s="68">
        <f>IF($N66="","",INDEX('Cronograma R. Financiero'!$M$5:$M$1000,$N66)&amp;"")</f>
        <v/>
      </c>
      <c r="N66">
        <f>IFERROR(MATCH(ROW()-4,rOrden_RF,0),"")</f>
        <v/>
      </c>
    </row>
    <row r="67">
      <c r="A67" s="60">
        <f>IF($N67="","",INDEX('Cronograma R. Financiero'!$A$5:$A$1000,$N67))</f>
        <v/>
      </c>
      <c r="B67" s="68">
        <f>IF($N67="","",INDEX('Cronograma R. Financiero'!$B$5:$B$1000,$N67)&amp;"")</f>
        <v/>
      </c>
      <c r="C67" s="68">
        <f>IF($N67="","",INDEX('Cronograma R. Financiero'!$C$5:$C$1000,$N67)&amp;"")</f>
        <v/>
      </c>
      <c r="D67" s="74">
        <f>IF($N67="","",IF(INDEX('Cronograma R. Financiero'!$D$5:$D$1000,$N67)="","",INDEX('Cronograma R. Financiero'!$D$5:$D$1000,$N67)))</f>
        <v/>
      </c>
      <c r="E67" s="74">
        <f>IF($N67="","",IF(INDEX('Cronograma R. Financiero'!$E$5:$E$1000,$N67)="","",INDEX('Cronograma R. Financiero'!$E$5:$E$1000,$N67)))</f>
        <v/>
      </c>
      <c r="F67" s="60">
        <f>IF($N67="","",IF(NOT(ISNUMBER($E67)),"",IF($E67&lt;InicioCiclo,"Antes del ciclo",IF($E67&gt;=InicioCiclo+28,"Después del ciclo","Semana "&amp;(INT(($E67-InicioCiclo)/7)+1)))))</f>
        <v/>
      </c>
      <c r="G67" s="65">
        <f>IF($N67="","",IF(INDEX('Cronograma R. Financiero'!$G$5:$G$1000,$N67)="","",INDEX('Cronograma R. Financiero'!$G$5:$G$1000,$N67)))</f>
        <v/>
      </c>
      <c r="H67" s="65">
        <f>IF($N67="","",IF(INDEX('Cronograma R. Financiero'!$H$5:$H$1000,$N67)="","",INDEX('Cronograma R. Financiero'!$H$5:$H$1000,$N67)))</f>
        <v/>
      </c>
      <c r="I67" s="65">
        <f>IF($N67="","",IF(INDEX('Cronograma R. Financiero'!$I$5:$I$1000,$N67)="","",INDEX('Cronograma R. Financiero'!$I$5:$I$1000,$N67)))</f>
        <v/>
      </c>
      <c r="J67" s="65">
        <f>IF($N67="","",IF(INDEX('Cronograma R. Financiero'!$J$5:$J$1000,$N67)="","",INDEX('Cronograma R. Financiero'!$J$5:$J$1000,$N67)))</f>
        <v/>
      </c>
      <c r="K67" s="65">
        <f>IF($N67="","",INDEX('Cronograma R. Financiero'!$K$5:$K$1000,$N67))</f>
        <v/>
      </c>
      <c r="L67" s="60">
        <f>IF($N67="","",IF(N($K67)&gt;=1,"Completado",IF(AND(ISNUMBER($E67),$E67&lt;FechaRef),"Vencida",IF(N($K67)&gt;0,"En curso","Pendiente"))))</f>
        <v/>
      </c>
      <c r="M67" s="68">
        <f>IF($N67="","",INDEX('Cronograma R. Financiero'!$M$5:$M$1000,$N67)&amp;"")</f>
        <v/>
      </c>
      <c r="N67">
        <f>IFERROR(MATCH(ROW()-4,rOrden_RF,0),"")</f>
        <v/>
      </c>
    </row>
    <row r="68">
      <c r="A68" s="60">
        <f>IF($N68="","",INDEX('Cronograma R. Financiero'!$A$5:$A$1000,$N68))</f>
        <v/>
      </c>
      <c r="B68" s="68">
        <f>IF($N68="","",INDEX('Cronograma R. Financiero'!$B$5:$B$1000,$N68)&amp;"")</f>
        <v/>
      </c>
      <c r="C68" s="68">
        <f>IF($N68="","",INDEX('Cronograma R. Financiero'!$C$5:$C$1000,$N68)&amp;"")</f>
        <v/>
      </c>
      <c r="D68" s="74">
        <f>IF($N68="","",IF(INDEX('Cronograma R. Financiero'!$D$5:$D$1000,$N68)="","",INDEX('Cronograma R. Financiero'!$D$5:$D$1000,$N68)))</f>
        <v/>
      </c>
      <c r="E68" s="74">
        <f>IF($N68="","",IF(INDEX('Cronograma R. Financiero'!$E$5:$E$1000,$N68)="","",INDEX('Cronograma R. Financiero'!$E$5:$E$1000,$N68)))</f>
        <v/>
      </c>
      <c r="F68" s="60">
        <f>IF($N68="","",IF(NOT(ISNUMBER($E68)),"",IF($E68&lt;InicioCiclo,"Antes del ciclo",IF($E68&gt;=InicioCiclo+28,"Después del ciclo","Semana "&amp;(INT(($E68-InicioCiclo)/7)+1)))))</f>
        <v/>
      </c>
      <c r="G68" s="65">
        <f>IF($N68="","",IF(INDEX('Cronograma R. Financiero'!$G$5:$G$1000,$N68)="","",INDEX('Cronograma R. Financiero'!$G$5:$G$1000,$N68)))</f>
        <v/>
      </c>
      <c r="H68" s="65">
        <f>IF($N68="","",IF(INDEX('Cronograma R. Financiero'!$H$5:$H$1000,$N68)="","",INDEX('Cronograma R. Financiero'!$H$5:$H$1000,$N68)))</f>
        <v/>
      </c>
      <c r="I68" s="65">
        <f>IF($N68="","",IF(INDEX('Cronograma R. Financiero'!$I$5:$I$1000,$N68)="","",INDEX('Cronograma R. Financiero'!$I$5:$I$1000,$N68)))</f>
        <v/>
      </c>
      <c r="J68" s="65">
        <f>IF($N68="","",IF(INDEX('Cronograma R. Financiero'!$J$5:$J$1000,$N68)="","",INDEX('Cronograma R. Financiero'!$J$5:$J$1000,$N68)))</f>
        <v/>
      </c>
      <c r="K68" s="65">
        <f>IF($N68="","",INDEX('Cronograma R. Financiero'!$K$5:$K$1000,$N68))</f>
        <v/>
      </c>
      <c r="L68" s="60">
        <f>IF($N68="","",IF(N($K68)&gt;=1,"Completado",IF(AND(ISNUMBER($E68),$E68&lt;FechaRef),"Vencida",IF(N($K68)&gt;0,"En curso","Pendiente"))))</f>
        <v/>
      </c>
      <c r="M68" s="68">
        <f>IF($N68="","",INDEX('Cronograma R. Financiero'!$M$5:$M$1000,$N68)&amp;"")</f>
        <v/>
      </c>
      <c r="N68">
        <f>IFERROR(MATCH(ROW()-4,rOrden_RF,0),"")</f>
        <v/>
      </c>
    </row>
    <row r="69">
      <c r="A69" s="60">
        <f>IF($N69="","",INDEX('Cronograma R. Financiero'!$A$5:$A$1000,$N69))</f>
        <v/>
      </c>
      <c r="B69" s="68">
        <f>IF($N69="","",INDEX('Cronograma R. Financiero'!$B$5:$B$1000,$N69)&amp;"")</f>
        <v/>
      </c>
      <c r="C69" s="68">
        <f>IF($N69="","",INDEX('Cronograma R. Financiero'!$C$5:$C$1000,$N69)&amp;"")</f>
        <v/>
      </c>
      <c r="D69" s="74">
        <f>IF($N69="","",IF(INDEX('Cronograma R. Financiero'!$D$5:$D$1000,$N69)="","",INDEX('Cronograma R. Financiero'!$D$5:$D$1000,$N69)))</f>
        <v/>
      </c>
      <c r="E69" s="74">
        <f>IF($N69="","",IF(INDEX('Cronograma R. Financiero'!$E$5:$E$1000,$N69)="","",INDEX('Cronograma R. Financiero'!$E$5:$E$1000,$N69)))</f>
        <v/>
      </c>
      <c r="F69" s="60">
        <f>IF($N69="","",IF(NOT(ISNUMBER($E69)),"",IF($E69&lt;InicioCiclo,"Antes del ciclo",IF($E69&gt;=InicioCiclo+28,"Después del ciclo","Semana "&amp;(INT(($E69-InicioCiclo)/7)+1)))))</f>
        <v/>
      </c>
      <c r="G69" s="65">
        <f>IF($N69="","",IF(INDEX('Cronograma R. Financiero'!$G$5:$G$1000,$N69)="","",INDEX('Cronograma R. Financiero'!$G$5:$G$1000,$N69)))</f>
        <v/>
      </c>
      <c r="H69" s="65">
        <f>IF($N69="","",IF(INDEX('Cronograma R. Financiero'!$H$5:$H$1000,$N69)="","",INDEX('Cronograma R. Financiero'!$H$5:$H$1000,$N69)))</f>
        <v/>
      </c>
      <c r="I69" s="65">
        <f>IF($N69="","",IF(INDEX('Cronograma R. Financiero'!$I$5:$I$1000,$N69)="","",INDEX('Cronograma R. Financiero'!$I$5:$I$1000,$N69)))</f>
        <v/>
      </c>
      <c r="J69" s="65">
        <f>IF($N69="","",IF(INDEX('Cronograma R. Financiero'!$J$5:$J$1000,$N69)="","",INDEX('Cronograma R. Financiero'!$J$5:$J$1000,$N69)))</f>
        <v/>
      </c>
      <c r="K69" s="65">
        <f>IF($N69="","",INDEX('Cronograma R. Financiero'!$K$5:$K$1000,$N69))</f>
        <v/>
      </c>
      <c r="L69" s="60">
        <f>IF($N69="","",IF(N($K69)&gt;=1,"Completado",IF(AND(ISNUMBER($E69),$E69&lt;FechaRef),"Vencida",IF(N($K69)&gt;0,"En curso","Pendiente"))))</f>
        <v/>
      </c>
      <c r="M69" s="68">
        <f>IF($N69="","",INDEX('Cronograma R. Financiero'!$M$5:$M$1000,$N69)&amp;"")</f>
        <v/>
      </c>
      <c r="N69">
        <f>IFERROR(MATCH(ROW()-4,rOrden_RF,0),"")</f>
        <v/>
      </c>
    </row>
    <row r="70">
      <c r="A70" s="60">
        <f>IF($N70="","",INDEX('Cronograma R. Financiero'!$A$5:$A$1000,$N70))</f>
        <v/>
      </c>
      <c r="B70" s="68">
        <f>IF($N70="","",INDEX('Cronograma R. Financiero'!$B$5:$B$1000,$N70)&amp;"")</f>
        <v/>
      </c>
      <c r="C70" s="68">
        <f>IF($N70="","",INDEX('Cronograma R. Financiero'!$C$5:$C$1000,$N70)&amp;"")</f>
        <v/>
      </c>
      <c r="D70" s="74">
        <f>IF($N70="","",IF(INDEX('Cronograma R. Financiero'!$D$5:$D$1000,$N70)="","",INDEX('Cronograma R. Financiero'!$D$5:$D$1000,$N70)))</f>
        <v/>
      </c>
      <c r="E70" s="74">
        <f>IF($N70="","",IF(INDEX('Cronograma R. Financiero'!$E$5:$E$1000,$N70)="","",INDEX('Cronograma R. Financiero'!$E$5:$E$1000,$N70)))</f>
        <v/>
      </c>
      <c r="F70" s="60">
        <f>IF($N70="","",IF(NOT(ISNUMBER($E70)),"",IF($E70&lt;InicioCiclo,"Antes del ciclo",IF($E70&gt;=InicioCiclo+28,"Después del ciclo","Semana "&amp;(INT(($E70-InicioCiclo)/7)+1)))))</f>
        <v/>
      </c>
      <c r="G70" s="65">
        <f>IF($N70="","",IF(INDEX('Cronograma R. Financiero'!$G$5:$G$1000,$N70)="","",INDEX('Cronograma R. Financiero'!$G$5:$G$1000,$N70)))</f>
        <v/>
      </c>
      <c r="H70" s="65">
        <f>IF($N70="","",IF(INDEX('Cronograma R. Financiero'!$H$5:$H$1000,$N70)="","",INDEX('Cronograma R. Financiero'!$H$5:$H$1000,$N70)))</f>
        <v/>
      </c>
      <c r="I70" s="65">
        <f>IF($N70="","",IF(INDEX('Cronograma R. Financiero'!$I$5:$I$1000,$N70)="","",INDEX('Cronograma R. Financiero'!$I$5:$I$1000,$N70)))</f>
        <v/>
      </c>
      <c r="J70" s="65">
        <f>IF($N70="","",IF(INDEX('Cronograma R. Financiero'!$J$5:$J$1000,$N70)="","",INDEX('Cronograma R. Financiero'!$J$5:$J$1000,$N70)))</f>
        <v/>
      </c>
      <c r="K70" s="65">
        <f>IF($N70="","",INDEX('Cronograma R. Financiero'!$K$5:$K$1000,$N70))</f>
        <v/>
      </c>
      <c r="L70" s="60">
        <f>IF($N70="","",IF(N($K70)&gt;=1,"Completado",IF(AND(ISNUMBER($E70),$E70&lt;FechaRef),"Vencida",IF(N($K70)&gt;0,"En curso","Pendiente"))))</f>
        <v/>
      </c>
      <c r="M70" s="68">
        <f>IF($N70="","",INDEX('Cronograma R. Financiero'!$M$5:$M$1000,$N70)&amp;"")</f>
        <v/>
      </c>
      <c r="N70">
        <f>IFERROR(MATCH(ROW()-4,rOrden_RF,0),"")</f>
        <v/>
      </c>
    </row>
    <row r="71">
      <c r="A71" s="60">
        <f>IF($N71="","",INDEX('Cronograma R. Financiero'!$A$5:$A$1000,$N71))</f>
        <v/>
      </c>
      <c r="B71" s="68">
        <f>IF($N71="","",INDEX('Cronograma R. Financiero'!$B$5:$B$1000,$N71)&amp;"")</f>
        <v/>
      </c>
      <c r="C71" s="68">
        <f>IF($N71="","",INDEX('Cronograma R. Financiero'!$C$5:$C$1000,$N71)&amp;"")</f>
        <v/>
      </c>
      <c r="D71" s="74">
        <f>IF($N71="","",IF(INDEX('Cronograma R. Financiero'!$D$5:$D$1000,$N71)="","",INDEX('Cronograma R. Financiero'!$D$5:$D$1000,$N71)))</f>
        <v/>
      </c>
      <c r="E71" s="74">
        <f>IF($N71="","",IF(INDEX('Cronograma R. Financiero'!$E$5:$E$1000,$N71)="","",INDEX('Cronograma R. Financiero'!$E$5:$E$1000,$N71)))</f>
        <v/>
      </c>
      <c r="F71" s="60">
        <f>IF($N71="","",IF(NOT(ISNUMBER($E71)),"",IF($E71&lt;InicioCiclo,"Antes del ciclo",IF($E71&gt;=InicioCiclo+28,"Después del ciclo","Semana "&amp;(INT(($E71-InicioCiclo)/7)+1)))))</f>
        <v/>
      </c>
      <c r="G71" s="65">
        <f>IF($N71="","",IF(INDEX('Cronograma R. Financiero'!$G$5:$G$1000,$N71)="","",INDEX('Cronograma R. Financiero'!$G$5:$G$1000,$N71)))</f>
        <v/>
      </c>
      <c r="H71" s="65">
        <f>IF($N71="","",IF(INDEX('Cronograma R. Financiero'!$H$5:$H$1000,$N71)="","",INDEX('Cronograma R. Financiero'!$H$5:$H$1000,$N71)))</f>
        <v/>
      </c>
      <c r="I71" s="65">
        <f>IF($N71="","",IF(INDEX('Cronograma R. Financiero'!$I$5:$I$1000,$N71)="","",INDEX('Cronograma R. Financiero'!$I$5:$I$1000,$N71)))</f>
        <v/>
      </c>
      <c r="J71" s="65">
        <f>IF($N71="","",IF(INDEX('Cronograma R. Financiero'!$J$5:$J$1000,$N71)="","",INDEX('Cronograma R. Financiero'!$J$5:$J$1000,$N71)))</f>
        <v/>
      </c>
      <c r="K71" s="65">
        <f>IF($N71="","",INDEX('Cronograma R. Financiero'!$K$5:$K$1000,$N71))</f>
        <v/>
      </c>
      <c r="L71" s="60">
        <f>IF($N71="","",IF(N($K71)&gt;=1,"Completado",IF(AND(ISNUMBER($E71),$E71&lt;FechaRef),"Vencida",IF(N($K71)&gt;0,"En curso","Pendiente"))))</f>
        <v/>
      </c>
      <c r="M71" s="68">
        <f>IF($N71="","",INDEX('Cronograma R. Financiero'!$M$5:$M$1000,$N71)&amp;"")</f>
        <v/>
      </c>
      <c r="N71">
        <f>IFERROR(MATCH(ROW()-4,rOrden_RF,0),"")</f>
        <v/>
      </c>
    </row>
    <row r="72">
      <c r="A72" s="60">
        <f>IF($N72="","",INDEX('Cronograma R. Financiero'!$A$5:$A$1000,$N72))</f>
        <v/>
      </c>
      <c r="B72" s="68">
        <f>IF($N72="","",INDEX('Cronograma R. Financiero'!$B$5:$B$1000,$N72)&amp;"")</f>
        <v/>
      </c>
      <c r="C72" s="68">
        <f>IF($N72="","",INDEX('Cronograma R. Financiero'!$C$5:$C$1000,$N72)&amp;"")</f>
        <v/>
      </c>
      <c r="D72" s="74">
        <f>IF($N72="","",IF(INDEX('Cronograma R. Financiero'!$D$5:$D$1000,$N72)="","",INDEX('Cronograma R. Financiero'!$D$5:$D$1000,$N72)))</f>
        <v/>
      </c>
      <c r="E72" s="74">
        <f>IF($N72="","",IF(INDEX('Cronograma R. Financiero'!$E$5:$E$1000,$N72)="","",INDEX('Cronograma R. Financiero'!$E$5:$E$1000,$N72)))</f>
        <v/>
      </c>
      <c r="F72" s="60">
        <f>IF($N72="","",IF(NOT(ISNUMBER($E72)),"",IF($E72&lt;InicioCiclo,"Antes del ciclo",IF($E72&gt;=InicioCiclo+28,"Después del ciclo","Semana "&amp;(INT(($E72-InicioCiclo)/7)+1)))))</f>
        <v/>
      </c>
      <c r="G72" s="65">
        <f>IF($N72="","",IF(INDEX('Cronograma R. Financiero'!$G$5:$G$1000,$N72)="","",INDEX('Cronograma R. Financiero'!$G$5:$G$1000,$N72)))</f>
        <v/>
      </c>
      <c r="H72" s="65">
        <f>IF($N72="","",IF(INDEX('Cronograma R. Financiero'!$H$5:$H$1000,$N72)="","",INDEX('Cronograma R. Financiero'!$H$5:$H$1000,$N72)))</f>
        <v/>
      </c>
      <c r="I72" s="65">
        <f>IF($N72="","",IF(INDEX('Cronograma R. Financiero'!$I$5:$I$1000,$N72)="","",INDEX('Cronograma R. Financiero'!$I$5:$I$1000,$N72)))</f>
        <v/>
      </c>
      <c r="J72" s="65">
        <f>IF($N72="","",IF(INDEX('Cronograma R. Financiero'!$J$5:$J$1000,$N72)="","",INDEX('Cronograma R. Financiero'!$J$5:$J$1000,$N72)))</f>
        <v/>
      </c>
      <c r="K72" s="65">
        <f>IF($N72="","",INDEX('Cronograma R. Financiero'!$K$5:$K$1000,$N72))</f>
        <v/>
      </c>
      <c r="L72" s="60">
        <f>IF($N72="","",IF(N($K72)&gt;=1,"Completado",IF(AND(ISNUMBER($E72),$E72&lt;FechaRef),"Vencida",IF(N($K72)&gt;0,"En curso","Pendiente"))))</f>
        <v/>
      </c>
      <c r="M72" s="68">
        <f>IF($N72="","",INDEX('Cronograma R. Financiero'!$M$5:$M$1000,$N72)&amp;"")</f>
        <v/>
      </c>
      <c r="N72">
        <f>IFERROR(MATCH(ROW()-4,rOrden_RF,0),"")</f>
        <v/>
      </c>
    </row>
    <row r="73">
      <c r="A73" s="60">
        <f>IF($N73="","",INDEX('Cronograma R. Financiero'!$A$5:$A$1000,$N73))</f>
        <v/>
      </c>
      <c r="B73" s="68">
        <f>IF($N73="","",INDEX('Cronograma R. Financiero'!$B$5:$B$1000,$N73)&amp;"")</f>
        <v/>
      </c>
      <c r="C73" s="68">
        <f>IF($N73="","",INDEX('Cronograma R. Financiero'!$C$5:$C$1000,$N73)&amp;"")</f>
        <v/>
      </c>
      <c r="D73" s="74">
        <f>IF($N73="","",IF(INDEX('Cronograma R. Financiero'!$D$5:$D$1000,$N73)="","",INDEX('Cronograma R. Financiero'!$D$5:$D$1000,$N73)))</f>
        <v/>
      </c>
      <c r="E73" s="74">
        <f>IF($N73="","",IF(INDEX('Cronograma R. Financiero'!$E$5:$E$1000,$N73)="","",INDEX('Cronograma R. Financiero'!$E$5:$E$1000,$N73)))</f>
        <v/>
      </c>
      <c r="F73" s="60">
        <f>IF($N73="","",IF(NOT(ISNUMBER($E73)),"",IF($E73&lt;InicioCiclo,"Antes del ciclo",IF($E73&gt;=InicioCiclo+28,"Después del ciclo","Semana "&amp;(INT(($E73-InicioCiclo)/7)+1)))))</f>
        <v/>
      </c>
      <c r="G73" s="65">
        <f>IF($N73="","",IF(INDEX('Cronograma R. Financiero'!$G$5:$G$1000,$N73)="","",INDEX('Cronograma R. Financiero'!$G$5:$G$1000,$N73)))</f>
        <v/>
      </c>
      <c r="H73" s="65">
        <f>IF($N73="","",IF(INDEX('Cronograma R. Financiero'!$H$5:$H$1000,$N73)="","",INDEX('Cronograma R. Financiero'!$H$5:$H$1000,$N73)))</f>
        <v/>
      </c>
      <c r="I73" s="65">
        <f>IF($N73="","",IF(INDEX('Cronograma R. Financiero'!$I$5:$I$1000,$N73)="","",INDEX('Cronograma R. Financiero'!$I$5:$I$1000,$N73)))</f>
        <v/>
      </c>
      <c r="J73" s="65">
        <f>IF($N73="","",IF(INDEX('Cronograma R. Financiero'!$J$5:$J$1000,$N73)="","",INDEX('Cronograma R. Financiero'!$J$5:$J$1000,$N73)))</f>
        <v/>
      </c>
      <c r="K73" s="65">
        <f>IF($N73="","",INDEX('Cronograma R. Financiero'!$K$5:$K$1000,$N73))</f>
        <v/>
      </c>
      <c r="L73" s="60">
        <f>IF($N73="","",IF(N($K73)&gt;=1,"Completado",IF(AND(ISNUMBER($E73),$E73&lt;FechaRef),"Vencida",IF(N($K73)&gt;0,"En curso","Pendiente"))))</f>
        <v/>
      </c>
      <c r="M73" s="68">
        <f>IF($N73="","",INDEX('Cronograma R. Financiero'!$M$5:$M$1000,$N73)&amp;"")</f>
        <v/>
      </c>
      <c r="N73">
        <f>IFERROR(MATCH(ROW()-4,rOrden_RF,0),"")</f>
        <v/>
      </c>
    </row>
    <row r="74">
      <c r="A74" s="60">
        <f>IF($N74="","",INDEX('Cronograma R. Financiero'!$A$5:$A$1000,$N74))</f>
        <v/>
      </c>
      <c r="B74" s="68">
        <f>IF($N74="","",INDEX('Cronograma R. Financiero'!$B$5:$B$1000,$N74)&amp;"")</f>
        <v/>
      </c>
      <c r="C74" s="68">
        <f>IF($N74="","",INDEX('Cronograma R. Financiero'!$C$5:$C$1000,$N74)&amp;"")</f>
        <v/>
      </c>
      <c r="D74" s="74">
        <f>IF($N74="","",IF(INDEX('Cronograma R. Financiero'!$D$5:$D$1000,$N74)="","",INDEX('Cronograma R. Financiero'!$D$5:$D$1000,$N74)))</f>
        <v/>
      </c>
      <c r="E74" s="74">
        <f>IF($N74="","",IF(INDEX('Cronograma R. Financiero'!$E$5:$E$1000,$N74)="","",INDEX('Cronograma R. Financiero'!$E$5:$E$1000,$N74)))</f>
        <v/>
      </c>
      <c r="F74" s="60">
        <f>IF($N74="","",IF(NOT(ISNUMBER($E74)),"",IF($E74&lt;InicioCiclo,"Antes del ciclo",IF($E74&gt;=InicioCiclo+28,"Después del ciclo","Semana "&amp;(INT(($E74-InicioCiclo)/7)+1)))))</f>
        <v/>
      </c>
      <c r="G74" s="65">
        <f>IF($N74="","",IF(INDEX('Cronograma R. Financiero'!$G$5:$G$1000,$N74)="","",INDEX('Cronograma R. Financiero'!$G$5:$G$1000,$N74)))</f>
        <v/>
      </c>
      <c r="H74" s="65">
        <f>IF($N74="","",IF(INDEX('Cronograma R. Financiero'!$H$5:$H$1000,$N74)="","",INDEX('Cronograma R. Financiero'!$H$5:$H$1000,$N74)))</f>
        <v/>
      </c>
      <c r="I74" s="65">
        <f>IF($N74="","",IF(INDEX('Cronograma R. Financiero'!$I$5:$I$1000,$N74)="","",INDEX('Cronograma R. Financiero'!$I$5:$I$1000,$N74)))</f>
        <v/>
      </c>
      <c r="J74" s="65">
        <f>IF($N74="","",IF(INDEX('Cronograma R. Financiero'!$J$5:$J$1000,$N74)="","",INDEX('Cronograma R. Financiero'!$J$5:$J$1000,$N74)))</f>
        <v/>
      </c>
      <c r="K74" s="65">
        <f>IF($N74="","",INDEX('Cronograma R. Financiero'!$K$5:$K$1000,$N74))</f>
        <v/>
      </c>
      <c r="L74" s="60">
        <f>IF($N74="","",IF(N($K74)&gt;=1,"Completado",IF(AND(ISNUMBER($E74),$E74&lt;FechaRef),"Vencida",IF(N($K74)&gt;0,"En curso","Pendiente"))))</f>
        <v/>
      </c>
      <c r="M74" s="68">
        <f>IF($N74="","",INDEX('Cronograma R. Financiero'!$M$5:$M$1000,$N74)&amp;"")</f>
        <v/>
      </c>
      <c r="N74">
        <f>IFERROR(MATCH(ROW()-4,rOrden_RF,0),"")</f>
        <v/>
      </c>
    </row>
    <row r="75">
      <c r="A75" s="60">
        <f>IF($N75="","",INDEX('Cronograma R. Financiero'!$A$5:$A$1000,$N75))</f>
        <v/>
      </c>
      <c r="B75" s="68">
        <f>IF($N75="","",INDEX('Cronograma R. Financiero'!$B$5:$B$1000,$N75)&amp;"")</f>
        <v/>
      </c>
      <c r="C75" s="68">
        <f>IF($N75="","",INDEX('Cronograma R. Financiero'!$C$5:$C$1000,$N75)&amp;"")</f>
        <v/>
      </c>
      <c r="D75" s="74">
        <f>IF($N75="","",IF(INDEX('Cronograma R. Financiero'!$D$5:$D$1000,$N75)="","",INDEX('Cronograma R. Financiero'!$D$5:$D$1000,$N75)))</f>
        <v/>
      </c>
      <c r="E75" s="74">
        <f>IF($N75="","",IF(INDEX('Cronograma R. Financiero'!$E$5:$E$1000,$N75)="","",INDEX('Cronograma R. Financiero'!$E$5:$E$1000,$N75)))</f>
        <v/>
      </c>
      <c r="F75" s="60">
        <f>IF($N75="","",IF(NOT(ISNUMBER($E75)),"",IF($E75&lt;InicioCiclo,"Antes del ciclo",IF($E75&gt;=InicioCiclo+28,"Después del ciclo","Semana "&amp;(INT(($E75-InicioCiclo)/7)+1)))))</f>
        <v/>
      </c>
      <c r="G75" s="65">
        <f>IF($N75="","",IF(INDEX('Cronograma R. Financiero'!$G$5:$G$1000,$N75)="","",INDEX('Cronograma R. Financiero'!$G$5:$G$1000,$N75)))</f>
        <v/>
      </c>
      <c r="H75" s="65">
        <f>IF($N75="","",IF(INDEX('Cronograma R. Financiero'!$H$5:$H$1000,$N75)="","",INDEX('Cronograma R. Financiero'!$H$5:$H$1000,$N75)))</f>
        <v/>
      </c>
      <c r="I75" s="65">
        <f>IF($N75="","",IF(INDEX('Cronograma R. Financiero'!$I$5:$I$1000,$N75)="","",INDEX('Cronograma R. Financiero'!$I$5:$I$1000,$N75)))</f>
        <v/>
      </c>
      <c r="J75" s="65">
        <f>IF($N75="","",IF(INDEX('Cronograma R. Financiero'!$J$5:$J$1000,$N75)="","",INDEX('Cronograma R. Financiero'!$J$5:$J$1000,$N75)))</f>
        <v/>
      </c>
      <c r="K75" s="65">
        <f>IF($N75="","",INDEX('Cronograma R. Financiero'!$K$5:$K$1000,$N75))</f>
        <v/>
      </c>
      <c r="L75" s="60">
        <f>IF($N75="","",IF(N($K75)&gt;=1,"Completado",IF(AND(ISNUMBER($E75),$E75&lt;FechaRef),"Vencida",IF(N($K75)&gt;0,"En curso","Pendiente"))))</f>
        <v/>
      </c>
      <c r="M75" s="68">
        <f>IF($N75="","",INDEX('Cronograma R. Financiero'!$M$5:$M$1000,$N75)&amp;"")</f>
        <v/>
      </c>
      <c r="N75">
        <f>IFERROR(MATCH(ROW()-4,rOrden_RF,0),"")</f>
        <v/>
      </c>
    </row>
    <row r="76">
      <c r="A76" s="60">
        <f>IF($N76="","",INDEX('Cronograma R. Financiero'!$A$5:$A$1000,$N76))</f>
        <v/>
      </c>
      <c r="B76" s="68">
        <f>IF($N76="","",INDEX('Cronograma R. Financiero'!$B$5:$B$1000,$N76)&amp;"")</f>
        <v/>
      </c>
      <c r="C76" s="68">
        <f>IF($N76="","",INDEX('Cronograma R. Financiero'!$C$5:$C$1000,$N76)&amp;"")</f>
        <v/>
      </c>
      <c r="D76" s="74">
        <f>IF($N76="","",IF(INDEX('Cronograma R. Financiero'!$D$5:$D$1000,$N76)="","",INDEX('Cronograma R. Financiero'!$D$5:$D$1000,$N76)))</f>
        <v/>
      </c>
      <c r="E76" s="74">
        <f>IF($N76="","",IF(INDEX('Cronograma R. Financiero'!$E$5:$E$1000,$N76)="","",INDEX('Cronograma R. Financiero'!$E$5:$E$1000,$N76)))</f>
        <v/>
      </c>
      <c r="F76" s="60">
        <f>IF($N76="","",IF(NOT(ISNUMBER($E76)),"",IF($E76&lt;InicioCiclo,"Antes del ciclo",IF($E76&gt;=InicioCiclo+28,"Después del ciclo","Semana "&amp;(INT(($E76-InicioCiclo)/7)+1)))))</f>
        <v/>
      </c>
      <c r="G76" s="65">
        <f>IF($N76="","",IF(INDEX('Cronograma R. Financiero'!$G$5:$G$1000,$N76)="","",INDEX('Cronograma R. Financiero'!$G$5:$G$1000,$N76)))</f>
        <v/>
      </c>
      <c r="H76" s="65">
        <f>IF($N76="","",IF(INDEX('Cronograma R. Financiero'!$H$5:$H$1000,$N76)="","",INDEX('Cronograma R. Financiero'!$H$5:$H$1000,$N76)))</f>
        <v/>
      </c>
      <c r="I76" s="65">
        <f>IF($N76="","",IF(INDEX('Cronograma R. Financiero'!$I$5:$I$1000,$N76)="","",INDEX('Cronograma R. Financiero'!$I$5:$I$1000,$N76)))</f>
        <v/>
      </c>
      <c r="J76" s="65">
        <f>IF($N76="","",IF(INDEX('Cronograma R. Financiero'!$J$5:$J$1000,$N76)="","",INDEX('Cronograma R. Financiero'!$J$5:$J$1000,$N76)))</f>
        <v/>
      </c>
      <c r="K76" s="65">
        <f>IF($N76="","",INDEX('Cronograma R. Financiero'!$K$5:$K$1000,$N76))</f>
        <v/>
      </c>
      <c r="L76" s="60">
        <f>IF($N76="","",IF(N($K76)&gt;=1,"Completado",IF(AND(ISNUMBER($E76),$E76&lt;FechaRef),"Vencida",IF(N($K76)&gt;0,"En curso","Pendiente"))))</f>
        <v/>
      </c>
      <c r="M76" s="68">
        <f>IF($N76="","",INDEX('Cronograma R. Financiero'!$M$5:$M$1000,$N76)&amp;"")</f>
        <v/>
      </c>
      <c r="N76">
        <f>IFERROR(MATCH(ROW()-4,rOrden_RF,0),"")</f>
        <v/>
      </c>
    </row>
    <row r="77">
      <c r="A77" s="60">
        <f>IF($N77="","",INDEX('Cronograma R. Financiero'!$A$5:$A$1000,$N77))</f>
        <v/>
      </c>
      <c r="B77" s="68">
        <f>IF($N77="","",INDEX('Cronograma R. Financiero'!$B$5:$B$1000,$N77)&amp;"")</f>
        <v/>
      </c>
      <c r="C77" s="68">
        <f>IF($N77="","",INDEX('Cronograma R. Financiero'!$C$5:$C$1000,$N77)&amp;"")</f>
        <v/>
      </c>
      <c r="D77" s="74">
        <f>IF($N77="","",IF(INDEX('Cronograma R. Financiero'!$D$5:$D$1000,$N77)="","",INDEX('Cronograma R. Financiero'!$D$5:$D$1000,$N77)))</f>
        <v/>
      </c>
      <c r="E77" s="74">
        <f>IF($N77="","",IF(INDEX('Cronograma R. Financiero'!$E$5:$E$1000,$N77)="","",INDEX('Cronograma R. Financiero'!$E$5:$E$1000,$N77)))</f>
        <v/>
      </c>
      <c r="F77" s="60">
        <f>IF($N77="","",IF(NOT(ISNUMBER($E77)),"",IF($E77&lt;InicioCiclo,"Antes del ciclo",IF($E77&gt;=InicioCiclo+28,"Después del ciclo","Semana "&amp;(INT(($E77-InicioCiclo)/7)+1)))))</f>
        <v/>
      </c>
      <c r="G77" s="65">
        <f>IF($N77="","",IF(INDEX('Cronograma R. Financiero'!$G$5:$G$1000,$N77)="","",INDEX('Cronograma R. Financiero'!$G$5:$G$1000,$N77)))</f>
        <v/>
      </c>
      <c r="H77" s="65">
        <f>IF($N77="","",IF(INDEX('Cronograma R. Financiero'!$H$5:$H$1000,$N77)="","",INDEX('Cronograma R. Financiero'!$H$5:$H$1000,$N77)))</f>
        <v/>
      </c>
      <c r="I77" s="65">
        <f>IF($N77="","",IF(INDEX('Cronograma R. Financiero'!$I$5:$I$1000,$N77)="","",INDEX('Cronograma R. Financiero'!$I$5:$I$1000,$N77)))</f>
        <v/>
      </c>
      <c r="J77" s="65">
        <f>IF($N77="","",IF(INDEX('Cronograma R. Financiero'!$J$5:$J$1000,$N77)="","",INDEX('Cronograma R. Financiero'!$J$5:$J$1000,$N77)))</f>
        <v/>
      </c>
      <c r="K77" s="65">
        <f>IF($N77="","",INDEX('Cronograma R. Financiero'!$K$5:$K$1000,$N77))</f>
        <v/>
      </c>
      <c r="L77" s="60">
        <f>IF($N77="","",IF(N($K77)&gt;=1,"Completado",IF(AND(ISNUMBER($E77),$E77&lt;FechaRef),"Vencida",IF(N($K77)&gt;0,"En curso","Pendiente"))))</f>
        <v/>
      </c>
      <c r="M77" s="68">
        <f>IF($N77="","",INDEX('Cronograma R. Financiero'!$M$5:$M$1000,$N77)&amp;"")</f>
        <v/>
      </c>
      <c r="N77">
        <f>IFERROR(MATCH(ROW()-4,rOrden_RF,0),"")</f>
        <v/>
      </c>
    </row>
    <row r="78">
      <c r="A78" s="60">
        <f>IF($N78="","",INDEX('Cronograma R. Financiero'!$A$5:$A$1000,$N78))</f>
        <v/>
      </c>
      <c r="B78" s="68">
        <f>IF($N78="","",INDEX('Cronograma R. Financiero'!$B$5:$B$1000,$N78)&amp;"")</f>
        <v/>
      </c>
      <c r="C78" s="68">
        <f>IF($N78="","",INDEX('Cronograma R. Financiero'!$C$5:$C$1000,$N78)&amp;"")</f>
        <v/>
      </c>
      <c r="D78" s="74">
        <f>IF($N78="","",IF(INDEX('Cronograma R. Financiero'!$D$5:$D$1000,$N78)="","",INDEX('Cronograma R. Financiero'!$D$5:$D$1000,$N78)))</f>
        <v/>
      </c>
      <c r="E78" s="74">
        <f>IF($N78="","",IF(INDEX('Cronograma R. Financiero'!$E$5:$E$1000,$N78)="","",INDEX('Cronograma R. Financiero'!$E$5:$E$1000,$N78)))</f>
        <v/>
      </c>
      <c r="F78" s="60">
        <f>IF($N78="","",IF(NOT(ISNUMBER($E78)),"",IF($E78&lt;InicioCiclo,"Antes del ciclo",IF($E78&gt;=InicioCiclo+28,"Después del ciclo","Semana "&amp;(INT(($E78-InicioCiclo)/7)+1)))))</f>
        <v/>
      </c>
      <c r="G78" s="65">
        <f>IF($N78="","",IF(INDEX('Cronograma R. Financiero'!$G$5:$G$1000,$N78)="","",INDEX('Cronograma R. Financiero'!$G$5:$G$1000,$N78)))</f>
        <v/>
      </c>
      <c r="H78" s="65">
        <f>IF($N78="","",IF(INDEX('Cronograma R. Financiero'!$H$5:$H$1000,$N78)="","",INDEX('Cronograma R. Financiero'!$H$5:$H$1000,$N78)))</f>
        <v/>
      </c>
      <c r="I78" s="65">
        <f>IF($N78="","",IF(INDEX('Cronograma R. Financiero'!$I$5:$I$1000,$N78)="","",INDEX('Cronograma R. Financiero'!$I$5:$I$1000,$N78)))</f>
        <v/>
      </c>
      <c r="J78" s="65">
        <f>IF($N78="","",IF(INDEX('Cronograma R. Financiero'!$J$5:$J$1000,$N78)="","",INDEX('Cronograma R. Financiero'!$J$5:$J$1000,$N78)))</f>
        <v/>
      </c>
      <c r="K78" s="65">
        <f>IF($N78="","",INDEX('Cronograma R. Financiero'!$K$5:$K$1000,$N78))</f>
        <v/>
      </c>
      <c r="L78" s="60">
        <f>IF($N78="","",IF(N($K78)&gt;=1,"Completado",IF(AND(ISNUMBER($E78),$E78&lt;FechaRef),"Vencida",IF(N($K78)&gt;0,"En curso","Pendiente"))))</f>
        <v/>
      </c>
      <c r="M78" s="68">
        <f>IF($N78="","",INDEX('Cronograma R. Financiero'!$M$5:$M$1000,$N78)&amp;"")</f>
        <v/>
      </c>
      <c r="N78">
        <f>IFERROR(MATCH(ROW()-4,rOrden_RF,0),"")</f>
        <v/>
      </c>
    </row>
    <row r="79">
      <c r="A79" s="60">
        <f>IF($N79="","",INDEX('Cronograma R. Financiero'!$A$5:$A$1000,$N79))</f>
        <v/>
      </c>
      <c r="B79" s="68">
        <f>IF($N79="","",INDEX('Cronograma R. Financiero'!$B$5:$B$1000,$N79)&amp;"")</f>
        <v/>
      </c>
      <c r="C79" s="68">
        <f>IF($N79="","",INDEX('Cronograma R. Financiero'!$C$5:$C$1000,$N79)&amp;"")</f>
        <v/>
      </c>
      <c r="D79" s="74">
        <f>IF($N79="","",IF(INDEX('Cronograma R. Financiero'!$D$5:$D$1000,$N79)="","",INDEX('Cronograma R. Financiero'!$D$5:$D$1000,$N79)))</f>
        <v/>
      </c>
      <c r="E79" s="74">
        <f>IF($N79="","",IF(INDEX('Cronograma R. Financiero'!$E$5:$E$1000,$N79)="","",INDEX('Cronograma R. Financiero'!$E$5:$E$1000,$N79)))</f>
        <v/>
      </c>
      <c r="F79" s="60">
        <f>IF($N79="","",IF(NOT(ISNUMBER($E79)),"",IF($E79&lt;InicioCiclo,"Antes del ciclo",IF($E79&gt;=InicioCiclo+28,"Después del ciclo","Semana "&amp;(INT(($E79-InicioCiclo)/7)+1)))))</f>
        <v/>
      </c>
      <c r="G79" s="65">
        <f>IF($N79="","",IF(INDEX('Cronograma R. Financiero'!$G$5:$G$1000,$N79)="","",INDEX('Cronograma R. Financiero'!$G$5:$G$1000,$N79)))</f>
        <v/>
      </c>
      <c r="H79" s="65">
        <f>IF($N79="","",IF(INDEX('Cronograma R. Financiero'!$H$5:$H$1000,$N79)="","",INDEX('Cronograma R. Financiero'!$H$5:$H$1000,$N79)))</f>
        <v/>
      </c>
      <c r="I79" s="65">
        <f>IF($N79="","",IF(INDEX('Cronograma R. Financiero'!$I$5:$I$1000,$N79)="","",INDEX('Cronograma R. Financiero'!$I$5:$I$1000,$N79)))</f>
        <v/>
      </c>
      <c r="J79" s="65">
        <f>IF($N79="","",IF(INDEX('Cronograma R. Financiero'!$J$5:$J$1000,$N79)="","",INDEX('Cronograma R. Financiero'!$J$5:$J$1000,$N79)))</f>
        <v/>
      </c>
      <c r="K79" s="65">
        <f>IF($N79="","",INDEX('Cronograma R. Financiero'!$K$5:$K$1000,$N79))</f>
        <v/>
      </c>
      <c r="L79" s="60">
        <f>IF($N79="","",IF(N($K79)&gt;=1,"Completado",IF(AND(ISNUMBER($E79),$E79&lt;FechaRef),"Vencida",IF(N($K79)&gt;0,"En curso","Pendiente"))))</f>
        <v/>
      </c>
      <c r="M79" s="68">
        <f>IF($N79="","",INDEX('Cronograma R. Financiero'!$M$5:$M$1000,$N79)&amp;"")</f>
        <v/>
      </c>
      <c r="N79">
        <f>IFERROR(MATCH(ROW()-4,rOrden_RF,0),"")</f>
        <v/>
      </c>
    </row>
    <row r="80">
      <c r="A80" s="60">
        <f>IF($N80="","",INDEX('Cronograma R. Financiero'!$A$5:$A$1000,$N80))</f>
        <v/>
      </c>
      <c r="B80" s="68">
        <f>IF($N80="","",INDEX('Cronograma R. Financiero'!$B$5:$B$1000,$N80)&amp;"")</f>
        <v/>
      </c>
      <c r="C80" s="68">
        <f>IF($N80="","",INDEX('Cronograma R. Financiero'!$C$5:$C$1000,$N80)&amp;"")</f>
        <v/>
      </c>
      <c r="D80" s="74">
        <f>IF($N80="","",IF(INDEX('Cronograma R. Financiero'!$D$5:$D$1000,$N80)="","",INDEX('Cronograma R. Financiero'!$D$5:$D$1000,$N80)))</f>
        <v/>
      </c>
      <c r="E80" s="74">
        <f>IF($N80="","",IF(INDEX('Cronograma R. Financiero'!$E$5:$E$1000,$N80)="","",INDEX('Cronograma R. Financiero'!$E$5:$E$1000,$N80)))</f>
        <v/>
      </c>
      <c r="F80" s="60">
        <f>IF($N80="","",IF(NOT(ISNUMBER($E80)),"",IF($E80&lt;InicioCiclo,"Antes del ciclo",IF($E80&gt;=InicioCiclo+28,"Después del ciclo","Semana "&amp;(INT(($E80-InicioCiclo)/7)+1)))))</f>
        <v/>
      </c>
      <c r="G80" s="65">
        <f>IF($N80="","",IF(INDEX('Cronograma R. Financiero'!$G$5:$G$1000,$N80)="","",INDEX('Cronograma R. Financiero'!$G$5:$G$1000,$N80)))</f>
        <v/>
      </c>
      <c r="H80" s="65">
        <f>IF($N80="","",IF(INDEX('Cronograma R. Financiero'!$H$5:$H$1000,$N80)="","",INDEX('Cronograma R. Financiero'!$H$5:$H$1000,$N80)))</f>
        <v/>
      </c>
      <c r="I80" s="65">
        <f>IF($N80="","",IF(INDEX('Cronograma R. Financiero'!$I$5:$I$1000,$N80)="","",INDEX('Cronograma R. Financiero'!$I$5:$I$1000,$N80)))</f>
        <v/>
      </c>
      <c r="J80" s="65">
        <f>IF($N80="","",IF(INDEX('Cronograma R. Financiero'!$J$5:$J$1000,$N80)="","",INDEX('Cronograma R. Financiero'!$J$5:$J$1000,$N80)))</f>
        <v/>
      </c>
      <c r="K80" s="65">
        <f>IF($N80="","",INDEX('Cronograma R. Financiero'!$K$5:$K$1000,$N80))</f>
        <v/>
      </c>
      <c r="L80" s="60">
        <f>IF($N80="","",IF(N($K80)&gt;=1,"Completado",IF(AND(ISNUMBER($E80),$E80&lt;FechaRef),"Vencida",IF(N($K80)&gt;0,"En curso","Pendiente"))))</f>
        <v/>
      </c>
      <c r="M80" s="68">
        <f>IF($N80="","",INDEX('Cronograma R. Financiero'!$M$5:$M$1000,$N80)&amp;"")</f>
        <v/>
      </c>
      <c r="N80">
        <f>IFERROR(MATCH(ROW()-4,rOrden_RF,0),"")</f>
        <v/>
      </c>
    </row>
    <row r="81">
      <c r="A81" s="60">
        <f>IF($N81="","",INDEX('Cronograma R. Financiero'!$A$5:$A$1000,$N81))</f>
        <v/>
      </c>
      <c r="B81" s="68">
        <f>IF($N81="","",INDEX('Cronograma R. Financiero'!$B$5:$B$1000,$N81)&amp;"")</f>
        <v/>
      </c>
      <c r="C81" s="68">
        <f>IF($N81="","",INDEX('Cronograma R. Financiero'!$C$5:$C$1000,$N81)&amp;"")</f>
        <v/>
      </c>
      <c r="D81" s="74">
        <f>IF($N81="","",IF(INDEX('Cronograma R. Financiero'!$D$5:$D$1000,$N81)="","",INDEX('Cronograma R. Financiero'!$D$5:$D$1000,$N81)))</f>
        <v/>
      </c>
      <c r="E81" s="74">
        <f>IF($N81="","",IF(INDEX('Cronograma R. Financiero'!$E$5:$E$1000,$N81)="","",INDEX('Cronograma R. Financiero'!$E$5:$E$1000,$N81)))</f>
        <v/>
      </c>
      <c r="F81" s="60">
        <f>IF($N81="","",IF(NOT(ISNUMBER($E81)),"",IF($E81&lt;InicioCiclo,"Antes del ciclo",IF($E81&gt;=InicioCiclo+28,"Después del ciclo","Semana "&amp;(INT(($E81-InicioCiclo)/7)+1)))))</f>
        <v/>
      </c>
      <c r="G81" s="65">
        <f>IF($N81="","",IF(INDEX('Cronograma R. Financiero'!$G$5:$G$1000,$N81)="","",INDEX('Cronograma R. Financiero'!$G$5:$G$1000,$N81)))</f>
        <v/>
      </c>
      <c r="H81" s="65">
        <f>IF($N81="","",IF(INDEX('Cronograma R. Financiero'!$H$5:$H$1000,$N81)="","",INDEX('Cronograma R. Financiero'!$H$5:$H$1000,$N81)))</f>
        <v/>
      </c>
      <c r="I81" s="65">
        <f>IF($N81="","",IF(INDEX('Cronograma R. Financiero'!$I$5:$I$1000,$N81)="","",INDEX('Cronograma R. Financiero'!$I$5:$I$1000,$N81)))</f>
        <v/>
      </c>
      <c r="J81" s="65">
        <f>IF($N81="","",IF(INDEX('Cronograma R. Financiero'!$J$5:$J$1000,$N81)="","",INDEX('Cronograma R. Financiero'!$J$5:$J$1000,$N81)))</f>
        <v/>
      </c>
      <c r="K81" s="65">
        <f>IF($N81="","",INDEX('Cronograma R. Financiero'!$K$5:$K$1000,$N81))</f>
        <v/>
      </c>
      <c r="L81" s="60">
        <f>IF($N81="","",IF(N($K81)&gt;=1,"Completado",IF(AND(ISNUMBER($E81),$E81&lt;FechaRef),"Vencida",IF(N($K81)&gt;0,"En curso","Pendiente"))))</f>
        <v/>
      </c>
      <c r="M81" s="68">
        <f>IF($N81="","",INDEX('Cronograma R. Financiero'!$M$5:$M$1000,$N81)&amp;"")</f>
        <v/>
      </c>
      <c r="N81">
        <f>IFERROR(MATCH(ROW()-4,rOrden_RF,0),"")</f>
        <v/>
      </c>
    </row>
    <row r="82">
      <c r="A82" s="60">
        <f>IF($N82="","",INDEX('Cronograma R. Financiero'!$A$5:$A$1000,$N82))</f>
        <v/>
      </c>
      <c r="B82" s="68">
        <f>IF($N82="","",INDEX('Cronograma R. Financiero'!$B$5:$B$1000,$N82)&amp;"")</f>
        <v/>
      </c>
      <c r="C82" s="68">
        <f>IF($N82="","",INDEX('Cronograma R. Financiero'!$C$5:$C$1000,$N82)&amp;"")</f>
        <v/>
      </c>
      <c r="D82" s="74">
        <f>IF($N82="","",IF(INDEX('Cronograma R. Financiero'!$D$5:$D$1000,$N82)="","",INDEX('Cronograma R. Financiero'!$D$5:$D$1000,$N82)))</f>
        <v/>
      </c>
      <c r="E82" s="74">
        <f>IF($N82="","",IF(INDEX('Cronograma R. Financiero'!$E$5:$E$1000,$N82)="","",INDEX('Cronograma R. Financiero'!$E$5:$E$1000,$N82)))</f>
        <v/>
      </c>
      <c r="F82" s="60">
        <f>IF($N82="","",IF(NOT(ISNUMBER($E82)),"",IF($E82&lt;InicioCiclo,"Antes del ciclo",IF($E82&gt;=InicioCiclo+28,"Después del ciclo","Semana "&amp;(INT(($E82-InicioCiclo)/7)+1)))))</f>
        <v/>
      </c>
      <c r="G82" s="65">
        <f>IF($N82="","",IF(INDEX('Cronograma R. Financiero'!$G$5:$G$1000,$N82)="","",INDEX('Cronograma R. Financiero'!$G$5:$G$1000,$N82)))</f>
        <v/>
      </c>
      <c r="H82" s="65">
        <f>IF($N82="","",IF(INDEX('Cronograma R. Financiero'!$H$5:$H$1000,$N82)="","",INDEX('Cronograma R. Financiero'!$H$5:$H$1000,$N82)))</f>
        <v/>
      </c>
      <c r="I82" s="65">
        <f>IF($N82="","",IF(INDEX('Cronograma R. Financiero'!$I$5:$I$1000,$N82)="","",INDEX('Cronograma R. Financiero'!$I$5:$I$1000,$N82)))</f>
        <v/>
      </c>
      <c r="J82" s="65">
        <f>IF($N82="","",IF(INDEX('Cronograma R. Financiero'!$J$5:$J$1000,$N82)="","",INDEX('Cronograma R. Financiero'!$J$5:$J$1000,$N82)))</f>
        <v/>
      </c>
      <c r="K82" s="65">
        <f>IF($N82="","",INDEX('Cronograma R. Financiero'!$K$5:$K$1000,$N82))</f>
        <v/>
      </c>
      <c r="L82" s="60">
        <f>IF($N82="","",IF(N($K82)&gt;=1,"Completado",IF(AND(ISNUMBER($E82),$E82&lt;FechaRef),"Vencida",IF(N($K82)&gt;0,"En curso","Pendiente"))))</f>
        <v/>
      </c>
      <c r="M82" s="68">
        <f>IF($N82="","",INDEX('Cronograma R. Financiero'!$M$5:$M$1000,$N82)&amp;"")</f>
        <v/>
      </c>
      <c r="N82">
        <f>IFERROR(MATCH(ROW()-4,rOrden_RF,0),"")</f>
        <v/>
      </c>
    </row>
    <row r="83">
      <c r="A83" s="60">
        <f>IF($N83="","",INDEX('Cronograma R. Financiero'!$A$5:$A$1000,$N83))</f>
        <v/>
      </c>
      <c r="B83" s="68">
        <f>IF($N83="","",INDEX('Cronograma R. Financiero'!$B$5:$B$1000,$N83)&amp;"")</f>
        <v/>
      </c>
      <c r="C83" s="68">
        <f>IF($N83="","",INDEX('Cronograma R. Financiero'!$C$5:$C$1000,$N83)&amp;"")</f>
        <v/>
      </c>
      <c r="D83" s="74">
        <f>IF($N83="","",IF(INDEX('Cronograma R. Financiero'!$D$5:$D$1000,$N83)="","",INDEX('Cronograma R. Financiero'!$D$5:$D$1000,$N83)))</f>
        <v/>
      </c>
      <c r="E83" s="74">
        <f>IF($N83="","",IF(INDEX('Cronograma R. Financiero'!$E$5:$E$1000,$N83)="","",INDEX('Cronograma R. Financiero'!$E$5:$E$1000,$N83)))</f>
        <v/>
      </c>
      <c r="F83" s="60">
        <f>IF($N83="","",IF(NOT(ISNUMBER($E83)),"",IF($E83&lt;InicioCiclo,"Antes del ciclo",IF($E83&gt;=InicioCiclo+28,"Después del ciclo","Semana "&amp;(INT(($E83-InicioCiclo)/7)+1)))))</f>
        <v/>
      </c>
      <c r="G83" s="65">
        <f>IF($N83="","",IF(INDEX('Cronograma R. Financiero'!$G$5:$G$1000,$N83)="","",INDEX('Cronograma R. Financiero'!$G$5:$G$1000,$N83)))</f>
        <v/>
      </c>
      <c r="H83" s="65">
        <f>IF($N83="","",IF(INDEX('Cronograma R. Financiero'!$H$5:$H$1000,$N83)="","",INDEX('Cronograma R. Financiero'!$H$5:$H$1000,$N83)))</f>
        <v/>
      </c>
      <c r="I83" s="65">
        <f>IF($N83="","",IF(INDEX('Cronograma R. Financiero'!$I$5:$I$1000,$N83)="","",INDEX('Cronograma R. Financiero'!$I$5:$I$1000,$N83)))</f>
        <v/>
      </c>
      <c r="J83" s="65">
        <f>IF($N83="","",IF(INDEX('Cronograma R. Financiero'!$J$5:$J$1000,$N83)="","",INDEX('Cronograma R. Financiero'!$J$5:$J$1000,$N83)))</f>
        <v/>
      </c>
      <c r="K83" s="65">
        <f>IF($N83="","",INDEX('Cronograma R. Financiero'!$K$5:$K$1000,$N83))</f>
        <v/>
      </c>
      <c r="L83" s="60">
        <f>IF($N83="","",IF(N($K83)&gt;=1,"Completado",IF(AND(ISNUMBER($E83),$E83&lt;FechaRef),"Vencida",IF(N($K83)&gt;0,"En curso","Pendiente"))))</f>
        <v/>
      </c>
      <c r="M83" s="68">
        <f>IF($N83="","",INDEX('Cronograma R. Financiero'!$M$5:$M$1000,$N83)&amp;"")</f>
        <v/>
      </c>
      <c r="N83">
        <f>IFERROR(MATCH(ROW()-4,rOrden_RF,0),"")</f>
        <v/>
      </c>
    </row>
    <row r="84">
      <c r="A84" s="60">
        <f>IF($N84="","",INDEX('Cronograma R. Financiero'!$A$5:$A$1000,$N84))</f>
        <v/>
      </c>
      <c r="B84" s="68">
        <f>IF($N84="","",INDEX('Cronograma R. Financiero'!$B$5:$B$1000,$N84)&amp;"")</f>
        <v/>
      </c>
      <c r="C84" s="68">
        <f>IF($N84="","",INDEX('Cronograma R. Financiero'!$C$5:$C$1000,$N84)&amp;"")</f>
        <v/>
      </c>
      <c r="D84" s="74">
        <f>IF($N84="","",IF(INDEX('Cronograma R. Financiero'!$D$5:$D$1000,$N84)="","",INDEX('Cronograma R. Financiero'!$D$5:$D$1000,$N84)))</f>
        <v/>
      </c>
      <c r="E84" s="74">
        <f>IF($N84="","",IF(INDEX('Cronograma R. Financiero'!$E$5:$E$1000,$N84)="","",INDEX('Cronograma R. Financiero'!$E$5:$E$1000,$N84)))</f>
        <v/>
      </c>
      <c r="F84" s="60">
        <f>IF($N84="","",IF(NOT(ISNUMBER($E84)),"",IF($E84&lt;InicioCiclo,"Antes del ciclo",IF($E84&gt;=InicioCiclo+28,"Después del ciclo","Semana "&amp;(INT(($E84-InicioCiclo)/7)+1)))))</f>
        <v/>
      </c>
      <c r="G84" s="65">
        <f>IF($N84="","",IF(INDEX('Cronograma R. Financiero'!$G$5:$G$1000,$N84)="","",INDEX('Cronograma R. Financiero'!$G$5:$G$1000,$N84)))</f>
        <v/>
      </c>
      <c r="H84" s="65">
        <f>IF($N84="","",IF(INDEX('Cronograma R. Financiero'!$H$5:$H$1000,$N84)="","",INDEX('Cronograma R. Financiero'!$H$5:$H$1000,$N84)))</f>
        <v/>
      </c>
      <c r="I84" s="65">
        <f>IF($N84="","",IF(INDEX('Cronograma R. Financiero'!$I$5:$I$1000,$N84)="","",INDEX('Cronograma R. Financiero'!$I$5:$I$1000,$N84)))</f>
        <v/>
      </c>
      <c r="J84" s="65">
        <f>IF($N84="","",IF(INDEX('Cronograma R. Financiero'!$J$5:$J$1000,$N84)="","",INDEX('Cronograma R. Financiero'!$J$5:$J$1000,$N84)))</f>
        <v/>
      </c>
      <c r="K84" s="65">
        <f>IF($N84="","",INDEX('Cronograma R. Financiero'!$K$5:$K$1000,$N84))</f>
        <v/>
      </c>
      <c r="L84" s="60">
        <f>IF($N84="","",IF(N($K84)&gt;=1,"Completado",IF(AND(ISNUMBER($E84),$E84&lt;FechaRef),"Vencida",IF(N($K84)&gt;0,"En curso","Pendiente"))))</f>
        <v/>
      </c>
      <c r="M84" s="68">
        <f>IF($N84="","",INDEX('Cronograma R. Financiero'!$M$5:$M$1000,$N84)&amp;"")</f>
        <v/>
      </c>
      <c r="N84">
        <f>IFERROR(MATCH(ROW()-4,rOrden_RF,0),"")</f>
        <v/>
      </c>
    </row>
    <row r="85">
      <c r="A85" s="60">
        <f>IF($N85="","",INDEX('Cronograma R. Financiero'!$A$5:$A$1000,$N85))</f>
        <v/>
      </c>
      <c r="B85" s="68">
        <f>IF($N85="","",INDEX('Cronograma R. Financiero'!$B$5:$B$1000,$N85)&amp;"")</f>
        <v/>
      </c>
      <c r="C85" s="68">
        <f>IF($N85="","",INDEX('Cronograma R. Financiero'!$C$5:$C$1000,$N85)&amp;"")</f>
        <v/>
      </c>
      <c r="D85" s="74">
        <f>IF($N85="","",IF(INDEX('Cronograma R. Financiero'!$D$5:$D$1000,$N85)="","",INDEX('Cronograma R. Financiero'!$D$5:$D$1000,$N85)))</f>
        <v/>
      </c>
      <c r="E85" s="74">
        <f>IF($N85="","",IF(INDEX('Cronograma R. Financiero'!$E$5:$E$1000,$N85)="","",INDEX('Cronograma R. Financiero'!$E$5:$E$1000,$N85)))</f>
        <v/>
      </c>
      <c r="F85" s="60">
        <f>IF($N85="","",IF(NOT(ISNUMBER($E85)),"",IF($E85&lt;InicioCiclo,"Antes del ciclo",IF($E85&gt;=InicioCiclo+28,"Después del ciclo","Semana "&amp;(INT(($E85-InicioCiclo)/7)+1)))))</f>
        <v/>
      </c>
      <c r="G85" s="65">
        <f>IF($N85="","",IF(INDEX('Cronograma R. Financiero'!$G$5:$G$1000,$N85)="","",INDEX('Cronograma R. Financiero'!$G$5:$G$1000,$N85)))</f>
        <v/>
      </c>
      <c r="H85" s="65">
        <f>IF($N85="","",IF(INDEX('Cronograma R. Financiero'!$H$5:$H$1000,$N85)="","",INDEX('Cronograma R. Financiero'!$H$5:$H$1000,$N85)))</f>
        <v/>
      </c>
      <c r="I85" s="65">
        <f>IF($N85="","",IF(INDEX('Cronograma R. Financiero'!$I$5:$I$1000,$N85)="","",INDEX('Cronograma R. Financiero'!$I$5:$I$1000,$N85)))</f>
        <v/>
      </c>
      <c r="J85" s="65">
        <f>IF($N85="","",IF(INDEX('Cronograma R. Financiero'!$J$5:$J$1000,$N85)="","",INDEX('Cronograma R. Financiero'!$J$5:$J$1000,$N85)))</f>
        <v/>
      </c>
      <c r="K85" s="65">
        <f>IF($N85="","",INDEX('Cronograma R. Financiero'!$K$5:$K$1000,$N85))</f>
        <v/>
      </c>
      <c r="L85" s="60">
        <f>IF($N85="","",IF(N($K85)&gt;=1,"Completado",IF(AND(ISNUMBER($E85),$E85&lt;FechaRef),"Vencida",IF(N($K85)&gt;0,"En curso","Pendiente"))))</f>
        <v/>
      </c>
      <c r="M85" s="68">
        <f>IF($N85="","",INDEX('Cronograma R. Financiero'!$M$5:$M$1000,$N85)&amp;"")</f>
        <v/>
      </c>
      <c r="N85">
        <f>IFERROR(MATCH(ROW()-4,rOrden_RF,0),"")</f>
        <v/>
      </c>
    </row>
    <row r="86">
      <c r="A86" s="60">
        <f>IF($N86="","",INDEX('Cronograma R. Financiero'!$A$5:$A$1000,$N86))</f>
        <v/>
      </c>
      <c r="B86" s="68">
        <f>IF($N86="","",INDEX('Cronograma R. Financiero'!$B$5:$B$1000,$N86)&amp;"")</f>
        <v/>
      </c>
      <c r="C86" s="68">
        <f>IF($N86="","",INDEX('Cronograma R. Financiero'!$C$5:$C$1000,$N86)&amp;"")</f>
        <v/>
      </c>
      <c r="D86" s="74">
        <f>IF($N86="","",IF(INDEX('Cronograma R. Financiero'!$D$5:$D$1000,$N86)="","",INDEX('Cronograma R. Financiero'!$D$5:$D$1000,$N86)))</f>
        <v/>
      </c>
      <c r="E86" s="74">
        <f>IF($N86="","",IF(INDEX('Cronograma R. Financiero'!$E$5:$E$1000,$N86)="","",INDEX('Cronograma R. Financiero'!$E$5:$E$1000,$N86)))</f>
        <v/>
      </c>
      <c r="F86" s="60">
        <f>IF($N86="","",IF(NOT(ISNUMBER($E86)),"",IF($E86&lt;InicioCiclo,"Antes del ciclo",IF($E86&gt;=InicioCiclo+28,"Después del ciclo","Semana "&amp;(INT(($E86-InicioCiclo)/7)+1)))))</f>
        <v/>
      </c>
      <c r="G86" s="65">
        <f>IF($N86="","",IF(INDEX('Cronograma R. Financiero'!$G$5:$G$1000,$N86)="","",INDEX('Cronograma R. Financiero'!$G$5:$G$1000,$N86)))</f>
        <v/>
      </c>
      <c r="H86" s="65">
        <f>IF($N86="","",IF(INDEX('Cronograma R. Financiero'!$H$5:$H$1000,$N86)="","",INDEX('Cronograma R. Financiero'!$H$5:$H$1000,$N86)))</f>
        <v/>
      </c>
      <c r="I86" s="65">
        <f>IF($N86="","",IF(INDEX('Cronograma R. Financiero'!$I$5:$I$1000,$N86)="","",INDEX('Cronograma R. Financiero'!$I$5:$I$1000,$N86)))</f>
        <v/>
      </c>
      <c r="J86" s="65">
        <f>IF($N86="","",IF(INDEX('Cronograma R. Financiero'!$J$5:$J$1000,$N86)="","",INDEX('Cronograma R. Financiero'!$J$5:$J$1000,$N86)))</f>
        <v/>
      </c>
      <c r="K86" s="65">
        <f>IF($N86="","",INDEX('Cronograma R. Financiero'!$K$5:$K$1000,$N86))</f>
        <v/>
      </c>
      <c r="L86" s="60">
        <f>IF($N86="","",IF(N($K86)&gt;=1,"Completado",IF(AND(ISNUMBER($E86),$E86&lt;FechaRef),"Vencida",IF(N($K86)&gt;0,"En curso","Pendiente"))))</f>
        <v/>
      </c>
      <c r="M86" s="68">
        <f>IF($N86="","",INDEX('Cronograma R. Financiero'!$M$5:$M$1000,$N86)&amp;"")</f>
        <v/>
      </c>
      <c r="N86">
        <f>IFERROR(MATCH(ROW()-4,rOrden_RF,0),"")</f>
        <v/>
      </c>
    </row>
    <row r="87">
      <c r="A87" s="60">
        <f>IF($N87="","",INDEX('Cronograma R. Financiero'!$A$5:$A$1000,$N87))</f>
        <v/>
      </c>
      <c r="B87" s="68">
        <f>IF($N87="","",INDEX('Cronograma R. Financiero'!$B$5:$B$1000,$N87)&amp;"")</f>
        <v/>
      </c>
      <c r="C87" s="68">
        <f>IF($N87="","",INDEX('Cronograma R. Financiero'!$C$5:$C$1000,$N87)&amp;"")</f>
        <v/>
      </c>
      <c r="D87" s="74">
        <f>IF($N87="","",IF(INDEX('Cronograma R. Financiero'!$D$5:$D$1000,$N87)="","",INDEX('Cronograma R. Financiero'!$D$5:$D$1000,$N87)))</f>
        <v/>
      </c>
      <c r="E87" s="74">
        <f>IF($N87="","",IF(INDEX('Cronograma R. Financiero'!$E$5:$E$1000,$N87)="","",INDEX('Cronograma R. Financiero'!$E$5:$E$1000,$N87)))</f>
        <v/>
      </c>
      <c r="F87" s="60">
        <f>IF($N87="","",IF(NOT(ISNUMBER($E87)),"",IF($E87&lt;InicioCiclo,"Antes del ciclo",IF($E87&gt;=InicioCiclo+28,"Después del ciclo","Semana "&amp;(INT(($E87-InicioCiclo)/7)+1)))))</f>
        <v/>
      </c>
      <c r="G87" s="65">
        <f>IF($N87="","",IF(INDEX('Cronograma R. Financiero'!$G$5:$G$1000,$N87)="","",INDEX('Cronograma R. Financiero'!$G$5:$G$1000,$N87)))</f>
        <v/>
      </c>
      <c r="H87" s="65">
        <f>IF($N87="","",IF(INDEX('Cronograma R. Financiero'!$H$5:$H$1000,$N87)="","",INDEX('Cronograma R. Financiero'!$H$5:$H$1000,$N87)))</f>
        <v/>
      </c>
      <c r="I87" s="65">
        <f>IF($N87="","",IF(INDEX('Cronograma R. Financiero'!$I$5:$I$1000,$N87)="","",INDEX('Cronograma R. Financiero'!$I$5:$I$1000,$N87)))</f>
        <v/>
      </c>
      <c r="J87" s="65">
        <f>IF($N87="","",IF(INDEX('Cronograma R. Financiero'!$J$5:$J$1000,$N87)="","",INDEX('Cronograma R. Financiero'!$J$5:$J$1000,$N87)))</f>
        <v/>
      </c>
      <c r="K87" s="65">
        <f>IF($N87="","",INDEX('Cronograma R. Financiero'!$K$5:$K$1000,$N87))</f>
        <v/>
      </c>
      <c r="L87" s="60">
        <f>IF($N87="","",IF(N($K87)&gt;=1,"Completado",IF(AND(ISNUMBER($E87),$E87&lt;FechaRef),"Vencida",IF(N($K87)&gt;0,"En curso","Pendiente"))))</f>
        <v/>
      </c>
      <c r="M87" s="68">
        <f>IF($N87="","",INDEX('Cronograma R. Financiero'!$M$5:$M$1000,$N87)&amp;"")</f>
        <v/>
      </c>
      <c r="N87">
        <f>IFERROR(MATCH(ROW()-4,rOrden_RF,0),"")</f>
        <v/>
      </c>
    </row>
    <row r="88">
      <c r="A88" s="60">
        <f>IF($N88="","",INDEX('Cronograma R. Financiero'!$A$5:$A$1000,$N88))</f>
        <v/>
      </c>
      <c r="B88" s="68">
        <f>IF($N88="","",INDEX('Cronograma R. Financiero'!$B$5:$B$1000,$N88)&amp;"")</f>
        <v/>
      </c>
      <c r="C88" s="68">
        <f>IF($N88="","",INDEX('Cronograma R. Financiero'!$C$5:$C$1000,$N88)&amp;"")</f>
        <v/>
      </c>
      <c r="D88" s="74">
        <f>IF($N88="","",IF(INDEX('Cronograma R. Financiero'!$D$5:$D$1000,$N88)="","",INDEX('Cronograma R. Financiero'!$D$5:$D$1000,$N88)))</f>
        <v/>
      </c>
      <c r="E88" s="74">
        <f>IF($N88="","",IF(INDEX('Cronograma R. Financiero'!$E$5:$E$1000,$N88)="","",INDEX('Cronograma R. Financiero'!$E$5:$E$1000,$N88)))</f>
        <v/>
      </c>
      <c r="F88" s="60">
        <f>IF($N88="","",IF(NOT(ISNUMBER($E88)),"",IF($E88&lt;InicioCiclo,"Antes del ciclo",IF($E88&gt;=InicioCiclo+28,"Después del ciclo","Semana "&amp;(INT(($E88-InicioCiclo)/7)+1)))))</f>
        <v/>
      </c>
      <c r="G88" s="65">
        <f>IF($N88="","",IF(INDEX('Cronograma R. Financiero'!$G$5:$G$1000,$N88)="","",INDEX('Cronograma R. Financiero'!$G$5:$G$1000,$N88)))</f>
        <v/>
      </c>
      <c r="H88" s="65">
        <f>IF($N88="","",IF(INDEX('Cronograma R. Financiero'!$H$5:$H$1000,$N88)="","",INDEX('Cronograma R. Financiero'!$H$5:$H$1000,$N88)))</f>
        <v/>
      </c>
      <c r="I88" s="65">
        <f>IF($N88="","",IF(INDEX('Cronograma R. Financiero'!$I$5:$I$1000,$N88)="","",INDEX('Cronograma R. Financiero'!$I$5:$I$1000,$N88)))</f>
        <v/>
      </c>
      <c r="J88" s="65">
        <f>IF($N88="","",IF(INDEX('Cronograma R. Financiero'!$J$5:$J$1000,$N88)="","",INDEX('Cronograma R. Financiero'!$J$5:$J$1000,$N88)))</f>
        <v/>
      </c>
      <c r="K88" s="65">
        <f>IF($N88="","",INDEX('Cronograma R. Financiero'!$K$5:$K$1000,$N88))</f>
        <v/>
      </c>
      <c r="L88" s="60">
        <f>IF($N88="","",IF(N($K88)&gt;=1,"Completado",IF(AND(ISNUMBER($E88),$E88&lt;FechaRef),"Vencida",IF(N($K88)&gt;0,"En curso","Pendiente"))))</f>
        <v/>
      </c>
      <c r="M88" s="68">
        <f>IF($N88="","",INDEX('Cronograma R. Financiero'!$M$5:$M$1000,$N88)&amp;"")</f>
        <v/>
      </c>
      <c r="N88">
        <f>IFERROR(MATCH(ROW()-4,rOrden_RF,0),"")</f>
        <v/>
      </c>
    </row>
    <row r="89">
      <c r="A89" s="60">
        <f>IF($N89="","",INDEX('Cronograma R. Financiero'!$A$5:$A$1000,$N89))</f>
        <v/>
      </c>
      <c r="B89" s="68">
        <f>IF($N89="","",INDEX('Cronograma R. Financiero'!$B$5:$B$1000,$N89)&amp;"")</f>
        <v/>
      </c>
      <c r="C89" s="68">
        <f>IF($N89="","",INDEX('Cronograma R. Financiero'!$C$5:$C$1000,$N89)&amp;"")</f>
        <v/>
      </c>
      <c r="D89" s="74">
        <f>IF($N89="","",IF(INDEX('Cronograma R. Financiero'!$D$5:$D$1000,$N89)="","",INDEX('Cronograma R. Financiero'!$D$5:$D$1000,$N89)))</f>
        <v/>
      </c>
      <c r="E89" s="74">
        <f>IF($N89="","",IF(INDEX('Cronograma R. Financiero'!$E$5:$E$1000,$N89)="","",INDEX('Cronograma R. Financiero'!$E$5:$E$1000,$N89)))</f>
        <v/>
      </c>
      <c r="F89" s="60">
        <f>IF($N89="","",IF(NOT(ISNUMBER($E89)),"",IF($E89&lt;InicioCiclo,"Antes del ciclo",IF($E89&gt;=InicioCiclo+28,"Después del ciclo","Semana "&amp;(INT(($E89-InicioCiclo)/7)+1)))))</f>
        <v/>
      </c>
      <c r="G89" s="65">
        <f>IF($N89="","",IF(INDEX('Cronograma R. Financiero'!$G$5:$G$1000,$N89)="","",INDEX('Cronograma R. Financiero'!$G$5:$G$1000,$N89)))</f>
        <v/>
      </c>
      <c r="H89" s="65">
        <f>IF($N89="","",IF(INDEX('Cronograma R. Financiero'!$H$5:$H$1000,$N89)="","",INDEX('Cronograma R. Financiero'!$H$5:$H$1000,$N89)))</f>
        <v/>
      </c>
      <c r="I89" s="65">
        <f>IF($N89="","",IF(INDEX('Cronograma R. Financiero'!$I$5:$I$1000,$N89)="","",INDEX('Cronograma R. Financiero'!$I$5:$I$1000,$N89)))</f>
        <v/>
      </c>
      <c r="J89" s="65">
        <f>IF($N89="","",IF(INDEX('Cronograma R. Financiero'!$J$5:$J$1000,$N89)="","",INDEX('Cronograma R. Financiero'!$J$5:$J$1000,$N89)))</f>
        <v/>
      </c>
      <c r="K89" s="65">
        <f>IF($N89="","",INDEX('Cronograma R. Financiero'!$K$5:$K$1000,$N89))</f>
        <v/>
      </c>
      <c r="L89" s="60">
        <f>IF($N89="","",IF(N($K89)&gt;=1,"Completado",IF(AND(ISNUMBER($E89),$E89&lt;FechaRef),"Vencida",IF(N($K89)&gt;0,"En curso","Pendiente"))))</f>
        <v/>
      </c>
      <c r="M89" s="68">
        <f>IF($N89="","",INDEX('Cronograma R. Financiero'!$M$5:$M$1000,$N89)&amp;"")</f>
        <v/>
      </c>
      <c r="N89">
        <f>IFERROR(MATCH(ROW()-4,rOrden_RF,0),"")</f>
        <v/>
      </c>
    </row>
    <row r="90">
      <c r="A90" s="60">
        <f>IF($N90="","",INDEX('Cronograma R. Financiero'!$A$5:$A$1000,$N90))</f>
        <v/>
      </c>
      <c r="B90" s="68">
        <f>IF($N90="","",INDEX('Cronograma R. Financiero'!$B$5:$B$1000,$N90)&amp;"")</f>
        <v/>
      </c>
      <c r="C90" s="68">
        <f>IF($N90="","",INDEX('Cronograma R. Financiero'!$C$5:$C$1000,$N90)&amp;"")</f>
        <v/>
      </c>
      <c r="D90" s="74">
        <f>IF($N90="","",IF(INDEX('Cronograma R. Financiero'!$D$5:$D$1000,$N90)="","",INDEX('Cronograma R. Financiero'!$D$5:$D$1000,$N90)))</f>
        <v/>
      </c>
      <c r="E90" s="74">
        <f>IF($N90="","",IF(INDEX('Cronograma R. Financiero'!$E$5:$E$1000,$N90)="","",INDEX('Cronograma R. Financiero'!$E$5:$E$1000,$N90)))</f>
        <v/>
      </c>
      <c r="F90" s="60">
        <f>IF($N90="","",IF(NOT(ISNUMBER($E90)),"",IF($E90&lt;InicioCiclo,"Antes del ciclo",IF($E90&gt;=InicioCiclo+28,"Después del ciclo","Semana "&amp;(INT(($E90-InicioCiclo)/7)+1)))))</f>
        <v/>
      </c>
      <c r="G90" s="65">
        <f>IF($N90="","",IF(INDEX('Cronograma R. Financiero'!$G$5:$G$1000,$N90)="","",INDEX('Cronograma R. Financiero'!$G$5:$G$1000,$N90)))</f>
        <v/>
      </c>
      <c r="H90" s="65">
        <f>IF($N90="","",IF(INDEX('Cronograma R. Financiero'!$H$5:$H$1000,$N90)="","",INDEX('Cronograma R. Financiero'!$H$5:$H$1000,$N90)))</f>
        <v/>
      </c>
      <c r="I90" s="65">
        <f>IF($N90="","",IF(INDEX('Cronograma R. Financiero'!$I$5:$I$1000,$N90)="","",INDEX('Cronograma R. Financiero'!$I$5:$I$1000,$N90)))</f>
        <v/>
      </c>
      <c r="J90" s="65">
        <f>IF($N90="","",IF(INDEX('Cronograma R. Financiero'!$J$5:$J$1000,$N90)="","",INDEX('Cronograma R. Financiero'!$J$5:$J$1000,$N90)))</f>
        <v/>
      </c>
      <c r="K90" s="65">
        <f>IF($N90="","",INDEX('Cronograma R. Financiero'!$K$5:$K$1000,$N90))</f>
        <v/>
      </c>
      <c r="L90" s="60">
        <f>IF($N90="","",IF(N($K90)&gt;=1,"Completado",IF(AND(ISNUMBER($E90),$E90&lt;FechaRef),"Vencida",IF(N($K90)&gt;0,"En curso","Pendiente"))))</f>
        <v/>
      </c>
      <c r="M90" s="68">
        <f>IF($N90="","",INDEX('Cronograma R. Financiero'!$M$5:$M$1000,$N90)&amp;"")</f>
        <v/>
      </c>
      <c r="N90">
        <f>IFERROR(MATCH(ROW()-4,rOrden_RF,0),"")</f>
        <v/>
      </c>
    </row>
    <row r="91">
      <c r="A91" s="60">
        <f>IF($N91="","",INDEX('Cronograma R. Financiero'!$A$5:$A$1000,$N91))</f>
        <v/>
      </c>
      <c r="B91" s="68">
        <f>IF($N91="","",INDEX('Cronograma R. Financiero'!$B$5:$B$1000,$N91)&amp;"")</f>
        <v/>
      </c>
      <c r="C91" s="68">
        <f>IF($N91="","",INDEX('Cronograma R. Financiero'!$C$5:$C$1000,$N91)&amp;"")</f>
        <v/>
      </c>
      <c r="D91" s="74">
        <f>IF($N91="","",IF(INDEX('Cronograma R. Financiero'!$D$5:$D$1000,$N91)="","",INDEX('Cronograma R. Financiero'!$D$5:$D$1000,$N91)))</f>
        <v/>
      </c>
      <c r="E91" s="74">
        <f>IF($N91="","",IF(INDEX('Cronograma R. Financiero'!$E$5:$E$1000,$N91)="","",INDEX('Cronograma R. Financiero'!$E$5:$E$1000,$N91)))</f>
        <v/>
      </c>
      <c r="F91" s="60">
        <f>IF($N91="","",IF(NOT(ISNUMBER($E91)),"",IF($E91&lt;InicioCiclo,"Antes del ciclo",IF($E91&gt;=InicioCiclo+28,"Después del ciclo","Semana "&amp;(INT(($E91-InicioCiclo)/7)+1)))))</f>
        <v/>
      </c>
      <c r="G91" s="65">
        <f>IF($N91="","",IF(INDEX('Cronograma R. Financiero'!$G$5:$G$1000,$N91)="","",INDEX('Cronograma R. Financiero'!$G$5:$G$1000,$N91)))</f>
        <v/>
      </c>
      <c r="H91" s="65">
        <f>IF($N91="","",IF(INDEX('Cronograma R. Financiero'!$H$5:$H$1000,$N91)="","",INDEX('Cronograma R. Financiero'!$H$5:$H$1000,$N91)))</f>
        <v/>
      </c>
      <c r="I91" s="65">
        <f>IF($N91="","",IF(INDEX('Cronograma R. Financiero'!$I$5:$I$1000,$N91)="","",INDEX('Cronograma R. Financiero'!$I$5:$I$1000,$N91)))</f>
        <v/>
      </c>
      <c r="J91" s="65">
        <f>IF($N91="","",IF(INDEX('Cronograma R. Financiero'!$J$5:$J$1000,$N91)="","",INDEX('Cronograma R. Financiero'!$J$5:$J$1000,$N91)))</f>
        <v/>
      </c>
      <c r="K91" s="65">
        <f>IF($N91="","",INDEX('Cronograma R. Financiero'!$K$5:$K$1000,$N91))</f>
        <v/>
      </c>
      <c r="L91" s="60">
        <f>IF($N91="","",IF(N($K91)&gt;=1,"Completado",IF(AND(ISNUMBER($E91),$E91&lt;FechaRef),"Vencida",IF(N($K91)&gt;0,"En curso","Pendiente"))))</f>
        <v/>
      </c>
      <c r="M91" s="68">
        <f>IF($N91="","",INDEX('Cronograma R. Financiero'!$M$5:$M$1000,$N91)&amp;"")</f>
        <v/>
      </c>
      <c r="N91">
        <f>IFERROR(MATCH(ROW()-4,rOrden_RF,0),"")</f>
        <v/>
      </c>
    </row>
    <row r="92">
      <c r="A92" s="60">
        <f>IF($N92="","",INDEX('Cronograma R. Financiero'!$A$5:$A$1000,$N92))</f>
        <v/>
      </c>
      <c r="B92" s="68">
        <f>IF($N92="","",INDEX('Cronograma R. Financiero'!$B$5:$B$1000,$N92)&amp;"")</f>
        <v/>
      </c>
      <c r="C92" s="68">
        <f>IF($N92="","",INDEX('Cronograma R. Financiero'!$C$5:$C$1000,$N92)&amp;"")</f>
        <v/>
      </c>
      <c r="D92" s="74">
        <f>IF($N92="","",IF(INDEX('Cronograma R. Financiero'!$D$5:$D$1000,$N92)="","",INDEX('Cronograma R. Financiero'!$D$5:$D$1000,$N92)))</f>
        <v/>
      </c>
      <c r="E92" s="74">
        <f>IF($N92="","",IF(INDEX('Cronograma R. Financiero'!$E$5:$E$1000,$N92)="","",INDEX('Cronograma R. Financiero'!$E$5:$E$1000,$N92)))</f>
        <v/>
      </c>
      <c r="F92" s="60">
        <f>IF($N92="","",IF(NOT(ISNUMBER($E92)),"",IF($E92&lt;InicioCiclo,"Antes del ciclo",IF($E92&gt;=InicioCiclo+28,"Después del ciclo","Semana "&amp;(INT(($E92-InicioCiclo)/7)+1)))))</f>
        <v/>
      </c>
      <c r="G92" s="65">
        <f>IF($N92="","",IF(INDEX('Cronograma R. Financiero'!$G$5:$G$1000,$N92)="","",INDEX('Cronograma R. Financiero'!$G$5:$G$1000,$N92)))</f>
        <v/>
      </c>
      <c r="H92" s="65">
        <f>IF($N92="","",IF(INDEX('Cronograma R. Financiero'!$H$5:$H$1000,$N92)="","",INDEX('Cronograma R. Financiero'!$H$5:$H$1000,$N92)))</f>
        <v/>
      </c>
      <c r="I92" s="65">
        <f>IF($N92="","",IF(INDEX('Cronograma R. Financiero'!$I$5:$I$1000,$N92)="","",INDEX('Cronograma R. Financiero'!$I$5:$I$1000,$N92)))</f>
        <v/>
      </c>
      <c r="J92" s="65">
        <f>IF($N92="","",IF(INDEX('Cronograma R. Financiero'!$J$5:$J$1000,$N92)="","",INDEX('Cronograma R. Financiero'!$J$5:$J$1000,$N92)))</f>
        <v/>
      </c>
      <c r="K92" s="65">
        <f>IF($N92="","",INDEX('Cronograma R. Financiero'!$K$5:$K$1000,$N92))</f>
        <v/>
      </c>
      <c r="L92" s="60">
        <f>IF($N92="","",IF(N($K92)&gt;=1,"Completado",IF(AND(ISNUMBER($E92),$E92&lt;FechaRef),"Vencida",IF(N($K92)&gt;0,"En curso","Pendiente"))))</f>
        <v/>
      </c>
      <c r="M92" s="68">
        <f>IF($N92="","",INDEX('Cronograma R. Financiero'!$M$5:$M$1000,$N92)&amp;"")</f>
        <v/>
      </c>
      <c r="N92">
        <f>IFERROR(MATCH(ROW()-4,rOrden_RF,0),"")</f>
        <v/>
      </c>
    </row>
    <row r="93">
      <c r="A93" s="60">
        <f>IF($N93="","",INDEX('Cronograma R. Financiero'!$A$5:$A$1000,$N93))</f>
        <v/>
      </c>
      <c r="B93" s="68">
        <f>IF($N93="","",INDEX('Cronograma R. Financiero'!$B$5:$B$1000,$N93)&amp;"")</f>
        <v/>
      </c>
      <c r="C93" s="68">
        <f>IF($N93="","",INDEX('Cronograma R. Financiero'!$C$5:$C$1000,$N93)&amp;"")</f>
        <v/>
      </c>
      <c r="D93" s="74">
        <f>IF($N93="","",IF(INDEX('Cronograma R. Financiero'!$D$5:$D$1000,$N93)="","",INDEX('Cronograma R. Financiero'!$D$5:$D$1000,$N93)))</f>
        <v/>
      </c>
      <c r="E93" s="74">
        <f>IF($N93="","",IF(INDEX('Cronograma R. Financiero'!$E$5:$E$1000,$N93)="","",INDEX('Cronograma R. Financiero'!$E$5:$E$1000,$N93)))</f>
        <v/>
      </c>
      <c r="F93" s="60">
        <f>IF($N93="","",IF(NOT(ISNUMBER($E93)),"",IF($E93&lt;InicioCiclo,"Antes del ciclo",IF($E93&gt;=InicioCiclo+28,"Después del ciclo","Semana "&amp;(INT(($E93-InicioCiclo)/7)+1)))))</f>
        <v/>
      </c>
      <c r="G93" s="65">
        <f>IF($N93="","",IF(INDEX('Cronograma R. Financiero'!$G$5:$G$1000,$N93)="","",INDEX('Cronograma R. Financiero'!$G$5:$G$1000,$N93)))</f>
        <v/>
      </c>
      <c r="H93" s="65">
        <f>IF($N93="","",IF(INDEX('Cronograma R. Financiero'!$H$5:$H$1000,$N93)="","",INDEX('Cronograma R. Financiero'!$H$5:$H$1000,$N93)))</f>
        <v/>
      </c>
      <c r="I93" s="65">
        <f>IF($N93="","",IF(INDEX('Cronograma R. Financiero'!$I$5:$I$1000,$N93)="","",INDEX('Cronograma R. Financiero'!$I$5:$I$1000,$N93)))</f>
        <v/>
      </c>
      <c r="J93" s="65">
        <f>IF($N93="","",IF(INDEX('Cronograma R. Financiero'!$J$5:$J$1000,$N93)="","",INDEX('Cronograma R. Financiero'!$J$5:$J$1000,$N93)))</f>
        <v/>
      </c>
      <c r="K93" s="65">
        <f>IF($N93="","",INDEX('Cronograma R. Financiero'!$K$5:$K$1000,$N93))</f>
        <v/>
      </c>
      <c r="L93" s="60">
        <f>IF($N93="","",IF(N($K93)&gt;=1,"Completado",IF(AND(ISNUMBER($E93),$E93&lt;FechaRef),"Vencida",IF(N($K93)&gt;0,"En curso","Pendiente"))))</f>
        <v/>
      </c>
      <c r="M93" s="68">
        <f>IF($N93="","",INDEX('Cronograma R. Financiero'!$M$5:$M$1000,$N93)&amp;"")</f>
        <v/>
      </c>
      <c r="N93">
        <f>IFERROR(MATCH(ROW()-4,rOrden_RF,0),"")</f>
        <v/>
      </c>
    </row>
    <row r="94">
      <c r="A94" s="60">
        <f>IF($N94="","",INDEX('Cronograma R. Financiero'!$A$5:$A$1000,$N94))</f>
        <v/>
      </c>
      <c r="B94" s="68">
        <f>IF($N94="","",INDEX('Cronograma R. Financiero'!$B$5:$B$1000,$N94)&amp;"")</f>
        <v/>
      </c>
      <c r="C94" s="68">
        <f>IF($N94="","",INDEX('Cronograma R. Financiero'!$C$5:$C$1000,$N94)&amp;"")</f>
        <v/>
      </c>
      <c r="D94" s="74">
        <f>IF($N94="","",IF(INDEX('Cronograma R. Financiero'!$D$5:$D$1000,$N94)="","",INDEX('Cronograma R. Financiero'!$D$5:$D$1000,$N94)))</f>
        <v/>
      </c>
      <c r="E94" s="74">
        <f>IF($N94="","",IF(INDEX('Cronograma R. Financiero'!$E$5:$E$1000,$N94)="","",INDEX('Cronograma R. Financiero'!$E$5:$E$1000,$N94)))</f>
        <v/>
      </c>
      <c r="F94" s="60">
        <f>IF($N94="","",IF(NOT(ISNUMBER($E94)),"",IF($E94&lt;InicioCiclo,"Antes del ciclo",IF($E94&gt;=InicioCiclo+28,"Después del ciclo","Semana "&amp;(INT(($E94-InicioCiclo)/7)+1)))))</f>
        <v/>
      </c>
      <c r="G94" s="65">
        <f>IF($N94="","",IF(INDEX('Cronograma R. Financiero'!$G$5:$G$1000,$N94)="","",INDEX('Cronograma R. Financiero'!$G$5:$G$1000,$N94)))</f>
        <v/>
      </c>
      <c r="H94" s="65">
        <f>IF($N94="","",IF(INDEX('Cronograma R. Financiero'!$H$5:$H$1000,$N94)="","",INDEX('Cronograma R. Financiero'!$H$5:$H$1000,$N94)))</f>
        <v/>
      </c>
      <c r="I94" s="65">
        <f>IF($N94="","",IF(INDEX('Cronograma R. Financiero'!$I$5:$I$1000,$N94)="","",INDEX('Cronograma R. Financiero'!$I$5:$I$1000,$N94)))</f>
        <v/>
      </c>
      <c r="J94" s="65">
        <f>IF($N94="","",IF(INDEX('Cronograma R. Financiero'!$J$5:$J$1000,$N94)="","",INDEX('Cronograma R. Financiero'!$J$5:$J$1000,$N94)))</f>
        <v/>
      </c>
      <c r="K94" s="65">
        <f>IF($N94="","",INDEX('Cronograma R. Financiero'!$K$5:$K$1000,$N94))</f>
        <v/>
      </c>
      <c r="L94" s="60">
        <f>IF($N94="","",IF(N($K94)&gt;=1,"Completado",IF(AND(ISNUMBER($E94),$E94&lt;FechaRef),"Vencida",IF(N($K94)&gt;0,"En curso","Pendiente"))))</f>
        <v/>
      </c>
      <c r="M94" s="68">
        <f>IF($N94="","",INDEX('Cronograma R. Financiero'!$M$5:$M$1000,$N94)&amp;"")</f>
        <v/>
      </c>
      <c r="N94">
        <f>IFERROR(MATCH(ROW()-4,rOrden_RF,0),"")</f>
        <v/>
      </c>
    </row>
    <row r="95">
      <c r="A95" s="60">
        <f>IF($N95="","",INDEX('Cronograma R. Financiero'!$A$5:$A$1000,$N95))</f>
        <v/>
      </c>
      <c r="B95" s="68">
        <f>IF($N95="","",INDEX('Cronograma R. Financiero'!$B$5:$B$1000,$N95)&amp;"")</f>
        <v/>
      </c>
      <c r="C95" s="68">
        <f>IF($N95="","",INDEX('Cronograma R. Financiero'!$C$5:$C$1000,$N95)&amp;"")</f>
        <v/>
      </c>
      <c r="D95" s="74">
        <f>IF($N95="","",IF(INDEX('Cronograma R. Financiero'!$D$5:$D$1000,$N95)="","",INDEX('Cronograma R. Financiero'!$D$5:$D$1000,$N95)))</f>
        <v/>
      </c>
      <c r="E95" s="74">
        <f>IF($N95="","",IF(INDEX('Cronograma R. Financiero'!$E$5:$E$1000,$N95)="","",INDEX('Cronograma R. Financiero'!$E$5:$E$1000,$N95)))</f>
        <v/>
      </c>
      <c r="F95" s="60">
        <f>IF($N95="","",IF(NOT(ISNUMBER($E95)),"",IF($E95&lt;InicioCiclo,"Antes del ciclo",IF($E95&gt;=InicioCiclo+28,"Después del ciclo","Semana "&amp;(INT(($E95-InicioCiclo)/7)+1)))))</f>
        <v/>
      </c>
      <c r="G95" s="65">
        <f>IF($N95="","",IF(INDEX('Cronograma R. Financiero'!$G$5:$G$1000,$N95)="","",INDEX('Cronograma R. Financiero'!$G$5:$G$1000,$N95)))</f>
        <v/>
      </c>
      <c r="H95" s="65">
        <f>IF($N95="","",IF(INDEX('Cronograma R. Financiero'!$H$5:$H$1000,$N95)="","",INDEX('Cronograma R. Financiero'!$H$5:$H$1000,$N95)))</f>
        <v/>
      </c>
      <c r="I95" s="65">
        <f>IF($N95="","",IF(INDEX('Cronograma R. Financiero'!$I$5:$I$1000,$N95)="","",INDEX('Cronograma R. Financiero'!$I$5:$I$1000,$N95)))</f>
        <v/>
      </c>
      <c r="J95" s="65">
        <f>IF($N95="","",IF(INDEX('Cronograma R. Financiero'!$J$5:$J$1000,$N95)="","",INDEX('Cronograma R. Financiero'!$J$5:$J$1000,$N95)))</f>
        <v/>
      </c>
      <c r="K95" s="65">
        <f>IF($N95="","",INDEX('Cronograma R. Financiero'!$K$5:$K$1000,$N95))</f>
        <v/>
      </c>
      <c r="L95" s="60">
        <f>IF($N95="","",IF(N($K95)&gt;=1,"Completado",IF(AND(ISNUMBER($E95),$E95&lt;FechaRef),"Vencida",IF(N($K95)&gt;0,"En curso","Pendiente"))))</f>
        <v/>
      </c>
      <c r="M95" s="68">
        <f>IF($N95="","",INDEX('Cronograma R. Financiero'!$M$5:$M$1000,$N95)&amp;"")</f>
        <v/>
      </c>
      <c r="N95">
        <f>IFERROR(MATCH(ROW()-4,rOrden_RF,0),"")</f>
        <v/>
      </c>
    </row>
    <row r="96">
      <c r="A96" s="60">
        <f>IF($N96="","",INDEX('Cronograma R. Financiero'!$A$5:$A$1000,$N96))</f>
        <v/>
      </c>
      <c r="B96" s="68">
        <f>IF($N96="","",INDEX('Cronograma R. Financiero'!$B$5:$B$1000,$N96)&amp;"")</f>
        <v/>
      </c>
      <c r="C96" s="68">
        <f>IF($N96="","",INDEX('Cronograma R. Financiero'!$C$5:$C$1000,$N96)&amp;"")</f>
        <v/>
      </c>
      <c r="D96" s="74">
        <f>IF($N96="","",IF(INDEX('Cronograma R. Financiero'!$D$5:$D$1000,$N96)="","",INDEX('Cronograma R. Financiero'!$D$5:$D$1000,$N96)))</f>
        <v/>
      </c>
      <c r="E96" s="74">
        <f>IF($N96="","",IF(INDEX('Cronograma R. Financiero'!$E$5:$E$1000,$N96)="","",INDEX('Cronograma R. Financiero'!$E$5:$E$1000,$N96)))</f>
        <v/>
      </c>
      <c r="F96" s="60">
        <f>IF($N96="","",IF(NOT(ISNUMBER($E96)),"",IF($E96&lt;InicioCiclo,"Antes del ciclo",IF($E96&gt;=InicioCiclo+28,"Después del ciclo","Semana "&amp;(INT(($E96-InicioCiclo)/7)+1)))))</f>
        <v/>
      </c>
      <c r="G96" s="65">
        <f>IF($N96="","",IF(INDEX('Cronograma R. Financiero'!$G$5:$G$1000,$N96)="","",INDEX('Cronograma R. Financiero'!$G$5:$G$1000,$N96)))</f>
        <v/>
      </c>
      <c r="H96" s="65">
        <f>IF($N96="","",IF(INDEX('Cronograma R. Financiero'!$H$5:$H$1000,$N96)="","",INDEX('Cronograma R. Financiero'!$H$5:$H$1000,$N96)))</f>
        <v/>
      </c>
      <c r="I96" s="65">
        <f>IF($N96="","",IF(INDEX('Cronograma R. Financiero'!$I$5:$I$1000,$N96)="","",INDEX('Cronograma R. Financiero'!$I$5:$I$1000,$N96)))</f>
        <v/>
      </c>
      <c r="J96" s="65">
        <f>IF($N96="","",IF(INDEX('Cronograma R. Financiero'!$J$5:$J$1000,$N96)="","",INDEX('Cronograma R. Financiero'!$J$5:$J$1000,$N96)))</f>
        <v/>
      </c>
      <c r="K96" s="65">
        <f>IF($N96="","",INDEX('Cronograma R. Financiero'!$K$5:$K$1000,$N96))</f>
        <v/>
      </c>
      <c r="L96" s="60">
        <f>IF($N96="","",IF(N($K96)&gt;=1,"Completado",IF(AND(ISNUMBER($E96),$E96&lt;FechaRef),"Vencida",IF(N($K96)&gt;0,"En curso","Pendiente"))))</f>
        <v/>
      </c>
      <c r="M96" s="68">
        <f>IF($N96="","",INDEX('Cronograma R. Financiero'!$M$5:$M$1000,$N96)&amp;"")</f>
        <v/>
      </c>
      <c r="N96">
        <f>IFERROR(MATCH(ROW()-4,rOrden_RF,0),"")</f>
        <v/>
      </c>
    </row>
    <row r="97">
      <c r="A97" s="60">
        <f>IF($N97="","",INDEX('Cronograma R. Financiero'!$A$5:$A$1000,$N97))</f>
        <v/>
      </c>
      <c r="B97" s="68">
        <f>IF($N97="","",INDEX('Cronograma R. Financiero'!$B$5:$B$1000,$N97)&amp;"")</f>
        <v/>
      </c>
      <c r="C97" s="68">
        <f>IF($N97="","",INDEX('Cronograma R. Financiero'!$C$5:$C$1000,$N97)&amp;"")</f>
        <v/>
      </c>
      <c r="D97" s="74">
        <f>IF($N97="","",IF(INDEX('Cronograma R. Financiero'!$D$5:$D$1000,$N97)="","",INDEX('Cronograma R. Financiero'!$D$5:$D$1000,$N97)))</f>
        <v/>
      </c>
      <c r="E97" s="74">
        <f>IF($N97="","",IF(INDEX('Cronograma R. Financiero'!$E$5:$E$1000,$N97)="","",INDEX('Cronograma R. Financiero'!$E$5:$E$1000,$N97)))</f>
        <v/>
      </c>
      <c r="F97" s="60">
        <f>IF($N97="","",IF(NOT(ISNUMBER($E97)),"",IF($E97&lt;InicioCiclo,"Antes del ciclo",IF($E97&gt;=InicioCiclo+28,"Después del ciclo","Semana "&amp;(INT(($E97-InicioCiclo)/7)+1)))))</f>
        <v/>
      </c>
      <c r="G97" s="65">
        <f>IF($N97="","",IF(INDEX('Cronograma R. Financiero'!$G$5:$G$1000,$N97)="","",INDEX('Cronograma R. Financiero'!$G$5:$G$1000,$N97)))</f>
        <v/>
      </c>
      <c r="H97" s="65">
        <f>IF($N97="","",IF(INDEX('Cronograma R. Financiero'!$H$5:$H$1000,$N97)="","",INDEX('Cronograma R. Financiero'!$H$5:$H$1000,$N97)))</f>
        <v/>
      </c>
      <c r="I97" s="65">
        <f>IF($N97="","",IF(INDEX('Cronograma R. Financiero'!$I$5:$I$1000,$N97)="","",INDEX('Cronograma R. Financiero'!$I$5:$I$1000,$N97)))</f>
        <v/>
      </c>
      <c r="J97" s="65">
        <f>IF($N97="","",IF(INDEX('Cronograma R. Financiero'!$J$5:$J$1000,$N97)="","",INDEX('Cronograma R. Financiero'!$J$5:$J$1000,$N97)))</f>
        <v/>
      </c>
      <c r="K97" s="65">
        <f>IF($N97="","",INDEX('Cronograma R. Financiero'!$K$5:$K$1000,$N97))</f>
        <v/>
      </c>
      <c r="L97" s="60">
        <f>IF($N97="","",IF(N($K97)&gt;=1,"Completado",IF(AND(ISNUMBER($E97),$E97&lt;FechaRef),"Vencida",IF(N($K97)&gt;0,"En curso","Pendiente"))))</f>
        <v/>
      </c>
      <c r="M97" s="68">
        <f>IF($N97="","",INDEX('Cronograma R. Financiero'!$M$5:$M$1000,$N97)&amp;"")</f>
        <v/>
      </c>
      <c r="N97">
        <f>IFERROR(MATCH(ROW()-4,rOrden_RF,0),"")</f>
        <v/>
      </c>
    </row>
    <row r="98">
      <c r="A98" s="60">
        <f>IF($N98="","",INDEX('Cronograma R. Financiero'!$A$5:$A$1000,$N98))</f>
        <v/>
      </c>
      <c r="B98" s="68">
        <f>IF($N98="","",INDEX('Cronograma R. Financiero'!$B$5:$B$1000,$N98)&amp;"")</f>
        <v/>
      </c>
      <c r="C98" s="68">
        <f>IF($N98="","",INDEX('Cronograma R. Financiero'!$C$5:$C$1000,$N98)&amp;"")</f>
        <v/>
      </c>
      <c r="D98" s="74">
        <f>IF($N98="","",IF(INDEX('Cronograma R. Financiero'!$D$5:$D$1000,$N98)="","",INDEX('Cronograma R. Financiero'!$D$5:$D$1000,$N98)))</f>
        <v/>
      </c>
      <c r="E98" s="74">
        <f>IF($N98="","",IF(INDEX('Cronograma R. Financiero'!$E$5:$E$1000,$N98)="","",INDEX('Cronograma R. Financiero'!$E$5:$E$1000,$N98)))</f>
        <v/>
      </c>
      <c r="F98" s="60">
        <f>IF($N98="","",IF(NOT(ISNUMBER($E98)),"",IF($E98&lt;InicioCiclo,"Antes del ciclo",IF($E98&gt;=InicioCiclo+28,"Después del ciclo","Semana "&amp;(INT(($E98-InicioCiclo)/7)+1)))))</f>
        <v/>
      </c>
      <c r="G98" s="65">
        <f>IF($N98="","",IF(INDEX('Cronograma R. Financiero'!$G$5:$G$1000,$N98)="","",INDEX('Cronograma R. Financiero'!$G$5:$G$1000,$N98)))</f>
        <v/>
      </c>
      <c r="H98" s="65">
        <f>IF($N98="","",IF(INDEX('Cronograma R. Financiero'!$H$5:$H$1000,$N98)="","",INDEX('Cronograma R. Financiero'!$H$5:$H$1000,$N98)))</f>
        <v/>
      </c>
      <c r="I98" s="65">
        <f>IF($N98="","",IF(INDEX('Cronograma R. Financiero'!$I$5:$I$1000,$N98)="","",INDEX('Cronograma R. Financiero'!$I$5:$I$1000,$N98)))</f>
        <v/>
      </c>
      <c r="J98" s="65">
        <f>IF($N98="","",IF(INDEX('Cronograma R. Financiero'!$J$5:$J$1000,$N98)="","",INDEX('Cronograma R. Financiero'!$J$5:$J$1000,$N98)))</f>
        <v/>
      </c>
      <c r="K98" s="65">
        <f>IF($N98="","",INDEX('Cronograma R. Financiero'!$K$5:$K$1000,$N98))</f>
        <v/>
      </c>
      <c r="L98" s="60">
        <f>IF($N98="","",IF(N($K98)&gt;=1,"Completado",IF(AND(ISNUMBER($E98),$E98&lt;FechaRef),"Vencida",IF(N($K98)&gt;0,"En curso","Pendiente"))))</f>
        <v/>
      </c>
      <c r="M98" s="68">
        <f>IF($N98="","",INDEX('Cronograma R. Financiero'!$M$5:$M$1000,$N98)&amp;"")</f>
        <v/>
      </c>
      <c r="N98">
        <f>IFERROR(MATCH(ROW()-4,rOrden_RF,0),"")</f>
        <v/>
      </c>
    </row>
    <row r="99">
      <c r="A99" s="60">
        <f>IF($N99="","",INDEX('Cronograma R. Financiero'!$A$5:$A$1000,$N99))</f>
        <v/>
      </c>
      <c r="B99" s="68">
        <f>IF($N99="","",INDEX('Cronograma R. Financiero'!$B$5:$B$1000,$N99)&amp;"")</f>
        <v/>
      </c>
      <c r="C99" s="68">
        <f>IF($N99="","",INDEX('Cronograma R. Financiero'!$C$5:$C$1000,$N99)&amp;"")</f>
        <v/>
      </c>
      <c r="D99" s="74">
        <f>IF($N99="","",IF(INDEX('Cronograma R. Financiero'!$D$5:$D$1000,$N99)="","",INDEX('Cronograma R. Financiero'!$D$5:$D$1000,$N99)))</f>
        <v/>
      </c>
      <c r="E99" s="74">
        <f>IF($N99="","",IF(INDEX('Cronograma R. Financiero'!$E$5:$E$1000,$N99)="","",INDEX('Cronograma R. Financiero'!$E$5:$E$1000,$N99)))</f>
        <v/>
      </c>
      <c r="F99" s="60">
        <f>IF($N99="","",IF(NOT(ISNUMBER($E99)),"",IF($E99&lt;InicioCiclo,"Antes del ciclo",IF($E99&gt;=InicioCiclo+28,"Después del ciclo","Semana "&amp;(INT(($E99-InicioCiclo)/7)+1)))))</f>
        <v/>
      </c>
      <c r="G99" s="65">
        <f>IF($N99="","",IF(INDEX('Cronograma R. Financiero'!$G$5:$G$1000,$N99)="","",INDEX('Cronograma R. Financiero'!$G$5:$G$1000,$N99)))</f>
        <v/>
      </c>
      <c r="H99" s="65">
        <f>IF($N99="","",IF(INDEX('Cronograma R. Financiero'!$H$5:$H$1000,$N99)="","",INDEX('Cronograma R. Financiero'!$H$5:$H$1000,$N99)))</f>
        <v/>
      </c>
      <c r="I99" s="65">
        <f>IF($N99="","",IF(INDEX('Cronograma R. Financiero'!$I$5:$I$1000,$N99)="","",INDEX('Cronograma R. Financiero'!$I$5:$I$1000,$N99)))</f>
        <v/>
      </c>
      <c r="J99" s="65">
        <f>IF($N99="","",IF(INDEX('Cronograma R. Financiero'!$J$5:$J$1000,$N99)="","",INDEX('Cronograma R. Financiero'!$J$5:$J$1000,$N99)))</f>
        <v/>
      </c>
      <c r="K99" s="65">
        <f>IF($N99="","",INDEX('Cronograma R. Financiero'!$K$5:$K$1000,$N99))</f>
        <v/>
      </c>
      <c r="L99" s="60">
        <f>IF($N99="","",IF(N($K99)&gt;=1,"Completado",IF(AND(ISNUMBER($E99),$E99&lt;FechaRef),"Vencida",IF(N($K99)&gt;0,"En curso","Pendiente"))))</f>
        <v/>
      </c>
      <c r="M99" s="68">
        <f>IF($N99="","",INDEX('Cronograma R. Financiero'!$M$5:$M$1000,$N99)&amp;"")</f>
        <v/>
      </c>
      <c r="N99">
        <f>IFERROR(MATCH(ROW()-4,rOrden_RF,0),"")</f>
        <v/>
      </c>
    </row>
    <row r="100">
      <c r="A100" s="60">
        <f>IF($N100="","",INDEX('Cronograma R. Financiero'!$A$5:$A$1000,$N100))</f>
        <v/>
      </c>
      <c r="B100" s="68">
        <f>IF($N100="","",INDEX('Cronograma R. Financiero'!$B$5:$B$1000,$N100)&amp;"")</f>
        <v/>
      </c>
      <c r="C100" s="68">
        <f>IF($N100="","",INDEX('Cronograma R. Financiero'!$C$5:$C$1000,$N100)&amp;"")</f>
        <v/>
      </c>
      <c r="D100" s="74">
        <f>IF($N100="","",IF(INDEX('Cronograma R. Financiero'!$D$5:$D$1000,$N100)="","",INDEX('Cronograma R. Financiero'!$D$5:$D$1000,$N100)))</f>
        <v/>
      </c>
      <c r="E100" s="74">
        <f>IF($N100="","",IF(INDEX('Cronograma R. Financiero'!$E$5:$E$1000,$N100)="","",INDEX('Cronograma R. Financiero'!$E$5:$E$1000,$N100)))</f>
        <v/>
      </c>
      <c r="F100" s="60">
        <f>IF($N100="","",IF(NOT(ISNUMBER($E100)),"",IF($E100&lt;InicioCiclo,"Antes del ciclo",IF($E100&gt;=InicioCiclo+28,"Después del ciclo","Semana "&amp;(INT(($E100-InicioCiclo)/7)+1)))))</f>
        <v/>
      </c>
      <c r="G100" s="65">
        <f>IF($N100="","",IF(INDEX('Cronograma R. Financiero'!$G$5:$G$1000,$N100)="","",INDEX('Cronograma R. Financiero'!$G$5:$G$1000,$N100)))</f>
        <v/>
      </c>
      <c r="H100" s="65">
        <f>IF($N100="","",IF(INDEX('Cronograma R. Financiero'!$H$5:$H$1000,$N100)="","",INDEX('Cronograma R. Financiero'!$H$5:$H$1000,$N100)))</f>
        <v/>
      </c>
      <c r="I100" s="65">
        <f>IF($N100="","",IF(INDEX('Cronograma R. Financiero'!$I$5:$I$1000,$N100)="","",INDEX('Cronograma R. Financiero'!$I$5:$I$1000,$N100)))</f>
        <v/>
      </c>
      <c r="J100" s="65">
        <f>IF($N100="","",IF(INDEX('Cronograma R. Financiero'!$J$5:$J$1000,$N100)="","",INDEX('Cronograma R. Financiero'!$J$5:$J$1000,$N100)))</f>
        <v/>
      </c>
      <c r="K100" s="65">
        <f>IF($N100="","",INDEX('Cronograma R. Financiero'!$K$5:$K$1000,$N100))</f>
        <v/>
      </c>
      <c r="L100" s="60">
        <f>IF($N100="","",IF(N($K100)&gt;=1,"Completado",IF(AND(ISNUMBER($E100),$E100&lt;FechaRef),"Vencida",IF(N($K100)&gt;0,"En curso","Pendiente"))))</f>
        <v/>
      </c>
      <c r="M100" s="68">
        <f>IF($N100="","",INDEX('Cronograma R. Financiero'!$M$5:$M$1000,$N100)&amp;"")</f>
        <v/>
      </c>
      <c r="N100">
        <f>IFERROR(MATCH(ROW()-4,rOrden_RF,0),"")</f>
        <v/>
      </c>
    </row>
    <row r="101">
      <c r="A101" s="60">
        <f>IF($N101="","",INDEX('Cronograma R. Financiero'!$A$5:$A$1000,$N101))</f>
        <v/>
      </c>
      <c r="B101" s="68">
        <f>IF($N101="","",INDEX('Cronograma R. Financiero'!$B$5:$B$1000,$N101)&amp;"")</f>
        <v/>
      </c>
      <c r="C101" s="68">
        <f>IF($N101="","",INDEX('Cronograma R. Financiero'!$C$5:$C$1000,$N101)&amp;"")</f>
        <v/>
      </c>
      <c r="D101" s="74">
        <f>IF($N101="","",IF(INDEX('Cronograma R. Financiero'!$D$5:$D$1000,$N101)="","",INDEX('Cronograma R. Financiero'!$D$5:$D$1000,$N101)))</f>
        <v/>
      </c>
      <c r="E101" s="74">
        <f>IF($N101="","",IF(INDEX('Cronograma R. Financiero'!$E$5:$E$1000,$N101)="","",INDEX('Cronograma R. Financiero'!$E$5:$E$1000,$N101)))</f>
        <v/>
      </c>
      <c r="F101" s="60">
        <f>IF($N101="","",IF(NOT(ISNUMBER($E101)),"",IF($E101&lt;InicioCiclo,"Antes del ciclo",IF($E101&gt;=InicioCiclo+28,"Después del ciclo","Semana "&amp;(INT(($E101-InicioCiclo)/7)+1)))))</f>
        <v/>
      </c>
      <c r="G101" s="65">
        <f>IF($N101="","",IF(INDEX('Cronograma R. Financiero'!$G$5:$G$1000,$N101)="","",INDEX('Cronograma R. Financiero'!$G$5:$G$1000,$N101)))</f>
        <v/>
      </c>
      <c r="H101" s="65">
        <f>IF($N101="","",IF(INDEX('Cronograma R. Financiero'!$H$5:$H$1000,$N101)="","",INDEX('Cronograma R. Financiero'!$H$5:$H$1000,$N101)))</f>
        <v/>
      </c>
      <c r="I101" s="65">
        <f>IF($N101="","",IF(INDEX('Cronograma R. Financiero'!$I$5:$I$1000,$N101)="","",INDEX('Cronograma R. Financiero'!$I$5:$I$1000,$N101)))</f>
        <v/>
      </c>
      <c r="J101" s="65">
        <f>IF($N101="","",IF(INDEX('Cronograma R. Financiero'!$J$5:$J$1000,$N101)="","",INDEX('Cronograma R. Financiero'!$J$5:$J$1000,$N101)))</f>
        <v/>
      </c>
      <c r="K101" s="65">
        <f>IF($N101="","",INDEX('Cronograma R. Financiero'!$K$5:$K$1000,$N101))</f>
        <v/>
      </c>
      <c r="L101" s="60">
        <f>IF($N101="","",IF(N($K101)&gt;=1,"Completado",IF(AND(ISNUMBER($E101),$E101&lt;FechaRef),"Vencida",IF(N($K101)&gt;0,"En curso","Pendiente"))))</f>
        <v/>
      </c>
      <c r="M101" s="68">
        <f>IF($N101="","",INDEX('Cronograma R. Financiero'!$M$5:$M$1000,$N101)&amp;"")</f>
        <v/>
      </c>
      <c r="N101">
        <f>IFERROR(MATCH(ROW()-4,rOrden_RF,0),"")</f>
        <v/>
      </c>
    </row>
    <row r="102">
      <c r="A102" s="60">
        <f>IF($N102="","",INDEX('Cronograma R. Financiero'!$A$5:$A$1000,$N102))</f>
        <v/>
      </c>
      <c r="B102" s="68">
        <f>IF($N102="","",INDEX('Cronograma R. Financiero'!$B$5:$B$1000,$N102)&amp;"")</f>
        <v/>
      </c>
      <c r="C102" s="68">
        <f>IF($N102="","",INDEX('Cronograma R. Financiero'!$C$5:$C$1000,$N102)&amp;"")</f>
        <v/>
      </c>
      <c r="D102" s="74">
        <f>IF($N102="","",IF(INDEX('Cronograma R. Financiero'!$D$5:$D$1000,$N102)="","",INDEX('Cronograma R. Financiero'!$D$5:$D$1000,$N102)))</f>
        <v/>
      </c>
      <c r="E102" s="74">
        <f>IF($N102="","",IF(INDEX('Cronograma R. Financiero'!$E$5:$E$1000,$N102)="","",INDEX('Cronograma R. Financiero'!$E$5:$E$1000,$N102)))</f>
        <v/>
      </c>
      <c r="F102" s="60">
        <f>IF($N102="","",IF(NOT(ISNUMBER($E102)),"",IF($E102&lt;InicioCiclo,"Antes del ciclo",IF($E102&gt;=InicioCiclo+28,"Después del ciclo","Semana "&amp;(INT(($E102-InicioCiclo)/7)+1)))))</f>
        <v/>
      </c>
      <c r="G102" s="65">
        <f>IF($N102="","",IF(INDEX('Cronograma R. Financiero'!$G$5:$G$1000,$N102)="","",INDEX('Cronograma R. Financiero'!$G$5:$G$1000,$N102)))</f>
        <v/>
      </c>
      <c r="H102" s="65">
        <f>IF($N102="","",IF(INDEX('Cronograma R. Financiero'!$H$5:$H$1000,$N102)="","",INDEX('Cronograma R. Financiero'!$H$5:$H$1000,$N102)))</f>
        <v/>
      </c>
      <c r="I102" s="65">
        <f>IF($N102="","",IF(INDEX('Cronograma R. Financiero'!$I$5:$I$1000,$N102)="","",INDEX('Cronograma R. Financiero'!$I$5:$I$1000,$N102)))</f>
        <v/>
      </c>
      <c r="J102" s="65">
        <f>IF($N102="","",IF(INDEX('Cronograma R. Financiero'!$J$5:$J$1000,$N102)="","",INDEX('Cronograma R. Financiero'!$J$5:$J$1000,$N102)))</f>
        <v/>
      </c>
      <c r="K102" s="65">
        <f>IF($N102="","",INDEX('Cronograma R. Financiero'!$K$5:$K$1000,$N102))</f>
        <v/>
      </c>
      <c r="L102" s="60">
        <f>IF($N102="","",IF(N($K102)&gt;=1,"Completado",IF(AND(ISNUMBER($E102),$E102&lt;FechaRef),"Vencida",IF(N($K102)&gt;0,"En curso","Pendiente"))))</f>
        <v/>
      </c>
      <c r="M102" s="68">
        <f>IF($N102="","",INDEX('Cronograma R. Financiero'!$M$5:$M$1000,$N102)&amp;"")</f>
        <v/>
      </c>
      <c r="N102">
        <f>IFERROR(MATCH(ROW()-4,rOrden_RF,0),"")</f>
        <v/>
      </c>
    </row>
    <row r="103">
      <c r="A103" s="60">
        <f>IF($N103="","",INDEX('Cronograma R. Financiero'!$A$5:$A$1000,$N103))</f>
        <v/>
      </c>
      <c r="B103" s="68">
        <f>IF($N103="","",INDEX('Cronograma R. Financiero'!$B$5:$B$1000,$N103)&amp;"")</f>
        <v/>
      </c>
      <c r="C103" s="68">
        <f>IF($N103="","",INDEX('Cronograma R. Financiero'!$C$5:$C$1000,$N103)&amp;"")</f>
        <v/>
      </c>
      <c r="D103" s="74">
        <f>IF($N103="","",IF(INDEX('Cronograma R. Financiero'!$D$5:$D$1000,$N103)="","",INDEX('Cronograma R. Financiero'!$D$5:$D$1000,$N103)))</f>
        <v/>
      </c>
      <c r="E103" s="74">
        <f>IF($N103="","",IF(INDEX('Cronograma R. Financiero'!$E$5:$E$1000,$N103)="","",INDEX('Cronograma R. Financiero'!$E$5:$E$1000,$N103)))</f>
        <v/>
      </c>
      <c r="F103" s="60">
        <f>IF($N103="","",IF(NOT(ISNUMBER($E103)),"",IF($E103&lt;InicioCiclo,"Antes del ciclo",IF($E103&gt;=InicioCiclo+28,"Después del ciclo","Semana "&amp;(INT(($E103-InicioCiclo)/7)+1)))))</f>
        <v/>
      </c>
      <c r="G103" s="65">
        <f>IF($N103="","",IF(INDEX('Cronograma R. Financiero'!$G$5:$G$1000,$N103)="","",INDEX('Cronograma R. Financiero'!$G$5:$G$1000,$N103)))</f>
        <v/>
      </c>
      <c r="H103" s="65">
        <f>IF($N103="","",IF(INDEX('Cronograma R. Financiero'!$H$5:$H$1000,$N103)="","",INDEX('Cronograma R. Financiero'!$H$5:$H$1000,$N103)))</f>
        <v/>
      </c>
      <c r="I103" s="65">
        <f>IF($N103="","",IF(INDEX('Cronograma R. Financiero'!$I$5:$I$1000,$N103)="","",INDEX('Cronograma R. Financiero'!$I$5:$I$1000,$N103)))</f>
        <v/>
      </c>
      <c r="J103" s="65">
        <f>IF($N103="","",IF(INDEX('Cronograma R. Financiero'!$J$5:$J$1000,$N103)="","",INDEX('Cronograma R. Financiero'!$J$5:$J$1000,$N103)))</f>
        <v/>
      </c>
      <c r="K103" s="65">
        <f>IF($N103="","",INDEX('Cronograma R. Financiero'!$K$5:$K$1000,$N103))</f>
        <v/>
      </c>
      <c r="L103" s="60">
        <f>IF($N103="","",IF(N($K103)&gt;=1,"Completado",IF(AND(ISNUMBER($E103),$E103&lt;FechaRef),"Vencida",IF(N($K103)&gt;0,"En curso","Pendiente"))))</f>
        <v/>
      </c>
      <c r="M103" s="68">
        <f>IF($N103="","",INDEX('Cronograma R. Financiero'!$M$5:$M$1000,$N103)&amp;"")</f>
        <v/>
      </c>
      <c r="N103">
        <f>IFERROR(MATCH(ROW()-4,rOrden_RF,0),"")</f>
        <v/>
      </c>
    </row>
    <row r="104">
      <c r="A104" s="60">
        <f>IF($N104="","",INDEX('Cronograma R. Financiero'!$A$5:$A$1000,$N104))</f>
        <v/>
      </c>
      <c r="B104" s="68">
        <f>IF($N104="","",INDEX('Cronograma R. Financiero'!$B$5:$B$1000,$N104)&amp;"")</f>
        <v/>
      </c>
      <c r="C104" s="68">
        <f>IF($N104="","",INDEX('Cronograma R. Financiero'!$C$5:$C$1000,$N104)&amp;"")</f>
        <v/>
      </c>
      <c r="D104" s="74">
        <f>IF($N104="","",IF(INDEX('Cronograma R. Financiero'!$D$5:$D$1000,$N104)="","",INDEX('Cronograma R. Financiero'!$D$5:$D$1000,$N104)))</f>
        <v/>
      </c>
      <c r="E104" s="74">
        <f>IF($N104="","",IF(INDEX('Cronograma R. Financiero'!$E$5:$E$1000,$N104)="","",INDEX('Cronograma R. Financiero'!$E$5:$E$1000,$N104)))</f>
        <v/>
      </c>
      <c r="F104" s="60">
        <f>IF($N104="","",IF(NOT(ISNUMBER($E104)),"",IF($E104&lt;InicioCiclo,"Antes del ciclo",IF($E104&gt;=InicioCiclo+28,"Después del ciclo","Semana "&amp;(INT(($E104-InicioCiclo)/7)+1)))))</f>
        <v/>
      </c>
      <c r="G104" s="65">
        <f>IF($N104="","",IF(INDEX('Cronograma R. Financiero'!$G$5:$G$1000,$N104)="","",INDEX('Cronograma R. Financiero'!$G$5:$G$1000,$N104)))</f>
        <v/>
      </c>
      <c r="H104" s="65">
        <f>IF($N104="","",IF(INDEX('Cronograma R. Financiero'!$H$5:$H$1000,$N104)="","",INDEX('Cronograma R. Financiero'!$H$5:$H$1000,$N104)))</f>
        <v/>
      </c>
      <c r="I104" s="65">
        <f>IF($N104="","",IF(INDEX('Cronograma R. Financiero'!$I$5:$I$1000,$N104)="","",INDEX('Cronograma R. Financiero'!$I$5:$I$1000,$N104)))</f>
        <v/>
      </c>
      <c r="J104" s="65">
        <f>IF($N104="","",IF(INDEX('Cronograma R. Financiero'!$J$5:$J$1000,$N104)="","",INDEX('Cronograma R. Financiero'!$J$5:$J$1000,$N104)))</f>
        <v/>
      </c>
      <c r="K104" s="65">
        <f>IF($N104="","",INDEX('Cronograma R. Financiero'!$K$5:$K$1000,$N104))</f>
        <v/>
      </c>
      <c r="L104" s="60">
        <f>IF($N104="","",IF(N($K104)&gt;=1,"Completado",IF(AND(ISNUMBER($E104),$E104&lt;FechaRef),"Vencida",IF(N($K104)&gt;0,"En curso","Pendiente"))))</f>
        <v/>
      </c>
      <c r="M104" s="68">
        <f>IF($N104="","",INDEX('Cronograma R. Financiero'!$M$5:$M$1000,$N104)&amp;"")</f>
        <v/>
      </c>
      <c r="N104">
        <f>IFERROR(MATCH(ROW()-4,rOrden_RF,0),"")</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3">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fitToPage="1"/>
  </sheetPr>
  <dimension ref="A1:P3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 width="15" customWidth="1" min="15" max="15"/>
    <col hidden="1" width="8" customWidth="1" min="16" max="16"/>
  </cols>
  <sheetData>
    <row r="1" ht="28" customHeight="1">
      <c r="A1" s="77" t="inlineStr">
        <is>
          <t>Cronograma – Asistente Técnico de Riesgo</t>
        </is>
      </c>
      <c r="B1" s="77" t="n"/>
      <c r="C1" s="77" t="n"/>
      <c r="D1" s="77" t="n"/>
      <c r="E1" s="77" t="n"/>
      <c r="F1" s="77" t="n"/>
      <c r="G1" s="77" t="n"/>
      <c r="H1" s="77" t="n"/>
      <c r="I1" s="77" t="n"/>
      <c r="J1" s="77" t="n"/>
      <c r="K1" s="77" t="n"/>
      <c r="L1" s="77" t="n"/>
      <c r="M1" s="77" t="n"/>
      <c r="N1" s="77" t="n"/>
      <c r="O1" s="77" t="n"/>
    </row>
    <row r="2" ht="40" customHeight="1">
      <c r="A2" s="46" t="inlineStr">
        <is>
          <t>Llene solo las celdas GRIS SUAVE (desbloqueadas); las celdas AZUL CLARO son automáticas y están bloqueadas. Cada mes agregue sus actividades debajo de las anteriores (NO borre los meses pasados: quedan como historial). El mes se asigna solo con la fecha de inicio. En cada semana escriba el % TOTAL logrado hasta esa semana (ej. 20%, 45%, 75%, 100%). Los pesos de las actividades de un mismo mes deben sumar 100%. Si una actividad no se cumple, explique el motivo en Observaciones.</t>
        </is>
      </c>
      <c r="B2" s="46" t="n"/>
      <c r="C2" s="46" t="n"/>
      <c r="D2" s="46" t="n"/>
      <c r="E2" s="46" t="n"/>
      <c r="F2" s="46" t="n"/>
      <c r="G2" s="46" t="n"/>
      <c r="H2" s="46" t="n"/>
      <c r="I2" s="46" t="n"/>
      <c r="J2" s="46" t="n"/>
      <c r="K2" s="46" t="n"/>
      <c r="L2" s="46" t="n"/>
      <c r="M2" s="46" t="n"/>
      <c r="N2" s="46" t="n"/>
      <c r="O2" s="46" t="n"/>
    </row>
    <row r="3">
      <c r="A3" s="54" t="inlineStr">
        <is>
          <t>Llenar</t>
        </is>
      </c>
      <c r="B3" s="55" t="inlineStr">
        <is>
          <t>Automático (bloqueado)</t>
        </is>
      </c>
      <c r="C3" s="56" t="inlineStr">
        <is>
          <t>Pesos del mes:</t>
        </is>
      </c>
      <c r="D3" s="57">
        <f>SUMIFS(F5:F1000,O5:O1000,MesCiclo)</f>
        <v/>
      </c>
      <c r="E3" s="58">
        <f>IF(COUNTIFS(N5:N1000,"?*",O5:O1000,MesCiclo)=0,"",IF(ABS(D3-1)&lt;=0.0001,"✔ 100%","⚠ Debe sumar 100%"))</f>
        <v/>
      </c>
      <c r="F3" s="58" t="n"/>
    </row>
    <row r="4" ht="42" customHeight="1">
      <c r="A4" s="59" t="inlineStr">
        <is>
          <t>N°</t>
        </is>
      </c>
      <c r="B4" s="7" t="inlineStr">
        <is>
          <t>Macro Actividad</t>
        </is>
      </c>
      <c r="C4" s="7" t="inlineStr">
        <is>
          <t>Responsable</t>
        </is>
      </c>
      <c r="D4" s="7" t="inlineStr">
        <is>
          <t>Fecha de inicio</t>
        </is>
      </c>
      <c r="E4" s="7" t="inlineStr">
        <is>
          <t>Fecha límite</t>
        </is>
      </c>
      <c r="F4" s="7" t="inlineStr">
        <is>
          <t>Peso de actividad (%)</t>
        </is>
      </c>
      <c r="G4" s="7" t="inlineStr">
        <is>
          <t>Avance Semana 1 (%)</t>
        </is>
      </c>
      <c r="H4" s="7" t="inlineStr">
        <is>
          <t>Avance Semana 2 (%)</t>
        </is>
      </c>
      <c r="I4" s="7" t="inlineStr">
        <is>
          <t>Avance Semana 3 (%)</t>
        </is>
      </c>
      <c r="J4" s="7" t="inlineStr">
        <is>
          <t>Avance Semana 4 (%)</t>
        </is>
      </c>
      <c r="K4" s="59" t="inlineStr">
        <is>
          <t>% de Avance Total Actual</t>
        </is>
      </c>
      <c r="L4" s="59" t="inlineStr">
        <is>
          <t>Estado</t>
        </is>
      </c>
      <c r="M4" s="7" t="inlineStr">
        <is>
          <t>Observaciones</t>
        </is>
      </c>
      <c r="N4" s="59" t="inlineStr">
        <is>
          <t>Revisión automática (alertas)</t>
        </is>
      </c>
      <c r="O4" s="59" t="inlineStr">
        <is>
          <t>Mes</t>
        </is>
      </c>
      <c r="P4" s="59" t="inlineStr">
        <is>
          <t>Orden en el mes (aux)</t>
        </is>
      </c>
    </row>
    <row r="5">
      <c r="A5" s="60">
        <f>IF(NOT((COUNTA($B5:$J5)+COUNTA($M5))&gt;0),"",COUNTIFS($L$5:$L5,"?*",$O$5:$O5,$O5))</f>
        <v/>
      </c>
      <c r="B5" s="61" t="n"/>
      <c r="C5" s="61" t="n"/>
      <c r="D5" s="62" t="n"/>
      <c r="E5" s="62" t="n"/>
      <c r="F5" s="63" t="n"/>
      <c r="G5" s="64" t="n"/>
      <c r="H5" s="64" t="n"/>
      <c r="I5" s="64" t="n"/>
      <c r="J5" s="64" t="n"/>
      <c r="K5" s="65">
        <f>IF(NOT((COUNTA($B5:$J5)+COUNTA($M5))&gt;0),"",IFERROR(LOOKUP(2,1/(G5:J5&lt;&gt;""),G5:J5),0))</f>
        <v/>
      </c>
      <c r="L5" s="60">
        <f>IF(K5="","",IF(K5&gt;=1,"Completado",IF(K5&gt;0,"En curso","Pendiente")))</f>
        <v/>
      </c>
      <c r="M5" s="61" t="n"/>
      <c r="N5" s="66">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","")&amp;IF(ABS(SUMIFS($F$5:$F$1000,$O$5:$O$1000,$O5)-1)&gt;0.0001,"Pesos del mes suman "&amp;TEXT(SUMIFS($F$5:$F$1000,$O$5:$O$1000,$O5),"0%")&amp;"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c r="O5" s="67">
        <f>IF(NOT((COUNTA($B5:$J5)+COUNTA($M5))&gt;0),"",IF(ISNUMBER($D5),DATE(YEAR($D5),MONTH($D5),1),IF(ISNUMBER($E5),DATE(YEAR($E5),MONTH($E5),1),MesCiclo)))</f>
        <v/>
      </c>
      <c r="P5" s="68">
        <f>IF(OR($O5="",$O5&lt;&gt;MesCiclo),"",COUNTIF($O$5:$O5,MesCiclo))</f>
        <v/>
      </c>
    </row>
    <row r="6">
      <c r="A6" s="60">
        <f>IF(NOT((COUNTA($B6:$J6)+COUNTA($M6))&gt;0),"",COUNTIFS($L$5:$L6,"?*",$O$5:$O6,$O6))</f>
        <v/>
      </c>
      <c r="B6" s="61" t="n"/>
      <c r="C6" s="61" t="n"/>
      <c r="D6" s="62" t="n"/>
      <c r="E6" s="62" t="n"/>
      <c r="F6" s="63" t="n"/>
      <c r="G6" s="64" t="n"/>
      <c r="H6" s="64" t="n"/>
      <c r="I6" s="64" t="n"/>
      <c r="J6" s="64" t="n"/>
      <c r="K6" s="65">
        <f>IF(NOT((COUNTA($B6:$J6)+COUNTA($M6))&gt;0),"",IFERROR(LOOKUP(2,1/(G6:J6&lt;&gt;""),G6:J6),0))</f>
        <v/>
      </c>
      <c r="L6" s="60">
        <f>IF(K6="","",IF(K6&gt;=1,"Completado",IF(K6&gt;0,"En curso","Pendiente")))</f>
        <v/>
      </c>
      <c r="M6" s="61" t="n"/>
      <c r="N6" s="66">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","")&amp;IF(ABS(SUMIFS($F$5:$F$1000,$O$5:$O$1000,$O6)-1)&gt;0.0001,"Pesos del mes suman "&amp;TEXT(SUMIFS($F$5:$F$1000,$O$5:$O$1000,$O6),"0%")&amp;"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c r="O6" s="67">
        <f>IF(NOT((COUNTA($B6:$J6)+COUNTA($M6))&gt;0),"",IF(ISNUMBER($D6),DATE(YEAR($D6),MONTH($D6),1),IF(ISNUMBER($E6),DATE(YEAR($E6),MONTH($E6),1),MesCiclo)))</f>
        <v/>
      </c>
      <c r="P6" s="68">
        <f>IF(OR($O6="",$O6&lt;&gt;MesCiclo),"",COUNTIF($O$5:$O6,MesCiclo))</f>
        <v/>
      </c>
    </row>
    <row r="7">
      <c r="A7" s="60">
        <f>IF(NOT((COUNTA($B7:$J7)+COUNTA($M7))&gt;0),"",COUNTIFS($L$5:$L7,"?*",$O$5:$O7,$O7))</f>
        <v/>
      </c>
      <c r="B7" s="61" t="n"/>
      <c r="C7" s="61" t="n"/>
      <c r="D7" s="62" t="n"/>
      <c r="E7" s="62" t="n"/>
      <c r="F7" s="63" t="n"/>
      <c r="G7" s="64" t="n"/>
      <c r="H7" s="64" t="n"/>
      <c r="I7" s="64" t="n"/>
      <c r="J7" s="64" t="n"/>
      <c r="K7" s="65">
        <f>IF(NOT((COUNTA($B7:$J7)+COUNTA($M7))&gt;0),"",IFERROR(LOOKUP(2,1/(G7:J7&lt;&gt;""),G7:J7),0))</f>
        <v/>
      </c>
      <c r="L7" s="60">
        <f>IF(K7="","",IF(K7&gt;=1,"Completado",IF(K7&gt;0,"En curso","Pendiente")))</f>
        <v/>
      </c>
      <c r="M7" s="61" t="n"/>
      <c r="N7" s="66">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","")&amp;IF(ABS(SUMIFS($F$5:$F$1000,$O$5:$O$1000,$O7)-1)&gt;0.0001,"Pesos del mes suman "&amp;TEXT(SUMIFS($F$5:$F$1000,$O$5:$O$1000,$O7),"0%")&amp;"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c r="O7" s="67">
        <f>IF(NOT((COUNTA($B7:$J7)+COUNTA($M7))&gt;0),"",IF(ISNUMBER($D7),DATE(YEAR($D7),MONTH($D7),1),IF(ISNUMBER($E7),DATE(YEAR($E7),MONTH($E7),1),MesCiclo)))</f>
        <v/>
      </c>
      <c r="P7" s="68">
        <f>IF(OR($O7="",$O7&lt;&gt;MesCiclo),"",COUNTIF($O$5:$O7,MesCiclo))</f>
        <v/>
      </c>
    </row>
    <row r="8">
      <c r="A8" s="60">
        <f>IF(NOT((COUNTA($B8:$J8)+COUNTA($M8))&gt;0),"",COUNTIFS($L$5:$L8,"?*",$O$5:$O8,$O8))</f>
        <v/>
      </c>
      <c r="B8" s="61" t="n"/>
      <c r="C8" s="61" t="n"/>
      <c r="D8" s="62" t="n"/>
      <c r="E8" s="62" t="n"/>
      <c r="F8" s="63" t="n"/>
      <c r="G8" s="64" t="n"/>
      <c r="H8" s="64" t="n"/>
      <c r="I8" s="64" t="n"/>
      <c r="J8" s="64" t="n"/>
      <c r="K8" s="65">
        <f>IF(NOT((COUNTA($B8:$J8)+COUNTA($M8))&gt;0),"",IFERROR(LOOKUP(2,1/(G8:J8&lt;&gt;""),G8:J8),0))</f>
        <v/>
      </c>
      <c r="L8" s="60">
        <f>IF(K8="","",IF(K8&gt;=1,"Completado",IF(K8&gt;0,"En curso","Pendiente")))</f>
        <v/>
      </c>
      <c r="M8" s="61" t="n"/>
      <c r="N8" s="66">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","")&amp;IF(ABS(SUMIFS($F$5:$F$1000,$O$5:$O$1000,$O8)-1)&gt;0.0001,"Pesos del mes suman "&amp;TEXT(SUMIFS($F$5:$F$1000,$O$5:$O$1000,$O8),"0%")&amp;"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c r="O8" s="67">
        <f>IF(NOT((COUNTA($B8:$J8)+COUNTA($M8))&gt;0),"",IF(ISNUMBER($D8),DATE(YEAR($D8),MONTH($D8),1),IF(ISNUMBER($E8),DATE(YEAR($E8),MONTH($E8),1),MesCiclo)))</f>
        <v/>
      </c>
      <c r="P8" s="68">
        <f>IF(OR($O8="",$O8&lt;&gt;MesCiclo),"",COUNTIF($O$5:$O8,MesCiclo))</f>
        <v/>
      </c>
    </row>
    <row r="9">
      <c r="A9" s="60">
        <f>IF(NOT((COUNTA($B9:$J9)+COUNTA($M9))&gt;0),"",COUNTIFS($L$5:$L9,"?*",$O$5:$O9,$O9))</f>
        <v/>
      </c>
      <c r="B9" s="61" t="n"/>
      <c r="C9" s="61" t="n"/>
      <c r="D9" s="62" t="n"/>
      <c r="E9" s="62" t="n"/>
      <c r="F9" s="63" t="n"/>
      <c r="G9" s="64" t="n"/>
      <c r="H9" s="64" t="n"/>
      <c r="I9" s="64" t="n"/>
      <c r="J9" s="64" t="n"/>
      <c r="K9" s="65">
        <f>IF(NOT((COUNTA($B9:$J9)+COUNTA($M9))&gt;0),"",IFERROR(LOOKUP(2,1/(G9:J9&lt;&gt;""),G9:J9),0))</f>
        <v/>
      </c>
      <c r="L9" s="60">
        <f>IF(K9="","",IF(K9&gt;=1,"Completado",IF(K9&gt;0,"En curso","Pendiente")))</f>
        <v/>
      </c>
      <c r="M9" s="61" t="n"/>
      <c r="N9" s="66">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","")&amp;IF(ABS(SUMIFS($F$5:$F$1000,$O$5:$O$1000,$O9)-1)&gt;0.0001,"Pesos del mes suman "&amp;TEXT(SUMIFS($F$5:$F$1000,$O$5:$O$1000,$O9),"0%")&amp;"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c r="O9" s="67">
        <f>IF(NOT((COUNTA($B9:$J9)+COUNTA($M9))&gt;0),"",IF(ISNUMBER($D9),DATE(YEAR($D9),MONTH($D9),1),IF(ISNUMBER($E9),DATE(YEAR($E9),MONTH($E9),1),MesCiclo)))</f>
        <v/>
      </c>
      <c r="P9" s="68">
        <f>IF(OR($O9="",$O9&lt;&gt;MesCiclo),"",COUNTIF($O$5:$O9,MesCiclo))</f>
        <v/>
      </c>
    </row>
    <row r="10">
      <c r="A10" s="60">
        <f>IF(NOT((COUNTA($B10:$J10)+COUNTA($M10))&gt;0),"",COUNTIFS($L$5:$L10,"?*",$O$5:$O10,$O10))</f>
        <v/>
      </c>
      <c r="B10" s="61" t="n"/>
      <c r="C10" s="61" t="n"/>
      <c r="D10" s="62" t="n"/>
      <c r="E10" s="62" t="n"/>
      <c r="F10" s="63" t="n"/>
      <c r="G10" s="64" t="n"/>
      <c r="H10" s="64" t="n"/>
      <c r="I10" s="64" t="n"/>
      <c r="J10" s="64" t="n"/>
      <c r="K10" s="65">
        <f>IF(NOT((COUNTA($B10:$J10)+COUNTA($M10))&gt;0),"",IFERROR(LOOKUP(2,1/(G10:J10&lt;&gt;""),G10:J10),0))</f>
        <v/>
      </c>
      <c r="L10" s="60">
        <f>IF(K10="","",IF(K10&gt;=1,"Completado",IF(K10&gt;0,"En curso","Pendiente")))</f>
        <v/>
      </c>
      <c r="M10" s="61" t="n"/>
      <c r="N10" s="66">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","")&amp;IF(ABS(SUMIFS($F$5:$F$1000,$O$5:$O$1000,$O10)-1)&gt;0.0001,"Pesos del mes suman "&amp;TEXT(SUMIFS($F$5:$F$1000,$O$5:$O$1000,$O10),"0%")&amp;"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c r="O10" s="67">
        <f>IF(NOT((COUNTA($B10:$J10)+COUNTA($M10))&gt;0),"",IF(ISNUMBER($D10),DATE(YEAR($D10),MONTH($D10),1),IF(ISNUMBER($E10),DATE(YEAR($E10),MONTH($E10),1),MesCiclo)))</f>
        <v/>
      </c>
      <c r="P10" s="68">
        <f>IF(OR($O10="",$O10&lt;&gt;MesCiclo),"",COUNTIF($O$5:$O10,MesCiclo))</f>
        <v/>
      </c>
    </row>
    <row r="11">
      <c r="A11" s="60">
        <f>IF(NOT((COUNTA($B11:$J11)+COUNTA($M11))&gt;0),"",COUNTIFS($L$5:$L11,"?*",$O$5:$O11,$O11))</f>
        <v/>
      </c>
      <c r="B11" s="61" t="n"/>
      <c r="C11" s="61" t="n"/>
      <c r="D11" s="62" t="n"/>
      <c r="E11" s="62" t="n"/>
      <c r="F11" s="63" t="n"/>
      <c r="G11" s="64" t="n"/>
      <c r="H11" s="64" t="n"/>
      <c r="I11" s="64" t="n"/>
      <c r="J11" s="64" t="n"/>
      <c r="K11" s="65">
        <f>IF(NOT((COUNTA($B11:$J11)+COUNTA($M11))&gt;0),"",IFERROR(LOOKUP(2,1/(G11:J11&lt;&gt;""),G11:J11),0))</f>
        <v/>
      </c>
      <c r="L11" s="60">
        <f>IF(K11="","",IF(K11&gt;=1,"Completado",IF(K11&gt;0,"En curso","Pendiente")))</f>
        <v/>
      </c>
      <c r="M11" s="61" t="n"/>
      <c r="N11" s="66">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","")&amp;IF(ABS(SUMIFS($F$5:$F$1000,$O$5:$O$1000,$O11)-1)&gt;0.0001,"Pesos del mes suman "&amp;TEXT(SUMIFS($F$5:$F$1000,$O$5:$O$1000,$O11),"0%")&amp;"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c r="O11" s="67">
        <f>IF(NOT((COUNTA($B11:$J11)+COUNTA($M11))&gt;0),"",IF(ISNUMBER($D11),DATE(YEAR($D11),MONTH($D11),1),IF(ISNUMBER($E11),DATE(YEAR($E11),MONTH($E11),1),MesCiclo)))</f>
        <v/>
      </c>
      <c r="P11" s="68">
        <f>IF(OR($O11="",$O11&lt;&gt;MesCiclo),"",COUNTIF($O$5:$O11,MesCiclo))</f>
        <v/>
      </c>
    </row>
    <row r="12">
      <c r="A12" s="60">
        <f>IF(NOT((COUNTA($B12:$J12)+COUNTA($M12))&gt;0),"",COUNTIFS($L$5:$L12,"?*",$O$5:$O12,$O12))</f>
        <v/>
      </c>
      <c r="B12" s="61" t="n"/>
      <c r="C12" s="61" t="n"/>
      <c r="D12" s="62" t="n"/>
      <c r="E12" s="62" t="n"/>
      <c r="F12" s="63" t="n"/>
      <c r="G12" s="64" t="n"/>
      <c r="H12" s="64" t="n"/>
      <c r="I12" s="64" t="n"/>
      <c r="J12" s="64" t="n"/>
      <c r="K12" s="65">
        <f>IF(NOT((COUNTA($B12:$J12)+COUNTA($M12))&gt;0),"",IFERROR(LOOKUP(2,1/(G12:J12&lt;&gt;""),G12:J12),0))</f>
        <v/>
      </c>
      <c r="L12" s="60">
        <f>IF(K12="","",IF(K12&gt;=1,"Completado",IF(K12&gt;0,"En curso","Pendiente")))</f>
        <v/>
      </c>
      <c r="M12" s="61" t="n"/>
      <c r="N12" s="66">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","")&amp;IF(ABS(SUMIFS($F$5:$F$1000,$O$5:$O$1000,$O12)-1)&gt;0.0001,"Pesos del mes suman "&amp;TEXT(SUMIFS($F$5:$F$1000,$O$5:$O$1000,$O12),"0%")&amp;"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c r="O12" s="67">
        <f>IF(NOT((COUNTA($B12:$J12)+COUNTA($M12))&gt;0),"",IF(ISNUMBER($D12),DATE(YEAR($D12),MONTH($D12),1),IF(ISNUMBER($E12),DATE(YEAR($E12),MONTH($E12),1),MesCiclo)))</f>
        <v/>
      </c>
      <c r="P12" s="68">
        <f>IF(OR($O12="",$O12&lt;&gt;MesCiclo),"",COUNTIF($O$5:$O12,MesCiclo))</f>
        <v/>
      </c>
    </row>
    <row r="13">
      <c r="A13" s="60">
        <f>IF(NOT((COUNTA($B13:$J13)+COUNTA($M13))&gt;0),"",COUNTIFS($L$5:$L13,"?*",$O$5:$O13,$O13))</f>
        <v/>
      </c>
      <c r="B13" s="61" t="n"/>
      <c r="C13" s="61" t="n"/>
      <c r="D13" s="62" t="n"/>
      <c r="E13" s="62" t="n"/>
      <c r="F13" s="63" t="n"/>
      <c r="G13" s="64" t="n"/>
      <c r="H13" s="64" t="n"/>
      <c r="I13" s="64" t="n"/>
      <c r="J13" s="64" t="n"/>
      <c r="K13" s="65">
        <f>IF(NOT((COUNTA($B13:$J13)+COUNTA($M13))&gt;0),"",IFERROR(LOOKUP(2,1/(G13:J13&lt;&gt;""),G13:J13),0))</f>
        <v/>
      </c>
      <c r="L13" s="60">
        <f>IF(K13="","",IF(K13&gt;=1,"Completado",IF(K13&gt;0,"En curso","Pendiente")))</f>
        <v/>
      </c>
      <c r="M13" s="61" t="n"/>
      <c r="N13" s="66">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","")&amp;IF(ABS(SUMIFS($F$5:$F$1000,$O$5:$O$1000,$O13)-1)&gt;0.0001,"Pesos del mes suman "&amp;TEXT(SUMIFS($F$5:$F$1000,$O$5:$O$1000,$O13),"0%")&amp;"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c r="O13" s="67">
        <f>IF(NOT((COUNTA($B13:$J13)+COUNTA($M13))&gt;0),"",IF(ISNUMBER($D13),DATE(YEAR($D13),MONTH($D13),1),IF(ISNUMBER($E13),DATE(YEAR($E13),MONTH($E13),1),MesCiclo)))</f>
        <v/>
      </c>
      <c r="P13" s="68">
        <f>IF(OR($O13="",$O13&lt;&gt;MesCiclo),"",COUNTIF($O$5:$O13,MesCiclo))</f>
        <v/>
      </c>
    </row>
    <row r="14">
      <c r="A14" s="60">
        <f>IF(NOT((COUNTA($B14:$J14)+COUNTA($M14))&gt;0),"",COUNTIFS($L$5:$L14,"?*",$O$5:$O14,$O14))</f>
        <v/>
      </c>
      <c r="B14" s="61" t="n"/>
      <c r="C14" s="61" t="n"/>
      <c r="D14" s="62" t="n"/>
      <c r="E14" s="62" t="n"/>
      <c r="F14" s="63" t="n"/>
      <c r="G14" s="64" t="n"/>
      <c r="H14" s="64" t="n"/>
      <c r="I14" s="64" t="n"/>
      <c r="J14" s="64" t="n"/>
      <c r="K14" s="65">
        <f>IF(NOT((COUNTA($B14:$J14)+COUNTA($M14))&gt;0),"",IFERROR(LOOKUP(2,1/(G14:J14&lt;&gt;""),G14:J14),0))</f>
        <v/>
      </c>
      <c r="L14" s="60">
        <f>IF(K14="","",IF(K14&gt;=1,"Completado",IF(K14&gt;0,"En curso","Pendiente")))</f>
        <v/>
      </c>
      <c r="M14" s="61" t="n"/>
      <c r="N14" s="66">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","")&amp;IF(ABS(SUMIFS($F$5:$F$1000,$O$5:$O$1000,$O14)-1)&gt;0.0001,"Pesos del mes suman "&amp;TEXT(SUMIFS($F$5:$F$1000,$O$5:$O$1000,$O14),"0%")&amp;"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c r="O14" s="67">
        <f>IF(NOT((COUNTA($B14:$J14)+COUNTA($M14))&gt;0),"",IF(ISNUMBER($D14),DATE(YEAR($D14),MONTH($D14),1),IF(ISNUMBER($E14),DATE(YEAR($E14),MONTH($E14),1),MesCiclo)))</f>
        <v/>
      </c>
      <c r="P14" s="68">
        <f>IF(OR($O14="",$O14&lt;&gt;MesCiclo),"",COUNTIF($O$5:$O14,MesCiclo))</f>
        <v/>
      </c>
    </row>
    <row r="15">
      <c r="A15" s="60">
        <f>IF(NOT((COUNTA($B15:$J15)+COUNTA($M15))&gt;0),"",COUNTIFS($L$5:$L15,"?*",$O$5:$O15,$O15))</f>
        <v/>
      </c>
      <c r="B15" s="61" t="n"/>
      <c r="C15" s="61" t="n"/>
      <c r="D15" s="62" t="n"/>
      <c r="E15" s="62" t="n"/>
      <c r="F15" s="63" t="n"/>
      <c r="G15" s="64" t="n"/>
      <c r="H15" s="64" t="n"/>
      <c r="I15" s="64" t="n"/>
      <c r="J15" s="64" t="n"/>
      <c r="K15" s="65">
        <f>IF(NOT((COUNTA($B15:$J15)+COUNTA($M15))&gt;0),"",IFERROR(LOOKUP(2,1/(G15:J15&lt;&gt;""),G15:J15),0))</f>
        <v/>
      </c>
      <c r="L15" s="60">
        <f>IF(K15="","",IF(K15&gt;=1,"Completado",IF(K15&gt;0,"En curso","Pendiente")))</f>
        <v/>
      </c>
      <c r="M15" s="61" t="n"/>
      <c r="N15" s="66">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","")&amp;IF(ABS(SUMIFS($F$5:$F$1000,$O$5:$O$1000,$O15)-1)&gt;0.0001,"Pesos del mes suman "&amp;TEXT(SUMIFS($F$5:$F$1000,$O$5:$O$1000,$O15),"0%")&amp;"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c r="O15" s="67">
        <f>IF(NOT((COUNTA($B15:$J15)+COUNTA($M15))&gt;0),"",IF(ISNUMBER($D15),DATE(YEAR($D15),MONTH($D15),1),IF(ISNUMBER($E15),DATE(YEAR($E15),MONTH($E15),1),MesCiclo)))</f>
        <v/>
      </c>
      <c r="P15" s="68">
        <f>IF(OR($O15="",$O15&lt;&gt;MesCiclo),"",COUNTIF($O$5:$O15,MesCiclo))</f>
        <v/>
      </c>
    </row>
    <row r="16">
      <c r="A16" s="60">
        <f>IF(NOT((COUNTA($B16:$J16)+COUNTA($M16))&gt;0),"",COUNTIFS($L$5:$L16,"?*",$O$5:$O16,$O16))</f>
        <v/>
      </c>
      <c r="B16" s="61" t="n"/>
      <c r="C16" s="61" t="n"/>
      <c r="D16" s="62" t="n"/>
      <c r="E16" s="62" t="n"/>
      <c r="F16" s="63" t="n"/>
      <c r="G16" s="64" t="n"/>
      <c r="H16" s="64" t="n"/>
      <c r="I16" s="64" t="n"/>
      <c r="J16" s="64" t="n"/>
      <c r="K16" s="65">
        <f>IF(NOT((COUNTA($B16:$J16)+COUNTA($M16))&gt;0),"",IFERROR(LOOKUP(2,1/(G16:J16&lt;&gt;""),G16:J16),0))</f>
        <v/>
      </c>
      <c r="L16" s="60">
        <f>IF(K16="","",IF(K16&gt;=1,"Completado",IF(K16&gt;0,"En curso","Pendiente")))</f>
        <v/>
      </c>
      <c r="M16" s="61" t="n"/>
      <c r="N16" s="66">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","")&amp;IF(ABS(SUMIFS($F$5:$F$1000,$O$5:$O$1000,$O16)-1)&gt;0.0001,"Pesos del mes suman "&amp;TEXT(SUMIFS($F$5:$F$1000,$O$5:$O$1000,$O16),"0%")&amp;"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c r="O16" s="67">
        <f>IF(NOT((COUNTA($B16:$J16)+COUNTA($M16))&gt;0),"",IF(ISNUMBER($D16),DATE(YEAR($D16),MONTH($D16),1),IF(ISNUMBER($E16),DATE(YEAR($E16),MONTH($E16),1),MesCiclo)))</f>
        <v/>
      </c>
      <c r="P16" s="68">
        <f>IF(OR($O16="",$O16&lt;&gt;MesCiclo),"",COUNTIF($O$5:$O16,MesCiclo))</f>
        <v/>
      </c>
    </row>
    <row r="17">
      <c r="A17" s="60">
        <f>IF(NOT((COUNTA($B17:$J17)+COUNTA($M17))&gt;0),"",COUNTIFS($L$5:$L17,"?*",$O$5:$O17,$O17))</f>
        <v/>
      </c>
      <c r="B17" s="61" t="n"/>
      <c r="C17" s="61" t="n"/>
      <c r="D17" s="62" t="n"/>
      <c r="E17" s="62" t="n"/>
      <c r="F17" s="63" t="n"/>
      <c r="G17" s="64" t="n"/>
      <c r="H17" s="64" t="n"/>
      <c r="I17" s="64" t="n"/>
      <c r="J17" s="64" t="n"/>
      <c r="K17" s="65">
        <f>IF(NOT((COUNTA($B17:$J17)+COUNTA($M17))&gt;0),"",IFERROR(LOOKUP(2,1/(G17:J17&lt;&gt;""),G17:J17),0))</f>
        <v/>
      </c>
      <c r="L17" s="60">
        <f>IF(K17="","",IF(K17&gt;=1,"Completado",IF(K17&gt;0,"En curso","Pendiente")))</f>
        <v/>
      </c>
      <c r="M17" s="61" t="n"/>
      <c r="N17" s="66">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","")&amp;IF(ABS(SUMIFS($F$5:$F$1000,$O$5:$O$1000,$O17)-1)&gt;0.0001,"Pesos del mes suman "&amp;TEXT(SUMIFS($F$5:$F$1000,$O$5:$O$1000,$O17),"0%")&amp;"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c r="O17" s="67">
        <f>IF(NOT((COUNTA($B17:$J17)+COUNTA($M17))&gt;0),"",IF(ISNUMBER($D17),DATE(YEAR($D17),MONTH($D17),1),IF(ISNUMBER($E17),DATE(YEAR($E17),MONTH($E17),1),MesCiclo)))</f>
        <v/>
      </c>
      <c r="P17" s="68">
        <f>IF(OR($O17="",$O17&lt;&gt;MesCiclo),"",COUNTIF($O$5:$O17,MesCiclo))</f>
        <v/>
      </c>
    </row>
    <row r="18">
      <c r="A18" s="60">
        <f>IF(NOT((COUNTA($B18:$J18)+COUNTA($M18))&gt;0),"",COUNTIFS($L$5:$L18,"?*",$O$5:$O18,$O18))</f>
        <v/>
      </c>
      <c r="B18" s="61" t="n"/>
      <c r="C18" s="61" t="n"/>
      <c r="D18" s="62" t="n"/>
      <c r="E18" s="62" t="n"/>
      <c r="F18" s="63" t="n"/>
      <c r="G18" s="64" t="n"/>
      <c r="H18" s="64" t="n"/>
      <c r="I18" s="64" t="n"/>
      <c r="J18" s="64" t="n"/>
      <c r="K18" s="65">
        <f>IF(NOT((COUNTA($B18:$J18)+COUNTA($M18))&gt;0),"",IFERROR(LOOKUP(2,1/(G18:J18&lt;&gt;""),G18:J18),0))</f>
        <v/>
      </c>
      <c r="L18" s="60">
        <f>IF(K18="","",IF(K18&gt;=1,"Completado",IF(K18&gt;0,"En curso","Pendiente")))</f>
        <v/>
      </c>
      <c r="M18" s="61" t="n"/>
      <c r="N18" s="66">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","")&amp;IF(ABS(SUMIFS($F$5:$F$1000,$O$5:$O$1000,$O18)-1)&gt;0.0001,"Pesos del mes suman "&amp;TEXT(SUMIFS($F$5:$F$1000,$O$5:$O$1000,$O18),"0%")&amp;"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c r="O18" s="67">
        <f>IF(NOT((COUNTA($B18:$J18)+COUNTA($M18))&gt;0),"",IF(ISNUMBER($D18),DATE(YEAR($D18),MONTH($D18),1),IF(ISNUMBER($E18),DATE(YEAR($E18),MONTH($E18),1),MesCiclo)))</f>
        <v/>
      </c>
      <c r="P18" s="68">
        <f>IF(OR($O18="",$O18&lt;&gt;MesCiclo),"",COUNTIF($O$5:$O18,MesCiclo))</f>
        <v/>
      </c>
    </row>
    <row r="19">
      <c r="A19" s="60">
        <f>IF(NOT((COUNTA($B19:$J19)+COUNTA($M19))&gt;0),"",COUNTIFS($L$5:$L19,"?*",$O$5:$O19,$O19))</f>
        <v/>
      </c>
      <c r="B19" s="61" t="n"/>
      <c r="C19" s="61" t="n"/>
      <c r="D19" s="62" t="n"/>
      <c r="E19" s="62" t="n"/>
      <c r="F19" s="63" t="n"/>
      <c r="G19" s="64" t="n"/>
      <c r="H19" s="64" t="n"/>
      <c r="I19" s="64" t="n"/>
      <c r="J19" s="64" t="n"/>
      <c r="K19" s="65">
        <f>IF(NOT((COUNTA($B19:$J19)+COUNTA($M19))&gt;0),"",IFERROR(LOOKUP(2,1/(G19:J19&lt;&gt;""),G19:J19),0))</f>
        <v/>
      </c>
      <c r="L19" s="60">
        <f>IF(K19="","",IF(K19&gt;=1,"Completado",IF(K19&gt;0,"En curso","Pendiente")))</f>
        <v/>
      </c>
      <c r="M19" s="61" t="n"/>
      <c r="N19" s="66">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","")&amp;IF(ABS(SUMIFS($F$5:$F$1000,$O$5:$O$1000,$O19)-1)&gt;0.0001,"Pesos del mes suman "&amp;TEXT(SUMIFS($F$5:$F$1000,$O$5:$O$1000,$O19),"0%")&amp;"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c r="O19" s="67">
        <f>IF(NOT((COUNTA($B19:$J19)+COUNTA($M19))&gt;0),"",IF(ISNUMBER($D19),DATE(YEAR($D19),MONTH($D19),1),IF(ISNUMBER($E19),DATE(YEAR($E19),MONTH($E19),1),MesCiclo)))</f>
        <v/>
      </c>
      <c r="P19" s="68">
        <f>IF(OR($O19="",$O19&lt;&gt;MesCiclo),"",COUNTIF($O$5:$O19,MesCiclo))</f>
        <v/>
      </c>
    </row>
    <row r="20">
      <c r="A20" s="60">
        <f>IF(NOT((COUNTA($B20:$J20)+COUNTA($M20))&gt;0),"",COUNTIFS($L$5:$L20,"?*",$O$5:$O20,$O20))</f>
        <v/>
      </c>
      <c r="B20" s="61" t="n"/>
      <c r="C20" s="61" t="n"/>
      <c r="D20" s="62" t="n"/>
      <c r="E20" s="62" t="n"/>
      <c r="F20" s="63" t="n"/>
      <c r="G20" s="64" t="n"/>
      <c r="H20" s="64" t="n"/>
      <c r="I20" s="64" t="n"/>
      <c r="J20" s="64" t="n"/>
      <c r="K20" s="65">
        <f>IF(NOT((COUNTA($B20:$J20)+COUNTA($M20))&gt;0),"",IFERROR(LOOKUP(2,1/(G20:J20&lt;&gt;""),G20:J20),0))</f>
        <v/>
      </c>
      <c r="L20" s="60">
        <f>IF(K20="","",IF(K20&gt;=1,"Completado",IF(K20&gt;0,"En curso","Pendiente")))</f>
        <v/>
      </c>
      <c r="M20" s="61" t="n"/>
      <c r="N20" s="66">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","")&amp;IF(ABS(SUMIFS($F$5:$F$1000,$O$5:$O$1000,$O20)-1)&gt;0.0001,"Pesos del mes suman "&amp;TEXT(SUMIFS($F$5:$F$1000,$O$5:$O$1000,$O20),"0%")&amp;"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c r="O20" s="67">
        <f>IF(NOT((COUNTA($B20:$J20)+COUNTA($M20))&gt;0),"",IF(ISNUMBER($D20),DATE(YEAR($D20),MONTH($D20),1),IF(ISNUMBER($E20),DATE(YEAR($E20),MONTH($E20),1),MesCiclo)))</f>
        <v/>
      </c>
      <c r="P20" s="68">
        <f>IF(OR($O20="",$O20&lt;&gt;MesCiclo),"",COUNTIF($O$5:$O20,MesCiclo))</f>
        <v/>
      </c>
    </row>
    <row r="21">
      <c r="A21" s="60">
        <f>IF(NOT((COUNTA($B21:$J21)+COUNTA($M21))&gt;0),"",COUNTIFS($L$5:$L21,"?*",$O$5:$O21,$O21))</f>
        <v/>
      </c>
      <c r="B21" s="61" t="n"/>
      <c r="C21" s="61" t="n"/>
      <c r="D21" s="62" t="n"/>
      <c r="E21" s="62" t="n"/>
      <c r="F21" s="63" t="n"/>
      <c r="G21" s="64" t="n"/>
      <c r="H21" s="64" t="n"/>
      <c r="I21" s="64" t="n"/>
      <c r="J21" s="64" t="n"/>
      <c r="K21" s="65">
        <f>IF(NOT((COUNTA($B21:$J21)+COUNTA($M21))&gt;0),"",IFERROR(LOOKUP(2,1/(G21:J21&lt;&gt;""),G21:J21),0))</f>
        <v/>
      </c>
      <c r="L21" s="60">
        <f>IF(K21="","",IF(K21&gt;=1,"Completado",IF(K21&gt;0,"En curso","Pendiente")))</f>
        <v/>
      </c>
      <c r="M21" s="61" t="n"/>
      <c r="N21" s="66">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","")&amp;IF(ABS(SUMIFS($F$5:$F$1000,$O$5:$O$1000,$O21)-1)&gt;0.0001,"Pesos del mes suman "&amp;TEXT(SUMIFS($F$5:$F$1000,$O$5:$O$1000,$O21),"0%")&amp;"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c r="O21" s="67">
        <f>IF(NOT((COUNTA($B21:$J21)+COUNTA($M21))&gt;0),"",IF(ISNUMBER($D21),DATE(YEAR($D21),MONTH($D21),1),IF(ISNUMBER($E21),DATE(YEAR($E21),MONTH($E21),1),MesCiclo)))</f>
        <v/>
      </c>
      <c r="P21" s="68">
        <f>IF(OR($O21="",$O21&lt;&gt;MesCiclo),"",COUNTIF($O$5:$O21,MesCiclo))</f>
        <v/>
      </c>
    </row>
    <row r="22">
      <c r="A22" s="60">
        <f>IF(NOT((COUNTA($B22:$J22)+COUNTA($M22))&gt;0),"",COUNTIFS($L$5:$L22,"?*",$O$5:$O22,$O22))</f>
        <v/>
      </c>
      <c r="B22" s="61" t="n"/>
      <c r="C22" s="61" t="n"/>
      <c r="D22" s="62" t="n"/>
      <c r="E22" s="62" t="n"/>
      <c r="F22" s="63" t="n"/>
      <c r="G22" s="64" t="n"/>
      <c r="H22" s="64" t="n"/>
      <c r="I22" s="64" t="n"/>
      <c r="J22" s="64" t="n"/>
      <c r="K22" s="65">
        <f>IF(NOT((COUNTA($B22:$J22)+COUNTA($M22))&gt;0),"",IFERROR(LOOKUP(2,1/(G22:J22&lt;&gt;""),G22:J22),0))</f>
        <v/>
      </c>
      <c r="L22" s="60">
        <f>IF(K22="","",IF(K22&gt;=1,"Completado",IF(K22&gt;0,"En curso","Pendiente")))</f>
        <v/>
      </c>
      <c r="M22" s="61" t="n"/>
      <c r="N22" s="66">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","")&amp;IF(ABS(SUMIFS($F$5:$F$1000,$O$5:$O$1000,$O22)-1)&gt;0.0001,"Pesos del mes suman "&amp;TEXT(SUMIFS($F$5:$F$1000,$O$5:$O$1000,$O22),"0%")&amp;"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c r="O22" s="67">
        <f>IF(NOT((COUNTA($B22:$J22)+COUNTA($M22))&gt;0),"",IF(ISNUMBER($D22),DATE(YEAR($D22),MONTH($D22),1),IF(ISNUMBER($E22),DATE(YEAR($E22),MONTH($E22),1),MesCiclo)))</f>
        <v/>
      </c>
      <c r="P22" s="68">
        <f>IF(OR($O22="",$O22&lt;&gt;MesCiclo),"",COUNTIF($O$5:$O22,MesCiclo))</f>
        <v/>
      </c>
    </row>
    <row r="23">
      <c r="A23" s="60">
        <f>IF(NOT((COUNTA($B23:$J23)+COUNTA($M23))&gt;0),"",COUNTIFS($L$5:$L23,"?*",$O$5:$O23,$O23))</f>
        <v/>
      </c>
      <c r="B23" s="61" t="n"/>
      <c r="C23" s="61" t="n"/>
      <c r="D23" s="62" t="n"/>
      <c r="E23" s="62" t="n"/>
      <c r="F23" s="63" t="n"/>
      <c r="G23" s="64" t="n"/>
      <c r="H23" s="64" t="n"/>
      <c r="I23" s="64" t="n"/>
      <c r="J23" s="64" t="n"/>
      <c r="K23" s="65">
        <f>IF(NOT((COUNTA($B23:$J23)+COUNTA($M23))&gt;0),"",IFERROR(LOOKUP(2,1/(G23:J23&lt;&gt;""),G23:J23),0))</f>
        <v/>
      </c>
      <c r="L23" s="60">
        <f>IF(K23="","",IF(K23&gt;=1,"Completado",IF(K23&gt;0,"En curso","Pendiente")))</f>
        <v/>
      </c>
      <c r="M23" s="61" t="n"/>
      <c r="N23" s="66">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","")&amp;IF(ABS(SUMIFS($F$5:$F$1000,$O$5:$O$1000,$O23)-1)&gt;0.0001,"Pesos del mes suman "&amp;TEXT(SUMIFS($F$5:$F$1000,$O$5:$O$1000,$O23),"0%")&amp;"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c r="O23" s="67">
        <f>IF(NOT((COUNTA($B23:$J23)+COUNTA($M23))&gt;0),"",IF(ISNUMBER($D23),DATE(YEAR($D23),MONTH($D23),1),IF(ISNUMBER($E23),DATE(YEAR($E23),MONTH($E23),1),MesCiclo)))</f>
        <v/>
      </c>
      <c r="P23" s="68">
        <f>IF(OR($O23="",$O23&lt;&gt;MesCiclo),"",COUNTIF($O$5:$O23,MesCiclo))</f>
        <v/>
      </c>
    </row>
    <row r="24">
      <c r="A24" s="60">
        <f>IF(NOT((COUNTA($B24:$J24)+COUNTA($M24))&gt;0),"",COUNTIFS($L$5:$L24,"?*",$O$5:$O24,$O24))</f>
        <v/>
      </c>
      <c r="B24" s="61" t="n"/>
      <c r="C24" s="61" t="n"/>
      <c r="D24" s="62" t="n"/>
      <c r="E24" s="62" t="n"/>
      <c r="F24" s="63" t="n"/>
      <c r="G24" s="64" t="n"/>
      <c r="H24" s="64" t="n"/>
      <c r="I24" s="64" t="n"/>
      <c r="J24" s="64" t="n"/>
      <c r="K24" s="65">
        <f>IF(NOT((COUNTA($B24:$J24)+COUNTA($M24))&gt;0),"",IFERROR(LOOKUP(2,1/(G24:J24&lt;&gt;""),G24:J24),0))</f>
        <v/>
      </c>
      <c r="L24" s="60">
        <f>IF(K24="","",IF(K24&gt;=1,"Completado",IF(K24&gt;0,"En curso","Pendiente")))</f>
        <v/>
      </c>
      <c r="M24" s="61" t="n"/>
      <c r="N24" s="66">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","")&amp;IF(ABS(SUMIFS($F$5:$F$1000,$O$5:$O$1000,$O24)-1)&gt;0.0001,"Pesos del mes suman "&amp;TEXT(SUMIFS($F$5:$F$1000,$O$5:$O$1000,$O24),"0%")&amp;"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c r="O24" s="67">
        <f>IF(NOT((COUNTA($B24:$J24)+COUNTA($M24))&gt;0),"",IF(ISNUMBER($D24),DATE(YEAR($D24),MONTH($D24),1),IF(ISNUMBER($E24),DATE(YEAR($E24),MONTH($E24),1),MesCiclo)))</f>
        <v/>
      </c>
      <c r="P24" s="68">
        <f>IF(OR($O24="",$O24&lt;&gt;MesCiclo),"",COUNTIF($O$5:$O24,MesCiclo))</f>
        <v/>
      </c>
    </row>
    <row r="25">
      <c r="A25" s="60">
        <f>IF(NOT((COUNTA($B25:$J25)+COUNTA($M25))&gt;0),"",COUNTIFS($L$5:$L25,"?*",$O$5:$O25,$O25))</f>
        <v/>
      </c>
      <c r="B25" s="61" t="n"/>
      <c r="C25" s="61" t="n"/>
      <c r="D25" s="62" t="n"/>
      <c r="E25" s="62" t="n"/>
      <c r="F25" s="63" t="n"/>
      <c r="G25" s="64" t="n"/>
      <c r="H25" s="64" t="n"/>
      <c r="I25" s="64" t="n"/>
      <c r="J25" s="64" t="n"/>
      <c r="K25" s="65">
        <f>IF(NOT((COUNTA($B25:$J25)+COUNTA($M25))&gt;0),"",IFERROR(LOOKUP(2,1/(G25:J25&lt;&gt;""),G25:J25),0))</f>
        <v/>
      </c>
      <c r="L25" s="60">
        <f>IF(K25="","",IF(K25&gt;=1,"Completado",IF(K25&gt;0,"En curso","Pendiente")))</f>
        <v/>
      </c>
      <c r="M25" s="61" t="n"/>
      <c r="N25" s="66">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","")&amp;IF(ABS(SUMIFS($F$5:$F$1000,$O$5:$O$1000,$O25)-1)&gt;0.0001,"Pesos del mes suman "&amp;TEXT(SUMIFS($F$5:$F$1000,$O$5:$O$1000,$O25),"0%")&amp;"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c r="O25" s="67">
        <f>IF(NOT((COUNTA($B25:$J25)+COUNTA($M25))&gt;0),"",IF(ISNUMBER($D25),DATE(YEAR($D25),MONTH($D25),1),IF(ISNUMBER($E25),DATE(YEAR($E25),MONTH($E25),1),MesCiclo)))</f>
        <v/>
      </c>
      <c r="P25" s="68">
        <f>IF(OR($O25="",$O25&lt;&gt;MesCiclo),"",COUNTIF($O$5:$O25,MesCiclo))</f>
        <v/>
      </c>
    </row>
    <row r="26">
      <c r="A26" s="60">
        <f>IF(NOT((COUNTA($B26:$J26)+COUNTA($M26))&gt;0),"",COUNTIFS($L$5:$L26,"?*",$O$5:$O26,$O26))</f>
        <v/>
      </c>
      <c r="B26" s="61" t="n"/>
      <c r="C26" s="61" t="n"/>
      <c r="D26" s="62" t="n"/>
      <c r="E26" s="62" t="n"/>
      <c r="F26" s="63" t="n"/>
      <c r="G26" s="64" t="n"/>
      <c r="H26" s="64" t="n"/>
      <c r="I26" s="64" t="n"/>
      <c r="J26" s="64" t="n"/>
      <c r="K26" s="65">
        <f>IF(NOT((COUNTA($B26:$J26)+COUNTA($M26))&gt;0),"",IFERROR(LOOKUP(2,1/(G26:J26&lt;&gt;""),G26:J26),0))</f>
        <v/>
      </c>
      <c r="L26" s="60">
        <f>IF(K26="","",IF(K26&gt;=1,"Completado",IF(K26&gt;0,"En curso","Pendiente")))</f>
        <v/>
      </c>
      <c r="M26" s="61" t="n"/>
      <c r="N26" s="66">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","")&amp;IF(ABS(SUMIFS($F$5:$F$1000,$O$5:$O$1000,$O26)-1)&gt;0.0001,"Pesos del mes suman "&amp;TEXT(SUMIFS($F$5:$F$1000,$O$5:$O$1000,$O26),"0%")&amp;"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c r="O26" s="67">
        <f>IF(NOT((COUNTA($B26:$J26)+COUNTA($M26))&gt;0),"",IF(ISNUMBER($D26),DATE(YEAR($D26),MONTH($D26),1),IF(ISNUMBER($E26),DATE(YEAR($E26),MONTH($E26),1),MesCiclo)))</f>
        <v/>
      </c>
      <c r="P26" s="68">
        <f>IF(OR($O26="",$O26&lt;&gt;MesCiclo),"",COUNTIF($O$5:$O26,MesCiclo))</f>
        <v/>
      </c>
    </row>
    <row r="27">
      <c r="A27" s="60">
        <f>IF(NOT((COUNTA($B27:$J27)+COUNTA($M27))&gt;0),"",COUNTIFS($L$5:$L27,"?*",$O$5:$O27,$O27))</f>
        <v/>
      </c>
      <c r="B27" s="61" t="n"/>
      <c r="C27" s="61" t="n"/>
      <c r="D27" s="62" t="n"/>
      <c r="E27" s="62" t="n"/>
      <c r="F27" s="63" t="n"/>
      <c r="G27" s="64" t="n"/>
      <c r="H27" s="64" t="n"/>
      <c r="I27" s="64" t="n"/>
      <c r="J27" s="64" t="n"/>
      <c r="K27" s="65">
        <f>IF(NOT((COUNTA($B27:$J27)+COUNTA($M27))&gt;0),"",IFERROR(LOOKUP(2,1/(G27:J27&lt;&gt;""),G27:J27),0))</f>
        <v/>
      </c>
      <c r="L27" s="60">
        <f>IF(K27="","",IF(K27&gt;=1,"Completado",IF(K27&gt;0,"En curso","Pendiente")))</f>
        <v/>
      </c>
      <c r="M27" s="61" t="n"/>
      <c r="N27" s="66">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","")&amp;IF(ABS(SUMIFS($F$5:$F$1000,$O$5:$O$1000,$O27)-1)&gt;0.0001,"Pesos del mes suman "&amp;TEXT(SUMIFS($F$5:$F$1000,$O$5:$O$1000,$O27),"0%")&amp;"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c r="O27" s="67">
        <f>IF(NOT((COUNTA($B27:$J27)+COUNTA($M27))&gt;0),"",IF(ISNUMBER($D27),DATE(YEAR($D27),MONTH($D27),1),IF(ISNUMBER($E27),DATE(YEAR($E27),MONTH($E27),1),MesCiclo)))</f>
        <v/>
      </c>
      <c r="P27" s="68">
        <f>IF(OR($O27="",$O27&lt;&gt;MesCiclo),"",COUNTIF($O$5:$O27,MesCiclo))</f>
        <v/>
      </c>
    </row>
    <row r="28">
      <c r="A28" s="60">
        <f>IF(NOT((COUNTA($B28:$J28)+COUNTA($M28))&gt;0),"",COUNTIFS($L$5:$L28,"?*",$O$5:$O28,$O28))</f>
        <v/>
      </c>
      <c r="B28" s="61" t="n"/>
      <c r="C28" s="61" t="n"/>
      <c r="D28" s="62" t="n"/>
      <c r="E28" s="62" t="n"/>
      <c r="F28" s="63" t="n"/>
      <c r="G28" s="64" t="n"/>
      <c r="H28" s="64" t="n"/>
      <c r="I28" s="64" t="n"/>
      <c r="J28" s="64" t="n"/>
      <c r="K28" s="65">
        <f>IF(NOT((COUNTA($B28:$J28)+COUNTA($M28))&gt;0),"",IFERROR(LOOKUP(2,1/(G28:J28&lt;&gt;""),G28:J28),0))</f>
        <v/>
      </c>
      <c r="L28" s="60">
        <f>IF(K28="","",IF(K28&gt;=1,"Completado",IF(K28&gt;0,"En curso","Pendiente")))</f>
        <v/>
      </c>
      <c r="M28" s="61" t="n"/>
      <c r="N28" s="66">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","")&amp;IF(ABS(SUMIFS($F$5:$F$1000,$O$5:$O$1000,$O28)-1)&gt;0.0001,"Pesos del mes suman "&amp;TEXT(SUMIFS($F$5:$F$1000,$O$5:$O$1000,$O28),"0%")&amp;"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c r="O28" s="67">
        <f>IF(NOT((COUNTA($B28:$J28)+COUNTA($M28))&gt;0),"",IF(ISNUMBER($D28),DATE(YEAR($D28),MONTH($D28),1),IF(ISNUMBER($E28),DATE(YEAR($E28),MONTH($E28),1),MesCiclo)))</f>
        <v/>
      </c>
      <c r="P28" s="68">
        <f>IF(OR($O28="",$O28&lt;&gt;MesCiclo),"",COUNTIF($O$5:$O28,MesCiclo))</f>
        <v/>
      </c>
    </row>
    <row r="29">
      <c r="A29" s="60">
        <f>IF(NOT((COUNTA($B29:$J29)+COUNTA($M29))&gt;0),"",COUNTIFS($L$5:$L29,"?*",$O$5:$O29,$O29))</f>
        <v/>
      </c>
      <c r="B29" s="61" t="n"/>
      <c r="C29" s="61" t="n"/>
      <c r="D29" s="62" t="n"/>
      <c r="E29" s="62" t="n"/>
      <c r="F29" s="63" t="n"/>
      <c r="G29" s="64" t="n"/>
      <c r="H29" s="64" t="n"/>
      <c r="I29" s="64" t="n"/>
      <c r="J29" s="64" t="n"/>
      <c r="K29" s="65">
        <f>IF(NOT((COUNTA($B29:$J29)+COUNTA($M29))&gt;0),"",IFERROR(LOOKUP(2,1/(G29:J29&lt;&gt;""),G29:J29),0))</f>
        <v/>
      </c>
      <c r="L29" s="60">
        <f>IF(K29="","",IF(K29&gt;=1,"Completado",IF(K29&gt;0,"En curso","Pendiente")))</f>
        <v/>
      </c>
      <c r="M29" s="61" t="n"/>
      <c r="N29" s="66">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","")&amp;IF(ABS(SUMIFS($F$5:$F$1000,$O$5:$O$1000,$O29)-1)&gt;0.0001,"Pesos del mes suman "&amp;TEXT(SUMIFS($F$5:$F$1000,$O$5:$O$1000,$O29),"0%")&amp;"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c r="O29" s="67">
        <f>IF(NOT((COUNTA($B29:$J29)+COUNTA($M29))&gt;0),"",IF(ISNUMBER($D29),DATE(YEAR($D29),MONTH($D29),1),IF(ISNUMBER($E29),DATE(YEAR($E29),MONTH($E29),1),MesCiclo)))</f>
        <v/>
      </c>
      <c r="P29" s="68">
        <f>IF(OR($O29="",$O29&lt;&gt;MesCiclo),"",COUNTIF($O$5:$O29,MesCiclo))</f>
        <v/>
      </c>
    </row>
    <row r="30">
      <c r="A30" s="60">
        <f>IF(NOT((COUNTA($B30:$J30)+COUNTA($M30))&gt;0),"",COUNTIFS($L$5:$L30,"?*",$O$5:$O30,$O30))</f>
        <v/>
      </c>
      <c r="B30" s="61" t="n"/>
      <c r="C30" s="61" t="n"/>
      <c r="D30" s="62" t="n"/>
      <c r="E30" s="62" t="n"/>
      <c r="F30" s="63" t="n"/>
      <c r="G30" s="64" t="n"/>
      <c r="H30" s="64" t="n"/>
      <c r="I30" s="64" t="n"/>
      <c r="J30" s="64" t="n"/>
      <c r="K30" s="65">
        <f>IF(NOT((COUNTA($B30:$J30)+COUNTA($M30))&gt;0),"",IFERROR(LOOKUP(2,1/(G30:J30&lt;&gt;""),G30:J30),0))</f>
        <v/>
      </c>
      <c r="L30" s="60">
        <f>IF(K30="","",IF(K30&gt;=1,"Completado",IF(K30&gt;0,"En curso","Pendiente")))</f>
        <v/>
      </c>
      <c r="M30" s="61" t="n"/>
      <c r="N30" s="66">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","")&amp;IF(ABS(SUMIFS($F$5:$F$1000,$O$5:$O$1000,$O30)-1)&gt;0.0001,"Pesos del mes suman "&amp;TEXT(SUMIFS($F$5:$F$1000,$O$5:$O$1000,$O30),"0%")&amp;"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c r="O30" s="67">
        <f>IF(NOT((COUNTA($B30:$J30)+COUNTA($M30))&gt;0),"",IF(ISNUMBER($D30),DATE(YEAR($D30),MONTH($D30),1),IF(ISNUMBER($E30),DATE(YEAR($E30),MONTH($E30),1),MesCiclo)))</f>
        <v/>
      </c>
      <c r="P30" s="68">
        <f>IF(OR($O30="",$O30&lt;&gt;MesCiclo),"",COUNTIF($O$5:$O30,MesCiclo))</f>
        <v/>
      </c>
    </row>
    <row r="31">
      <c r="A31" s="60">
        <f>IF(NOT((COUNTA($B31:$J31)+COUNTA($M31))&gt;0),"",COUNTIFS($L$5:$L31,"?*",$O$5:$O31,$O31))</f>
        <v/>
      </c>
      <c r="B31" s="61" t="n"/>
      <c r="C31" s="61" t="n"/>
      <c r="D31" s="62" t="n"/>
      <c r="E31" s="62" t="n"/>
      <c r="F31" s="63" t="n"/>
      <c r="G31" s="64" t="n"/>
      <c r="H31" s="64" t="n"/>
      <c r="I31" s="64" t="n"/>
      <c r="J31" s="64" t="n"/>
      <c r="K31" s="65">
        <f>IF(NOT((COUNTA($B31:$J31)+COUNTA($M31))&gt;0),"",IFERROR(LOOKUP(2,1/(G31:J31&lt;&gt;""),G31:J31),0))</f>
        <v/>
      </c>
      <c r="L31" s="60">
        <f>IF(K31="","",IF(K31&gt;=1,"Completado",IF(K31&gt;0,"En curso","Pendiente")))</f>
        <v/>
      </c>
      <c r="M31" s="61" t="n"/>
      <c r="N31" s="66">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","")&amp;IF(ABS(SUMIFS($F$5:$F$1000,$O$5:$O$1000,$O31)-1)&gt;0.0001,"Pesos del mes suman "&amp;TEXT(SUMIFS($F$5:$F$1000,$O$5:$O$1000,$O31),"0%")&amp;"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c r="O31" s="67">
        <f>IF(NOT((COUNTA($B31:$J31)+COUNTA($M31))&gt;0),"",IF(ISNUMBER($D31),DATE(YEAR($D31),MONTH($D31),1),IF(ISNUMBER($E31),DATE(YEAR($E31),MONTH($E31),1),MesCiclo)))</f>
        <v/>
      </c>
      <c r="P31" s="68">
        <f>IF(OR($O31="",$O31&lt;&gt;MesCiclo),"",COUNTIF($O$5:$O31,MesCiclo))</f>
        <v/>
      </c>
    </row>
    <row r="32">
      <c r="A32" s="60">
        <f>IF(NOT((COUNTA($B32:$J32)+COUNTA($M32))&gt;0),"",COUNTIFS($L$5:$L32,"?*",$O$5:$O32,$O32))</f>
        <v/>
      </c>
      <c r="B32" s="61" t="n"/>
      <c r="C32" s="61" t="n"/>
      <c r="D32" s="62" t="n"/>
      <c r="E32" s="62" t="n"/>
      <c r="F32" s="63" t="n"/>
      <c r="G32" s="64" t="n"/>
      <c r="H32" s="64" t="n"/>
      <c r="I32" s="64" t="n"/>
      <c r="J32" s="64" t="n"/>
      <c r="K32" s="65">
        <f>IF(NOT((COUNTA($B32:$J32)+COUNTA($M32))&gt;0),"",IFERROR(LOOKUP(2,1/(G32:J32&lt;&gt;""),G32:J32),0))</f>
        <v/>
      </c>
      <c r="L32" s="60">
        <f>IF(K32="","",IF(K32&gt;=1,"Completado",IF(K32&gt;0,"En curso","Pendiente")))</f>
        <v/>
      </c>
      <c r="M32" s="61" t="n"/>
      <c r="N32" s="66">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","")&amp;IF(ABS(SUMIFS($F$5:$F$1000,$O$5:$O$1000,$O32)-1)&gt;0.0001,"Pesos del mes suman "&amp;TEXT(SUMIFS($F$5:$F$1000,$O$5:$O$1000,$O32),"0%")&amp;"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c r="O32" s="67">
        <f>IF(NOT((COUNTA($B32:$J32)+COUNTA($M32))&gt;0),"",IF(ISNUMBER($D32),DATE(YEAR($D32),MONTH($D32),1),IF(ISNUMBER($E32),DATE(YEAR($E32),MONTH($E32),1),MesCiclo)))</f>
        <v/>
      </c>
      <c r="P32" s="68">
        <f>IF(OR($O32="",$O32&lt;&gt;MesCiclo),"",COUNTIF($O$5:$O32,MesCiclo))</f>
        <v/>
      </c>
    </row>
    <row r="33">
      <c r="A33" s="60">
        <f>IF(NOT((COUNTA($B33:$J33)+COUNTA($M33))&gt;0),"",COUNTIFS($L$5:$L33,"?*",$O$5:$O33,$O33))</f>
        <v/>
      </c>
      <c r="B33" s="61" t="n"/>
      <c r="C33" s="61" t="n"/>
      <c r="D33" s="62" t="n"/>
      <c r="E33" s="62" t="n"/>
      <c r="F33" s="63" t="n"/>
      <c r="G33" s="64" t="n"/>
      <c r="H33" s="64" t="n"/>
      <c r="I33" s="64" t="n"/>
      <c r="J33" s="64" t="n"/>
      <c r="K33" s="65">
        <f>IF(NOT((COUNTA($B33:$J33)+COUNTA($M33))&gt;0),"",IFERROR(LOOKUP(2,1/(G33:J33&lt;&gt;""),G33:J33),0))</f>
        <v/>
      </c>
      <c r="L33" s="60">
        <f>IF(K33="","",IF(K33&gt;=1,"Completado",IF(K33&gt;0,"En curso","Pendiente")))</f>
        <v/>
      </c>
      <c r="M33" s="61" t="n"/>
      <c r="N33" s="66">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","")&amp;IF(ABS(SUMIFS($F$5:$F$1000,$O$5:$O$1000,$O33)-1)&gt;0.0001,"Pesos del mes suman "&amp;TEXT(SUMIFS($F$5:$F$1000,$O$5:$O$1000,$O33),"0%")&amp;"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c r="O33" s="67">
        <f>IF(NOT((COUNTA($B33:$J33)+COUNTA($M33))&gt;0),"",IF(ISNUMBER($D33),DATE(YEAR($D33),MONTH($D33),1),IF(ISNUMBER($E33),DATE(YEAR($E33),MONTH($E33),1),MesCiclo)))</f>
        <v/>
      </c>
      <c r="P33" s="68">
        <f>IF(OR($O33="",$O33&lt;&gt;MesCiclo),"",COUNTIF($O$5:$O33,MesCiclo))</f>
        <v/>
      </c>
    </row>
    <row r="34">
      <c r="A34" s="60">
        <f>IF(NOT((COUNTA($B34:$J34)+COUNTA($M34))&gt;0),"",COUNTIFS($L$5:$L34,"?*",$O$5:$O34,$O34))</f>
        <v/>
      </c>
      <c r="B34" s="61" t="n"/>
      <c r="C34" s="61" t="n"/>
      <c r="D34" s="62" t="n"/>
      <c r="E34" s="62" t="n"/>
      <c r="F34" s="63" t="n"/>
      <c r="G34" s="64" t="n"/>
      <c r="H34" s="64" t="n"/>
      <c r="I34" s="64" t="n"/>
      <c r="J34" s="64" t="n"/>
      <c r="K34" s="65">
        <f>IF(NOT((COUNTA($B34:$J34)+COUNTA($M34))&gt;0),"",IFERROR(LOOKUP(2,1/(G34:J34&lt;&gt;""),G34:J34),0))</f>
        <v/>
      </c>
      <c r="L34" s="60">
        <f>IF(K34="","",IF(K34&gt;=1,"Completado",IF(K34&gt;0,"En curso","Pendiente")))</f>
        <v/>
      </c>
      <c r="M34" s="61" t="n"/>
      <c r="N34" s="66">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","")&amp;IF(ABS(SUMIFS($F$5:$F$1000,$O$5:$O$1000,$O34)-1)&gt;0.0001,"Pesos del mes suman "&amp;TEXT(SUMIFS($F$5:$F$1000,$O$5:$O$1000,$O34),"0%")&amp;"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c r="O34" s="67">
        <f>IF(NOT((COUNTA($B34:$J34)+COUNTA($M34))&gt;0),"",IF(ISNUMBER($D34),DATE(YEAR($D34),MONTH($D34),1),IF(ISNUMBER($E34),DATE(YEAR($E34),MONTH($E34),1),MesCiclo)))</f>
        <v/>
      </c>
      <c r="P34" s="68">
        <f>IF(OR($O34="",$O34&lt;&gt;MesCiclo),"",COUNTIF($O$5:$O34,MesCiclo))</f>
        <v/>
      </c>
    </row>
    <row r="35">
      <c r="A35" s="60">
        <f>IF(NOT((COUNTA($B35:$J35)+COUNTA($M35))&gt;0),"",COUNTIFS($L$5:$L35,"?*",$O$5:$O35,$O35))</f>
        <v/>
      </c>
      <c r="B35" s="61" t="n"/>
      <c r="C35" s="61" t="n"/>
      <c r="D35" s="62" t="n"/>
      <c r="E35" s="62" t="n"/>
      <c r="F35" s="63" t="n"/>
      <c r="G35" s="64" t="n"/>
      <c r="H35" s="64" t="n"/>
      <c r="I35" s="64" t="n"/>
      <c r="J35" s="64" t="n"/>
      <c r="K35" s="65">
        <f>IF(NOT((COUNTA($B35:$J35)+COUNTA($M35))&gt;0),"",IFERROR(LOOKUP(2,1/(G35:J35&lt;&gt;""),G35:J35),0))</f>
        <v/>
      </c>
      <c r="L35" s="60">
        <f>IF(K35="","",IF(K35&gt;=1,"Completado",IF(K35&gt;0,"En curso","Pendiente")))</f>
        <v/>
      </c>
      <c r="M35" s="61" t="n"/>
      <c r="N35" s="66">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","")&amp;IF(ABS(SUMIFS($F$5:$F$1000,$O$5:$O$1000,$O35)-1)&gt;0.0001,"Pesos del mes suman "&amp;TEXT(SUMIFS($F$5:$F$1000,$O$5:$O$1000,$O35),"0%")&amp;"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c r="O35" s="67">
        <f>IF(NOT((COUNTA($B35:$J35)+COUNTA($M35))&gt;0),"",IF(ISNUMBER($D35),DATE(YEAR($D35),MONTH($D35),1),IF(ISNUMBER($E35),DATE(YEAR($E35),MONTH($E35),1),MesCiclo)))</f>
        <v/>
      </c>
      <c r="P35" s="68">
        <f>IF(OR($O35="",$O35&lt;&gt;MesCiclo),"",COUNTIF($O$5:$O35,MesCiclo))</f>
        <v/>
      </c>
    </row>
    <row r="36">
      <c r="A36" s="60">
        <f>IF(NOT((COUNTA($B36:$J36)+COUNTA($M36))&gt;0),"",COUNTIFS($L$5:$L36,"?*",$O$5:$O36,$O36))</f>
        <v/>
      </c>
      <c r="B36" s="61" t="n"/>
      <c r="C36" s="61" t="n"/>
      <c r="D36" s="62" t="n"/>
      <c r="E36" s="62" t="n"/>
      <c r="F36" s="63" t="n"/>
      <c r="G36" s="64" t="n"/>
      <c r="H36" s="64" t="n"/>
      <c r="I36" s="64" t="n"/>
      <c r="J36" s="64" t="n"/>
      <c r="K36" s="65">
        <f>IF(NOT((COUNTA($B36:$J36)+COUNTA($M36))&gt;0),"",IFERROR(LOOKUP(2,1/(G36:J36&lt;&gt;""),G36:J36),0))</f>
        <v/>
      </c>
      <c r="L36" s="60">
        <f>IF(K36="","",IF(K36&gt;=1,"Completado",IF(K36&gt;0,"En curso","Pendiente")))</f>
        <v/>
      </c>
      <c r="M36" s="61" t="n"/>
      <c r="N36" s="66">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","")&amp;IF(ABS(SUMIFS($F$5:$F$1000,$O$5:$O$1000,$O36)-1)&gt;0.0001,"Pesos del mes suman "&amp;TEXT(SUMIFS($F$5:$F$1000,$O$5:$O$1000,$O36),"0%")&amp;"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c r="O36" s="67">
        <f>IF(NOT((COUNTA($B36:$J36)+COUNTA($M36))&gt;0),"",IF(ISNUMBER($D36),DATE(YEAR($D36),MONTH($D36),1),IF(ISNUMBER($E36),DATE(YEAR($E36),MONTH($E36),1),MesCiclo)))</f>
        <v/>
      </c>
      <c r="P36" s="68">
        <f>IF(OR($O36="",$O36&lt;&gt;MesCiclo),"",COUNTIF($O$5:$O36,MesCiclo))</f>
        <v/>
      </c>
    </row>
    <row r="37">
      <c r="A37" s="60">
        <f>IF(NOT((COUNTA($B37:$J37)+COUNTA($M37))&gt;0),"",COUNTIFS($L$5:$L37,"?*",$O$5:$O37,$O37))</f>
        <v/>
      </c>
      <c r="B37" s="61" t="n"/>
      <c r="C37" s="61" t="n"/>
      <c r="D37" s="62" t="n"/>
      <c r="E37" s="62" t="n"/>
      <c r="F37" s="63" t="n"/>
      <c r="G37" s="64" t="n"/>
      <c r="H37" s="64" t="n"/>
      <c r="I37" s="64" t="n"/>
      <c r="J37" s="64" t="n"/>
      <c r="K37" s="65">
        <f>IF(NOT((COUNTA($B37:$J37)+COUNTA($M37))&gt;0),"",IFERROR(LOOKUP(2,1/(G37:J37&lt;&gt;""),G37:J37),0))</f>
        <v/>
      </c>
      <c r="L37" s="60">
        <f>IF(K37="","",IF(K37&gt;=1,"Completado",IF(K37&gt;0,"En curso","Pendiente")))</f>
        <v/>
      </c>
      <c r="M37" s="61" t="n"/>
      <c r="N37" s="66">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","")&amp;IF(ABS(SUMIFS($F$5:$F$1000,$O$5:$O$1000,$O37)-1)&gt;0.0001,"Pesos del mes suman "&amp;TEXT(SUMIFS($F$5:$F$1000,$O$5:$O$1000,$O37),"0%")&amp;"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c r="O37" s="67">
        <f>IF(NOT((COUNTA($B37:$J37)+COUNTA($M37))&gt;0),"",IF(ISNUMBER($D37),DATE(YEAR($D37),MONTH($D37),1),IF(ISNUMBER($E37),DATE(YEAR($E37),MONTH($E37),1),MesCiclo)))</f>
        <v/>
      </c>
      <c r="P37" s="68">
        <f>IF(OR($O37="",$O37&lt;&gt;MesCiclo),"",COUNTIF($O$5:$O37,MesCiclo))</f>
        <v/>
      </c>
    </row>
    <row r="38">
      <c r="A38" s="60">
        <f>IF(NOT((COUNTA($B38:$J38)+COUNTA($M38))&gt;0),"",COUNTIFS($L$5:$L38,"?*",$O$5:$O38,$O38))</f>
        <v/>
      </c>
      <c r="B38" s="61" t="n"/>
      <c r="C38" s="61" t="n"/>
      <c r="D38" s="62" t="n"/>
      <c r="E38" s="62" t="n"/>
      <c r="F38" s="63" t="n"/>
      <c r="G38" s="64" t="n"/>
      <c r="H38" s="64" t="n"/>
      <c r="I38" s="64" t="n"/>
      <c r="J38" s="64" t="n"/>
      <c r="K38" s="65">
        <f>IF(NOT((COUNTA($B38:$J38)+COUNTA($M38))&gt;0),"",IFERROR(LOOKUP(2,1/(G38:J38&lt;&gt;""),G38:J38),0))</f>
        <v/>
      </c>
      <c r="L38" s="60">
        <f>IF(K38="","",IF(K38&gt;=1,"Completado",IF(K38&gt;0,"En curso","Pendiente")))</f>
        <v/>
      </c>
      <c r="M38" s="61" t="n"/>
      <c r="N38" s="66">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","")&amp;IF(ABS(SUMIFS($F$5:$F$1000,$O$5:$O$1000,$O38)-1)&gt;0.0001,"Pesos del mes suman "&amp;TEXT(SUMIFS($F$5:$F$1000,$O$5:$O$1000,$O38),"0%")&amp;"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c r="O38" s="67">
        <f>IF(NOT((COUNTA($B38:$J38)+COUNTA($M38))&gt;0),"",IF(ISNUMBER($D38),DATE(YEAR($D38),MONTH($D38),1),IF(ISNUMBER($E38),DATE(YEAR($E38),MONTH($E38),1),MesCiclo)))</f>
        <v/>
      </c>
      <c r="P38" s="68">
        <f>IF(OR($O38="",$O38&lt;&gt;MesCiclo),"",COUNTIF($O$5:$O38,MesCiclo))</f>
        <v/>
      </c>
    </row>
    <row r="39">
      <c r="A39" s="60">
        <f>IF(NOT((COUNTA($B39:$J39)+COUNTA($M39))&gt;0),"",COUNTIFS($L$5:$L39,"?*",$O$5:$O39,$O39))</f>
        <v/>
      </c>
      <c r="B39" s="61" t="n"/>
      <c r="C39" s="61" t="n"/>
      <c r="D39" s="62" t="n"/>
      <c r="E39" s="62" t="n"/>
      <c r="F39" s="63" t="n"/>
      <c r="G39" s="64" t="n"/>
      <c r="H39" s="64" t="n"/>
      <c r="I39" s="64" t="n"/>
      <c r="J39" s="64" t="n"/>
      <c r="K39" s="65">
        <f>IF(NOT((COUNTA($B39:$J39)+COUNTA($M39))&gt;0),"",IFERROR(LOOKUP(2,1/(G39:J39&lt;&gt;""),G39:J39),0))</f>
        <v/>
      </c>
      <c r="L39" s="60">
        <f>IF(K39="","",IF(K39&gt;=1,"Completado",IF(K39&gt;0,"En curso","Pendiente")))</f>
        <v/>
      </c>
      <c r="M39" s="61" t="n"/>
      <c r="N39" s="66">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","")&amp;IF(ABS(SUMIFS($F$5:$F$1000,$O$5:$O$1000,$O39)-1)&gt;0.0001,"Pesos del mes suman "&amp;TEXT(SUMIFS($F$5:$F$1000,$O$5:$O$1000,$O39),"0%")&amp;"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c r="O39" s="67">
        <f>IF(NOT((COUNTA($B39:$J39)+COUNTA($M39))&gt;0),"",IF(ISNUMBER($D39),DATE(YEAR($D39),MONTH($D39),1),IF(ISNUMBER($E39),DATE(YEAR($E39),MONTH($E39),1),MesCiclo)))</f>
        <v/>
      </c>
      <c r="P39" s="68">
        <f>IF(OR($O39="",$O39&lt;&gt;MesCiclo),"",COUNTIF($O$5:$O39,MesCiclo))</f>
        <v/>
      </c>
    </row>
    <row r="40">
      <c r="A40" s="60">
        <f>IF(NOT((COUNTA($B40:$J40)+COUNTA($M40))&gt;0),"",COUNTIFS($L$5:$L40,"?*",$O$5:$O40,$O40))</f>
        <v/>
      </c>
      <c r="B40" s="61" t="n"/>
      <c r="C40" s="61" t="n"/>
      <c r="D40" s="62" t="n"/>
      <c r="E40" s="62" t="n"/>
      <c r="F40" s="63" t="n"/>
      <c r="G40" s="64" t="n"/>
      <c r="H40" s="64" t="n"/>
      <c r="I40" s="64" t="n"/>
      <c r="J40" s="64" t="n"/>
      <c r="K40" s="65">
        <f>IF(NOT((COUNTA($B40:$J40)+COUNTA($M40))&gt;0),"",IFERROR(LOOKUP(2,1/(G40:J40&lt;&gt;""),G40:J40),0))</f>
        <v/>
      </c>
      <c r="L40" s="60">
        <f>IF(K40="","",IF(K40&gt;=1,"Completado",IF(K40&gt;0,"En curso","Pendiente")))</f>
        <v/>
      </c>
      <c r="M40" s="61" t="n"/>
      <c r="N40" s="66">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","")&amp;IF(ABS(SUMIFS($F$5:$F$1000,$O$5:$O$1000,$O40)-1)&gt;0.0001,"Pesos del mes suman "&amp;TEXT(SUMIFS($F$5:$F$1000,$O$5:$O$1000,$O40),"0%")&amp;"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c r="O40" s="67">
        <f>IF(NOT((COUNTA($B40:$J40)+COUNTA($M40))&gt;0),"",IF(ISNUMBER($D40),DATE(YEAR($D40),MONTH($D40),1),IF(ISNUMBER($E40),DATE(YEAR($E40),MONTH($E40),1),MesCiclo)))</f>
        <v/>
      </c>
      <c r="P40" s="68">
        <f>IF(OR($O40="",$O40&lt;&gt;MesCiclo),"",COUNTIF($O$5:$O40,MesCiclo))</f>
        <v/>
      </c>
    </row>
    <row r="41">
      <c r="A41" s="60">
        <f>IF(NOT((COUNTA($B41:$J41)+COUNTA($M41))&gt;0),"",COUNTIFS($L$5:$L41,"?*",$O$5:$O41,$O41))</f>
        <v/>
      </c>
      <c r="B41" s="61" t="n"/>
      <c r="C41" s="61" t="n"/>
      <c r="D41" s="62" t="n"/>
      <c r="E41" s="62" t="n"/>
      <c r="F41" s="63" t="n"/>
      <c r="G41" s="64" t="n"/>
      <c r="H41" s="64" t="n"/>
      <c r="I41" s="64" t="n"/>
      <c r="J41" s="64" t="n"/>
      <c r="K41" s="65">
        <f>IF(NOT((COUNTA($B41:$J41)+COUNTA($M41))&gt;0),"",IFERROR(LOOKUP(2,1/(G41:J41&lt;&gt;""),G41:J41),0))</f>
        <v/>
      </c>
      <c r="L41" s="60">
        <f>IF(K41="","",IF(K41&gt;=1,"Completado",IF(K41&gt;0,"En curso","Pendiente")))</f>
        <v/>
      </c>
      <c r="M41" s="61" t="n"/>
      <c r="N41" s="66">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","")&amp;IF(ABS(SUMIFS($F$5:$F$1000,$O$5:$O$1000,$O41)-1)&gt;0.0001,"Pesos del mes suman "&amp;TEXT(SUMIFS($F$5:$F$1000,$O$5:$O$1000,$O41),"0%")&amp;"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c r="O41" s="67">
        <f>IF(NOT((COUNTA($B41:$J41)+COUNTA($M41))&gt;0),"",IF(ISNUMBER($D41),DATE(YEAR($D41),MONTH($D41),1),IF(ISNUMBER($E41),DATE(YEAR($E41),MONTH($E41),1),MesCiclo)))</f>
        <v/>
      </c>
      <c r="P41" s="68">
        <f>IF(OR($O41="",$O41&lt;&gt;MesCiclo),"",COUNTIF($O$5:$O41,MesCiclo))</f>
        <v/>
      </c>
    </row>
    <row r="42">
      <c r="A42" s="60">
        <f>IF(NOT((COUNTA($B42:$J42)+COUNTA($M42))&gt;0),"",COUNTIFS($L$5:$L42,"?*",$O$5:$O42,$O42))</f>
        <v/>
      </c>
      <c r="B42" s="61" t="n"/>
      <c r="C42" s="61" t="n"/>
      <c r="D42" s="62" t="n"/>
      <c r="E42" s="62" t="n"/>
      <c r="F42" s="63" t="n"/>
      <c r="G42" s="64" t="n"/>
      <c r="H42" s="64" t="n"/>
      <c r="I42" s="64" t="n"/>
      <c r="J42" s="64" t="n"/>
      <c r="K42" s="65">
        <f>IF(NOT((COUNTA($B42:$J42)+COUNTA($M42))&gt;0),"",IFERROR(LOOKUP(2,1/(G42:J42&lt;&gt;""),G42:J42),0))</f>
        <v/>
      </c>
      <c r="L42" s="60">
        <f>IF(K42="","",IF(K42&gt;=1,"Completado",IF(K42&gt;0,"En curso","Pendiente")))</f>
        <v/>
      </c>
      <c r="M42" s="61" t="n"/>
      <c r="N42" s="66">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","")&amp;IF(ABS(SUMIFS($F$5:$F$1000,$O$5:$O$1000,$O42)-1)&gt;0.0001,"Pesos del mes suman "&amp;TEXT(SUMIFS($F$5:$F$1000,$O$5:$O$1000,$O42),"0%")&amp;"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c r="O42" s="67">
        <f>IF(NOT((COUNTA($B42:$J42)+COUNTA($M42))&gt;0),"",IF(ISNUMBER($D42),DATE(YEAR($D42),MONTH($D42),1),IF(ISNUMBER($E42),DATE(YEAR($E42),MONTH($E42),1),MesCiclo)))</f>
        <v/>
      </c>
      <c r="P42" s="68">
        <f>IF(OR($O42="",$O42&lt;&gt;MesCiclo),"",COUNTIF($O$5:$O42,MesCiclo))</f>
        <v/>
      </c>
    </row>
    <row r="43">
      <c r="A43" s="60">
        <f>IF(NOT((COUNTA($B43:$J43)+COUNTA($M43))&gt;0),"",COUNTIFS($L$5:$L43,"?*",$O$5:$O43,$O43))</f>
        <v/>
      </c>
      <c r="B43" s="61" t="n"/>
      <c r="C43" s="61" t="n"/>
      <c r="D43" s="62" t="n"/>
      <c r="E43" s="62" t="n"/>
      <c r="F43" s="63" t="n"/>
      <c r="G43" s="64" t="n"/>
      <c r="H43" s="64" t="n"/>
      <c r="I43" s="64" t="n"/>
      <c r="J43" s="64" t="n"/>
      <c r="K43" s="65">
        <f>IF(NOT((COUNTA($B43:$J43)+COUNTA($M43))&gt;0),"",IFERROR(LOOKUP(2,1/(G43:J43&lt;&gt;""),G43:J43),0))</f>
        <v/>
      </c>
      <c r="L43" s="60">
        <f>IF(K43="","",IF(K43&gt;=1,"Completado",IF(K43&gt;0,"En curso","Pendiente")))</f>
        <v/>
      </c>
      <c r="M43" s="61" t="n"/>
      <c r="N43" s="66">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","")&amp;IF(ABS(SUMIFS($F$5:$F$1000,$O$5:$O$1000,$O43)-1)&gt;0.0001,"Pesos del mes suman "&amp;TEXT(SUMIFS($F$5:$F$1000,$O$5:$O$1000,$O43),"0%")&amp;"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c r="O43" s="67">
        <f>IF(NOT((COUNTA($B43:$J43)+COUNTA($M43))&gt;0),"",IF(ISNUMBER($D43),DATE(YEAR($D43),MONTH($D43),1),IF(ISNUMBER($E43),DATE(YEAR($E43),MONTH($E43),1),MesCiclo)))</f>
        <v/>
      </c>
      <c r="P43" s="68">
        <f>IF(OR($O43="",$O43&lt;&gt;MesCiclo),"",COUNTIF($O$5:$O43,MesCiclo))</f>
        <v/>
      </c>
    </row>
    <row r="44">
      <c r="A44" s="60">
        <f>IF(NOT((COUNTA($B44:$J44)+COUNTA($M44))&gt;0),"",COUNTIFS($L$5:$L44,"?*",$O$5:$O44,$O44))</f>
        <v/>
      </c>
      <c r="B44" s="61" t="n"/>
      <c r="C44" s="61" t="n"/>
      <c r="D44" s="62" t="n"/>
      <c r="E44" s="62" t="n"/>
      <c r="F44" s="63" t="n"/>
      <c r="G44" s="64" t="n"/>
      <c r="H44" s="64" t="n"/>
      <c r="I44" s="64" t="n"/>
      <c r="J44" s="64" t="n"/>
      <c r="K44" s="65">
        <f>IF(NOT((COUNTA($B44:$J44)+COUNTA($M44))&gt;0),"",IFERROR(LOOKUP(2,1/(G44:J44&lt;&gt;""),G44:J44),0))</f>
        <v/>
      </c>
      <c r="L44" s="60">
        <f>IF(K44="","",IF(K44&gt;=1,"Completado",IF(K44&gt;0,"En curso","Pendiente")))</f>
        <v/>
      </c>
      <c r="M44" s="61" t="n"/>
      <c r="N44" s="66">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","")&amp;IF(ABS(SUMIFS($F$5:$F$1000,$O$5:$O$1000,$O44)-1)&gt;0.0001,"Pesos del mes suman "&amp;TEXT(SUMIFS($F$5:$F$1000,$O$5:$O$1000,$O44),"0%")&amp;"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c r="O44" s="67">
        <f>IF(NOT((COUNTA($B44:$J44)+COUNTA($M44))&gt;0),"",IF(ISNUMBER($D44),DATE(YEAR($D44),MONTH($D44),1),IF(ISNUMBER($E44),DATE(YEAR($E44),MONTH($E44),1),MesCiclo)))</f>
        <v/>
      </c>
      <c r="P44" s="68">
        <f>IF(OR($O44="",$O44&lt;&gt;MesCiclo),"",COUNTIF($O$5:$O44,MesCiclo))</f>
        <v/>
      </c>
    </row>
    <row r="45">
      <c r="A45" s="60">
        <f>IF(NOT((COUNTA($B45:$J45)+COUNTA($M45))&gt;0),"",COUNTIFS($L$5:$L45,"?*",$O$5:$O45,$O45))</f>
        <v/>
      </c>
      <c r="B45" s="61" t="n"/>
      <c r="C45" s="61" t="n"/>
      <c r="D45" s="62" t="n"/>
      <c r="E45" s="62" t="n"/>
      <c r="F45" s="63" t="n"/>
      <c r="G45" s="64" t="n"/>
      <c r="H45" s="64" t="n"/>
      <c r="I45" s="64" t="n"/>
      <c r="J45" s="64" t="n"/>
      <c r="K45" s="65">
        <f>IF(NOT((COUNTA($B45:$J45)+COUNTA($M45))&gt;0),"",IFERROR(LOOKUP(2,1/(G45:J45&lt;&gt;""),G45:J45),0))</f>
        <v/>
      </c>
      <c r="L45" s="60">
        <f>IF(K45="","",IF(K45&gt;=1,"Completado",IF(K45&gt;0,"En curso","Pendiente")))</f>
        <v/>
      </c>
      <c r="M45" s="61" t="n"/>
      <c r="N45" s="66">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","")&amp;IF(ABS(SUMIFS($F$5:$F$1000,$O$5:$O$1000,$O45)-1)&gt;0.0001,"Pesos del mes suman "&amp;TEXT(SUMIFS($F$5:$F$1000,$O$5:$O$1000,$O45),"0%")&amp;"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c r="O45" s="67">
        <f>IF(NOT((COUNTA($B45:$J45)+COUNTA($M45))&gt;0),"",IF(ISNUMBER($D45),DATE(YEAR($D45),MONTH($D45),1),IF(ISNUMBER($E45),DATE(YEAR($E45),MONTH($E45),1),MesCiclo)))</f>
        <v/>
      </c>
      <c r="P45" s="68">
        <f>IF(OR($O45="",$O45&lt;&gt;MesCiclo),"",COUNTIF($O$5:$O45,MesCiclo))</f>
        <v/>
      </c>
    </row>
    <row r="46">
      <c r="A46" s="60">
        <f>IF(NOT((COUNTA($B46:$J46)+COUNTA($M46))&gt;0),"",COUNTIFS($L$5:$L46,"?*",$O$5:$O46,$O46))</f>
        <v/>
      </c>
      <c r="B46" s="61" t="n"/>
      <c r="C46" s="61" t="n"/>
      <c r="D46" s="62" t="n"/>
      <c r="E46" s="62" t="n"/>
      <c r="F46" s="63" t="n"/>
      <c r="G46" s="64" t="n"/>
      <c r="H46" s="64" t="n"/>
      <c r="I46" s="64" t="n"/>
      <c r="J46" s="64" t="n"/>
      <c r="K46" s="65">
        <f>IF(NOT((COUNTA($B46:$J46)+COUNTA($M46))&gt;0),"",IFERROR(LOOKUP(2,1/(G46:J46&lt;&gt;""),G46:J46),0))</f>
        <v/>
      </c>
      <c r="L46" s="60">
        <f>IF(K46="","",IF(K46&gt;=1,"Completado",IF(K46&gt;0,"En curso","Pendiente")))</f>
        <v/>
      </c>
      <c r="M46" s="61" t="n"/>
      <c r="N46" s="66">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","")&amp;IF(ABS(SUMIFS($F$5:$F$1000,$O$5:$O$1000,$O46)-1)&gt;0.0001,"Pesos del mes suman "&amp;TEXT(SUMIFS($F$5:$F$1000,$O$5:$O$1000,$O46),"0%")&amp;"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c r="O46" s="67">
        <f>IF(NOT((COUNTA($B46:$J46)+COUNTA($M46))&gt;0),"",IF(ISNUMBER($D46),DATE(YEAR($D46),MONTH($D46),1),IF(ISNUMBER($E46),DATE(YEAR($E46),MONTH($E46),1),MesCiclo)))</f>
        <v/>
      </c>
      <c r="P46" s="68">
        <f>IF(OR($O46="",$O46&lt;&gt;MesCiclo),"",COUNTIF($O$5:$O46,MesCiclo))</f>
        <v/>
      </c>
    </row>
    <row r="47">
      <c r="A47" s="60">
        <f>IF(NOT((COUNTA($B47:$J47)+COUNTA($M47))&gt;0),"",COUNTIFS($L$5:$L47,"?*",$O$5:$O47,$O47))</f>
        <v/>
      </c>
      <c r="B47" s="61" t="n"/>
      <c r="C47" s="61" t="n"/>
      <c r="D47" s="62" t="n"/>
      <c r="E47" s="62" t="n"/>
      <c r="F47" s="63" t="n"/>
      <c r="G47" s="64" t="n"/>
      <c r="H47" s="64" t="n"/>
      <c r="I47" s="64" t="n"/>
      <c r="J47" s="64" t="n"/>
      <c r="K47" s="65">
        <f>IF(NOT((COUNTA($B47:$J47)+COUNTA($M47))&gt;0),"",IFERROR(LOOKUP(2,1/(G47:J47&lt;&gt;""),G47:J47),0))</f>
        <v/>
      </c>
      <c r="L47" s="60">
        <f>IF(K47="","",IF(K47&gt;=1,"Completado",IF(K47&gt;0,"En curso","Pendiente")))</f>
        <v/>
      </c>
      <c r="M47" s="61" t="n"/>
      <c r="N47" s="66">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","")&amp;IF(ABS(SUMIFS($F$5:$F$1000,$O$5:$O$1000,$O47)-1)&gt;0.0001,"Pesos del mes suman "&amp;TEXT(SUMIFS($F$5:$F$1000,$O$5:$O$1000,$O47),"0%")&amp;"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c r="O47" s="67">
        <f>IF(NOT((COUNTA($B47:$J47)+COUNTA($M47))&gt;0),"",IF(ISNUMBER($D47),DATE(YEAR($D47),MONTH($D47),1),IF(ISNUMBER($E47),DATE(YEAR($E47),MONTH($E47),1),MesCiclo)))</f>
        <v/>
      </c>
      <c r="P47" s="68">
        <f>IF(OR($O47="",$O47&lt;&gt;MesCiclo),"",COUNTIF($O$5:$O47,MesCiclo))</f>
        <v/>
      </c>
    </row>
    <row r="48">
      <c r="A48" s="60">
        <f>IF(NOT((COUNTA($B48:$J48)+COUNTA($M48))&gt;0),"",COUNTIFS($L$5:$L48,"?*",$O$5:$O48,$O48))</f>
        <v/>
      </c>
      <c r="B48" s="61" t="n"/>
      <c r="C48" s="61" t="n"/>
      <c r="D48" s="62" t="n"/>
      <c r="E48" s="62" t="n"/>
      <c r="F48" s="63" t="n"/>
      <c r="G48" s="64" t="n"/>
      <c r="H48" s="64" t="n"/>
      <c r="I48" s="64" t="n"/>
      <c r="J48" s="64" t="n"/>
      <c r="K48" s="65">
        <f>IF(NOT((COUNTA($B48:$J48)+COUNTA($M48))&gt;0),"",IFERROR(LOOKUP(2,1/(G48:J48&lt;&gt;""),G48:J48),0))</f>
        <v/>
      </c>
      <c r="L48" s="60">
        <f>IF(K48="","",IF(K48&gt;=1,"Completado",IF(K48&gt;0,"En curso","Pendiente")))</f>
        <v/>
      </c>
      <c r="M48" s="61" t="n"/>
      <c r="N48" s="66">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","")&amp;IF(ABS(SUMIFS($F$5:$F$1000,$O$5:$O$1000,$O48)-1)&gt;0.0001,"Pesos del mes suman "&amp;TEXT(SUMIFS($F$5:$F$1000,$O$5:$O$1000,$O48),"0%")&amp;"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c r="O48" s="67">
        <f>IF(NOT((COUNTA($B48:$J48)+COUNTA($M48))&gt;0),"",IF(ISNUMBER($D48),DATE(YEAR($D48),MONTH($D48),1),IF(ISNUMBER($E48),DATE(YEAR($E48),MONTH($E48),1),MesCiclo)))</f>
        <v/>
      </c>
      <c r="P48" s="68">
        <f>IF(OR($O48="",$O48&lt;&gt;MesCiclo),"",COUNTIF($O$5:$O48,MesCiclo))</f>
        <v/>
      </c>
    </row>
    <row r="49">
      <c r="A49" s="60">
        <f>IF(NOT((COUNTA($B49:$J49)+COUNTA($M49))&gt;0),"",COUNTIFS($L$5:$L49,"?*",$O$5:$O49,$O49))</f>
        <v/>
      </c>
      <c r="B49" s="61" t="n"/>
      <c r="C49" s="61" t="n"/>
      <c r="D49" s="62" t="n"/>
      <c r="E49" s="62" t="n"/>
      <c r="F49" s="63" t="n"/>
      <c r="G49" s="64" t="n"/>
      <c r="H49" s="64" t="n"/>
      <c r="I49" s="64" t="n"/>
      <c r="J49" s="64" t="n"/>
      <c r="K49" s="65">
        <f>IF(NOT((COUNTA($B49:$J49)+COUNTA($M49))&gt;0),"",IFERROR(LOOKUP(2,1/(G49:J49&lt;&gt;""),G49:J49),0))</f>
        <v/>
      </c>
      <c r="L49" s="60">
        <f>IF(K49="","",IF(K49&gt;=1,"Completado",IF(K49&gt;0,"En curso","Pendiente")))</f>
        <v/>
      </c>
      <c r="M49" s="61" t="n"/>
      <c r="N49" s="66">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","")&amp;IF(ABS(SUMIFS($F$5:$F$1000,$O$5:$O$1000,$O49)-1)&gt;0.0001,"Pesos del mes suman "&amp;TEXT(SUMIFS($F$5:$F$1000,$O$5:$O$1000,$O49),"0%")&amp;"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c r="O49" s="67">
        <f>IF(NOT((COUNTA($B49:$J49)+COUNTA($M49))&gt;0),"",IF(ISNUMBER($D49),DATE(YEAR($D49),MONTH($D49),1),IF(ISNUMBER($E49),DATE(YEAR($E49),MONTH($E49),1),MesCiclo)))</f>
        <v/>
      </c>
      <c r="P49" s="68">
        <f>IF(OR($O49="",$O49&lt;&gt;MesCiclo),"",COUNTIF($O$5:$O49,MesCiclo))</f>
        <v/>
      </c>
    </row>
    <row r="50">
      <c r="A50" s="60">
        <f>IF(NOT((COUNTA($B50:$J50)+COUNTA($M50))&gt;0),"",COUNTIFS($L$5:$L50,"?*",$O$5:$O50,$O50))</f>
        <v/>
      </c>
      <c r="B50" s="61" t="n"/>
      <c r="C50" s="61" t="n"/>
      <c r="D50" s="62" t="n"/>
      <c r="E50" s="62" t="n"/>
      <c r="F50" s="63" t="n"/>
      <c r="G50" s="64" t="n"/>
      <c r="H50" s="64" t="n"/>
      <c r="I50" s="64" t="n"/>
      <c r="J50" s="64" t="n"/>
      <c r="K50" s="65">
        <f>IF(NOT((COUNTA($B50:$J50)+COUNTA($M50))&gt;0),"",IFERROR(LOOKUP(2,1/(G50:J50&lt;&gt;""),G50:J50),0))</f>
        <v/>
      </c>
      <c r="L50" s="60">
        <f>IF(K50="","",IF(K50&gt;=1,"Completado",IF(K50&gt;0,"En curso","Pendiente")))</f>
        <v/>
      </c>
      <c r="M50" s="61" t="n"/>
      <c r="N50" s="66">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","")&amp;IF(ABS(SUMIFS($F$5:$F$1000,$O$5:$O$1000,$O50)-1)&gt;0.0001,"Pesos del mes suman "&amp;TEXT(SUMIFS($F$5:$F$1000,$O$5:$O$1000,$O50),"0%")&amp;"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c r="O50" s="67">
        <f>IF(NOT((COUNTA($B50:$J50)+COUNTA($M50))&gt;0),"",IF(ISNUMBER($D50),DATE(YEAR($D50),MONTH($D50),1),IF(ISNUMBER($E50),DATE(YEAR($E50),MONTH($E50),1),MesCiclo)))</f>
        <v/>
      </c>
      <c r="P50" s="68">
        <f>IF(OR($O50="",$O50&lt;&gt;MesCiclo),"",COUNTIF($O$5:$O50,MesCiclo))</f>
        <v/>
      </c>
    </row>
    <row r="51">
      <c r="A51" s="60">
        <f>IF(NOT((COUNTA($B51:$J51)+COUNTA($M51))&gt;0),"",COUNTIFS($L$5:$L51,"?*",$O$5:$O51,$O51))</f>
        <v/>
      </c>
      <c r="B51" s="61" t="n"/>
      <c r="C51" s="61" t="n"/>
      <c r="D51" s="62" t="n"/>
      <c r="E51" s="62" t="n"/>
      <c r="F51" s="63" t="n"/>
      <c r="G51" s="64" t="n"/>
      <c r="H51" s="64" t="n"/>
      <c r="I51" s="64" t="n"/>
      <c r="J51" s="64" t="n"/>
      <c r="K51" s="65">
        <f>IF(NOT((COUNTA($B51:$J51)+COUNTA($M51))&gt;0),"",IFERROR(LOOKUP(2,1/(G51:J51&lt;&gt;""),G51:J51),0))</f>
        <v/>
      </c>
      <c r="L51" s="60">
        <f>IF(K51="","",IF(K51&gt;=1,"Completado",IF(K51&gt;0,"En curso","Pendiente")))</f>
        <v/>
      </c>
      <c r="M51" s="61" t="n"/>
      <c r="N51" s="66">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","")&amp;IF(ABS(SUMIFS($F$5:$F$1000,$O$5:$O$1000,$O51)-1)&gt;0.0001,"Pesos del mes suman "&amp;TEXT(SUMIFS($F$5:$F$1000,$O$5:$O$1000,$O51),"0%")&amp;"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c r="O51" s="67">
        <f>IF(NOT((COUNTA($B51:$J51)+COUNTA($M51))&gt;0),"",IF(ISNUMBER($D51),DATE(YEAR($D51),MONTH($D51),1),IF(ISNUMBER($E51),DATE(YEAR($E51),MONTH($E51),1),MesCiclo)))</f>
        <v/>
      </c>
      <c r="P51" s="68">
        <f>IF(OR($O51="",$O51&lt;&gt;MesCiclo),"",COUNTIF($O$5:$O51,MesCiclo))</f>
        <v/>
      </c>
    </row>
    <row r="52">
      <c r="A52" s="60">
        <f>IF(NOT((COUNTA($B52:$J52)+COUNTA($M52))&gt;0),"",COUNTIFS($L$5:$L52,"?*",$O$5:$O52,$O52))</f>
        <v/>
      </c>
      <c r="B52" s="61" t="n"/>
      <c r="C52" s="61" t="n"/>
      <c r="D52" s="62" t="n"/>
      <c r="E52" s="62" t="n"/>
      <c r="F52" s="63" t="n"/>
      <c r="G52" s="64" t="n"/>
      <c r="H52" s="64" t="n"/>
      <c r="I52" s="64" t="n"/>
      <c r="J52" s="64" t="n"/>
      <c r="K52" s="65">
        <f>IF(NOT((COUNTA($B52:$J52)+COUNTA($M52))&gt;0),"",IFERROR(LOOKUP(2,1/(G52:J52&lt;&gt;""),G52:J52),0))</f>
        <v/>
      </c>
      <c r="L52" s="60">
        <f>IF(K52="","",IF(K52&gt;=1,"Completado",IF(K52&gt;0,"En curso","Pendiente")))</f>
        <v/>
      </c>
      <c r="M52" s="61" t="n"/>
      <c r="N52" s="66">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","")&amp;IF(ABS(SUMIFS($F$5:$F$1000,$O$5:$O$1000,$O52)-1)&gt;0.0001,"Pesos del mes suman "&amp;TEXT(SUMIFS($F$5:$F$1000,$O$5:$O$1000,$O52),"0%")&amp;"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c r="O52" s="67">
        <f>IF(NOT((COUNTA($B52:$J52)+COUNTA($M52))&gt;0),"",IF(ISNUMBER($D52),DATE(YEAR($D52),MONTH($D52),1),IF(ISNUMBER($E52),DATE(YEAR($E52),MONTH($E52),1),MesCiclo)))</f>
        <v/>
      </c>
      <c r="P52" s="68">
        <f>IF(OR($O52="",$O52&lt;&gt;MesCiclo),"",COUNTIF($O$5:$O52,MesCiclo))</f>
        <v/>
      </c>
    </row>
    <row r="53">
      <c r="A53" s="60">
        <f>IF(NOT((COUNTA($B53:$J53)+COUNTA($M53))&gt;0),"",COUNTIFS($L$5:$L53,"?*",$O$5:$O53,$O53))</f>
        <v/>
      </c>
      <c r="B53" s="61" t="n"/>
      <c r="C53" s="61" t="n"/>
      <c r="D53" s="62" t="n"/>
      <c r="E53" s="62" t="n"/>
      <c r="F53" s="63" t="n"/>
      <c r="G53" s="64" t="n"/>
      <c r="H53" s="64" t="n"/>
      <c r="I53" s="64" t="n"/>
      <c r="J53" s="64" t="n"/>
      <c r="K53" s="65">
        <f>IF(NOT((COUNTA($B53:$J53)+COUNTA($M53))&gt;0),"",IFERROR(LOOKUP(2,1/(G53:J53&lt;&gt;""),G53:J53),0))</f>
        <v/>
      </c>
      <c r="L53" s="60">
        <f>IF(K53="","",IF(K53&gt;=1,"Completado",IF(K53&gt;0,"En curso","Pendiente")))</f>
        <v/>
      </c>
      <c r="M53" s="61" t="n"/>
      <c r="N53" s="66">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","")&amp;IF(ABS(SUMIFS($F$5:$F$1000,$O$5:$O$1000,$O53)-1)&gt;0.0001,"Pesos del mes suman "&amp;TEXT(SUMIFS($F$5:$F$1000,$O$5:$O$1000,$O53),"0%")&amp;"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c r="O53" s="67">
        <f>IF(NOT((COUNTA($B53:$J53)+COUNTA($M53))&gt;0),"",IF(ISNUMBER($D53),DATE(YEAR($D53),MONTH($D53),1),IF(ISNUMBER($E53),DATE(YEAR($E53),MONTH($E53),1),MesCiclo)))</f>
        <v/>
      </c>
      <c r="P53" s="68">
        <f>IF(OR($O53="",$O53&lt;&gt;MesCiclo),"",COUNTIF($O$5:$O53,MesCiclo))</f>
        <v/>
      </c>
    </row>
    <row r="54">
      <c r="A54" s="60">
        <f>IF(NOT((COUNTA($B54:$J54)+COUNTA($M54))&gt;0),"",COUNTIFS($L$5:$L54,"?*",$O$5:$O54,$O54))</f>
        <v/>
      </c>
      <c r="B54" s="61" t="n"/>
      <c r="C54" s="61" t="n"/>
      <c r="D54" s="62" t="n"/>
      <c r="E54" s="62" t="n"/>
      <c r="F54" s="63" t="n"/>
      <c r="G54" s="64" t="n"/>
      <c r="H54" s="64" t="n"/>
      <c r="I54" s="64" t="n"/>
      <c r="J54" s="64" t="n"/>
      <c r="K54" s="65">
        <f>IF(NOT((COUNTA($B54:$J54)+COUNTA($M54))&gt;0),"",IFERROR(LOOKUP(2,1/(G54:J54&lt;&gt;""),G54:J54),0))</f>
        <v/>
      </c>
      <c r="L54" s="60">
        <f>IF(K54="","",IF(K54&gt;=1,"Completado",IF(K54&gt;0,"En curso","Pendiente")))</f>
        <v/>
      </c>
      <c r="M54" s="61" t="n"/>
      <c r="N54" s="66">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","")&amp;IF(ABS(SUMIFS($F$5:$F$1000,$O$5:$O$1000,$O54)-1)&gt;0.0001,"Pesos del mes suman "&amp;TEXT(SUMIFS($F$5:$F$1000,$O$5:$O$1000,$O54),"0%")&amp;"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c r="O54" s="67">
        <f>IF(NOT((COUNTA($B54:$J54)+COUNTA($M54))&gt;0),"",IF(ISNUMBER($D54),DATE(YEAR($D54),MONTH($D54),1),IF(ISNUMBER($E54),DATE(YEAR($E54),MONTH($E54),1),MesCiclo)))</f>
        <v/>
      </c>
      <c r="P54" s="68">
        <f>IF(OR($O54="",$O54&lt;&gt;MesCiclo),"",COUNTIF($O$5:$O54,MesCiclo))</f>
        <v/>
      </c>
    </row>
    <row r="55">
      <c r="A55" s="60">
        <f>IF(NOT((COUNTA($B55:$J55)+COUNTA($M55))&gt;0),"",COUNTIFS($L$5:$L55,"?*",$O$5:$O55,$O55))</f>
        <v/>
      </c>
      <c r="B55" s="61" t="n"/>
      <c r="C55" s="61" t="n"/>
      <c r="D55" s="62" t="n"/>
      <c r="E55" s="62" t="n"/>
      <c r="F55" s="63" t="n"/>
      <c r="G55" s="64" t="n"/>
      <c r="H55" s="64" t="n"/>
      <c r="I55" s="64" t="n"/>
      <c r="J55" s="64" t="n"/>
      <c r="K55" s="65">
        <f>IF(NOT((COUNTA($B55:$J55)+COUNTA($M55))&gt;0),"",IFERROR(LOOKUP(2,1/(G55:J55&lt;&gt;""),G55:J55),0))</f>
        <v/>
      </c>
      <c r="L55" s="60">
        <f>IF(K55="","",IF(K55&gt;=1,"Completado",IF(K55&gt;0,"En curso","Pendiente")))</f>
        <v/>
      </c>
      <c r="M55" s="61" t="n"/>
      <c r="N55" s="66">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","")&amp;IF(ABS(SUMIFS($F$5:$F$1000,$O$5:$O$1000,$O55)-1)&gt;0.0001,"Pesos del mes suman "&amp;TEXT(SUMIFS($F$5:$F$1000,$O$5:$O$1000,$O55),"0%")&amp;"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c r="O55" s="67">
        <f>IF(NOT((COUNTA($B55:$J55)+COUNTA($M55))&gt;0),"",IF(ISNUMBER($D55),DATE(YEAR($D55),MONTH($D55),1),IF(ISNUMBER($E55),DATE(YEAR($E55),MONTH($E55),1),MesCiclo)))</f>
        <v/>
      </c>
      <c r="P55" s="68">
        <f>IF(OR($O55="",$O55&lt;&gt;MesCiclo),"",COUNTIF($O$5:$O55,MesCiclo))</f>
        <v/>
      </c>
    </row>
    <row r="56">
      <c r="A56" s="60">
        <f>IF(NOT((COUNTA($B56:$J56)+COUNTA($M56))&gt;0),"",COUNTIFS($L$5:$L56,"?*",$O$5:$O56,$O56))</f>
        <v/>
      </c>
      <c r="B56" s="61" t="n"/>
      <c r="C56" s="61" t="n"/>
      <c r="D56" s="62" t="n"/>
      <c r="E56" s="62" t="n"/>
      <c r="F56" s="63" t="n"/>
      <c r="G56" s="64" t="n"/>
      <c r="H56" s="64" t="n"/>
      <c r="I56" s="64" t="n"/>
      <c r="J56" s="64" t="n"/>
      <c r="K56" s="65">
        <f>IF(NOT((COUNTA($B56:$J56)+COUNTA($M56))&gt;0),"",IFERROR(LOOKUP(2,1/(G56:J56&lt;&gt;""),G56:J56),0))</f>
        <v/>
      </c>
      <c r="L56" s="60">
        <f>IF(K56="","",IF(K56&gt;=1,"Completado",IF(K56&gt;0,"En curso","Pendiente")))</f>
        <v/>
      </c>
      <c r="M56" s="61" t="n"/>
      <c r="N56" s="66">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","")&amp;IF(ABS(SUMIFS($F$5:$F$1000,$O$5:$O$1000,$O56)-1)&gt;0.0001,"Pesos del mes suman "&amp;TEXT(SUMIFS($F$5:$F$1000,$O$5:$O$1000,$O56),"0%")&amp;"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c r="O56" s="67">
        <f>IF(NOT((COUNTA($B56:$J56)+COUNTA($M56))&gt;0),"",IF(ISNUMBER($D56),DATE(YEAR($D56),MONTH($D56),1),IF(ISNUMBER($E56),DATE(YEAR($E56),MONTH($E56),1),MesCiclo)))</f>
        <v/>
      </c>
      <c r="P56" s="68">
        <f>IF(OR($O56="",$O56&lt;&gt;MesCiclo),"",COUNTIF($O$5:$O56,MesCiclo))</f>
        <v/>
      </c>
    </row>
    <row r="57">
      <c r="A57" s="60">
        <f>IF(NOT((COUNTA($B57:$J57)+COUNTA($M57))&gt;0),"",COUNTIFS($L$5:$L57,"?*",$O$5:$O57,$O57))</f>
        <v/>
      </c>
      <c r="B57" s="61" t="n"/>
      <c r="C57" s="61" t="n"/>
      <c r="D57" s="62" t="n"/>
      <c r="E57" s="62" t="n"/>
      <c r="F57" s="63" t="n"/>
      <c r="G57" s="64" t="n"/>
      <c r="H57" s="64" t="n"/>
      <c r="I57" s="64" t="n"/>
      <c r="J57" s="64" t="n"/>
      <c r="K57" s="65">
        <f>IF(NOT((COUNTA($B57:$J57)+COUNTA($M57))&gt;0),"",IFERROR(LOOKUP(2,1/(G57:J57&lt;&gt;""),G57:J57),0))</f>
        <v/>
      </c>
      <c r="L57" s="60">
        <f>IF(K57="","",IF(K57&gt;=1,"Completado",IF(K57&gt;0,"En curso","Pendiente")))</f>
        <v/>
      </c>
      <c r="M57" s="61" t="n"/>
      <c r="N57" s="66">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","")&amp;IF(ABS(SUMIFS($F$5:$F$1000,$O$5:$O$1000,$O57)-1)&gt;0.0001,"Pesos del mes suman "&amp;TEXT(SUMIFS($F$5:$F$1000,$O$5:$O$1000,$O57),"0%")&amp;"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c r="O57" s="67">
        <f>IF(NOT((COUNTA($B57:$J57)+COUNTA($M57))&gt;0),"",IF(ISNUMBER($D57),DATE(YEAR($D57),MONTH($D57),1),IF(ISNUMBER($E57),DATE(YEAR($E57),MONTH($E57),1),MesCiclo)))</f>
        <v/>
      </c>
      <c r="P57" s="68">
        <f>IF(OR($O57="",$O57&lt;&gt;MesCiclo),"",COUNTIF($O$5:$O57,MesCiclo))</f>
        <v/>
      </c>
    </row>
    <row r="58">
      <c r="A58" s="60">
        <f>IF(NOT((COUNTA($B58:$J58)+COUNTA($M58))&gt;0),"",COUNTIFS($L$5:$L58,"?*",$O$5:$O58,$O58))</f>
        <v/>
      </c>
      <c r="B58" s="61" t="n"/>
      <c r="C58" s="61" t="n"/>
      <c r="D58" s="62" t="n"/>
      <c r="E58" s="62" t="n"/>
      <c r="F58" s="63" t="n"/>
      <c r="G58" s="64" t="n"/>
      <c r="H58" s="64" t="n"/>
      <c r="I58" s="64" t="n"/>
      <c r="J58" s="64" t="n"/>
      <c r="K58" s="65">
        <f>IF(NOT((COUNTA($B58:$J58)+COUNTA($M58))&gt;0),"",IFERROR(LOOKUP(2,1/(G58:J58&lt;&gt;""),G58:J58),0))</f>
        <v/>
      </c>
      <c r="L58" s="60">
        <f>IF(K58="","",IF(K58&gt;=1,"Completado",IF(K58&gt;0,"En curso","Pendiente")))</f>
        <v/>
      </c>
      <c r="M58" s="61" t="n"/>
      <c r="N58" s="66">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","")&amp;IF(ABS(SUMIFS($F$5:$F$1000,$O$5:$O$1000,$O58)-1)&gt;0.0001,"Pesos del mes suman "&amp;TEXT(SUMIFS($F$5:$F$1000,$O$5:$O$1000,$O58),"0%")&amp;"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c r="O58" s="67">
        <f>IF(NOT((COUNTA($B58:$J58)+COUNTA($M58))&gt;0),"",IF(ISNUMBER($D58),DATE(YEAR($D58),MONTH($D58),1),IF(ISNUMBER($E58),DATE(YEAR($E58),MONTH($E58),1),MesCiclo)))</f>
        <v/>
      </c>
      <c r="P58" s="68">
        <f>IF(OR($O58="",$O58&lt;&gt;MesCiclo),"",COUNTIF($O$5:$O58,MesCiclo))</f>
        <v/>
      </c>
    </row>
    <row r="59">
      <c r="A59" s="60">
        <f>IF(NOT((COUNTA($B59:$J59)+COUNTA($M59))&gt;0),"",COUNTIFS($L$5:$L59,"?*",$O$5:$O59,$O59))</f>
        <v/>
      </c>
      <c r="B59" s="61" t="n"/>
      <c r="C59" s="61" t="n"/>
      <c r="D59" s="62" t="n"/>
      <c r="E59" s="62" t="n"/>
      <c r="F59" s="63" t="n"/>
      <c r="G59" s="64" t="n"/>
      <c r="H59" s="64" t="n"/>
      <c r="I59" s="64" t="n"/>
      <c r="J59" s="64" t="n"/>
      <c r="K59" s="65">
        <f>IF(NOT((COUNTA($B59:$J59)+COUNTA($M59))&gt;0),"",IFERROR(LOOKUP(2,1/(G59:J59&lt;&gt;""),G59:J59),0))</f>
        <v/>
      </c>
      <c r="L59" s="60">
        <f>IF(K59="","",IF(K59&gt;=1,"Completado",IF(K59&gt;0,"En curso","Pendiente")))</f>
        <v/>
      </c>
      <c r="M59" s="61" t="n"/>
      <c r="N59" s="66">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","")&amp;IF(ABS(SUMIFS($F$5:$F$1000,$O$5:$O$1000,$O59)-1)&gt;0.0001,"Pesos del mes suman "&amp;TEXT(SUMIFS($F$5:$F$1000,$O$5:$O$1000,$O59),"0%")&amp;"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c r="O59" s="67">
        <f>IF(NOT((COUNTA($B59:$J59)+COUNTA($M59))&gt;0),"",IF(ISNUMBER($D59),DATE(YEAR($D59),MONTH($D59),1),IF(ISNUMBER($E59),DATE(YEAR($E59),MONTH($E59),1),MesCiclo)))</f>
        <v/>
      </c>
      <c r="P59" s="68">
        <f>IF(OR($O59="",$O59&lt;&gt;MesCiclo),"",COUNTIF($O$5:$O59,MesCiclo))</f>
        <v/>
      </c>
    </row>
    <row r="60">
      <c r="A60" s="60">
        <f>IF(NOT((COUNTA($B60:$J60)+COUNTA($M60))&gt;0),"",COUNTIFS($L$5:$L60,"?*",$O$5:$O60,$O60))</f>
        <v/>
      </c>
      <c r="B60" s="61" t="n"/>
      <c r="C60" s="61" t="n"/>
      <c r="D60" s="62" t="n"/>
      <c r="E60" s="62" t="n"/>
      <c r="F60" s="63" t="n"/>
      <c r="G60" s="64" t="n"/>
      <c r="H60" s="64" t="n"/>
      <c r="I60" s="64" t="n"/>
      <c r="J60" s="64" t="n"/>
      <c r="K60" s="65">
        <f>IF(NOT((COUNTA($B60:$J60)+COUNTA($M60))&gt;0),"",IFERROR(LOOKUP(2,1/(G60:J60&lt;&gt;""),G60:J60),0))</f>
        <v/>
      </c>
      <c r="L60" s="60">
        <f>IF(K60="","",IF(K60&gt;=1,"Completado",IF(K60&gt;0,"En curso","Pendiente")))</f>
        <v/>
      </c>
      <c r="M60" s="61" t="n"/>
      <c r="N60" s="66">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","")&amp;IF(ABS(SUMIFS($F$5:$F$1000,$O$5:$O$1000,$O60)-1)&gt;0.0001,"Pesos del mes suman "&amp;TEXT(SUMIFS($F$5:$F$1000,$O$5:$O$1000,$O60),"0%")&amp;"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c r="O60" s="67">
        <f>IF(NOT((COUNTA($B60:$J60)+COUNTA($M60))&gt;0),"",IF(ISNUMBER($D60),DATE(YEAR($D60),MONTH($D60),1),IF(ISNUMBER($E60),DATE(YEAR($E60),MONTH($E60),1),MesCiclo)))</f>
        <v/>
      </c>
      <c r="P60" s="68">
        <f>IF(OR($O60="",$O60&lt;&gt;MesCiclo),"",COUNTIF($O$5:$O60,MesCiclo))</f>
        <v/>
      </c>
    </row>
    <row r="61">
      <c r="A61" s="60">
        <f>IF(NOT((COUNTA($B61:$J61)+COUNTA($M61))&gt;0),"",COUNTIFS($L$5:$L61,"?*",$O$5:$O61,$O61))</f>
        <v/>
      </c>
      <c r="B61" s="61" t="n"/>
      <c r="C61" s="61" t="n"/>
      <c r="D61" s="62" t="n"/>
      <c r="E61" s="62" t="n"/>
      <c r="F61" s="63" t="n"/>
      <c r="G61" s="64" t="n"/>
      <c r="H61" s="64" t="n"/>
      <c r="I61" s="64" t="n"/>
      <c r="J61" s="64" t="n"/>
      <c r="K61" s="65">
        <f>IF(NOT((COUNTA($B61:$J61)+COUNTA($M61))&gt;0),"",IFERROR(LOOKUP(2,1/(G61:J61&lt;&gt;""),G61:J61),0))</f>
        <v/>
      </c>
      <c r="L61" s="60">
        <f>IF(K61="","",IF(K61&gt;=1,"Completado",IF(K61&gt;0,"En curso","Pendiente")))</f>
        <v/>
      </c>
      <c r="M61" s="61" t="n"/>
      <c r="N61" s="66">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","")&amp;IF(ABS(SUMIFS($F$5:$F$1000,$O$5:$O$1000,$O61)-1)&gt;0.0001,"Pesos del mes suman "&amp;TEXT(SUMIFS($F$5:$F$1000,$O$5:$O$1000,$O61),"0%")&amp;"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c r="O61" s="67">
        <f>IF(NOT((COUNTA($B61:$J61)+COUNTA($M61))&gt;0),"",IF(ISNUMBER($D61),DATE(YEAR($D61),MONTH($D61),1),IF(ISNUMBER($E61),DATE(YEAR($E61),MONTH($E61),1),MesCiclo)))</f>
        <v/>
      </c>
      <c r="P61" s="68">
        <f>IF(OR($O61="",$O61&lt;&gt;MesCiclo),"",COUNTIF($O$5:$O61,MesCiclo))</f>
        <v/>
      </c>
    </row>
    <row r="62">
      <c r="A62" s="60">
        <f>IF(NOT((COUNTA($B62:$J62)+COUNTA($M62))&gt;0),"",COUNTIFS($L$5:$L62,"?*",$O$5:$O62,$O62))</f>
        <v/>
      </c>
      <c r="B62" s="61" t="n"/>
      <c r="C62" s="61" t="n"/>
      <c r="D62" s="62" t="n"/>
      <c r="E62" s="62" t="n"/>
      <c r="F62" s="63" t="n"/>
      <c r="G62" s="64" t="n"/>
      <c r="H62" s="64" t="n"/>
      <c r="I62" s="64" t="n"/>
      <c r="J62" s="64" t="n"/>
      <c r="K62" s="65">
        <f>IF(NOT((COUNTA($B62:$J62)+COUNTA($M62))&gt;0),"",IFERROR(LOOKUP(2,1/(G62:J62&lt;&gt;""),G62:J62),0))</f>
        <v/>
      </c>
      <c r="L62" s="60">
        <f>IF(K62="","",IF(K62&gt;=1,"Completado",IF(K62&gt;0,"En curso","Pendiente")))</f>
        <v/>
      </c>
      <c r="M62" s="61" t="n"/>
      <c r="N62" s="66">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","")&amp;IF(ABS(SUMIFS($F$5:$F$1000,$O$5:$O$1000,$O62)-1)&gt;0.0001,"Pesos del mes suman "&amp;TEXT(SUMIFS($F$5:$F$1000,$O$5:$O$1000,$O62),"0%")&amp;"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c r="O62" s="67">
        <f>IF(NOT((COUNTA($B62:$J62)+COUNTA($M62))&gt;0),"",IF(ISNUMBER($D62),DATE(YEAR($D62),MONTH($D62),1),IF(ISNUMBER($E62),DATE(YEAR($E62),MONTH($E62),1),MesCiclo)))</f>
        <v/>
      </c>
      <c r="P62" s="68">
        <f>IF(OR($O62="",$O62&lt;&gt;MesCiclo),"",COUNTIF($O$5:$O62,MesCiclo))</f>
        <v/>
      </c>
    </row>
    <row r="63">
      <c r="A63" s="60">
        <f>IF(NOT((COUNTA($B63:$J63)+COUNTA($M63))&gt;0),"",COUNTIFS($L$5:$L63,"?*",$O$5:$O63,$O63))</f>
        <v/>
      </c>
      <c r="B63" s="61" t="n"/>
      <c r="C63" s="61" t="n"/>
      <c r="D63" s="62" t="n"/>
      <c r="E63" s="62" t="n"/>
      <c r="F63" s="63" t="n"/>
      <c r="G63" s="64" t="n"/>
      <c r="H63" s="64" t="n"/>
      <c r="I63" s="64" t="n"/>
      <c r="J63" s="64" t="n"/>
      <c r="K63" s="65">
        <f>IF(NOT((COUNTA($B63:$J63)+COUNTA($M63))&gt;0),"",IFERROR(LOOKUP(2,1/(G63:J63&lt;&gt;""),G63:J63),0))</f>
        <v/>
      </c>
      <c r="L63" s="60">
        <f>IF(K63="","",IF(K63&gt;=1,"Completado",IF(K63&gt;0,"En curso","Pendiente")))</f>
        <v/>
      </c>
      <c r="M63" s="61" t="n"/>
      <c r="N63" s="66">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","")&amp;IF(ABS(SUMIFS($F$5:$F$1000,$O$5:$O$1000,$O63)-1)&gt;0.0001,"Pesos del mes suman "&amp;TEXT(SUMIFS($F$5:$F$1000,$O$5:$O$1000,$O63),"0%")&amp;"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c r="O63" s="67">
        <f>IF(NOT((COUNTA($B63:$J63)+COUNTA($M63))&gt;0),"",IF(ISNUMBER($D63),DATE(YEAR($D63),MONTH($D63),1),IF(ISNUMBER($E63),DATE(YEAR($E63),MONTH($E63),1),MesCiclo)))</f>
        <v/>
      </c>
      <c r="P63" s="68">
        <f>IF(OR($O63="",$O63&lt;&gt;MesCiclo),"",COUNTIF($O$5:$O63,MesCiclo))</f>
        <v/>
      </c>
    </row>
    <row r="64">
      <c r="A64" s="60">
        <f>IF(NOT((COUNTA($B64:$J64)+COUNTA($M64))&gt;0),"",COUNTIFS($L$5:$L64,"?*",$O$5:$O64,$O64))</f>
        <v/>
      </c>
      <c r="B64" s="61" t="n"/>
      <c r="C64" s="61" t="n"/>
      <c r="D64" s="62" t="n"/>
      <c r="E64" s="62" t="n"/>
      <c r="F64" s="63" t="n"/>
      <c r="G64" s="64" t="n"/>
      <c r="H64" s="64" t="n"/>
      <c r="I64" s="64" t="n"/>
      <c r="J64" s="64" t="n"/>
      <c r="K64" s="65">
        <f>IF(NOT((COUNTA($B64:$J64)+COUNTA($M64))&gt;0),"",IFERROR(LOOKUP(2,1/(G64:J64&lt;&gt;""),G64:J64),0))</f>
        <v/>
      </c>
      <c r="L64" s="60">
        <f>IF(K64="","",IF(K64&gt;=1,"Completado",IF(K64&gt;0,"En curso","Pendiente")))</f>
        <v/>
      </c>
      <c r="M64" s="61" t="n"/>
      <c r="N64" s="66">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","")&amp;IF(ABS(SUMIFS($F$5:$F$1000,$O$5:$O$1000,$O64)-1)&gt;0.0001,"Pesos del mes suman "&amp;TEXT(SUMIFS($F$5:$F$1000,$O$5:$O$1000,$O64),"0%")&amp;"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c r="O64" s="67">
        <f>IF(NOT((COUNTA($B64:$J64)+COUNTA($M64))&gt;0),"",IF(ISNUMBER($D64),DATE(YEAR($D64),MONTH($D64),1),IF(ISNUMBER($E64),DATE(YEAR($E64),MONTH($E64),1),MesCiclo)))</f>
        <v/>
      </c>
      <c r="P64" s="68">
        <f>IF(OR($O64="",$O64&lt;&gt;MesCiclo),"",COUNTIF($O$5:$O64,MesCiclo))</f>
        <v/>
      </c>
    </row>
    <row r="65">
      <c r="A65" s="60">
        <f>IF(NOT((COUNTA($B65:$J65)+COUNTA($M65))&gt;0),"",COUNTIFS($L$5:$L65,"?*",$O$5:$O65,$O65))</f>
        <v/>
      </c>
      <c r="B65" s="61" t="n"/>
      <c r="C65" s="61" t="n"/>
      <c r="D65" s="62" t="n"/>
      <c r="E65" s="62" t="n"/>
      <c r="F65" s="63" t="n"/>
      <c r="G65" s="64" t="n"/>
      <c r="H65" s="64" t="n"/>
      <c r="I65" s="64" t="n"/>
      <c r="J65" s="64" t="n"/>
      <c r="K65" s="65">
        <f>IF(NOT((COUNTA($B65:$J65)+COUNTA($M65))&gt;0),"",IFERROR(LOOKUP(2,1/(G65:J65&lt;&gt;""),G65:J65),0))</f>
        <v/>
      </c>
      <c r="L65" s="60">
        <f>IF(K65="","",IF(K65&gt;=1,"Completado",IF(K65&gt;0,"En curso","Pendiente")))</f>
        <v/>
      </c>
      <c r="M65" s="61" t="n"/>
      <c r="N65" s="66">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","")&amp;IF(ABS(SUMIFS($F$5:$F$1000,$O$5:$O$1000,$O65)-1)&gt;0.0001,"Pesos del mes suman "&amp;TEXT(SUMIFS($F$5:$F$1000,$O$5:$O$1000,$O65),"0%")&amp;"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c r="O65" s="67">
        <f>IF(NOT((COUNTA($B65:$J65)+COUNTA($M65))&gt;0),"",IF(ISNUMBER($D65),DATE(YEAR($D65),MONTH($D65),1),IF(ISNUMBER($E65),DATE(YEAR($E65),MONTH($E65),1),MesCiclo)))</f>
        <v/>
      </c>
      <c r="P65" s="68">
        <f>IF(OR($O65="",$O65&lt;&gt;MesCiclo),"",COUNTIF($O$5:$O65,MesCiclo))</f>
        <v/>
      </c>
    </row>
    <row r="66">
      <c r="A66" s="60">
        <f>IF(NOT((COUNTA($B66:$J66)+COUNTA($M66))&gt;0),"",COUNTIFS($L$5:$L66,"?*",$O$5:$O66,$O66))</f>
        <v/>
      </c>
      <c r="B66" s="61" t="n"/>
      <c r="C66" s="61" t="n"/>
      <c r="D66" s="62" t="n"/>
      <c r="E66" s="62" t="n"/>
      <c r="F66" s="63" t="n"/>
      <c r="G66" s="64" t="n"/>
      <c r="H66" s="64" t="n"/>
      <c r="I66" s="64" t="n"/>
      <c r="J66" s="64" t="n"/>
      <c r="K66" s="65">
        <f>IF(NOT((COUNTA($B66:$J66)+COUNTA($M66))&gt;0),"",IFERROR(LOOKUP(2,1/(G66:J66&lt;&gt;""),G66:J66),0))</f>
        <v/>
      </c>
      <c r="L66" s="60">
        <f>IF(K66="","",IF(K66&gt;=1,"Completado",IF(K66&gt;0,"En curso","Pendiente")))</f>
        <v/>
      </c>
      <c r="M66" s="61" t="n"/>
      <c r="N66" s="66">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","")&amp;IF(ABS(SUMIFS($F$5:$F$1000,$O$5:$O$1000,$O66)-1)&gt;0.0001,"Pesos del mes suman "&amp;TEXT(SUMIFS($F$5:$F$1000,$O$5:$O$1000,$O66),"0%")&amp;"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c r="O66" s="67">
        <f>IF(NOT((COUNTA($B66:$J66)+COUNTA($M66))&gt;0),"",IF(ISNUMBER($D66),DATE(YEAR($D66),MONTH($D66),1),IF(ISNUMBER($E66),DATE(YEAR($E66),MONTH($E66),1),MesCiclo)))</f>
        <v/>
      </c>
      <c r="P66" s="68">
        <f>IF(OR($O66="",$O66&lt;&gt;MesCiclo),"",COUNTIF($O$5:$O66,MesCiclo))</f>
        <v/>
      </c>
    </row>
    <row r="67">
      <c r="A67" s="60">
        <f>IF(NOT((COUNTA($B67:$J67)+COUNTA($M67))&gt;0),"",COUNTIFS($L$5:$L67,"?*",$O$5:$O67,$O67))</f>
        <v/>
      </c>
      <c r="B67" s="61" t="n"/>
      <c r="C67" s="61" t="n"/>
      <c r="D67" s="62" t="n"/>
      <c r="E67" s="62" t="n"/>
      <c r="F67" s="63" t="n"/>
      <c r="G67" s="64" t="n"/>
      <c r="H67" s="64" t="n"/>
      <c r="I67" s="64" t="n"/>
      <c r="J67" s="64" t="n"/>
      <c r="K67" s="65">
        <f>IF(NOT((COUNTA($B67:$J67)+COUNTA($M67))&gt;0),"",IFERROR(LOOKUP(2,1/(G67:J67&lt;&gt;""),G67:J67),0))</f>
        <v/>
      </c>
      <c r="L67" s="60">
        <f>IF(K67="","",IF(K67&gt;=1,"Completado",IF(K67&gt;0,"En curso","Pendiente")))</f>
        <v/>
      </c>
      <c r="M67" s="61" t="n"/>
      <c r="N67" s="66">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","")&amp;IF(ABS(SUMIFS($F$5:$F$1000,$O$5:$O$1000,$O67)-1)&gt;0.0001,"Pesos del mes suman "&amp;TEXT(SUMIFS($F$5:$F$1000,$O$5:$O$1000,$O67),"0%")&amp;"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c r="O67" s="67">
        <f>IF(NOT((COUNTA($B67:$J67)+COUNTA($M67))&gt;0),"",IF(ISNUMBER($D67),DATE(YEAR($D67),MONTH($D67),1),IF(ISNUMBER($E67),DATE(YEAR($E67),MONTH($E67),1),MesCiclo)))</f>
        <v/>
      </c>
      <c r="P67" s="68">
        <f>IF(OR($O67="",$O67&lt;&gt;MesCiclo),"",COUNTIF($O$5:$O67,MesCiclo))</f>
        <v/>
      </c>
    </row>
    <row r="68">
      <c r="A68" s="60">
        <f>IF(NOT((COUNTA($B68:$J68)+COUNTA($M68))&gt;0),"",COUNTIFS($L$5:$L68,"?*",$O$5:$O68,$O68))</f>
        <v/>
      </c>
      <c r="B68" s="61" t="n"/>
      <c r="C68" s="61" t="n"/>
      <c r="D68" s="62" t="n"/>
      <c r="E68" s="62" t="n"/>
      <c r="F68" s="63" t="n"/>
      <c r="G68" s="64" t="n"/>
      <c r="H68" s="64" t="n"/>
      <c r="I68" s="64" t="n"/>
      <c r="J68" s="64" t="n"/>
      <c r="K68" s="65">
        <f>IF(NOT((COUNTA($B68:$J68)+COUNTA($M68))&gt;0),"",IFERROR(LOOKUP(2,1/(G68:J68&lt;&gt;""),G68:J68),0))</f>
        <v/>
      </c>
      <c r="L68" s="60">
        <f>IF(K68="","",IF(K68&gt;=1,"Completado",IF(K68&gt;0,"En curso","Pendiente")))</f>
        <v/>
      </c>
      <c r="M68" s="61" t="n"/>
      <c r="N68" s="66">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","")&amp;IF(ABS(SUMIFS($F$5:$F$1000,$O$5:$O$1000,$O68)-1)&gt;0.0001,"Pesos del mes suman "&amp;TEXT(SUMIFS($F$5:$F$1000,$O$5:$O$1000,$O68),"0%")&amp;"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c r="O68" s="67">
        <f>IF(NOT((COUNTA($B68:$J68)+COUNTA($M68))&gt;0),"",IF(ISNUMBER($D68),DATE(YEAR($D68),MONTH($D68),1),IF(ISNUMBER($E68),DATE(YEAR($E68),MONTH($E68),1),MesCiclo)))</f>
        <v/>
      </c>
      <c r="P68" s="68">
        <f>IF(OR($O68="",$O68&lt;&gt;MesCiclo),"",COUNTIF($O$5:$O68,MesCiclo))</f>
        <v/>
      </c>
    </row>
    <row r="69">
      <c r="A69" s="60">
        <f>IF(NOT((COUNTA($B69:$J69)+COUNTA($M69))&gt;0),"",COUNTIFS($L$5:$L69,"?*",$O$5:$O69,$O69))</f>
        <v/>
      </c>
      <c r="B69" s="61" t="n"/>
      <c r="C69" s="61" t="n"/>
      <c r="D69" s="62" t="n"/>
      <c r="E69" s="62" t="n"/>
      <c r="F69" s="63" t="n"/>
      <c r="G69" s="64" t="n"/>
      <c r="H69" s="64" t="n"/>
      <c r="I69" s="64" t="n"/>
      <c r="J69" s="64" t="n"/>
      <c r="K69" s="65">
        <f>IF(NOT((COUNTA($B69:$J69)+COUNTA($M69))&gt;0),"",IFERROR(LOOKUP(2,1/(G69:J69&lt;&gt;""),G69:J69),0))</f>
        <v/>
      </c>
      <c r="L69" s="60">
        <f>IF(K69="","",IF(K69&gt;=1,"Completado",IF(K69&gt;0,"En curso","Pendiente")))</f>
        <v/>
      </c>
      <c r="M69" s="61" t="n"/>
      <c r="N69" s="66">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","")&amp;IF(ABS(SUMIFS($F$5:$F$1000,$O$5:$O$1000,$O69)-1)&gt;0.0001,"Pesos del mes suman "&amp;TEXT(SUMIFS($F$5:$F$1000,$O$5:$O$1000,$O69),"0%")&amp;"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c r="O69" s="67">
        <f>IF(NOT((COUNTA($B69:$J69)+COUNTA($M69))&gt;0),"",IF(ISNUMBER($D69),DATE(YEAR($D69),MONTH($D69),1),IF(ISNUMBER($E69),DATE(YEAR($E69),MONTH($E69),1),MesCiclo)))</f>
        <v/>
      </c>
      <c r="P69" s="68">
        <f>IF(OR($O69="",$O69&lt;&gt;MesCiclo),"",COUNTIF($O$5:$O69,MesCiclo))</f>
        <v/>
      </c>
    </row>
    <row r="70">
      <c r="A70" s="60">
        <f>IF(NOT((COUNTA($B70:$J70)+COUNTA($M70))&gt;0),"",COUNTIFS($L$5:$L70,"?*",$O$5:$O70,$O70))</f>
        <v/>
      </c>
      <c r="B70" s="61" t="n"/>
      <c r="C70" s="61" t="n"/>
      <c r="D70" s="62" t="n"/>
      <c r="E70" s="62" t="n"/>
      <c r="F70" s="63" t="n"/>
      <c r="G70" s="64" t="n"/>
      <c r="H70" s="64" t="n"/>
      <c r="I70" s="64" t="n"/>
      <c r="J70" s="64" t="n"/>
      <c r="K70" s="65">
        <f>IF(NOT((COUNTA($B70:$J70)+COUNTA($M70))&gt;0),"",IFERROR(LOOKUP(2,1/(G70:J70&lt;&gt;""),G70:J70),0))</f>
        <v/>
      </c>
      <c r="L70" s="60">
        <f>IF(K70="","",IF(K70&gt;=1,"Completado",IF(K70&gt;0,"En curso","Pendiente")))</f>
        <v/>
      </c>
      <c r="M70" s="61" t="n"/>
      <c r="N70" s="66">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","")&amp;IF(ABS(SUMIFS($F$5:$F$1000,$O$5:$O$1000,$O70)-1)&gt;0.0001,"Pesos del mes suman "&amp;TEXT(SUMIFS($F$5:$F$1000,$O$5:$O$1000,$O70),"0%")&amp;"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c r="O70" s="67">
        <f>IF(NOT((COUNTA($B70:$J70)+COUNTA($M70))&gt;0),"",IF(ISNUMBER($D70),DATE(YEAR($D70),MONTH($D70),1),IF(ISNUMBER($E70),DATE(YEAR($E70),MONTH($E70),1),MesCiclo)))</f>
        <v/>
      </c>
      <c r="P70" s="68">
        <f>IF(OR($O70="",$O70&lt;&gt;MesCiclo),"",COUNTIF($O$5:$O70,MesCiclo))</f>
        <v/>
      </c>
    </row>
    <row r="71">
      <c r="A71" s="60">
        <f>IF(NOT((COUNTA($B71:$J71)+COUNTA($M71))&gt;0),"",COUNTIFS($L$5:$L71,"?*",$O$5:$O71,$O71))</f>
        <v/>
      </c>
      <c r="B71" s="61" t="n"/>
      <c r="C71" s="61" t="n"/>
      <c r="D71" s="62" t="n"/>
      <c r="E71" s="62" t="n"/>
      <c r="F71" s="63" t="n"/>
      <c r="G71" s="64" t="n"/>
      <c r="H71" s="64" t="n"/>
      <c r="I71" s="64" t="n"/>
      <c r="J71" s="64" t="n"/>
      <c r="K71" s="65">
        <f>IF(NOT((COUNTA($B71:$J71)+COUNTA($M71))&gt;0),"",IFERROR(LOOKUP(2,1/(G71:J71&lt;&gt;""),G71:J71),0))</f>
        <v/>
      </c>
      <c r="L71" s="60">
        <f>IF(K71="","",IF(K71&gt;=1,"Completado",IF(K71&gt;0,"En curso","Pendiente")))</f>
        <v/>
      </c>
      <c r="M71" s="61" t="n"/>
      <c r="N71" s="66">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","")&amp;IF(ABS(SUMIFS($F$5:$F$1000,$O$5:$O$1000,$O71)-1)&gt;0.0001,"Pesos del mes suman "&amp;TEXT(SUMIFS($F$5:$F$1000,$O$5:$O$1000,$O71),"0%")&amp;"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c r="O71" s="67">
        <f>IF(NOT((COUNTA($B71:$J71)+COUNTA($M71))&gt;0),"",IF(ISNUMBER($D71),DATE(YEAR($D71),MONTH($D71),1),IF(ISNUMBER($E71),DATE(YEAR($E71),MONTH($E71),1),MesCiclo)))</f>
        <v/>
      </c>
      <c r="P71" s="68">
        <f>IF(OR($O71="",$O71&lt;&gt;MesCiclo),"",COUNTIF($O$5:$O71,MesCiclo))</f>
        <v/>
      </c>
    </row>
    <row r="72">
      <c r="A72" s="60">
        <f>IF(NOT((COUNTA($B72:$J72)+COUNTA($M72))&gt;0),"",COUNTIFS($L$5:$L72,"?*",$O$5:$O72,$O72))</f>
        <v/>
      </c>
      <c r="B72" s="61" t="n"/>
      <c r="C72" s="61" t="n"/>
      <c r="D72" s="62" t="n"/>
      <c r="E72" s="62" t="n"/>
      <c r="F72" s="63" t="n"/>
      <c r="G72" s="64" t="n"/>
      <c r="H72" s="64" t="n"/>
      <c r="I72" s="64" t="n"/>
      <c r="J72" s="64" t="n"/>
      <c r="K72" s="65">
        <f>IF(NOT((COUNTA($B72:$J72)+COUNTA($M72))&gt;0),"",IFERROR(LOOKUP(2,1/(G72:J72&lt;&gt;""),G72:J72),0))</f>
        <v/>
      </c>
      <c r="L72" s="60">
        <f>IF(K72="","",IF(K72&gt;=1,"Completado",IF(K72&gt;0,"En curso","Pendiente")))</f>
        <v/>
      </c>
      <c r="M72" s="61" t="n"/>
      <c r="N72" s="66">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","")&amp;IF(ABS(SUMIFS($F$5:$F$1000,$O$5:$O$1000,$O72)-1)&gt;0.0001,"Pesos del mes suman "&amp;TEXT(SUMIFS($F$5:$F$1000,$O$5:$O$1000,$O72),"0%")&amp;"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c r="O72" s="67">
        <f>IF(NOT((COUNTA($B72:$J72)+COUNTA($M72))&gt;0),"",IF(ISNUMBER($D72),DATE(YEAR($D72),MONTH($D72),1),IF(ISNUMBER($E72),DATE(YEAR($E72),MONTH($E72),1),MesCiclo)))</f>
        <v/>
      </c>
      <c r="P72" s="68">
        <f>IF(OR($O72="",$O72&lt;&gt;MesCiclo),"",COUNTIF($O$5:$O72,MesCiclo))</f>
        <v/>
      </c>
    </row>
    <row r="73">
      <c r="A73" s="60">
        <f>IF(NOT((COUNTA($B73:$J73)+COUNTA($M73))&gt;0),"",COUNTIFS($L$5:$L73,"?*",$O$5:$O73,$O73))</f>
        <v/>
      </c>
      <c r="B73" s="61" t="n"/>
      <c r="C73" s="61" t="n"/>
      <c r="D73" s="62" t="n"/>
      <c r="E73" s="62" t="n"/>
      <c r="F73" s="63" t="n"/>
      <c r="G73" s="64" t="n"/>
      <c r="H73" s="64" t="n"/>
      <c r="I73" s="64" t="n"/>
      <c r="J73" s="64" t="n"/>
      <c r="K73" s="65">
        <f>IF(NOT((COUNTA($B73:$J73)+COUNTA($M73))&gt;0),"",IFERROR(LOOKUP(2,1/(G73:J73&lt;&gt;""),G73:J73),0))</f>
        <v/>
      </c>
      <c r="L73" s="60">
        <f>IF(K73="","",IF(K73&gt;=1,"Completado",IF(K73&gt;0,"En curso","Pendiente")))</f>
        <v/>
      </c>
      <c r="M73" s="61" t="n"/>
      <c r="N73" s="66">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","")&amp;IF(ABS(SUMIFS($F$5:$F$1000,$O$5:$O$1000,$O73)-1)&gt;0.0001,"Pesos del mes suman "&amp;TEXT(SUMIFS($F$5:$F$1000,$O$5:$O$1000,$O73),"0%")&amp;"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c r="O73" s="67">
        <f>IF(NOT((COUNTA($B73:$J73)+COUNTA($M73))&gt;0),"",IF(ISNUMBER($D73),DATE(YEAR($D73),MONTH($D73),1),IF(ISNUMBER($E73),DATE(YEAR($E73),MONTH($E73),1),MesCiclo)))</f>
        <v/>
      </c>
      <c r="P73" s="68">
        <f>IF(OR($O73="",$O73&lt;&gt;MesCiclo),"",COUNTIF($O$5:$O73,MesCiclo))</f>
        <v/>
      </c>
    </row>
    <row r="74">
      <c r="A74" s="60">
        <f>IF(NOT((COUNTA($B74:$J74)+COUNTA($M74))&gt;0),"",COUNTIFS($L$5:$L74,"?*",$O$5:$O74,$O74))</f>
        <v/>
      </c>
      <c r="B74" s="61" t="n"/>
      <c r="C74" s="61" t="n"/>
      <c r="D74" s="62" t="n"/>
      <c r="E74" s="62" t="n"/>
      <c r="F74" s="63" t="n"/>
      <c r="G74" s="64" t="n"/>
      <c r="H74" s="64" t="n"/>
      <c r="I74" s="64" t="n"/>
      <c r="J74" s="64" t="n"/>
      <c r="K74" s="65">
        <f>IF(NOT((COUNTA($B74:$J74)+COUNTA($M74))&gt;0),"",IFERROR(LOOKUP(2,1/(G74:J74&lt;&gt;""),G74:J74),0))</f>
        <v/>
      </c>
      <c r="L74" s="60">
        <f>IF(K74="","",IF(K74&gt;=1,"Completado",IF(K74&gt;0,"En curso","Pendiente")))</f>
        <v/>
      </c>
      <c r="M74" s="61" t="n"/>
      <c r="N74" s="66">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","")&amp;IF(ABS(SUMIFS($F$5:$F$1000,$O$5:$O$1000,$O74)-1)&gt;0.0001,"Pesos del mes suman "&amp;TEXT(SUMIFS($F$5:$F$1000,$O$5:$O$1000,$O74),"0%")&amp;"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c r="O74" s="67">
        <f>IF(NOT((COUNTA($B74:$J74)+COUNTA($M74))&gt;0),"",IF(ISNUMBER($D74),DATE(YEAR($D74),MONTH($D74),1),IF(ISNUMBER($E74),DATE(YEAR($E74),MONTH($E74),1),MesCiclo)))</f>
        <v/>
      </c>
      <c r="P74" s="68">
        <f>IF(OR($O74="",$O74&lt;&gt;MesCiclo),"",COUNTIF($O$5:$O74,MesCiclo))</f>
        <v/>
      </c>
    </row>
    <row r="75">
      <c r="A75" s="60">
        <f>IF(NOT((COUNTA($B75:$J75)+COUNTA($M75))&gt;0),"",COUNTIFS($L$5:$L75,"?*",$O$5:$O75,$O75))</f>
        <v/>
      </c>
      <c r="B75" s="61" t="n"/>
      <c r="C75" s="61" t="n"/>
      <c r="D75" s="62" t="n"/>
      <c r="E75" s="62" t="n"/>
      <c r="F75" s="63" t="n"/>
      <c r="G75" s="64" t="n"/>
      <c r="H75" s="64" t="n"/>
      <c r="I75" s="64" t="n"/>
      <c r="J75" s="64" t="n"/>
      <c r="K75" s="65">
        <f>IF(NOT((COUNTA($B75:$J75)+COUNTA($M75))&gt;0),"",IFERROR(LOOKUP(2,1/(G75:J75&lt;&gt;""),G75:J75),0))</f>
        <v/>
      </c>
      <c r="L75" s="60">
        <f>IF(K75="","",IF(K75&gt;=1,"Completado",IF(K75&gt;0,"En curso","Pendiente")))</f>
        <v/>
      </c>
      <c r="M75" s="61" t="n"/>
      <c r="N75" s="66">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","")&amp;IF(ABS(SUMIFS($F$5:$F$1000,$O$5:$O$1000,$O75)-1)&gt;0.0001,"Pesos del mes suman "&amp;TEXT(SUMIFS($F$5:$F$1000,$O$5:$O$1000,$O75),"0%")&amp;"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c r="O75" s="67">
        <f>IF(NOT((COUNTA($B75:$J75)+COUNTA($M75))&gt;0),"",IF(ISNUMBER($D75),DATE(YEAR($D75),MONTH($D75),1),IF(ISNUMBER($E75),DATE(YEAR($E75),MONTH($E75),1),MesCiclo)))</f>
        <v/>
      </c>
      <c r="P75" s="68">
        <f>IF(OR($O75="",$O75&lt;&gt;MesCiclo),"",COUNTIF($O$5:$O75,MesCiclo))</f>
        <v/>
      </c>
    </row>
    <row r="76">
      <c r="A76" s="60">
        <f>IF(NOT((COUNTA($B76:$J76)+COUNTA($M76))&gt;0),"",COUNTIFS($L$5:$L76,"?*",$O$5:$O76,$O76))</f>
        <v/>
      </c>
      <c r="B76" s="61" t="n"/>
      <c r="C76" s="61" t="n"/>
      <c r="D76" s="62" t="n"/>
      <c r="E76" s="62" t="n"/>
      <c r="F76" s="63" t="n"/>
      <c r="G76" s="64" t="n"/>
      <c r="H76" s="64" t="n"/>
      <c r="I76" s="64" t="n"/>
      <c r="J76" s="64" t="n"/>
      <c r="K76" s="65">
        <f>IF(NOT((COUNTA($B76:$J76)+COUNTA($M76))&gt;0),"",IFERROR(LOOKUP(2,1/(G76:J76&lt;&gt;""),G76:J76),0))</f>
        <v/>
      </c>
      <c r="L76" s="60">
        <f>IF(K76="","",IF(K76&gt;=1,"Completado",IF(K76&gt;0,"En curso","Pendiente")))</f>
        <v/>
      </c>
      <c r="M76" s="61" t="n"/>
      <c r="N76" s="66">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","")&amp;IF(ABS(SUMIFS($F$5:$F$1000,$O$5:$O$1000,$O76)-1)&gt;0.0001,"Pesos del mes suman "&amp;TEXT(SUMIFS($F$5:$F$1000,$O$5:$O$1000,$O76),"0%")&amp;"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c r="O76" s="67">
        <f>IF(NOT((COUNTA($B76:$J76)+COUNTA($M76))&gt;0),"",IF(ISNUMBER($D76),DATE(YEAR($D76),MONTH($D76),1),IF(ISNUMBER($E76),DATE(YEAR($E76),MONTH($E76),1),MesCiclo)))</f>
        <v/>
      </c>
      <c r="P76" s="68">
        <f>IF(OR($O76="",$O76&lt;&gt;MesCiclo),"",COUNTIF($O$5:$O76,MesCiclo))</f>
        <v/>
      </c>
    </row>
    <row r="77">
      <c r="A77" s="60">
        <f>IF(NOT((COUNTA($B77:$J77)+COUNTA($M77))&gt;0),"",COUNTIFS($L$5:$L77,"?*",$O$5:$O77,$O77))</f>
        <v/>
      </c>
      <c r="B77" s="61" t="n"/>
      <c r="C77" s="61" t="n"/>
      <c r="D77" s="62" t="n"/>
      <c r="E77" s="62" t="n"/>
      <c r="F77" s="63" t="n"/>
      <c r="G77" s="64" t="n"/>
      <c r="H77" s="64" t="n"/>
      <c r="I77" s="64" t="n"/>
      <c r="J77" s="64" t="n"/>
      <c r="K77" s="65">
        <f>IF(NOT((COUNTA($B77:$J77)+COUNTA($M77))&gt;0),"",IFERROR(LOOKUP(2,1/(G77:J77&lt;&gt;""),G77:J77),0))</f>
        <v/>
      </c>
      <c r="L77" s="60">
        <f>IF(K77="","",IF(K77&gt;=1,"Completado",IF(K77&gt;0,"En curso","Pendiente")))</f>
        <v/>
      </c>
      <c r="M77" s="61" t="n"/>
      <c r="N77" s="66">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","")&amp;IF(ABS(SUMIFS($F$5:$F$1000,$O$5:$O$1000,$O77)-1)&gt;0.0001,"Pesos del mes suman "&amp;TEXT(SUMIFS($F$5:$F$1000,$O$5:$O$1000,$O77),"0%")&amp;"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c r="O77" s="67">
        <f>IF(NOT((COUNTA($B77:$J77)+COUNTA($M77))&gt;0),"",IF(ISNUMBER($D77),DATE(YEAR($D77),MONTH($D77),1),IF(ISNUMBER($E77),DATE(YEAR($E77),MONTH($E77),1),MesCiclo)))</f>
        <v/>
      </c>
      <c r="P77" s="68">
        <f>IF(OR($O77="",$O77&lt;&gt;MesCiclo),"",COUNTIF($O$5:$O77,MesCiclo))</f>
        <v/>
      </c>
    </row>
    <row r="78">
      <c r="A78" s="60">
        <f>IF(NOT((COUNTA($B78:$J78)+COUNTA($M78))&gt;0),"",COUNTIFS($L$5:$L78,"?*",$O$5:$O78,$O78))</f>
        <v/>
      </c>
      <c r="B78" s="61" t="n"/>
      <c r="C78" s="61" t="n"/>
      <c r="D78" s="62" t="n"/>
      <c r="E78" s="62" t="n"/>
      <c r="F78" s="63" t="n"/>
      <c r="G78" s="64" t="n"/>
      <c r="H78" s="64" t="n"/>
      <c r="I78" s="64" t="n"/>
      <c r="J78" s="64" t="n"/>
      <c r="K78" s="65">
        <f>IF(NOT((COUNTA($B78:$J78)+COUNTA($M78))&gt;0),"",IFERROR(LOOKUP(2,1/(G78:J78&lt;&gt;""),G78:J78),0))</f>
        <v/>
      </c>
      <c r="L78" s="60">
        <f>IF(K78="","",IF(K78&gt;=1,"Completado",IF(K78&gt;0,"En curso","Pendiente")))</f>
        <v/>
      </c>
      <c r="M78" s="61" t="n"/>
      <c r="N78" s="66">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","")&amp;IF(ABS(SUMIFS($F$5:$F$1000,$O$5:$O$1000,$O78)-1)&gt;0.0001,"Pesos del mes suman "&amp;TEXT(SUMIFS($F$5:$F$1000,$O$5:$O$1000,$O78),"0%")&amp;"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c r="O78" s="67">
        <f>IF(NOT((COUNTA($B78:$J78)+COUNTA($M78))&gt;0),"",IF(ISNUMBER($D78),DATE(YEAR($D78),MONTH($D78),1),IF(ISNUMBER($E78),DATE(YEAR($E78),MONTH($E78),1),MesCiclo)))</f>
        <v/>
      </c>
      <c r="P78" s="68">
        <f>IF(OR($O78="",$O78&lt;&gt;MesCiclo),"",COUNTIF($O$5:$O78,MesCiclo))</f>
        <v/>
      </c>
    </row>
    <row r="79">
      <c r="A79" s="60">
        <f>IF(NOT((COUNTA($B79:$J79)+COUNTA($M79))&gt;0),"",COUNTIFS($L$5:$L79,"?*",$O$5:$O79,$O79))</f>
        <v/>
      </c>
      <c r="B79" s="61" t="n"/>
      <c r="C79" s="61" t="n"/>
      <c r="D79" s="62" t="n"/>
      <c r="E79" s="62" t="n"/>
      <c r="F79" s="63" t="n"/>
      <c r="G79" s="64" t="n"/>
      <c r="H79" s="64" t="n"/>
      <c r="I79" s="64" t="n"/>
      <c r="J79" s="64" t="n"/>
      <c r="K79" s="65">
        <f>IF(NOT((COUNTA($B79:$J79)+COUNTA($M79))&gt;0),"",IFERROR(LOOKUP(2,1/(G79:J79&lt;&gt;""),G79:J79),0))</f>
        <v/>
      </c>
      <c r="L79" s="60">
        <f>IF(K79="","",IF(K79&gt;=1,"Completado",IF(K79&gt;0,"En curso","Pendiente")))</f>
        <v/>
      </c>
      <c r="M79" s="61" t="n"/>
      <c r="N79" s="66">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","")&amp;IF(ABS(SUMIFS($F$5:$F$1000,$O$5:$O$1000,$O79)-1)&gt;0.0001,"Pesos del mes suman "&amp;TEXT(SUMIFS($F$5:$F$1000,$O$5:$O$1000,$O79),"0%")&amp;"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c r="O79" s="67">
        <f>IF(NOT((COUNTA($B79:$J79)+COUNTA($M79))&gt;0),"",IF(ISNUMBER($D79),DATE(YEAR($D79),MONTH($D79),1),IF(ISNUMBER($E79),DATE(YEAR($E79),MONTH($E79),1),MesCiclo)))</f>
        <v/>
      </c>
      <c r="P79" s="68">
        <f>IF(OR($O79="",$O79&lt;&gt;MesCiclo),"",COUNTIF($O$5:$O79,MesCiclo))</f>
        <v/>
      </c>
    </row>
    <row r="80">
      <c r="A80" s="60">
        <f>IF(NOT((COUNTA($B80:$J80)+COUNTA($M80))&gt;0),"",COUNTIFS($L$5:$L80,"?*",$O$5:$O80,$O80))</f>
        <v/>
      </c>
      <c r="B80" s="61" t="n"/>
      <c r="C80" s="61" t="n"/>
      <c r="D80" s="62" t="n"/>
      <c r="E80" s="62" t="n"/>
      <c r="F80" s="63" t="n"/>
      <c r="G80" s="64" t="n"/>
      <c r="H80" s="64" t="n"/>
      <c r="I80" s="64" t="n"/>
      <c r="J80" s="64" t="n"/>
      <c r="K80" s="65">
        <f>IF(NOT((COUNTA($B80:$J80)+COUNTA($M80))&gt;0),"",IFERROR(LOOKUP(2,1/(G80:J80&lt;&gt;""),G80:J80),0))</f>
        <v/>
      </c>
      <c r="L80" s="60">
        <f>IF(K80="","",IF(K80&gt;=1,"Completado",IF(K80&gt;0,"En curso","Pendiente")))</f>
        <v/>
      </c>
      <c r="M80" s="61" t="n"/>
      <c r="N80" s="66">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","")&amp;IF(ABS(SUMIFS($F$5:$F$1000,$O$5:$O$1000,$O80)-1)&gt;0.0001,"Pesos del mes suman "&amp;TEXT(SUMIFS($F$5:$F$1000,$O$5:$O$1000,$O80),"0%")&amp;"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c r="O80" s="67">
        <f>IF(NOT((COUNTA($B80:$J80)+COUNTA($M80))&gt;0),"",IF(ISNUMBER($D80),DATE(YEAR($D80),MONTH($D80),1),IF(ISNUMBER($E80),DATE(YEAR($E80),MONTH($E80),1),MesCiclo)))</f>
        <v/>
      </c>
      <c r="P80" s="68">
        <f>IF(OR($O80="",$O80&lt;&gt;MesCiclo),"",COUNTIF($O$5:$O80,MesCiclo))</f>
        <v/>
      </c>
    </row>
    <row r="81">
      <c r="A81" s="60">
        <f>IF(NOT((COUNTA($B81:$J81)+COUNTA($M81))&gt;0),"",COUNTIFS($L$5:$L81,"?*",$O$5:$O81,$O81))</f>
        <v/>
      </c>
      <c r="B81" s="61" t="n"/>
      <c r="C81" s="61" t="n"/>
      <c r="D81" s="62" t="n"/>
      <c r="E81" s="62" t="n"/>
      <c r="F81" s="63" t="n"/>
      <c r="G81" s="64" t="n"/>
      <c r="H81" s="64" t="n"/>
      <c r="I81" s="64" t="n"/>
      <c r="J81" s="64" t="n"/>
      <c r="K81" s="65">
        <f>IF(NOT((COUNTA($B81:$J81)+COUNTA($M81))&gt;0),"",IFERROR(LOOKUP(2,1/(G81:J81&lt;&gt;""),G81:J81),0))</f>
        <v/>
      </c>
      <c r="L81" s="60">
        <f>IF(K81="","",IF(K81&gt;=1,"Completado",IF(K81&gt;0,"En curso","Pendiente")))</f>
        <v/>
      </c>
      <c r="M81" s="61" t="n"/>
      <c r="N81" s="66">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","")&amp;IF(ABS(SUMIFS($F$5:$F$1000,$O$5:$O$1000,$O81)-1)&gt;0.0001,"Pesos del mes suman "&amp;TEXT(SUMIFS($F$5:$F$1000,$O$5:$O$1000,$O81),"0%")&amp;"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c r="O81" s="67">
        <f>IF(NOT((COUNTA($B81:$J81)+COUNTA($M81))&gt;0),"",IF(ISNUMBER($D81),DATE(YEAR($D81),MONTH($D81),1),IF(ISNUMBER($E81),DATE(YEAR($E81),MONTH($E81),1),MesCiclo)))</f>
        <v/>
      </c>
      <c r="P81" s="68">
        <f>IF(OR($O81="",$O81&lt;&gt;MesCiclo),"",COUNTIF($O$5:$O81,MesCiclo))</f>
        <v/>
      </c>
    </row>
    <row r="82">
      <c r="A82" s="60">
        <f>IF(NOT((COUNTA($B82:$J82)+COUNTA($M82))&gt;0),"",COUNTIFS($L$5:$L82,"?*",$O$5:$O82,$O82))</f>
        <v/>
      </c>
      <c r="B82" s="61" t="n"/>
      <c r="C82" s="61" t="n"/>
      <c r="D82" s="62" t="n"/>
      <c r="E82" s="62" t="n"/>
      <c r="F82" s="63" t="n"/>
      <c r="G82" s="64" t="n"/>
      <c r="H82" s="64" t="n"/>
      <c r="I82" s="64" t="n"/>
      <c r="J82" s="64" t="n"/>
      <c r="K82" s="65">
        <f>IF(NOT((COUNTA($B82:$J82)+COUNTA($M82))&gt;0),"",IFERROR(LOOKUP(2,1/(G82:J82&lt;&gt;""),G82:J82),0))</f>
        <v/>
      </c>
      <c r="L82" s="60">
        <f>IF(K82="","",IF(K82&gt;=1,"Completado",IF(K82&gt;0,"En curso","Pendiente")))</f>
        <v/>
      </c>
      <c r="M82" s="61" t="n"/>
      <c r="N82" s="66">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","")&amp;IF(ABS(SUMIFS($F$5:$F$1000,$O$5:$O$1000,$O82)-1)&gt;0.0001,"Pesos del mes suman "&amp;TEXT(SUMIFS($F$5:$F$1000,$O$5:$O$1000,$O82),"0%")&amp;"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c r="O82" s="67">
        <f>IF(NOT((COUNTA($B82:$J82)+COUNTA($M82))&gt;0),"",IF(ISNUMBER($D82),DATE(YEAR($D82),MONTH($D82),1),IF(ISNUMBER($E82),DATE(YEAR($E82),MONTH($E82),1),MesCiclo)))</f>
        <v/>
      </c>
      <c r="P82" s="68">
        <f>IF(OR($O82="",$O82&lt;&gt;MesCiclo),"",COUNTIF($O$5:$O82,MesCiclo))</f>
        <v/>
      </c>
    </row>
    <row r="83">
      <c r="A83" s="60">
        <f>IF(NOT((COUNTA($B83:$J83)+COUNTA($M83))&gt;0),"",COUNTIFS($L$5:$L83,"?*",$O$5:$O83,$O83))</f>
        <v/>
      </c>
      <c r="B83" s="61" t="n"/>
      <c r="C83" s="61" t="n"/>
      <c r="D83" s="62" t="n"/>
      <c r="E83" s="62" t="n"/>
      <c r="F83" s="63" t="n"/>
      <c r="G83" s="64" t="n"/>
      <c r="H83" s="64" t="n"/>
      <c r="I83" s="64" t="n"/>
      <c r="J83" s="64" t="n"/>
      <c r="K83" s="65">
        <f>IF(NOT((COUNTA($B83:$J83)+COUNTA($M83))&gt;0),"",IFERROR(LOOKUP(2,1/(G83:J83&lt;&gt;""),G83:J83),0))</f>
        <v/>
      </c>
      <c r="L83" s="60">
        <f>IF(K83="","",IF(K83&gt;=1,"Completado",IF(K83&gt;0,"En curso","Pendiente")))</f>
        <v/>
      </c>
      <c r="M83" s="61" t="n"/>
      <c r="N83" s="66">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","")&amp;IF(ABS(SUMIFS($F$5:$F$1000,$O$5:$O$1000,$O83)-1)&gt;0.0001,"Pesos del mes suman "&amp;TEXT(SUMIFS($F$5:$F$1000,$O$5:$O$1000,$O83),"0%")&amp;"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c r="O83" s="67">
        <f>IF(NOT((COUNTA($B83:$J83)+COUNTA($M83))&gt;0),"",IF(ISNUMBER($D83),DATE(YEAR($D83),MONTH($D83),1),IF(ISNUMBER($E83),DATE(YEAR($E83),MONTH($E83),1),MesCiclo)))</f>
        <v/>
      </c>
      <c r="P83" s="68">
        <f>IF(OR($O83="",$O83&lt;&gt;MesCiclo),"",COUNTIF($O$5:$O83,MesCiclo))</f>
        <v/>
      </c>
    </row>
    <row r="84">
      <c r="A84" s="60">
        <f>IF(NOT((COUNTA($B84:$J84)+COUNTA($M84))&gt;0),"",COUNTIFS($L$5:$L84,"?*",$O$5:$O84,$O84))</f>
        <v/>
      </c>
      <c r="B84" s="61" t="n"/>
      <c r="C84" s="61" t="n"/>
      <c r="D84" s="62" t="n"/>
      <c r="E84" s="62" t="n"/>
      <c r="F84" s="63" t="n"/>
      <c r="G84" s="64" t="n"/>
      <c r="H84" s="64" t="n"/>
      <c r="I84" s="64" t="n"/>
      <c r="J84" s="64" t="n"/>
      <c r="K84" s="65">
        <f>IF(NOT((COUNTA($B84:$J84)+COUNTA($M84))&gt;0),"",IFERROR(LOOKUP(2,1/(G84:J84&lt;&gt;""),G84:J84),0))</f>
        <v/>
      </c>
      <c r="L84" s="60">
        <f>IF(K84="","",IF(K84&gt;=1,"Completado",IF(K84&gt;0,"En curso","Pendiente")))</f>
        <v/>
      </c>
      <c r="M84" s="61" t="n"/>
      <c r="N84" s="66">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","")&amp;IF(ABS(SUMIFS($F$5:$F$1000,$O$5:$O$1000,$O84)-1)&gt;0.0001,"Pesos del mes suman "&amp;TEXT(SUMIFS($F$5:$F$1000,$O$5:$O$1000,$O84),"0%")&amp;"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c r="O84" s="67">
        <f>IF(NOT((COUNTA($B84:$J84)+COUNTA($M84))&gt;0),"",IF(ISNUMBER($D84),DATE(YEAR($D84),MONTH($D84),1),IF(ISNUMBER($E84),DATE(YEAR($E84),MONTH($E84),1),MesCiclo)))</f>
        <v/>
      </c>
      <c r="P84" s="68">
        <f>IF(OR($O84="",$O84&lt;&gt;MesCiclo),"",COUNTIF($O$5:$O84,MesCiclo))</f>
        <v/>
      </c>
    </row>
    <row r="85">
      <c r="A85" s="60">
        <f>IF(NOT((COUNTA($B85:$J85)+COUNTA($M85))&gt;0),"",COUNTIFS($L$5:$L85,"?*",$O$5:$O85,$O85))</f>
        <v/>
      </c>
      <c r="B85" s="61" t="n"/>
      <c r="C85" s="61" t="n"/>
      <c r="D85" s="62" t="n"/>
      <c r="E85" s="62" t="n"/>
      <c r="F85" s="63" t="n"/>
      <c r="G85" s="64" t="n"/>
      <c r="H85" s="64" t="n"/>
      <c r="I85" s="64" t="n"/>
      <c r="J85" s="64" t="n"/>
      <c r="K85" s="65">
        <f>IF(NOT((COUNTA($B85:$J85)+COUNTA($M85))&gt;0),"",IFERROR(LOOKUP(2,1/(G85:J85&lt;&gt;""),G85:J85),0))</f>
        <v/>
      </c>
      <c r="L85" s="60">
        <f>IF(K85="","",IF(K85&gt;=1,"Completado",IF(K85&gt;0,"En curso","Pendiente")))</f>
        <v/>
      </c>
      <c r="M85" s="61" t="n"/>
      <c r="N85" s="66">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","")&amp;IF(ABS(SUMIFS($F$5:$F$1000,$O$5:$O$1000,$O85)-1)&gt;0.0001,"Pesos del mes suman "&amp;TEXT(SUMIFS($F$5:$F$1000,$O$5:$O$1000,$O85),"0%")&amp;"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c r="O85" s="67">
        <f>IF(NOT((COUNTA($B85:$J85)+COUNTA($M85))&gt;0),"",IF(ISNUMBER($D85),DATE(YEAR($D85),MONTH($D85),1),IF(ISNUMBER($E85),DATE(YEAR($E85),MONTH($E85),1),MesCiclo)))</f>
        <v/>
      </c>
      <c r="P85" s="68">
        <f>IF(OR($O85="",$O85&lt;&gt;MesCiclo),"",COUNTIF($O$5:$O85,MesCiclo))</f>
        <v/>
      </c>
    </row>
    <row r="86">
      <c r="A86" s="60">
        <f>IF(NOT((COUNTA($B86:$J86)+COUNTA($M86))&gt;0),"",COUNTIFS($L$5:$L86,"?*",$O$5:$O86,$O86))</f>
        <v/>
      </c>
      <c r="B86" s="61" t="n"/>
      <c r="C86" s="61" t="n"/>
      <c r="D86" s="62" t="n"/>
      <c r="E86" s="62" t="n"/>
      <c r="F86" s="63" t="n"/>
      <c r="G86" s="64" t="n"/>
      <c r="H86" s="64" t="n"/>
      <c r="I86" s="64" t="n"/>
      <c r="J86" s="64" t="n"/>
      <c r="K86" s="65">
        <f>IF(NOT((COUNTA($B86:$J86)+COUNTA($M86))&gt;0),"",IFERROR(LOOKUP(2,1/(G86:J86&lt;&gt;""),G86:J86),0))</f>
        <v/>
      </c>
      <c r="L86" s="60">
        <f>IF(K86="","",IF(K86&gt;=1,"Completado",IF(K86&gt;0,"En curso","Pendiente")))</f>
        <v/>
      </c>
      <c r="M86" s="61" t="n"/>
      <c r="N86" s="66">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","")&amp;IF(ABS(SUMIFS($F$5:$F$1000,$O$5:$O$1000,$O86)-1)&gt;0.0001,"Pesos del mes suman "&amp;TEXT(SUMIFS($F$5:$F$1000,$O$5:$O$1000,$O86),"0%")&amp;"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c r="O86" s="67">
        <f>IF(NOT((COUNTA($B86:$J86)+COUNTA($M86))&gt;0),"",IF(ISNUMBER($D86),DATE(YEAR($D86),MONTH($D86),1),IF(ISNUMBER($E86),DATE(YEAR($E86),MONTH($E86),1),MesCiclo)))</f>
        <v/>
      </c>
      <c r="P86" s="68">
        <f>IF(OR($O86="",$O86&lt;&gt;MesCiclo),"",COUNTIF($O$5:$O86,MesCiclo))</f>
        <v/>
      </c>
    </row>
    <row r="87">
      <c r="A87" s="60">
        <f>IF(NOT((COUNTA($B87:$J87)+COUNTA($M87))&gt;0),"",COUNTIFS($L$5:$L87,"?*",$O$5:$O87,$O87))</f>
        <v/>
      </c>
      <c r="B87" s="61" t="n"/>
      <c r="C87" s="61" t="n"/>
      <c r="D87" s="62" t="n"/>
      <c r="E87" s="62" t="n"/>
      <c r="F87" s="63" t="n"/>
      <c r="G87" s="64" t="n"/>
      <c r="H87" s="64" t="n"/>
      <c r="I87" s="64" t="n"/>
      <c r="J87" s="64" t="n"/>
      <c r="K87" s="65">
        <f>IF(NOT((COUNTA($B87:$J87)+COUNTA($M87))&gt;0),"",IFERROR(LOOKUP(2,1/(G87:J87&lt;&gt;""),G87:J87),0))</f>
        <v/>
      </c>
      <c r="L87" s="60">
        <f>IF(K87="","",IF(K87&gt;=1,"Completado",IF(K87&gt;0,"En curso","Pendiente")))</f>
        <v/>
      </c>
      <c r="M87" s="61" t="n"/>
      <c r="N87" s="66">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","")&amp;IF(ABS(SUMIFS($F$5:$F$1000,$O$5:$O$1000,$O87)-1)&gt;0.0001,"Pesos del mes suman "&amp;TEXT(SUMIFS($F$5:$F$1000,$O$5:$O$1000,$O87),"0%")&amp;"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c r="O87" s="67">
        <f>IF(NOT((COUNTA($B87:$J87)+COUNTA($M87))&gt;0),"",IF(ISNUMBER($D87),DATE(YEAR($D87),MONTH($D87),1),IF(ISNUMBER($E87),DATE(YEAR($E87),MONTH($E87),1),MesCiclo)))</f>
        <v/>
      </c>
      <c r="P87" s="68">
        <f>IF(OR($O87="",$O87&lt;&gt;MesCiclo),"",COUNTIF($O$5:$O87,MesCiclo))</f>
        <v/>
      </c>
    </row>
    <row r="88">
      <c r="A88" s="60">
        <f>IF(NOT((COUNTA($B88:$J88)+COUNTA($M88))&gt;0),"",COUNTIFS($L$5:$L88,"?*",$O$5:$O88,$O88))</f>
        <v/>
      </c>
      <c r="B88" s="61" t="n"/>
      <c r="C88" s="61" t="n"/>
      <c r="D88" s="62" t="n"/>
      <c r="E88" s="62" t="n"/>
      <c r="F88" s="63" t="n"/>
      <c r="G88" s="64" t="n"/>
      <c r="H88" s="64" t="n"/>
      <c r="I88" s="64" t="n"/>
      <c r="J88" s="64" t="n"/>
      <c r="K88" s="65">
        <f>IF(NOT((COUNTA($B88:$J88)+COUNTA($M88))&gt;0),"",IFERROR(LOOKUP(2,1/(G88:J88&lt;&gt;""),G88:J88),0))</f>
        <v/>
      </c>
      <c r="L88" s="60">
        <f>IF(K88="","",IF(K88&gt;=1,"Completado",IF(K88&gt;0,"En curso","Pendiente")))</f>
        <v/>
      </c>
      <c r="M88" s="61" t="n"/>
      <c r="N88" s="66">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","")&amp;IF(ABS(SUMIFS($F$5:$F$1000,$O$5:$O$1000,$O88)-1)&gt;0.0001,"Pesos del mes suman "&amp;TEXT(SUMIFS($F$5:$F$1000,$O$5:$O$1000,$O88),"0%")&amp;"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c r="O88" s="67">
        <f>IF(NOT((COUNTA($B88:$J88)+COUNTA($M88))&gt;0),"",IF(ISNUMBER($D88),DATE(YEAR($D88),MONTH($D88),1),IF(ISNUMBER($E88),DATE(YEAR($E88),MONTH($E88),1),MesCiclo)))</f>
        <v/>
      </c>
      <c r="P88" s="68">
        <f>IF(OR($O88="",$O88&lt;&gt;MesCiclo),"",COUNTIF($O$5:$O88,MesCiclo))</f>
        <v/>
      </c>
    </row>
    <row r="89">
      <c r="A89" s="60">
        <f>IF(NOT((COUNTA($B89:$J89)+COUNTA($M89))&gt;0),"",COUNTIFS($L$5:$L89,"?*",$O$5:$O89,$O89))</f>
        <v/>
      </c>
      <c r="B89" s="61" t="n"/>
      <c r="C89" s="61" t="n"/>
      <c r="D89" s="62" t="n"/>
      <c r="E89" s="62" t="n"/>
      <c r="F89" s="63" t="n"/>
      <c r="G89" s="64" t="n"/>
      <c r="H89" s="64" t="n"/>
      <c r="I89" s="64" t="n"/>
      <c r="J89" s="64" t="n"/>
      <c r="K89" s="65">
        <f>IF(NOT((COUNTA($B89:$J89)+COUNTA($M89))&gt;0),"",IFERROR(LOOKUP(2,1/(G89:J89&lt;&gt;""),G89:J89),0))</f>
        <v/>
      </c>
      <c r="L89" s="60">
        <f>IF(K89="","",IF(K89&gt;=1,"Completado",IF(K89&gt;0,"En curso","Pendiente")))</f>
        <v/>
      </c>
      <c r="M89" s="61" t="n"/>
      <c r="N89" s="66">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","")&amp;IF(ABS(SUMIFS($F$5:$F$1000,$O$5:$O$1000,$O89)-1)&gt;0.0001,"Pesos del mes suman "&amp;TEXT(SUMIFS($F$5:$F$1000,$O$5:$O$1000,$O89),"0%")&amp;"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c r="O89" s="67">
        <f>IF(NOT((COUNTA($B89:$J89)+COUNTA($M89))&gt;0),"",IF(ISNUMBER($D89),DATE(YEAR($D89),MONTH($D89),1),IF(ISNUMBER($E89),DATE(YEAR($E89),MONTH($E89),1),MesCiclo)))</f>
        <v/>
      </c>
      <c r="P89" s="68">
        <f>IF(OR($O89="",$O89&lt;&gt;MesCiclo),"",COUNTIF($O$5:$O89,MesCiclo))</f>
        <v/>
      </c>
    </row>
    <row r="90">
      <c r="A90" s="60">
        <f>IF(NOT((COUNTA($B90:$J90)+COUNTA($M90))&gt;0),"",COUNTIFS($L$5:$L90,"?*",$O$5:$O90,$O90))</f>
        <v/>
      </c>
      <c r="B90" s="61" t="n"/>
      <c r="C90" s="61" t="n"/>
      <c r="D90" s="62" t="n"/>
      <c r="E90" s="62" t="n"/>
      <c r="F90" s="63" t="n"/>
      <c r="G90" s="64" t="n"/>
      <c r="H90" s="64" t="n"/>
      <c r="I90" s="64" t="n"/>
      <c r="J90" s="64" t="n"/>
      <c r="K90" s="65">
        <f>IF(NOT((COUNTA($B90:$J90)+COUNTA($M90))&gt;0),"",IFERROR(LOOKUP(2,1/(G90:J90&lt;&gt;""),G90:J90),0))</f>
        <v/>
      </c>
      <c r="L90" s="60">
        <f>IF(K90="","",IF(K90&gt;=1,"Completado",IF(K90&gt;0,"En curso","Pendiente")))</f>
        <v/>
      </c>
      <c r="M90" s="61" t="n"/>
      <c r="N90" s="66">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","")&amp;IF(ABS(SUMIFS($F$5:$F$1000,$O$5:$O$1000,$O90)-1)&gt;0.0001,"Pesos del mes suman "&amp;TEXT(SUMIFS($F$5:$F$1000,$O$5:$O$1000,$O90),"0%")&amp;"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c r="O90" s="67">
        <f>IF(NOT((COUNTA($B90:$J90)+COUNTA($M90))&gt;0),"",IF(ISNUMBER($D90),DATE(YEAR($D90),MONTH($D90),1),IF(ISNUMBER($E90),DATE(YEAR($E90),MONTH($E90),1),MesCiclo)))</f>
        <v/>
      </c>
      <c r="P90" s="68">
        <f>IF(OR($O90="",$O90&lt;&gt;MesCiclo),"",COUNTIF($O$5:$O90,MesCiclo))</f>
        <v/>
      </c>
    </row>
    <row r="91">
      <c r="A91" s="60">
        <f>IF(NOT((COUNTA($B91:$J91)+COUNTA($M91))&gt;0),"",COUNTIFS($L$5:$L91,"?*",$O$5:$O91,$O91))</f>
        <v/>
      </c>
      <c r="B91" s="61" t="n"/>
      <c r="C91" s="61" t="n"/>
      <c r="D91" s="62" t="n"/>
      <c r="E91" s="62" t="n"/>
      <c r="F91" s="63" t="n"/>
      <c r="G91" s="64" t="n"/>
      <c r="H91" s="64" t="n"/>
      <c r="I91" s="64" t="n"/>
      <c r="J91" s="64" t="n"/>
      <c r="K91" s="65">
        <f>IF(NOT((COUNTA($B91:$J91)+COUNTA($M91))&gt;0),"",IFERROR(LOOKUP(2,1/(G91:J91&lt;&gt;""),G91:J91),0))</f>
        <v/>
      </c>
      <c r="L91" s="60">
        <f>IF(K91="","",IF(K91&gt;=1,"Completado",IF(K91&gt;0,"En curso","Pendiente")))</f>
        <v/>
      </c>
      <c r="M91" s="61" t="n"/>
      <c r="N91" s="66">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","")&amp;IF(ABS(SUMIFS($F$5:$F$1000,$O$5:$O$1000,$O91)-1)&gt;0.0001,"Pesos del mes suman "&amp;TEXT(SUMIFS($F$5:$F$1000,$O$5:$O$1000,$O91),"0%")&amp;"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c r="O91" s="67">
        <f>IF(NOT((COUNTA($B91:$J91)+COUNTA($M91))&gt;0),"",IF(ISNUMBER($D91),DATE(YEAR($D91),MONTH($D91),1),IF(ISNUMBER($E91),DATE(YEAR($E91),MONTH($E91),1),MesCiclo)))</f>
        <v/>
      </c>
      <c r="P91" s="68">
        <f>IF(OR($O91="",$O91&lt;&gt;MesCiclo),"",COUNTIF($O$5:$O91,MesCiclo))</f>
        <v/>
      </c>
    </row>
    <row r="92">
      <c r="A92" s="60">
        <f>IF(NOT((COUNTA($B92:$J92)+COUNTA($M92))&gt;0),"",COUNTIFS($L$5:$L92,"?*",$O$5:$O92,$O92))</f>
        <v/>
      </c>
      <c r="B92" s="61" t="n"/>
      <c r="C92" s="61" t="n"/>
      <c r="D92" s="62" t="n"/>
      <c r="E92" s="62" t="n"/>
      <c r="F92" s="63" t="n"/>
      <c r="G92" s="64" t="n"/>
      <c r="H92" s="64" t="n"/>
      <c r="I92" s="64" t="n"/>
      <c r="J92" s="64" t="n"/>
      <c r="K92" s="65">
        <f>IF(NOT((COUNTA($B92:$J92)+COUNTA($M92))&gt;0),"",IFERROR(LOOKUP(2,1/(G92:J92&lt;&gt;""),G92:J92),0))</f>
        <v/>
      </c>
      <c r="L92" s="60">
        <f>IF(K92="","",IF(K92&gt;=1,"Completado",IF(K92&gt;0,"En curso","Pendiente")))</f>
        <v/>
      </c>
      <c r="M92" s="61" t="n"/>
      <c r="N92" s="66">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","")&amp;IF(ABS(SUMIFS($F$5:$F$1000,$O$5:$O$1000,$O92)-1)&gt;0.0001,"Pesos del mes suman "&amp;TEXT(SUMIFS($F$5:$F$1000,$O$5:$O$1000,$O92),"0%")&amp;"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c r="O92" s="67">
        <f>IF(NOT((COUNTA($B92:$J92)+COUNTA($M92))&gt;0),"",IF(ISNUMBER($D92),DATE(YEAR($D92),MONTH($D92),1),IF(ISNUMBER($E92),DATE(YEAR($E92),MONTH($E92),1),MesCiclo)))</f>
        <v/>
      </c>
      <c r="P92" s="68">
        <f>IF(OR($O92="",$O92&lt;&gt;MesCiclo),"",COUNTIF($O$5:$O92,MesCiclo))</f>
        <v/>
      </c>
    </row>
    <row r="93">
      <c r="A93" s="60">
        <f>IF(NOT((COUNTA($B93:$J93)+COUNTA($M93))&gt;0),"",COUNTIFS($L$5:$L93,"?*",$O$5:$O93,$O93))</f>
        <v/>
      </c>
      <c r="B93" s="61" t="n"/>
      <c r="C93" s="61" t="n"/>
      <c r="D93" s="62" t="n"/>
      <c r="E93" s="62" t="n"/>
      <c r="F93" s="63" t="n"/>
      <c r="G93" s="64" t="n"/>
      <c r="H93" s="64" t="n"/>
      <c r="I93" s="64" t="n"/>
      <c r="J93" s="64" t="n"/>
      <c r="K93" s="65">
        <f>IF(NOT((COUNTA($B93:$J93)+COUNTA($M93))&gt;0),"",IFERROR(LOOKUP(2,1/(G93:J93&lt;&gt;""),G93:J93),0))</f>
        <v/>
      </c>
      <c r="L93" s="60">
        <f>IF(K93="","",IF(K93&gt;=1,"Completado",IF(K93&gt;0,"En curso","Pendiente")))</f>
        <v/>
      </c>
      <c r="M93" s="61" t="n"/>
      <c r="N93" s="66">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","")&amp;IF(ABS(SUMIFS($F$5:$F$1000,$O$5:$O$1000,$O93)-1)&gt;0.0001,"Pesos del mes suman "&amp;TEXT(SUMIFS($F$5:$F$1000,$O$5:$O$1000,$O93),"0%")&amp;"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c r="O93" s="67">
        <f>IF(NOT((COUNTA($B93:$J93)+COUNTA($M93))&gt;0),"",IF(ISNUMBER($D93),DATE(YEAR($D93),MONTH($D93),1),IF(ISNUMBER($E93),DATE(YEAR($E93),MONTH($E93),1),MesCiclo)))</f>
        <v/>
      </c>
      <c r="P93" s="68">
        <f>IF(OR($O93="",$O93&lt;&gt;MesCiclo),"",COUNTIF($O$5:$O93,MesCiclo))</f>
        <v/>
      </c>
    </row>
    <row r="94">
      <c r="A94" s="60">
        <f>IF(NOT((COUNTA($B94:$J94)+COUNTA($M94))&gt;0),"",COUNTIFS($L$5:$L94,"?*",$O$5:$O94,$O94))</f>
        <v/>
      </c>
      <c r="B94" s="61" t="n"/>
      <c r="C94" s="61" t="n"/>
      <c r="D94" s="62" t="n"/>
      <c r="E94" s="62" t="n"/>
      <c r="F94" s="63" t="n"/>
      <c r="G94" s="64" t="n"/>
      <c r="H94" s="64" t="n"/>
      <c r="I94" s="64" t="n"/>
      <c r="J94" s="64" t="n"/>
      <c r="K94" s="65">
        <f>IF(NOT((COUNTA($B94:$J94)+COUNTA($M94))&gt;0),"",IFERROR(LOOKUP(2,1/(G94:J94&lt;&gt;""),G94:J94),0))</f>
        <v/>
      </c>
      <c r="L94" s="60">
        <f>IF(K94="","",IF(K94&gt;=1,"Completado",IF(K94&gt;0,"En curso","Pendiente")))</f>
        <v/>
      </c>
      <c r="M94" s="61" t="n"/>
      <c r="N94" s="66">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","")&amp;IF(ABS(SUMIFS($F$5:$F$1000,$O$5:$O$1000,$O94)-1)&gt;0.0001,"Pesos del mes suman "&amp;TEXT(SUMIFS($F$5:$F$1000,$O$5:$O$1000,$O94),"0%")&amp;"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c r="O94" s="67">
        <f>IF(NOT((COUNTA($B94:$J94)+COUNTA($M94))&gt;0),"",IF(ISNUMBER($D94),DATE(YEAR($D94),MONTH($D94),1),IF(ISNUMBER($E94),DATE(YEAR($E94),MONTH($E94),1),MesCiclo)))</f>
        <v/>
      </c>
      <c r="P94" s="68">
        <f>IF(OR($O94="",$O94&lt;&gt;MesCiclo),"",COUNTIF($O$5:$O94,MesCiclo))</f>
        <v/>
      </c>
    </row>
    <row r="95">
      <c r="A95" s="60">
        <f>IF(NOT((COUNTA($B95:$J95)+COUNTA($M95))&gt;0),"",COUNTIFS($L$5:$L95,"?*",$O$5:$O95,$O95))</f>
        <v/>
      </c>
      <c r="B95" s="61" t="n"/>
      <c r="C95" s="61" t="n"/>
      <c r="D95" s="62" t="n"/>
      <c r="E95" s="62" t="n"/>
      <c r="F95" s="63" t="n"/>
      <c r="G95" s="64" t="n"/>
      <c r="H95" s="64" t="n"/>
      <c r="I95" s="64" t="n"/>
      <c r="J95" s="64" t="n"/>
      <c r="K95" s="65">
        <f>IF(NOT((COUNTA($B95:$J95)+COUNTA($M95))&gt;0),"",IFERROR(LOOKUP(2,1/(G95:J95&lt;&gt;""),G95:J95),0))</f>
        <v/>
      </c>
      <c r="L95" s="60">
        <f>IF(K95="","",IF(K95&gt;=1,"Completado",IF(K95&gt;0,"En curso","Pendiente")))</f>
        <v/>
      </c>
      <c r="M95" s="61" t="n"/>
      <c r="N95" s="66">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","")&amp;IF(ABS(SUMIFS($F$5:$F$1000,$O$5:$O$1000,$O95)-1)&gt;0.0001,"Pesos del mes suman "&amp;TEXT(SUMIFS($F$5:$F$1000,$O$5:$O$1000,$O95),"0%")&amp;"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c r="O95" s="67">
        <f>IF(NOT((COUNTA($B95:$J95)+COUNTA($M95))&gt;0),"",IF(ISNUMBER($D95),DATE(YEAR($D95),MONTH($D95),1),IF(ISNUMBER($E95),DATE(YEAR($E95),MONTH($E95),1),MesCiclo)))</f>
        <v/>
      </c>
      <c r="P95" s="68">
        <f>IF(OR($O95="",$O95&lt;&gt;MesCiclo),"",COUNTIF($O$5:$O95,MesCiclo))</f>
        <v/>
      </c>
    </row>
    <row r="96">
      <c r="A96" s="60">
        <f>IF(NOT((COUNTA($B96:$J96)+COUNTA($M96))&gt;0),"",COUNTIFS($L$5:$L96,"?*",$O$5:$O96,$O96))</f>
        <v/>
      </c>
      <c r="B96" s="61" t="n"/>
      <c r="C96" s="61" t="n"/>
      <c r="D96" s="62" t="n"/>
      <c r="E96" s="62" t="n"/>
      <c r="F96" s="63" t="n"/>
      <c r="G96" s="64" t="n"/>
      <c r="H96" s="64" t="n"/>
      <c r="I96" s="64" t="n"/>
      <c r="J96" s="64" t="n"/>
      <c r="K96" s="65">
        <f>IF(NOT((COUNTA($B96:$J96)+COUNTA($M96))&gt;0),"",IFERROR(LOOKUP(2,1/(G96:J96&lt;&gt;""),G96:J96),0))</f>
        <v/>
      </c>
      <c r="L96" s="60">
        <f>IF(K96="","",IF(K96&gt;=1,"Completado",IF(K96&gt;0,"En curso","Pendiente")))</f>
        <v/>
      </c>
      <c r="M96" s="61" t="n"/>
      <c r="N96" s="66">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","")&amp;IF(ABS(SUMIFS($F$5:$F$1000,$O$5:$O$1000,$O96)-1)&gt;0.0001,"Pesos del mes suman "&amp;TEXT(SUMIFS($F$5:$F$1000,$O$5:$O$1000,$O96),"0%")&amp;"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c r="O96" s="67">
        <f>IF(NOT((COUNTA($B96:$J96)+COUNTA($M96))&gt;0),"",IF(ISNUMBER($D96),DATE(YEAR($D96),MONTH($D96),1),IF(ISNUMBER($E96),DATE(YEAR($E96),MONTH($E96),1),MesCiclo)))</f>
        <v/>
      </c>
      <c r="P96" s="68">
        <f>IF(OR($O96="",$O96&lt;&gt;MesCiclo),"",COUNTIF($O$5:$O96,MesCiclo))</f>
        <v/>
      </c>
    </row>
    <row r="97">
      <c r="A97" s="60">
        <f>IF(NOT((COUNTA($B97:$J97)+COUNTA($M97))&gt;0),"",COUNTIFS($L$5:$L97,"?*",$O$5:$O97,$O97))</f>
        <v/>
      </c>
      <c r="B97" s="61" t="n"/>
      <c r="C97" s="61" t="n"/>
      <c r="D97" s="62" t="n"/>
      <c r="E97" s="62" t="n"/>
      <c r="F97" s="63" t="n"/>
      <c r="G97" s="64" t="n"/>
      <c r="H97" s="64" t="n"/>
      <c r="I97" s="64" t="n"/>
      <c r="J97" s="64" t="n"/>
      <c r="K97" s="65">
        <f>IF(NOT((COUNTA($B97:$J97)+COUNTA($M97))&gt;0),"",IFERROR(LOOKUP(2,1/(G97:J97&lt;&gt;""),G97:J97),0))</f>
        <v/>
      </c>
      <c r="L97" s="60">
        <f>IF(K97="","",IF(K97&gt;=1,"Completado",IF(K97&gt;0,"En curso","Pendiente")))</f>
        <v/>
      </c>
      <c r="M97" s="61" t="n"/>
      <c r="N97" s="66">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","")&amp;IF(ABS(SUMIFS($F$5:$F$1000,$O$5:$O$1000,$O97)-1)&gt;0.0001,"Pesos del mes suman "&amp;TEXT(SUMIFS($F$5:$F$1000,$O$5:$O$1000,$O97),"0%")&amp;"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c r="O97" s="67">
        <f>IF(NOT((COUNTA($B97:$J97)+COUNTA($M97))&gt;0),"",IF(ISNUMBER($D97),DATE(YEAR($D97),MONTH($D97),1),IF(ISNUMBER($E97),DATE(YEAR($E97),MONTH($E97),1),MesCiclo)))</f>
        <v/>
      </c>
      <c r="P97" s="68">
        <f>IF(OR($O97="",$O97&lt;&gt;MesCiclo),"",COUNTIF($O$5:$O97,MesCiclo))</f>
        <v/>
      </c>
    </row>
    <row r="98">
      <c r="A98" s="60">
        <f>IF(NOT((COUNTA($B98:$J98)+COUNTA($M98))&gt;0),"",COUNTIFS($L$5:$L98,"?*",$O$5:$O98,$O98))</f>
        <v/>
      </c>
      <c r="B98" s="61" t="n"/>
      <c r="C98" s="61" t="n"/>
      <c r="D98" s="62" t="n"/>
      <c r="E98" s="62" t="n"/>
      <c r="F98" s="63" t="n"/>
      <c r="G98" s="64" t="n"/>
      <c r="H98" s="64" t="n"/>
      <c r="I98" s="64" t="n"/>
      <c r="J98" s="64" t="n"/>
      <c r="K98" s="65">
        <f>IF(NOT((COUNTA($B98:$J98)+COUNTA($M98))&gt;0),"",IFERROR(LOOKUP(2,1/(G98:J98&lt;&gt;""),G98:J98),0))</f>
        <v/>
      </c>
      <c r="L98" s="60">
        <f>IF(K98="","",IF(K98&gt;=1,"Completado",IF(K98&gt;0,"En curso","Pendiente")))</f>
        <v/>
      </c>
      <c r="M98" s="61" t="n"/>
      <c r="N98" s="66">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","")&amp;IF(ABS(SUMIFS($F$5:$F$1000,$O$5:$O$1000,$O98)-1)&gt;0.0001,"Pesos del mes suman "&amp;TEXT(SUMIFS($F$5:$F$1000,$O$5:$O$1000,$O98),"0%")&amp;"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c r="O98" s="67">
        <f>IF(NOT((COUNTA($B98:$J98)+COUNTA($M98))&gt;0),"",IF(ISNUMBER($D98),DATE(YEAR($D98),MONTH($D98),1),IF(ISNUMBER($E98),DATE(YEAR($E98),MONTH($E98),1),MesCiclo)))</f>
        <v/>
      </c>
      <c r="P98" s="68">
        <f>IF(OR($O98="",$O98&lt;&gt;MesCiclo),"",COUNTIF($O$5:$O98,MesCiclo))</f>
        <v/>
      </c>
    </row>
    <row r="99">
      <c r="A99" s="60">
        <f>IF(NOT((COUNTA($B99:$J99)+COUNTA($M99))&gt;0),"",COUNTIFS($L$5:$L99,"?*",$O$5:$O99,$O99))</f>
        <v/>
      </c>
      <c r="B99" s="61" t="n"/>
      <c r="C99" s="61" t="n"/>
      <c r="D99" s="62" t="n"/>
      <c r="E99" s="62" t="n"/>
      <c r="F99" s="63" t="n"/>
      <c r="G99" s="64" t="n"/>
      <c r="H99" s="64" t="n"/>
      <c r="I99" s="64" t="n"/>
      <c r="J99" s="64" t="n"/>
      <c r="K99" s="65">
        <f>IF(NOT((COUNTA($B99:$J99)+COUNTA($M99))&gt;0),"",IFERROR(LOOKUP(2,1/(G99:J99&lt;&gt;""),G99:J99),0))</f>
        <v/>
      </c>
      <c r="L99" s="60">
        <f>IF(K99="","",IF(K99&gt;=1,"Completado",IF(K99&gt;0,"En curso","Pendiente")))</f>
        <v/>
      </c>
      <c r="M99" s="61" t="n"/>
      <c r="N99" s="66">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","")&amp;IF(ABS(SUMIFS($F$5:$F$1000,$O$5:$O$1000,$O99)-1)&gt;0.0001,"Pesos del mes suman "&amp;TEXT(SUMIFS($F$5:$F$1000,$O$5:$O$1000,$O99),"0%")&amp;"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c r="O99" s="67">
        <f>IF(NOT((COUNTA($B99:$J99)+COUNTA($M99))&gt;0),"",IF(ISNUMBER($D99),DATE(YEAR($D99),MONTH($D99),1),IF(ISNUMBER($E99),DATE(YEAR($E99),MONTH($E99),1),MesCiclo)))</f>
        <v/>
      </c>
      <c r="P99" s="68">
        <f>IF(OR($O99="",$O99&lt;&gt;MesCiclo),"",COUNTIF($O$5:$O99,MesCiclo))</f>
        <v/>
      </c>
    </row>
    <row r="100">
      <c r="A100" s="60">
        <f>IF(NOT((COUNTA($B100:$J100)+COUNTA($M100))&gt;0),"",COUNTIFS($L$5:$L100,"?*",$O$5:$O100,$O100))</f>
        <v/>
      </c>
      <c r="B100" s="61" t="n"/>
      <c r="C100" s="61" t="n"/>
      <c r="D100" s="62" t="n"/>
      <c r="E100" s="62" t="n"/>
      <c r="F100" s="63" t="n"/>
      <c r="G100" s="64" t="n"/>
      <c r="H100" s="64" t="n"/>
      <c r="I100" s="64" t="n"/>
      <c r="J100" s="64" t="n"/>
      <c r="K100" s="65">
        <f>IF(NOT((COUNTA($B100:$J100)+COUNTA($M100))&gt;0),"",IFERROR(LOOKUP(2,1/(G100:J100&lt;&gt;""),G100:J100),0))</f>
        <v/>
      </c>
      <c r="L100" s="60">
        <f>IF(K100="","",IF(K100&gt;=1,"Completado",IF(K100&gt;0,"En curso","Pendiente")))</f>
        <v/>
      </c>
      <c r="M100" s="61" t="n"/>
      <c r="N100" s="66">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","")&amp;IF(ABS(SUMIFS($F$5:$F$1000,$O$5:$O$1000,$O100)-1)&gt;0.0001,"Pesos del mes suman "&amp;TEXT(SUMIFS($F$5:$F$1000,$O$5:$O$1000,$O100),"0%")&amp;"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c r="O100" s="67">
        <f>IF(NOT((COUNTA($B100:$J100)+COUNTA($M100))&gt;0),"",IF(ISNUMBER($D100),DATE(YEAR($D100),MONTH($D100),1),IF(ISNUMBER($E100),DATE(YEAR($E100),MONTH($E100),1),MesCiclo)))</f>
        <v/>
      </c>
      <c r="P100" s="68">
        <f>IF(OR($O100="",$O100&lt;&gt;MesCiclo),"",COUNTIF($O$5:$O100,MesCiclo))</f>
        <v/>
      </c>
    </row>
    <row r="101">
      <c r="A101" s="60">
        <f>IF(NOT((COUNTA($B101:$J101)+COUNTA($M101))&gt;0),"",COUNTIFS($L$5:$L101,"?*",$O$5:$O101,$O101))</f>
        <v/>
      </c>
      <c r="B101" s="61" t="n"/>
      <c r="C101" s="61" t="n"/>
      <c r="D101" s="62" t="n"/>
      <c r="E101" s="62" t="n"/>
      <c r="F101" s="63" t="n"/>
      <c r="G101" s="64" t="n"/>
      <c r="H101" s="64" t="n"/>
      <c r="I101" s="64" t="n"/>
      <c r="J101" s="64" t="n"/>
      <c r="K101" s="65">
        <f>IF(NOT((COUNTA($B101:$J101)+COUNTA($M101))&gt;0),"",IFERROR(LOOKUP(2,1/(G101:J101&lt;&gt;""),G101:J101),0))</f>
        <v/>
      </c>
      <c r="L101" s="60">
        <f>IF(K101="","",IF(K101&gt;=1,"Completado",IF(K101&gt;0,"En curso","Pendiente")))</f>
        <v/>
      </c>
      <c r="M101" s="61" t="n"/>
      <c r="N101" s="66">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","")&amp;IF(ABS(SUMIFS($F$5:$F$1000,$O$5:$O$1000,$O101)-1)&gt;0.0001,"Pesos del mes suman "&amp;TEXT(SUMIFS($F$5:$F$1000,$O$5:$O$1000,$O101),"0%")&amp;"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c r="O101" s="67">
        <f>IF(NOT((COUNTA($B101:$J101)+COUNTA($M101))&gt;0),"",IF(ISNUMBER($D101),DATE(YEAR($D101),MONTH($D101),1),IF(ISNUMBER($E101),DATE(YEAR($E101),MONTH($E101),1),MesCiclo)))</f>
        <v/>
      </c>
      <c r="P101" s="68">
        <f>IF(OR($O101="",$O101&lt;&gt;MesCiclo),"",COUNTIF($O$5:$O101,MesCiclo))</f>
        <v/>
      </c>
    </row>
    <row r="102">
      <c r="A102" s="60">
        <f>IF(NOT((COUNTA($B102:$J102)+COUNTA($M102))&gt;0),"",COUNTIFS($L$5:$L102,"?*",$O$5:$O102,$O102))</f>
        <v/>
      </c>
      <c r="B102" s="61" t="n"/>
      <c r="C102" s="61" t="n"/>
      <c r="D102" s="62" t="n"/>
      <c r="E102" s="62" t="n"/>
      <c r="F102" s="63" t="n"/>
      <c r="G102" s="64" t="n"/>
      <c r="H102" s="64" t="n"/>
      <c r="I102" s="64" t="n"/>
      <c r="J102" s="64" t="n"/>
      <c r="K102" s="65">
        <f>IF(NOT((COUNTA($B102:$J102)+COUNTA($M102))&gt;0),"",IFERROR(LOOKUP(2,1/(G102:J102&lt;&gt;""),G102:J102),0))</f>
        <v/>
      </c>
      <c r="L102" s="60">
        <f>IF(K102="","",IF(K102&gt;=1,"Completado",IF(K102&gt;0,"En curso","Pendiente")))</f>
        <v/>
      </c>
      <c r="M102" s="61" t="n"/>
      <c r="N102" s="66">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","")&amp;IF(ABS(SUMIFS($F$5:$F$1000,$O$5:$O$1000,$O102)-1)&gt;0.0001,"Pesos del mes suman "&amp;TEXT(SUMIFS($F$5:$F$1000,$O$5:$O$1000,$O102),"0%")&amp;"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c r="O102" s="67">
        <f>IF(NOT((COUNTA($B102:$J102)+COUNTA($M102))&gt;0),"",IF(ISNUMBER($D102),DATE(YEAR($D102),MONTH($D102),1),IF(ISNUMBER($E102),DATE(YEAR($E102),MONTH($E102),1),MesCiclo)))</f>
        <v/>
      </c>
      <c r="P102" s="68">
        <f>IF(OR($O102="",$O102&lt;&gt;MesCiclo),"",COUNTIF($O$5:$O102,MesCiclo))</f>
        <v/>
      </c>
    </row>
    <row r="103">
      <c r="A103" s="60">
        <f>IF(NOT((COUNTA($B103:$J103)+COUNTA($M103))&gt;0),"",COUNTIFS($L$5:$L103,"?*",$O$5:$O103,$O103))</f>
        <v/>
      </c>
      <c r="B103" s="61" t="n"/>
      <c r="C103" s="61" t="n"/>
      <c r="D103" s="62" t="n"/>
      <c r="E103" s="62" t="n"/>
      <c r="F103" s="63" t="n"/>
      <c r="G103" s="64" t="n"/>
      <c r="H103" s="64" t="n"/>
      <c r="I103" s="64" t="n"/>
      <c r="J103" s="64" t="n"/>
      <c r="K103" s="65">
        <f>IF(NOT((COUNTA($B103:$J103)+COUNTA($M103))&gt;0),"",IFERROR(LOOKUP(2,1/(G103:J103&lt;&gt;""),G103:J103),0))</f>
        <v/>
      </c>
      <c r="L103" s="60">
        <f>IF(K103="","",IF(K103&gt;=1,"Completado",IF(K103&gt;0,"En curso","Pendiente")))</f>
        <v/>
      </c>
      <c r="M103" s="61" t="n"/>
      <c r="N103" s="66">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","")&amp;IF(ABS(SUMIFS($F$5:$F$1000,$O$5:$O$1000,$O103)-1)&gt;0.0001,"Pesos del mes suman "&amp;TEXT(SUMIFS($F$5:$F$1000,$O$5:$O$1000,$O103),"0%")&amp;"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c r="O103" s="67">
        <f>IF(NOT((COUNTA($B103:$J103)+COUNTA($M103))&gt;0),"",IF(ISNUMBER($D103),DATE(YEAR($D103),MONTH($D103),1),IF(ISNUMBER($E103),DATE(YEAR($E103),MONTH($E103),1),MesCiclo)))</f>
        <v/>
      </c>
      <c r="P103" s="68">
        <f>IF(OR($O103="",$O103&lt;&gt;MesCiclo),"",COUNTIF($O$5:$O103,MesCiclo))</f>
        <v/>
      </c>
    </row>
    <row r="104">
      <c r="A104" s="60">
        <f>IF(NOT((COUNTA($B104:$J104)+COUNTA($M104))&gt;0),"",COUNTIFS($L$5:$L104,"?*",$O$5:$O104,$O104))</f>
        <v/>
      </c>
      <c r="B104" s="61" t="n"/>
      <c r="C104" s="61" t="n"/>
      <c r="D104" s="62" t="n"/>
      <c r="E104" s="62" t="n"/>
      <c r="F104" s="63" t="n"/>
      <c r="G104" s="64" t="n"/>
      <c r="H104" s="64" t="n"/>
      <c r="I104" s="64" t="n"/>
      <c r="J104" s="64" t="n"/>
      <c r="K104" s="65">
        <f>IF(NOT((COUNTA($B104:$J104)+COUNTA($M104))&gt;0),"",IFERROR(LOOKUP(2,1/(G104:J104&lt;&gt;""),G104:J104),0))</f>
        <v/>
      </c>
      <c r="L104" s="60">
        <f>IF(K104="","",IF(K104&gt;=1,"Completado",IF(K104&gt;0,"En curso","Pendiente")))</f>
        <v/>
      </c>
      <c r="M104" s="61" t="n"/>
      <c r="N104" s="66">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","")&amp;IF(ABS(SUMIFS($F$5:$F$1000,$O$5:$O$1000,$O104)-1)&gt;0.0001,"Pesos del mes suman "&amp;TEXT(SUMIFS($F$5:$F$1000,$O$5:$O$1000,$O104),"0%")&amp;"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c r="O104" s="67">
        <f>IF(NOT((COUNTA($B104:$J104)+COUNTA($M104))&gt;0),"",IF(ISNUMBER($D104),DATE(YEAR($D104),MONTH($D104),1),IF(ISNUMBER($E104),DATE(YEAR($E104),MONTH($E104),1),MesCiclo)))</f>
        <v/>
      </c>
      <c r="P104" s="68">
        <f>IF(OR($O104="",$O104&lt;&gt;MesCiclo),"",COUNTIF($O$5:$O104,MesCiclo))</f>
        <v/>
      </c>
    </row>
    <row r="105">
      <c r="A105" s="60">
        <f>IF(NOT((COUNTA($B105:$J105)+COUNTA($M105))&gt;0),"",COUNTIFS($L$5:$L105,"?*",$O$5:$O105,$O105))</f>
        <v/>
      </c>
      <c r="B105" s="61" t="n"/>
      <c r="C105" s="61" t="n"/>
      <c r="D105" s="62" t="n"/>
      <c r="E105" s="62" t="n"/>
      <c r="F105" s="63" t="n"/>
      <c r="G105" s="64" t="n"/>
      <c r="H105" s="64" t="n"/>
      <c r="I105" s="64" t="n"/>
      <c r="J105" s="64" t="n"/>
      <c r="K105" s="65">
        <f>IF(NOT((COUNTA($B105:$J105)+COUNTA($M105))&gt;0),"",IFERROR(LOOKUP(2,1/(G105:J105&lt;&gt;""),G105:J105),0))</f>
        <v/>
      </c>
      <c r="L105" s="60">
        <f>IF(K105="","",IF(K105&gt;=1,"Completado",IF(K105&gt;0,"En curso","Pendiente")))</f>
        <v/>
      </c>
      <c r="M105" s="61" t="n"/>
      <c r="N105" s="66">
        <f>IF(NOT((COUNTA($B105:$J105)+COUNTA($M105))&gt;0),"",IF((IF(B105="","Macroactividad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 OK","⚠ "&amp;LEFT(IF(B105="","Macroactividad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",""),LEN(IF(B105="","Macroactividad vacía"&amp;" · ","")&amp;IF(C105="","Sin responsable"&amp;" · ","")&amp;IF(D105="","Sin fecha de inicio"&amp;" · ","")&amp;IF(E105="","Sin fecha límite"&amp;" · ","")&amp;IF(OR(AND(D105&lt;&gt;"",NOT(ISNUMBER(D105))),AND(E105&lt;&gt;"",NOT(ISNUMBER(E105)))),"Fecha no válida"&amp;" · ","")&amp;IF(AND(ISNUMBER(D105),ISNUMBER(E105),D105&gt;E105),"Inicio posterior a fecha límite"&amp;" · ","")&amp;IF(F105="","Peso vacío"&amp;" · ","")&amp;IF(AND(F105&lt;&gt;"",OR(NOT(ISNUMBER(F105)),F105&lt;=0,F105&gt;1)),"Peso fuera de rango"&amp;" · ","")&amp;IF(ABS(SUMIFS($F$5:$F$1000,$O$5:$O$1000,$O105)-1)&gt;0.0001,"Pesos del mes suman "&amp;TEXT(SUMIFS($F$5:$F$1000,$O$5:$O$1000,$O105),"0%")&amp;" · ","")&amp;IF((COUNTIF(G105:J105,"&gt;1")+COUNTIF(G105:J105,"&lt;0")+COUNTA(G105:J105)-COUNT(G105:J105))&gt;0,"Avance fuera de rango 0-100%"&amp;" · ","")&amp;IF(OR(AND(H105&lt;&gt;"",H105&lt;G105),AND(I105&lt;&gt;"",I105&lt;MAX(G105:H105)),AND(J105&lt;&gt;"",J105&lt;MAX(G105:I105))),"Avance semanal decreciente"&amp;" · ","")&amp;IF(AND(ISNUMBER(E105),E105&lt;FechaRef,N(K105)&lt;1),"Vencida"&amp;" · ","")&amp;IF(AND(ObsObligatoria="Sí",ISNUMBER(E105),E105&lt;FechaRef,N(K105)&lt;1,M105=""),"Vencida sin observación"&amp;" · ",""))-3)))</f>
        <v/>
      </c>
      <c r="O105" s="67">
        <f>IF(NOT((COUNTA($B105:$J105)+COUNTA($M105))&gt;0),"",IF(ISNUMBER($D105),DATE(YEAR($D105),MONTH($D105),1),IF(ISNUMBER($E105),DATE(YEAR($E105),MONTH($E105),1),MesCiclo)))</f>
        <v/>
      </c>
      <c r="P105" s="68">
        <f>IF(OR($O105="",$O105&lt;&gt;MesCiclo),"",COUNTIF($O$5:$O105,MesCiclo))</f>
        <v/>
      </c>
    </row>
    <row r="106">
      <c r="A106" s="60">
        <f>IF(NOT((COUNTA($B106:$J106)+COUNTA($M106))&gt;0),"",COUNTIFS($L$5:$L106,"?*",$O$5:$O106,$O106))</f>
        <v/>
      </c>
      <c r="B106" s="61" t="n"/>
      <c r="C106" s="61" t="n"/>
      <c r="D106" s="62" t="n"/>
      <c r="E106" s="62" t="n"/>
      <c r="F106" s="63" t="n"/>
      <c r="G106" s="64" t="n"/>
      <c r="H106" s="64" t="n"/>
      <c r="I106" s="64" t="n"/>
      <c r="J106" s="64" t="n"/>
      <c r="K106" s="65">
        <f>IF(NOT((COUNTA($B106:$J106)+COUNTA($M106))&gt;0),"",IFERROR(LOOKUP(2,1/(G106:J106&lt;&gt;""),G106:J106),0))</f>
        <v/>
      </c>
      <c r="L106" s="60">
        <f>IF(K106="","",IF(K106&gt;=1,"Completado",IF(K106&gt;0,"En curso","Pendiente")))</f>
        <v/>
      </c>
      <c r="M106" s="61" t="n"/>
      <c r="N106" s="66">
        <f>IF(NOT((COUNTA($B106:$J106)+COUNTA($M106))&gt;0),"",IF((IF(B106="","Macroactividad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 OK","⚠ "&amp;LEFT(IF(B106="","Macroactividad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",""),LEN(IF(B106="","Macroactividad vacía"&amp;" · ","")&amp;IF(C106="","Sin responsable"&amp;" · ","")&amp;IF(D106="","Sin fecha de inicio"&amp;" · ","")&amp;IF(E106="","Sin fecha límite"&amp;" · ","")&amp;IF(OR(AND(D106&lt;&gt;"",NOT(ISNUMBER(D106))),AND(E106&lt;&gt;"",NOT(ISNUMBER(E106)))),"Fecha no válida"&amp;" · ","")&amp;IF(AND(ISNUMBER(D106),ISNUMBER(E106),D106&gt;E106),"Inicio posterior a fecha límite"&amp;" · ","")&amp;IF(F106="","Peso vacío"&amp;" · ","")&amp;IF(AND(F106&lt;&gt;"",OR(NOT(ISNUMBER(F106)),F106&lt;=0,F106&gt;1)),"Peso fuera de rango"&amp;" · ","")&amp;IF(ABS(SUMIFS($F$5:$F$1000,$O$5:$O$1000,$O106)-1)&gt;0.0001,"Pesos del mes suman "&amp;TEXT(SUMIFS($F$5:$F$1000,$O$5:$O$1000,$O106),"0%")&amp;" · ","")&amp;IF((COUNTIF(G106:J106,"&gt;1")+COUNTIF(G106:J106,"&lt;0")+COUNTA(G106:J106)-COUNT(G106:J106))&gt;0,"Avance fuera de rango 0-100%"&amp;" · ","")&amp;IF(OR(AND(H106&lt;&gt;"",H106&lt;G106),AND(I106&lt;&gt;"",I106&lt;MAX(G106:H106)),AND(J106&lt;&gt;"",J106&lt;MAX(G106:I106))),"Avance semanal decreciente"&amp;" · ","")&amp;IF(AND(ISNUMBER(E106),E106&lt;FechaRef,N(K106)&lt;1),"Vencida"&amp;" · ","")&amp;IF(AND(ObsObligatoria="Sí",ISNUMBER(E106),E106&lt;FechaRef,N(K106)&lt;1,M106=""),"Vencida sin observación"&amp;" · ",""))-3)))</f>
        <v/>
      </c>
      <c r="O106" s="67">
        <f>IF(NOT((COUNTA($B106:$J106)+COUNTA($M106))&gt;0),"",IF(ISNUMBER($D106),DATE(YEAR($D106),MONTH($D106),1),IF(ISNUMBER($E106),DATE(YEAR($E106),MONTH($E106),1),MesCiclo)))</f>
        <v/>
      </c>
      <c r="P106" s="68">
        <f>IF(OR($O106="",$O106&lt;&gt;MesCiclo),"",COUNTIF($O$5:$O106,MesCiclo))</f>
        <v/>
      </c>
    </row>
    <row r="107">
      <c r="A107" s="60">
        <f>IF(NOT((COUNTA($B107:$J107)+COUNTA($M107))&gt;0),"",COUNTIFS($L$5:$L107,"?*",$O$5:$O107,$O107))</f>
        <v/>
      </c>
      <c r="B107" s="61" t="n"/>
      <c r="C107" s="61" t="n"/>
      <c r="D107" s="62" t="n"/>
      <c r="E107" s="62" t="n"/>
      <c r="F107" s="63" t="n"/>
      <c r="G107" s="64" t="n"/>
      <c r="H107" s="64" t="n"/>
      <c r="I107" s="64" t="n"/>
      <c r="J107" s="64" t="n"/>
      <c r="K107" s="65">
        <f>IF(NOT((COUNTA($B107:$J107)+COUNTA($M107))&gt;0),"",IFERROR(LOOKUP(2,1/(G107:J107&lt;&gt;""),G107:J107),0))</f>
        <v/>
      </c>
      <c r="L107" s="60">
        <f>IF(K107="","",IF(K107&gt;=1,"Completado",IF(K107&gt;0,"En curso","Pendiente")))</f>
        <v/>
      </c>
      <c r="M107" s="61" t="n"/>
      <c r="N107" s="66">
        <f>IF(NOT((COUNTA($B107:$J107)+COUNTA($M107))&gt;0),"",IF((IF(B107="","Macroactividad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 OK","⚠ "&amp;LEFT(IF(B107="","Macroactividad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",""),LEN(IF(B107="","Macroactividad vacía"&amp;" · ","")&amp;IF(C107="","Sin responsable"&amp;" · ","")&amp;IF(D107="","Sin fecha de inicio"&amp;" · ","")&amp;IF(E107="","Sin fecha límite"&amp;" · ","")&amp;IF(OR(AND(D107&lt;&gt;"",NOT(ISNUMBER(D107))),AND(E107&lt;&gt;"",NOT(ISNUMBER(E107)))),"Fecha no válida"&amp;" · ","")&amp;IF(AND(ISNUMBER(D107),ISNUMBER(E107),D107&gt;E107),"Inicio posterior a fecha límite"&amp;" · ","")&amp;IF(F107="","Peso vacío"&amp;" · ","")&amp;IF(AND(F107&lt;&gt;"",OR(NOT(ISNUMBER(F107)),F107&lt;=0,F107&gt;1)),"Peso fuera de rango"&amp;" · ","")&amp;IF(ABS(SUMIFS($F$5:$F$1000,$O$5:$O$1000,$O107)-1)&gt;0.0001,"Pesos del mes suman "&amp;TEXT(SUMIFS($F$5:$F$1000,$O$5:$O$1000,$O107),"0%")&amp;" · ","")&amp;IF((COUNTIF(G107:J107,"&gt;1")+COUNTIF(G107:J107,"&lt;0")+COUNTA(G107:J107)-COUNT(G107:J107))&gt;0,"Avance fuera de rango 0-100%"&amp;" · ","")&amp;IF(OR(AND(H107&lt;&gt;"",H107&lt;G107),AND(I107&lt;&gt;"",I107&lt;MAX(G107:H107)),AND(J107&lt;&gt;"",J107&lt;MAX(G107:I107))),"Avance semanal decreciente"&amp;" · ","")&amp;IF(AND(ISNUMBER(E107),E107&lt;FechaRef,N(K107)&lt;1),"Vencida"&amp;" · ","")&amp;IF(AND(ObsObligatoria="Sí",ISNUMBER(E107),E107&lt;FechaRef,N(K107)&lt;1,M107=""),"Vencida sin observación"&amp;" · ",""))-3)))</f>
        <v/>
      </c>
      <c r="O107" s="67">
        <f>IF(NOT((COUNTA($B107:$J107)+COUNTA($M107))&gt;0),"",IF(ISNUMBER($D107),DATE(YEAR($D107),MONTH($D107),1),IF(ISNUMBER($E107),DATE(YEAR($E107),MONTH($E107),1),MesCiclo)))</f>
        <v/>
      </c>
      <c r="P107" s="68">
        <f>IF(OR($O107="",$O107&lt;&gt;MesCiclo),"",COUNTIF($O$5:$O107,MesCiclo))</f>
        <v/>
      </c>
    </row>
    <row r="108">
      <c r="A108" s="60">
        <f>IF(NOT((COUNTA($B108:$J108)+COUNTA($M108))&gt;0),"",COUNTIFS($L$5:$L108,"?*",$O$5:$O108,$O108))</f>
        <v/>
      </c>
      <c r="B108" s="61" t="n"/>
      <c r="C108" s="61" t="n"/>
      <c r="D108" s="62" t="n"/>
      <c r="E108" s="62" t="n"/>
      <c r="F108" s="63" t="n"/>
      <c r="G108" s="64" t="n"/>
      <c r="H108" s="64" t="n"/>
      <c r="I108" s="64" t="n"/>
      <c r="J108" s="64" t="n"/>
      <c r="K108" s="65">
        <f>IF(NOT((COUNTA($B108:$J108)+COUNTA($M108))&gt;0),"",IFERROR(LOOKUP(2,1/(G108:J108&lt;&gt;""),G108:J108),0))</f>
        <v/>
      </c>
      <c r="L108" s="60">
        <f>IF(K108="","",IF(K108&gt;=1,"Completado",IF(K108&gt;0,"En curso","Pendiente")))</f>
        <v/>
      </c>
      <c r="M108" s="61" t="n"/>
      <c r="N108" s="66">
        <f>IF(NOT((COUNTA($B108:$J108)+COUNTA($M108))&gt;0),"",IF((IF(B108="","Macroactividad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 OK","⚠ "&amp;LEFT(IF(B108="","Macroactividad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",""),LEN(IF(B108="","Macroactividad vacía"&amp;" · ","")&amp;IF(C108="","Sin responsable"&amp;" · ","")&amp;IF(D108="","Sin fecha de inicio"&amp;" · ","")&amp;IF(E108="","Sin fecha límite"&amp;" · ","")&amp;IF(OR(AND(D108&lt;&gt;"",NOT(ISNUMBER(D108))),AND(E108&lt;&gt;"",NOT(ISNUMBER(E108)))),"Fecha no válida"&amp;" · ","")&amp;IF(AND(ISNUMBER(D108),ISNUMBER(E108),D108&gt;E108),"Inicio posterior a fecha límite"&amp;" · ","")&amp;IF(F108="","Peso vacío"&amp;" · ","")&amp;IF(AND(F108&lt;&gt;"",OR(NOT(ISNUMBER(F108)),F108&lt;=0,F108&gt;1)),"Peso fuera de rango"&amp;" · ","")&amp;IF(ABS(SUMIFS($F$5:$F$1000,$O$5:$O$1000,$O108)-1)&gt;0.0001,"Pesos del mes suman "&amp;TEXT(SUMIFS($F$5:$F$1000,$O$5:$O$1000,$O108),"0%")&amp;" · ","")&amp;IF((COUNTIF(G108:J108,"&gt;1")+COUNTIF(G108:J108,"&lt;0")+COUNTA(G108:J108)-COUNT(G108:J108))&gt;0,"Avance fuera de rango 0-100%"&amp;" · ","")&amp;IF(OR(AND(H108&lt;&gt;"",H108&lt;G108),AND(I108&lt;&gt;"",I108&lt;MAX(G108:H108)),AND(J108&lt;&gt;"",J108&lt;MAX(G108:I108))),"Avance semanal decreciente"&amp;" · ","")&amp;IF(AND(ISNUMBER(E108),E108&lt;FechaRef,N(K108)&lt;1),"Vencida"&amp;" · ","")&amp;IF(AND(ObsObligatoria="Sí",ISNUMBER(E108),E108&lt;FechaRef,N(K108)&lt;1,M108=""),"Vencida sin observación"&amp;" · ",""))-3)))</f>
        <v/>
      </c>
      <c r="O108" s="67">
        <f>IF(NOT((COUNTA($B108:$J108)+COUNTA($M108))&gt;0),"",IF(ISNUMBER($D108),DATE(YEAR($D108),MONTH($D108),1),IF(ISNUMBER($E108),DATE(YEAR($E108),MONTH($E108),1),MesCiclo)))</f>
        <v/>
      </c>
      <c r="P108" s="68">
        <f>IF(OR($O108="",$O108&lt;&gt;MesCiclo),"",COUNTIF($O$5:$O108,MesCiclo))</f>
        <v/>
      </c>
    </row>
    <row r="109">
      <c r="A109" s="60">
        <f>IF(NOT((COUNTA($B109:$J109)+COUNTA($M109))&gt;0),"",COUNTIFS($L$5:$L109,"?*",$O$5:$O109,$O109))</f>
        <v/>
      </c>
      <c r="B109" s="61" t="n"/>
      <c r="C109" s="61" t="n"/>
      <c r="D109" s="62" t="n"/>
      <c r="E109" s="62" t="n"/>
      <c r="F109" s="63" t="n"/>
      <c r="G109" s="64" t="n"/>
      <c r="H109" s="64" t="n"/>
      <c r="I109" s="64" t="n"/>
      <c r="J109" s="64" t="n"/>
      <c r="K109" s="65">
        <f>IF(NOT((COUNTA($B109:$J109)+COUNTA($M109))&gt;0),"",IFERROR(LOOKUP(2,1/(G109:J109&lt;&gt;""),G109:J109),0))</f>
        <v/>
      </c>
      <c r="L109" s="60">
        <f>IF(K109="","",IF(K109&gt;=1,"Completado",IF(K109&gt;0,"En curso","Pendiente")))</f>
        <v/>
      </c>
      <c r="M109" s="61" t="n"/>
      <c r="N109" s="66">
        <f>IF(NOT((COUNTA($B109:$J109)+COUNTA($M109))&gt;0),"",IF((IF(B109="","Macroactividad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 OK","⚠ "&amp;LEFT(IF(B109="","Macroactividad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",""),LEN(IF(B109="","Macroactividad vacía"&amp;" · ","")&amp;IF(C109="","Sin responsable"&amp;" · ","")&amp;IF(D109="","Sin fecha de inicio"&amp;" · ","")&amp;IF(E109="","Sin fecha límite"&amp;" · ","")&amp;IF(OR(AND(D109&lt;&gt;"",NOT(ISNUMBER(D109))),AND(E109&lt;&gt;"",NOT(ISNUMBER(E109)))),"Fecha no válida"&amp;" · ","")&amp;IF(AND(ISNUMBER(D109),ISNUMBER(E109),D109&gt;E109),"Inicio posterior a fecha límite"&amp;" · ","")&amp;IF(F109="","Peso vacío"&amp;" · ","")&amp;IF(AND(F109&lt;&gt;"",OR(NOT(ISNUMBER(F109)),F109&lt;=0,F109&gt;1)),"Peso fuera de rango"&amp;" · ","")&amp;IF(ABS(SUMIFS($F$5:$F$1000,$O$5:$O$1000,$O109)-1)&gt;0.0001,"Pesos del mes suman "&amp;TEXT(SUMIFS($F$5:$F$1000,$O$5:$O$1000,$O109),"0%")&amp;" · ","")&amp;IF((COUNTIF(G109:J109,"&gt;1")+COUNTIF(G109:J109,"&lt;0")+COUNTA(G109:J109)-COUNT(G109:J109))&gt;0,"Avance fuera de rango 0-100%"&amp;" · ","")&amp;IF(OR(AND(H109&lt;&gt;"",H109&lt;G109),AND(I109&lt;&gt;"",I109&lt;MAX(G109:H109)),AND(J109&lt;&gt;"",J109&lt;MAX(G109:I109))),"Avance semanal decreciente"&amp;" · ","")&amp;IF(AND(ISNUMBER(E109),E109&lt;FechaRef,N(K109)&lt;1),"Vencida"&amp;" · ","")&amp;IF(AND(ObsObligatoria="Sí",ISNUMBER(E109),E109&lt;FechaRef,N(K109)&lt;1,M109=""),"Vencida sin observación"&amp;" · ",""))-3)))</f>
        <v/>
      </c>
      <c r="O109" s="67">
        <f>IF(NOT((COUNTA($B109:$J109)+COUNTA($M109))&gt;0),"",IF(ISNUMBER($D109),DATE(YEAR($D109),MONTH($D109),1),IF(ISNUMBER($E109),DATE(YEAR($E109),MONTH($E109),1),MesCiclo)))</f>
        <v/>
      </c>
      <c r="P109" s="68">
        <f>IF(OR($O109="",$O109&lt;&gt;MesCiclo),"",COUNTIF($O$5:$O109,MesCiclo))</f>
        <v/>
      </c>
    </row>
    <row r="110">
      <c r="A110" s="60">
        <f>IF(NOT((COUNTA($B110:$J110)+COUNTA($M110))&gt;0),"",COUNTIFS($L$5:$L110,"?*",$O$5:$O110,$O110))</f>
        <v/>
      </c>
      <c r="B110" s="61" t="n"/>
      <c r="C110" s="61" t="n"/>
      <c r="D110" s="62" t="n"/>
      <c r="E110" s="62" t="n"/>
      <c r="F110" s="63" t="n"/>
      <c r="G110" s="64" t="n"/>
      <c r="H110" s="64" t="n"/>
      <c r="I110" s="64" t="n"/>
      <c r="J110" s="64" t="n"/>
      <c r="K110" s="65">
        <f>IF(NOT((COUNTA($B110:$J110)+COUNTA($M110))&gt;0),"",IFERROR(LOOKUP(2,1/(G110:J110&lt;&gt;""),G110:J110),0))</f>
        <v/>
      </c>
      <c r="L110" s="60">
        <f>IF(K110="","",IF(K110&gt;=1,"Completado",IF(K110&gt;0,"En curso","Pendiente")))</f>
        <v/>
      </c>
      <c r="M110" s="61" t="n"/>
      <c r="N110" s="66">
        <f>IF(NOT((COUNTA($B110:$J110)+COUNTA($M110))&gt;0),"",IF((IF(B110="","Macroactividad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 OK","⚠ "&amp;LEFT(IF(B110="","Macroactividad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",""),LEN(IF(B110="","Macroactividad vacía"&amp;" · ","")&amp;IF(C110="","Sin responsable"&amp;" · ","")&amp;IF(D110="","Sin fecha de inicio"&amp;" · ","")&amp;IF(E110="","Sin fecha límite"&amp;" · ","")&amp;IF(OR(AND(D110&lt;&gt;"",NOT(ISNUMBER(D110))),AND(E110&lt;&gt;"",NOT(ISNUMBER(E110)))),"Fecha no válida"&amp;" · ","")&amp;IF(AND(ISNUMBER(D110),ISNUMBER(E110),D110&gt;E110),"Inicio posterior a fecha límite"&amp;" · ","")&amp;IF(F110="","Peso vacío"&amp;" · ","")&amp;IF(AND(F110&lt;&gt;"",OR(NOT(ISNUMBER(F110)),F110&lt;=0,F110&gt;1)),"Peso fuera de rango"&amp;" · ","")&amp;IF(ABS(SUMIFS($F$5:$F$1000,$O$5:$O$1000,$O110)-1)&gt;0.0001,"Pesos del mes suman "&amp;TEXT(SUMIFS($F$5:$F$1000,$O$5:$O$1000,$O110),"0%")&amp;" · ","")&amp;IF((COUNTIF(G110:J110,"&gt;1")+COUNTIF(G110:J110,"&lt;0")+COUNTA(G110:J110)-COUNT(G110:J110))&gt;0,"Avance fuera de rango 0-100%"&amp;" · ","")&amp;IF(OR(AND(H110&lt;&gt;"",H110&lt;G110),AND(I110&lt;&gt;"",I110&lt;MAX(G110:H110)),AND(J110&lt;&gt;"",J110&lt;MAX(G110:I110))),"Avance semanal decreciente"&amp;" · ","")&amp;IF(AND(ISNUMBER(E110),E110&lt;FechaRef,N(K110)&lt;1),"Vencida"&amp;" · ","")&amp;IF(AND(ObsObligatoria="Sí",ISNUMBER(E110),E110&lt;FechaRef,N(K110)&lt;1,M110=""),"Vencida sin observación"&amp;" · ",""))-3)))</f>
        <v/>
      </c>
      <c r="O110" s="67">
        <f>IF(NOT((COUNTA($B110:$J110)+COUNTA($M110))&gt;0),"",IF(ISNUMBER($D110),DATE(YEAR($D110),MONTH($D110),1),IF(ISNUMBER($E110),DATE(YEAR($E110),MONTH($E110),1),MesCiclo)))</f>
        <v/>
      </c>
      <c r="P110" s="68">
        <f>IF(OR($O110="",$O110&lt;&gt;MesCiclo),"",COUNTIF($O$5:$O110,MesCiclo))</f>
        <v/>
      </c>
    </row>
    <row r="111">
      <c r="A111" s="60">
        <f>IF(NOT((COUNTA($B111:$J111)+COUNTA($M111))&gt;0),"",COUNTIFS($L$5:$L111,"?*",$O$5:$O111,$O111))</f>
        <v/>
      </c>
      <c r="B111" s="61" t="n"/>
      <c r="C111" s="61" t="n"/>
      <c r="D111" s="62" t="n"/>
      <c r="E111" s="62" t="n"/>
      <c r="F111" s="63" t="n"/>
      <c r="G111" s="64" t="n"/>
      <c r="H111" s="64" t="n"/>
      <c r="I111" s="64" t="n"/>
      <c r="J111" s="64" t="n"/>
      <c r="K111" s="65">
        <f>IF(NOT((COUNTA($B111:$J111)+COUNTA($M111))&gt;0),"",IFERROR(LOOKUP(2,1/(G111:J111&lt;&gt;""),G111:J111),0))</f>
        <v/>
      </c>
      <c r="L111" s="60">
        <f>IF(K111="","",IF(K111&gt;=1,"Completado",IF(K111&gt;0,"En curso","Pendiente")))</f>
        <v/>
      </c>
      <c r="M111" s="61" t="n"/>
      <c r="N111" s="66">
        <f>IF(NOT((COUNTA($B111:$J111)+COUNTA($M111))&gt;0),"",IF((IF(B111="","Macroactividad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 OK","⚠ "&amp;LEFT(IF(B111="","Macroactividad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",""),LEN(IF(B111="","Macroactividad vacía"&amp;" · ","")&amp;IF(C111="","Sin responsable"&amp;" · ","")&amp;IF(D111="","Sin fecha de inicio"&amp;" · ","")&amp;IF(E111="","Sin fecha límite"&amp;" · ","")&amp;IF(OR(AND(D111&lt;&gt;"",NOT(ISNUMBER(D111))),AND(E111&lt;&gt;"",NOT(ISNUMBER(E111)))),"Fecha no válida"&amp;" · ","")&amp;IF(AND(ISNUMBER(D111),ISNUMBER(E111),D111&gt;E111),"Inicio posterior a fecha límite"&amp;" · ","")&amp;IF(F111="","Peso vacío"&amp;" · ","")&amp;IF(AND(F111&lt;&gt;"",OR(NOT(ISNUMBER(F111)),F111&lt;=0,F111&gt;1)),"Peso fuera de rango"&amp;" · ","")&amp;IF(ABS(SUMIFS($F$5:$F$1000,$O$5:$O$1000,$O111)-1)&gt;0.0001,"Pesos del mes suman "&amp;TEXT(SUMIFS($F$5:$F$1000,$O$5:$O$1000,$O111),"0%")&amp;" · ","")&amp;IF((COUNTIF(G111:J111,"&gt;1")+COUNTIF(G111:J111,"&lt;0")+COUNTA(G111:J111)-COUNT(G111:J111))&gt;0,"Avance fuera de rango 0-100%"&amp;" · ","")&amp;IF(OR(AND(H111&lt;&gt;"",H111&lt;G111),AND(I111&lt;&gt;"",I111&lt;MAX(G111:H111)),AND(J111&lt;&gt;"",J111&lt;MAX(G111:I111))),"Avance semanal decreciente"&amp;" · ","")&amp;IF(AND(ISNUMBER(E111),E111&lt;FechaRef,N(K111)&lt;1),"Vencida"&amp;" · ","")&amp;IF(AND(ObsObligatoria="Sí",ISNUMBER(E111),E111&lt;FechaRef,N(K111)&lt;1,M111=""),"Vencida sin observación"&amp;" · ",""))-3)))</f>
        <v/>
      </c>
      <c r="O111" s="67">
        <f>IF(NOT((COUNTA($B111:$J111)+COUNTA($M111))&gt;0),"",IF(ISNUMBER($D111),DATE(YEAR($D111),MONTH($D111),1),IF(ISNUMBER($E111),DATE(YEAR($E111),MONTH($E111),1),MesCiclo)))</f>
        <v/>
      </c>
      <c r="P111" s="68">
        <f>IF(OR($O111="",$O111&lt;&gt;MesCiclo),"",COUNTIF($O$5:$O111,MesCiclo))</f>
        <v/>
      </c>
    </row>
    <row r="112">
      <c r="A112" s="60">
        <f>IF(NOT((COUNTA($B112:$J112)+COUNTA($M112))&gt;0),"",COUNTIFS($L$5:$L112,"?*",$O$5:$O112,$O112))</f>
        <v/>
      </c>
      <c r="B112" s="61" t="n"/>
      <c r="C112" s="61" t="n"/>
      <c r="D112" s="62" t="n"/>
      <c r="E112" s="62" t="n"/>
      <c r="F112" s="63" t="n"/>
      <c r="G112" s="64" t="n"/>
      <c r="H112" s="64" t="n"/>
      <c r="I112" s="64" t="n"/>
      <c r="J112" s="64" t="n"/>
      <c r="K112" s="65">
        <f>IF(NOT((COUNTA($B112:$J112)+COUNTA($M112))&gt;0),"",IFERROR(LOOKUP(2,1/(G112:J112&lt;&gt;""),G112:J112),0))</f>
        <v/>
      </c>
      <c r="L112" s="60">
        <f>IF(K112="","",IF(K112&gt;=1,"Completado",IF(K112&gt;0,"En curso","Pendiente")))</f>
        <v/>
      </c>
      <c r="M112" s="61" t="n"/>
      <c r="N112" s="66">
        <f>IF(NOT((COUNTA($B112:$J112)+COUNTA($M112))&gt;0),"",IF((IF(B112="","Macroactividad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 OK","⚠ "&amp;LEFT(IF(B112="","Macroactividad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",""),LEN(IF(B112="","Macroactividad vacía"&amp;" · ","")&amp;IF(C112="","Sin responsable"&amp;" · ","")&amp;IF(D112="","Sin fecha de inicio"&amp;" · ","")&amp;IF(E112="","Sin fecha límite"&amp;" · ","")&amp;IF(OR(AND(D112&lt;&gt;"",NOT(ISNUMBER(D112))),AND(E112&lt;&gt;"",NOT(ISNUMBER(E112)))),"Fecha no válida"&amp;" · ","")&amp;IF(AND(ISNUMBER(D112),ISNUMBER(E112),D112&gt;E112),"Inicio posterior a fecha límite"&amp;" · ","")&amp;IF(F112="","Peso vacío"&amp;" · ","")&amp;IF(AND(F112&lt;&gt;"",OR(NOT(ISNUMBER(F112)),F112&lt;=0,F112&gt;1)),"Peso fuera de rango"&amp;" · ","")&amp;IF(ABS(SUMIFS($F$5:$F$1000,$O$5:$O$1000,$O112)-1)&gt;0.0001,"Pesos del mes suman "&amp;TEXT(SUMIFS($F$5:$F$1000,$O$5:$O$1000,$O112),"0%")&amp;" · ","")&amp;IF((COUNTIF(G112:J112,"&gt;1")+COUNTIF(G112:J112,"&lt;0")+COUNTA(G112:J112)-COUNT(G112:J112))&gt;0,"Avance fuera de rango 0-100%"&amp;" · ","")&amp;IF(OR(AND(H112&lt;&gt;"",H112&lt;G112),AND(I112&lt;&gt;"",I112&lt;MAX(G112:H112)),AND(J112&lt;&gt;"",J112&lt;MAX(G112:I112))),"Avance semanal decreciente"&amp;" · ","")&amp;IF(AND(ISNUMBER(E112),E112&lt;FechaRef,N(K112)&lt;1),"Vencida"&amp;" · ","")&amp;IF(AND(ObsObligatoria="Sí",ISNUMBER(E112),E112&lt;FechaRef,N(K112)&lt;1,M112=""),"Vencida sin observación"&amp;" · ",""))-3)))</f>
        <v/>
      </c>
      <c r="O112" s="67">
        <f>IF(NOT((COUNTA($B112:$J112)+COUNTA($M112))&gt;0),"",IF(ISNUMBER($D112),DATE(YEAR($D112),MONTH($D112),1),IF(ISNUMBER($E112),DATE(YEAR($E112),MONTH($E112),1),MesCiclo)))</f>
        <v/>
      </c>
      <c r="P112" s="68">
        <f>IF(OR($O112="",$O112&lt;&gt;MesCiclo),"",COUNTIF($O$5:$O112,MesCiclo))</f>
        <v/>
      </c>
    </row>
    <row r="113">
      <c r="A113" s="60">
        <f>IF(NOT((COUNTA($B113:$J113)+COUNTA($M113))&gt;0),"",COUNTIFS($L$5:$L113,"?*",$O$5:$O113,$O113))</f>
        <v/>
      </c>
      <c r="B113" s="61" t="n"/>
      <c r="C113" s="61" t="n"/>
      <c r="D113" s="62" t="n"/>
      <c r="E113" s="62" t="n"/>
      <c r="F113" s="63" t="n"/>
      <c r="G113" s="64" t="n"/>
      <c r="H113" s="64" t="n"/>
      <c r="I113" s="64" t="n"/>
      <c r="J113" s="64" t="n"/>
      <c r="K113" s="65">
        <f>IF(NOT((COUNTA($B113:$J113)+COUNTA($M113))&gt;0),"",IFERROR(LOOKUP(2,1/(G113:J113&lt;&gt;""),G113:J113),0))</f>
        <v/>
      </c>
      <c r="L113" s="60">
        <f>IF(K113="","",IF(K113&gt;=1,"Completado",IF(K113&gt;0,"En curso","Pendiente")))</f>
        <v/>
      </c>
      <c r="M113" s="61" t="n"/>
      <c r="N113" s="66">
        <f>IF(NOT((COUNTA($B113:$J113)+COUNTA($M113))&gt;0),"",IF((IF(B113="","Macroactividad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 OK","⚠ "&amp;LEFT(IF(B113="","Macroactividad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",""),LEN(IF(B113="","Macroactividad vacía"&amp;" · ","")&amp;IF(C113="","Sin responsable"&amp;" · ","")&amp;IF(D113="","Sin fecha de inicio"&amp;" · ","")&amp;IF(E113="","Sin fecha límite"&amp;" · ","")&amp;IF(OR(AND(D113&lt;&gt;"",NOT(ISNUMBER(D113))),AND(E113&lt;&gt;"",NOT(ISNUMBER(E113)))),"Fecha no válida"&amp;" · ","")&amp;IF(AND(ISNUMBER(D113),ISNUMBER(E113),D113&gt;E113),"Inicio posterior a fecha límite"&amp;" · ","")&amp;IF(F113="","Peso vacío"&amp;" · ","")&amp;IF(AND(F113&lt;&gt;"",OR(NOT(ISNUMBER(F113)),F113&lt;=0,F113&gt;1)),"Peso fuera de rango"&amp;" · ","")&amp;IF(ABS(SUMIFS($F$5:$F$1000,$O$5:$O$1000,$O113)-1)&gt;0.0001,"Pesos del mes suman "&amp;TEXT(SUMIFS($F$5:$F$1000,$O$5:$O$1000,$O113),"0%")&amp;" · ","")&amp;IF((COUNTIF(G113:J113,"&gt;1")+COUNTIF(G113:J113,"&lt;0")+COUNTA(G113:J113)-COUNT(G113:J113))&gt;0,"Avance fuera de rango 0-100%"&amp;" · ","")&amp;IF(OR(AND(H113&lt;&gt;"",H113&lt;G113),AND(I113&lt;&gt;"",I113&lt;MAX(G113:H113)),AND(J113&lt;&gt;"",J113&lt;MAX(G113:I113))),"Avance semanal decreciente"&amp;" · ","")&amp;IF(AND(ISNUMBER(E113),E113&lt;FechaRef,N(K113)&lt;1),"Vencida"&amp;" · ","")&amp;IF(AND(ObsObligatoria="Sí",ISNUMBER(E113),E113&lt;FechaRef,N(K113)&lt;1,M113=""),"Vencida sin observación"&amp;" · ",""))-3)))</f>
        <v/>
      </c>
      <c r="O113" s="67">
        <f>IF(NOT((COUNTA($B113:$J113)+COUNTA($M113))&gt;0),"",IF(ISNUMBER($D113),DATE(YEAR($D113),MONTH($D113),1),IF(ISNUMBER($E113),DATE(YEAR($E113),MONTH($E113),1),MesCiclo)))</f>
        <v/>
      </c>
      <c r="P113" s="68">
        <f>IF(OR($O113="",$O113&lt;&gt;MesCiclo),"",COUNTIF($O$5:$O113,MesCiclo))</f>
        <v/>
      </c>
    </row>
    <row r="114">
      <c r="A114" s="60">
        <f>IF(NOT((COUNTA($B114:$J114)+COUNTA($M114))&gt;0),"",COUNTIFS($L$5:$L114,"?*",$O$5:$O114,$O114))</f>
        <v/>
      </c>
      <c r="B114" s="61" t="n"/>
      <c r="C114" s="61" t="n"/>
      <c r="D114" s="62" t="n"/>
      <c r="E114" s="62" t="n"/>
      <c r="F114" s="63" t="n"/>
      <c r="G114" s="64" t="n"/>
      <c r="H114" s="64" t="n"/>
      <c r="I114" s="64" t="n"/>
      <c r="J114" s="64" t="n"/>
      <c r="K114" s="65">
        <f>IF(NOT((COUNTA($B114:$J114)+COUNTA($M114))&gt;0),"",IFERROR(LOOKUP(2,1/(G114:J114&lt;&gt;""),G114:J114),0))</f>
        <v/>
      </c>
      <c r="L114" s="60">
        <f>IF(K114="","",IF(K114&gt;=1,"Completado",IF(K114&gt;0,"En curso","Pendiente")))</f>
        <v/>
      </c>
      <c r="M114" s="61" t="n"/>
      <c r="N114" s="66">
        <f>IF(NOT((COUNTA($B114:$J114)+COUNTA($M114))&gt;0),"",IF((IF(B114="","Macroactividad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 OK","⚠ "&amp;LEFT(IF(B114="","Macroactividad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",""),LEN(IF(B114="","Macroactividad vacía"&amp;" · ","")&amp;IF(C114="","Sin responsable"&amp;" · ","")&amp;IF(D114="","Sin fecha de inicio"&amp;" · ","")&amp;IF(E114="","Sin fecha límite"&amp;" · ","")&amp;IF(OR(AND(D114&lt;&gt;"",NOT(ISNUMBER(D114))),AND(E114&lt;&gt;"",NOT(ISNUMBER(E114)))),"Fecha no válida"&amp;" · ","")&amp;IF(AND(ISNUMBER(D114),ISNUMBER(E114),D114&gt;E114),"Inicio posterior a fecha límite"&amp;" · ","")&amp;IF(F114="","Peso vacío"&amp;" · ","")&amp;IF(AND(F114&lt;&gt;"",OR(NOT(ISNUMBER(F114)),F114&lt;=0,F114&gt;1)),"Peso fuera de rango"&amp;" · ","")&amp;IF(ABS(SUMIFS($F$5:$F$1000,$O$5:$O$1000,$O114)-1)&gt;0.0001,"Pesos del mes suman "&amp;TEXT(SUMIFS($F$5:$F$1000,$O$5:$O$1000,$O114),"0%")&amp;" · ","")&amp;IF((COUNTIF(G114:J114,"&gt;1")+COUNTIF(G114:J114,"&lt;0")+COUNTA(G114:J114)-COUNT(G114:J114))&gt;0,"Avance fuera de rango 0-100%"&amp;" · ","")&amp;IF(OR(AND(H114&lt;&gt;"",H114&lt;G114),AND(I114&lt;&gt;"",I114&lt;MAX(G114:H114)),AND(J114&lt;&gt;"",J114&lt;MAX(G114:I114))),"Avance semanal decreciente"&amp;" · ","")&amp;IF(AND(ISNUMBER(E114),E114&lt;FechaRef,N(K114)&lt;1),"Vencida"&amp;" · ","")&amp;IF(AND(ObsObligatoria="Sí",ISNUMBER(E114),E114&lt;FechaRef,N(K114)&lt;1,M114=""),"Vencida sin observación"&amp;" · ",""))-3)))</f>
        <v/>
      </c>
      <c r="O114" s="67">
        <f>IF(NOT((COUNTA($B114:$J114)+COUNTA($M114))&gt;0),"",IF(ISNUMBER($D114),DATE(YEAR($D114),MONTH($D114),1),IF(ISNUMBER($E114),DATE(YEAR($E114),MONTH($E114),1),MesCiclo)))</f>
        <v/>
      </c>
      <c r="P114" s="68">
        <f>IF(OR($O114="",$O114&lt;&gt;MesCiclo),"",COUNTIF($O$5:$O114,MesCiclo))</f>
        <v/>
      </c>
    </row>
    <row r="115">
      <c r="A115" s="60">
        <f>IF(NOT((COUNTA($B115:$J115)+COUNTA($M115))&gt;0),"",COUNTIFS($L$5:$L115,"?*",$O$5:$O115,$O115))</f>
        <v/>
      </c>
      <c r="B115" s="61" t="n"/>
      <c r="C115" s="61" t="n"/>
      <c r="D115" s="62" t="n"/>
      <c r="E115" s="62" t="n"/>
      <c r="F115" s="63" t="n"/>
      <c r="G115" s="64" t="n"/>
      <c r="H115" s="64" t="n"/>
      <c r="I115" s="64" t="n"/>
      <c r="J115" s="64" t="n"/>
      <c r="K115" s="65">
        <f>IF(NOT((COUNTA($B115:$J115)+COUNTA($M115))&gt;0),"",IFERROR(LOOKUP(2,1/(G115:J115&lt;&gt;""),G115:J115),0))</f>
        <v/>
      </c>
      <c r="L115" s="60">
        <f>IF(K115="","",IF(K115&gt;=1,"Completado",IF(K115&gt;0,"En curso","Pendiente")))</f>
        <v/>
      </c>
      <c r="M115" s="61" t="n"/>
      <c r="N115" s="66">
        <f>IF(NOT((COUNTA($B115:$J115)+COUNTA($M115))&gt;0),"",IF((IF(B115="","Macroactividad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 OK","⚠ "&amp;LEFT(IF(B115="","Macroactividad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",""),LEN(IF(B115="","Macroactividad vacía"&amp;" · ","")&amp;IF(C115="","Sin responsable"&amp;" · ","")&amp;IF(D115="","Sin fecha de inicio"&amp;" · ","")&amp;IF(E115="","Sin fecha límite"&amp;" · ","")&amp;IF(OR(AND(D115&lt;&gt;"",NOT(ISNUMBER(D115))),AND(E115&lt;&gt;"",NOT(ISNUMBER(E115)))),"Fecha no válida"&amp;" · ","")&amp;IF(AND(ISNUMBER(D115),ISNUMBER(E115),D115&gt;E115),"Inicio posterior a fecha límite"&amp;" · ","")&amp;IF(F115="","Peso vacío"&amp;" · ","")&amp;IF(AND(F115&lt;&gt;"",OR(NOT(ISNUMBER(F115)),F115&lt;=0,F115&gt;1)),"Peso fuera de rango"&amp;" · ","")&amp;IF(ABS(SUMIFS($F$5:$F$1000,$O$5:$O$1000,$O115)-1)&gt;0.0001,"Pesos del mes suman "&amp;TEXT(SUMIFS($F$5:$F$1000,$O$5:$O$1000,$O115),"0%")&amp;" · ","")&amp;IF((COUNTIF(G115:J115,"&gt;1")+COUNTIF(G115:J115,"&lt;0")+COUNTA(G115:J115)-COUNT(G115:J115))&gt;0,"Avance fuera de rango 0-100%"&amp;" · ","")&amp;IF(OR(AND(H115&lt;&gt;"",H115&lt;G115),AND(I115&lt;&gt;"",I115&lt;MAX(G115:H115)),AND(J115&lt;&gt;"",J115&lt;MAX(G115:I115))),"Avance semanal decreciente"&amp;" · ","")&amp;IF(AND(ISNUMBER(E115),E115&lt;FechaRef,N(K115)&lt;1),"Vencida"&amp;" · ","")&amp;IF(AND(ObsObligatoria="Sí",ISNUMBER(E115),E115&lt;FechaRef,N(K115)&lt;1,M115=""),"Vencida sin observación"&amp;" · ",""))-3)))</f>
        <v/>
      </c>
      <c r="O115" s="67">
        <f>IF(NOT((COUNTA($B115:$J115)+COUNTA($M115))&gt;0),"",IF(ISNUMBER($D115),DATE(YEAR($D115),MONTH($D115),1),IF(ISNUMBER($E115),DATE(YEAR($E115),MONTH($E115),1),MesCiclo)))</f>
        <v/>
      </c>
      <c r="P115" s="68">
        <f>IF(OR($O115="",$O115&lt;&gt;MesCiclo),"",COUNTIF($O$5:$O115,MesCiclo))</f>
        <v/>
      </c>
    </row>
    <row r="116">
      <c r="A116" s="60">
        <f>IF(NOT((COUNTA($B116:$J116)+COUNTA($M116))&gt;0),"",COUNTIFS($L$5:$L116,"?*",$O$5:$O116,$O116))</f>
        <v/>
      </c>
      <c r="B116" s="61" t="n"/>
      <c r="C116" s="61" t="n"/>
      <c r="D116" s="62" t="n"/>
      <c r="E116" s="62" t="n"/>
      <c r="F116" s="63" t="n"/>
      <c r="G116" s="64" t="n"/>
      <c r="H116" s="64" t="n"/>
      <c r="I116" s="64" t="n"/>
      <c r="J116" s="64" t="n"/>
      <c r="K116" s="65">
        <f>IF(NOT((COUNTA($B116:$J116)+COUNTA($M116))&gt;0),"",IFERROR(LOOKUP(2,1/(G116:J116&lt;&gt;""),G116:J116),0))</f>
        <v/>
      </c>
      <c r="L116" s="60">
        <f>IF(K116="","",IF(K116&gt;=1,"Completado",IF(K116&gt;0,"En curso","Pendiente")))</f>
        <v/>
      </c>
      <c r="M116" s="61" t="n"/>
      <c r="N116" s="66">
        <f>IF(NOT((COUNTA($B116:$J116)+COUNTA($M116))&gt;0),"",IF((IF(B116="","Macroactividad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 OK","⚠ "&amp;LEFT(IF(B116="","Macroactividad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",""),LEN(IF(B116="","Macroactividad vacía"&amp;" · ","")&amp;IF(C116="","Sin responsable"&amp;" · ","")&amp;IF(D116="","Sin fecha de inicio"&amp;" · ","")&amp;IF(E116="","Sin fecha límite"&amp;" · ","")&amp;IF(OR(AND(D116&lt;&gt;"",NOT(ISNUMBER(D116))),AND(E116&lt;&gt;"",NOT(ISNUMBER(E116)))),"Fecha no válida"&amp;" · ","")&amp;IF(AND(ISNUMBER(D116),ISNUMBER(E116),D116&gt;E116),"Inicio posterior a fecha límite"&amp;" · ","")&amp;IF(F116="","Peso vacío"&amp;" · ","")&amp;IF(AND(F116&lt;&gt;"",OR(NOT(ISNUMBER(F116)),F116&lt;=0,F116&gt;1)),"Peso fuera de rango"&amp;" · ","")&amp;IF(ABS(SUMIFS($F$5:$F$1000,$O$5:$O$1000,$O116)-1)&gt;0.0001,"Pesos del mes suman "&amp;TEXT(SUMIFS($F$5:$F$1000,$O$5:$O$1000,$O116),"0%")&amp;" · ","")&amp;IF((COUNTIF(G116:J116,"&gt;1")+COUNTIF(G116:J116,"&lt;0")+COUNTA(G116:J116)-COUNT(G116:J116))&gt;0,"Avance fuera de rango 0-100%"&amp;" · ","")&amp;IF(OR(AND(H116&lt;&gt;"",H116&lt;G116),AND(I116&lt;&gt;"",I116&lt;MAX(G116:H116)),AND(J116&lt;&gt;"",J116&lt;MAX(G116:I116))),"Avance semanal decreciente"&amp;" · ","")&amp;IF(AND(ISNUMBER(E116),E116&lt;FechaRef,N(K116)&lt;1),"Vencida"&amp;" · ","")&amp;IF(AND(ObsObligatoria="Sí",ISNUMBER(E116),E116&lt;FechaRef,N(K116)&lt;1,M116=""),"Vencida sin observación"&amp;" · ",""))-3)))</f>
        <v/>
      </c>
      <c r="O116" s="67">
        <f>IF(NOT((COUNTA($B116:$J116)+COUNTA($M116))&gt;0),"",IF(ISNUMBER($D116),DATE(YEAR($D116),MONTH($D116),1),IF(ISNUMBER($E116),DATE(YEAR($E116),MONTH($E116),1),MesCiclo)))</f>
        <v/>
      </c>
      <c r="P116" s="68">
        <f>IF(OR($O116="",$O116&lt;&gt;MesCiclo),"",COUNTIF($O$5:$O116,MesCiclo))</f>
        <v/>
      </c>
    </row>
    <row r="117">
      <c r="A117" s="60">
        <f>IF(NOT((COUNTA($B117:$J117)+COUNTA($M117))&gt;0),"",COUNTIFS($L$5:$L117,"?*",$O$5:$O117,$O117))</f>
        <v/>
      </c>
      <c r="B117" s="61" t="n"/>
      <c r="C117" s="61" t="n"/>
      <c r="D117" s="62" t="n"/>
      <c r="E117" s="62" t="n"/>
      <c r="F117" s="63" t="n"/>
      <c r="G117" s="64" t="n"/>
      <c r="H117" s="64" t="n"/>
      <c r="I117" s="64" t="n"/>
      <c r="J117" s="64" t="n"/>
      <c r="K117" s="65">
        <f>IF(NOT((COUNTA($B117:$J117)+COUNTA($M117))&gt;0),"",IFERROR(LOOKUP(2,1/(G117:J117&lt;&gt;""),G117:J117),0))</f>
        <v/>
      </c>
      <c r="L117" s="60">
        <f>IF(K117="","",IF(K117&gt;=1,"Completado",IF(K117&gt;0,"En curso","Pendiente")))</f>
        <v/>
      </c>
      <c r="M117" s="61" t="n"/>
      <c r="N117" s="66">
        <f>IF(NOT((COUNTA($B117:$J117)+COUNTA($M117))&gt;0),"",IF((IF(B117="","Macroactividad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 OK","⚠ "&amp;LEFT(IF(B117="","Macroactividad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",""),LEN(IF(B117="","Macroactividad vacía"&amp;" · ","")&amp;IF(C117="","Sin responsable"&amp;" · ","")&amp;IF(D117="","Sin fecha de inicio"&amp;" · ","")&amp;IF(E117="","Sin fecha límite"&amp;" · ","")&amp;IF(OR(AND(D117&lt;&gt;"",NOT(ISNUMBER(D117))),AND(E117&lt;&gt;"",NOT(ISNUMBER(E117)))),"Fecha no válida"&amp;" · ","")&amp;IF(AND(ISNUMBER(D117),ISNUMBER(E117),D117&gt;E117),"Inicio posterior a fecha límite"&amp;" · ","")&amp;IF(F117="","Peso vacío"&amp;" · ","")&amp;IF(AND(F117&lt;&gt;"",OR(NOT(ISNUMBER(F117)),F117&lt;=0,F117&gt;1)),"Peso fuera de rango"&amp;" · ","")&amp;IF(ABS(SUMIFS($F$5:$F$1000,$O$5:$O$1000,$O117)-1)&gt;0.0001,"Pesos del mes suman "&amp;TEXT(SUMIFS($F$5:$F$1000,$O$5:$O$1000,$O117),"0%")&amp;" · ","")&amp;IF((COUNTIF(G117:J117,"&gt;1")+COUNTIF(G117:J117,"&lt;0")+COUNTA(G117:J117)-COUNT(G117:J117))&gt;0,"Avance fuera de rango 0-100%"&amp;" · ","")&amp;IF(OR(AND(H117&lt;&gt;"",H117&lt;G117),AND(I117&lt;&gt;"",I117&lt;MAX(G117:H117)),AND(J117&lt;&gt;"",J117&lt;MAX(G117:I117))),"Avance semanal decreciente"&amp;" · ","")&amp;IF(AND(ISNUMBER(E117),E117&lt;FechaRef,N(K117)&lt;1),"Vencida"&amp;" · ","")&amp;IF(AND(ObsObligatoria="Sí",ISNUMBER(E117),E117&lt;FechaRef,N(K117)&lt;1,M117=""),"Vencida sin observación"&amp;" · ",""))-3)))</f>
        <v/>
      </c>
      <c r="O117" s="67">
        <f>IF(NOT((COUNTA($B117:$J117)+COUNTA($M117))&gt;0),"",IF(ISNUMBER($D117),DATE(YEAR($D117),MONTH($D117),1),IF(ISNUMBER($E117),DATE(YEAR($E117),MONTH($E117),1),MesCiclo)))</f>
        <v/>
      </c>
      <c r="P117" s="68">
        <f>IF(OR($O117="",$O117&lt;&gt;MesCiclo),"",COUNTIF($O$5:$O117,MesCiclo))</f>
        <v/>
      </c>
    </row>
    <row r="118">
      <c r="A118" s="60">
        <f>IF(NOT((COUNTA($B118:$J118)+COUNTA($M118))&gt;0),"",COUNTIFS($L$5:$L118,"?*",$O$5:$O118,$O118))</f>
        <v/>
      </c>
      <c r="B118" s="61" t="n"/>
      <c r="C118" s="61" t="n"/>
      <c r="D118" s="62" t="n"/>
      <c r="E118" s="62" t="n"/>
      <c r="F118" s="63" t="n"/>
      <c r="G118" s="64" t="n"/>
      <c r="H118" s="64" t="n"/>
      <c r="I118" s="64" t="n"/>
      <c r="J118" s="64" t="n"/>
      <c r="K118" s="65">
        <f>IF(NOT((COUNTA($B118:$J118)+COUNTA($M118))&gt;0),"",IFERROR(LOOKUP(2,1/(G118:J118&lt;&gt;""),G118:J118),0))</f>
        <v/>
      </c>
      <c r="L118" s="60">
        <f>IF(K118="","",IF(K118&gt;=1,"Completado",IF(K118&gt;0,"En curso","Pendiente")))</f>
        <v/>
      </c>
      <c r="M118" s="61" t="n"/>
      <c r="N118" s="66">
        <f>IF(NOT((COUNTA($B118:$J118)+COUNTA($M118))&gt;0),"",IF((IF(B118="","Macroactividad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 OK","⚠ "&amp;LEFT(IF(B118="","Macroactividad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",""),LEN(IF(B118="","Macroactividad vacía"&amp;" · ","")&amp;IF(C118="","Sin responsable"&amp;" · ","")&amp;IF(D118="","Sin fecha de inicio"&amp;" · ","")&amp;IF(E118="","Sin fecha límite"&amp;" · ","")&amp;IF(OR(AND(D118&lt;&gt;"",NOT(ISNUMBER(D118))),AND(E118&lt;&gt;"",NOT(ISNUMBER(E118)))),"Fecha no válida"&amp;" · ","")&amp;IF(AND(ISNUMBER(D118),ISNUMBER(E118),D118&gt;E118),"Inicio posterior a fecha límite"&amp;" · ","")&amp;IF(F118="","Peso vacío"&amp;" · ","")&amp;IF(AND(F118&lt;&gt;"",OR(NOT(ISNUMBER(F118)),F118&lt;=0,F118&gt;1)),"Peso fuera de rango"&amp;" · ","")&amp;IF(ABS(SUMIFS($F$5:$F$1000,$O$5:$O$1000,$O118)-1)&gt;0.0001,"Pesos del mes suman "&amp;TEXT(SUMIFS($F$5:$F$1000,$O$5:$O$1000,$O118),"0%")&amp;" · ","")&amp;IF((COUNTIF(G118:J118,"&gt;1")+COUNTIF(G118:J118,"&lt;0")+COUNTA(G118:J118)-COUNT(G118:J118))&gt;0,"Avance fuera de rango 0-100%"&amp;" · ","")&amp;IF(OR(AND(H118&lt;&gt;"",H118&lt;G118),AND(I118&lt;&gt;"",I118&lt;MAX(G118:H118)),AND(J118&lt;&gt;"",J118&lt;MAX(G118:I118))),"Avance semanal decreciente"&amp;" · ","")&amp;IF(AND(ISNUMBER(E118),E118&lt;FechaRef,N(K118)&lt;1),"Vencida"&amp;" · ","")&amp;IF(AND(ObsObligatoria="Sí",ISNUMBER(E118),E118&lt;FechaRef,N(K118)&lt;1,M118=""),"Vencida sin observación"&amp;" · ",""))-3)))</f>
        <v/>
      </c>
      <c r="O118" s="67">
        <f>IF(NOT((COUNTA($B118:$J118)+COUNTA($M118))&gt;0),"",IF(ISNUMBER($D118),DATE(YEAR($D118),MONTH($D118),1),IF(ISNUMBER($E118),DATE(YEAR($E118),MONTH($E118),1),MesCiclo)))</f>
        <v/>
      </c>
      <c r="P118" s="68">
        <f>IF(OR($O118="",$O118&lt;&gt;MesCiclo),"",COUNTIF($O$5:$O118,MesCiclo))</f>
        <v/>
      </c>
    </row>
    <row r="119">
      <c r="A119" s="60">
        <f>IF(NOT((COUNTA($B119:$J119)+COUNTA($M119))&gt;0),"",COUNTIFS($L$5:$L119,"?*",$O$5:$O119,$O119))</f>
        <v/>
      </c>
      <c r="B119" s="61" t="n"/>
      <c r="C119" s="61" t="n"/>
      <c r="D119" s="62" t="n"/>
      <c r="E119" s="62" t="n"/>
      <c r="F119" s="63" t="n"/>
      <c r="G119" s="64" t="n"/>
      <c r="H119" s="64" t="n"/>
      <c r="I119" s="64" t="n"/>
      <c r="J119" s="64" t="n"/>
      <c r="K119" s="65">
        <f>IF(NOT((COUNTA($B119:$J119)+COUNTA($M119))&gt;0),"",IFERROR(LOOKUP(2,1/(G119:J119&lt;&gt;""),G119:J119),0))</f>
        <v/>
      </c>
      <c r="L119" s="60">
        <f>IF(K119="","",IF(K119&gt;=1,"Completado",IF(K119&gt;0,"En curso","Pendiente")))</f>
        <v/>
      </c>
      <c r="M119" s="61" t="n"/>
      <c r="N119" s="66">
        <f>IF(NOT((COUNTA($B119:$J119)+COUNTA($M119))&gt;0),"",IF((IF(B119="","Macroactividad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 OK","⚠ "&amp;LEFT(IF(B119="","Macroactividad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",""),LEN(IF(B119="","Macroactividad vacía"&amp;" · ","")&amp;IF(C119="","Sin responsable"&amp;" · ","")&amp;IF(D119="","Sin fecha de inicio"&amp;" · ","")&amp;IF(E119="","Sin fecha límite"&amp;" · ","")&amp;IF(OR(AND(D119&lt;&gt;"",NOT(ISNUMBER(D119))),AND(E119&lt;&gt;"",NOT(ISNUMBER(E119)))),"Fecha no válida"&amp;" · ","")&amp;IF(AND(ISNUMBER(D119),ISNUMBER(E119),D119&gt;E119),"Inicio posterior a fecha límite"&amp;" · ","")&amp;IF(F119="","Peso vacío"&amp;" · ","")&amp;IF(AND(F119&lt;&gt;"",OR(NOT(ISNUMBER(F119)),F119&lt;=0,F119&gt;1)),"Peso fuera de rango"&amp;" · ","")&amp;IF(ABS(SUMIFS($F$5:$F$1000,$O$5:$O$1000,$O119)-1)&gt;0.0001,"Pesos del mes suman "&amp;TEXT(SUMIFS($F$5:$F$1000,$O$5:$O$1000,$O119),"0%")&amp;" · ","")&amp;IF((COUNTIF(G119:J119,"&gt;1")+COUNTIF(G119:J119,"&lt;0")+COUNTA(G119:J119)-COUNT(G119:J119))&gt;0,"Avance fuera de rango 0-100%"&amp;" · ","")&amp;IF(OR(AND(H119&lt;&gt;"",H119&lt;G119),AND(I119&lt;&gt;"",I119&lt;MAX(G119:H119)),AND(J119&lt;&gt;"",J119&lt;MAX(G119:I119))),"Avance semanal decreciente"&amp;" · ","")&amp;IF(AND(ISNUMBER(E119),E119&lt;FechaRef,N(K119)&lt;1),"Vencida"&amp;" · ","")&amp;IF(AND(ObsObligatoria="Sí",ISNUMBER(E119),E119&lt;FechaRef,N(K119)&lt;1,M119=""),"Vencida sin observación"&amp;" · ",""))-3)))</f>
        <v/>
      </c>
      <c r="O119" s="67">
        <f>IF(NOT((COUNTA($B119:$J119)+COUNTA($M119))&gt;0),"",IF(ISNUMBER($D119),DATE(YEAR($D119),MONTH($D119),1),IF(ISNUMBER($E119),DATE(YEAR($E119),MONTH($E119),1),MesCiclo)))</f>
        <v/>
      </c>
      <c r="P119" s="68">
        <f>IF(OR($O119="",$O119&lt;&gt;MesCiclo),"",COUNTIF($O$5:$O119,MesCiclo))</f>
        <v/>
      </c>
    </row>
    <row r="120">
      <c r="A120" s="60">
        <f>IF(NOT((COUNTA($B120:$J120)+COUNTA($M120))&gt;0),"",COUNTIFS($L$5:$L120,"?*",$O$5:$O120,$O120))</f>
        <v/>
      </c>
      <c r="B120" s="61" t="n"/>
      <c r="C120" s="61" t="n"/>
      <c r="D120" s="62" t="n"/>
      <c r="E120" s="62" t="n"/>
      <c r="F120" s="63" t="n"/>
      <c r="G120" s="64" t="n"/>
      <c r="H120" s="64" t="n"/>
      <c r="I120" s="64" t="n"/>
      <c r="J120" s="64" t="n"/>
      <c r="K120" s="65">
        <f>IF(NOT((COUNTA($B120:$J120)+COUNTA($M120))&gt;0),"",IFERROR(LOOKUP(2,1/(G120:J120&lt;&gt;""),G120:J120),0))</f>
        <v/>
      </c>
      <c r="L120" s="60">
        <f>IF(K120="","",IF(K120&gt;=1,"Completado",IF(K120&gt;0,"En curso","Pendiente")))</f>
        <v/>
      </c>
      <c r="M120" s="61" t="n"/>
      <c r="N120" s="66">
        <f>IF(NOT((COUNTA($B120:$J120)+COUNTA($M120))&gt;0),"",IF((IF(B120="","Macroactividad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 OK","⚠ "&amp;LEFT(IF(B120="","Macroactividad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",""),LEN(IF(B120="","Macroactividad vacía"&amp;" · ","")&amp;IF(C120="","Sin responsable"&amp;" · ","")&amp;IF(D120="","Sin fecha de inicio"&amp;" · ","")&amp;IF(E120="","Sin fecha límite"&amp;" · ","")&amp;IF(OR(AND(D120&lt;&gt;"",NOT(ISNUMBER(D120))),AND(E120&lt;&gt;"",NOT(ISNUMBER(E120)))),"Fecha no válida"&amp;" · ","")&amp;IF(AND(ISNUMBER(D120),ISNUMBER(E120),D120&gt;E120),"Inicio posterior a fecha límite"&amp;" · ","")&amp;IF(F120="","Peso vacío"&amp;" · ","")&amp;IF(AND(F120&lt;&gt;"",OR(NOT(ISNUMBER(F120)),F120&lt;=0,F120&gt;1)),"Peso fuera de rango"&amp;" · ","")&amp;IF(ABS(SUMIFS($F$5:$F$1000,$O$5:$O$1000,$O120)-1)&gt;0.0001,"Pesos del mes suman "&amp;TEXT(SUMIFS($F$5:$F$1000,$O$5:$O$1000,$O120),"0%")&amp;" · ","")&amp;IF((COUNTIF(G120:J120,"&gt;1")+COUNTIF(G120:J120,"&lt;0")+COUNTA(G120:J120)-COUNT(G120:J120))&gt;0,"Avance fuera de rango 0-100%"&amp;" · ","")&amp;IF(OR(AND(H120&lt;&gt;"",H120&lt;G120),AND(I120&lt;&gt;"",I120&lt;MAX(G120:H120)),AND(J120&lt;&gt;"",J120&lt;MAX(G120:I120))),"Avance semanal decreciente"&amp;" · ","")&amp;IF(AND(ISNUMBER(E120),E120&lt;FechaRef,N(K120)&lt;1),"Vencida"&amp;" · ","")&amp;IF(AND(ObsObligatoria="Sí",ISNUMBER(E120),E120&lt;FechaRef,N(K120)&lt;1,M120=""),"Vencida sin observación"&amp;" · ",""))-3)))</f>
        <v/>
      </c>
      <c r="O120" s="67">
        <f>IF(NOT((COUNTA($B120:$J120)+COUNTA($M120))&gt;0),"",IF(ISNUMBER($D120),DATE(YEAR($D120),MONTH($D120),1),IF(ISNUMBER($E120),DATE(YEAR($E120),MONTH($E120),1),MesCiclo)))</f>
        <v/>
      </c>
      <c r="P120" s="68">
        <f>IF(OR($O120="",$O120&lt;&gt;MesCiclo),"",COUNTIF($O$5:$O120,MesCiclo))</f>
        <v/>
      </c>
    </row>
    <row r="121">
      <c r="A121" s="60">
        <f>IF(NOT((COUNTA($B121:$J121)+COUNTA($M121))&gt;0),"",COUNTIFS($L$5:$L121,"?*",$O$5:$O121,$O121))</f>
        <v/>
      </c>
      <c r="B121" s="61" t="n"/>
      <c r="C121" s="61" t="n"/>
      <c r="D121" s="62" t="n"/>
      <c r="E121" s="62" t="n"/>
      <c r="F121" s="63" t="n"/>
      <c r="G121" s="64" t="n"/>
      <c r="H121" s="64" t="n"/>
      <c r="I121" s="64" t="n"/>
      <c r="J121" s="64" t="n"/>
      <c r="K121" s="65">
        <f>IF(NOT((COUNTA($B121:$J121)+COUNTA($M121))&gt;0),"",IFERROR(LOOKUP(2,1/(G121:J121&lt;&gt;""),G121:J121),0))</f>
        <v/>
      </c>
      <c r="L121" s="60">
        <f>IF(K121="","",IF(K121&gt;=1,"Completado",IF(K121&gt;0,"En curso","Pendiente")))</f>
        <v/>
      </c>
      <c r="M121" s="61" t="n"/>
      <c r="N121" s="66">
        <f>IF(NOT((COUNTA($B121:$J121)+COUNTA($M121))&gt;0),"",IF((IF(B121="","Macroactividad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 OK","⚠ "&amp;LEFT(IF(B121="","Macroactividad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",""),LEN(IF(B121="","Macroactividad vacía"&amp;" · ","")&amp;IF(C121="","Sin responsable"&amp;" · ","")&amp;IF(D121="","Sin fecha de inicio"&amp;" · ","")&amp;IF(E121="","Sin fecha límite"&amp;" · ","")&amp;IF(OR(AND(D121&lt;&gt;"",NOT(ISNUMBER(D121))),AND(E121&lt;&gt;"",NOT(ISNUMBER(E121)))),"Fecha no válida"&amp;" · ","")&amp;IF(AND(ISNUMBER(D121),ISNUMBER(E121),D121&gt;E121),"Inicio posterior a fecha límite"&amp;" · ","")&amp;IF(F121="","Peso vacío"&amp;" · ","")&amp;IF(AND(F121&lt;&gt;"",OR(NOT(ISNUMBER(F121)),F121&lt;=0,F121&gt;1)),"Peso fuera de rango"&amp;" · ","")&amp;IF(ABS(SUMIFS($F$5:$F$1000,$O$5:$O$1000,$O121)-1)&gt;0.0001,"Pesos del mes suman "&amp;TEXT(SUMIFS($F$5:$F$1000,$O$5:$O$1000,$O121),"0%")&amp;" · ","")&amp;IF((COUNTIF(G121:J121,"&gt;1")+COUNTIF(G121:J121,"&lt;0")+COUNTA(G121:J121)-COUNT(G121:J121))&gt;0,"Avance fuera de rango 0-100%"&amp;" · ","")&amp;IF(OR(AND(H121&lt;&gt;"",H121&lt;G121),AND(I121&lt;&gt;"",I121&lt;MAX(G121:H121)),AND(J121&lt;&gt;"",J121&lt;MAX(G121:I121))),"Avance semanal decreciente"&amp;" · ","")&amp;IF(AND(ISNUMBER(E121),E121&lt;FechaRef,N(K121)&lt;1),"Vencida"&amp;" · ","")&amp;IF(AND(ObsObligatoria="Sí",ISNUMBER(E121),E121&lt;FechaRef,N(K121)&lt;1,M121=""),"Vencida sin observación"&amp;" · ",""))-3)))</f>
        <v/>
      </c>
      <c r="O121" s="67">
        <f>IF(NOT((COUNTA($B121:$J121)+COUNTA($M121))&gt;0),"",IF(ISNUMBER($D121),DATE(YEAR($D121),MONTH($D121),1),IF(ISNUMBER($E121),DATE(YEAR($E121),MONTH($E121),1),MesCiclo)))</f>
        <v/>
      </c>
      <c r="P121" s="68">
        <f>IF(OR($O121="",$O121&lt;&gt;MesCiclo),"",COUNTIF($O$5:$O121,MesCiclo))</f>
        <v/>
      </c>
    </row>
    <row r="122">
      <c r="A122" s="60">
        <f>IF(NOT((COUNTA($B122:$J122)+COUNTA($M122))&gt;0),"",COUNTIFS($L$5:$L122,"?*",$O$5:$O122,$O122))</f>
        <v/>
      </c>
      <c r="B122" s="61" t="n"/>
      <c r="C122" s="61" t="n"/>
      <c r="D122" s="62" t="n"/>
      <c r="E122" s="62" t="n"/>
      <c r="F122" s="63" t="n"/>
      <c r="G122" s="64" t="n"/>
      <c r="H122" s="64" t="n"/>
      <c r="I122" s="64" t="n"/>
      <c r="J122" s="64" t="n"/>
      <c r="K122" s="65">
        <f>IF(NOT((COUNTA($B122:$J122)+COUNTA($M122))&gt;0),"",IFERROR(LOOKUP(2,1/(G122:J122&lt;&gt;""),G122:J122),0))</f>
        <v/>
      </c>
      <c r="L122" s="60">
        <f>IF(K122="","",IF(K122&gt;=1,"Completado",IF(K122&gt;0,"En curso","Pendiente")))</f>
        <v/>
      </c>
      <c r="M122" s="61" t="n"/>
      <c r="N122" s="66">
        <f>IF(NOT((COUNTA($B122:$J122)+COUNTA($M122))&gt;0),"",IF((IF(B122="","Macroactividad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 OK","⚠ "&amp;LEFT(IF(B122="","Macroactividad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",""),LEN(IF(B122="","Macroactividad vacía"&amp;" · ","")&amp;IF(C122="","Sin responsable"&amp;" · ","")&amp;IF(D122="","Sin fecha de inicio"&amp;" · ","")&amp;IF(E122="","Sin fecha límite"&amp;" · ","")&amp;IF(OR(AND(D122&lt;&gt;"",NOT(ISNUMBER(D122))),AND(E122&lt;&gt;"",NOT(ISNUMBER(E122)))),"Fecha no válida"&amp;" · ","")&amp;IF(AND(ISNUMBER(D122),ISNUMBER(E122),D122&gt;E122),"Inicio posterior a fecha límite"&amp;" · ","")&amp;IF(F122="","Peso vacío"&amp;" · ","")&amp;IF(AND(F122&lt;&gt;"",OR(NOT(ISNUMBER(F122)),F122&lt;=0,F122&gt;1)),"Peso fuera de rango"&amp;" · ","")&amp;IF(ABS(SUMIFS($F$5:$F$1000,$O$5:$O$1000,$O122)-1)&gt;0.0001,"Pesos del mes suman "&amp;TEXT(SUMIFS($F$5:$F$1000,$O$5:$O$1000,$O122),"0%")&amp;" · ","")&amp;IF((COUNTIF(G122:J122,"&gt;1")+COUNTIF(G122:J122,"&lt;0")+COUNTA(G122:J122)-COUNT(G122:J122))&gt;0,"Avance fuera de rango 0-100%"&amp;" · ","")&amp;IF(OR(AND(H122&lt;&gt;"",H122&lt;G122),AND(I122&lt;&gt;"",I122&lt;MAX(G122:H122)),AND(J122&lt;&gt;"",J122&lt;MAX(G122:I122))),"Avance semanal decreciente"&amp;" · ","")&amp;IF(AND(ISNUMBER(E122),E122&lt;FechaRef,N(K122)&lt;1),"Vencida"&amp;" · ","")&amp;IF(AND(ObsObligatoria="Sí",ISNUMBER(E122),E122&lt;FechaRef,N(K122)&lt;1,M122=""),"Vencida sin observación"&amp;" · ",""))-3)))</f>
        <v/>
      </c>
      <c r="O122" s="67">
        <f>IF(NOT((COUNTA($B122:$J122)+COUNTA($M122))&gt;0),"",IF(ISNUMBER($D122),DATE(YEAR($D122),MONTH($D122),1),IF(ISNUMBER($E122),DATE(YEAR($E122),MONTH($E122),1),MesCiclo)))</f>
        <v/>
      </c>
      <c r="P122" s="68">
        <f>IF(OR($O122="",$O122&lt;&gt;MesCiclo),"",COUNTIF($O$5:$O122,MesCiclo))</f>
        <v/>
      </c>
    </row>
    <row r="123">
      <c r="A123" s="60">
        <f>IF(NOT((COUNTA($B123:$J123)+COUNTA($M123))&gt;0),"",COUNTIFS($L$5:$L123,"?*",$O$5:$O123,$O123))</f>
        <v/>
      </c>
      <c r="B123" s="61" t="n"/>
      <c r="C123" s="61" t="n"/>
      <c r="D123" s="62" t="n"/>
      <c r="E123" s="62" t="n"/>
      <c r="F123" s="63" t="n"/>
      <c r="G123" s="64" t="n"/>
      <c r="H123" s="64" t="n"/>
      <c r="I123" s="64" t="n"/>
      <c r="J123" s="64" t="n"/>
      <c r="K123" s="65">
        <f>IF(NOT((COUNTA($B123:$J123)+COUNTA($M123))&gt;0),"",IFERROR(LOOKUP(2,1/(G123:J123&lt;&gt;""),G123:J123),0))</f>
        <v/>
      </c>
      <c r="L123" s="60">
        <f>IF(K123="","",IF(K123&gt;=1,"Completado",IF(K123&gt;0,"En curso","Pendiente")))</f>
        <v/>
      </c>
      <c r="M123" s="61" t="n"/>
      <c r="N123" s="66">
        <f>IF(NOT((COUNTA($B123:$J123)+COUNTA($M123))&gt;0),"",IF((IF(B123="","Macroactividad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 OK","⚠ "&amp;LEFT(IF(B123="","Macroactividad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",""),LEN(IF(B123="","Macroactividad vacía"&amp;" · ","")&amp;IF(C123="","Sin responsable"&amp;" · ","")&amp;IF(D123="","Sin fecha de inicio"&amp;" · ","")&amp;IF(E123="","Sin fecha límite"&amp;" · ","")&amp;IF(OR(AND(D123&lt;&gt;"",NOT(ISNUMBER(D123))),AND(E123&lt;&gt;"",NOT(ISNUMBER(E123)))),"Fecha no válida"&amp;" · ","")&amp;IF(AND(ISNUMBER(D123),ISNUMBER(E123),D123&gt;E123),"Inicio posterior a fecha límite"&amp;" · ","")&amp;IF(F123="","Peso vacío"&amp;" · ","")&amp;IF(AND(F123&lt;&gt;"",OR(NOT(ISNUMBER(F123)),F123&lt;=0,F123&gt;1)),"Peso fuera de rango"&amp;" · ","")&amp;IF(ABS(SUMIFS($F$5:$F$1000,$O$5:$O$1000,$O123)-1)&gt;0.0001,"Pesos del mes suman "&amp;TEXT(SUMIFS($F$5:$F$1000,$O$5:$O$1000,$O123),"0%")&amp;" · ","")&amp;IF((COUNTIF(G123:J123,"&gt;1")+COUNTIF(G123:J123,"&lt;0")+COUNTA(G123:J123)-COUNT(G123:J123))&gt;0,"Avance fuera de rango 0-100%"&amp;" · ","")&amp;IF(OR(AND(H123&lt;&gt;"",H123&lt;G123),AND(I123&lt;&gt;"",I123&lt;MAX(G123:H123)),AND(J123&lt;&gt;"",J123&lt;MAX(G123:I123))),"Avance semanal decreciente"&amp;" · ","")&amp;IF(AND(ISNUMBER(E123),E123&lt;FechaRef,N(K123)&lt;1),"Vencida"&amp;" · ","")&amp;IF(AND(ObsObligatoria="Sí",ISNUMBER(E123),E123&lt;FechaRef,N(K123)&lt;1,M123=""),"Vencida sin observación"&amp;" · ",""))-3)))</f>
        <v/>
      </c>
      <c r="O123" s="67">
        <f>IF(NOT((COUNTA($B123:$J123)+COUNTA($M123))&gt;0),"",IF(ISNUMBER($D123),DATE(YEAR($D123),MONTH($D123),1),IF(ISNUMBER($E123),DATE(YEAR($E123),MONTH($E123),1),MesCiclo)))</f>
        <v/>
      </c>
      <c r="P123" s="68">
        <f>IF(OR($O123="",$O123&lt;&gt;MesCiclo),"",COUNTIF($O$5:$O123,MesCiclo))</f>
        <v/>
      </c>
    </row>
    <row r="124">
      <c r="A124" s="60">
        <f>IF(NOT((COUNTA($B124:$J124)+COUNTA($M124))&gt;0),"",COUNTIFS($L$5:$L124,"?*",$O$5:$O124,$O124))</f>
        <v/>
      </c>
      <c r="B124" s="61" t="n"/>
      <c r="C124" s="61" t="n"/>
      <c r="D124" s="62" t="n"/>
      <c r="E124" s="62" t="n"/>
      <c r="F124" s="63" t="n"/>
      <c r="G124" s="64" t="n"/>
      <c r="H124" s="64" t="n"/>
      <c r="I124" s="64" t="n"/>
      <c r="J124" s="64" t="n"/>
      <c r="K124" s="65">
        <f>IF(NOT((COUNTA($B124:$J124)+COUNTA($M124))&gt;0),"",IFERROR(LOOKUP(2,1/(G124:J124&lt;&gt;""),G124:J124),0))</f>
        <v/>
      </c>
      <c r="L124" s="60">
        <f>IF(K124="","",IF(K124&gt;=1,"Completado",IF(K124&gt;0,"En curso","Pendiente")))</f>
        <v/>
      </c>
      <c r="M124" s="61" t="n"/>
      <c r="N124" s="66">
        <f>IF(NOT((COUNTA($B124:$J124)+COUNTA($M124))&gt;0),"",IF((IF(B124="","Macroactividad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 OK","⚠ "&amp;LEFT(IF(B124="","Macroactividad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",""),LEN(IF(B124="","Macroactividad vacía"&amp;" · ","")&amp;IF(C124="","Sin responsable"&amp;" · ","")&amp;IF(D124="","Sin fecha de inicio"&amp;" · ","")&amp;IF(E124="","Sin fecha límite"&amp;" · ","")&amp;IF(OR(AND(D124&lt;&gt;"",NOT(ISNUMBER(D124))),AND(E124&lt;&gt;"",NOT(ISNUMBER(E124)))),"Fecha no válida"&amp;" · ","")&amp;IF(AND(ISNUMBER(D124),ISNUMBER(E124),D124&gt;E124),"Inicio posterior a fecha límite"&amp;" · ","")&amp;IF(F124="","Peso vacío"&amp;" · ","")&amp;IF(AND(F124&lt;&gt;"",OR(NOT(ISNUMBER(F124)),F124&lt;=0,F124&gt;1)),"Peso fuera de rango"&amp;" · ","")&amp;IF(ABS(SUMIFS($F$5:$F$1000,$O$5:$O$1000,$O124)-1)&gt;0.0001,"Pesos del mes suman "&amp;TEXT(SUMIFS($F$5:$F$1000,$O$5:$O$1000,$O124),"0%")&amp;" · ","")&amp;IF((COUNTIF(G124:J124,"&gt;1")+COUNTIF(G124:J124,"&lt;0")+COUNTA(G124:J124)-COUNT(G124:J124))&gt;0,"Avance fuera de rango 0-100%"&amp;" · ","")&amp;IF(OR(AND(H124&lt;&gt;"",H124&lt;G124),AND(I124&lt;&gt;"",I124&lt;MAX(G124:H124)),AND(J124&lt;&gt;"",J124&lt;MAX(G124:I124))),"Avance semanal decreciente"&amp;" · ","")&amp;IF(AND(ISNUMBER(E124),E124&lt;FechaRef,N(K124)&lt;1),"Vencida"&amp;" · ","")&amp;IF(AND(ObsObligatoria="Sí",ISNUMBER(E124),E124&lt;FechaRef,N(K124)&lt;1,M124=""),"Vencida sin observación"&amp;" · ",""))-3)))</f>
        <v/>
      </c>
      <c r="O124" s="67">
        <f>IF(NOT((COUNTA($B124:$J124)+COUNTA($M124))&gt;0),"",IF(ISNUMBER($D124),DATE(YEAR($D124),MONTH($D124),1),IF(ISNUMBER($E124),DATE(YEAR($E124),MONTH($E124),1),MesCiclo)))</f>
        <v/>
      </c>
      <c r="P124" s="68">
        <f>IF(OR($O124="",$O124&lt;&gt;MesCiclo),"",COUNTIF($O$5:$O124,MesCiclo))</f>
        <v/>
      </c>
    </row>
    <row r="125">
      <c r="A125" s="60">
        <f>IF(NOT((COUNTA($B125:$J125)+COUNTA($M125))&gt;0),"",COUNTIFS($L$5:$L125,"?*",$O$5:$O125,$O125))</f>
        <v/>
      </c>
      <c r="B125" s="61" t="n"/>
      <c r="C125" s="61" t="n"/>
      <c r="D125" s="62" t="n"/>
      <c r="E125" s="62" t="n"/>
      <c r="F125" s="63" t="n"/>
      <c r="G125" s="64" t="n"/>
      <c r="H125" s="64" t="n"/>
      <c r="I125" s="64" t="n"/>
      <c r="J125" s="64" t="n"/>
      <c r="K125" s="65">
        <f>IF(NOT((COUNTA($B125:$J125)+COUNTA($M125))&gt;0),"",IFERROR(LOOKUP(2,1/(G125:J125&lt;&gt;""),G125:J125),0))</f>
        <v/>
      </c>
      <c r="L125" s="60">
        <f>IF(K125="","",IF(K125&gt;=1,"Completado",IF(K125&gt;0,"En curso","Pendiente")))</f>
        <v/>
      </c>
      <c r="M125" s="61" t="n"/>
      <c r="N125" s="66">
        <f>IF(NOT((COUNTA($B125:$J125)+COUNTA($M125))&gt;0),"",IF((IF(B125="","Macroactividad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 OK","⚠ "&amp;LEFT(IF(B125="","Macroactividad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",""),LEN(IF(B125="","Macroactividad vacía"&amp;" · ","")&amp;IF(C125="","Sin responsable"&amp;" · ","")&amp;IF(D125="","Sin fecha de inicio"&amp;" · ","")&amp;IF(E125="","Sin fecha límite"&amp;" · ","")&amp;IF(OR(AND(D125&lt;&gt;"",NOT(ISNUMBER(D125))),AND(E125&lt;&gt;"",NOT(ISNUMBER(E125)))),"Fecha no válida"&amp;" · ","")&amp;IF(AND(ISNUMBER(D125),ISNUMBER(E125),D125&gt;E125),"Inicio posterior a fecha límite"&amp;" · ","")&amp;IF(F125="","Peso vacío"&amp;" · ","")&amp;IF(AND(F125&lt;&gt;"",OR(NOT(ISNUMBER(F125)),F125&lt;=0,F125&gt;1)),"Peso fuera de rango"&amp;" · ","")&amp;IF(ABS(SUMIFS($F$5:$F$1000,$O$5:$O$1000,$O125)-1)&gt;0.0001,"Pesos del mes suman "&amp;TEXT(SUMIFS($F$5:$F$1000,$O$5:$O$1000,$O125),"0%")&amp;" · ","")&amp;IF((COUNTIF(G125:J125,"&gt;1")+COUNTIF(G125:J125,"&lt;0")+COUNTA(G125:J125)-COUNT(G125:J125))&gt;0,"Avance fuera de rango 0-100%"&amp;" · ","")&amp;IF(OR(AND(H125&lt;&gt;"",H125&lt;G125),AND(I125&lt;&gt;"",I125&lt;MAX(G125:H125)),AND(J125&lt;&gt;"",J125&lt;MAX(G125:I125))),"Avance semanal decreciente"&amp;" · ","")&amp;IF(AND(ISNUMBER(E125),E125&lt;FechaRef,N(K125)&lt;1),"Vencida"&amp;" · ","")&amp;IF(AND(ObsObligatoria="Sí",ISNUMBER(E125),E125&lt;FechaRef,N(K125)&lt;1,M125=""),"Vencida sin observación"&amp;" · ",""))-3)))</f>
        <v/>
      </c>
      <c r="O125" s="67">
        <f>IF(NOT((COUNTA($B125:$J125)+COUNTA($M125))&gt;0),"",IF(ISNUMBER($D125),DATE(YEAR($D125),MONTH($D125),1),IF(ISNUMBER($E125),DATE(YEAR($E125),MONTH($E125),1),MesCiclo)))</f>
        <v/>
      </c>
      <c r="P125" s="68">
        <f>IF(OR($O125="",$O125&lt;&gt;MesCiclo),"",COUNTIF($O$5:$O125,MesCiclo))</f>
        <v/>
      </c>
    </row>
    <row r="126">
      <c r="A126" s="60">
        <f>IF(NOT((COUNTA($B126:$J126)+COUNTA($M126))&gt;0),"",COUNTIFS($L$5:$L126,"?*",$O$5:$O126,$O126))</f>
        <v/>
      </c>
      <c r="B126" s="61" t="n"/>
      <c r="C126" s="61" t="n"/>
      <c r="D126" s="62" t="n"/>
      <c r="E126" s="62" t="n"/>
      <c r="F126" s="63" t="n"/>
      <c r="G126" s="64" t="n"/>
      <c r="H126" s="64" t="n"/>
      <c r="I126" s="64" t="n"/>
      <c r="J126" s="64" t="n"/>
      <c r="K126" s="65">
        <f>IF(NOT((COUNTA($B126:$J126)+COUNTA($M126))&gt;0),"",IFERROR(LOOKUP(2,1/(G126:J126&lt;&gt;""),G126:J126),0))</f>
        <v/>
      </c>
      <c r="L126" s="60">
        <f>IF(K126="","",IF(K126&gt;=1,"Completado",IF(K126&gt;0,"En curso","Pendiente")))</f>
        <v/>
      </c>
      <c r="M126" s="61" t="n"/>
      <c r="N126" s="66">
        <f>IF(NOT((COUNTA($B126:$J126)+COUNTA($M126))&gt;0),"",IF((IF(B126="","Macroactividad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 OK","⚠ "&amp;LEFT(IF(B126="","Macroactividad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",""),LEN(IF(B126="","Macroactividad vacía"&amp;" · ","")&amp;IF(C126="","Sin responsable"&amp;" · ","")&amp;IF(D126="","Sin fecha de inicio"&amp;" · ","")&amp;IF(E126="","Sin fecha límite"&amp;" · ","")&amp;IF(OR(AND(D126&lt;&gt;"",NOT(ISNUMBER(D126))),AND(E126&lt;&gt;"",NOT(ISNUMBER(E126)))),"Fecha no válida"&amp;" · ","")&amp;IF(AND(ISNUMBER(D126),ISNUMBER(E126),D126&gt;E126),"Inicio posterior a fecha límite"&amp;" · ","")&amp;IF(F126="","Peso vacío"&amp;" · ","")&amp;IF(AND(F126&lt;&gt;"",OR(NOT(ISNUMBER(F126)),F126&lt;=0,F126&gt;1)),"Peso fuera de rango"&amp;" · ","")&amp;IF(ABS(SUMIFS($F$5:$F$1000,$O$5:$O$1000,$O126)-1)&gt;0.0001,"Pesos del mes suman "&amp;TEXT(SUMIFS($F$5:$F$1000,$O$5:$O$1000,$O126),"0%")&amp;" · ","")&amp;IF((COUNTIF(G126:J126,"&gt;1")+COUNTIF(G126:J126,"&lt;0")+COUNTA(G126:J126)-COUNT(G126:J126))&gt;0,"Avance fuera de rango 0-100%"&amp;" · ","")&amp;IF(OR(AND(H126&lt;&gt;"",H126&lt;G126),AND(I126&lt;&gt;"",I126&lt;MAX(G126:H126)),AND(J126&lt;&gt;"",J126&lt;MAX(G126:I126))),"Avance semanal decreciente"&amp;" · ","")&amp;IF(AND(ISNUMBER(E126),E126&lt;FechaRef,N(K126)&lt;1),"Vencida"&amp;" · ","")&amp;IF(AND(ObsObligatoria="Sí",ISNUMBER(E126),E126&lt;FechaRef,N(K126)&lt;1,M126=""),"Vencida sin observación"&amp;" · ",""))-3)))</f>
        <v/>
      </c>
      <c r="O126" s="67">
        <f>IF(NOT((COUNTA($B126:$J126)+COUNTA($M126))&gt;0),"",IF(ISNUMBER($D126),DATE(YEAR($D126),MONTH($D126),1),IF(ISNUMBER($E126),DATE(YEAR($E126),MONTH($E126),1),MesCiclo)))</f>
        <v/>
      </c>
      <c r="P126" s="68">
        <f>IF(OR($O126="",$O126&lt;&gt;MesCiclo),"",COUNTIF($O$5:$O126,MesCiclo))</f>
        <v/>
      </c>
    </row>
    <row r="127">
      <c r="A127" s="60">
        <f>IF(NOT((COUNTA($B127:$J127)+COUNTA($M127))&gt;0),"",COUNTIFS($L$5:$L127,"?*",$O$5:$O127,$O127))</f>
        <v/>
      </c>
      <c r="B127" s="61" t="n"/>
      <c r="C127" s="61" t="n"/>
      <c r="D127" s="62" t="n"/>
      <c r="E127" s="62" t="n"/>
      <c r="F127" s="63" t="n"/>
      <c r="G127" s="64" t="n"/>
      <c r="H127" s="64" t="n"/>
      <c r="I127" s="64" t="n"/>
      <c r="J127" s="64" t="n"/>
      <c r="K127" s="65">
        <f>IF(NOT((COUNTA($B127:$J127)+COUNTA($M127))&gt;0),"",IFERROR(LOOKUP(2,1/(G127:J127&lt;&gt;""),G127:J127),0))</f>
        <v/>
      </c>
      <c r="L127" s="60">
        <f>IF(K127="","",IF(K127&gt;=1,"Completado",IF(K127&gt;0,"En curso","Pendiente")))</f>
        <v/>
      </c>
      <c r="M127" s="61" t="n"/>
      <c r="N127" s="66">
        <f>IF(NOT((COUNTA($B127:$J127)+COUNTA($M127))&gt;0),"",IF((IF(B127="","Macroactividad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 OK","⚠ "&amp;LEFT(IF(B127="","Macroactividad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",""),LEN(IF(B127="","Macroactividad vacía"&amp;" · ","")&amp;IF(C127="","Sin responsable"&amp;" · ","")&amp;IF(D127="","Sin fecha de inicio"&amp;" · ","")&amp;IF(E127="","Sin fecha límite"&amp;" · ","")&amp;IF(OR(AND(D127&lt;&gt;"",NOT(ISNUMBER(D127))),AND(E127&lt;&gt;"",NOT(ISNUMBER(E127)))),"Fecha no válida"&amp;" · ","")&amp;IF(AND(ISNUMBER(D127),ISNUMBER(E127),D127&gt;E127),"Inicio posterior a fecha límite"&amp;" · ","")&amp;IF(F127="","Peso vacío"&amp;" · ","")&amp;IF(AND(F127&lt;&gt;"",OR(NOT(ISNUMBER(F127)),F127&lt;=0,F127&gt;1)),"Peso fuera de rango"&amp;" · ","")&amp;IF(ABS(SUMIFS($F$5:$F$1000,$O$5:$O$1000,$O127)-1)&gt;0.0001,"Pesos del mes suman "&amp;TEXT(SUMIFS($F$5:$F$1000,$O$5:$O$1000,$O127),"0%")&amp;" · ","")&amp;IF((COUNTIF(G127:J127,"&gt;1")+COUNTIF(G127:J127,"&lt;0")+COUNTA(G127:J127)-COUNT(G127:J127))&gt;0,"Avance fuera de rango 0-100%"&amp;" · ","")&amp;IF(OR(AND(H127&lt;&gt;"",H127&lt;G127),AND(I127&lt;&gt;"",I127&lt;MAX(G127:H127)),AND(J127&lt;&gt;"",J127&lt;MAX(G127:I127))),"Avance semanal decreciente"&amp;" · ","")&amp;IF(AND(ISNUMBER(E127),E127&lt;FechaRef,N(K127)&lt;1),"Vencida"&amp;" · ","")&amp;IF(AND(ObsObligatoria="Sí",ISNUMBER(E127),E127&lt;FechaRef,N(K127)&lt;1,M127=""),"Vencida sin observación"&amp;" · ",""))-3)))</f>
        <v/>
      </c>
      <c r="O127" s="67">
        <f>IF(NOT((COUNTA($B127:$J127)+COUNTA($M127))&gt;0),"",IF(ISNUMBER($D127),DATE(YEAR($D127),MONTH($D127),1),IF(ISNUMBER($E127),DATE(YEAR($E127),MONTH($E127),1),MesCiclo)))</f>
        <v/>
      </c>
      <c r="P127" s="68">
        <f>IF(OR($O127="",$O127&lt;&gt;MesCiclo),"",COUNTIF($O$5:$O127,MesCiclo))</f>
        <v/>
      </c>
    </row>
    <row r="128">
      <c r="A128" s="60">
        <f>IF(NOT((COUNTA($B128:$J128)+COUNTA($M128))&gt;0),"",COUNTIFS($L$5:$L128,"?*",$O$5:$O128,$O128))</f>
        <v/>
      </c>
      <c r="B128" s="61" t="n"/>
      <c r="C128" s="61" t="n"/>
      <c r="D128" s="62" t="n"/>
      <c r="E128" s="62" t="n"/>
      <c r="F128" s="63" t="n"/>
      <c r="G128" s="64" t="n"/>
      <c r="H128" s="64" t="n"/>
      <c r="I128" s="64" t="n"/>
      <c r="J128" s="64" t="n"/>
      <c r="K128" s="65">
        <f>IF(NOT((COUNTA($B128:$J128)+COUNTA($M128))&gt;0),"",IFERROR(LOOKUP(2,1/(G128:J128&lt;&gt;""),G128:J128),0))</f>
        <v/>
      </c>
      <c r="L128" s="60">
        <f>IF(K128="","",IF(K128&gt;=1,"Completado",IF(K128&gt;0,"En curso","Pendiente")))</f>
        <v/>
      </c>
      <c r="M128" s="61" t="n"/>
      <c r="N128" s="66">
        <f>IF(NOT((COUNTA($B128:$J128)+COUNTA($M128))&gt;0),"",IF((IF(B128="","Macroactividad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 OK","⚠ "&amp;LEFT(IF(B128="","Macroactividad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",""),LEN(IF(B128="","Macroactividad vacía"&amp;" · ","")&amp;IF(C128="","Sin responsable"&amp;" · ","")&amp;IF(D128="","Sin fecha de inicio"&amp;" · ","")&amp;IF(E128="","Sin fecha límite"&amp;" · ","")&amp;IF(OR(AND(D128&lt;&gt;"",NOT(ISNUMBER(D128))),AND(E128&lt;&gt;"",NOT(ISNUMBER(E128)))),"Fecha no válida"&amp;" · ","")&amp;IF(AND(ISNUMBER(D128),ISNUMBER(E128),D128&gt;E128),"Inicio posterior a fecha límite"&amp;" · ","")&amp;IF(F128="","Peso vacío"&amp;" · ","")&amp;IF(AND(F128&lt;&gt;"",OR(NOT(ISNUMBER(F128)),F128&lt;=0,F128&gt;1)),"Peso fuera de rango"&amp;" · ","")&amp;IF(ABS(SUMIFS($F$5:$F$1000,$O$5:$O$1000,$O128)-1)&gt;0.0001,"Pesos del mes suman "&amp;TEXT(SUMIFS($F$5:$F$1000,$O$5:$O$1000,$O128),"0%")&amp;" · ","")&amp;IF((COUNTIF(G128:J128,"&gt;1")+COUNTIF(G128:J128,"&lt;0")+COUNTA(G128:J128)-COUNT(G128:J128))&gt;0,"Avance fuera de rango 0-100%"&amp;" · ","")&amp;IF(OR(AND(H128&lt;&gt;"",H128&lt;G128),AND(I128&lt;&gt;"",I128&lt;MAX(G128:H128)),AND(J128&lt;&gt;"",J128&lt;MAX(G128:I128))),"Avance semanal decreciente"&amp;" · ","")&amp;IF(AND(ISNUMBER(E128),E128&lt;FechaRef,N(K128)&lt;1),"Vencida"&amp;" · ","")&amp;IF(AND(ObsObligatoria="Sí",ISNUMBER(E128),E128&lt;FechaRef,N(K128)&lt;1,M128=""),"Vencida sin observación"&amp;" · ",""))-3)))</f>
        <v/>
      </c>
      <c r="O128" s="67">
        <f>IF(NOT((COUNTA($B128:$J128)+COUNTA($M128))&gt;0),"",IF(ISNUMBER($D128),DATE(YEAR($D128),MONTH($D128),1),IF(ISNUMBER($E128),DATE(YEAR($E128),MONTH($E128),1),MesCiclo)))</f>
        <v/>
      </c>
      <c r="P128" s="68">
        <f>IF(OR($O128="",$O128&lt;&gt;MesCiclo),"",COUNTIF($O$5:$O128,MesCiclo))</f>
        <v/>
      </c>
    </row>
    <row r="129">
      <c r="A129" s="60">
        <f>IF(NOT((COUNTA($B129:$J129)+COUNTA($M129))&gt;0),"",COUNTIFS($L$5:$L129,"?*",$O$5:$O129,$O129))</f>
        <v/>
      </c>
      <c r="B129" s="61" t="n"/>
      <c r="C129" s="61" t="n"/>
      <c r="D129" s="62" t="n"/>
      <c r="E129" s="62" t="n"/>
      <c r="F129" s="63" t="n"/>
      <c r="G129" s="64" t="n"/>
      <c r="H129" s="64" t="n"/>
      <c r="I129" s="64" t="n"/>
      <c r="J129" s="64" t="n"/>
      <c r="K129" s="65">
        <f>IF(NOT((COUNTA($B129:$J129)+COUNTA($M129))&gt;0),"",IFERROR(LOOKUP(2,1/(G129:J129&lt;&gt;""),G129:J129),0))</f>
        <v/>
      </c>
      <c r="L129" s="60">
        <f>IF(K129="","",IF(K129&gt;=1,"Completado",IF(K129&gt;0,"En curso","Pendiente")))</f>
        <v/>
      </c>
      <c r="M129" s="61" t="n"/>
      <c r="N129" s="66">
        <f>IF(NOT((COUNTA($B129:$J129)+COUNTA($M129))&gt;0),"",IF((IF(B129="","Macroactividad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 OK","⚠ "&amp;LEFT(IF(B129="","Macroactividad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",""),LEN(IF(B129="","Macroactividad vacía"&amp;" · ","")&amp;IF(C129="","Sin responsable"&amp;" · ","")&amp;IF(D129="","Sin fecha de inicio"&amp;" · ","")&amp;IF(E129="","Sin fecha límite"&amp;" · ","")&amp;IF(OR(AND(D129&lt;&gt;"",NOT(ISNUMBER(D129))),AND(E129&lt;&gt;"",NOT(ISNUMBER(E129)))),"Fecha no válida"&amp;" · ","")&amp;IF(AND(ISNUMBER(D129),ISNUMBER(E129),D129&gt;E129),"Inicio posterior a fecha límite"&amp;" · ","")&amp;IF(F129="","Peso vacío"&amp;" · ","")&amp;IF(AND(F129&lt;&gt;"",OR(NOT(ISNUMBER(F129)),F129&lt;=0,F129&gt;1)),"Peso fuera de rango"&amp;" · ","")&amp;IF(ABS(SUMIFS($F$5:$F$1000,$O$5:$O$1000,$O129)-1)&gt;0.0001,"Pesos del mes suman "&amp;TEXT(SUMIFS($F$5:$F$1000,$O$5:$O$1000,$O129),"0%")&amp;" · ","")&amp;IF((COUNTIF(G129:J129,"&gt;1")+COUNTIF(G129:J129,"&lt;0")+COUNTA(G129:J129)-COUNT(G129:J129))&gt;0,"Avance fuera de rango 0-100%"&amp;" · ","")&amp;IF(OR(AND(H129&lt;&gt;"",H129&lt;G129),AND(I129&lt;&gt;"",I129&lt;MAX(G129:H129)),AND(J129&lt;&gt;"",J129&lt;MAX(G129:I129))),"Avance semanal decreciente"&amp;" · ","")&amp;IF(AND(ISNUMBER(E129),E129&lt;FechaRef,N(K129)&lt;1),"Vencida"&amp;" · ","")&amp;IF(AND(ObsObligatoria="Sí",ISNUMBER(E129),E129&lt;FechaRef,N(K129)&lt;1,M129=""),"Vencida sin observación"&amp;" · ",""))-3)))</f>
        <v/>
      </c>
      <c r="O129" s="67">
        <f>IF(NOT((COUNTA($B129:$J129)+COUNTA($M129))&gt;0),"",IF(ISNUMBER($D129),DATE(YEAR($D129),MONTH($D129),1),IF(ISNUMBER($E129),DATE(YEAR($E129),MONTH($E129),1),MesCiclo)))</f>
        <v/>
      </c>
      <c r="P129" s="68">
        <f>IF(OR($O129="",$O129&lt;&gt;MesCiclo),"",COUNTIF($O$5:$O129,MesCiclo))</f>
        <v/>
      </c>
    </row>
    <row r="130">
      <c r="A130" s="60">
        <f>IF(NOT((COUNTA($B130:$J130)+COUNTA($M130))&gt;0),"",COUNTIFS($L$5:$L130,"?*",$O$5:$O130,$O130))</f>
        <v/>
      </c>
      <c r="B130" s="61" t="n"/>
      <c r="C130" s="61" t="n"/>
      <c r="D130" s="62" t="n"/>
      <c r="E130" s="62" t="n"/>
      <c r="F130" s="63" t="n"/>
      <c r="G130" s="64" t="n"/>
      <c r="H130" s="64" t="n"/>
      <c r="I130" s="64" t="n"/>
      <c r="J130" s="64" t="n"/>
      <c r="K130" s="65">
        <f>IF(NOT((COUNTA($B130:$J130)+COUNTA($M130))&gt;0),"",IFERROR(LOOKUP(2,1/(G130:J130&lt;&gt;""),G130:J130),0))</f>
        <v/>
      </c>
      <c r="L130" s="60">
        <f>IF(K130="","",IF(K130&gt;=1,"Completado",IF(K130&gt;0,"En curso","Pendiente")))</f>
        <v/>
      </c>
      <c r="M130" s="61" t="n"/>
      <c r="N130" s="66">
        <f>IF(NOT((COUNTA($B130:$J130)+COUNTA($M130))&gt;0),"",IF((IF(B130="","Macroactividad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 OK","⚠ "&amp;LEFT(IF(B130="","Macroactividad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",""),LEN(IF(B130="","Macroactividad vacía"&amp;" · ","")&amp;IF(C130="","Sin responsable"&amp;" · ","")&amp;IF(D130="","Sin fecha de inicio"&amp;" · ","")&amp;IF(E130="","Sin fecha límite"&amp;" · ","")&amp;IF(OR(AND(D130&lt;&gt;"",NOT(ISNUMBER(D130))),AND(E130&lt;&gt;"",NOT(ISNUMBER(E130)))),"Fecha no válida"&amp;" · ","")&amp;IF(AND(ISNUMBER(D130),ISNUMBER(E130),D130&gt;E130),"Inicio posterior a fecha límite"&amp;" · ","")&amp;IF(F130="","Peso vacío"&amp;" · ","")&amp;IF(AND(F130&lt;&gt;"",OR(NOT(ISNUMBER(F130)),F130&lt;=0,F130&gt;1)),"Peso fuera de rango"&amp;" · ","")&amp;IF(ABS(SUMIFS($F$5:$F$1000,$O$5:$O$1000,$O130)-1)&gt;0.0001,"Pesos del mes suman "&amp;TEXT(SUMIFS($F$5:$F$1000,$O$5:$O$1000,$O130),"0%")&amp;" · ","")&amp;IF((COUNTIF(G130:J130,"&gt;1")+COUNTIF(G130:J130,"&lt;0")+COUNTA(G130:J130)-COUNT(G130:J130))&gt;0,"Avance fuera de rango 0-100%"&amp;" · ","")&amp;IF(OR(AND(H130&lt;&gt;"",H130&lt;G130),AND(I130&lt;&gt;"",I130&lt;MAX(G130:H130)),AND(J130&lt;&gt;"",J130&lt;MAX(G130:I130))),"Avance semanal decreciente"&amp;" · ","")&amp;IF(AND(ISNUMBER(E130),E130&lt;FechaRef,N(K130)&lt;1),"Vencida"&amp;" · ","")&amp;IF(AND(ObsObligatoria="Sí",ISNUMBER(E130),E130&lt;FechaRef,N(K130)&lt;1,M130=""),"Vencida sin observación"&amp;" · ",""))-3)))</f>
        <v/>
      </c>
      <c r="O130" s="67">
        <f>IF(NOT((COUNTA($B130:$J130)+COUNTA($M130))&gt;0),"",IF(ISNUMBER($D130),DATE(YEAR($D130),MONTH($D130),1),IF(ISNUMBER($E130),DATE(YEAR($E130),MONTH($E130),1),MesCiclo)))</f>
        <v/>
      </c>
      <c r="P130" s="68">
        <f>IF(OR($O130="",$O130&lt;&gt;MesCiclo),"",COUNTIF($O$5:$O130,MesCiclo))</f>
        <v/>
      </c>
    </row>
    <row r="131">
      <c r="A131" s="60">
        <f>IF(NOT((COUNTA($B131:$J131)+COUNTA($M131))&gt;0),"",COUNTIFS($L$5:$L131,"?*",$O$5:$O131,$O131))</f>
        <v/>
      </c>
      <c r="B131" s="61" t="n"/>
      <c r="C131" s="61" t="n"/>
      <c r="D131" s="62" t="n"/>
      <c r="E131" s="62" t="n"/>
      <c r="F131" s="63" t="n"/>
      <c r="G131" s="64" t="n"/>
      <c r="H131" s="64" t="n"/>
      <c r="I131" s="64" t="n"/>
      <c r="J131" s="64" t="n"/>
      <c r="K131" s="65">
        <f>IF(NOT((COUNTA($B131:$J131)+COUNTA($M131))&gt;0),"",IFERROR(LOOKUP(2,1/(G131:J131&lt;&gt;""),G131:J131),0))</f>
        <v/>
      </c>
      <c r="L131" s="60">
        <f>IF(K131="","",IF(K131&gt;=1,"Completado",IF(K131&gt;0,"En curso","Pendiente")))</f>
        <v/>
      </c>
      <c r="M131" s="61" t="n"/>
      <c r="N131" s="66">
        <f>IF(NOT((COUNTA($B131:$J131)+COUNTA($M131))&gt;0),"",IF((IF(B131="","Macroactividad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 OK","⚠ "&amp;LEFT(IF(B131="","Macroactividad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",""),LEN(IF(B131="","Macroactividad vacía"&amp;" · ","")&amp;IF(C131="","Sin responsable"&amp;" · ","")&amp;IF(D131="","Sin fecha de inicio"&amp;" · ","")&amp;IF(E131="","Sin fecha límite"&amp;" · ","")&amp;IF(OR(AND(D131&lt;&gt;"",NOT(ISNUMBER(D131))),AND(E131&lt;&gt;"",NOT(ISNUMBER(E131)))),"Fecha no válida"&amp;" · ","")&amp;IF(AND(ISNUMBER(D131),ISNUMBER(E131),D131&gt;E131),"Inicio posterior a fecha límite"&amp;" · ","")&amp;IF(F131="","Peso vacío"&amp;" · ","")&amp;IF(AND(F131&lt;&gt;"",OR(NOT(ISNUMBER(F131)),F131&lt;=0,F131&gt;1)),"Peso fuera de rango"&amp;" · ","")&amp;IF(ABS(SUMIFS($F$5:$F$1000,$O$5:$O$1000,$O131)-1)&gt;0.0001,"Pesos del mes suman "&amp;TEXT(SUMIFS($F$5:$F$1000,$O$5:$O$1000,$O131),"0%")&amp;" · ","")&amp;IF((COUNTIF(G131:J131,"&gt;1")+COUNTIF(G131:J131,"&lt;0")+COUNTA(G131:J131)-COUNT(G131:J131))&gt;0,"Avance fuera de rango 0-100%"&amp;" · ","")&amp;IF(OR(AND(H131&lt;&gt;"",H131&lt;G131),AND(I131&lt;&gt;"",I131&lt;MAX(G131:H131)),AND(J131&lt;&gt;"",J131&lt;MAX(G131:I131))),"Avance semanal decreciente"&amp;" · ","")&amp;IF(AND(ISNUMBER(E131),E131&lt;FechaRef,N(K131)&lt;1),"Vencida"&amp;" · ","")&amp;IF(AND(ObsObligatoria="Sí",ISNUMBER(E131),E131&lt;FechaRef,N(K131)&lt;1,M131=""),"Vencida sin observación"&amp;" · ",""))-3)))</f>
        <v/>
      </c>
      <c r="O131" s="67">
        <f>IF(NOT((COUNTA($B131:$J131)+COUNTA($M131))&gt;0),"",IF(ISNUMBER($D131),DATE(YEAR($D131),MONTH($D131),1),IF(ISNUMBER($E131),DATE(YEAR($E131),MONTH($E131),1),MesCiclo)))</f>
        <v/>
      </c>
      <c r="P131" s="68">
        <f>IF(OR($O131="",$O131&lt;&gt;MesCiclo),"",COUNTIF($O$5:$O131,MesCiclo))</f>
        <v/>
      </c>
    </row>
    <row r="132">
      <c r="A132" s="60">
        <f>IF(NOT((COUNTA($B132:$J132)+COUNTA($M132))&gt;0),"",COUNTIFS($L$5:$L132,"?*",$O$5:$O132,$O132))</f>
        <v/>
      </c>
      <c r="B132" s="61" t="n"/>
      <c r="C132" s="61" t="n"/>
      <c r="D132" s="62" t="n"/>
      <c r="E132" s="62" t="n"/>
      <c r="F132" s="63" t="n"/>
      <c r="G132" s="64" t="n"/>
      <c r="H132" s="64" t="n"/>
      <c r="I132" s="64" t="n"/>
      <c r="J132" s="64" t="n"/>
      <c r="K132" s="65">
        <f>IF(NOT((COUNTA($B132:$J132)+COUNTA($M132))&gt;0),"",IFERROR(LOOKUP(2,1/(G132:J132&lt;&gt;""),G132:J132),0))</f>
        <v/>
      </c>
      <c r="L132" s="60">
        <f>IF(K132="","",IF(K132&gt;=1,"Completado",IF(K132&gt;0,"En curso","Pendiente")))</f>
        <v/>
      </c>
      <c r="M132" s="61" t="n"/>
      <c r="N132" s="66">
        <f>IF(NOT((COUNTA($B132:$J132)+COUNTA($M132))&gt;0),"",IF((IF(B132="","Macroactividad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 OK","⚠ "&amp;LEFT(IF(B132="","Macroactividad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",""),LEN(IF(B132="","Macroactividad vacía"&amp;" · ","")&amp;IF(C132="","Sin responsable"&amp;" · ","")&amp;IF(D132="","Sin fecha de inicio"&amp;" · ","")&amp;IF(E132="","Sin fecha límite"&amp;" · ","")&amp;IF(OR(AND(D132&lt;&gt;"",NOT(ISNUMBER(D132))),AND(E132&lt;&gt;"",NOT(ISNUMBER(E132)))),"Fecha no válida"&amp;" · ","")&amp;IF(AND(ISNUMBER(D132),ISNUMBER(E132),D132&gt;E132),"Inicio posterior a fecha límite"&amp;" · ","")&amp;IF(F132="","Peso vacío"&amp;" · ","")&amp;IF(AND(F132&lt;&gt;"",OR(NOT(ISNUMBER(F132)),F132&lt;=0,F132&gt;1)),"Peso fuera de rango"&amp;" · ","")&amp;IF(ABS(SUMIFS($F$5:$F$1000,$O$5:$O$1000,$O132)-1)&gt;0.0001,"Pesos del mes suman "&amp;TEXT(SUMIFS($F$5:$F$1000,$O$5:$O$1000,$O132),"0%")&amp;" · ","")&amp;IF((COUNTIF(G132:J132,"&gt;1")+COUNTIF(G132:J132,"&lt;0")+COUNTA(G132:J132)-COUNT(G132:J132))&gt;0,"Avance fuera de rango 0-100%"&amp;" · ","")&amp;IF(OR(AND(H132&lt;&gt;"",H132&lt;G132),AND(I132&lt;&gt;"",I132&lt;MAX(G132:H132)),AND(J132&lt;&gt;"",J132&lt;MAX(G132:I132))),"Avance semanal decreciente"&amp;" · ","")&amp;IF(AND(ISNUMBER(E132),E132&lt;FechaRef,N(K132)&lt;1),"Vencida"&amp;" · ","")&amp;IF(AND(ObsObligatoria="Sí",ISNUMBER(E132),E132&lt;FechaRef,N(K132)&lt;1,M132=""),"Vencida sin observación"&amp;" · ",""))-3)))</f>
        <v/>
      </c>
      <c r="O132" s="67">
        <f>IF(NOT((COUNTA($B132:$J132)+COUNTA($M132))&gt;0),"",IF(ISNUMBER($D132),DATE(YEAR($D132),MONTH($D132),1),IF(ISNUMBER($E132),DATE(YEAR($E132),MONTH($E132),1),MesCiclo)))</f>
        <v/>
      </c>
      <c r="P132" s="68">
        <f>IF(OR($O132="",$O132&lt;&gt;MesCiclo),"",COUNTIF($O$5:$O132,MesCiclo))</f>
        <v/>
      </c>
    </row>
    <row r="133">
      <c r="A133" s="60">
        <f>IF(NOT((COUNTA($B133:$J133)+COUNTA($M133))&gt;0),"",COUNTIFS($L$5:$L133,"?*",$O$5:$O133,$O133))</f>
        <v/>
      </c>
      <c r="B133" s="61" t="n"/>
      <c r="C133" s="61" t="n"/>
      <c r="D133" s="62" t="n"/>
      <c r="E133" s="62" t="n"/>
      <c r="F133" s="63" t="n"/>
      <c r="G133" s="64" t="n"/>
      <c r="H133" s="64" t="n"/>
      <c r="I133" s="64" t="n"/>
      <c r="J133" s="64" t="n"/>
      <c r="K133" s="65">
        <f>IF(NOT((COUNTA($B133:$J133)+COUNTA($M133))&gt;0),"",IFERROR(LOOKUP(2,1/(G133:J133&lt;&gt;""),G133:J133),0))</f>
        <v/>
      </c>
      <c r="L133" s="60">
        <f>IF(K133="","",IF(K133&gt;=1,"Completado",IF(K133&gt;0,"En curso","Pendiente")))</f>
        <v/>
      </c>
      <c r="M133" s="61" t="n"/>
      <c r="N133" s="66">
        <f>IF(NOT((COUNTA($B133:$J133)+COUNTA($M133))&gt;0),"",IF((IF(B133="","Macroactividad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 OK","⚠ "&amp;LEFT(IF(B133="","Macroactividad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",""),LEN(IF(B133="","Macroactividad vacía"&amp;" · ","")&amp;IF(C133="","Sin responsable"&amp;" · ","")&amp;IF(D133="","Sin fecha de inicio"&amp;" · ","")&amp;IF(E133="","Sin fecha límite"&amp;" · ","")&amp;IF(OR(AND(D133&lt;&gt;"",NOT(ISNUMBER(D133))),AND(E133&lt;&gt;"",NOT(ISNUMBER(E133)))),"Fecha no válida"&amp;" · ","")&amp;IF(AND(ISNUMBER(D133),ISNUMBER(E133),D133&gt;E133),"Inicio posterior a fecha límite"&amp;" · ","")&amp;IF(F133="","Peso vacío"&amp;" · ","")&amp;IF(AND(F133&lt;&gt;"",OR(NOT(ISNUMBER(F133)),F133&lt;=0,F133&gt;1)),"Peso fuera de rango"&amp;" · ","")&amp;IF(ABS(SUMIFS($F$5:$F$1000,$O$5:$O$1000,$O133)-1)&gt;0.0001,"Pesos del mes suman "&amp;TEXT(SUMIFS($F$5:$F$1000,$O$5:$O$1000,$O133),"0%")&amp;" · ","")&amp;IF((COUNTIF(G133:J133,"&gt;1")+COUNTIF(G133:J133,"&lt;0")+COUNTA(G133:J133)-COUNT(G133:J133))&gt;0,"Avance fuera de rango 0-100%"&amp;" · ","")&amp;IF(OR(AND(H133&lt;&gt;"",H133&lt;G133),AND(I133&lt;&gt;"",I133&lt;MAX(G133:H133)),AND(J133&lt;&gt;"",J133&lt;MAX(G133:I133))),"Avance semanal decreciente"&amp;" · ","")&amp;IF(AND(ISNUMBER(E133),E133&lt;FechaRef,N(K133)&lt;1),"Vencida"&amp;" · ","")&amp;IF(AND(ObsObligatoria="Sí",ISNUMBER(E133),E133&lt;FechaRef,N(K133)&lt;1,M133=""),"Vencida sin observación"&amp;" · ",""))-3)))</f>
        <v/>
      </c>
      <c r="O133" s="67">
        <f>IF(NOT((COUNTA($B133:$J133)+COUNTA($M133))&gt;0),"",IF(ISNUMBER($D133),DATE(YEAR($D133),MONTH($D133),1),IF(ISNUMBER($E133),DATE(YEAR($E133),MONTH($E133),1),MesCiclo)))</f>
        <v/>
      </c>
      <c r="P133" s="68">
        <f>IF(OR($O133="",$O133&lt;&gt;MesCiclo),"",COUNTIF($O$5:$O133,MesCiclo))</f>
        <v/>
      </c>
    </row>
    <row r="134">
      <c r="A134" s="60">
        <f>IF(NOT((COUNTA($B134:$J134)+COUNTA($M134))&gt;0),"",COUNTIFS($L$5:$L134,"?*",$O$5:$O134,$O134))</f>
        <v/>
      </c>
      <c r="B134" s="61" t="n"/>
      <c r="C134" s="61" t="n"/>
      <c r="D134" s="62" t="n"/>
      <c r="E134" s="62" t="n"/>
      <c r="F134" s="63" t="n"/>
      <c r="G134" s="64" t="n"/>
      <c r="H134" s="64" t="n"/>
      <c r="I134" s="64" t="n"/>
      <c r="J134" s="64" t="n"/>
      <c r="K134" s="65">
        <f>IF(NOT((COUNTA($B134:$J134)+COUNTA($M134))&gt;0),"",IFERROR(LOOKUP(2,1/(G134:J134&lt;&gt;""),G134:J134),0))</f>
        <v/>
      </c>
      <c r="L134" s="60">
        <f>IF(K134="","",IF(K134&gt;=1,"Completado",IF(K134&gt;0,"En curso","Pendiente")))</f>
        <v/>
      </c>
      <c r="M134" s="61" t="n"/>
      <c r="N134" s="66">
        <f>IF(NOT((COUNTA($B134:$J134)+COUNTA($M134))&gt;0),"",IF((IF(B134="","Macroactividad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 OK","⚠ "&amp;LEFT(IF(B134="","Macroactividad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",""),LEN(IF(B134="","Macroactividad vacía"&amp;" · ","")&amp;IF(C134="","Sin responsable"&amp;" · ","")&amp;IF(D134="","Sin fecha de inicio"&amp;" · ","")&amp;IF(E134="","Sin fecha límite"&amp;" · ","")&amp;IF(OR(AND(D134&lt;&gt;"",NOT(ISNUMBER(D134))),AND(E134&lt;&gt;"",NOT(ISNUMBER(E134)))),"Fecha no válida"&amp;" · ","")&amp;IF(AND(ISNUMBER(D134),ISNUMBER(E134),D134&gt;E134),"Inicio posterior a fecha límite"&amp;" · ","")&amp;IF(F134="","Peso vacío"&amp;" · ","")&amp;IF(AND(F134&lt;&gt;"",OR(NOT(ISNUMBER(F134)),F134&lt;=0,F134&gt;1)),"Peso fuera de rango"&amp;" · ","")&amp;IF(ABS(SUMIFS($F$5:$F$1000,$O$5:$O$1000,$O134)-1)&gt;0.0001,"Pesos del mes suman "&amp;TEXT(SUMIFS($F$5:$F$1000,$O$5:$O$1000,$O134),"0%")&amp;" · ","")&amp;IF((COUNTIF(G134:J134,"&gt;1")+COUNTIF(G134:J134,"&lt;0")+COUNTA(G134:J134)-COUNT(G134:J134))&gt;0,"Avance fuera de rango 0-100%"&amp;" · ","")&amp;IF(OR(AND(H134&lt;&gt;"",H134&lt;G134),AND(I134&lt;&gt;"",I134&lt;MAX(G134:H134)),AND(J134&lt;&gt;"",J134&lt;MAX(G134:I134))),"Avance semanal decreciente"&amp;" · ","")&amp;IF(AND(ISNUMBER(E134),E134&lt;FechaRef,N(K134)&lt;1),"Vencida"&amp;" · ","")&amp;IF(AND(ObsObligatoria="Sí",ISNUMBER(E134),E134&lt;FechaRef,N(K134)&lt;1,M134=""),"Vencida sin observación"&amp;" · ",""))-3)))</f>
        <v/>
      </c>
      <c r="O134" s="67">
        <f>IF(NOT((COUNTA($B134:$J134)+COUNTA($M134))&gt;0),"",IF(ISNUMBER($D134),DATE(YEAR($D134),MONTH($D134),1),IF(ISNUMBER($E134),DATE(YEAR($E134),MONTH($E134),1),MesCiclo)))</f>
        <v/>
      </c>
      <c r="P134" s="68">
        <f>IF(OR($O134="",$O134&lt;&gt;MesCiclo),"",COUNTIF($O$5:$O134,MesCiclo))</f>
        <v/>
      </c>
    </row>
    <row r="135">
      <c r="A135" s="60">
        <f>IF(NOT((COUNTA($B135:$J135)+COUNTA($M135))&gt;0),"",COUNTIFS($L$5:$L135,"?*",$O$5:$O135,$O135))</f>
        <v/>
      </c>
      <c r="B135" s="61" t="n"/>
      <c r="C135" s="61" t="n"/>
      <c r="D135" s="62" t="n"/>
      <c r="E135" s="62" t="n"/>
      <c r="F135" s="63" t="n"/>
      <c r="G135" s="64" t="n"/>
      <c r="H135" s="64" t="n"/>
      <c r="I135" s="64" t="n"/>
      <c r="J135" s="64" t="n"/>
      <c r="K135" s="65">
        <f>IF(NOT((COUNTA($B135:$J135)+COUNTA($M135))&gt;0),"",IFERROR(LOOKUP(2,1/(G135:J135&lt;&gt;""),G135:J135),0))</f>
        <v/>
      </c>
      <c r="L135" s="60">
        <f>IF(K135="","",IF(K135&gt;=1,"Completado",IF(K135&gt;0,"En curso","Pendiente")))</f>
        <v/>
      </c>
      <c r="M135" s="61" t="n"/>
      <c r="N135" s="66">
        <f>IF(NOT((COUNTA($B135:$J135)+COUNTA($M135))&gt;0),"",IF((IF(B135="","Macroactividad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 OK","⚠ "&amp;LEFT(IF(B135="","Macroactividad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",""),LEN(IF(B135="","Macroactividad vacía"&amp;" · ","")&amp;IF(C135="","Sin responsable"&amp;" · ","")&amp;IF(D135="","Sin fecha de inicio"&amp;" · ","")&amp;IF(E135="","Sin fecha límite"&amp;" · ","")&amp;IF(OR(AND(D135&lt;&gt;"",NOT(ISNUMBER(D135))),AND(E135&lt;&gt;"",NOT(ISNUMBER(E135)))),"Fecha no válida"&amp;" · ","")&amp;IF(AND(ISNUMBER(D135),ISNUMBER(E135),D135&gt;E135),"Inicio posterior a fecha límite"&amp;" · ","")&amp;IF(F135="","Peso vacío"&amp;" · ","")&amp;IF(AND(F135&lt;&gt;"",OR(NOT(ISNUMBER(F135)),F135&lt;=0,F135&gt;1)),"Peso fuera de rango"&amp;" · ","")&amp;IF(ABS(SUMIFS($F$5:$F$1000,$O$5:$O$1000,$O135)-1)&gt;0.0001,"Pesos del mes suman "&amp;TEXT(SUMIFS($F$5:$F$1000,$O$5:$O$1000,$O135),"0%")&amp;" · ","")&amp;IF((COUNTIF(G135:J135,"&gt;1")+COUNTIF(G135:J135,"&lt;0")+COUNTA(G135:J135)-COUNT(G135:J135))&gt;0,"Avance fuera de rango 0-100%"&amp;" · ","")&amp;IF(OR(AND(H135&lt;&gt;"",H135&lt;G135),AND(I135&lt;&gt;"",I135&lt;MAX(G135:H135)),AND(J135&lt;&gt;"",J135&lt;MAX(G135:I135))),"Avance semanal decreciente"&amp;" · ","")&amp;IF(AND(ISNUMBER(E135),E135&lt;FechaRef,N(K135)&lt;1),"Vencida"&amp;" · ","")&amp;IF(AND(ObsObligatoria="Sí",ISNUMBER(E135),E135&lt;FechaRef,N(K135)&lt;1,M135=""),"Vencida sin observación"&amp;" · ",""))-3)))</f>
        <v/>
      </c>
      <c r="O135" s="67">
        <f>IF(NOT((COUNTA($B135:$J135)+COUNTA($M135))&gt;0),"",IF(ISNUMBER($D135),DATE(YEAR($D135),MONTH($D135),1),IF(ISNUMBER($E135),DATE(YEAR($E135),MONTH($E135),1),MesCiclo)))</f>
        <v/>
      </c>
      <c r="P135" s="68">
        <f>IF(OR($O135="",$O135&lt;&gt;MesCiclo),"",COUNTIF($O$5:$O135,MesCiclo))</f>
        <v/>
      </c>
    </row>
    <row r="136">
      <c r="A136" s="60">
        <f>IF(NOT((COUNTA($B136:$J136)+COUNTA($M136))&gt;0),"",COUNTIFS($L$5:$L136,"?*",$O$5:$O136,$O136))</f>
        <v/>
      </c>
      <c r="B136" s="61" t="n"/>
      <c r="C136" s="61" t="n"/>
      <c r="D136" s="62" t="n"/>
      <c r="E136" s="62" t="n"/>
      <c r="F136" s="63" t="n"/>
      <c r="G136" s="64" t="n"/>
      <c r="H136" s="64" t="n"/>
      <c r="I136" s="64" t="n"/>
      <c r="J136" s="64" t="n"/>
      <c r="K136" s="65">
        <f>IF(NOT((COUNTA($B136:$J136)+COUNTA($M136))&gt;0),"",IFERROR(LOOKUP(2,1/(G136:J136&lt;&gt;""),G136:J136),0))</f>
        <v/>
      </c>
      <c r="L136" s="60">
        <f>IF(K136="","",IF(K136&gt;=1,"Completado",IF(K136&gt;0,"En curso","Pendiente")))</f>
        <v/>
      </c>
      <c r="M136" s="61" t="n"/>
      <c r="N136" s="66">
        <f>IF(NOT((COUNTA($B136:$J136)+COUNTA($M136))&gt;0),"",IF((IF(B136="","Macroactividad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 OK","⚠ "&amp;LEFT(IF(B136="","Macroactividad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",""),LEN(IF(B136="","Macroactividad vacía"&amp;" · ","")&amp;IF(C136="","Sin responsable"&amp;" · ","")&amp;IF(D136="","Sin fecha de inicio"&amp;" · ","")&amp;IF(E136="","Sin fecha límite"&amp;" · ","")&amp;IF(OR(AND(D136&lt;&gt;"",NOT(ISNUMBER(D136))),AND(E136&lt;&gt;"",NOT(ISNUMBER(E136)))),"Fecha no válida"&amp;" · ","")&amp;IF(AND(ISNUMBER(D136),ISNUMBER(E136),D136&gt;E136),"Inicio posterior a fecha límite"&amp;" · ","")&amp;IF(F136="","Peso vacío"&amp;" · ","")&amp;IF(AND(F136&lt;&gt;"",OR(NOT(ISNUMBER(F136)),F136&lt;=0,F136&gt;1)),"Peso fuera de rango"&amp;" · ","")&amp;IF(ABS(SUMIFS($F$5:$F$1000,$O$5:$O$1000,$O136)-1)&gt;0.0001,"Pesos del mes suman "&amp;TEXT(SUMIFS($F$5:$F$1000,$O$5:$O$1000,$O136),"0%")&amp;" · ","")&amp;IF((COUNTIF(G136:J136,"&gt;1")+COUNTIF(G136:J136,"&lt;0")+COUNTA(G136:J136)-COUNT(G136:J136))&gt;0,"Avance fuera de rango 0-100%"&amp;" · ","")&amp;IF(OR(AND(H136&lt;&gt;"",H136&lt;G136),AND(I136&lt;&gt;"",I136&lt;MAX(G136:H136)),AND(J136&lt;&gt;"",J136&lt;MAX(G136:I136))),"Avance semanal decreciente"&amp;" · ","")&amp;IF(AND(ISNUMBER(E136),E136&lt;FechaRef,N(K136)&lt;1),"Vencida"&amp;" · ","")&amp;IF(AND(ObsObligatoria="Sí",ISNUMBER(E136),E136&lt;FechaRef,N(K136)&lt;1,M136=""),"Vencida sin observación"&amp;" · ",""))-3)))</f>
        <v/>
      </c>
      <c r="O136" s="67">
        <f>IF(NOT((COUNTA($B136:$J136)+COUNTA($M136))&gt;0),"",IF(ISNUMBER($D136),DATE(YEAR($D136),MONTH($D136),1),IF(ISNUMBER($E136),DATE(YEAR($E136),MONTH($E136),1),MesCiclo)))</f>
        <v/>
      </c>
      <c r="P136" s="68">
        <f>IF(OR($O136="",$O136&lt;&gt;MesCiclo),"",COUNTIF($O$5:$O136,MesCiclo))</f>
        <v/>
      </c>
    </row>
    <row r="137">
      <c r="A137" s="60">
        <f>IF(NOT((COUNTA($B137:$J137)+COUNTA($M137))&gt;0),"",COUNTIFS($L$5:$L137,"?*",$O$5:$O137,$O137))</f>
        <v/>
      </c>
      <c r="B137" s="61" t="n"/>
      <c r="C137" s="61" t="n"/>
      <c r="D137" s="62" t="n"/>
      <c r="E137" s="62" t="n"/>
      <c r="F137" s="63" t="n"/>
      <c r="G137" s="64" t="n"/>
      <c r="H137" s="64" t="n"/>
      <c r="I137" s="64" t="n"/>
      <c r="J137" s="64" t="n"/>
      <c r="K137" s="65">
        <f>IF(NOT((COUNTA($B137:$J137)+COUNTA($M137))&gt;0),"",IFERROR(LOOKUP(2,1/(G137:J137&lt;&gt;""),G137:J137),0))</f>
        <v/>
      </c>
      <c r="L137" s="60">
        <f>IF(K137="","",IF(K137&gt;=1,"Completado",IF(K137&gt;0,"En curso","Pendiente")))</f>
        <v/>
      </c>
      <c r="M137" s="61" t="n"/>
      <c r="N137" s="66">
        <f>IF(NOT((COUNTA($B137:$J137)+COUNTA($M137))&gt;0),"",IF((IF(B137="","Macroactividad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 OK","⚠ "&amp;LEFT(IF(B137="","Macroactividad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",""),LEN(IF(B137="","Macroactividad vacía"&amp;" · ","")&amp;IF(C137="","Sin responsable"&amp;" · ","")&amp;IF(D137="","Sin fecha de inicio"&amp;" · ","")&amp;IF(E137="","Sin fecha límite"&amp;" · ","")&amp;IF(OR(AND(D137&lt;&gt;"",NOT(ISNUMBER(D137))),AND(E137&lt;&gt;"",NOT(ISNUMBER(E137)))),"Fecha no válida"&amp;" · ","")&amp;IF(AND(ISNUMBER(D137),ISNUMBER(E137),D137&gt;E137),"Inicio posterior a fecha límite"&amp;" · ","")&amp;IF(F137="","Peso vacío"&amp;" · ","")&amp;IF(AND(F137&lt;&gt;"",OR(NOT(ISNUMBER(F137)),F137&lt;=0,F137&gt;1)),"Peso fuera de rango"&amp;" · ","")&amp;IF(ABS(SUMIFS($F$5:$F$1000,$O$5:$O$1000,$O137)-1)&gt;0.0001,"Pesos del mes suman "&amp;TEXT(SUMIFS($F$5:$F$1000,$O$5:$O$1000,$O137),"0%")&amp;" · ","")&amp;IF((COUNTIF(G137:J137,"&gt;1")+COUNTIF(G137:J137,"&lt;0")+COUNTA(G137:J137)-COUNT(G137:J137))&gt;0,"Avance fuera de rango 0-100%"&amp;" · ","")&amp;IF(OR(AND(H137&lt;&gt;"",H137&lt;G137),AND(I137&lt;&gt;"",I137&lt;MAX(G137:H137)),AND(J137&lt;&gt;"",J137&lt;MAX(G137:I137))),"Avance semanal decreciente"&amp;" · ","")&amp;IF(AND(ISNUMBER(E137),E137&lt;FechaRef,N(K137)&lt;1),"Vencida"&amp;" · ","")&amp;IF(AND(ObsObligatoria="Sí",ISNUMBER(E137),E137&lt;FechaRef,N(K137)&lt;1,M137=""),"Vencida sin observación"&amp;" · ",""))-3)))</f>
        <v/>
      </c>
      <c r="O137" s="67">
        <f>IF(NOT((COUNTA($B137:$J137)+COUNTA($M137))&gt;0),"",IF(ISNUMBER($D137),DATE(YEAR($D137),MONTH($D137),1),IF(ISNUMBER($E137),DATE(YEAR($E137),MONTH($E137),1),MesCiclo)))</f>
        <v/>
      </c>
      <c r="P137" s="68">
        <f>IF(OR($O137="",$O137&lt;&gt;MesCiclo),"",COUNTIF($O$5:$O137,MesCiclo))</f>
        <v/>
      </c>
    </row>
    <row r="138">
      <c r="A138" s="60">
        <f>IF(NOT((COUNTA($B138:$J138)+COUNTA($M138))&gt;0),"",COUNTIFS($L$5:$L138,"?*",$O$5:$O138,$O138))</f>
        <v/>
      </c>
      <c r="B138" s="61" t="n"/>
      <c r="C138" s="61" t="n"/>
      <c r="D138" s="62" t="n"/>
      <c r="E138" s="62" t="n"/>
      <c r="F138" s="63" t="n"/>
      <c r="G138" s="64" t="n"/>
      <c r="H138" s="64" t="n"/>
      <c r="I138" s="64" t="n"/>
      <c r="J138" s="64" t="n"/>
      <c r="K138" s="65">
        <f>IF(NOT((COUNTA($B138:$J138)+COUNTA($M138))&gt;0),"",IFERROR(LOOKUP(2,1/(G138:J138&lt;&gt;""),G138:J138),0))</f>
        <v/>
      </c>
      <c r="L138" s="60">
        <f>IF(K138="","",IF(K138&gt;=1,"Completado",IF(K138&gt;0,"En curso","Pendiente")))</f>
        <v/>
      </c>
      <c r="M138" s="61" t="n"/>
      <c r="N138" s="66">
        <f>IF(NOT((COUNTA($B138:$J138)+COUNTA($M138))&gt;0),"",IF((IF(B138="","Macroactividad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 OK","⚠ "&amp;LEFT(IF(B138="","Macroactividad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",""),LEN(IF(B138="","Macroactividad vacía"&amp;" · ","")&amp;IF(C138="","Sin responsable"&amp;" · ","")&amp;IF(D138="","Sin fecha de inicio"&amp;" · ","")&amp;IF(E138="","Sin fecha límite"&amp;" · ","")&amp;IF(OR(AND(D138&lt;&gt;"",NOT(ISNUMBER(D138))),AND(E138&lt;&gt;"",NOT(ISNUMBER(E138)))),"Fecha no válida"&amp;" · ","")&amp;IF(AND(ISNUMBER(D138),ISNUMBER(E138),D138&gt;E138),"Inicio posterior a fecha límite"&amp;" · ","")&amp;IF(F138="","Peso vacío"&amp;" · ","")&amp;IF(AND(F138&lt;&gt;"",OR(NOT(ISNUMBER(F138)),F138&lt;=0,F138&gt;1)),"Peso fuera de rango"&amp;" · ","")&amp;IF(ABS(SUMIFS($F$5:$F$1000,$O$5:$O$1000,$O138)-1)&gt;0.0001,"Pesos del mes suman "&amp;TEXT(SUMIFS($F$5:$F$1000,$O$5:$O$1000,$O138),"0%")&amp;" · ","")&amp;IF((COUNTIF(G138:J138,"&gt;1")+COUNTIF(G138:J138,"&lt;0")+COUNTA(G138:J138)-COUNT(G138:J138))&gt;0,"Avance fuera de rango 0-100%"&amp;" · ","")&amp;IF(OR(AND(H138&lt;&gt;"",H138&lt;G138),AND(I138&lt;&gt;"",I138&lt;MAX(G138:H138)),AND(J138&lt;&gt;"",J138&lt;MAX(G138:I138))),"Avance semanal decreciente"&amp;" · ","")&amp;IF(AND(ISNUMBER(E138),E138&lt;FechaRef,N(K138)&lt;1),"Vencida"&amp;" · ","")&amp;IF(AND(ObsObligatoria="Sí",ISNUMBER(E138),E138&lt;FechaRef,N(K138)&lt;1,M138=""),"Vencida sin observación"&amp;" · ",""))-3)))</f>
        <v/>
      </c>
      <c r="O138" s="67">
        <f>IF(NOT((COUNTA($B138:$J138)+COUNTA($M138))&gt;0),"",IF(ISNUMBER($D138),DATE(YEAR($D138),MONTH($D138),1),IF(ISNUMBER($E138),DATE(YEAR($E138),MONTH($E138),1),MesCiclo)))</f>
        <v/>
      </c>
      <c r="P138" s="68">
        <f>IF(OR($O138="",$O138&lt;&gt;MesCiclo),"",COUNTIF($O$5:$O138,MesCiclo))</f>
        <v/>
      </c>
    </row>
    <row r="139">
      <c r="A139" s="60">
        <f>IF(NOT((COUNTA($B139:$J139)+COUNTA($M139))&gt;0),"",COUNTIFS($L$5:$L139,"?*",$O$5:$O139,$O139))</f>
        <v/>
      </c>
      <c r="B139" s="61" t="n"/>
      <c r="C139" s="61" t="n"/>
      <c r="D139" s="62" t="n"/>
      <c r="E139" s="62" t="n"/>
      <c r="F139" s="63" t="n"/>
      <c r="G139" s="64" t="n"/>
      <c r="H139" s="64" t="n"/>
      <c r="I139" s="64" t="n"/>
      <c r="J139" s="64" t="n"/>
      <c r="K139" s="65">
        <f>IF(NOT((COUNTA($B139:$J139)+COUNTA($M139))&gt;0),"",IFERROR(LOOKUP(2,1/(G139:J139&lt;&gt;""),G139:J139),0))</f>
        <v/>
      </c>
      <c r="L139" s="60">
        <f>IF(K139="","",IF(K139&gt;=1,"Completado",IF(K139&gt;0,"En curso","Pendiente")))</f>
        <v/>
      </c>
      <c r="M139" s="61" t="n"/>
      <c r="N139" s="66">
        <f>IF(NOT((COUNTA($B139:$J139)+COUNTA($M139))&gt;0),"",IF((IF(B139="","Macroactividad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 OK","⚠ "&amp;LEFT(IF(B139="","Macroactividad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",""),LEN(IF(B139="","Macroactividad vacía"&amp;" · ","")&amp;IF(C139="","Sin responsable"&amp;" · ","")&amp;IF(D139="","Sin fecha de inicio"&amp;" · ","")&amp;IF(E139="","Sin fecha límite"&amp;" · ","")&amp;IF(OR(AND(D139&lt;&gt;"",NOT(ISNUMBER(D139))),AND(E139&lt;&gt;"",NOT(ISNUMBER(E139)))),"Fecha no válida"&amp;" · ","")&amp;IF(AND(ISNUMBER(D139),ISNUMBER(E139),D139&gt;E139),"Inicio posterior a fecha límite"&amp;" · ","")&amp;IF(F139="","Peso vacío"&amp;" · ","")&amp;IF(AND(F139&lt;&gt;"",OR(NOT(ISNUMBER(F139)),F139&lt;=0,F139&gt;1)),"Peso fuera de rango"&amp;" · ","")&amp;IF(ABS(SUMIFS($F$5:$F$1000,$O$5:$O$1000,$O139)-1)&gt;0.0001,"Pesos del mes suman "&amp;TEXT(SUMIFS($F$5:$F$1000,$O$5:$O$1000,$O139),"0%")&amp;" · ","")&amp;IF((COUNTIF(G139:J139,"&gt;1")+COUNTIF(G139:J139,"&lt;0")+COUNTA(G139:J139)-COUNT(G139:J139))&gt;0,"Avance fuera de rango 0-100%"&amp;" · ","")&amp;IF(OR(AND(H139&lt;&gt;"",H139&lt;G139),AND(I139&lt;&gt;"",I139&lt;MAX(G139:H139)),AND(J139&lt;&gt;"",J139&lt;MAX(G139:I139))),"Avance semanal decreciente"&amp;" · ","")&amp;IF(AND(ISNUMBER(E139),E139&lt;FechaRef,N(K139)&lt;1),"Vencida"&amp;" · ","")&amp;IF(AND(ObsObligatoria="Sí",ISNUMBER(E139),E139&lt;FechaRef,N(K139)&lt;1,M139=""),"Vencida sin observación"&amp;" · ",""))-3)))</f>
        <v/>
      </c>
      <c r="O139" s="67">
        <f>IF(NOT((COUNTA($B139:$J139)+COUNTA($M139))&gt;0),"",IF(ISNUMBER($D139),DATE(YEAR($D139),MONTH($D139),1),IF(ISNUMBER($E139),DATE(YEAR($E139),MONTH($E139),1),MesCiclo)))</f>
        <v/>
      </c>
      <c r="P139" s="68">
        <f>IF(OR($O139="",$O139&lt;&gt;MesCiclo),"",COUNTIF($O$5:$O139,MesCiclo))</f>
        <v/>
      </c>
    </row>
    <row r="140">
      <c r="A140" s="60">
        <f>IF(NOT((COUNTA($B140:$J140)+COUNTA($M140))&gt;0),"",COUNTIFS($L$5:$L140,"?*",$O$5:$O140,$O140))</f>
        <v/>
      </c>
      <c r="B140" s="61" t="n"/>
      <c r="C140" s="61" t="n"/>
      <c r="D140" s="62" t="n"/>
      <c r="E140" s="62" t="n"/>
      <c r="F140" s="63" t="n"/>
      <c r="G140" s="64" t="n"/>
      <c r="H140" s="64" t="n"/>
      <c r="I140" s="64" t="n"/>
      <c r="J140" s="64" t="n"/>
      <c r="K140" s="65">
        <f>IF(NOT((COUNTA($B140:$J140)+COUNTA($M140))&gt;0),"",IFERROR(LOOKUP(2,1/(G140:J140&lt;&gt;""),G140:J140),0))</f>
        <v/>
      </c>
      <c r="L140" s="60">
        <f>IF(K140="","",IF(K140&gt;=1,"Completado",IF(K140&gt;0,"En curso","Pendiente")))</f>
        <v/>
      </c>
      <c r="M140" s="61" t="n"/>
      <c r="N140" s="66">
        <f>IF(NOT((COUNTA($B140:$J140)+COUNTA($M140))&gt;0),"",IF((IF(B140="","Macroactividad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 OK","⚠ "&amp;LEFT(IF(B140="","Macroactividad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",""),LEN(IF(B140="","Macroactividad vacía"&amp;" · ","")&amp;IF(C140="","Sin responsable"&amp;" · ","")&amp;IF(D140="","Sin fecha de inicio"&amp;" · ","")&amp;IF(E140="","Sin fecha límite"&amp;" · ","")&amp;IF(OR(AND(D140&lt;&gt;"",NOT(ISNUMBER(D140))),AND(E140&lt;&gt;"",NOT(ISNUMBER(E140)))),"Fecha no válida"&amp;" · ","")&amp;IF(AND(ISNUMBER(D140),ISNUMBER(E140),D140&gt;E140),"Inicio posterior a fecha límite"&amp;" · ","")&amp;IF(F140="","Peso vacío"&amp;" · ","")&amp;IF(AND(F140&lt;&gt;"",OR(NOT(ISNUMBER(F140)),F140&lt;=0,F140&gt;1)),"Peso fuera de rango"&amp;" · ","")&amp;IF(ABS(SUMIFS($F$5:$F$1000,$O$5:$O$1000,$O140)-1)&gt;0.0001,"Pesos del mes suman "&amp;TEXT(SUMIFS($F$5:$F$1000,$O$5:$O$1000,$O140),"0%")&amp;" · ","")&amp;IF((COUNTIF(G140:J140,"&gt;1")+COUNTIF(G140:J140,"&lt;0")+COUNTA(G140:J140)-COUNT(G140:J140))&gt;0,"Avance fuera de rango 0-100%"&amp;" · ","")&amp;IF(OR(AND(H140&lt;&gt;"",H140&lt;G140),AND(I140&lt;&gt;"",I140&lt;MAX(G140:H140)),AND(J140&lt;&gt;"",J140&lt;MAX(G140:I140))),"Avance semanal decreciente"&amp;" · ","")&amp;IF(AND(ISNUMBER(E140),E140&lt;FechaRef,N(K140)&lt;1),"Vencida"&amp;" · ","")&amp;IF(AND(ObsObligatoria="Sí",ISNUMBER(E140),E140&lt;FechaRef,N(K140)&lt;1,M140=""),"Vencida sin observación"&amp;" · ",""))-3)))</f>
        <v/>
      </c>
      <c r="O140" s="67">
        <f>IF(NOT((COUNTA($B140:$J140)+COUNTA($M140))&gt;0),"",IF(ISNUMBER($D140),DATE(YEAR($D140),MONTH($D140),1),IF(ISNUMBER($E140),DATE(YEAR($E140),MONTH($E140),1),MesCiclo)))</f>
        <v/>
      </c>
      <c r="P140" s="68">
        <f>IF(OR($O140="",$O140&lt;&gt;MesCiclo),"",COUNTIF($O$5:$O140,MesCiclo))</f>
        <v/>
      </c>
    </row>
    <row r="141">
      <c r="A141" s="60">
        <f>IF(NOT((COUNTA($B141:$J141)+COUNTA($M141))&gt;0),"",COUNTIFS($L$5:$L141,"?*",$O$5:$O141,$O141))</f>
        <v/>
      </c>
      <c r="B141" s="61" t="n"/>
      <c r="C141" s="61" t="n"/>
      <c r="D141" s="62" t="n"/>
      <c r="E141" s="62" t="n"/>
      <c r="F141" s="63" t="n"/>
      <c r="G141" s="64" t="n"/>
      <c r="H141" s="64" t="n"/>
      <c r="I141" s="64" t="n"/>
      <c r="J141" s="64" t="n"/>
      <c r="K141" s="65">
        <f>IF(NOT((COUNTA($B141:$J141)+COUNTA($M141))&gt;0),"",IFERROR(LOOKUP(2,1/(G141:J141&lt;&gt;""),G141:J141),0))</f>
        <v/>
      </c>
      <c r="L141" s="60">
        <f>IF(K141="","",IF(K141&gt;=1,"Completado",IF(K141&gt;0,"En curso","Pendiente")))</f>
        <v/>
      </c>
      <c r="M141" s="61" t="n"/>
      <c r="N141" s="66">
        <f>IF(NOT((COUNTA($B141:$J141)+COUNTA($M141))&gt;0),"",IF((IF(B141="","Macroactividad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 OK","⚠ "&amp;LEFT(IF(B141="","Macroactividad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",""),LEN(IF(B141="","Macroactividad vacía"&amp;" · ","")&amp;IF(C141="","Sin responsable"&amp;" · ","")&amp;IF(D141="","Sin fecha de inicio"&amp;" · ","")&amp;IF(E141="","Sin fecha límite"&amp;" · ","")&amp;IF(OR(AND(D141&lt;&gt;"",NOT(ISNUMBER(D141))),AND(E141&lt;&gt;"",NOT(ISNUMBER(E141)))),"Fecha no válida"&amp;" · ","")&amp;IF(AND(ISNUMBER(D141),ISNUMBER(E141),D141&gt;E141),"Inicio posterior a fecha límite"&amp;" · ","")&amp;IF(F141="","Peso vacío"&amp;" · ","")&amp;IF(AND(F141&lt;&gt;"",OR(NOT(ISNUMBER(F141)),F141&lt;=0,F141&gt;1)),"Peso fuera de rango"&amp;" · ","")&amp;IF(ABS(SUMIFS($F$5:$F$1000,$O$5:$O$1000,$O141)-1)&gt;0.0001,"Pesos del mes suman "&amp;TEXT(SUMIFS($F$5:$F$1000,$O$5:$O$1000,$O141),"0%")&amp;" · ","")&amp;IF((COUNTIF(G141:J141,"&gt;1")+COUNTIF(G141:J141,"&lt;0")+COUNTA(G141:J141)-COUNT(G141:J141))&gt;0,"Avance fuera de rango 0-100%"&amp;" · ","")&amp;IF(OR(AND(H141&lt;&gt;"",H141&lt;G141),AND(I141&lt;&gt;"",I141&lt;MAX(G141:H141)),AND(J141&lt;&gt;"",J141&lt;MAX(G141:I141))),"Avance semanal decreciente"&amp;" · ","")&amp;IF(AND(ISNUMBER(E141),E141&lt;FechaRef,N(K141)&lt;1),"Vencida"&amp;" · ","")&amp;IF(AND(ObsObligatoria="Sí",ISNUMBER(E141),E141&lt;FechaRef,N(K141)&lt;1,M141=""),"Vencida sin observación"&amp;" · ",""))-3)))</f>
        <v/>
      </c>
      <c r="O141" s="67">
        <f>IF(NOT((COUNTA($B141:$J141)+COUNTA($M141))&gt;0),"",IF(ISNUMBER($D141),DATE(YEAR($D141),MONTH($D141),1),IF(ISNUMBER($E141),DATE(YEAR($E141),MONTH($E141),1),MesCiclo)))</f>
        <v/>
      </c>
      <c r="P141" s="68">
        <f>IF(OR($O141="",$O141&lt;&gt;MesCiclo),"",COUNTIF($O$5:$O141,MesCiclo))</f>
        <v/>
      </c>
    </row>
    <row r="142">
      <c r="A142" s="60">
        <f>IF(NOT((COUNTA($B142:$J142)+COUNTA($M142))&gt;0),"",COUNTIFS($L$5:$L142,"?*",$O$5:$O142,$O142))</f>
        <v/>
      </c>
      <c r="B142" s="61" t="n"/>
      <c r="C142" s="61" t="n"/>
      <c r="D142" s="62" t="n"/>
      <c r="E142" s="62" t="n"/>
      <c r="F142" s="63" t="n"/>
      <c r="G142" s="64" t="n"/>
      <c r="H142" s="64" t="n"/>
      <c r="I142" s="64" t="n"/>
      <c r="J142" s="64" t="n"/>
      <c r="K142" s="65">
        <f>IF(NOT((COUNTA($B142:$J142)+COUNTA($M142))&gt;0),"",IFERROR(LOOKUP(2,1/(G142:J142&lt;&gt;""),G142:J142),0))</f>
        <v/>
      </c>
      <c r="L142" s="60">
        <f>IF(K142="","",IF(K142&gt;=1,"Completado",IF(K142&gt;0,"En curso","Pendiente")))</f>
        <v/>
      </c>
      <c r="M142" s="61" t="n"/>
      <c r="N142" s="66">
        <f>IF(NOT((COUNTA($B142:$J142)+COUNTA($M142))&gt;0),"",IF((IF(B142="","Macroactividad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 OK","⚠ "&amp;LEFT(IF(B142="","Macroactividad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",""),LEN(IF(B142="","Macroactividad vacía"&amp;" · ","")&amp;IF(C142="","Sin responsable"&amp;" · ","")&amp;IF(D142="","Sin fecha de inicio"&amp;" · ","")&amp;IF(E142="","Sin fecha límite"&amp;" · ","")&amp;IF(OR(AND(D142&lt;&gt;"",NOT(ISNUMBER(D142))),AND(E142&lt;&gt;"",NOT(ISNUMBER(E142)))),"Fecha no válida"&amp;" · ","")&amp;IF(AND(ISNUMBER(D142),ISNUMBER(E142),D142&gt;E142),"Inicio posterior a fecha límite"&amp;" · ","")&amp;IF(F142="","Peso vacío"&amp;" · ","")&amp;IF(AND(F142&lt;&gt;"",OR(NOT(ISNUMBER(F142)),F142&lt;=0,F142&gt;1)),"Peso fuera de rango"&amp;" · ","")&amp;IF(ABS(SUMIFS($F$5:$F$1000,$O$5:$O$1000,$O142)-1)&gt;0.0001,"Pesos del mes suman "&amp;TEXT(SUMIFS($F$5:$F$1000,$O$5:$O$1000,$O142),"0%")&amp;" · ","")&amp;IF((COUNTIF(G142:J142,"&gt;1")+COUNTIF(G142:J142,"&lt;0")+COUNTA(G142:J142)-COUNT(G142:J142))&gt;0,"Avance fuera de rango 0-100%"&amp;" · ","")&amp;IF(OR(AND(H142&lt;&gt;"",H142&lt;G142),AND(I142&lt;&gt;"",I142&lt;MAX(G142:H142)),AND(J142&lt;&gt;"",J142&lt;MAX(G142:I142))),"Avance semanal decreciente"&amp;" · ","")&amp;IF(AND(ISNUMBER(E142),E142&lt;FechaRef,N(K142)&lt;1),"Vencida"&amp;" · ","")&amp;IF(AND(ObsObligatoria="Sí",ISNUMBER(E142),E142&lt;FechaRef,N(K142)&lt;1,M142=""),"Vencida sin observación"&amp;" · ",""))-3)))</f>
        <v/>
      </c>
      <c r="O142" s="67">
        <f>IF(NOT((COUNTA($B142:$J142)+COUNTA($M142))&gt;0),"",IF(ISNUMBER($D142),DATE(YEAR($D142),MONTH($D142),1),IF(ISNUMBER($E142),DATE(YEAR($E142),MONTH($E142),1),MesCiclo)))</f>
        <v/>
      </c>
      <c r="P142" s="68">
        <f>IF(OR($O142="",$O142&lt;&gt;MesCiclo),"",COUNTIF($O$5:$O142,MesCiclo))</f>
        <v/>
      </c>
    </row>
    <row r="143">
      <c r="A143" s="60">
        <f>IF(NOT((COUNTA($B143:$J143)+COUNTA($M143))&gt;0),"",COUNTIFS($L$5:$L143,"?*",$O$5:$O143,$O143))</f>
        <v/>
      </c>
      <c r="B143" s="61" t="n"/>
      <c r="C143" s="61" t="n"/>
      <c r="D143" s="62" t="n"/>
      <c r="E143" s="62" t="n"/>
      <c r="F143" s="63" t="n"/>
      <c r="G143" s="64" t="n"/>
      <c r="H143" s="64" t="n"/>
      <c r="I143" s="64" t="n"/>
      <c r="J143" s="64" t="n"/>
      <c r="K143" s="65">
        <f>IF(NOT((COUNTA($B143:$J143)+COUNTA($M143))&gt;0),"",IFERROR(LOOKUP(2,1/(G143:J143&lt;&gt;""),G143:J143),0))</f>
        <v/>
      </c>
      <c r="L143" s="60">
        <f>IF(K143="","",IF(K143&gt;=1,"Completado",IF(K143&gt;0,"En curso","Pendiente")))</f>
        <v/>
      </c>
      <c r="M143" s="61" t="n"/>
      <c r="N143" s="66">
        <f>IF(NOT((COUNTA($B143:$J143)+COUNTA($M143))&gt;0),"",IF((IF(B143="","Macroactividad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 OK","⚠ "&amp;LEFT(IF(B143="","Macroactividad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",""),LEN(IF(B143="","Macroactividad vacía"&amp;" · ","")&amp;IF(C143="","Sin responsable"&amp;" · ","")&amp;IF(D143="","Sin fecha de inicio"&amp;" · ","")&amp;IF(E143="","Sin fecha límite"&amp;" · ","")&amp;IF(OR(AND(D143&lt;&gt;"",NOT(ISNUMBER(D143))),AND(E143&lt;&gt;"",NOT(ISNUMBER(E143)))),"Fecha no válida"&amp;" · ","")&amp;IF(AND(ISNUMBER(D143),ISNUMBER(E143),D143&gt;E143),"Inicio posterior a fecha límite"&amp;" · ","")&amp;IF(F143="","Peso vacío"&amp;" · ","")&amp;IF(AND(F143&lt;&gt;"",OR(NOT(ISNUMBER(F143)),F143&lt;=0,F143&gt;1)),"Peso fuera de rango"&amp;" · ","")&amp;IF(ABS(SUMIFS($F$5:$F$1000,$O$5:$O$1000,$O143)-1)&gt;0.0001,"Pesos del mes suman "&amp;TEXT(SUMIFS($F$5:$F$1000,$O$5:$O$1000,$O143),"0%")&amp;" · ","")&amp;IF((COUNTIF(G143:J143,"&gt;1")+COUNTIF(G143:J143,"&lt;0")+COUNTA(G143:J143)-COUNT(G143:J143))&gt;0,"Avance fuera de rango 0-100%"&amp;" · ","")&amp;IF(OR(AND(H143&lt;&gt;"",H143&lt;G143),AND(I143&lt;&gt;"",I143&lt;MAX(G143:H143)),AND(J143&lt;&gt;"",J143&lt;MAX(G143:I143))),"Avance semanal decreciente"&amp;" · ","")&amp;IF(AND(ISNUMBER(E143),E143&lt;FechaRef,N(K143)&lt;1),"Vencida"&amp;" · ","")&amp;IF(AND(ObsObligatoria="Sí",ISNUMBER(E143),E143&lt;FechaRef,N(K143)&lt;1,M143=""),"Vencida sin observación"&amp;" · ",""))-3)))</f>
        <v/>
      </c>
      <c r="O143" s="67">
        <f>IF(NOT((COUNTA($B143:$J143)+COUNTA($M143))&gt;0),"",IF(ISNUMBER($D143),DATE(YEAR($D143),MONTH($D143),1),IF(ISNUMBER($E143),DATE(YEAR($E143),MONTH($E143),1),MesCiclo)))</f>
        <v/>
      </c>
      <c r="P143" s="68">
        <f>IF(OR($O143="",$O143&lt;&gt;MesCiclo),"",COUNTIF($O$5:$O143,MesCiclo))</f>
        <v/>
      </c>
    </row>
    <row r="144">
      <c r="A144" s="60">
        <f>IF(NOT((COUNTA($B144:$J144)+COUNTA($M144))&gt;0),"",COUNTIFS($L$5:$L144,"?*",$O$5:$O144,$O144))</f>
        <v/>
      </c>
      <c r="B144" s="61" t="n"/>
      <c r="C144" s="61" t="n"/>
      <c r="D144" s="62" t="n"/>
      <c r="E144" s="62" t="n"/>
      <c r="F144" s="63" t="n"/>
      <c r="G144" s="64" t="n"/>
      <c r="H144" s="64" t="n"/>
      <c r="I144" s="64" t="n"/>
      <c r="J144" s="64" t="n"/>
      <c r="K144" s="65">
        <f>IF(NOT((COUNTA($B144:$J144)+COUNTA($M144))&gt;0),"",IFERROR(LOOKUP(2,1/(G144:J144&lt;&gt;""),G144:J144),0))</f>
        <v/>
      </c>
      <c r="L144" s="60">
        <f>IF(K144="","",IF(K144&gt;=1,"Completado",IF(K144&gt;0,"En curso","Pendiente")))</f>
        <v/>
      </c>
      <c r="M144" s="61" t="n"/>
      <c r="N144" s="66">
        <f>IF(NOT((COUNTA($B144:$J144)+COUNTA($M144))&gt;0),"",IF((IF(B144="","Macroactividad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 OK","⚠ "&amp;LEFT(IF(B144="","Macroactividad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",""),LEN(IF(B144="","Macroactividad vacía"&amp;" · ","")&amp;IF(C144="","Sin responsable"&amp;" · ","")&amp;IF(D144="","Sin fecha de inicio"&amp;" · ","")&amp;IF(E144="","Sin fecha límite"&amp;" · ","")&amp;IF(OR(AND(D144&lt;&gt;"",NOT(ISNUMBER(D144))),AND(E144&lt;&gt;"",NOT(ISNUMBER(E144)))),"Fecha no válida"&amp;" · ","")&amp;IF(AND(ISNUMBER(D144),ISNUMBER(E144),D144&gt;E144),"Inicio posterior a fecha límite"&amp;" · ","")&amp;IF(F144="","Peso vacío"&amp;" · ","")&amp;IF(AND(F144&lt;&gt;"",OR(NOT(ISNUMBER(F144)),F144&lt;=0,F144&gt;1)),"Peso fuera de rango"&amp;" · ","")&amp;IF(ABS(SUMIFS($F$5:$F$1000,$O$5:$O$1000,$O144)-1)&gt;0.0001,"Pesos del mes suman "&amp;TEXT(SUMIFS($F$5:$F$1000,$O$5:$O$1000,$O144),"0%")&amp;" · ","")&amp;IF((COUNTIF(G144:J144,"&gt;1")+COUNTIF(G144:J144,"&lt;0")+COUNTA(G144:J144)-COUNT(G144:J144))&gt;0,"Avance fuera de rango 0-100%"&amp;" · ","")&amp;IF(OR(AND(H144&lt;&gt;"",H144&lt;G144),AND(I144&lt;&gt;"",I144&lt;MAX(G144:H144)),AND(J144&lt;&gt;"",J144&lt;MAX(G144:I144))),"Avance semanal decreciente"&amp;" · ","")&amp;IF(AND(ISNUMBER(E144),E144&lt;FechaRef,N(K144)&lt;1),"Vencida"&amp;" · ","")&amp;IF(AND(ObsObligatoria="Sí",ISNUMBER(E144),E144&lt;FechaRef,N(K144)&lt;1,M144=""),"Vencida sin observación"&amp;" · ",""))-3)))</f>
        <v/>
      </c>
      <c r="O144" s="67">
        <f>IF(NOT((COUNTA($B144:$J144)+COUNTA($M144))&gt;0),"",IF(ISNUMBER($D144),DATE(YEAR($D144),MONTH($D144),1),IF(ISNUMBER($E144),DATE(YEAR($E144),MONTH($E144),1),MesCiclo)))</f>
        <v/>
      </c>
      <c r="P144" s="68">
        <f>IF(OR($O144="",$O144&lt;&gt;MesCiclo),"",COUNTIF($O$5:$O144,MesCiclo))</f>
        <v/>
      </c>
    </row>
    <row r="145">
      <c r="A145" s="60">
        <f>IF(NOT((COUNTA($B145:$J145)+COUNTA($M145))&gt;0),"",COUNTIFS($L$5:$L145,"?*",$O$5:$O145,$O145))</f>
        <v/>
      </c>
      <c r="B145" s="61" t="n"/>
      <c r="C145" s="61" t="n"/>
      <c r="D145" s="62" t="n"/>
      <c r="E145" s="62" t="n"/>
      <c r="F145" s="63" t="n"/>
      <c r="G145" s="64" t="n"/>
      <c r="H145" s="64" t="n"/>
      <c r="I145" s="64" t="n"/>
      <c r="J145" s="64" t="n"/>
      <c r="K145" s="65">
        <f>IF(NOT((COUNTA($B145:$J145)+COUNTA($M145))&gt;0),"",IFERROR(LOOKUP(2,1/(G145:J145&lt;&gt;""),G145:J145),0))</f>
        <v/>
      </c>
      <c r="L145" s="60">
        <f>IF(K145="","",IF(K145&gt;=1,"Completado",IF(K145&gt;0,"En curso","Pendiente")))</f>
        <v/>
      </c>
      <c r="M145" s="61" t="n"/>
      <c r="N145" s="66">
        <f>IF(NOT((COUNTA($B145:$J145)+COUNTA($M145))&gt;0),"",IF((IF(B145="","Macroactividad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 OK","⚠ "&amp;LEFT(IF(B145="","Macroactividad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",""),LEN(IF(B145="","Macroactividad vacía"&amp;" · ","")&amp;IF(C145="","Sin responsable"&amp;" · ","")&amp;IF(D145="","Sin fecha de inicio"&amp;" · ","")&amp;IF(E145="","Sin fecha límite"&amp;" · ","")&amp;IF(OR(AND(D145&lt;&gt;"",NOT(ISNUMBER(D145))),AND(E145&lt;&gt;"",NOT(ISNUMBER(E145)))),"Fecha no válida"&amp;" · ","")&amp;IF(AND(ISNUMBER(D145),ISNUMBER(E145),D145&gt;E145),"Inicio posterior a fecha límite"&amp;" · ","")&amp;IF(F145="","Peso vacío"&amp;" · ","")&amp;IF(AND(F145&lt;&gt;"",OR(NOT(ISNUMBER(F145)),F145&lt;=0,F145&gt;1)),"Peso fuera de rango"&amp;" · ","")&amp;IF(ABS(SUMIFS($F$5:$F$1000,$O$5:$O$1000,$O145)-1)&gt;0.0001,"Pesos del mes suman "&amp;TEXT(SUMIFS($F$5:$F$1000,$O$5:$O$1000,$O145),"0%")&amp;" · ","")&amp;IF((COUNTIF(G145:J145,"&gt;1")+COUNTIF(G145:J145,"&lt;0")+COUNTA(G145:J145)-COUNT(G145:J145))&gt;0,"Avance fuera de rango 0-100%"&amp;" · ","")&amp;IF(OR(AND(H145&lt;&gt;"",H145&lt;G145),AND(I145&lt;&gt;"",I145&lt;MAX(G145:H145)),AND(J145&lt;&gt;"",J145&lt;MAX(G145:I145))),"Avance semanal decreciente"&amp;" · ","")&amp;IF(AND(ISNUMBER(E145),E145&lt;FechaRef,N(K145)&lt;1),"Vencida"&amp;" · ","")&amp;IF(AND(ObsObligatoria="Sí",ISNUMBER(E145),E145&lt;FechaRef,N(K145)&lt;1,M145=""),"Vencida sin observación"&amp;" · ",""))-3)))</f>
        <v/>
      </c>
      <c r="O145" s="67">
        <f>IF(NOT((COUNTA($B145:$J145)+COUNTA($M145))&gt;0),"",IF(ISNUMBER($D145),DATE(YEAR($D145),MONTH($D145),1),IF(ISNUMBER($E145),DATE(YEAR($E145),MONTH($E145),1),MesCiclo)))</f>
        <v/>
      </c>
      <c r="P145" s="68">
        <f>IF(OR($O145="",$O145&lt;&gt;MesCiclo),"",COUNTIF($O$5:$O145,MesCiclo))</f>
        <v/>
      </c>
    </row>
    <row r="146">
      <c r="A146" s="60">
        <f>IF(NOT((COUNTA($B146:$J146)+COUNTA($M146))&gt;0),"",COUNTIFS($L$5:$L146,"?*",$O$5:$O146,$O146))</f>
        <v/>
      </c>
      <c r="B146" s="61" t="n"/>
      <c r="C146" s="61" t="n"/>
      <c r="D146" s="62" t="n"/>
      <c r="E146" s="62" t="n"/>
      <c r="F146" s="63" t="n"/>
      <c r="G146" s="64" t="n"/>
      <c r="H146" s="64" t="n"/>
      <c r="I146" s="64" t="n"/>
      <c r="J146" s="64" t="n"/>
      <c r="K146" s="65">
        <f>IF(NOT((COUNTA($B146:$J146)+COUNTA($M146))&gt;0),"",IFERROR(LOOKUP(2,1/(G146:J146&lt;&gt;""),G146:J146),0))</f>
        <v/>
      </c>
      <c r="L146" s="60">
        <f>IF(K146="","",IF(K146&gt;=1,"Completado",IF(K146&gt;0,"En curso","Pendiente")))</f>
        <v/>
      </c>
      <c r="M146" s="61" t="n"/>
      <c r="N146" s="66">
        <f>IF(NOT((COUNTA($B146:$J146)+COUNTA($M146))&gt;0),"",IF((IF(B146="","Macroactividad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 OK","⚠ "&amp;LEFT(IF(B146="","Macroactividad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",""),LEN(IF(B146="","Macroactividad vacía"&amp;" · ","")&amp;IF(C146="","Sin responsable"&amp;" · ","")&amp;IF(D146="","Sin fecha de inicio"&amp;" · ","")&amp;IF(E146="","Sin fecha límite"&amp;" · ","")&amp;IF(OR(AND(D146&lt;&gt;"",NOT(ISNUMBER(D146))),AND(E146&lt;&gt;"",NOT(ISNUMBER(E146)))),"Fecha no válida"&amp;" · ","")&amp;IF(AND(ISNUMBER(D146),ISNUMBER(E146),D146&gt;E146),"Inicio posterior a fecha límite"&amp;" · ","")&amp;IF(F146="","Peso vacío"&amp;" · ","")&amp;IF(AND(F146&lt;&gt;"",OR(NOT(ISNUMBER(F146)),F146&lt;=0,F146&gt;1)),"Peso fuera de rango"&amp;" · ","")&amp;IF(ABS(SUMIFS($F$5:$F$1000,$O$5:$O$1000,$O146)-1)&gt;0.0001,"Pesos del mes suman "&amp;TEXT(SUMIFS($F$5:$F$1000,$O$5:$O$1000,$O146),"0%")&amp;" · ","")&amp;IF((COUNTIF(G146:J146,"&gt;1")+COUNTIF(G146:J146,"&lt;0")+COUNTA(G146:J146)-COUNT(G146:J146))&gt;0,"Avance fuera de rango 0-100%"&amp;" · ","")&amp;IF(OR(AND(H146&lt;&gt;"",H146&lt;G146),AND(I146&lt;&gt;"",I146&lt;MAX(G146:H146)),AND(J146&lt;&gt;"",J146&lt;MAX(G146:I146))),"Avance semanal decreciente"&amp;" · ","")&amp;IF(AND(ISNUMBER(E146),E146&lt;FechaRef,N(K146)&lt;1),"Vencida"&amp;" · ","")&amp;IF(AND(ObsObligatoria="Sí",ISNUMBER(E146),E146&lt;FechaRef,N(K146)&lt;1,M146=""),"Vencida sin observación"&amp;" · ",""))-3)))</f>
        <v/>
      </c>
      <c r="O146" s="67">
        <f>IF(NOT((COUNTA($B146:$J146)+COUNTA($M146))&gt;0),"",IF(ISNUMBER($D146),DATE(YEAR($D146),MONTH($D146),1),IF(ISNUMBER($E146),DATE(YEAR($E146),MONTH($E146),1),MesCiclo)))</f>
        <v/>
      </c>
      <c r="P146" s="68">
        <f>IF(OR($O146="",$O146&lt;&gt;MesCiclo),"",COUNTIF($O$5:$O146,MesCiclo))</f>
        <v/>
      </c>
    </row>
    <row r="147">
      <c r="A147" s="60">
        <f>IF(NOT((COUNTA($B147:$J147)+COUNTA($M147))&gt;0),"",COUNTIFS($L$5:$L147,"?*",$O$5:$O147,$O147))</f>
        <v/>
      </c>
      <c r="B147" s="61" t="n"/>
      <c r="C147" s="61" t="n"/>
      <c r="D147" s="62" t="n"/>
      <c r="E147" s="62" t="n"/>
      <c r="F147" s="63" t="n"/>
      <c r="G147" s="64" t="n"/>
      <c r="H147" s="64" t="n"/>
      <c r="I147" s="64" t="n"/>
      <c r="J147" s="64" t="n"/>
      <c r="K147" s="65">
        <f>IF(NOT((COUNTA($B147:$J147)+COUNTA($M147))&gt;0),"",IFERROR(LOOKUP(2,1/(G147:J147&lt;&gt;""),G147:J147),0))</f>
        <v/>
      </c>
      <c r="L147" s="60">
        <f>IF(K147="","",IF(K147&gt;=1,"Completado",IF(K147&gt;0,"En curso","Pendiente")))</f>
        <v/>
      </c>
      <c r="M147" s="61" t="n"/>
      <c r="N147" s="66">
        <f>IF(NOT((COUNTA($B147:$J147)+COUNTA($M147))&gt;0),"",IF((IF(B147="","Macroactividad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 OK","⚠ "&amp;LEFT(IF(B147="","Macroactividad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",""),LEN(IF(B147="","Macroactividad vacía"&amp;" · ","")&amp;IF(C147="","Sin responsable"&amp;" · ","")&amp;IF(D147="","Sin fecha de inicio"&amp;" · ","")&amp;IF(E147="","Sin fecha límite"&amp;" · ","")&amp;IF(OR(AND(D147&lt;&gt;"",NOT(ISNUMBER(D147))),AND(E147&lt;&gt;"",NOT(ISNUMBER(E147)))),"Fecha no válida"&amp;" · ","")&amp;IF(AND(ISNUMBER(D147),ISNUMBER(E147),D147&gt;E147),"Inicio posterior a fecha límite"&amp;" · ","")&amp;IF(F147="","Peso vacío"&amp;" · ","")&amp;IF(AND(F147&lt;&gt;"",OR(NOT(ISNUMBER(F147)),F147&lt;=0,F147&gt;1)),"Peso fuera de rango"&amp;" · ","")&amp;IF(ABS(SUMIFS($F$5:$F$1000,$O$5:$O$1000,$O147)-1)&gt;0.0001,"Pesos del mes suman "&amp;TEXT(SUMIFS($F$5:$F$1000,$O$5:$O$1000,$O147),"0%")&amp;" · ","")&amp;IF((COUNTIF(G147:J147,"&gt;1")+COUNTIF(G147:J147,"&lt;0")+COUNTA(G147:J147)-COUNT(G147:J147))&gt;0,"Avance fuera de rango 0-100%"&amp;" · ","")&amp;IF(OR(AND(H147&lt;&gt;"",H147&lt;G147),AND(I147&lt;&gt;"",I147&lt;MAX(G147:H147)),AND(J147&lt;&gt;"",J147&lt;MAX(G147:I147))),"Avance semanal decreciente"&amp;" · ","")&amp;IF(AND(ISNUMBER(E147),E147&lt;FechaRef,N(K147)&lt;1),"Vencida"&amp;" · ","")&amp;IF(AND(ObsObligatoria="Sí",ISNUMBER(E147),E147&lt;FechaRef,N(K147)&lt;1,M147=""),"Vencida sin observación"&amp;" · ",""))-3)))</f>
        <v/>
      </c>
      <c r="O147" s="67">
        <f>IF(NOT((COUNTA($B147:$J147)+COUNTA($M147))&gt;0),"",IF(ISNUMBER($D147),DATE(YEAR($D147),MONTH($D147),1),IF(ISNUMBER($E147),DATE(YEAR($E147),MONTH($E147),1),MesCiclo)))</f>
        <v/>
      </c>
      <c r="P147" s="68">
        <f>IF(OR($O147="",$O147&lt;&gt;MesCiclo),"",COUNTIF($O$5:$O147,MesCiclo))</f>
        <v/>
      </c>
    </row>
    <row r="148">
      <c r="A148" s="60">
        <f>IF(NOT((COUNTA($B148:$J148)+COUNTA($M148))&gt;0),"",COUNTIFS($L$5:$L148,"?*",$O$5:$O148,$O148))</f>
        <v/>
      </c>
      <c r="B148" s="61" t="n"/>
      <c r="C148" s="61" t="n"/>
      <c r="D148" s="62" t="n"/>
      <c r="E148" s="62" t="n"/>
      <c r="F148" s="63" t="n"/>
      <c r="G148" s="64" t="n"/>
      <c r="H148" s="64" t="n"/>
      <c r="I148" s="64" t="n"/>
      <c r="J148" s="64" t="n"/>
      <c r="K148" s="65">
        <f>IF(NOT((COUNTA($B148:$J148)+COUNTA($M148))&gt;0),"",IFERROR(LOOKUP(2,1/(G148:J148&lt;&gt;""),G148:J148),0))</f>
        <v/>
      </c>
      <c r="L148" s="60">
        <f>IF(K148="","",IF(K148&gt;=1,"Completado",IF(K148&gt;0,"En curso","Pendiente")))</f>
        <v/>
      </c>
      <c r="M148" s="61" t="n"/>
      <c r="N148" s="66">
        <f>IF(NOT((COUNTA($B148:$J148)+COUNTA($M148))&gt;0),"",IF((IF(B148="","Macroactividad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 OK","⚠ "&amp;LEFT(IF(B148="","Macroactividad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",""),LEN(IF(B148="","Macroactividad vacía"&amp;" · ","")&amp;IF(C148="","Sin responsable"&amp;" · ","")&amp;IF(D148="","Sin fecha de inicio"&amp;" · ","")&amp;IF(E148="","Sin fecha límite"&amp;" · ","")&amp;IF(OR(AND(D148&lt;&gt;"",NOT(ISNUMBER(D148))),AND(E148&lt;&gt;"",NOT(ISNUMBER(E148)))),"Fecha no válida"&amp;" · ","")&amp;IF(AND(ISNUMBER(D148),ISNUMBER(E148),D148&gt;E148),"Inicio posterior a fecha límite"&amp;" · ","")&amp;IF(F148="","Peso vacío"&amp;" · ","")&amp;IF(AND(F148&lt;&gt;"",OR(NOT(ISNUMBER(F148)),F148&lt;=0,F148&gt;1)),"Peso fuera de rango"&amp;" · ","")&amp;IF(ABS(SUMIFS($F$5:$F$1000,$O$5:$O$1000,$O148)-1)&gt;0.0001,"Pesos del mes suman "&amp;TEXT(SUMIFS($F$5:$F$1000,$O$5:$O$1000,$O148),"0%")&amp;" · ","")&amp;IF((COUNTIF(G148:J148,"&gt;1")+COUNTIF(G148:J148,"&lt;0")+COUNTA(G148:J148)-COUNT(G148:J148))&gt;0,"Avance fuera de rango 0-100%"&amp;" · ","")&amp;IF(OR(AND(H148&lt;&gt;"",H148&lt;G148),AND(I148&lt;&gt;"",I148&lt;MAX(G148:H148)),AND(J148&lt;&gt;"",J148&lt;MAX(G148:I148))),"Avance semanal decreciente"&amp;" · ","")&amp;IF(AND(ISNUMBER(E148),E148&lt;FechaRef,N(K148)&lt;1),"Vencida"&amp;" · ","")&amp;IF(AND(ObsObligatoria="Sí",ISNUMBER(E148),E148&lt;FechaRef,N(K148)&lt;1,M148=""),"Vencida sin observación"&amp;" · ",""))-3)))</f>
        <v/>
      </c>
      <c r="O148" s="67">
        <f>IF(NOT((COUNTA($B148:$J148)+COUNTA($M148))&gt;0),"",IF(ISNUMBER($D148),DATE(YEAR($D148),MONTH($D148),1),IF(ISNUMBER($E148),DATE(YEAR($E148),MONTH($E148),1),MesCiclo)))</f>
        <v/>
      </c>
      <c r="P148" s="68">
        <f>IF(OR($O148="",$O148&lt;&gt;MesCiclo),"",COUNTIF($O$5:$O148,MesCiclo))</f>
        <v/>
      </c>
    </row>
    <row r="149">
      <c r="A149" s="60">
        <f>IF(NOT((COUNTA($B149:$J149)+COUNTA($M149))&gt;0),"",COUNTIFS($L$5:$L149,"?*",$O$5:$O149,$O149))</f>
        <v/>
      </c>
      <c r="B149" s="61" t="n"/>
      <c r="C149" s="61" t="n"/>
      <c r="D149" s="62" t="n"/>
      <c r="E149" s="62" t="n"/>
      <c r="F149" s="63" t="n"/>
      <c r="G149" s="64" t="n"/>
      <c r="H149" s="64" t="n"/>
      <c r="I149" s="64" t="n"/>
      <c r="J149" s="64" t="n"/>
      <c r="K149" s="65">
        <f>IF(NOT((COUNTA($B149:$J149)+COUNTA($M149))&gt;0),"",IFERROR(LOOKUP(2,1/(G149:J149&lt;&gt;""),G149:J149),0))</f>
        <v/>
      </c>
      <c r="L149" s="60">
        <f>IF(K149="","",IF(K149&gt;=1,"Completado",IF(K149&gt;0,"En curso","Pendiente")))</f>
        <v/>
      </c>
      <c r="M149" s="61" t="n"/>
      <c r="N149" s="66">
        <f>IF(NOT((COUNTA($B149:$J149)+COUNTA($M149))&gt;0),"",IF((IF(B149="","Macroactividad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 OK","⚠ "&amp;LEFT(IF(B149="","Macroactividad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",""),LEN(IF(B149="","Macroactividad vacía"&amp;" · ","")&amp;IF(C149="","Sin responsable"&amp;" · ","")&amp;IF(D149="","Sin fecha de inicio"&amp;" · ","")&amp;IF(E149="","Sin fecha límite"&amp;" · ","")&amp;IF(OR(AND(D149&lt;&gt;"",NOT(ISNUMBER(D149))),AND(E149&lt;&gt;"",NOT(ISNUMBER(E149)))),"Fecha no válida"&amp;" · ","")&amp;IF(AND(ISNUMBER(D149),ISNUMBER(E149),D149&gt;E149),"Inicio posterior a fecha límite"&amp;" · ","")&amp;IF(F149="","Peso vacío"&amp;" · ","")&amp;IF(AND(F149&lt;&gt;"",OR(NOT(ISNUMBER(F149)),F149&lt;=0,F149&gt;1)),"Peso fuera de rango"&amp;" · ","")&amp;IF(ABS(SUMIFS($F$5:$F$1000,$O$5:$O$1000,$O149)-1)&gt;0.0001,"Pesos del mes suman "&amp;TEXT(SUMIFS($F$5:$F$1000,$O$5:$O$1000,$O149),"0%")&amp;" · ","")&amp;IF((COUNTIF(G149:J149,"&gt;1")+COUNTIF(G149:J149,"&lt;0")+COUNTA(G149:J149)-COUNT(G149:J149))&gt;0,"Avance fuera de rango 0-100%"&amp;" · ","")&amp;IF(OR(AND(H149&lt;&gt;"",H149&lt;G149),AND(I149&lt;&gt;"",I149&lt;MAX(G149:H149)),AND(J149&lt;&gt;"",J149&lt;MAX(G149:I149))),"Avance semanal decreciente"&amp;" · ","")&amp;IF(AND(ISNUMBER(E149),E149&lt;FechaRef,N(K149)&lt;1),"Vencida"&amp;" · ","")&amp;IF(AND(ObsObligatoria="Sí",ISNUMBER(E149),E149&lt;FechaRef,N(K149)&lt;1,M149=""),"Vencida sin observación"&amp;" · ",""))-3)))</f>
        <v/>
      </c>
      <c r="O149" s="67">
        <f>IF(NOT((COUNTA($B149:$J149)+COUNTA($M149))&gt;0),"",IF(ISNUMBER($D149),DATE(YEAR($D149),MONTH($D149),1),IF(ISNUMBER($E149),DATE(YEAR($E149),MONTH($E149),1),MesCiclo)))</f>
        <v/>
      </c>
      <c r="P149" s="68">
        <f>IF(OR($O149="",$O149&lt;&gt;MesCiclo),"",COUNTIF($O$5:$O149,MesCiclo))</f>
        <v/>
      </c>
    </row>
    <row r="150">
      <c r="A150" s="60">
        <f>IF(NOT((COUNTA($B150:$J150)+COUNTA($M150))&gt;0),"",COUNTIFS($L$5:$L150,"?*",$O$5:$O150,$O150))</f>
        <v/>
      </c>
      <c r="B150" s="61" t="n"/>
      <c r="C150" s="61" t="n"/>
      <c r="D150" s="62" t="n"/>
      <c r="E150" s="62" t="n"/>
      <c r="F150" s="63" t="n"/>
      <c r="G150" s="64" t="n"/>
      <c r="H150" s="64" t="n"/>
      <c r="I150" s="64" t="n"/>
      <c r="J150" s="64" t="n"/>
      <c r="K150" s="65">
        <f>IF(NOT((COUNTA($B150:$J150)+COUNTA($M150))&gt;0),"",IFERROR(LOOKUP(2,1/(G150:J150&lt;&gt;""),G150:J150),0))</f>
        <v/>
      </c>
      <c r="L150" s="60">
        <f>IF(K150="","",IF(K150&gt;=1,"Completado",IF(K150&gt;0,"En curso","Pendiente")))</f>
        <v/>
      </c>
      <c r="M150" s="61" t="n"/>
      <c r="N150" s="66">
        <f>IF(NOT((COUNTA($B150:$J150)+COUNTA($M150))&gt;0),"",IF((IF(B150="","Macroactividad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 OK","⚠ "&amp;LEFT(IF(B150="","Macroactividad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",""),LEN(IF(B150="","Macroactividad vacía"&amp;" · ","")&amp;IF(C150="","Sin responsable"&amp;" · ","")&amp;IF(D150="","Sin fecha de inicio"&amp;" · ","")&amp;IF(E150="","Sin fecha límite"&amp;" · ","")&amp;IF(OR(AND(D150&lt;&gt;"",NOT(ISNUMBER(D150))),AND(E150&lt;&gt;"",NOT(ISNUMBER(E150)))),"Fecha no válida"&amp;" · ","")&amp;IF(AND(ISNUMBER(D150),ISNUMBER(E150),D150&gt;E150),"Inicio posterior a fecha límite"&amp;" · ","")&amp;IF(F150="","Peso vacío"&amp;" · ","")&amp;IF(AND(F150&lt;&gt;"",OR(NOT(ISNUMBER(F150)),F150&lt;=0,F150&gt;1)),"Peso fuera de rango"&amp;" · ","")&amp;IF(ABS(SUMIFS($F$5:$F$1000,$O$5:$O$1000,$O150)-1)&gt;0.0001,"Pesos del mes suman "&amp;TEXT(SUMIFS($F$5:$F$1000,$O$5:$O$1000,$O150),"0%")&amp;" · ","")&amp;IF((COUNTIF(G150:J150,"&gt;1")+COUNTIF(G150:J150,"&lt;0")+COUNTA(G150:J150)-COUNT(G150:J150))&gt;0,"Avance fuera de rango 0-100%"&amp;" · ","")&amp;IF(OR(AND(H150&lt;&gt;"",H150&lt;G150),AND(I150&lt;&gt;"",I150&lt;MAX(G150:H150)),AND(J150&lt;&gt;"",J150&lt;MAX(G150:I150))),"Avance semanal decreciente"&amp;" · ","")&amp;IF(AND(ISNUMBER(E150),E150&lt;FechaRef,N(K150)&lt;1),"Vencida"&amp;" · ","")&amp;IF(AND(ObsObligatoria="Sí",ISNUMBER(E150),E150&lt;FechaRef,N(K150)&lt;1,M150=""),"Vencida sin observación"&amp;" · ",""))-3)))</f>
        <v/>
      </c>
      <c r="O150" s="67">
        <f>IF(NOT((COUNTA($B150:$J150)+COUNTA($M150))&gt;0),"",IF(ISNUMBER($D150),DATE(YEAR($D150),MONTH($D150),1),IF(ISNUMBER($E150),DATE(YEAR($E150),MONTH($E150),1),MesCiclo)))</f>
        <v/>
      </c>
      <c r="P150" s="68">
        <f>IF(OR($O150="",$O150&lt;&gt;MesCiclo),"",COUNTIF($O$5:$O150,MesCiclo))</f>
        <v/>
      </c>
    </row>
    <row r="151">
      <c r="A151" s="60">
        <f>IF(NOT((COUNTA($B151:$J151)+COUNTA($M151))&gt;0),"",COUNTIFS($L$5:$L151,"?*",$O$5:$O151,$O151))</f>
        <v/>
      </c>
      <c r="B151" s="61" t="n"/>
      <c r="C151" s="61" t="n"/>
      <c r="D151" s="62" t="n"/>
      <c r="E151" s="62" t="n"/>
      <c r="F151" s="63" t="n"/>
      <c r="G151" s="64" t="n"/>
      <c r="H151" s="64" t="n"/>
      <c r="I151" s="64" t="n"/>
      <c r="J151" s="64" t="n"/>
      <c r="K151" s="65">
        <f>IF(NOT((COUNTA($B151:$J151)+COUNTA($M151))&gt;0),"",IFERROR(LOOKUP(2,1/(G151:J151&lt;&gt;""),G151:J151),0))</f>
        <v/>
      </c>
      <c r="L151" s="60">
        <f>IF(K151="","",IF(K151&gt;=1,"Completado",IF(K151&gt;0,"En curso","Pendiente")))</f>
        <v/>
      </c>
      <c r="M151" s="61" t="n"/>
      <c r="N151" s="66">
        <f>IF(NOT((COUNTA($B151:$J151)+COUNTA($M151))&gt;0),"",IF((IF(B151="","Macroactividad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 OK","⚠ "&amp;LEFT(IF(B151="","Macroactividad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",""),LEN(IF(B151="","Macroactividad vacía"&amp;" · ","")&amp;IF(C151="","Sin responsable"&amp;" · ","")&amp;IF(D151="","Sin fecha de inicio"&amp;" · ","")&amp;IF(E151="","Sin fecha límite"&amp;" · ","")&amp;IF(OR(AND(D151&lt;&gt;"",NOT(ISNUMBER(D151))),AND(E151&lt;&gt;"",NOT(ISNUMBER(E151)))),"Fecha no válida"&amp;" · ","")&amp;IF(AND(ISNUMBER(D151),ISNUMBER(E151),D151&gt;E151),"Inicio posterior a fecha límite"&amp;" · ","")&amp;IF(F151="","Peso vacío"&amp;" · ","")&amp;IF(AND(F151&lt;&gt;"",OR(NOT(ISNUMBER(F151)),F151&lt;=0,F151&gt;1)),"Peso fuera de rango"&amp;" · ","")&amp;IF(ABS(SUMIFS($F$5:$F$1000,$O$5:$O$1000,$O151)-1)&gt;0.0001,"Pesos del mes suman "&amp;TEXT(SUMIFS($F$5:$F$1000,$O$5:$O$1000,$O151),"0%")&amp;" · ","")&amp;IF((COUNTIF(G151:J151,"&gt;1")+COUNTIF(G151:J151,"&lt;0")+COUNTA(G151:J151)-COUNT(G151:J151))&gt;0,"Avance fuera de rango 0-100%"&amp;" · ","")&amp;IF(OR(AND(H151&lt;&gt;"",H151&lt;G151),AND(I151&lt;&gt;"",I151&lt;MAX(G151:H151)),AND(J151&lt;&gt;"",J151&lt;MAX(G151:I151))),"Avance semanal decreciente"&amp;" · ","")&amp;IF(AND(ISNUMBER(E151),E151&lt;FechaRef,N(K151)&lt;1),"Vencida"&amp;" · ","")&amp;IF(AND(ObsObligatoria="Sí",ISNUMBER(E151),E151&lt;FechaRef,N(K151)&lt;1,M151=""),"Vencida sin observación"&amp;" · ",""))-3)))</f>
        <v/>
      </c>
      <c r="O151" s="67">
        <f>IF(NOT((COUNTA($B151:$J151)+COUNTA($M151))&gt;0),"",IF(ISNUMBER($D151),DATE(YEAR($D151),MONTH($D151),1),IF(ISNUMBER($E151),DATE(YEAR($E151),MONTH($E151),1),MesCiclo)))</f>
        <v/>
      </c>
      <c r="P151" s="68">
        <f>IF(OR($O151="",$O151&lt;&gt;MesCiclo),"",COUNTIF($O$5:$O151,MesCiclo))</f>
        <v/>
      </c>
    </row>
    <row r="152">
      <c r="A152" s="60">
        <f>IF(NOT((COUNTA($B152:$J152)+COUNTA($M152))&gt;0),"",COUNTIFS($L$5:$L152,"?*",$O$5:$O152,$O152))</f>
        <v/>
      </c>
      <c r="B152" s="61" t="n"/>
      <c r="C152" s="61" t="n"/>
      <c r="D152" s="62" t="n"/>
      <c r="E152" s="62" t="n"/>
      <c r="F152" s="63" t="n"/>
      <c r="G152" s="64" t="n"/>
      <c r="H152" s="64" t="n"/>
      <c r="I152" s="64" t="n"/>
      <c r="J152" s="64" t="n"/>
      <c r="K152" s="65">
        <f>IF(NOT((COUNTA($B152:$J152)+COUNTA($M152))&gt;0),"",IFERROR(LOOKUP(2,1/(G152:J152&lt;&gt;""),G152:J152),0))</f>
        <v/>
      </c>
      <c r="L152" s="60">
        <f>IF(K152="","",IF(K152&gt;=1,"Completado",IF(K152&gt;0,"En curso","Pendiente")))</f>
        <v/>
      </c>
      <c r="M152" s="61" t="n"/>
      <c r="N152" s="66">
        <f>IF(NOT((COUNTA($B152:$J152)+COUNTA($M152))&gt;0),"",IF((IF(B152="","Macroactividad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 OK","⚠ "&amp;LEFT(IF(B152="","Macroactividad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",""),LEN(IF(B152="","Macroactividad vacía"&amp;" · ","")&amp;IF(C152="","Sin responsable"&amp;" · ","")&amp;IF(D152="","Sin fecha de inicio"&amp;" · ","")&amp;IF(E152="","Sin fecha límite"&amp;" · ","")&amp;IF(OR(AND(D152&lt;&gt;"",NOT(ISNUMBER(D152))),AND(E152&lt;&gt;"",NOT(ISNUMBER(E152)))),"Fecha no válida"&amp;" · ","")&amp;IF(AND(ISNUMBER(D152),ISNUMBER(E152),D152&gt;E152),"Inicio posterior a fecha límite"&amp;" · ","")&amp;IF(F152="","Peso vacío"&amp;" · ","")&amp;IF(AND(F152&lt;&gt;"",OR(NOT(ISNUMBER(F152)),F152&lt;=0,F152&gt;1)),"Peso fuera de rango"&amp;" · ","")&amp;IF(ABS(SUMIFS($F$5:$F$1000,$O$5:$O$1000,$O152)-1)&gt;0.0001,"Pesos del mes suman "&amp;TEXT(SUMIFS($F$5:$F$1000,$O$5:$O$1000,$O152),"0%")&amp;" · ","")&amp;IF((COUNTIF(G152:J152,"&gt;1")+COUNTIF(G152:J152,"&lt;0")+COUNTA(G152:J152)-COUNT(G152:J152))&gt;0,"Avance fuera de rango 0-100%"&amp;" · ","")&amp;IF(OR(AND(H152&lt;&gt;"",H152&lt;G152),AND(I152&lt;&gt;"",I152&lt;MAX(G152:H152)),AND(J152&lt;&gt;"",J152&lt;MAX(G152:I152))),"Avance semanal decreciente"&amp;" · ","")&amp;IF(AND(ISNUMBER(E152),E152&lt;FechaRef,N(K152)&lt;1),"Vencida"&amp;" · ","")&amp;IF(AND(ObsObligatoria="Sí",ISNUMBER(E152),E152&lt;FechaRef,N(K152)&lt;1,M152=""),"Vencida sin observación"&amp;" · ",""))-3)))</f>
        <v/>
      </c>
      <c r="O152" s="67">
        <f>IF(NOT((COUNTA($B152:$J152)+COUNTA($M152))&gt;0),"",IF(ISNUMBER($D152),DATE(YEAR($D152),MONTH($D152),1),IF(ISNUMBER($E152),DATE(YEAR($E152),MONTH($E152),1),MesCiclo)))</f>
        <v/>
      </c>
      <c r="P152" s="68">
        <f>IF(OR($O152="",$O152&lt;&gt;MesCiclo),"",COUNTIF($O$5:$O152,MesCiclo))</f>
        <v/>
      </c>
    </row>
    <row r="153">
      <c r="A153" s="60">
        <f>IF(NOT((COUNTA($B153:$J153)+COUNTA($M153))&gt;0),"",COUNTIFS($L$5:$L153,"?*",$O$5:$O153,$O153))</f>
        <v/>
      </c>
      <c r="B153" s="61" t="n"/>
      <c r="C153" s="61" t="n"/>
      <c r="D153" s="62" t="n"/>
      <c r="E153" s="62" t="n"/>
      <c r="F153" s="63" t="n"/>
      <c r="G153" s="64" t="n"/>
      <c r="H153" s="64" t="n"/>
      <c r="I153" s="64" t="n"/>
      <c r="J153" s="64" t="n"/>
      <c r="K153" s="65">
        <f>IF(NOT((COUNTA($B153:$J153)+COUNTA($M153))&gt;0),"",IFERROR(LOOKUP(2,1/(G153:J153&lt;&gt;""),G153:J153),0))</f>
        <v/>
      </c>
      <c r="L153" s="60">
        <f>IF(K153="","",IF(K153&gt;=1,"Completado",IF(K153&gt;0,"En curso","Pendiente")))</f>
        <v/>
      </c>
      <c r="M153" s="61" t="n"/>
      <c r="N153" s="66">
        <f>IF(NOT((COUNTA($B153:$J153)+COUNTA($M153))&gt;0),"",IF((IF(B153="","Macroactividad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 OK","⚠ "&amp;LEFT(IF(B153="","Macroactividad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",""),LEN(IF(B153="","Macroactividad vacía"&amp;" · ","")&amp;IF(C153="","Sin responsable"&amp;" · ","")&amp;IF(D153="","Sin fecha de inicio"&amp;" · ","")&amp;IF(E153="","Sin fecha límite"&amp;" · ","")&amp;IF(OR(AND(D153&lt;&gt;"",NOT(ISNUMBER(D153))),AND(E153&lt;&gt;"",NOT(ISNUMBER(E153)))),"Fecha no válida"&amp;" · ","")&amp;IF(AND(ISNUMBER(D153),ISNUMBER(E153),D153&gt;E153),"Inicio posterior a fecha límite"&amp;" · ","")&amp;IF(F153="","Peso vacío"&amp;" · ","")&amp;IF(AND(F153&lt;&gt;"",OR(NOT(ISNUMBER(F153)),F153&lt;=0,F153&gt;1)),"Peso fuera de rango"&amp;" · ","")&amp;IF(ABS(SUMIFS($F$5:$F$1000,$O$5:$O$1000,$O153)-1)&gt;0.0001,"Pesos del mes suman "&amp;TEXT(SUMIFS($F$5:$F$1000,$O$5:$O$1000,$O153),"0%")&amp;" · ","")&amp;IF((COUNTIF(G153:J153,"&gt;1")+COUNTIF(G153:J153,"&lt;0")+COUNTA(G153:J153)-COUNT(G153:J153))&gt;0,"Avance fuera de rango 0-100%"&amp;" · ","")&amp;IF(OR(AND(H153&lt;&gt;"",H153&lt;G153),AND(I153&lt;&gt;"",I153&lt;MAX(G153:H153)),AND(J153&lt;&gt;"",J153&lt;MAX(G153:I153))),"Avance semanal decreciente"&amp;" · ","")&amp;IF(AND(ISNUMBER(E153),E153&lt;FechaRef,N(K153)&lt;1),"Vencida"&amp;" · ","")&amp;IF(AND(ObsObligatoria="Sí",ISNUMBER(E153),E153&lt;FechaRef,N(K153)&lt;1,M153=""),"Vencida sin observación"&amp;" · ",""))-3)))</f>
        <v/>
      </c>
      <c r="O153" s="67">
        <f>IF(NOT((COUNTA($B153:$J153)+COUNTA($M153))&gt;0),"",IF(ISNUMBER($D153),DATE(YEAR($D153),MONTH($D153),1),IF(ISNUMBER($E153),DATE(YEAR($E153),MONTH($E153),1),MesCiclo)))</f>
        <v/>
      </c>
      <c r="P153" s="68">
        <f>IF(OR($O153="",$O153&lt;&gt;MesCiclo),"",COUNTIF($O$5:$O153,MesCiclo))</f>
        <v/>
      </c>
    </row>
    <row r="154">
      <c r="A154" s="60">
        <f>IF(NOT((COUNTA($B154:$J154)+COUNTA($M154))&gt;0),"",COUNTIFS($L$5:$L154,"?*",$O$5:$O154,$O154))</f>
        <v/>
      </c>
      <c r="B154" s="61" t="n"/>
      <c r="C154" s="61" t="n"/>
      <c r="D154" s="62" t="n"/>
      <c r="E154" s="62" t="n"/>
      <c r="F154" s="63" t="n"/>
      <c r="G154" s="64" t="n"/>
      <c r="H154" s="64" t="n"/>
      <c r="I154" s="64" t="n"/>
      <c r="J154" s="64" t="n"/>
      <c r="K154" s="65">
        <f>IF(NOT((COUNTA($B154:$J154)+COUNTA($M154))&gt;0),"",IFERROR(LOOKUP(2,1/(G154:J154&lt;&gt;""),G154:J154),0))</f>
        <v/>
      </c>
      <c r="L154" s="60">
        <f>IF(K154="","",IF(K154&gt;=1,"Completado",IF(K154&gt;0,"En curso","Pendiente")))</f>
        <v/>
      </c>
      <c r="M154" s="61" t="n"/>
      <c r="N154" s="66">
        <f>IF(NOT((COUNTA($B154:$J154)+COUNTA($M154))&gt;0),"",IF((IF(B154="","Macroactividad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 OK","⚠ "&amp;LEFT(IF(B154="","Macroactividad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",""),LEN(IF(B154="","Macroactividad vacía"&amp;" · ","")&amp;IF(C154="","Sin responsable"&amp;" · ","")&amp;IF(D154="","Sin fecha de inicio"&amp;" · ","")&amp;IF(E154="","Sin fecha límite"&amp;" · ","")&amp;IF(OR(AND(D154&lt;&gt;"",NOT(ISNUMBER(D154))),AND(E154&lt;&gt;"",NOT(ISNUMBER(E154)))),"Fecha no válida"&amp;" · ","")&amp;IF(AND(ISNUMBER(D154),ISNUMBER(E154),D154&gt;E154),"Inicio posterior a fecha límite"&amp;" · ","")&amp;IF(F154="","Peso vacío"&amp;" · ","")&amp;IF(AND(F154&lt;&gt;"",OR(NOT(ISNUMBER(F154)),F154&lt;=0,F154&gt;1)),"Peso fuera de rango"&amp;" · ","")&amp;IF(ABS(SUMIFS($F$5:$F$1000,$O$5:$O$1000,$O154)-1)&gt;0.0001,"Pesos del mes suman "&amp;TEXT(SUMIFS($F$5:$F$1000,$O$5:$O$1000,$O154),"0%")&amp;" · ","")&amp;IF((COUNTIF(G154:J154,"&gt;1")+COUNTIF(G154:J154,"&lt;0")+COUNTA(G154:J154)-COUNT(G154:J154))&gt;0,"Avance fuera de rango 0-100%"&amp;" · ","")&amp;IF(OR(AND(H154&lt;&gt;"",H154&lt;G154),AND(I154&lt;&gt;"",I154&lt;MAX(G154:H154)),AND(J154&lt;&gt;"",J154&lt;MAX(G154:I154))),"Avance semanal decreciente"&amp;" · ","")&amp;IF(AND(ISNUMBER(E154),E154&lt;FechaRef,N(K154)&lt;1),"Vencida"&amp;" · ","")&amp;IF(AND(ObsObligatoria="Sí",ISNUMBER(E154),E154&lt;FechaRef,N(K154)&lt;1,M154=""),"Vencida sin observación"&amp;" · ",""))-3)))</f>
        <v/>
      </c>
      <c r="O154" s="67">
        <f>IF(NOT((COUNTA($B154:$J154)+COUNTA($M154))&gt;0),"",IF(ISNUMBER($D154),DATE(YEAR($D154),MONTH($D154),1),IF(ISNUMBER($E154),DATE(YEAR($E154),MONTH($E154),1),MesCiclo)))</f>
        <v/>
      </c>
      <c r="P154" s="68">
        <f>IF(OR($O154="",$O154&lt;&gt;MesCiclo),"",COUNTIF($O$5:$O154,MesCiclo))</f>
        <v/>
      </c>
    </row>
    <row r="155">
      <c r="A155" s="60">
        <f>IF(NOT((COUNTA($B155:$J155)+COUNTA($M155))&gt;0),"",COUNTIFS($L$5:$L155,"?*",$O$5:$O155,$O155))</f>
        <v/>
      </c>
      <c r="B155" s="61" t="n"/>
      <c r="C155" s="61" t="n"/>
      <c r="D155" s="62" t="n"/>
      <c r="E155" s="62" t="n"/>
      <c r="F155" s="63" t="n"/>
      <c r="G155" s="64" t="n"/>
      <c r="H155" s="64" t="n"/>
      <c r="I155" s="64" t="n"/>
      <c r="J155" s="64" t="n"/>
      <c r="K155" s="65">
        <f>IF(NOT((COUNTA($B155:$J155)+COUNTA($M155))&gt;0),"",IFERROR(LOOKUP(2,1/(G155:J155&lt;&gt;""),G155:J155),0))</f>
        <v/>
      </c>
      <c r="L155" s="60">
        <f>IF(K155="","",IF(K155&gt;=1,"Completado",IF(K155&gt;0,"En curso","Pendiente")))</f>
        <v/>
      </c>
      <c r="M155" s="61" t="n"/>
      <c r="N155" s="66">
        <f>IF(NOT((COUNTA($B155:$J155)+COUNTA($M155))&gt;0),"",IF((IF(B155="","Macroactividad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 OK","⚠ "&amp;LEFT(IF(B155="","Macroactividad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",""),LEN(IF(B155="","Macroactividad vacía"&amp;" · ","")&amp;IF(C155="","Sin responsable"&amp;" · ","")&amp;IF(D155="","Sin fecha de inicio"&amp;" · ","")&amp;IF(E155="","Sin fecha límite"&amp;" · ","")&amp;IF(OR(AND(D155&lt;&gt;"",NOT(ISNUMBER(D155))),AND(E155&lt;&gt;"",NOT(ISNUMBER(E155)))),"Fecha no válida"&amp;" · ","")&amp;IF(AND(ISNUMBER(D155),ISNUMBER(E155),D155&gt;E155),"Inicio posterior a fecha límite"&amp;" · ","")&amp;IF(F155="","Peso vacío"&amp;" · ","")&amp;IF(AND(F155&lt;&gt;"",OR(NOT(ISNUMBER(F155)),F155&lt;=0,F155&gt;1)),"Peso fuera de rango"&amp;" · ","")&amp;IF(ABS(SUMIFS($F$5:$F$1000,$O$5:$O$1000,$O155)-1)&gt;0.0001,"Pesos del mes suman "&amp;TEXT(SUMIFS($F$5:$F$1000,$O$5:$O$1000,$O155),"0%")&amp;" · ","")&amp;IF((COUNTIF(G155:J155,"&gt;1")+COUNTIF(G155:J155,"&lt;0")+COUNTA(G155:J155)-COUNT(G155:J155))&gt;0,"Avance fuera de rango 0-100%"&amp;" · ","")&amp;IF(OR(AND(H155&lt;&gt;"",H155&lt;G155),AND(I155&lt;&gt;"",I155&lt;MAX(G155:H155)),AND(J155&lt;&gt;"",J155&lt;MAX(G155:I155))),"Avance semanal decreciente"&amp;" · ","")&amp;IF(AND(ISNUMBER(E155),E155&lt;FechaRef,N(K155)&lt;1),"Vencida"&amp;" · ","")&amp;IF(AND(ObsObligatoria="Sí",ISNUMBER(E155),E155&lt;FechaRef,N(K155)&lt;1,M155=""),"Vencida sin observación"&amp;" · ",""))-3)))</f>
        <v/>
      </c>
      <c r="O155" s="67">
        <f>IF(NOT((COUNTA($B155:$J155)+COUNTA($M155))&gt;0),"",IF(ISNUMBER($D155),DATE(YEAR($D155),MONTH($D155),1),IF(ISNUMBER($E155),DATE(YEAR($E155),MONTH($E155),1),MesCiclo)))</f>
        <v/>
      </c>
      <c r="P155" s="68">
        <f>IF(OR($O155="",$O155&lt;&gt;MesCiclo),"",COUNTIF($O$5:$O155,MesCiclo))</f>
        <v/>
      </c>
    </row>
    <row r="156">
      <c r="A156" s="60">
        <f>IF(NOT((COUNTA($B156:$J156)+COUNTA($M156))&gt;0),"",COUNTIFS($L$5:$L156,"?*",$O$5:$O156,$O156))</f>
        <v/>
      </c>
      <c r="B156" s="61" t="n"/>
      <c r="C156" s="61" t="n"/>
      <c r="D156" s="62" t="n"/>
      <c r="E156" s="62" t="n"/>
      <c r="F156" s="63" t="n"/>
      <c r="G156" s="64" t="n"/>
      <c r="H156" s="64" t="n"/>
      <c r="I156" s="64" t="n"/>
      <c r="J156" s="64" t="n"/>
      <c r="K156" s="65">
        <f>IF(NOT((COUNTA($B156:$J156)+COUNTA($M156))&gt;0),"",IFERROR(LOOKUP(2,1/(G156:J156&lt;&gt;""),G156:J156),0))</f>
        <v/>
      </c>
      <c r="L156" s="60">
        <f>IF(K156="","",IF(K156&gt;=1,"Completado",IF(K156&gt;0,"En curso","Pendiente")))</f>
        <v/>
      </c>
      <c r="M156" s="61" t="n"/>
      <c r="N156" s="66">
        <f>IF(NOT((COUNTA($B156:$J156)+COUNTA($M156))&gt;0),"",IF((IF(B156="","Macroactividad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 OK","⚠ "&amp;LEFT(IF(B156="","Macroactividad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",""),LEN(IF(B156="","Macroactividad vacía"&amp;" · ","")&amp;IF(C156="","Sin responsable"&amp;" · ","")&amp;IF(D156="","Sin fecha de inicio"&amp;" · ","")&amp;IF(E156="","Sin fecha límite"&amp;" · ","")&amp;IF(OR(AND(D156&lt;&gt;"",NOT(ISNUMBER(D156))),AND(E156&lt;&gt;"",NOT(ISNUMBER(E156)))),"Fecha no válida"&amp;" · ","")&amp;IF(AND(ISNUMBER(D156),ISNUMBER(E156),D156&gt;E156),"Inicio posterior a fecha límite"&amp;" · ","")&amp;IF(F156="","Peso vacío"&amp;" · ","")&amp;IF(AND(F156&lt;&gt;"",OR(NOT(ISNUMBER(F156)),F156&lt;=0,F156&gt;1)),"Peso fuera de rango"&amp;" · ","")&amp;IF(ABS(SUMIFS($F$5:$F$1000,$O$5:$O$1000,$O156)-1)&gt;0.0001,"Pesos del mes suman "&amp;TEXT(SUMIFS($F$5:$F$1000,$O$5:$O$1000,$O156),"0%")&amp;" · ","")&amp;IF((COUNTIF(G156:J156,"&gt;1")+COUNTIF(G156:J156,"&lt;0")+COUNTA(G156:J156)-COUNT(G156:J156))&gt;0,"Avance fuera de rango 0-100%"&amp;" · ","")&amp;IF(OR(AND(H156&lt;&gt;"",H156&lt;G156),AND(I156&lt;&gt;"",I156&lt;MAX(G156:H156)),AND(J156&lt;&gt;"",J156&lt;MAX(G156:I156))),"Avance semanal decreciente"&amp;" · ","")&amp;IF(AND(ISNUMBER(E156),E156&lt;FechaRef,N(K156)&lt;1),"Vencida"&amp;" · ","")&amp;IF(AND(ObsObligatoria="Sí",ISNUMBER(E156),E156&lt;FechaRef,N(K156)&lt;1,M156=""),"Vencida sin observación"&amp;" · ",""))-3)))</f>
        <v/>
      </c>
      <c r="O156" s="67">
        <f>IF(NOT((COUNTA($B156:$J156)+COUNTA($M156))&gt;0),"",IF(ISNUMBER($D156),DATE(YEAR($D156),MONTH($D156),1),IF(ISNUMBER($E156),DATE(YEAR($E156),MONTH($E156),1),MesCiclo)))</f>
        <v/>
      </c>
      <c r="P156" s="68">
        <f>IF(OR($O156="",$O156&lt;&gt;MesCiclo),"",COUNTIF($O$5:$O156,MesCiclo))</f>
        <v/>
      </c>
    </row>
    <row r="157">
      <c r="A157" s="60">
        <f>IF(NOT((COUNTA($B157:$J157)+COUNTA($M157))&gt;0),"",COUNTIFS($L$5:$L157,"?*",$O$5:$O157,$O157))</f>
        <v/>
      </c>
      <c r="B157" s="61" t="n"/>
      <c r="C157" s="61" t="n"/>
      <c r="D157" s="62" t="n"/>
      <c r="E157" s="62" t="n"/>
      <c r="F157" s="63" t="n"/>
      <c r="G157" s="64" t="n"/>
      <c r="H157" s="64" t="n"/>
      <c r="I157" s="64" t="n"/>
      <c r="J157" s="64" t="n"/>
      <c r="K157" s="65">
        <f>IF(NOT((COUNTA($B157:$J157)+COUNTA($M157))&gt;0),"",IFERROR(LOOKUP(2,1/(G157:J157&lt;&gt;""),G157:J157),0))</f>
        <v/>
      </c>
      <c r="L157" s="60">
        <f>IF(K157="","",IF(K157&gt;=1,"Completado",IF(K157&gt;0,"En curso","Pendiente")))</f>
        <v/>
      </c>
      <c r="M157" s="61" t="n"/>
      <c r="N157" s="66">
        <f>IF(NOT((COUNTA($B157:$J157)+COUNTA($M157))&gt;0),"",IF((IF(B157="","Macroactividad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 OK","⚠ "&amp;LEFT(IF(B157="","Macroactividad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",""),LEN(IF(B157="","Macroactividad vacía"&amp;" · ","")&amp;IF(C157="","Sin responsable"&amp;" · ","")&amp;IF(D157="","Sin fecha de inicio"&amp;" · ","")&amp;IF(E157="","Sin fecha límite"&amp;" · ","")&amp;IF(OR(AND(D157&lt;&gt;"",NOT(ISNUMBER(D157))),AND(E157&lt;&gt;"",NOT(ISNUMBER(E157)))),"Fecha no válida"&amp;" · ","")&amp;IF(AND(ISNUMBER(D157),ISNUMBER(E157),D157&gt;E157),"Inicio posterior a fecha límite"&amp;" · ","")&amp;IF(F157="","Peso vacío"&amp;" · ","")&amp;IF(AND(F157&lt;&gt;"",OR(NOT(ISNUMBER(F157)),F157&lt;=0,F157&gt;1)),"Peso fuera de rango"&amp;" · ","")&amp;IF(ABS(SUMIFS($F$5:$F$1000,$O$5:$O$1000,$O157)-1)&gt;0.0001,"Pesos del mes suman "&amp;TEXT(SUMIFS($F$5:$F$1000,$O$5:$O$1000,$O157),"0%")&amp;" · ","")&amp;IF((COUNTIF(G157:J157,"&gt;1")+COUNTIF(G157:J157,"&lt;0")+COUNTA(G157:J157)-COUNT(G157:J157))&gt;0,"Avance fuera de rango 0-100%"&amp;" · ","")&amp;IF(OR(AND(H157&lt;&gt;"",H157&lt;G157),AND(I157&lt;&gt;"",I157&lt;MAX(G157:H157)),AND(J157&lt;&gt;"",J157&lt;MAX(G157:I157))),"Avance semanal decreciente"&amp;" · ","")&amp;IF(AND(ISNUMBER(E157),E157&lt;FechaRef,N(K157)&lt;1),"Vencida"&amp;" · ","")&amp;IF(AND(ObsObligatoria="Sí",ISNUMBER(E157),E157&lt;FechaRef,N(K157)&lt;1,M157=""),"Vencida sin observación"&amp;" · ",""))-3)))</f>
        <v/>
      </c>
      <c r="O157" s="67">
        <f>IF(NOT((COUNTA($B157:$J157)+COUNTA($M157))&gt;0),"",IF(ISNUMBER($D157),DATE(YEAR($D157),MONTH($D157),1),IF(ISNUMBER($E157),DATE(YEAR($E157),MONTH($E157),1),MesCiclo)))</f>
        <v/>
      </c>
      <c r="P157" s="68">
        <f>IF(OR($O157="",$O157&lt;&gt;MesCiclo),"",COUNTIF($O$5:$O157,MesCiclo))</f>
        <v/>
      </c>
    </row>
    <row r="158">
      <c r="A158" s="60">
        <f>IF(NOT((COUNTA($B158:$J158)+COUNTA($M158))&gt;0),"",COUNTIFS($L$5:$L158,"?*",$O$5:$O158,$O158))</f>
        <v/>
      </c>
      <c r="B158" s="61" t="n"/>
      <c r="C158" s="61" t="n"/>
      <c r="D158" s="62" t="n"/>
      <c r="E158" s="62" t="n"/>
      <c r="F158" s="63" t="n"/>
      <c r="G158" s="64" t="n"/>
      <c r="H158" s="64" t="n"/>
      <c r="I158" s="64" t="n"/>
      <c r="J158" s="64" t="n"/>
      <c r="K158" s="65">
        <f>IF(NOT((COUNTA($B158:$J158)+COUNTA($M158))&gt;0),"",IFERROR(LOOKUP(2,1/(G158:J158&lt;&gt;""),G158:J158),0))</f>
        <v/>
      </c>
      <c r="L158" s="60">
        <f>IF(K158="","",IF(K158&gt;=1,"Completado",IF(K158&gt;0,"En curso","Pendiente")))</f>
        <v/>
      </c>
      <c r="M158" s="61" t="n"/>
      <c r="N158" s="66">
        <f>IF(NOT((COUNTA($B158:$J158)+COUNTA($M158))&gt;0),"",IF((IF(B158="","Macroactividad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 OK","⚠ "&amp;LEFT(IF(B158="","Macroactividad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",""),LEN(IF(B158="","Macroactividad vacía"&amp;" · ","")&amp;IF(C158="","Sin responsable"&amp;" · ","")&amp;IF(D158="","Sin fecha de inicio"&amp;" · ","")&amp;IF(E158="","Sin fecha límite"&amp;" · ","")&amp;IF(OR(AND(D158&lt;&gt;"",NOT(ISNUMBER(D158))),AND(E158&lt;&gt;"",NOT(ISNUMBER(E158)))),"Fecha no válida"&amp;" · ","")&amp;IF(AND(ISNUMBER(D158),ISNUMBER(E158),D158&gt;E158),"Inicio posterior a fecha límite"&amp;" · ","")&amp;IF(F158="","Peso vacío"&amp;" · ","")&amp;IF(AND(F158&lt;&gt;"",OR(NOT(ISNUMBER(F158)),F158&lt;=0,F158&gt;1)),"Peso fuera de rango"&amp;" · ","")&amp;IF(ABS(SUMIFS($F$5:$F$1000,$O$5:$O$1000,$O158)-1)&gt;0.0001,"Pesos del mes suman "&amp;TEXT(SUMIFS($F$5:$F$1000,$O$5:$O$1000,$O158),"0%")&amp;" · ","")&amp;IF((COUNTIF(G158:J158,"&gt;1")+COUNTIF(G158:J158,"&lt;0")+COUNTA(G158:J158)-COUNT(G158:J158))&gt;0,"Avance fuera de rango 0-100%"&amp;" · ","")&amp;IF(OR(AND(H158&lt;&gt;"",H158&lt;G158),AND(I158&lt;&gt;"",I158&lt;MAX(G158:H158)),AND(J158&lt;&gt;"",J158&lt;MAX(G158:I158))),"Avance semanal decreciente"&amp;" · ","")&amp;IF(AND(ISNUMBER(E158),E158&lt;FechaRef,N(K158)&lt;1),"Vencida"&amp;" · ","")&amp;IF(AND(ObsObligatoria="Sí",ISNUMBER(E158),E158&lt;FechaRef,N(K158)&lt;1,M158=""),"Vencida sin observación"&amp;" · ",""))-3)))</f>
        <v/>
      </c>
      <c r="O158" s="67">
        <f>IF(NOT((COUNTA($B158:$J158)+COUNTA($M158))&gt;0),"",IF(ISNUMBER($D158),DATE(YEAR($D158),MONTH($D158),1),IF(ISNUMBER($E158),DATE(YEAR($E158),MONTH($E158),1),MesCiclo)))</f>
        <v/>
      </c>
      <c r="P158" s="68">
        <f>IF(OR($O158="",$O158&lt;&gt;MesCiclo),"",COUNTIF($O$5:$O158,MesCiclo))</f>
        <v/>
      </c>
    </row>
    <row r="159">
      <c r="A159" s="60">
        <f>IF(NOT((COUNTA($B159:$J159)+COUNTA($M159))&gt;0),"",COUNTIFS($L$5:$L159,"?*",$O$5:$O159,$O159))</f>
        <v/>
      </c>
      <c r="B159" s="61" t="n"/>
      <c r="C159" s="61" t="n"/>
      <c r="D159" s="62" t="n"/>
      <c r="E159" s="62" t="n"/>
      <c r="F159" s="63" t="n"/>
      <c r="G159" s="64" t="n"/>
      <c r="H159" s="64" t="n"/>
      <c r="I159" s="64" t="n"/>
      <c r="J159" s="64" t="n"/>
      <c r="K159" s="65">
        <f>IF(NOT((COUNTA($B159:$J159)+COUNTA($M159))&gt;0),"",IFERROR(LOOKUP(2,1/(G159:J159&lt;&gt;""),G159:J159),0))</f>
        <v/>
      </c>
      <c r="L159" s="60">
        <f>IF(K159="","",IF(K159&gt;=1,"Completado",IF(K159&gt;0,"En curso","Pendiente")))</f>
        <v/>
      </c>
      <c r="M159" s="61" t="n"/>
      <c r="N159" s="66">
        <f>IF(NOT((COUNTA($B159:$J159)+COUNTA($M159))&gt;0),"",IF((IF(B159="","Macroactividad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 OK","⚠ "&amp;LEFT(IF(B159="","Macroactividad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",""),LEN(IF(B159="","Macroactividad vacía"&amp;" · ","")&amp;IF(C159="","Sin responsable"&amp;" · ","")&amp;IF(D159="","Sin fecha de inicio"&amp;" · ","")&amp;IF(E159="","Sin fecha límite"&amp;" · ","")&amp;IF(OR(AND(D159&lt;&gt;"",NOT(ISNUMBER(D159))),AND(E159&lt;&gt;"",NOT(ISNUMBER(E159)))),"Fecha no válida"&amp;" · ","")&amp;IF(AND(ISNUMBER(D159),ISNUMBER(E159),D159&gt;E159),"Inicio posterior a fecha límite"&amp;" · ","")&amp;IF(F159="","Peso vacío"&amp;" · ","")&amp;IF(AND(F159&lt;&gt;"",OR(NOT(ISNUMBER(F159)),F159&lt;=0,F159&gt;1)),"Peso fuera de rango"&amp;" · ","")&amp;IF(ABS(SUMIFS($F$5:$F$1000,$O$5:$O$1000,$O159)-1)&gt;0.0001,"Pesos del mes suman "&amp;TEXT(SUMIFS($F$5:$F$1000,$O$5:$O$1000,$O159),"0%")&amp;" · ","")&amp;IF((COUNTIF(G159:J159,"&gt;1")+COUNTIF(G159:J159,"&lt;0")+COUNTA(G159:J159)-COUNT(G159:J159))&gt;0,"Avance fuera de rango 0-100%"&amp;" · ","")&amp;IF(OR(AND(H159&lt;&gt;"",H159&lt;G159),AND(I159&lt;&gt;"",I159&lt;MAX(G159:H159)),AND(J159&lt;&gt;"",J159&lt;MAX(G159:I159))),"Avance semanal decreciente"&amp;" · ","")&amp;IF(AND(ISNUMBER(E159),E159&lt;FechaRef,N(K159)&lt;1),"Vencida"&amp;" · ","")&amp;IF(AND(ObsObligatoria="Sí",ISNUMBER(E159),E159&lt;FechaRef,N(K159)&lt;1,M159=""),"Vencida sin observación"&amp;" · ",""))-3)))</f>
        <v/>
      </c>
      <c r="O159" s="67">
        <f>IF(NOT((COUNTA($B159:$J159)+COUNTA($M159))&gt;0),"",IF(ISNUMBER($D159),DATE(YEAR($D159),MONTH($D159),1),IF(ISNUMBER($E159),DATE(YEAR($E159),MONTH($E159),1),MesCiclo)))</f>
        <v/>
      </c>
      <c r="P159" s="68">
        <f>IF(OR($O159="",$O159&lt;&gt;MesCiclo),"",COUNTIF($O$5:$O159,MesCiclo))</f>
        <v/>
      </c>
    </row>
    <row r="160">
      <c r="A160" s="60">
        <f>IF(NOT((COUNTA($B160:$J160)+COUNTA($M160))&gt;0),"",COUNTIFS($L$5:$L160,"?*",$O$5:$O160,$O160))</f>
        <v/>
      </c>
      <c r="B160" s="61" t="n"/>
      <c r="C160" s="61" t="n"/>
      <c r="D160" s="62" t="n"/>
      <c r="E160" s="62" t="n"/>
      <c r="F160" s="63" t="n"/>
      <c r="G160" s="64" t="n"/>
      <c r="H160" s="64" t="n"/>
      <c r="I160" s="64" t="n"/>
      <c r="J160" s="64" t="n"/>
      <c r="K160" s="65">
        <f>IF(NOT((COUNTA($B160:$J160)+COUNTA($M160))&gt;0),"",IFERROR(LOOKUP(2,1/(G160:J160&lt;&gt;""),G160:J160),0))</f>
        <v/>
      </c>
      <c r="L160" s="60">
        <f>IF(K160="","",IF(K160&gt;=1,"Completado",IF(K160&gt;0,"En curso","Pendiente")))</f>
        <v/>
      </c>
      <c r="M160" s="61" t="n"/>
      <c r="N160" s="66">
        <f>IF(NOT((COUNTA($B160:$J160)+COUNTA($M160))&gt;0),"",IF((IF(B160="","Macroactividad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 OK","⚠ "&amp;LEFT(IF(B160="","Macroactividad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",""),LEN(IF(B160="","Macroactividad vacía"&amp;" · ","")&amp;IF(C160="","Sin responsable"&amp;" · ","")&amp;IF(D160="","Sin fecha de inicio"&amp;" · ","")&amp;IF(E160="","Sin fecha límite"&amp;" · ","")&amp;IF(OR(AND(D160&lt;&gt;"",NOT(ISNUMBER(D160))),AND(E160&lt;&gt;"",NOT(ISNUMBER(E160)))),"Fecha no válida"&amp;" · ","")&amp;IF(AND(ISNUMBER(D160),ISNUMBER(E160),D160&gt;E160),"Inicio posterior a fecha límite"&amp;" · ","")&amp;IF(F160="","Peso vacío"&amp;" · ","")&amp;IF(AND(F160&lt;&gt;"",OR(NOT(ISNUMBER(F160)),F160&lt;=0,F160&gt;1)),"Peso fuera de rango"&amp;" · ","")&amp;IF(ABS(SUMIFS($F$5:$F$1000,$O$5:$O$1000,$O160)-1)&gt;0.0001,"Pesos del mes suman "&amp;TEXT(SUMIFS($F$5:$F$1000,$O$5:$O$1000,$O160),"0%")&amp;" · ","")&amp;IF((COUNTIF(G160:J160,"&gt;1")+COUNTIF(G160:J160,"&lt;0")+COUNTA(G160:J160)-COUNT(G160:J160))&gt;0,"Avance fuera de rango 0-100%"&amp;" · ","")&amp;IF(OR(AND(H160&lt;&gt;"",H160&lt;G160),AND(I160&lt;&gt;"",I160&lt;MAX(G160:H160)),AND(J160&lt;&gt;"",J160&lt;MAX(G160:I160))),"Avance semanal decreciente"&amp;" · ","")&amp;IF(AND(ISNUMBER(E160),E160&lt;FechaRef,N(K160)&lt;1),"Vencida"&amp;" · ","")&amp;IF(AND(ObsObligatoria="Sí",ISNUMBER(E160),E160&lt;FechaRef,N(K160)&lt;1,M160=""),"Vencida sin observación"&amp;" · ",""))-3)))</f>
        <v/>
      </c>
      <c r="O160" s="67">
        <f>IF(NOT((COUNTA($B160:$J160)+COUNTA($M160))&gt;0),"",IF(ISNUMBER($D160),DATE(YEAR($D160),MONTH($D160),1),IF(ISNUMBER($E160),DATE(YEAR($E160),MONTH($E160),1),MesCiclo)))</f>
        <v/>
      </c>
      <c r="P160" s="68">
        <f>IF(OR($O160="",$O160&lt;&gt;MesCiclo),"",COUNTIF($O$5:$O160,MesCiclo))</f>
        <v/>
      </c>
    </row>
    <row r="161">
      <c r="A161" s="60">
        <f>IF(NOT((COUNTA($B161:$J161)+COUNTA($M161))&gt;0),"",COUNTIFS($L$5:$L161,"?*",$O$5:$O161,$O161))</f>
        <v/>
      </c>
      <c r="B161" s="61" t="n"/>
      <c r="C161" s="61" t="n"/>
      <c r="D161" s="62" t="n"/>
      <c r="E161" s="62" t="n"/>
      <c r="F161" s="63" t="n"/>
      <c r="G161" s="64" t="n"/>
      <c r="H161" s="64" t="n"/>
      <c r="I161" s="64" t="n"/>
      <c r="J161" s="64" t="n"/>
      <c r="K161" s="65">
        <f>IF(NOT((COUNTA($B161:$J161)+COUNTA($M161))&gt;0),"",IFERROR(LOOKUP(2,1/(G161:J161&lt;&gt;""),G161:J161),0))</f>
        <v/>
      </c>
      <c r="L161" s="60">
        <f>IF(K161="","",IF(K161&gt;=1,"Completado",IF(K161&gt;0,"En curso","Pendiente")))</f>
        <v/>
      </c>
      <c r="M161" s="61" t="n"/>
      <c r="N161" s="66">
        <f>IF(NOT((COUNTA($B161:$J161)+COUNTA($M161))&gt;0),"",IF((IF(B161="","Macroactividad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 OK","⚠ "&amp;LEFT(IF(B161="","Macroactividad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",""),LEN(IF(B161="","Macroactividad vacía"&amp;" · ","")&amp;IF(C161="","Sin responsable"&amp;" · ","")&amp;IF(D161="","Sin fecha de inicio"&amp;" · ","")&amp;IF(E161="","Sin fecha límite"&amp;" · ","")&amp;IF(OR(AND(D161&lt;&gt;"",NOT(ISNUMBER(D161))),AND(E161&lt;&gt;"",NOT(ISNUMBER(E161)))),"Fecha no válida"&amp;" · ","")&amp;IF(AND(ISNUMBER(D161),ISNUMBER(E161),D161&gt;E161),"Inicio posterior a fecha límite"&amp;" · ","")&amp;IF(F161="","Peso vacío"&amp;" · ","")&amp;IF(AND(F161&lt;&gt;"",OR(NOT(ISNUMBER(F161)),F161&lt;=0,F161&gt;1)),"Peso fuera de rango"&amp;" · ","")&amp;IF(ABS(SUMIFS($F$5:$F$1000,$O$5:$O$1000,$O161)-1)&gt;0.0001,"Pesos del mes suman "&amp;TEXT(SUMIFS($F$5:$F$1000,$O$5:$O$1000,$O161),"0%")&amp;" · ","")&amp;IF((COUNTIF(G161:J161,"&gt;1")+COUNTIF(G161:J161,"&lt;0")+COUNTA(G161:J161)-COUNT(G161:J161))&gt;0,"Avance fuera de rango 0-100%"&amp;" · ","")&amp;IF(OR(AND(H161&lt;&gt;"",H161&lt;G161),AND(I161&lt;&gt;"",I161&lt;MAX(G161:H161)),AND(J161&lt;&gt;"",J161&lt;MAX(G161:I161))),"Avance semanal decreciente"&amp;" · ","")&amp;IF(AND(ISNUMBER(E161),E161&lt;FechaRef,N(K161)&lt;1),"Vencida"&amp;" · ","")&amp;IF(AND(ObsObligatoria="Sí",ISNUMBER(E161),E161&lt;FechaRef,N(K161)&lt;1,M161=""),"Vencida sin observación"&amp;" · ",""))-3)))</f>
        <v/>
      </c>
      <c r="O161" s="67">
        <f>IF(NOT((COUNTA($B161:$J161)+COUNTA($M161))&gt;0),"",IF(ISNUMBER($D161),DATE(YEAR($D161),MONTH($D161),1),IF(ISNUMBER($E161),DATE(YEAR($E161),MONTH($E161),1),MesCiclo)))</f>
        <v/>
      </c>
      <c r="P161" s="68">
        <f>IF(OR($O161="",$O161&lt;&gt;MesCiclo),"",COUNTIF($O$5:$O161,MesCiclo))</f>
        <v/>
      </c>
    </row>
    <row r="162">
      <c r="A162" s="60">
        <f>IF(NOT((COUNTA($B162:$J162)+COUNTA($M162))&gt;0),"",COUNTIFS($L$5:$L162,"?*",$O$5:$O162,$O162))</f>
        <v/>
      </c>
      <c r="B162" s="61" t="n"/>
      <c r="C162" s="61" t="n"/>
      <c r="D162" s="62" t="n"/>
      <c r="E162" s="62" t="n"/>
      <c r="F162" s="63" t="n"/>
      <c r="G162" s="64" t="n"/>
      <c r="H162" s="64" t="n"/>
      <c r="I162" s="64" t="n"/>
      <c r="J162" s="64" t="n"/>
      <c r="K162" s="65">
        <f>IF(NOT((COUNTA($B162:$J162)+COUNTA($M162))&gt;0),"",IFERROR(LOOKUP(2,1/(G162:J162&lt;&gt;""),G162:J162),0))</f>
        <v/>
      </c>
      <c r="L162" s="60">
        <f>IF(K162="","",IF(K162&gt;=1,"Completado",IF(K162&gt;0,"En curso","Pendiente")))</f>
        <v/>
      </c>
      <c r="M162" s="61" t="n"/>
      <c r="N162" s="66">
        <f>IF(NOT((COUNTA($B162:$J162)+COUNTA($M162))&gt;0),"",IF((IF(B162="","Macroactividad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 OK","⚠ "&amp;LEFT(IF(B162="","Macroactividad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",""),LEN(IF(B162="","Macroactividad vacía"&amp;" · ","")&amp;IF(C162="","Sin responsable"&amp;" · ","")&amp;IF(D162="","Sin fecha de inicio"&amp;" · ","")&amp;IF(E162="","Sin fecha límite"&amp;" · ","")&amp;IF(OR(AND(D162&lt;&gt;"",NOT(ISNUMBER(D162))),AND(E162&lt;&gt;"",NOT(ISNUMBER(E162)))),"Fecha no válida"&amp;" · ","")&amp;IF(AND(ISNUMBER(D162),ISNUMBER(E162),D162&gt;E162),"Inicio posterior a fecha límite"&amp;" · ","")&amp;IF(F162="","Peso vacío"&amp;" · ","")&amp;IF(AND(F162&lt;&gt;"",OR(NOT(ISNUMBER(F162)),F162&lt;=0,F162&gt;1)),"Peso fuera de rango"&amp;" · ","")&amp;IF(ABS(SUMIFS($F$5:$F$1000,$O$5:$O$1000,$O162)-1)&gt;0.0001,"Pesos del mes suman "&amp;TEXT(SUMIFS($F$5:$F$1000,$O$5:$O$1000,$O162),"0%")&amp;" · ","")&amp;IF((COUNTIF(G162:J162,"&gt;1")+COUNTIF(G162:J162,"&lt;0")+COUNTA(G162:J162)-COUNT(G162:J162))&gt;0,"Avance fuera de rango 0-100%"&amp;" · ","")&amp;IF(OR(AND(H162&lt;&gt;"",H162&lt;G162),AND(I162&lt;&gt;"",I162&lt;MAX(G162:H162)),AND(J162&lt;&gt;"",J162&lt;MAX(G162:I162))),"Avance semanal decreciente"&amp;" · ","")&amp;IF(AND(ISNUMBER(E162),E162&lt;FechaRef,N(K162)&lt;1),"Vencida"&amp;" · ","")&amp;IF(AND(ObsObligatoria="Sí",ISNUMBER(E162),E162&lt;FechaRef,N(K162)&lt;1,M162=""),"Vencida sin observación"&amp;" · ",""))-3)))</f>
        <v/>
      </c>
      <c r="O162" s="67">
        <f>IF(NOT((COUNTA($B162:$J162)+COUNTA($M162))&gt;0),"",IF(ISNUMBER($D162),DATE(YEAR($D162),MONTH($D162),1),IF(ISNUMBER($E162),DATE(YEAR($E162),MONTH($E162),1),MesCiclo)))</f>
        <v/>
      </c>
      <c r="P162" s="68">
        <f>IF(OR($O162="",$O162&lt;&gt;MesCiclo),"",COUNTIF($O$5:$O162,MesCiclo))</f>
        <v/>
      </c>
    </row>
    <row r="163">
      <c r="A163" s="60">
        <f>IF(NOT((COUNTA($B163:$J163)+COUNTA($M163))&gt;0),"",COUNTIFS($L$5:$L163,"?*",$O$5:$O163,$O163))</f>
        <v/>
      </c>
      <c r="B163" s="61" t="n"/>
      <c r="C163" s="61" t="n"/>
      <c r="D163" s="62" t="n"/>
      <c r="E163" s="62" t="n"/>
      <c r="F163" s="63" t="n"/>
      <c r="G163" s="64" t="n"/>
      <c r="H163" s="64" t="n"/>
      <c r="I163" s="64" t="n"/>
      <c r="J163" s="64" t="n"/>
      <c r="K163" s="65">
        <f>IF(NOT((COUNTA($B163:$J163)+COUNTA($M163))&gt;0),"",IFERROR(LOOKUP(2,1/(G163:J163&lt;&gt;""),G163:J163),0))</f>
        <v/>
      </c>
      <c r="L163" s="60">
        <f>IF(K163="","",IF(K163&gt;=1,"Completado",IF(K163&gt;0,"En curso","Pendiente")))</f>
        <v/>
      </c>
      <c r="M163" s="61" t="n"/>
      <c r="N163" s="66">
        <f>IF(NOT((COUNTA($B163:$J163)+COUNTA($M163))&gt;0),"",IF((IF(B163="","Macroactividad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 OK","⚠ "&amp;LEFT(IF(B163="","Macroactividad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",""),LEN(IF(B163="","Macroactividad vacía"&amp;" · ","")&amp;IF(C163="","Sin responsable"&amp;" · ","")&amp;IF(D163="","Sin fecha de inicio"&amp;" · ","")&amp;IF(E163="","Sin fecha límite"&amp;" · ","")&amp;IF(OR(AND(D163&lt;&gt;"",NOT(ISNUMBER(D163))),AND(E163&lt;&gt;"",NOT(ISNUMBER(E163)))),"Fecha no válida"&amp;" · ","")&amp;IF(AND(ISNUMBER(D163),ISNUMBER(E163),D163&gt;E163),"Inicio posterior a fecha límite"&amp;" · ","")&amp;IF(F163="","Peso vacío"&amp;" · ","")&amp;IF(AND(F163&lt;&gt;"",OR(NOT(ISNUMBER(F163)),F163&lt;=0,F163&gt;1)),"Peso fuera de rango"&amp;" · ","")&amp;IF(ABS(SUMIFS($F$5:$F$1000,$O$5:$O$1000,$O163)-1)&gt;0.0001,"Pesos del mes suman "&amp;TEXT(SUMIFS($F$5:$F$1000,$O$5:$O$1000,$O163),"0%")&amp;" · ","")&amp;IF((COUNTIF(G163:J163,"&gt;1")+COUNTIF(G163:J163,"&lt;0")+COUNTA(G163:J163)-COUNT(G163:J163))&gt;0,"Avance fuera de rango 0-100%"&amp;" · ","")&amp;IF(OR(AND(H163&lt;&gt;"",H163&lt;G163),AND(I163&lt;&gt;"",I163&lt;MAX(G163:H163)),AND(J163&lt;&gt;"",J163&lt;MAX(G163:I163))),"Avance semanal decreciente"&amp;" · ","")&amp;IF(AND(ISNUMBER(E163),E163&lt;FechaRef,N(K163)&lt;1),"Vencida"&amp;" · ","")&amp;IF(AND(ObsObligatoria="Sí",ISNUMBER(E163),E163&lt;FechaRef,N(K163)&lt;1,M163=""),"Vencida sin observación"&amp;" · ",""))-3)))</f>
        <v/>
      </c>
      <c r="O163" s="67">
        <f>IF(NOT((COUNTA($B163:$J163)+COUNTA($M163))&gt;0),"",IF(ISNUMBER($D163),DATE(YEAR($D163),MONTH($D163),1),IF(ISNUMBER($E163),DATE(YEAR($E163),MONTH($E163),1),MesCiclo)))</f>
        <v/>
      </c>
      <c r="P163" s="68">
        <f>IF(OR($O163="",$O163&lt;&gt;MesCiclo),"",COUNTIF($O$5:$O163,MesCiclo))</f>
        <v/>
      </c>
    </row>
    <row r="164">
      <c r="A164" s="60">
        <f>IF(NOT((COUNTA($B164:$J164)+COUNTA($M164))&gt;0),"",COUNTIFS($L$5:$L164,"?*",$O$5:$O164,$O164))</f>
        <v/>
      </c>
      <c r="B164" s="61" t="n"/>
      <c r="C164" s="61" t="n"/>
      <c r="D164" s="62" t="n"/>
      <c r="E164" s="62" t="n"/>
      <c r="F164" s="63" t="n"/>
      <c r="G164" s="64" t="n"/>
      <c r="H164" s="64" t="n"/>
      <c r="I164" s="64" t="n"/>
      <c r="J164" s="64" t="n"/>
      <c r="K164" s="65">
        <f>IF(NOT((COUNTA($B164:$J164)+COUNTA($M164))&gt;0),"",IFERROR(LOOKUP(2,1/(G164:J164&lt;&gt;""),G164:J164),0))</f>
        <v/>
      </c>
      <c r="L164" s="60">
        <f>IF(K164="","",IF(K164&gt;=1,"Completado",IF(K164&gt;0,"En curso","Pendiente")))</f>
        <v/>
      </c>
      <c r="M164" s="61" t="n"/>
      <c r="N164" s="66">
        <f>IF(NOT((COUNTA($B164:$J164)+COUNTA($M164))&gt;0),"",IF((IF(B164="","Macroactividad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 OK","⚠ "&amp;LEFT(IF(B164="","Macroactividad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",""),LEN(IF(B164="","Macroactividad vacía"&amp;" · ","")&amp;IF(C164="","Sin responsable"&amp;" · ","")&amp;IF(D164="","Sin fecha de inicio"&amp;" · ","")&amp;IF(E164="","Sin fecha límite"&amp;" · ","")&amp;IF(OR(AND(D164&lt;&gt;"",NOT(ISNUMBER(D164))),AND(E164&lt;&gt;"",NOT(ISNUMBER(E164)))),"Fecha no válida"&amp;" · ","")&amp;IF(AND(ISNUMBER(D164),ISNUMBER(E164),D164&gt;E164),"Inicio posterior a fecha límite"&amp;" · ","")&amp;IF(F164="","Peso vacío"&amp;" · ","")&amp;IF(AND(F164&lt;&gt;"",OR(NOT(ISNUMBER(F164)),F164&lt;=0,F164&gt;1)),"Peso fuera de rango"&amp;" · ","")&amp;IF(ABS(SUMIFS($F$5:$F$1000,$O$5:$O$1000,$O164)-1)&gt;0.0001,"Pesos del mes suman "&amp;TEXT(SUMIFS($F$5:$F$1000,$O$5:$O$1000,$O164),"0%")&amp;" · ","")&amp;IF((COUNTIF(G164:J164,"&gt;1")+COUNTIF(G164:J164,"&lt;0")+COUNTA(G164:J164)-COUNT(G164:J164))&gt;0,"Avance fuera de rango 0-100%"&amp;" · ","")&amp;IF(OR(AND(H164&lt;&gt;"",H164&lt;G164),AND(I164&lt;&gt;"",I164&lt;MAX(G164:H164)),AND(J164&lt;&gt;"",J164&lt;MAX(G164:I164))),"Avance semanal decreciente"&amp;" · ","")&amp;IF(AND(ISNUMBER(E164),E164&lt;FechaRef,N(K164)&lt;1),"Vencida"&amp;" · ","")&amp;IF(AND(ObsObligatoria="Sí",ISNUMBER(E164),E164&lt;FechaRef,N(K164)&lt;1,M164=""),"Vencida sin observación"&amp;" · ",""))-3)))</f>
        <v/>
      </c>
      <c r="O164" s="67">
        <f>IF(NOT((COUNTA($B164:$J164)+COUNTA($M164))&gt;0),"",IF(ISNUMBER($D164),DATE(YEAR($D164),MONTH($D164),1),IF(ISNUMBER($E164),DATE(YEAR($E164),MONTH($E164),1),MesCiclo)))</f>
        <v/>
      </c>
      <c r="P164" s="68">
        <f>IF(OR($O164="",$O164&lt;&gt;MesCiclo),"",COUNTIF($O$5:$O164,MesCiclo))</f>
        <v/>
      </c>
    </row>
    <row r="165">
      <c r="A165" s="60">
        <f>IF(NOT((COUNTA($B165:$J165)+COUNTA($M165))&gt;0),"",COUNTIFS($L$5:$L165,"?*",$O$5:$O165,$O165))</f>
        <v/>
      </c>
      <c r="B165" s="61" t="n"/>
      <c r="C165" s="61" t="n"/>
      <c r="D165" s="62" t="n"/>
      <c r="E165" s="62" t="n"/>
      <c r="F165" s="63" t="n"/>
      <c r="G165" s="64" t="n"/>
      <c r="H165" s="64" t="n"/>
      <c r="I165" s="64" t="n"/>
      <c r="J165" s="64" t="n"/>
      <c r="K165" s="65">
        <f>IF(NOT((COUNTA($B165:$J165)+COUNTA($M165))&gt;0),"",IFERROR(LOOKUP(2,1/(G165:J165&lt;&gt;""),G165:J165),0))</f>
        <v/>
      </c>
      <c r="L165" s="60">
        <f>IF(K165="","",IF(K165&gt;=1,"Completado",IF(K165&gt;0,"En curso","Pendiente")))</f>
        <v/>
      </c>
      <c r="M165" s="61" t="n"/>
      <c r="N165" s="66">
        <f>IF(NOT((COUNTA($B165:$J165)+COUNTA($M165))&gt;0),"",IF((IF(B165="","Macroactividad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 OK","⚠ "&amp;LEFT(IF(B165="","Macroactividad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",""),LEN(IF(B165="","Macroactividad vacía"&amp;" · ","")&amp;IF(C165="","Sin responsable"&amp;" · ","")&amp;IF(D165="","Sin fecha de inicio"&amp;" · ","")&amp;IF(E165="","Sin fecha límite"&amp;" · ","")&amp;IF(OR(AND(D165&lt;&gt;"",NOT(ISNUMBER(D165))),AND(E165&lt;&gt;"",NOT(ISNUMBER(E165)))),"Fecha no válida"&amp;" · ","")&amp;IF(AND(ISNUMBER(D165),ISNUMBER(E165),D165&gt;E165),"Inicio posterior a fecha límite"&amp;" · ","")&amp;IF(F165="","Peso vacío"&amp;" · ","")&amp;IF(AND(F165&lt;&gt;"",OR(NOT(ISNUMBER(F165)),F165&lt;=0,F165&gt;1)),"Peso fuera de rango"&amp;" · ","")&amp;IF(ABS(SUMIFS($F$5:$F$1000,$O$5:$O$1000,$O165)-1)&gt;0.0001,"Pesos del mes suman "&amp;TEXT(SUMIFS($F$5:$F$1000,$O$5:$O$1000,$O165),"0%")&amp;" · ","")&amp;IF((COUNTIF(G165:J165,"&gt;1")+COUNTIF(G165:J165,"&lt;0")+COUNTA(G165:J165)-COUNT(G165:J165))&gt;0,"Avance fuera de rango 0-100%"&amp;" · ","")&amp;IF(OR(AND(H165&lt;&gt;"",H165&lt;G165),AND(I165&lt;&gt;"",I165&lt;MAX(G165:H165)),AND(J165&lt;&gt;"",J165&lt;MAX(G165:I165))),"Avance semanal decreciente"&amp;" · ","")&amp;IF(AND(ISNUMBER(E165),E165&lt;FechaRef,N(K165)&lt;1),"Vencida"&amp;" · ","")&amp;IF(AND(ObsObligatoria="Sí",ISNUMBER(E165),E165&lt;FechaRef,N(K165)&lt;1,M165=""),"Vencida sin observación"&amp;" · ",""))-3)))</f>
        <v/>
      </c>
      <c r="O165" s="67">
        <f>IF(NOT((COUNTA($B165:$J165)+COUNTA($M165))&gt;0),"",IF(ISNUMBER($D165),DATE(YEAR($D165),MONTH($D165),1),IF(ISNUMBER($E165),DATE(YEAR($E165),MONTH($E165),1),MesCiclo)))</f>
        <v/>
      </c>
      <c r="P165" s="68">
        <f>IF(OR($O165="",$O165&lt;&gt;MesCiclo),"",COUNTIF($O$5:$O165,MesCiclo))</f>
        <v/>
      </c>
    </row>
    <row r="166">
      <c r="A166" s="60">
        <f>IF(NOT((COUNTA($B166:$J166)+COUNTA($M166))&gt;0),"",COUNTIFS($L$5:$L166,"?*",$O$5:$O166,$O166))</f>
        <v/>
      </c>
      <c r="B166" s="61" t="n"/>
      <c r="C166" s="61" t="n"/>
      <c r="D166" s="62" t="n"/>
      <c r="E166" s="62" t="n"/>
      <c r="F166" s="63" t="n"/>
      <c r="G166" s="64" t="n"/>
      <c r="H166" s="64" t="n"/>
      <c r="I166" s="64" t="n"/>
      <c r="J166" s="64" t="n"/>
      <c r="K166" s="65">
        <f>IF(NOT((COUNTA($B166:$J166)+COUNTA($M166))&gt;0),"",IFERROR(LOOKUP(2,1/(G166:J166&lt;&gt;""),G166:J166),0))</f>
        <v/>
      </c>
      <c r="L166" s="60">
        <f>IF(K166="","",IF(K166&gt;=1,"Completado",IF(K166&gt;0,"En curso","Pendiente")))</f>
        <v/>
      </c>
      <c r="M166" s="61" t="n"/>
      <c r="N166" s="66">
        <f>IF(NOT((COUNTA($B166:$J166)+COUNTA($M166))&gt;0),"",IF((IF(B166="","Macroactividad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 OK","⚠ "&amp;LEFT(IF(B166="","Macroactividad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",""),LEN(IF(B166="","Macroactividad vacía"&amp;" · ","")&amp;IF(C166="","Sin responsable"&amp;" · ","")&amp;IF(D166="","Sin fecha de inicio"&amp;" · ","")&amp;IF(E166="","Sin fecha límite"&amp;" · ","")&amp;IF(OR(AND(D166&lt;&gt;"",NOT(ISNUMBER(D166))),AND(E166&lt;&gt;"",NOT(ISNUMBER(E166)))),"Fecha no válida"&amp;" · ","")&amp;IF(AND(ISNUMBER(D166),ISNUMBER(E166),D166&gt;E166),"Inicio posterior a fecha límite"&amp;" · ","")&amp;IF(F166="","Peso vacío"&amp;" · ","")&amp;IF(AND(F166&lt;&gt;"",OR(NOT(ISNUMBER(F166)),F166&lt;=0,F166&gt;1)),"Peso fuera de rango"&amp;" · ","")&amp;IF(ABS(SUMIFS($F$5:$F$1000,$O$5:$O$1000,$O166)-1)&gt;0.0001,"Pesos del mes suman "&amp;TEXT(SUMIFS($F$5:$F$1000,$O$5:$O$1000,$O166),"0%")&amp;" · ","")&amp;IF((COUNTIF(G166:J166,"&gt;1")+COUNTIF(G166:J166,"&lt;0")+COUNTA(G166:J166)-COUNT(G166:J166))&gt;0,"Avance fuera de rango 0-100%"&amp;" · ","")&amp;IF(OR(AND(H166&lt;&gt;"",H166&lt;G166),AND(I166&lt;&gt;"",I166&lt;MAX(G166:H166)),AND(J166&lt;&gt;"",J166&lt;MAX(G166:I166))),"Avance semanal decreciente"&amp;" · ","")&amp;IF(AND(ISNUMBER(E166),E166&lt;FechaRef,N(K166)&lt;1),"Vencida"&amp;" · ","")&amp;IF(AND(ObsObligatoria="Sí",ISNUMBER(E166),E166&lt;FechaRef,N(K166)&lt;1,M166=""),"Vencida sin observación"&amp;" · ",""))-3)))</f>
        <v/>
      </c>
      <c r="O166" s="67">
        <f>IF(NOT((COUNTA($B166:$J166)+COUNTA($M166))&gt;0),"",IF(ISNUMBER($D166),DATE(YEAR($D166),MONTH($D166),1),IF(ISNUMBER($E166),DATE(YEAR($E166),MONTH($E166),1),MesCiclo)))</f>
        <v/>
      </c>
      <c r="P166" s="68">
        <f>IF(OR($O166="",$O166&lt;&gt;MesCiclo),"",COUNTIF($O$5:$O166,MesCiclo))</f>
        <v/>
      </c>
    </row>
    <row r="167">
      <c r="A167" s="60">
        <f>IF(NOT((COUNTA($B167:$J167)+COUNTA($M167))&gt;0),"",COUNTIFS($L$5:$L167,"?*",$O$5:$O167,$O167))</f>
        <v/>
      </c>
      <c r="B167" s="61" t="n"/>
      <c r="C167" s="61" t="n"/>
      <c r="D167" s="62" t="n"/>
      <c r="E167" s="62" t="n"/>
      <c r="F167" s="63" t="n"/>
      <c r="G167" s="64" t="n"/>
      <c r="H167" s="64" t="n"/>
      <c r="I167" s="64" t="n"/>
      <c r="J167" s="64" t="n"/>
      <c r="K167" s="65">
        <f>IF(NOT((COUNTA($B167:$J167)+COUNTA($M167))&gt;0),"",IFERROR(LOOKUP(2,1/(G167:J167&lt;&gt;""),G167:J167),0))</f>
        <v/>
      </c>
      <c r="L167" s="60">
        <f>IF(K167="","",IF(K167&gt;=1,"Completado",IF(K167&gt;0,"En curso","Pendiente")))</f>
        <v/>
      </c>
      <c r="M167" s="61" t="n"/>
      <c r="N167" s="66">
        <f>IF(NOT((COUNTA($B167:$J167)+COUNTA($M167))&gt;0),"",IF((IF(B167="","Macroactividad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 OK","⚠ "&amp;LEFT(IF(B167="","Macroactividad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",""),LEN(IF(B167="","Macroactividad vacía"&amp;" · ","")&amp;IF(C167="","Sin responsable"&amp;" · ","")&amp;IF(D167="","Sin fecha de inicio"&amp;" · ","")&amp;IF(E167="","Sin fecha límite"&amp;" · ","")&amp;IF(OR(AND(D167&lt;&gt;"",NOT(ISNUMBER(D167))),AND(E167&lt;&gt;"",NOT(ISNUMBER(E167)))),"Fecha no válida"&amp;" · ","")&amp;IF(AND(ISNUMBER(D167),ISNUMBER(E167),D167&gt;E167),"Inicio posterior a fecha límite"&amp;" · ","")&amp;IF(F167="","Peso vacío"&amp;" · ","")&amp;IF(AND(F167&lt;&gt;"",OR(NOT(ISNUMBER(F167)),F167&lt;=0,F167&gt;1)),"Peso fuera de rango"&amp;" · ","")&amp;IF(ABS(SUMIFS($F$5:$F$1000,$O$5:$O$1000,$O167)-1)&gt;0.0001,"Pesos del mes suman "&amp;TEXT(SUMIFS($F$5:$F$1000,$O$5:$O$1000,$O167),"0%")&amp;" · ","")&amp;IF((COUNTIF(G167:J167,"&gt;1")+COUNTIF(G167:J167,"&lt;0")+COUNTA(G167:J167)-COUNT(G167:J167))&gt;0,"Avance fuera de rango 0-100%"&amp;" · ","")&amp;IF(OR(AND(H167&lt;&gt;"",H167&lt;G167),AND(I167&lt;&gt;"",I167&lt;MAX(G167:H167)),AND(J167&lt;&gt;"",J167&lt;MAX(G167:I167))),"Avance semanal decreciente"&amp;" · ","")&amp;IF(AND(ISNUMBER(E167),E167&lt;FechaRef,N(K167)&lt;1),"Vencida"&amp;" · ","")&amp;IF(AND(ObsObligatoria="Sí",ISNUMBER(E167),E167&lt;FechaRef,N(K167)&lt;1,M167=""),"Vencida sin observación"&amp;" · ",""))-3)))</f>
        <v/>
      </c>
      <c r="O167" s="67">
        <f>IF(NOT((COUNTA($B167:$J167)+COUNTA($M167))&gt;0),"",IF(ISNUMBER($D167),DATE(YEAR($D167),MONTH($D167),1),IF(ISNUMBER($E167),DATE(YEAR($E167),MONTH($E167),1),MesCiclo)))</f>
        <v/>
      </c>
      <c r="P167" s="68">
        <f>IF(OR($O167="",$O167&lt;&gt;MesCiclo),"",COUNTIF($O$5:$O167,MesCiclo))</f>
        <v/>
      </c>
    </row>
    <row r="168">
      <c r="A168" s="60">
        <f>IF(NOT((COUNTA($B168:$J168)+COUNTA($M168))&gt;0),"",COUNTIFS($L$5:$L168,"?*",$O$5:$O168,$O168))</f>
        <v/>
      </c>
      <c r="B168" s="61" t="n"/>
      <c r="C168" s="61" t="n"/>
      <c r="D168" s="62" t="n"/>
      <c r="E168" s="62" t="n"/>
      <c r="F168" s="63" t="n"/>
      <c r="G168" s="64" t="n"/>
      <c r="H168" s="64" t="n"/>
      <c r="I168" s="64" t="n"/>
      <c r="J168" s="64" t="n"/>
      <c r="K168" s="65">
        <f>IF(NOT((COUNTA($B168:$J168)+COUNTA($M168))&gt;0),"",IFERROR(LOOKUP(2,1/(G168:J168&lt;&gt;""),G168:J168),0))</f>
        <v/>
      </c>
      <c r="L168" s="60">
        <f>IF(K168="","",IF(K168&gt;=1,"Completado",IF(K168&gt;0,"En curso","Pendiente")))</f>
        <v/>
      </c>
      <c r="M168" s="61" t="n"/>
      <c r="N168" s="66">
        <f>IF(NOT((COUNTA($B168:$J168)+COUNTA($M168))&gt;0),"",IF((IF(B168="","Macroactividad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 OK","⚠ "&amp;LEFT(IF(B168="","Macroactividad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",""),LEN(IF(B168="","Macroactividad vacía"&amp;" · ","")&amp;IF(C168="","Sin responsable"&amp;" · ","")&amp;IF(D168="","Sin fecha de inicio"&amp;" · ","")&amp;IF(E168="","Sin fecha límite"&amp;" · ","")&amp;IF(OR(AND(D168&lt;&gt;"",NOT(ISNUMBER(D168))),AND(E168&lt;&gt;"",NOT(ISNUMBER(E168)))),"Fecha no válida"&amp;" · ","")&amp;IF(AND(ISNUMBER(D168),ISNUMBER(E168),D168&gt;E168),"Inicio posterior a fecha límite"&amp;" · ","")&amp;IF(F168="","Peso vacío"&amp;" · ","")&amp;IF(AND(F168&lt;&gt;"",OR(NOT(ISNUMBER(F168)),F168&lt;=0,F168&gt;1)),"Peso fuera de rango"&amp;" · ","")&amp;IF(ABS(SUMIFS($F$5:$F$1000,$O$5:$O$1000,$O168)-1)&gt;0.0001,"Pesos del mes suman "&amp;TEXT(SUMIFS($F$5:$F$1000,$O$5:$O$1000,$O168),"0%")&amp;" · ","")&amp;IF((COUNTIF(G168:J168,"&gt;1")+COUNTIF(G168:J168,"&lt;0")+COUNTA(G168:J168)-COUNT(G168:J168))&gt;0,"Avance fuera de rango 0-100%"&amp;" · ","")&amp;IF(OR(AND(H168&lt;&gt;"",H168&lt;G168),AND(I168&lt;&gt;"",I168&lt;MAX(G168:H168)),AND(J168&lt;&gt;"",J168&lt;MAX(G168:I168))),"Avance semanal decreciente"&amp;" · ","")&amp;IF(AND(ISNUMBER(E168),E168&lt;FechaRef,N(K168)&lt;1),"Vencida"&amp;" · ","")&amp;IF(AND(ObsObligatoria="Sí",ISNUMBER(E168),E168&lt;FechaRef,N(K168)&lt;1,M168=""),"Vencida sin observación"&amp;" · ",""))-3)))</f>
        <v/>
      </c>
      <c r="O168" s="67">
        <f>IF(NOT((COUNTA($B168:$J168)+COUNTA($M168))&gt;0),"",IF(ISNUMBER($D168),DATE(YEAR($D168),MONTH($D168),1),IF(ISNUMBER($E168),DATE(YEAR($E168),MONTH($E168),1),MesCiclo)))</f>
        <v/>
      </c>
      <c r="P168" s="68">
        <f>IF(OR($O168="",$O168&lt;&gt;MesCiclo),"",COUNTIF($O$5:$O168,MesCiclo))</f>
        <v/>
      </c>
    </row>
    <row r="169">
      <c r="A169" s="60">
        <f>IF(NOT((COUNTA($B169:$J169)+COUNTA($M169))&gt;0),"",COUNTIFS($L$5:$L169,"?*",$O$5:$O169,$O169))</f>
        <v/>
      </c>
      <c r="B169" s="61" t="n"/>
      <c r="C169" s="61" t="n"/>
      <c r="D169" s="62" t="n"/>
      <c r="E169" s="62" t="n"/>
      <c r="F169" s="63" t="n"/>
      <c r="G169" s="64" t="n"/>
      <c r="H169" s="64" t="n"/>
      <c r="I169" s="64" t="n"/>
      <c r="J169" s="64" t="n"/>
      <c r="K169" s="65">
        <f>IF(NOT((COUNTA($B169:$J169)+COUNTA($M169))&gt;0),"",IFERROR(LOOKUP(2,1/(G169:J169&lt;&gt;""),G169:J169),0))</f>
        <v/>
      </c>
      <c r="L169" s="60">
        <f>IF(K169="","",IF(K169&gt;=1,"Completado",IF(K169&gt;0,"En curso","Pendiente")))</f>
        <v/>
      </c>
      <c r="M169" s="61" t="n"/>
      <c r="N169" s="66">
        <f>IF(NOT((COUNTA($B169:$J169)+COUNTA($M169))&gt;0),"",IF((IF(B169="","Macroactividad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 OK","⚠ "&amp;LEFT(IF(B169="","Macroactividad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",""),LEN(IF(B169="","Macroactividad vacía"&amp;" · ","")&amp;IF(C169="","Sin responsable"&amp;" · ","")&amp;IF(D169="","Sin fecha de inicio"&amp;" · ","")&amp;IF(E169="","Sin fecha límite"&amp;" · ","")&amp;IF(OR(AND(D169&lt;&gt;"",NOT(ISNUMBER(D169))),AND(E169&lt;&gt;"",NOT(ISNUMBER(E169)))),"Fecha no válida"&amp;" · ","")&amp;IF(AND(ISNUMBER(D169),ISNUMBER(E169),D169&gt;E169),"Inicio posterior a fecha límite"&amp;" · ","")&amp;IF(F169="","Peso vacío"&amp;" · ","")&amp;IF(AND(F169&lt;&gt;"",OR(NOT(ISNUMBER(F169)),F169&lt;=0,F169&gt;1)),"Peso fuera de rango"&amp;" · ","")&amp;IF(ABS(SUMIFS($F$5:$F$1000,$O$5:$O$1000,$O169)-1)&gt;0.0001,"Pesos del mes suman "&amp;TEXT(SUMIFS($F$5:$F$1000,$O$5:$O$1000,$O169),"0%")&amp;" · ","")&amp;IF((COUNTIF(G169:J169,"&gt;1")+COUNTIF(G169:J169,"&lt;0")+COUNTA(G169:J169)-COUNT(G169:J169))&gt;0,"Avance fuera de rango 0-100%"&amp;" · ","")&amp;IF(OR(AND(H169&lt;&gt;"",H169&lt;G169),AND(I169&lt;&gt;"",I169&lt;MAX(G169:H169)),AND(J169&lt;&gt;"",J169&lt;MAX(G169:I169))),"Avance semanal decreciente"&amp;" · ","")&amp;IF(AND(ISNUMBER(E169),E169&lt;FechaRef,N(K169)&lt;1),"Vencida"&amp;" · ","")&amp;IF(AND(ObsObligatoria="Sí",ISNUMBER(E169),E169&lt;FechaRef,N(K169)&lt;1,M169=""),"Vencida sin observación"&amp;" · ",""))-3)))</f>
        <v/>
      </c>
      <c r="O169" s="67">
        <f>IF(NOT((COUNTA($B169:$J169)+COUNTA($M169))&gt;0),"",IF(ISNUMBER($D169),DATE(YEAR($D169),MONTH($D169),1),IF(ISNUMBER($E169),DATE(YEAR($E169),MONTH($E169),1),MesCiclo)))</f>
        <v/>
      </c>
      <c r="P169" s="68">
        <f>IF(OR($O169="",$O169&lt;&gt;MesCiclo),"",COUNTIF($O$5:$O169,MesCiclo))</f>
        <v/>
      </c>
    </row>
    <row r="170">
      <c r="A170" s="60">
        <f>IF(NOT((COUNTA($B170:$J170)+COUNTA($M170))&gt;0),"",COUNTIFS($L$5:$L170,"?*",$O$5:$O170,$O170))</f>
        <v/>
      </c>
      <c r="B170" s="61" t="n"/>
      <c r="C170" s="61" t="n"/>
      <c r="D170" s="62" t="n"/>
      <c r="E170" s="62" t="n"/>
      <c r="F170" s="63" t="n"/>
      <c r="G170" s="64" t="n"/>
      <c r="H170" s="64" t="n"/>
      <c r="I170" s="64" t="n"/>
      <c r="J170" s="64" t="n"/>
      <c r="K170" s="65">
        <f>IF(NOT((COUNTA($B170:$J170)+COUNTA($M170))&gt;0),"",IFERROR(LOOKUP(2,1/(G170:J170&lt;&gt;""),G170:J170),0))</f>
        <v/>
      </c>
      <c r="L170" s="60">
        <f>IF(K170="","",IF(K170&gt;=1,"Completado",IF(K170&gt;0,"En curso","Pendiente")))</f>
        <v/>
      </c>
      <c r="M170" s="61" t="n"/>
      <c r="N170" s="66">
        <f>IF(NOT((COUNTA($B170:$J170)+COUNTA($M170))&gt;0),"",IF((IF(B170="","Macroactividad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 OK","⚠ "&amp;LEFT(IF(B170="","Macroactividad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",""),LEN(IF(B170="","Macroactividad vacía"&amp;" · ","")&amp;IF(C170="","Sin responsable"&amp;" · ","")&amp;IF(D170="","Sin fecha de inicio"&amp;" · ","")&amp;IF(E170="","Sin fecha límite"&amp;" · ","")&amp;IF(OR(AND(D170&lt;&gt;"",NOT(ISNUMBER(D170))),AND(E170&lt;&gt;"",NOT(ISNUMBER(E170)))),"Fecha no válida"&amp;" · ","")&amp;IF(AND(ISNUMBER(D170),ISNUMBER(E170),D170&gt;E170),"Inicio posterior a fecha límite"&amp;" · ","")&amp;IF(F170="","Peso vacío"&amp;" · ","")&amp;IF(AND(F170&lt;&gt;"",OR(NOT(ISNUMBER(F170)),F170&lt;=0,F170&gt;1)),"Peso fuera de rango"&amp;" · ","")&amp;IF(ABS(SUMIFS($F$5:$F$1000,$O$5:$O$1000,$O170)-1)&gt;0.0001,"Pesos del mes suman "&amp;TEXT(SUMIFS($F$5:$F$1000,$O$5:$O$1000,$O170),"0%")&amp;" · ","")&amp;IF((COUNTIF(G170:J170,"&gt;1")+COUNTIF(G170:J170,"&lt;0")+COUNTA(G170:J170)-COUNT(G170:J170))&gt;0,"Avance fuera de rango 0-100%"&amp;" · ","")&amp;IF(OR(AND(H170&lt;&gt;"",H170&lt;G170),AND(I170&lt;&gt;"",I170&lt;MAX(G170:H170)),AND(J170&lt;&gt;"",J170&lt;MAX(G170:I170))),"Avance semanal decreciente"&amp;" · ","")&amp;IF(AND(ISNUMBER(E170),E170&lt;FechaRef,N(K170)&lt;1),"Vencida"&amp;" · ","")&amp;IF(AND(ObsObligatoria="Sí",ISNUMBER(E170),E170&lt;FechaRef,N(K170)&lt;1,M170=""),"Vencida sin observación"&amp;" · ",""))-3)))</f>
        <v/>
      </c>
      <c r="O170" s="67">
        <f>IF(NOT((COUNTA($B170:$J170)+COUNTA($M170))&gt;0),"",IF(ISNUMBER($D170),DATE(YEAR($D170),MONTH($D170),1),IF(ISNUMBER($E170),DATE(YEAR($E170),MONTH($E170),1),MesCiclo)))</f>
        <v/>
      </c>
      <c r="P170" s="68">
        <f>IF(OR($O170="",$O170&lt;&gt;MesCiclo),"",COUNTIF($O$5:$O170,MesCiclo))</f>
        <v/>
      </c>
    </row>
    <row r="171">
      <c r="A171" s="60">
        <f>IF(NOT((COUNTA($B171:$J171)+COUNTA($M171))&gt;0),"",COUNTIFS($L$5:$L171,"?*",$O$5:$O171,$O171))</f>
        <v/>
      </c>
      <c r="B171" s="61" t="n"/>
      <c r="C171" s="61" t="n"/>
      <c r="D171" s="62" t="n"/>
      <c r="E171" s="62" t="n"/>
      <c r="F171" s="63" t="n"/>
      <c r="G171" s="64" t="n"/>
      <c r="H171" s="64" t="n"/>
      <c r="I171" s="64" t="n"/>
      <c r="J171" s="64" t="n"/>
      <c r="K171" s="65">
        <f>IF(NOT((COUNTA($B171:$J171)+COUNTA($M171))&gt;0),"",IFERROR(LOOKUP(2,1/(G171:J171&lt;&gt;""),G171:J171),0))</f>
        <v/>
      </c>
      <c r="L171" s="60">
        <f>IF(K171="","",IF(K171&gt;=1,"Completado",IF(K171&gt;0,"En curso","Pendiente")))</f>
        <v/>
      </c>
      <c r="M171" s="61" t="n"/>
      <c r="N171" s="66">
        <f>IF(NOT((COUNTA($B171:$J171)+COUNTA($M171))&gt;0),"",IF((IF(B171="","Macroactividad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 OK","⚠ "&amp;LEFT(IF(B171="","Macroactividad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",""),LEN(IF(B171="","Macroactividad vacía"&amp;" · ","")&amp;IF(C171="","Sin responsable"&amp;" · ","")&amp;IF(D171="","Sin fecha de inicio"&amp;" · ","")&amp;IF(E171="","Sin fecha límite"&amp;" · ","")&amp;IF(OR(AND(D171&lt;&gt;"",NOT(ISNUMBER(D171))),AND(E171&lt;&gt;"",NOT(ISNUMBER(E171)))),"Fecha no válida"&amp;" · ","")&amp;IF(AND(ISNUMBER(D171),ISNUMBER(E171),D171&gt;E171),"Inicio posterior a fecha límite"&amp;" · ","")&amp;IF(F171="","Peso vacío"&amp;" · ","")&amp;IF(AND(F171&lt;&gt;"",OR(NOT(ISNUMBER(F171)),F171&lt;=0,F171&gt;1)),"Peso fuera de rango"&amp;" · ","")&amp;IF(ABS(SUMIFS($F$5:$F$1000,$O$5:$O$1000,$O171)-1)&gt;0.0001,"Pesos del mes suman "&amp;TEXT(SUMIFS($F$5:$F$1000,$O$5:$O$1000,$O171),"0%")&amp;" · ","")&amp;IF((COUNTIF(G171:J171,"&gt;1")+COUNTIF(G171:J171,"&lt;0")+COUNTA(G171:J171)-COUNT(G171:J171))&gt;0,"Avance fuera de rango 0-100%"&amp;" · ","")&amp;IF(OR(AND(H171&lt;&gt;"",H171&lt;G171),AND(I171&lt;&gt;"",I171&lt;MAX(G171:H171)),AND(J171&lt;&gt;"",J171&lt;MAX(G171:I171))),"Avance semanal decreciente"&amp;" · ","")&amp;IF(AND(ISNUMBER(E171),E171&lt;FechaRef,N(K171)&lt;1),"Vencida"&amp;" · ","")&amp;IF(AND(ObsObligatoria="Sí",ISNUMBER(E171),E171&lt;FechaRef,N(K171)&lt;1,M171=""),"Vencida sin observación"&amp;" · ",""))-3)))</f>
        <v/>
      </c>
      <c r="O171" s="67">
        <f>IF(NOT((COUNTA($B171:$J171)+COUNTA($M171))&gt;0),"",IF(ISNUMBER($D171),DATE(YEAR($D171),MONTH($D171),1),IF(ISNUMBER($E171),DATE(YEAR($E171),MONTH($E171),1),MesCiclo)))</f>
        <v/>
      </c>
      <c r="P171" s="68">
        <f>IF(OR($O171="",$O171&lt;&gt;MesCiclo),"",COUNTIF($O$5:$O171,MesCiclo))</f>
        <v/>
      </c>
    </row>
    <row r="172">
      <c r="A172" s="60">
        <f>IF(NOT((COUNTA($B172:$J172)+COUNTA($M172))&gt;0),"",COUNTIFS($L$5:$L172,"?*",$O$5:$O172,$O172))</f>
        <v/>
      </c>
      <c r="B172" s="61" t="n"/>
      <c r="C172" s="61" t="n"/>
      <c r="D172" s="62" t="n"/>
      <c r="E172" s="62" t="n"/>
      <c r="F172" s="63" t="n"/>
      <c r="G172" s="64" t="n"/>
      <c r="H172" s="64" t="n"/>
      <c r="I172" s="64" t="n"/>
      <c r="J172" s="64" t="n"/>
      <c r="K172" s="65">
        <f>IF(NOT((COUNTA($B172:$J172)+COUNTA($M172))&gt;0),"",IFERROR(LOOKUP(2,1/(G172:J172&lt;&gt;""),G172:J172),0))</f>
        <v/>
      </c>
      <c r="L172" s="60">
        <f>IF(K172="","",IF(K172&gt;=1,"Completado",IF(K172&gt;0,"En curso","Pendiente")))</f>
        <v/>
      </c>
      <c r="M172" s="61" t="n"/>
      <c r="N172" s="66">
        <f>IF(NOT((COUNTA($B172:$J172)+COUNTA($M172))&gt;0),"",IF((IF(B172="","Macroactividad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 OK","⚠ "&amp;LEFT(IF(B172="","Macroactividad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",""),LEN(IF(B172="","Macroactividad vacía"&amp;" · ","")&amp;IF(C172="","Sin responsable"&amp;" · ","")&amp;IF(D172="","Sin fecha de inicio"&amp;" · ","")&amp;IF(E172="","Sin fecha límite"&amp;" · ","")&amp;IF(OR(AND(D172&lt;&gt;"",NOT(ISNUMBER(D172))),AND(E172&lt;&gt;"",NOT(ISNUMBER(E172)))),"Fecha no válida"&amp;" · ","")&amp;IF(AND(ISNUMBER(D172),ISNUMBER(E172),D172&gt;E172),"Inicio posterior a fecha límite"&amp;" · ","")&amp;IF(F172="","Peso vacío"&amp;" · ","")&amp;IF(AND(F172&lt;&gt;"",OR(NOT(ISNUMBER(F172)),F172&lt;=0,F172&gt;1)),"Peso fuera de rango"&amp;" · ","")&amp;IF(ABS(SUMIFS($F$5:$F$1000,$O$5:$O$1000,$O172)-1)&gt;0.0001,"Pesos del mes suman "&amp;TEXT(SUMIFS($F$5:$F$1000,$O$5:$O$1000,$O172),"0%")&amp;" · ","")&amp;IF((COUNTIF(G172:J172,"&gt;1")+COUNTIF(G172:J172,"&lt;0")+COUNTA(G172:J172)-COUNT(G172:J172))&gt;0,"Avance fuera de rango 0-100%"&amp;" · ","")&amp;IF(OR(AND(H172&lt;&gt;"",H172&lt;G172),AND(I172&lt;&gt;"",I172&lt;MAX(G172:H172)),AND(J172&lt;&gt;"",J172&lt;MAX(G172:I172))),"Avance semanal decreciente"&amp;" · ","")&amp;IF(AND(ISNUMBER(E172),E172&lt;FechaRef,N(K172)&lt;1),"Vencida"&amp;" · ","")&amp;IF(AND(ObsObligatoria="Sí",ISNUMBER(E172),E172&lt;FechaRef,N(K172)&lt;1,M172=""),"Vencida sin observación"&amp;" · ",""))-3)))</f>
        <v/>
      </c>
      <c r="O172" s="67">
        <f>IF(NOT((COUNTA($B172:$J172)+COUNTA($M172))&gt;0),"",IF(ISNUMBER($D172),DATE(YEAR($D172),MONTH($D172),1),IF(ISNUMBER($E172),DATE(YEAR($E172),MONTH($E172),1),MesCiclo)))</f>
        <v/>
      </c>
      <c r="P172" s="68">
        <f>IF(OR($O172="",$O172&lt;&gt;MesCiclo),"",COUNTIF($O$5:$O172,MesCiclo))</f>
        <v/>
      </c>
    </row>
    <row r="173">
      <c r="A173" s="60">
        <f>IF(NOT((COUNTA($B173:$J173)+COUNTA($M173))&gt;0),"",COUNTIFS($L$5:$L173,"?*",$O$5:$O173,$O173))</f>
        <v/>
      </c>
      <c r="B173" s="61" t="n"/>
      <c r="C173" s="61" t="n"/>
      <c r="D173" s="62" t="n"/>
      <c r="E173" s="62" t="n"/>
      <c r="F173" s="63" t="n"/>
      <c r="G173" s="64" t="n"/>
      <c r="H173" s="64" t="n"/>
      <c r="I173" s="64" t="n"/>
      <c r="J173" s="64" t="n"/>
      <c r="K173" s="65">
        <f>IF(NOT((COUNTA($B173:$J173)+COUNTA($M173))&gt;0),"",IFERROR(LOOKUP(2,1/(G173:J173&lt;&gt;""),G173:J173),0))</f>
        <v/>
      </c>
      <c r="L173" s="60">
        <f>IF(K173="","",IF(K173&gt;=1,"Completado",IF(K173&gt;0,"En curso","Pendiente")))</f>
        <v/>
      </c>
      <c r="M173" s="61" t="n"/>
      <c r="N173" s="66">
        <f>IF(NOT((COUNTA($B173:$J173)+COUNTA($M173))&gt;0),"",IF((IF(B173="","Macroactividad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 OK","⚠ "&amp;LEFT(IF(B173="","Macroactividad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",""),LEN(IF(B173="","Macroactividad vacía"&amp;" · ","")&amp;IF(C173="","Sin responsable"&amp;" · ","")&amp;IF(D173="","Sin fecha de inicio"&amp;" · ","")&amp;IF(E173="","Sin fecha límite"&amp;" · ","")&amp;IF(OR(AND(D173&lt;&gt;"",NOT(ISNUMBER(D173))),AND(E173&lt;&gt;"",NOT(ISNUMBER(E173)))),"Fecha no válida"&amp;" · ","")&amp;IF(AND(ISNUMBER(D173),ISNUMBER(E173),D173&gt;E173),"Inicio posterior a fecha límite"&amp;" · ","")&amp;IF(F173="","Peso vacío"&amp;" · ","")&amp;IF(AND(F173&lt;&gt;"",OR(NOT(ISNUMBER(F173)),F173&lt;=0,F173&gt;1)),"Peso fuera de rango"&amp;" · ","")&amp;IF(ABS(SUMIFS($F$5:$F$1000,$O$5:$O$1000,$O173)-1)&gt;0.0001,"Pesos del mes suman "&amp;TEXT(SUMIFS($F$5:$F$1000,$O$5:$O$1000,$O173),"0%")&amp;" · ","")&amp;IF((COUNTIF(G173:J173,"&gt;1")+COUNTIF(G173:J173,"&lt;0")+COUNTA(G173:J173)-COUNT(G173:J173))&gt;0,"Avance fuera de rango 0-100%"&amp;" · ","")&amp;IF(OR(AND(H173&lt;&gt;"",H173&lt;G173),AND(I173&lt;&gt;"",I173&lt;MAX(G173:H173)),AND(J173&lt;&gt;"",J173&lt;MAX(G173:I173))),"Avance semanal decreciente"&amp;" · ","")&amp;IF(AND(ISNUMBER(E173),E173&lt;FechaRef,N(K173)&lt;1),"Vencida"&amp;" · ","")&amp;IF(AND(ObsObligatoria="Sí",ISNUMBER(E173),E173&lt;FechaRef,N(K173)&lt;1,M173=""),"Vencida sin observación"&amp;" · ",""))-3)))</f>
        <v/>
      </c>
      <c r="O173" s="67">
        <f>IF(NOT((COUNTA($B173:$J173)+COUNTA($M173))&gt;0),"",IF(ISNUMBER($D173),DATE(YEAR($D173),MONTH($D173),1),IF(ISNUMBER($E173),DATE(YEAR($E173),MONTH($E173),1),MesCiclo)))</f>
        <v/>
      </c>
      <c r="P173" s="68">
        <f>IF(OR($O173="",$O173&lt;&gt;MesCiclo),"",COUNTIF($O$5:$O173,MesCiclo))</f>
        <v/>
      </c>
    </row>
    <row r="174">
      <c r="A174" s="60">
        <f>IF(NOT((COUNTA($B174:$J174)+COUNTA($M174))&gt;0),"",COUNTIFS($L$5:$L174,"?*",$O$5:$O174,$O174))</f>
        <v/>
      </c>
      <c r="B174" s="61" t="n"/>
      <c r="C174" s="61" t="n"/>
      <c r="D174" s="62" t="n"/>
      <c r="E174" s="62" t="n"/>
      <c r="F174" s="63" t="n"/>
      <c r="G174" s="64" t="n"/>
      <c r="H174" s="64" t="n"/>
      <c r="I174" s="64" t="n"/>
      <c r="J174" s="64" t="n"/>
      <c r="K174" s="65">
        <f>IF(NOT((COUNTA($B174:$J174)+COUNTA($M174))&gt;0),"",IFERROR(LOOKUP(2,1/(G174:J174&lt;&gt;""),G174:J174),0))</f>
        <v/>
      </c>
      <c r="L174" s="60">
        <f>IF(K174="","",IF(K174&gt;=1,"Completado",IF(K174&gt;0,"En curso","Pendiente")))</f>
        <v/>
      </c>
      <c r="M174" s="61" t="n"/>
      <c r="N174" s="66">
        <f>IF(NOT((COUNTA($B174:$J174)+COUNTA($M174))&gt;0),"",IF((IF(B174="","Macroactividad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 OK","⚠ "&amp;LEFT(IF(B174="","Macroactividad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",""),LEN(IF(B174="","Macroactividad vacía"&amp;" · ","")&amp;IF(C174="","Sin responsable"&amp;" · ","")&amp;IF(D174="","Sin fecha de inicio"&amp;" · ","")&amp;IF(E174="","Sin fecha límite"&amp;" · ","")&amp;IF(OR(AND(D174&lt;&gt;"",NOT(ISNUMBER(D174))),AND(E174&lt;&gt;"",NOT(ISNUMBER(E174)))),"Fecha no válida"&amp;" · ","")&amp;IF(AND(ISNUMBER(D174),ISNUMBER(E174),D174&gt;E174),"Inicio posterior a fecha límite"&amp;" · ","")&amp;IF(F174="","Peso vacío"&amp;" · ","")&amp;IF(AND(F174&lt;&gt;"",OR(NOT(ISNUMBER(F174)),F174&lt;=0,F174&gt;1)),"Peso fuera de rango"&amp;" · ","")&amp;IF(ABS(SUMIFS($F$5:$F$1000,$O$5:$O$1000,$O174)-1)&gt;0.0001,"Pesos del mes suman "&amp;TEXT(SUMIFS($F$5:$F$1000,$O$5:$O$1000,$O174),"0%")&amp;" · ","")&amp;IF((COUNTIF(G174:J174,"&gt;1")+COUNTIF(G174:J174,"&lt;0")+COUNTA(G174:J174)-COUNT(G174:J174))&gt;0,"Avance fuera de rango 0-100%"&amp;" · ","")&amp;IF(OR(AND(H174&lt;&gt;"",H174&lt;G174),AND(I174&lt;&gt;"",I174&lt;MAX(G174:H174)),AND(J174&lt;&gt;"",J174&lt;MAX(G174:I174))),"Avance semanal decreciente"&amp;" · ","")&amp;IF(AND(ISNUMBER(E174),E174&lt;FechaRef,N(K174)&lt;1),"Vencida"&amp;" · ","")&amp;IF(AND(ObsObligatoria="Sí",ISNUMBER(E174),E174&lt;FechaRef,N(K174)&lt;1,M174=""),"Vencida sin observación"&amp;" · ",""))-3)))</f>
        <v/>
      </c>
      <c r="O174" s="67">
        <f>IF(NOT((COUNTA($B174:$J174)+COUNTA($M174))&gt;0),"",IF(ISNUMBER($D174),DATE(YEAR($D174),MONTH($D174),1),IF(ISNUMBER($E174),DATE(YEAR($E174),MONTH($E174),1),MesCiclo)))</f>
        <v/>
      </c>
      <c r="P174" s="68">
        <f>IF(OR($O174="",$O174&lt;&gt;MesCiclo),"",COUNTIF($O$5:$O174,MesCiclo))</f>
        <v/>
      </c>
    </row>
    <row r="175">
      <c r="A175" s="60">
        <f>IF(NOT((COUNTA($B175:$J175)+COUNTA($M175))&gt;0),"",COUNTIFS($L$5:$L175,"?*",$O$5:$O175,$O175))</f>
        <v/>
      </c>
      <c r="B175" s="61" t="n"/>
      <c r="C175" s="61" t="n"/>
      <c r="D175" s="62" t="n"/>
      <c r="E175" s="62" t="n"/>
      <c r="F175" s="63" t="n"/>
      <c r="G175" s="64" t="n"/>
      <c r="H175" s="64" t="n"/>
      <c r="I175" s="64" t="n"/>
      <c r="J175" s="64" t="n"/>
      <c r="K175" s="65">
        <f>IF(NOT((COUNTA($B175:$J175)+COUNTA($M175))&gt;0),"",IFERROR(LOOKUP(2,1/(G175:J175&lt;&gt;""),G175:J175),0))</f>
        <v/>
      </c>
      <c r="L175" s="60">
        <f>IF(K175="","",IF(K175&gt;=1,"Completado",IF(K175&gt;0,"En curso","Pendiente")))</f>
        <v/>
      </c>
      <c r="M175" s="61" t="n"/>
      <c r="N175" s="66">
        <f>IF(NOT((COUNTA($B175:$J175)+COUNTA($M175))&gt;0),"",IF((IF(B175="","Macroactividad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 OK","⚠ "&amp;LEFT(IF(B175="","Macroactividad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",""),LEN(IF(B175="","Macroactividad vacía"&amp;" · ","")&amp;IF(C175="","Sin responsable"&amp;" · ","")&amp;IF(D175="","Sin fecha de inicio"&amp;" · ","")&amp;IF(E175="","Sin fecha límite"&amp;" · ","")&amp;IF(OR(AND(D175&lt;&gt;"",NOT(ISNUMBER(D175))),AND(E175&lt;&gt;"",NOT(ISNUMBER(E175)))),"Fecha no válida"&amp;" · ","")&amp;IF(AND(ISNUMBER(D175),ISNUMBER(E175),D175&gt;E175),"Inicio posterior a fecha límite"&amp;" · ","")&amp;IF(F175="","Peso vacío"&amp;" · ","")&amp;IF(AND(F175&lt;&gt;"",OR(NOT(ISNUMBER(F175)),F175&lt;=0,F175&gt;1)),"Peso fuera de rango"&amp;" · ","")&amp;IF(ABS(SUMIFS($F$5:$F$1000,$O$5:$O$1000,$O175)-1)&gt;0.0001,"Pesos del mes suman "&amp;TEXT(SUMIFS($F$5:$F$1000,$O$5:$O$1000,$O175),"0%")&amp;" · ","")&amp;IF((COUNTIF(G175:J175,"&gt;1")+COUNTIF(G175:J175,"&lt;0")+COUNTA(G175:J175)-COUNT(G175:J175))&gt;0,"Avance fuera de rango 0-100%"&amp;" · ","")&amp;IF(OR(AND(H175&lt;&gt;"",H175&lt;G175),AND(I175&lt;&gt;"",I175&lt;MAX(G175:H175)),AND(J175&lt;&gt;"",J175&lt;MAX(G175:I175))),"Avance semanal decreciente"&amp;" · ","")&amp;IF(AND(ISNUMBER(E175),E175&lt;FechaRef,N(K175)&lt;1),"Vencida"&amp;" · ","")&amp;IF(AND(ObsObligatoria="Sí",ISNUMBER(E175),E175&lt;FechaRef,N(K175)&lt;1,M175=""),"Vencida sin observación"&amp;" · ",""))-3)))</f>
        <v/>
      </c>
      <c r="O175" s="67">
        <f>IF(NOT((COUNTA($B175:$J175)+COUNTA($M175))&gt;0),"",IF(ISNUMBER($D175),DATE(YEAR($D175),MONTH($D175),1),IF(ISNUMBER($E175),DATE(YEAR($E175),MONTH($E175),1),MesCiclo)))</f>
        <v/>
      </c>
      <c r="P175" s="68">
        <f>IF(OR($O175="",$O175&lt;&gt;MesCiclo),"",COUNTIF($O$5:$O175,MesCiclo))</f>
        <v/>
      </c>
    </row>
    <row r="176">
      <c r="A176" s="60">
        <f>IF(NOT((COUNTA($B176:$J176)+COUNTA($M176))&gt;0),"",COUNTIFS($L$5:$L176,"?*",$O$5:$O176,$O176))</f>
        <v/>
      </c>
      <c r="B176" s="61" t="n"/>
      <c r="C176" s="61" t="n"/>
      <c r="D176" s="62" t="n"/>
      <c r="E176" s="62" t="n"/>
      <c r="F176" s="63" t="n"/>
      <c r="G176" s="64" t="n"/>
      <c r="H176" s="64" t="n"/>
      <c r="I176" s="64" t="n"/>
      <c r="J176" s="64" t="n"/>
      <c r="K176" s="65">
        <f>IF(NOT((COUNTA($B176:$J176)+COUNTA($M176))&gt;0),"",IFERROR(LOOKUP(2,1/(G176:J176&lt;&gt;""),G176:J176),0))</f>
        <v/>
      </c>
      <c r="L176" s="60">
        <f>IF(K176="","",IF(K176&gt;=1,"Completado",IF(K176&gt;0,"En curso","Pendiente")))</f>
        <v/>
      </c>
      <c r="M176" s="61" t="n"/>
      <c r="N176" s="66">
        <f>IF(NOT((COUNTA($B176:$J176)+COUNTA($M176))&gt;0),"",IF((IF(B176="","Macroactividad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 OK","⚠ "&amp;LEFT(IF(B176="","Macroactividad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",""),LEN(IF(B176="","Macroactividad vacía"&amp;" · ","")&amp;IF(C176="","Sin responsable"&amp;" · ","")&amp;IF(D176="","Sin fecha de inicio"&amp;" · ","")&amp;IF(E176="","Sin fecha límite"&amp;" · ","")&amp;IF(OR(AND(D176&lt;&gt;"",NOT(ISNUMBER(D176))),AND(E176&lt;&gt;"",NOT(ISNUMBER(E176)))),"Fecha no válida"&amp;" · ","")&amp;IF(AND(ISNUMBER(D176),ISNUMBER(E176),D176&gt;E176),"Inicio posterior a fecha límite"&amp;" · ","")&amp;IF(F176="","Peso vacío"&amp;" · ","")&amp;IF(AND(F176&lt;&gt;"",OR(NOT(ISNUMBER(F176)),F176&lt;=0,F176&gt;1)),"Peso fuera de rango"&amp;" · ","")&amp;IF(ABS(SUMIFS($F$5:$F$1000,$O$5:$O$1000,$O176)-1)&gt;0.0001,"Pesos del mes suman "&amp;TEXT(SUMIFS($F$5:$F$1000,$O$5:$O$1000,$O176),"0%")&amp;" · ","")&amp;IF((COUNTIF(G176:J176,"&gt;1")+COUNTIF(G176:J176,"&lt;0")+COUNTA(G176:J176)-COUNT(G176:J176))&gt;0,"Avance fuera de rango 0-100%"&amp;" · ","")&amp;IF(OR(AND(H176&lt;&gt;"",H176&lt;G176),AND(I176&lt;&gt;"",I176&lt;MAX(G176:H176)),AND(J176&lt;&gt;"",J176&lt;MAX(G176:I176))),"Avance semanal decreciente"&amp;" · ","")&amp;IF(AND(ISNUMBER(E176),E176&lt;FechaRef,N(K176)&lt;1),"Vencida"&amp;" · ","")&amp;IF(AND(ObsObligatoria="Sí",ISNUMBER(E176),E176&lt;FechaRef,N(K176)&lt;1,M176=""),"Vencida sin observación"&amp;" · ",""))-3)))</f>
        <v/>
      </c>
      <c r="O176" s="67">
        <f>IF(NOT((COUNTA($B176:$J176)+COUNTA($M176))&gt;0),"",IF(ISNUMBER($D176),DATE(YEAR($D176),MONTH($D176),1),IF(ISNUMBER($E176),DATE(YEAR($E176),MONTH($E176),1),MesCiclo)))</f>
        <v/>
      </c>
      <c r="P176" s="68">
        <f>IF(OR($O176="",$O176&lt;&gt;MesCiclo),"",COUNTIF($O$5:$O176,MesCiclo))</f>
        <v/>
      </c>
    </row>
    <row r="177">
      <c r="A177" s="60">
        <f>IF(NOT((COUNTA($B177:$J177)+COUNTA($M177))&gt;0),"",COUNTIFS($L$5:$L177,"?*",$O$5:$O177,$O177))</f>
        <v/>
      </c>
      <c r="B177" s="61" t="n"/>
      <c r="C177" s="61" t="n"/>
      <c r="D177" s="62" t="n"/>
      <c r="E177" s="62" t="n"/>
      <c r="F177" s="63" t="n"/>
      <c r="G177" s="64" t="n"/>
      <c r="H177" s="64" t="n"/>
      <c r="I177" s="64" t="n"/>
      <c r="J177" s="64" t="n"/>
      <c r="K177" s="65">
        <f>IF(NOT((COUNTA($B177:$J177)+COUNTA($M177))&gt;0),"",IFERROR(LOOKUP(2,1/(G177:J177&lt;&gt;""),G177:J177),0))</f>
        <v/>
      </c>
      <c r="L177" s="60">
        <f>IF(K177="","",IF(K177&gt;=1,"Completado",IF(K177&gt;0,"En curso","Pendiente")))</f>
        <v/>
      </c>
      <c r="M177" s="61" t="n"/>
      <c r="N177" s="66">
        <f>IF(NOT((COUNTA($B177:$J177)+COUNTA($M177))&gt;0),"",IF((IF(B177="","Macroactividad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 OK","⚠ "&amp;LEFT(IF(B177="","Macroactividad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",""),LEN(IF(B177="","Macroactividad vacía"&amp;" · ","")&amp;IF(C177="","Sin responsable"&amp;" · ","")&amp;IF(D177="","Sin fecha de inicio"&amp;" · ","")&amp;IF(E177="","Sin fecha límite"&amp;" · ","")&amp;IF(OR(AND(D177&lt;&gt;"",NOT(ISNUMBER(D177))),AND(E177&lt;&gt;"",NOT(ISNUMBER(E177)))),"Fecha no válida"&amp;" · ","")&amp;IF(AND(ISNUMBER(D177),ISNUMBER(E177),D177&gt;E177),"Inicio posterior a fecha límite"&amp;" · ","")&amp;IF(F177="","Peso vacío"&amp;" · ","")&amp;IF(AND(F177&lt;&gt;"",OR(NOT(ISNUMBER(F177)),F177&lt;=0,F177&gt;1)),"Peso fuera de rango"&amp;" · ","")&amp;IF(ABS(SUMIFS($F$5:$F$1000,$O$5:$O$1000,$O177)-1)&gt;0.0001,"Pesos del mes suman "&amp;TEXT(SUMIFS($F$5:$F$1000,$O$5:$O$1000,$O177),"0%")&amp;" · ","")&amp;IF((COUNTIF(G177:J177,"&gt;1")+COUNTIF(G177:J177,"&lt;0")+COUNTA(G177:J177)-COUNT(G177:J177))&gt;0,"Avance fuera de rango 0-100%"&amp;" · ","")&amp;IF(OR(AND(H177&lt;&gt;"",H177&lt;G177),AND(I177&lt;&gt;"",I177&lt;MAX(G177:H177)),AND(J177&lt;&gt;"",J177&lt;MAX(G177:I177))),"Avance semanal decreciente"&amp;" · ","")&amp;IF(AND(ISNUMBER(E177),E177&lt;FechaRef,N(K177)&lt;1),"Vencida"&amp;" · ","")&amp;IF(AND(ObsObligatoria="Sí",ISNUMBER(E177),E177&lt;FechaRef,N(K177)&lt;1,M177=""),"Vencida sin observación"&amp;" · ",""))-3)))</f>
        <v/>
      </c>
      <c r="O177" s="67">
        <f>IF(NOT((COUNTA($B177:$J177)+COUNTA($M177))&gt;0),"",IF(ISNUMBER($D177),DATE(YEAR($D177),MONTH($D177),1),IF(ISNUMBER($E177),DATE(YEAR($E177),MONTH($E177),1),MesCiclo)))</f>
        <v/>
      </c>
      <c r="P177" s="68">
        <f>IF(OR($O177="",$O177&lt;&gt;MesCiclo),"",COUNTIF($O$5:$O177,MesCiclo))</f>
        <v/>
      </c>
    </row>
    <row r="178">
      <c r="A178" s="60">
        <f>IF(NOT((COUNTA($B178:$J178)+COUNTA($M178))&gt;0),"",COUNTIFS($L$5:$L178,"?*",$O$5:$O178,$O178))</f>
        <v/>
      </c>
      <c r="B178" s="61" t="n"/>
      <c r="C178" s="61" t="n"/>
      <c r="D178" s="62" t="n"/>
      <c r="E178" s="62" t="n"/>
      <c r="F178" s="63" t="n"/>
      <c r="G178" s="64" t="n"/>
      <c r="H178" s="64" t="n"/>
      <c r="I178" s="64" t="n"/>
      <c r="J178" s="64" t="n"/>
      <c r="K178" s="65">
        <f>IF(NOT((COUNTA($B178:$J178)+COUNTA($M178))&gt;0),"",IFERROR(LOOKUP(2,1/(G178:J178&lt;&gt;""),G178:J178),0))</f>
        <v/>
      </c>
      <c r="L178" s="60">
        <f>IF(K178="","",IF(K178&gt;=1,"Completado",IF(K178&gt;0,"En curso","Pendiente")))</f>
        <v/>
      </c>
      <c r="M178" s="61" t="n"/>
      <c r="N178" s="66">
        <f>IF(NOT((COUNTA($B178:$J178)+COUNTA($M178))&gt;0),"",IF((IF(B178="","Macroactividad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 OK","⚠ "&amp;LEFT(IF(B178="","Macroactividad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",""),LEN(IF(B178="","Macroactividad vacía"&amp;" · ","")&amp;IF(C178="","Sin responsable"&amp;" · ","")&amp;IF(D178="","Sin fecha de inicio"&amp;" · ","")&amp;IF(E178="","Sin fecha límite"&amp;" · ","")&amp;IF(OR(AND(D178&lt;&gt;"",NOT(ISNUMBER(D178))),AND(E178&lt;&gt;"",NOT(ISNUMBER(E178)))),"Fecha no válida"&amp;" · ","")&amp;IF(AND(ISNUMBER(D178),ISNUMBER(E178),D178&gt;E178),"Inicio posterior a fecha límite"&amp;" · ","")&amp;IF(F178="","Peso vacío"&amp;" · ","")&amp;IF(AND(F178&lt;&gt;"",OR(NOT(ISNUMBER(F178)),F178&lt;=0,F178&gt;1)),"Peso fuera de rango"&amp;" · ","")&amp;IF(ABS(SUMIFS($F$5:$F$1000,$O$5:$O$1000,$O178)-1)&gt;0.0001,"Pesos del mes suman "&amp;TEXT(SUMIFS($F$5:$F$1000,$O$5:$O$1000,$O178),"0%")&amp;" · ","")&amp;IF((COUNTIF(G178:J178,"&gt;1")+COUNTIF(G178:J178,"&lt;0")+COUNTA(G178:J178)-COUNT(G178:J178))&gt;0,"Avance fuera de rango 0-100%"&amp;" · ","")&amp;IF(OR(AND(H178&lt;&gt;"",H178&lt;G178),AND(I178&lt;&gt;"",I178&lt;MAX(G178:H178)),AND(J178&lt;&gt;"",J178&lt;MAX(G178:I178))),"Avance semanal decreciente"&amp;" · ","")&amp;IF(AND(ISNUMBER(E178),E178&lt;FechaRef,N(K178)&lt;1),"Vencida"&amp;" · ","")&amp;IF(AND(ObsObligatoria="Sí",ISNUMBER(E178),E178&lt;FechaRef,N(K178)&lt;1,M178=""),"Vencida sin observación"&amp;" · ",""))-3)))</f>
        <v/>
      </c>
      <c r="O178" s="67">
        <f>IF(NOT((COUNTA($B178:$J178)+COUNTA($M178))&gt;0),"",IF(ISNUMBER($D178),DATE(YEAR($D178),MONTH($D178),1),IF(ISNUMBER($E178),DATE(YEAR($E178),MONTH($E178),1),MesCiclo)))</f>
        <v/>
      </c>
      <c r="P178" s="68">
        <f>IF(OR($O178="",$O178&lt;&gt;MesCiclo),"",COUNTIF($O$5:$O178,MesCiclo))</f>
        <v/>
      </c>
    </row>
    <row r="179">
      <c r="A179" s="60">
        <f>IF(NOT((COUNTA($B179:$J179)+COUNTA($M179))&gt;0),"",COUNTIFS($L$5:$L179,"?*",$O$5:$O179,$O179))</f>
        <v/>
      </c>
      <c r="B179" s="61" t="n"/>
      <c r="C179" s="61" t="n"/>
      <c r="D179" s="62" t="n"/>
      <c r="E179" s="62" t="n"/>
      <c r="F179" s="63" t="n"/>
      <c r="G179" s="64" t="n"/>
      <c r="H179" s="64" t="n"/>
      <c r="I179" s="64" t="n"/>
      <c r="J179" s="64" t="n"/>
      <c r="K179" s="65">
        <f>IF(NOT((COUNTA($B179:$J179)+COUNTA($M179))&gt;0),"",IFERROR(LOOKUP(2,1/(G179:J179&lt;&gt;""),G179:J179),0))</f>
        <v/>
      </c>
      <c r="L179" s="60">
        <f>IF(K179="","",IF(K179&gt;=1,"Completado",IF(K179&gt;0,"En curso","Pendiente")))</f>
        <v/>
      </c>
      <c r="M179" s="61" t="n"/>
      <c r="N179" s="66">
        <f>IF(NOT((COUNTA($B179:$J179)+COUNTA($M179))&gt;0),"",IF((IF(B179="","Macroactividad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 OK","⚠ "&amp;LEFT(IF(B179="","Macroactividad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",""),LEN(IF(B179="","Macroactividad vacía"&amp;" · ","")&amp;IF(C179="","Sin responsable"&amp;" · ","")&amp;IF(D179="","Sin fecha de inicio"&amp;" · ","")&amp;IF(E179="","Sin fecha límite"&amp;" · ","")&amp;IF(OR(AND(D179&lt;&gt;"",NOT(ISNUMBER(D179))),AND(E179&lt;&gt;"",NOT(ISNUMBER(E179)))),"Fecha no válida"&amp;" · ","")&amp;IF(AND(ISNUMBER(D179),ISNUMBER(E179),D179&gt;E179),"Inicio posterior a fecha límite"&amp;" · ","")&amp;IF(F179="","Peso vacío"&amp;" · ","")&amp;IF(AND(F179&lt;&gt;"",OR(NOT(ISNUMBER(F179)),F179&lt;=0,F179&gt;1)),"Peso fuera de rango"&amp;" · ","")&amp;IF(ABS(SUMIFS($F$5:$F$1000,$O$5:$O$1000,$O179)-1)&gt;0.0001,"Pesos del mes suman "&amp;TEXT(SUMIFS($F$5:$F$1000,$O$5:$O$1000,$O179),"0%")&amp;" · ","")&amp;IF((COUNTIF(G179:J179,"&gt;1")+COUNTIF(G179:J179,"&lt;0")+COUNTA(G179:J179)-COUNT(G179:J179))&gt;0,"Avance fuera de rango 0-100%"&amp;" · ","")&amp;IF(OR(AND(H179&lt;&gt;"",H179&lt;G179),AND(I179&lt;&gt;"",I179&lt;MAX(G179:H179)),AND(J179&lt;&gt;"",J179&lt;MAX(G179:I179))),"Avance semanal decreciente"&amp;" · ","")&amp;IF(AND(ISNUMBER(E179),E179&lt;FechaRef,N(K179)&lt;1),"Vencida"&amp;" · ","")&amp;IF(AND(ObsObligatoria="Sí",ISNUMBER(E179),E179&lt;FechaRef,N(K179)&lt;1,M179=""),"Vencida sin observación"&amp;" · ",""))-3)))</f>
        <v/>
      </c>
      <c r="O179" s="67">
        <f>IF(NOT((COUNTA($B179:$J179)+COUNTA($M179))&gt;0),"",IF(ISNUMBER($D179),DATE(YEAR($D179),MONTH($D179),1),IF(ISNUMBER($E179),DATE(YEAR($E179),MONTH($E179),1),MesCiclo)))</f>
        <v/>
      </c>
      <c r="P179" s="68">
        <f>IF(OR($O179="",$O179&lt;&gt;MesCiclo),"",COUNTIF($O$5:$O179,MesCiclo))</f>
        <v/>
      </c>
    </row>
    <row r="180">
      <c r="A180" s="60">
        <f>IF(NOT((COUNTA($B180:$J180)+COUNTA($M180))&gt;0),"",COUNTIFS($L$5:$L180,"?*",$O$5:$O180,$O180))</f>
        <v/>
      </c>
      <c r="B180" s="61" t="n"/>
      <c r="C180" s="61" t="n"/>
      <c r="D180" s="62" t="n"/>
      <c r="E180" s="62" t="n"/>
      <c r="F180" s="63" t="n"/>
      <c r="G180" s="64" t="n"/>
      <c r="H180" s="64" t="n"/>
      <c r="I180" s="64" t="n"/>
      <c r="J180" s="64" t="n"/>
      <c r="K180" s="65">
        <f>IF(NOT((COUNTA($B180:$J180)+COUNTA($M180))&gt;0),"",IFERROR(LOOKUP(2,1/(G180:J180&lt;&gt;""),G180:J180),0))</f>
        <v/>
      </c>
      <c r="L180" s="60">
        <f>IF(K180="","",IF(K180&gt;=1,"Completado",IF(K180&gt;0,"En curso","Pendiente")))</f>
        <v/>
      </c>
      <c r="M180" s="61" t="n"/>
      <c r="N180" s="66">
        <f>IF(NOT((COUNTA($B180:$J180)+COUNTA($M180))&gt;0),"",IF((IF(B180="","Macroactividad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 OK","⚠ "&amp;LEFT(IF(B180="","Macroactividad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",""),LEN(IF(B180="","Macroactividad vacía"&amp;" · ","")&amp;IF(C180="","Sin responsable"&amp;" · ","")&amp;IF(D180="","Sin fecha de inicio"&amp;" · ","")&amp;IF(E180="","Sin fecha límite"&amp;" · ","")&amp;IF(OR(AND(D180&lt;&gt;"",NOT(ISNUMBER(D180))),AND(E180&lt;&gt;"",NOT(ISNUMBER(E180)))),"Fecha no válida"&amp;" · ","")&amp;IF(AND(ISNUMBER(D180),ISNUMBER(E180),D180&gt;E180),"Inicio posterior a fecha límite"&amp;" · ","")&amp;IF(F180="","Peso vacío"&amp;" · ","")&amp;IF(AND(F180&lt;&gt;"",OR(NOT(ISNUMBER(F180)),F180&lt;=0,F180&gt;1)),"Peso fuera de rango"&amp;" · ","")&amp;IF(ABS(SUMIFS($F$5:$F$1000,$O$5:$O$1000,$O180)-1)&gt;0.0001,"Pesos del mes suman "&amp;TEXT(SUMIFS($F$5:$F$1000,$O$5:$O$1000,$O180),"0%")&amp;" · ","")&amp;IF((COUNTIF(G180:J180,"&gt;1")+COUNTIF(G180:J180,"&lt;0")+COUNTA(G180:J180)-COUNT(G180:J180))&gt;0,"Avance fuera de rango 0-100%"&amp;" · ","")&amp;IF(OR(AND(H180&lt;&gt;"",H180&lt;G180),AND(I180&lt;&gt;"",I180&lt;MAX(G180:H180)),AND(J180&lt;&gt;"",J180&lt;MAX(G180:I180))),"Avance semanal decreciente"&amp;" · ","")&amp;IF(AND(ISNUMBER(E180),E180&lt;FechaRef,N(K180)&lt;1),"Vencida"&amp;" · ","")&amp;IF(AND(ObsObligatoria="Sí",ISNUMBER(E180),E180&lt;FechaRef,N(K180)&lt;1,M180=""),"Vencida sin observación"&amp;" · ",""))-3)))</f>
        <v/>
      </c>
      <c r="O180" s="67">
        <f>IF(NOT((COUNTA($B180:$J180)+COUNTA($M180))&gt;0),"",IF(ISNUMBER($D180),DATE(YEAR($D180),MONTH($D180),1),IF(ISNUMBER($E180),DATE(YEAR($E180),MONTH($E180),1),MesCiclo)))</f>
        <v/>
      </c>
      <c r="P180" s="68">
        <f>IF(OR($O180="",$O180&lt;&gt;MesCiclo),"",COUNTIF($O$5:$O180,MesCiclo))</f>
        <v/>
      </c>
    </row>
    <row r="181">
      <c r="A181" s="60">
        <f>IF(NOT((COUNTA($B181:$J181)+COUNTA($M181))&gt;0),"",COUNTIFS($L$5:$L181,"?*",$O$5:$O181,$O181))</f>
        <v/>
      </c>
      <c r="B181" s="61" t="n"/>
      <c r="C181" s="61" t="n"/>
      <c r="D181" s="62" t="n"/>
      <c r="E181" s="62" t="n"/>
      <c r="F181" s="63" t="n"/>
      <c r="G181" s="64" t="n"/>
      <c r="H181" s="64" t="n"/>
      <c r="I181" s="64" t="n"/>
      <c r="J181" s="64" t="n"/>
      <c r="K181" s="65">
        <f>IF(NOT((COUNTA($B181:$J181)+COUNTA($M181))&gt;0),"",IFERROR(LOOKUP(2,1/(G181:J181&lt;&gt;""),G181:J181),0))</f>
        <v/>
      </c>
      <c r="L181" s="60">
        <f>IF(K181="","",IF(K181&gt;=1,"Completado",IF(K181&gt;0,"En curso","Pendiente")))</f>
        <v/>
      </c>
      <c r="M181" s="61" t="n"/>
      <c r="N181" s="66">
        <f>IF(NOT((COUNTA($B181:$J181)+COUNTA($M181))&gt;0),"",IF((IF(B181="","Macroactividad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 OK","⚠ "&amp;LEFT(IF(B181="","Macroactividad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",""),LEN(IF(B181="","Macroactividad vacía"&amp;" · ","")&amp;IF(C181="","Sin responsable"&amp;" · ","")&amp;IF(D181="","Sin fecha de inicio"&amp;" · ","")&amp;IF(E181="","Sin fecha límite"&amp;" · ","")&amp;IF(OR(AND(D181&lt;&gt;"",NOT(ISNUMBER(D181))),AND(E181&lt;&gt;"",NOT(ISNUMBER(E181)))),"Fecha no válida"&amp;" · ","")&amp;IF(AND(ISNUMBER(D181),ISNUMBER(E181),D181&gt;E181),"Inicio posterior a fecha límite"&amp;" · ","")&amp;IF(F181="","Peso vacío"&amp;" · ","")&amp;IF(AND(F181&lt;&gt;"",OR(NOT(ISNUMBER(F181)),F181&lt;=0,F181&gt;1)),"Peso fuera de rango"&amp;" · ","")&amp;IF(ABS(SUMIFS($F$5:$F$1000,$O$5:$O$1000,$O181)-1)&gt;0.0001,"Pesos del mes suman "&amp;TEXT(SUMIFS($F$5:$F$1000,$O$5:$O$1000,$O181),"0%")&amp;" · ","")&amp;IF((COUNTIF(G181:J181,"&gt;1")+COUNTIF(G181:J181,"&lt;0")+COUNTA(G181:J181)-COUNT(G181:J181))&gt;0,"Avance fuera de rango 0-100%"&amp;" · ","")&amp;IF(OR(AND(H181&lt;&gt;"",H181&lt;G181),AND(I181&lt;&gt;"",I181&lt;MAX(G181:H181)),AND(J181&lt;&gt;"",J181&lt;MAX(G181:I181))),"Avance semanal decreciente"&amp;" · ","")&amp;IF(AND(ISNUMBER(E181),E181&lt;FechaRef,N(K181)&lt;1),"Vencida"&amp;" · ","")&amp;IF(AND(ObsObligatoria="Sí",ISNUMBER(E181),E181&lt;FechaRef,N(K181)&lt;1,M181=""),"Vencida sin observación"&amp;" · ",""))-3)))</f>
        <v/>
      </c>
      <c r="O181" s="67">
        <f>IF(NOT((COUNTA($B181:$J181)+COUNTA($M181))&gt;0),"",IF(ISNUMBER($D181),DATE(YEAR($D181),MONTH($D181),1),IF(ISNUMBER($E181),DATE(YEAR($E181),MONTH($E181),1),MesCiclo)))</f>
        <v/>
      </c>
      <c r="P181" s="68">
        <f>IF(OR($O181="",$O181&lt;&gt;MesCiclo),"",COUNTIF($O$5:$O181,MesCiclo))</f>
        <v/>
      </c>
    </row>
    <row r="182">
      <c r="A182" s="60">
        <f>IF(NOT((COUNTA($B182:$J182)+COUNTA($M182))&gt;0),"",COUNTIFS($L$5:$L182,"?*",$O$5:$O182,$O182))</f>
        <v/>
      </c>
      <c r="B182" s="61" t="n"/>
      <c r="C182" s="61" t="n"/>
      <c r="D182" s="62" t="n"/>
      <c r="E182" s="62" t="n"/>
      <c r="F182" s="63" t="n"/>
      <c r="G182" s="64" t="n"/>
      <c r="H182" s="64" t="n"/>
      <c r="I182" s="64" t="n"/>
      <c r="J182" s="64" t="n"/>
      <c r="K182" s="65">
        <f>IF(NOT((COUNTA($B182:$J182)+COUNTA($M182))&gt;0),"",IFERROR(LOOKUP(2,1/(G182:J182&lt;&gt;""),G182:J182),0))</f>
        <v/>
      </c>
      <c r="L182" s="60">
        <f>IF(K182="","",IF(K182&gt;=1,"Completado",IF(K182&gt;0,"En curso","Pendiente")))</f>
        <v/>
      </c>
      <c r="M182" s="61" t="n"/>
      <c r="N182" s="66">
        <f>IF(NOT((COUNTA($B182:$J182)+COUNTA($M182))&gt;0),"",IF((IF(B182="","Macroactividad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 OK","⚠ "&amp;LEFT(IF(B182="","Macroactividad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",""),LEN(IF(B182="","Macroactividad vacía"&amp;" · ","")&amp;IF(C182="","Sin responsable"&amp;" · ","")&amp;IF(D182="","Sin fecha de inicio"&amp;" · ","")&amp;IF(E182="","Sin fecha límite"&amp;" · ","")&amp;IF(OR(AND(D182&lt;&gt;"",NOT(ISNUMBER(D182))),AND(E182&lt;&gt;"",NOT(ISNUMBER(E182)))),"Fecha no válida"&amp;" · ","")&amp;IF(AND(ISNUMBER(D182),ISNUMBER(E182),D182&gt;E182),"Inicio posterior a fecha límite"&amp;" · ","")&amp;IF(F182="","Peso vacío"&amp;" · ","")&amp;IF(AND(F182&lt;&gt;"",OR(NOT(ISNUMBER(F182)),F182&lt;=0,F182&gt;1)),"Peso fuera de rango"&amp;" · ","")&amp;IF(ABS(SUMIFS($F$5:$F$1000,$O$5:$O$1000,$O182)-1)&gt;0.0001,"Pesos del mes suman "&amp;TEXT(SUMIFS($F$5:$F$1000,$O$5:$O$1000,$O182),"0%")&amp;" · ","")&amp;IF((COUNTIF(G182:J182,"&gt;1")+COUNTIF(G182:J182,"&lt;0")+COUNTA(G182:J182)-COUNT(G182:J182))&gt;0,"Avance fuera de rango 0-100%"&amp;" · ","")&amp;IF(OR(AND(H182&lt;&gt;"",H182&lt;G182),AND(I182&lt;&gt;"",I182&lt;MAX(G182:H182)),AND(J182&lt;&gt;"",J182&lt;MAX(G182:I182))),"Avance semanal decreciente"&amp;" · ","")&amp;IF(AND(ISNUMBER(E182),E182&lt;FechaRef,N(K182)&lt;1),"Vencida"&amp;" · ","")&amp;IF(AND(ObsObligatoria="Sí",ISNUMBER(E182),E182&lt;FechaRef,N(K182)&lt;1,M182=""),"Vencida sin observación"&amp;" · ",""))-3)))</f>
        <v/>
      </c>
      <c r="O182" s="67">
        <f>IF(NOT((COUNTA($B182:$J182)+COUNTA($M182))&gt;0),"",IF(ISNUMBER($D182),DATE(YEAR($D182),MONTH($D182),1),IF(ISNUMBER($E182),DATE(YEAR($E182),MONTH($E182),1),MesCiclo)))</f>
        <v/>
      </c>
      <c r="P182" s="68">
        <f>IF(OR($O182="",$O182&lt;&gt;MesCiclo),"",COUNTIF($O$5:$O182,MesCiclo))</f>
        <v/>
      </c>
    </row>
    <row r="183">
      <c r="A183" s="60">
        <f>IF(NOT((COUNTA($B183:$J183)+COUNTA($M183))&gt;0),"",COUNTIFS($L$5:$L183,"?*",$O$5:$O183,$O183))</f>
        <v/>
      </c>
      <c r="B183" s="61" t="n"/>
      <c r="C183" s="61" t="n"/>
      <c r="D183" s="62" t="n"/>
      <c r="E183" s="62" t="n"/>
      <c r="F183" s="63" t="n"/>
      <c r="G183" s="64" t="n"/>
      <c r="H183" s="64" t="n"/>
      <c r="I183" s="64" t="n"/>
      <c r="J183" s="64" t="n"/>
      <c r="K183" s="65">
        <f>IF(NOT((COUNTA($B183:$J183)+COUNTA($M183))&gt;0),"",IFERROR(LOOKUP(2,1/(G183:J183&lt;&gt;""),G183:J183),0))</f>
        <v/>
      </c>
      <c r="L183" s="60">
        <f>IF(K183="","",IF(K183&gt;=1,"Completado",IF(K183&gt;0,"En curso","Pendiente")))</f>
        <v/>
      </c>
      <c r="M183" s="61" t="n"/>
      <c r="N183" s="66">
        <f>IF(NOT((COUNTA($B183:$J183)+COUNTA($M183))&gt;0),"",IF((IF(B183="","Macroactividad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 OK","⚠ "&amp;LEFT(IF(B183="","Macroactividad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",""),LEN(IF(B183="","Macroactividad vacía"&amp;" · ","")&amp;IF(C183="","Sin responsable"&amp;" · ","")&amp;IF(D183="","Sin fecha de inicio"&amp;" · ","")&amp;IF(E183="","Sin fecha límite"&amp;" · ","")&amp;IF(OR(AND(D183&lt;&gt;"",NOT(ISNUMBER(D183))),AND(E183&lt;&gt;"",NOT(ISNUMBER(E183)))),"Fecha no válida"&amp;" · ","")&amp;IF(AND(ISNUMBER(D183),ISNUMBER(E183),D183&gt;E183),"Inicio posterior a fecha límite"&amp;" · ","")&amp;IF(F183="","Peso vacío"&amp;" · ","")&amp;IF(AND(F183&lt;&gt;"",OR(NOT(ISNUMBER(F183)),F183&lt;=0,F183&gt;1)),"Peso fuera de rango"&amp;" · ","")&amp;IF(ABS(SUMIFS($F$5:$F$1000,$O$5:$O$1000,$O183)-1)&gt;0.0001,"Pesos del mes suman "&amp;TEXT(SUMIFS($F$5:$F$1000,$O$5:$O$1000,$O183),"0%")&amp;" · ","")&amp;IF((COUNTIF(G183:J183,"&gt;1")+COUNTIF(G183:J183,"&lt;0")+COUNTA(G183:J183)-COUNT(G183:J183))&gt;0,"Avance fuera de rango 0-100%"&amp;" · ","")&amp;IF(OR(AND(H183&lt;&gt;"",H183&lt;G183),AND(I183&lt;&gt;"",I183&lt;MAX(G183:H183)),AND(J183&lt;&gt;"",J183&lt;MAX(G183:I183))),"Avance semanal decreciente"&amp;" · ","")&amp;IF(AND(ISNUMBER(E183),E183&lt;FechaRef,N(K183)&lt;1),"Vencida"&amp;" · ","")&amp;IF(AND(ObsObligatoria="Sí",ISNUMBER(E183),E183&lt;FechaRef,N(K183)&lt;1,M183=""),"Vencida sin observación"&amp;" · ",""))-3)))</f>
        <v/>
      </c>
      <c r="O183" s="67">
        <f>IF(NOT((COUNTA($B183:$J183)+COUNTA($M183))&gt;0),"",IF(ISNUMBER($D183),DATE(YEAR($D183),MONTH($D183),1),IF(ISNUMBER($E183),DATE(YEAR($E183),MONTH($E183),1),MesCiclo)))</f>
        <v/>
      </c>
      <c r="P183" s="68">
        <f>IF(OR($O183="",$O183&lt;&gt;MesCiclo),"",COUNTIF($O$5:$O183,MesCiclo))</f>
        <v/>
      </c>
    </row>
    <row r="184">
      <c r="A184" s="60">
        <f>IF(NOT((COUNTA($B184:$J184)+COUNTA($M184))&gt;0),"",COUNTIFS($L$5:$L184,"?*",$O$5:$O184,$O184))</f>
        <v/>
      </c>
      <c r="B184" s="61" t="n"/>
      <c r="C184" s="61" t="n"/>
      <c r="D184" s="62" t="n"/>
      <c r="E184" s="62" t="n"/>
      <c r="F184" s="63" t="n"/>
      <c r="G184" s="64" t="n"/>
      <c r="H184" s="64" t="n"/>
      <c r="I184" s="64" t="n"/>
      <c r="J184" s="64" t="n"/>
      <c r="K184" s="65">
        <f>IF(NOT((COUNTA($B184:$J184)+COUNTA($M184))&gt;0),"",IFERROR(LOOKUP(2,1/(G184:J184&lt;&gt;""),G184:J184),0))</f>
        <v/>
      </c>
      <c r="L184" s="60">
        <f>IF(K184="","",IF(K184&gt;=1,"Completado",IF(K184&gt;0,"En curso","Pendiente")))</f>
        <v/>
      </c>
      <c r="M184" s="61" t="n"/>
      <c r="N184" s="66">
        <f>IF(NOT((COUNTA($B184:$J184)+COUNTA($M184))&gt;0),"",IF((IF(B184="","Macroactividad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 OK","⚠ "&amp;LEFT(IF(B184="","Macroactividad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",""),LEN(IF(B184="","Macroactividad vacía"&amp;" · ","")&amp;IF(C184="","Sin responsable"&amp;" · ","")&amp;IF(D184="","Sin fecha de inicio"&amp;" · ","")&amp;IF(E184="","Sin fecha límite"&amp;" · ","")&amp;IF(OR(AND(D184&lt;&gt;"",NOT(ISNUMBER(D184))),AND(E184&lt;&gt;"",NOT(ISNUMBER(E184)))),"Fecha no válida"&amp;" · ","")&amp;IF(AND(ISNUMBER(D184),ISNUMBER(E184),D184&gt;E184),"Inicio posterior a fecha límite"&amp;" · ","")&amp;IF(F184="","Peso vacío"&amp;" · ","")&amp;IF(AND(F184&lt;&gt;"",OR(NOT(ISNUMBER(F184)),F184&lt;=0,F184&gt;1)),"Peso fuera de rango"&amp;" · ","")&amp;IF(ABS(SUMIFS($F$5:$F$1000,$O$5:$O$1000,$O184)-1)&gt;0.0001,"Pesos del mes suman "&amp;TEXT(SUMIFS($F$5:$F$1000,$O$5:$O$1000,$O184),"0%")&amp;" · ","")&amp;IF((COUNTIF(G184:J184,"&gt;1")+COUNTIF(G184:J184,"&lt;0")+COUNTA(G184:J184)-COUNT(G184:J184))&gt;0,"Avance fuera de rango 0-100%"&amp;" · ","")&amp;IF(OR(AND(H184&lt;&gt;"",H184&lt;G184),AND(I184&lt;&gt;"",I184&lt;MAX(G184:H184)),AND(J184&lt;&gt;"",J184&lt;MAX(G184:I184))),"Avance semanal decreciente"&amp;" · ","")&amp;IF(AND(ISNUMBER(E184),E184&lt;FechaRef,N(K184)&lt;1),"Vencida"&amp;" · ","")&amp;IF(AND(ObsObligatoria="Sí",ISNUMBER(E184),E184&lt;FechaRef,N(K184)&lt;1,M184=""),"Vencida sin observación"&amp;" · ",""))-3)))</f>
        <v/>
      </c>
      <c r="O184" s="67">
        <f>IF(NOT((COUNTA($B184:$J184)+COUNTA($M184))&gt;0),"",IF(ISNUMBER($D184),DATE(YEAR($D184),MONTH($D184),1),IF(ISNUMBER($E184),DATE(YEAR($E184),MONTH($E184),1),MesCiclo)))</f>
        <v/>
      </c>
      <c r="P184" s="68">
        <f>IF(OR($O184="",$O184&lt;&gt;MesCiclo),"",COUNTIF($O$5:$O184,MesCiclo))</f>
        <v/>
      </c>
    </row>
    <row r="185">
      <c r="A185" s="60">
        <f>IF(NOT((COUNTA($B185:$J185)+COUNTA($M185))&gt;0),"",COUNTIFS($L$5:$L185,"?*",$O$5:$O185,$O185))</f>
        <v/>
      </c>
      <c r="B185" s="61" t="n"/>
      <c r="C185" s="61" t="n"/>
      <c r="D185" s="62" t="n"/>
      <c r="E185" s="62" t="n"/>
      <c r="F185" s="63" t="n"/>
      <c r="G185" s="64" t="n"/>
      <c r="H185" s="64" t="n"/>
      <c r="I185" s="64" t="n"/>
      <c r="J185" s="64" t="n"/>
      <c r="K185" s="65">
        <f>IF(NOT((COUNTA($B185:$J185)+COUNTA($M185))&gt;0),"",IFERROR(LOOKUP(2,1/(G185:J185&lt;&gt;""),G185:J185),0))</f>
        <v/>
      </c>
      <c r="L185" s="60">
        <f>IF(K185="","",IF(K185&gt;=1,"Completado",IF(K185&gt;0,"En curso","Pendiente")))</f>
        <v/>
      </c>
      <c r="M185" s="61" t="n"/>
      <c r="N185" s="66">
        <f>IF(NOT((COUNTA($B185:$J185)+COUNTA($M185))&gt;0),"",IF((IF(B185="","Macroactividad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 OK","⚠ "&amp;LEFT(IF(B185="","Macroactividad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",""),LEN(IF(B185="","Macroactividad vacía"&amp;" · ","")&amp;IF(C185="","Sin responsable"&amp;" · ","")&amp;IF(D185="","Sin fecha de inicio"&amp;" · ","")&amp;IF(E185="","Sin fecha límite"&amp;" · ","")&amp;IF(OR(AND(D185&lt;&gt;"",NOT(ISNUMBER(D185))),AND(E185&lt;&gt;"",NOT(ISNUMBER(E185)))),"Fecha no válida"&amp;" · ","")&amp;IF(AND(ISNUMBER(D185),ISNUMBER(E185),D185&gt;E185),"Inicio posterior a fecha límite"&amp;" · ","")&amp;IF(F185="","Peso vacío"&amp;" · ","")&amp;IF(AND(F185&lt;&gt;"",OR(NOT(ISNUMBER(F185)),F185&lt;=0,F185&gt;1)),"Peso fuera de rango"&amp;" · ","")&amp;IF(ABS(SUMIFS($F$5:$F$1000,$O$5:$O$1000,$O185)-1)&gt;0.0001,"Pesos del mes suman "&amp;TEXT(SUMIFS($F$5:$F$1000,$O$5:$O$1000,$O185),"0%")&amp;" · ","")&amp;IF((COUNTIF(G185:J185,"&gt;1")+COUNTIF(G185:J185,"&lt;0")+COUNTA(G185:J185)-COUNT(G185:J185))&gt;0,"Avance fuera de rango 0-100%"&amp;" · ","")&amp;IF(OR(AND(H185&lt;&gt;"",H185&lt;G185),AND(I185&lt;&gt;"",I185&lt;MAX(G185:H185)),AND(J185&lt;&gt;"",J185&lt;MAX(G185:I185))),"Avance semanal decreciente"&amp;" · ","")&amp;IF(AND(ISNUMBER(E185),E185&lt;FechaRef,N(K185)&lt;1),"Vencida"&amp;" · ","")&amp;IF(AND(ObsObligatoria="Sí",ISNUMBER(E185),E185&lt;FechaRef,N(K185)&lt;1,M185=""),"Vencida sin observación"&amp;" · ",""))-3)))</f>
        <v/>
      </c>
      <c r="O185" s="67">
        <f>IF(NOT((COUNTA($B185:$J185)+COUNTA($M185))&gt;0),"",IF(ISNUMBER($D185),DATE(YEAR($D185),MONTH($D185),1),IF(ISNUMBER($E185),DATE(YEAR($E185),MONTH($E185),1),MesCiclo)))</f>
        <v/>
      </c>
      <c r="P185" s="68">
        <f>IF(OR($O185="",$O185&lt;&gt;MesCiclo),"",COUNTIF($O$5:$O185,MesCiclo))</f>
        <v/>
      </c>
    </row>
    <row r="186">
      <c r="A186" s="60">
        <f>IF(NOT((COUNTA($B186:$J186)+COUNTA($M186))&gt;0),"",COUNTIFS($L$5:$L186,"?*",$O$5:$O186,$O186))</f>
        <v/>
      </c>
      <c r="B186" s="61" t="n"/>
      <c r="C186" s="61" t="n"/>
      <c r="D186" s="62" t="n"/>
      <c r="E186" s="62" t="n"/>
      <c r="F186" s="63" t="n"/>
      <c r="G186" s="64" t="n"/>
      <c r="H186" s="64" t="n"/>
      <c r="I186" s="64" t="n"/>
      <c r="J186" s="64" t="n"/>
      <c r="K186" s="65">
        <f>IF(NOT((COUNTA($B186:$J186)+COUNTA($M186))&gt;0),"",IFERROR(LOOKUP(2,1/(G186:J186&lt;&gt;""),G186:J186),0))</f>
        <v/>
      </c>
      <c r="L186" s="60">
        <f>IF(K186="","",IF(K186&gt;=1,"Completado",IF(K186&gt;0,"En curso","Pendiente")))</f>
        <v/>
      </c>
      <c r="M186" s="61" t="n"/>
      <c r="N186" s="66">
        <f>IF(NOT((COUNTA($B186:$J186)+COUNTA($M186))&gt;0),"",IF((IF(B186="","Macroactividad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 OK","⚠ "&amp;LEFT(IF(B186="","Macroactividad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",""),LEN(IF(B186="","Macroactividad vacía"&amp;" · ","")&amp;IF(C186="","Sin responsable"&amp;" · ","")&amp;IF(D186="","Sin fecha de inicio"&amp;" · ","")&amp;IF(E186="","Sin fecha límite"&amp;" · ","")&amp;IF(OR(AND(D186&lt;&gt;"",NOT(ISNUMBER(D186))),AND(E186&lt;&gt;"",NOT(ISNUMBER(E186)))),"Fecha no válida"&amp;" · ","")&amp;IF(AND(ISNUMBER(D186),ISNUMBER(E186),D186&gt;E186),"Inicio posterior a fecha límite"&amp;" · ","")&amp;IF(F186="","Peso vacío"&amp;" · ","")&amp;IF(AND(F186&lt;&gt;"",OR(NOT(ISNUMBER(F186)),F186&lt;=0,F186&gt;1)),"Peso fuera de rango"&amp;" · ","")&amp;IF(ABS(SUMIFS($F$5:$F$1000,$O$5:$O$1000,$O186)-1)&gt;0.0001,"Pesos del mes suman "&amp;TEXT(SUMIFS($F$5:$F$1000,$O$5:$O$1000,$O186),"0%")&amp;" · ","")&amp;IF((COUNTIF(G186:J186,"&gt;1")+COUNTIF(G186:J186,"&lt;0")+COUNTA(G186:J186)-COUNT(G186:J186))&gt;0,"Avance fuera de rango 0-100%"&amp;" · ","")&amp;IF(OR(AND(H186&lt;&gt;"",H186&lt;G186),AND(I186&lt;&gt;"",I186&lt;MAX(G186:H186)),AND(J186&lt;&gt;"",J186&lt;MAX(G186:I186))),"Avance semanal decreciente"&amp;" · ","")&amp;IF(AND(ISNUMBER(E186),E186&lt;FechaRef,N(K186)&lt;1),"Vencida"&amp;" · ","")&amp;IF(AND(ObsObligatoria="Sí",ISNUMBER(E186),E186&lt;FechaRef,N(K186)&lt;1,M186=""),"Vencida sin observación"&amp;" · ",""))-3)))</f>
        <v/>
      </c>
      <c r="O186" s="67">
        <f>IF(NOT((COUNTA($B186:$J186)+COUNTA($M186))&gt;0),"",IF(ISNUMBER($D186),DATE(YEAR($D186),MONTH($D186),1),IF(ISNUMBER($E186),DATE(YEAR($E186),MONTH($E186),1),MesCiclo)))</f>
        <v/>
      </c>
      <c r="P186" s="68">
        <f>IF(OR($O186="",$O186&lt;&gt;MesCiclo),"",COUNTIF($O$5:$O186,MesCiclo))</f>
        <v/>
      </c>
    </row>
    <row r="187">
      <c r="A187" s="60">
        <f>IF(NOT((COUNTA($B187:$J187)+COUNTA($M187))&gt;0),"",COUNTIFS($L$5:$L187,"?*",$O$5:$O187,$O187))</f>
        <v/>
      </c>
      <c r="B187" s="61" t="n"/>
      <c r="C187" s="61" t="n"/>
      <c r="D187" s="62" t="n"/>
      <c r="E187" s="62" t="n"/>
      <c r="F187" s="63" t="n"/>
      <c r="G187" s="64" t="n"/>
      <c r="H187" s="64" t="n"/>
      <c r="I187" s="64" t="n"/>
      <c r="J187" s="64" t="n"/>
      <c r="K187" s="65">
        <f>IF(NOT((COUNTA($B187:$J187)+COUNTA($M187))&gt;0),"",IFERROR(LOOKUP(2,1/(G187:J187&lt;&gt;""),G187:J187),0))</f>
        <v/>
      </c>
      <c r="L187" s="60">
        <f>IF(K187="","",IF(K187&gt;=1,"Completado",IF(K187&gt;0,"En curso","Pendiente")))</f>
        <v/>
      </c>
      <c r="M187" s="61" t="n"/>
      <c r="N187" s="66">
        <f>IF(NOT((COUNTA($B187:$J187)+COUNTA($M187))&gt;0),"",IF((IF(B187="","Macroactividad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 OK","⚠ "&amp;LEFT(IF(B187="","Macroactividad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",""),LEN(IF(B187="","Macroactividad vacía"&amp;" · ","")&amp;IF(C187="","Sin responsable"&amp;" · ","")&amp;IF(D187="","Sin fecha de inicio"&amp;" · ","")&amp;IF(E187="","Sin fecha límite"&amp;" · ","")&amp;IF(OR(AND(D187&lt;&gt;"",NOT(ISNUMBER(D187))),AND(E187&lt;&gt;"",NOT(ISNUMBER(E187)))),"Fecha no válida"&amp;" · ","")&amp;IF(AND(ISNUMBER(D187),ISNUMBER(E187),D187&gt;E187),"Inicio posterior a fecha límite"&amp;" · ","")&amp;IF(F187="","Peso vacío"&amp;" · ","")&amp;IF(AND(F187&lt;&gt;"",OR(NOT(ISNUMBER(F187)),F187&lt;=0,F187&gt;1)),"Peso fuera de rango"&amp;" · ","")&amp;IF(ABS(SUMIFS($F$5:$F$1000,$O$5:$O$1000,$O187)-1)&gt;0.0001,"Pesos del mes suman "&amp;TEXT(SUMIFS($F$5:$F$1000,$O$5:$O$1000,$O187),"0%")&amp;" · ","")&amp;IF((COUNTIF(G187:J187,"&gt;1")+COUNTIF(G187:J187,"&lt;0")+COUNTA(G187:J187)-COUNT(G187:J187))&gt;0,"Avance fuera de rango 0-100%"&amp;" · ","")&amp;IF(OR(AND(H187&lt;&gt;"",H187&lt;G187),AND(I187&lt;&gt;"",I187&lt;MAX(G187:H187)),AND(J187&lt;&gt;"",J187&lt;MAX(G187:I187))),"Avance semanal decreciente"&amp;" · ","")&amp;IF(AND(ISNUMBER(E187),E187&lt;FechaRef,N(K187)&lt;1),"Vencida"&amp;" · ","")&amp;IF(AND(ObsObligatoria="Sí",ISNUMBER(E187),E187&lt;FechaRef,N(K187)&lt;1,M187=""),"Vencida sin observación"&amp;" · ",""))-3)))</f>
        <v/>
      </c>
      <c r="O187" s="67">
        <f>IF(NOT((COUNTA($B187:$J187)+COUNTA($M187))&gt;0),"",IF(ISNUMBER($D187),DATE(YEAR($D187),MONTH($D187),1),IF(ISNUMBER($E187),DATE(YEAR($E187),MONTH($E187),1),MesCiclo)))</f>
        <v/>
      </c>
      <c r="P187" s="68">
        <f>IF(OR($O187="",$O187&lt;&gt;MesCiclo),"",COUNTIF($O$5:$O187,MesCiclo))</f>
        <v/>
      </c>
    </row>
    <row r="188">
      <c r="A188" s="60">
        <f>IF(NOT((COUNTA($B188:$J188)+COUNTA($M188))&gt;0),"",COUNTIFS($L$5:$L188,"?*",$O$5:$O188,$O188))</f>
        <v/>
      </c>
      <c r="B188" s="61" t="n"/>
      <c r="C188" s="61" t="n"/>
      <c r="D188" s="62" t="n"/>
      <c r="E188" s="62" t="n"/>
      <c r="F188" s="63" t="n"/>
      <c r="G188" s="64" t="n"/>
      <c r="H188" s="64" t="n"/>
      <c r="I188" s="64" t="n"/>
      <c r="J188" s="64" t="n"/>
      <c r="K188" s="65">
        <f>IF(NOT((COUNTA($B188:$J188)+COUNTA($M188))&gt;0),"",IFERROR(LOOKUP(2,1/(G188:J188&lt;&gt;""),G188:J188),0))</f>
        <v/>
      </c>
      <c r="L188" s="60">
        <f>IF(K188="","",IF(K188&gt;=1,"Completado",IF(K188&gt;0,"En curso","Pendiente")))</f>
        <v/>
      </c>
      <c r="M188" s="61" t="n"/>
      <c r="N188" s="66">
        <f>IF(NOT((COUNTA($B188:$J188)+COUNTA($M188))&gt;0),"",IF((IF(B188="","Macroactividad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 OK","⚠ "&amp;LEFT(IF(B188="","Macroactividad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",""),LEN(IF(B188="","Macroactividad vacía"&amp;" · ","")&amp;IF(C188="","Sin responsable"&amp;" · ","")&amp;IF(D188="","Sin fecha de inicio"&amp;" · ","")&amp;IF(E188="","Sin fecha límite"&amp;" · ","")&amp;IF(OR(AND(D188&lt;&gt;"",NOT(ISNUMBER(D188))),AND(E188&lt;&gt;"",NOT(ISNUMBER(E188)))),"Fecha no válida"&amp;" · ","")&amp;IF(AND(ISNUMBER(D188),ISNUMBER(E188),D188&gt;E188),"Inicio posterior a fecha límite"&amp;" · ","")&amp;IF(F188="","Peso vacío"&amp;" · ","")&amp;IF(AND(F188&lt;&gt;"",OR(NOT(ISNUMBER(F188)),F188&lt;=0,F188&gt;1)),"Peso fuera de rango"&amp;" · ","")&amp;IF(ABS(SUMIFS($F$5:$F$1000,$O$5:$O$1000,$O188)-1)&gt;0.0001,"Pesos del mes suman "&amp;TEXT(SUMIFS($F$5:$F$1000,$O$5:$O$1000,$O188),"0%")&amp;" · ","")&amp;IF((COUNTIF(G188:J188,"&gt;1")+COUNTIF(G188:J188,"&lt;0")+COUNTA(G188:J188)-COUNT(G188:J188))&gt;0,"Avance fuera de rango 0-100%"&amp;" · ","")&amp;IF(OR(AND(H188&lt;&gt;"",H188&lt;G188),AND(I188&lt;&gt;"",I188&lt;MAX(G188:H188)),AND(J188&lt;&gt;"",J188&lt;MAX(G188:I188))),"Avance semanal decreciente"&amp;" · ","")&amp;IF(AND(ISNUMBER(E188),E188&lt;FechaRef,N(K188)&lt;1),"Vencida"&amp;" · ","")&amp;IF(AND(ObsObligatoria="Sí",ISNUMBER(E188),E188&lt;FechaRef,N(K188)&lt;1,M188=""),"Vencida sin observación"&amp;" · ",""))-3)))</f>
        <v/>
      </c>
      <c r="O188" s="67">
        <f>IF(NOT((COUNTA($B188:$J188)+COUNTA($M188))&gt;0),"",IF(ISNUMBER($D188),DATE(YEAR($D188),MONTH($D188),1),IF(ISNUMBER($E188),DATE(YEAR($E188),MONTH($E188),1),MesCiclo)))</f>
        <v/>
      </c>
      <c r="P188" s="68">
        <f>IF(OR($O188="",$O188&lt;&gt;MesCiclo),"",COUNTIF($O$5:$O188,MesCiclo))</f>
        <v/>
      </c>
    </row>
    <row r="189">
      <c r="A189" s="60">
        <f>IF(NOT((COUNTA($B189:$J189)+COUNTA($M189))&gt;0),"",COUNTIFS($L$5:$L189,"?*",$O$5:$O189,$O189))</f>
        <v/>
      </c>
      <c r="B189" s="61" t="n"/>
      <c r="C189" s="61" t="n"/>
      <c r="D189" s="62" t="n"/>
      <c r="E189" s="62" t="n"/>
      <c r="F189" s="63" t="n"/>
      <c r="G189" s="64" t="n"/>
      <c r="H189" s="64" t="n"/>
      <c r="I189" s="64" t="n"/>
      <c r="J189" s="64" t="n"/>
      <c r="K189" s="65">
        <f>IF(NOT((COUNTA($B189:$J189)+COUNTA($M189))&gt;0),"",IFERROR(LOOKUP(2,1/(G189:J189&lt;&gt;""),G189:J189),0))</f>
        <v/>
      </c>
      <c r="L189" s="60">
        <f>IF(K189="","",IF(K189&gt;=1,"Completado",IF(K189&gt;0,"En curso","Pendiente")))</f>
        <v/>
      </c>
      <c r="M189" s="61" t="n"/>
      <c r="N189" s="66">
        <f>IF(NOT((COUNTA($B189:$J189)+COUNTA($M189))&gt;0),"",IF((IF(B189="","Macroactividad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 OK","⚠ "&amp;LEFT(IF(B189="","Macroactividad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",""),LEN(IF(B189="","Macroactividad vacía"&amp;" · ","")&amp;IF(C189="","Sin responsable"&amp;" · ","")&amp;IF(D189="","Sin fecha de inicio"&amp;" · ","")&amp;IF(E189="","Sin fecha límite"&amp;" · ","")&amp;IF(OR(AND(D189&lt;&gt;"",NOT(ISNUMBER(D189))),AND(E189&lt;&gt;"",NOT(ISNUMBER(E189)))),"Fecha no válida"&amp;" · ","")&amp;IF(AND(ISNUMBER(D189),ISNUMBER(E189),D189&gt;E189),"Inicio posterior a fecha límite"&amp;" · ","")&amp;IF(F189="","Peso vacío"&amp;" · ","")&amp;IF(AND(F189&lt;&gt;"",OR(NOT(ISNUMBER(F189)),F189&lt;=0,F189&gt;1)),"Peso fuera de rango"&amp;" · ","")&amp;IF(ABS(SUMIFS($F$5:$F$1000,$O$5:$O$1000,$O189)-1)&gt;0.0001,"Pesos del mes suman "&amp;TEXT(SUMIFS($F$5:$F$1000,$O$5:$O$1000,$O189),"0%")&amp;" · ","")&amp;IF((COUNTIF(G189:J189,"&gt;1")+COUNTIF(G189:J189,"&lt;0")+COUNTA(G189:J189)-COUNT(G189:J189))&gt;0,"Avance fuera de rango 0-100%"&amp;" · ","")&amp;IF(OR(AND(H189&lt;&gt;"",H189&lt;G189),AND(I189&lt;&gt;"",I189&lt;MAX(G189:H189)),AND(J189&lt;&gt;"",J189&lt;MAX(G189:I189))),"Avance semanal decreciente"&amp;" · ","")&amp;IF(AND(ISNUMBER(E189),E189&lt;FechaRef,N(K189)&lt;1),"Vencida"&amp;" · ","")&amp;IF(AND(ObsObligatoria="Sí",ISNUMBER(E189),E189&lt;FechaRef,N(K189)&lt;1,M189=""),"Vencida sin observación"&amp;" · ",""))-3)))</f>
        <v/>
      </c>
      <c r="O189" s="67">
        <f>IF(NOT((COUNTA($B189:$J189)+COUNTA($M189))&gt;0),"",IF(ISNUMBER($D189),DATE(YEAR($D189),MONTH($D189),1),IF(ISNUMBER($E189),DATE(YEAR($E189),MONTH($E189),1),MesCiclo)))</f>
        <v/>
      </c>
      <c r="P189" s="68">
        <f>IF(OR($O189="",$O189&lt;&gt;MesCiclo),"",COUNTIF($O$5:$O189,MesCiclo))</f>
        <v/>
      </c>
    </row>
    <row r="190">
      <c r="A190" s="60">
        <f>IF(NOT((COUNTA($B190:$J190)+COUNTA($M190))&gt;0),"",COUNTIFS($L$5:$L190,"?*",$O$5:$O190,$O190))</f>
        <v/>
      </c>
      <c r="B190" s="61" t="n"/>
      <c r="C190" s="61" t="n"/>
      <c r="D190" s="62" t="n"/>
      <c r="E190" s="62" t="n"/>
      <c r="F190" s="63" t="n"/>
      <c r="G190" s="64" t="n"/>
      <c r="H190" s="64" t="n"/>
      <c r="I190" s="64" t="n"/>
      <c r="J190" s="64" t="n"/>
      <c r="K190" s="65">
        <f>IF(NOT((COUNTA($B190:$J190)+COUNTA($M190))&gt;0),"",IFERROR(LOOKUP(2,1/(G190:J190&lt;&gt;""),G190:J190),0))</f>
        <v/>
      </c>
      <c r="L190" s="60">
        <f>IF(K190="","",IF(K190&gt;=1,"Completado",IF(K190&gt;0,"En curso","Pendiente")))</f>
        <v/>
      </c>
      <c r="M190" s="61" t="n"/>
      <c r="N190" s="66">
        <f>IF(NOT((COUNTA($B190:$J190)+COUNTA($M190))&gt;0),"",IF((IF(B190="","Macroactividad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 OK","⚠ "&amp;LEFT(IF(B190="","Macroactividad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",""),LEN(IF(B190="","Macroactividad vacía"&amp;" · ","")&amp;IF(C190="","Sin responsable"&amp;" · ","")&amp;IF(D190="","Sin fecha de inicio"&amp;" · ","")&amp;IF(E190="","Sin fecha límite"&amp;" · ","")&amp;IF(OR(AND(D190&lt;&gt;"",NOT(ISNUMBER(D190))),AND(E190&lt;&gt;"",NOT(ISNUMBER(E190)))),"Fecha no válida"&amp;" · ","")&amp;IF(AND(ISNUMBER(D190),ISNUMBER(E190),D190&gt;E190),"Inicio posterior a fecha límite"&amp;" · ","")&amp;IF(F190="","Peso vacío"&amp;" · ","")&amp;IF(AND(F190&lt;&gt;"",OR(NOT(ISNUMBER(F190)),F190&lt;=0,F190&gt;1)),"Peso fuera de rango"&amp;" · ","")&amp;IF(ABS(SUMIFS($F$5:$F$1000,$O$5:$O$1000,$O190)-1)&gt;0.0001,"Pesos del mes suman "&amp;TEXT(SUMIFS($F$5:$F$1000,$O$5:$O$1000,$O190),"0%")&amp;" · ","")&amp;IF((COUNTIF(G190:J190,"&gt;1")+COUNTIF(G190:J190,"&lt;0")+COUNTA(G190:J190)-COUNT(G190:J190))&gt;0,"Avance fuera de rango 0-100%"&amp;" · ","")&amp;IF(OR(AND(H190&lt;&gt;"",H190&lt;G190),AND(I190&lt;&gt;"",I190&lt;MAX(G190:H190)),AND(J190&lt;&gt;"",J190&lt;MAX(G190:I190))),"Avance semanal decreciente"&amp;" · ","")&amp;IF(AND(ISNUMBER(E190),E190&lt;FechaRef,N(K190)&lt;1),"Vencida"&amp;" · ","")&amp;IF(AND(ObsObligatoria="Sí",ISNUMBER(E190),E190&lt;FechaRef,N(K190)&lt;1,M190=""),"Vencida sin observación"&amp;" · ",""))-3)))</f>
        <v/>
      </c>
      <c r="O190" s="67">
        <f>IF(NOT((COUNTA($B190:$J190)+COUNTA($M190))&gt;0),"",IF(ISNUMBER($D190),DATE(YEAR($D190),MONTH($D190),1),IF(ISNUMBER($E190),DATE(YEAR($E190),MONTH($E190),1),MesCiclo)))</f>
        <v/>
      </c>
      <c r="P190" s="68">
        <f>IF(OR($O190="",$O190&lt;&gt;MesCiclo),"",COUNTIF($O$5:$O190,MesCiclo))</f>
        <v/>
      </c>
    </row>
    <row r="191">
      <c r="A191" s="60">
        <f>IF(NOT((COUNTA($B191:$J191)+COUNTA($M191))&gt;0),"",COUNTIFS($L$5:$L191,"?*",$O$5:$O191,$O191))</f>
        <v/>
      </c>
      <c r="B191" s="61" t="n"/>
      <c r="C191" s="61" t="n"/>
      <c r="D191" s="62" t="n"/>
      <c r="E191" s="62" t="n"/>
      <c r="F191" s="63" t="n"/>
      <c r="G191" s="64" t="n"/>
      <c r="H191" s="64" t="n"/>
      <c r="I191" s="64" t="n"/>
      <c r="J191" s="64" t="n"/>
      <c r="K191" s="65">
        <f>IF(NOT((COUNTA($B191:$J191)+COUNTA($M191))&gt;0),"",IFERROR(LOOKUP(2,1/(G191:J191&lt;&gt;""),G191:J191),0))</f>
        <v/>
      </c>
      <c r="L191" s="60">
        <f>IF(K191="","",IF(K191&gt;=1,"Completado",IF(K191&gt;0,"En curso","Pendiente")))</f>
        <v/>
      </c>
      <c r="M191" s="61" t="n"/>
      <c r="N191" s="66">
        <f>IF(NOT((COUNTA($B191:$J191)+COUNTA($M191))&gt;0),"",IF((IF(B191="","Macroactividad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 OK","⚠ "&amp;LEFT(IF(B191="","Macroactividad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",""),LEN(IF(B191="","Macroactividad vacía"&amp;" · ","")&amp;IF(C191="","Sin responsable"&amp;" · ","")&amp;IF(D191="","Sin fecha de inicio"&amp;" · ","")&amp;IF(E191="","Sin fecha límite"&amp;" · ","")&amp;IF(OR(AND(D191&lt;&gt;"",NOT(ISNUMBER(D191))),AND(E191&lt;&gt;"",NOT(ISNUMBER(E191)))),"Fecha no válida"&amp;" · ","")&amp;IF(AND(ISNUMBER(D191),ISNUMBER(E191),D191&gt;E191),"Inicio posterior a fecha límite"&amp;" · ","")&amp;IF(F191="","Peso vacío"&amp;" · ","")&amp;IF(AND(F191&lt;&gt;"",OR(NOT(ISNUMBER(F191)),F191&lt;=0,F191&gt;1)),"Peso fuera de rango"&amp;" · ","")&amp;IF(ABS(SUMIFS($F$5:$F$1000,$O$5:$O$1000,$O191)-1)&gt;0.0001,"Pesos del mes suman "&amp;TEXT(SUMIFS($F$5:$F$1000,$O$5:$O$1000,$O191),"0%")&amp;" · ","")&amp;IF((COUNTIF(G191:J191,"&gt;1")+COUNTIF(G191:J191,"&lt;0")+COUNTA(G191:J191)-COUNT(G191:J191))&gt;0,"Avance fuera de rango 0-100%"&amp;" · ","")&amp;IF(OR(AND(H191&lt;&gt;"",H191&lt;G191),AND(I191&lt;&gt;"",I191&lt;MAX(G191:H191)),AND(J191&lt;&gt;"",J191&lt;MAX(G191:I191))),"Avance semanal decreciente"&amp;" · ","")&amp;IF(AND(ISNUMBER(E191),E191&lt;FechaRef,N(K191)&lt;1),"Vencida"&amp;" · ","")&amp;IF(AND(ObsObligatoria="Sí",ISNUMBER(E191),E191&lt;FechaRef,N(K191)&lt;1,M191=""),"Vencida sin observación"&amp;" · ",""))-3)))</f>
        <v/>
      </c>
      <c r="O191" s="67">
        <f>IF(NOT((COUNTA($B191:$J191)+COUNTA($M191))&gt;0),"",IF(ISNUMBER($D191),DATE(YEAR($D191),MONTH($D191),1),IF(ISNUMBER($E191),DATE(YEAR($E191),MONTH($E191),1),MesCiclo)))</f>
        <v/>
      </c>
      <c r="P191" s="68">
        <f>IF(OR($O191="",$O191&lt;&gt;MesCiclo),"",COUNTIF($O$5:$O191,MesCiclo))</f>
        <v/>
      </c>
    </row>
    <row r="192">
      <c r="A192" s="60">
        <f>IF(NOT((COUNTA($B192:$J192)+COUNTA($M192))&gt;0),"",COUNTIFS($L$5:$L192,"?*",$O$5:$O192,$O192))</f>
        <v/>
      </c>
      <c r="B192" s="61" t="n"/>
      <c r="C192" s="61" t="n"/>
      <c r="D192" s="62" t="n"/>
      <c r="E192" s="62" t="n"/>
      <c r="F192" s="63" t="n"/>
      <c r="G192" s="64" t="n"/>
      <c r="H192" s="64" t="n"/>
      <c r="I192" s="64" t="n"/>
      <c r="J192" s="64" t="n"/>
      <c r="K192" s="65">
        <f>IF(NOT((COUNTA($B192:$J192)+COUNTA($M192))&gt;0),"",IFERROR(LOOKUP(2,1/(G192:J192&lt;&gt;""),G192:J192),0))</f>
        <v/>
      </c>
      <c r="L192" s="60">
        <f>IF(K192="","",IF(K192&gt;=1,"Completado",IF(K192&gt;0,"En curso","Pendiente")))</f>
        <v/>
      </c>
      <c r="M192" s="61" t="n"/>
      <c r="N192" s="66">
        <f>IF(NOT((COUNTA($B192:$J192)+COUNTA($M192))&gt;0),"",IF((IF(B192="","Macroactividad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 OK","⚠ "&amp;LEFT(IF(B192="","Macroactividad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",""),LEN(IF(B192="","Macroactividad vacía"&amp;" · ","")&amp;IF(C192="","Sin responsable"&amp;" · ","")&amp;IF(D192="","Sin fecha de inicio"&amp;" · ","")&amp;IF(E192="","Sin fecha límite"&amp;" · ","")&amp;IF(OR(AND(D192&lt;&gt;"",NOT(ISNUMBER(D192))),AND(E192&lt;&gt;"",NOT(ISNUMBER(E192)))),"Fecha no válida"&amp;" · ","")&amp;IF(AND(ISNUMBER(D192),ISNUMBER(E192),D192&gt;E192),"Inicio posterior a fecha límite"&amp;" · ","")&amp;IF(F192="","Peso vacío"&amp;" · ","")&amp;IF(AND(F192&lt;&gt;"",OR(NOT(ISNUMBER(F192)),F192&lt;=0,F192&gt;1)),"Peso fuera de rango"&amp;" · ","")&amp;IF(ABS(SUMIFS($F$5:$F$1000,$O$5:$O$1000,$O192)-1)&gt;0.0001,"Pesos del mes suman "&amp;TEXT(SUMIFS($F$5:$F$1000,$O$5:$O$1000,$O192),"0%")&amp;" · ","")&amp;IF((COUNTIF(G192:J192,"&gt;1")+COUNTIF(G192:J192,"&lt;0")+COUNTA(G192:J192)-COUNT(G192:J192))&gt;0,"Avance fuera de rango 0-100%"&amp;" · ","")&amp;IF(OR(AND(H192&lt;&gt;"",H192&lt;G192),AND(I192&lt;&gt;"",I192&lt;MAX(G192:H192)),AND(J192&lt;&gt;"",J192&lt;MAX(G192:I192))),"Avance semanal decreciente"&amp;" · ","")&amp;IF(AND(ISNUMBER(E192),E192&lt;FechaRef,N(K192)&lt;1),"Vencida"&amp;" · ","")&amp;IF(AND(ObsObligatoria="Sí",ISNUMBER(E192),E192&lt;FechaRef,N(K192)&lt;1,M192=""),"Vencida sin observación"&amp;" · ",""))-3)))</f>
        <v/>
      </c>
      <c r="O192" s="67">
        <f>IF(NOT((COUNTA($B192:$J192)+COUNTA($M192))&gt;0),"",IF(ISNUMBER($D192),DATE(YEAR($D192),MONTH($D192),1),IF(ISNUMBER($E192),DATE(YEAR($E192),MONTH($E192),1),MesCiclo)))</f>
        <v/>
      </c>
      <c r="P192" s="68">
        <f>IF(OR($O192="",$O192&lt;&gt;MesCiclo),"",COUNTIF($O$5:$O192,MesCiclo))</f>
        <v/>
      </c>
    </row>
    <row r="193">
      <c r="A193" s="60">
        <f>IF(NOT((COUNTA($B193:$J193)+COUNTA($M193))&gt;0),"",COUNTIFS($L$5:$L193,"?*",$O$5:$O193,$O193))</f>
        <v/>
      </c>
      <c r="B193" s="61" t="n"/>
      <c r="C193" s="61" t="n"/>
      <c r="D193" s="62" t="n"/>
      <c r="E193" s="62" t="n"/>
      <c r="F193" s="63" t="n"/>
      <c r="G193" s="64" t="n"/>
      <c r="H193" s="64" t="n"/>
      <c r="I193" s="64" t="n"/>
      <c r="J193" s="64" t="n"/>
      <c r="K193" s="65">
        <f>IF(NOT((COUNTA($B193:$J193)+COUNTA($M193))&gt;0),"",IFERROR(LOOKUP(2,1/(G193:J193&lt;&gt;""),G193:J193),0))</f>
        <v/>
      </c>
      <c r="L193" s="60">
        <f>IF(K193="","",IF(K193&gt;=1,"Completado",IF(K193&gt;0,"En curso","Pendiente")))</f>
        <v/>
      </c>
      <c r="M193" s="61" t="n"/>
      <c r="N193" s="66">
        <f>IF(NOT((COUNTA($B193:$J193)+COUNTA($M193))&gt;0),"",IF((IF(B193="","Macroactividad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 OK","⚠ "&amp;LEFT(IF(B193="","Macroactividad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",""),LEN(IF(B193="","Macroactividad vacía"&amp;" · ","")&amp;IF(C193="","Sin responsable"&amp;" · ","")&amp;IF(D193="","Sin fecha de inicio"&amp;" · ","")&amp;IF(E193="","Sin fecha límite"&amp;" · ","")&amp;IF(OR(AND(D193&lt;&gt;"",NOT(ISNUMBER(D193))),AND(E193&lt;&gt;"",NOT(ISNUMBER(E193)))),"Fecha no válida"&amp;" · ","")&amp;IF(AND(ISNUMBER(D193),ISNUMBER(E193),D193&gt;E193),"Inicio posterior a fecha límite"&amp;" · ","")&amp;IF(F193="","Peso vacío"&amp;" · ","")&amp;IF(AND(F193&lt;&gt;"",OR(NOT(ISNUMBER(F193)),F193&lt;=0,F193&gt;1)),"Peso fuera de rango"&amp;" · ","")&amp;IF(ABS(SUMIFS($F$5:$F$1000,$O$5:$O$1000,$O193)-1)&gt;0.0001,"Pesos del mes suman "&amp;TEXT(SUMIFS($F$5:$F$1000,$O$5:$O$1000,$O193),"0%")&amp;" · ","")&amp;IF((COUNTIF(G193:J193,"&gt;1")+COUNTIF(G193:J193,"&lt;0")+COUNTA(G193:J193)-COUNT(G193:J193))&gt;0,"Avance fuera de rango 0-100%"&amp;" · ","")&amp;IF(OR(AND(H193&lt;&gt;"",H193&lt;G193),AND(I193&lt;&gt;"",I193&lt;MAX(G193:H193)),AND(J193&lt;&gt;"",J193&lt;MAX(G193:I193))),"Avance semanal decreciente"&amp;" · ","")&amp;IF(AND(ISNUMBER(E193),E193&lt;FechaRef,N(K193)&lt;1),"Vencida"&amp;" · ","")&amp;IF(AND(ObsObligatoria="Sí",ISNUMBER(E193),E193&lt;FechaRef,N(K193)&lt;1,M193=""),"Vencida sin observación"&amp;" · ",""))-3)))</f>
        <v/>
      </c>
      <c r="O193" s="67">
        <f>IF(NOT((COUNTA($B193:$J193)+COUNTA($M193))&gt;0),"",IF(ISNUMBER($D193),DATE(YEAR($D193),MONTH($D193),1),IF(ISNUMBER($E193),DATE(YEAR($E193),MONTH($E193),1),MesCiclo)))</f>
        <v/>
      </c>
      <c r="P193" s="68">
        <f>IF(OR($O193="",$O193&lt;&gt;MesCiclo),"",COUNTIF($O$5:$O193,MesCiclo))</f>
        <v/>
      </c>
    </row>
    <row r="194">
      <c r="A194" s="60">
        <f>IF(NOT((COUNTA($B194:$J194)+COUNTA($M194))&gt;0),"",COUNTIFS($L$5:$L194,"?*",$O$5:$O194,$O194))</f>
        <v/>
      </c>
      <c r="B194" s="61" t="n"/>
      <c r="C194" s="61" t="n"/>
      <c r="D194" s="62" t="n"/>
      <c r="E194" s="62" t="n"/>
      <c r="F194" s="63" t="n"/>
      <c r="G194" s="64" t="n"/>
      <c r="H194" s="64" t="n"/>
      <c r="I194" s="64" t="n"/>
      <c r="J194" s="64" t="n"/>
      <c r="K194" s="65">
        <f>IF(NOT((COUNTA($B194:$J194)+COUNTA($M194))&gt;0),"",IFERROR(LOOKUP(2,1/(G194:J194&lt;&gt;""),G194:J194),0))</f>
        <v/>
      </c>
      <c r="L194" s="60">
        <f>IF(K194="","",IF(K194&gt;=1,"Completado",IF(K194&gt;0,"En curso","Pendiente")))</f>
        <v/>
      </c>
      <c r="M194" s="61" t="n"/>
      <c r="N194" s="66">
        <f>IF(NOT((COUNTA($B194:$J194)+COUNTA($M194))&gt;0),"",IF((IF(B194="","Macroactividad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 OK","⚠ "&amp;LEFT(IF(B194="","Macroactividad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",""),LEN(IF(B194="","Macroactividad vacía"&amp;" · ","")&amp;IF(C194="","Sin responsable"&amp;" · ","")&amp;IF(D194="","Sin fecha de inicio"&amp;" · ","")&amp;IF(E194="","Sin fecha límite"&amp;" · ","")&amp;IF(OR(AND(D194&lt;&gt;"",NOT(ISNUMBER(D194))),AND(E194&lt;&gt;"",NOT(ISNUMBER(E194)))),"Fecha no válida"&amp;" · ","")&amp;IF(AND(ISNUMBER(D194),ISNUMBER(E194),D194&gt;E194),"Inicio posterior a fecha límite"&amp;" · ","")&amp;IF(F194="","Peso vacío"&amp;" · ","")&amp;IF(AND(F194&lt;&gt;"",OR(NOT(ISNUMBER(F194)),F194&lt;=0,F194&gt;1)),"Peso fuera de rango"&amp;" · ","")&amp;IF(ABS(SUMIFS($F$5:$F$1000,$O$5:$O$1000,$O194)-1)&gt;0.0001,"Pesos del mes suman "&amp;TEXT(SUMIFS($F$5:$F$1000,$O$5:$O$1000,$O194),"0%")&amp;" · ","")&amp;IF((COUNTIF(G194:J194,"&gt;1")+COUNTIF(G194:J194,"&lt;0")+COUNTA(G194:J194)-COUNT(G194:J194))&gt;0,"Avance fuera de rango 0-100%"&amp;" · ","")&amp;IF(OR(AND(H194&lt;&gt;"",H194&lt;G194),AND(I194&lt;&gt;"",I194&lt;MAX(G194:H194)),AND(J194&lt;&gt;"",J194&lt;MAX(G194:I194))),"Avance semanal decreciente"&amp;" · ","")&amp;IF(AND(ISNUMBER(E194),E194&lt;FechaRef,N(K194)&lt;1),"Vencida"&amp;" · ","")&amp;IF(AND(ObsObligatoria="Sí",ISNUMBER(E194),E194&lt;FechaRef,N(K194)&lt;1,M194=""),"Vencida sin observación"&amp;" · ",""))-3)))</f>
        <v/>
      </c>
      <c r="O194" s="67">
        <f>IF(NOT((COUNTA($B194:$J194)+COUNTA($M194))&gt;0),"",IF(ISNUMBER($D194),DATE(YEAR($D194),MONTH($D194),1),IF(ISNUMBER($E194),DATE(YEAR($E194),MONTH($E194),1),MesCiclo)))</f>
        <v/>
      </c>
      <c r="P194" s="68">
        <f>IF(OR($O194="",$O194&lt;&gt;MesCiclo),"",COUNTIF($O$5:$O194,MesCiclo))</f>
        <v/>
      </c>
    </row>
    <row r="195">
      <c r="A195" s="60">
        <f>IF(NOT((COUNTA($B195:$J195)+COUNTA($M195))&gt;0),"",COUNTIFS($L$5:$L195,"?*",$O$5:$O195,$O195))</f>
        <v/>
      </c>
      <c r="B195" s="61" t="n"/>
      <c r="C195" s="61" t="n"/>
      <c r="D195" s="62" t="n"/>
      <c r="E195" s="62" t="n"/>
      <c r="F195" s="63" t="n"/>
      <c r="G195" s="64" t="n"/>
      <c r="H195" s="64" t="n"/>
      <c r="I195" s="64" t="n"/>
      <c r="J195" s="64" t="n"/>
      <c r="K195" s="65">
        <f>IF(NOT((COUNTA($B195:$J195)+COUNTA($M195))&gt;0),"",IFERROR(LOOKUP(2,1/(G195:J195&lt;&gt;""),G195:J195),0))</f>
        <v/>
      </c>
      <c r="L195" s="60">
        <f>IF(K195="","",IF(K195&gt;=1,"Completado",IF(K195&gt;0,"En curso","Pendiente")))</f>
        <v/>
      </c>
      <c r="M195" s="61" t="n"/>
      <c r="N195" s="66">
        <f>IF(NOT((COUNTA($B195:$J195)+COUNTA($M195))&gt;0),"",IF((IF(B195="","Macroactividad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 OK","⚠ "&amp;LEFT(IF(B195="","Macroactividad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",""),LEN(IF(B195="","Macroactividad vacía"&amp;" · ","")&amp;IF(C195="","Sin responsable"&amp;" · ","")&amp;IF(D195="","Sin fecha de inicio"&amp;" · ","")&amp;IF(E195="","Sin fecha límite"&amp;" · ","")&amp;IF(OR(AND(D195&lt;&gt;"",NOT(ISNUMBER(D195))),AND(E195&lt;&gt;"",NOT(ISNUMBER(E195)))),"Fecha no válida"&amp;" · ","")&amp;IF(AND(ISNUMBER(D195),ISNUMBER(E195),D195&gt;E195),"Inicio posterior a fecha límite"&amp;" · ","")&amp;IF(F195="","Peso vacío"&amp;" · ","")&amp;IF(AND(F195&lt;&gt;"",OR(NOT(ISNUMBER(F195)),F195&lt;=0,F195&gt;1)),"Peso fuera de rango"&amp;" · ","")&amp;IF(ABS(SUMIFS($F$5:$F$1000,$O$5:$O$1000,$O195)-1)&gt;0.0001,"Pesos del mes suman "&amp;TEXT(SUMIFS($F$5:$F$1000,$O$5:$O$1000,$O195),"0%")&amp;" · ","")&amp;IF((COUNTIF(G195:J195,"&gt;1")+COUNTIF(G195:J195,"&lt;0")+COUNTA(G195:J195)-COUNT(G195:J195))&gt;0,"Avance fuera de rango 0-100%"&amp;" · ","")&amp;IF(OR(AND(H195&lt;&gt;"",H195&lt;G195),AND(I195&lt;&gt;"",I195&lt;MAX(G195:H195)),AND(J195&lt;&gt;"",J195&lt;MAX(G195:I195))),"Avance semanal decreciente"&amp;" · ","")&amp;IF(AND(ISNUMBER(E195),E195&lt;FechaRef,N(K195)&lt;1),"Vencida"&amp;" · ","")&amp;IF(AND(ObsObligatoria="Sí",ISNUMBER(E195),E195&lt;FechaRef,N(K195)&lt;1,M195=""),"Vencida sin observación"&amp;" · ",""))-3)))</f>
        <v/>
      </c>
      <c r="O195" s="67">
        <f>IF(NOT((COUNTA($B195:$J195)+COUNTA($M195))&gt;0),"",IF(ISNUMBER($D195),DATE(YEAR($D195),MONTH($D195),1),IF(ISNUMBER($E195),DATE(YEAR($E195),MONTH($E195),1),MesCiclo)))</f>
        <v/>
      </c>
      <c r="P195" s="68">
        <f>IF(OR($O195="",$O195&lt;&gt;MesCiclo),"",COUNTIF($O$5:$O195,MesCiclo))</f>
        <v/>
      </c>
    </row>
    <row r="196">
      <c r="A196" s="60">
        <f>IF(NOT((COUNTA($B196:$J196)+COUNTA($M196))&gt;0),"",COUNTIFS($L$5:$L196,"?*",$O$5:$O196,$O196))</f>
        <v/>
      </c>
      <c r="B196" s="61" t="n"/>
      <c r="C196" s="61" t="n"/>
      <c r="D196" s="62" t="n"/>
      <c r="E196" s="62" t="n"/>
      <c r="F196" s="63" t="n"/>
      <c r="G196" s="64" t="n"/>
      <c r="H196" s="64" t="n"/>
      <c r="I196" s="64" t="n"/>
      <c r="J196" s="64" t="n"/>
      <c r="K196" s="65">
        <f>IF(NOT((COUNTA($B196:$J196)+COUNTA($M196))&gt;0),"",IFERROR(LOOKUP(2,1/(G196:J196&lt;&gt;""),G196:J196),0))</f>
        <v/>
      </c>
      <c r="L196" s="60">
        <f>IF(K196="","",IF(K196&gt;=1,"Completado",IF(K196&gt;0,"En curso","Pendiente")))</f>
        <v/>
      </c>
      <c r="M196" s="61" t="n"/>
      <c r="N196" s="66">
        <f>IF(NOT((COUNTA($B196:$J196)+COUNTA($M196))&gt;0),"",IF((IF(B196="","Macroactividad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 OK","⚠ "&amp;LEFT(IF(B196="","Macroactividad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",""),LEN(IF(B196="","Macroactividad vacía"&amp;" · ","")&amp;IF(C196="","Sin responsable"&amp;" · ","")&amp;IF(D196="","Sin fecha de inicio"&amp;" · ","")&amp;IF(E196="","Sin fecha límite"&amp;" · ","")&amp;IF(OR(AND(D196&lt;&gt;"",NOT(ISNUMBER(D196))),AND(E196&lt;&gt;"",NOT(ISNUMBER(E196)))),"Fecha no válida"&amp;" · ","")&amp;IF(AND(ISNUMBER(D196),ISNUMBER(E196),D196&gt;E196),"Inicio posterior a fecha límite"&amp;" · ","")&amp;IF(F196="","Peso vacío"&amp;" · ","")&amp;IF(AND(F196&lt;&gt;"",OR(NOT(ISNUMBER(F196)),F196&lt;=0,F196&gt;1)),"Peso fuera de rango"&amp;" · ","")&amp;IF(ABS(SUMIFS($F$5:$F$1000,$O$5:$O$1000,$O196)-1)&gt;0.0001,"Pesos del mes suman "&amp;TEXT(SUMIFS($F$5:$F$1000,$O$5:$O$1000,$O196),"0%")&amp;" · ","")&amp;IF((COUNTIF(G196:J196,"&gt;1")+COUNTIF(G196:J196,"&lt;0")+COUNTA(G196:J196)-COUNT(G196:J196))&gt;0,"Avance fuera de rango 0-100%"&amp;" · ","")&amp;IF(OR(AND(H196&lt;&gt;"",H196&lt;G196),AND(I196&lt;&gt;"",I196&lt;MAX(G196:H196)),AND(J196&lt;&gt;"",J196&lt;MAX(G196:I196))),"Avance semanal decreciente"&amp;" · ","")&amp;IF(AND(ISNUMBER(E196),E196&lt;FechaRef,N(K196)&lt;1),"Vencida"&amp;" · ","")&amp;IF(AND(ObsObligatoria="Sí",ISNUMBER(E196),E196&lt;FechaRef,N(K196)&lt;1,M196=""),"Vencida sin observación"&amp;" · ",""))-3)))</f>
        <v/>
      </c>
      <c r="O196" s="67">
        <f>IF(NOT((COUNTA($B196:$J196)+COUNTA($M196))&gt;0),"",IF(ISNUMBER($D196),DATE(YEAR($D196),MONTH($D196),1),IF(ISNUMBER($E196),DATE(YEAR($E196),MONTH($E196),1),MesCiclo)))</f>
        <v/>
      </c>
      <c r="P196" s="68">
        <f>IF(OR($O196="",$O196&lt;&gt;MesCiclo),"",COUNTIF($O$5:$O196,MesCiclo))</f>
        <v/>
      </c>
    </row>
    <row r="197">
      <c r="A197" s="60">
        <f>IF(NOT((COUNTA($B197:$J197)+COUNTA($M197))&gt;0),"",COUNTIFS($L$5:$L197,"?*",$O$5:$O197,$O197))</f>
        <v/>
      </c>
      <c r="B197" s="61" t="n"/>
      <c r="C197" s="61" t="n"/>
      <c r="D197" s="62" t="n"/>
      <c r="E197" s="62" t="n"/>
      <c r="F197" s="63" t="n"/>
      <c r="G197" s="64" t="n"/>
      <c r="H197" s="64" t="n"/>
      <c r="I197" s="64" t="n"/>
      <c r="J197" s="64" t="n"/>
      <c r="K197" s="65">
        <f>IF(NOT((COUNTA($B197:$J197)+COUNTA($M197))&gt;0),"",IFERROR(LOOKUP(2,1/(G197:J197&lt;&gt;""),G197:J197),0))</f>
        <v/>
      </c>
      <c r="L197" s="60">
        <f>IF(K197="","",IF(K197&gt;=1,"Completado",IF(K197&gt;0,"En curso","Pendiente")))</f>
        <v/>
      </c>
      <c r="M197" s="61" t="n"/>
      <c r="N197" s="66">
        <f>IF(NOT((COUNTA($B197:$J197)+COUNTA($M197))&gt;0),"",IF((IF(B197="","Macroactividad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 OK","⚠ "&amp;LEFT(IF(B197="","Macroactividad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",""),LEN(IF(B197="","Macroactividad vacía"&amp;" · ","")&amp;IF(C197="","Sin responsable"&amp;" · ","")&amp;IF(D197="","Sin fecha de inicio"&amp;" · ","")&amp;IF(E197="","Sin fecha límite"&amp;" · ","")&amp;IF(OR(AND(D197&lt;&gt;"",NOT(ISNUMBER(D197))),AND(E197&lt;&gt;"",NOT(ISNUMBER(E197)))),"Fecha no válida"&amp;" · ","")&amp;IF(AND(ISNUMBER(D197),ISNUMBER(E197),D197&gt;E197),"Inicio posterior a fecha límite"&amp;" · ","")&amp;IF(F197="","Peso vacío"&amp;" · ","")&amp;IF(AND(F197&lt;&gt;"",OR(NOT(ISNUMBER(F197)),F197&lt;=0,F197&gt;1)),"Peso fuera de rango"&amp;" · ","")&amp;IF(ABS(SUMIFS($F$5:$F$1000,$O$5:$O$1000,$O197)-1)&gt;0.0001,"Pesos del mes suman "&amp;TEXT(SUMIFS($F$5:$F$1000,$O$5:$O$1000,$O197),"0%")&amp;" · ","")&amp;IF((COUNTIF(G197:J197,"&gt;1")+COUNTIF(G197:J197,"&lt;0")+COUNTA(G197:J197)-COUNT(G197:J197))&gt;0,"Avance fuera de rango 0-100%"&amp;" · ","")&amp;IF(OR(AND(H197&lt;&gt;"",H197&lt;G197),AND(I197&lt;&gt;"",I197&lt;MAX(G197:H197)),AND(J197&lt;&gt;"",J197&lt;MAX(G197:I197))),"Avance semanal decreciente"&amp;" · ","")&amp;IF(AND(ISNUMBER(E197),E197&lt;FechaRef,N(K197)&lt;1),"Vencida"&amp;" · ","")&amp;IF(AND(ObsObligatoria="Sí",ISNUMBER(E197),E197&lt;FechaRef,N(K197)&lt;1,M197=""),"Vencida sin observación"&amp;" · ",""))-3)))</f>
        <v/>
      </c>
      <c r="O197" s="67">
        <f>IF(NOT((COUNTA($B197:$J197)+COUNTA($M197))&gt;0),"",IF(ISNUMBER($D197),DATE(YEAR($D197),MONTH($D197),1),IF(ISNUMBER($E197),DATE(YEAR($E197),MONTH($E197),1),MesCiclo)))</f>
        <v/>
      </c>
      <c r="P197" s="68">
        <f>IF(OR($O197="",$O197&lt;&gt;MesCiclo),"",COUNTIF($O$5:$O197,MesCiclo))</f>
        <v/>
      </c>
    </row>
    <row r="198">
      <c r="A198" s="60">
        <f>IF(NOT((COUNTA($B198:$J198)+COUNTA($M198))&gt;0),"",COUNTIFS($L$5:$L198,"?*",$O$5:$O198,$O198))</f>
        <v/>
      </c>
      <c r="B198" s="61" t="n"/>
      <c r="C198" s="61" t="n"/>
      <c r="D198" s="62" t="n"/>
      <c r="E198" s="62" t="n"/>
      <c r="F198" s="63" t="n"/>
      <c r="G198" s="64" t="n"/>
      <c r="H198" s="64" t="n"/>
      <c r="I198" s="64" t="n"/>
      <c r="J198" s="64" t="n"/>
      <c r="K198" s="65">
        <f>IF(NOT((COUNTA($B198:$J198)+COUNTA($M198))&gt;0),"",IFERROR(LOOKUP(2,1/(G198:J198&lt;&gt;""),G198:J198),0))</f>
        <v/>
      </c>
      <c r="L198" s="60">
        <f>IF(K198="","",IF(K198&gt;=1,"Completado",IF(K198&gt;0,"En curso","Pendiente")))</f>
        <v/>
      </c>
      <c r="M198" s="61" t="n"/>
      <c r="N198" s="66">
        <f>IF(NOT((COUNTA($B198:$J198)+COUNTA($M198))&gt;0),"",IF((IF(B198="","Macroactividad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 OK","⚠ "&amp;LEFT(IF(B198="","Macroactividad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",""),LEN(IF(B198="","Macroactividad vacía"&amp;" · ","")&amp;IF(C198="","Sin responsable"&amp;" · ","")&amp;IF(D198="","Sin fecha de inicio"&amp;" · ","")&amp;IF(E198="","Sin fecha límite"&amp;" · ","")&amp;IF(OR(AND(D198&lt;&gt;"",NOT(ISNUMBER(D198))),AND(E198&lt;&gt;"",NOT(ISNUMBER(E198)))),"Fecha no válida"&amp;" · ","")&amp;IF(AND(ISNUMBER(D198),ISNUMBER(E198),D198&gt;E198),"Inicio posterior a fecha límite"&amp;" · ","")&amp;IF(F198="","Peso vacío"&amp;" · ","")&amp;IF(AND(F198&lt;&gt;"",OR(NOT(ISNUMBER(F198)),F198&lt;=0,F198&gt;1)),"Peso fuera de rango"&amp;" · ","")&amp;IF(ABS(SUMIFS($F$5:$F$1000,$O$5:$O$1000,$O198)-1)&gt;0.0001,"Pesos del mes suman "&amp;TEXT(SUMIFS($F$5:$F$1000,$O$5:$O$1000,$O198),"0%")&amp;" · ","")&amp;IF((COUNTIF(G198:J198,"&gt;1")+COUNTIF(G198:J198,"&lt;0")+COUNTA(G198:J198)-COUNT(G198:J198))&gt;0,"Avance fuera de rango 0-100%"&amp;" · ","")&amp;IF(OR(AND(H198&lt;&gt;"",H198&lt;G198),AND(I198&lt;&gt;"",I198&lt;MAX(G198:H198)),AND(J198&lt;&gt;"",J198&lt;MAX(G198:I198))),"Avance semanal decreciente"&amp;" · ","")&amp;IF(AND(ISNUMBER(E198),E198&lt;FechaRef,N(K198)&lt;1),"Vencida"&amp;" · ","")&amp;IF(AND(ObsObligatoria="Sí",ISNUMBER(E198),E198&lt;FechaRef,N(K198)&lt;1,M198=""),"Vencida sin observación"&amp;" · ",""))-3)))</f>
        <v/>
      </c>
      <c r="O198" s="67">
        <f>IF(NOT((COUNTA($B198:$J198)+COUNTA($M198))&gt;0),"",IF(ISNUMBER($D198),DATE(YEAR($D198),MONTH($D198),1),IF(ISNUMBER($E198),DATE(YEAR($E198),MONTH($E198),1),MesCiclo)))</f>
        <v/>
      </c>
      <c r="P198" s="68">
        <f>IF(OR($O198="",$O198&lt;&gt;MesCiclo),"",COUNTIF($O$5:$O198,MesCiclo))</f>
        <v/>
      </c>
    </row>
    <row r="199">
      <c r="A199" s="60">
        <f>IF(NOT((COUNTA($B199:$J199)+COUNTA($M199))&gt;0),"",COUNTIFS($L$5:$L199,"?*",$O$5:$O199,$O199))</f>
        <v/>
      </c>
      <c r="B199" s="61" t="n"/>
      <c r="C199" s="61" t="n"/>
      <c r="D199" s="62" t="n"/>
      <c r="E199" s="62" t="n"/>
      <c r="F199" s="63" t="n"/>
      <c r="G199" s="64" t="n"/>
      <c r="H199" s="64" t="n"/>
      <c r="I199" s="64" t="n"/>
      <c r="J199" s="64" t="n"/>
      <c r="K199" s="65">
        <f>IF(NOT((COUNTA($B199:$J199)+COUNTA($M199))&gt;0),"",IFERROR(LOOKUP(2,1/(G199:J199&lt;&gt;""),G199:J199),0))</f>
        <v/>
      </c>
      <c r="L199" s="60">
        <f>IF(K199="","",IF(K199&gt;=1,"Completado",IF(K199&gt;0,"En curso","Pendiente")))</f>
        <v/>
      </c>
      <c r="M199" s="61" t="n"/>
      <c r="N199" s="66">
        <f>IF(NOT((COUNTA($B199:$J199)+COUNTA($M199))&gt;0),"",IF((IF(B199="","Macroactividad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 OK","⚠ "&amp;LEFT(IF(B199="","Macroactividad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",""),LEN(IF(B199="","Macroactividad vacía"&amp;" · ","")&amp;IF(C199="","Sin responsable"&amp;" · ","")&amp;IF(D199="","Sin fecha de inicio"&amp;" · ","")&amp;IF(E199="","Sin fecha límite"&amp;" · ","")&amp;IF(OR(AND(D199&lt;&gt;"",NOT(ISNUMBER(D199))),AND(E199&lt;&gt;"",NOT(ISNUMBER(E199)))),"Fecha no válida"&amp;" · ","")&amp;IF(AND(ISNUMBER(D199),ISNUMBER(E199),D199&gt;E199),"Inicio posterior a fecha límite"&amp;" · ","")&amp;IF(F199="","Peso vacío"&amp;" · ","")&amp;IF(AND(F199&lt;&gt;"",OR(NOT(ISNUMBER(F199)),F199&lt;=0,F199&gt;1)),"Peso fuera de rango"&amp;" · ","")&amp;IF(ABS(SUMIFS($F$5:$F$1000,$O$5:$O$1000,$O199)-1)&gt;0.0001,"Pesos del mes suman "&amp;TEXT(SUMIFS($F$5:$F$1000,$O$5:$O$1000,$O199),"0%")&amp;" · ","")&amp;IF((COUNTIF(G199:J199,"&gt;1")+COUNTIF(G199:J199,"&lt;0")+COUNTA(G199:J199)-COUNT(G199:J199))&gt;0,"Avance fuera de rango 0-100%"&amp;" · ","")&amp;IF(OR(AND(H199&lt;&gt;"",H199&lt;G199),AND(I199&lt;&gt;"",I199&lt;MAX(G199:H199)),AND(J199&lt;&gt;"",J199&lt;MAX(G199:I199))),"Avance semanal decreciente"&amp;" · ","")&amp;IF(AND(ISNUMBER(E199),E199&lt;FechaRef,N(K199)&lt;1),"Vencida"&amp;" · ","")&amp;IF(AND(ObsObligatoria="Sí",ISNUMBER(E199),E199&lt;FechaRef,N(K199)&lt;1,M199=""),"Vencida sin observación"&amp;" · ",""))-3)))</f>
        <v/>
      </c>
      <c r="O199" s="67">
        <f>IF(NOT((COUNTA($B199:$J199)+COUNTA($M199))&gt;0),"",IF(ISNUMBER($D199),DATE(YEAR($D199),MONTH($D199),1),IF(ISNUMBER($E199),DATE(YEAR($E199),MONTH($E199),1),MesCiclo)))</f>
        <v/>
      </c>
      <c r="P199" s="68">
        <f>IF(OR($O199="",$O199&lt;&gt;MesCiclo),"",COUNTIF($O$5:$O199,MesCiclo))</f>
        <v/>
      </c>
    </row>
    <row r="200">
      <c r="A200" s="60">
        <f>IF(NOT((COUNTA($B200:$J200)+COUNTA($M200))&gt;0),"",COUNTIFS($L$5:$L200,"?*",$O$5:$O200,$O200))</f>
        <v/>
      </c>
      <c r="B200" s="61" t="n"/>
      <c r="C200" s="61" t="n"/>
      <c r="D200" s="62" t="n"/>
      <c r="E200" s="62" t="n"/>
      <c r="F200" s="63" t="n"/>
      <c r="G200" s="64" t="n"/>
      <c r="H200" s="64" t="n"/>
      <c r="I200" s="64" t="n"/>
      <c r="J200" s="64" t="n"/>
      <c r="K200" s="65">
        <f>IF(NOT((COUNTA($B200:$J200)+COUNTA($M200))&gt;0),"",IFERROR(LOOKUP(2,1/(G200:J200&lt;&gt;""),G200:J200),0))</f>
        <v/>
      </c>
      <c r="L200" s="60">
        <f>IF(K200="","",IF(K200&gt;=1,"Completado",IF(K200&gt;0,"En curso","Pendiente")))</f>
        <v/>
      </c>
      <c r="M200" s="61" t="n"/>
      <c r="N200" s="66">
        <f>IF(NOT((COUNTA($B200:$J200)+COUNTA($M200))&gt;0),"",IF((IF(B200="","Macroactividad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 OK","⚠ "&amp;LEFT(IF(B200="","Macroactividad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",""),LEN(IF(B200="","Macroactividad vacía"&amp;" · ","")&amp;IF(C200="","Sin responsable"&amp;" · ","")&amp;IF(D200="","Sin fecha de inicio"&amp;" · ","")&amp;IF(E200="","Sin fecha límite"&amp;" · ","")&amp;IF(OR(AND(D200&lt;&gt;"",NOT(ISNUMBER(D200))),AND(E200&lt;&gt;"",NOT(ISNUMBER(E200)))),"Fecha no válida"&amp;" · ","")&amp;IF(AND(ISNUMBER(D200),ISNUMBER(E200),D200&gt;E200),"Inicio posterior a fecha límite"&amp;" · ","")&amp;IF(F200="","Peso vacío"&amp;" · ","")&amp;IF(AND(F200&lt;&gt;"",OR(NOT(ISNUMBER(F200)),F200&lt;=0,F200&gt;1)),"Peso fuera de rango"&amp;" · ","")&amp;IF(ABS(SUMIFS($F$5:$F$1000,$O$5:$O$1000,$O200)-1)&gt;0.0001,"Pesos del mes suman "&amp;TEXT(SUMIFS($F$5:$F$1000,$O$5:$O$1000,$O200),"0%")&amp;" · ","")&amp;IF((COUNTIF(G200:J200,"&gt;1")+COUNTIF(G200:J200,"&lt;0")+COUNTA(G200:J200)-COUNT(G200:J200))&gt;0,"Avance fuera de rango 0-100%"&amp;" · ","")&amp;IF(OR(AND(H200&lt;&gt;"",H200&lt;G200),AND(I200&lt;&gt;"",I200&lt;MAX(G200:H200)),AND(J200&lt;&gt;"",J200&lt;MAX(G200:I200))),"Avance semanal decreciente"&amp;" · ","")&amp;IF(AND(ISNUMBER(E200),E200&lt;FechaRef,N(K200)&lt;1),"Vencida"&amp;" · ","")&amp;IF(AND(ObsObligatoria="Sí",ISNUMBER(E200),E200&lt;FechaRef,N(K200)&lt;1,M200=""),"Vencida sin observación"&amp;" · ",""))-3)))</f>
        <v/>
      </c>
      <c r="O200" s="67">
        <f>IF(NOT((COUNTA($B200:$J200)+COUNTA($M200))&gt;0),"",IF(ISNUMBER($D200),DATE(YEAR($D200),MONTH($D200),1),IF(ISNUMBER($E200),DATE(YEAR($E200),MONTH($E200),1),MesCiclo)))</f>
        <v/>
      </c>
      <c r="P200" s="68">
        <f>IF(OR($O200="",$O200&lt;&gt;MesCiclo),"",COUNTIF($O$5:$O200,MesCiclo))</f>
        <v/>
      </c>
    </row>
    <row r="201">
      <c r="A201" s="60">
        <f>IF(NOT((COUNTA($B201:$J201)+COUNTA($M201))&gt;0),"",COUNTIFS($L$5:$L201,"?*",$O$5:$O201,$O201))</f>
        <v/>
      </c>
      <c r="B201" s="61" t="n"/>
      <c r="C201" s="61" t="n"/>
      <c r="D201" s="62" t="n"/>
      <c r="E201" s="62" t="n"/>
      <c r="F201" s="63" t="n"/>
      <c r="G201" s="64" t="n"/>
      <c r="H201" s="64" t="n"/>
      <c r="I201" s="64" t="n"/>
      <c r="J201" s="64" t="n"/>
      <c r="K201" s="65">
        <f>IF(NOT((COUNTA($B201:$J201)+COUNTA($M201))&gt;0),"",IFERROR(LOOKUP(2,1/(G201:J201&lt;&gt;""),G201:J201),0))</f>
        <v/>
      </c>
      <c r="L201" s="60">
        <f>IF(K201="","",IF(K201&gt;=1,"Completado",IF(K201&gt;0,"En curso","Pendiente")))</f>
        <v/>
      </c>
      <c r="M201" s="61" t="n"/>
      <c r="N201" s="66">
        <f>IF(NOT((COUNTA($B201:$J201)+COUNTA($M201))&gt;0),"",IF((IF(B201="","Macroactividad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 OK","⚠ "&amp;LEFT(IF(B201="","Macroactividad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",""),LEN(IF(B201="","Macroactividad vacía"&amp;" · ","")&amp;IF(C201="","Sin responsable"&amp;" · ","")&amp;IF(D201="","Sin fecha de inicio"&amp;" · ","")&amp;IF(E201="","Sin fecha límite"&amp;" · ","")&amp;IF(OR(AND(D201&lt;&gt;"",NOT(ISNUMBER(D201))),AND(E201&lt;&gt;"",NOT(ISNUMBER(E201)))),"Fecha no válida"&amp;" · ","")&amp;IF(AND(ISNUMBER(D201),ISNUMBER(E201),D201&gt;E201),"Inicio posterior a fecha límite"&amp;" · ","")&amp;IF(F201="","Peso vacío"&amp;" · ","")&amp;IF(AND(F201&lt;&gt;"",OR(NOT(ISNUMBER(F201)),F201&lt;=0,F201&gt;1)),"Peso fuera de rango"&amp;" · ","")&amp;IF(ABS(SUMIFS($F$5:$F$1000,$O$5:$O$1000,$O201)-1)&gt;0.0001,"Pesos del mes suman "&amp;TEXT(SUMIFS($F$5:$F$1000,$O$5:$O$1000,$O201),"0%")&amp;" · ","")&amp;IF((COUNTIF(G201:J201,"&gt;1")+COUNTIF(G201:J201,"&lt;0")+COUNTA(G201:J201)-COUNT(G201:J201))&gt;0,"Avance fuera de rango 0-100%"&amp;" · ","")&amp;IF(OR(AND(H201&lt;&gt;"",H201&lt;G201),AND(I201&lt;&gt;"",I201&lt;MAX(G201:H201)),AND(J201&lt;&gt;"",J201&lt;MAX(G201:I201))),"Avance semanal decreciente"&amp;" · ","")&amp;IF(AND(ISNUMBER(E201),E201&lt;FechaRef,N(K201)&lt;1),"Vencida"&amp;" · ","")&amp;IF(AND(ObsObligatoria="Sí",ISNUMBER(E201),E201&lt;FechaRef,N(K201)&lt;1,M201=""),"Vencida sin observación"&amp;" · ",""))-3)))</f>
        <v/>
      </c>
      <c r="O201" s="67">
        <f>IF(NOT((COUNTA($B201:$J201)+COUNTA($M201))&gt;0),"",IF(ISNUMBER($D201),DATE(YEAR($D201),MONTH($D201),1),IF(ISNUMBER($E201),DATE(YEAR($E201),MONTH($E201),1),MesCiclo)))</f>
        <v/>
      </c>
      <c r="P201" s="68">
        <f>IF(OR($O201="",$O201&lt;&gt;MesCiclo),"",COUNTIF($O$5:$O201,MesCiclo))</f>
        <v/>
      </c>
    </row>
    <row r="202">
      <c r="A202" s="60">
        <f>IF(NOT((COUNTA($B202:$J202)+COUNTA($M202))&gt;0),"",COUNTIFS($L$5:$L202,"?*",$O$5:$O202,$O202))</f>
        <v/>
      </c>
      <c r="B202" s="61" t="n"/>
      <c r="C202" s="61" t="n"/>
      <c r="D202" s="62" t="n"/>
      <c r="E202" s="62" t="n"/>
      <c r="F202" s="63" t="n"/>
      <c r="G202" s="64" t="n"/>
      <c r="H202" s="64" t="n"/>
      <c r="I202" s="64" t="n"/>
      <c r="J202" s="64" t="n"/>
      <c r="K202" s="65">
        <f>IF(NOT((COUNTA($B202:$J202)+COUNTA($M202))&gt;0),"",IFERROR(LOOKUP(2,1/(G202:J202&lt;&gt;""),G202:J202),0))</f>
        <v/>
      </c>
      <c r="L202" s="60">
        <f>IF(K202="","",IF(K202&gt;=1,"Completado",IF(K202&gt;0,"En curso","Pendiente")))</f>
        <v/>
      </c>
      <c r="M202" s="61" t="n"/>
      <c r="N202" s="66">
        <f>IF(NOT((COUNTA($B202:$J202)+COUNTA($M202))&gt;0),"",IF((IF(B202="","Macroactividad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 OK","⚠ "&amp;LEFT(IF(B202="","Macroactividad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",""),LEN(IF(B202="","Macroactividad vacía"&amp;" · ","")&amp;IF(C202="","Sin responsable"&amp;" · ","")&amp;IF(D202="","Sin fecha de inicio"&amp;" · ","")&amp;IF(E202="","Sin fecha límite"&amp;" · ","")&amp;IF(OR(AND(D202&lt;&gt;"",NOT(ISNUMBER(D202))),AND(E202&lt;&gt;"",NOT(ISNUMBER(E202)))),"Fecha no válida"&amp;" · ","")&amp;IF(AND(ISNUMBER(D202),ISNUMBER(E202),D202&gt;E202),"Inicio posterior a fecha límite"&amp;" · ","")&amp;IF(F202="","Peso vacío"&amp;" · ","")&amp;IF(AND(F202&lt;&gt;"",OR(NOT(ISNUMBER(F202)),F202&lt;=0,F202&gt;1)),"Peso fuera de rango"&amp;" · ","")&amp;IF(ABS(SUMIFS($F$5:$F$1000,$O$5:$O$1000,$O202)-1)&gt;0.0001,"Pesos del mes suman "&amp;TEXT(SUMIFS($F$5:$F$1000,$O$5:$O$1000,$O202),"0%")&amp;" · ","")&amp;IF((COUNTIF(G202:J202,"&gt;1")+COUNTIF(G202:J202,"&lt;0")+COUNTA(G202:J202)-COUNT(G202:J202))&gt;0,"Avance fuera de rango 0-100%"&amp;" · ","")&amp;IF(OR(AND(H202&lt;&gt;"",H202&lt;G202),AND(I202&lt;&gt;"",I202&lt;MAX(G202:H202)),AND(J202&lt;&gt;"",J202&lt;MAX(G202:I202))),"Avance semanal decreciente"&amp;" · ","")&amp;IF(AND(ISNUMBER(E202),E202&lt;FechaRef,N(K202)&lt;1),"Vencida"&amp;" · ","")&amp;IF(AND(ObsObligatoria="Sí",ISNUMBER(E202),E202&lt;FechaRef,N(K202)&lt;1,M202=""),"Vencida sin observación"&amp;" · ",""))-3)))</f>
        <v/>
      </c>
      <c r="O202" s="67">
        <f>IF(NOT((COUNTA($B202:$J202)+COUNTA($M202))&gt;0),"",IF(ISNUMBER($D202),DATE(YEAR($D202),MONTH($D202),1),IF(ISNUMBER($E202),DATE(YEAR($E202),MONTH($E202),1),MesCiclo)))</f>
        <v/>
      </c>
      <c r="P202" s="68">
        <f>IF(OR($O202="",$O202&lt;&gt;MesCiclo),"",COUNTIF($O$5:$O202,MesCiclo))</f>
        <v/>
      </c>
    </row>
    <row r="203">
      <c r="A203" s="60">
        <f>IF(NOT((COUNTA($B203:$J203)+COUNTA($M203))&gt;0),"",COUNTIFS($L$5:$L203,"?*",$O$5:$O203,$O203))</f>
        <v/>
      </c>
      <c r="B203" s="61" t="n"/>
      <c r="C203" s="61" t="n"/>
      <c r="D203" s="62" t="n"/>
      <c r="E203" s="62" t="n"/>
      <c r="F203" s="63" t="n"/>
      <c r="G203" s="64" t="n"/>
      <c r="H203" s="64" t="n"/>
      <c r="I203" s="64" t="n"/>
      <c r="J203" s="64" t="n"/>
      <c r="K203" s="65">
        <f>IF(NOT((COUNTA($B203:$J203)+COUNTA($M203))&gt;0),"",IFERROR(LOOKUP(2,1/(G203:J203&lt;&gt;""),G203:J203),0))</f>
        <v/>
      </c>
      <c r="L203" s="60">
        <f>IF(K203="","",IF(K203&gt;=1,"Completado",IF(K203&gt;0,"En curso","Pendiente")))</f>
        <v/>
      </c>
      <c r="M203" s="61" t="n"/>
      <c r="N203" s="66">
        <f>IF(NOT((COUNTA($B203:$J203)+COUNTA($M203))&gt;0),"",IF((IF(B203="","Macroactividad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 OK","⚠ "&amp;LEFT(IF(B203="","Macroactividad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",""),LEN(IF(B203="","Macroactividad vacía"&amp;" · ","")&amp;IF(C203="","Sin responsable"&amp;" · ","")&amp;IF(D203="","Sin fecha de inicio"&amp;" · ","")&amp;IF(E203="","Sin fecha límite"&amp;" · ","")&amp;IF(OR(AND(D203&lt;&gt;"",NOT(ISNUMBER(D203))),AND(E203&lt;&gt;"",NOT(ISNUMBER(E203)))),"Fecha no válida"&amp;" · ","")&amp;IF(AND(ISNUMBER(D203),ISNUMBER(E203),D203&gt;E203),"Inicio posterior a fecha límite"&amp;" · ","")&amp;IF(F203="","Peso vacío"&amp;" · ","")&amp;IF(AND(F203&lt;&gt;"",OR(NOT(ISNUMBER(F203)),F203&lt;=0,F203&gt;1)),"Peso fuera de rango"&amp;" · ","")&amp;IF(ABS(SUMIFS($F$5:$F$1000,$O$5:$O$1000,$O203)-1)&gt;0.0001,"Pesos del mes suman "&amp;TEXT(SUMIFS($F$5:$F$1000,$O$5:$O$1000,$O203),"0%")&amp;" · ","")&amp;IF((COUNTIF(G203:J203,"&gt;1")+COUNTIF(G203:J203,"&lt;0")+COUNTA(G203:J203)-COUNT(G203:J203))&gt;0,"Avance fuera de rango 0-100%"&amp;" · ","")&amp;IF(OR(AND(H203&lt;&gt;"",H203&lt;G203),AND(I203&lt;&gt;"",I203&lt;MAX(G203:H203)),AND(J203&lt;&gt;"",J203&lt;MAX(G203:I203))),"Avance semanal decreciente"&amp;" · ","")&amp;IF(AND(ISNUMBER(E203),E203&lt;FechaRef,N(K203)&lt;1),"Vencida"&amp;" · ","")&amp;IF(AND(ObsObligatoria="Sí",ISNUMBER(E203),E203&lt;FechaRef,N(K203)&lt;1,M203=""),"Vencida sin observación"&amp;" · ",""))-3)))</f>
        <v/>
      </c>
      <c r="O203" s="67">
        <f>IF(NOT((COUNTA($B203:$J203)+COUNTA($M203))&gt;0),"",IF(ISNUMBER($D203),DATE(YEAR($D203),MONTH($D203),1),IF(ISNUMBER($E203),DATE(YEAR($E203),MONTH($E203),1),MesCiclo)))</f>
        <v/>
      </c>
      <c r="P203" s="68">
        <f>IF(OR($O203="",$O203&lt;&gt;MesCiclo),"",COUNTIF($O$5:$O203,MesCiclo))</f>
        <v/>
      </c>
    </row>
    <row r="204">
      <c r="A204" s="60">
        <f>IF(NOT((COUNTA($B204:$J204)+COUNTA($M204))&gt;0),"",COUNTIFS($L$5:$L204,"?*",$O$5:$O204,$O204))</f>
        <v/>
      </c>
      <c r="B204" s="61" t="n"/>
      <c r="C204" s="61" t="n"/>
      <c r="D204" s="62" t="n"/>
      <c r="E204" s="62" t="n"/>
      <c r="F204" s="63" t="n"/>
      <c r="G204" s="64" t="n"/>
      <c r="H204" s="64" t="n"/>
      <c r="I204" s="64" t="n"/>
      <c r="J204" s="64" t="n"/>
      <c r="K204" s="65">
        <f>IF(NOT((COUNTA($B204:$J204)+COUNTA($M204))&gt;0),"",IFERROR(LOOKUP(2,1/(G204:J204&lt;&gt;""),G204:J204),0))</f>
        <v/>
      </c>
      <c r="L204" s="60">
        <f>IF(K204="","",IF(K204&gt;=1,"Completado",IF(K204&gt;0,"En curso","Pendiente")))</f>
        <v/>
      </c>
      <c r="M204" s="61" t="n"/>
      <c r="N204" s="66">
        <f>IF(NOT((COUNTA($B204:$J204)+COUNTA($M204))&gt;0),"",IF((IF(B204="","Macroactividad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 OK","⚠ "&amp;LEFT(IF(B204="","Macroactividad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",""),LEN(IF(B204="","Macroactividad vacía"&amp;" · ","")&amp;IF(C204="","Sin responsable"&amp;" · ","")&amp;IF(D204="","Sin fecha de inicio"&amp;" · ","")&amp;IF(E204="","Sin fecha límite"&amp;" · ","")&amp;IF(OR(AND(D204&lt;&gt;"",NOT(ISNUMBER(D204))),AND(E204&lt;&gt;"",NOT(ISNUMBER(E204)))),"Fecha no válida"&amp;" · ","")&amp;IF(AND(ISNUMBER(D204),ISNUMBER(E204),D204&gt;E204),"Inicio posterior a fecha límite"&amp;" · ","")&amp;IF(F204="","Peso vacío"&amp;" · ","")&amp;IF(AND(F204&lt;&gt;"",OR(NOT(ISNUMBER(F204)),F204&lt;=0,F204&gt;1)),"Peso fuera de rango"&amp;" · ","")&amp;IF(ABS(SUMIFS($F$5:$F$1000,$O$5:$O$1000,$O204)-1)&gt;0.0001,"Pesos del mes suman "&amp;TEXT(SUMIFS($F$5:$F$1000,$O$5:$O$1000,$O204),"0%")&amp;" · ","")&amp;IF((COUNTIF(G204:J204,"&gt;1")+COUNTIF(G204:J204,"&lt;0")+COUNTA(G204:J204)-COUNT(G204:J204))&gt;0,"Avance fuera de rango 0-100%"&amp;" · ","")&amp;IF(OR(AND(H204&lt;&gt;"",H204&lt;G204),AND(I204&lt;&gt;"",I204&lt;MAX(G204:H204)),AND(J204&lt;&gt;"",J204&lt;MAX(G204:I204))),"Avance semanal decreciente"&amp;" · ","")&amp;IF(AND(ISNUMBER(E204),E204&lt;FechaRef,N(K204)&lt;1),"Vencida"&amp;" · ","")&amp;IF(AND(ObsObligatoria="Sí",ISNUMBER(E204),E204&lt;FechaRef,N(K204)&lt;1,M204=""),"Vencida sin observación"&amp;" · ",""))-3)))</f>
        <v/>
      </c>
      <c r="O204" s="67">
        <f>IF(NOT((COUNTA($B204:$J204)+COUNTA($M204))&gt;0),"",IF(ISNUMBER($D204),DATE(YEAR($D204),MONTH($D204),1),IF(ISNUMBER($E204),DATE(YEAR($E204),MONTH($E204),1),MesCiclo)))</f>
        <v/>
      </c>
      <c r="P204" s="68">
        <f>IF(OR($O204="",$O204&lt;&gt;MesCiclo),"",COUNTIF($O$5:$O204,MesCiclo))</f>
        <v/>
      </c>
    </row>
    <row r="205">
      <c r="A205" s="60">
        <f>IF(NOT((COUNTA($B205:$J205)+COUNTA($M205))&gt;0),"",COUNTIFS($L$5:$L205,"?*",$O$5:$O205,$O205))</f>
        <v/>
      </c>
      <c r="B205" s="61" t="n"/>
      <c r="C205" s="61" t="n"/>
      <c r="D205" s="62" t="n"/>
      <c r="E205" s="62" t="n"/>
      <c r="F205" s="63" t="n"/>
      <c r="G205" s="64" t="n"/>
      <c r="H205" s="64" t="n"/>
      <c r="I205" s="64" t="n"/>
      <c r="J205" s="64" t="n"/>
      <c r="K205" s="65">
        <f>IF(NOT((COUNTA($B205:$J205)+COUNTA($M205))&gt;0),"",IFERROR(LOOKUP(2,1/(G205:J205&lt;&gt;""),G205:J205),0))</f>
        <v/>
      </c>
      <c r="L205" s="60">
        <f>IF(K205="","",IF(K205&gt;=1,"Completado",IF(K205&gt;0,"En curso","Pendiente")))</f>
        <v/>
      </c>
      <c r="M205" s="61" t="n"/>
      <c r="N205" s="66">
        <f>IF(NOT((COUNTA($B205:$J205)+COUNTA($M205))&gt;0),"",IF((IF(B205="","Macroactividad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 OK","⚠ "&amp;LEFT(IF(B205="","Macroactividad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",""),LEN(IF(B205="","Macroactividad vacía"&amp;" · ","")&amp;IF(C205="","Sin responsable"&amp;" · ","")&amp;IF(D205="","Sin fecha de inicio"&amp;" · ","")&amp;IF(E205="","Sin fecha límite"&amp;" · ","")&amp;IF(OR(AND(D205&lt;&gt;"",NOT(ISNUMBER(D205))),AND(E205&lt;&gt;"",NOT(ISNUMBER(E205)))),"Fecha no válida"&amp;" · ","")&amp;IF(AND(ISNUMBER(D205),ISNUMBER(E205),D205&gt;E205),"Inicio posterior a fecha límite"&amp;" · ","")&amp;IF(F205="","Peso vacío"&amp;" · ","")&amp;IF(AND(F205&lt;&gt;"",OR(NOT(ISNUMBER(F205)),F205&lt;=0,F205&gt;1)),"Peso fuera de rango"&amp;" · ","")&amp;IF(ABS(SUMIFS($F$5:$F$1000,$O$5:$O$1000,$O205)-1)&gt;0.0001,"Pesos del mes suman "&amp;TEXT(SUMIFS($F$5:$F$1000,$O$5:$O$1000,$O205),"0%")&amp;" · ","")&amp;IF((COUNTIF(G205:J205,"&gt;1")+COUNTIF(G205:J205,"&lt;0")+COUNTA(G205:J205)-COUNT(G205:J205))&gt;0,"Avance fuera de rango 0-100%"&amp;" · ","")&amp;IF(OR(AND(H205&lt;&gt;"",H205&lt;G205),AND(I205&lt;&gt;"",I205&lt;MAX(G205:H205)),AND(J205&lt;&gt;"",J205&lt;MAX(G205:I205))),"Avance semanal decreciente"&amp;" · ","")&amp;IF(AND(ISNUMBER(E205),E205&lt;FechaRef,N(K205)&lt;1),"Vencida"&amp;" · ","")&amp;IF(AND(ObsObligatoria="Sí",ISNUMBER(E205),E205&lt;FechaRef,N(K205)&lt;1,M205=""),"Vencida sin observación"&amp;" · ",""))-3)))</f>
        <v/>
      </c>
      <c r="O205" s="67">
        <f>IF(NOT((COUNTA($B205:$J205)+COUNTA($M205))&gt;0),"",IF(ISNUMBER($D205),DATE(YEAR($D205),MONTH($D205),1),IF(ISNUMBER($E205),DATE(YEAR($E205),MONTH($E205),1),MesCiclo)))</f>
        <v/>
      </c>
      <c r="P205" s="68">
        <f>IF(OR($O205="",$O205&lt;&gt;MesCiclo),"",COUNTIF($O$5:$O205,MesCiclo))</f>
        <v/>
      </c>
    </row>
    <row r="206">
      <c r="A206" s="60">
        <f>IF(NOT((COUNTA($B206:$J206)+COUNTA($M206))&gt;0),"",COUNTIFS($L$5:$L206,"?*",$O$5:$O206,$O206))</f>
        <v/>
      </c>
      <c r="B206" s="61" t="n"/>
      <c r="C206" s="61" t="n"/>
      <c r="D206" s="62" t="n"/>
      <c r="E206" s="62" t="n"/>
      <c r="F206" s="63" t="n"/>
      <c r="G206" s="64" t="n"/>
      <c r="H206" s="64" t="n"/>
      <c r="I206" s="64" t="n"/>
      <c r="J206" s="64" t="n"/>
      <c r="K206" s="65">
        <f>IF(NOT((COUNTA($B206:$J206)+COUNTA($M206))&gt;0),"",IFERROR(LOOKUP(2,1/(G206:J206&lt;&gt;""),G206:J206),0))</f>
        <v/>
      </c>
      <c r="L206" s="60">
        <f>IF(K206="","",IF(K206&gt;=1,"Completado",IF(K206&gt;0,"En curso","Pendiente")))</f>
        <v/>
      </c>
      <c r="M206" s="61" t="n"/>
      <c r="N206" s="66">
        <f>IF(NOT((COUNTA($B206:$J206)+COUNTA($M206))&gt;0),"",IF((IF(B206="","Macroactividad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 OK","⚠ "&amp;LEFT(IF(B206="","Macroactividad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",""),LEN(IF(B206="","Macroactividad vacía"&amp;" · ","")&amp;IF(C206="","Sin responsable"&amp;" · ","")&amp;IF(D206="","Sin fecha de inicio"&amp;" · ","")&amp;IF(E206="","Sin fecha límite"&amp;" · ","")&amp;IF(OR(AND(D206&lt;&gt;"",NOT(ISNUMBER(D206))),AND(E206&lt;&gt;"",NOT(ISNUMBER(E206)))),"Fecha no válida"&amp;" · ","")&amp;IF(AND(ISNUMBER(D206),ISNUMBER(E206),D206&gt;E206),"Inicio posterior a fecha límite"&amp;" · ","")&amp;IF(F206="","Peso vacío"&amp;" · ","")&amp;IF(AND(F206&lt;&gt;"",OR(NOT(ISNUMBER(F206)),F206&lt;=0,F206&gt;1)),"Peso fuera de rango"&amp;" · ","")&amp;IF(ABS(SUMIFS($F$5:$F$1000,$O$5:$O$1000,$O206)-1)&gt;0.0001,"Pesos del mes suman "&amp;TEXT(SUMIFS($F$5:$F$1000,$O$5:$O$1000,$O206),"0%")&amp;" · ","")&amp;IF((COUNTIF(G206:J206,"&gt;1")+COUNTIF(G206:J206,"&lt;0")+COUNTA(G206:J206)-COUNT(G206:J206))&gt;0,"Avance fuera de rango 0-100%"&amp;" · ","")&amp;IF(OR(AND(H206&lt;&gt;"",H206&lt;G206),AND(I206&lt;&gt;"",I206&lt;MAX(G206:H206)),AND(J206&lt;&gt;"",J206&lt;MAX(G206:I206))),"Avance semanal decreciente"&amp;" · ","")&amp;IF(AND(ISNUMBER(E206),E206&lt;FechaRef,N(K206)&lt;1),"Vencida"&amp;" · ","")&amp;IF(AND(ObsObligatoria="Sí",ISNUMBER(E206),E206&lt;FechaRef,N(K206)&lt;1,M206=""),"Vencida sin observación"&amp;" · ",""))-3)))</f>
        <v/>
      </c>
      <c r="O206" s="67">
        <f>IF(NOT((COUNTA($B206:$J206)+COUNTA($M206))&gt;0),"",IF(ISNUMBER($D206),DATE(YEAR($D206),MONTH($D206),1),IF(ISNUMBER($E206),DATE(YEAR($E206),MONTH($E206),1),MesCiclo)))</f>
        <v/>
      </c>
      <c r="P206" s="68">
        <f>IF(OR($O206="",$O206&lt;&gt;MesCiclo),"",COUNTIF($O$5:$O206,MesCiclo))</f>
        <v/>
      </c>
    </row>
    <row r="207">
      <c r="A207" s="60">
        <f>IF(NOT((COUNTA($B207:$J207)+COUNTA($M207))&gt;0),"",COUNTIFS($L$5:$L207,"?*",$O$5:$O207,$O207))</f>
        <v/>
      </c>
      <c r="B207" s="61" t="n"/>
      <c r="C207" s="61" t="n"/>
      <c r="D207" s="62" t="n"/>
      <c r="E207" s="62" t="n"/>
      <c r="F207" s="63" t="n"/>
      <c r="G207" s="64" t="n"/>
      <c r="H207" s="64" t="n"/>
      <c r="I207" s="64" t="n"/>
      <c r="J207" s="64" t="n"/>
      <c r="K207" s="65">
        <f>IF(NOT((COUNTA($B207:$J207)+COUNTA($M207))&gt;0),"",IFERROR(LOOKUP(2,1/(G207:J207&lt;&gt;""),G207:J207),0))</f>
        <v/>
      </c>
      <c r="L207" s="60">
        <f>IF(K207="","",IF(K207&gt;=1,"Completado",IF(K207&gt;0,"En curso","Pendiente")))</f>
        <v/>
      </c>
      <c r="M207" s="61" t="n"/>
      <c r="N207" s="66">
        <f>IF(NOT((COUNTA($B207:$J207)+COUNTA($M207))&gt;0),"",IF((IF(B207="","Macroactividad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 OK","⚠ "&amp;LEFT(IF(B207="","Macroactividad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",""),LEN(IF(B207="","Macroactividad vacía"&amp;" · ","")&amp;IF(C207="","Sin responsable"&amp;" · ","")&amp;IF(D207="","Sin fecha de inicio"&amp;" · ","")&amp;IF(E207="","Sin fecha límite"&amp;" · ","")&amp;IF(OR(AND(D207&lt;&gt;"",NOT(ISNUMBER(D207))),AND(E207&lt;&gt;"",NOT(ISNUMBER(E207)))),"Fecha no válida"&amp;" · ","")&amp;IF(AND(ISNUMBER(D207),ISNUMBER(E207),D207&gt;E207),"Inicio posterior a fecha límite"&amp;" · ","")&amp;IF(F207="","Peso vacío"&amp;" · ","")&amp;IF(AND(F207&lt;&gt;"",OR(NOT(ISNUMBER(F207)),F207&lt;=0,F207&gt;1)),"Peso fuera de rango"&amp;" · ","")&amp;IF(ABS(SUMIFS($F$5:$F$1000,$O$5:$O$1000,$O207)-1)&gt;0.0001,"Pesos del mes suman "&amp;TEXT(SUMIFS($F$5:$F$1000,$O$5:$O$1000,$O207),"0%")&amp;" · ","")&amp;IF((COUNTIF(G207:J207,"&gt;1")+COUNTIF(G207:J207,"&lt;0")+COUNTA(G207:J207)-COUNT(G207:J207))&gt;0,"Avance fuera de rango 0-100%"&amp;" · ","")&amp;IF(OR(AND(H207&lt;&gt;"",H207&lt;G207),AND(I207&lt;&gt;"",I207&lt;MAX(G207:H207)),AND(J207&lt;&gt;"",J207&lt;MAX(G207:I207))),"Avance semanal decreciente"&amp;" · ","")&amp;IF(AND(ISNUMBER(E207),E207&lt;FechaRef,N(K207)&lt;1),"Vencida"&amp;" · ","")&amp;IF(AND(ObsObligatoria="Sí",ISNUMBER(E207),E207&lt;FechaRef,N(K207)&lt;1,M207=""),"Vencida sin observación"&amp;" · ",""))-3)))</f>
        <v/>
      </c>
      <c r="O207" s="67">
        <f>IF(NOT((COUNTA($B207:$J207)+COUNTA($M207))&gt;0),"",IF(ISNUMBER($D207),DATE(YEAR($D207),MONTH($D207),1),IF(ISNUMBER($E207),DATE(YEAR($E207),MONTH($E207),1),MesCiclo)))</f>
        <v/>
      </c>
      <c r="P207" s="68">
        <f>IF(OR($O207="",$O207&lt;&gt;MesCiclo),"",COUNTIF($O$5:$O207,MesCiclo))</f>
        <v/>
      </c>
    </row>
    <row r="208">
      <c r="A208" s="60">
        <f>IF(NOT((COUNTA($B208:$J208)+COUNTA($M208))&gt;0),"",COUNTIFS($L$5:$L208,"?*",$O$5:$O208,$O208))</f>
        <v/>
      </c>
      <c r="B208" s="61" t="n"/>
      <c r="C208" s="61" t="n"/>
      <c r="D208" s="62" t="n"/>
      <c r="E208" s="62" t="n"/>
      <c r="F208" s="63" t="n"/>
      <c r="G208" s="64" t="n"/>
      <c r="H208" s="64" t="n"/>
      <c r="I208" s="64" t="n"/>
      <c r="J208" s="64" t="n"/>
      <c r="K208" s="65">
        <f>IF(NOT((COUNTA($B208:$J208)+COUNTA($M208))&gt;0),"",IFERROR(LOOKUP(2,1/(G208:J208&lt;&gt;""),G208:J208),0))</f>
        <v/>
      </c>
      <c r="L208" s="60">
        <f>IF(K208="","",IF(K208&gt;=1,"Completado",IF(K208&gt;0,"En curso","Pendiente")))</f>
        <v/>
      </c>
      <c r="M208" s="61" t="n"/>
      <c r="N208" s="66">
        <f>IF(NOT((COUNTA($B208:$J208)+COUNTA($M208))&gt;0),"",IF((IF(B208="","Macroactividad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 OK","⚠ "&amp;LEFT(IF(B208="","Macroactividad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",""),LEN(IF(B208="","Macroactividad vacía"&amp;" · ","")&amp;IF(C208="","Sin responsable"&amp;" · ","")&amp;IF(D208="","Sin fecha de inicio"&amp;" · ","")&amp;IF(E208="","Sin fecha límite"&amp;" · ","")&amp;IF(OR(AND(D208&lt;&gt;"",NOT(ISNUMBER(D208))),AND(E208&lt;&gt;"",NOT(ISNUMBER(E208)))),"Fecha no válida"&amp;" · ","")&amp;IF(AND(ISNUMBER(D208),ISNUMBER(E208),D208&gt;E208),"Inicio posterior a fecha límite"&amp;" · ","")&amp;IF(F208="","Peso vacío"&amp;" · ","")&amp;IF(AND(F208&lt;&gt;"",OR(NOT(ISNUMBER(F208)),F208&lt;=0,F208&gt;1)),"Peso fuera de rango"&amp;" · ","")&amp;IF(ABS(SUMIFS($F$5:$F$1000,$O$5:$O$1000,$O208)-1)&gt;0.0001,"Pesos del mes suman "&amp;TEXT(SUMIFS($F$5:$F$1000,$O$5:$O$1000,$O208),"0%")&amp;" · ","")&amp;IF((COUNTIF(G208:J208,"&gt;1")+COUNTIF(G208:J208,"&lt;0")+COUNTA(G208:J208)-COUNT(G208:J208))&gt;0,"Avance fuera de rango 0-100%"&amp;" · ","")&amp;IF(OR(AND(H208&lt;&gt;"",H208&lt;G208),AND(I208&lt;&gt;"",I208&lt;MAX(G208:H208)),AND(J208&lt;&gt;"",J208&lt;MAX(G208:I208))),"Avance semanal decreciente"&amp;" · ","")&amp;IF(AND(ISNUMBER(E208),E208&lt;FechaRef,N(K208)&lt;1),"Vencida"&amp;" · ","")&amp;IF(AND(ObsObligatoria="Sí",ISNUMBER(E208),E208&lt;FechaRef,N(K208)&lt;1,M208=""),"Vencida sin observación"&amp;" · ",""))-3)))</f>
        <v/>
      </c>
      <c r="O208" s="67">
        <f>IF(NOT((COUNTA($B208:$J208)+COUNTA($M208))&gt;0),"",IF(ISNUMBER($D208),DATE(YEAR($D208),MONTH($D208),1),IF(ISNUMBER($E208),DATE(YEAR($E208),MONTH($E208),1),MesCiclo)))</f>
        <v/>
      </c>
      <c r="P208" s="68">
        <f>IF(OR($O208="",$O208&lt;&gt;MesCiclo),"",COUNTIF($O$5:$O208,MesCiclo))</f>
        <v/>
      </c>
    </row>
    <row r="209">
      <c r="A209" s="60">
        <f>IF(NOT((COUNTA($B209:$J209)+COUNTA($M209))&gt;0),"",COUNTIFS($L$5:$L209,"?*",$O$5:$O209,$O209))</f>
        <v/>
      </c>
      <c r="B209" s="61" t="n"/>
      <c r="C209" s="61" t="n"/>
      <c r="D209" s="62" t="n"/>
      <c r="E209" s="62" t="n"/>
      <c r="F209" s="63" t="n"/>
      <c r="G209" s="64" t="n"/>
      <c r="H209" s="64" t="n"/>
      <c r="I209" s="64" t="n"/>
      <c r="J209" s="64" t="n"/>
      <c r="K209" s="65">
        <f>IF(NOT((COUNTA($B209:$J209)+COUNTA($M209))&gt;0),"",IFERROR(LOOKUP(2,1/(G209:J209&lt;&gt;""),G209:J209),0))</f>
        <v/>
      </c>
      <c r="L209" s="60">
        <f>IF(K209="","",IF(K209&gt;=1,"Completado",IF(K209&gt;0,"En curso","Pendiente")))</f>
        <v/>
      </c>
      <c r="M209" s="61" t="n"/>
      <c r="N209" s="66">
        <f>IF(NOT((COUNTA($B209:$J209)+COUNTA($M209))&gt;0),"",IF((IF(B209="","Macroactividad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 OK","⚠ "&amp;LEFT(IF(B209="","Macroactividad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",""),LEN(IF(B209="","Macroactividad vacía"&amp;" · ","")&amp;IF(C209="","Sin responsable"&amp;" · ","")&amp;IF(D209="","Sin fecha de inicio"&amp;" · ","")&amp;IF(E209="","Sin fecha límite"&amp;" · ","")&amp;IF(OR(AND(D209&lt;&gt;"",NOT(ISNUMBER(D209))),AND(E209&lt;&gt;"",NOT(ISNUMBER(E209)))),"Fecha no válida"&amp;" · ","")&amp;IF(AND(ISNUMBER(D209),ISNUMBER(E209),D209&gt;E209),"Inicio posterior a fecha límite"&amp;" · ","")&amp;IF(F209="","Peso vacío"&amp;" · ","")&amp;IF(AND(F209&lt;&gt;"",OR(NOT(ISNUMBER(F209)),F209&lt;=0,F209&gt;1)),"Peso fuera de rango"&amp;" · ","")&amp;IF(ABS(SUMIFS($F$5:$F$1000,$O$5:$O$1000,$O209)-1)&gt;0.0001,"Pesos del mes suman "&amp;TEXT(SUMIFS($F$5:$F$1000,$O$5:$O$1000,$O209),"0%")&amp;" · ","")&amp;IF((COUNTIF(G209:J209,"&gt;1")+COUNTIF(G209:J209,"&lt;0")+COUNTA(G209:J209)-COUNT(G209:J209))&gt;0,"Avance fuera de rango 0-100%"&amp;" · ","")&amp;IF(OR(AND(H209&lt;&gt;"",H209&lt;G209),AND(I209&lt;&gt;"",I209&lt;MAX(G209:H209)),AND(J209&lt;&gt;"",J209&lt;MAX(G209:I209))),"Avance semanal decreciente"&amp;" · ","")&amp;IF(AND(ISNUMBER(E209),E209&lt;FechaRef,N(K209)&lt;1),"Vencida"&amp;" · ","")&amp;IF(AND(ObsObligatoria="Sí",ISNUMBER(E209),E209&lt;FechaRef,N(K209)&lt;1,M209=""),"Vencida sin observación"&amp;" · ",""))-3)))</f>
        <v/>
      </c>
      <c r="O209" s="67">
        <f>IF(NOT((COUNTA($B209:$J209)+COUNTA($M209))&gt;0),"",IF(ISNUMBER($D209),DATE(YEAR($D209),MONTH($D209),1),IF(ISNUMBER($E209),DATE(YEAR($E209),MONTH($E209),1),MesCiclo)))</f>
        <v/>
      </c>
      <c r="P209" s="68">
        <f>IF(OR($O209="",$O209&lt;&gt;MesCiclo),"",COUNTIF($O$5:$O209,MesCiclo))</f>
        <v/>
      </c>
    </row>
    <row r="210">
      <c r="A210" s="60">
        <f>IF(NOT((COUNTA($B210:$J210)+COUNTA($M210))&gt;0),"",COUNTIFS($L$5:$L210,"?*",$O$5:$O210,$O210))</f>
        <v/>
      </c>
      <c r="B210" s="61" t="n"/>
      <c r="C210" s="61" t="n"/>
      <c r="D210" s="62" t="n"/>
      <c r="E210" s="62" t="n"/>
      <c r="F210" s="63" t="n"/>
      <c r="G210" s="64" t="n"/>
      <c r="H210" s="64" t="n"/>
      <c r="I210" s="64" t="n"/>
      <c r="J210" s="64" t="n"/>
      <c r="K210" s="65">
        <f>IF(NOT((COUNTA($B210:$J210)+COUNTA($M210))&gt;0),"",IFERROR(LOOKUP(2,1/(G210:J210&lt;&gt;""),G210:J210),0))</f>
        <v/>
      </c>
      <c r="L210" s="60">
        <f>IF(K210="","",IF(K210&gt;=1,"Completado",IF(K210&gt;0,"En curso","Pendiente")))</f>
        <v/>
      </c>
      <c r="M210" s="61" t="n"/>
      <c r="N210" s="66">
        <f>IF(NOT((COUNTA($B210:$J210)+COUNTA($M210))&gt;0),"",IF((IF(B210="","Macroactividad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 OK","⚠ "&amp;LEFT(IF(B210="","Macroactividad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",""),LEN(IF(B210="","Macroactividad vacía"&amp;" · ","")&amp;IF(C210="","Sin responsable"&amp;" · ","")&amp;IF(D210="","Sin fecha de inicio"&amp;" · ","")&amp;IF(E210="","Sin fecha límite"&amp;" · ","")&amp;IF(OR(AND(D210&lt;&gt;"",NOT(ISNUMBER(D210))),AND(E210&lt;&gt;"",NOT(ISNUMBER(E210)))),"Fecha no válida"&amp;" · ","")&amp;IF(AND(ISNUMBER(D210),ISNUMBER(E210),D210&gt;E210),"Inicio posterior a fecha límite"&amp;" · ","")&amp;IF(F210="","Peso vacío"&amp;" · ","")&amp;IF(AND(F210&lt;&gt;"",OR(NOT(ISNUMBER(F210)),F210&lt;=0,F210&gt;1)),"Peso fuera de rango"&amp;" · ","")&amp;IF(ABS(SUMIFS($F$5:$F$1000,$O$5:$O$1000,$O210)-1)&gt;0.0001,"Pesos del mes suman "&amp;TEXT(SUMIFS($F$5:$F$1000,$O$5:$O$1000,$O210),"0%")&amp;" · ","")&amp;IF((COUNTIF(G210:J210,"&gt;1")+COUNTIF(G210:J210,"&lt;0")+COUNTA(G210:J210)-COUNT(G210:J210))&gt;0,"Avance fuera de rango 0-100%"&amp;" · ","")&amp;IF(OR(AND(H210&lt;&gt;"",H210&lt;G210),AND(I210&lt;&gt;"",I210&lt;MAX(G210:H210)),AND(J210&lt;&gt;"",J210&lt;MAX(G210:I210))),"Avance semanal decreciente"&amp;" · ","")&amp;IF(AND(ISNUMBER(E210),E210&lt;FechaRef,N(K210)&lt;1),"Vencida"&amp;" · ","")&amp;IF(AND(ObsObligatoria="Sí",ISNUMBER(E210),E210&lt;FechaRef,N(K210)&lt;1,M210=""),"Vencida sin observación"&amp;" · ",""))-3)))</f>
        <v/>
      </c>
      <c r="O210" s="67">
        <f>IF(NOT((COUNTA($B210:$J210)+COUNTA($M210))&gt;0),"",IF(ISNUMBER($D210),DATE(YEAR($D210),MONTH($D210),1),IF(ISNUMBER($E210),DATE(YEAR($E210),MONTH($E210),1),MesCiclo)))</f>
        <v/>
      </c>
      <c r="P210" s="68">
        <f>IF(OR($O210="",$O210&lt;&gt;MesCiclo),"",COUNTIF($O$5:$O210,MesCiclo))</f>
        <v/>
      </c>
    </row>
    <row r="211">
      <c r="A211" s="60">
        <f>IF(NOT((COUNTA($B211:$J211)+COUNTA($M211))&gt;0),"",COUNTIFS($L$5:$L211,"?*",$O$5:$O211,$O211))</f>
        <v/>
      </c>
      <c r="B211" s="61" t="n"/>
      <c r="C211" s="61" t="n"/>
      <c r="D211" s="62" t="n"/>
      <c r="E211" s="62" t="n"/>
      <c r="F211" s="63" t="n"/>
      <c r="G211" s="64" t="n"/>
      <c r="H211" s="64" t="n"/>
      <c r="I211" s="64" t="n"/>
      <c r="J211" s="64" t="n"/>
      <c r="K211" s="65">
        <f>IF(NOT((COUNTA($B211:$J211)+COUNTA($M211))&gt;0),"",IFERROR(LOOKUP(2,1/(G211:J211&lt;&gt;""),G211:J211),0))</f>
        <v/>
      </c>
      <c r="L211" s="60">
        <f>IF(K211="","",IF(K211&gt;=1,"Completado",IF(K211&gt;0,"En curso","Pendiente")))</f>
        <v/>
      </c>
      <c r="M211" s="61" t="n"/>
      <c r="N211" s="66">
        <f>IF(NOT((COUNTA($B211:$J211)+COUNTA($M211))&gt;0),"",IF((IF(B211="","Macroactividad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 OK","⚠ "&amp;LEFT(IF(B211="","Macroactividad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",""),LEN(IF(B211="","Macroactividad vacía"&amp;" · ","")&amp;IF(C211="","Sin responsable"&amp;" · ","")&amp;IF(D211="","Sin fecha de inicio"&amp;" · ","")&amp;IF(E211="","Sin fecha límite"&amp;" · ","")&amp;IF(OR(AND(D211&lt;&gt;"",NOT(ISNUMBER(D211))),AND(E211&lt;&gt;"",NOT(ISNUMBER(E211)))),"Fecha no válida"&amp;" · ","")&amp;IF(AND(ISNUMBER(D211),ISNUMBER(E211),D211&gt;E211),"Inicio posterior a fecha límite"&amp;" · ","")&amp;IF(F211="","Peso vacío"&amp;" · ","")&amp;IF(AND(F211&lt;&gt;"",OR(NOT(ISNUMBER(F211)),F211&lt;=0,F211&gt;1)),"Peso fuera de rango"&amp;" · ","")&amp;IF(ABS(SUMIFS($F$5:$F$1000,$O$5:$O$1000,$O211)-1)&gt;0.0001,"Pesos del mes suman "&amp;TEXT(SUMIFS($F$5:$F$1000,$O$5:$O$1000,$O211),"0%")&amp;" · ","")&amp;IF((COUNTIF(G211:J211,"&gt;1")+COUNTIF(G211:J211,"&lt;0")+COUNTA(G211:J211)-COUNT(G211:J211))&gt;0,"Avance fuera de rango 0-100%"&amp;" · ","")&amp;IF(OR(AND(H211&lt;&gt;"",H211&lt;G211),AND(I211&lt;&gt;"",I211&lt;MAX(G211:H211)),AND(J211&lt;&gt;"",J211&lt;MAX(G211:I211))),"Avance semanal decreciente"&amp;" · ","")&amp;IF(AND(ISNUMBER(E211),E211&lt;FechaRef,N(K211)&lt;1),"Vencida"&amp;" · ","")&amp;IF(AND(ObsObligatoria="Sí",ISNUMBER(E211),E211&lt;FechaRef,N(K211)&lt;1,M211=""),"Vencida sin observación"&amp;" · ",""))-3)))</f>
        <v/>
      </c>
      <c r="O211" s="67">
        <f>IF(NOT((COUNTA($B211:$J211)+COUNTA($M211))&gt;0),"",IF(ISNUMBER($D211),DATE(YEAR($D211),MONTH($D211),1),IF(ISNUMBER($E211),DATE(YEAR($E211),MONTH($E211),1),MesCiclo)))</f>
        <v/>
      </c>
      <c r="P211" s="68">
        <f>IF(OR($O211="",$O211&lt;&gt;MesCiclo),"",COUNTIF($O$5:$O211,MesCiclo))</f>
        <v/>
      </c>
    </row>
    <row r="212">
      <c r="A212" s="60">
        <f>IF(NOT((COUNTA($B212:$J212)+COUNTA($M212))&gt;0),"",COUNTIFS($L$5:$L212,"?*",$O$5:$O212,$O212))</f>
        <v/>
      </c>
      <c r="B212" s="61" t="n"/>
      <c r="C212" s="61" t="n"/>
      <c r="D212" s="62" t="n"/>
      <c r="E212" s="62" t="n"/>
      <c r="F212" s="63" t="n"/>
      <c r="G212" s="64" t="n"/>
      <c r="H212" s="64" t="n"/>
      <c r="I212" s="64" t="n"/>
      <c r="J212" s="64" t="n"/>
      <c r="K212" s="65">
        <f>IF(NOT((COUNTA($B212:$J212)+COUNTA($M212))&gt;0),"",IFERROR(LOOKUP(2,1/(G212:J212&lt;&gt;""),G212:J212),0))</f>
        <v/>
      </c>
      <c r="L212" s="60">
        <f>IF(K212="","",IF(K212&gt;=1,"Completado",IF(K212&gt;0,"En curso","Pendiente")))</f>
        <v/>
      </c>
      <c r="M212" s="61" t="n"/>
      <c r="N212" s="66">
        <f>IF(NOT((COUNTA($B212:$J212)+COUNTA($M212))&gt;0),"",IF((IF(B212="","Macroactividad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 OK","⚠ "&amp;LEFT(IF(B212="","Macroactividad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",""),LEN(IF(B212="","Macroactividad vacía"&amp;" · ","")&amp;IF(C212="","Sin responsable"&amp;" · ","")&amp;IF(D212="","Sin fecha de inicio"&amp;" · ","")&amp;IF(E212="","Sin fecha límite"&amp;" · ","")&amp;IF(OR(AND(D212&lt;&gt;"",NOT(ISNUMBER(D212))),AND(E212&lt;&gt;"",NOT(ISNUMBER(E212)))),"Fecha no válida"&amp;" · ","")&amp;IF(AND(ISNUMBER(D212),ISNUMBER(E212),D212&gt;E212),"Inicio posterior a fecha límite"&amp;" · ","")&amp;IF(F212="","Peso vacío"&amp;" · ","")&amp;IF(AND(F212&lt;&gt;"",OR(NOT(ISNUMBER(F212)),F212&lt;=0,F212&gt;1)),"Peso fuera de rango"&amp;" · ","")&amp;IF(ABS(SUMIFS($F$5:$F$1000,$O$5:$O$1000,$O212)-1)&gt;0.0001,"Pesos del mes suman "&amp;TEXT(SUMIFS($F$5:$F$1000,$O$5:$O$1000,$O212),"0%")&amp;" · ","")&amp;IF((COUNTIF(G212:J212,"&gt;1")+COUNTIF(G212:J212,"&lt;0")+COUNTA(G212:J212)-COUNT(G212:J212))&gt;0,"Avance fuera de rango 0-100%"&amp;" · ","")&amp;IF(OR(AND(H212&lt;&gt;"",H212&lt;G212),AND(I212&lt;&gt;"",I212&lt;MAX(G212:H212)),AND(J212&lt;&gt;"",J212&lt;MAX(G212:I212))),"Avance semanal decreciente"&amp;" · ","")&amp;IF(AND(ISNUMBER(E212),E212&lt;FechaRef,N(K212)&lt;1),"Vencida"&amp;" · ","")&amp;IF(AND(ObsObligatoria="Sí",ISNUMBER(E212),E212&lt;FechaRef,N(K212)&lt;1,M212=""),"Vencida sin observación"&amp;" · ",""))-3)))</f>
        <v/>
      </c>
      <c r="O212" s="67">
        <f>IF(NOT((COUNTA($B212:$J212)+COUNTA($M212))&gt;0),"",IF(ISNUMBER($D212),DATE(YEAR($D212),MONTH($D212),1),IF(ISNUMBER($E212),DATE(YEAR($E212),MONTH($E212),1),MesCiclo)))</f>
        <v/>
      </c>
      <c r="P212" s="68">
        <f>IF(OR($O212="",$O212&lt;&gt;MesCiclo),"",COUNTIF($O$5:$O212,MesCiclo))</f>
        <v/>
      </c>
    </row>
    <row r="213">
      <c r="A213" s="60">
        <f>IF(NOT((COUNTA($B213:$J213)+COUNTA($M213))&gt;0),"",COUNTIFS($L$5:$L213,"?*",$O$5:$O213,$O213))</f>
        <v/>
      </c>
      <c r="B213" s="61" t="n"/>
      <c r="C213" s="61" t="n"/>
      <c r="D213" s="62" t="n"/>
      <c r="E213" s="62" t="n"/>
      <c r="F213" s="63" t="n"/>
      <c r="G213" s="64" t="n"/>
      <c r="H213" s="64" t="n"/>
      <c r="I213" s="64" t="n"/>
      <c r="J213" s="64" t="n"/>
      <c r="K213" s="65">
        <f>IF(NOT((COUNTA($B213:$J213)+COUNTA($M213))&gt;0),"",IFERROR(LOOKUP(2,1/(G213:J213&lt;&gt;""),G213:J213),0))</f>
        <v/>
      </c>
      <c r="L213" s="60">
        <f>IF(K213="","",IF(K213&gt;=1,"Completado",IF(K213&gt;0,"En curso","Pendiente")))</f>
        <v/>
      </c>
      <c r="M213" s="61" t="n"/>
      <c r="N213" s="66">
        <f>IF(NOT((COUNTA($B213:$J213)+COUNTA($M213))&gt;0),"",IF((IF(B213="","Macroactividad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 OK","⚠ "&amp;LEFT(IF(B213="","Macroactividad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",""),LEN(IF(B213="","Macroactividad vacía"&amp;" · ","")&amp;IF(C213="","Sin responsable"&amp;" · ","")&amp;IF(D213="","Sin fecha de inicio"&amp;" · ","")&amp;IF(E213="","Sin fecha límite"&amp;" · ","")&amp;IF(OR(AND(D213&lt;&gt;"",NOT(ISNUMBER(D213))),AND(E213&lt;&gt;"",NOT(ISNUMBER(E213)))),"Fecha no válida"&amp;" · ","")&amp;IF(AND(ISNUMBER(D213),ISNUMBER(E213),D213&gt;E213),"Inicio posterior a fecha límite"&amp;" · ","")&amp;IF(F213="","Peso vacío"&amp;" · ","")&amp;IF(AND(F213&lt;&gt;"",OR(NOT(ISNUMBER(F213)),F213&lt;=0,F213&gt;1)),"Peso fuera de rango"&amp;" · ","")&amp;IF(ABS(SUMIFS($F$5:$F$1000,$O$5:$O$1000,$O213)-1)&gt;0.0001,"Pesos del mes suman "&amp;TEXT(SUMIFS($F$5:$F$1000,$O$5:$O$1000,$O213),"0%")&amp;" · ","")&amp;IF((COUNTIF(G213:J213,"&gt;1")+COUNTIF(G213:J213,"&lt;0")+COUNTA(G213:J213)-COUNT(G213:J213))&gt;0,"Avance fuera de rango 0-100%"&amp;" · ","")&amp;IF(OR(AND(H213&lt;&gt;"",H213&lt;G213),AND(I213&lt;&gt;"",I213&lt;MAX(G213:H213)),AND(J213&lt;&gt;"",J213&lt;MAX(G213:I213))),"Avance semanal decreciente"&amp;" · ","")&amp;IF(AND(ISNUMBER(E213),E213&lt;FechaRef,N(K213)&lt;1),"Vencida"&amp;" · ","")&amp;IF(AND(ObsObligatoria="Sí",ISNUMBER(E213),E213&lt;FechaRef,N(K213)&lt;1,M213=""),"Vencida sin observación"&amp;" · ",""))-3)))</f>
        <v/>
      </c>
      <c r="O213" s="67">
        <f>IF(NOT((COUNTA($B213:$J213)+COUNTA($M213))&gt;0),"",IF(ISNUMBER($D213),DATE(YEAR($D213),MONTH($D213),1),IF(ISNUMBER($E213),DATE(YEAR($E213),MONTH($E213),1),MesCiclo)))</f>
        <v/>
      </c>
      <c r="P213" s="68">
        <f>IF(OR($O213="",$O213&lt;&gt;MesCiclo),"",COUNTIF($O$5:$O213,MesCiclo))</f>
        <v/>
      </c>
    </row>
    <row r="214">
      <c r="A214" s="60">
        <f>IF(NOT((COUNTA($B214:$J214)+COUNTA($M214))&gt;0),"",COUNTIFS($L$5:$L214,"?*",$O$5:$O214,$O214))</f>
        <v/>
      </c>
      <c r="B214" s="61" t="n"/>
      <c r="C214" s="61" t="n"/>
      <c r="D214" s="62" t="n"/>
      <c r="E214" s="62" t="n"/>
      <c r="F214" s="63" t="n"/>
      <c r="G214" s="64" t="n"/>
      <c r="H214" s="64" t="n"/>
      <c r="I214" s="64" t="n"/>
      <c r="J214" s="64" t="n"/>
      <c r="K214" s="65">
        <f>IF(NOT((COUNTA($B214:$J214)+COUNTA($M214))&gt;0),"",IFERROR(LOOKUP(2,1/(G214:J214&lt;&gt;""),G214:J214),0))</f>
        <v/>
      </c>
      <c r="L214" s="60">
        <f>IF(K214="","",IF(K214&gt;=1,"Completado",IF(K214&gt;0,"En curso","Pendiente")))</f>
        <v/>
      </c>
      <c r="M214" s="61" t="n"/>
      <c r="N214" s="66">
        <f>IF(NOT((COUNTA($B214:$J214)+COUNTA($M214))&gt;0),"",IF((IF(B214="","Macroactividad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 OK","⚠ "&amp;LEFT(IF(B214="","Macroactividad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",""),LEN(IF(B214="","Macroactividad vacía"&amp;" · ","")&amp;IF(C214="","Sin responsable"&amp;" · ","")&amp;IF(D214="","Sin fecha de inicio"&amp;" · ","")&amp;IF(E214="","Sin fecha límite"&amp;" · ","")&amp;IF(OR(AND(D214&lt;&gt;"",NOT(ISNUMBER(D214))),AND(E214&lt;&gt;"",NOT(ISNUMBER(E214)))),"Fecha no válida"&amp;" · ","")&amp;IF(AND(ISNUMBER(D214),ISNUMBER(E214),D214&gt;E214),"Inicio posterior a fecha límite"&amp;" · ","")&amp;IF(F214="","Peso vacío"&amp;" · ","")&amp;IF(AND(F214&lt;&gt;"",OR(NOT(ISNUMBER(F214)),F214&lt;=0,F214&gt;1)),"Peso fuera de rango"&amp;" · ","")&amp;IF(ABS(SUMIFS($F$5:$F$1000,$O$5:$O$1000,$O214)-1)&gt;0.0001,"Pesos del mes suman "&amp;TEXT(SUMIFS($F$5:$F$1000,$O$5:$O$1000,$O214),"0%")&amp;" · ","")&amp;IF((COUNTIF(G214:J214,"&gt;1")+COUNTIF(G214:J214,"&lt;0")+COUNTA(G214:J214)-COUNT(G214:J214))&gt;0,"Avance fuera de rango 0-100%"&amp;" · ","")&amp;IF(OR(AND(H214&lt;&gt;"",H214&lt;G214),AND(I214&lt;&gt;"",I214&lt;MAX(G214:H214)),AND(J214&lt;&gt;"",J214&lt;MAX(G214:I214))),"Avance semanal decreciente"&amp;" · ","")&amp;IF(AND(ISNUMBER(E214),E214&lt;FechaRef,N(K214)&lt;1),"Vencida"&amp;" · ","")&amp;IF(AND(ObsObligatoria="Sí",ISNUMBER(E214),E214&lt;FechaRef,N(K214)&lt;1,M214=""),"Vencida sin observación"&amp;" · ",""))-3)))</f>
        <v/>
      </c>
      <c r="O214" s="67">
        <f>IF(NOT((COUNTA($B214:$J214)+COUNTA($M214))&gt;0),"",IF(ISNUMBER($D214),DATE(YEAR($D214),MONTH($D214),1),IF(ISNUMBER($E214),DATE(YEAR($E214),MONTH($E214),1),MesCiclo)))</f>
        <v/>
      </c>
      <c r="P214" s="68">
        <f>IF(OR($O214="",$O214&lt;&gt;MesCiclo),"",COUNTIF($O$5:$O214,MesCiclo))</f>
        <v/>
      </c>
    </row>
    <row r="215">
      <c r="A215" s="60">
        <f>IF(NOT((COUNTA($B215:$J215)+COUNTA($M215))&gt;0),"",COUNTIFS($L$5:$L215,"?*",$O$5:$O215,$O215))</f>
        <v/>
      </c>
      <c r="B215" s="61" t="n"/>
      <c r="C215" s="61" t="n"/>
      <c r="D215" s="62" t="n"/>
      <c r="E215" s="62" t="n"/>
      <c r="F215" s="63" t="n"/>
      <c r="G215" s="64" t="n"/>
      <c r="H215" s="64" t="n"/>
      <c r="I215" s="64" t="n"/>
      <c r="J215" s="64" t="n"/>
      <c r="K215" s="65">
        <f>IF(NOT((COUNTA($B215:$J215)+COUNTA($M215))&gt;0),"",IFERROR(LOOKUP(2,1/(G215:J215&lt;&gt;""),G215:J215),0))</f>
        <v/>
      </c>
      <c r="L215" s="60">
        <f>IF(K215="","",IF(K215&gt;=1,"Completado",IF(K215&gt;0,"En curso","Pendiente")))</f>
        <v/>
      </c>
      <c r="M215" s="61" t="n"/>
      <c r="N215" s="66">
        <f>IF(NOT((COUNTA($B215:$J215)+COUNTA($M215))&gt;0),"",IF((IF(B215="","Macroactividad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 OK","⚠ "&amp;LEFT(IF(B215="","Macroactividad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",""),LEN(IF(B215="","Macroactividad vacía"&amp;" · ","")&amp;IF(C215="","Sin responsable"&amp;" · ","")&amp;IF(D215="","Sin fecha de inicio"&amp;" · ","")&amp;IF(E215="","Sin fecha límite"&amp;" · ","")&amp;IF(OR(AND(D215&lt;&gt;"",NOT(ISNUMBER(D215))),AND(E215&lt;&gt;"",NOT(ISNUMBER(E215)))),"Fecha no válida"&amp;" · ","")&amp;IF(AND(ISNUMBER(D215),ISNUMBER(E215),D215&gt;E215),"Inicio posterior a fecha límite"&amp;" · ","")&amp;IF(F215="","Peso vacío"&amp;" · ","")&amp;IF(AND(F215&lt;&gt;"",OR(NOT(ISNUMBER(F215)),F215&lt;=0,F215&gt;1)),"Peso fuera de rango"&amp;" · ","")&amp;IF(ABS(SUMIFS($F$5:$F$1000,$O$5:$O$1000,$O215)-1)&gt;0.0001,"Pesos del mes suman "&amp;TEXT(SUMIFS($F$5:$F$1000,$O$5:$O$1000,$O215),"0%")&amp;" · ","")&amp;IF((COUNTIF(G215:J215,"&gt;1")+COUNTIF(G215:J215,"&lt;0")+COUNTA(G215:J215)-COUNT(G215:J215))&gt;0,"Avance fuera de rango 0-100%"&amp;" · ","")&amp;IF(OR(AND(H215&lt;&gt;"",H215&lt;G215),AND(I215&lt;&gt;"",I215&lt;MAX(G215:H215)),AND(J215&lt;&gt;"",J215&lt;MAX(G215:I215))),"Avance semanal decreciente"&amp;" · ","")&amp;IF(AND(ISNUMBER(E215),E215&lt;FechaRef,N(K215)&lt;1),"Vencida"&amp;" · ","")&amp;IF(AND(ObsObligatoria="Sí",ISNUMBER(E215),E215&lt;FechaRef,N(K215)&lt;1,M215=""),"Vencida sin observación"&amp;" · ",""))-3)))</f>
        <v/>
      </c>
      <c r="O215" s="67">
        <f>IF(NOT((COUNTA($B215:$J215)+COUNTA($M215))&gt;0),"",IF(ISNUMBER($D215),DATE(YEAR($D215),MONTH($D215),1),IF(ISNUMBER($E215),DATE(YEAR($E215),MONTH($E215),1),MesCiclo)))</f>
        <v/>
      </c>
      <c r="P215" s="68">
        <f>IF(OR($O215="",$O215&lt;&gt;MesCiclo),"",COUNTIF($O$5:$O215,MesCiclo))</f>
        <v/>
      </c>
    </row>
    <row r="216">
      <c r="A216" s="60">
        <f>IF(NOT((COUNTA($B216:$J216)+COUNTA($M216))&gt;0),"",COUNTIFS($L$5:$L216,"?*",$O$5:$O216,$O216))</f>
        <v/>
      </c>
      <c r="B216" s="61" t="n"/>
      <c r="C216" s="61" t="n"/>
      <c r="D216" s="62" t="n"/>
      <c r="E216" s="62" t="n"/>
      <c r="F216" s="63" t="n"/>
      <c r="G216" s="64" t="n"/>
      <c r="H216" s="64" t="n"/>
      <c r="I216" s="64" t="n"/>
      <c r="J216" s="64" t="n"/>
      <c r="K216" s="65">
        <f>IF(NOT((COUNTA($B216:$J216)+COUNTA($M216))&gt;0),"",IFERROR(LOOKUP(2,1/(G216:J216&lt;&gt;""),G216:J216),0))</f>
        <v/>
      </c>
      <c r="L216" s="60">
        <f>IF(K216="","",IF(K216&gt;=1,"Completado",IF(K216&gt;0,"En curso","Pendiente")))</f>
        <v/>
      </c>
      <c r="M216" s="61" t="n"/>
      <c r="N216" s="66">
        <f>IF(NOT((COUNTA($B216:$J216)+COUNTA($M216))&gt;0),"",IF((IF(B216="","Macroactividad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 OK","⚠ "&amp;LEFT(IF(B216="","Macroactividad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",""),LEN(IF(B216="","Macroactividad vacía"&amp;" · ","")&amp;IF(C216="","Sin responsable"&amp;" · ","")&amp;IF(D216="","Sin fecha de inicio"&amp;" · ","")&amp;IF(E216="","Sin fecha límite"&amp;" · ","")&amp;IF(OR(AND(D216&lt;&gt;"",NOT(ISNUMBER(D216))),AND(E216&lt;&gt;"",NOT(ISNUMBER(E216)))),"Fecha no válida"&amp;" · ","")&amp;IF(AND(ISNUMBER(D216),ISNUMBER(E216),D216&gt;E216),"Inicio posterior a fecha límite"&amp;" · ","")&amp;IF(F216="","Peso vacío"&amp;" · ","")&amp;IF(AND(F216&lt;&gt;"",OR(NOT(ISNUMBER(F216)),F216&lt;=0,F216&gt;1)),"Peso fuera de rango"&amp;" · ","")&amp;IF(ABS(SUMIFS($F$5:$F$1000,$O$5:$O$1000,$O216)-1)&gt;0.0001,"Pesos del mes suman "&amp;TEXT(SUMIFS($F$5:$F$1000,$O$5:$O$1000,$O216),"0%")&amp;" · ","")&amp;IF((COUNTIF(G216:J216,"&gt;1")+COUNTIF(G216:J216,"&lt;0")+COUNTA(G216:J216)-COUNT(G216:J216))&gt;0,"Avance fuera de rango 0-100%"&amp;" · ","")&amp;IF(OR(AND(H216&lt;&gt;"",H216&lt;G216),AND(I216&lt;&gt;"",I216&lt;MAX(G216:H216)),AND(J216&lt;&gt;"",J216&lt;MAX(G216:I216))),"Avance semanal decreciente"&amp;" · ","")&amp;IF(AND(ISNUMBER(E216),E216&lt;FechaRef,N(K216)&lt;1),"Vencida"&amp;" · ","")&amp;IF(AND(ObsObligatoria="Sí",ISNUMBER(E216),E216&lt;FechaRef,N(K216)&lt;1,M216=""),"Vencida sin observación"&amp;" · ",""))-3)))</f>
        <v/>
      </c>
      <c r="O216" s="67">
        <f>IF(NOT((COUNTA($B216:$J216)+COUNTA($M216))&gt;0),"",IF(ISNUMBER($D216),DATE(YEAR($D216),MONTH($D216),1),IF(ISNUMBER($E216),DATE(YEAR($E216),MONTH($E216),1),MesCiclo)))</f>
        <v/>
      </c>
      <c r="P216" s="68">
        <f>IF(OR($O216="",$O216&lt;&gt;MesCiclo),"",COUNTIF($O$5:$O216,MesCiclo))</f>
        <v/>
      </c>
    </row>
    <row r="217">
      <c r="A217" s="60">
        <f>IF(NOT((COUNTA($B217:$J217)+COUNTA($M217))&gt;0),"",COUNTIFS($L$5:$L217,"?*",$O$5:$O217,$O217))</f>
        <v/>
      </c>
      <c r="B217" s="61" t="n"/>
      <c r="C217" s="61" t="n"/>
      <c r="D217" s="62" t="n"/>
      <c r="E217" s="62" t="n"/>
      <c r="F217" s="63" t="n"/>
      <c r="G217" s="64" t="n"/>
      <c r="H217" s="64" t="n"/>
      <c r="I217" s="64" t="n"/>
      <c r="J217" s="64" t="n"/>
      <c r="K217" s="65">
        <f>IF(NOT((COUNTA($B217:$J217)+COUNTA($M217))&gt;0),"",IFERROR(LOOKUP(2,1/(G217:J217&lt;&gt;""),G217:J217),0))</f>
        <v/>
      </c>
      <c r="L217" s="60">
        <f>IF(K217="","",IF(K217&gt;=1,"Completado",IF(K217&gt;0,"En curso","Pendiente")))</f>
        <v/>
      </c>
      <c r="M217" s="61" t="n"/>
      <c r="N217" s="66">
        <f>IF(NOT((COUNTA($B217:$J217)+COUNTA($M217))&gt;0),"",IF((IF(B217="","Macroactividad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 OK","⚠ "&amp;LEFT(IF(B217="","Macroactividad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",""),LEN(IF(B217="","Macroactividad vacía"&amp;" · ","")&amp;IF(C217="","Sin responsable"&amp;" · ","")&amp;IF(D217="","Sin fecha de inicio"&amp;" · ","")&amp;IF(E217="","Sin fecha límite"&amp;" · ","")&amp;IF(OR(AND(D217&lt;&gt;"",NOT(ISNUMBER(D217))),AND(E217&lt;&gt;"",NOT(ISNUMBER(E217)))),"Fecha no válida"&amp;" · ","")&amp;IF(AND(ISNUMBER(D217),ISNUMBER(E217),D217&gt;E217),"Inicio posterior a fecha límite"&amp;" · ","")&amp;IF(F217="","Peso vacío"&amp;" · ","")&amp;IF(AND(F217&lt;&gt;"",OR(NOT(ISNUMBER(F217)),F217&lt;=0,F217&gt;1)),"Peso fuera de rango"&amp;" · ","")&amp;IF(ABS(SUMIFS($F$5:$F$1000,$O$5:$O$1000,$O217)-1)&gt;0.0001,"Pesos del mes suman "&amp;TEXT(SUMIFS($F$5:$F$1000,$O$5:$O$1000,$O217),"0%")&amp;" · ","")&amp;IF((COUNTIF(G217:J217,"&gt;1")+COUNTIF(G217:J217,"&lt;0")+COUNTA(G217:J217)-COUNT(G217:J217))&gt;0,"Avance fuera de rango 0-100%"&amp;" · ","")&amp;IF(OR(AND(H217&lt;&gt;"",H217&lt;G217),AND(I217&lt;&gt;"",I217&lt;MAX(G217:H217)),AND(J217&lt;&gt;"",J217&lt;MAX(G217:I217))),"Avance semanal decreciente"&amp;" · ","")&amp;IF(AND(ISNUMBER(E217),E217&lt;FechaRef,N(K217)&lt;1),"Vencida"&amp;" · ","")&amp;IF(AND(ObsObligatoria="Sí",ISNUMBER(E217),E217&lt;FechaRef,N(K217)&lt;1,M217=""),"Vencida sin observación"&amp;" · ",""))-3)))</f>
        <v/>
      </c>
      <c r="O217" s="67">
        <f>IF(NOT((COUNTA($B217:$J217)+COUNTA($M217))&gt;0),"",IF(ISNUMBER($D217),DATE(YEAR($D217),MONTH($D217),1),IF(ISNUMBER($E217),DATE(YEAR($E217),MONTH($E217),1),MesCiclo)))</f>
        <v/>
      </c>
      <c r="P217" s="68">
        <f>IF(OR($O217="",$O217&lt;&gt;MesCiclo),"",COUNTIF($O$5:$O217,MesCiclo))</f>
        <v/>
      </c>
    </row>
    <row r="218">
      <c r="A218" s="60">
        <f>IF(NOT((COUNTA($B218:$J218)+COUNTA($M218))&gt;0),"",COUNTIFS($L$5:$L218,"?*",$O$5:$O218,$O218))</f>
        <v/>
      </c>
      <c r="B218" s="61" t="n"/>
      <c r="C218" s="61" t="n"/>
      <c r="D218" s="62" t="n"/>
      <c r="E218" s="62" t="n"/>
      <c r="F218" s="63" t="n"/>
      <c r="G218" s="64" t="n"/>
      <c r="H218" s="64" t="n"/>
      <c r="I218" s="64" t="n"/>
      <c r="J218" s="64" t="n"/>
      <c r="K218" s="65">
        <f>IF(NOT((COUNTA($B218:$J218)+COUNTA($M218))&gt;0),"",IFERROR(LOOKUP(2,1/(G218:J218&lt;&gt;""),G218:J218),0))</f>
        <v/>
      </c>
      <c r="L218" s="60">
        <f>IF(K218="","",IF(K218&gt;=1,"Completado",IF(K218&gt;0,"En curso","Pendiente")))</f>
        <v/>
      </c>
      <c r="M218" s="61" t="n"/>
      <c r="N218" s="66">
        <f>IF(NOT((COUNTA($B218:$J218)+COUNTA($M218))&gt;0),"",IF((IF(B218="","Macroactividad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 OK","⚠ "&amp;LEFT(IF(B218="","Macroactividad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",""),LEN(IF(B218="","Macroactividad vacía"&amp;" · ","")&amp;IF(C218="","Sin responsable"&amp;" · ","")&amp;IF(D218="","Sin fecha de inicio"&amp;" · ","")&amp;IF(E218="","Sin fecha límite"&amp;" · ","")&amp;IF(OR(AND(D218&lt;&gt;"",NOT(ISNUMBER(D218))),AND(E218&lt;&gt;"",NOT(ISNUMBER(E218)))),"Fecha no válida"&amp;" · ","")&amp;IF(AND(ISNUMBER(D218),ISNUMBER(E218),D218&gt;E218),"Inicio posterior a fecha límite"&amp;" · ","")&amp;IF(F218="","Peso vacío"&amp;" · ","")&amp;IF(AND(F218&lt;&gt;"",OR(NOT(ISNUMBER(F218)),F218&lt;=0,F218&gt;1)),"Peso fuera de rango"&amp;" · ","")&amp;IF(ABS(SUMIFS($F$5:$F$1000,$O$5:$O$1000,$O218)-1)&gt;0.0001,"Pesos del mes suman "&amp;TEXT(SUMIFS($F$5:$F$1000,$O$5:$O$1000,$O218),"0%")&amp;" · ","")&amp;IF((COUNTIF(G218:J218,"&gt;1")+COUNTIF(G218:J218,"&lt;0")+COUNTA(G218:J218)-COUNT(G218:J218))&gt;0,"Avance fuera de rango 0-100%"&amp;" · ","")&amp;IF(OR(AND(H218&lt;&gt;"",H218&lt;G218),AND(I218&lt;&gt;"",I218&lt;MAX(G218:H218)),AND(J218&lt;&gt;"",J218&lt;MAX(G218:I218))),"Avance semanal decreciente"&amp;" · ","")&amp;IF(AND(ISNUMBER(E218),E218&lt;FechaRef,N(K218)&lt;1),"Vencida"&amp;" · ","")&amp;IF(AND(ObsObligatoria="Sí",ISNUMBER(E218),E218&lt;FechaRef,N(K218)&lt;1,M218=""),"Vencida sin observación"&amp;" · ",""))-3)))</f>
        <v/>
      </c>
      <c r="O218" s="67">
        <f>IF(NOT((COUNTA($B218:$J218)+COUNTA($M218))&gt;0),"",IF(ISNUMBER($D218),DATE(YEAR($D218),MONTH($D218),1),IF(ISNUMBER($E218),DATE(YEAR($E218),MONTH($E218),1),MesCiclo)))</f>
        <v/>
      </c>
      <c r="P218" s="68">
        <f>IF(OR($O218="",$O218&lt;&gt;MesCiclo),"",COUNTIF($O$5:$O218,MesCiclo))</f>
        <v/>
      </c>
    </row>
    <row r="219">
      <c r="A219" s="60">
        <f>IF(NOT((COUNTA($B219:$J219)+COUNTA($M219))&gt;0),"",COUNTIFS($L$5:$L219,"?*",$O$5:$O219,$O219))</f>
        <v/>
      </c>
      <c r="B219" s="61" t="n"/>
      <c r="C219" s="61" t="n"/>
      <c r="D219" s="62" t="n"/>
      <c r="E219" s="62" t="n"/>
      <c r="F219" s="63" t="n"/>
      <c r="G219" s="64" t="n"/>
      <c r="H219" s="64" t="n"/>
      <c r="I219" s="64" t="n"/>
      <c r="J219" s="64" t="n"/>
      <c r="K219" s="65">
        <f>IF(NOT((COUNTA($B219:$J219)+COUNTA($M219))&gt;0),"",IFERROR(LOOKUP(2,1/(G219:J219&lt;&gt;""),G219:J219),0))</f>
        <v/>
      </c>
      <c r="L219" s="60">
        <f>IF(K219="","",IF(K219&gt;=1,"Completado",IF(K219&gt;0,"En curso","Pendiente")))</f>
        <v/>
      </c>
      <c r="M219" s="61" t="n"/>
      <c r="N219" s="66">
        <f>IF(NOT((COUNTA($B219:$J219)+COUNTA($M219))&gt;0),"",IF((IF(B219="","Macroactividad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 OK","⚠ "&amp;LEFT(IF(B219="","Macroactividad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",""),LEN(IF(B219="","Macroactividad vacía"&amp;" · ","")&amp;IF(C219="","Sin responsable"&amp;" · ","")&amp;IF(D219="","Sin fecha de inicio"&amp;" · ","")&amp;IF(E219="","Sin fecha límite"&amp;" · ","")&amp;IF(OR(AND(D219&lt;&gt;"",NOT(ISNUMBER(D219))),AND(E219&lt;&gt;"",NOT(ISNUMBER(E219)))),"Fecha no válida"&amp;" · ","")&amp;IF(AND(ISNUMBER(D219),ISNUMBER(E219),D219&gt;E219),"Inicio posterior a fecha límite"&amp;" · ","")&amp;IF(F219="","Peso vacío"&amp;" · ","")&amp;IF(AND(F219&lt;&gt;"",OR(NOT(ISNUMBER(F219)),F219&lt;=0,F219&gt;1)),"Peso fuera de rango"&amp;" · ","")&amp;IF(ABS(SUMIFS($F$5:$F$1000,$O$5:$O$1000,$O219)-1)&gt;0.0001,"Pesos del mes suman "&amp;TEXT(SUMIFS($F$5:$F$1000,$O$5:$O$1000,$O219),"0%")&amp;" · ","")&amp;IF((COUNTIF(G219:J219,"&gt;1")+COUNTIF(G219:J219,"&lt;0")+COUNTA(G219:J219)-COUNT(G219:J219))&gt;0,"Avance fuera de rango 0-100%"&amp;" · ","")&amp;IF(OR(AND(H219&lt;&gt;"",H219&lt;G219),AND(I219&lt;&gt;"",I219&lt;MAX(G219:H219)),AND(J219&lt;&gt;"",J219&lt;MAX(G219:I219))),"Avance semanal decreciente"&amp;" · ","")&amp;IF(AND(ISNUMBER(E219),E219&lt;FechaRef,N(K219)&lt;1),"Vencida"&amp;" · ","")&amp;IF(AND(ObsObligatoria="Sí",ISNUMBER(E219),E219&lt;FechaRef,N(K219)&lt;1,M219=""),"Vencida sin observación"&amp;" · ",""))-3)))</f>
        <v/>
      </c>
      <c r="O219" s="67">
        <f>IF(NOT((COUNTA($B219:$J219)+COUNTA($M219))&gt;0),"",IF(ISNUMBER($D219),DATE(YEAR($D219),MONTH($D219),1),IF(ISNUMBER($E219),DATE(YEAR($E219),MONTH($E219),1),MesCiclo)))</f>
        <v/>
      </c>
      <c r="P219" s="68">
        <f>IF(OR($O219="",$O219&lt;&gt;MesCiclo),"",COUNTIF($O$5:$O219,MesCiclo))</f>
        <v/>
      </c>
    </row>
    <row r="220">
      <c r="A220" s="60">
        <f>IF(NOT((COUNTA($B220:$J220)+COUNTA($M220))&gt;0),"",COUNTIFS($L$5:$L220,"?*",$O$5:$O220,$O220))</f>
        <v/>
      </c>
      <c r="B220" s="61" t="n"/>
      <c r="C220" s="61" t="n"/>
      <c r="D220" s="62" t="n"/>
      <c r="E220" s="62" t="n"/>
      <c r="F220" s="63" t="n"/>
      <c r="G220" s="64" t="n"/>
      <c r="H220" s="64" t="n"/>
      <c r="I220" s="64" t="n"/>
      <c r="J220" s="64" t="n"/>
      <c r="K220" s="65">
        <f>IF(NOT((COUNTA($B220:$J220)+COUNTA($M220))&gt;0),"",IFERROR(LOOKUP(2,1/(G220:J220&lt;&gt;""),G220:J220),0))</f>
        <v/>
      </c>
      <c r="L220" s="60">
        <f>IF(K220="","",IF(K220&gt;=1,"Completado",IF(K220&gt;0,"En curso","Pendiente")))</f>
        <v/>
      </c>
      <c r="M220" s="61" t="n"/>
      <c r="N220" s="66">
        <f>IF(NOT((COUNTA($B220:$J220)+COUNTA($M220))&gt;0),"",IF((IF(B220="","Macroactividad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 OK","⚠ "&amp;LEFT(IF(B220="","Macroactividad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",""),LEN(IF(B220="","Macroactividad vacía"&amp;" · ","")&amp;IF(C220="","Sin responsable"&amp;" · ","")&amp;IF(D220="","Sin fecha de inicio"&amp;" · ","")&amp;IF(E220="","Sin fecha límite"&amp;" · ","")&amp;IF(OR(AND(D220&lt;&gt;"",NOT(ISNUMBER(D220))),AND(E220&lt;&gt;"",NOT(ISNUMBER(E220)))),"Fecha no válida"&amp;" · ","")&amp;IF(AND(ISNUMBER(D220),ISNUMBER(E220),D220&gt;E220),"Inicio posterior a fecha límite"&amp;" · ","")&amp;IF(F220="","Peso vacío"&amp;" · ","")&amp;IF(AND(F220&lt;&gt;"",OR(NOT(ISNUMBER(F220)),F220&lt;=0,F220&gt;1)),"Peso fuera de rango"&amp;" · ","")&amp;IF(ABS(SUMIFS($F$5:$F$1000,$O$5:$O$1000,$O220)-1)&gt;0.0001,"Pesos del mes suman "&amp;TEXT(SUMIFS($F$5:$F$1000,$O$5:$O$1000,$O220),"0%")&amp;" · ","")&amp;IF((COUNTIF(G220:J220,"&gt;1")+COUNTIF(G220:J220,"&lt;0")+COUNTA(G220:J220)-COUNT(G220:J220))&gt;0,"Avance fuera de rango 0-100%"&amp;" · ","")&amp;IF(OR(AND(H220&lt;&gt;"",H220&lt;G220),AND(I220&lt;&gt;"",I220&lt;MAX(G220:H220)),AND(J220&lt;&gt;"",J220&lt;MAX(G220:I220))),"Avance semanal decreciente"&amp;" · ","")&amp;IF(AND(ISNUMBER(E220),E220&lt;FechaRef,N(K220)&lt;1),"Vencida"&amp;" · ","")&amp;IF(AND(ObsObligatoria="Sí",ISNUMBER(E220),E220&lt;FechaRef,N(K220)&lt;1,M220=""),"Vencida sin observación"&amp;" · ",""))-3)))</f>
        <v/>
      </c>
      <c r="O220" s="67">
        <f>IF(NOT((COUNTA($B220:$J220)+COUNTA($M220))&gt;0),"",IF(ISNUMBER($D220),DATE(YEAR($D220),MONTH($D220),1),IF(ISNUMBER($E220),DATE(YEAR($E220),MONTH($E220),1),MesCiclo)))</f>
        <v/>
      </c>
      <c r="P220" s="68">
        <f>IF(OR($O220="",$O220&lt;&gt;MesCiclo),"",COUNTIF($O$5:$O220,MesCiclo))</f>
        <v/>
      </c>
    </row>
    <row r="221">
      <c r="A221" s="60">
        <f>IF(NOT((COUNTA($B221:$J221)+COUNTA($M221))&gt;0),"",COUNTIFS($L$5:$L221,"?*",$O$5:$O221,$O221))</f>
        <v/>
      </c>
      <c r="B221" s="61" t="n"/>
      <c r="C221" s="61" t="n"/>
      <c r="D221" s="62" t="n"/>
      <c r="E221" s="62" t="n"/>
      <c r="F221" s="63" t="n"/>
      <c r="G221" s="64" t="n"/>
      <c r="H221" s="64" t="n"/>
      <c r="I221" s="64" t="n"/>
      <c r="J221" s="64" t="n"/>
      <c r="K221" s="65">
        <f>IF(NOT((COUNTA($B221:$J221)+COUNTA($M221))&gt;0),"",IFERROR(LOOKUP(2,1/(G221:J221&lt;&gt;""),G221:J221),0))</f>
        <v/>
      </c>
      <c r="L221" s="60">
        <f>IF(K221="","",IF(K221&gt;=1,"Completado",IF(K221&gt;0,"En curso","Pendiente")))</f>
        <v/>
      </c>
      <c r="M221" s="61" t="n"/>
      <c r="N221" s="66">
        <f>IF(NOT((COUNTA($B221:$J221)+COUNTA($M221))&gt;0),"",IF((IF(B221="","Macroactividad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 OK","⚠ "&amp;LEFT(IF(B221="","Macroactividad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",""),LEN(IF(B221="","Macroactividad vacía"&amp;" · ","")&amp;IF(C221="","Sin responsable"&amp;" · ","")&amp;IF(D221="","Sin fecha de inicio"&amp;" · ","")&amp;IF(E221="","Sin fecha límite"&amp;" · ","")&amp;IF(OR(AND(D221&lt;&gt;"",NOT(ISNUMBER(D221))),AND(E221&lt;&gt;"",NOT(ISNUMBER(E221)))),"Fecha no válida"&amp;" · ","")&amp;IF(AND(ISNUMBER(D221),ISNUMBER(E221),D221&gt;E221),"Inicio posterior a fecha límite"&amp;" · ","")&amp;IF(F221="","Peso vacío"&amp;" · ","")&amp;IF(AND(F221&lt;&gt;"",OR(NOT(ISNUMBER(F221)),F221&lt;=0,F221&gt;1)),"Peso fuera de rango"&amp;" · ","")&amp;IF(ABS(SUMIFS($F$5:$F$1000,$O$5:$O$1000,$O221)-1)&gt;0.0001,"Pesos del mes suman "&amp;TEXT(SUMIFS($F$5:$F$1000,$O$5:$O$1000,$O221),"0%")&amp;" · ","")&amp;IF((COUNTIF(G221:J221,"&gt;1")+COUNTIF(G221:J221,"&lt;0")+COUNTA(G221:J221)-COUNT(G221:J221))&gt;0,"Avance fuera de rango 0-100%"&amp;" · ","")&amp;IF(OR(AND(H221&lt;&gt;"",H221&lt;G221),AND(I221&lt;&gt;"",I221&lt;MAX(G221:H221)),AND(J221&lt;&gt;"",J221&lt;MAX(G221:I221))),"Avance semanal decreciente"&amp;" · ","")&amp;IF(AND(ISNUMBER(E221),E221&lt;FechaRef,N(K221)&lt;1),"Vencida"&amp;" · ","")&amp;IF(AND(ObsObligatoria="Sí",ISNUMBER(E221),E221&lt;FechaRef,N(K221)&lt;1,M221=""),"Vencida sin observación"&amp;" · ",""))-3)))</f>
        <v/>
      </c>
      <c r="O221" s="67">
        <f>IF(NOT((COUNTA($B221:$J221)+COUNTA($M221))&gt;0),"",IF(ISNUMBER($D221),DATE(YEAR($D221),MONTH($D221),1),IF(ISNUMBER($E221),DATE(YEAR($E221),MONTH($E221),1),MesCiclo)))</f>
        <v/>
      </c>
      <c r="P221" s="68">
        <f>IF(OR($O221="",$O221&lt;&gt;MesCiclo),"",COUNTIF($O$5:$O221,MesCiclo))</f>
        <v/>
      </c>
    </row>
    <row r="222">
      <c r="A222" s="60">
        <f>IF(NOT((COUNTA($B222:$J222)+COUNTA($M222))&gt;0),"",COUNTIFS($L$5:$L222,"?*",$O$5:$O222,$O222))</f>
        <v/>
      </c>
      <c r="B222" s="61" t="n"/>
      <c r="C222" s="61" t="n"/>
      <c r="D222" s="62" t="n"/>
      <c r="E222" s="62" t="n"/>
      <c r="F222" s="63" t="n"/>
      <c r="G222" s="64" t="n"/>
      <c r="H222" s="64" t="n"/>
      <c r="I222" s="64" t="n"/>
      <c r="J222" s="64" t="n"/>
      <c r="K222" s="65">
        <f>IF(NOT((COUNTA($B222:$J222)+COUNTA($M222))&gt;0),"",IFERROR(LOOKUP(2,1/(G222:J222&lt;&gt;""),G222:J222),0))</f>
        <v/>
      </c>
      <c r="L222" s="60">
        <f>IF(K222="","",IF(K222&gt;=1,"Completado",IF(K222&gt;0,"En curso","Pendiente")))</f>
        <v/>
      </c>
      <c r="M222" s="61" t="n"/>
      <c r="N222" s="66">
        <f>IF(NOT((COUNTA($B222:$J222)+COUNTA($M222))&gt;0),"",IF((IF(B222="","Macroactividad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 OK","⚠ "&amp;LEFT(IF(B222="","Macroactividad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",""),LEN(IF(B222="","Macroactividad vacía"&amp;" · ","")&amp;IF(C222="","Sin responsable"&amp;" · ","")&amp;IF(D222="","Sin fecha de inicio"&amp;" · ","")&amp;IF(E222="","Sin fecha límite"&amp;" · ","")&amp;IF(OR(AND(D222&lt;&gt;"",NOT(ISNUMBER(D222))),AND(E222&lt;&gt;"",NOT(ISNUMBER(E222)))),"Fecha no válida"&amp;" · ","")&amp;IF(AND(ISNUMBER(D222),ISNUMBER(E222),D222&gt;E222),"Inicio posterior a fecha límite"&amp;" · ","")&amp;IF(F222="","Peso vacío"&amp;" · ","")&amp;IF(AND(F222&lt;&gt;"",OR(NOT(ISNUMBER(F222)),F222&lt;=0,F222&gt;1)),"Peso fuera de rango"&amp;" · ","")&amp;IF(ABS(SUMIFS($F$5:$F$1000,$O$5:$O$1000,$O222)-1)&gt;0.0001,"Pesos del mes suman "&amp;TEXT(SUMIFS($F$5:$F$1000,$O$5:$O$1000,$O222),"0%")&amp;" · ","")&amp;IF((COUNTIF(G222:J222,"&gt;1")+COUNTIF(G222:J222,"&lt;0")+COUNTA(G222:J222)-COUNT(G222:J222))&gt;0,"Avance fuera de rango 0-100%"&amp;" · ","")&amp;IF(OR(AND(H222&lt;&gt;"",H222&lt;G222),AND(I222&lt;&gt;"",I222&lt;MAX(G222:H222)),AND(J222&lt;&gt;"",J222&lt;MAX(G222:I222))),"Avance semanal decreciente"&amp;" · ","")&amp;IF(AND(ISNUMBER(E222),E222&lt;FechaRef,N(K222)&lt;1),"Vencida"&amp;" · ","")&amp;IF(AND(ObsObligatoria="Sí",ISNUMBER(E222),E222&lt;FechaRef,N(K222)&lt;1,M222=""),"Vencida sin observación"&amp;" · ",""))-3)))</f>
        <v/>
      </c>
      <c r="O222" s="67">
        <f>IF(NOT((COUNTA($B222:$J222)+COUNTA($M222))&gt;0),"",IF(ISNUMBER($D222),DATE(YEAR($D222),MONTH($D222),1),IF(ISNUMBER($E222),DATE(YEAR($E222),MONTH($E222),1),MesCiclo)))</f>
        <v/>
      </c>
      <c r="P222" s="68">
        <f>IF(OR($O222="",$O222&lt;&gt;MesCiclo),"",COUNTIF($O$5:$O222,MesCiclo))</f>
        <v/>
      </c>
    </row>
    <row r="223">
      <c r="A223" s="60">
        <f>IF(NOT((COUNTA($B223:$J223)+COUNTA($M223))&gt;0),"",COUNTIFS($L$5:$L223,"?*",$O$5:$O223,$O223))</f>
        <v/>
      </c>
      <c r="B223" s="61" t="n"/>
      <c r="C223" s="61" t="n"/>
      <c r="D223" s="62" t="n"/>
      <c r="E223" s="62" t="n"/>
      <c r="F223" s="63" t="n"/>
      <c r="G223" s="64" t="n"/>
      <c r="H223" s="64" t="n"/>
      <c r="I223" s="64" t="n"/>
      <c r="J223" s="64" t="n"/>
      <c r="K223" s="65">
        <f>IF(NOT((COUNTA($B223:$J223)+COUNTA($M223))&gt;0),"",IFERROR(LOOKUP(2,1/(G223:J223&lt;&gt;""),G223:J223),0))</f>
        <v/>
      </c>
      <c r="L223" s="60">
        <f>IF(K223="","",IF(K223&gt;=1,"Completado",IF(K223&gt;0,"En curso","Pendiente")))</f>
        <v/>
      </c>
      <c r="M223" s="61" t="n"/>
      <c r="N223" s="66">
        <f>IF(NOT((COUNTA($B223:$J223)+COUNTA($M223))&gt;0),"",IF((IF(B223="","Macroactividad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 OK","⚠ "&amp;LEFT(IF(B223="","Macroactividad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",""),LEN(IF(B223="","Macroactividad vacía"&amp;" · ","")&amp;IF(C223="","Sin responsable"&amp;" · ","")&amp;IF(D223="","Sin fecha de inicio"&amp;" · ","")&amp;IF(E223="","Sin fecha límite"&amp;" · ","")&amp;IF(OR(AND(D223&lt;&gt;"",NOT(ISNUMBER(D223))),AND(E223&lt;&gt;"",NOT(ISNUMBER(E223)))),"Fecha no válida"&amp;" · ","")&amp;IF(AND(ISNUMBER(D223),ISNUMBER(E223),D223&gt;E223),"Inicio posterior a fecha límite"&amp;" · ","")&amp;IF(F223="","Peso vacío"&amp;" · ","")&amp;IF(AND(F223&lt;&gt;"",OR(NOT(ISNUMBER(F223)),F223&lt;=0,F223&gt;1)),"Peso fuera de rango"&amp;" · ","")&amp;IF(ABS(SUMIFS($F$5:$F$1000,$O$5:$O$1000,$O223)-1)&gt;0.0001,"Pesos del mes suman "&amp;TEXT(SUMIFS($F$5:$F$1000,$O$5:$O$1000,$O223),"0%")&amp;" · ","")&amp;IF((COUNTIF(G223:J223,"&gt;1")+COUNTIF(G223:J223,"&lt;0")+COUNTA(G223:J223)-COUNT(G223:J223))&gt;0,"Avance fuera de rango 0-100%"&amp;" · ","")&amp;IF(OR(AND(H223&lt;&gt;"",H223&lt;G223),AND(I223&lt;&gt;"",I223&lt;MAX(G223:H223)),AND(J223&lt;&gt;"",J223&lt;MAX(G223:I223))),"Avance semanal decreciente"&amp;" · ","")&amp;IF(AND(ISNUMBER(E223),E223&lt;FechaRef,N(K223)&lt;1),"Vencida"&amp;" · ","")&amp;IF(AND(ObsObligatoria="Sí",ISNUMBER(E223),E223&lt;FechaRef,N(K223)&lt;1,M223=""),"Vencida sin observación"&amp;" · ",""))-3)))</f>
        <v/>
      </c>
      <c r="O223" s="67">
        <f>IF(NOT((COUNTA($B223:$J223)+COUNTA($M223))&gt;0),"",IF(ISNUMBER($D223),DATE(YEAR($D223),MONTH($D223),1),IF(ISNUMBER($E223),DATE(YEAR($E223),MONTH($E223),1),MesCiclo)))</f>
        <v/>
      </c>
      <c r="P223" s="68">
        <f>IF(OR($O223="",$O223&lt;&gt;MesCiclo),"",COUNTIF($O$5:$O223,MesCiclo))</f>
        <v/>
      </c>
    </row>
    <row r="224">
      <c r="A224" s="60">
        <f>IF(NOT((COUNTA($B224:$J224)+COUNTA($M224))&gt;0),"",COUNTIFS($L$5:$L224,"?*",$O$5:$O224,$O224))</f>
        <v/>
      </c>
      <c r="B224" s="61" t="n"/>
      <c r="C224" s="61" t="n"/>
      <c r="D224" s="62" t="n"/>
      <c r="E224" s="62" t="n"/>
      <c r="F224" s="63" t="n"/>
      <c r="G224" s="64" t="n"/>
      <c r="H224" s="64" t="n"/>
      <c r="I224" s="64" t="n"/>
      <c r="J224" s="64" t="n"/>
      <c r="K224" s="65">
        <f>IF(NOT((COUNTA($B224:$J224)+COUNTA($M224))&gt;0),"",IFERROR(LOOKUP(2,1/(G224:J224&lt;&gt;""),G224:J224),0))</f>
        <v/>
      </c>
      <c r="L224" s="60">
        <f>IF(K224="","",IF(K224&gt;=1,"Completado",IF(K224&gt;0,"En curso","Pendiente")))</f>
        <v/>
      </c>
      <c r="M224" s="61" t="n"/>
      <c r="N224" s="66">
        <f>IF(NOT((COUNTA($B224:$J224)+COUNTA($M224))&gt;0),"",IF((IF(B224="","Macroactividad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 OK","⚠ "&amp;LEFT(IF(B224="","Macroactividad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",""),LEN(IF(B224="","Macroactividad vacía"&amp;" · ","")&amp;IF(C224="","Sin responsable"&amp;" · ","")&amp;IF(D224="","Sin fecha de inicio"&amp;" · ","")&amp;IF(E224="","Sin fecha límite"&amp;" · ","")&amp;IF(OR(AND(D224&lt;&gt;"",NOT(ISNUMBER(D224))),AND(E224&lt;&gt;"",NOT(ISNUMBER(E224)))),"Fecha no válida"&amp;" · ","")&amp;IF(AND(ISNUMBER(D224),ISNUMBER(E224),D224&gt;E224),"Inicio posterior a fecha límite"&amp;" · ","")&amp;IF(F224="","Peso vacío"&amp;" · ","")&amp;IF(AND(F224&lt;&gt;"",OR(NOT(ISNUMBER(F224)),F224&lt;=0,F224&gt;1)),"Peso fuera de rango"&amp;" · ","")&amp;IF(ABS(SUMIFS($F$5:$F$1000,$O$5:$O$1000,$O224)-1)&gt;0.0001,"Pesos del mes suman "&amp;TEXT(SUMIFS($F$5:$F$1000,$O$5:$O$1000,$O224),"0%")&amp;" · ","")&amp;IF((COUNTIF(G224:J224,"&gt;1")+COUNTIF(G224:J224,"&lt;0")+COUNTA(G224:J224)-COUNT(G224:J224))&gt;0,"Avance fuera de rango 0-100%"&amp;" · ","")&amp;IF(OR(AND(H224&lt;&gt;"",H224&lt;G224),AND(I224&lt;&gt;"",I224&lt;MAX(G224:H224)),AND(J224&lt;&gt;"",J224&lt;MAX(G224:I224))),"Avance semanal decreciente"&amp;" · ","")&amp;IF(AND(ISNUMBER(E224),E224&lt;FechaRef,N(K224)&lt;1),"Vencida"&amp;" · ","")&amp;IF(AND(ObsObligatoria="Sí",ISNUMBER(E224),E224&lt;FechaRef,N(K224)&lt;1,M224=""),"Vencida sin observación"&amp;" · ",""))-3)))</f>
        <v/>
      </c>
      <c r="O224" s="67">
        <f>IF(NOT((COUNTA($B224:$J224)+COUNTA($M224))&gt;0),"",IF(ISNUMBER($D224),DATE(YEAR($D224),MONTH($D224),1),IF(ISNUMBER($E224),DATE(YEAR($E224),MONTH($E224),1),MesCiclo)))</f>
        <v/>
      </c>
      <c r="P224" s="68">
        <f>IF(OR($O224="",$O224&lt;&gt;MesCiclo),"",COUNTIF($O$5:$O224,MesCiclo))</f>
        <v/>
      </c>
    </row>
    <row r="225">
      <c r="A225" s="60">
        <f>IF(NOT((COUNTA($B225:$J225)+COUNTA($M225))&gt;0),"",COUNTIFS($L$5:$L225,"?*",$O$5:$O225,$O225))</f>
        <v/>
      </c>
      <c r="B225" s="61" t="n"/>
      <c r="C225" s="61" t="n"/>
      <c r="D225" s="62" t="n"/>
      <c r="E225" s="62" t="n"/>
      <c r="F225" s="63" t="n"/>
      <c r="G225" s="64" t="n"/>
      <c r="H225" s="64" t="n"/>
      <c r="I225" s="64" t="n"/>
      <c r="J225" s="64" t="n"/>
      <c r="K225" s="65">
        <f>IF(NOT((COUNTA($B225:$J225)+COUNTA($M225))&gt;0),"",IFERROR(LOOKUP(2,1/(G225:J225&lt;&gt;""),G225:J225),0))</f>
        <v/>
      </c>
      <c r="L225" s="60">
        <f>IF(K225="","",IF(K225&gt;=1,"Completado",IF(K225&gt;0,"En curso","Pendiente")))</f>
        <v/>
      </c>
      <c r="M225" s="61" t="n"/>
      <c r="N225" s="66">
        <f>IF(NOT((COUNTA($B225:$J225)+COUNTA($M225))&gt;0),"",IF((IF(B225="","Macroactividad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 OK","⚠ "&amp;LEFT(IF(B225="","Macroactividad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",""),LEN(IF(B225="","Macroactividad vacía"&amp;" · ","")&amp;IF(C225="","Sin responsable"&amp;" · ","")&amp;IF(D225="","Sin fecha de inicio"&amp;" · ","")&amp;IF(E225="","Sin fecha límite"&amp;" · ","")&amp;IF(OR(AND(D225&lt;&gt;"",NOT(ISNUMBER(D225))),AND(E225&lt;&gt;"",NOT(ISNUMBER(E225)))),"Fecha no válida"&amp;" · ","")&amp;IF(AND(ISNUMBER(D225),ISNUMBER(E225),D225&gt;E225),"Inicio posterior a fecha límite"&amp;" · ","")&amp;IF(F225="","Peso vacío"&amp;" · ","")&amp;IF(AND(F225&lt;&gt;"",OR(NOT(ISNUMBER(F225)),F225&lt;=0,F225&gt;1)),"Peso fuera de rango"&amp;" · ","")&amp;IF(ABS(SUMIFS($F$5:$F$1000,$O$5:$O$1000,$O225)-1)&gt;0.0001,"Pesos del mes suman "&amp;TEXT(SUMIFS($F$5:$F$1000,$O$5:$O$1000,$O225),"0%")&amp;" · ","")&amp;IF((COUNTIF(G225:J225,"&gt;1")+COUNTIF(G225:J225,"&lt;0")+COUNTA(G225:J225)-COUNT(G225:J225))&gt;0,"Avance fuera de rango 0-100%"&amp;" · ","")&amp;IF(OR(AND(H225&lt;&gt;"",H225&lt;G225),AND(I225&lt;&gt;"",I225&lt;MAX(G225:H225)),AND(J225&lt;&gt;"",J225&lt;MAX(G225:I225))),"Avance semanal decreciente"&amp;" · ","")&amp;IF(AND(ISNUMBER(E225),E225&lt;FechaRef,N(K225)&lt;1),"Vencida"&amp;" · ","")&amp;IF(AND(ObsObligatoria="Sí",ISNUMBER(E225),E225&lt;FechaRef,N(K225)&lt;1,M225=""),"Vencida sin observación"&amp;" · ",""))-3)))</f>
        <v/>
      </c>
      <c r="O225" s="67">
        <f>IF(NOT((COUNTA($B225:$J225)+COUNTA($M225))&gt;0),"",IF(ISNUMBER($D225),DATE(YEAR($D225),MONTH($D225),1),IF(ISNUMBER($E225),DATE(YEAR($E225),MONTH($E225),1),MesCiclo)))</f>
        <v/>
      </c>
      <c r="P225" s="68">
        <f>IF(OR($O225="",$O225&lt;&gt;MesCiclo),"",COUNTIF($O$5:$O225,MesCiclo))</f>
        <v/>
      </c>
    </row>
    <row r="226">
      <c r="A226" s="60">
        <f>IF(NOT((COUNTA($B226:$J226)+COUNTA($M226))&gt;0),"",COUNTIFS($L$5:$L226,"?*",$O$5:$O226,$O226))</f>
        <v/>
      </c>
      <c r="B226" s="61" t="n"/>
      <c r="C226" s="61" t="n"/>
      <c r="D226" s="62" t="n"/>
      <c r="E226" s="62" t="n"/>
      <c r="F226" s="63" t="n"/>
      <c r="G226" s="64" t="n"/>
      <c r="H226" s="64" t="n"/>
      <c r="I226" s="64" t="n"/>
      <c r="J226" s="64" t="n"/>
      <c r="K226" s="65">
        <f>IF(NOT((COUNTA($B226:$J226)+COUNTA($M226))&gt;0),"",IFERROR(LOOKUP(2,1/(G226:J226&lt;&gt;""),G226:J226),0))</f>
        <v/>
      </c>
      <c r="L226" s="60">
        <f>IF(K226="","",IF(K226&gt;=1,"Completado",IF(K226&gt;0,"En curso","Pendiente")))</f>
        <v/>
      </c>
      <c r="M226" s="61" t="n"/>
      <c r="N226" s="66">
        <f>IF(NOT((COUNTA($B226:$J226)+COUNTA($M226))&gt;0),"",IF((IF(B226="","Macroactividad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 OK","⚠ "&amp;LEFT(IF(B226="","Macroactividad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",""),LEN(IF(B226="","Macroactividad vacía"&amp;" · ","")&amp;IF(C226="","Sin responsable"&amp;" · ","")&amp;IF(D226="","Sin fecha de inicio"&amp;" · ","")&amp;IF(E226="","Sin fecha límite"&amp;" · ","")&amp;IF(OR(AND(D226&lt;&gt;"",NOT(ISNUMBER(D226))),AND(E226&lt;&gt;"",NOT(ISNUMBER(E226)))),"Fecha no válida"&amp;" · ","")&amp;IF(AND(ISNUMBER(D226),ISNUMBER(E226),D226&gt;E226),"Inicio posterior a fecha límite"&amp;" · ","")&amp;IF(F226="","Peso vacío"&amp;" · ","")&amp;IF(AND(F226&lt;&gt;"",OR(NOT(ISNUMBER(F226)),F226&lt;=0,F226&gt;1)),"Peso fuera de rango"&amp;" · ","")&amp;IF(ABS(SUMIFS($F$5:$F$1000,$O$5:$O$1000,$O226)-1)&gt;0.0001,"Pesos del mes suman "&amp;TEXT(SUMIFS($F$5:$F$1000,$O$5:$O$1000,$O226),"0%")&amp;" · ","")&amp;IF((COUNTIF(G226:J226,"&gt;1")+COUNTIF(G226:J226,"&lt;0")+COUNTA(G226:J226)-COUNT(G226:J226))&gt;0,"Avance fuera de rango 0-100%"&amp;" · ","")&amp;IF(OR(AND(H226&lt;&gt;"",H226&lt;G226),AND(I226&lt;&gt;"",I226&lt;MAX(G226:H226)),AND(J226&lt;&gt;"",J226&lt;MAX(G226:I226))),"Avance semanal decreciente"&amp;" · ","")&amp;IF(AND(ISNUMBER(E226),E226&lt;FechaRef,N(K226)&lt;1),"Vencida"&amp;" · ","")&amp;IF(AND(ObsObligatoria="Sí",ISNUMBER(E226),E226&lt;FechaRef,N(K226)&lt;1,M226=""),"Vencida sin observación"&amp;" · ",""))-3)))</f>
        <v/>
      </c>
      <c r="O226" s="67">
        <f>IF(NOT((COUNTA($B226:$J226)+COUNTA($M226))&gt;0),"",IF(ISNUMBER($D226),DATE(YEAR($D226),MONTH($D226),1),IF(ISNUMBER($E226),DATE(YEAR($E226),MONTH($E226),1),MesCiclo)))</f>
        <v/>
      </c>
      <c r="P226" s="68">
        <f>IF(OR($O226="",$O226&lt;&gt;MesCiclo),"",COUNTIF($O$5:$O226,MesCiclo))</f>
        <v/>
      </c>
    </row>
    <row r="227">
      <c r="A227" s="60">
        <f>IF(NOT((COUNTA($B227:$J227)+COUNTA($M227))&gt;0),"",COUNTIFS($L$5:$L227,"?*",$O$5:$O227,$O227))</f>
        <v/>
      </c>
      <c r="B227" s="61" t="n"/>
      <c r="C227" s="61" t="n"/>
      <c r="D227" s="62" t="n"/>
      <c r="E227" s="62" t="n"/>
      <c r="F227" s="63" t="n"/>
      <c r="G227" s="64" t="n"/>
      <c r="H227" s="64" t="n"/>
      <c r="I227" s="64" t="n"/>
      <c r="J227" s="64" t="n"/>
      <c r="K227" s="65">
        <f>IF(NOT((COUNTA($B227:$J227)+COUNTA($M227))&gt;0),"",IFERROR(LOOKUP(2,1/(G227:J227&lt;&gt;""),G227:J227),0))</f>
        <v/>
      </c>
      <c r="L227" s="60">
        <f>IF(K227="","",IF(K227&gt;=1,"Completado",IF(K227&gt;0,"En curso","Pendiente")))</f>
        <v/>
      </c>
      <c r="M227" s="61" t="n"/>
      <c r="N227" s="66">
        <f>IF(NOT((COUNTA($B227:$J227)+COUNTA($M227))&gt;0),"",IF((IF(B227="","Macroactividad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 OK","⚠ "&amp;LEFT(IF(B227="","Macroactividad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",""),LEN(IF(B227="","Macroactividad vacía"&amp;" · ","")&amp;IF(C227="","Sin responsable"&amp;" · ","")&amp;IF(D227="","Sin fecha de inicio"&amp;" · ","")&amp;IF(E227="","Sin fecha límite"&amp;" · ","")&amp;IF(OR(AND(D227&lt;&gt;"",NOT(ISNUMBER(D227))),AND(E227&lt;&gt;"",NOT(ISNUMBER(E227)))),"Fecha no válida"&amp;" · ","")&amp;IF(AND(ISNUMBER(D227),ISNUMBER(E227),D227&gt;E227),"Inicio posterior a fecha límite"&amp;" · ","")&amp;IF(F227="","Peso vacío"&amp;" · ","")&amp;IF(AND(F227&lt;&gt;"",OR(NOT(ISNUMBER(F227)),F227&lt;=0,F227&gt;1)),"Peso fuera de rango"&amp;" · ","")&amp;IF(ABS(SUMIFS($F$5:$F$1000,$O$5:$O$1000,$O227)-1)&gt;0.0001,"Pesos del mes suman "&amp;TEXT(SUMIFS($F$5:$F$1000,$O$5:$O$1000,$O227),"0%")&amp;" · ","")&amp;IF((COUNTIF(G227:J227,"&gt;1")+COUNTIF(G227:J227,"&lt;0")+COUNTA(G227:J227)-COUNT(G227:J227))&gt;0,"Avance fuera de rango 0-100%"&amp;" · ","")&amp;IF(OR(AND(H227&lt;&gt;"",H227&lt;G227),AND(I227&lt;&gt;"",I227&lt;MAX(G227:H227)),AND(J227&lt;&gt;"",J227&lt;MAX(G227:I227))),"Avance semanal decreciente"&amp;" · ","")&amp;IF(AND(ISNUMBER(E227),E227&lt;FechaRef,N(K227)&lt;1),"Vencida"&amp;" · ","")&amp;IF(AND(ObsObligatoria="Sí",ISNUMBER(E227),E227&lt;FechaRef,N(K227)&lt;1,M227=""),"Vencida sin observación"&amp;" · ",""))-3)))</f>
        <v/>
      </c>
      <c r="O227" s="67">
        <f>IF(NOT((COUNTA($B227:$J227)+COUNTA($M227))&gt;0),"",IF(ISNUMBER($D227),DATE(YEAR($D227),MONTH($D227),1),IF(ISNUMBER($E227),DATE(YEAR($E227),MONTH($E227),1),MesCiclo)))</f>
        <v/>
      </c>
      <c r="P227" s="68">
        <f>IF(OR($O227="",$O227&lt;&gt;MesCiclo),"",COUNTIF($O$5:$O227,MesCiclo))</f>
        <v/>
      </c>
    </row>
    <row r="228">
      <c r="A228" s="60">
        <f>IF(NOT((COUNTA($B228:$J228)+COUNTA($M228))&gt;0),"",COUNTIFS($L$5:$L228,"?*",$O$5:$O228,$O228))</f>
        <v/>
      </c>
      <c r="B228" s="61" t="n"/>
      <c r="C228" s="61" t="n"/>
      <c r="D228" s="62" t="n"/>
      <c r="E228" s="62" t="n"/>
      <c r="F228" s="63" t="n"/>
      <c r="G228" s="64" t="n"/>
      <c r="H228" s="64" t="n"/>
      <c r="I228" s="64" t="n"/>
      <c r="J228" s="64" t="n"/>
      <c r="K228" s="65">
        <f>IF(NOT((COUNTA($B228:$J228)+COUNTA($M228))&gt;0),"",IFERROR(LOOKUP(2,1/(G228:J228&lt;&gt;""),G228:J228),0))</f>
        <v/>
      </c>
      <c r="L228" s="60">
        <f>IF(K228="","",IF(K228&gt;=1,"Completado",IF(K228&gt;0,"En curso","Pendiente")))</f>
        <v/>
      </c>
      <c r="M228" s="61" t="n"/>
      <c r="N228" s="66">
        <f>IF(NOT((COUNTA($B228:$J228)+COUNTA($M228))&gt;0),"",IF((IF(B228="","Macroactividad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 OK","⚠ "&amp;LEFT(IF(B228="","Macroactividad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",""),LEN(IF(B228="","Macroactividad vacía"&amp;" · ","")&amp;IF(C228="","Sin responsable"&amp;" · ","")&amp;IF(D228="","Sin fecha de inicio"&amp;" · ","")&amp;IF(E228="","Sin fecha límite"&amp;" · ","")&amp;IF(OR(AND(D228&lt;&gt;"",NOT(ISNUMBER(D228))),AND(E228&lt;&gt;"",NOT(ISNUMBER(E228)))),"Fecha no válida"&amp;" · ","")&amp;IF(AND(ISNUMBER(D228),ISNUMBER(E228),D228&gt;E228),"Inicio posterior a fecha límite"&amp;" · ","")&amp;IF(F228="","Peso vacío"&amp;" · ","")&amp;IF(AND(F228&lt;&gt;"",OR(NOT(ISNUMBER(F228)),F228&lt;=0,F228&gt;1)),"Peso fuera de rango"&amp;" · ","")&amp;IF(ABS(SUMIFS($F$5:$F$1000,$O$5:$O$1000,$O228)-1)&gt;0.0001,"Pesos del mes suman "&amp;TEXT(SUMIFS($F$5:$F$1000,$O$5:$O$1000,$O228),"0%")&amp;" · ","")&amp;IF((COUNTIF(G228:J228,"&gt;1")+COUNTIF(G228:J228,"&lt;0")+COUNTA(G228:J228)-COUNT(G228:J228))&gt;0,"Avance fuera de rango 0-100%"&amp;" · ","")&amp;IF(OR(AND(H228&lt;&gt;"",H228&lt;G228),AND(I228&lt;&gt;"",I228&lt;MAX(G228:H228)),AND(J228&lt;&gt;"",J228&lt;MAX(G228:I228))),"Avance semanal decreciente"&amp;" · ","")&amp;IF(AND(ISNUMBER(E228),E228&lt;FechaRef,N(K228)&lt;1),"Vencida"&amp;" · ","")&amp;IF(AND(ObsObligatoria="Sí",ISNUMBER(E228),E228&lt;FechaRef,N(K228)&lt;1,M228=""),"Vencida sin observación"&amp;" · ",""))-3)))</f>
        <v/>
      </c>
      <c r="O228" s="67">
        <f>IF(NOT((COUNTA($B228:$J228)+COUNTA($M228))&gt;0),"",IF(ISNUMBER($D228),DATE(YEAR($D228),MONTH($D228),1),IF(ISNUMBER($E228),DATE(YEAR($E228),MONTH($E228),1),MesCiclo)))</f>
        <v/>
      </c>
      <c r="P228" s="68">
        <f>IF(OR($O228="",$O228&lt;&gt;MesCiclo),"",COUNTIF($O$5:$O228,MesCiclo))</f>
        <v/>
      </c>
    </row>
    <row r="229">
      <c r="A229" s="60">
        <f>IF(NOT((COUNTA($B229:$J229)+COUNTA($M229))&gt;0),"",COUNTIFS($L$5:$L229,"?*",$O$5:$O229,$O229))</f>
        <v/>
      </c>
      <c r="B229" s="61" t="n"/>
      <c r="C229" s="61" t="n"/>
      <c r="D229" s="62" t="n"/>
      <c r="E229" s="62" t="n"/>
      <c r="F229" s="63" t="n"/>
      <c r="G229" s="64" t="n"/>
      <c r="H229" s="64" t="n"/>
      <c r="I229" s="64" t="n"/>
      <c r="J229" s="64" t="n"/>
      <c r="K229" s="65">
        <f>IF(NOT((COUNTA($B229:$J229)+COUNTA($M229))&gt;0),"",IFERROR(LOOKUP(2,1/(G229:J229&lt;&gt;""),G229:J229),0))</f>
        <v/>
      </c>
      <c r="L229" s="60">
        <f>IF(K229="","",IF(K229&gt;=1,"Completado",IF(K229&gt;0,"En curso","Pendiente")))</f>
        <v/>
      </c>
      <c r="M229" s="61" t="n"/>
      <c r="N229" s="66">
        <f>IF(NOT((COUNTA($B229:$J229)+COUNTA($M229))&gt;0),"",IF((IF(B229="","Macroactividad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 OK","⚠ "&amp;LEFT(IF(B229="","Macroactividad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",""),LEN(IF(B229="","Macroactividad vacía"&amp;" · ","")&amp;IF(C229="","Sin responsable"&amp;" · ","")&amp;IF(D229="","Sin fecha de inicio"&amp;" · ","")&amp;IF(E229="","Sin fecha límite"&amp;" · ","")&amp;IF(OR(AND(D229&lt;&gt;"",NOT(ISNUMBER(D229))),AND(E229&lt;&gt;"",NOT(ISNUMBER(E229)))),"Fecha no válida"&amp;" · ","")&amp;IF(AND(ISNUMBER(D229),ISNUMBER(E229),D229&gt;E229),"Inicio posterior a fecha límite"&amp;" · ","")&amp;IF(F229="","Peso vacío"&amp;" · ","")&amp;IF(AND(F229&lt;&gt;"",OR(NOT(ISNUMBER(F229)),F229&lt;=0,F229&gt;1)),"Peso fuera de rango"&amp;" · ","")&amp;IF(ABS(SUMIFS($F$5:$F$1000,$O$5:$O$1000,$O229)-1)&gt;0.0001,"Pesos del mes suman "&amp;TEXT(SUMIFS($F$5:$F$1000,$O$5:$O$1000,$O229),"0%")&amp;" · ","")&amp;IF((COUNTIF(G229:J229,"&gt;1")+COUNTIF(G229:J229,"&lt;0")+COUNTA(G229:J229)-COUNT(G229:J229))&gt;0,"Avance fuera de rango 0-100%"&amp;" · ","")&amp;IF(OR(AND(H229&lt;&gt;"",H229&lt;G229),AND(I229&lt;&gt;"",I229&lt;MAX(G229:H229)),AND(J229&lt;&gt;"",J229&lt;MAX(G229:I229))),"Avance semanal decreciente"&amp;" · ","")&amp;IF(AND(ISNUMBER(E229),E229&lt;FechaRef,N(K229)&lt;1),"Vencida"&amp;" · ","")&amp;IF(AND(ObsObligatoria="Sí",ISNUMBER(E229),E229&lt;FechaRef,N(K229)&lt;1,M229=""),"Vencida sin observación"&amp;" · ",""))-3)))</f>
        <v/>
      </c>
      <c r="O229" s="67">
        <f>IF(NOT((COUNTA($B229:$J229)+COUNTA($M229))&gt;0),"",IF(ISNUMBER($D229),DATE(YEAR($D229),MONTH($D229),1),IF(ISNUMBER($E229),DATE(YEAR($E229),MONTH($E229),1),MesCiclo)))</f>
        <v/>
      </c>
      <c r="P229" s="68">
        <f>IF(OR($O229="",$O229&lt;&gt;MesCiclo),"",COUNTIF($O$5:$O229,MesCiclo))</f>
        <v/>
      </c>
    </row>
    <row r="230">
      <c r="A230" s="60">
        <f>IF(NOT((COUNTA($B230:$J230)+COUNTA($M230))&gt;0),"",COUNTIFS($L$5:$L230,"?*",$O$5:$O230,$O230))</f>
        <v/>
      </c>
      <c r="B230" s="61" t="n"/>
      <c r="C230" s="61" t="n"/>
      <c r="D230" s="62" t="n"/>
      <c r="E230" s="62" t="n"/>
      <c r="F230" s="63" t="n"/>
      <c r="G230" s="64" t="n"/>
      <c r="H230" s="64" t="n"/>
      <c r="I230" s="64" t="n"/>
      <c r="J230" s="64" t="n"/>
      <c r="K230" s="65">
        <f>IF(NOT((COUNTA($B230:$J230)+COUNTA($M230))&gt;0),"",IFERROR(LOOKUP(2,1/(G230:J230&lt;&gt;""),G230:J230),0))</f>
        <v/>
      </c>
      <c r="L230" s="60">
        <f>IF(K230="","",IF(K230&gt;=1,"Completado",IF(K230&gt;0,"En curso","Pendiente")))</f>
        <v/>
      </c>
      <c r="M230" s="61" t="n"/>
      <c r="N230" s="66">
        <f>IF(NOT((COUNTA($B230:$J230)+COUNTA($M230))&gt;0),"",IF((IF(B230="","Macroactividad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 OK","⚠ "&amp;LEFT(IF(B230="","Macroactividad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",""),LEN(IF(B230="","Macroactividad vacía"&amp;" · ","")&amp;IF(C230="","Sin responsable"&amp;" · ","")&amp;IF(D230="","Sin fecha de inicio"&amp;" · ","")&amp;IF(E230="","Sin fecha límite"&amp;" · ","")&amp;IF(OR(AND(D230&lt;&gt;"",NOT(ISNUMBER(D230))),AND(E230&lt;&gt;"",NOT(ISNUMBER(E230)))),"Fecha no válida"&amp;" · ","")&amp;IF(AND(ISNUMBER(D230),ISNUMBER(E230),D230&gt;E230),"Inicio posterior a fecha límite"&amp;" · ","")&amp;IF(F230="","Peso vacío"&amp;" · ","")&amp;IF(AND(F230&lt;&gt;"",OR(NOT(ISNUMBER(F230)),F230&lt;=0,F230&gt;1)),"Peso fuera de rango"&amp;" · ","")&amp;IF(ABS(SUMIFS($F$5:$F$1000,$O$5:$O$1000,$O230)-1)&gt;0.0001,"Pesos del mes suman "&amp;TEXT(SUMIFS($F$5:$F$1000,$O$5:$O$1000,$O230),"0%")&amp;" · ","")&amp;IF((COUNTIF(G230:J230,"&gt;1")+COUNTIF(G230:J230,"&lt;0")+COUNTA(G230:J230)-COUNT(G230:J230))&gt;0,"Avance fuera de rango 0-100%"&amp;" · ","")&amp;IF(OR(AND(H230&lt;&gt;"",H230&lt;G230),AND(I230&lt;&gt;"",I230&lt;MAX(G230:H230)),AND(J230&lt;&gt;"",J230&lt;MAX(G230:I230))),"Avance semanal decreciente"&amp;" · ","")&amp;IF(AND(ISNUMBER(E230),E230&lt;FechaRef,N(K230)&lt;1),"Vencida"&amp;" · ","")&amp;IF(AND(ObsObligatoria="Sí",ISNUMBER(E230),E230&lt;FechaRef,N(K230)&lt;1,M230=""),"Vencida sin observación"&amp;" · ",""))-3)))</f>
        <v/>
      </c>
      <c r="O230" s="67">
        <f>IF(NOT((COUNTA($B230:$J230)+COUNTA($M230))&gt;0),"",IF(ISNUMBER($D230),DATE(YEAR($D230),MONTH($D230),1),IF(ISNUMBER($E230),DATE(YEAR($E230),MONTH($E230),1),MesCiclo)))</f>
        <v/>
      </c>
      <c r="P230" s="68">
        <f>IF(OR($O230="",$O230&lt;&gt;MesCiclo),"",COUNTIF($O$5:$O230,MesCiclo))</f>
        <v/>
      </c>
    </row>
    <row r="231">
      <c r="A231" s="60">
        <f>IF(NOT((COUNTA($B231:$J231)+COUNTA($M231))&gt;0),"",COUNTIFS($L$5:$L231,"?*",$O$5:$O231,$O231))</f>
        <v/>
      </c>
      <c r="B231" s="61" t="n"/>
      <c r="C231" s="61" t="n"/>
      <c r="D231" s="62" t="n"/>
      <c r="E231" s="62" t="n"/>
      <c r="F231" s="63" t="n"/>
      <c r="G231" s="64" t="n"/>
      <c r="H231" s="64" t="n"/>
      <c r="I231" s="64" t="n"/>
      <c r="J231" s="64" t="n"/>
      <c r="K231" s="65">
        <f>IF(NOT((COUNTA($B231:$J231)+COUNTA($M231))&gt;0),"",IFERROR(LOOKUP(2,1/(G231:J231&lt;&gt;""),G231:J231),0))</f>
        <v/>
      </c>
      <c r="L231" s="60">
        <f>IF(K231="","",IF(K231&gt;=1,"Completado",IF(K231&gt;0,"En curso","Pendiente")))</f>
        <v/>
      </c>
      <c r="M231" s="61" t="n"/>
      <c r="N231" s="66">
        <f>IF(NOT((COUNTA($B231:$J231)+COUNTA($M231))&gt;0),"",IF((IF(B231="","Macroactividad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 OK","⚠ "&amp;LEFT(IF(B231="","Macroactividad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",""),LEN(IF(B231="","Macroactividad vacía"&amp;" · ","")&amp;IF(C231="","Sin responsable"&amp;" · ","")&amp;IF(D231="","Sin fecha de inicio"&amp;" · ","")&amp;IF(E231="","Sin fecha límite"&amp;" · ","")&amp;IF(OR(AND(D231&lt;&gt;"",NOT(ISNUMBER(D231))),AND(E231&lt;&gt;"",NOT(ISNUMBER(E231)))),"Fecha no válida"&amp;" · ","")&amp;IF(AND(ISNUMBER(D231),ISNUMBER(E231),D231&gt;E231),"Inicio posterior a fecha límite"&amp;" · ","")&amp;IF(F231="","Peso vacío"&amp;" · ","")&amp;IF(AND(F231&lt;&gt;"",OR(NOT(ISNUMBER(F231)),F231&lt;=0,F231&gt;1)),"Peso fuera de rango"&amp;" · ","")&amp;IF(ABS(SUMIFS($F$5:$F$1000,$O$5:$O$1000,$O231)-1)&gt;0.0001,"Pesos del mes suman "&amp;TEXT(SUMIFS($F$5:$F$1000,$O$5:$O$1000,$O231),"0%")&amp;" · ","")&amp;IF((COUNTIF(G231:J231,"&gt;1")+COUNTIF(G231:J231,"&lt;0")+COUNTA(G231:J231)-COUNT(G231:J231))&gt;0,"Avance fuera de rango 0-100%"&amp;" · ","")&amp;IF(OR(AND(H231&lt;&gt;"",H231&lt;G231),AND(I231&lt;&gt;"",I231&lt;MAX(G231:H231)),AND(J231&lt;&gt;"",J231&lt;MAX(G231:I231))),"Avance semanal decreciente"&amp;" · ","")&amp;IF(AND(ISNUMBER(E231),E231&lt;FechaRef,N(K231)&lt;1),"Vencida"&amp;" · ","")&amp;IF(AND(ObsObligatoria="Sí",ISNUMBER(E231),E231&lt;FechaRef,N(K231)&lt;1,M231=""),"Vencida sin observación"&amp;" · ",""))-3)))</f>
        <v/>
      </c>
      <c r="O231" s="67">
        <f>IF(NOT((COUNTA($B231:$J231)+COUNTA($M231))&gt;0),"",IF(ISNUMBER($D231),DATE(YEAR($D231),MONTH($D231),1),IF(ISNUMBER($E231),DATE(YEAR($E231),MONTH($E231),1),MesCiclo)))</f>
        <v/>
      </c>
      <c r="P231" s="68">
        <f>IF(OR($O231="",$O231&lt;&gt;MesCiclo),"",COUNTIF($O$5:$O231,MesCiclo))</f>
        <v/>
      </c>
    </row>
    <row r="232">
      <c r="A232" s="60">
        <f>IF(NOT((COUNTA($B232:$J232)+COUNTA($M232))&gt;0),"",COUNTIFS($L$5:$L232,"?*",$O$5:$O232,$O232))</f>
        <v/>
      </c>
      <c r="B232" s="61" t="n"/>
      <c r="C232" s="61" t="n"/>
      <c r="D232" s="62" t="n"/>
      <c r="E232" s="62" t="n"/>
      <c r="F232" s="63" t="n"/>
      <c r="G232" s="64" t="n"/>
      <c r="H232" s="64" t="n"/>
      <c r="I232" s="64" t="n"/>
      <c r="J232" s="64" t="n"/>
      <c r="K232" s="65">
        <f>IF(NOT((COUNTA($B232:$J232)+COUNTA($M232))&gt;0),"",IFERROR(LOOKUP(2,1/(G232:J232&lt;&gt;""),G232:J232),0))</f>
        <v/>
      </c>
      <c r="L232" s="60">
        <f>IF(K232="","",IF(K232&gt;=1,"Completado",IF(K232&gt;0,"En curso","Pendiente")))</f>
        <v/>
      </c>
      <c r="M232" s="61" t="n"/>
      <c r="N232" s="66">
        <f>IF(NOT((COUNTA($B232:$J232)+COUNTA($M232))&gt;0),"",IF((IF(B232="","Macroactividad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 OK","⚠ "&amp;LEFT(IF(B232="","Macroactividad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",""),LEN(IF(B232="","Macroactividad vacía"&amp;" · ","")&amp;IF(C232="","Sin responsable"&amp;" · ","")&amp;IF(D232="","Sin fecha de inicio"&amp;" · ","")&amp;IF(E232="","Sin fecha límite"&amp;" · ","")&amp;IF(OR(AND(D232&lt;&gt;"",NOT(ISNUMBER(D232))),AND(E232&lt;&gt;"",NOT(ISNUMBER(E232)))),"Fecha no válida"&amp;" · ","")&amp;IF(AND(ISNUMBER(D232),ISNUMBER(E232),D232&gt;E232),"Inicio posterior a fecha límite"&amp;" · ","")&amp;IF(F232="","Peso vacío"&amp;" · ","")&amp;IF(AND(F232&lt;&gt;"",OR(NOT(ISNUMBER(F232)),F232&lt;=0,F232&gt;1)),"Peso fuera de rango"&amp;" · ","")&amp;IF(ABS(SUMIFS($F$5:$F$1000,$O$5:$O$1000,$O232)-1)&gt;0.0001,"Pesos del mes suman "&amp;TEXT(SUMIFS($F$5:$F$1000,$O$5:$O$1000,$O232),"0%")&amp;" · ","")&amp;IF((COUNTIF(G232:J232,"&gt;1")+COUNTIF(G232:J232,"&lt;0")+COUNTA(G232:J232)-COUNT(G232:J232))&gt;0,"Avance fuera de rango 0-100%"&amp;" · ","")&amp;IF(OR(AND(H232&lt;&gt;"",H232&lt;G232),AND(I232&lt;&gt;"",I232&lt;MAX(G232:H232)),AND(J232&lt;&gt;"",J232&lt;MAX(G232:I232))),"Avance semanal decreciente"&amp;" · ","")&amp;IF(AND(ISNUMBER(E232),E232&lt;FechaRef,N(K232)&lt;1),"Vencida"&amp;" · ","")&amp;IF(AND(ObsObligatoria="Sí",ISNUMBER(E232),E232&lt;FechaRef,N(K232)&lt;1,M232=""),"Vencida sin observación"&amp;" · ",""))-3)))</f>
        <v/>
      </c>
      <c r="O232" s="67">
        <f>IF(NOT((COUNTA($B232:$J232)+COUNTA($M232))&gt;0),"",IF(ISNUMBER($D232),DATE(YEAR($D232),MONTH($D232),1),IF(ISNUMBER($E232),DATE(YEAR($E232),MONTH($E232),1),MesCiclo)))</f>
        <v/>
      </c>
      <c r="P232" s="68">
        <f>IF(OR($O232="",$O232&lt;&gt;MesCiclo),"",COUNTIF($O$5:$O232,MesCiclo))</f>
        <v/>
      </c>
    </row>
    <row r="233">
      <c r="A233" s="60">
        <f>IF(NOT((COUNTA($B233:$J233)+COUNTA($M233))&gt;0),"",COUNTIFS($L$5:$L233,"?*",$O$5:$O233,$O233))</f>
        <v/>
      </c>
      <c r="B233" s="61" t="n"/>
      <c r="C233" s="61" t="n"/>
      <c r="D233" s="62" t="n"/>
      <c r="E233" s="62" t="n"/>
      <c r="F233" s="63" t="n"/>
      <c r="G233" s="64" t="n"/>
      <c r="H233" s="64" t="n"/>
      <c r="I233" s="64" t="n"/>
      <c r="J233" s="64" t="n"/>
      <c r="K233" s="65">
        <f>IF(NOT((COUNTA($B233:$J233)+COUNTA($M233))&gt;0),"",IFERROR(LOOKUP(2,1/(G233:J233&lt;&gt;""),G233:J233),0))</f>
        <v/>
      </c>
      <c r="L233" s="60">
        <f>IF(K233="","",IF(K233&gt;=1,"Completado",IF(K233&gt;0,"En curso","Pendiente")))</f>
        <v/>
      </c>
      <c r="M233" s="61" t="n"/>
      <c r="N233" s="66">
        <f>IF(NOT((COUNTA($B233:$J233)+COUNTA($M233))&gt;0),"",IF((IF(B233="","Macroactividad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 OK","⚠ "&amp;LEFT(IF(B233="","Macroactividad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",""),LEN(IF(B233="","Macroactividad vacía"&amp;" · ","")&amp;IF(C233="","Sin responsable"&amp;" · ","")&amp;IF(D233="","Sin fecha de inicio"&amp;" · ","")&amp;IF(E233="","Sin fecha límite"&amp;" · ","")&amp;IF(OR(AND(D233&lt;&gt;"",NOT(ISNUMBER(D233))),AND(E233&lt;&gt;"",NOT(ISNUMBER(E233)))),"Fecha no válida"&amp;" · ","")&amp;IF(AND(ISNUMBER(D233),ISNUMBER(E233),D233&gt;E233),"Inicio posterior a fecha límite"&amp;" · ","")&amp;IF(F233="","Peso vacío"&amp;" · ","")&amp;IF(AND(F233&lt;&gt;"",OR(NOT(ISNUMBER(F233)),F233&lt;=0,F233&gt;1)),"Peso fuera de rango"&amp;" · ","")&amp;IF(ABS(SUMIFS($F$5:$F$1000,$O$5:$O$1000,$O233)-1)&gt;0.0001,"Pesos del mes suman "&amp;TEXT(SUMIFS($F$5:$F$1000,$O$5:$O$1000,$O233),"0%")&amp;" · ","")&amp;IF((COUNTIF(G233:J233,"&gt;1")+COUNTIF(G233:J233,"&lt;0")+COUNTA(G233:J233)-COUNT(G233:J233))&gt;0,"Avance fuera de rango 0-100%"&amp;" · ","")&amp;IF(OR(AND(H233&lt;&gt;"",H233&lt;G233),AND(I233&lt;&gt;"",I233&lt;MAX(G233:H233)),AND(J233&lt;&gt;"",J233&lt;MAX(G233:I233))),"Avance semanal decreciente"&amp;" · ","")&amp;IF(AND(ISNUMBER(E233),E233&lt;FechaRef,N(K233)&lt;1),"Vencida"&amp;" · ","")&amp;IF(AND(ObsObligatoria="Sí",ISNUMBER(E233),E233&lt;FechaRef,N(K233)&lt;1,M233=""),"Vencida sin observación"&amp;" · ",""))-3)))</f>
        <v/>
      </c>
      <c r="O233" s="67">
        <f>IF(NOT((COUNTA($B233:$J233)+COUNTA($M233))&gt;0),"",IF(ISNUMBER($D233),DATE(YEAR($D233),MONTH($D233),1),IF(ISNUMBER($E233),DATE(YEAR($E233),MONTH($E233),1),MesCiclo)))</f>
        <v/>
      </c>
      <c r="P233" s="68">
        <f>IF(OR($O233="",$O233&lt;&gt;MesCiclo),"",COUNTIF($O$5:$O233,MesCiclo))</f>
        <v/>
      </c>
    </row>
    <row r="234">
      <c r="A234" s="60">
        <f>IF(NOT((COUNTA($B234:$J234)+COUNTA($M234))&gt;0),"",COUNTIFS($L$5:$L234,"?*",$O$5:$O234,$O234))</f>
        <v/>
      </c>
      <c r="B234" s="61" t="n"/>
      <c r="C234" s="61" t="n"/>
      <c r="D234" s="62" t="n"/>
      <c r="E234" s="62" t="n"/>
      <c r="F234" s="63" t="n"/>
      <c r="G234" s="64" t="n"/>
      <c r="H234" s="64" t="n"/>
      <c r="I234" s="64" t="n"/>
      <c r="J234" s="64" t="n"/>
      <c r="K234" s="65">
        <f>IF(NOT((COUNTA($B234:$J234)+COUNTA($M234))&gt;0),"",IFERROR(LOOKUP(2,1/(G234:J234&lt;&gt;""),G234:J234),0))</f>
        <v/>
      </c>
      <c r="L234" s="60">
        <f>IF(K234="","",IF(K234&gt;=1,"Completado",IF(K234&gt;0,"En curso","Pendiente")))</f>
        <v/>
      </c>
      <c r="M234" s="61" t="n"/>
      <c r="N234" s="66">
        <f>IF(NOT((COUNTA($B234:$J234)+COUNTA($M234))&gt;0),"",IF((IF(B234="","Macroactividad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 OK","⚠ "&amp;LEFT(IF(B234="","Macroactividad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",""),LEN(IF(B234="","Macroactividad vacía"&amp;" · ","")&amp;IF(C234="","Sin responsable"&amp;" · ","")&amp;IF(D234="","Sin fecha de inicio"&amp;" · ","")&amp;IF(E234="","Sin fecha límite"&amp;" · ","")&amp;IF(OR(AND(D234&lt;&gt;"",NOT(ISNUMBER(D234))),AND(E234&lt;&gt;"",NOT(ISNUMBER(E234)))),"Fecha no válida"&amp;" · ","")&amp;IF(AND(ISNUMBER(D234),ISNUMBER(E234),D234&gt;E234),"Inicio posterior a fecha límite"&amp;" · ","")&amp;IF(F234="","Peso vacío"&amp;" · ","")&amp;IF(AND(F234&lt;&gt;"",OR(NOT(ISNUMBER(F234)),F234&lt;=0,F234&gt;1)),"Peso fuera de rango"&amp;" · ","")&amp;IF(ABS(SUMIFS($F$5:$F$1000,$O$5:$O$1000,$O234)-1)&gt;0.0001,"Pesos del mes suman "&amp;TEXT(SUMIFS($F$5:$F$1000,$O$5:$O$1000,$O234),"0%")&amp;" · ","")&amp;IF((COUNTIF(G234:J234,"&gt;1")+COUNTIF(G234:J234,"&lt;0")+COUNTA(G234:J234)-COUNT(G234:J234))&gt;0,"Avance fuera de rango 0-100%"&amp;" · ","")&amp;IF(OR(AND(H234&lt;&gt;"",H234&lt;G234),AND(I234&lt;&gt;"",I234&lt;MAX(G234:H234)),AND(J234&lt;&gt;"",J234&lt;MAX(G234:I234))),"Avance semanal decreciente"&amp;" · ","")&amp;IF(AND(ISNUMBER(E234),E234&lt;FechaRef,N(K234)&lt;1),"Vencida"&amp;" · ","")&amp;IF(AND(ObsObligatoria="Sí",ISNUMBER(E234),E234&lt;FechaRef,N(K234)&lt;1,M234=""),"Vencida sin observación"&amp;" · ",""))-3)))</f>
        <v/>
      </c>
      <c r="O234" s="67">
        <f>IF(NOT((COUNTA($B234:$J234)+COUNTA($M234))&gt;0),"",IF(ISNUMBER($D234),DATE(YEAR($D234),MONTH($D234),1),IF(ISNUMBER($E234),DATE(YEAR($E234),MONTH($E234),1),MesCiclo)))</f>
        <v/>
      </c>
      <c r="P234" s="68">
        <f>IF(OR($O234="",$O234&lt;&gt;MesCiclo),"",COUNTIF($O$5:$O234,MesCiclo))</f>
        <v/>
      </c>
    </row>
    <row r="235">
      <c r="A235" s="60">
        <f>IF(NOT((COUNTA($B235:$J235)+COUNTA($M235))&gt;0),"",COUNTIFS($L$5:$L235,"?*",$O$5:$O235,$O235))</f>
        <v/>
      </c>
      <c r="B235" s="61" t="n"/>
      <c r="C235" s="61" t="n"/>
      <c r="D235" s="62" t="n"/>
      <c r="E235" s="62" t="n"/>
      <c r="F235" s="63" t="n"/>
      <c r="G235" s="64" t="n"/>
      <c r="H235" s="64" t="n"/>
      <c r="I235" s="64" t="n"/>
      <c r="J235" s="64" t="n"/>
      <c r="K235" s="65">
        <f>IF(NOT((COUNTA($B235:$J235)+COUNTA($M235))&gt;0),"",IFERROR(LOOKUP(2,1/(G235:J235&lt;&gt;""),G235:J235),0))</f>
        <v/>
      </c>
      <c r="L235" s="60">
        <f>IF(K235="","",IF(K235&gt;=1,"Completado",IF(K235&gt;0,"En curso","Pendiente")))</f>
        <v/>
      </c>
      <c r="M235" s="61" t="n"/>
      <c r="N235" s="66">
        <f>IF(NOT((COUNTA($B235:$J235)+COUNTA($M235))&gt;0),"",IF((IF(B235="","Macroactividad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 OK","⚠ "&amp;LEFT(IF(B235="","Macroactividad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",""),LEN(IF(B235="","Macroactividad vacía"&amp;" · ","")&amp;IF(C235="","Sin responsable"&amp;" · ","")&amp;IF(D235="","Sin fecha de inicio"&amp;" · ","")&amp;IF(E235="","Sin fecha límite"&amp;" · ","")&amp;IF(OR(AND(D235&lt;&gt;"",NOT(ISNUMBER(D235))),AND(E235&lt;&gt;"",NOT(ISNUMBER(E235)))),"Fecha no válida"&amp;" · ","")&amp;IF(AND(ISNUMBER(D235),ISNUMBER(E235),D235&gt;E235),"Inicio posterior a fecha límite"&amp;" · ","")&amp;IF(F235="","Peso vacío"&amp;" · ","")&amp;IF(AND(F235&lt;&gt;"",OR(NOT(ISNUMBER(F235)),F235&lt;=0,F235&gt;1)),"Peso fuera de rango"&amp;" · ","")&amp;IF(ABS(SUMIFS($F$5:$F$1000,$O$5:$O$1000,$O235)-1)&gt;0.0001,"Pesos del mes suman "&amp;TEXT(SUMIFS($F$5:$F$1000,$O$5:$O$1000,$O235),"0%")&amp;" · ","")&amp;IF((COUNTIF(G235:J235,"&gt;1")+COUNTIF(G235:J235,"&lt;0")+COUNTA(G235:J235)-COUNT(G235:J235))&gt;0,"Avance fuera de rango 0-100%"&amp;" · ","")&amp;IF(OR(AND(H235&lt;&gt;"",H235&lt;G235),AND(I235&lt;&gt;"",I235&lt;MAX(G235:H235)),AND(J235&lt;&gt;"",J235&lt;MAX(G235:I235))),"Avance semanal decreciente"&amp;" · ","")&amp;IF(AND(ISNUMBER(E235),E235&lt;FechaRef,N(K235)&lt;1),"Vencida"&amp;" · ","")&amp;IF(AND(ObsObligatoria="Sí",ISNUMBER(E235),E235&lt;FechaRef,N(K235)&lt;1,M235=""),"Vencida sin observación"&amp;" · ",""))-3)))</f>
        <v/>
      </c>
      <c r="O235" s="67">
        <f>IF(NOT((COUNTA($B235:$J235)+COUNTA($M235))&gt;0),"",IF(ISNUMBER($D235),DATE(YEAR($D235),MONTH($D235),1),IF(ISNUMBER($E235),DATE(YEAR($E235),MONTH($E235),1),MesCiclo)))</f>
        <v/>
      </c>
      <c r="P235" s="68">
        <f>IF(OR($O235="",$O235&lt;&gt;MesCiclo),"",COUNTIF($O$5:$O235,MesCiclo))</f>
        <v/>
      </c>
    </row>
    <row r="236">
      <c r="A236" s="60">
        <f>IF(NOT((COUNTA($B236:$J236)+COUNTA($M236))&gt;0),"",COUNTIFS($L$5:$L236,"?*",$O$5:$O236,$O236))</f>
        <v/>
      </c>
      <c r="B236" s="61" t="n"/>
      <c r="C236" s="61" t="n"/>
      <c r="D236" s="62" t="n"/>
      <c r="E236" s="62" t="n"/>
      <c r="F236" s="63" t="n"/>
      <c r="G236" s="64" t="n"/>
      <c r="H236" s="64" t="n"/>
      <c r="I236" s="64" t="n"/>
      <c r="J236" s="64" t="n"/>
      <c r="K236" s="65">
        <f>IF(NOT((COUNTA($B236:$J236)+COUNTA($M236))&gt;0),"",IFERROR(LOOKUP(2,1/(G236:J236&lt;&gt;""),G236:J236),0))</f>
        <v/>
      </c>
      <c r="L236" s="60">
        <f>IF(K236="","",IF(K236&gt;=1,"Completado",IF(K236&gt;0,"En curso","Pendiente")))</f>
        <v/>
      </c>
      <c r="M236" s="61" t="n"/>
      <c r="N236" s="66">
        <f>IF(NOT((COUNTA($B236:$J236)+COUNTA($M236))&gt;0),"",IF((IF(B236="","Macroactividad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 OK","⚠ "&amp;LEFT(IF(B236="","Macroactividad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",""),LEN(IF(B236="","Macroactividad vacía"&amp;" · ","")&amp;IF(C236="","Sin responsable"&amp;" · ","")&amp;IF(D236="","Sin fecha de inicio"&amp;" · ","")&amp;IF(E236="","Sin fecha límite"&amp;" · ","")&amp;IF(OR(AND(D236&lt;&gt;"",NOT(ISNUMBER(D236))),AND(E236&lt;&gt;"",NOT(ISNUMBER(E236)))),"Fecha no válida"&amp;" · ","")&amp;IF(AND(ISNUMBER(D236),ISNUMBER(E236),D236&gt;E236),"Inicio posterior a fecha límite"&amp;" · ","")&amp;IF(F236="","Peso vacío"&amp;" · ","")&amp;IF(AND(F236&lt;&gt;"",OR(NOT(ISNUMBER(F236)),F236&lt;=0,F236&gt;1)),"Peso fuera de rango"&amp;" · ","")&amp;IF(ABS(SUMIFS($F$5:$F$1000,$O$5:$O$1000,$O236)-1)&gt;0.0001,"Pesos del mes suman "&amp;TEXT(SUMIFS($F$5:$F$1000,$O$5:$O$1000,$O236),"0%")&amp;" · ","")&amp;IF((COUNTIF(G236:J236,"&gt;1")+COUNTIF(G236:J236,"&lt;0")+COUNTA(G236:J236)-COUNT(G236:J236))&gt;0,"Avance fuera de rango 0-100%"&amp;" · ","")&amp;IF(OR(AND(H236&lt;&gt;"",H236&lt;G236),AND(I236&lt;&gt;"",I236&lt;MAX(G236:H236)),AND(J236&lt;&gt;"",J236&lt;MAX(G236:I236))),"Avance semanal decreciente"&amp;" · ","")&amp;IF(AND(ISNUMBER(E236),E236&lt;FechaRef,N(K236)&lt;1),"Vencida"&amp;" · ","")&amp;IF(AND(ObsObligatoria="Sí",ISNUMBER(E236),E236&lt;FechaRef,N(K236)&lt;1,M236=""),"Vencida sin observación"&amp;" · ",""))-3)))</f>
        <v/>
      </c>
      <c r="O236" s="67">
        <f>IF(NOT((COUNTA($B236:$J236)+COUNTA($M236))&gt;0),"",IF(ISNUMBER($D236),DATE(YEAR($D236),MONTH($D236),1),IF(ISNUMBER($E236),DATE(YEAR($E236),MONTH($E236),1),MesCiclo)))</f>
        <v/>
      </c>
      <c r="P236" s="68">
        <f>IF(OR($O236="",$O236&lt;&gt;MesCiclo),"",COUNTIF($O$5:$O236,MesCiclo))</f>
        <v/>
      </c>
    </row>
    <row r="237">
      <c r="A237" s="60">
        <f>IF(NOT((COUNTA($B237:$J237)+COUNTA($M237))&gt;0),"",COUNTIFS($L$5:$L237,"?*",$O$5:$O237,$O237))</f>
        <v/>
      </c>
      <c r="B237" s="61" t="n"/>
      <c r="C237" s="61" t="n"/>
      <c r="D237" s="62" t="n"/>
      <c r="E237" s="62" t="n"/>
      <c r="F237" s="63" t="n"/>
      <c r="G237" s="64" t="n"/>
      <c r="H237" s="64" t="n"/>
      <c r="I237" s="64" t="n"/>
      <c r="J237" s="64" t="n"/>
      <c r="K237" s="65">
        <f>IF(NOT((COUNTA($B237:$J237)+COUNTA($M237))&gt;0),"",IFERROR(LOOKUP(2,1/(G237:J237&lt;&gt;""),G237:J237),0))</f>
        <v/>
      </c>
      <c r="L237" s="60">
        <f>IF(K237="","",IF(K237&gt;=1,"Completado",IF(K237&gt;0,"En curso","Pendiente")))</f>
        <v/>
      </c>
      <c r="M237" s="61" t="n"/>
      <c r="N237" s="66">
        <f>IF(NOT((COUNTA($B237:$J237)+COUNTA($M237))&gt;0),"",IF((IF(B237="","Macroactividad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 OK","⚠ "&amp;LEFT(IF(B237="","Macroactividad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",""),LEN(IF(B237="","Macroactividad vacía"&amp;" · ","")&amp;IF(C237="","Sin responsable"&amp;" · ","")&amp;IF(D237="","Sin fecha de inicio"&amp;" · ","")&amp;IF(E237="","Sin fecha límite"&amp;" · ","")&amp;IF(OR(AND(D237&lt;&gt;"",NOT(ISNUMBER(D237))),AND(E237&lt;&gt;"",NOT(ISNUMBER(E237)))),"Fecha no válida"&amp;" · ","")&amp;IF(AND(ISNUMBER(D237),ISNUMBER(E237),D237&gt;E237),"Inicio posterior a fecha límite"&amp;" · ","")&amp;IF(F237="","Peso vacío"&amp;" · ","")&amp;IF(AND(F237&lt;&gt;"",OR(NOT(ISNUMBER(F237)),F237&lt;=0,F237&gt;1)),"Peso fuera de rango"&amp;" · ","")&amp;IF(ABS(SUMIFS($F$5:$F$1000,$O$5:$O$1000,$O237)-1)&gt;0.0001,"Pesos del mes suman "&amp;TEXT(SUMIFS($F$5:$F$1000,$O$5:$O$1000,$O237),"0%")&amp;" · ","")&amp;IF((COUNTIF(G237:J237,"&gt;1")+COUNTIF(G237:J237,"&lt;0")+COUNTA(G237:J237)-COUNT(G237:J237))&gt;0,"Avance fuera de rango 0-100%"&amp;" · ","")&amp;IF(OR(AND(H237&lt;&gt;"",H237&lt;G237),AND(I237&lt;&gt;"",I237&lt;MAX(G237:H237)),AND(J237&lt;&gt;"",J237&lt;MAX(G237:I237))),"Avance semanal decreciente"&amp;" · ","")&amp;IF(AND(ISNUMBER(E237),E237&lt;FechaRef,N(K237)&lt;1),"Vencida"&amp;" · ","")&amp;IF(AND(ObsObligatoria="Sí",ISNUMBER(E237),E237&lt;FechaRef,N(K237)&lt;1,M237=""),"Vencida sin observación"&amp;" · ",""))-3)))</f>
        <v/>
      </c>
      <c r="O237" s="67">
        <f>IF(NOT((COUNTA($B237:$J237)+COUNTA($M237))&gt;0),"",IF(ISNUMBER($D237),DATE(YEAR($D237),MONTH($D237),1),IF(ISNUMBER($E237),DATE(YEAR($E237),MONTH($E237),1),MesCiclo)))</f>
        <v/>
      </c>
      <c r="P237" s="68">
        <f>IF(OR($O237="",$O237&lt;&gt;MesCiclo),"",COUNTIF($O$5:$O237,MesCiclo))</f>
        <v/>
      </c>
    </row>
    <row r="238">
      <c r="A238" s="60">
        <f>IF(NOT((COUNTA($B238:$J238)+COUNTA($M238))&gt;0),"",COUNTIFS($L$5:$L238,"?*",$O$5:$O238,$O238))</f>
        <v/>
      </c>
      <c r="B238" s="61" t="n"/>
      <c r="C238" s="61" t="n"/>
      <c r="D238" s="62" t="n"/>
      <c r="E238" s="62" t="n"/>
      <c r="F238" s="63" t="n"/>
      <c r="G238" s="64" t="n"/>
      <c r="H238" s="64" t="n"/>
      <c r="I238" s="64" t="n"/>
      <c r="J238" s="64" t="n"/>
      <c r="K238" s="65">
        <f>IF(NOT((COUNTA($B238:$J238)+COUNTA($M238))&gt;0),"",IFERROR(LOOKUP(2,1/(G238:J238&lt;&gt;""),G238:J238),0))</f>
        <v/>
      </c>
      <c r="L238" s="60">
        <f>IF(K238="","",IF(K238&gt;=1,"Completado",IF(K238&gt;0,"En curso","Pendiente")))</f>
        <v/>
      </c>
      <c r="M238" s="61" t="n"/>
      <c r="N238" s="66">
        <f>IF(NOT((COUNTA($B238:$J238)+COUNTA($M238))&gt;0),"",IF((IF(B238="","Macroactividad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 OK","⚠ "&amp;LEFT(IF(B238="","Macroactividad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",""),LEN(IF(B238="","Macroactividad vacía"&amp;" · ","")&amp;IF(C238="","Sin responsable"&amp;" · ","")&amp;IF(D238="","Sin fecha de inicio"&amp;" · ","")&amp;IF(E238="","Sin fecha límite"&amp;" · ","")&amp;IF(OR(AND(D238&lt;&gt;"",NOT(ISNUMBER(D238))),AND(E238&lt;&gt;"",NOT(ISNUMBER(E238)))),"Fecha no válida"&amp;" · ","")&amp;IF(AND(ISNUMBER(D238),ISNUMBER(E238),D238&gt;E238),"Inicio posterior a fecha límite"&amp;" · ","")&amp;IF(F238="","Peso vacío"&amp;" · ","")&amp;IF(AND(F238&lt;&gt;"",OR(NOT(ISNUMBER(F238)),F238&lt;=0,F238&gt;1)),"Peso fuera de rango"&amp;" · ","")&amp;IF(ABS(SUMIFS($F$5:$F$1000,$O$5:$O$1000,$O238)-1)&gt;0.0001,"Pesos del mes suman "&amp;TEXT(SUMIFS($F$5:$F$1000,$O$5:$O$1000,$O238),"0%")&amp;" · ","")&amp;IF((COUNTIF(G238:J238,"&gt;1")+COUNTIF(G238:J238,"&lt;0")+COUNTA(G238:J238)-COUNT(G238:J238))&gt;0,"Avance fuera de rango 0-100%"&amp;" · ","")&amp;IF(OR(AND(H238&lt;&gt;"",H238&lt;G238),AND(I238&lt;&gt;"",I238&lt;MAX(G238:H238)),AND(J238&lt;&gt;"",J238&lt;MAX(G238:I238))),"Avance semanal decreciente"&amp;" · ","")&amp;IF(AND(ISNUMBER(E238),E238&lt;FechaRef,N(K238)&lt;1),"Vencida"&amp;" · ","")&amp;IF(AND(ObsObligatoria="Sí",ISNUMBER(E238),E238&lt;FechaRef,N(K238)&lt;1,M238=""),"Vencida sin observación"&amp;" · ",""))-3)))</f>
        <v/>
      </c>
      <c r="O238" s="67">
        <f>IF(NOT((COUNTA($B238:$J238)+COUNTA($M238))&gt;0),"",IF(ISNUMBER($D238),DATE(YEAR($D238),MONTH($D238),1),IF(ISNUMBER($E238),DATE(YEAR($E238),MONTH($E238),1),MesCiclo)))</f>
        <v/>
      </c>
      <c r="P238" s="68">
        <f>IF(OR($O238="",$O238&lt;&gt;MesCiclo),"",COUNTIF($O$5:$O238,MesCiclo))</f>
        <v/>
      </c>
    </row>
    <row r="239">
      <c r="A239" s="60">
        <f>IF(NOT((COUNTA($B239:$J239)+COUNTA($M239))&gt;0),"",COUNTIFS($L$5:$L239,"?*",$O$5:$O239,$O239))</f>
        <v/>
      </c>
      <c r="B239" s="61" t="n"/>
      <c r="C239" s="61" t="n"/>
      <c r="D239" s="62" t="n"/>
      <c r="E239" s="62" t="n"/>
      <c r="F239" s="63" t="n"/>
      <c r="G239" s="64" t="n"/>
      <c r="H239" s="64" t="n"/>
      <c r="I239" s="64" t="n"/>
      <c r="J239" s="64" t="n"/>
      <c r="K239" s="65">
        <f>IF(NOT((COUNTA($B239:$J239)+COUNTA($M239))&gt;0),"",IFERROR(LOOKUP(2,1/(G239:J239&lt;&gt;""),G239:J239),0))</f>
        <v/>
      </c>
      <c r="L239" s="60">
        <f>IF(K239="","",IF(K239&gt;=1,"Completado",IF(K239&gt;0,"En curso","Pendiente")))</f>
        <v/>
      </c>
      <c r="M239" s="61" t="n"/>
      <c r="N239" s="66">
        <f>IF(NOT((COUNTA($B239:$J239)+COUNTA($M239))&gt;0),"",IF((IF(B239="","Macroactividad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 OK","⚠ "&amp;LEFT(IF(B239="","Macroactividad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",""),LEN(IF(B239="","Macroactividad vacía"&amp;" · ","")&amp;IF(C239="","Sin responsable"&amp;" · ","")&amp;IF(D239="","Sin fecha de inicio"&amp;" · ","")&amp;IF(E239="","Sin fecha límite"&amp;" · ","")&amp;IF(OR(AND(D239&lt;&gt;"",NOT(ISNUMBER(D239))),AND(E239&lt;&gt;"",NOT(ISNUMBER(E239)))),"Fecha no válida"&amp;" · ","")&amp;IF(AND(ISNUMBER(D239),ISNUMBER(E239),D239&gt;E239),"Inicio posterior a fecha límite"&amp;" · ","")&amp;IF(F239="","Peso vacío"&amp;" · ","")&amp;IF(AND(F239&lt;&gt;"",OR(NOT(ISNUMBER(F239)),F239&lt;=0,F239&gt;1)),"Peso fuera de rango"&amp;" · ","")&amp;IF(ABS(SUMIFS($F$5:$F$1000,$O$5:$O$1000,$O239)-1)&gt;0.0001,"Pesos del mes suman "&amp;TEXT(SUMIFS($F$5:$F$1000,$O$5:$O$1000,$O239),"0%")&amp;" · ","")&amp;IF((COUNTIF(G239:J239,"&gt;1")+COUNTIF(G239:J239,"&lt;0")+COUNTA(G239:J239)-COUNT(G239:J239))&gt;0,"Avance fuera de rango 0-100%"&amp;" · ","")&amp;IF(OR(AND(H239&lt;&gt;"",H239&lt;G239),AND(I239&lt;&gt;"",I239&lt;MAX(G239:H239)),AND(J239&lt;&gt;"",J239&lt;MAX(G239:I239))),"Avance semanal decreciente"&amp;" · ","")&amp;IF(AND(ISNUMBER(E239),E239&lt;FechaRef,N(K239)&lt;1),"Vencida"&amp;" · ","")&amp;IF(AND(ObsObligatoria="Sí",ISNUMBER(E239),E239&lt;FechaRef,N(K239)&lt;1,M239=""),"Vencida sin observación"&amp;" · ",""))-3)))</f>
        <v/>
      </c>
      <c r="O239" s="67">
        <f>IF(NOT((COUNTA($B239:$J239)+COUNTA($M239))&gt;0),"",IF(ISNUMBER($D239),DATE(YEAR($D239),MONTH($D239),1),IF(ISNUMBER($E239),DATE(YEAR($E239),MONTH($E239),1),MesCiclo)))</f>
        <v/>
      </c>
      <c r="P239" s="68">
        <f>IF(OR($O239="",$O239&lt;&gt;MesCiclo),"",COUNTIF($O$5:$O239,MesCiclo))</f>
        <v/>
      </c>
    </row>
    <row r="240">
      <c r="A240" s="60">
        <f>IF(NOT((COUNTA($B240:$J240)+COUNTA($M240))&gt;0),"",COUNTIFS($L$5:$L240,"?*",$O$5:$O240,$O240))</f>
        <v/>
      </c>
      <c r="B240" s="61" t="n"/>
      <c r="C240" s="61" t="n"/>
      <c r="D240" s="62" t="n"/>
      <c r="E240" s="62" t="n"/>
      <c r="F240" s="63" t="n"/>
      <c r="G240" s="64" t="n"/>
      <c r="H240" s="64" t="n"/>
      <c r="I240" s="64" t="n"/>
      <c r="J240" s="64" t="n"/>
      <c r="K240" s="65">
        <f>IF(NOT((COUNTA($B240:$J240)+COUNTA($M240))&gt;0),"",IFERROR(LOOKUP(2,1/(G240:J240&lt;&gt;""),G240:J240),0))</f>
        <v/>
      </c>
      <c r="L240" s="60">
        <f>IF(K240="","",IF(K240&gt;=1,"Completado",IF(K240&gt;0,"En curso","Pendiente")))</f>
        <v/>
      </c>
      <c r="M240" s="61" t="n"/>
      <c r="N240" s="66">
        <f>IF(NOT((COUNTA($B240:$J240)+COUNTA($M240))&gt;0),"",IF((IF(B240="","Macroactividad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 OK","⚠ "&amp;LEFT(IF(B240="","Macroactividad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",""),LEN(IF(B240="","Macroactividad vacía"&amp;" · ","")&amp;IF(C240="","Sin responsable"&amp;" · ","")&amp;IF(D240="","Sin fecha de inicio"&amp;" · ","")&amp;IF(E240="","Sin fecha límite"&amp;" · ","")&amp;IF(OR(AND(D240&lt;&gt;"",NOT(ISNUMBER(D240))),AND(E240&lt;&gt;"",NOT(ISNUMBER(E240)))),"Fecha no válida"&amp;" · ","")&amp;IF(AND(ISNUMBER(D240),ISNUMBER(E240),D240&gt;E240),"Inicio posterior a fecha límite"&amp;" · ","")&amp;IF(F240="","Peso vacío"&amp;" · ","")&amp;IF(AND(F240&lt;&gt;"",OR(NOT(ISNUMBER(F240)),F240&lt;=0,F240&gt;1)),"Peso fuera de rango"&amp;" · ","")&amp;IF(ABS(SUMIFS($F$5:$F$1000,$O$5:$O$1000,$O240)-1)&gt;0.0001,"Pesos del mes suman "&amp;TEXT(SUMIFS($F$5:$F$1000,$O$5:$O$1000,$O240),"0%")&amp;" · ","")&amp;IF((COUNTIF(G240:J240,"&gt;1")+COUNTIF(G240:J240,"&lt;0")+COUNTA(G240:J240)-COUNT(G240:J240))&gt;0,"Avance fuera de rango 0-100%"&amp;" · ","")&amp;IF(OR(AND(H240&lt;&gt;"",H240&lt;G240),AND(I240&lt;&gt;"",I240&lt;MAX(G240:H240)),AND(J240&lt;&gt;"",J240&lt;MAX(G240:I240))),"Avance semanal decreciente"&amp;" · ","")&amp;IF(AND(ISNUMBER(E240),E240&lt;FechaRef,N(K240)&lt;1),"Vencida"&amp;" · ","")&amp;IF(AND(ObsObligatoria="Sí",ISNUMBER(E240),E240&lt;FechaRef,N(K240)&lt;1,M240=""),"Vencida sin observación"&amp;" · ",""))-3)))</f>
        <v/>
      </c>
      <c r="O240" s="67">
        <f>IF(NOT((COUNTA($B240:$J240)+COUNTA($M240))&gt;0),"",IF(ISNUMBER($D240),DATE(YEAR($D240),MONTH($D240),1),IF(ISNUMBER($E240),DATE(YEAR($E240),MONTH($E240),1),MesCiclo)))</f>
        <v/>
      </c>
      <c r="P240" s="68">
        <f>IF(OR($O240="",$O240&lt;&gt;MesCiclo),"",COUNTIF($O$5:$O240,MesCiclo))</f>
        <v/>
      </c>
    </row>
    <row r="241">
      <c r="A241" s="60">
        <f>IF(NOT((COUNTA($B241:$J241)+COUNTA($M241))&gt;0),"",COUNTIFS($L$5:$L241,"?*",$O$5:$O241,$O241))</f>
        <v/>
      </c>
      <c r="B241" s="61" t="n"/>
      <c r="C241" s="61" t="n"/>
      <c r="D241" s="62" t="n"/>
      <c r="E241" s="62" t="n"/>
      <c r="F241" s="63" t="n"/>
      <c r="G241" s="64" t="n"/>
      <c r="H241" s="64" t="n"/>
      <c r="I241" s="64" t="n"/>
      <c r="J241" s="64" t="n"/>
      <c r="K241" s="65">
        <f>IF(NOT((COUNTA($B241:$J241)+COUNTA($M241))&gt;0),"",IFERROR(LOOKUP(2,1/(G241:J241&lt;&gt;""),G241:J241),0))</f>
        <v/>
      </c>
      <c r="L241" s="60">
        <f>IF(K241="","",IF(K241&gt;=1,"Completado",IF(K241&gt;0,"En curso","Pendiente")))</f>
        <v/>
      </c>
      <c r="M241" s="61" t="n"/>
      <c r="N241" s="66">
        <f>IF(NOT((COUNTA($B241:$J241)+COUNTA($M241))&gt;0),"",IF((IF(B241="","Macroactividad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 OK","⚠ "&amp;LEFT(IF(B241="","Macroactividad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",""),LEN(IF(B241="","Macroactividad vacía"&amp;" · ","")&amp;IF(C241="","Sin responsable"&amp;" · ","")&amp;IF(D241="","Sin fecha de inicio"&amp;" · ","")&amp;IF(E241="","Sin fecha límite"&amp;" · ","")&amp;IF(OR(AND(D241&lt;&gt;"",NOT(ISNUMBER(D241))),AND(E241&lt;&gt;"",NOT(ISNUMBER(E241)))),"Fecha no válida"&amp;" · ","")&amp;IF(AND(ISNUMBER(D241),ISNUMBER(E241),D241&gt;E241),"Inicio posterior a fecha límite"&amp;" · ","")&amp;IF(F241="","Peso vacío"&amp;" · ","")&amp;IF(AND(F241&lt;&gt;"",OR(NOT(ISNUMBER(F241)),F241&lt;=0,F241&gt;1)),"Peso fuera de rango"&amp;" · ","")&amp;IF(ABS(SUMIFS($F$5:$F$1000,$O$5:$O$1000,$O241)-1)&gt;0.0001,"Pesos del mes suman "&amp;TEXT(SUMIFS($F$5:$F$1000,$O$5:$O$1000,$O241),"0%")&amp;" · ","")&amp;IF((COUNTIF(G241:J241,"&gt;1")+COUNTIF(G241:J241,"&lt;0")+COUNTA(G241:J241)-COUNT(G241:J241))&gt;0,"Avance fuera de rango 0-100%"&amp;" · ","")&amp;IF(OR(AND(H241&lt;&gt;"",H241&lt;G241),AND(I241&lt;&gt;"",I241&lt;MAX(G241:H241)),AND(J241&lt;&gt;"",J241&lt;MAX(G241:I241))),"Avance semanal decreciente"&amp;" · ","")&amp;IF(AND(ISNUMBER(E241),E241&lt;FechaRef,N(K241)&lt;1),"Vencida"&amp;" · ","")&amp;IF(AND(ObsObligatoria="Sí",ISNUMBER(E241),E241&lt;FechaRef,N(K241)&lt;1,M241=""),"Vencida sin observación"&amp;" · ",""))-3)))</f>
        <v/>
      </c>
      <c r="O241" s="67">
        <f>IF(NOT((COUNTA($B241:$J241)+COUNTA($M241))&gt;0),"",IF(ISNUMBER($D241),DATE(YEAR($D241),MONTH($D241),1),IF(ISNUMBER($E241),DATE(YEAR($E241),MONTH($E241),1),MesCiclo)))</f>
        <v/>
      </c>
      <c r="P241" s="68">
        <f>IF(OR($O241="",$O241&lt;&gt;MesCiclo),"",COUNTIF($O$5:$O241,MesCiclo))</f>
        <v/>
      </c>
    </row>
    <row r="242">
      <c r="A242" s="60">
        <f>IF(NOT((COUNTA($B242:$J242)+COUNTA($M242))&gt;0),"",COUNTIFS($L$5:$L242,"?*",$O$5:$O242,$O242))</f>
        <v/>
      </c>
      <c r="B242" s="61" t="n"/>
      <c r="C242" s="61" t="n"/>
      <c r="D242" s="62" t="n"/>
      <c r="E242" s="62" t="n"/>
      <c r="F242" s="63" t="n"/>
      <c r="G242" s="64" t="n"/>
      <c r="H242" s="64" t="n"/>
      <c r="I242" s="64" t="n"/>
      <c r="J242" s="64" t="n"/>
      <c r="K242" s="65">
        <f>IF(NOT((COUNTA($B242:$J242)+COUNTA($M242))&gt;0),"",IFERROR(LOOKUP(2,1/(G242:J242&lt;&gt;""),G242:J242),0))</f>
        <v/>
      </c>
      <c r="L242" s="60">
        <f>IF(K242="","",IF(K242&gt;=1,"Completado",IF(K242&gt;0,"En curso","Pendiente")))</f>
        <v/>
      </c>
      <c r="M242" s="61" t="n"/>
      <c r="N242" s="66">
        <f>IF(NOT((COUNTA($B242:$J242)+COUNTA($M242))&gt;0),"",IF((IF(B242="","Macroactividad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 OK","⚠ "&amp;LEFT(IF(B242="","Macroactividad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",""),LEN(IF(B242="","Macroactividad vacía"&amp;" · ","")&amp;IF(C242="","Sin responsable"&amp;" · ","")&amp;IF(D242="","Sin fecha de inicio"&amp;" · ","")&amp;IF(E242="","Sin fecha límite"&amp;" · ","")&amp;IF(OR(AND(D242&lt;&gt;"",NOT(ISNUMBER(D242))),AND(E242&lt;&gt;"",NOT(ISNUMBER(E242)))),"Fecha no válida"&amp;" · ","")&amp;IF(AND(ISNUMBER(D242),ISNUMBER(E242),D242&gt;E242),"Inicio posterior a fecha límite"&amp;" · ","")&amp;IF(F242="","Peso vacío"&amp;" · ","")&amp;IF(AND(F242&lt;&gt;"",OR(NOT(ISNUMBER(F242)),F242&lt;=0,F242&gt;1)),"Peso fuera de rango"&amp;" · ","")&amp;IF(ABS(SUMIFS($F$5:$F$1000,$O$5:$O$1000,$O242)-1)&gt;0.0001,"Pesos del mes suman "&amp;TEXT(SUMIFS($F$5:$F$1000,$O$5:$O$1000,$O242),"0%")&amp;" · ","")&amp;IF((COUNTIF(G242:J242,"&gt;1")+COUNTIF(G242:J242,"&lt;0")+COUNTA(G242:J242)-COUNT(G242:J242))&gt;0,"Avance fuera de rango 0-100%"&amp;" · ","")&amp;IF(OR(AND(H242&lt;&gt;"",H242&lt;G242),AND(I242&lt;&gt;"",I242&lt;MAX(G242:H242)),AND(J242&lt;&gt;"",J242&lt;MAX(G242:I242))),"Avance semanal decreciente"&amp;" · ","")&amp;IF(AND(ISNUMBER(E242),E242&lt;FechaRef,N(K242)&lt;1),"Vencida"&amp;" · ","")&amp;IF(AND(ObsObligatoria="Sí",ISNUMBER(E242),E242&lt;FechaRef,N(K242)&lt;1,M242=""),"Vencida sin observación"&amp;" · ",""))-3)))</f>
        <v/>
      </c>
      <c r="O242" s="67">
        <f>IF(NOT((COUNTA($B242:$J242)+COUNTA($M242))&gt;0),"",IF(ISNUMBER($D242),DATE(YEAR($D242),MONTH($D242),1),IF(ISNUMBER($E242),DATE(YEAR($E242),MONTH($E242),1),MesCiclo)))</f>
        <v/>
      </c>
      <c r="P242" s="68">
        <f>IF(OR($O242="",$O242&lt;&gt;MesCiclo),"",COUNTIF($O$5:$O242,MesCiclo))</f>
        <v/>
      </c>
    </row>
    <row r="243">
      <c r="A243" s="60">
        <f>IF(NOT((COUNTA($B243:$J243)+COUNTA($M243))&gt;0),"",COUNTIFS($L$5:$L243,"?*",$O$5:$O243,$O243))</f>
        <v/>
      </c>
      <c r="B243" s="61" t="n"/>
      <c r="C243" s="61" t="n"/>
      <c r="D243" s="62" t="n"/>
      <c r="E243" s="62" t="n"/>
      <c r="F243" s="63" t="n"/>
      <c r="G243" s="64" t="n"/>
      <c r="H243" s="64" t="n"/>
      <c r="I243" s="64" t="n"/>
      <c r="J243" s="64" t="n"/>
      <c r="K243" s="65">
        <f>IF(NOT((COUNTA($B243:$J243)+COUNTA($M243))&gt;0),"",IFERROR(LOOKUP(2,1/(G243:J243&lt;&gt;""),G243:J243),0))</f>
        <v/>
      </c>
      <c r="L243" s="60">
        <f>IF(K243="","",IF(K243&gt;=1,"Completado",IF(K243&gt;0,"En curso","Pendiente")))</f>
        <v/>
      </c>
      <c r="M243" s="61" t="n"/>
      <c r="N243" s="66">
        <f>IF(NOT((COUNTA($B243:$J243)+COUNTA($M243))&gt;0),"",IF((IF(B243="","Macroactividad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 OK","⚠ "&amp;LEFT(IF(B243="","Macroactividad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",""),LEN(IF(B243="","Macroactividad vacía"&amp;" · ","")&amp;IF(C243="","Sin responsable"&amp;" · ","")&amp;IF(D243="","Sin fecha de inicio"&amp;" · ","")&amp;IF(E243="","Sin fecha límite"&amp;" · ","")&amp;IF(OR(AND(D243&lt;&gt;"",NOT(ISNUMBER(D243))),AND(E243&lt;&gt;"",NOT(ISNUMBER(E243)))),"Fecha no válida"&amp;" · ","")&amp;IF(AND(ISNUMBER(D243),ISNUMBER(E243),D243&gt;E243),"Inicio posterior a fecha límite"&amp;" · ","")&amp;IF(F243="","Peso vacío"&amp;" · ","")&amp;IF(AND(F243&lt;&gt;"",OR(NOT(ISNUMBER(F243)),F243&lt;=0,F243&gt;1)),"Peso fuera de rango"&amp;" · ","")&amp;IF(ABS(SUMIFS($F$5:$F$1000,$O$5:$O$1000,$O243)-1)&gt;0.0001,"Pesos del mes suman "&amp;TEXT(SUMIFS($F$5:$F$1000,$O$5:$O$1000,$O243),"0%")&amp;" · ","")&amp;IF((COUNTIF(G243:J243,"&gt;1")+COUNTIF(G243:J243,"&lt;0")+COUNTA(G243:J243)-COUNT(G243:J243))&gt;0,"Avance fuera de rango 0-100%"&amp;" · ","")&amp;IF(OR(AND(H243&lt;&gt;"",H243&lt;G243),AND(I243&lt;&gt;"",I243&lt;MAX(G243:H243)),AND(J243&lt;&gt;"",J243&lt;MAX(G243:I243))),"Avance semanal decreciente"&amp;" · ","")&amp;IF(AND(ISNUMBER(E243),E243&lt;FechaRef,N(K243)&lt;1),"Vencida"&amp;" · ","")&amp;IF(AND(ObsObligatoria="Sí",ISNUMBER(E243),E243&lt;FechaRef,N(K243)&lt;1,M243=""),"Vencida sin observación"&amp;" · ",""))-3)))</f>
        <v/>
      </c>
      <c r="O243" s="67">
        <f>IF(NOT((COUNTA($B243:$J243)+COUNTA($M243))&gt;0),"",IF(ISNUMBER($D243),DATE(YEAR($D243),MONTH($D243),1),IF(ISNUMBER($E243),DATE(YEAR($E243),MONTH($E243),1),MesCiclo)))</f>
        <v/>
      </c>
      <c r="P243" s="68">
        <f>IF(OR($O243="",$O243&lt;&gt;MesCiclo),"",COUNTIF($O$5:$O243,MesCiclo))</f>
        <v/>
      </c>
    </row>
    <row r="244">
      <c r="A244" s="60">
        <f>IF(NOT((COUNTA($B244:$J244)+COUNTA($M244))&gt;0),"",COUNTIFS($L$5:$L244,"?*",$O$5:$O244,$O244))</f>
        <v/>
      </c>
      <c r="B244" s="61" t="n"/>
      <c r="C244" s="61" t="n"/>
      <c r="D244" s="62" t="n"/>
      <c r="E244" s="62" t="n"/>
      <c r="F244" s="63" t="n"/>
      <c r="G244" s="64" t="n"/>
      <c r="H244" s="64" t="n"/>
      <c r="I244" s="64" t="n"/>
      <c r="J244" s="64" t="n"/>
      <c r="K244" s="65">
        <f>IF(NOT((COUNTA($B244:$J244)+COUNTA($M244))&gt;0),"",IFERROR(LOOKUP(2,1/(G244:J244&lt;&gt;""),G244:J244),0))</f>
        <v/>
      </c>
      <c r="L244" s="60">
        <f>IF(K244="","",IF(K244&gt;=1,"Completado",IF(K244&gt;0,"En curso","Pendiente")))</f>
        <v/>
      </c>
      <c r="M244" s="61" t="n"/>
      <c r="N244" s="66">
        <f>IF(NOT((COUNTA($B244:$J244)+COUNTA($M244))&gt;0),"",IF((IF(B244="","Macroactividad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 OK","⚠ "&amp;LEFT(IF(B244="","Macroactividad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",""),LEN(IF(B244="","Macroactividad vacía"&amp;" · ","")&amp;IF(C244="","Sin responsable"&amp;" · ","")&amp;IF(D244="","Sin fecha de inicio"&amp;" · ","")&amp;IF(E244="","Sin fecha límite"&amp;" · ","")&amp;IF(OR(AND(D244&lt;&gt;"",NOT(ISNUMBER(D244))),AND(E244&lt;&gt;"",NOT(ISNUMBER(E244)))),"Fecha no válida"&amp;" · ","")&amp;IF(AND(ISNUMBER(D244),ISNUMBER(E244),D244&gt;E244),"Inicio posterior a fecha límite"&amp;" · ","")&amp;IF(F244="","Peso vacío"&amp;" · ","")&amp;IF(AND(F244&lt;&gt;"",OR(NOT(ISNUMBER(F244)),F244&lt;=0,F244&gt;1)),"Peso fuera de rango"&amp;" · ","")&amp;IF(ABS(SUMIFS($F$5:$F$1000,$O$5:$O$1000,$O244)-1)&gt;0.0001,"Pesos del mes suman "&amp;TEXT(SUMIFS($F$5:$F$1000,$O$5:$O$1000,$O244),"0%")&amp;" · ","")&amp;IF((COUNTIF(G244:J244,"&gt;1")+COUNTIF(G244:J244,"&lt;0")+COUNTA(G244:J244)-COUNT(G244:J244))&gt;0,"Avance fuera de rango 0-100%"&amp;" · ","")&amp;IF(OR(AND(H244&lt;&gt;"",H244&lt;G244),AND(I244&lt;&gt;"",I244&lt;MAX(G244:H244)),AND(J244&lt;&gt;"",J244&lt;MAX(G244:I244))),"Avance semanal decreciente"&amp;" · ","")&amp;IF(AND(ISNUMBER(E244),E244&lt;FechaRef,N(K244)&lt;1),"Vencida"&amp;" · ","")&amp;IF(AND(ObsObligatoria="Sí",ISNUMBER(E244),E244&lt;FechaRef,N(K244)&lt;1,M244=""),"Vencida sin observación"&amp;" · ",""))-3)))</f>
        <v/>
      </c>
      <c r="O244" s="67">
        <f>IF(NOT((COUNTA($B244:$J244)+COUNTA($M244))&gt;0),"",IF(ISNUMBER($D244),DATE(YEAR($D244),MONTH($D244),1),IF(ISNUMBER($E244),DATE(YEAR($E244),MONTH($E244),1),MesCiclo)))</f>
        <v/>
      </c>
      <c r="P244" s="68">
        <f>IF(OR($O244="",$O244&lt;&gt;MesCiclo),"",COUNTIF($O$5:$O244,MesCiclo))</f>
        <v/>
      </c>
    </row>
    <row r="245">
      <c r="A245" s="60">
        <f>IF(NOT((COUNTA($B245:$J245)+COUNTA($M245))&gt;0),"",COUNTIFS($L$5:$L245,"?*",$O$5:$O245,$O245))</f>
        <v/>
      </c>
      <c r="B245" s="61" t="n"/>
      <c r="C245" s="61" t="n"/>
      <c r="D245" s="62" t="n"/>
      <c r="E245" s="62" t="n"/>
      <c r="F245" s="63" t="n"/>
      <c r="G245" s="64" t="n"/>
      <c r="H245" s="64" t="n"/>
      <c r="I245" s="64" t="n"/>
      <c r="J245" s="64" t="n"/>
      <c r="K245" s="65">
        <f>IF(NOT((COUNTA($B245:$J245)+COUNTA($M245))&gt;0),"",IFERROR(LOOKUP(2,1/(G245:J245&lt;&gt;""),G245:J245),0))</f>
        <v/>
      </c>
      <c r="L245" s="60">
        <f>IF(K245="","",IF(K245&gt;=1,"Completado",IF(K245&gt;0,"En curso","Pendiente")))</f>
        <v/>
      </c>
      <c r="M245" s="61" t="n"/>
      <c r="N245" s="66">
        <f>IF(NOT((COUNTA($B245:$J245)+COUNTA($M245))&gt;0),"",IF((IF(B245="","Macroactividad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 OK","⚠ "&amp;LEFT(IF(B245="","Macroactividad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",""),LEN(IF(B245="","Macroactividad vacía"&amp;" · ","")&amp;IF(C245="","Sin responsable"&amp;" · ","")&amp;IF(D245="","Sin fecha de inicio"&amp;" · ","")&amp;IF(E245="","Sin fecha límite"&amp;" · ","")&amp;IF(OR(AND(D245&lt;&gt;"",NOT(ISNUMBER(D245))),AND(E245&lt;&gt;"",NOT(ISNUMBER(E245)))),"Fecha no válida"&amp;" · ","")&amp;IF(AND(ISNUMBER(D245),ISNUMBER(E245),D245&gt;E245),"Inicio posterior a fecha límite"&amp;" · ","")&amp;IF(F245="","Peso vacío"&amp;" · ","")&amp;IF(AND(F245&lt;&gt;"",OR(NOT(ISNUMBER(F245)),F245&lt;=0,F245&gt;1)),"Peso fuera de rango"&amp;" · ","")&amp;IF(ABS(SUMIFS($F$5:$F$1000,$O$5:$O$1000,$O245)-1)&gt;0.0001,"Pesos del mes suman "&amp;TEXT(SUMIFS($F$5:$F$1000,$O$5:$O$1000,$O245),"0%")&amp;" · ","")&amp;IF((COUNTIF(G245:J245,"&gt;1")+COUNTIF(G245:J245,"&lt;0")+COUNTA(G245:J245)-COUNT(G245:J245))&gt;0,"Avance fuera de rango 0-100%"&amp;" · ","")&amp;IF(OR(AND(H245&lt;&gt;"",H245&lt;G245),AND(I245&lt;&gt;"",I245&lt;MAX(G245:H245)),AND(J245&lt;&gt;"",J245&lt;MAX(G245:I245))),"Avance semanal decreciente"&amp;" · ","")&amp;IF(AND(ISNUMBER(E245),E245&lt;FechaRef,N(K245)&lt;1),"Vencida"&amp;" · ","")&amp;IF(AND(ObsObligatoria="Sí",ISNUMBER(E245),E245&lt;FechaRef,N(K245)&lt;1,M245=""),"Vencida sin observación"&amp;" · ",""))-3)))</f>
        <v/>
      </c>
      <c r="O245" s="67">
        <f>IF(NOT((COUNTA($B245:$J245)+COUNTA($M245))&gt;0),"",IF(ISNUMBER($D245),DATE(YEAR($D245),MONTH($D245),1),IF(ISNUMBER($E245),DATE(YEAR($E245),MONTH($E245),1),MesCiclo)))</f>
        <v/>
      </c>
      <c r="P245" s="68">
        <f>IF(OR($O245="",$O245&lt;&gt;MesCiclo),"",COUNTIF($O$5:$O245,MesCiclo))</f>
        <v/>
      </c>
    </row>
    <row r="246">
      <c r="A246" s="60">
        <f>IF(NOT((COUNTA($B246:$J246)+COUNTA($M246))&gt;0),"",COUNTIFS($L$5:$L246,"?*",$O$5:$O246,$O246))</f>
        <v/>
      </c>
      <c r="B246" s="61" t="n"/>
      <c r="C246" s="61" t="n"/>
      <c r="D246" s="62" t="n"/>
      <c r="E246" s="62" t="n"/>
      <c r="F246" s="63" t="n"/>
      <c r="G246" s="64" t="n"/>
      <c r="H246" s="64" t="n"/>
      <c r="I246" s="64" t="n"/>
      <c r="J246" s="64" t="n"/>
      <c r="K246" s="65">
        <f>IF(NOT((COUNTA($B246:$J246)+COUNTA($M246))&gt;0),"",IFERROR(LOOKUP(2,1/(G246:J246&lt;&gt;""),G246:J246),0))</f>
        <v/>
      </c>
      <c r="L246" s="60">
        <f>IF(K246="","",IF(K246&gt;=1,"Completado",IF(K246&gt;0,"En curso","Pendiente")))</f>
        <v/>
      </c>
      <c r="M246" s="61" t="n"/>
      <c r="N246" s="66">
        <f>IF(NOT((COUNTA($B246:$J246)+COUNTA($M246))&gt;0),"",IF((IF(B246="","Macroactividad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 OK","⚠ "&amp;LEFT(IF(B246="","Macroactividad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",""),LEN(IF(B246="","Macroactividad vacía"&amp;" · ","")&amp;IF(C246="","Sin responsable"&amp;" · ","")&amp;IF(D246="","Sin fecha de inicio"&amp;" · ","")&amp;IF(E246="","Sin fecha límite"&amp;" · ","")&amp;IF(OR(AND(D246&lt;&gt;"",NOT(ISNUMBER(D246))),AND(E246&lt;&gt;"",NOT(ISNUMBER(E246)))),"Fecha no válida"&amp;" · ","")&amp;IF(AND(ISNUMBER(D246),ISNUMBER(E246),D246&gt;E246),"Inicio posterior a fecha límite"&amp;" · ","")&amp;IF(F246="","Peso vacío"&amp;" · ","")&amp;IF(AND(F246&lt;&gt;"",OR(NOT(ISNUMBER(F246)),F246&lt;=0,F246&gt;1)),"Peso fuera de rango"&amp;" · ","")&amp;IF(ABS(SUMIFS($F$5:$F$1000,$O$5:$O$1000,$O246)-1)&gt;0.0001,"Pesos del mes suman "&amp;TEXT(SUMIFS($F$5:$F$1000,$O$5:$O$1000,$O246),"0%")&amp;" · ","")&amp;IF((COUNTIF(G246:J246,"&gt;1")+COUNTIF(G246:J246,"&lt;0")+COUNTA(G246:J246)-COUNT(G246:J246))&gt;0,"Avance fuera de rango 0-100%"&amp;" · ","")&amp;IF(OR(AND(H246&lt;&gt;"",H246&lt;G246),AND(I246&lt;&gt;"",I246&lt;MAX(G246:H246)),AND(J246&lt;&gt;"",J246&lt;MAX(G246:I246))),"Avance semanal decreciente"&amp;" · ","")&amp;IF(AND(ISNUMBER(E246),E246&lt;FechaRef,N(K246)&lt;1),"Vencida"&amp;" · ","")&amp;IF(AND(ObsObligatoria="Sí",ISNUMBER(E246),E246&lt;FechaRef,N(K246)&lt;1,M246=""),"Vencida sin observación"&amp;" · ",""))-3)))</f>
        <v/>
      </c>
      <c r="O246" s="67">
        <f>IF(NOT((COUNTA($B246:$J246)+COUNTA($M246))&gt;0),"",IF(ISNUMBER($D246),DATE(YEAR($D246),MONTH($D246),1),IF(ISNUMBER($E246),DATE(YEAR($E246),MONTH($E246),1),MesCiclo)))</f>
        <v/>
      </c>
      <c r="P246" s="68">
        <f>IF(OR($O246="",$O246&lt;&gt;MesCiclo),"",COUNTIF($O$5:$O246,MesCiclo))</f>
        <v/>
      </c>
    </row>
    <row r="247">
      <c r="A247" s="60">
        <f>IF(NOT((COUNTA($B247:$J247)+COUNTA($M247))&gt;0),"",COUNTIFS($L$5:$L247,"?*",$O$5:$O247,$O247))</f>
        <v/>
      </c>
      <c r="B247" s="61" t="n"/>
      <c r="C247" s="61" t="n"/>
      <c r="D247" s="62" t="n"/>
      <c r="E247" s="62" t="n"/>
      <c r="F247" s="63" t="n"/>
      <c r="G247" s="64" t="n"/>
      <c r="H247" s="64" t="n"/>
      <c r="I247" s="64" t="n"/>
      <c r="J247" s="64" t="n"/>
      <c r="K247" s="65">
        <f>IF(NOT((COUNTA($B247:$J247)+COUNTA($M247))&gt;0),"",IFERROR(LOOKUP(2,1/(G247:J247&lt;&gt;""),G247:J247),0))</f>
        <v/>
      </c>
      <c r="L247" s="60">
        <f>IF(K247="","",IF(K247&gt;=1,"Completado",IF(K247&gt;0,"En curso","Pendiente")))</f>
        <v/>
      </c>
      <c r="M247" s="61" t="n"/>
      <c r="N247" s="66">
        <f>IF(NOT((COUNTA($B247:$J247)+COUNTA($M247))&gt;0),"",IF((IF(B247="","Macroactividad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 OK","⚠ "&amp;LEFT(IF(B247="","Macroactividad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",""),LEN(IF(B247="","Macroactividad vacía"&amp;" · ","")&amp;IF(C247="","Sin responsable"&amp;" · ","")&amp;IF(D247="","Sin fecha de inicio"&amp;" · ","")&amp;IF(E247="","Sin fecha límite"&amp;" · ","")&amp;IF(OR(AND(D247&lt;&gt;"",NOT(ISNUMBER(D247))),AND(E247&lt;&gt;"",NOT(ISNUMBER(E247)))),"Fecha no válida"&amp;" · ","")&amp;IF(AND(ISNUMBER(D247),ISNUMBER(E247),D247&gt;E247),"Inicio posterior a fecha límite"&amp;" · ","")&amp;IF(F247="","Peso vacío"&amp;" · ","")&amp;IF(AND(F247&lt;&gt;"",OR(NOT(ISNUMBER(F247)),F247&lt;=0,F247&gt;1)),"Peso fuera de rango"&amp;" · ","")&amp;IF(ABS(SUMIFS($F$5:$F$1000,$O$5:$O$1000,$O247)-1)&gt;0.0001,"Pesos del mes suman "&amp;TEXT(SUMIFS($F$5:$F$1000,$O$5:$O$1000,$O247),"0%")&amp;" · ","")&amp;IF((COUNTIF(G247:J247,"&gt;1")+COUNTIF(G247:J247,"&lt;0")+COUNTA(G247:J247)-COUNT(G247:J247))&gt;0,"Avance fuera de rango 0-100%"&amp;" · ","")&amp;IF(OR(AND(H247&lt;&gt;"",H247&lt;G247),AND(I247&lt;&gt;"",I247&lt;MAX(G247:H247)),AND(J247&lt;&gt;"",J247&lt;MAX(G247:I247))),"Avance semanal decreciente"&amp;" · ","")&amp;IF(AND(ISNUMBER(E247),E247&lt;FechaRef,N(K247)&lt;1),"Vencida"&amp;" · ","")&amp;IF(AND(ObsObligatoria="Sí",ISNUMBER(E247),E247&lt;FechaRef,N(K247)&lt;1,M247=""),"Vencida sin observación"&amp;" · ",""))-3)))</f>
        <v/>
      </c>
      <c r="O247" s="67">
        <f>IF(NOT((COUNTA($B247:$J247)+COUNTA($M247))&gt;0),"",IF(ISNUMBER($D247),DATE(YEAR($D247),MONTH($D247),1),IF(ISNUMBER($E247),DATE(YEAR($E247),MONTH($E247),1),MesCiclo)))</f>
        <v/>
      </c>
      <c r="P247" s="68">
        <f>IF(OR($O247="",$O247&lt;&gt;MesCiclo),"",COUNTIF($O$5:$O247,MesCiclo))</f>
        <v/>
      </c>
    </row>
    <row r="248">
      <c r="A248" s="60">
        <f>IF(NOT((COUNTA($B248:$J248)+COUNTA($M248))&gt;0),"",COUNTIFS($L$5:$L248,"?*",$O$5:$O248,$O248))</f>
        <v/>
      </c>
      <c r="B248" s="61" t="n"/>
      <c r="C248" s="61" t="n"/>
      <c r="D248" s="62" t="n"/>
      <c r="E248" s="62" t="n"/>
      <c r="F248" s="63" t="n"/>
      <c r="G248" s="64" t="n"/>
      <c r="H248" s="64" t="n"/>
      <c r="I248" s="64" t="n"/>
      <c r="J248" s="64" t="n"/>
      <c r="K248" s="65">
        <f>IF(NOT((COUNTA($B248:$J248)+COUNTA($M248))&gt;0),"",IFERROR(LOOKUP(2,1/(G248:J248&lt;&gt;""),G248:J248),0))</f>
        <v/>
      </c>
      <c r="L248" s="60">
        <f>IF(K248="","",IF(K248&gt;=1,"Completado",IF(K248&gt;0,"En curso","Pendiente")))</f>
        <v/>
      </c>
      <c r="M248" s="61" t="n"/>
      <c r="N248" s="66">
        <f>IF(NOT((COUNTA($B248:$J248)+COUNTA($M248))&gt;0),"",IF((IF(B248="","Macroactividad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 OK","⚠ "&amp;LEFT(IF(B248="","Macroactividad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",""),LEN(IF(B248="","Macroactividad vacía"&amp;" · ","")&amp;IF(C248="","Sin responsable"&amp;" · ","")&amp;IF(D248="","Sin fecha de inicio"&amp;" · ","")&amp;IF(E248="","Sin fecha límite"&amp;" · ","")&amp;IF(OR(AND(D248&lt;&gt;"",NOT(ISNUMBER(D248))),AND(E248&lt;&gt;"",NOT(ISNUMBER(E248)))),"Fecha no válida"&amp;" · ","")&amp;IF(AND(ISNUMBER(D248),ISNUMBER(E248),D248&gt;E248),"Inicio posterior a fecha límite"&amp;" · ","")&amp;IF(F248="","Peso vacío"&amp;" · ","")&amp;IF(AND(F248&lt;&gt;"",OR(NOT(ISNUMBER(F248)),F248&lt;=0,F248&gt;1)),"Peso fuera de rango"&amp;" · ","")&amp;IF(ABS(SUMIFS($F$5:$F$1000,$O$5:$O$1000,$O248)-1)&gt;0.0001,"Pesos del mes suman "&amp;TEXT(SUMIFS($F$5:$F$1000,$O$5:$O$1000,$O248),"0%")&amp;" · ","")&amp;IF((COUNTIF(G248:J248,"&gt;1")+COUNTIF(G248:J248,"&lt;0")+COUNTA(G248:J248)-COUNT(G248:J248))&gt;0,"Avance fuera de rango 0-100%"&amp;" · ","")&amp;IF(OR(AND(H248&lt;&gt;"",H248&lt;G248),AND(I248&lt;&gt;"",I248&lt;MAX(G248:H248)),AND(J248&lt;&gt;"",J248&lt;MAX(G248:I248))),"Avance semanal decreciente"&amp;" · ","")&amp;IF(AND(ISNUMBER(E248),E248&lt;FechaRef,N(K248)&lt;1),"Vencida"&amp;" · ","")&amp;IF(AND(ObsObligatoria="Sí",ISNUMBER(E248),E248&lt;FechaRef,N(K248)&lt;1,M248=""),"Vencida sin observación"&amp;" · ",""))-3)))</f>
        <v/>
      </c>
      <c r="O248" s="67">
        <f>IF(NOT((COUNTA($B248:$J248)+COUNTA($M248))&gt;0),"",IF(ISNUMBER($D248),DATE(YEAR($D248),MONTH($D248),1),IF(ISNUMBER($E248),DATE(YEAR($E248),MONTH($E248),1),MesCiclo)))</f>
        <v/>
      </c>
      <c r="P248" s="68">
        <f>IF(OR($O248="",$O248&lt;&gt;MesCiclo),"",COUNTIF($O$5:$O248,MesCiclo))</f>
        <v/>
      </c>
    </row>
    <row r="249">
      <c r="A249" s="60">
        <f>IF(NOT((COUNTA($B249:$J249)+COUNTA($M249))&gt;0),"",COUNTIFS($L$5:$L249,"?*",$O$5:$O249,$O249))</f>
        <v/>
      </c>
      <c r="B249" s="61" t="n"/>
      <c r="C249" s="61" t="n"/>
      <c r="D249" s="62" t="n"/>
      <c r="E249" s="62" t="n"/>
      <c r="F249" s="63" t="n"/>
      <c r="G249" s="64" t="n"/>
      <c r="H249" s="64" t="n"/>
      <c r="I249" s="64" t="n"/>
      <c r="J249" s="64" t="n"/>
      <c r="K249" s="65">
        <f>IF(NOT((COUNTA($B249:$J249)+COUNTA($M249))&gt;0),"",IFERROR(LOOKUP(2,1/(G249:J249&lt;&gt;""),G249:J249),0))</f>
        <v/>
      </c>
      <c r="L249" s="60">
        <f>IF(K249="","",IF(K249&gt;=1,"Completado",IF(K249&gt;0,"En curso","Pendiente")))</f>
        <v/>
      </c>
      <c r="M249" s="61" t="n"/>
      <c r="N249" s="66">
        <f>IF(NOT((COUNTA($B249:$J249)+COUNTA($M249))&gt;0),"",IF((IF(B249="","Macroactividad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 OK","⚠ "&amp;LEFT(IF(B249="","Macroactividad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",""),LEN(IF(B249="","Macroactividad vacía"&amp;" · ","")&amp;IF(C249="","Sin responsable"&amp;" · ","")&amp;IF(D249="","Sin fecha de inicio"&amp;" · ","")&amp;IF(E249="","Sin fecha límite"&amp;" · ","")&amp;IF(OR(AND(D249&lt;&gt;"",NOT(ISNUMBER(D249))),AND(E249&lt;&gt;"",NOT(ISNUMBER(E249)))),"Fecha no válida"&amp;" · ","")&amp;IF(AND(ISNUMBER(D249),ISNUMBER(E249),D249&gt;E249),"Inicio posterior a fecha límite"&amp;" · ","")&amp;IF(F249="","Peso vacío"&amp;" · ","")&amp;IF(AND(F249&lt;&gt;"",OR(NOT(ISNUMBER(F249)),F249&lt;=0,F249&gt;1)),"Peso fuera de rango"&amp;" · ","")&amp;IF(ABS(SUMIFS($F$5:$F$1000,$O$5:$O$1000,$O249)-1)&gt;0.0001,"Pesos del mes suman "&amp;TEXT(SUMIFS($F$5:$F$1000,$O$5:$O$1000,$O249),"0%")&amp;" · ","")&amp;IF((COUNTIF(G249:J249,"&gt;1")+COUNTIF(G249:J249,"&lt;0")+COUNTA(G249:J249)-COUNT(G249:J249))&gt;0,"Avance fuera de rango 0-100%"&amp;" · ","")&amp;IF(OR(AND(H249&lt;&gt;"",H249&lt;G249),AND(I249&lt;&gt;"",I249&lt;MAX(G249:H249)),AND(J249&lt;&gt;"",J249&lt;MAX(G249:I249))),"Avance semanal decreciente"&amp;" · ","")&amp;IF(AND(ISNUMBER(E249),E249&lt;FechaRef,N(K249)&lt;1),"Vencida"&amp;" · ","")&amp;IF(AND(ObsObligatoria="Sí",ISNUMBER(E249),E249&lt;FechaRef,N(K249)&lt;1,M249=""),"Vencida sin observación"&amp;" · ",""))-3)))</f>
        <v/>
      </c>
      <c r="O249" s="67">
        <f>IF(NOT((COUNTA($B249:$J249)+COUNTA($M249))&gt;0),"",IF(ISNUMBER($D249),DATE(YEAR($D249),MONTH($D249),1),IF(ISNUMBER($E249),DATE(YEAR($E249),MONTH($E249),1),MesCiclo)))</f>
        <v/>
      </c>
      <c r="P249" s="68">
        <f>IF(OR($O249="",$O249&lt;&gt;MesCiclo),"",COUNTIF($O$5:$O249,MesCiclo))</f>
        <v/>
      </c>
    </row>
    <row r="250">
      <c r="A250" s="60">
        <f>IF(NOT((COUNTA($B250:$J250)+COUNTA($M250))&gt;0),"",COUNTIFS($L$5:$L250,"?*",$O$5:$O250,$O250))</f>
        <v/>
      </c>
      <c r="B250" s="61" t="n"/>
      <c r="C250" s="61" t="n"/>
      <c r="D250" s="62" t="n"/>
      <c r="E250" s="62" t="n"/>
      <c r="F250" s="63" t="n"/>
      <c r="G250" s="64" t="n"/>
      <c r="H250" s="64" t="n"/>
      <c r="I250" s="64" t="n"/>
      <c r="J250" s="64" t="n"/>
      <c r="K250" s="65">
        <f>IF(NOT((COUNTA($B250:$J250)+COUNTA($M250))&gt;0),"",IFERROR(LOOKUP(2,1/(G250:J250&lt;&gt;""),G250:J250),0))</f>
        <v/>
      </c>
      <c r="L250" s="60">
        <f>IF(K250="","",IF(K250&gt;=1,"Completado",IF(K250&gt;0,"En curso","Pendiente")))</f>
        <v/>
      </c>
      <c r="M250" s="61" t="n"/>
      <c r="N250" s="66">
        <f>IF(NOT((COUNTA($B250:$J250)+COUNTA($M250))&gt;0),"",IF((IF(B250="","Macroactividad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 OK","⚠ "&amp;LEFT(IF(B250="","Macroactividad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",""),LEN(IF(B250="","Macroactividad vacía"&amp;" · ","")&amp;IF(C250="","Sin responsable"&amp;" · ","")&amp;IF(D250="","Sin fecha de inicio"&amp;" · ","")&amp;IF(E250="","Sin fecha límite"&amp;" · ","")&amp;IF(OR(AND(D250&lt;&gt;"",NOT(ISNUMBER(D250))),AND(E250&lt;&gt;"",NOT(ISNUMBER(E250)))),"Fecha no válida"&amp;" · ","")&amp;IF(AND(ISNUMBER(D250),ISNUMBER(E250),D250&gt;E250),"Inicio posterior a fecha límite"&amp;" · ","")&amp;IF(F250="","Peso vacío"&amp;" · ","")&amp;IF(AND(F250&lt;&gt;"",OR(NOT(ISNUMBER(F250)),F250&lt;=0,F250&gt;1)),"Peso fuera de rango"&amp;" · ","")&amp;IF(ABS(SUMIFS($F$5:$F$1000,$O$5:$O$1000,$O250)-1)&gt;0.0001,"Pesos del mes suman "&amp;TEXT(SUMIFS($F$5:$F$1000,$O$5:$O$1000,$O250),"0%")&amp;" · ","")&amp;IF((COUNTIF(G250:J250,"&gt;1")+COUNTIF(G250:J250,"&lt;0")+COUNTA(G250:J250)-COUNT(G250:J250))&gt;0,"Avance fuera de rango 0-100%"&amp;" · ","")&amp;IF(OR(AND(H250&lt;&gt;"",H250&lt;G250),AND(I250&lt;&gt;"",I250&lt;MAX(G250:H250)),AND(J250&lt;&gt;"",J250&lt;MAX(G250:I250))),"Avance semanal decreciente"&amp;" · ","")&amp;IF(AND(ISNUMBER(E250),E250&lt;FechaRef,N(K250)&lt;1),"Vencida"&amp;" · ","")&amp;IF(AND(ObsObligatoria="Sí",ISNUMBER(E250),E250&lt;FechaRef,N(K250)&lt;1,M250=""),"Vencida sin observación"&amp;" · ",""))-3)))</f>
        <v/>
      </c>
      <c r="O250" s="67">
        <f>IF(NOT((COUNTA($B250:$J250)+COUNTA($M250))&gt;0),"",IF(ISNUMBER($D250),DATE(YEAR($D250),MONTH($D250),1),IF(ISNUMBER($E250),DATE(YEAR($E250),MONTH($E250),1),MesCiclo)))</f>
        <v/>
      </c>
      <c r="P250" s="68">
        <f>IF(OR($O250="",$O250&lt;&gt;MesCiclo),"",COUNTIF($O$5:$O250,MesCiclo))</f>
        <v/>
      </c>
    </row>
    <row r="251">
      <c r="A251" s="60">
        <f>IF(NOT((COUNTA($B251:$J251)+COUNTA($M251))&gt;0),"",COUNTIFS($L$5:$L251,"?*",$O$5:$O251,$O251))</f>
        <v/>
      </c>
      <c r="B251" s="61" t="n"/>
      <c r="C251" s="61" t="n"/>
      <c r="D251" s="62" t="n"/>
      <c r="E251" s="62" t="n"/>
      <c r="F251" s="63" t="n"/>
      <c r="G251" s="64" t="n"/>
      <c r="H251" s="64" t="n"/>
      <c r="I251" s="64" t="n"/>
      <c r="J251" s="64" t="n"/>
      <c r="K251" s="65">
        <f>IF(NOT((COUNTA($B251:$J251)+COUNTA($M251))&gt;0),"",IFERROR(LOOKUP(2,1/(G251:J251&lt;&gt;""),G251:J251),0))</f>
        <v/>
      </c>
      <c r="L251" s="60">
        <f>IF(K251="","",IF(K251&gt;=1,"Completado",IF(K251&gt;0,"En curso","Pendiente")))</f>
        <v/>
      </c>
      <c r="M251" s="61" t="n"/>
      <c r="N251" s="66">
        <f>IF(NOT((COUNTA($B251:$J251)+COUNTA($M251))&gt;0),"",IF((IF(B251="","Macroactividad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 OK","⚠ "&amp;LEFT(IF(B251="","Macroactividad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",""),LEN(IF(B251="","Macroactividad vacía"&amp;" · ","")&amp;IF(C251="","Sin responsable"&amp;" · ","")&amp;IF(D251="","Sin fecha de inicio"&amp;" · ","")&amp;IF(E251="","Sin fecha límite"&amp;" · ","")&amp;IF(OR(AND(D251&lt;&gt;"",NOT(ISNUMBER(D251))),AND(E251&lt;&gt;"",NOT(ISNUMBER(E251)))),"Fecha no válida"&amp;" · ","")&amp;IF(AND(ISNUMBER(D251),ISNUMBER(E251),D251&gt;E251),"Inicio posterior a fecha límite"&amp;" · ","")&amp;IF(F251="","Peso vacío"&amp;" · ","")&amp;IF(AND(F251&lt;&gt;"",OR(NOT(ISNUMBER(F251)),F251&lt;=0,F251&gt;1)),"Peso fuera de rango"&amp;" · ","")&amp;IF(ABS(SUMIFS($F$5:$F$1000,$O$5:$O$1000,$O251)-1)&gt;0.0001,"Pesos del mes suman "&amp;TEXT(SUMIFS($F$5:$F$1000,$O$5:$O$1000,$O251),"0%")&amp;" · ","")&amp;IF((COUNTIF(G251:J251,"&gt;1")+COUNTIF(G251:J251,"&lt;0")+COUNTA(G251:J251)-COUNT(G251:J251))&gt;0,"Avance fuera de rango 0-100%"&amp;" · ","")&amp;IF(OR(AND(H251&lt;&gt;"",H251&lt;G251),AND(I251&lt;&gt;"",I251&lt;MAX(G251:H251)),AND(J251&lt;&gt;"",J251&lt;MAX(G251:I251))),"Avance semanal decreciente"&amp;" · ","")&amp;IF(AND(ISNUMBER(E251),E251&lt;FechaRef,N(K251)&lt;1),"Vencida"&amp;" · ","")&amp;IF(AND(ObsObligatoria="Sí",ISNUMBER(E251),E251&lt;FechaRef,N(K251)&lt;1,M251=""),"Vencida sin observación"&amp;" · ",""))-3)))</f>
        <v/>
      </c>
      <c r="O251" s="67">
        <f>IF(NOT((COUNTA($B251:$J251)+COUNTA($M251))&gt;0),"",IF(ISNUMBER($D251),DATE(YEAR($D251),MONTH($D251),1),IF(ISNUMBER($E251),DATE(YEAR($E251),MONTH($E251),1),MesCiclo)))</f>
        <v/>
      </c>
      <c r="P251" s="68">
        <f>IF(OR($O251="",$O251&lt;&gt;MesCiclo),"",COUNTIF($O$5:$O251,MesCiclo))</f>
        <v/>
      </c>
    </row>
    <row r="252">
      <c r="A252" s="60">
        <f>IF(NOT((COUNTA($B252:$J252)+COUNTA($M252))&gt;0),"",COUNTIFS($L$5:$L252,"?*",$O$5:$O252,$O252))</f>
        <v/>
      </c>
      <c r="B252" s="61" t="n"/>
      <c r="C252" s="61" t="n"/>
      <c r="D252" s="62" t="n"/>
      <c r="E252" s="62" t="n"/>
      <c r="F252" s="63" t="n"/>
      <c r="G252" s="64" t="n"/>
      <c r="H252" s="64" t="n"/>
      <c r="I252" s="64" t="n"/>
      <c r="J252" s="64" t="n"/>
      <c r="K252" s="65">
        <f>IF(NOT((COUNTA($B252:$J252)+COUNTA($M252))&gt;0),"",IFERROR(LOOKUP(2,1/(G252:J252&lt;&gt;""),G252:J252),0))</f>
        <v/>
      </c>
      <c r="L252" s="60">
        <f>IF(K252="","",IF(K252&gt;=1,"Completado",IF(K252&gt;0,"En curso","Pendiente")))</f>
        <v/>
      </c>
      <c r="M252" s="61" t="n"/>
      <c r="N252" s="66">
        <f>IF(NOT((COUNTA($B252:$J252)+COUNTA($M252))&gt;0),"",IF((IF(B252="","Macroactividad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 OK","⚠ "&amp;LEFT(IF(B252="","Macroactividad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",""),LEN(IF(B252="","Macroactividad vacía"&amp;" · ","")&amp;IF(C252="","Sin responsable"&amp;" · ","")&amp;IF(D252="","Sin fecha de inicio"&amp;" · ","")&amp;IF(E252="","Sin fecha límite"&amp;" · ","")&amp;IF(OR(AND(D252&lt;&gt;"",NOT(ISNUMBER(D252))),AND(E252&lt;&gt;"",NOT(ISNUMBER(E252)))),"Fecha no válida"&amp;" · ","")&amp;IF(AND(ISNUMBER(D252),ISNUMBER(E252),D252&gt;E252),"Inicio posterior a fecha límite"&amp;" · ","")&amp;IF(F252="","Peso vacío"&amp;" · ","")&amp;IF(AND(F252&lt;&gt;"",OR(NOT(ISNUMBER(F252)),F252&lt;=0,F252&gt;1)),"Peso fuera de rango"&amp;" · ","")&amp;IF(ABS(SUMIFS($F$5:$F$1000,$O$5:$O$1000,$O252)-1)&gt;0.0001,"Pesos del mes suman "&amp;TEXT(SUMIFS($F$5:$F$1000,$O$5:$O$1000,$O252),"0%")&amp;" · ","")&amp;IF((COUNTIF(G252:J252,"&gt;1")+COUNTIF(G252:J252,"&lt;0")+COUNTA(G252:J252)-COUNT(G252:J252))&gt;0,"Avance fuera de rango 0-100%"&amp;" · ","")&amp;IF(OR(AND(H252&lt;&gt;"",H252&lt;G252),AND(I252&lt;&gt;"",I252&lt;MAX(G252:H252)),AND(J252&lt;&gt;"",J252&lt;MAX(G252:I252))),"Avance semanal decreciente"&amp;" · ","")&amp;IF(AND(ISNUMBER(E252),E252&lt;FechaRef,N(K252)&lt;1),"Vencida"&amp;" · ","")&amp;IF(AND(ObsObligatoria="Sí",ISNUMBER(E252),E252&lt;FechaRef,N(K252)&lt;1,M252=""),"Vencida sin observación"&amp;" · ",""))-3)))</f>
        <v/>
      </c>
      <c r="O252" s="67">
        <f>IF(NOT((COUNTA($B252:$J252)+COUNTA($M252))&gt;0),"",IF(ISNUMBER($D252),DATE(YEAR($D252),MONTH($D252),1),IF(ISNUMBER($E252),DATE(YEAR($E252),MONTH($E252),1),MesCiclo)))</f>
        <v/>
      </c>
      <c r="P252" s="68">
        <f>IF(OR($O252="",$O252&lt;&gt;MesCiclo),"",COUNTIF($O$5:$O252,MesCiclo))</f>
        <v/>
      </c>
    </row>
    <row r="253">
      <c r="A253" s="60">
        <f>IF(NOT((COUNTA($B253:$J253)+COUNTA($M253))&gt;0),"",COUNTIFS($L$5:$L253,"?*",$O$5:$O253,$O253))</f>
        <v/>
      </c>
      <c r="B253" s="61" t="n"/>
      <c r="C253" s="61" t="n"/>
      <c r="D253" s="62" t="n"/>
      <c r="E253" s="62" t="n"/>
      <c r="F253" s="63" t="n"/>
      <c r="G253" s="64" t="n"/>
      <c r="H253" s="64" t="n"/>
      <c r="I253" s="64" t="n"/>
      <c r="J253" s="64" t="n"/>
      <c r="K253" s="65">
        <f>IF(NOT((COUNTA($B253:$J253)+COUNTA($M253))&gt;0),"",IFERROR(LOOKUP(2,1/(G253:J253&lt;&gt;""),G253:J253),0))</f>
        <v/>
      </c>
      <c r="L253" s="60">
        <f>IF(K253="","",IF(K253&gt;=1,"Completado",IF(K253&gt;0,"En curso","Pendiente")))</f>
        <v/>
      </c>
      <c r="M253" s="61" t="n"/>
      <c r="N253" s="66">
        <f>IF(NOT((COUNTA($B253:$J253)+COUNTA($M253))&gt;0),"",IF((IF(B253="","Macroactividad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 OK","⚠ "&amp;LEFT(IF(B253="","Macroactividad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",""),LEN(IF(B253="","Macroactividad vacía"&amp;" · ","")&amp;IF(C253="","Sin responsable"&amp;" · ","")&amp;IF(D253="","Sin fecha de inicio"&amp;" · ","")&amp;IF(E253="","Sin fecha límite"&amp;" · ","")&amp;IF(OR(AND(D253&lt;&gt;"",NOT(ISNUMBER(D253))),AND(E253&lt;&gt;"",NOT(ISNUMBER(E253)))),"Fecha no válida"&amp;" · ","")&amp;IF(AND(ISNUMBER(D253),ISNUMBER(E253),D253&gt;E253),"Inicio posterior a fecha límite"&amp;" · ","")&amp;IF(F253="","Peso vacío"&amp;" · ","")&amp;IF(AND(F253&lt;&gt;"",OR(NOT(ISNUMBER(F253)),F253&lt;=0,F253&gt;1)),"Peso fuera de rango"&amp;" · ","")&amp;IF(ABS(SUMIFS($F$5:$F$1000,$O$5:$O$1000,$O253)-1)&gt;0.0001,"Pesos del mes suman "&amp;TEXT(SUMIFS($F$5:$F$1000,$O$5:$O$1000,$O253),"0%")&amp;" · ","")&amp;IF((COUNTIF(G253:J253,"&gt;1")+COUNTIF(G253:J253,"&lt;0")+COUNTA(G253:J253)-COUNT(G253:J253))&gt;0,"Avance fuera de rango 0-100%"&amp;" · ","")&amp;IF(OR(AND(H253&lt;&gt;"",H253&lt;G253),AND(I253&lt;&gt;"",I253&lt;MAX(G253:H253)),AND(J253&lt;&gt;"",J253&lt;MAX(G253:I253))),"Avance semanal decreciente"&amp;" · ","")&amp;IF(AND(ISNUMBER(E253),E253&lt;FechaRef,N(K253)&lt;1),"Vencida"&amp;" · ","")&amp;IF(AND(ObsObligatoria="Sí",ISNUMBER(E253),E253&lt;FechaRef,N(K253)&lt;1,M253=""),"Vencida sin observación"&amp;" · ",""))-3)))</f>
        <v/>
      </c>
      <c r="O253" s="67">
        <f>IF(NOT((COUNTA($B253:$J253)+COUNTA($M253))&gt;0),"",IF(ISNUMBER($D253),DATE(YEAR($D253),MONTH($D253),1),IF(ISNUMBER($E253),DATE(YEAR($E253),MONTH($E253),1),MesCiclo)))</f>
        <v/>
      </c>
      <c r="P253" s="68">
        <f>IF(OR($O253="",$O253&lt;&gt;MesCiclo),"",COUNTIF($O$5:$O253,MesCiclo))</f>
        <v/>
      </c>
    </row>
    <row r="254">
      <c r="A254" s="60">
        <f>IF(NOT((COUNTA($B254:$J254)+COUNTA($M254))&gt;0),"",COUNTIFS($L$5:$L254,"?*",$O$5:$O254,$O254))</f>
        <v/>
      </c>
      <c r="B254" s="61" t="n"/>
      <c r="C254" s="61" t="n"/>
      <c r="D254" s="62" t="n"/>
      <c r="E254" s="62" t="n"/>
      <c r="F254" s="63" t="n"/>
      <c r="G254" s="64" t="n"/>
      <c r="H254" s="64" t="n"/>
      <c r="I254" s="64" t="n"/>
      <c r="J254" s="64" t="n"/>
      <c r="K254" s="65">
        <f>IF(NOT((COUNTA($B254:$J254)+COUNTA($M254))&gt;0),"",IFERROR(LOOKUP(2,1/(G254:J254&lt;&gt;""),G254:J254),0))</f>
        <v/>
      </c>
      <c r="L254" s="60">
        <f>IF(K254="","",IF(K254&gt;=1,"Completado",IF(K254&gt;0,"En curso","Pendiente")))</f>
        <v/>
      </c>
      <c r="M254" s="61" t="n"/>
      <c r="N254" s="66">
        <f>IF(NOT((COUNTA($B254:$J254)+COUNTA($M254))&gt;0),"",IF((IF(B254="","Macroactividad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 OK","⚠ "&amp;LEFT(IF(B254="","Macroactividad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",""),LEN(IF(B254="","Macroactividad vacía"&amp;" · ","")&amp;IF(C254="","Sin responsable"&amp;" · ","")&amp;IF(D254="","Sin fecha de inicio"&amp;" · ","")&amp;IF(E254="","Sin fecha límite"&amp;" · ","")&amp;IF(OR(AND(D254&lt;&gt;"",NOT(ISNUMBER(D254))),AND(E254&lt;&gt;"",NOT(ISNUMBER(E254)))),"Fecha no válida"&amp;" · ","")&amp;IF(AND(ISNUMBER(D254),ISNUMBER(E254),D254&gt;E254),"Inicio posterior a fecha límite"&amp;" · ","")&amp;IF(F254="","Peso vacío"&amp;" · ","")&amp;IF(AND(F254&lt;&gt;"",OR(NOT(ISNUMBER(F254)),F254&lt;=0,F254&gt;1)),"Peso fuera de rango"&amp;" · ","")&amp;IF(ABS(SUMIFS($F$5:$F$1000,$O$5:$O$1000,$O254)-1)&gt;0.0001,"Pesos del mes suman "&amp;TEXT(SUMIFS($F$5:$F$1000,$O$5:$O$1000,$O254),"0%")&amp;" · ","")&amp;IF((COUNTIF(G254:J254,"&gt;1")+COUNTIF(G254:J254,"&lt;0")+COUNTA(G254:J254)-COUNT(G254:J254))&gt;0,"Avance fuera de rango 0-100%"&amp;" · ","")&amp;IF(OR(AND(H254&lt;&gt;"",H254&lt;G254),AND(I254&lt;&gt;"",I254&lt;MAX(G254:H254)),AND(J254&lt;&gt;"",J254&lt;MAX(G254:I254))),"Avance semanal decreciente"&amp;" · ","")&amp;IF(AND(ISNUMBER(E254),E254&lt;FechaRef,N(K254)&lt;1),"Vencida"&amp;" · ","")&amp;IF(AND(ObsObligatoria="Sí",ISNUMBER(E254),E254&lt;FechaRef,N(K254)&lt;1,M254=""),"Vencida sin observación"&amp;" · ",""))-3)))</f>
        <v/>
      </c>
      <c r="O254" s="67">
        <f>IF(NOT((COUNTA($B254:$J254)+COUNTA($M254))&gt;0),"",IF(ISNUMBER($D254),DATE(YEAR($D254),MONTH($D254),1),IF(ISNUMBER($E254),DATE(YEAR($E254),MONTH($E254),1),MesCiclo)))</f>
        <v/>
      </c>
      <c r="P254" s="68">
        <f>IF(OR($O254="",$O254&lt;&gt;MesCiclo),"",COUNTIF($O$5:$O254,MesCiclo))</f>
        <v/>
      </c>
    </row>
    <row r="255">
      <c r="A255" s="60">
        <f>IF(NOT((COUNTA($B255:$J255)+COUNTA($M255))&gt;0),"",COUNTIFS($L$5:$L255,"?*",$O$5:$O255,$O255))</f>
        <v/>
      </c>
      <c r="B255" s="61" t="n"/>
      <c r="C255" s="61" t="n"/>
      <c r="D255" s="62" t="n"/>
      <c r="E255" s="62" t="n"/>
      <c r="F255" s="63" t="n"/>
      <c r="G255" s="64" t="n"/>
      <c r="H255" s="64" t="n"/>
      <c r="I255" s="64" t="n"/>
      <c r="J255" s="64" t="n"/>
      <c r="K255" s="65">
        <f>IF(NOT((COUNTA($B255:$J255)+COUNTA($M255))&gt;0),"",IFERROR(LOOKUP(2,1/(G255:J255&lt;&gt;""),G255:J255),0))</f>
        <v/>
      </c>
      <c r="L255" s="60">
        <f>IF(K255="","",IF(K255&gt;=1,"Completado",IF(K255&gt;0,"En curso","Pendiente")))</f>
        <v/>
      </c>
      <c r="M255" s="61" t="n"/>
      <c r="N255" s="66">
        <f>IF(NOT((COUNTA($B255:$J255)+COUNTA($M255))&gt;0),"",IF((IF(B255="","Macroactividad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 OK","⚠ "&amp;LEFT(IF(B255="","Macroactividad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",""),LEN(IF(B255="","Macroactividad vacía"&amp;" · ","")&amp;IF(C255="","Sin responsable"&amp;" · ","")&amp;IF(D255="","Sin fecha de inicio"&amp;" · ","")&amp;IF(E255="","Sin fecha límite"&amp;" · ","")&amp;IF(OR(AND(D255&lt;&gt;"",NOT(ISNUMBER(D255))),AND(E255&lt;&gt;"",NOT(ISNUMBER(E255)))),"Fecha no válida"&amp;" · ","")&amp;IF(AND(ISNUMBER(D255),ISNUMBER(E255),D255&gt;E255),"Inicio posterior a fecha límite"&amp;" · ","")&amp;IF(F255="","Peso vacío"&amp;" · ","")&amp;IF(AND(F255&lt;&gt;"",OR(NOT(ISNUMBER(F255)),F255&lt;=0,F255&gt;1)),"Peso fuera de rango"&amp;" · ","")&amp;IF(ABS(SUMIFS($F$5:$F$1000,$O$5:$O$1000,$O255)-1)&gt;0.0001,"Pesos del mes suman "&amp;TEXT(SUMIFS($F$5:$F$1000,$O$5:$O$1000,$O255),"0%")&amp;" · ","")&amp;IF((COUNTIF(G255:J255,"&gt;1")+COUNTIF(G255:J255,"&lt;0")+COUNTA(G255:J255)-COUNT(G255:J255))&gt;0,"Avance fuera de rango 0-100%"&amp;" · ","")&amp;IF(OR(AND(H255&lt;&gt;"",H255&lt;G255),AND(I255&lt;&gt;"",I255&lt;MAX(G255:H255)),AND(J255&lt;&gt;"",J255&lt;MAX(G255:I255))),"Avance semanal decreciente"&amp;" · ","")&amp;IF(AND(ISNUMBER(E255),E255&lt;FechaRef,N(K255)&lt;1),"Vencida"&amp;" · ","")&amp;IF(AND(ObsObligatoria="Sí",ISNUMBER(E255),E255&lt;FechaRef,N(K255)&lt;1,M255=""),"Vencida sin observación"&amp;" · ",""))-3)))</f>
        <v/>
      </c>
      <c r="O255" s="67">
        <f>IF(NOT((COUNTA($B255:$J255)+COUNTA($M255))&gt;0),"",IF(ISNUMBER($D255),DATE(YEAR($D255),MONTH($D255),1),IF(ISNUMBER($E255),DATE(YEAR($E255),MONTH($E255),1),MesCiclo)))</f>
        <v/>
      </c>
      <c r="P255" s="68">
        <f>IF(OR($O255="",$O255&lt;&gt;MesCiclo),"",COUNTIF($O$5:$O255,MesCiclo))</f>
        <v/>
      </c>
    </row>
    <row r="256">
      <c r="A256" s="60">
        <f>IF(NOT((COUNTA($B256:$J256)+COUNTA($M256))&gt;0),"",COUNTIFS($L$5:$L256,"?*",$O$5:$O256,$O256))</f>
        <v/>
      </c>
      <c r="B256" s="61" t="n"/>
      <c r="C256" s="61" t="n"/>
      <c r="D256" s="62" t="n"/>
      <c r="E256" s="62" t="n"/>
      <c r="F256" s="63" t="n"/>
      <c r="G256" s="64" t="n"/>
      <c r="H256" s="64" t="n"/>
      <c r="I256" s="64" t="n"/>
      <c r="J256" s="64" t="n"/>
      <c r="K256" s="65">
        <f>IF(NOT((COUNTA($B256:$J256)+COUNTA($M256))&gt;0),"",IFERROR(LOOKUP(2,1/(G256:J256&lt;&gt;""),G256:J256),0))</f>
        <v/>
      </c>
      <c r="L256" s="60">
        <f>IF(K256="","",IF(K256&gt;=1,"Completado",IF(K256&gt;0,"En curso","Pendiente")))</f>
        <v/>
      </c>
      <c r="M256" s="61" t="n"/>
      <c r="N256" s="66">
        <f>IF(NOT((COUNTA($B256:$J256)+COUNTA($M256))&gt;0),"",IF((IF(B256="","Macroactividad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 OK","⚠ "&amp;LEFT(IF(B256="","Macroactividad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",""),LEN(IF(B256="","Macroactividad vacía"&amp;" · ","")&amp;IF(C256="","Sin responsable"&amp;" · ","")&amp;IF(D256="","Sin fecha de inicio"&amp;" · ","")&amp;IF(E256="","Sin fecha límite"&amp;" · ","")&amp;IF(OR(AND(D256&lt;&gt;"",NOT(ISNUMBER(D256))),AND(E256&lt;&gt;"",NOT(ISNUMBER(E256)))),"Fecha no válida"&amp;" · ","")&amp;IF(AND(ISNUMBER(D256),ISNUMBER(E256),D256&gt;E256),"Inicio posterior a fecha límite"&amp;" · ","")&amp;IF(F256="","Peso vacío"&amp;" · ","")&amp;IF(AND(F256&lt;&gt;"",OR(NOT(ISNUMBER(F256)),F256&lt;=0,F256&gt;1)),"Peso fuera de rango"&amp;" · ","")&amp;IF(ABS(SUMIFS($F$5:$F$1000,$O$5:$O$1000,$O256)-1)&gt;0.0001,"Pesos del mes suman "&amp;TEXT(SUMIFS($F$5:$F$1000,$O$5:$O$1000,$O256),"0%")&amp;" · ","")&amp;IF((COUNTIF(G256:J256,"&gt;1")+COUNTIF(G256:J256,"&lt;0")+COUNTA(G256:J256)-COUNT(G256:J256))&gt;0,"Avance fuera de rango 0-100%"&amp;" · ","")&amp;IF(OR(AND(H256&lt;&gt;"",H256&lt;G256),AND(I256&lt;&gt;"",I256&lt;MAX(G256:H256)),AND(J256&lt;&gt;"",J256&lt;MAX(G256:I256))),"Avance semanal decreciente"&amp;" · ","")&amp;IF(AND(ISNUMBER(E256),E256&lt;FechaRef,N(K256)&lt;1),"Vencida"&amp;" · ","")&amp;IF(AND(ObsObligatoria="Sí",ISNUMBER(E256),E256&lt;FechaRef,N(K256)&lt;1,M256=""),"Vencida sin observación"&amp;" · ",""))-3)))</f>
        <v/>
      </c>
      <c r="O256" s="67">
        <f>IF(NOT((COUNTA($B256:$J256)+COUNTA($M256))&gt;0),"",IF(ISNUMBER($D256),DATE(YEAR($D256),MONTH($D256),1),IF(ISNUMBER($E256),DATE(YEAR($E256),MONTH($E256),1),MesCiclo)))</f>
        <v/>
      </c>
      <c r="P256" s="68">
        <f>IF(OR($O256="",$O256&lt;&gt;MesCiclo),"",COUNTIF($O$5:$O256,MesCiclo))</f>
        <v/>
      </c>
    </row>
    <row r="257">
      <c r="A257" s="60">
        <f>IF(NOT((COUNTA($B257:$J257)+COUNTA($M257))&gt;0),"",COUNTIFS($L$5:$L257,"?*",$O$5:$O257,$O257))</f>
        <v/>
      </c>
      <c r="B257" s="61" t="n"/>
      <c r="C257" s="61" t="n"/>
      <c r="D257" s="62" t="n"/>
      <c r="E257" s="62" t="n"/>
      <c r="F257" s="63" t="n"/>
      <c r="G257" s="64" t="n"/>
      <c r="H257" s="64" t="n"/>
      <c r="I257" s="64" t="n"/>
      <c r="J257" s="64" t="n"/>
      <c r="K257" s="65">
        <f>IF(NOT((COUNTA($B257:$J257)+COUNTA($M257))&gt;0),"",IFERROR(LOOKUP(2,1/(G257:J257&lt;&gt;""),G257:J257),0))</f>
        <v/>
      </c>
      <c r="L257" s="60">
        <f>IF(K257="","",IF(K257&gt;=1,"Completado",IF(K257&gt;0,"En curso","Pendiente")))</f>
        <v/>
      </c>
      <c r="M257" s="61" t="n"/>
      <c r="N257" s="66">
        <f>IF(NOT((COUNTA($B257:$J257)+COUNTA($M257))&gt;0),"",IF((IF(B257="","Macroactividad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 OK","⚠ "&amp;LEFT(IF(B257="","Macroactividad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",""),LEN(IF(B257="","Macroactividad vacía"&amp;" · ","")&amp;IF(C257="","Sin responsable"&amp;" · ","")&amp;IF(D257="","Sin fecha de inicio"&amp;" · ","")&amp;IF(E257="","Sin fecha límite"&amp;" · ","")&amp;IF(OR(AND(D257&lt;&gt;"",NOT(ISNUMBER(D257))),AND(E257&lt;&gt;"",NOT(ISNUMBER(E257)))),"Fecha no válida"&amp;" · ","")&amp;IF(AND(ISNUMBER(D257),ISNUMBER(E257),D257&gt;E257),"Inicio posterior a fecha límite"&amp;" · ","")&amp;IF(F257="","Peso vacío"&amp;" · ","")&amp;IF(AND(F257&lt;&gt;"",OR(NOT(ISNUMBER(F257)),F257&lt;=0,F257&gt;1)),"Peso fuera de rango"&amp;" · ","")&amp;IF(ABS(SUMIFS($F$5:$F$1000,$O$5:$O$1000,$O257)-1)&gt;0.0001,"Pesos del mes suman "&amp;TEXT(SUMIFS($F$5:$F$1000,$O$5:$O$1000,$O257),"0%")&amp;" · ","")&amp;IF((COUNTIF(G257:J257,"&gt;1")+COUNTIF(G257:J257,"&lt;0")+COUNTA(G257:J257)-COUNT(G257:J257))&gt;0,"Avance fuera de rango 0-100%"&amp;" · ","")&amp;IF(OR(AND(H257&lt;&gt;"",H257&lt;G257),AND(I257&lt;&gt;"",I257&lt;MAX(G257:H257)),AND(J257&lt;&gt;"",J257&lt;MAX(G257:I257))),"Avance semanal decreciente"&amp;" · ","")&amp;IF(AND(ISNUMBER(E257),E257&lt;FechaRef,N(K257)&lt;1),"Vencida"&amp;" · ","")&amp;IF(AND(ObsObligatoria="Sí",ISNUMBER(E257),E257&lt;FechaRef,N(K257)&lt;1,M257=""),"Vencida sin observación"&amp;" · ",""))-3)))</f>
        <v/>
      </c>
      <c r="O257" s="67">
        <f>IF(NOT((COUNTA($B257:$J257)+COUNTA($M257))&gt;0),"",IF(ISNUMBER($D257),DATE(YEAR($D257),MONTH($D257),1),IF(ISNUMBER($E257),DATE(YEAR($E257),MONTH($E257),1),MesCiclo)))</f>
        <v/>
      </c>
      <c r="P257" s="68">
        <f>IF(OR($O257="",$O257&lt;&gt;MesCiclo),"",COUNTIF($O$5:$O257,MesCiclo))</f>
        <v/>
      </c>
    </row>
    <row r="258">
      <c r="A258" s="60">
        <f>IF(NOT((COUNTA($B258:$J258)+COUNTA($M258))&gt;0),"",COUNTIFS($L$5:$L258,"?*",$O$5:$O258,$O258))</f>
        <v/>
      </c>
      <c r="B258" s="61" t="n"/>
      <c r="C258" s="61" t="n"/>
      <c r="D258" s="62" t="n"/>
      <c r="E258" s="62" t="n"/>
      <c r="F258" s="63" t="n"/>
      <c r="G258" s="64" t="n"/>
      <c r="H258" s="64" t="n"/>
      <c r="I258" s="64" t="n"/>
      <c r="J258" s="64" t="n"/>
      <c r="K258" s="65">
        <f>IF(NOT((COUNTA($B258:$J258)+COUNTA($M258))&gt;0),"",IFERROR(LOOKUP(2,1/(G258:J258&lt;&gt;""),G258:J258),0))</f>
        <v/>
      </c>
      <c r="L258" s="60">
        <f>IF(K258="","",IF(K258&gt;=1,"Completado",IF(K258&gt;0,"En curso","Pendiente")))</f>
        <v/>
      </c>
      <c r="M258" s="61" t="n"/>
      <c r="N258" s="66">
        <f>IF(NOT((COUNTA($B258:$J258)+COUNTA($M258))&gt;0),"",IF((IF(B258="","Macroactividad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 OK","⚠ "&amp;LEFT(IF(B258="","Macroactividad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",""),LEN(IF(B258="","Macroactividad vacía"&amp;" · ","")&amp;IF(C258="","Sin responsable"&amp;" · ","")&amp;IF(D258="","Sin fecha de inicio"&amp;" · ","")&amp;IF(E258="","Sin fecha límite"&amp;" · ","")&amp;IF(OR(AND(D258&lt;&gt;"",NOT(ISNUMBER(D258))),AND(E258&lt;&gt;"",NOT(ISNUMBER(E258)))),"Fecha no válida"&amp;" · ","")&amp;IF(AND(ISNUMBER(D258),ISNUMBER(E258),D258&gt;E258),"Inicio posterior a fecha límite"&amp;" · ","")&amp;IF(F258="","Peso vacío"&amp;" · ","")&amp;IF(AND(F258&lt;&gt;"",OR(NOT(ISNUMBER(F258)),F258&lt;=0,F258&gt;1)),"Peso fuera de rango"&amp;" · ","")&amp;IF(ABS(SUMIFS($F$5:$F$1000,$O$5:$O$1000,$O258)-1)&gt;0.0001,"Pesos del mes suman "&amp;TEXT(SUMIFS($F$5:$F$1000,$O$5:$O$1000,$O258),"0%")&amp;" · ","")&amp;IF((COUNTIF(G258:J258,"&gt;1")+COUNTIF(G258:J258,"&lt;0")+COUNTA(G258:J258)-COUNT(G258:J258))&gt;0,"Avance fuera de rango 0-100%"&amp;" · ","")&amp;IF(OR(AND(H258&lt;&gt;"",H258&lt;G258),AND(I258&lt;&gt;"",I258&lt;MAX(G258:H258)),AND(J258&lt;&gt;"",J258&lt;MAX(G258:I258))),"Avance semanal decreciente"&amp;" · ","")&amp;IF(AND(ISNUMBER(E258),E258&lt;FechaRef,N(K258)&lt;1),"Vencida"&amp;" · ","")&amp;IF(AND(ObsObligatoria="Sí",ISNUMBER(E258),E258&lt;FechaRef,N(K258)&lt;1,M258=""),"Vencida sin observación"&amp;" · ",""))-3)))</f>
        <v/>
      </c>
      <c r="O258" s="67">
        <f>IF(NOT((COUNTA($B258:$J258)+COUNTA($M258))&gt;0),"",IF(ISNUMBER($D258),DATE(YEAR($D258),MONTH($D258),1),IF(ISNUMBER($E258),DATE(YEAR($E258),MONTH($E258),1),MesCiclo)))</f>
        <v/>
      </c>
      <c r="P258" s="68">
        <f>IF(OR($O258="",$O258&lt;&gt;MesCiclo),"",COUNTIF($O$5:$O258,MesCiclo))</f>
        <v/>
      </c>
    </row>
    <row r="259">
      <c r="A259" s="60">
        <f>IF(NOT((COUNTA($B259:$J259)+COUNTA($M259))&gt;0),"",COUNTIFS($L$5:$L259,"?*",$O$5:$O259,$O259))</f>
        <v/>
      </c>
      <c r="B259" s="61" t="n"/>
      <c r="C259" s="61" t="n"/>
      <c r="D259" s="62" t="n"/>
      <c r="E259" s="62" t="n"/>
      <c r="F259" s="63" t="n"/>
      <c r="G259" s="64" t="n"/>
      <c r="H259" s="64" t="n"/>
      <c r="I259" s="64" t="n"/>
      <c r="J259" s="64" t="n"/>
      <c r="K259" s="65">
        <f>IF(NOT((COUNTA($B259:$J259)+COUNTA($M259))&gt;0),"",IFERROR(LOOKUP(2,1/(G259:J259&lt;&gt;""),G259:J259),0))</f>
        <v/>
      </c>
      <c r="L259" s="60">
        <f>IF(K259="","",IF(K259&gt;=1,"Completado",IF(K259&gt;0,"En curso","Pendiente")))</f>
        <v/>
      </c>
      <c r="M259" s="61" t="n"/>
      <c r="N259" s="66">
        <f>IF(NOT((COUNTA($B259:$J259)+COUNTA($M259))&gt;0),"",IF((IF(B259="","Macroactividad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 OK","⚠ "&amp;LEFT(IF(B259="","Macroactividad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",""),LEN(IF(B259="","Macroactividad vacía"&amp;" · ","")&amp;IF(C259="","Sin responsable"&amp;" · ","")&amp;IF(D259="","Sin fecha de inicio"&amp;" · ","")&amp;IF(E259="","Sin fecha límite"&amp;" · ","")&amp;IF(OR(AND(D259&lt;&gt;"",NOT(ISNUMBER(D259))),AND(E259&lt;&gt;"",NOT(ISNUMBER(E259)))),"Fecha no válida"&amp;" · ","")&amp;IF(AND(ISNUMBER(D259),ISNUMBER(E259),D259&gt;E259),"Inicio posterior a fecha límite"&amp;" · ","")&amp;IF(F259="","Peso vacío"&amp;" · ","")&amp;IF(AND(F259&lt;&gt;"",OR(NOT(ISNUMBER(F259)),F259&lt;=0,F259&gt;1)),"Peso fuera de rango"&amp;" · ","")&amp;IF(ABS(SUMIFS($F$5:$F$1000,$O$5:$O$1000,$O259)-1)&gt;0.0001,"Pesos del mes suman "&amp;TEXT(SUMIFS($F$5:$F$1000,$O$5:$O$1000,$O259),"0%")&amp;" · ","")&amp;IF((COUNTIF(G259:J259,"&gt;1")+COUNTIF(G259:J259,"&lt;0")+COUNTA(G259:J259)-COUNT(G259:J259))&gt;0,"Avance fuera de rango 0-100%"&amp;" · ","")&amp;IF(OR(AND(H259&lt;&gt;"",H259&lt;G259),AND(I259&lt;&gt;"",I259&lt;MAX(G259:H259)),AND(J259&lt;&gt;"",J259&lt;MAX(G259:I259))),"Avance semanal decreciente"&amp;" · ","")&amp;IF(AND(ISNUMBER(E259),E259&lt;FechaRef,N(K259)&lt;1),"Vencida"&amp;" · ","")&amp;IF(AND(ObsObligatoria="Sí",ISNUMBER(E259),E259&lt;FechaRef,N(K259)&lt;1,M259=""),"Vencida sin observación"&amp;" · ",""))-3)))</f>
        <v/>
      </c>
      <c r="O259" s="67">
        <f>IF(NOT((COUNTA($B259:$J259)+COUNTA($M259))&gt;0),"",IF(ISNUMBER($D259),DATE(YEAR($D259),MONTH($D259),1),IF(ISNUMBER($E259),DATE(YEAR($E259),MONTH($E259),1),MesCiclo)))</f>
        <v/>
      </c>
      <c r="P259" s="68">
        <f>IF(OR($O259="",$O259&lt;&gt;MesCiclo),"",COUNTIF($O$5:$O259,MesCiclo))</f>
        <v/>
      </c>
    </row>
    <row r="260">
      <c r="A260" s="60">
        <f>IF(NOT((COUNTA($B260:$J260)+COUNTA($M260))&gt;0),"",COUNTIFS($L$5:$L260,"?*",$O$5:$O260,$O260))</f>
        <v/>
      </c>
      <c r="B260" s="61" t="n"/>
      <c r="C260" s="61" t="n"/>
      <c r="D260" s="62" t="n"/>
      <c r="E260" s="62" t="n"/>
      <c r="F260" s="63" t="n"/>
      <c r="G260" s="64" t="n"/>
      <c r="H260" s="64" t="n"/>
      <c r="I260" s="64" t="n"/>
      <c r="J260" s="64" t="n"/>
      <c r="K260" s="65">
        <f>IF(NOT((COUNTA($B260:$J260)+COUNTA($M260))&gt;0),"",IFERROR(LOOKUP(2,1/(G260:J260&lt;&gt;""),G260:J260),0))</f>
        <v/>
      </c>
      <c r="L260" s="60">
        <f>IF(K260="","",IF(K260&gt;=1,"Completado",IF(K260&gt;0,"En curso","Pendiente")))</f>
        <v/>
      </c>
      <c r="M260" s="61" t="n"/>
      <c r="N260" s="66">
        <f>IF(NOT((COUNTA($B260:$J260)+COUNTA($M260))&gt;0),"",IF((IF(B260="","Macroactividad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 OK","⚠ "&amp;LEFT(IF(B260="","Macroactividad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",""),LEN(IF(B260="","Macroactividad vacía"&amp;" · ","")&amp;IF(C260="","Sin responsable"&amp;" · ","")&amp;IF(D260="","Sin fecha de inicio"&amp;" · ","")&amp;IF(E260="","Sin fecha límite"&amp;" · ","")&amp;IF(OR(AND(D260&lt;&gt;"",NOT(ISNUMBER(D260))),AND(E260&lt;&gt;"",NOT(ISNUMBER(E260)))),"Fecha no válida"&amp;" · ","")&amp;IF(AND(ISNUMBER(D260),ISNUMBER(E260),D260&gt;E260),"Inicio posterior a fecha límite"&amp;" · ","")&amp;IF(F260="","Peso vacío"&amp;" · ","")&amp;IF(AND(F260&lt;&gt;"",OR(NOT(ISNUMBER(F260)),F260&lt;=0,F260&gt;1)),"Peso fuera de rango"&amp;" · ","")&amp;IF(ABS(SUMIFS($F$5:$F$1000,$O$5:$O$1000,$O260)-1)&gt;0.0001,"Pesos del mes suman "&amp;TEXT(SUMIFS($F$5:$F$1000,$O$5:$O$1000,$O260),"0%")&amp;" · ","")&amp;IF((COUNTIF(G260:J260,"&gt;1")+COUNTIF(G260:J260,"&lt;0")+COUNTA(G260:J260)-COUNT(G260:J260))&gt;0,"Avance fuera de rango 0-100%"&amp;" · ","")&amp;IF(OR(AND(H260&lt;&gt;"",H260&lt;G260),AND(I260&lt;&gt;"",I260&lt;MAX(G260:H260)),AND(J260&lt;&gt;"",J260&lt;MAX(G260:I260))),"Avance semanal decreciente"&amp;" · ","")&amp;IF(AND(ISNUMBER(E260),E260&lt;FechaRef,N(K260)&lt;1),"Vencida"&amp;" · ","")&amp;IF(AND(ObsObligatoria="Sí",ISNUMBER(E260),E260&lt;FechaRef,N(K260)&lt;1,M260=""),"Vencida sin observación"&amp;" · ",""))-3)))</f>
        <v/>
      </c>
      <c r="O260" s="67">
        <f>IF(NOT((COUNTA($B260:$J260)+COUNTA($M260))&gt;0),"",IF(ISNUMBER($D260),DATE(YEAR($D260),MONTH($D260),1),IF(ISNUMBER($E260),DATE(YEAR($E260),MONTH($E260),1),MesCiclo)))</f>
        <v/>
      </c>
      <c r="P260" s="68">
        <f>IF(OR($O260="",$O260&lt;&gt;MesCiclo),"",COUNTIF($O$5:$O260,MesCiclo))</f>
        <v/>
      </c>
    </row>
    <row r="261">
      <c r="A261" s="60">
        <f>IF(NOT((COUNTA($B261:$J261)+COUNTA($M261))&gt;0),"",COUNTIFS($L$5:$L261,"?*",$O$5:$O261,$O261))</f>
        <v/>
      </c>
      <c r="B261" s="61" t="n"/>
      <c r="C261" s="61" t="n"/>
      <c r="D261" s="62" t="n"/>
      <c r="E261" s="62" t="n"/>
      <c r="F261" s="63" t="n"/>
      <c r="G261" s="64" t="n"/>
      <c r="H261" s="64" t="n"/>
      <c r="I261" s="64" t="n"/>
      <c r="J261" s="64" t="n"/>
      <c r="K261" s="65">
        <f>IF(NOT((COUNTA($B261:$J261)+COUNTA($M261))&gt;0),"",IFERROR(LOOKUP(2,1/(G261:J261&lt;&gt;""),G261:J261),0))</f>
        <v/>
      </c>
      <c r="L261" s="60">
        <f>IF(K261="","",IF(K261&gt;=1,"Completado",IF(K261&gt;0,"En curso","Pendiente")))</f>
        <v/>
      </c>
      <c r="M261" s="61" t="n"/>
      <c r="N261" s="66">
        <f>IF(NOT((COUNTA($B261:$J261)+COUNTA($M261))&gt;0),"",IF((IF(B261="","Macroactividad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 OK","⚠ "&amp;LEFT(IF(B261="","Macroactividad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",""),LEN(IF(B261="","Macroactividad vacía"&amp;" · ","")&amp;IF(C261="","Sin responsable"&amp;" · ","")&amp;IF(D261="","Sin fecha de inicio"&amp;" · ","")&amp;IF(E261="","Sin fecha límite"&amp;" · ","")&amp;IF(OR(AND(D261&lt;&gt;"",NOT(ISNUMBER(D261))),AND(E261&lt;&gt;"",NOT(ISNUMBER(E261)))),"Fecha no válida"&amp;" · ","")&amp;IF(AND(ISNUMBER(D261),ISNUMBER(E261),D261&gt;E261),"Inicio posterior a fecha límite"&amp;" · ","")&amp;IF(F261="","Peso vacío"&amp;" · ","")&amp;IF(AND(F261&lt;&gt;"",OR(NOT(ISNUMBER(F261)),F261&lt;=0,F261&gt;1)),"Peso fuera de rango"&amp;" · ","")&amp;IF(ABS(SUMIFS($F$5:$F$1000,$O$5:$O$1000,$O261)-1)&gt;0.0001,"Pesos del mes suman "&amp;TEXT(SUMIFS($F$5:$F$1000,$O$5:$O$1000,$O261),"0%")&amp;" · ","")&amp;IF((COUNTIF(G261:J261,"&gt;1")+COUNTIF(G261:J261,"&lt;0")+COUNTA(G261:J261)-COUNT(G261:J261))&gt;0,"Avance fuera de rango 0-100%"&amp;" · ","")&amp;IF(OR(AND(H261&lt;&gt;"",H261&lt;G261),AND(I261&lt;&gt;"",I261&lt;MAX(G261:H261)),AND(J261&lt;&gt;"",J261&lt;MAX(G261:I261))),"Avance semanal decreciente"&amp;" · ","")&amp;IF(AND(ISNUMBER(E261),E261&lt;FechaRef,N(K261)&lt;1),"Vencida"&amp;" · ","")&amp;IF(AND(ObsObligatoria="Sí",ISNUMBER(E261),E261&lt;FechaRef,N(K261)&lt;1,M261=""),"Vencida sin observación"&amp;" · ",""))-3)))</f>
        <v/>
      </c>
      <c r="O261" s="67">
        <f>IF(NOT((COUNTA($B261:$J261)+COUNTA($M261))&gt;0),"",IF(ISNUMBER($D261),DATE(YEAR($D261),MONTH($D261),1),IF(ISNUMBER($E261),DATE(YEAR($E261),MONTH($E261),1),MesCiclo)))</f>
        <v/>
      </c>
      <c r="P261" s="68">
        <f>IF(OR($O261="",$O261&lt;&gt;MesCiclo),"",COUNTIF($O$5:$O261,MesCiclo))</f>
        <v/>
      </c>
    </row>
    <row r="262">
      <c r="A262" s="60">
        <f>IF(NOT((COUNTA($B262:$J262)+COUNTA($M262))&gt;0),"",COUNTIFS($L$5:$L262,"?*",$O$5:$O262,$O262))</f>
        <v/>
      </c>
      <c r="B262" s="61" t="n"/>
      <c r="C262" s="61" t="n"/>
      <c r="D262" s="62" t="n"/>
      <c r="E262" s="62" t="n"/>
      <c r="F262" s="63" t="n"/>
      <c r="G262" s="64" t="n"/>
      <c r="H262" s="64" t="n"/>
      <c r="I262" s="64" t="n"/>
      <c r="J262" s="64" t="n"/>
      <c r="K262" s="65">
        <f>IF(NOT((COUNTA($B262:$J262)+COUNTA($M262))&gt;0),"",IFERROR(LOOKUP(2,1/(G262:J262&lt;&gt;""),G262:J262),0))</f>
        <v/>
      </c>
      <c r="L262" s="60">
        <f>IF(K262="","",IF(K262&gt;=1,"Completado",IF(K262&gt;0,"En curso","Pendiente")))</f>
        <v/>
      </c>
      <c r="M262" s="61" t="n"/>
      <c r="N262" s="66">
        <f>IF(NOT((COUNTA($B262:$J262)+COUNTA($M262))&gt;0),"",IF((IF(B262="","Macroactividad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 OK","⚠ "&amp;LEFT(IF(B262="","Macroactividad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",""),LEN(IF(B262="","Macroactividad vacía"&amp;" · ","")&amp;IF(C262="","Sin responsable"&amp;" · ","")&amp;IF(D262="","Sin fecha de inicio"&amp;" · ","")&amp;IF(E262="","Sin fecha límite"&amp;" · ","")&amp;IF(OR(AND(D262&lt;&gt;"",NOT(ISNUMBER(D262))),AND(E262&lt;&gt;"",NOT(ISNUMBER(E262)))),"Fecha no válida"&amp;" · ","")&amp;IF(AND(ISNUMBER(D262),ISNUMBER(E262),D262&gt;E262),"Inicio posterior a fecha límite"&amp;" · ","")&amp;IF(F262="","Peso vacío"&amp;" · ","")&amp;IF(AND(F262&lt;&gt;"",OR(NOT(ISNUMBER(F262)),F262&lt;=0,F262&gt;1)),"Peso fuera de rango"&amp;" · ","")&amp;IF(ABS(SUMIFS($F$5:$F$1000,$O$5:$O$1000,$O262)-1)&gt;0.0001,"Pesos del mes suman "&amp;TEXT(SUMIFS($F$5:$F$1000,$O$5:$O$1000,$O262),"0%")&amp;" · ","")&amp;IF((COUNTIF(G262:J262,"&gt;1")+COUNTIF(G262:J262,"&lt;0")+COUNTA(G262:J262)-COUNT(G262:J262))&gt;0,"Avance fuera de rango 0-100%"&amp;" · ","")&amp;IF(OR(AND(H262&lt;&gt;"",H262&lt;G262),AND(I262&lt;&gt;"",I262&lt;MAX(G262:H262)),AND(J262&lt;&gt;"",J262&lt;MAX(G262:I262))),"Avance semanal decreciente"&amp;" · ","")&amp;IF(AND(ISNUMBER(E262),E262&lt;FechaRef,N(K262)&lt;1),"Vencida"&amp;" · ","")&amp;IF(AND(ObsObligatoria="Sí",ISNUMBER(E262),E262&lt;FechaRef,N(K262)&lt;1,M262=""),"Vencida sin observación"&amp;" · ",""))-3)))</f>
        <v/>
      </c>
      <c r="O262" s="67">
        <f>IF(NOT((COUNTA($B262:$J262)+COUNTA($M262))&gt;0),"",IF(ISNUMBER($D262),DATE(YEAR($D262),MONTH($D262),1),IF(ISNUMBER($E262),DATE(YEAR($E262),MONTH($E262),1),MesCiclo)))</f>
        <v/>
      </c>
      <c r="P262" s="68">
        <f>IF(OR($O262="",$O262&lt;&gt;MesCiclo),"",COUNTIF($O$5:$O262,MesCiclo))</f>
        <v/>
      </c>
    </row>
    <row r="263">
      <c r="A263" s="60">
        <f>IF(NOT((COUNTA($B263:$J263)+COUNTA($M263))&gt;0),"",COUNTIFS($L$5:$L263,"?*",$O$5:$O263,$O263))</f>
        <v/>
      </c>
      <c r="B263" s="61" t="n"/>
      <c r="C263" s="61" t="n"/>
      <c r="D263" s="62" t="n"/>
      <c r="E263" s="62" t="n"/>
      <c r="F263" s="63" t="n"/>
      <c r="G263" s="64" t="n"/>
      <c r="H263" s="64" t="n"/>
      <c r="I263" s="64" t="n"/>
      <c r="J263" s="64" t="n"/>
      <c r="K263" s="65">
        <f>IF(NOT((COUNTA($B263:$J263)+COUNTA($M263))&gt;0),"",IFERROR(LOOKUP(2,1/(G263:J263&lt;&gt;""),G263:J263),0))</f>
        <v/>
      </c>
      <c r="L263" s="60">
        <f>IF(K263="","",IF(K263&gt;=1,"Completado",IF(K263&gt;0,"En curso","Pendiente")))</f>
        <v/>
      </c>
      <c r="M263" s="61" t="n"/>
      <c r="N263" s="66">
        <f>IF(NOT((COUNTA($B263:$J263)+COUNTA($M263))&gt;0),"",IF((IF(B263="","Macroactividad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 OK","⚠ "&amp;LEFT(IF(B263="","Macroactividad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",""),LEN(IF(B263="","Macroactividad vacía"&amp;" · ","")&amp;IF(C263="","Sin responsable"&amp;" · ","")&amp;IF(D263="","Sin fecha de inicio"&amp;" · ","")&amp;IF(E263="","Sin fecha límite"&amp;" · ","")&amp;IF(OR(AND(D263&lt;&gt;"",NOT(ISNUMBER(D263))),AND(E263&lt;&gt;"",NOT(ISNUMBER(E263)))),"Fecha no válida"&amp;" · ","")&amp;IF(AND(ISNUMBER(D263),ISNUMBER(E263),D263&gt;E263),"Inicio posterior a fecha límite"&amp;" · ","")&amp;IF(F263="","Peso vacío"&amp;" · ","")&amp;IF(AND(F263&lt;&gt;"",OR(NOT(ISNUMBER(F263)),F263&lt;=0,F263&gt;1)),"Peso fuera de rango"&amp;" · ","")&amp;IF(ABS(SUMIFS($F$5:$F$1000,$O$5:$O$1000,$O263)-1)&gt;0.0001,"Pesos del mes suman "&amp;TEXT(SUMIFS($F$5:$F$1000,$O$5:$O$1000,$O263),"0%")&amp;" · ","")&amp;IF((COUNTIF(G263:J263,"&gt;1")+COUNTIF(G263:J263,"&lt;0")+COUNTA(G263:J263)-COUNT(G263:J263))&gt;0,"Avance fuera de rango 0-100%"&amp;" · ","")&amp;IF(OR(AND(H263&lt;&gt;"",H263&lt;G263),AND(I263&lt;&gt;"",I263&lt;MAX(G263:H263)),AND(J263&lt;&gt;"",J263&lt;MAX(G263:I263))),"Avance semanal decreciente"&amp;" · ","")&amp;IF(AND(ISNUMBER(E263),E263&lt;FechaRef,N(K263)&lt;1),"Vencida"&amp;" · ","")&amp;IF(AND(ObsObligatoria="Sí",ISNUMBER(E263),E263&lt;FechaRef,N(K263)&lt;1,M263=""),"Vencida sin observación"&amp;" · ",""))-3)))</f>
        <v/>
      </c>
      <c r="O263" s="67">
        <f>IF(NOT((COUNTA($B263:$J263)+COUNTA($M263))&gt;0),"",IF(ISNUMBER($D263),DATE(YEAR($D263),MONTH($D263),1),IF(ISNUMBER($E263),DATE(YEAR($E263),MONTH($E263),1),MesCiclo)))</f>
        <v/>
      </c>
      <c r="P263" s="68">
        <f>IF(OR($O263="",$O263&lt;&gt;MesCiclo),"",COUNTIF($O$5:$O263,MesCiclo))</f>
        <v/>
      </c>
    </row>
    <row r="264">
      <c r="A264" s="60">
        <f>IF(NOT((COUNTA($B264:$J264)+COUNTA($M264))&gt;0),"",COUNTIFS($L$5:$L264,"?*",$O$5:$O264,$O264))</f>
        <v/>
      </c>
      <c r="B264" s="61" t="n"/>
      <c r="C264" s="61" t="n"/>
      <c r="D264" s="62" t="n"/>
      <c r="E264" s="62" t="n"/>
      <c r="F264" s="63" t="n"/>
      <c r="G264" s="64" t="n"/>
      <c r="H264" s="64" t="n"/>
      <c r="I264" s="64" t="n"/>
      <c r="J264" s="64" t="n"/>
      <c r="K264" s="65">
        <f>IF(NOT((COUNTA($B264:$J264)+COUNTA($M264))&gt;0),"",IFERROR(LOOKUP(2,1/(G264:J264&lt;&gt;""),G264:J264),0))</f>
        <v/>
      </c>
      <c r="L264" s="60">
        <f>IF(K264="","",IF(K264&gt;=1,"Completado",IF(K264&gt;0,"En curso","Pendiente")))</f>
        <v/>
      </c>
      <c r="M264" s="61" t="n"/>
      <c r="N264" s="66">
        <f>IF(NOT((COUNTA($B264:$J264)+COUNTA($M264))&gt;0),"",IF((IF(B264="","Macroactividad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 OK","⚠ "&amp;LEFT(IF(B264="","Macroactividad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",""),LEN(IF(B264="","Macroactividad vacía"&amp;" · ","")&amp;IF(C264="","Sin responsable"&amp;" · ","")&amp;IF(D264="","Sin fecha de inicio"&amp;" · ","")&amp;IF(E264="","Sin fecha límite"&amp;" · ","")&amp;IF(OR(AND(D264&lt;&gt;"",NOT(ISNUMBER(D264))),AND(E264&lt;&gt;"",NOT(ISNUMBER(E264)))),"Fecha no válida"&amp;" · ","")&amp;IF(AND(ISNUMBER(D264),ISNUMBER(E264),D264&gt;E264),"Inicio posterior a fecha límite"&amp;" · ","")&amp;IF(F264="","Peso vacío"&amp;" · ","")&amp;IF(AND(F264&lt;&gt;"",OR(NOT(ISNUMBER(F264)),F264&lt;=0,F264&gt;1)),"Peso fuera de rango"&amp;" · ","")&amp;IF(ABS(SUMIFS($F$5:$F$1000,$O$5:$O$1000,$O264)-1)&gt;0.0001,"Pesos del mes suman "&amp;TEXT(SUMIFS($F$5:$F$1000,$O$5:$O$1000,$O264),"0%")&amp;" · ","")&amp;IF((COUNTIF(G264:J264,"&gt;1")+COUNTIF(G264:J264,"&lt;0")+COUNTA(G264:J264)-COUNT(G264:J264))&gt;0,"Avance fuera de rango 0-100%"&amp;" · ","")&amp;IF(OR(AND(H264&lt;&gt;"",H264&lt;G264),AND(I264&lt;&gt;"",I264&lt;MAX(G264:H264)),AND(J264&lt;&gt;"",J264&lt;MAX(G264:I264))),"Avance semanal decreciente"&amp;" · ","")&amp;IF(AND(ISNUMBER(E264),E264&lt;FechaRef,N(K264)&lt;1),"Vencida"&amp;" · ","")&amp;IF(AND(ObsObligatoria="Sí",ISNUMBER(E264),E264&lt;FechaRef,N(K264)&lt;1,M264=""),"Vencida sin observación"&amp;" · ",""))-3)))</f>
        <v/>
      </c>
      <c r="O264" s="67">
        <f>IF(NOT((COUNTA($B264:$J264)+COUNTA($M264))&gt;0),"",IF(ISNUMBER($D264),DATE(YEAR($D264),MONTH($D264),1),IF(ISNUMBER($E264),DATE(YEAR($E264),MONTH($E264),1),MesCiclo)))</f>
        <v/>
      </c>
      <c r="P264" s="68">
        <f>IF(OR($O264="",$O264&lt;&gt;MesCiclo),"",COUNTIF($O$5:$O264,MesCiclo))</f>
        <v/>
      </c>
    </row>
    <row r="265">
      <c r="A265" s="60">
        <f>IF(NOT((COUNTA($B265:$J265)+COUNTA($M265))&gt;0),"",COUNTIFS($L$5:$L265,"?*",$O$5:$O265,$O265))</f>
        <v/>
      </c>
      <c r="B265" s="61" t="n"/>
      <c r="C265" s="61" t="n"/>
      <c r="D265" s="62" t="n"/>
      <c r="E265" s="62" t="n"/>
      <c r="F265" s="63" t="n"/>
      <c r="G265" s="64" t="n"/>
      <c r="H265" s="64" t="n"/>
      <c r="I265" s="64" t="n"/>
      <c r="J265" s="64" t="n"/>
      <c r="K265" s="65">
        <f>IF(NOT((COUNTA($B265:$J265)+COUNTA($M265))&gt;0),"",IFERROR(LOOKUP(2,1/(G265:J265&lt;&gt;""),G265:J265),0))</f>
        <v/>
      </c>
      <c r="L265" s="60">
        <f>IF(K265="","",IF(K265&gt;=1,"Completado",IF(K265&gt;0,"En curso","Pendiente")))</f>
        <v/>
      </c>
      <c r="M265" s="61" t="n"/>
      <c r="N265" s="66">
        <f>IF(NOT((COUNTA($B265:$J265)+COUNTA($M265))&gt;0),"",IF((IF(B265="","Macroactividad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 OK","⚠ "&amp;LEFT(IF(B265="","Macroactividad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",""),LEN(IF(B265="","Macroactividad vacía"&amp;" · ","")&amp;IF(C265="","Sin responsable"&amp;" · ","")&amp;IF(D265="","Sin fecha de inicio"&amp;" · ","")&amp;IF(E265="","Sin fecha límite"&amp;" · ","")&amp;IF(OR(AND(D265&lt;&gt;"",NOT(ISNUMBER(D265))),AND(E265&lt;&gt;"",NOT(ISNUMBER(E265)))),"Fecha no válida"&amp;" · ","")&amp;IF(AND(ISNUMBER(D265),ISNUMBER(E265),D265&gt;E265),"Inicio posterior a fecha límite"&amp;" · ","")&amp;IF(F265="","Peso vacío"&amp;" · ","")&amp;IF(AND(F265&lt;&gt;"",OR(NOT(ISNUMBER(F265)),F265&lt;=0,F265&gt;1)),"Peso fuera de rango"&amp;" · ","")&amp;IF(ABS(SUMIFS($F$5:$F$1000,$O$5:$O$1000,$O265)-1)&gt;0.0001,"Pesos del mes suman "&amp;TEXT(SUMIFS($F$5:$F$1000,$O$5:$O$1000,$O265),"0%")&amp;" · ","")&amp;IF((COUNTIF(G265:J265,"&gt;1")+COUNTIF(G265:J265,"&lt;0")+COUNTA(G265:J265)-COUNT(G265:J265))&gt;0,"Avance fuera de rango 0-100%"&amp;" · ","")&amp;IF(OR(AND(H265&lt;&gt;"",H265&lt;G265),AND(I265&lt;&gt;"",I265&lt;MAX(G265:H265)),AND(J265&lt;&gt;"",J265&lt;MAX(G265:I265))),"Avance semanal decreciente"&amp;" · ","")&amp;IF(AND(ISNUMBER(E265),E265&lt;FechaRef,N(K265)&lt;1),"Vencida"&amp;" · ","")&amp;IF(AND(ObsObligatoria="Sí",ISNUMBER(E265),E265&lt;FechaRef,N(K265)&lt;1,M265=""),"Vencida sin observación"&amp;" · ",""))-3)))</f>
        <v/>
      </c>
      <c r="O265" s="67">
        <f>IF(NOT((COUNTA($B265:$J265)+COUNTA($M265))&gt;0),"",IF(ISNUMBER($D265),DATE(YEAR($D265),MONTH($D265),1),IF(ISNUMBER($E265),DATE(YEAR($E265),MONTH($E265),1),MesCiclo)))</f>
        <v/>
      </c>
      <c r="P265" s="68">
        <f>IF(OR($O265="",$O265&lt;&gt;MesCiclo),"",COUNTIF($O$5:$O265,MesCiclo))</f>
        <v/>
      </c>
    </row>
    <row r="266">
      <c r="A266" s="60">
        <f>IF(NOT((COUNTA($B266:$J266)+COUNTA($M266))&gt;0),"",COUNTIFS($L$5:$L266,"?*",$O$5:$O266,$O266))</f>
        <v/>
      </c>
      <c r="B266" s="61" t="n"/>
      <c r="C266" s="61" t="n"/>
      <c r="D266" s="62" t="n"/>
      <c r="E266" s="62" t="n"/>
      <c r="F266" s="63" t="n"/>
      <c r="G266" s="64" t="n"/>
      <c r="H266" s="64" t="n"/>
      <c r="I266" s="64" t="n"/>
      <c r="J266" s="64" t="n"/>
      <c r="K266" s="65">
        <f>IF(NOT((COUNTA($B266:$J266)+COUNTA($M266))&gt;0),"",IFERROR(LOOKUP(2,1/(G266:J266&lt;&gt;""),G266:J266),0))</f>
        <v/>
      </c>
      <c r="L266" s="60">
        <f>IF(K266="","",IF(K266&gt;=1,"Completado",IF(K266&gt;0,"En curso","Pendiente")))</f>
        <v/>
      </c>
      <c r="M266" s="61" t="n"/>
      <c r="N266" s="66">
        <f>IF(NOT((COUNTA($B266:$J266)+COUNTA($M266))&gt;0),"",IF((IF(B266="","Macroactividad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 OK","⚠ "&amp;LEFT(IF(B266="","Macroactividad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",""),LEN(IF(B266="","Macroactividad vacía"&amp;" · ","")&amp;IF(C266="","Sin responsable"&amp;" · ","")&amp;IF(D266="","Sin fecha de inicio"&amp;" · ","")&amp;IF(E266="","Sin fecha límite"&amp;" · ","")&amp;IF(OR(AND(D266&lt;&gt;"",NOT(ISNUMBER(D266))),AND(E266&lt;&gt;"",NOT(ISNUMBER(E266)))),"Fecha no válida"&amp;" · ","")&amp;IF(AND(ISNUMBER(D266),ISNUMBER(E266),D266&gt;E266),"Inicio posterior a fecha límite"&amp;" · ","")&amp;IF(F266="","Peso vacío"&amp;" · ","")&amp;IF(AND(F266&lt;&gt;"",OR(NOT(ISNUMBER(F266)),F266&lt;=0,F266&gt;1)),"Peso fuera de rango"&amp;" · ","")&amp;IF(ABS(SUMIFS($F$5:$F$1000,$O$5:$O$1000,$O266)-1)&gt;0.0001,"Pesos del mes suman "&amp;TEXT(SUMIFS($F$5:$F$1000,$O$5:$O$1000,$O266),"0%")&amp;" · ","")&amp;IF((COUNTIF(G266:J266,"&gt;1")+COUNTIF(G266:J266,"&lt;0")+COUNTA(G266:J266)-COUNT(G266:J266))&gt;0,"Avance fuera de rango 0-100%"&amp;" · ","")&amp;IF(OR(AND(H266&lt;&gt;"",H266&lt;G266),AND(I266&lt;&gt;"",I266&lt;MAX(G266:H266)),AND(J266&lt;&gt;"",J266&lt;MAX(G266:I266))),"Avance semanal decreciente"&amp;" · ","")&amp;IF(AND(ISNUMBER(E266),E266&lt;FechaRef,N(K266)&lt;1),"Vencida"&amp;" · ","")&amp;IF(AND(ObsObligatoria="Sí",ISNUMBER(E266),E266&lt;FechaRef,N(K266)&lt;1,M266=""),"Vencida sin observación"&amp;" · ",""))-3)))</f>
        <v/>
      </c>
      <c r="O266" s="67">
        <f>IF(NOT((COUNTA($B266:$J266)+COUNTA($M266))&gt;0),"",IF(ISNUMBER($D266),DATE(YEAR($D266),MONTH($D266),1),IF(ISNUMBER($E266),DATE(YEAR($E266),MONTH($E266),1),MesCiclo)))</f>
        <v/>
      </c>
      <c r="P266" s="68">
        <f>IF(OR($O266="",$O266&lt;&gt;MesCiclo),"",COUNTIF($O$5:$O266,MesCiclo))</f>
        <v/>
      </c>
    </row>
    <row r="267">
      <c r="A267" s="60">
        <f>IF(NOT((COUNTA($B267:$J267)+COUNTA($M267))&gt;0),"",COUNTIFS($L$5:$L267,"?*",$O$5:$O267,$O267))</f>
        <v/>
      </c>
      <c r="B267" s="61" t="n"/>
      <c r="C267" s="61" t="n"/>
      <c r="D267" s="62" t="n"/>
      <c r="E267" s="62" t="n"/>
      <c r="F267" s="63" t="n"/>
      <c r="G267" s="64" t="n"/>
      <c r="H267" s="64" t="n"/>
      <c r="I267" s="64" t="n"/>
      <c r="J267" s="64" t="n"/>
      <c r="K267" s="65">
        <f>IF(NOT((COUNTA($B267:$J267)+COUNTA($M267))&gt;0),"",IFERROR(LOOKUP(2,1/(G267:J267&lt;&gt;""),G267:J267),0))</f>
        <v/>
      </c>
      <c r="L267" s="60">
        <f>IF(K267="","",IF(K267&gt;=1,"Completado",IF(K267&gt;0,"En curso","Pendiente")))</f>
        <v/>
      </c>
      <c r="M267" s="61" t="n"/>
      <c r="N267" s="66">
        <f>IF(NOT((COUNTA($B267:$J267)+COUNTA($M267))&gt;0),"",IF((IF(B267="","Macroactividad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 OK","⚠ "&amp;LEFT(IF(B267="","Macroactividad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",""),LEN(IF(B267="","Macroactividad vacía"&amp;" · ","")&amp;IF(C267="","Sin responsable"&amp;" · ","")&amp;IF(D267="","Sin fecha de inicio"&amp;" · ","")&amp;IF(E267="","Sin fecha límite"&amp;" · ","")&amp;IF(OR(AND(D267&lt;&gt;"",NOT(ISNUMBER(D267))),AND(E267&lt;&gt;"",NOT(ISNUMBER(E267)))),"Fecha no válida"&amp;" · ","")&amp;IF(AND(ISNUMBER(D267),ISNUMBER(E267),D267&gt;E267),"Inicio posterior a fecha límite"&amp;" · ","")&amp;IF(F267="","Peso vacío"&amp;" · ","")&amp;IF(AND(F267&lt;&gt;"",OR(NOT(ISNUMBER(F267)),F267&lt;=0,F267&gt;1)),"Peso fuera de rango"&amp;" · ","")&amp;IF(ABS(SUMIFS($F$5:$F$1000,$O$5:$O$1000,$O267)-1)&gt;0.0001,"Pesos del mes suman "&amp;TEXT(SUMIFS($F$5:$F$1000,$O$5:$O$1000,$O267),"0%")&amp;" · ","")&amp;IF((COUNTIF(G267:J267,"&gt;1")+COUNTIF(G267:J267,"&lt;0")+COUNTA(G267:J267)-COUNT(G267:J267))&gt;0,"Avance fuera de rango 0-100%"&amp;" · ","")&amp;IF(OR(AND(H267&lt;&gt;"",H267&lt;G267),AND(I267&lt;&gt;"",I267&lt;MAX(G267:H267)),AND(J267&lt;&gt;"",J267&lt;MAX(G267:I267))),"Avance semanal decreciente"&amp;" · ","")&amp;IF(AND(ISNUMBER(E267),E267&lt;FechaRef,N(K267)&lt;1),"Vencida"&amp;" · ","")&amp;IF(AND(ObsObligatoria="Sí",ISNUMBER(E267),E267&lt;FechaRef,N(K267)&lt;1,M267=""),"Vencida sin observación"&amp;" · ",""))-3)))</f>
        <v/>
      </c>
      <c r="O267" s="67">
        <f>IF(NOT((COUNTA($B267:$J267)+COUNTA($M267))&gt;0),"",IF(ISNUMBER($D267),DATE(YEAR($D267),MONTH($D267),1),IF(ISNUMBER($E267),DATE(YEAR($E267),MONTH($E267),1),MesCiclo)))</f>
        <v/>
      </c>
      <c r="P267" s="68">
        <f>IF(OR($O267="",$O267&lt;&gt;MesCiclo),"",COUNTIF($O$5:$O267,MesCiclo))</f>
        <v/>
      </c>
    </row>
    <row r="268">
      <c r="A268" s="60">
        <f>IF(NOT((COUNTA($B268:$J268)+COUNTA($M268))&gt;0),"",COUNTIFS($L$5:$L268,"?*",$O$5:$O268,$O268))</f>
        <v/>
      </c>
      <c r="B268" s="61" t="n"/>
      <c r="C268" s="61" t="n"/>
      <c r="D268" s="62" t="n"/>
      <c r="E268" s="62" t="n"/>
      <c r="F268" s="63" t="n"/>
      <c r="G268" s="64" t="n"/>
      <c r="H268" s="64" t="n"/>
      <c r="I268" s="64" t="n"/>
      <c r="J268" s="64" t="n"/>
      <c r="K268" s="65">
        <f>IF(NOT((COUNTA($B268:$J268)+COUNTA($M268))&gt;0),"",IFERROR(LOOKUP(2,1/(G268:J268&lt;&gt;""),G268:J268),0))</f>
        <v/>
      </c>
      <c r="L268" s="60">
        <f>IF(K268="","",IF(K268&gt;=1,"Completado",IF(K268&gt;0,"En curso","Pendiente")))</f>
        <v/>
      </c>
      <c r="M268" s="61" t="n"/>
      <c r="N268" s="66">
        <f>IF(NOT((COUNTA($B268:$J268)+COUNTA($M268))&gt;0),"",IF((IF(B268="","Macroactividad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 OK","⚠ "&amp;LEFT(IF(B268="","Macroactividad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",""),LEN(IF(B268="","Macroactividad vacía"&amp;" · ","")&amp;IF(C268="","Sin responsable"&amp;" · ","")&amp;IF(D268="","Sin fecha de inicio"&amp;" · ","")&amp;IF(E268="","Sin fecha límite"&amp;" · ","")&amp;IF(OR(AND(D268&lt;&gt;"",NOT(ISNUMBER(D268))),AND(E268&lt;&gt;"",NOT(ISNUMBER(E268)))),"Fecha no válida"&amp;" · ","")&amp;IF(AND(ISNUMBER(D268),ISNUMBER(E268),D268&gt;E268),"Inicio posterior a fecha límite"&amp;" · ","")&amp;IF(F268="","Peso vacío"&amp;" · ","")&amp;IF(AND(F268&lt;&gt;"",OR(NOT(ISNUMBER(F268)),F268&lt;=0,F268&gt;1)),"Peso fuera de rango"&amp;" · ","")&amp;IF(ABS(SUMIFS($F$5:$F$1000,$O$5:$O$1000,$O268)-1)&gt;0.0001,"Pesos del mes suman "&amp;TEXT(SUMIFS($F$5:$F$1000,$O$5:$O$1000,$O268),"0%")&amp;" · ","")&amp;IF((COUNTIF(G268:J268,"&gt;1")+COUNTIF(G268:J268,"&lt;0")+COUNTA(G268:J268)-COUNT(G268:J268))&gt;0,"Avance fuera de rango 0-100%"&amp;" · ","")&amp;IF(OR(AND(H268&lt;&gt;"",H268&lt;G268),AND(I268&lt;&gt;"",I268&lt;MAX(G268:H268)),AND(J268&lt;&gt;"",J268&lt;MAX(G268:I268))),"Avance semanal decreciente"&amp;" · ","")&amp;IF(AND(ISNUMBER(E268),E268&lt;FechaRef,N(K268)&lt;1),"Vencida"&amp;" · ","")&amp;IF(AND(ObsObligatoria="Sí",ISNUMBER(E268),E268&lt;FechaRef,N(K268)&lt;1,M268=""),"Vencida sin observación"&amp;" · ",""))-3)))</f>
        <v/>
      </c>
      <c r="O268" s="67">
        <f>IF(NOT((COUNTA($B268:$J268)+COUNTA($M268))&gt;0),"",IF(ISNUMBER($D268),DATE(YEAR($D268),MONTH($D268),1),IF(ISNUMBER($E268),DATE(YEAR($E268),MONTH($E268),1),MesCiclo)))</f>
        <v/>
      </c>
      <c r="P268" s="68">
        <f>IF(OR($O268="",$O268&lt;&gt;MesCiclo),"",COUNTIF($O$5:$O268,MesCiclo))</f>
        <v/>
      </c>
    </row>
    <row r="269">
      <c r="A269" s="60">
        <f>IF(NOT((COUNTA($B269:$J269)+COUNTA($M269))&gt;0),"",COUNTIFS($L$5:$L269,"?*",$O$5:$O269,$O269))</f>
        <v/>
      </c>
      <c r="B269" s="61" t="n"/>
      <c r="C269" s="61" t="n"/>
      <c r="D269" s="62" t="n"/>
      <c r="E269" s="62" t="n"/>
      <c r="F269" s="63" t="n"/>
      <c r="G269" s="64" t="n"/>
      <c r="H269" s="64" t="n"/>
      <c r="I269" s="64" t="n"/>
      <c r="J269" s="64" t="n"/>
      <c r="K269" s="65">
        <f>IF(NOT((COUNTA($B269:$J269)+COUNTA($M269))&gt;0),"",IFERROR(LOOKUP(2,1/(G269:J269&lt;&gt;""),G269:J269),0))</f>
        <v/>
      </c>
      <c r="L269" s="60">
        <f>IF(K269="","",IF(K269&gt;=1,"Completado",IF(K269&gt;0,"En curso","Pendiente")))</f>
        <v/>
      </c>
      <c r="M269" s="61" t="n"/>
      <c r="N269" s="66">
        <f>IF(NOT((COUNTA($B269:$J269)+COUNTA($M269))&gt;0),"",IF((IF(B269="","Macroactividad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 OK","⚠ "&amp;LEFT(IF(B269="","Macroactividad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",""),LEN(IF(B269="","Macroactividad vacía"&amp;" · ","")&amp;IF(C269="","Sin responsable"&amp;" · ","")&amp;IF(D269="","Sin fecha de inicio"&amp;" · ","")&amp;IF(E269="","Sin fecha límite"&amp;" · ","")&amp;IF(OR(AND(D269&lt;&gt;"",NOT(ISNUMBER(D269))),AND(E269&lt;&gt;"",NOT(ISNUMBER(E269)))),"Fecha no válida"&amp;" · ","")&amp;IF(AND(ISNUMBER(D269),ISNUMBER(E269),D269&gt;E269),"Inicio posterior a fecha límite"&amp;" · ","")&amp;IF(F269="","Peso vacío"&amp;" · ","")&amp;IF(AND(F269&lt;&gt;"",OR(NOT(ISNUMBER(F269)),F269&lt;=0,F269&gt;1)),"Peso fuera de rango"&amp;" · ","")&amp;IF(ABS(SUMIFS($F$5:$F$1000,$O$5:$O$1000,$O269)-1)&gt;0.0001,"Pesos del mes suman "&amp;TEXT(SUMIFS($F$5:$F$1000,$O$5:$O$1000,$O269),"0%")&amp;" · ","")&amp;IF((COUNTIF(G269:J269,"&gt;1")+COUNTIF(G269:J269,"&lt;0")+COUNTA(G269:J269)-COUNT(G269:J269))&gt;0,"Avance fuera de rango 0-100%"&amp;" · ","")&amp;IF(OR(AND(H269&lt;&gt;"",H269&lt;G269),AND(I269&lt;&gt;"",I269&lt;MAX(G269:H269)),AND(J269&lt;&gt;"",J269&lt;MAX(G269:I269))),"Avance semanal decreciente"&amp;" · ","")&amp;IF(AND(ISNUMBER(E269),E269&lt;FechaRef,N(K269)&lt;1),"Vencida"&amp;" · ","")&amp;IF(AND(ObsObligatoria="Sí",ISNUMBER(E269),E269&lt;FechaRef,N(K269)&lt;1,M269=""),"Vencida sin observación"&amp;" · ",""))-3)))</f>
        <v/>
      </c>
      <c r="O269" s="67">
        <f>IF(NOT((COUNTA($B269:$J269)+COUNTA($M269))&gt;0),"",IF(ISNUMBER($D269),DATE(YEAR($D269),MONTH($D269),1),IF(ISNUMBER($E269),DATE(YEAR($E269),MONTH($E269),1),MesCiclo)))</f>
        <v/>
      </c>
      <c r="P269" s="68">
        <f>IF(OR($O269="",$O269&lt;&gt;MesCiclo),"",COUNTIF($O$5:$O269,MesCiclo))</f>
        <v/>
      </c>
    </row>
    <row r="270">
      <c r="A270" s="60">
        <f>IF(NOT((COUNTA($B270:$J270)+COUNTA($M270))&gt;0),"",COUNTIFS($L$5:$L270,"?*",$O$5:$O270,$O270))</f>
        <v/>
      </c>
      <c r="B270" s="61" t="n"/>
      <c r="C270" s="61" t="n"/>
      <c r="D270" s="62" t="n"/>
      <c r="E270" s="62" t="n"/>
      <c r="F270" s="63" t="n"/>
      <c r="G270" s="64" t="n"/>
      <c r="H270" s="64" t="n"/>
      <c r="I270" s="64" t="n"/>
      <c r="J270" s="64" t="n"/>
      <c r="K270" s="65">
        <f>IF(NOT((COUNTA($B270:$J270)+COUNTA($M270))&gt;0),"",IFERROR(LOOKUP(2,1/(G270:J270&lt;&gt;""),G270:J270),0))</f>
        <v/>
      </c>
      <c r="L270" s="60">
        <f>IF(K270="","",IF(K270&gt;=1,"Completado",IF(K270&gt;0,"En curso","Pendiente")))</f>
        <v/>
      </c>
      <c r="M270" s="61" t="n"/>
      <c r="N270" s="66">
        <f>IF(NOT((COUNTA($B270:$J270)+COUNTA($M270))&gt;0),"",IF((IF(B270="","Macroactividad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 OK","⚠ "&amp;LEFT(IF(B270="","Macroactividad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",""),LEN(IF(B270="","Macroactividad vacía"&amp;" · ","")&amp;IF(C270="","Sin responsable"&amp;" · ","")&amp;IF(D270="","Sin fecha de inicio"&amp;" · ","")&amp;IF(E270="","Sin fecha límite"&amp;" · ","")&amp;IF(OR(AND(D270&lt;&gt;"",NOT(ISNUMBER(D270))),AND(E270&lt;&gt;"",NOT(ISNUMBER(E270)))),"Fecha no válida"&amp;" · ","")&amp;IF(AND(ISNUMBER(D270),ISNUMBER(E270),D270&gt;E270),"Inicio posterior a fecha límite"&amp;" · ","")&amp;IF(F270="","Peso vacío"&amp;" · ","")&amp;IF(AND(F270&lt;&gt;"",OR(NOT(ISNUMBER(F270)),F270&lt;=0,F270&gt;1)),"Peso fuera de rango"&amp;" · ","")&amp;IF(ABS(SUMIFS($F$5:$F$1000,$O$5:$O$1000,$O270)-1)&gt;0.0001,"Pesos del mes suman "&amp;TEXT(SUMIFS($F$5:$F$1000,$O$5:$O$1000,$O270),"0%")&amp;" · ","")&amp;IF((COUNTIF(G270:J270,"&gt;1")+COUNTIF(G270:J270,"&lt;0")+COUNTA(G270:J270)-COUNT(G270:J270))&gt;0,"Avance fuera de rango 0-100%"&amp;" · ","")&amp;IF(OR(AND(H270&lt;&gt;"",H270&lt;G270),AND(I270&lt;&gt;"",I270&lt;MAX(G270:H270)),AND(J270&lt;&gt;"",J270&lt;MAX(G270:I270))),"Avance semanal decreciente"&amp;" · ","")&amp;IF(AND(ISNUMBER(E270),E270&lt;FechaRef,N(K270)&lt;1),"Vencida"&amp;" · ","")&amp;IF(AND(ObsObligatoria="Sí",ISNUMBER(E270),E270&lt;FechaRef,N(K270)&lt;1,M270=""),"Vencida sin observación"&amp;" · ",""))-3)))</f>
        <v/>
      </c>
      <c r="O270" s="67">
        <f>IF(NOT((COUNTA($B270:$J270)+COUNTA($M270))&gt;0),"",IF(ISNUMBER($D270),DATE(YEAR($D270),MONTH($D270),1),IF(ISNUMBER($E270),DATE(YEAR($E270),MONTH($E270),1),MesCiclo)))</f>
        <v/>
      </c>
      <c r="P270" s="68">
        <f>IF(OR($O270="",$O270&lt;&gt;MesCiclo),"",COUNTIF($O$5:$O270,MesCiclo))</f>
        <v/>
      </c>
    </row>
    <row r="271">
      <c r="A271" s="60">
        <f>IF(NOT((COUNTA($B271:$J271)+COUNTA($M271))&gt;0),"",COUNTIFS($L$5:$L271,"?*",$O$5:$O271,$O271))</f>
        <v/>
      </c>
      <c r="B271" s="61" t="n"/>
      <c r="C271" s="61" t="n"/>
      <c r="D271" s="62" t="n"/>
      <c r="E271" s="62" t="n"/>
      <c r="F271" s="63" t="n"/>
      <c r="G271" s="64" t="n"/>
      <c r="H271" s="64" t="n"/>
      <c r="I271" s="64" t="n"/>
      <c r="J271" s="64" t="n"/>
      <c r="K271" s="65">
        <f>IF(NOT((COUNTA($B271:$J271)+COUNTA($M271))&gt;0),"",IFERROR(LOOKUP(2,1/(G271:J271&lt;&gt;""),G271:J271),0))</f>
        <v/>
      </c>
      <c r="L271" s="60">
        <f>IF(K271="","",IF(K271&gt;=1,"Completado",IF(K271&gt;0,"En curso","Pendiente")))</f>
        <v/>
      </c>
      <c r="M271" s="61" t="n"/>
      <c r="N271" s="66">
        <f>IF(NOT((COUNTA($B271:$J271)+COUNTA($M271))&gt;0),"",IF((IF(B271="","Macroactividad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 OK","⚠ "&amp;LEFT(IF(B271="","Macroactividad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",""),LEN(IF(B271="","Macroactividad vacía"&amp;" · ","")&amp;IF(C271="","Sin responsable"&amp;" · ","")&amp;IF(D271="","Sin fecha de inicio"&amp;" · ","")&amp;IF(E271="","Sin fecha límite"&amp;" · ","")&amp;IF(OR(AND(D271&lt;&gt;"",NOT(ISNUMBER(D271))),AND(E271&lt;&gt;"",NOT(ISNUMBER(E271)))),"Fecha no válida"&amp;" · ","")&amp;IF(AND(ISNUMBER(D271),ISNUMBER(E271),D271&gt;E271),"Inicio posterior a fecha límite"&amp;" · ","")&amp;IF(F271="","Peso vacío"&amp;" · ","")&amp;IF(AND(F271&lt;&gt;"",OR(NOT(ISNUMBER(F271)),F271&lt;=0,F271&gt;1)),"Peso fuera de rango"&amp;" · ","")&amp;IF(ABS(SUMIFS($F$5:$F$1000,$O$5:$O$1000,$O271)-1)&gt;0.0001,"Pesos del mes suman "&amp;TEXT(SUMIFS($F$5:$F$1000,$O$5:$O$1000,$O271),"0%")&amp;" · ","")&amp;IF((COUNTIF(G271:J271,"&gt;1")+COUNTIF(G271:J271,"&lt;0")+COUNTA(G271:J271)-COUNT(G271:J271))&gt;0,"Avance fuera de rango 0-100%"&amp;" · ","")&amp;IF(OR(AND(H271&lt;&gt;"",H271&lt;G271),AND(I271&lt;&gt;"",I271&lt;MAX(G271:H271)),AND(J271&lt;&gt;"",J271&lt;MAX(G271:I271))),"Avance semanal decreciente"&amp;" · ","")&amp;IF(AND(ISNUMBER(E271),E271&lt;FechaRef,N(K271)&lt;1),"Vencida"&amp;" · ","")&amp;IF(AND(ObsObligatoria="Sí",ISNUMBER(E271),E271&lt;FechaRef,N(K271)&lt;1,M271=""),"Vencida sin observación"&amp;" · ",""))-3)))</f>
        <v/>
      </c>
      <c r="O271" s="67">
        <f>IF(NOT((COUNTA($B271:$J271)+COUNTA($M271))&gt;0),"",IF(ISNUMBER($D271),DATE(YEAR($D271),MONTH($D271),1),IF(ISNUMBER($E271),DATE(YEAR($E271),MONTH($E271),1),MesCiclo)))</f>
        <v/>
      </c>
      <c r="P271" s="68">
        <f>IF(OR($O271="",$O271&lt;&gt;MesCiclo),"",COUNTIF($O$5:$O271,MesCiclo))</f>
        <v/>
      </c>
    </row>
    <row r="272">
      <c r="A272" s="60">
        <f>IF(NOT((COUNTA($B272:$J272)+COUNTA($M272))&gt;0),"",COUNTIFS($L$5:$L272,"?*",$O$5:$O272,$O272))</f>
        <v/>
      </c>
      <c r="B272" s="61" t="n"/>
      <c r="C272" s="61" t="n"/>
      <c r="D272" s="62" t="n"/>
      <c r="E272" s="62" t="n"/>
      <c r="F272" s="63" t="n"/>
      <c r="G272" s="64" t="n"/>
      <c r="H272" s="64" t="n"/>
      <c r="I272" s="64" t="n"/>
      <c r="J272" s="64" t="n"/>
      <c r="K272" s="65">
        <f>IF(NOT((COUNTA($B272:$J272)+COUNTA($M272))&gt;0),"",IFERROR(LOOKUP(2,1/(G272:J272&lt;&gt;""),G272:J272),0))</f>
        <v/>
      </c>
      <c r="L272" s="60">
        <f>IF(K272="","",IF(K272&gt;=1,"Completado",IF(K272&gt;0,"En curso","Pendiente")))</f>
        <v/>
      </c>
      <c r="M272" s="61" t="n"/>
      <c r="N272" s="66">
        <f>IF(NOT((COUNTA($B272:$J272)+COUNTA($M272))&gt;0),"",IF((IF(B272="","Macroactividad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 OK","⚠ "&amp;LEFT(IF(B272="","Macroactividad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",""),LEN(IF(B272="","Macroactividad vacía"&amp;" · ","")&amp;IF(C272="","Sin responsable"&amp;" · ","")&amp;IF(D272="","Sin fecha de inicio"&amp;" · ","")&amp;IF(E272="","Sin fecha límite"&amp;" · ","")&amp;IF(OR(AND(D272&lt;&gt;"",NOT(ISNUMBER(D272))),AND(E272&lt;&gt;"",NOT(ISNUMBER(E272)))),"Fecha no válida"&amp;" · ","")&amp;IF(AND(ISNUMBER(D272),ISNUMBER(E272),D272&gt;E272),"Inicio posterior a fecha límite"&amp;" · ","")&amp;IF(F272="","Peso vacío"&amp;" · ","")&amp;IF(AND(F272&lt;&gt;"",OR(NOT(ISNUMBER(F272)),F272&lt;=0,F272&gt;1)),"Peso fuera de rango"&amp;" · ","")&amp;IF(ABS(SUMIFS($F$5:$F$1000,$O$5:$O$1000,$O272)-1)&gt;0.0001,"Pesos del mes suman "&amp;TEXT(SUMIFS($F$5:$F$1000,$O$5:$O$1000,$O272),"0%")&amp;" · ","")&amp;IF((COUNTIF(G272:J272,"&gt;1")+COUNTIF(G272:J272,"&lt;0")+COUNTA(G272:J272)-COUNT(G272:J272))&gt;0,"Avance fuera de rango 0-100%"&amp;" · ","")&amp;IF(OR(AND(H272&lt;&gt;"",H272&lt;G272),AND(I272&lt;&gt;"",I272&lt;MAX(G272:H272)),AND(J272&lt;&gt;"",J272&lt;MAX(G272:I272))),"Avance semanal decreciente"&amp;" · ","")&amp;IF(AND(ISNUMBER(E272),E272&lt;FechaRef,N(K272)&lt;1),"Vencida"&amp;" · ","")&amp;IF(AND(ObsObligatoria="Sí",ISNUMBER(E272),E272&lt;FechaRef,N(K272)&lt;1,M272=""),"Vencida sin observación"&amp;" · ",""))-3)))</f>
        <v/>
      </c>
      <c r="O272" s="67">
        <f>IF(NOT((COUNTA($B272:$J272)+COUNTA($M272))&gt;0),"",IF(ISNUMBER($D272),DATE(YEAR($D272),MONTH($D272),1),IF(ISNUMBER($E272),DATE(YEAR($E272),MONTH($E272),1),MesCiclo)))</f>
        <v/>
      </c>
      <c r="P272" s="68">
        <f>IF(OR($O272="",$O272&lt;&gt;MesCiclo),"",COUNTIF($O$5:$O272,MesCiclo))</f>
        <v/>
      </c>
    </row>
    <row r="273">
      <c r="A273" s="60">
        <f>IF(NOT((COUNTA($B273:$J273)+COUNTA($M273))&gt;0),"",COUNTIFS($L$5:$L273,"?*",$O$5:$O273,$O273))</f>
        <v/>
      </c>
      <c r="B273" s="61" t="n"/>
      <c r="C273" s="61" t="n"/>
      <c r="D273" s="62" t="n"/>
      <c r="E273" s="62" t="n"/>
      <c r="F273" s="63" t="n"/>
      <c r="G273" s="64" t="n"/>
      <c r="H273" s="64" t="n"/>
      <c r="I273" s="64" t="n"/>
      <c r="J273" s="64" t="n"/>
      <c r="K273" s="65">
        <f>IF(NOT((COUNTA($B273:$J273)+COUNTA($M273))&gt;0),"",IFERROR(LOOKUP(2,1/(G273:J273&lt;&gt;""),G273:J273),0))</f>
        <v/>
      </c>
      <c r="L273" s="60">
        <f>IF(K273="","",IF(K273&gt;=1,"Completado",IF(K273&gt;0,"En curso","Pendiente")))</f>
        <v/>
      </c>
      <c r="M273" s="61" t="n"/>
      <c r="N273" s="66">
        <f>IF(NOT((COUNTA($B273:$J273)+COUNTA($M273))&gt;0),"",IF((IF(B273="","Macroactividad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 OK","⚠ "&amp;LEFT(IF(B273="","Macroactividad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",""),LEN(IF(B273="","Macroactividad vacía"&amp;" · ","")&amp;IF(C273="","Sin responsable"&amp;" · ","")&amp;IF(D273="","Sin fecha de inicio"&amp;" · ","")&amp;IF(E273="","Sin fecha límite"&amp;" · ","")&amp;IF(OR(AND(D273&lt;&gt;"",NOT(ISNUMBER(D273))),AND(E273&lt;&gt;"",NOT(ISNUMBER(E273)))),"Fecha no válida"&amp;" · ","")&amp;IF(AND(ISNUMBER(D273),ISNUMBER(E273),D273&gt;E273),"Inicio posterior a fecha límite"&amp;" · ","")&amp;IF(F273="","Peso vacío"&amp;" · ","")&amp;IF(AND(F273&lt;&gt;"",OR(NOT(ISNUMBER(F273)),F273&lt;=0,F273&gt;1)),"Peso fuera de rango"&amp;" · ","")&amp;IF(ABS(SUMIFS($F$5:$F$1000,$O$5:$O$1000,$O273)-1)&gt;0.0001,"Pesos del mes suman "&amp;TEXT(SUMIFS($F$5:$F$1000,$O$5:$O$1000,$O273),"0%")&amp;" · ","")&amp;IF((COUNTIF(G273:J273,"&gt;1")+COUNTIF(G273:J273,"&lt;0")+COUNTA(G273:J273)-COUNT(G273:J273))&gt;0,"Avance fuera de rango 0-100%"&amp;" · ","")&amp;IF(OR(AND(H273&lt;&gt;"",H273&lt;G273),AND(I273&lt;&gt;"",I273&lt;MAX(G273:H273)),AND(J273&lt;&gt;"",J273&lt;MAX(G273:I273))),"Avance semanal decreciente"&amp;" · ","")&amp;IF(AND(ISNUMBER(E273),E273&lt;FechaRef,N(K273)&lt;1),"Vencida"&amp;" · ","")&amp;IF(AND(ObsObligatoria="Sí",ISNUMBER(E273),E273&lt;FechaRef,N(K273)&lt;1,M273=""),"Vencida sin observación"&amp;" · ",""))-3)))</f>
        <v/>
      </c>
      <c r="O273" s="67">
        <f>IF(NOT((COUNTA($B273:$J273)+COUNTA($M273))&gt;0),"",IF(ISNUMBER($D273),DATE(YEAR($D273),MONTH($D273),1),IF(ISNUMBER($E273),DATE(YEAR($E273),MONTH($E273),1),MesCiclo)))</f>
        <v/>
      </c>
      <c r="P273" s="68">
        <f>IF(OR($O273="",$O273&lt;&gt;MesCiclo),"",COUNTIF($O$5:$O273,MesCiclo))</f>
        <v/>
      </c>
    </row>
    <row r="274">
      <c r="A274" s="60">
        <f>IF(NOT((COUNTA($B274:$J274)+COUNTA($M274))&gt;0),"",COUNTIFS($L$5:$L274,"?*",$O$5:$O274,$O274))</f>
        <v/>
      </c>
      <c r="B274" s="61" t="n"/>
      <c r="C274" s="61" t="n"/>
      <c r="D274" s="62" t="n"/>
      <c r="E274" s="62" t="n"/>
      <c r="F274" s="63" t="n"/>
      <c r="G274" s="64" t="n"/>
      <c r="H274" s="64" t="n"/>
      <c r="I274" s="64" t="n"/>
      <c r="J274" s="64" t="n"/>
      <c r="K274" s="65">
        <f>IF(NOT((COUNTA($B274:$J274)+COUNTA($M274))&gt;0),"",IFERROR(LOOKUP(2,1/(G274:J274&lt;&gt;""),G274:J274),0))</f>
        <v/>
      </c>
      <c r="L274" s="60">
        <f>IF(K274="","",IF(K274&gt;=1,"Completado",IF(K274&gt;0,"En curso","Pendiente")))</f>
        <v/>
      </c>
      <c r="M274" s="61" t="n"/>
      <c r="N274" s="66">
        <f>IF(NOT((COUNTA($B274:$J274)+COUNTA($M274))&gt;0),"",IF((IF(B274="","Macroactividad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 OK","⚠ "&amp;LEFT(IF(B274="","Macroactividad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",""),LEN(IF(B274="","Macroactividad vacía"&amp;" · ","")&amp;IF(C274="","Sin responsable"&amp;" · ","")&amp;IF(D274="","Sin fecha de inicio"&amp;" · ","")&amp;IF(E274="","Sin fecha límite"&amp;" · ","")&amp;IF(OR(AND(D274&lt;&gt;"",NOT(ISNUMBER(D274))),AND(E274&lt;&gt;"",NOT(ISNUMBER(E274)))),"Fecha no válida"&amp;" · ","")&amp;IF(AND(ISNUMBER(D274),ISNUMBER(E274),D274&gt;E274),"Inicio posterior a fecha límite"&amp;" · ","")&amp;IF(F274="","Peso vacío"&amp;" · ","")&amp;IF(AND(F274&lt;&gt;"",OR(NOT(ISNUMBER(F274)),F274&lt;=0,F274&gt;1)),"Peso fuera de rango"&amp;" · ","")&amp;IF(ABS(SUMIFS($F$5:$F$1000,$O$5:$O$1000,$O274)-1)&gt;0.0001,"Pesos del mes suman "&amp;TEXT(SUMIFS($F$5:$F$1000,$O$5:$O$1000,$O274),"0%")&amp;" · ","")&amp;IF((COUNTIF(G274:J274,"&gt;1")+COUNTIF(G274:J274,"&lt;0")+COUNTA(G274:J274)-COUNT(G274:J274))&gt;0,"Avance fuera de rango 0-100%"&amp;" · ","")&amp;IF(OR(AND(H274&lt;&gt;"",H274&lt;G274),AND(I274&lt;&gt;"",I274&lt;MAX(G274:H274)),AND(J274&lt;&gt;"",J274&lt;MAX(G274:I274))),"Avance semanal decreciente"&amp;" · ","")&amp;IF(AND(ISNUMBER(E274),E274&lt;FechaRef,N(K274)&lt;1),"Vencida"&amp;" · ","")&amp;IF(AND(ObsObligatoria="Sí",ISNUMBER(E274),E274&lt;FechaRef,N(K274)&lt;1,M274=""),"Vencida sin observación"&amp;" · ",""))-3)))</f>
        <v/>
      </c>
      <c r="O274" s="67">
        <f>IF(NOT((COUNTA($B274:$J274)+COUNTA($M274))&gt;0),"",IF(ISNUMBER($D274),DATE(YEAR($D274),MONTH($D274),1),IF(ISNUMBER($E274),DATE(YEAR($E274),MONTH($E274),1),MesCiclo)))</f>
        <v/>
      </c>
      <c r="P274" s="68">
        <f>IF(OR($O274="",$O274&lt;&gt;MesCiclo),"",COUNTIF($O$5:$O274,MesCiclo))</f>
        <v/>
      </c>
    </row>
    <row r="275">
      <c r="A275" s="60">
        <f>IF(NOT((COUNTA($B275:$J275)+COUNTA($M275))&gt;0),"",COUNTIFS($L$5:$L275,"?*",$O$5:$O275,$O275))</f>
        <v/>
      </c>
      <c r="B275" s="61" t="n"/>
      <c r="C275" s="61" t="n"/>
      <c r="D275" s="62" t="n"/>
      <c r="E275" s="62" t="n"/>
      <c r="F275" s="63" t="n"/>
      <c r="G275" s="64" t="n"/>
      <c r="H275" s="64" t="n"/>
      <c r="I275" s="64" t="n"/>
      <c r="J275" s="64" t="n"/>
      <c r="K275" s="65">
        <f>IF(NOT((COUNTA($B275:$J275)+COUNTA($M275))&gt;0),"",IFERROR(LOOKUP(2,1/(G275:J275&lt;&gt;""),G275:J275),0))</f>
        <v/>
      </c>
      <c r="L275" s="60">
        <f>IF(K275="","",IF(K275&gt;=1,"Completado",IF(K275&gt;0,"En curso","Pendiente")))</f>
        <v/>
      </c>
      <c r="M275" s="61" t="n"/>
      <c r="N275" s="66">
        <f>IF(NOT((COUNTA($B275:$J275)+COUNTA($M275))&gt;0),"",IF((IF(B275="","Macroactividad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 OK","⚠ "&amp;LEFT(IF(B275="","Macroactividad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",""),LEN(IF(B275="","Macroactividad vacía"&amp;" · ","")&amp;IF(C275="","Sin responsable"&amp;" · ","")&amp;IF(D275="","Sin fecha de inicio"&amp;" · ","")&amp;IF(E275="","Sin fecha límite"&amp;" · ","")&amp;IF(OR(AND(D275&lt;&gt;"",NOT(ISNUMBER(D275))),AND(E275&lt;&gt;"",NOT(ISNUMBER(E275)))),"Fecha no válida"&amp;" · ","")&amp;IF(AND(ISNUMBER(D275),ISNUMBER(E275),D275&gt;E275),"Inicio posterior a fecha límite"&amp;" · ","")&amp;IF(F275="","Peso vacío"&amp;" · ","")&amp;IF(AND(F275&lt;&gt;"",OR(NOT(ISNUMBER(F275)),F275&lt;=0,F275&gt;1)),"Peso fuera de rango"&amp;" · ","")&amp;IF(ABS(SUMIFS($F$5:$F$1000,$O$5:$O$1000,$O275)-1)&gt;0.0001,"Pesos del mes suman "&amp;TEXT(SUMIFS($F$5:$F$1000,$O$5:$O$1000,$O275),"0%")&amp;" · ","")&amp;IF((COUNTIF(G275:J275,"&gt;1")+COUNTIF(G275:J275,"&lt;0")+COUNTA(G275:J275)-COUNT(G275:J275))&gt;0,"Avance fuera de rango 0-100%"&amp;" · ","")&amp;IF(OR(AND(H275&lt;&gt;"",H275&lt;G275),AND(I275&lt;&gt;"",I275&lt;MAX(G275:H275)),AND(J275&lt;&gt;"",J275&lt;MAX(G275:I275))),"Avance semanal decreciente"&amp;" · ","")&amp;IF(AND(ISNUMBER(E275),E275&lt;FechaRef,N(K275)&lt;1),"Vencida"&amp;" · ","")&amp;IF(AND(ObsObligatoria="Sí",ISNUMBER(E275),E275&lt;FechaRef,N(K275)&lt;1,M275=""),"Vencida sin observación"&amp;" · ",""))-3)))</f>
        <v/>
      </c>
      <c r="O275" s="67">
        <f>IF(NOT((COUNTA($B275:$J275)+COUNTA($M275))&gt;0),"",IF(ISNUMBER($D275),DATE(YEAR($D275),MONTH($D275),1),IF(ISNUMBER($E275),DATE(YEAR($E275),MONTH($E275),1),MesCiclo)))</f>
        <v/>
      </c>
      <c r="P275" s="68">
        <f>IF(OR($O275="",$O275&lt;&gt;MesCiclo),"",COUNTIF($O$5:$O275,MesCiclo))</f>
        <v/>
      </c>
    </row>
    <row r="276">
      <c r="A276" s="60">
        <f>IF(NOT((COUNTA($B276:$J276)+COUNTA($M276))&gt;0),"",COUNTIFS($L$5:$L276,"?*",$O$5:$O276,$O276))</f>
        <v/>
      </c>
      <c r="B276" s="61" t="n"/>
      <c r="C276" s="61" t="n"/>
      <c r="D276" s="62" t="n"/>
      <c r="E276" s="62" t="n"/>
      <c r="F276" s="63" t="n"/>
      <c r="G276" s="64" t="n"/>
      <c r="H276" s="64" t="n"/>
      <c r="I276" s="64" t="n"/>
      <c r="J276" s="64" t="n"/>
      <c r="K276" s="65">
        <f>IF(NOT((COUNTA($B276:$J276)+COUNTA($M276))&gt;0),"",IFERROR(LOOKUP(2,1/(G276:J276&lt;&gt;""),G276:J276),0))</f>
        <v/>
      </c>
      <c r="L276" s="60">
        <f>IF(K276="","",IF(K276&gt;=1,"Completado",IF(K276&gt;0,"En curso","Pendiente")))</f>
        <v/>
      </c>
      <c r="M276" s="61" t="n"/>
      <c r="N276" s="66">
        <f>IF(NOT((COUNTA($B276:$J276)+COUNTA($M276))&gt;0),"",IF((IF(B276="","Macroactividad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 OK","⚠ "&amp;LEFT(IF(B276="","Macroactividad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",""),LEN(IF(B276="","Macroactividad vacía"&amp;" · ","")&amp;IF(C276="","Sin responsable"&amp;" · ","")&amp;IF(D276="","Sin fecha de inicio"&amp;" · ","")&amp;IF(E276="","Sin fecha límite"&amp;" · ","")&amp;IF(OR(AND(D276&lt;&gt;"",NOT(ISNUMBER(D276))),AND(E276&lt;&gt;"",NOT(ISNUMBER(E276)))),"Fecha no válida"&amp;" · ","")&amp;IF(AND(ISNUMBER(D276),ISNUMBER(E276),D276&gt;E276),"Inicio posterior a fecha límite"&amp;" · ","")&amp;IF(F276="","Peso vacío"&amp;" · ","")&amp;IF(AND(F276&lt;&gt;"",OR(NOT(ISNUMBER(F276)),F276&lt;=0,F276&gt;1)),"Peso fuera de rango"&amp;" · ","")&amp;IF(ABS(SUMIFS($F$5:$F$1000,$O$5:$O$1000,$O276)-1)&gt;0.0001,"Pesos del mes suman "&amp;TEXT(SUMIFS($F$5:$F$1000,$O$5:$O$1000,$O276),"0%")&amp;" · ","")&amp;IF((COUNTIF(G276:J276,"&gt;1")+COUNTIF(G276:J276,"&lt;0")+COUNTA(G276:J276)-COUNT(G276:J276))&gt;0,"Avance fuera de rango 0-100%"&amp;" · ","")&amp;IF(OR(AND(H276&lt;&gt;"",H276&lt;G276),AND(I276&lt;&gt;"",I276&lt;MAX(G276:H276)),AND(J276&lt;&gt;"",J276&lt;MAX(G276:I276))),"Avance semanal decreciente"&amp;" · ","")&amp;IF(AND(ISNUMBER(E276),E276&lt;FechaRef,N(K276)&lt;1),"Vencida"&amp;" · ","")&amp;IF(AND(ObsObligatoria="Sí",ISNUMBER(E276),E276&lt;FechaRef,N(K276)&lt;1,M276=""),"Vencida sin observación"&amp;" · ",""))-3)))</f>
        <v/>
      </c>
      <c r="O276" s="67">
        <f>IF(NOT((COUNTA($B276:$J276)+COUNTA($M276))&gt;0),"",IF(ISNUMBER($D276),DATE(YEAR($D276),MONTH($D276),1),IF(ISNUMBER($E276),DATE(YEAR($E276),MONTH($E276),1),MesCiclo)))</f>
        <v/>
      </c>
      <c r="P276" s="68">
        <f>IF(OR($O276="",$O276&lt;&gt;MesCiclo),"",COUNTIF($O$5:$O276,MesCiclo))</f>
        <v/>
      </c>
    </row>
    <row r="277">
      <c r="A277" s="60">
        <f>IF(NOT((COUNTA($B277:$J277)+COUNTA($M277))&gt;0),"",COUNTIFS($L$5:$L277,"?*",$O$5:$O277,$O277))</f>
        <v/>
      </c>
      <c r="B277" s="61" t="n"/>
      <c r="C277" s="61" t="n"/>
      <c r="D277" s="62" t="n"/>
      <c r="E277" s="62" t="n"/>
      <c r="F277" s="63" t="n"/>
      <c r="G277" s="64" t="n"/>
      <c r="H277" s="64" t="n"/>
      <c r="I277" s="64" t="n"/>
      <c r="J277" s="64" t="n"/>
      <c r="K277" s="65">
        <f>IF(NOT((COUNTA($B277:$J277)+COUNTA($M277))&gt;0),"",IFERROR(LOOKUP(2,1/(G277:J277&lt;&gt;""),G277:J277),0))</f>
        <v/>
      </c>
      <c r="L277" s="60">
        <f>IF(K277="","",IF(K277&gt;=1,"Completado",IF(K277&gt;0,"En curso","Pendiente")))</f>
        <v/>
      </c>
      <c r="M277" s="61" t="n"/>
      <c r="N277" s="66">
        <f>IF(NOT((COUNTA($B277:$J277)+COUNTA($M277))&gt;0),"",IF((IF(B277="","Macroactividad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 OK","⚠ "&amp;LEFT(IF(B277="","Macroactividad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",""),LEN(IF(B277="","Macroactividad vacía"&amp;" · ","")&amp;IF(C277="","Sin responsable"&amp;" · ","")&amp;IF(D277="","Sin fecha de inicio"&amp;" · ","")&amp;IF(E277="","Sin fecha límite"&amp;" · ","")&amp;IF(OR(AND(D277&lt;&gt;"",NOT(ISNUMBER(D277))),AND(E277&lt;&gt;"",NOT(ISNUMBER(E277)))),"Fecha no válida"&amp;" · ","")&amp;IF(AND(ISNUMBER(D277),ISNUMBER(E277),D277&gt;E277),"Inicio posterior a fecha límite"&amp;" · ","")&amp;IF(F277="","Peso vacío"&amp;" · ","")&amp;IF(AND(F277&lt;&gt;"",OR(NOT(ISNUMBER(F277)),F277&lt;=0,F277&gt;1)),"Peso fuera de rango"&amp;" · ","")&amp;IF(ABS(SUMIFS($F$5:$F$1000,$O$5:$O$1000,$O277)-1)&gt;0.0001,"Pesos del mes suman "&amp;TEXT(SUMIFS($F$5:$F$1000,$O$5:$O$1000,$O277),"0%")&amp;" · ","")&amp;IF((COUNTIF(G277:J277,"&gt;1")+COUNTIF(G277:J277,"&lt;0")+COUNTA(G277:J277)-COUNT(G277:J277))&gt;0,"Avance fuera de rango 0-100%"&amp;" · ","")&amp;IF(OR(AND(H277&lt;&gt;"",H277&lt;G277),AND(I277&lt;&gt;"",I277&lt;MAX(G277:H277)),AND(J277&lt;&gt;"",J277&lt;MAX(G277:I277))),"Avance semanal decreciente"&amp;" · ","")&amp;IF(AND(ISNUMBER(E277),E277&lt;FechaRef,N(K277)&lt;1),"Vencida"&amp;" · ","")&amp;IF(AND(ObsObligatoria="Sí",ISNUMBER(E277),E277&lt;FechaRef,N(K277)&lt;1,M277=""),"Vencida sin observación"&amp;" · ",""))-3)))</f>
        <v/>
      </c>
      <c r="O277" s="67">
        <f>IF(NOT((COUNTA($B277:$J277)+COUNTA($M277))&gt;0),"",IF(ISNUMBER($D277),DATE(YEAR($D277),MONTH($D277),1),IF(ISNUMBER($E277),DATE(YEAR($E277),MONTH($E277),1),MesCiclo)))</f>
        <v/>
      </c>
      <c r="P277" s="68">
        <f>IF(OR($O277="",$O277&lt;&gt;MesCiclo),"",COUNTIF($O$5:$O277,MesCiclo))</f>
        <v/>
      </c>
    </row>
    <row r="278">
      <c r="A278" s="60">
        <f>IF(NOT((COUNTA($B278:$J278)+COUNTA($M278))&gt;0),"",COUNTIFS($L$5:$L278,"?*",$O$5:$O278,$O278))</f>
        <v/>
      </c>
      <c r="B278" s="61" t="n"/>
      <c r="C278" s="61" t="n"/>
      <c r="D278" s="62" t="n"/>
      <c r="E278" s="62" t="n"/>
      <c r="F278" s="63" t="n"/>
      <c r="G278" s="64" t="n"/>
      <c r="H278" s="64" t="n"/>
      <c r="I278" s="64" t="n"/>
      <c r="J278" s="64" t="n"/>
      <c r="K278" s="65">
        <f>IF(NOT((COUNTA($B278:$J278)+COUNTA($M278))&gt;0),"",IFERROR(LOOKUP(2,1/(G278:J278&lt;&gt;""),G278:J278),0))</f>
        <v/>
      </c>
      <c r="L278" s="60">
        <f>IF(K278="","",IF(K278&gt;=1,"Completado",IF(K278&gt;0,"En curso","Pendiente")))</f>
        <v/>
      </c>
      <c r="M278" s="61" t="n"/>
      <c r="N278" s="66">
        <f>IF(NOT((COUNTA($B278:$J278)+COUNTA($M278))&gt;0),"",IF((IF(B278="","Macroactividad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 OK","⚠ "&amp;LEFT(IF(B278="","Macroactividad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",""),LEN(IF(B278="","Macroactividad vacía"&amp;" · ","")&amp;IF(C278="","Sin responsable"&amp;" · ","")&amp;IF(D278="","Sin fecha de inicio"&amp;" · ","")&amp;IF(E278="","Sin fecha límite"&amp;" · ","")&amp;IF(OR(AND(D278&lt;&gt;"",NOT(ISNUMBER(D278))),AND(E278&lt;&gt;"",NOT(ISNUMBER(E278)))),"Fecha no válida"&amp;" · ","")&amp;IF(AND(ISNUMBER(D278),ISNUMBER(E278),D278&gt;E278),"Inicio posterior a fecha límite"&amp;" · ","")&amp;IF(F278="","Peso vacío"&amp;" · ","")&amp;IF(AND(F278&lt;&gt;"",OR(NOT(ISNUMBER(F278)),F278&lt;=0,F278&gt;1)),"Peso fuera de rango"&amp;" · ","")&amp;IF(ABS(SUMIFS($F$5:$F$1000,$O$5:$O$1000,$O278)-1)&gt;0.0001,"Pesos del mes suman "&amp;TEXT(SUMIFS($F$5:$F$1000,$O$5:$O$1000,$O278),"0%")&amp;" · ","")&amp;IF((COUNTIF(G278:J278,"&gt;1")+COUNTIF(G278:J278,"&lt;0")+COUNTA(G278:J278)-COUNT(G278:J278))&gt;0,"Avance fuera de rango 0-100%"&amp;" · ","")&amp;IF(OR(AND(H278&lt;&gt;"",H278&lt;G278),AND(I278&lt;&gt;"",I278&lt;MAX(G278:H278)),AND(J278&lt;&gt;"",J278&lt;MAX(G278:I278))),"Avance semanal decreciente"&amp;" · ","")&amp;IF(AND(ISNUMBER(E278),E278&lt;FechaRef,N(K278)&lt;1),"Vencida"&amp;" · ","")&amp;IF(AND(ObsObligatoria="Sí",ISNUMBER(E278),E278&lt;FechaRef,N(K278)&lt;1,M278=""),"Vencida sin observación"&amp;" · ",""))-3)))</f>
        <v/>
      </c>
      <c r="O278" s="67">
        <f>IF(NOT((COUNTA($B278:$J278)+COUNTA($M278))&gt;0),"",IF(ISNUMBER($D278),DATE(YEAR($D278),MONTH($D278),1),IF(ISNUMBER($E278),DATE(YEAR($E278),MONTH($E278),1),MesCiclo)))</f>
        <v/>
      </c>
      <c r="P278" s="68">
        <f>IF(OR($O278="",$O278&lt;&gt;MesCiclo),"",COUNTIF($O$5:$O278,MesCiclo))</f>
        <v/>
      </c>
    </row>
    <row r="279">
      <c r="A279" s="60">
        <f>IF(NOT((COUNTA($B279:$J279)+COUNTA($M279))&gt;0),"",COUNTIFS($L$5:$L279,"?*",$O$5:$O279,$O279))</f>
        <v/>
      </c>
      <c r="B279" s="61" t="n"/>
      <c r="C279" s="61" t="n"/>
      <c r="D279" s="62" t="n"/>
      <c r="E279" s="62" t="n"/>
      <c r="F279" s="63" t="n"/>
      <c r="G279" s="64" t="n"/>
      <c r="H279" s="64" t="n"/>
      <c r="I279" s="64" t="n"/>
      <c r="J279" s="64" t="n"/>
      <c r="K279" s="65">
        <f>IF(NOT((COUNTA($B279:$J279)+COUNTA($M279))&gt;0),"",IFERROR(LOOKUP(2,1/(G279:J279&lt;&gt;""),G279:J279),0))</f>
        <v/>
      </c>
      <c r="L279" s="60">
        <f>IF(K279="","",IF(K279&gt;=1,"Completado",IF(K279&gt;0,"En curso","Pendiente")))</f>
        <v/>
      </c>
      <c r="M279" s="61" t="n"/>
      <c r="N279" s="66">
        <f>IF(NOT((COUNTA($B279:$J279)+COUNTA($M279))&gt;0),"",IF((IF(B279="","Macroactividad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 OK","⚠ "&amp;LEFT(IF(B279="","Macroactividad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",""),LEN(IF(B279="","Macroactividad vacía"&amp;" · ","")&amp;IF(C279="","Sin responsable"&amp;" · ","")&amp;IF(D279="","Sin fecha de inicio"&amp;" · ","")&amp;IF(E279="","Sin fecha límite"&amp;" · ","")&amp;IF(OR(AND(D279&lt;&gt;"",NOT(ISNUMBER(D279))),AND(E279&lt;&gt;"",NOT(ISNUMBER(E279)))),"Fecha no válida"&amp;" · ","")&amp;IF(AND(ISNUMBER(D279),ISNUMBER(E279),D279&gt;E279),"Inicio posterior a fecha límite"&amp;" · ","")&amp;IF(F279="","Peso vacío"&amp;" · ","")&amp;IF(AND(F279&lt;&gt;"",OR(NOT(ISNUMBER(F279)),F279&lt;=0,F279&gt;1)),"Peso fuera de rango"&amp;" · ","")&amp;IF(ABS(SUMIFS($F$5:$F$1000,$O$5:$O$1000,$O279)-1)&gt;0.0001,"Pesos del mes suman "&amp;TEXT(SUMIFS($F$5:$F$1000,$O$5:$O$1000,$O279),"0%")&amp;" · ","")&amp;IF((COUNTIF(G279:J279,"&gt;1")+COUNTIF(G279:J279,"&lt;0")+COUNTA(G279:J279)-COUNT(G279:J279))&gt;0,"Avance fuera de rango 0-100%"&amp;" · ","")&amp;IF(OR(AND(H279&lt;&gt;"",H279&lt;G279),AND(I279&lt;&gt;"",I279&lt;MAX(G279:H279)),AND(J279&lt;&gt;"",J279&lt;MAX(G279:I279))),"Avance semanal decreciente"&amp;" · ","")&amp;IF(AND(ISNUMBER(E279),E279&lt;FechaRef,N(K279)&lt;1),"Vencida"&amp;" · ","")&amp;IF(AND(ObsObligatoria="Sí",ISNUMBER(E279),E279&lt;FechaRef,N(K279)&lt;1,M279=""),"Vencida sin observación"&amp;" · ",""))-3)))</f>
        <v/>
      </c>
      <c r="O279" s="67">
        <f>IF(NOT((COUNTA($B279:$J279)+COUNTA($M279))&gt;0),"",IF(ISNUMBER($D279),DATE(YEAR($D279),MONTH($D279),1),IF(ISNUMBER($E279),DATE(YEAR($E279),MONTH($E279),1),MesCiclo)))</f>
        <v/>
      </c>
      <c r="P279" s="68">
        <f>IF(OR($O279="",$O279&lt;&gt;MesCiclo),"",COUNTIF($O$5:$O279,MesCiclo))</f>
        <v/>
      </c>
    </row>
    <row r="280">
      <c r="A280" s="60">
        <f>IF(NOT((COUNTA($B280:$J280)+COUNTA($M280))&gt;0),"",COUNTIFS($L$5:$L280,"?*",$O$5:$O280,$O280))</f>
        <v/>
      </c>
      <c r="B280" s="61" t="n"/>
      <c r="C280" s="61" t="n"/>
      <c r="D280" s="62" t="n"/>
      <c r="E280" s="62" t="n"/>
      <c r="F280" s="63" t="n"/>
      <c r="G280" s="64" t="n"/>
      <c r="H280" s="64" t="n"/>
      <c r="I280" s="64" t="n"/>
      <c r="J280" s="64" t="n"/>
      <c r="K280" s="65">
        <f>IF(NOT((COUNTA($B280:$J280)+COUNTA($M280))&gt;0),"",IFERROR(LOOKUP(2,1/(G280:J280&lt;&gt;""),G280:J280),0))</f>
        <v/>
      </c>
      <c r="L280" s="60">
        <f>IF(K280="","",IF(K280&gt;=1,"Completado",IF(K280&gt;0,"En curso","Pendiente")))</f>
        <v/>
      </c>
      <c r="M280" s="61" t="n"/>
      <c r="N280" s="66">
        <f>IF(NOT((COUNTA($B280:$J280)+COUNTA($M280))&gt;0),"",IF((IF(B280="","Macroactividad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 OK","⚠ "&amp;LEFT(IF(B280="","Macroactividad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",""),LEN(IF(B280="","Macroactividad vacía"&amp;" · ","")&amp;IF(C280="","Sin responsable"&amp;" · ","")&amp;IF(D280="","Sin fecha de inicio"&amp;" · ","")&amp;IF(E280="","Sin fecha límite"&amp;" · ","")&amp;IF(OR(AND(D280&lt;&gt;"",NOT(ISNUMBER(D280))),AND(E280&lt;&gt;"",NOT(ISNUMBER(E280)))),"Fecha no válida"&amp;" · ","")&amp;IF(AND(ISNUMBER(D280),ISNUMBER(E280),D280&gt;E280),"Inicio posterior a fecha límite"&amp;" · ","")&amp;IF(F280="","Peso vacío"&amp;" · ","")&amp;IF(AND(F280&lt;&gt;"",OR(NOT(ISNUMBER(F280)),F280&lt;=0,F280&gt;1)),"Peso fuera de rango"&amp;" · ","")&amp;IF(ABS(SUMIFS($F$5:$F$1000,$O$5:$O$1000,$O280)-1)&gt;0.0001,"Pesos del mes suman "&amp;TEXT(SUMIFS($F$5:$F$1000,$O$5:$O$1000,$O280),"0%")&amp;" · ","")&amp;IF((COUNTIF(G280:J280,"&gt;1")+COUNTIF(G280:J280,"&lt;0")+COUNTA(G280:J280)-COUNT(G280:J280))&gt;0,"Avance fuera de rango 0-100%"&amp;" · ","")&amp;IF(OR(AND(H280&lt;&gt;"",H280&lt;G280),AND(I280&lt;&gt;"",I280&lt;MAX(G280:H280)),AND(J280&lt;&gt;"",J280&lt;MAX(G280:I280))),"Avance semanal decreciente"&amp;" · ","")&amp;IF(AND(ISNUMBER(E280),E280&lt;FechaRef,N(K280)&lt;1),"Vencida"&amp;" · ","")&amp;IF(AND(ObsObligatoria="Sí",ISNUMBER(E280),E280&lt;FechaRef,N(K280)&lt;1,M280=""),"Vencida sin observación"&amp;" · ",""))-3)))</f>
        <v/>
      </c>
      <c r="O280" s="67">
        <f>IF(NOT((COUNTA($B280:$J280)+COUNTA($M280))&gt;0),"",IF(ISNUMBER($D280),DATE(YEAR($D280),MONTH($D280),1),IF(ISNUMBER($E280),DATE(YEAR($E280),MONTH($E280),1),MesCiclo)))</f>
        <v/>
      </c>
      <c r="P280" s="68">
        <f>IF(OR($O280="",$O280&lt;&gt;MesCiclo),"",COUNTIF($O$5:$O280,MesCiclo))</f>
        <v/>
      </c>
    </row>
    <row r="281">
      <c r="A281" s="60">
        <f>IF(NOT((COUNTA($B281:$J281)+COUNTA($M281))&gt;0),"",COUNTIFS($L$5:$L281,"?*",$O$5:$O281,$O281))</f>
        <v/>
      </c>
      <c r="B281" s="61" t="n"/>
      <c r="C281" s="61" t="n"/>
      <c r="D281" s="62" t="n"/>
      <c r="E281" s="62" t="n"/>
      <c r="F281" s="63" t="n"/>
      <c r="G281" s="64" t="n"/>
      <c r="H281" s="64" t="n"/>
      <c r="I281" s="64" t="n"/>
      <c r="J281" s="64" t="n"/>
      <c r="K281" s="65">
        <f>IF(NOT((COUNTA($B281:$J281)+COUNTA($M281))&gt;0),"",IFERROR(LOOKUP(2,1/(G281:J281&lt;&gt;""),G281:J281),0))</f>
        <v/>
      </c>
      <c r="L281" s="60">
        <f>IF(K281="","",IF(K281&gt;=1,"Completado",IF(K281&gt;0,"En curso","Pendiente")))</f>
        <v/>
      </c>
      <c r="M281" s="61" t="n"/>
      <c r="N281" s="66">
        <f>IF(NOT((COUNTA($B281:$J281)+COUNTA($M281))&gt;0),"",IF((IF(B281="","Macroactividad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 OK","⚠ "&amp;LEFT(IF(B281="","Macroactividad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",""),LEN(IF(B281="","Macroactividad vacía"&amp;" · ","")&amp;IF(C281="","Sin responsable"&amp;" · ","")&amp;IF(D281="","Sin fecha de inicio"&amp;" · ","")&amp;IF(E281="","Sin fecha límite"&amp;" · ","")&amp;IF(OR(AND(D281&lt;&gt;"",NOT(ISNUMBER(D281))),AND(E281&lt;&gt;"",NOT(ISNUMBER(E281)))),"Fecha no válida"&amp;" · ","")&amp;IF(AND(ISNUMBER(D281),ISNUMBER(E281),D281&gt;E281),"Inicio posterior a fecha límite"&amp;" · ","")&amp;IF(F281="","Peso vacío"&amp;" · ","")&amp;IF(AND(F281&lt;&gt;"",OR(NOT(ISNUMBER(F281)),F281&lt;=0,F281&gt;1)),"Peso fuera de rango"&amp;" · ","")&amp;IF(ABS(SUMIFS($F$5:$F$1000,$O$5:$O$1000,$O281)-1)&gt;0.0001,"Pesos del mes suman "&amp;TEXT(SUMIFS($F$5:$F$1000,$O$5:$O$1000,$O281),"0%")&amp;" · ","")&amp;IF((COUNTIF(G281:J281,"&gt;1")+COUNTIF(G281:J281,"&lt;0")+COUNTA(G281:J281)-COUNT(G281:J281))&gt;0,"Avance fuera de rango 0-100%"&amp;" · ","")&amp;IF(OR(AND(H281&lt;&gt;"",H281&lt;G281),AND(I281&lt;&gt;"",I281&lt;MAX(G281:H281)),AND(J281&lt;&gt;"",J281&lt;MAX(G281:I281))),"Avance semanal decreciente"&amp;" · ","")&amp;IF(AND(ISNUMBER(E281),E281&lt;FechaRef,N(K281)&lt;1),"Vencida"&amp;" · ","")&amp;IF(AND(ObsObligatoria="Sí",ISNUMBER(E281),E281&lt;FechaRef,N(K281)&lt;1,M281=""),"Vencida sin observación"&amp;" · ",""))-3)))</f>
        <v/>
      </c>
      <c r="O281" s="67">
        <f>IF(NOT((COUNTA($B281:$J281)+COUNTA($M281))&gt;0),"",IF(ISNUMBER($D281),DATE(YEAR($D281),MONTH($D281),1),IF(ISNUMBER($E281),DATE(YEAR($E281),MONTH($E281),1),MesCiclo)))</f>
        <v/>
      </c>
      <c r="P281" s="68">
        <f>IF(OR($O281="",$O281&lt;&gt;MesCiclo),"",COUNTIF($O$5:$O281,MesCiclo))</f>
        <v/>
      </c>
    </row>
    <row r="282">
      <c r="A282" s="60">
        <f>IF(NOT((COUNTA($B282:$J282)+COUNTA($M282))&gt;0),"",COUNTIFS($L$5:$L282,"?*",$O$5:$O282,$O282))</f>
        <v/>
      </c>
      <c r="B282" s="61" t="n"/>
      <c r="C282" s="61" t="n"/>
      <c r="D282" s="62" t="n"/>
      <c r="E282" s="62" t="n"/>
      <c r="F282" s="63" t="n"/>
      <c r="G282" s="64" t="n"/>
      <c r="H282" s="64" t="n"/>
      <c r="I282" s="64" t="n"/>
      <c r="J282" s="64" t="n"/>
      <c r="K282" s="65">
        <f>IF(NOT((COUNTA($B282:$J282)+COUNTA($M282))&gt;0),"",IFERROR(LOOKUP(2,1/(G282:J282&lt;&gt;""),G282:J282),0))</f>
        <v/>
      </c>
      <c r="L282" s="60">
        <f>IF(K282="","",IF(K282&gt;=1,"Completado",IF(K282&gt;0,"En curso","Pendiente")))</f>
        <v/>
      </c>
      <c r="M282" s="61" t="n"/>
      <c r="N282" s="66">
        <f>IF(NOT((COUNTA($B282:$J282)+COUNTA($M282))&gt;0),"",IF((IF(B282="","Macroactividad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 OK","⚠ "&amp;LEFT(IF(B282="","Macroactividad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",""),LEN(IF(B282="","Macroactividad vacía"&amp;" · ","")&amp;IF(C282="","Sin responsable"&amp;" · ","")&amp;IF(D282="","Sin fecha de inicio"&amp;" · ","")&amp;IF(E282="","Sin fecha límite"&amp;" · ","")&amp;IF(OR(AND(D282&lt;&gt;"",NOT(ISNUMBER(D282))),AND(E282&lt;&gt;"",NOT(ISNUMBER(E282)))),"Fecha no válida"&amp;" · ","")&amp;IF(AND(ISNUMBER(D282),ISNUMBER(E282),D282&gt;E282),"Inicio posterior a fecha límite"&amp;" · ","")&amp;IF(F282="","Peso vacío"&amp;" · ","")&amp;IF(AND(F282&lt;&gt;"",OR(NOT(ISNUMBER(F282)),F282&lt;=0,F282&gt;1)),"Peso fuera de rango"&amp;" · ","")&amp;IF(ABS(SUMIFS($F$5:$F$1000,$O$5:$O$1000,$O282)-1)&gt;0.0001,"Pesos del mes suman "&amp;TEXT(SUMIFS($F$5:$F$1000,$O$5:$O$1000,$O282),"0%")&amp;" · ","")&amp;IF((COUNTIF(G282:J282,"&gt;1")+COUNTIF(G282:J282,"&lt;0")+COUNTA(G282:J282)-COUNT(G282:J282))&gt;0,"Avance fuera de rango 0-100%"&amp;" · ","")&amp;IF(OR(AND(H282&lt;&gt;"",H282&lt;G282),AND(I282&lt;&gt;"",I282&lt;MAX(G282:H282)),AND(J282&lt;&gt;"",J282&lt;MAX(G282:I282))),"Avance semanal decreciente"&amp;" · ","")&amp;IF(AND(ISNUMBER(E282),E282&lt;FechaRef,N(K282)&lt;1),"Vencida"&amp;" · ","")&amp;IF(AND(ObsObligatoria="Sí",ISNUMBER(E282),E282&lt;FechaRef,N(K282)&lt;1,M282=""),"Vencida sin observación"&amp;" · ",""))-3)))</f>
        <v/>
      </c>
      <c r="O282" s="67">
        <f>IF(NOT((COUNTA($B282:$J282)+COUNTA($M282))&gt;0),"",IF(ISNUMBER($D282),DATE(YEAR($D282),MONTH($D282),1),IF(ISNUMBER($E282),DATE(YEAR($E282),MONTH($E282),1),MesCiclo)))</f>
        <v/>
      </c>
      <c r="P282" s="68">
        <f>IF(OR($O282="",$O282&lt;&gt;MesCiclo),"",COUNTIF($O$5:$O282,MesCiclo))</f>
        <v/>
      </c>
    </row>
    <row r="283">
      <c r="A283" s="60">
        <f>IF(NOT((COUNTA($B283:$J283)+COUNTA($M283))&gt;0),"",COUNTIFS($L$5:$L283,"?*",$O$5:$O283,$O283))</f>
        <v/>
      </c>
      <c r="B283" s="61" t="n"/>
      <c r="C283" s="61" t="n"/>
      <c r="D283" s="62" t="n"/>
      <c r="E283" s="62" t="n"/>
      <c r="F283" s="63" t="n"/>
      <c r="G283" s="64" t="n"/>
      <c r="H283" s="64" t="n"/>
      <c r="I283" s="64" t="n"/>
      <c r="J283" s="64" t="n"/>
      <c r="K283" s="65">
        <f>IF(NOT((COUNTA($B283:$J283)+COUNTA($M283))&gt;0),"",IFERROR(LOOKUP(2,1/(G283:J283&lt;&gt;""),G283:J283),0))</f>
        <v/>
      </c>
      <c r="L283" s="60">
        <f>IF(K283="","",IF(K283&gt;=1,"Completado",IF(K283&gt;0,"En curso","Pendiente")))</f>
        <v/>
      </c>
      <c r="M283" s="61" t="n"/>
      <c r="N283" s="66">
        <f>IF(NOT((COUNTA($B283:$J283)+COUNTA($M283))&gt;0),"",IF((IF(B283="","Macroactividad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 OK","⚠ "&amp;LEFT(IF(B283="","Macroactividad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",""),LEN(IF(B283="","Macroactividad vacía"&amp;" · ","")&amp;IF(C283="","Sin responsable"&amp;" · ","")&amp;IF(D283="","Sin fecha de inicio"&amp;" · ","")&amp;IF(E283="","Sin fecha límite"&amp;" · ","")&amp;IF(OR(AND(D283&lt;&gt;"",NOT(ISNUMBER(D283))),AND(E283&lt;&gt;"",NOT(ISNUMBER(E283)))),"Fecha no válida"&amp;" · ","")&amp;IF(AND(ISNUMBER(D283),ISNUMBER(E283),D283&gt;E283),"Inicio posterior a fecha límite"&amp;" · ","")&amp;IF(F283="","Peso vacío"&amp;" · ","")&amp;IF(AND(F283&lt;&gt;"",OR(NOT(ISNUMBER(F283)),F283&lt;=0,F283&gt;1)),"Peso fuera de rango"&amp;" · ","")&amp;IF(ABS(SUMIFS($F$5:$F$1000,$O$5:$O$1000,$O283)-1)&gt;0.0001,"Pesos del mes suman "&amp;TEXT(SUMIFS($F$5:$F$1000,$O$5:$O$1000,$O283),"0%")&amp;" · ","")&amp;IF((COUNTIF(G283:J283,"&gt;1")+COUNTIF(G283:J283,"&lt;0")+COUNTA(G283:J283)-COUNT(G283:J283))&gt;0,"Avance fuera de rango 0-100%"&amp;" · ","")&amp;IF(OR(AND(H283&lt;&gt;"",H283&lt;G283),AND(I283&lt;&gt;"",I283&lt;MAX(G283:H283)),AND(J283&lt;&gt;"",J283&lt;MAX(G283:I283))),"Avance semanal decreciente"&amp;" · ","")&amp;IF(AND(ISNUMBER(E283),E283&lt;FechaRef,N(K283)&lt;1),"Vencida"&amp;" · ","")&amp;IF(AND(ObsObligatoria="Sí",ISNUMBER(E283),E283&lt;FechaRef,N(K283)&lt;1,M283=""),"Vencida sin observación"&amp;" · ",""))-3)))</f>
        <v/>
      </c>
      <c r="O283" s="67">
        <f>IF(NOT((COUNTA($B283:$J283)+COUNTA($M283))&gt;0),"",IF(ISNUMBER($D283),DATE(YEAR($D283),MONTH($D283),1),IF(ISNUMBER($E283),DATE(YEAR($E283),MONTH($E283),1),MesCiclo)))</f>
        <v/>
      </c>
      <c r="P283" s="68">
        <f>IF(OR($O283="",$O283&lt;&gt;MesCiclo),"",COUNTIF($O$5:$O283,MesCiclo))</f>
        <v/>
      </c>
    </row>
    <row r="284">
      <c r="A284" s="60">
        <f>IF(NOT((COUNTA($B284:$J284)+COUNTA($M284))&gt;0),"",COUNTIFS($L$5:$L284,"?*",$O$5:$O284,$O284))</f>
        <v/>
      </c>
      <c r="B284" s="61" t="n"/>
      <c r="C284" s="61" t="n"/>
      <c r="D284" s="62" t="n"/>
      <c r="E284" s="62" t="n"/>
      <c r="F284" s="63" t="n"/>
      <c r="G284" s="64" t="n"/>
      <c r="H284" s="64" t="n"/>
      <c r="I284" s="64" t="n"/>
      <c r="J284" s="64" t="n"/>
      <c r="K284" s="65">
        <f>IF(NOT((COUNTA($B284:$J284)+COUNTA($M284))&gt;0),"",IFERROR(LOOKUP(2,1/(G284:J284&lt;&gt;""),G284:J284),0))</f>
        <v/>
      </c>
      <c r="L284" s="60">
        <f>IF(K284="","",IF(K284&gt;=1,"Completado",IF(K284&gt;0,"En curso","Pendiente")))</f>
        <v/>
      </c>
      <c r="M284" s="61" t="n"/>
      <c r="N284" s="66">
        <f>IF(NOT((COUNTA($B284:$J284)+COUNTA($M284))&gt;0),"",IF((IF(B284="","Macroactividad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 OK","⚠ "&amp;LEFT(IF(B284="","Macroactividad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",""),LEN(IF(B284="","Macroactividad vacía"&amp;" · ","")&amp;IF(C284="","Sin responsable"&amp;" · ","")&amp;IF(D284="","Sin fecha de inicio"&amp;" · ","")&amp;IF(E284="","Sin fecha límite"&amp;" · ","")&amp;IF(OR(AND(D284&lt;&gt;"",NOT(ISNUMBER(D284))),AND(E284&lt;&gt;"",NOT(ISNUMBER(E284)))),"Fecha no válida"&amp;" · ","")&amp;IF(AND(ISNUMBER(D284),ISNUMBER(E284),D284&gt;E284),"Inicio posterior a fecha límite"&amp;" · ","")&amp;IF(F284="","Peso vacío"&amp;" · ","")&amp;IF(AND(F284&lt;&gt;"",OR(NOT(ISNUMBER(F284)),F284&lt;=0,F284&gt;1)),"Peso fuera de rango"&amp;" · ","")&amp;IF(ABS(SUMIFS($F$5:$F$1000,$O$5:$O$1000,$O284)-1)&gt;0.0001,"Pesos del mes suman "&amp;TEXT(SUMIFS($F$5:$F$1000,$O$5:$O$1000,$O284),"0%")&amp;" · ","")&amp;IF((COUNTIF(G284:J284,"&gt;1")+COUNTIF(G284:J284,"&lt;0")+COUNTA(G284:J284)-COUNT(G284:J284))&gt;0,"Avance fuera de rango 0-100%"&amp;" · ","")&amp;IF(OR(AND(H284&lt;&gt;"",H284&lt;G284),AND(I284&lt;&gt;"",I284&lt;MAX(G284:H284)),AND(J284&lt;&gt;"",J284&lt;MAX(G284:I284))),"Avance semanal decreciente"&amp;" · ","")&amp;IF(AND(ISNUMBER(E284),E284&lt;FechaRef,N(K284)&lt;1),"Vencida"&amp;" · ","")&amp;IF(AND(ObsObligatoria="Sí",ISNUMBER(E284),E284&lt;FechaRef,N(K284)&lt;1,M284=""),"Vencida sin observación"&amp;" · ",""))-3)))</f>
        <v/>
      </c>
      <c r="O284" s="67">
        <f>IF(NOT((COUNTA($B284:$J284)+COUNTA($M284))&gt;0),"",IF(ISNUMBER($D284),DATE(YEAR($D284),MONTH($D284),1),IF(ISNUMBER($E284),DATE(YEAR($E284),MONTH($E284),1),MesCiclo)))</f>
        <v/>
      </c>
      <c r="P284" s="68">
        <f>IF(OR($O284="",$O284&lt;&gt;MesCiclo),"",COUNTIF($O$5:$O284,MesCiclo))</f>
        <v/>
      </c>
    </row>
    <row r="285">
      <c r="A285" s="60">
        <f>IF(NOT((COUNTA($B285:$J285)+COUNTA($M285))&gt;0),"",COUNTIFS($L$5:$L285,"?*",$O$5:$O285,$O285))</f>
        <v/>
      </c>
      <c r="B285" s="61" t="n"/>
      <c r="C285" s="61" t="n"/>
      <c r="D285" s="62" t="n"/>
      <c r="E285" s="62" t="n"/>
      <c r="F285" s="63" t="n"/>
      <c r="G285" s="64" t="n"/>
      <c r="H285" s="64" t="n"/>
      <c r="I285" s="64" t="n"/>
      <c r="J285" s="64" t="n"/>
      <c r="K285" s="65">
        <f>IF(NOT((COUNTA($B285:$J285)+COUNTA($M285))&gt;0),"",IFERROR(LOOKUP(2,1/(G285:J285&lt;&gt;""),G285:J285),0))</f>
        <v/>
      </c>
      <c r="L285" s="60">
        <f>IF(K285="","",IF(K285&gt;=1,"Completado",IF(K285&gt;0,"En curso","Pendiente")))</f>
        <v/>
      </c>
      <c r="M285" s="61" t="n"/>
      <c r="N285" s="66">
        <f>IF(NOT((COUNTA($B285:$J285)+COUNTA($M285))&gt;0),"",IF((IF(B285="","Macroactividad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 OK","⚠ "&amp;LEFT(IF(B285="","Macroactividad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",""),LEN(IF(B285="","Macroactividad vacía"&amp;" · ","")&amp;IF(C285="","Sin responsable"&amp;" · ","")&amp;IF(D285="","Sin fecha de inicio"&amp;" · ","")&amp;IF(E285="","Sin fecha límite"&amp;" · ","")&amp;IF(OR(AND(D285&lt;&gt;"",NOT(ISNUMBER(D285))),AND(E285&lt;&gt;"",NOT(ISNUMBER(E285)))),"Fecha no válida"&amp;" · ","")&amp;IF(AND(ISNUMBER(D285),ISNUMBER(E285),D285&gt;E285),"Inicio posterior a fecha límite"&amp;" · ","")&amp;IF(F285="","Peso vacío"&amp;" · ","")&amp;IF(AND(F285&lt;&gt;"",OR(NOT(ISNUMBER(F285)),F285&lt;=0,F285&gt;1)),"Peso fuera de rango"&amp;" · ","")&amp;IF(ABS(SUMIFS($F$5:$F$1000,$O$5:$O$1000,$O285)-1)&gt;0.0001,"Pesos del mes suman "&amp;TEXT(SUMIFS($F$5:$F$1000,$O$5:$O$1000,$O285),"0%")&amp;" · ","")&amp;IF((COUNTIF(G285:J285,"&gt;1")+COUNTIF(G285:J285,"&lt;0")+COUNTA(G285:J285)-COUNT(G285:J285))&gt;0,"Avance fuera de rango 0-100%"&amp;" · ","")&amp;IF(OR(AND(H285&lt;&gt;"",H285&lt;G285),AND(I285&lt;&gt;"",I285&lt;MAX(G285:H285)),AND(J285&lt;&gt;"",J285&lt;MAX(G285:I285))),"Avance semanal decreciente"&amp;" · ","")&amp;IF(AND(ISNUMBER(E285),E285&lt;FechaRef,N(K285)&lt;1),"Vencida"&amp;" · ","")&amp;IF(AND(ObsObligatoria="Sí",ISNUMBER(E285),E285&lt;FechaRef,N(K285)&lt;1,M285=""),"Vencida sin observación"&amp;" · ",""))-3)))</f>
        <v/>
      </c>
      <c r="O285" s="67">
        <f>IF(NOT((COUNTA($B285:$J285)+COUNTA($M285))&gt;0),"",IF(ISNUMBER($D285),DATE(YEAR($D285),MONTH($D285),1),IF(ISNUMBER($E285),DATE(YEAR($E285),MONTH($E285),1),MesCiclo)))</f>
        <v/>
      </c>
      <c r="P285" s="68">
        <f>IF(OR($O285="",$O285&lt;&gt;MesCiclo),"",COUNTIF($O$5:$O285,MesCiclo))</f>
        <v/>
      </c>
    </row>
    <row r="286">
      <c r="A286" s="60">
        <f>IF(NOT((COUNTA($B286:$J286)+COUNTA($M286))&gt;0),"",COUNTIFS($L$5:$L286,"?*",$O$5:$O286,$O286))</f>
        <v/>
      </c>
      <c r="B286" s="61" t="n"/>
      <c r="C286" s="61" t="n"/>
      <c r="D286" s="62" t="n"/>
      <c r="E286" s="62" t="n"/>
      <c r="F286" s="63" t="n"/>
      <c r="G286" s="64" t="n"/>
      <c r="H286" s="64" t="n"/>
      <c r="I286" s="64" t="n"/>
      <c r="J286" s="64" t="n"/>
      <c r="K286" s="65">
        <f>IF(NOT((COUNTA($B286:$J286)+COUNTA($M286))&gt;0),"",IFERROR(LOOKUP(2,1/(G286:J286&lt;&gt;""),G286:J286),0))</f>
        <v/>
      </c>
      <c r="L286" s="60">
        <f>IF(K286="","",IF(K286&gt;=1,"Completado",IF(K286&gt;0,"En curso","Pendiente")))</f>
        <v/>
      </c>
      <c r="M286" s="61" t="n"/>
      <c r="N286" s="66">
        <f>IF(NOT((COUNTA($B286:$J286)+COUNTA($M286))&gt;0),"",IF((IF(B286="","Macroactividad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 OK","⚠ "&amp;LEFT(IF(B286="","Macroactividad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",""),LEN(IF(B286="","Macroactividad vacía"&amp;" · ","")&amp;IF(C286="","Sin responsable"&amp;" · ","")&amp;IF(D286="","Sin fecha de inicio"&amp;" · ","")&amp;IF(E286="","Sin fecha límite"&amp;" · ","")&amp;IF(OR(AND(D286&lt;&gt;"",NOT(ISNUMBER(D286))),AND(E286&lt;&gt;"",NOT(ISNUMBER(E286)))),"Fecha no válida"&amp;" · ","")&amp;IF(AND(ISNUMBER(D286),ISNUMBER(E286),D286&gt;E286),"Inicio posterior a fecha límite"&amp;" · ","")&amp;IF(F286="","Peso vacío"&amp;" · ","")&amp;IF(AND(F286&lt;&gt;"",OR(NOT(ISNUMBER(F286)),F286&lt;=0,F286&gt;1)),"Peso fuera de rango"&amp;" · ","")&amp;IF(ABS(SUMIFS($F$5:$F$1000,$O$5:$O$1000,$O286)-1)&gt;0.0001,"Pesos del mes suman "&amp;TEXT(SUMIFS($F$5:$F$1000,$O$5:$O$1000,$O286),"0%")&amp;" · ","")&amp;IF((COUNTIF(G286:J286,"&gt;1")+COUNTIF(G286:J286,"&lt;0")+COUNTA(G286:J286)-COUNT(G286:J286))&gt;0,"Avance fuera de rango 0-100%"&amp;" · ","")&amp;IF(OR(AND(H286&lt;&gt;"",H286&lt;G286),AND(I286&lt;&gt;"",I286&lt;MAX(G286:H286)),AND(J286&lt;&gt;"",J286&lt;MAX(G286:I286))),"Avance semanal decreciente"&amp;" · ","")&amp;IF(AND(ISNUMBER(E286),E286&lt;FechaRef,N(K286)&lt;1),"Vencida"&amp;" · ","")&amp;IF(AND(ObsObligatoria="Sí",ISNUMBER(E286),E286&lt;FechaRef,N(K286)&lt;1,M286=""),"Vencida sin observación"&amp;" · ",""))-3)))</f>
        <v/>
      </c>
      <c r="O286" s="67">
        <f>IF(NOT((COUNTA($B286:$J286)+COUNTA($M286))&gt;0),"",IF(ISNUMBER($D286),DATE(YEAR($D286),MONTH($D286),1),IF(ISNUMBER($E286),DATE(YEAR($E286),MONTH($E286),1),MesCiclo)))</f>
        <v/>
      </c>
      <c r="P286" s="68">
        <f>IF(OR($O286="",$O286&lt;&gt;MesCiclo),"",COUNTIF($O$5:$O286,MesCiclo))</f>
        <v/>
      </c>
    </row>
    <row r="287">
      <c r="A287" s="60">
        <f>IF(NOT((COUNTA($B287:$J287)+COUNTA($M287))&gt;0),"",COUNTIFS($L$5:$L287,"?*",$O$5:$O287,$O287))</f>
        <v/>
      </c>
      <c r="B287" s="61" t="n"/>
      <c r="C287" s="61" t="n"/>
      <c r="D287" s="62" t="n"/>
      <c r="E287" s="62" t="n"/>
      <c r="F287" s="63" t="n"/>
      <c r="G287" s="64" t="n"/>
      <c r="H287" s="64" t="n"/>
      <c r="I287" s="64" t="n"/>
      <c r="J287" s="64" t="n"/>
      <c r="K287" s="65">
        <f>IF(NOT((COUNTA($B287:$J287)+COUNTA($M287))&gt;0),"",IFERROR(LOOKUP(2,1/(G287:J287&lt;&gt;""),G287:J287),0))</f>
        <v/>
      </c>
      <c r="L287" s="60">
        <f>IF(K287="","",IF(K287&gt;=1,"Completado",IF(K287&gt;0,"En curso","Pendiente")))</f>
        <v/>
      </c>
      <c r="M287" s="61" t="n"/>
      <c r="N287" s="66">
        <f>IF(NOT((COUNTA($B287:$J287)+COUNTA($M287))&gt;0),"",IF((IF(B287="","Macroactividad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 OK","⚠ "&amp;LEFT(IF(B287="","Macroactividad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",""),LEN(IF(B287="","Macroactividad vacía"&amp;" · ","")&amp;IF(C287="","Sin responsable"&amp;" · ","")&amp;IF(D287="","Sin fecha de inicio"&amp;" · ","")&amp;IF(E287="","Sin fecha límite"&amp;" · ","")&amp;IF(OR(AND(D287&lt;&gt;"",NOT(ISNUMBER(D287))),AND(E287&lt;&gt;"",NOT(ISNUMBER(E287)))),"Fecha no válida"&amp;" · ","")&amp;IF(AND(ISNUMBER(D287),ISNUMBER(E287),D287&gt;E287),"Inicio posterior a fecha límite"&amp;" · ","")&amp;IF(F287="","Peso vacío"&amp;" · ","")&amp;IF(AND(F287&lt;&gt;"",OR(NOT(ISNUMBER(F287)),F287&lt;=0,F287&gt;1)),"Peso fuera de rango"&amp;" · ","")&amp;IF(ABS(SUMIFS($F$5:$F$1000,$O$5:$O$1000,$O287)-1)&gt;0.0001,"Pesos del mes suman "&amp;TEXT(SUMIFS($F$5:$F$1000,$O$5:$O$1000,$O287),"0%")&amp;" · ","")&amp;IF((COUNTIF(G287:J287,"&gt;1")+COUNTIF(G287:J287,"&lt;0")+COUNTA(G287:J287)-COUNT(G287:J287))&gt;0,"Avance fuera de rango 0-100%"&amp;" · ","")&amp;IF(OR(AND(H287&lt;&gt;"",H287&lt;G287),AND(I287&lt;&gt;"",I287&lt;MAX(G287:H287)),AND(J287&lt;&gt;"",J287&lt;MAX(G287:I287))),"Avance semanal decreciente"&amp;" · ","")&amp;IF(AND(ISNUMBER(E287),E287&lt;FechaRef,N(K287)&lt;1),"Vencida"&amp;" · ","")&amp;IF(AND(ObsObligatoria="Sí",ISNUMBER(E287),E287&lt;FechaRef,N(K287)&lt;1,M287=""),"Vencida sin observación"&amp;" · ",""))-3)))</f>
        <v/>
      </c>
      <c r="O287" s="67">
        <f>IF(NOT((COUNTA($B287:$J287)+COUNTA($M287))&gt;0),"",IF(ISNUMBER($D287),DATE(YEAR($D287),MONTH($D287),1),IF(ISNUMBER($E287),DATE(YEAR($E287),MONTH($E287),1),MesCiclo)))</f>
        <v/>
      </c>
      <c r="P287" s="68">
        <f>IF(OR($O287="",$O287&lt;&gt;MesCiclo),"",COUNTIF($O$5:$O287,MesCiclo))</f>
        <v/>
      </c>
    </row>
    <row r="288">
      <c r="A288" s="60">
        <f>IF(NOT((COUNTA($B288:$J288)+COUNTA($M288))&gt;0),"",COUNTIFS($L$5:$L288,"?*",$O$5:$O288,$O288))</f>
        <v/>
      </c>
      <c r="B288" s="61" t="n"/>
      <c r="C288" s="61" t="n"/>
      <c r="D288" s="62" t="n"/>
      <c r="E288" s="62" t="n"/>
      <c r="F288" s="63" t="n"/>
      <c r="G288" s="64" t="n"/>
      <c r="H288" s="64" t="n"/>
      <c r="I288" s="64" t="n"/>
      <c r="J288" s="64" t="n"/>
      <c r="K288" s="65">
        <f>IF(NOT((COUNTA($B288:$J288)+COUNTA($M288))&gt;0),"",IFERROR(LOOKUP(2,1/(G288:J288&lt;&gt;""),G288:J288),0))</f>
        <v/>
      </c>
      <c r="L288" s="60">
        <f>IF(K288="","",IF(K288&gt;=1,"Completado",IF(K288&gt;0,"En curso","Pendiente")))</f>
        <v/>
      </c>
      <c r="M288" s="61" t="n"/>
      <c r="N288" s="66">
        <f>IF(NOT((COUNTA($B288:$J288)+COUNTA($M288))&gt;0),"",IF((IF(B288="","Macroactividad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 OK","⚠ "&amp;LEFT(IF(B288="","Macroactividad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",""),LEN(IF(B288="","Macroactividad vacía"&amp;" · ","")&amp;IF(C288="","Sin responsable"&amp;" · ","")&amp;IF(D288="","Sin fecha de inicio"&amp;" · ","")&amp;IF(E288="","Sin fecha límite"&amp;" · ","")&amp;IF(OR(AND(D288&lt;&gt;"",NOT(ISNUMBER(D288))),AND(E288&lt;&gt;"",NOT(ISNUMBER(E288)))),"Fecha no válida"&amp;" · ","")&amp;IF(AND(ISNUMBER(D288),ISNUMBER(E288),D288&gt;E288),"Inicio posterior a fecha límite"&amp;" · ","")&amp;IF(F288="","Peso vacío"&amp;" · ","")&amp;IF(AND(F288&lt;&gt;"",OR(NOT(ISNUMBER(F288)),F288&lt;=0,F288&gt;1)),"Peso fuera de rango"&amp;" · ","")&amp;IF(ABS(SUMIFS($F$5:$F$1000,$O$5:$O$1000,$O288)-1)&gt;0.0001,"Pesos del mes suman "&amp;TEXT(SUMIFS($F$5:$F$1000,$O$5:$O$1000,$O288),"0%")&amp;" · ","")&amp;IF((COUNTIF(G288:J288,"&gt;1")+COUNTIF(G288:J288,"&lt;0")+COUNTA(G288:J288)-COUNT(G288:J288))&gt;0,"Avance fuera de rango 0-100%"&amp;" · ","")&amp;IF(OR(AND(H288&lt;&gt;"",H288&lt;G288),AND(I288&lt;&gt;"",I288&lt;MAX(G288:H288)),AND(J288&lt;&gt;"",J288&lt;MAX(G288:I288))),"Avance semanal decreciente"&amp;" · ","")&amp;IF(AND(ISNUMBER(E288),E288&lt;FechaRef,N(K288)&lt;1),"Vencida"&amp;" · ","")&amp;IF(AND(ObsObligatoria="Sí",ISNUMBER(E288),E288&lt;FechaRef,N(K288)&lt;1,M288=""),"Vencida sin observación"&amp;" · ",""))-3)))</f>
        <v/>
      </c>
      <c r="O288" s="67">
        <f>IF(NOT((COUNTA($B288:$J288)+COUNTA($M288))&gt;0),"",IF(ISNUMBER($D288),DATE(YEAR($D288),MONTH($D288),1),IF(ISNUMBER($E288),DATE(YEAR($E288),MONTH($E288),1),MesCiclo)))</f>
        <v/>
      </c>
      <c r="P288" s="68">
        <f>IF(OR($O288="",$O288&lt;&gt;MesCiclo),"",COUNTIF($O$5:$O288,MesCiclo))</f>
        <v/>
      </c>
    </row>
    <row r="289">
      <c r="A289" s="60">
        <f>IF(NOT((COUNTA($B289:$J289)+COUNTA($M289))&gt;0),"",COUNTIFS($L$5:$L289,"?*",$O$5:$O289,$O289))</f>
        <v/>
      </c>
      <c r="B289" s="61" t="n"/>
      <c r="C289" s="61" t="n"/>
      <c r="D289" s="62" t="n"/>
      <c r="E289" s="62" t="n"/>
      <c r="F289" s="63" t="n"/>
      <c r="G289" s="64" t="n"/>
      <c r="H289" s="64" t="n"/>
      <c r="I289" s="64" t="n"/>
      <c r="J289" s="64" t="n"/>
      <c r="K289" s="65">
        <f>IF(NOT((COUNTA($B289:$J289)+COUNTA($M289))&gt;0),"",IFERROR(LOOKUP(2,1/(G289:J289&lt;&gt;""),G289:J289),0))</f>
        <v/>
      </c>
      <c r="L289" s="60">
        <f>IF(K289="","",IF(K289&gt;=1,"Completado",IF(K289&gt;0,"En curso","Pendiente")))</f>
        <v/>
      </c>
      <c r="M289" s="61" t="n"/>
      <c r="N289" s="66">
        <f>IF(NOT((COUNTA($B289:$J289)+COUNTA($M289))&gt;0),"",IF((IF(B289="","Macroactividad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 OK","⚠ "&amp;LEFT(IF(B289="","Macroactividad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",""),LEN(IF(B289="","Macroactividad vacía"&amp;" · ","")&amp;IF(C289="","Sin responsable"&amp;" · ","")&amp;IF(D289="","Sin fecha de inicio"&amp;" · ","")&amp;IF(E289="","Sin fecha límite"&amp;" · ","")&amp;IF(OR(AND(D289&lt;&gt;"",NOT(ISNUMBER(D289))),AND(E289&lt;&gt;"",NOT(ISNUMBER(E289)))),"Fecha no válida"&amp;" · ","")&amp;IF(AND(ISNUMBER(D289),ISNUMBER(E289),D289&gt;E289),"Inicio posterior a fecha límite"&amp;" · ","")&amp;IF(F289="","Peso vacío"&amp;" · ","")&amp;IF(AND(F289&lt;&gt;"",OR(NOT(ISNUMBER(F289)),F289&lt;=0,F289&gt;1)),"Peso fuera de rango"&amp;" · ","")&amp;IF(ABS(SUMIFS($F$5:$F$1000,$O$5:$O$1000,$O289)-1)&gt;0.0001,"Pesos del mes suman "&amp;TEXT(SUMIFS($F$5:$F$1000,$O$5:$O$1000,$O289),"0%")&amp;" · ","")&amp;IF((COUNTIF(G289:J289,"&gt;1")+COUNTIF(G289:J289,"&lt;0")+COUNTA(G289:J289)-COUNT(G289:J289))&gt;0,"Avance fuera de rango 0-100%"&amp;" · ","")&amp;IF(OR(AND(H289&lt;&gt;"",H289&lt;G289),AND(I289&lt;&gt;"",I289&lt;MAX(G289:H289)),AND(J289&lt;&gt;"",J289&lt;MAX(G289:I289))),"Avance semanal decreciente"&amp;" · ","")&amp;IF(AND(ISNUMBER(E289),E289&lt;FechaRef,N(K289)&lt;1),"Vencida"&amp;" · ","")&amp;IF(AND(ObsObligatoria="Sí",ISNUMBER(E289),E289&lt;FechaRef,N(K289)&lt;1,M289=""),"Vencida sin observación"&amp;" · ",""))-3)))</f>
        <v/>
      </c>
      <c r="O289" s="67">
        <f>IF(NOT((COUNTA($B289:$J289)+COUNTA($M289))&gt;0),"",IF(ISNUMBER($D289),DATE(YEAR($D289),MONTH($D289),1),IF(ISNUMBER($E289),DATE(YEAR($E289),MONTH($E289),1),MesCiclo)))</f>
        <v/>
      </c>
      <c r="P289" s="68">
        <f>IF(OR($O289="",$O289&lt;&gt;MesCiclo),"",COUNTIF($O$5:$O289,MesCiclo))</f>
        <v/>
      </c>
    </row>
    <row r="290">
      <c r="A290" s="60">
        <f>IF(NOT((COUNTA($B290:$J290)+COUNTA($M290))&gt;0),"",COUNTIFS($L$5:$L290,"?*",$O$5:$O290,$O290))</f>
        <v/>
      </c>
      <c r="B290" s="61" t="n"/>
      <c r="C290" s="61" t="n"/>
      <c r="D290" s="62" t="n"/>
      <c r="E290" s="62" t="n"/>
      <c r="F290" s="63" t="n"/>
      <c r="G290" s="64" t="n"/>
      <c r="H290" s="64" t="n"/>
      <c r="I290" s="64" t="n"/>
      <c r="J290" s="64" t="n"/>
      <c r="K290" s="65">
        <f>IF(NOT((COUNTA($B290:$J290)+COUNTA($M290))&gt;0),"",IFERROR(LOOKUP(2,1/(G290:J290&lt;&gt;""),G290:J290),0))</f>
        <v/>
      </c>
      <c r="L290" s="60">
        <f>IF(K290="","",IF(K290&gt;=1,"Completado",IF(K290&gt;0,"En curso","Pendiente")))</f>
        <v/>
      </c>
      <c r="M290" s="61" t="n"/>
      <c r="N290" s="66">
        <f>IF(NOT((COUNTA($B290:$J290)+COUNTA($M290))&gt;0),"",IF((IF(B290="","Macroactividad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 OK","⚠ "&amp;LEFT(IF(B290="","Macroactividad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",""),LEN(IF(B290="","Macroactividad vacía"&amp;" · ","")&amp;IF(C290="","Sin responsable"&amp;" · ","")&amp;IF(D290="","Sin fecha de inicio"&amp;" · ","")&amp;IF(E290="","Sin fecha límite"&amp;" · ","")&amp;IF(OR(AND(D290&lt;&gt;"",NOT(ISNUMBER(D290))),AND(E290&lt;&gt;"",NOT(ISNUMBER(E290)))),"Fecha no válida"&amp;" · ","")&amp;IF(AND(ISNUMBER(D290),ISNUMBER(E290),D290&gt;E290),"Inicio posterior a fecha límite"&amp;" · ","")&amp;IF(F290="","Peso vacío"&amp;" · ","")&amp;IF(AND(F290&lt;&gt;"",OR(NOT(ISNUMBER(F290)),F290&lt;=0,F290&gt;1)),"Peso fuera de rango"&amp;" · ","")&amp;IF(ABS(SUMIFS($F$5:$F$1000,$O$5:$O$1000,$O290)-1)&gt;0.0001,"Pesos del mes suman "&amp;TEXT(SUMIFS($F$5:$F$1000,$O$5:$O$1000,$O290),"0%")&amp;" · ","")&amp;IF((COUNTIF(G290:J290,"&gt;1")+COUNTIF(G290:J290,"&lt;0")+COUNTA(G290:J290)-COUNT(G290:J290))&gt;0,"Avance fuera de rango 0-100%"&amp;" · ","")&amp;IF(OR(AND(H290&lt;&gt;"",H290&lt;G290),AND(I290&lt;&gt;"",I290&lt;MAX(G290:H290)),AND(J290&lt;&gt;"",J290&lt;MAX(G290:I290))),"Avance semanal decreciente"&amp;" · ","")&amp;IF(AND(ISNUMBER(E290),E290&lt;FechaRef,N(K290)&lt;1),"Vencida"&amp;" · ","")&amp;IF(AND(ObsObligatoria="Sí",ISNUMBER(E290),E290&lt;FechaRef,N(K290)&lt;1,M290=""),"Vencida sin observación"&amp;" · ",""))-3)))</f>
        <v/>
      </c>
      <c r="O290" s="67">
        <f>IF(NOT((COUNTA($B290:$J290)+COUNTA($M290))&gt;0),"",IF(ISNUMBER($D290),DATE(YEAR($D290),MONTH($D290),1),IF(ISNUMBER($E290),DATE(YEAR($E290),MONTH($E290),1),MesCiclo)))</f>
        <v/>
      </c>
      <c r="P290" s="68">
        <f>IF(OR($O290="",$O290&lt;&gt;MesCiclo),"",COUNTIF($O$5:$O290,MesCiclo))</f>
        <v/>
      </c>
    </row>
    <row r="291">
      <c r="A291" s="60">
        <f>IF(NOT((COUNTA($B291:$J291)+COUNTA($M291))&gt;0),"",COUNTIFS($L$5:$L291,"?*",$O$5:$O291,$O291))</f>
        <v/>
      </c>
      <c r="B291" s="61" t="n"/>
      <c r="C291" s="61" t="n"/>
      <c r="D291" s="62" t="n"/>
      <c r="E291" s="62" t="n"/>
      <c r="F291" s="63" t="n"/>
      <c r="G291" s="64" t="n"/>
      <c r="H291" s="64" t="n"/>
      <c r="I291" s="64" t="n"/>
      <c r="J291" s="64" t="n"/>
      <c r="K291" s="65">
        <f>IF(NOT((COUNTA($B291:$J291)+COUNTA($M291))&gt;0),"",IFERROR(LOOKUP(2,1/(G291:J291&lt;&gt;""),G291:J291),0))</f>
        <v/>
      </c>
      <c r="L291" s="60">
        <f>IF(K291="","",IF(K291&gt;=1,"Completado",IF(K291&gt;0,"En curso","Pendiente")))</f>
        <v/>
      </c>
      <c r="M291" s="61" t="n"/>
      <c r="N291" s="66">
        <f>IF(NOT((COUNTA($B291:$J291)+COUNTA($M291))&gt;0),"",IF((IF(B291="","Macroactividad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 OK","⚠ "&amp;LEFT(IF(B291="","Macroactividad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",""),LEN(IF(B291="","Macroactividad vacía"&amp;" · ","")&amp;IF(C291="","Sin responsable"&amp;" · ","")&amp;IF(D291="","Sin fecha de inicio"&amp;" · ","")&amp;IF(E291="","Sin fecha límite"&amp;" · ","")&amp;IF(OR(AND(D291&lt;&gt;"",NOT(ISNUMBER(D291))),AND(E291&lt;&gt;"",NOT(ISNUMBER(E291)))),"Fecha no válida"&amp;" · ","")&amp;IF(AND(ISNUMBER(D291),ISNUMBER(E291),D291&gt;E291),"Inicio posterior a fecha límite"&amp;" · ","")&amp;IF(F291="","Peso vacío"&amp;" · ","")&amp;IF(AND(F291&lt;&gt;"",OR(NOT(ISNUMBER(F291)),F291&lt;=0,F291&gt;1)),"Peso fuera de rango"&amp;" · ","")&amp;IF(ABS(SUMIFS($F$5:$F$1000,$O$5:$O$1000,$O291)-1)&gt;0.0001,"Pesos del mes suman "&amp;TEXT(SUMIFS($F$5:$F$1000,$O$5:$O$1000,$O291),"0%")&amp;" · ","")&amp;IF((COUNTIF(G291:J291,"&gt;1")+COUNTIF(G291:J291,"&lt;0")+COUNTA(G291:J291)-COUNT(G291:J291))&gt;0,"Avance fuera de rango 0-100%"&amp;" · ","")&amp;IF(OR(AND(H291&lt;&gt;"",H291&lt;G291),AND(I291&lt;&gt;"",I291&lt;MAX(G291:H291)),AND(J291&lt;&gt;"",J291&lt;MAX(G291:I291))),"Avance semanal decreciente"&amp;" · ","")&amp;IF(AND(ISNUMBER(E291),E291&lt;FechaRef,N(K291)&lt;1),"Vencida"&amp;" · ","")&amp;IF(AND(ObsObligatoria="Sí",ISNUMBER(E291),E291&lt;FechaRef,N(K291)&lt;1,M291=""),"Vencida sin observación"&amp;" · ",""))-3)))</f>
        <v/>
      </c>
      <c r="O291" s="67">
        <f>IF(NOT((COUNTA($B291:$J291)+COUNTA($M291))&gt;0),"",IF(ISNUMBER($D291),DATE(YEAR($D291),MONTH($D291),1),IF(ISNUMBER($E291),DATE(YEAR($E291),MONTH($E291),1),MesCiclo)))</f>
        <v/>
      </c>
      <c r="P291" s="68">
        <f>IF(OR($O291="",$O291&lt;&gt;MesCiclo),"",COUNTIF($O$5:$O291,MesCiclo))</f>
        <v/>
      </c>
    </row>
    <row r="292">
      <c r="A292" s="60">
        <f>IF(NOT((COUNTA($B292:$J292)+COUNTA($M292))&gt;0),"",COUNTIFS($L$5:$L292,"?*",$O$5:$O292,$O292))</f>
        <v/>
      </c>
      <c r="B292" s="61" t="n"/>
      <c r="C292" s="61" t="n"/>
      <c r="D292" s="62" t="n"/>
      <c r="E292" s="62" t="n"/>
      <c r="F292" s="63" t="n"/>
      <c r="G292" s="64" t="n"/>
      <c r="H292" s="64" t="n"/>
      <c r="I292" s="64" t="n"/>
      <c r="J292" s="64" t="n"/>
      <c r="K292" s="65">
        <f>IF(NOT((COUNTA($B292:$J292)+COUNTA($M292))&gt;0),"",IFERROR(LOOKUP(2,1/(G292:J292&lt;&gt;""),G292:J292),0))</f>
        <v/>
      </c>
      <c r="L292" s="60">
        <f>IF(K292="","",IF(K292&gt;=1,"Completado",IF(K292&gt;0,"En curso","Pendiente")))</f>
        <v/>
      </c>
      <c r="M292" s="61" t="n"/>
      <c r="N292" s="66">
        <f>IF(NOT((COUNTA($B292:$J292)+COUNTA($M292))&gt;0),"",IF((IF(B292="","Macroactividad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 OK","⚠ "&amp;LEFT(IF(B292="","Macroactividad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",""),LEN(IF(B292="","Macroactividad vacía"&amp;" · ","")&amp;IF(C292="","Sin responsable"&amp;" · ","")&amp;IF(D292="","Sin fecha de inicio"&amp;" · ","")&amp;IF(E292="","Sin fecha límite"&amp;" · ","")&amp;IF(OR(AND(D292&lt;&gt;"",NOT(ISNUMBER(D292))),AND(E292&lt;&gt;"",NOT(ISNUMBER(E292)))),"Fecha no válida"&amp;" · ","")&amp;IF(AND(ISNUMBER(D292),ISNUMBER(E292),D292&gt;E292),"Inicio posterior a fecha límite"&amp;" · ","")&amp;IF(F292="","Peso vacío"&amp;" · ","")&amp;IF(AND(F292&lt;&gt;"",OR(NOT(ISNUMBER(F292)),F292&lt;=0,F292&gt;1)),"Peso fuera de rango"&amp;" · ","")&amp;IF(ABS(SUMIFS($F$5:$F$1000,$O$5:$O$1000,$O292)-1)&gt;0.0001,"Pesos del mes suman "&amp;TEXT(SUMIFS($F$5:$F$1000,$O$5:$O$1000,$O292),"0%")&amp;" · ","")&amp;IF((COUNTIF(G292:J292,"&gt;1")+COUNTIF(G292:J292,"&lt;0")+COUNTA(G292:J292)-COUNT(G292:J292))&gt;0,"Avance fuera de rango 0-100%"&amp;" · ","")&amp;IF(OR(AND(H292&lt;&gt;"",H292&lt;G292),AND(I292&lt;&gt;"",I292&lt;MAX(G292:H292)),AND(J292&lt;&gt;"",J292&lt;MAX(G292:I292))),"Avance semanal decreciente"&amp;" · ","")&amp;IF(AND(ISNUMBER(E292),E292&lt;FechaRef,N(K292)&lt;1),"Vencida"&amp;" · ","")&amp;IF(AND(ObsObligatoria="Sí",ISNUMBER(E292),E292&lt;FechaRef,N(K292)&lt;1,M292=""),"Vencida sin observación"&amp;" · ",""))-3)))</f>
        <v/>
      </c>
      <c r="O292" s="67">
        <f>IF(NOT((COUNTA($B292:$J292)+COUNTA($M292))&gt;0),"",IF(ISNUMBER($D292),DATE(YEAR($D292),MONTH($D292),1),IF(ISNUMBER($E292),DATE(YEAR($E292),MONTH($E292),1),MesCiclo)))</f>
        <v/>
      </c>
      <c r="P292" s="68">
        <f>IF(OR($O292="",$O292&lt;&gt;MesCiclo),"",COUNTIF($O$5:$O292,MesCiclo))</f>
        <v/>
      </c>
    </row>
    <row r="293">
      <c r="A293" s="60">
        <f>IF(NOT((COUNTA($B293:$J293)+COUNTA($M293))&gt;0),"",COUNTIFS($L$5:$L293,"?*",$O$5:$O293,$O293))</f>
        <v/>
      </c>
      <c r="B293" s="61" t="n"/>
      <c r="C293" s="61" t="n"/>
      <c r="D293" s="62" t="n"/>
      <c r="E293" s="62" t="n"/>
      <c r="F293" s="63" t="n"/>
      <c r="G293" s="64" t="n"/>
      <c r="H293" s="64" t="n"/>
      <c r="I293" s="64" t="n"/>
      <c r="J293" s="64" t="n"/>
      <c r="K293" s="65">
        <f>IF(NOT((COUNTA($B293:$J293)+COUNTA($M293))&gt;0),"",IFERROR(LOOKUP(2,1/(G293:J293&lt;&gt;""),G293:J293),0))</f>
        <v/>
      </c>
      <c r="L293" s="60">
        <f>IF(K293="","",IF(K293&gt;=1,"Completado",IF(K293&gt;0,"En curso","Pendiente")))</f>
        <v/>
      </c>
      <c r="M293" s="61" t="n"/>
      <c r="N293" s="66">
        <f>IF(NOT((COUNTA($B293:$J293)+COUNTA($M293))&gt;0),"",IF((IF(B293="","Macroactividad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 OK","⚠ "&amp;LEFT(IF(B293="","Macroactividad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",""),LEN(IF(B293="","Macroactividad vacía"&amp;" · ","")&amp;IF(C293="","Sin responsable"&amp;" · ","")&amp;IF(D293="","Sin fecha de inicio"&amp;" · ","")&amp;IF(E293="","Sin fecha límite"&amp;" · ","")&amp;IF(OR(AND(D293&lt;&gt;"",NOT(ISNUMBER(D293))),AND(E293&lt;&gt;"",NOT(ISNUMBER(E293)))),"Fecha no válida"&amp;" · ","")&amp;IF(AND(ISNUMBER(D293),ISNUMBER(E293),D293&gt;E293),"Inicio posterior a fecha límite"&amp;" · ","")&amp;IF(F293="","Peso vacío"&amp;" · ","")&amp;IF(AND(F293&lt;&gt;"",OR(NOT(ISNUMBER(F293)),F293&lt;=0,F293&gt;1)),"Peso fuera de rango"&amp;" · ","")&amp;IF(ABS(SUMIFS($F$5:$F$1000,$O$5:$O$1000,$O293)-1)&gt;0.0001,"Pesos del mes suman "&amp;TEXT(SUMIFS($F$5:$F$1000,$O$5:$O$1000,$O293),"0%")&amp;" · ","")&amp;IF((COUNTIF(G293:J293,"&gt;1")+COUNTIF(G293:J293,"&lt;0")+COUNTA(G293:J293)-COUNT(G293:J293))&gt;0,"Avance fuera de rango 0-100%"&amp;" · ","")&amp;IF(OR(AND(H293&lt;&gt;"",H293&lt;G293),AND(I293&lt;&gt;"",I293&lt;MAX(G293:H293)),AND(J293&lt;&gt;"",J293&lt;MAX(G293:I293))),"Avance semanal decreciente"&amp;" · ","")&amp;IF(AND(ISNUMBER(E293),E293&lt;FechaRef,N(K293)&lt;1),"Vencida"&amp;" · ","")&amp;IF(AND(ObsObligatoria="Sí",ISNUMBER(E293),E293&lt;FechaRef,N(K293)&lt;1,M293=""),"Vencida sin observación"&amp;" · ",""))-3)))</f>
        <v/>
      </c>
      <c r="O293" s="67">
        <f>IF(NOT((COUNTA($B293:$J293)+COUNTA($M293))&gt;0),"",IF(ISNUMBER($D293),DATE(YEAR($D293),MONTH($D293),1),IF(ISNUMBER($E293),DATE(YEAR($E293),MONTH($E293),1),MesCiclo)))</f>
        <v/>
      </c>
      <c r="P293" s="68">
        <f>IF(OR($O293="",$O293&lt;&gt;MesCiclo),"",COUNTIF($O$5:$O293,MesCiclo))</f>
        <v/>
      </c>
    </row>
    <row r="294">
      <c r="A294" s="60">
        <f>IF(NOT((COUNTA($B294:$J294)+COUNTA($M294))&gt;0),"",COUNTIFS($L$5:$L294,"?*",$O$5:$O294,$O294))</f>
        <v/>
      </c>
      <c r="B294" s="61" t="n"/>
      <c r="C294" s="61" t="n"/>
      <c r="D294" s="62" t="n"/>
      <c r="E294" s="62" t="n"/>
      <c r="F294" s="63" t="n"/>
      <c r="G294" s="64" t="n"/>
      <c r="H294" s="64" t="n"/>
      <c r="I294" s="64" t="n"/>
      <c r="J294" s="64" t="n"/>
      <c r="K294" s="65">
        <f>IF(NOT((COUNTA($B294:$J294)+COUNTA($M294))&gt;0),"",IFERROR(LOOKUP(2,1/(G294:J294&lt;&gt;""),G294:J294),0))</f>
        <v/>
      </c>
      <c r="L294" s="60">
        <f>IF(K294="","",IF(K294&gt;=1,"Completado",IF(K294&gt;0,"En curso","Pendiente")))</f>
        <v/>
      </c>
      <c r="M294" s="61" t="n"/>
      <c r="N294" s="66">
        <f>IF(NOT((COUNTA($B294:$J294)+COUNTA($M294))&gt;0),"",IF((IF(B294="","Macroactividad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 OK","⚠ "&amp;LEFT(IF(B294="","Macroactividad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",""),LEN(IF(B294="","Macroactividad vacía"&amp;" · ","")&amp;IF(C294="","Sin responsable"&amp;" · ","")&amp;IF(D294="","Sin fecha de inicio"&amp;" · ","")&amp;IF(E294="","Sin fecha límite"&amp;" · ","")&amp;IF(OR(AND(D294&lt;&gt;"",NOT(ISNUMBER(D294))),AND(E294&lt;&gt;"",NOT(ISNUMBER(E294)))),"Fecha no válida"&amp;" · ","")&amp;IF(AND(ISNUMBER(D294),ISNUMBER(E294),D294&gt;E294),"Inicio posterior a fecha límite"&amp;" · ","")&amp;IF(F294="","Peso vacío"&amp;" · ","")&amp;IF(AND(F294&lt;&gt;"",OR(NOT(ISNUMBER(F294)),F294&lt;=0,F294&gt;1)),"Peso fuera de rango"&amp;" · ","")&amp;IF(ABS(SUMIFS($F$5:$F$1000,$O$5:$O$1000,$O294)-1)&gt;0.0001,"Pesos del mes suman "&amp;TEXT(SUMIFS($F$5:$F$1000,$O$5:$O$1000,$O294),"0%")&amp;" · ","")&amp;IF((COUNTIF(G294:J294,"&gt;1")+COUNTIF(G294:J294,"&lt;0")+COUNTA(G294:J294)-COUNT(G294:J294))&gt;0,"Avance fuera de rango 0-100%"&amp;" · ","")&amp;IF(OR(AND(H294&lt;&gt;"",H294&lt;G294),AND(I294&lt;&gt;"",I294&lt;MAX(G294:H294)),AND(J294&lt;&gt;"",J294&lt;MAX(G294:I294))),"Avance semanal decreciente"&amp;" · ","")&amp;IF(AND(ISNUMBER(E294),E294&lt;FechaRef,N(K294)&lt;1),"Vencida"&amp;" · ","")&amp;IF(AND(ObsObligatoria="Sí",ISNUMBER(E294),E294&lt;FechaRef,N(K294)&lt;1,M294=""),"Vencida sin observación"&amp;" · ",""))-3)))</f>
        <v/>
      </c>
      <c r="O294" s="67">
        <f>IF(NOT((COUNTA($B294:$J294)+COUNTA($M294))&gt;0),"",IF(ISNUMBER($D294),DATE(YEAR($D294),MONTH($D294),1),IF(ISNUMBER($E294),DATE(YEAR($E294),MONTH($E294),1),MesCiclo)))</f>
        <v/>
      </c>
      <c r="P294" s="68">
        <f>IF(OR($O294="",$O294&lt;&gt;MesCiclo),"",COUNTIF($O$5:$O294,MesCiclo))</f>
        <v/>
      </c>
    </row>
    <row r="295">
      <c r="A295" s="60">
        <f>IF(NOT((COUNTA($B295:$J295)+COUNTA($M295))&gt;0),"",COUNTIFS($L$5:$L295,"?*",$O$5:$O295,$O295))</f>
        <v/>
      </c>
      <c r="B295" s="61" t="n"/>
      <c r="C295" s="61" t="n"/>
      <c r="D295" s="62" t="n"/>
      <c r="E295" s="62" t="n"/>
      <c r="F295" s="63" t="n"/>
      <c r="G295" s="64" t="n"/>
      <c r="H295" s="64" t="n"/>
      <c r="I295" s="64" t="n"/>
      <c r="J295" s="64" t="n"/>
      <c r="K295" s="65">
        <f>IF(NOT((COUNTA($B295:$J295)+COUNTA($M295))&gt;0),"",IFERROR(LOOKUP(2,1/(G295:J295&lt;&gt;""),G295:J295),0))</f>
        <v/>
      </c>
      <c r="L295" s="60">
        <f>IF(K295="","",IF(K295&gt;=1,"Completado",IF(K295&gt;0,"En curso","Pendiente")))</f>
        <v/>
      </c>
      <c r="M295" s="61" t="n"/>
      <c r="N295" s="66">
        <f>IF(NOT((COUNTA($B295:$J295)+COUNTA($M295))&gt;0),"",IF((IF(B295="","Macroactividad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 OK","⚠ "&amp;LEFT(IF(B295="","Macroactividad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",""),LEN(IF(B295="","Macroactividad vacía"&amp;" · ","")&amp;IF(C295="","Sin responsable"&amp;" · ","")&amp;IF(D295="","Sin fecha de inicio"&amp;" · ","")&amp;IF(E295="","Sin fecha límite"&amp;" · ","")&amp;IF(OR(AND(D295&lt;&gt;"",NOT(ISNUMBER(D295))),AND(E295&lt;&gt;"",NOT(ISNUMBER(E295)))),"Fecha no válida"&amp;" · ","")&amp;IF(AND(ISNUMBER(D295),ISNUMBER(E295),D295&gt;E295),"Inicio posterior a fecha límite"&amp;" · ","")&amp;IF(F295="","Peso vacío"&amp;" · ","")&amp;IF(AND(F295&lt;&gt;"",OR(NOT(ISNUMBER(F295)),F295&lt;=0,F295&gt;1)),"Peso fuera de rango"&amp;" · ","")&amp;IF(ABS(SUMIFS($F$5:$F$1000,$O$5:$O$1000,$O295)-1)&gt;0.0001,"Pesos del mes suman "&amp;TEXT(SUMIFS($F$5:$F$1000,$O$5:$O$1000,$O295),"0%")&amp;" · ","")&amp;IF((COUNTIF(G295:J295,"&gt;1")+COUNTIF(G295:J295,"&lt;0")+COUNTA(G295:J295)-COUNT(G295:J295))&gt;0,"Avance fuera de rango 0-100%"&amp;" · ","")&amp;IF(OR(AND(H295&lt;&gt;"",H295&lt;G295),AND(I295&lt;&gt;"",I295&lt;MAX(G295:H295)),AND(J295&lt;&gt;"",J295&lt;MAX(G295:I295))),"Avance semanal decreciente"&amp;" · ","")&amp;IF(AND(ISNUMBER(E295),E295&lt;FechaRef,N(K295)&lt;1),"Vencida"&amp;" · ","")&amp;IF(AND(ObsObligatoria="Sí",ISNUMBER(E295),E295&lt;FechaRef,N(K295)&lt;1,M295=""),"Vencida sin observación"&amp;" · ",""))-3)))</f>
        <v/>
      </c>
      <c r="O295" s="67">
        <f>IF(NOT((COUNTA($B295:$J295)+COUNTA($M295))&gt;0),"",IF(ISNUMBER($D295),DATE(YEAR($D295),MONTH($D295),1),IF(ISNUMBER($E295),DATE(YEAR($E295),MONTH($E295),1),MesCiclo)))</f>
        <v/>
      </c>
      <c r="P295" s="68">
        <f>IF(OR($O295="",$O295&lt;&gt;MesCiclo),"",COUNTIF($O$5:$O295,MesCiclo))</f>
        <v/>
      </c>
    </row>
    <row r="296">
      <c r="A296" s="60">
        <f>IF(NOT((COUNTA($B296:$J296)+COUNTA($M296))&gt;0),"",COUNTIFS($L$5:$L296,"?*",$O$5:$O296,$O296))</f>
        <v/>
      </c>
      <c r="B296" s="61" t="n"/>
      <c r="C296" s="61" t="n"/>
      <c r="D296" s="62" t="n"/>
      <c r="E296" s="62" t="n"/>
      <c r="F296" s="63" t="n"/>
      <c r="G296" s="64" t="n"/>
      <c r="H296" s="64" t="n"/>
      <c r="I296" s="64" t="n"/>
      <c r="J296" s="64" t="n"/>
      <c r="K296" s="65">
        <f>IF(NOT((COUNTA($B296:$J296)+COUNTA($M296))&gt;0),"",IFERROR(LOOKUP(2,1/(G296:J296&lt;&gt;""),G296:J296),0))</f>
        <v/>
      </c>
      <c r="L296" s="60">
        <f>IF(K296="","",IF(K296&gt;=1,"Completado",IF(K296&gt;0,"En curso","Pendiente")))</f>
        <v/>
      </c>
      <c r="M296" s="61" t="n"/>
      <c r="N296" s="66">
        <f>IF(NOT((COUNTA($B296:$J296)+COUNTA($M296))&gt;0),"",IF((IF(B296="","Macroactividad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 OK","⚠ "&amp;LEFT(IF(B296="","Macroactividad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",""),LEN(IF(B296="","Macroactividad vacía"&amp;" · ","")&amp;IF(C296="","Sin responsable"&amp;" · ","")&amp;IF(D296="","Sin fecha de inicio"&amp;" · ","")&amp;IF(E296="","Sin fecha límite"&amp;" · ","")&amp;IF(OR(AND(D296&lt;&gt;"",NOT(ISNUMBER(D296))),AND(E296&lt;&gt;"",NOT(ISNUMBER(E296)))),"Fecha no válida"&amp;" · ","")&amp;IF(AND(ISNUMBER(D296),ISNUMBER(E296),D296&gt;E296),"Inicio posterior a fecha límite"&amp;" · ","")&amp;IF(F296="","Peso vacío"&amp;" · ","")&amp;IF(AND(F296&lt;&gt;"",OR(NOT(ISNUMBER(F296)),F296&lt;=0,F296&gt;1)),"Peso fuera de rango"&amp;" · ","")&amp;IF(ABS(SUMIFS($F$5:$F$1000,$O$5:$O$1000,$O296)-1)&gt;0.0001,"Pesos del mes suman "&amp;TEXT(SUMIFS($F$5:$F$1000,$O$5:$O$1000,$O296),"0%")&amp;" · ","")&amp;IF((COUNTIF(G296:J296,"&gt;1")+COUNTIF(G296:J296,"&lt;0")+COUNTA(G296:J296)-COUNT(G296:J296))&gt;0,"Avance fuera de rango 0-100%"&amp;" · ","")&amp;IF(OR(AND(H296&lt;&gt;"",H296&lt;G296),AND(I296&lt;&gt;"",I296&lt;MAX(G296:H296)),AND(J296&lt;&gt;"",J296&lt;MAX(G296:I296))),"Avance semanal decreciente"&amp;" · ","")&amp;IF(AND(ISNUMBER(E296),E296&lt;FechaRef,N(K296)&lt;1),"Vencida"&amp;" · ","")&amp;IF(AND(ObsObligatoria="Sí",ISNUMBER(E296),E296&lt;FechaRef,N(K296)&lt;1,M296=""),"Vencida sin observación"&amp;" · ",""))-3)))</f>
        <v/>
      </c>
      <c r="O296" s="67">
        <f>IF(NOT((COUNTA($B296:$J296)+COUNTA($M296))&gt;0),"",IF(ISNUMBER($D296),DATE(YEAR($D296),MONTH($D296),1),IF(ISNUMBER($E296),DATE(YEAR($E296),MONTH($E296),1),MesCiclo)))</f>
        <v/>
      </c>
      <c r="P296" s="68">
        <f>IF(OR($O296="",$O296&lt;&gt;MesCiclo),"",COUNTIF($O$5:$O296,MesCiclo))</f>
        <v/>
      </c>
    </row>
    <row r="297">
      <c r="A297" s="60">
        <f>IF(NOT((COUNTA($B297:$J297)+COUNTA($M297))&gt;0),"",COUNTIFS($L$5:$L297,"?*",$O$5:$O297,$O297))</f>
        <v/>
      </c>
      <c r="B297" s="61" t="n"/>
      <c r="C297" s="61" t="n"/>
      <c r="D297" s="62" t="n"/>
      <c r="E297" s="62" t="n"/>
      <c r="F297" s="63" t="n"/>
      <c r="G297" s="64" t="n"/>
      <c r="H297" s="64" t="n"/>
      <c r="I297" s="64" t="n"/>
      <c r="J297" s="64" t="n"/>
      <c r="K297" s="65">
        <f>IF(NOT((COUNTA($B297:$J297)+COUNTA($M297))&gt;0),"",IFERROR(LOOKUP(2,1/(G297:J297&lt;&gt;""),G297:J297),0))</f>
        <v/>
      </c>
      <c r="L297" s="60">
        <f>IF(K297="","",IF(K297&gt;=1,"Completado",IF(K297&gt;0,"En curso","Pendiente")))</f>
        <v/>
      </c>
      <c r="M297" s="61" t="n"/>
      <c r="N297" s="66">
        <f>IF(NOT((COUNTA($B297:$J297)+COUNTA($M297))&gt;0),"",IF((IF(B297="","Macroactividad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 OK","⚠ "&amp;LEFT(IF(B297="","Macroactividad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",""),LEN(IF(B297="","Macroactividad vacía"&amp;" · ","")&amp;IF(C297="","Sin responsable"&amp;" · ","")&amp;IF(D297="","Sin fecha de inicio"&amp;" · ","")&amp;IF(E297="","Sin fecha límite"&amp;" · ","")&amp;IF(OR(AND(D297&lt;&gt;"",NOT(ISNUMBER(D297))),AND(E297&lt;&gt;"",NOT(ISNUMBER(E297)))),"Fecha no válida"&amp;" · ","")&amp;IF(AND(ISNUMBER(D297),ISNUMBER(E297),D297&gt;E297),"Inicio posterior a fecha límite"&amp;" · ","")&amp;IF(F297="","Peso vacío"&amp;" · ","")&amp;IF(AND(F297&lt;&gt;"",OR(NOT(ISNUMBER(F297)),F297&lt;=0,F297&gt;1)),"Peso fuera de rango"&amp;" · ","")&amp;IF(ABS(SUMIFS($F$5:$F$1000,$O$5:$O$1000,$O297)-1)&gt;0.0001,"Pesos del mes suman "&amp;TEXT(SUMIFS($F$5:$F$1000,$O$5:$O$1000,$O297),"0%")&amp;" · ","")&amp;IF((COUNTIF(G297:J297,"&gt;1")+COUNTIF(G297:J297,"&lt;0")+COUNTA(G297:J297)-COUNT(G297:J297))&gt;0,"Avance fuera de rango 0-100%"&amp;" · ","")&amp;IF(OR(AND(H297&lt;&gt;"",H297&lt;G297),AND(I297&lt;&gt;"",I297&lt;MAX(G297:H297)),AND(J297&lt;&gt;"",J297&lt;MAX(G297:I297))),"Avance semanal decreciente"&amp;" · ","")&amp;IF(AND(ISNUMBER(E297),E297&lt;FechaRef,N(K297)&lt;1),"Vencida"&amp;" · ","")&amp;IF(AND(ObsObligatoria="Sí",ISNUMBER(E297),E297&lt;FechaRef,N(K297)&lt;1,M297=""),"Vencida sin observación"&amp;" · ",""))-3)))</f>
        <v/>
      </c>
      <c r="O297" s="67">
        <f>IF(NOT((COUNTA($B297:$J297)+COUNTA($M297))&gt;0),"",IF(ISNUMBER($D297),DATE(YEAR($D297),MONTH($D297),1),IF(ISNUMBER($E297),DATE(YEAR($E297),MONTH($E297),1),MesCiclo)))</f>
        <v/>
      </c>
      <c r="P297" s="68">
        <f>IF(OR($O297="",$O297&lt;&gt;MesCiclo),"",COUNTIF($O$5:$O297,MesCiclo))</f>
        <v/>
      </c>
    </row>
    <row r="298">
      <c r="A298" s="60">
        <f>IF(NOT((COUNTA($B298:$J298)+COUNTA($M298))&gt;0),"",COUNTIFS($L$5:$L298,"?*",$O$5:$O298,$O298))</f>
        <v/>
      </c>
      <c r="B298" s="61" t="n"/>
      <c r="C298" s="61" t="n"/>
      <c r="D298" s="62" t="n"/>
      <c r="E298" s="62" t="n"/>
      <c r="F298" s="63" t="n"/>
      <c r="G298" s="64" t="n"/>
      <c r="H298" s="64" t="n"/>
      <c r="I298" s="64" t="n"/>
      <c r="J298" s="64" t="n"/>
      <c r="K298" s="65">
        <f>IF(NOT((COUNTA($B298:$J298)+COUNTA($M298))&gt;0),"",IFERROR(LOOKUP(2,1/(G298:J298&lt;&gt;""),G298:J298),0))</f>
        <v/>
      </c>
      <c r="L298" s="60">
        <f>IF(K298="","",IF(K298&gt;=1,"Completado",IF(K298&gt;0,"En curso","Pendiente")))</f>
        <v/>
      </c>
      <c r="M298" s="61" t="n"/>
      <c r="N298" s="66">
        <f>IF(NOT((COUNTA($B298:$J298)+COUNTA($M298))&gt;0),"",IF((IF(B298="","Macroactividad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 OK","⚠ "&amp;LEFT(IF(B298="","Macroactividad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",""),LEN(IF(B298="","Macroactividad vacía"&amp;" · ","")&amp;IF(C298="","Sin responsable"&amp;" · ","")&amp;IF(D298="","Sin fecha de inicio"&amp;" · ","")&amp;IF(E298="","Sin fecha límite"&amp;" · ","")&amp;IF(OR(AND(D298&lt;&gt;"",NOT(ISNUMBER(D298))),AND(E298&lt;&gt;"",NOT(ISNUMBER(E298)))),"Fecha no válida"&amp;" · ","")&amp;IF(AND(ISNUMBER(D298),ISNUMBER(E298),D298&gt;E298),"Inicio posterior a fecha límite"&amp;" · ","")&amp;IF(F298="","Peso vacío"&amp;" · ","")&amp;IF(AND(F298&lt;&gt;"",OR(NOT(ISNUMBER(F298)),F298&lt;=0,F298&gt;1)),"Peso fuera de rango"&amp;" · ","")&amp;IF(ABS(SUMIFS($F$5:$F$1000,$O$5:$O$1000,$O298)-1)&gt;0.0001,"Pesos del mes suman "&amp;TEXT(SUMIFS($F$5:$F$1000,$O$5:$O$1000,$O298),"0%")&amp;" · ","")&amp;IF((COUNTIF(G298:J298,"&gt;1")+COUNTIF(G298:J298,"&lt;0")+COUNTA(G298:J298)-COUNT(G298:J298))&gt;0,"Avance fuera de rango 0-100%"&amp;" · ","")&amp;IF(OR(AND(H298&lt;&gt;"",H298&lt;G298),AND(I298&lt;&gt;"",I298&lt;MAX(G298:H298)),AND(J298&lt;&gt;"",J298&lt;MAX(G298:I298))),"Avance semanal decreciente"&amp;" · ","")&amp;IF(AND(ISNUMBER(E298),E298&lt;FechaRef,N(K298)&lt;1),"Vencida"&amp;" · ","")&amp;IF(AND(ObsObligatoria="Sí",ISNUMBER(E298),E298&lt;FechaRef,N(K298)&lt;1,M298=""),"Vencida sin observación"&amp;" · ",""))-3)))</f>
        <v/>
      </c>
      <c r="O298" s="67">
        <f>IF(NOT((COUNTA($B298:$J298)+COUNTA($M298))&gt;0),"",IF(ISNUMBER($D298),DATE(YEAR($D298),MONTH($D298),1),IF(ISNUMBER($E298),DATE(YEAR($E298),MONTH($E298),1),MesCiclo)))</f>
        <v/>
      </c>
      <c r="P298" s="68">
        <f>IF(OR($O298="",$O298&lt;&gt;MesCiclo),"",COUNTIF($O$5:$O298,MesCiclo))</f>
        <v/>
      </c>
    </row>
    <row r="299">
      <c r="A299" s="60">
        <f>IF(NOT((COUNTA($B299:$J299)+COUNTA($M299))&gt;0),"",COUNTIFS($L$5:$L299,"?*",$O$5:$O299,$O299))</f>
        <v/>
      </c>
      <c r="B299" s="61" t="n"/>
      <c r="C299" s="61" t="n"/>
      <c r="D299" s="62" t="n"/>
      <c r="E299" s="62" t="n"/>
      <c r="F299" s="63" t="n"/>
      <c r="G299" s="64" t="n"/>
      <c r="H299" s="64" t="n"/>
      <c r="I299" s="64" t="n"/>
      <c r="J299" s="64" t="n"/>
      <c r="K299" s="65">
        <f>IF(NOT((COUNTA($B299:$J299)+COUNTA($M299))&gt;0),"",IFERROR(LOOKUP(2,1/(G299:J299&lt;&gt;""),G299:J299),0))</f>
        <v/>
      </c>
      <c r="L299" s="60">
        <f>IF(K299="","",IF(K299&gt;=1,"Completado",IF(K299&gt;0,"En curso","Pendiente")))</f>
        <v/>
      </c>
      <c r="M299" s="61" t="n"/>
      <c r="N299" s="66">
        <f>IF(NOT((COUNTA($B299:$J299)+COUNTA($M299))&gt;0),"",IF((IF(B299="","Macroactividad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 OK","⚠ "&amp;LEFT(IF(B299="","Macroactividad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",""),LEN(IF(B299="","Macroactividad vacía"&amp;" · ","")&amp;IF(C299="","Sin responsable"&amp;" · ","")&amp;IF(D299="","Sin fecha de inicio"&amp;" · ","")&amp;IF(E299="","Sin fecha límite"&amp;" · ","")&amp;IF(OR(AND(D299&lt;&gt;"",NOT(ISNUMBER(D299))),AND(E299&lt;&gt;"",NOT(ISNUMBER(E299)))),"Fecha no válida"&amp;" · ","")&amp;IF(AND(ISNUMBER(D299),ISNUMBER(E299),D299&gt;E299),"Inicio posterior a fecha límite"&amp;" · ","")&amp;IF(F299="","Peso vacío"&amp;" · ","")&amp;IF(AND(F299&lt;&gt;"",OR(NOT(ISNUMBER(F299)),F299&lt;=0,F299&gt;1)),"Peso fuera de rango"&amp;" · ","")&amp;IF(ABS(SUMIFS($F$5:$F$1000,$O$5:$O$1000,$O299)-1)&gt;0.0001,"Pesos del mes suman "&amp;TEXT(SUMIFS($F$5:$F$1000,$O$5:$O$1000,$O299),"0%")&amp;" · ","")&amp;IF((COUNTIF(G299:J299,"&gt;1")+COUNTIF(G299:J299,"&lt;0")+COUNTA(G299:J299)-COUNT(G299:J299))&gt;0,"Avance fuera de rango 0-100%"&amp;" · ","")&amp;IF(OR(AND(H299&lt;&gt;"",H299&lt;G299),AND(I299&lt;&gt;"",I299&lt;MAX(G299:H299)),AND(J299&lt;&gt;"",J299&lt;MAX(G299:I299))),"Avance semanal decreciente"&amp;" · ","")&amp;IF(AND(ISNUMBER(E299),E299&lt;FechaRef,N(K299)&lt;1),"Vencida"&amp;" · ","")&amp;IF(AND(ObsObligatoria="Sí",ISNUMBER(E299),E299&lt;FechaRef,N(K299)&lt;1,M299=""),"Vencida sin observación"&amp;" · ",""))-3)))</f>
        <v/>
      </c>
      <c r="O299" s="67">
        <f>IF(NOT((COUNTA($B299:$J299)+COUNTA($M299))&gt;0),"",IF(ISNUMBER($D299),DATE(YEAR($D299),MONTH($D299),1),IF(ISNUMBER($E299),DATE(YEAR($E299),MONTH($E299),1),MesCiclo)))</f>
        <v/>
      </c>
      <c r="P299" s="68">
        <f>IF(OR($O299="",$O299&lt;&gt;MesCiclo),"",COUNTIF($O$5:$O299,MesCiclo))</f>
        <v/>
      </c>
    </row>
    <row r="300">
      <c r="A300" s="60">
        <f>IF(NOT((COUNTA($B300:$J300)+COUNTA($M300))&gt;0),"",COUNTIFS($L$5:$L300,"?*",$O$5:$O300,$O300))</f>
        <v/>
      </c>
      <c r="B300" s="61" t="n"/>
      <c r="C300" s="61" t="n"/>
      <c r="D300" s="62" t="n"/>
      <c r="E300" s="62" t="n"/>
      <c r="F300" s="63" t="n"/>
      <c r="G300" s="64" t="n"/>
      <c r="H300" s="64" t="n"/>
      <c r="I300" s="64" t="n"/>
      <c r="J300" s="64" t="n"/>
      <c r="K300" s="65">
        <f>IF(NOT((COUNTA($B300:$J300)+COUNTA($M300))&gt;0),"",IFERROR(LOOKUP(2,1/(G300:J300&lt;&gt;""),G300:J300),0))</f>
        <v/>
      </c>
      <c r="L300" s="60">
        <f>IF(K300="","",IF(K300&gt;=1,"Completado",IF(K300&gt;0,"En curso","Pendiente")))</f>
        <v/>
      </c>
      <c r="M300" s="61" t="n"/>
      <c r="N300" s="66">
        <f>IF(NOT((COUNTA($B300:$J300)+COUNTA($M300))&gt;0),"",IF((IF(B300="","Macroactividad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 OK","⚠ "&amp;LEFT(IF(B300="","Macroactividad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",""),LEN(IF(B300="","Macroactividad vacía"&amp;" · ","")&amp;IF(C300="","Sin responsable"&amp;" · ","")&amp;IF(D300="","Sin fecha de inicio"&amp;" · ","")&amp;IF(E300="","Sin fecha límite"&amp;" · ","")&amp;IF(OR(AND(D300&lt;&gt;"",NOT(ISNUMBER(D300))),AND(E300&lt;&gt;"",NOT(ISNUMBER(E300)))),"Fecha no válida"&amp;" · ","")&amp;IF(AND(ISNUMBER(D300),ISNUMBER(E300),D300&gt;E300),"Inicio posterior a fecha límite"&amp;" · ","")&amp;IF(F300="","Peso vacío"&amp;" · ","")&amp;IF(AND(F300&lt;&gt;"",OR(NOT(ISNUMBER(F300)),F300&lt;=0,F300&gt;1)),"Peso fuera de rango"&amp;" · ","")&amp;IF(ABS(SUMIFS($F$5:$F$1000,$O$5:$O$1000,$O300)-1)&gt;0.0001,"Pesos del mes suman "&amp;TEXT(SUMIFS($F$5:$F$1000,$O$5:$O$1000,$O300),"0%")&amp;" · ","")&amp;IF((COUNTIF(G300:J300,"&gt;1")+COUNTIF(G300:J300,"&lt;0")+COUNTA(G300:J300)-COUNT(G300:J300))&gt;0,"Avance fuera de rango 0-100%"&amp;" · ","")&amp;IF(OR(AND(H300&lt;&gt;"",H300&lt;G300),AND(I300&lt;&gt;"",I300&lt;MAX(G300:H300)),AND(J300&lt;&gt;"",J300&lt;MAX(G300:I300))),"Avance semanal decreciente"&amp;" · ","")&amp;IF(AND(ISNUMBER(E300),E300&lt;FechaRef,N(K300)&lt;1),"Vencida"&amp;" · ","")&amp;IF(AND(ObsObligatoria="Sí",ISNUMBER(E300),E300&lt;FechaRef,N(K300)&lt;1,M300=""),"Vencida sin observación"&amp;" · ",""))-3)))</f>
        <v/>
      </c>
      <c r="O300" s="67">
        <f>IF(NOT((COUNTA($B300:$J300)+COUNTA($M300))&gt;0),"",IF(ISNUMBER($D300),DATE(YEAR($D300),MONTH($D300),1),IF(ISNUMBER($E300),DATE(YEAR($E300),MONTH($E300),1),MesCiclo)))</f>
        <v/>
      </c>
      <c r="P300" s="68">
        <f>IF(OR($O300="",$O300&lt;&gt;MesCiclo),"",COUNTIF($O$5:$O300,MesCiclo))</f>
        <v/>
      </c>
    </row>
    <row r="301">
      <c r="A301" s="60">
        <f>IF(NOT((COUNTA($B301:$J301)+COUNTA($M301))&gt;0),"",COUNTIFS($L$5:$L301,"?*",$O$5:$O301,$O301))</f>
        <v/>
      </c>
      <c r="B301" s="61" t="n"/>
      <c r="C301" s="61" t="n"/>
      <c r="D301" s="62" t="n"/>
      <c r="E301" s="62" t="n"/>
      <c r="F301" s="63" t="n"/>
      <c r="G301" s="64" t="n"/>
      <c r="H301" s="64" t="n"/>
      <c r="I301" s="64" t="n"/>
      <c r="J301" s="64" t="n"/>
      <c r="K301" s="65">
        <f>IF(NOT((COUNTA($B301:$J301)+COUNTA($M301))&gt;0),"",IFERROR(LOOKUP(2,1/(G301:J301&lt;&gt;""),G301:J301),0))</f>
        <v/>
      </c>
      <c r="L301" s="60">
        <f>IF(K301="","",IF(K301&gt;=1,"Completado",IF(K301&gt;0,"En curso","Pendiente")))</f>
        <v/>
      </c>
      <c r="M301" s="61" t="n"/>
      <c r="N301" s="66">
        <f>IF(NOT((COUNTA($B301:$J301)+COUNTA($M301))&gt;0),"",IF((IF(B301="","Macroactividad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 OK","⚠ "&amp;LEFT(IF(B301="","Macroactividad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",""),LEN(IF(B301="","Macroactividad vacía"&amp;" · ","")&amp;IF(C301="","Sin responsable"&amp;" · ","")&amp;IF(D301="","Sin fecha de inicio"&amp;" · ","")&amp;IF(E301="","Sin fecha límite"&amp;" · ","")&amp;IF(OR(AND(D301&lt;&gt;"",NOT(ISNUMBER(D301))),AND(E301&lt;&gt;"",NOT(ISNUMBER(E301)))),"Fecha no válida"&amp;" · ","")&amp;IF(AND(ISNUMBER(D301),ISNUMBER(E301),D301&gt;E301),"Inicio posterior a fecha límite"&amp;" · ","")&amp;IF(F301="","Peso vacío"&amp;" · ","")&amp;IF(AND(F301&lt;&gt;"",OR(NOT(ISNUMBER(F301)),F301&lt;=0,F301&gt;1)),"Peso fuera de rango"&amp;" · ","")&amp;IF(ABS(SUMIFS($F$5:$F$1000,$O$5:$O$1000,$O301)-1)&gt;0.0001,"Pesos del mes suman "&amp;TEXT(SUMIFS($F$5:$F$1000,$O$5:$O$1000,$O301),"0%")&amp;" · ","")&amp;IF((COUNTIF(G301:J301,"&gt;1")+COUNTIF(G301:J301,"&lt;0")+COUNTA(G301:J301)-COUNT(G301:J301))&gt;0,"Avance fuera de rango 0-100%"&amp;" · ","")&amp;IF(OR(AND(H301&lt;&gt;"",H301&lt;G301),AND(I301&lt;&gt;"",I301&lt;MAX(G301:H301)),AND(J301&lt;&gt;"",J301&lt;MAX(G301:I301))),"Avance semanal decreciente"&amp;" · ","")&amp;IF(AND(ISNUMBER(E301),E301&lt;FechaRef,N(K301)&lt;1),"Vencida"&amp;" · ","")&amp;IF(AND(ObsObligatoria="Sí",ISNUMBER(E301),E301&lt;FechaRef,N(K301)&lt;1,M301=""),"Vencida sin observación"&amp;" · ",""))-3)))</f>
        <v/>
      </c>
      <c r="O301" s="67">
        <f>IF(NOT((COUNTA($B301:$J301)+COUNTA($M301))&gt;0),"",IF(ISNUMBER($D301),DATE(YEAR($D301),MONTH($D301),1),IF(ISNUMBER($E301),DATE(YEAR($E301),MONTH($E301),1),MesCiclo)))</f>
        <v/>
      </c>
      <c r="P301" s="68">
        <f>IF(OR($O301="",$O301&lt;&gt;MesCiclo),"",COUNTIF($O$5:$O301,MesCiclo))</f>
        <v/>
      </c>
    </row>
    <row r="302">
      <c r="A302" s="60">
        <f>IF(NOT((COUNTA($B302:$J302)+COUNTA($M302))&gt;0),"",COUNTIFS($L$5:$L302,"?*",$O$5:$O302,$O302))</f>
        <v/>
      </c>
      <c r="B302" s="61" t="n"/>
      <c r="C302" s="61" t="n"/>
      <c r="D302" s="62" t="n"/>
      <c r="E302" s="62" t="n"/>
      <c r="F302" s="63" t="n"/>
      <c r="G302" s="64" t="n"/>
      <c r="H302" s="64" t="n"/>
      <c r="I302" s="64" t="n"/>
      <c r="J302" s="64" t="n"/>
      <c r="K302" s="65">
        <f>IF(NOT((COUNTA($B302:$J302)+COUNTA($M302))&gt;0),"",IFERROR(LOOKUP(2,1/(G302:J302&lt;&gt;""),G302:J302),0))</f>
        <v/>
      </c>
      <c r="L302" s="60">
        <f>IF(K302="","",IF(K302&gt;=1,"Completado",IF(K302&gt;0,"En curso","Pendiente")))</f>
        <v/>
      </c>
      <c r="M302" s="61" t="n"/>
      <c r="N302" s="66">
        <f>IF(NOT((COUNTA($B302:$J302)+COUNTA($M302))&gt;0),"",IF((IF(B302="","Macroactividad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 OK","⚠ "&amp;LEFT(IF(B302="","Macroactividad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",""),LEN(IF(B302="","Macroactividad vacía"&amp;" · ","")&amp;IF(C302="","Sin responsable"&amp;" · ","")&amp;IF(D302="","Sin fecha de inicio"&amp;" · ","")&amp;IF(E302="","Sin fecha límite"&amp;" · ","")&amp;IF(OR(AND(D302&lt;&gt;"",NOT(ISNUMBER(D302))),AND(E302&lt;&gt;"",NOT(ISNUMBER(E302)))),"Fecha no válida"&amp;" · ","")&amp;IF(AND(ISNUMBER(D302),ISNUMBER(E302),D302&gt;E302),"Inicio posterior a fecha límite"&amp;" · ","")&amp;IF(F302="","Peso vacío"&amp;" · ","")&amp;IF(AND(F302&lt;&gt;"",OR(NOT(ISNUMBER(F302)),F302&lt;=0,F302&gt;1)),"Peso fuera de rango"&amp;" · ","")&amp;IF(ABS(SUMIFS($F$5:$F$1000,$O$5:$O$1000,$O302)-1)&gt;0.0001,"Pesos del mes suman "&amp;TEXT(SUMIFS($F$5:$F$1000,$O$5:$O$1000,$O302),"0%")&amp;" · ","")&amp;IF((COUNTIF(G302:J302,"&gt;1")+COUNTIF(G302:J302,"&lt;0")+COUNTA(G302:J302)-COUNT(G302:J302))&gt;0,"Avance fuera de rango 0-100%"&amp;" · ","")&amp;IF(OR(AND(H302&lt;&gt;"",H302&lt;G302),AND(I302&lt;&gt;"",I302&lt;MAX(G302:H302)),AND(J302&lt;&gt;"",J302&lt;MAX(G302:I302))),"Avance semanal decreciente"&amp;" · ","")&amp;IF(AND(ISNUMBER(E302),E302&lt;FechaRef,N(K302)&lt;1),"Vencida"&amp;" · ","")&amp;IF(AND(ObsObligatoria="Sí",ISNUMBER(E302),E302&lt;FechaRef,N(K302)&lt;1,M302=""),"Vencida sin observación"&amp;" · ",""))-3)))</f>
        <v/>
      </c>
      <c r="O302" s="67">
        <f>IF(NOT((COUNTA($B302:$J302)+COUNTA($M302))&gt;0),"",IF(ISNUMBER($D302),DATE(YEAR($D302),MONTH($D302),1),IF(ISNUMBER($E302),DATE(YEAR($E302),MONTH($E302),1),MesCiclo)))</f>
        <v/>
      </c>
      <c r="P302" s="68">
        <f>IF(OR($O302="",$O302&lt;&gt;MesCiclo),"",COUNTIF($O$5:$O302,MesCiclo))</f>
        <v/>
      </c>
    </row>
    <row r="303">
      <c r="A303" s="60">
        <f>IF(NOT((COUNTA($B303:$J303)+COUNTA($M303))&gt;0),"",COUNTIFS($L$5:$L303,"?*",$O$5:$O303,$O303))</f>
        <v/>
      </c>
      <c r="B303" s="61" t="n"/>
      <c r="C303" s="61" t="n"/>
      <c r="D303" s="62" t="n"/>
      <c r="E303" s="62" t="n"/>
      <c r="F303" s="63" t="n"/>
      <c r="G303" s="64" t="n"/>
      <c r="H303" s="64" t="n"/>
      <c r="I303" s="64" t="n"/>
      <c r="J303" s="64" t="n"/>
      <c r="K303" s="65">
        <f>IF(NOT((COUNTA($B303:$J303)+COUNTA($M303))&gt;0),"",IFERROR(LOOKUP(2,1/(G303:J303&lt;&gt;""),G303:J303),0))</f>
        <v/>
      </c>
      <c r="L303" s="60">
        <f>IF(K303="","",IF(K303&gt;=1,"Completado",IF(K303&gt;0,"En curso","Pendiente")))</f>
        <v/>
      </c>
      <c r="M303" s="61" t="n"/>
      <c r="N303" s="66">
        <f>IF(NOT((COUNTA($B303:$J303)+COUNTA($M303))&gt;0),"",IF((IF(B303="","Macroactividad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 OK","⚠ "&amp;LEFT(IF(B303="","Macroactividad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",""),LEN(IF(B303="","Macroactividad vacía"&amp;" · ","")&amp;IF(C303="","Sin responsable"&amp;" · ","")&amp;IF(D303="","Sin fecha de inicio"&amp;" · ","")&amp;IF(E303="","Sin fecha límite"&amp;" · ","")&amp;IF(OR(AND(D303&lt;&gt;"",NOT(ISNUMBER(D303))),AND(E303&lt;&gt;"",NOT(ISNUMBER(E303)))),"Fecha no válida"&amp;" · ","")&amp;IF(AND(ISNUMBER(D303),ISNUMBER(E303),D303&gt;E303),"Inicio posterior a fecha límite"&amp;" · ","")&amp;IF(F303="","Peso vacío"&amp;" · ","")&amp;IF(AND(F303&lt;&gt;"",OR(NOT(ISNUMBER(F303)),F303&lt;=0,F303&gt;1)),"Peso fuera de rango"&amp;" · ","")&amp;IF(ABS(SUMIFS($F$5:$F$1000,$O$5:$O$1000,$O303)-1)&gt;0.0001,"Pesos del mes suman "&amp;TEXT(SUMIFS($F$5:$F$1000,$O$5:$O$1000,$O303),"0%")&amp;" · ","")&amp;IF((COUNTIF(G303:J303,"&gt;1")+COUNTIF(G303:J303,"&lt;0")+COUNTA(G303:J303)-COUNT(G303:J303))&gt;0,"Avance fuera de rango 0-100%"&amp;" · ","")&amp;IF(OR(AND(H303&lt;&gt;"",H303&lt;G303),AND(I303&lt;&gt;"",I303&lt;MAX(G303:H303)),AND(J303&lt;&gt;"",J303&lt;MAX(G303:I303))),"Avance semanal decreciente"&amp;" · ","")&amp;IF(AND(ISNUMBER(E303),E303&lt;FechaRef,N(K303)&lt;1),"Vencida"&amp;" · ","")&amp;IF(AND(ObsObligatoria="Sí",ISNUMBER(E303),E303&lt;FechaRef,N(K303)&lt;1,M303=""),"Vencida sin observación"&amp;" · ",""))-3)))</f>
        <v/>
      </c>
      <c r="O303" s="67">
        <f>IF(NOT((COUNTA($B303:$J303)+COUNTA($M303))&gt;0),"",IF(ISNUMBER($D303),DATE(YEAR($D303),MONTH($D303),1),IF(ISNUMBER($E303),DATE(YEAR($E303),MONTH($E303),1),MesCiclo)))</f>
        <v/>
      </c>
      <c r="P303" s="68">
        <f>IF(OR($O303="",$O303&lt;&gt;MesCiclo),"",COUNTIF($O$5:$O303,MesCiclo))</f>
        <v/>
      </c>
    </row>
    <row r="304">
      <c r="A304" s="60">
        <f>IF(NOT((COUNTA($B304:$J304)+COUNTA($M304))&gt;0),"",COUNTIFS($L$5:$L304,"?*",$O$5:$O304,$O304))</f>
        <v/>
      </c>
      <c r="B304" s="61" t="n"/>
      <c r="C304" s="61" t="n"/>
      <c r="D304" s="62" t="n"/>
      <c r="E304" s="62" t="n"/>
      <c r="F304" s="63" t="n"/>
      <c r="G304" s="64" t="n"/>
      <c r="H304" s="64" t="n"/>
      <c r="I304" s="64" t="n"/>
      <c r="J304" s="64" t="n"/>
      <c r="K304" s="65">
        <f>IF(NOT((COUNTA($B304:$J304)+COUNTA($M304))&gt;0),"",IFERROR(LOOKUP(2,1/(G304:J304&lt;&gt;""),G304:J304),0))</f>
        <v/>
      </c>
      <c r="L304" s="60">
        <f>IF(K304="","",IF(K304&gt;=1,"Completado",IF(K304&gt;0,"En curso","Pendiente")))</f>
        <v/>
      </c>
      <c r="M304" s="61" t="n"/>
      <c r="N304" s="66">
        <f>IF(NOT((COUNTA($B304:$J304)+COUNTA($M304))&gt;0),"",IF((IF(B304="","Macroactividad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 OK","⚠ "&amp;LEFT(IF(B304="","Macroactividad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",""),LEN(IF(B304="","Macroactividad vacía"&amp;" · ","")&amp;IF(C304="","Sin responsable"&amp;" · ","")&amp;IF(D304="","Sin fecha de inicio"&amp;" · ","")&amp;IF(E304="","Sin fecha límite"&amp;" · ","")&amp;IF(OR(AND(D304&lt;&gt;"",NOT(ISNUMBER(D304))),AND(E304&lt;&gt;"",NOT(ISNUMBER(E304)))),"Fecha no válida"&amp;" · ","")&amp;IF(AND(ISNUMBER(D304),ISNUMBER(E304),D304&gt;E304),"Inicio posterior a fecha límite"&amp;" · ","")&amp;IF(F304="","Peso vacío"&amp;" · ","")&amp;IF(AND(F304&lt;&gt;"",OR(NOT(ISNUMBER(F304)),F304&lt;=0,F304&gt;1)),"Peso fuera de rango"&amp;" · ","")&amp;IF(ABS(SUMIFS($F$5:$F$1000,$O$5:$O$1000,$O304)-1)&gt;0.0001,"Pesos del mes suman "&amp;TEXT(SUMIFS($F$5:$F$1000,$O$5:$O$1000,$O304),"0%")&amp;" · ","")&amp;IF((COUNTIF(G304:J304,"&gt;1")+COUNTIF(G304:J304,"&lt;0")+COUNTA(G304:J304)-COUNT(G304:J304))&gt;0,"Avance fuera de rango 0-100%"&amp;" · ","")&amp;IF(OR(AND(H304&lt;&gt;"",H304&lt;G304),AND(I304&lt;&gt;"",I304&lt;MAX(G304:H304)),AND(J304&lt;&gt;"",J304&lt;MAX(G304:I304))),"Avance semanal decreciente"&amp;" · ","")&amp;IF(AND(ISNUMBER(E304),E304&lt;FechaRef,N(K304)&lt;1),"Vencida"&amp;" · ","")&amp;IF(AND(ObsObligatoria="Sí",ISNUMBER(E304),E304&lt;FechaRef,N(K304)&lt;1,M304=""),"Vencida sin observación"&amp;" · ",""))-3)))</f>
        <v/>
      </c>
      <c r="O304" s="67">
        <f>IF(NOT((COUNTA($B304:$J304)+COUNTA($M304))&gt;0),"",IF(ISNUMBER($D304),DATE(YEAR($D304),MONTH($D304),1),IF(ISNUMBER($E304),DATE(YEAR($E304),MONTH($E304),1),MesCiclo)))</f>
        <v/>
      </c>
      <c r="P304" s="68">
        <f>IF(OR($O304="",$O304&lt;&gt;MesCiclo),"",COUNTIF($O$5:$O304,MesCiclo))</f>
        <v/>
      </c>
    </row>
  </sheetData>
  <sheetProtection selectLockedCells="0" selectUnlockedCells="0" sheet="1" objects="0" insertRows="1" insertHyperlinks="1" autoFilter="0" scenarios="0" formatColumns="0" deleteColumns="1" insertColumns="1" pivotTables="1" deleteRows="1" formatCells="1" formatRows="0" sort="0"/>
  <mergeCells count="3">
    <mergeCell ref="A1:O1"/>
    <mergeCell ref="E3:F3"/>
    <mergeCell ref="A2:O2"/>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10">
      <formula>LEFT($N5,1)="✔"</formula>
    </cfRule>
  </conditionalFormatting>
  <conditionalFormatting sqref="O5:O1000">
    <cfRule type="expression" priority="18" dxfId="1">
      <formula>AND($O5&lt;&gt;"",$O5=MesCiclo)</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22" customWidth="1" min="3" max="3"/>
    <col width="12" customWidth="1" min="4" max="4"/>
    <col width="12" customWidth="1" min="5" max="5"/>
    <col width="16" customWidth="1" min="6" max="6"/>
    <col width="11" customWidth="1" min="7" max="7"/>
    <col width="11" customWidth="1" min="8" max="8"/>
    <col width="11" customWidth="1" min="9" max="9"/>
    <col width="11" customWidth="1" min="10" max="10"/>
    <col width="12" customWidth="1" min="11" max="11"/>
    <col width="13" customWidth="1" min="12" max="12"/>
    <col width="46" customWidth="1" min="13" max="13"/>
    <col hidden="1" width="13" customWidth="1" min="14" max="14"/>
  </cols>
  <sheetData>
    <row r="1" ht="28" customHeight="1">
      <c r="A1" s="77" t="inlineStr">
        <is>
          <t>Actividades del mes por semana – Asistente Técnico de Riesgo</t>
        </is>
      </c>
      <c r="B1" s="77" t="n"/>
      <c r="C1" s="77" t="n"/>
      <c r="D1" s="77" t="n"/>
      <c r="E1" s="77" t="n"/>
      <c r="F1" s="77" t="n"/>
      <c r="G1" s="77" t="n"/>
      <c r="H1" s="77" t="n"/>
      <c r="I1" s="77" t="n"/>
      <c r="J1" s="77" t="n"/>
      <c r="K1" s="77" t="n"/>
      <c r="L1" s="77" t="n"/>
      <c r="M1" s="77" t="n"/>
    </row>
    <row r="2" ht="32" customHeight="1">
      <c r="A2" s="69" t="inlineStr">
        <is>
          <t>HOJA AUTOMÁTICA Y BLOQUEADA: muestra solo las actividades del mes indicado abajo, tomadas de «Cronograma Asistente Técnico». No hay que escribir nada aquí. La barra de color marca las semanas en que cada actividad está programada (de la fecha de inicio a la fecha límite) y dentro aparece el avance registrado en esa semana.</t>
        </is>
      </c>
      <c r="B2" s="69" t="n"/>
      <c r="C2" s="69" t="n"/>
      <c r="D2" s="69" t="n"/>
      <c r="E2" s="69" t="n"/>
      <c r="F2" s="69" t="n"/>
      <c r="G2" s="69" t="n"/>
      <c r="H2" s="69" t="n"/>
      <c r="I2" s="69" t="n"/>
      <c r="J2" s="69" t="n"/>
      <c r="K2" s="69" t="n"/>
      <c r="L2" s="69" t="n"/>
      <c r="M2" s="69" t="n"/>
    </row>
    <row r="3">
      <c r="A3" s="70" t="inlineStr">
        <is>
          <t>Mes:</t>
        </is>
      </c>
      <c r="B3" s="71">
        <f>MesCiclo</f>
        <v/>
      </c>
      <c r="F3" s="72" t="inlineStr">
        <is>
          <t>Semana del:</t>
        </is>
      </c>
      <c r="G3" s="73">
        <f>(InicioCiclo+0)</f>
        <v/>
      </c>
      <c r="H3" s="73">
        <f>(InicioCiclo+7)</f>
        <v/>
      </c>
      <c r="I3" s="73">
        <f>(InicioCiclo+14)</f>
        <v/>
      </c>
      <c r="J3" s="73">
        <f>(InicioCiclo+21)</f>
        <v/>
      </c>
    </row>
    <row r="4" ht="34" customHeight="1">
      <c r="A4" s="59" t="inlineStr">
        <is>
          <t>N°</t>
        </is>
      </c>
      <c r="B4" s="59" t="inlineStr">
        <is>
          <t>Macro Actividad</t>
        </is>
      </c>
      <c r="C4" s="59" t="inlineStr">
        <is>
          <t>Responsable</t>
        </is>
      </c>
      <c r="D4" s="59" t="inlineStr">
        <is>
          <t>Fecha de inicio</t>
        </is>
      </c>
      <c r="E4" s="59" t="inlineStr">
        <is>
          <t>Fecha límite</t>
        </is>
      </c>
      <c r="F4" s="59" t="inlineStr">
        <is>
          <t>Semana de entrega</t>
        </is>
      </c>
      <c r="G4" s="7" t="inlineStr">
        <is>
          <t>Semana 1</t>
        </is>
      </c>
      <c r="H4" s="7" t="inlineStr">
        <is>
          <t>Semana 2</t>
        </is>
      </c>
      <c r="I4" s="7" t="inlineStr">
        <is>
          <t>Semana 3</t>
        </is>
      </c>
      <c r="J4" s="7" t="inlineStr">
        <is>
          <t>Semana 4</t>
        </is>
      </c>
      <c r="K4" s="59" t="inlineStr">
        <is>
          <t>% Avance actual</t>
        </is>
      </c>
      <c r="L4" s="59" t="inlineStr">
        <is>
          <t>Estado</t>
        </is>
      </c>
      <c r="M4" s="59" t="inlineStr">
        <is>
          <t>Observaciones</t>
        </is>
      </c>
      <c r="N4" t="inlineStr">
        <is>
          <t>Fila origen (auxiliar)</t>
        </is>
      </c>
    </row>
    <row r="5">
      <c r="A5" s="60">
        <f>IF($N5="","",INDEX('Cronograma Asistente Técnico'!$A$5:$A$1000,$N5))</f>
        <v/>
      </c>
      <c r="B5" s="68">
        <f>IF($N5="","",INDEX('Cronograma Asistente Técnico'!$B$5:$B$1000,$N5)&amp;"")</f>
        <v/>
      </c>
      <c r="C5" s="68">
        <f>IF($N5="","",INDEX('Cronograma Asistente Técnico'!$C$5:$C$1000,$N5)&amp;"")</f>
        <v/>
      </c>
      <c r="D5" s="74">
        <f>IF($N5="","",IF(INDEX('Cronograma Asistente Técnico'!$D$5:$D$1000,$N5)="","",INDEX('Cronograma Asistente Técnico'!$D$5:$D$1000,$N5)))</f>
        <v/>
      </c>
      <c r="E5" s="74">
        <f>IF($N5="","",IF(INDEX('Cronograma Asistente Técnico'!$E$5:$E$1000,$N5)="","",INDEX('Cronograma Asistente Técnico'!$E$5:$E$1000,$N5)))</f>
        <v/>
      </c>
      <c r="F5" s="60">
        <f>IF($N5="","",IF(NOT(ISNUMBER($E5)),"",IF($E5&lt;InicioCiclo,"Antes del ciclo",IF($E5&gt;=InicioCiclo+28,"Después del ciclo","Semana "&amp;(INT(($E5-InicioCiclo)/7)+1)))))</f>
        <v/>
      </c>
      <c r="G5" s="65">
        <f>IF($N5="","",IF(INDEX('Cronograma Asistente Técnico'!$G$5:$G$1000,$N5)="","",INDEX('Cronograma Asistente Técnico'!$G$5:$G$1000,$N5)))</f>
        <v/>
      </c>
      <c r="H5" s="65">
        <f>IF($N5="","",IF(INDEX('Cronograma Asistente Técnico'!$H$5:$H$1000,$N5)="","",INDEX('Cronograma Asistente Técnico'!$H$5:$H$1000,$N5)))</f>
        <v/>
      </c>
      <c r="I5" s="65">
        <f>IF($N5="","",IF(INDEX('Cronograma Asistente Técnico'!$I$5:$I$1000,$N5)="","",INDEX('Cronograma Asistente Técnico'!$I$5:$I$1000,$N5)))</f>
        <v/>
      </c>
      <c r="J5" s="65">
        <f>IF($N5="","",IF(INDEX('Cronograma Asistente Técnico'!$J$5:$J$1000,$N5)="","",INDEX('Cronograma Asistente Técnico'!$J$5:$J$1000,$N5)))</f>
        <v/>
      </c>
      <c r="K5" s="65">
        <f>IF($N5="","",INDEX('Cronograma Asistente Técnico'!$K$5:$K$1000,$N5))</f>
        <v/>
      </c>
      <c r="L5" s="60">
        <f>IF($N5="","",IF(N($K5)&gt;=1,"Completado",IF(AND(ISNUMBER($E5),$E5&lt;FechaRef),"Vencida",IF(N($K5)&gt;0,"En curso","Pendiente"))))</f>
        <v/>
      </c>
      <c r="M5" s="68">
        <f>IF($N5="","",INDEX('Cronograma Asistente Técnico'!$M$5:$M$1000,$N5)&amp;"")</f>
        <v/>
      </c>
      <c r="N5">
        <f>IFERROR(MATCH(ROW()-4,rOrden_ATR,0),"")</f>
        <v/>
      </c>
    </row>
    <row r="6">
      <c r="A6" s="60">
        <f>IF($N6="","",INDEX('Cronograma Asistente Técnico'!$A$5:$A$1000,$N6))</f>
        <v/>
      </c>
      <c r="B6" s="68">
        <f>IF($N6="","",INDEX('Cronograma Asistente Técnico'!$B$5:$B$1000,$N6)&amp;"")</f>
        <v/>
      </c>
      <c r="C6" s="68">
        <f>IF($N6="","",INDEX('Cronograma Asistente Técnico'!$C$5:$C$1000,$N6)&amp;"")</f>
        <v/>
      </c>
      <c r="D6" s="74">
        <f>IF($N6="","",IF(INDEX('Cronograma Asistente Técnico'!$D$5:$D$1000,$N6)="","",INDEX('Cronograma Asistente Técnico'!$D$5:$D$1000,$N6)))</f>
        <v/>
      </c>
      <c r="E6" s="74">
        <f>IF($N6="","",IF(INDEX('Cronograma Asistente Técnico'!$E$5:$E$1000,$N6)="","",INDEX('Cronograma Asistente Técnico'!$E$5:$E$1000,$N6)))</f>
        <v/>
      </c>
      <c r="F6" s="60">
        <f>IF($N6="","",IF(NOT(ISNUMBER($E6)),"",IF($E6&lt;InicioCiclo,"Antes del ciclo",IF($E6&gt;=InicioCiclo+28,"Después del ciclo","Semana "&amp;(INT(($E6-InicioCiclo)/7)+1)))))</f>
        <v/>
      </c>
      <c r="G6" s="65">
        <f>IF($N6="","",IF(INDEX('Cronograma Asistente Técnico'!$G$5:$G$1000,$N6)="","",INDEX('Cronograma Asistente Técnico'!$G$5:$G$1000,$N6)))</f>
        <v/>
      </c>
      <c r="H6" s="65">
        <f>IF($N6="","",IF(INDEX('Cronograma Asistente Técnico'!$H$5:$H$1000,$N6)="","",INDEX('Cronograma Asistente Técnico'!$H$5:$H$1000,$N6)))</f>
        <v/>
      </c>
      <c r="I6" s="65">
        <f>IF($N6="","",IF(INDEX('Cronograma Asistente Técnico'!$I$5:$I$1000,$N6)="","",INDEX('Cronograma Asistente Técnico'!$I$5:$I$1000,$N6)))</f>
        <v/>
      </c>
      <c r="J6" s="65">
        <f>IF($N6="","",IF(INDEX('Cronograma Asistente Técnico'!$J$5:$J$1000,$N6)="","",INDEX('Cronograma Asistente Técnico'!$J$5:$J$1000,$N6)))</f>
        <v/>
      </c>
      <c r="K6" s="65">
        <f>IF($N6="","",INDEX('Cronograma Asistente Técnico'!$K$5:$K$1000,$N6))</f>
        <v/>
      </c>
      <c r="L6" s="60">
        <f>IF($N6="","",IF(N($K6)&gt;=1,"Completado",IF(AND(ISNUMBER($E6),$E6&lt;FechaRef),"Vencida",IF(N($K6)&gt;0,"En curso","Pendiente"))))</f>
        <v/>
      </c>
      <c r="M6" s="68">
        <f>IF($N6="","",INDEX('Cronograma Asistente Técnico'!$M$5:$M$1000,$N6)&amp;"")</f>
        <v/>
      </c>
      <c r="N6">
        <f>IFERROR(MATCH(ROW()-4,rOrden_ATR,0),"")</f>
        <v/>
      </c>
    </row>
    <row r="7">
      <c r="A7" s="60">
        <f>IF($N7="","",INDEX('Cronograma Asistente Técnico'!$A$5:$A$1000,$N7))</f>
        <v/>
      </c>
      <c r="B7" s="68">
        <f>IF($N7="","",INDEX('Cronograma Asistente Técnico'!$B$5:$B$1000,$N7)&amp;"")</f>
        <v/>
      </c>
      <c r="C7" s="68">
        <f>IF($N7="","",INDEX('Cronograma Asistente Técnico'!$C$5:$C$1000,$N7)&amp;"")</f>
        <v/>
      </c>
      <c r="D7" s="74">
        <f>IF($N7="","",IF(INDEX('Cronograma Asistente Técnico'!$D$5:$D$1000,$N7)="","",INDEX('Cronograma Asistente Técnico'!$D$5:$D$1000,$N7)))</f>
        <v/>
      </c>
      <c r="E7" s="74">
        <f>IF($N7="","",IF(INDEX('Cronograma Asistente Técnico'!$E$5:$E$1000,$N7)="","",INDEX('Cronograma Asistente Técnico'!$E$5:$E$1000,$N7)))</f>
        <v/>
      </c>
      <c r="F7" s="60">
        <f>IF($N7="","",IF(NOT(ISNUMBER($E7)),"",IF($E7&lt;InicioCiclo,"Antes del ciclo",IF($E7&gt;=InicioCiclo+28,"Después del ciclo","Semana "&amp;(INT(($E7-InicioCiclo)/7)+1)))))</f>
        <v/>
      </c>
      <c r="G7" s="65">
        <f>IF($N7="","",IF(INDEX('Cronograma Asistente Técnico'!$G$5:$G$1000,$N7)="","",INDEX('Cronograma Asistente Técnico'!$G$5:$G$1000,$N7)))</f>
        <v/>
      </c>
      <c r="H7" s="65">
        <f>IF($N7="","",IF(INDEX('Cronograma Asistente Técnico'!$H$5:$H$1000,$N7)="","",INDEX('Cronograma Asistente Técnico'!$H$5:$H$1000,$N7)))</f>
        <v/>
      </c>
      <c r="I7" s="65">
        <f>IF($N7="","",IF(INDEX('Cronograma Asistente Técnico'!$I$5:$I$1000,$N7)="","",INDEX('Cronograma Asistente Técnico'!$I$5:$I$1000,$N7)))</f>
        <v/>
      </c>
      <c r="J7" s="65">
        <f>IF($N7="","",IF(INDEX('Cronograma Asistente Técnico'!$J$5:$J$1000,$N7)="","",INDEX('Cronograma Asistente Técnico'!$J$5:$J$1000,$N7)))</f>
        <v/>
      </c>
      <c r="K7" s="65">
        <f>IF($N7="","",INDEX('Cronograma Asistente Técnico'!$K$5:$K$1000,$N7))</f>
        <v/>
      </c>
      <c r="L7" s="60">
        <f>IF($N7="","",IF(N($K7)&gt;=1,"Completado",IF(AND(ISNUMBER($E7),$E7&lt;FechaRef),"Vencida",IF(N($K7)&gt;0,"En curso","Pendiente"))))</f>
        <v/>
      </c>
      <c r="M7" s="68">
        <f>IF($N7="","",INDEX('Cronograma Asistente Técnico'!$M$5:$M$1000,$N7)&amp;"")</f>
        <v/>
      </c>
      <c r="N7">
        <f>IFERROR(MATCH(ROW()-4,rOrden_ATR,0),"")</f>
        <v/>
      </c>
    </row>
    <row r="8">
      <c r="A8" s="60">
        <f>IF($N8="","",INDEX('Cronograma Asistente Técnico'!$A$5:$A$1000,$N8))</f>
        <v/>
      </c>
      <c r="B8" s="68">
        <f>IF($N8="","",INDEX('Cronograma Asistente Técnico'!$B$5:$B$1000,$N8)&amp;"")</f>
        <v/>
      </c>
      <c r="C8" s="68">
        <f>IF($N8="","",INDEX('Cronograma Asistente Técnico'!$C$5:$C$1000,$N8)&amp;"")</f>
        <v/>
      </c>
      <c r="D8" s="74">
        <f>IF($N8="","",IF(INDEX('Cronograma Asistente Técnico'!$D$5:$D$1000,$N8)="","",INDEX('Cronograma Asistente Técnico'!$D$5:$D$1000,$N8)))</f>
        <v/>
      </c>
      <c r="E8" s="74">
        <f>IF($N8="","",IF(INDEX('Cronograma Asistente Técnico'!$E$5:$E$1000,$N8)="","",INDEX('Cronograma Asistente Técnico'!$E$5:$E$1000,$N8)))</f>
        <v/>
      </c>
      <c r="F8" s="60">
        <f>IF($N8="","",IF(NOT(ISNUMBER($E8)),"",IF($E8&lt;InicioCiclo,"Antes del ciclo",IF($E8&gt;=InicioCiclo+28,"Después del ciclo","Semana "&amp;(INT(($E8-InicioCiclo)/7)+1)))))</f>
        <v/>
      </c>
      <c r="G8" s="65">
        <f>IF($N8="","",IF(INDEX('Cronograma Asistente Técnico'!$G$5:$G$1000,$N8)="","",INDEX('Cronograma Asistente Técnico'!$G$5:$G$1000,$N8)))</f>
        <v/>
      </c>
      <c r="H8" s="65">
        <f>IF($N8="","",IF(INDEX('Cronograma Asistente Técnico'!$H$5:$H$1000,$N8)="","",INDEX('Cronograma Asistente Técnico'!$H$5:$H$1000,$N8)))</f>
        <v/>
      </c>
      <c r="I8" s="65">
        <f>IF($N8="","",IF(INDEX('Cronograma Asistente Técnico'!$I$5:$I$1000,$N8)="","",INDEX('Cronograma Asistente Técnico'!$I$5:$I$1000,$N8)))</f>
        <v/>
      </c>
      <c r="J8" s="65">
        <f>IF($N8="","",IF(INDEX('Cronograma Asistente Técnico'!$J$5:$J$1000,$N8)="","",INDEX('Cronograma Asistente Técnico'!$J$5:$J$1000,$N8)))</f>
        <v/>
      </c>
      <c r="K8" s="65">
        <f>IF($N8="","",INDEX('Cronograma Asistente Técnico'!$K$5:$K$1000,$N8))</f>
        <v/>
      </c>
      <c r="L8" s="60">
        <f>IF($N8="","",IF(N($K8)&gt;=1,"Completado",IF(AND(ISNUMBER($E8),$E8&lt;FechaRef),"Vencida",IF(N($K8)&gt;0,"En curso","Pendiente"))))</f>
        <v/>
      </c>
      <c r="M8" s="68">
        <f>IF($N8="","",INDEX('Cronograma Asistente Técnico'!$M$5:$M$1000,$N8)&amp;"")</f>
        <v/>
      </c>
      <c r="N8">
        <f>IFERROR(MATCH(ROW()-4,rOrden_ATR,0),"")</f>
        <v/>
      </c>
    </row>
    <row r="9">
      <c r="A9" s="60">
        <f>IF($N9="","",INDEX('Cronograma Asistente Técnico'!$A$5:$A$1000,$N9))</f>
        <v/>
      </c>
      <c r="B9" s="68">
        <f>IF($N9="","",INDEX('Cronograma Asistente Técnico'!$B$5:$B$1000,$N9)&amp;"")</f>
        <v/>
      </c>
      <c r="C9" s="68">
        <f>IF($N9="","",INDEX('Cronograma Asistente Técnico'!$C$5:$C$1000,$N9)&amp;"")</f>
        <v/>
      </c>
      <c r="D9" s="74">
        <f>IF($N9="","",IF(INDEX('Cronograma Asistente Técnico'!$D$5:$D$1000,$N9)="","",INDEX('Cronograma Asistente Técnico'!$D$5:$D$1000,$N9)))</f>
        <v/>
      </c>
      <c r="E9" s="74">
        <f>IF($N9="","",IF(INDEX('Cronograma Asistente Técnico'!$E$5:$E$1000,$N9)="","",INDEX('Cronograma Asistente Técnico'!$E$5:$E$1000,$N9)))</f>
        <v/>
      </c>
      <c r="F9" s="60">
        <f>IF($N9="","",IF(NOT(ISNUMBER($E9)),"",IF($E9&lt;InicioCiclo,"Antes del ciclo",IF($E9&gt;=InicioCiclo+28,"Después del ciclo","Semana "&amp;(INT(($E9-InicioCiclo)/7)+1)))))</f>
        <v/>
      </c>
      <c r="G9" s="65">
        <f>IF($N9="","",IF(INDEX('Cronograma Asistente Técnico'!$G$5:$G$1000,$N9)="","",INDEX('Cronograma Asistente Técnico'!$G$5:$G$1000,$N9)))</f>
        <v/>
      </c>
      <c r="H9" s="65">
        <f>IF($N9="","",IF(INDEX('Cronograma Asistente Técnico'!$H$5:$H$1000,$N9)="","",INDEX('Cronograma Asistente Técnico'!$H$5:$H$1000,$N9)))</f>
        <v/>
      </c>
      <c r="I9" s="65">
        <f>IF($N9="","",IF(INDEX('Cronograma Asistente Técnico'!$I$5:$I$1000,$N9)="","",INDEX('Cronograma Asistente Técnico'!$I$5:$I$1000,$N9)))</f>
        <v/>
      </c>
      <c r="J9" s="65">
        <f>IF($N9="","",IF(INDEX('Cronograma Asistente Técnico'!$J$5:$J$1000,$N9)="","",INDEX('Cronograma Asistente Técnico'!$J$5:$J$1000,$N9)))</f>
        <v/>
      </c>
      <c r="K9" s="65">
        <f>IF($N9="","",INDEX('Cronograma Asistente Técnico'!$K$5:$K$1000,$N9))</f>
        <v/>
      </c>
      <c r="L9" s="60">
        <f>IF($N9="","",IF(N($K9)&gt;=1,"Completado",IF(AND(ISNUMBER($E9),$E9&lt;FechaRef),"Vencida",IF(N($K9)&gt;0,"En curso","Pendiente"))))</f>
        <v/>
      </c>
      <c r="M9" s="68">
        <f>IF($N9="","",INDEX('Cronograma Asistente Técnico'!$M$5:$M$1000,$N9)&amp;"")</f>
        <v/>
      </c>
      <c r="N9">
        <f>IFERROR(MATCH(ROW()-4,rOrden_ATR,0),"")</f>
        <v/>
      </c>
    </row>
    <row r="10">
      <c r="A10" s="60">
        <f>IF($N10="","",INDEX('Cronograma Asistente Técnico'!$A$5:$A$1000,$N10))</f>
        <v/>
      </c>
      <c r="B10" s="68">
        <f>IF($N10="","",INDEX('Cronograma Asistente Técnico'!$B$5:$B$1000,$N10)&amp;"")</f>
        <v/>
      </c>
      <c r="C10" s="68">
        <f>IF($N10="","",INDEX('Cronograma Asistente Técnico'!$C$5:$C$1000,$N10)&amp;"")</f>
        <v/>
      </c>
      <c r="D10" s="74">
        <f>IF($N10="","",IF(INDEX('Cronograma Asistente Técnico'!$D$5:$D$1000,$N10)="","",INDEX('Cronograma Asistente Técnico'!$D$5:$D$1000,$N10)))</f>
        <v/>
      </c>
      <c r="E10" s="74">
        <f>IF($N10="","",IF(INDEX('Cronograma Asistente Técnico'!$E$5:$E$1000,$N10)="","",INDEX('Cronograma Asistente Técnico'!$E$5:$E$1000,$N10)))</f>
        <v/>
      </c>
      <c r="F10" s="60">
        <f>IF($N10="","",IF(NOT(ISNUMBER($E10)),"",IF($E10&lt;InicioCiclo,"Antes del ciclo",IF($E10&gt;=InicioCiclo+28,"Después del ciclo","Semana "&amp;(INT(($E10-InicioCiclo)/7)+1)))))</f>
        <v/>
      </c>
      <c r="G10" s="65">
        <f>IF($N10="","",IF(INDEX('Cronograma Asistente Técnico'!$G$5:$G$1000,$N10)="","",INDEX('Cronograma Asistente Técnico'!$G$5:$G$1000,$N10)))</f>
        <v/>
      </c>
      <c r="H10" s="65">
        <f>IF($N10="","",IF(INDEX('Cronograma Asistente Técnico'!$H$5:$H$1000,$N10)="","",INDEX('Cronograma Asistente Técnico'!$H$5:$H$1000,$N10)))</f>
        <v/>
      </c>
      <c r="I10" s="65">
        <f>IF($N10="","",IF(INDEX('Cronograma Asistente Técnico'!$I$5:$I$1000,$N10)="","",INDEX('Cronograma Asistente Técnico'!$I$5:$I$1000,$N10)))</f>
        <v/>
      </c>
      <c r="J10" s="65">
        <f>IF($N10="","",IF(INDEX('Cronograma Asistente Técnico'!$J$5:$J$1000,$N10)="","",INDEX('Cronograma Asistente Técnico'!$J$5:$J$1000,$N10)))</f>
        <v/>
      </c>
      <c r="K10" s="65">
        <f>IF($N10="","",INDEX('Cronograma Asistente Técnico'!$K$5:$K$1000,$N10))</f>
        <v/>
      </c>
      <c r="L10" s="60">
        <f>IF($N10="","",IF(N($K10)&gt;=1,"Completado",IF(AND(ISNUMBER($E10),$E10&lt;FechaRef),"Vencida",IF(N($K10)&gt;0,"En curso","Pendiente"))))</f>
        <v/>
      </c>
      <c r="M10" s="68">
        <f>IF($N10="","",INDEX('Cronograma Asistente Técnico'!$M$5:$M$1000,$N10)&amp;"")</f>
        <v/>
      </c>
      <c r="N10">
        <f>IFERROR(MATCH(ROW()-4,rOrden_ATR,0),"")</f>
        <v/>
      </c>
    </row>
    <row r="11">
      <c r="A11" s="60">
        <f>IF($N11="","",INDEX('Cronograma Asistente Técnico'!$A$5:$A$1000,$N11))</f>
        <v/>
      </c>
      <c r="B11" s="68">
        <f>IF($N11="","",INDEX('Cronograma Asistente Técnico'!$B$5:$B$1000,$N11)&amp;"")</f>
        <v/>
      </c>
      <c r="C11" s="68">
        <f>IF($N11="","",INDEX('Cronograma Asistente Técnico'!$C$5:$C$1000,$N11)&amp;"")</f>
        <v/>
      </c>
      <c r="D11" s="74">
        <f>IF($N11="","",IF(INDEX('Cronograma Asistente Técnico'!$D$5:$D$1000,$N11)="","",INDEX('Cronograma Asistente Técnico'!$D$5:$D$1000,$N11)))</f>
        <v/>
      </c>
      <c r="E11" s="74">
        <f>IF($N11="","",IF(INDEX('Cronograma Asistente Técnico'!$E$5:$E$1000,$N11)="","",INDEX('Cronograma Asistente Técnico'!$E$5:$E$1000,$N11)))</f>
        <v/>
      </c>
      <c r="F11" s="60">
        <f>IF($N11="","",IF(NOT(ISNUMBER($E11)),"",IF($E11&lt;InicioCiclo,"Antes del ciclo",IF($E11&gt;=InicioCiclo+28,"Después del ciclo","Semana "&amp;(INT(($E11-InicioCiclo)/7)+1)))))</f>
        <v/>
      </c>
      <c r="G11" s="65">
        <f>IF($N11="","",IF(INDEX('Cronograma Asistente Técnico'!$G$5:$G$1000,$N11)="","",INDEX('Cronograma Asistente Técnico'!$G$5:$G$1000,$N11)))</f>
        <v/>
      </c>
      <c r="H11" s="65">
        <f>IF($N11="","",IF(INDEX('Cronograma Asistente Técnico'!$H$5:$H$1000,$N11)="","",INDEX('Cronograma Asistente Técnico'!$H$5:$H$1000,$N11)))</f>
        <v/>
      </c>
      <c r="I11" s="65">
        <f>IF($N11="","",IF(INDEX('Cronograma Asistente Técnico'!$I$5:$I$1000,$N11)="","",INDEX('Cronograma Asistente Técnico'!$I$5:$I$1000,$N11)))</f>
        <v/>
      </c>
      <c r="J11" s="65">
        <f>IF($N11="","",IF(INDEX('Cronograma Asistente Técnico'!$J$5:$J$1000,$N11)="","",INDEX('Cronograma Asistente Técnico'!$J$5:$J$1000,$N11)))</f>
        <v/>
      </c>
      <c r="K11" s="65">
        <f>IF($N11="","",INDEX('Cronograma Asistente Técnico'!$K$5:$K$1000,$N11))</f>
        <v/>
      </c>
      <c r="L11" s="60">
        <f>IF($N11="","",IF(N($K11)&gt;=1,"Completado",IF(AND(ISNUMBER($E11),$E11&lt;FechaRef),"Vencida",IF(N($K11)&gt;0,"En curso","Pendiente"))))</f>
        <v/>
      </c>
      <c r="M11" s="68">
        <f>IF($N11="","",INDEX('Cronograma Asistente Técnico'!$M$5:$M$1000,$N11)&amp;"")</f>
        <v/>
      </c>
      <c r="N11">
        <f>IFERROR(MATCH(ROW()-4,rOrden_ATR,0),"")</f>
        <v/>
      </c>
    </row>
    <row r="12">
      <c r="A12" s="60">
        <f>IF($N12="","",INDEX('Cronograma Asistente Técnico'!$A$5:$A$1000,$N12))</f>
        <v/>
      </c>
      <c r="B12" s="68">
        <f>IF($N12="","",INDEX('Cronograma Asistente Técnico'!$B$5:$B$1000,$N12)&amp;"")</f>
        <v/>
      </c>
      <c r="C12" s="68">
        <f>IF($N12="","",INDEX('Cronograma Asistente Técnico'!$C$5:$C$1000,$N12)&amp;"")</f>
        <v/>
      </c>
      <c r="D12" s="74">
        <f>IF($N12="","",IF(INDEX('Cronograma Asistente Técnico'!$D$5:$D$1000,$N12)="","",INDEX('Cronograma Asistente Técnico'!$D$5:$D$1000,$N12)))</f>
        <v/>
      </c>
      <c r="E12" s="74">
        <f>IF($N12="","",IF(INDEX('Cronograma Asistente Técnico'!$E$5:$E$1000,$N12)="","",INDEX('Cronograma Asistente Técnico'!$E$5:$E$1000,$N12)))</f>
        <v/>
      </c>
      <c r="F12" s="60">
        <f>IF($N12="","",IF(NOT(ISNUMBER($E12)),"",IF($E12&lt;InicioCiclo,"Antes del ciclo",IF($E12&gt;=InicioCiclo+28,"Después del ciclo","Semana "&amp;(INT(($E12-InicioCiclo)/7)+1)))))</f>
        <v/>
      </c>
      <c r="G12" s="65">
        <f>IF($N12="","",IF(INDEX('Cronograma Asistente Técnico'!$G$5:$G$1000,$N12)="","",INDEX('Cronograma Asistente Técnico'!$G$5:$G$1000,$N12)))</f>
        <v/>
      </c>
      <c r="H12" s="65">
        <f>IF($N12="","",IF(INDEX('Cronograma Asistente Técnico'!$H$5:$H$1000,$N12)="","",INDEX('Cronograma Asistente Técnico'!$H$5:$H$1000,$N12)))</f>
        <v/>
      </c>
      <c r="I12" s="65">
        <f>IF($N12="","",IF(INDEX('Cronograma Asistente Técnico'!$I$5:$I$1000,$N12)="","",INDEX('Cronograma Asistente Técnico'!$I$5:$I$1000,$N12)))</f>
        <v/>
      </c>
      <c r="J12" s="65">
        <f>IF($N12="","",IF(INDEX('Cronograma Asistente Técnico'!$J$5:$J$1000,$N12)="","",INDEX('Cronograma Asistente Técnico'!$J$5:$J$1000,$N12)))</f>
        <v/>
      </c>
      <c r="K12" s="65">
        <f>IF($N12="","",INDEX('Cronograma Asistente Técnico'!$K$5:$K$1000,$N12))</f>
        <v/>
      </c>
      <c r="L12" s="60">
        <f>IF($N12="","",IF(N($K12)&gt;=1,"Completado",IF(AND(ISNUMBER($E12),$E12&lt;FechaRef),"Vencida",IF(N($K12)&gt;0,"En curso","Pendiente"))))</f>
        <v/>
      </c>
      <c r="M12" s="68">
        <f>IF($N12="","",INDEX('Cronograma Asistente Técnico'!$M$5:$M$1000,$N12)&amp;"")</f>
        <v/>
      </c>
      <c r="N12">
        <f>IFERROR(MATCH(ROW()-4,rOrden_ATR,0),"")</f>
        <v/>
      </c>
    </row>
    <row r="13">
      <c r="A13" s="60">
        <f>IF($N13="","",INDEX('Cronograma Asistente Técnico'!$A$5:$A$1000,$N13))</f>
        <v/>
      </c>
      <c r="B13" s="68">
        <f>IF($N13="","",INDEX('Cronograma Asistente Técnico'!$B$5:$B$1000,$N13)&amp;"")</f>
        <v/>
      </c>
      <c r="C13" s="68">
        <f>IF($N13="","",INDEX('Cronograma Asistente Técnico'!$C$5:$C$1000,$N13)&amp;"")</f>
        <v/>
      </c>
      <c r="D13" s="74">
        <f>IF($N13="","",IF(INDEX('Cronograma Asistente Técnico'!$D$5:$D$1000,$N13)="","",INDEX('Cronograma Asistente Técnico'!$D$5:$D$1000,$N13)))</f>
        <v/>
      </c>
      <c r="E13" s="74">
        <f>IF($N13="","",IF(INDEX('Cronograma Asistente Técnico'!$E$5:$E$1000,$N13)="","",INDEX('Cronograma Asistente Técnico'!$E$5:$E$1000,$N13)))</f>
        <v/>
      </c>
      <c r="F13" s="60">
        <f>IF($N13="","",IF(NOT(ISNUMBER($E13)),"",IF($E13&lt;InicioCiclo,"Antes del ciclo",IF($E13&gt;=InicioCiclo+28,"Después del ciclo","Semana "&amp;(INT(($E13-InicioCiclo)/7)+1)))))</f>
        <v/>
      </c>
      <c r="G13" s="65">
        <f>IF($N13="","",IF(INDEX('Cronograma Asistente Técnico'!$G$5:$G$1000,$N13)="","",INDEX('Cronograma Asistente Técnico'!$G$5:$G$1000,$N13)))</f>
        <v/>
      </c>
      <c r="H13" s="65">
        <f>IF($N13="","",IF(INDEX('Cronograma Asistente Técnico'!$H$5:$H$1000,$N13)="","",INDEX('Cronograma Asistente Técnico'!$H$5:$H$1000,$N13)))</f>
        <v/>
      </c>
      <c r="I13" s="65">
        <f>IF($N13="","",IF(INDEX('Cronograma Asistente Técnico'!$I$5:$I$1000,$N13)="","",INDEX('Cronograma Asistente Técnico'!$I$5:$I$1000,$N13)))</f>
        <v/>
      </c>
      <c r="J13" s="65">
        <f>IF($N13="","",IF(INDEX('Cronograma Asistente Técnico'!$J$5:$J$1000,$N13)="","",INDEX('Cronograma Asistente Técnico'!$J$5:$J$1000,$N13)))</f>
        <v/>
      </c>
      <c r="K13" s="65">
        <f>IF($N13="","",INDEX('Cronograma Asistente Técnico'!$K$5:$K$1000,$N13))</f>
        <v/>
      </c>
      <c r="L13" s="60">
        <f>IF($N13="","",IF(N($K13)&gt;=1,"Completado",IF(AND(ISNUMBER($E13),$E13&lt;FechaRef),"Vencida",IF(N($K13)&gt;0,"En curso","Pendiente"))))</f>
        <v/>
      </c>
      <c r="M13" s="68">
        <f>IF($N13="","",INDEX('Cronograma Asistente Técnico'!$M$5:$M$1000,$N13)&amp;"")</f>
        <v/>
      </c>
      <c r="N13">
        <f>IFERROR(MATCH(ROW()-4,rOrden_ATR,0),"")</f>
        <v/>
      </c>
    </row>
    <row r="14">
      <c r="A14" s="60">
        <f>IF($N14="","",INDEX('Cronograma Asistente Técnico'!$A$5:$A$1000,$N14))</f>
        <v/>
      </c>
      <c r="B14" s="68">
        <f>IF($N14="","",INDEX('Cronograma Asistente Técnico'!$B$5:$B$1000,$N14)&amp;"")</f>
        <v/>
      </c>
      <c r="C14" s="68">
        <f>IF($N14="","",INDEX('Cronograma Asistente Técnico'!$C$5:$C$1000,$N14)&amp;"")</f>
        <v/>
      </c>
      <c r="D14" s="74">
        <f>IF($N14="","",IF(INDEX('Cronograma Asistente Técnico'!$D$5:$D$1000,$N14)="","",INDEX('Cronograma Asistente Técnico'!$D$5:$D$1000,$N14)))</f>
        <v/>
      </c>
      <c r="E14" s="74">
        <f>IF($N14="","",IF(INDEX('Cronograma Asistente Técnico'!$E$5:$E$1000,$N14)="","",INDEX('Cronograma Asistente Técnico'!$E$5:$E$1000,$N14)))</f>
        <v/>
      </c>
      <c r="F14" s="60">
        <f>IF($N14="","",IF(NOT(ISNUMBER($E14)),"",IF($E14&lt;InicioCiclo,"Antes del ciclo",IF($E14&gt;=InicioCiclo+28,"Después del ciclo","Semana "&amp;(INT(($E14-InicioCiclo)/7)+1)))))</f>
        <v/>
      </c>
      <c r="G14" s="65">
        <f>IF($N14="","",IF(INDEX('Cronograma Asistente Técnico'!$G$5:$G$1000,$N14)="","",INDEX('Cronograma Asistente Técnico'!$G$5:$G$1000,$N14)))</f>
        <v/>
      </c>
      <c r="H14" s="65">
        <f>IF($N14="","",IF(INDEX('Cronograma Asistente Técnico'!$H$5:$H$1000,$N14)="","",INDEX('Cronograma Asistente Técnico'!$H$5:$H$1000,$N14)))</f>
        <v/>
      </c>
      <c r="I14" s="65">
        <f>IF($N14="","",IF(INDEX('Cronograma Asistente Técnico'!$I$5:$I$1000,$N14)="","",INDEX('Cronograma Asistente Técnico'!$I$5:$I$1000,$N14)))</f>
        <v/>
      </c>
      <c r="J14" s="65">
        <f>IF($N14="","",IF(INDEX('Cronograma Asistente Técnico'!$J$5:$J$1000,$N14)="","",INDEX('Cronograma Asistente Técnico'!$J$5:$J$1000,$N14)))</f>
        <v/>
      </c>
      <c r="K14" s="65">
        <f>IF($N14="","",INDEX('Cronograma Asistente Técnico'!$K$5:$K$1000,$N14))</f>
        <v/>
      </c>
      <c r="L14" s="60">
        <f>IF($N14="","",IF(N($K14)&gt;=1,"Completado",IF(AND(ISNUMBER($E14),$E14&lt;FechaRef),"Vencida",IF(N($K14)&gt;0,"En curso","Pendiente"))))</f>
        <v/>
      </c>
      <c r="M14" s="68">
        <f>IF($N14="","",INDEX('Cronograma Asistente Técnico'!$M$5:$M$1000,$N14)&amp;"")</f>
        <v/>
      </c>
      <c r="N14">
        <f>IFERROR(MATCH(ROW()-4,rOrden_ATR,0),"")</f>
        <v/>
      </c>
    </row>
    <row r="15">
      <c r="A15" s="60">
        <f>IF($N15="","",INDEX('Cronograma Asistente Técnico'!$A$5:$A$1000,$N15))</f>
        <v/>
      </c>
      <c r="B15" s="68">
        <f>IF($N15="","",INDEX('Cronograma Asistente Técnico'!$B$5:$B$1000,$N15)&amp;"")</f>
        <v/>
      </c>
      <c r="C15" s="68">
        <f>IF($N15="","",INDEX('Cronograma Asistente Técnico'!$C$5:$C$1000,$N15)&amp;"")</f>
        <v/>
      </c>
      <c r="D15" s="74">
        <f>IF($N15="","",IF(INDEX('Cronograma Asistente Técnico'!$D$5:$D$1000,$N15)="","",INDEX('Cronograma Asistente Técnico'!$D$5:$D$1000,$N15)))</f>
        <v/>
      </c>
      <c r="E15" s="74">
        <f>IF($N15="","",IF(INDEX('Cronograma Asistente Técnico'!$E$5:$E$1000,$N15)="","",INDEX('Cronograma Asistente Técnico'!$E$5:$E$1000,$N15)))</f>
        <v/>
      </c>
      <c r="F15" s="60">
        <f>IF($N15="","",IF(NOT(ISNUMBER($E15)),"",IF($E15&lt;InicioCiclo,"Antes del ciclo",IF($E15&gt;=InicioCiclo+28,"Después del ciclo","Semana "&amp;(INT(($E15-InicioCiclo)/7)+1)))))</f>
        <v/>
      </c>
      <c r="G15" s="65">
        <f>IF($N15="","",IF(INDEX('Cronograma Asistente Técnico'!$G$5:$G$1000,$N15)="","",INDEX('Cronograma Asistente Técnico'!$G$5:$G$1000,$N15)))</f>
        <v/>
      </c>
      <c r="H15" s="65">
        <f>IF($N15="","",IF(INDEX('Cronograma Asistente Técnico'!$H$5:$H$1000,$N15)="","",INDEX('Cronograma Asistente Técnico'!$H$5:$H$1000,$N15)))</f>
        <v/>
      </c>
      <c r="I15" s="65">
        <f>IF($N15="","",IF(INDEX('Cronograma Asistente Técnico'!$I$5:$I$1000,$N15)="","",INDEX('Cronograma Asistente Técnico'!$I$5:$I$1000,$N15)))</f>
        <v/>
      </c>
      <c r="J15" s="65">
        <f>IF($N15="","",IF(INDEX('Cronograma Asistente Técnico'!$J$5:$J$1000,$N15)="","",INDEX('Cronograma Asistente Técnico'!$J$5:$J$1000,$N15)))</f>
        <v/>
      </c>
      <c r="K15" s="65">
        <f>IF($N15="","",INDEX('Cronograma Asistente Técnico'!$K$5:$K$1000,$N15))</f>
        <v/>
      </c>
      <c r="L15" s="60">
        <f>IF($N15="","",IF(N($K15)&gt;=1,"Completado",IF(AND(ISNUMBER($E15),$E15&lt;FechaRef),"Vencida",IF(N($K15)&gt;0,"En curso","Pendiente"))))</f>
        <v/>
      </c>
      <c r="M15" s="68">
        <f>IF($N15="","",INDEX('Cronograma Asistente Técnico'!$M$5:$M$1000,$N15)&amp;"")</f>
        <v/>
      </c>
      <c r="N15">
        <f>IFERROR(MATCH(ROW()-4,rOrden_ATR,0),"")</f>
        <v/>
      </c>
    </row>
    <row r="16">
      <c r="A16" s="60">
        <f>IF($N16="","",INDEX('Cronograma Asistente Técnico'!$A$5:$A$1000,$N16))</f>
        <v/>
      </c>
      <c r="B16" s="68">
        <f>IF($N16="","",INDEX('Cronograma Asistente Técnico'!$B$5:$B$1000,$N16)&amp;"")</f>
        <v/>
      </c>
      <c r="C16" s="68">
        <f>IF($N16="","",INDEX('Cronograma Asistente Técnico'!$C$5:$C$1000,$N16)&amp;"")</f>
        <v/>
      </c>
      <c r="D16" s="74">
        <f>IF($N16="","",IF(INDEX('Cronograma Asistente Técnico'!$D$5:$D$1000,$N16)="","",INDEX('Cronograma Asistente Técnico'!$D$5:$D$1000,$N16)))</f>
        <v/>
      </c>
      <c r="E16" s="74">
        <f>IF($N16="","",IF(INDEX('Cronograma Asistente Técnico'!$E$5:$E$1000,$N16)="","",INDEX('Cronograma Asistente Técnico'!$E$5:$E$1000,$N16)))</f>
        <v/>
      </c>
      <c r="F16" s="60">
        <f>IF($N16="","",IF(NOT(ISNUMBER($E16)),"",IF($E16&lt;InicioCiclo,"Antes del ciclo",IF($E16&gt;=InicioCiclo+28,"Después del ciclo","Semana "&amp;(INT(($E16-InicioCiclo)/7)+1)))))</f>
        <v/>
      </c>
      <c r="G16" s="65">
        <f>IF($N16="","",IF(INDEX('Cronograma Asistente Técnico'!$G$5:$G$1000,$N16)="","",INDEX('Cronograma Asistente Técnico'!$G$5:$G$1000,$N16)))</f>
        <v/>
      </c>
      <c r="H16" s="65">
        <f>IF($N16="","",IF(INDEX('Cronograma Asistente Técnico'!$H$5:$H$1000,$N16)="","",INDEX('Cronograma Asistente Técnico'!$H$5:$H$1000,$N16)))</f>
        <v/>
      </c>
      <c r="I16" s="65">
        <f>IF($N16="","",IF(INDEX('Cronograma Asistente Técnico'!$I$5:$I$1000,$N16)="","",INDEX('Cronograma Asistente Técnico'!$I$5:$I$1000,$N16)))</f>
        <v/>
      </c>
      <c r="J16" s="65">
        <f>IF($N16="","",IF(INDEX('Cronograma Asistente Técnico'!$J$5:$J$1000,$N16)="","",INDEX('Cronograma Asistente Técnico'!$J$5:$J$1000,$N16)))</f>
        <v/>
      </c>
      <c r="K16" s="65">
        <f>IF($N16="","",INDEX('Cronograma Asistente Técnico'!$K$5:$K$1000,$N16))</f>
        <v/>
      </c>
      <c r="L16" s="60">
        <f>IF($N16="","",IF(N($K16)&gt;=1,"Completado",IF(AND(ISNUMBER($E16),$E16&lt;FechaRef),"Vencida",IF(N($K16)&gt;0,"En curso","Pendiente"))))</f>
        <v/>
      </c>
      <c r="M16" s="68">
        <f>IF($N16="","",INDEX('Cronograma Asistente Técnico'!$M$5:$M$1000,$N16)&amp;"")</f>
        <v/>
      </c>
      <c r="N16">
        <f>IFERROR(MATCH(ROW()-4,rOrden_ATR,0),"")</f>
        <v/>
      </c>
    </row>
    <row r="17">
      <c r="A17" s="60">
        <f>IF($N17="","",INDEX('Cronograma Asistente Técnico'!$A$5:$A$1000,$N17))</f>
        <v/>
      </c>
      <c r="B17" s="68">
        <f>IF($N17="","",INDEX('Cronograma Asistente Técnico'!$B$5:$B$1000,$N17)&amp;"")</f>
        <v/>
      </c>
      <c r="C17" s="68">
        <f>IF($N17="","",INDEX('Cronograma Asistente Técnico'!$C$5:$C$1000,$N17)&amp;"")</f>
        <v/>
      </c>
      <c r="D17" s="74">
        <f>IF($N17="","",IF(INDEX('Cronograma Asistente Técnico'!$D$5:$D$1000,$N17)="","",INDEX('Cronograma Asistente Técnico'!$D$5:$D$1000,$N17)))</f>
        <v/>
      </c>
      <c r="E17" s="74">
        <f>IF($N17="","",IF(INDEX('Cronograma Asistente Técnico'!$E$5:$E$1000,$N17)="","",INDEX('Cronograma Asistente Técnico'!$E$5:$E$1000,$N17)))</f>
        <v/>
      </c>
      <c r="F17" s="60">
        <f>IF($N17="","",IF(NOT(ISNUMBER($E17)),"",IF($E17&lt;InicioCiclo,"Antes del ciclo",IF($E17&gt;=InicioCiclo+28,"Después del ciclo","Semana "&amp;(INT(($E17-InicioCiclo)/7)+1)))))</f>
        <v/>
      </c>
      <c r="G17" s="65">
        <f>IF($N17="","",IF(INDEX('Cronograma Asistente Técnico'!$G$5:$G$1000,$N17)="","",INDEX('Cronograma Asistente Técnico'!$G$5:$G$1000,$N17)))</f>
        <v/>
      </c>
      <c r="H17" s="65">
        <f>IF($N17="","",IF(INDEX('Cronograma Asistente Técnico'!$H$5:$H$1000,$N17)="","",INDEX('Cronograma Asistente Técnico'!$H$5:$H$1000,$N17)))</f>
        <v/>
      </c>
      <c r="I17" s="65">
        <f>IF($N17="","",IF(INDEX('Cronograma Asistente Técnico'!$I$5:$I$1000,$N17)="","",INDEX('Cronograma Asistente Técnico'!$I$5:$I$1000,$N17)))</f>
        <v/>
      </c>
      <c r="J17" s="65">
        <f>IF($N17="","",IF(INDEX('Cronograma Asistente Técnico'!$J$5:$J$1000,$N17)="","",INDEX('Cronograma Asistente Técnico'!$J$5:$J$1000,$N17)))</f>
        <v/>
      </c>
      <c r="K17" s="65">
        <f>IF($N17="","",INDEX('Cronograma Asistente Técnico'!$K$5:$K$1000,$N17))</f>
        <v/>
      </c>
      <c r="L17" s="60">
        <f>IF($N17="","",IF(N($K17)&gt;=1,"Completado",IF(AND(ISNUMBER($E17),$E17&lt;FechaRef),"Vencida",IF(N($K17)&gt;0,"En curso","Pendiente"))))</f>
        <v/>
      </c>
      <c r="M17" s="68">
        <f>IF($N17="","",INDEX('Cronograma Asistente Técnico'!$M$5:$M$1000,$N17)&amp;"")</f>
        <v/>
      </c>
      <c r="N17">
        <f>IFERROR(MATCH(ROW()-4,rOrden_ATR,0),"")</f>
        <v/>
      </c>
    </row>
    <row r="18">
      <c r="A18" s="60">
        <f>IF($N18="","",INDEX('Cronograma Asistente Técnico'!$A$5:$A$1000,$N18))</f>
        <v/>
      </c>
      <c r="B18" s="68">
        <f>IF($N18="","",INDEX('Cronograma Asistente Técnico'!$B$5:$B$1000,$N18)&amp;"")</f>
        <v/>
      </c>
      <c r="C18" s="68">
        <f>IF($N18="","",INDEX('Cronograma Asistente Técnico'!$C$5:$C$1000,$N18)&amp;"")</f>
        <v/>
      </c>
      <c r="D18" s="74">
        <f>IF($N18="","",IF(INDEX('Cronograma Asistente Técnico'!$D$5:$D$1000,$N18)="","",INDEX('Cronograma Asistente Técnico'!$D$5:$D$1000,$N18)))</f>
        <v/>
      </c>
      <c r="E18" s="74">
        <f>IF($N18="","",IF(INDEX('Cronograma Asistente Técnico'!$E$5:$E$1000,$N18)="","",INDEX('Cronograma Asistente Técnico'!$E$5:$E$1000,$N18)))</f>
        <v/>
      </c>
      <c r="F18" s="60">
        <f>IF($N18="","",IF(NOT(ISNUMBER($E18)),"",IF($E18&lt;InicioCiclo,"Antes del ciclo",IF($E18&gt;=InicioCiclo+28,"Después del ciclo","Semana "&amp;(INT(($E18-InicioCiclo)/7)+1)))))</f>
        <v/>
      </c>
      <c r="G18" s="65">
        <f>IF($N18="","",IF(INDEX('Cronograma Asistente Técnico'!$G$5:$G$1000,$N18)="","",INDEX('Cronograma Asistente Técnico'!$G$5:$G$1000,$N18)))</f>
        <v/>
      </c>
      <c r="H18" s="65">
        <f>IF($N18="","",IF(INDEX('Cronograma Asistente Técnico'!$H$5:$H$1000,$N18)="","",INDEX('Cronograma Asistente Técnico'!$H$5:$H$1000,$N18)))</f>
        <v/>
      </c>
      <c r="I18" s="65">
        <f>IF($N18="","",IF(INDEX('Cronograma Asistente Técnico'!$I$5:$I$1000,$N18)="","",INDEX('Cronograma Asistente Técnico'!$I$5:$I$1000,$N18)))</f>
        <v/>
      </c>
      <c r="J18" s="65">
        <f>IF($N18="","",IF(INDEX('Cronograma Asistente Técnico'!$J$5:$J$1000,$N18)="","",INDEX('Cronograma Asistente Técnico'!$J$5:$J$1000,$N18)))</f>
        <v/>
      </c>
      <c r="K18" s="65">
        <f>IF($N18="","",INDEX('Cronograma Asistente Técnico'!$K$5:$K$1000,$N18))</f>
        <v/>
      </c>
      <c r="L18" s="60">
        <f>IF($N18="","",IF(N($K18)&gt;=1,"Completado",IF(AND(ISNUMBER($E18),$E18&lt;FechaRef),"Vencida",IF(N($K18)&gt;0,"En curso","Pendiente"))))</f>
        <v/>
      </c>
      <c r="M18" s="68">
        <f>IF($N18="","",INDEX('Cronograma Asistente Técnico'!$M$5:$M$1000,$N18)&amp;"")</f>
        <v/>
      </c>
      <c r="N18">
        <f>IFERROR(MATCH(ROW()-4,rOrden_ATR,0),"")</f>
        <v/>
      </c>
    </row>
    <row r="19">
      <c r="A19" s="60">
        <f>IF($N19="","",INDEX('Cronograma Asistente Técnico'!$A$5:$A$1000,$N19))</f>
        <v/>
      </c>
      <c r="B19" s="68">
        <f>IF($N19="","",INDEX('Cronograma Asistente Técnico'!$B$5:$B$1000,$N19)&amp;"")</f>
        <v/>
      </c>
      <c r="C19" s="68">
        <f>IF($N19="","",INDEX('Cronograma Asistente Técnico'!$C$5:$C$1000,$N19)&amp;"")</f>
        <v/>
      </c>
      <c r="D19" s="74">
        <f>IF($N19="","",IF(INDEX('Cronograma Asistente Técnico'!$D$5:$D$1000,$N19)="","",INDEX('Cronograma Asistente Técnico'!$D$5:$D$1000,$N19)))</f>
        <v/>
      </c>
      <c r="E19" s="74">
        <f>IF($N19="","",IF(INDEX('Cronograma Asistente Técnico'!$E$5:$E$1000,$N19)="","",INDEX('Cronograma Asistente Técnico'!$E$5:$E$1000,$N19)))</f>
        <v/>
      </c>
      <c r="F19" s="60">
        <f>IF($N19="","",IF(NOT(ISNUMBER($E19)),"",IF($E19&lt;InicioCiclo,"Antes del ciclo",IF($E19&gt;=InicioCiclo+28,"Después del ciclo","Semana "&amp;(INT(($E19-InicioCiclo)/7)+1)))))</f>
        <v/>
      </c>
      <c r="G19" s="65">
        <f>IF($N19="","",IF(INDEX('Cronograma Asistente Técnico'!$G$5:$G$1000,$N19)="","",INDEX('Cronograma Asistente Técnico'!$G$5:$G$1000,$N19)))</f>
        <v/>
      </c>
      <c r="H19" s="65">
        <f>IF($N19="","",IF(INDEX('Cronograma Asistente Técnico'!$H$5:$H$1000,$N19)="","",INDEX('Cronograma Asistente Técnico'!$H$5:$H$1000,$N19)))</f>
        <v/>
      </c>
      <c r="I19" s="65">
        <f>IF($N19="","",IF(INDEX('Cronograma Asistente Técnico'!$I$5:$I$1000,$N19)="","",INDEX('Cronograma Asistente Técnico'!$I$5:$I$1000,$N19)))</f>
        <v/>
      </c>
      <c r="J19" s="65">
        <f>IF($N19="","",IF(INDEX('Cronograma Asistente Técnico'!$J$5:$J$1000,$N19)="","",INDEX('Cronograma Asistente Técnico'!$J$5:$J$1000,$N19)))</f>
        <v/>
      </c>
      <c r="K19" s="65">
        <f>IF($N19="","",INDEX('Cronograma Asistente Técnico'!$K$5:$K$1000,$N19))</f>
        <v/>
      </c>
      <c r="L19" s="60">
        <f>IF($N19="","",IF(N($K19)&gt;=1,"Completado",IF(AND(ISNUMBER($E19),$E19&lt;FechaRef),"Vencida",IF(N($K19)&gt;0,"En curso","Pendiente"))))</f>
        <v/>
      </c>
      <c r="M19" s="68">
        <f>IF($N19="","",INDEX('Cronograma Asistente Técnico'!$M$5:$M$1000,$N19)&amp;"")</f>
        <v/>
      </c>
      <c r="N19">
        <f>IFERROR(MATCH(ROW()-4,rOrden_ATR,0),"")</f>
        <v/>
      </c>
    </row>
    <row r="20">
      <c r="A20" s="60">
        <f>IF($N20="","",INDEX('Cronograma Asistente Técnico'!$A$5:$A$1000,$N20))</f>
        <v/>
      </c>
      <c r="B20" s="68">
        <f>IF($N20="","",INDEX('Cronograma Asistente Técnico'!$B$5:$B$1000,$N20)&amp;"")</f>
        <v/>
      </c>
      <c r="C20" s="68">
        <f>IF($N20="","",INDEX('Cronograma Asistente Técnico'!$C$5:$C$1000,$N20)&amp;"")</f>
        <v/>
      </c>
      <c r="D20" s="74">
        <f>IF($N20="","",IF(INDEX('Cronograma Asistente Técnico'!$D$5:$D$1000,$N20)="","",INDEX('Cronograma Asistente Técnico'!$D$5:$D$1000,$N20)))</f>
        <v/>
      </c>
      <c r="E20" s="74">
        <f>IF($N20="","",IF(INDEX('Cronograma Asistente Técnico'!$E$5:$E$1000,$N20)="","",INDEX('Cronograma Asistente Técnico'!$E$5:$E$1000,$N20)))</f>
        <v/>
      </c>
      <c r="F20" s="60">
        <f>IF($N20="","",IF(NOT(ISNUMBER($E20)),"",IF($E20&lt;InicioCiclo,"Antes del ciclo",IF($E20&gt;=InicioCiclo+28,"Después del ciclo","Semana "&amp;(INT(($E20-InicioCiclo)/7)+1)))))</f>
        <v/>
      </c>
      <c r="G20" s="65">
        <f>IF($N20="","",IF(INDEX('Cronograma Asistente Técnico'!$G$5:$G$1000,$N20)="","",INDEX('Cronograma Asistente Técnico'!$G$5:$G$1000,$N20)))</f>
        <v/>
      </c>
      <c r="H20" s="65">
        <f>IF($N20="","",IF(INDEX('Cronograma Asistente Técnico'!$H$5:$H$1000,$N20)="","",INDEX('Cronograma Asistente Técnico'!$H$5:$H$1000,$N20)))</f>
        <v/>
      </c>
      <c r="I20" s="65">
        <f>IF($N20="","",IF(INDEX('Cronograma Asistente Técnico'!$I$5:$I$1000,$N20)="","",INDEX('Cronograma Asistente Técnico'!$I$5:$I$1000,$N20)))</f>
        <v/>
      </c>
      <c r="J20" s="65">
        <f>IF($N20="","",IF(INDEX('Cronograma Asistente Técnico'!$J$5:$J$1000,$N20)="","",INDEX('Cronograma Asistente Técnico'!$J$5:$J$1000,$N20)))</f>
        <v/>
      </c>
      <c r="K20" s="65">
        <f>IF($N20="","",INDEX('Cronograma Asistente Técnico'!$K$5:$K$1000,$N20))</f>
        <v/>
      </c>
      <c r="L20" s="60">
        <f>IF($N20="","",IF(N($K20)&gt;=1,"Completado",IF(AND(ISNUMBER($E20),$E20&lt;FechaRef),"Vencida",IF(N($K20)&gt;0,"En curso","Pendiente"))))</f>
        <v/>
      </c>
      <c r="M20" s="68">
        <f>IF($N20="","",INDEX('Cronograma Asistente Técnico'!$M$5:$M$1000,$N20)&amp;"")</f>
        <v/>
      </c>
      <c r="N20">
        <f>IFERROR(MATCH(ROW()-4,rOrden_ATR,0),"")</f>
        <v/>
      </c>
    </row>
    <row r="21">
      <c r="A21" s="60">
        <f>IF($N21="","",INDEX('Cronograma Asistente Técnico'!$A$5:$A$1000,$N21))</f>
        <v/>
      </c>
      <c r="B21" s="68">
        <f>IF($N21="","",INDEX('Cronograma Asistente Técnico'!$B$5:$B$1000,$N21)&amp;"")</f>
        <v/>
      </c>
      <c r="C21" s="68">
        <f>IF($N21="","",INDEX('Cronograma Asistente Técnico'!$C$5:$C$1000,$N21)&amp;"")</f>
        <v/>
      </c>
      <c r="D21" s="74">
        <f>IF($N21="","",IF(INDEX('Cronograma Asistente Técnico'!$D$5:$D$1000,$N21)="","",INDEX('Cronograma Asistente Técnico'!$D$5:$D$1000,$N21)))</f>
        <v/>
      </c>
      <c r="E21" s="74">
        <f>IF($N21="","",IF(INDEX('Cronograma Asistente Técnico'!$E$5:$E$1000,$N21)="","",INDEX('Cronograma Asistente Técnico'!$E$5:$E$1000,$N21)))</f>
        <v/>
      </c>
      <c r="F21" s="60">
        <f>IF($N21="","",IF(NOT(ISNUMBER($E21)),"",IF($E21&lt;InicioCiclo,"Antes del ciclo",IF($E21&gt;=InicioCiclo+28,"Después del ciclo","Semana "&amp;(INT(($E21-InicioCiclo)/7)+1)))))</f>
        <v/>
      </c>
      <c r="G21" s="65">
        <f>IF($N21="","",IF(INDEX('Cronograma Asistente Técnico'!$G$5:$G$1000,$N21)="","",INDEX('Cronograma Asistente Técnico'!$G$5:$G$1000,$N21)))</f>
        <v/>
      </c>
      <c r="H21" s="65">
        <f>IF($N21="","",IF(INDEX('Cronograma Asistente Técnico'!$H$5:$H$1000,$N21)="","",INDEX('Cronograma Asistente Técnico'!$H$5:$H$1000,$N21)))</f>
        <v/>
      </c>
      <c r="I21" s="65">
        <f>IF($N21="","",IF(INDEX('Cronograma Asistente Técnico'!$I$5:$I$1000,$N21)="","",INDEX('Cronograma Asistente Técnico'!$I$5:$I$1000,$N21)))</f>
        <v/>
      </c>
      <c r="J21" s="65">
        <f>IF($N21="","",IF(INDEX('Cronograma Asistente Técnico'!$J$5:$J$1000,$N21)="","",INDEX('Cronograma Asistente Técnico'!$J$5:$J$1000,$N21)))</f>
        <v/>
      </c>
      <c r="K21" s="65">
        <f>IF($N21="","",INDEX('Cronograma Asistente Técnico'!$K$5:$K$1000,$N21))</f>
        <v/>
      </c>
      <c r="L21" s="60">
        <f>IF($N21="","",IF(N($K21)&gt;=1,"Completado",IF(AND(ISNUMBER($E21),$E21&lt;FechaRef),"Vencida",IF(N($K21)&gt;0,"En curso","Pendiente"))))</f>
        <v/>
      </c>
      <c r="M21" s="68">
        <f>IF($N21="","",INDEX('Cronograma Asistente Técnico'!$M$5:$M$1000,$N21)&amp;"")</f>
        <v/>
      </c>
      <c r="N21">
        <f>IFERROR(MATCH(ROW()-4,rOrden_ATR,0),"")</f>
        <v/>
      </c>
    </row>
    <row r="22">
      <c r="A22" s="60">
        <f>IF($N22="","",INDEX('Cronograma Asistente Técnico'!$A$5:$A$1000,$N22))</f>
        <v/>
      </c>
      <c r="B22" s="68">
        <f>IF($N22="","",INDEX('Cronograma Asistente Técnico'!$B$5:$B$1000,$N22)&amp;"")</f>
        <v/>
      </c>
      <c r="C22" s="68">
        <f>IF($N22="","",INDEX('Cronograma Asistente Técnico'!$C$5:$C$1000,$N22)&amp;"")</f>
        <v/>
      </c>
      <c r="D22" s="74">
        <f>IF($N22="","",IF(INDEX('Cronograma Asistente Técnico'!$D$5:$D$1000,$N22)="","",INDEX('Cronograma Asistente Técnico'!$D$5:$D$1000,$N22)))</f>
        <v/>
      </c>
      <c r="E22" s="74">
        <f>IF($N22="","",IF(INDEX('Cronograma Asistente Técnico'!$E$5:$E$1000,$N22)="","",INDEX('Cronograma Asistente Técnico'!$E$5:$E$1000,$N22)))</f>
        <v/>
      </c>
      <c r="F22" s="60">
        <f>IF($N22="","",IF(NOT(ISNUMBER($E22)),"",IF($E22&lt;InicioCiclo,"Antes del ciclo",IF($E22&gt;=InicioCiclo+28,"Después del ciclo","Semana "&amp;(INT(($E22-InicioCiclo)/7)+1)))))</f>
        <v/>
      </c>
      <c r="G22" s="65">
        <f>IF($N22="","",IF(INDEX('Cronograma Asistente Técnico'!$G$5:$G$1000,$N22)="","",INDEX('Cronograma Asistente Técnico'!$G$5:$G$1000,$N22)))</f>
        <v/>
      </c>
      <c r="H22" s="65">
        <f>IF($N22="","",IF(INDEX('Cronograma Asistente Técnico'!$H$5:$H$1000,$N22)="","",INDEX('Cronograma Asistente Técnico'!$H$5:$H$1000,$N22)))</f>
        <v/>
      </c>
      <c r="I22" s="65">
        <f>IF($N22="","",IF(INDEX('Cronograma Asistente Técnico'!$I$5:$I$1000,$N22)="","",INDEX('Cronograma Asistente Técnico'!$I$5:$I$1000,$N22)))</f>
        <v/>
      </c>
      <c r="J22" s="65">
        <f>IF($N22="","",IF(INDEX('Cronograma Asistente Técnico'!$J$5:$J$1000,$N22)="","",INDEX('Cronograma Asistente Técnico'!$J$5:$J$1000,$N22)))</f>
        <v/>
      </c>
      <c r="K22" s="65">
        <f>IF($N22="","",INDEX('Cronograma Asistente Técnico'!$K$5:$K$1000,$N22))</f>
        <v/>
      </c>
      <c r="L22" s="60">
        <f>IF($N22="","",IF(N($K22)&gt;=1,"Completado",IF(AND(ISNUMBER($E22),$E22&lt;FechaRef),"Vencida",IF(N($K22)&gt;0,"En curso","Pendiente"))))</f>
        <v/>
      </c>
      <c r="M22" s="68">
        <f>IF($N22="","",INDEX('Cronograma Asistente Técnico'!$M$5:$M$1000,$N22)&amp;"")</f>
        <v/>
      </c>
      <c r="N22">
        <f>IFERROR(MATCH(ROW()-4,rOrden_ATR,0),"")</f>
        <v/>
      </c>
    </row>
    <row r="23">
      <c r="A23" s="60">
        <f>IF($N23="","",INDEX('Cronograma Asistente Técnico'!$A$5:$A$1000,$N23))</f>
        <v/>
      </c>
      <c r="B23" s="68">
        <f>IF($N23="","",INDEX('Cronograma Asistente Técnico'!$B$5:$B$1000,$N23)&amp;"")</f>
        <v/>
      </c>
      <c r="C23" s="68">
        <f>IF($N23="","",INDEX('Cronograma Asistente Técnico'!$C$5:$C$1000,$N23)&amp;"")</f>
        <v/>
      </c>
      <c r="D23" s="74">
        <f>IF($N23="","",IF(INDEX('Cronograma Asistente Técnico'!$D$5:$D$1000,$N23)="","",INDEX('Cronograma Asistente Técnico'!$D$5:$D$1000,$N23)))</f>
        <v/>
      </c>
      <c r="E23" s="74">
        <f>IF($N23="","",IF(INDEX('Cronograma Asistente Técnico'!$E$5:$E$1000,$N23)="","",INDEX('Cronograma Asistente Técnico'!$E$5:$E$1000,$N23)))</f>
        <v/>
      </c>
      <c r="F23" s="60">
        <f>IF($N23="","",IF(NOT(ISNUMBER($E23)),"",IF($E23&lt;InicioCiclo,"Antes del ciclo",IF($E23&gt;=InicioCiclo+28,"Después del ciclo","Semana "&amp;(INT(($E23-InicioCiclo)/7)+1)))))</f>
        <v/>
      </c>
      <c r="G23" s="65">
        <f>IF($N23="","",IF(INDEX('Cronograma Asistente Técnico'!$G$5:$G$1000,$N23)="","",INDEX('Cronograma Asistente Técnico'!$G$5:$G$1000,$N23)))</f>
        <v/>
      </c>
      <c r="H23" s="65">
        <f>IF($N23="","",IF(INDEX('Cronograma Asistente Técnico'!$H$5:$H$1000,$N23)="","",INDEX('Cronograma Asistente Técnico'!$H$5:$H$1000,$N23)))</f>
        <v/>
      </c>
      <c r="I23" s="65">
        <f>IF($N23="","",IF(INDEX('Cronograma Asistente Técnico'!$I$5:$I$1000,$N23)="","",INDEX('Cronograma Asistente Técnico'!$I$5:$I$1000,$N23)))</f>
        <v/>
      </c>
      <c r="J23" s="65">
        <f>IF($N23="","",IF(INDEX('Cronograma Asistente Técnico'!$J$5:$J$1000,$N23)="","",INDEX('Cronograma Asistente Técnico'!$J$5:$J$1000,$N23)))</f>
        <v/>
      </c>
      <c r="K23" s="65">
        <f>IF($N23="","",INDEX('Cronograma Asistente Técnico'!$K$5:$K$1000,$N23))</f>
        <v/>
      </c>
      <c r="L23" s="60">
        <f>IF($N23="","",IF(N($K23)&gt;=1,"Completado",IF(AND(ISNUMBER($E23),$E23&lt;FechaRef),"Vencida",IF(N($K23)&gt;0,"En curso","Pendiente"))))</f>
        <v/>
      </c>
      <c r="M23" s="68">
        <f>IF($N23="","",INDEX('Cronograma Asistente Técnico'!$M$5:$M$1000,$N23)&amp;"")</f>
        <v/>
      </c>
      <c r="N23">
        <f>IFERROR(MATCH(ROW()-4,rOrden_ATR,0),"")</f>
        <v/>
      </c>
    </row>
    <row r="24">
      <c r="A24" s="60">
        <f>IF($N24="","",INDEX('Cronograma Asistente Técnico'!$A$5:$A$1000,$N24))</f>
        <v/>
      </c>
      <c r="B24" s="68">
        <f>IF($N24="","",INDEX('Cronograma Asistente Técnico'!$B$5:$B$1000,$N24)&amp;"")</f>
        <v/>
      </c>
      <c r="C24" s="68">
        <f>IF($N24="","",INDEX('Cronograma Asistente Técnico'!$C$5:$C$1000,$N24)&amp;"")</f>
        <v/>
      </c>
      <c r="D24" s="74">
        <f>IF($N24="","",IF(INDEX('Cronograma Asistente Técnico'!$D$5:$D$1000,$N24)="","",INDEX('Cronograma Asistente Técnico'!$D$5:$D$1000,$N24)))</f>
        <v/>
      </c>
      <c r="E24" s="74">
        <f>IF($N24="","",IF(INDEX('Cronograma Asistente Técnico'!$E$5:$E$1000,$N24)="","",INDEX('Cronograma Asistente Técnico'!$E$5:$E$1000,$N24)))</f>
        <v/>
      </c>
      <c r="F24" s="60">
        <f>IF($N24="","",IF(NOT(ISNUMBER($E24)),"",IF($E24&lt;InicioCiclo,"Antes del ciclo",IF($E24&gt;=InicioCiclo+28,"Después del ciclo","Semana "&amp;(INT(($E24-InicioCiclo)/7)+1)))))</f>
        <v/>
      </c>
      <c r="G24" s="65">
        <f>IF($N24="","",IF(INDEX('Cronograma Asistente Técnico'!$G$5:$G$1000,$N24)="","",INDEX('Cronograma Asistente Técnico'!$G$5:$G$1000,$N24)))</f>
        <v/>
      </c>
      <c r="H24" s="65">
        <f>IF($N24="","",IF(INDEX('Cronograma Asistente Técnico'!$H$5:$H$1000,$N24)="","",INDEX('Cronograma Asistente Técnico'!$H$5:$H$1000,$N24)))</f>
        <v/>
      </c>
      <c r="I24" s="65">
        <f>IF($N24="","",IF(INDEX('Cronograma Asistente Técnico'!$I$5:$I$1000,$N24)="","",INDEX('Cronograma Asistente Técnico'!$I$5:$I$1000,$N24)))</f>
        <v/>
      </c>
      <c r="J24" s="65">
        <f>IF($N24="","",IF(INDEX('Cronograma Asistente Técnico'!$J$5:$J$1000,$N24)="","",INDEX('Cronograma Asistente Técnico'!$J$5:$J$1000,$N24)))</f>
        <v/>
      </c>
      <c r="K24" s="65">
        <f>IF($N24="","",INDEX('Cronograma Asistente Técnico'!$K$5:$K$1000,$N24))</f>
        <v/>
      </c>
      <c r="L24" s="60">
        <f>IF($N24="","",IF(N($K24)&gt;=1,"Completado",IF(AND(ISNUMBER($E24),$E24&lt;FechaRef),"Vencida",IF(N($K24)&gt;0,"En curso","Pendiente"))))</f>
        <v/>
      </c>
      <c r="M24" s="68">
        <f>IF($N24="","",INDEX('Cronograma Asistente Técnico'!$M$5:$M$1000,$N24)&amp;"")</f>
        <v/>
      </c>
      <c r="N24">
        <f>IFERROR(MATCH(ROW()-4,rOrden_ATR,0),"")</f>
        <v/>
      </c>
    </row>
    <row r="25">
      <c r="A25" s="60">
        <f>IF($N25="","",INDEX('Cronograma Asistente Técnico'!$A$5:$A$1000,$N25))</f>
        <v/>
      </c>
      <c r="B25" s="68">
        <f>IF($N25="","",INDEX('Cronograma Asistente Técnico'!$B$5:$B$1000,$N25)&amp;"")</f>
        <v/>
      </c>
      <c r="C25" s="68">
        <f>IF($N25="","",INDEX('Cronograma Asistente Técnico'!$C$5:$C$1000,$N25)&amp;"")</f>
        <v/>
      </c>
      <c r="D25" s="74">
        <f>IF($N25="","",IF(INDEX('Cronograma Asistente Técnico'!$D$5:$D$1000,$N25)="","",INDEX('Cronograma Asistente Técnico'!$D$5:$D$1000,$N25)))</f>
        <v/>
      </c>
      <c r="E25" s="74">
        <f>IF($N25="","",IF(INDEX('Cronograma Asistente Técnico'!$E$5:$E$1000,$N25)="","",INDEX('Cronograma Asistente Técnico'!$E$5:$E$1000,$N25)))</f>
        <v/>
      </c>
      <c r="F25" s="60">
        <f>IF($N25="","",IF(NOT(ISNUMBER($E25)),"",IF($E25&lt;InicioCiclo,"Antes del ciclo",IF($E25&gt;=InicioCiclo+28,"Después del ciclo","Semana "&amp;(INT(($E25-InicioCiclo)/7)+1)))))</f>
        <v/>
      </c>
      <c r="G25" s="65">
        <f>IF($N25="","",IF(INDEX('Cronograma Asistente Técnico'!$G$5:$G$1000,$N25)="","",INDEX('Cronograma Asistente Técnico'!$G$5:$G$1000,$N25)))</f>
        <v/>
      </c>
      <c r="H25" s="65">
        <f>IF($N25="","",IF(INDEX('Cronograma Asistente Técnico'!$H$5:$H$1000,$N25)="","",INDEX('Cronograma Asistente Técnico'!$H$5:$H$1000,$N25)))</f>
        <v/>
      </c>
      <c r="I25" s="65">
        <f>IF($N25="","",IF(INDEX('Cronograma Asistente Técnico'!$I$5:$I$1000,$N25)="","",INDEX('Cronograma Asistente Técnico'!$I$5:$I$1000,$N25)))</f>
        <v/>
      </c>
      <c r="J25" s="65">
        <f>IF($N25="","",IF(INDEX('Cronograma Asistente Técnico'!$J$5:$J$1000,$N25)="","",INDEX('Cronograma Asistente Técnico'!$J$5:$J$1000,$N25)))</f>
        <v/>
      </c>
      <c r="K25" s="65">
        <f>IF($N25="","",INDEX('Cronograma Asistente Técnico'!$K$5:$K$1000,$N25))</f>
        <v/>
      </c>
      <c r="L25" s="60">
        <f>IF($N25="","",IF(N($K25)&gt;=1,"Completado",IF(AND(ISNUMBER($E25),$E25&lt;FechaRef),"Vencida",IF(N($K25)&gt;0,"En curso","Pendiente"))))</f>
        <v/>
      </c>
      <c r="M25" s="68">
        <f>IF($N25="","",INDEX('Cronograma Asistente Técnico'!$M$5:$M$1000,$N25)&amp;"")</f>
        <v/>
      </c>
      <c r="N25">
        <f>IFERROR(MATCH(ROW()-4,rOrden_ATR,0),"")</f>
        <v/>
      </c>
    </row>
    <row r="26">
      <c r="A26" s="60">
        <f>IF($N26="","",INDEX('Cronograma Asistente Técnico'!$A$5:$A$1000,$N26))</f>
        <v/>
      </c>
      <c r="B26" s="68">
        <f>IF($N26="","",INDEX('Cronograma Asistente Técnico'!$B$5:$B$1000,$N26)&amp;"")</f>
        <v/>
      </c>
      <c r="C26" s="68">
        <f>IF($N26="","",INDEX('Cronograma Asistente Técnico'!$C$5:$C$1000,$N26)&amp;"")</f>
        <v/>
      </c>
      <c r="D26" s="74">
        <f>IF($N26="","",IF(INDEX('Cronograma Asistente Técnico'!$D$5:$D$1000,$N26)="","",INDEX('Cronograma Asistente Técnico'!$D$5:$D$1000,$N26)))</f>
        <v/>
      </c>
      <c r="E26" s="74">
        <f>IF($N26="","",IF(INDEX('Cronograma Asistente Técnico'!$E$5:$E$1000,$N26)="","",INDEX('Cronograma Asistente Técnico'!$E$5:$E$1000,$N26)))</f>
        <v/>
      </c>
      <c r="F26" s="60">
        <f>IF($N26="","",IF(NOT(ISNUMBER($E26)),"",IF($E26&lt;InicioCiclo,"Antes del ciclo",IF($E26&gt;=InicioCiclo+28,"Después del ciclo","Semana "&amp;(INT(($E26-InicioCiclo)/7)+1)))))</f>
        <v/>
      </c>
      <c r="G26" s="65">
        <f>IF($N26="","",IF(INDEX('Cronograma Asistente Técnico'!$G$5:$G$1000,$N26)="","",INDEX('Cronograma Asistente Técnico'!$G$5:$G$1000,$N26)))</f>
        <v/>
      </c>
      <c r="H26" s="65">
        <f>IF($N26="","",IF(INDEX('Cronograma Asistente Técnico'!$H$5:$H$1000,$N26)="","",INDEX('Cronograma Asistente Técnico'!$H$5:$H$1000,$N26)))</f>
        <v/>
      </c>
      <c r="I26" s="65">
        <f>IF($N26="","",IF(INDEX('Cronograma Asistente Técnico'!$I$5:$I$1000,$N26)="","",INDEX('Cronograma Asistente Técnico'!$I$5:$I$1000,$N26)))</f>
        <v/>
      </c>
      <c r="J26" s="65">
        <f>IF($N26="","",IF(INDEX('Cronograma Asistente Técnico'!$J$5:$J$1000,$N26)="","",INDEX('Cronograma Asistente Técnico'!$J$5:$J$1000,$N26)))</f>
        <v/>
      </c>
      <c r="K26" s="65">
        <f>IF($N26="","",INDEX('Cronograma Asistente Técnico'!$K$5:$K$1000,$N26))</f>
        <v/>
      </c>
      <c r="L26" s="60">
        <f>IF($N26="","",IF(N($K26)&gt;=1,"Completado",IF(AND(ISNUMBER($E26),$E26&lt;FechaRef),"Vencida",IF(N($K26)&gt;0,"En curso","Pendiente"))))</f>
        <v/>
      </c>
      <c r="M26" s="68">
        <f>IF($N26="","",INDEX('Cronograma Asistente Técnico'!$M$5:$M$1000,$N26)&amp;"")</f>
        <v/>
      </c>
      <c r="N26">
        <f>IFERROR(MATCH(ROW()-4,rOrden_ATR,0),"")</f>
        <v/>
      </c>
    </row>
    <row r="27">
      <c r="A27" s="60">
        <f>IF($N27="","",INDEX('Cronograma Asistente Técnico'!$A$5:$A$1000,$N27))</f>
        <v/>
      </c>
      <c r="B27" s="68">
        <f>IF($N27="","",INDEX('Cronograma Asistente Técnico'!$B$5:$B$1000,$N27)&amp;"")</f>
        <v/>
      </c>
      <c r="C27" s="68">
        <f>IF($N27="","",INDEX('Cronograma Asistente Técnico'!$C$5:$C$1000,$N27)&amp;"")</f>
        <v/>
      </c>
      <c r="D27" s="74">
        <f>IF($N27="","",IF(INDEX('Cronograma Asistente Técnico'!$D$5:$D$1000,$N27)="","",INDEX('Cronograma Asistente Técnico'!$D$5:$D$1000,$N27)))</f>
        <v/>
      </c>
      <c r="E27" s="74">
        <f>IF($N27="","",IF(INDEX('Cronograma Asistente Técnico'!$E$5:$E$1000,$N27)="","",INDEX('Cronograma Asistente Técnico'!$E$5:$E$1000,$N27)))</f>
        <v/>
      </c>
      <c r="F27" s="60">
        <f>IF($N27="","",IF(NOT(ISNUMBER($E27)),"",IF($E27&lt;InicioCiclo,"Antes del ciclo",IF($E27&gt;=InicioCiclo+28,"Después del ciclo","Semana "&amp;(INT(($E27-InicioCiclo)/7)+1)))))</f>
        <v/>
      </c>
      <c r="G27" s="65">
        <f>IF($N27="","",IF(INDEX('Cronograma Asistente Técnico'!$G$5:$G$1000,$N27)="","",INDEX('Cronograma Asistente Técnico'!$G$5:$G$1000,$N27)))</f>
        <v/>
      </c>
      <c r="H27" s="65">
        <f>IF($N27="","",IF(INDEX('Cronograma Asistente Técnico'!$H$5:$H$1000,$N27)="","",INDEX('Cronograma Asistente Técnico'!$H$5:$H$1000,$N27)))</f>
        <v/>
      </c>
      <c r="I27" s="65">
        <f>IF($N27="","",IF(INDEX('Cronograma Asistente Técnico'!$I$5:$I$1000,$N27)="","",INDEX('Cronograma Asistente Técnico'!$I$5:$I$1000,$N27)))</f>
        <v/>
      </c>
      <c r="J27" s="65">
        <f>IF($N27="","",IF(INDEX('Cronograma Asistente Técnico'!$J$5:$J$1000,$N27)="","",INDEX('Cronograma Asistente Técnico'!$J$5:$J$1000,$N27)))</f>
        <v/>
      </c>
      <c r="K27" s="65">
        <f>IF($N27="","",INDEX('Cronograma Asistente Técnico'!$K$5:$K$1000,$N27))</f>
        <v/>
      </c>
      <c r="L27" s="60">
        <f>IF($N27="","",IF(N($K27)&gt;=1,"Completado",IF(AND(ISNUMBER($E27),$E27&lt;FechaRef),"Vencida",IF(N($K27)&gt;0,"En curso","Pendiente"))))</f>
        <v/>
      </c>
      <c r="M27" s="68">
        <f>IF($N27="","",INDEX('Cronograma Asistente Técnico'!$M$5:$M$1000,$N27)&amp;"")</f>
        <v/>
      </c>
      <c r="N27">
        <f>IFERROR(MATCH(ROW()-4,rOrden_ATR,0),"")</f>
        <v/>
      </c>
    </row>
    <row r="28">
      <c r="A28" s="60">
        <f>IF($N28="","",INDEX('Cronograma Asistente Técnico'!$A$5:$A$1000,$N28))</f>
        <v/>
      </c>
      <c r="B28" s="68">
        <f>IF($N28="","",INDEX('Cronograma Asistente Técnico'!$B$5:$B$1000,$N28)&amp;"")</f>
        <v/>
      </c>
      <c r="C28" s="68">
        <f>IF($N28="","",INDEX('Cronograma Asistente Técnico'!$C$5:$C$1000,$N28)&amp;"")</f>
        <v/>
      </c>
      <c r="D28" s="74">
        <f>IF($N28="","",IF(INDEX('Cronograma Asistente Técnico'!$D$5:$D$1000,$N28)="","",INDEX('Cronograma Asistente Técnico'!$D$5:$D$1000,$N28)))</f>
        <v/>
      </c>
      <c r="E28" s="74">
        <f>IF($N28="","",IF(INDEX('Cronograma Asistente Técnico'!$E$5:$E$1000,$N28)="","",INDEX('Cronograma Asistente Técnico'!$E$5:$E$1000,$N28)))</f>
        <v/>
      </c>
      <c r="F28" s="60">
        <f>IF($N28="","",IF(NOT(ISNUMBER($E28)),"",IF($E28&lt;InicioCiclo,"Antes del ciclo",IF($E28&gt;=InicioCiclo+28,"Después del ciclo","Semana "&amp;(INT(($E28-InicioCiclo)/7)+1)))))</f>
        <v/>
      </c>
      <c r="G28" s="65">
        <f>IF($N28="","",IF(INDEX('Cronograma Asistente Técnico'!$G$5:$G$1000,$N28)="","",INDEX('Cronograma Asistente Técnico'!$G$5:$G$1000,$N28)))</f>
        <v/>
      </c>
      <c r="H28" s="65">
        <f>IF($N28="","",IF(INDEX('Cronograma Asistente Técnico'!$H$5:$H$1000,$N28)="","",INDEX('Cronograma Asistente Técnico'!$H$5:$H$1000,$N28)))</f>
        <v/>
      </c>
      <c r="I28" s="65">
        <f>IF($N28="","",IF(INDEX('Cronograma Asistente Técnico'!$I$5:$I$1000,$N28)="","",INDEX('Cronograma Asistente Técnico'!$I$5:$I$1000,$N28)))</f>
        <v/>
      </c>
      <c r="J28" s="65">
        <f>IF($N28="","",IF(INDEX('Cronograma Asistente Técnico'!$J$5:$J$1000,$N28)="","",INDEX('Cronograma Asistente Técnico'!$J$5:$J$1000,$N28)))</f>
        <v/>
      </c>
      <c r="K28" s="65">
        <f>IF($N28="","",INDEX('Cronograma Asistente Técnico'!$K$5:$K$1000,$N28))</f>
        <v/>
      </c>
      <c r="L28" s="60">
        <f>IF($N28="","",IF(N($K28)&gt;=1,"Completado",IF(AND(ISNUMBER($E28),$E28&lt;FechaRef),"Vencida",IF(N($K28)&gt;0,"En curso","Pendiente"))))</f>
        <v/>
      </c>
      <c r="M28" s="68">
        <f>IF($N28="","",INDEX('Cronograma Asistente Técnico'!$M$5:$M$1000,$N28)&amp;"")</f>
        <v/>
      </c>
      <c r="N28">
        <f>IFERROR(MATCH(ROW()-4,rOrden_ATR,0),"")</f>
        <v/>
      </c>
    </row>
    <row r="29">
      <c r="A29" s="60">
        <f>IF($N29="","",INDEX('Cronograma Asistente Técnico'!$A$5:$A$1000,$N29))</f>
        <v/>
      </c>
      <c r="B29" s="68">
        <f>IF($N29="","",INDEX('Cronograma Asistente Técnico'!$B$5:$B$1000,$N29)&amp;"")</f>
        <v/>
      </c>
      <c r="C29" s="68">
        <f>IF($N29="","",INDEX('Cronograma Asistente Técnico'!$C$5:$C$1000,$N29)&amp;"")</f>
        <v/>
      </c>
      <c r="D29" s="74">
        <f>IF($N29="","",IF(INDEX('Cronograma Asistente Técnico'!$D$5:$D$1000,$N29)="","",INDEX('Cronograma Asistente Técnico'!$D$5:$D$1000,$N29)))</f>
        <v/>
      </c>
      <c r="E29" s="74">
        <f>IF($N29="","",IF(INDEX('Cronograma Asistente Técnico'!$E$5:$E$1000,$N29)="","",INDEX('Cronograma Asistente Técnico'!$E$5:$E$1000,$N29)))</f>
        <v/>
      </c>
      <c r="F29" s="60">
        <f>IF($N29="","",IF(NOT(ISNUMBER($E29)),"",IF($E29&lt;InicioCiclo,"Antes del ciclo",IF($E29&gt;=InicioCiclo+28,"Después del ciclo","Semana "&amp;(INT(($E29-InicioCiclo)/7)+1)))))</f>
        <v/>
      </c>
      <c r="G29" s="65">
        <f>IF($N29="","",IF(INDEX('Cronograma Asistente Técnico'!$G$5:$G$1000,$N29)="","",INDEX('Cronograma Asistente Técnico'!$G$5:$G$1000,$N29)))</f>
        <v/>
      </c>
      <c r="H29" s="65">
        <f>IF($N29="","",IF(INDEX('Cronograma Asistente Técnico'!$H$5:$H$1000,$N29)="","",INDEX('Cronograma Asistente Técnico'!$H$5:$H$1000,$N29)))</f>
        <v/>
      </c>
      <c r="I29" s="65">
        <f>IF($N29="","",IF(INDEX('Cronograma Asistente Técnico'!$I$5:$I$1000,$N29)="","",INDEX('Cronograma Asistente Técnico'!$I$5:$I$1000,$N29)))</f>
        <v/>
      </c>
      <c r="J29" s="65">
        <f>IF($N29="","",IF(INDEX('Cronograma Asistente Técnico'!$J$5:$J$1000,$N29)="","",INDEX('Cronograma Asistente Técnico'!$J$5:$J$1000,$N29)))</f>
        <v/>
      </c>
      <c r="K29" s="65">
        <f>IF($N29="","",INDEX('Cronograma Asistente Técnico'!$K$5:$K$1000,$N29))</f>
        <v/>
      </c>
      <c r="L29" s="60">
        <f>IF($N29="","",IF(N($K29)&gt;=1,"Completado",IF(AND(ISNUMBER($E29),$E29&lt;FechaRef),"Vencida",IF(N($K29)&gt;0,"En curso","Pendiente"))))</f>
        <v/>
      </c>
      <c r="M29" s="68">
        <f>IF($N29="","",INDEX('Cronograma Asistente Técnico'!$M$5:$M$1000,$N29)&amp;"")</f>
        <v/>
      </c>
      <c r="N29">
        <f>IFERROR(MATCH(ROW()-4,rOrden_ATR,0),"")</f>
        <v/>
      </c>
    </row>
    <row r="30">
      <c r="A30" s="60">
        <f>IF($N30="","",INDEX('Cronograma Asistente Técnico'!$A$5:$A$1000,$N30))</f>
        <v/>
      </c>
      <c r="B30" s="68">
        <f>IF($N30="","",INDEX('Cronograma Asistente Técnico'!$B$5:$B$1000,$N30)&amp;"")</f>
        <v/>
      </c>
      <c r="C30" s="68">
        <f>IF($N30="","",INDEX('Cronograma Asistente Técnico'!$C$5:$C$1000,$N30)&amp;"")</f>
        <v/>
      </c>
      <c r="D30" s="74">
        <f>IF($N30="","",IF(INDEX('Cronograma Asistente Técnico'!$D$5:$D$1000,$N30)="","",INDEX('Cronograma Asistente Técnico'!$D$5:$D$1000,$N30)))</f>
        <v/>
      </c>
      <c r="E30" s="74">
        <f>IF($N30="","",IF(INDEX('Cronograma Asistente Técnico'!$E$5:$E$1000,$N30)="","",INDEX('Cronograma Asistente Técnico'!$E$5:$E$1000,$N30)))</f>
        <v/>
      </c>
      <c r="F30" s="60">
        <f>IF($N30="","",IF(NOT(ISNUMBER($E30)),"",IF($E30&lt;InicioCiclo,"Antes del ciclo",IF($E30&gt;=InicioCiclo+28,"Después del ciclo","Semana "&amp;(INT(($E30-InicioCiclo)/7)+1)))))</f>
        <v/>
      </c>
      <c r="G30" s="65">
        <f>IF($N30="","",IF(INDEX('Cronograma Asistente Técnico'!$G$5:$G$1000,$N30)="","",INDEX('Cronograma Asistente Técnico'!$G$5:$G$1000,$N30)))</f>
        <v/>
      </c>
      <c r="H30" s="65">
        <f>IF($N30="","",IF(INDEX('Cronograma Asistente Técnico'!$H$5:$H$1000,$N30)="","",INDEX('Cronograma Asistente Técnico'!$H$5:$H$1000,$N30)))</f>
        <v/>
      </c>
      <c r="I30" s="65">
        <f>IF($N30="","",IF(INDEX('Cronograma Asistente Técnico'!$I$5:$I$1000,$N30)="","",INDEX('Cronograma Asistente Técnico'!$I$5:$I$1000,$N30)))</f>
        <v/>
      </c>
      <c r="J30" s="65">
        <f>IF($N30="","",IF(INDEX('Cronograma Asistente Técnico'!$J$5:$J$1000,$N30)="","",INDEX('Cronograma Asistente Técnico'!$J$5:$J$1000,$N30)))</f>
        <v/>
      </c>
      <c r="K30" s="65">
        <f>IF($N30="","",INDEX('Cronograma Asistente Técnico'!$K$5:$K$1000,$N30))</f>
        <v/>
      </c>
      <c r="L30" s="60">
        <f>IF($N30="","",IF(N($K30)&gt;=1,"Completado",IF(AND(ISNUMBER($E30),$E30&lt;FechaRef),"Vencida",IF(N($K30)&gt;0,"En curso","Pendiente"))))</f>
        <v/>
      </c>
      <c r="M30" s="68">
        <f>IF($N30="","",INDEX('Cronograma Asistente Técnico'!$M$5:$M$1000,$N30)&amp;"")</f>
        <v/>
      </c>
      <c r="N30">
        <f>IFERROR(MATCH(ROW()-4,rOrden_ATR,0),"")</f>
        <v/>
      </c>
    </row>
    <row r="31">
      <c r="A31" s="60">
        <f>IF($N31="","",INDEX('Cronograma Asistente Técnico'!$A$5:$A$1000,$N31))</f>
        <v/>
      </c>
      <c r="B31" s="68">
        <f>IF($N31="","",INDEX('Cronograma Asistente Técnico'!$B$5:$B$1000,$N31)&amp;"")</f>
        <v/>
      </c>
      <c r="C31" s="68">
        <f>IF($N31="","",INDEX('Cronograma Asistente Técnico'!$C$5:$C$1000,$N31)&amp;"")</f>
        <v/>
      </c>
      <c r="D31" s="74">
        <f>IF($N31="","",IF(INDEX('Cronograma Asistente Técnico'!$D$5:$D$1000,$N31)="","",INDEX('Cronograma Asistente Técnico'!$D$5:$D$1000,$N31)))</f>
        <v/>
      </c>
      <c r="E31" s="74">
        <f>IF($N31="","",IF(INDEX('Cronograma Asistente Técnico'!$E$5:$E$1000,$N31)="","",INDEX('Cronograma Asistente Técnico'!$E$5:$E$1000,$N31)))</f>
        <v/>
      </c>
      <c r="F31" s="60">
        <f>IF($N31="","",IF(NOT(ISNUMBER($E31)),"",IF($E31&lt;InicioCiclo,"Antes del ciclo",IF($E31&gt;=InicioCiclo+28,"Después del ciclo","Semana "&amp;(INT(($E31-InicioCiclo)/7)+1)))))</f>
        <v/>
      </c>
      <c r="G31" s="65">
        <f>IF($N31="","",IF(INDEX('Cronograma Asistente Técnico'!$G$5:$G$1000,$N31)="","",INDEX('Cronograma Asistente Técnico'!$G$5:$G$1000,$N31)))</f>
        <v/>
      </c>
      <c r="H31" s="65">
        <f>IF($N31="","",IF(INDEX('Cronograma Asistente Técnico'!$H$5:$H$1000,$N31)="","",INDEX('Cronograma Asistente Técnico'!$H$5:$H$1000,$N31)))</f>
        <v/>
      </c>
      <c r="I31" s="65">
        <f>IF($N31="","",IF(INDEX('Cronograma Asistente Técnico'!$I$5:$I$1000,$N31)="","",INDEX('Cronograma Asistente Técnico'!$I$5:$I$1000,$N31)))</f>
        <v/>
      </c>
      <c r="J31" s="65">
        <f>IF($N31="","",IF(INDEX('Cronograma Asistente Técnico'!$J$5:$J$1000,$N31)="","",INDEX('Cronograma Asistente Técnico'!$J$5:$J$1000,$N31)))</f>
        <v/>
      </c>
      <c r="K31" s="65">
        <f>IF($N31="","",INDEX('Cronograma Asistente Técnico'!$K$5:$K$1000,$N31))</f>
        <v/>
      </c>
      <c r="L31" s="60">
        <f>IF($N31="","",IF(N($K31)&gt;=1,"Completado",IF(AND(ISNUMBER($E31),$E31&lt;FechaRef),"Vencida",IF(N($K31)&gt;0,"En curso","Pendiente"))))</f>
        <v/>
      </c>
      <c r="M31" s="68">
        <f>IF($N31="","",INDEX('Cronograma Asistente Técnico'!$M$5:$M$1000,$N31)&amp;"")</f>
        <v/>
      </c>
      <c r="N31">
        <f>IFERROR(MATCH(ROW()-4,rOrden_ATR,0),"")</f>
        <v/>
      </c>
    </row>
    <row r="32">
      <c r="A32" s="60">
        <f>IF($N32="","",INDEX('Cronograma Asistente Técnico'!$A$5:$A$1000,$N32))</f>
        <v/>
      </c>
      <c r="B32" s="68">
        <f>IF($N32="","",INDEX('Cronograma Asistente Técnico'!$B$5:$B$1000,$N32)&amp;"")</f>
        <v/>
      </c>
      <c r="C32" s="68">
        <f>IF($N32="","",INDEX('Cronograma Asistente Técnico'!$C$5:$C$1000,$N32)&amp;"")</f>
        <v/>
      </c>
      <c r="D32" s="74">
        <f>IF($N32="","",IF(INDEX('Cronograma Asistente Técnico'!$D$5:$D$1000,$N32)="","",INDEX('Cronograma Asistente Técnico'!$D$5:$D$1000,$N32)))</f>
        <v/>
      </c>
      <c r="E32" s="74">
        <f>IF($N32="","",IF(INDEX('Cronograma Asistente Técnico'!$E$5:$E$1000,$N32)="","",INDEX('Cronograma Asistente Técnico'!$E$5:$E$1000,$N32)))</f>
        <v/>
      </c>
      <c r="F32" s="60">
        <f>IF($N32="","",IF(NOT(ISNUMBER($E32)),"",IF($E32&lt;InicioCiclo,"Antes del ciclo",IF($E32&gt;=InicioCiclo+28,"Después del ciclo","Semana "&amp;(INT(($E32-InicioCiclo)/7)+1)))))</f>
        <v/>
      </c>
      <c r="G32" s="65">
        <f>IF($N32="","",IF(INDEX('Cronograma Asistente Técnico'!$G$5:$G$1000,$N32)="","",INDEX('Cronograma Asistente Técnico'!$G$5:$G$1000,$N32)))</f>
        <v/>
      </c>
      <c r="H32" s="65">
        <f>IF($N32="","",IF(INDEX('Cronograma Asistente Técnico'!$H$5:$H$1000,$N32)="","",INDEX('Cronograma Asistente Técnico'!$H$5:$H$1000,$N32)))</f>
        <v/>
      </c>
      <c r="I32" s="65">
        <f>IF($N32="","",IF(INDEX('Cronograma Asistente Técnico'!$I$5:$I$1000,$N32)="","",INDEX('Cronograma Asistente Técnico'!$I$5:$I$1000,$N32)))</f>
        <v/>
      </c>
      <c r="J32" s="65">
        <f>IF($N32="","",IF(INDEX('Cronograma Asistente Técnico'!$J$5:$J$1000,$N32)="","",INDEX('Cronograma Asistente Técnico'!$J$5:$J$1000,$N32)))</f>
        <v/>
      </c>
      <c r="K32" s="65">
        <f>IF($N32="","",INDEX('Cronograma Asistente Técnico'!$K$5:$K$1000,$N32))</f>
        <v/>
      </c>
      <c r="L32" s="60">
        <f>IF($N32="","",IF(N($K32)&gt;=1,"Completado",IF(AND(ISNUMBER($E32),$E32&lt;FechaRef),"Vencida",IF(N($K32)&gt;0,"En curso","Pendiente"))))</f>
        <v/>
      </c>
      <c r="M32" s="68">
        <f>IF($N32="","",INDEX('Cronograma Asistente Técnico'!$M$5:$M$1000,$N32)&amp;"")</f>
        <v/>
      </c>
      <c r="N32">
        <f>IFERROR(MATCH(ROW()-4,rOrden_ATR,0),"")</f>
        <v/>
      </c>
    </row>
    <row r="33">
      <c r="A33" s="60">
        <f>IF($N33="","",INDEX('Cronograma Asistente Técnico'!$A$5:$A$1000,$N33))</f>
        <v/>
      </c>
      <c r="B33" s="68">
        <f>IF($N33="","",INDEX('Cronograma Asistente Técnico'!$B$5:$B$1000,$N33)&amp;"")</f>
        <v/>
      </c>
      <c r="C33" s="68">
        <f>IF($N33="","",INDEX('Cronograma Asistente Técnico'!$C$5:$C$1000,$N33)&amp;"")</f>
        <v/>
      </c>
      <c r="D33" s="74">
        <f>IF($N33="","",IF(INDEX('Cronograma Asistente Técnico'!$D$5:$D$1000,$N33)="","",INDEX('Cronograma Asistente Técnico'!$D$5:$D$1000,$N33)))</f>
        <v/>
      </c>
      <c r="E33" s="74">
        <f>IF($N33="","",IF(INDEX('Cronograma Asistente Técnico'!$E$5:$E$1000,$N33)="","",INDEX('Cronograma Asistente Técnico'!$E$5:$E$1000,$N33)))</f>
        <v/>
      </c>
      <c r="F33" s="60">
        <f>IF($N33="","",IF(NOT(ISNUMBER($E33)),"",IF($E33&lt;InicioCiclo,"Antes del ciclo",IF($E33&gt;=InicioCiclo+28,"Después del ciclo","Semana "&amp;(INT(($E33-InicioCiclo)/7)+1)))))</f>
        <v/>
      </c>
      <c r="G33" s="65">
        <f>IF($N33="","",IF(INDEX('Cronograma Asistente Técnico'!$G$5:$G$1000,$N33)="","",INDEX('Cronograma Asistente Técnico'!$G$5:$G$1000,$N33)))</f>
        <v/>
      </c>
      <c r="H33" s="65">
        <f>IF($N33="","",IF(INDEX('Cronograma Asistente Técnico'!$H$5:$H$1000,$N33)="","",INDEX('Cronograma Asistente Técnico'!$H$5:$H$1000,$N33)))</f>
        <v/>
      </c>
      <c r="I33" s="65">
        <f>IF($N33="","",IF(INDEX('Cronograma Asistente Técnico'!$I$5:$I$1000,$N33)="","",INDEX('Cronograma Asistente Técnico'!$I$5:$I$1000,$N33)))</f>
        <v/>
      </c>
      <c r="J33" s="65">
        <f>IF($N33="","",IF(INDEX('Cronograma Asistente Técnico'!$J$5:$J$1000,$N33)="","",INDEX('Cronograma Asistente Técnico'!$J$5:$J$1000,$N33)))</f>
        <v/>
      </c>
      <c r="K33" s="65">
        <f>IF($N33="","",INDEX('Cronograma Asistente Técnico'!$K$5:$K$1000,$N33))</f>
        <v/>
      </c>
      <c r="L33" s="60">
        <f>IF($N33="","",IF(N($K33)&gt;=1,"Completado",IF(AND(ISNUMBER($E33),$E33&lt;FechaRef),"Vencida",IF(N($K33)&gt;0,"En curso","Pendiente"))))</f>
        <v/>
      </c>
      <c r="M33" s="68">
        <f>IF($N33="","",INDEX('Cronograma Asistente Técnico'!$M$5:$M$1000,$N33)&amp;"")</f>
        <v/>
      </c>
      <c r="N33">
        <f>IFERROR(MATCH(ROW()-4,rOrden_ATR,0),"")</f>
        <v/>
      </c>
    </row>
    <row r="34">
      <c r="A34" s="60">
        <f>IF($N34="","",INDEX('Cronograma Asistente Técnico'!$A$5:$A$1000,$N34))</f>
        <v/>
      </c>
      <c r="B34" s="68">
        <f>IF($N34="","",INDEX('Cronograma Asistente Técnico'!$B$5:$B$1000,$N34)&amp;"")</f>
        <v/>
      </c>
      <c r="C34" s="68">
        <f>IF($N34="","",INDEX('Cronograma Asistente Técnico'!$C$5:$C$1000,$N34)&amp;"")</f>
        <v/>
      </c>
      <c r="D34" s="74">
        <f>IF($N34="","",IF(INDEX('Cronograma Asistente Técnico'!$D$5:$D$1000,$N34)="","",INDEX('Cronograma Asistente Técnico'!$D$5:$D$1000,$N34)))</f>
        <v/>
      </c>
      <c r="E34" s="74">
        <f>IF($N34="","",IF(INDEX('Cronograma Asistente Técnico'!$E$5:$E$1000,$N34)="","",INDEX('Cronograma Asistente Técnico'!$E$5:$E$1000,$N34)))</f>
        <v/>
      </c>
      <c r="F34" s="60">
        <f>IF($N34="","",IF(NOT(ISNUMBER($E34)),"",IF($E34&lt;InicioCiclo,"Antes del ciclo",IF($E34&gt;=InicioCiclo+28,"Después del ciclo","Semana "&amp;(INT(($E34-InicioCiclo)/7)+1)))))</f>
        <v/>
      </c>
      <c r="G34" s="65">
        <f>IF($N34="","",IF(INDEX('Cronograma Asistente Técnico'!$G$5:$G$1000,$N34)="","",INDEX('Cronograma Asistente Técnico'!$G$5:$G$1000,$N34)))</f>
        <v/>
      </c>
      <c r="H34" s="65">
        <f>IF($N34="","",IF(INDEX('Cronograma Asistente Técnico'!$H$5:$H$1000,$N34)="","",INDEX('Cronograma Asistente Técnico'!$H$5:$H$1000,$N34)))</f>
        <v/>
      </c>
      <c r="I34" s="65">
        <f>IF($N34="","",IF(INDEX('Cronograma Asistente Técnico'!$I$5:$I$1000,$N34)="","",INDEX('Cronograma Asistente Técnico'!$I$5:$I$1000,$N34)))</f>
        <v/>
      </c>
      <c r="J34" s="65">
        <f>IF($N34="","",IF(INDEX('Cronograma Asistente Técnico'!$J$5:$J$1000,$N34)="","",INDEX('Cronograma Asistente Técnico'!$J$5:$J$1000,$N34)))</f>
        <v/>
      </c>
      <c r="K34" s="65">
        <f>IF($N34="","",INDEX('Cronograma Asistente Técnico'!$K$5:$K$1000,$N34))</f>
        <v/>
      </c>
      <c r="L34" s="60">
        <f>IF($N34="","",IF(N($K34)&gt;=1,"Completado",IF(AND(ISNUMBER($E34),$E34&lt;FechaRef),"Vencida",IF(N($K34)&gt;0,"En curso","Pendiente"))))</f>
        <v/>
      </c>
      <c r="M34" s="68">
        <f>IF($N34="","",INDEX('Cronograma Asistente Técnico'!$M$5:$M$1000,$N34)&amp;"")</f>
        <v/>
      </c>
      <c r="N34">
        <f>IFERROR(MATCH(ROW()-4,rOrden_ATR,0),"")</f>
        <v/>
      </c>
    </row>
    <row r="35">
      <c r="A35" s="60">
        <f>IF($N35="","",INDEX('Cronograma Asistente Técnico'!$A$5:$A$1000,$N35))</f>
        <v/>
      </c>
      <c r="B35" s="68">
        <f>IF($N35="","",INDEX('Cronograma Asistente Técnico'!$B$5:$B$1000,$N35)&amp;"")</f>
        <v/>
      </c>
      <c r="C35" s="68">
        <f>IF($N35="","",INDEX('Cronograma Asistente Técnico'!$C$5:$C$1000,$N35)&amp;"")</f>
        <v/>
      </c>
      <c r="D35" s="74">
        <f>IF($N35="","",IF(INDEX('Cronograma Asistente Técnico'!$D$5:$D$1000,$N35)="","",INDEX('Cronograma Asistente Técnico'!$D$5:$D$1000,$N35)))</f>
        <v/>
      </c>
      <c r="E35" s="74">
        <f>IF($N35="","",IF(INDEX('Cronograma Asistente Técnico'!$E$5:$E$1000,$N35)="","",INDEX('Cronograma Asistente Técnico'!$E$5:$E$1000,$N35)))</f>
        <v/>
      </c>
      <c r="F35" s="60">
        <f>IF($N35="","",IF(NOT(ISNUMBER($E35)),"",IF($E35&lt;InicioCiclo,"Antes del ciclo",IF($E35&gt;=InicioCiclo+28,"Después del ciclo","Semana "&amp;(INT(($E35-InicioCiclo)/7)+1)))))</f>
        <v/>
      </c>
      <c r="G35" s="65">
        <f>IF($N35="","",IF(INDEX('Cronograma Asistente Técnico'!$G$5:$G$1000,$N35)="","",INDEX('Cronograma Asistente Técnico'!$G$5:$G$1000,$N35)))</f>
        <v/>
      </c>
      <c r="H35" s="65">
        <f>IF($N35="","",IF(INDEX('Cronograma Asistente Técnico'!$H$5:$H$1000,$N35)="","",INDEX('Cronograma Asistente Técnico'!$H$5:$H$1000,$N35)))</f>
        <v/>
      </c>
      <c r="I35" s="65">
        <f>IF($N35="","",IF(INDEX('Cronograma Asistente Técnico'!$I$5:$I$1000,$N35)="","",INDEX('Cronograma Asistente Técnico'!$I$5:$I$1000,$N35)))</f>
        <v/>
      </c>
      <c r="J35" s="65">
        <f>IF($N35="","",IF(INDEX('Cronograma Asistente Técnico'!$J$5:$J$1000,$N35)="","",INDEX('Cronograma Asistente Técnico'!$J$5:$J$1000,$N35)))</f>
        <v/>
      </c>
      <c r="K35" s="65">
        <f>IF($N35="","",INDEX('Cronograma Asistente Técnico'!$K$5:$K$1000,$N35))</f>
        <v/>
      </c>
      <c r="L35" s="60">
        <f>IF($N35="","",IF(N($K35)&gt;=1,"Completado",IF(AND(ISNUMBER($E35),$E35&lt;FechaRef),"Vencida",IF(N($K35)&gt;0,"En curso","Pendiente"))))</f>
        <v/>
      </c>
      <c r="M35" s="68">
        <f>IF($N35="","",INDEX('Cronograma Asistente Técnico'!$M$5:$M$1000,$N35)&amp;"")</f>
        <v/>
      </c>
      <c r="N35">
        <f>IFERROR(MATCH(ROW()-4,rOrden_ATR,0),"")</f>
        <v/>
      </c>
    </row>
    <row r="36">
      <c r="A36" s="60">
        <f>IF($N36="","",INDEX('Cronograma Asistente Técnico'!$A$5:$A$1000,$N36))</f>
        <v/>
      </c>
      <c r="B36" s="68">
        <f>IF($N36="","",INDEX('Cronograma Asistente Técnico'!$B$5:$B$1000,$N36)&amp;"")</f>
        <v/>
      </c>
      <c r="C36" s="68">
        <f>IF($N36="","",INDEX('Cronograma Asistente Técnico'!$C$5:$C$1000,$N36)&amp;"")</f>
        <v/>
      </c>
      <c r="D36" s="74">
        <f>IF($N36="","",IF(INDEX('Cronograma Asistente Técnico'!$D$5:$D$1000,$N36)="","",INDEX('Cronograma Asistente Técnico'!$D$5:$D$1000,$N36)))</f>
        <v/>
      </c>
      <c r="E36" s="74">
        <f>IF($N36="","",IF(INDEX('Cronograma Asistente Técnico'!$E$5:$E$1000,$N36)="","",INDEX('Cronograma Asistente Técnico'!$E$5:$E$1000,$N36)))</f>
        <v/>
      </c>
      <c r="F36" s="60">
        <f>IF($N36="","",IF(NOT(ISNUMBER($E36)),"",IF($E36&lt;InicioCiclo,"Antes del ciclo",IF($E36&gt;=InicioCiclo+28,"Después del ciclo","Semana "&amp;(INT(($E36-InicioCiclo)/7)+1)))))</f>
        <v/>
      </c>
      <c r="G36" s="65">
        <f>IF($N36="","",IF(INDEX('Cronograma Asistente Técnico'!$G$5:$G$1000,$N36)="","",INDEX('Cronograma Asistente Técnico'!$G$5:$G$1000,$N36)))</f>
        <v/>
      </c>
      <c r="H36" s="65">
        <f>IF($N36="","",IF(INDEX('Cronograma Asistente Técnico'!$H$5:$H$1000,$N36)="","",INDEX('Cronograma Asistente Técnico'!$H$5:$H$1000,$N36)))</f>
        <v/>
      </c>
      <c r="I36" s="65">
        <f>IF($N36="","",IF(INDEX('Cronograma Asistente Técnico'!$I$5:$I$1000,$N36)="","",INDEX('Cronograma Asistente Técnico'!$I$5:$I$1000,$N36)))</f>
        <v/>
      </c>
      <c r="J36" s="65">
        <f>IF($N36="","",IF(INDEX('Cronograma Asistente Técnico'!$J$5:$J$1000,$N36)="","",INDEX('Cronograma Asistente Técnico'!$J$5:$J$1000,$N36)))</f>
        <v/>
      </c>
      <c r="K36" s="65">
        <f>IF($N36="","",INDEX('Cronograma Asistente Técnico'!$K$5:$K$1000,$N36))</f>
        <v/>
      </c>
      <c r="L36" s="60">
        <f>IF($N36="","",IF(N($K36)&gt;=1,"Completado",IF(AND(ISNUMBER($E36),$E36&lt;FechaRef),"Vencida",IF(N($K36)&gt;0,"En curso","Pendiente"))))</f>
        <v/>
      </c>
      <c r="M36" s="68">
        <f>IF($N36="","",INDEX('Cronograma Asistente Técnico'!$M$5:$M$1000,$N36)&amp;"")</f>
        <v/>
      </c>
      <c r="N36">
        <f>IFERROR(MATCH(ROW()-4,rOrden_ATR,0),"")</f>
        <v/>
      </c>
    </row>
    <row r="37">
      <c r="A37" s="60">
        <f>IF($N37="","",INDEX('Cronograma Asistente Técnico'!$A$5:$A$1000,$N37))</f>
        <v/>
      </c>
      <c r="B37" s="68">
        <f>IF($N37="","",INDEX('Cronograma Asistente Técnico'!$B$5:$B$1000,$N37)&amp;"")</f>
        <v/>
      </c>
      <c r="C37" s="68">
        <f>IF($N37="","",INDEX('Cronograma Asistente Técnico'!$C$5:$C$1000,$N37)&amp;"")</f>
        <v/>
      </c>
      <c r="D37" s="74">
        <f>IF($N37="","",IF(INDEX('Cronograma Asistente Técnico'!$D$5:$D$1000,$N37)="","",INDEX('Cronograma Asistente Técnico'!$D$5:$D$1000,$N37)))</f>
        <v/>
      </c>
      <c r="E37" s="74">
        <f>IF($N37="","",IF(INDEX('Cronograma Asistente Técnico'!$E$5:$E$1000,$N37)="","",INDEX('Cronograma Asistente Técnico'!$E$5:$E$1000,$N37)))</f>
        <v/>
      </c>
      <c r="F37" s="60">
        <f>IF($N37="","",IF(NOT(ISNUMBER($E37)),"",IF($E37&lt;InicioCiclo,"Antes del ciclo",IF($E37&gt;=InicioCiclo+28,"Después del ciclo","Semana "&amp;(INT(($E37-InicioCiclo)/7)+1)))))</f>
        <v/>
      </c>
      <c r="G37" s="65">
        <f>IF($N37="","",IF(INDEX('Cronograma Asistente Técnico'!$G$5:$G$1000,$N37)="","",INDEX('Cronograma Asistente Técnico'!$G$5:$G$1000,$N37)))</f>
        <v/>
      </c>
      <c r="H37" s="65">
        <f>IF($N37="","",IF(INDEX('Cronograma Asistente Técnico'!$H$5:$H$1000,$N37)="","",INDEX('Cronograma Asistente Técnico'!$H$5:$H$1000,$N37)))</f>
        <v/>
      </c>
      <c r="I37" s="65">
        <f>IF($N37="","",IF(INDEX('Cronograma Asistente Técnico'!$I$5:$I$1000,$N37)="","",INDEX('Cronograma Asistente Técnico'!$I$5:$I$1000,$N37)))</f>
        <v/>
      </c>
      <c r="J37" s="65">
        <f>IF($N37="","",IF(INDEX('Cronograma Asistente Técnico'!$J$5:$J$1000,$N37)="","",INDEX('Cronograma Asistente Técnico'!$J$5:$J$1000,$N37)))</f>
        <v/>
      </c>
      <c r="K37" s="65">
        <f>IF($N37="","",INDEX('Cronograma Asistente Técnico'!$K$5:$K$1000,$N37))</f>
        <v/>
      </c>
      <c r="L37" s="60">
        <f>IF($N37="","",IF(N($K37)&gt;=1,"Completado",IF(AND(ISNUMBER($E37),$E37&lt;FechaRef),"Vencida",IF(N($K37)&gt;0,"En curso","Pendiente"))))</f>
        <v/>
      </c>
      <c r="M37" s="68">
        <f>IF($N37="","",INDEX('Cronograma Asistente Técnico'!$M$5:$M$1000,$N37)&amp;"")</f>
        <v/>
      </c>
      <c r="N37">
        <f>IFERROR(MATCH(ROW()-4,rOrden_ATR,0),"")</f>
        <v/>
      </c>
    </row>
    <row r="38">
      <c r="A38" s="60">
        <f>IF($N38="","",INDEX('Cronograma Asistente Técnico'!$A$5:$A$1000,$N38))</f>
        <v/>
      </c>
      <c r="B38" s="68">
        <f>IF($N38="","",INDEX('Cronograma Asistente Técnico'!$B$5:$B$1000,$N38)&amp;"")</f>
        <v/>
      </c>
      <c r="C38" s="68">
        <f>IF($N38="","",INDEX('Cronograma Asistente Técnico'!$C$5:$C$1000,$N38)&amp;"")</f>
        <v/>
      </c>
      <c r="D38" s="74">
        <f>IF($N38="","",IF(INDEX('Cronograma Asistente Técnico'!$D$5:$D$1000,$N38)="","",INDEX('Cronograma Asistente Técnico'!$D$5:$D$1000,$N38)))</f>
        <v/>
      </c>
      <c r="E38" s="74">
        <f>IF($N38="","",IF(INDEX('Cronograma Asistente Técnico'!$E$5:$E$1000,$N38)="","",INDEX('Cronograma Asistente Técnico'!$E$5:$E$1000,$N38)))</f>
        <v/>
      </c>
      <c r="F38" s="60">
        <f>IF($N38="","",IF(NOT(ISNUMBER($E38)),"",IF($E38&lt;InicioCiclo,"Antes del ciclo",IF($E38&gt;=InicioCiclo+28,"Después del ciclo","Semana "&amp;(INT(($E38-InicioCiclo)/7)+1)))))</f>
        <v/>
      </c>
      <c r="G38" s="65">
        <f>IF($N38="","",IF(INDEX('Cronograma Asistente Técnico'!$G$5:$G$1000,$N38)="","",INDEX('Cronograma Asistente Técnico'!$G$5:$G$1000,$N38)))</f>
        <v/>
      </c>
      <c r="H38" s="65">
        <f>IF($N38="","",IF(INDEX('Cronograma Asistente Técnico'!$H$5:$H$1000,$N38)="","",INDEX('Cronograma Asistente Técnico'!$H$5:$H$1000,$N38)))</f>
        <v/>
      </c>
      <c r="I38" s="65">
        <f>IF($N38="","",IF(INDEX('Cronograma Asistente Técnico'!$I$5:$I$1000,$N38)="","",INDEX('Cronograma Asistente Técnico'!$I$5:$I$1000,$N38)))</f>
        <v/>
      </c>
      <c r="J38" s="65">
        <f>IF($N38="","",IF(INDEX('Cronograma Asistente Técnico'!$J$5:$J$1000,$N38)="","",INDEX('Cronograma Asistente Técnico'!$J$5:$J$1000,$N38)))</f>
        <v/>
      </c>
      <c r="K38" s="65">
        <f>IF($N38="","",INDEX('Cronograma Asistente Técnico'!$K$5:$K$1000,$N38))</f>
        <v/>
      </c>
      <c r="L38" s="60">
        <f>IF($N38="","",IF(N($K38)&gt;=1,"Completado",IF(AND(ISNUMBER($E38),$E38&lt;FechaRef),"Vencida",IF(N($K38)&gt;0,"En curso","Pendiente"))))</f>
        <v/>
      </c>
      <c r="M38" s="68">
        <f>IF($N38="","",INDEX('Cronograma Asistente Técnico'!$M$5:$M$1000,$N38)&amp;"")</f>
        <v/>
      </c>
      <c r="N38">
        <f>IFERROR(MATCH(ROW()-4,rOrden_ATR,0),"")</f>
        <v/>
      </c>
    </row>
    <row r="39">
      <c r="A39" s="60">
        <f>IF($N39="","",INDEX('Cronograma Asistente Técnico'!$A$5:$A$1000,$N39))</f>
        <v/>
      </c>
      <c r="B39" s="68">
        <f>IF($N39="","",INDEX('Cronograma Asistente Técnico'!$B$5:$B$1000,$N39)&amp;"")</f>
        <v/>
      </c>
      <c r="C39" s="68">
        <f>IF($N39="","",INDEX('Cronograma Asistente Técnico'!$C$5:$C$1000,$N39)&amp;"")</f>
        <v/>
      </c>
      <c r="D39" s="74">
        <f>IF($N39="","",IF(INDEX('Cronograma Asistente Técnico'!$D$5:$D$1000,$N39)="","",INDEX('Cronograma Asistente Técnico'!$D$5:$D$1000,$N39)))</f>
        <v/>
      </c>
      <c r="E39" s="74">
        <f>IF($N39="","",IF(INDEX('Cronograma Asistente Técnico'!$E$5:$E$1000,$N39)="","",INDEX('Cronograma Asistente Técnico'!$E$5:$E$1000,$N39)))</f>
        <v/>
      </c>
      <c r="F39" s="60">
        <f>IF($N39="","",IF(NOT(ISNUMBER($E39)),"",IF($E39&lt;InicioCiclo,"Antes del ciclo",IF($E39&gt;=InicioCiclo+28,"Después del ciclo","Semana "&amp;(INT(($E39-InicioCiclo)/7)+1)))))</f>
        <v/>
      </c>
      <c r="G39" s="65">
        <f>IF($N39="","",IF(INDEX('Cronograma Asistente Técnico'!$G$5:$G$1000,$N39)="","",INDEX('Cronograma Asistente Técnico'!$G$5:$G$1000,$N39)))</f>
        <v/>
      </c>
      <c r="H39" s="65">
        <f>IF($N39="","",IF(INDEX('Cronograma Asistente Técnico'!$H$5:$H$1000,$N39)="","",INDEX('Cronograma Asistente Técnico'!$H$5:$H$1000,$N39)))</f>
        <v/>
      </c>
      <c r="I39" s="65">
        <f>IF($N39="","",IF(INDEX('Cronograma Asistente Técnico'!$I$5:$I$1000,$N39)="","",INDEX('Cronograma Asistente Técnico'!$I$5:$I$1000,$N39)))</f>
        <v/>
      </c>
      <c r="J39" s="65">
        <f>IF($N39="","",IF(INDEX('Cronograma Asistente Técnico'!$J$5:$J$1000,$N39)="","",INDEX('Cronograma Asistente Técnico'!$J$5:$J$1000,$N39)))</f>
        <v/>
      </c>
      <c r="K39" s="65">
        <f>IF($N39="","",INDEX('Cronograma Asistente Técnico'!$K$5:$K$1000,$N39))</f>
        <v/>
      </c>
      <c r="L39" s="60">
        <f>IF($N39="","",IF(N($K39)&gt;=1,"Completado",IF(AND(ISNUMBER($E39),$E39&lt;FechaRef),"Vencida",IF(N($K39)&gt;0,"En curso","Pendiente"))))</f>
        <v/>
      </c>
      <c r="M39" s="68">
        <f>IF($N39="","",INDEX('Cronograma Asistente Técnico'!$M$5:$M$1000,$N39)&amp;"")</f>
        <v/>
      </c>
      <c r="N39">
        <f>IFERROR(MATCH(ROW()-4,rOrden_ATR,0),"")</f>
        <v/>
      </c>
    </row>
    <row r="40">
      <c r="A40" s="60">
        <f>IF($N40="","",INDEX('Cronograma Asistente Técnico'!$A$5:$A$1000,$N40))</f>
        <v/>
      </c>
      <c r="B40" s="68">
        <f>IF($N40="","",INDEX('Cronograma Asistente Técnico'!$B$5:$B$1000,$N40)&amp;"")</f>
        <v/>
      </c>
      <c r="C40" s="68">
        <f>IF($N40="","",INDEX('Cronograma Asistente Técnico'!$C$5:$C$1000,$N40)&amp;"")</f>
        <v/>
      </c>
      <c r="D40" s="74">
        <f>IF($N40="","",IF(INDEX('Cronograma Asistente Técnico'!$D$5:$D$1000,$N40)="","",INDEX('Cronograma Asistente Técnico'!$D$5:$D$1000,$N40)))</f>
        <v/>
      </c>
      <c r="E40" s="74">
        <f>IF($N40="","",IF(INDEX('Cronograma Asistente Técnico'!$E$5:$E$1000,$N40)="","",INDEX('Cronograma Asistente Técnico'!$E$5:$E$1000,$N40)))</f>
        <v/>
      </c>
      <c r="F40" s="60">
        <f>IF($N40="","",IF(NOT(ISNUMBER($E40)),"",IF($E40&lt;InicioCiclo,"Antes del ciclo",IF($E40&gt;=InicioCiclo+28,"Después del ciclo","Semana "&amp;(INT(($E40-InicioCiclo)/7)+1)))))</f>
        <v/>
      </c>
      <c r="G40" s="65">
        <f>IF($N40="","",IF(INDEX('Cronograma Asistente Técnico'!$G$5:$G$1000,$N40)="","",INDEX('Cronograma Asistente Técnico'!$G$5:$G$1000,$N40)))</f>
        <v/>
      </c>
      <c r="H40" s="65">
        <f>IF($N40="","",IF(INDEX('Cronograma Asistente Técnico'!$H$5:$H$1000,$N40)="","",INDEX('Cronograma Asistente Técnico'!$H$5:$H$1000,$N40)))</f>
        <v/>
      </c>
      <c r="I40" s="65">
        <f>IF($N40="","",IF(INDEX('Cronograma Asistente Técnico'!$I$5:$I$1000,$N40)="","",INDEX('Cronograma Asistente Técnico'!$I$5:$I$1000,$N40)))</f>
        <v/>
      </c>
      <c r="J40" s="65">
        <f>IF($N40="","",IF(INDEX('Cronograma Asistente Técnico'!$J$5:$J$1000,$N40)="","",INDEX('Cronograma Asistente Técnico'!$J$5:$J$1000,$N40)))</f>
        <v/>
      </c>
      <c r="K40" s="65">
        <f>IF($N40="","",INDEX('Cronograma Asistente Técnico'!$K$5:$K$1000,$N40))</f>
        <v/>
      </c>
      <c r="L40" s="60">
        <f>IF($N40="","",IF(N($K40)&gt;=1,"Completado",IF(AND(ISNUMBER($E40),$E40&lt;FechaRef),"Vencida",IF(N($K40)&gt;0,"En curso","Pendiente"))))</f>
        <v/>
      </c>
      <c r="M40" s="68">
        <f>IF($N40="","",INDEX('Cronograma Asistente Técnico'!$M$5:$M$1000,$N40)&amp;"")</f>
        <v/>
      </c>
      <c r="N40">
        <f>IFERROR(MATCH(ROW()-4,rOrden_ATR,0),"")</f>
        <v/>
      </c>
    </row>
    <row r="41">
      <c r="A41" s="60">
        <f>IF($N41="","",INDEX('Cronograma Asistente Técnico'!$A$5:$A$1000,$N41))</f>
        <v/>
      </c>
      <c r="B41" s="68">
        <f>IF($N41="","",INDEX('Cronograma Asistente Técnico'!$B$5:$B$1000,$N41)&amp;"")</f>
        <v/>
      </c>
      <c r="C41" s="68">
        <f>IF($N41="","",INDEX('Cronograma Asistente Técnico'!$C$5:$C$1000,$N41)&amp;"")</f>
        <v/>
      </c>
      <c r="D41" s="74">
        <f>IF($N41="","",IF(INDEX('Cronograma Asistente Técnico'!$D$5:$D$1000,$N41)="","",INDEX('Cronograma Asistente Técnico'!$D$5:$D$1000,$N41)))</f>
        <v/>
      </c>
      <c r="E41" s="74">
        <f>IF($N41="","",IF(INDEX('Cronograma Asistente Técnico'!$E$5:$E$1000,$N41)="","",INDEX('Cronograma Asistente Técnico'!$E$5:$E$1000,$N41)))</f>
        <v/>
      </c>
      <c r="F41" s="60">
        <f>IF($N41="","",IF(NOT(ISNUMBER($E41)),"",IF($E41&lt;InicioCiclo,"Antes del ciclo",IF($E41&gt;=InicioCiclo+28,"Después del ciclo","Semana "&amp;(INT(($E41-InicioCiclo)/7)+1)))))</f>
        <v/>
      </c>
      <c r="G41" s="65">
        <f>IF($N41="","",IF(INDEX('Cronograma Asistente Técnico'!$G$5:$G$1000,$N41)="","",INDEX('Cronograma Asistente Técnico'!$G$5:$G$1000,$N41)))</f>
        <v/>
      </c>
      <c r="H41" s="65">
        <f>IF($N41="","",IF(INDEX('Cronograma Asistente Técnico'!$H$5:$H$1000,$N41)="","",INDEX('Cronograma Asistente Técnico'!$H$5:$H$1000,$N41)))</f>
        <v/>
      </c>
      <c r="I41" s="65">
        <f>IF($N41="","",IF(INDEX('Cronograma Asistente Técnico'!$I$5:$I$1000,$N41)="","",INDEX('Cronograma Asistente Técnico'!$I$5:$I$1000,$N41)))</f>
        <v/>
      </c>
      <c r="J41" s="65">
        <f>IF($N41="","",IF(INDEX('Cronograma Asistente Técnico'!$J$5:$J$1000,$N41)="","",INDEX('Cronograma Asistente Técnico'!$J$5:$J$1000,$N41)))</f>
        <v/>
      </c>
      <c r="K41" s="65">
        <f>IF($N41="","",INDEX('Cronograma Asistente Técnico'!$K$5:$K$1000,$N41))</f>
        <v/>
      </c>
      <c r="L41" s="60">
        <f>IF($N41="","",IF(N($K41)&gt;=1,"Completado",IF(AND(ISNUMBER($E41),$E41&lt;FechaRef),"Vencida",IF(N($K41)&gt;0,"En curso","Pendiente"))))</f>
        <v/>
      </c>
      <c r="M41" s="68">
        <f>IF($N41="","",INDEX('Cronograma Asistente Técnico'!$M$5:$M$1000,$N41)&amp;"")</f>
        <v/>
      </c>
      <c r="N41">
        <f>IFERROR(MATCH(ROW()-4,rOrden_ATR,0),"")</f>
        <v/>
      </c>
    </row>
    <row r="42">
      <c r="A42" s="60">
        <f>IF($N42="","",INDEX('Cronograma Asistente Técnico'!$A$5:$A$1000,$N42))</f>
        <v/>
      </c>
      <c r="B42" s="68">
        <f>IF($N42="","",INDEX('Cronograma Asistente Técnico'!$B$5:$B$1000,$N42)&amp;"")</f>
        <v/>
      </c>
      <c r="C42" s="68">
        <f>IF($N42="","",INDEX('Cronograma Asistente Técnico'!$C$5:$C$1000,$N42)&amp;"")</f>
        <v/>
      </c>
      <c r="D42" s="74">
        <f>IF($N42="","",IF(INDEX('Cronograma Asistente Técnico'!$D$5:$D$1000,$N42)="","",INDEX('Cronograma Asistente Técnico'!$D$5:$D$1000,$N42)))</f>
        <v/>
      </c>
      <c r="E42" s="74">
        <f>IF($N42="","",IF(INDEX('Cronograma Asistente Técnico'!$E$5:$E$1000,$N42)="","",INDEX('Cronograma Asistente Técnico'!$E$5:$E$1000,$N42)))</f>
        <v/>
      </c>
      <c r="F42" s="60">
        <f>IF($N42="","",IF(NOT(ISNUMBER($E42)),"",IF($E42&lt;InicioCiclo,"Antes del ciclo",IF($E42&gt;=InicioCiclo+28,"Después del ciclo","Semana "&amp;(INT(($E42-InicioCiclo)/7)+1)))))</f>
        <v/>
      </c>
      <c r="G42" s="65">
        <f>IF($N42="","",IF(INDEX('Cronograma Asistente Técnico'!$G$5:$G$1000,$N42)="","",INDEX('Cronograma Asistente Técnico'!$G$5:$G$1000,$N42)))</f>
        <v/>
      </c>
      <c r="H42" s="65">
        <f>IF($N42="","",IF(INDEX('Cronograma Asistente Técnico'!$H$5:$H$1000,$N42)="","",INDEX('Cronograma Asistente Técnico'!$H$5:$H$1000,$N42)))</f>
        <v/>
      </c>
      <c r="I42" s="65">
        <f>IF($N42="","",IF(INDEX('Cronograma Asistente Técnico'!$I$5:$I$1000,$N42)="","",INDEX('Cronograma Asistente Técnico'!$I$5:$I$1000,$N42)))</f>
        <v/>
      </c>
      <c r="J42" s="65">
        <f>IF($N42="","",IF(INDEX('Cronograma Asistente Técnico'!$J$5:$J$1000,$N42)="","",INDEX('Cronograma Asistente Técnico'!$J$5:$J$1000,$N42)))</f>
        <v/>
      </c>
      <c r="K42" s="65">
        <f>IF($N42="","",INDEX('Cronograma Asistente Técnico'!$K$5:$K$1000,$N42))</f>
        <v/>
      </c>
      <c r="L42" s="60">
        <f>IF($N42="","",IF(N($K42)&gt;=1,"Completado",IF(AND(ISNUMBER($E42),$E42&lt;FechaRef),"Vencida",IF(N($K42)&gt;0,"En curso","Pendiente"))))</f>
        <v/>
      </c>
      <c r="M42" s="68">
        <f>IF($N42="","",INDEX('Cronograma Asistente Técnico'!$M$5:$M$1000,$N42)&amp;"")</f>
        <v/>
      </c>
      <c r="N42">
        <f>IFERROR(MATCH(ROW()-4,rOrden_ATR,0),"")</f>
        <v/>
      </c>
    </row>
    <row r="43">
      <c r="A43" s="60">
        <f>IF($N43="","",INDEX('Cronograma Asistente Técnico'!$A$5:$A$1000,$N43))</f>
        <v/>
      </c>
      <c r="B43" s="68">
        <f>IF($N43="","",INDEX('Cronograma Asistente Técnico'!$B$5:$B$1000,$N43)&amp;"")</f>
        <v/>
      </c>
      <c r="C43" s="68">
        <f>IF($N43="","",INDEX('Cronograma Asistente Técnico'!$C$5:$C$1000,$N43)&amp;"")</f>
        <v/>
      </c>
      <c r="D43" s="74">
        <f>IF($N43="","",IF(INDEX('Cronograma Asistente Técnico'!$D$5:$D$1000,$N43)="","",INDEX('Cronograma Asistente Técnico'!$D$5:$D$1000,$N43)))</f>
        <v/>
      </c>
      <c r="E43" s="74">
        <f>IF($N43="","",IF(INDEX('Cronograma Asistente Técnico'!$E$5:$E$1000,$N43)="","",INDEX('Cronograma Asistente Técnico'!$E$5:$E$1000,$N43)))</f>
        <v/>
      </c>
      <c r="F43" s="60">
        <f>IF($N43="","",IF(NOT(ISNUMBER($E43)),"",IF($E43&lt;InicioCiclo,"Antes del ciclo",IF($E43&gt;=InicioCiclo+28,"Después del ciclo","Semana "&amp;(INT(($E43-InicioCiclo)/7)+1)))))</f>
        <v/>
      </c>
      <c r="G43" s="65">
        <f>IF($N43="","",IF(INDEX('Cronograma Asistente Técnico'!$G$5:$G$1000,$N43)="","",INDEX('Cronograma Asistente Técnico'!$G$5:$G$1000,$N43)))</f>
        <v/>
      </c>
      <c r="H43" s="65">
        <f>IF($N43="","",IF(INDEX('Cronograma Asistente Técnico'!$H$5:$H$1000,$N43)="","",INDEX('Cronograma Asistente Técnico'!$H$5:$H$1000,$N43)))</f>
        <v/>
      </c>
      <c r="I43" s="65">
        <f>IF($N43="","",IF(INDEX('Cronograma Asistente Técnico'!$I$5:$I$1000,$N43)="","",INDEX('Cronograma Asistente Técnico'!$I$5:$I$1000,$N43)))</f>
        <v/>
      </c>
      <c r="J43" s="65">
        <f>IF($N43="","",IF(INDEX('Cronograma Asistente Técnico'!$J$5:$J$1000,$N43)="","",INDEX('Cronograma Asistente Técnico'!$J$5:$J$1000,$N43)))</f>
        <v/>
      </c>
      <c r="K43" s="65">
        <f>IF($N43="","",INDEX('Cronograma Asistente Técnico'!$K$5:$K$1000,$N43))</f>
        <v/>
      </c>
      <c r="L43" s="60">
        <f>IF($N43="","",IF(N($K43)&gt;=1,"Completado",IF(AND(ISNUMBER($E43),$E43&lt;FechaRef),"Vencida",IF(N($K43)&gt;0,"En curso","Pendiente"))))</f>
        <v/>
      </c>
      <c r="M43" s="68">
        <f>IF($N43="","",INDEX('Cronograma Asistente Técnico'!$M$5:$M$1000,$N43)&amp;"")</f>
        <v/>
      </c>
      <c r="N43">
        <f>IFERROR(MATCH(ROW()-4,rOrden_ATR,0),"")</f>
        <v/>
      </c>
    </row>
    <row r="44">
      <c r="A44" s="60">
        <f>IF($N44="","",INDEX('Cronograma Asistente Técnico'!$A$5:$A$1000,$N44))</f>
        <v/>
      </c>
      <c r="B44" s="68">
        <f>IF($N44="","",INDEX('Cronograma Asistente Técnico'!$B$5:$B$1000,$N44)&amp;"")</f>
        <v/>
      </c>
      <c r="C44" s="68">
        <f>IF($N44="","",INDEX('Cronograma Asistente Técnico'!$C$5:$C$1000,$N44)&amp;"")</f>
        <v/>
      </c>
      <c r="D44" s="74">
        <f>IF($N44="","",IF(INDEX('Cronograma Asistente Técnico'!$D$5:$D$1000,$N44)="","",INDEX('Cronograma Asistente Técnico'!$D$5:$D$1000,$N44)))</f>
        <v/>
      </c>
      <c r="E44" s="74">
        <f>IF($N44="","",IF(INDEX('Cronograma Asistente Técnico'!$E$5:$E$1000,$N44)="","",INDEX('Cronograma Asistente Técnico'!$E$5:$E$1000,$N44)))</f>
        <v/>
      </c>
      <c r="F44" s="60">
        <f>IF($N44="","",IF(NOT(ISNUMBER($E44)),"",IF($E44&lt;InicioCiclo,"Antes del ciclo",IF($E44&gt;=InicioCiclo+28,"Después del ciclo","Semana "&amp;(INT(($E44-InicioCiclo)/7)+1)))))</f>
        <v/>
      </c>
      <c r="G44" s="65">
        <f>IF($N44="","",IF(INDEX('Cronograma Asistente Técnico'!$G$5:$G$1000,$N44)="","",INDEX('Cronograma Asistente Técnico'!$G$5:$G$1000,$N44)))</f>
        <v/>
      </c>
      <c r="H44" s="65">
        <f>IF($N44="","",IF(INDEX('Cronograma Asistente Técnico'!$H$5:$H$1000,$N44)="","",INDEX('Cronograma Asistente Técnico'!$H$5:$H$1000,$N44)))</f>
        <v/>
      </c>
      <c r="I44" s="65">
        <f>IF($N44="","",IF(INDEX('Cronograma Asistente Técnico'!$I$5:$I$1000,$N44)="","",INDEX('Cronograma Asistente Técnico'!$I$5:$I$1000,$N44)))</f>
        <v/>
      </c>
      <c r="J44" s="65">
        <f>IF($N44="","",IF(INDEX('Cronograma Asistente Técnico'!$J$5:$J$1000,$N44)="","",INDEX('Cronograma Asistente Técnico'!$J$5:$J$1000,$N44)))</f>
        <v/>
      </c>
      <c r="K44" s="65">
        <f>IF($N44="","",INDEX('Cronograma Asistente Técnico'!$K$5:$K$1000,$N44))</f>
        <v/>
      </c>
      <c r="L44" s="60">
        <f>IF($N44="","",IF(N($K44)&gt;=1,"Completado",IF(AND(ISNUMBER($E44),$E44&lt;FechaRef),"Vencida",IF(N($K44)&gt;0,"En curso","Pendiente"))))</f>
        <v/>
      </c>
      <c r="M44" s="68">
        <f>IF($N44="","",INDEX('Cronograma Asistente Técnico'!$M$5:$M$1000,$N44)&amp;"")</f>
        <v/>
      </c>
      <c r="N44">
        <f>IFERROR(MATCH(ROW()-4,rOrden_ATR,0),"")</f>
        <v/>
      </c>
    </row>
    <row r="45">
      <c r="A45" s="60">
        <f>IF($N45="","",INDEX('Cronograma Asistente Técnico'!$A$5:$A$1000,$N45))</f>
        <v/>
      </c>
      <c r="B45" s="68">
        <f>IF($N45="","",INDEX('Cronograma Asistente Técnico'!$B$5:$B$1000,$N45)&amp;"")</f>
        <v/>
      </c>
      <c r="C45" s="68">
        <f>IF($N45="","",INDEX('Cronograma Asistente Técnico'!$C$5:$C$1000,$N45)&amp;"")</f>
        <v/>
      </c>
      <c r="D45" s="74">
        <f>IF($N45="","",IF(INDEX('Cronograma Asistente Técnico'!$D$5:$D$1000,$N45)="","",INDEX('Cronograma Asistente Técnico'!$D$5:$D$1000,$N45)))</f>
        <v/>
      </c>
      <c r="E45" s="74">
        <f>IF($N45="","",IF(INDEX('Cronograma Asistente Técnico'!$E$5:$E$1000,$N45)="","",INDEX('Cronograma Asistente Técnico'!$E$5:$E$1000,$N45)))</f>
        <v/>
      </c>
      <c r="F45" s="60">
        <f>IF($N45="","",IF(NOT(ISNUMBER($E45)),"",IF($E45&lt;InicioCiclo,"Antes del ciclo",IF($E45&gt;=InicioCiclo+28,"Después del ciclo","Semana "&amp;(INT(($E45-InicioCiclo)/7)+1)))))</f>
        <v/>
      </c>
      <c r="G45" s="65">
        <f>IF($N45="","",IF(INDEX('Cronograma Asistente Técnico'!$G$5:$G$1000,$N45)="","",INDEX('Cronograma Asistente Técnico'!$G$5:$G$1000,$N45)))</f>
        <v/>
      </c>
      <c r="H45" s="65">
        <f>IF($N45="","",IF(INDEX('Cronograma Asistente Técnico'!$H$5:$H$1000,$N45)="","",INDEX('Cronograma Asistente Técnico'!$H$5:$H$1000,$N45)))</f>
        <v/>
      </c>
      <c r="I45" s="65">
        <f>IF($N45="","",IF(INDEX('Cronograma Asistente Técnico'!$I$5:$I$1000,$N45)="","",INDEX('Cronograma Asistente Técnico'!$I$5:$I$1000,$N45)))</f>
        <v/>
      </c>
      <c r="J45" s="65">
        <f>IF($N45="","",IF(INDEX('Cronograma Asistente Técnico'!$J$5:$J$1000,$N45)="","",INDEX('Cronograma Asistente Técnico'!$J$5:$J$1000,$N45)))</f>
        <v/>
      </c>
      <c r="K45" s="65">
        <f>IF($N45="","",INDEX('Cronograma Asistente Técnico'!$K$5:$K$1000,$N45))</f>
        <v/>
      </c>
      <c r="L45" s="60">
        <f>IF($N45="","",IF(N($K45)&gt;=1,"Completado",IF(AND(ISNUMBER($E45),$E45&lt;FechaRef),"Vencida",IF(N($K45)&gt;0,"En curso","Pendiente"))))</f>
        <v/>
      </c>
      <c r="M45" s="68">
        <f>IF($N45="","",INDEX('Cronograma Asistente Técnico'!$M$5:$M$1000,$N45)&amp;"")</f>
        <v/>
      </c>
      <c r="N45">
        <f>IFERROR(MATCH(ROW()-4,rOrden_ATR,0),"")</f>
        <v/>
      </c>
    </row>
    <row r="46">
      <c r="A46" s="60">
        <f>IF($N46="","",INDEX('Cronograma Asistente Técnico'!$A$5:$A$1000,$N46))</f>
        <v/>
      </c>
      <c r="B46" s="68">
        <f>IF($N46="","",INDEX('Cronograma Asistente Técnico'!$B$5:$B$1000,$N46)&amp;"")</f>
        <v/>
      </c>
      <c r="C46" s="68">
        <f>IF($N46="","",INDEX('Cronograma Asistente Técnico'!$C$5:$C$1000,$N46)&amp;"")</f>
        <v/>
      </c>
      <c r="D46" s="74">
        <f>IF($N46="","",IF(INDEX('Cronograma Asistente Técnico'!$D$5:$D$1000,$N46)="","",INDEX('Cronograma Asistente Técnico'!$D$5:$D$1000,$N46)))</f>
        <v/>
      </c>
      <c r="E46" s="74">
        <f>IF($N46="","",IF(INDEX('Cronograma Asistente Técnico'!$E$5:$E$1000,$N46)="","",INDEX('Cronograma Asistente Técnico'!$E$5:$E$1000,$N46)))</f>
        <v/>
      </c>
      <c r="F46" s="60">
        <f>IF($N46="","",IF(NOT(ISNUMBER($E46)),"",IF($E46&lt;InicioCiclo,"Antes del ciclo",IF($E46&gt;=InicioCiclo+28,"Después del ciclo","Semana "&amp;(INT(($E46-InicioCiclo)/7)+1)))))</f>
        <v/>
      </c>
      <c r="G46" s="65">
        <f>IF($N46="","",IF(INDEX('Cronograma Asistente Técnico'!$G$5:$G$1000,$N46)="","",INDEX('Cronograma Asistente Técnico'!$G$5:$G$1000,$N46)))</f>
        <v/>
      </c>
      <c r="H46" s="65">
        <f>IF($N46="","",IF(INDEX('Cronograma Asistente Técnico'!$H$5:$H$1000,$N46)="","",INDEX('Cronograma Asistente Técnico'!$H$5:$H$1000,$N46)))</f>
        <v/>
      </c>
      <c r="I46" s="65">
        <f>IF($N46="","",IF(INDEX('Cronograma Asistente Técnico'!$I$5:$I$1000,$N46)="","",INDEX('Cronograma Asistente Técnico'!$I$5:$I$1000,$N46)))</f>
        <v/>
      </c>
      <c r="J46" s="65">
        <f>IF($N46="","",IF(INDEX('Cronograma Asistente Técnico'!$J$5:$J$1000,$N46)="","",INDEX('Cronograma Asistente Técnico'!$J$5:$J$1000,$N46)))</f>
        <v/>
      </c>
      <c r="K46" s="65">
        <f>IF($N46="","",INDEX('Cronograma Asistente Técnico'!$K$5:$K$1000,$N46))</f>
        <v/>
      </c>
      <c r="L46" s="60">
        <f>IF($N46="","",IF(N($K46)&gt;=1,"Completado",IF(AND(ISNUMBER($E46),$E46&lt;FechaRef),"Vencida",IF(N($K46)&gt;0,"En curso","Pendiente"))))</f>
        <v/>
      </c>
      <c r="M46" s="68">
        <f>IF($N46="","",INDEX('Cronograma Asistente Técnico'!$M$5:$M$1000,$N46)&amp;"")</f>
        <v/>
      </c>
      <c r="N46">
        <f>IFERROR(MATCH(ROW()-4,rOrden_ATR,0),"")</f>
        <v/>
      </c>
    </row>
    <row r="47">
      <c r="A47" s="60">
        <f>IF($N47="","",INDEX('Cronograma Asistente Técnico'!$A$5:$A$1000,$N47))</f>
        <v/>
      </c>
      <c r="B47" s="68">
        <f>IF($N47="","",INDEX('Cronograma Asistente Técnico'!$B$5:$B$1000,$N47)&amp;"")</f>
        <v/>
      </c>
      <c r="C47" s="68">
        <f>IF($N47="","",INDEX('Cronograma Asistente Técnico'!$C$5:$C$1000,$N47)&amp;"")</f>
        <v/>
      </c>
      <c r="D47" s="74">
        <f>IF($N47="","",IF(INDEX('Cronograma Asistente Técnico'!$D$5:$D$1000,$N47)="","",INDEX('Cronograma Asistente Técnico'!$D$5:$D$1000,$N47)))</f>
        <v/>
      </c>
      <c r="E47" s="74">
        <f>IF($N47="","",IF(INDEX('Cronograma Asistente Técnico'!$E$5:$E$1000,$N47)="","",INDEX('Cronograma Asistente Técnico'!$E$5:$E$1000,$N47)))</f>
        <v/>
      </c>
      <c r="F47" s="60">
        <f>IF($N47="","",IF(NOT(ISNUMBER($E47)),"",IF($E47&lt;InicioCiclo,"Antes del ciclo",IF($E47&gt;=InicioCiclo+28,"Después del ciclo","Semana "&amp;(INT(($E47-InicioCiclo)/7)+1)))))</f>
        <v/>
      </c>
      <c r="G47" s="65">
        <f>IF($N47="","",IF(INDEX('Cronograma Asistente Técnico'!$G$5:$G$1000,$N47)="","",INDEX('Cronograma Asistente Técnico'!$G$5:$G$1000,$N47)))</f>
        <v/>
      </c>
      <c r="H47" s="65">
        <f>IF($N47="","",IF(INDEX('Cronograma Asistente Técnico'!$H$5:$H$1000,$N47)="","",INDEX('Cronograma Asistente Técnico'!$H$5:$H$1000,$N47)))</f>
        <v/>
      </c>
      <c r="I47" s="65">
        <f>IF($N47="","",IF(INDEX('Cronograma Asistente Técnico'!$I$5:$I$1000,$N47)="","",INDEX('Cronograma Asistente Técnico'!$I$5:$I$1000,$N47)))</f>
        <v/>
      </c>
      <c r="J47" s="65">
        <f>IF($N47="","",IF(INDEX('Cronograma Asistente Técnico'!$J$5:$J$1000,$N47)="","",INDEX('Cronograma Asistente Técnico'!$J$5:$J$1000,$N47)))</f>
        <v/>
      </c>
      <c r="K47" s="65">
        <f>IF($N47="","",INDEX('Cronograma Asistente Técnico'!$K$5:$K$1000,$N47))</f>
        <v/>
      </c>
      <c r="L47" s="60">
        <f>IF($N47="","",IF(N($K47)&gt;=1,"Completado",IF(AND(ISNUMBER($E47),$E47&lt;FechaRef),"Vencida",IF(N($K47)&gt;0,"En curso","Pendiente"))))</f>
        <v/>
      </c>
      <c r="M47" s="68">
        <f>IF($N47="","",INDEX('Cronograma Asistente Técnico'!$M$5:$M$1000,$N47)&amp;"")</f>
        <v/>
      </c>
      <c r="N47">
        <f>IFERROR(MATCH(ROW()-4,rOrden_ATR,0),"")</f>
        <v/>
      </c>
    </row>
    <row r="48">
      <c r="A48" s="60">
        <f>IF($N48="","",INDEX('Cronograma Asistente Técnico'!$A$5:$A$1000,$N48))</f>
        <v/>
      </c>
      <c r="B48" s="68">
        <f>IF($N48="","",INDEX('Cronograma Asistente Técnico'!$B$5:$B$1000,$N48)&amp;"")</f>
        <v/>
      </c>
      <c r="C48" s="68">
        <f>IF($N48="","",INDEX('Cronograma Asistente Técnico'!$C$5:$C$1000,$N48)&amp;"")</f>
        <v/>
      </c>
      <c r="D48" s="74">
        <f>IF($N48="","",IF(INDEX('Cronograma Asistente Técnico'!$D$5:$D$1000,$N48)="","",INDEX('Cronograma Asistente Técnico'!$D$5:$D$1000,$N48)))</f>
        <v/>
      </c>
      <c r="E48" s="74">
        <f>IF($N48="","",IF(INDEX('Cronograma Asistente Técnico'!$E$5:$E$1000,$N48)="","",INDEX('Cronograma Asistente Técnico'!$E$5:$E$1000,$N48)))</f>
        <v/>
      </c>
      <c r="F48" s="60">
        <f>IF($N48="","",IF(NOT(ISNUMBER($E48)),"",IF($E48&lt;InicioCiclo,"Antes del ciclo",IF($E48&gt;=InicioCiclo+28,"Después del ciclo","Semana "&amp;(INT(($E48-InicioCiclo)/7)+1)))))</f>
        <v/>
      </c>
      <c r="G48" s="65">
        <f>IF($N48="","",IF(INDEX('Cronograma Asistente Técnico'!$G$5:$G$1000,$N48)="","",INDEX('Cronograma Asistente Técnico'!$G$5:$G$1000,$N48)))</f>
        <v/>
      </c>
      <c r="H48" s="65">
        <f>IF($N48="","",IF(INDEX('Cronograma Asistente Técnico'!$H$5:$H$1000,$N48)="","",INDEX('Cronograma Asistente Técnico'!$H$5:$H$1000,$N48)))</f>
        <v/>
      </c>
      <c r="I48" s="65">
        <f>IF($N48="","",IF(INDEX('Cronograma Asistente Técnico'!$I$5:$I$1000,$N48)="","",INDEX('Cronograma Asistente Técnico'!$I$5:$I$1000,$N48)))</f>
        <v/>
      </c>
      <c r="J48" s="65">
        <f>IF($N48="","",IF(INDEX('Cronograma Asistente Técnico'!$J$5:$J$1000,$N48)="","",INDEX('Cronograma Asistente Técnico'!$J$5:$J$1000,$N48)))</f>
        <v/>
      </c>
      <c r="K48" s="65">
        <f>IF($N48="","",INDEX('Cronograma Asistente Técnico'!$K$5:$K$1000,$N48))</f>
        <v/>
      </c>
      <c r="L48" s="60">
        <f>IF($N48="","",IF(N($K48)&gt;=1,"Completado",IF(AND(ISNUMBER($E48),$E48&lt;FechaRef),"Vencida",IF(N($K48)&gt;0,"En curso","Pendiente"))))</f>
        <v/>
      </c>
      <c r="M48" s="68">
        <f>IF($N48="","",INDEX('Cronograma Asistente Técnico'!$M$5:$M$1000,$N48)&amp;"")</f>
        <v/>
      </c>
      <c r="N48">
        <f>IFERROR(MATCH(ROW()-4,rOrden_ATR,0),"")</f>
        <v/>
      </c>
    </row>
    <row r="49">
      <c r="A49" s="60">
        <f>IF($N49="","",INDEX('Cronograma Asistente Técnico'!$A$5:$A$1000,$N49))</f>
        <v/>
      </c>
      <c r="B49" s="68">
        <f>IF($N49="","",INDEX('Cronograma Asistente Técnico'!$B$5:$B$1000,$N49)&amp;"")</f>
        <v/>
      </c>
      <c r="C49" s="68">
        <f>IF($N49="","",INDEX('Cronograma Asistente Técnico'!$C$5:$C$1000,$N49)&amp;"")</f>
        <v/>
      </c>
      <c r="D49" s="74">
        <f>IF($N49="","",IF(INDEX('Cronograma Asistente Técnico'!$D$5:$D$1000,$N49)="","",INDEX('Cronograma Asistente Técnico'!$D$5:$D$1000,$N49)))</f>
        <v/>
      </c>
      <c r="E49" s="74">
        <f>IF($N49="","",IF(INDEX('Cronograma Asistente Técnico'!$E$5:$E$1000,$N49)="","",INDEX('Cronograma Asistente Técnico'!$E$5:$E$1000,$N49)))</f>
        <v/>
      </c>
      <c r="F49" s="60">
        <f>IF($N49="","",IF(NOT(ISNUMBER($E49)),"",IF($E49&lt;InicioCiclo,"Antes del ciclo",IF($E49&gt;=InicioCiclo+28,"Después del ciclo","Semana "&amp;(INT(($E49-InicioCiclo)/7)+1)))))</f>
        <v/>
      </c>
      <c r="G49" s="65">
        <f>IF($N49="","",IF(INDEX('Cronograma Asistente Técnico'!$G$5:$G$1000,$N49)="","",INDEX('Cronograma Asistente Técnico'!$G$5:$G$1000,$N49)))</f>
        <v/>
      </c>
      <c r="H49" s="65">
        <f>IF($N49="","",IF(INDEX('Cronograma Asistente Técnico'!$H$5:$H$1000,$N49)="","",INDEX('Cronograma Asistente Técnico'!$H$5:$H$1000,$N49)))</f>
        <v/>
      </c>
      <c r="I49" s="65">
        <f>IF($N49="","",IF(INDEX('Cronograma Asistente Técnico'!$I$5:$I$1000,$N49)="","",INDEX('Cronograma Asistente Técnico'!$I$5:$I$1000,$N49)))</f>
        <v/>
      </c>
      <c r="J49" s="65">
        <f>IF($N49="","",IF(INDEX('Cronograma Asistente Técnico'!$J$5:$J$1000,$N49)="","",INDEX('Cronograma Asistente Técnico'!$J$5:$J$1000,$N49)))</f>
        <v/>
      </c>
      <c r="K49" s="65">
        <f>IF($N49="","",INDEX('Cronograma Asistente Técnico'!$K$5:$K$1000,$N49))</f>
        <v/>
      </c>
      <c r="L49" s="60">
        <f>IF($N49="","",IF(N($K49)&gt;=1,"Completado",IF(AND(ISNUMBER($E49),$E49&lt;FechaRef),"Vencida",IF(N($K49)&gt;0,"En curso","Pendiente"))))</f>
        <v/>
      </c>
      <c r="M49" s="68">
        <f>IF($N49="","",INDEX('Cronograma Asistente Técnico'!$M$5:$M$1000,$N49)&amp;"")</f>
        <v/>
      </c>
      <c r="N49">
        <f>IFERROR(MATCH(ROW()-4,rOrden_ATR,0),"")</f>
        <v/>
      </c>
    </row>
    <row r="50">
      <c r="A50" s="60">
        <f>IF($N50="","",INDEX('Cronograma Asistente Técnico'!$A$5:$A$1000,$N50))</f>
        <v/>
      </c>
      <c r="B50" s="68">
        <f>IF($N50="","",INDEX('Cronograma Asistente Técnico'!$B$5:$B$1000,$N50)&amp;"")</f>
        <v/>
      </c>
      <c r="C50" s="68">
        <f>IF($N50="","",INDEX('Cronograma Asistente Técnico'!$C$5:$C$1000,$N50)&amp;"")</f>
        <v/>
      </c>
      <c r="D50" s="74">
        <f>IF($N50="","",IF(INDEX('Cronograma Asistente Técnico'!$D$5:$D$1000,$N50)="","",INDEX('Cronograma Asistente Técnico'!$D$5:$D$1000,$N50)))</f>
        <v/>
      </c>
      <c r="E50" s="74">
        <f>IF($N50="","",IF(INDEX('Cronograma Asistente Técnico'!$E$5:$E$1000,$N50)="","",INDEX('Cronograma Asistente Técnico'!$E$5:$E$1000,$N50)))</f>
        <v/>
      </c>
      <c r="F50" s="60">
        <f>IF($N50="","",IF(NOT(ISNUMBER($E50)),"",IF($E50&lt;InicioCiclo,"Antes del ciclo",IF($E50&gt;=InicioCiclo+28,"Después del ciclo","Semana "&amp;(INT(($E50-InicioCiclo)/7)+1)))))</f>
        <v/>
      </c>
      <c r="G50" s="65">
        <f>IF($N50="","",IF(INDEX('Cronograma Asistente Técnico'!$G$5:$G$1000,$N50)="","",INDEX('Cronograma Asistente Técnico'!$G$5:$G$1000,$N50)))</f>
        <v/>
      </c>
      <c r="H50" s="65">
        <f>IF($N50="","",IF(INDEX('Cronograma Asistente Técnico'!$H$5:$H$1000,$N50)="","",INDEX('Cronograma Asistente Técnico'!$H$5:$H$1000,$N50)))</f>
        <v/>
      </c>
      <c r="I50" s="65">
        <f>IF($N50="","",IF(INDEX('Cronograma Asistente Técnico'!$I$5:$I$1000,$N50)="","",INDEX('Cronograma Asistente Técnico'!$I$5:$I$1000,$N50)))</f>
        <v/>
      </c>
      <c r="J50" s="65">
        <f>IF($N50="","",IF(INDEX('Cronograma Asistente Técnico'!$J$5:$J$1000,$N50)="","",INDEX('Cronograma Asistente Técnico'!$J$5:$J$1000,$N50)))</f>
        <v/>
      </c>
      <c r="K50" s="65">
        <f>IF($N50="","",INDEX('Cronograma Asistente Técnico'!$K$5:$K$1000,$N50))</f>
        <v/>
      </c>
      <c r="L50" s="60">
        <f>IF($N50="","",IF(N($K50)&gt;=1,"Completado",IF(AND(ISNUMBER($E50),$E50&lt;FechaRef),"Vencida",IF(N($K50)&gt;0,"En curso","Pendiente"))))</f>
        <v/>
      </c>
      <c r="M50" s="68">
        <f>IF($N50="","",INDEX('Cronograma Asistente Técnico'!$M$5:$M$1000,$N50)&amp;"")</f>
        <v/>
      </c>
      <c r="N50">
        <f>IFERROR(MATCH(ROW()-4,rOrden_ATR,0),"")</f>
        <v/>
      </c>
    </row>
    <row r="51">
      <c r="A51" s="60">
        <f>IF($N51="","",INDEX('Cronograma Asistente Técnico'!$A$5:$A$1000,$N51))</f>
        <v/>
      </c>
      <c r="B51" s="68">
        <f>IF($N51="","",INDEX('Cronograma Asistente Técnico'!$B$5:$B$1000,$N51)&amp;"")</f>
        <v/>
      </c>
      <c r="C51" s="68">
        <f>IF($N51="","",INDEX('Cronograma Asistente Técnico'!$C$5:$C$1000,$N51)&amp;"")</f>
        <v/>
      </c>
      <c r="D51" s="74">
        <f>IF($N51="","",IF(INDEX('Cronograma Asistente Técnico'!$D$5:$D$1000,$N51)="","",INDEX('Cronograma Asistente Técnico'!$D$5:$D$1000,$N51)))</f>
        <v/>
      </c>
      <c r="E51" s="74">
        <f>IF($N51="","",IF(INDEX('Cronograma Asistente Técnico'!$E$5:$E$1000,$N51)="","",INDEX('Cronograma Asistente Técnico'!$E$5:$E$1000,$N51)))</f>
        <v/>
      </c>
      <c r="F51" s="60">
        <f>IF($N51="","",IF(NOT(ISNUMBER($E51)),"",IF($E51&lt;InicioCiclo,"Antes del ciclo",IF($E51&gt;=InicioCiclo+28,"Después del ciclo","Semana "&amp;(INT(($E51-InicioCiclo)/7)+1)))))</f>
        <v/>
      </c>
      <c r="G51" s="65">
        <f>IF($N51="","",IF(INDEX('Cronograma Asistente Técnico'!$G$5:$G$1000,$N51)="","",INDEX('Cronograma Asistente Técnico'!$G$5:$G$1000,$N51)))</f>
        <v/>
      </c>
      <c r="H51" s="65">
        <f>IF($N51="","",IF(INDEX('Cronograma Asistente Técnico'!$H$5:$H$1000,$N51)="","",INDEX('Cronograma Asistente Técnico'!$H$5:$H$1000,$N51)))</f>
        <v/>
      </c>
      <c r="I51" s="65">
        <f>IF($N51="","",IF(INDEX('Cronograma Asistente Técnico'!$I$5:$I$1000,$N51)="","",INDEX('Cronograma Asistente Técnico'!$I$5:$I$1000,$N51)))</f>
        <v/>
      </c>
      <c r="J51" s="65">
        <f>IF($N51="","",IF(INDEX('Cronograma Asistente Técnico'!$J$5:$J$1000,$N51)="","",INDEX('Cronograma Asistente Técnico'!$J$5:$J$1000,$N51)))</f>
        <v/>
      </c>
      <c r="K51" s="65">
        <f>IF($N51="","",INDEX('Cronograma Asistente Técnico'!$K$5:$K$1000,$N51))</f>
        <v/>
      </c>
      <c r="L51" s="60">
        <f>IF($N51="","",IF(N($K51)&gt;=1,"Completado",IF(AND(ISNUMBER($E51),$E51&lt;FechaRef),"Vencida",IF(N($K51)&gt;0,"En curso","Pendiente"))))</f>
        <v/>
      </c>
      <c r="M51" s="68">
        <f>IF($N51="","",INDEX('Cronograma Asistente Técnico'!$M$5:$M$1000,$N51)&amp;"")</f>
        <v/>
      </c>
      <c r="N51">
        <f>IFERROR(MATCH(ROW()-4,rOrden_ATR,0),"")</f>
        <v/>
      </c>
    </row>
    <row r="52">
      <c r="A52" s="60">
        <f>IF($N52="","",INDEX('Cronograma Asistente Técnico'!$A$5:$A$1000,$N52))</f>
        <v/>
      </c>
      <c r="B52" s="68">
        <f>IF($N52="","",INDEX('Cronograma Asistente Técnico'!$B$5:$B$1000,$N52)&amp;"")</f>
        <v/>
      </c>
      <c r="C52" s="68">
        <f>IF($N52="","",INDEX('Cronograma Asistente Técnico'!$C$5:$C$1000,$N52)&amp;"")</f>
        <v/>
      </c>
      <c r="D52" s="74">
        <f>IF($N52="","",IF(INDEX('Cronograma Asistente Técnico'!$D$5:$D$1000,$N52)="","",INDEX('Cronograma Asistente Técnico'!$D$5:$D$1000,$N52)))</f>
        <v/>
      </c>
      <c r="E52" s="74">
        <f>IF($N52="","",IF(INDEX('Cronograma Asistente Técnico'!$E$5:$E$1000,$N52)="","",INDEX('Cronograma Asistente Técnico'!$E$5:$E$1000,$N52)))</f>
        <v/>
      </c>
      <c r="F52" s="60">
        <f>IF($N52="","",IF(NOT(ISNUMBER($E52)),"",IF($E52&lt;InicioCiclo,"Antes del ciclo",IF($E52&gt;=InicioCiclo+28,"Después del ciclo","Semana "&amp;(INT(($E52-InicioCiclo)/7)+1)))))</f>
        <v/>
      </c>
      <c r="G52" s="65">
        <f>IF($N52="","",IF(INDEX('Cronograma Asistente Técnico'!$G$5:$G$1000,$N52)="","",INDEX('Cronograma Asistente Técnico'!$G$5:$G$1000,$N52)))</f>
        <v/>
      </c>
      <c r="H52" s="65">
        <f>IF($N52="","",IF(INDEX('Cronograma Asistente Técnico'!$H$5:$H$1000,$N52)="","",INDEX('Cronograma Asistente Técnico'!$H$5:$H$1000,$N52)))</f>
        <v/>
      </c>
      <c r="I52" s="65">
        <f>IF($N52="","",IF(INDEX('Cronograma Asistente Técnico'!$I$5:$I$1000,$N52)="","",INDEX('Cronograma Asistente Técnico'!$I$5:$I$1000,$N52)))</f>
        <v/>
      </c>
      <c r="J52" s="65">
        <f>IF($N52="","",IF(INDEX('Cronograma Asistente Técnico'!$J$5:$J$1000,$N52)="","",INDEX('Cronograma Asistente Técnico'!$J$5:$J$1000,$N52)))</f>
        <v/>
      </c>
      <c r="K52" s="65">
        <f>IF($N52="","",INDEX('Cronograma Asistente Técnico'!$K$5:$K$1000,$N52))</f>
        <v/>
      </c>
      <c r="L52" s="60">
        <f>IF($N52="","",IF(N($K52)&gt;=1,"Completado",IF(AND(ISNUMBER($E52),$E52&lt;FechaRef),"Vencida",IF(N($K52)&gt;0,"En curso","Pendiente"))))</f>
        <v/>
      </c>
      <c r="M52" s="68">
        <f>IF($N52="","",INDEX('Cronograma Asistente Técnico'!$M$5:$M$1000,$N52)&amp;"")</f>
        <v/>
      </c>
      <c r="N52">
        <f>IFERROR(MATCH(ROW()-4,rOrden_ATR,0),"")</f>
        <v/>
      </c>
    </row>
    <row r="53">
      <c r="A53" s="60">
        <f>IF($N53="","",INDEX('Cronograma Asistente Técnico'!$A$5:$A$1000,$N53))</f>
        <v/>
      </c>
      <c r="B53" s="68">
        <f>IF($N53="","",INDEX('Cronograma Asistente Técnico'!$B$5:$B$1000,$N53)&amp;"")</f>
        <v/>
      </c>
      <c r="C53" s="68">
        <f>IF($N53="","",INDEX('Cronograma Asistente Técnico'!$C$5:$C$1000,$N53)&amp;"")</f>
        <v/>
      </c>
      <c r="D53" s="74">
        <f>IF($N53="","",IF(INDEX('Cronograma Asistente Técnico'!$D$5:$D$1000,$N53)="","",INDEX('Cronograma Asistente Técnico'!$D$5:$D$1000,$N53)))</f>
        <v/>
      </c>
      <c r="E53" s="74">
        <f>IF($N53="","",IF(INDEX('Cronograma Asistente Técnico'!$E$5:$E$1000,$N53)="","",INDEX('Cronograma Asistente Técnico'!$E$5:$E$1000,$N53)))</f>
        <v/>
      </c>
      <c r="F53" s="60">
        <f>IF($N53="","",IF(NOT(ISNUMBER($E53)),"",IF($E53&lt;InicioCiclo,"Antes del ciclo",IF($E53&gt;=InicioCiclo+28,"Después del ciclo","Semana "&amp;(INT(($E53-InicioCiclo)/7)+1)))))</f>
        <v/>
      </c>
      <c r="G53" s="65">
        <f>IF($N53="","",IF(INDEX('Cronograma Asistente Técnico'!$G$5:$G$1000,$N53)="","",INDEX('Cronograma Asistente Técnico'!$G$5:$G$1000,$N53)))</f>
        <v/>
      </c>
      <c r="H53" s="65">
        <f>IF($N53="","",IF(INDEX('Cronograma Asistente Técnico'!$H$5:$H$1000,$N53)="","",INDEX('Cronograma Asistente Técnico'!$H$5:$H$1000,$N53)))</f>
        <v/>
      </c>
      <c r="I53" s="65">
        <f>IF($N53="","",IF(INDEX('Cronograma Asistente Técnico'!$I$5:$I$1000,$N53)="","",INDEX('Cronograma Asistente Técnico'!$I$5:$I$1000,$N53)))</f>
        <v/>
      </c>
      <c r="J53" s="65">
        <f>IF($N53="","",IF(INDEX('Cronograma Asistente Técnico'!$J$5:$J$1000,$N53)="","",INDEX('Cronograma Asistente Técnico'!$J$5:$J$1000,$N53)))</f>
        <v/>
      </c>
      <c r="K53" s="65">
        <f>IF($N53="","",INDEX('Cronograma Asistente Técnico'!$K$5:$K$1000,$N53))</f>
        <v/>
      </c>
      <c r="L53" s="60">
        <f>IF($N53="","",IF(N($K53)&gt;=1,"Completado",IF(AND(ISNUMBER($E53),$E53&lt;FechaRef),"Vencida",IF(N($K53)&gt;0,"En curso","Pendiente"))))</f>
        <v/>
      </c>
      <c r="M53" s="68">
        <f>IF($N53="","",INDEX('Cronograma Asistente Técnico'!$M$5:$M$1000,$N53)&amp;"")</f>
        <v/>
      </c>
      <c r="N53">
        <f>IFERROR(MATCH(ROW()-4,rOrden_ATR,0),"")</f>
        <v/>
      </c>
    </row>
    <row r="54">
      <c r="A54" s="60">
        <f>IF($N54="","",INDEX('Cronograma Asistente Técnico'!$A$5:$A$1000,$N54))</f>
        <v/>
      </c>
      <c r="B54" s="68">
        <f>IF($N54="","",INDEX('Cronograma Asistente Técnico'!$B$5:$B$1000,$N54)&amp;"")</f>
        <v/>
      </c>
      <c r="C54" s="68">
        <f>IF($N54="","",INDEX('Cronograma Asistente Técnico'!$C$5:$C$1000,$N54)&amp;"")</f>
        <v/>
      </c>
      <c r="D54" s="74">
        <f>IF($N54="","",IF(INDEX('Cronograma Asistente Técnico'!$D$5:$D$1000,$N54)="","",INDEX('Cronograma Asistente Técnico'!$D$5:$D$1000,$N54)))</f>
        <v/>
      </c>
      <c r="E54" s="74">
        <f>IF($N54="","",IF(INDEX('Cronograma Asistente Técnico'!$E$5:$E$1000,$N54)="","",INDEX('Cronograma Asistente Técnico'!$E$5:$E$1000,$N54)))</f>
        <v/>
      </c>
      <c r="F54" s="60">
        <f>IF($N54="","",IF(NOT(ISNUMBER($E54)),"",IF($E54&lt;InicioCiclo,"Antes del ciclo",IF($E54&gt;=InicioCiclo+28,"Después del ciclo","Semana "&amp;(INT(($E54-InicioCiclo)/7)+1)))))</f>
        <v/>
      </c>
      <c r="G54" s="65">
        <f>IF($N54="","",IF(INDEX('Cronograma Asistente Técnico'!$G$5:$G$1000,$N54)="","",INDEX('Cronograma Asistente Técnico'!$G$5:$G$1000,$N54)))</f>
        <v/>
      </c>
      <c r="H54" s="65">
        <f>IF($N54="","",IF(INDEX('Cronograma Asistente Técnico'!$H$5:$H$1000,$N54)="","",INDEX('Cronograma Asistente Técnico'!$H$5:$H$1000,$N54)))</f>
        <v/>
      </c>
      <c r="I54" s="65">
        <f>IF($N54="","",IF(INDEX('Cronograma Asistente Técnico'!$I$5:$I$1000,$N54)="","",INDEX('Cronograma Asistente Técnico'!$I$5:$I$1000,$N54)))</f>
        <v/>
      </c>
      <c r="J54" s="65">
        <f>IF($N54="","",IF(INDEX('Cronograma Asistente Técnico'!$J$5:$J$1000,$N54)="","",INDEX('Cronograma Asistente Técnico'!$J$5:$J$1000,$N54)))</f>
        <v/>
      </c>
      <c r="K54" s="65">
        <f>IF($N54="","",INDEX('Cronograma Asistente Técnico'!$K$5:$K$1000,$N54))</f>
        <v/>
      </c>
      <c r="L54" s="60">
        <f>IF($N54="","",IF(N($K54)&gt;=1,"Completado",IF(AND(ISNUMBER($E54),$E54&lt;FechaRef),"Vencida",IF(N($K54)&gt;0,"En curso","Pendiente"))))</f>
        <v/>
      </c>
      <c r="M54" s="68">
        <f>IF($N54="","",INDEX('Cronograma Asistente Técnico'!$M$5:$M$1000,$N54)&amp;"")</f>
        <v/>
      </c>
      <c r="N54">
        <f>IFERROR(MATCH(ROW()-4,rOrden_ATR,0),"")</f>
        <v/>
      </c>
    </row>
    <row r="55">
      <c r="A55" s="60">
        <f>IF($N55="","",INDEX('Cronograma Asistente Técnico'!$A$5:$A$1000,$N55))</f>
        <v/>
      </c>
      <c r="B55" s="68">
        <f>IF($N55="","",INDEX('Cronograma Asistente Técnico'!$B$5:$B$1000,$N55)&amp;"")</f>
        <v/>
      </c>
      <c r="C55" s="68">
        <f>IF($N55="","",INDEX('Cronograma Asistente Técnico'!$C$5:$C$1000,$N55)&amp;"")</f>
        <v/>
      </c>
      <c r="D55" s="74">
        <f>IF($N55="","",IF(INDEX('Cronograma Asistente Técnico'!$D$5:$D$1000,$N55)="","",INDEX('Cronograma Asistente Técnico'!$D$5:$D$1000,$N55)))</f>
        <v/>
      </c>
      <c r="E55" s="74">
        <f>IF($N55="","",IF(INDEX('Cronograma Asistente Técnico'!$E$5:$E$1000,$N55)="","",INDEX('Cronograma Asistente Técnico'!$E$5:$E$1000,$N55)))</f>
        <v/>
      </c>
      <c r="F55" s="60">
        <f>IF($N55="","",IF(NOT(ISNUMBER($E55)),"",IF($E55&lt;InicioCiclo,"Antes del ciclo",IF($E55&gt;=InicioCiclo+28,"Después del ciclo","Semana "&amp;(INT(($E55-InicioCiclo)/7)+1)))))</f>
        <v/>
      </c>
      <c r="G55" s="65">
        <f>IF($N55="","",IF(INDEX('Cronograma Asistente Técnico'!$G$5:$G$1000,$N55)="","",INDEX('Cronograma Asistente Técnico'!$G$5:$G$1000,$N55)))</f>
        <v/>
      </c>
      <c r="H55" s="65">
        <f>IF($N55="","",IF(INDEX('Cronograma Asistente Técnico'!$H$5:$H$1000,$N55)="","",INDEX('Cronograma Asistente Técnico'!$H$5:$H$1000,$N55)))</f>
        <v/>
      </c>
      <c r="I55" s="65">
        <f>IF($N55="","",IF(INDEX('Cronograma Asistente Técnico'!$I$5:$I$1000,$N55)="","",INDEX('Cronograma Asistente Técnico'!$I$5:$I$1000,$N55)))</f>
        <v/>
      </c>
      <c r="J55" s="65">
        <f>IF($N55="","",IF(INDEX('Cronograma Asistente Técnico'!$J$5:$J$1000,$N55)="","",INDEX('Cronograma Asistente Técnico'!$J$5:$J$1000,$N55)))</f>
        <v/>
      </c>
      <c r="K55" s="65">
        <f>IF($N55="","",INDEX('Cronograma Asistente Técnico'!$K$5:$K$1000,$N55))</f>
        <v/>
      </c>
      <c r="L55" s="60">
        <f>IF($N55="","",IF(N($K55)&gt;=1,"Completado",IF(AND(ISNUMBER($E55),$E55&lt;FechaRef),"Vencida",IF(N($K55)&gt;0,"En curso","Pendiente"))))</f>
        <v/>
      </c>
      <c r="M55" s="68">
        <f>IF($N55="","",INDEX('Cronograma Asistente Técnico'!$M$5:$M$1000,$N55)&amp;"")</f>
        <v/>
      </c>
      <c r="N55">
        <f>IFERROR(MATCH(ROW()-4,rOrden_ATR,0),"")</f>
        <v/>
      </c>
    </row>
    <row r="56">
      <c r="A56" s="60">
        <f>IF($N56="","",INDEX('Cronograma Asistente Técnico'!$A$5:$A$1000,$N56))</f>
        <v/>
      </c>
      <c r="B56" s="68">
        <f>IF($N56="","",INDEX('Cronograma Asistente Técnico'!$B$5:$B$1000,$N56)&amp;"")</f>
        <v/>
      </c>
      <c r="C56" s="68">
        <f>IF($N56="","",INDEX('Cronograma Asistente Técnico'!$C$5:$C$1000,$N56)&amp;"")</f>
        <v/>
      </c>
      <c r="D56" s="74">
        <f>IF($N56="","",IF(INDEX('Cronograma Asistente Técnico'!$D$5:$D$1000,$N56)="","",INDEX('Cronograma Asistente Técnico'!$D$5:$D$1000,$N56)))</f>
        <v/>
      </c>
      <c r="E56" s="74">
        <f>IF($N56="","",IF(INDEX('Cronograma Asistente Técnico'!$E$5:$E$1000,$N56)="","",INDEX('Cronograma Asistente Técnico'!$E$5:$E$1000,$N56)))</f>
        <v/>
      </c>
      <c r="F56" s="60">
        <f>IF($N56="","",IF(NOT(ISNUMBER($E56)),"",IF($E56&lt;InicioCiclo,"Antes del ciclo",IF($E56&gt;=InicioCiclo+28,"Después del ciclo","Semana "&amp;(INT(($E56-InicioCiclo)/7)+1)))))</f>
        <v/>
      </c>
      <c r="G56" s="65">
        <f>IF($N56="","",IF(INDEX('Cronograma Asistente Técnico'!$G$5:$G$1000,$N56)="","",INDEX('Cronograma Asistente Técnico'!$G$5:$G$1000,$N56)))</f>
        <v/>
      </c>
      <c r="H56" s="65">
        <f>IF($N56="","",IF(INDEX('Cronograma Asistente Técnico'!$H$5:$H$1000,$N56)="","",INDEX('Cronograma Asistente Técnico'!$H$5:$H$1000,$N56)))</f>
        <v/>
      </c>
      <c r="I56" s="65">
        <f>IF($N56="","",IF(INDEX('Cronograma Asistente Técnico'!$I$5:$I$1000,$N56)="","",INDEX('Cronograma Asistente Técnico'!$I$5:$I$1000,$N56)))</f>
        <v/>
      </c>
      <c r="J56" s="65">
        <f>IF($N56="","",IF(INDEX('Cronograma Asistente Técnico'!$J$5:$J$1000,$N56)="","",INDEX('Cronograma Asistente Técnico'!$J$5:$J$1000,$N56)))</f>
        <v/>
      </c>
      <c r="K56" s="65">
        <f>IF($N56="","",INDEX('Cronograma Asistente Técnico'!$K$5:$K$1000,$N56))</f>
        <v/>
      </c>
      <c r="L56" s="60">
        <f>IF($N56="","",IF(N($K56)&gt;=1,"Completado",IF(AND(ISNUMBER($E56),$E56&lt;FechaRef),"Vencida",IF(N($K56)&gt;0,"En curso","Pendiente"))))</f>
        <v/>
      </c>
      <c r="M56" s="68">
        <f>IF($N56="","",INDEX('Cronograma Asistente Técnico'!$M$5:$M$1000,$N56)&amp;"")</f>
        <v/>
      </c>
      <c r="N56">
        <f>IFERROR(MATCH(ROW()-4,rOrden_ATR,0),"")</f>
        <v/>
      </c>
    </row>
    <row r="57">
      <c r="A57" s="60">
        <f>IF($N57="","",INDEX('Cronograma Asistente Técnico'!$A$5:$A$1000,$N57))</f>
        <v/>
      </c>
      <c r="B57" s="68">
        <f>IF($N57="","",INDEX('Cronograma Asistente Técnico'!$B$5:$B$1000,$N57)&amp;"")</f>
        <v/>
      </c>
      <c r="C57" s="68">
        <f>IF($N57="","",INDEX('Cronograma Asistente Técnico'!$C$5:$C$1000,$N57)&amp;"")</f>
        <v/>
      </c>
      <c r="D57" s="74">
        <f>IF($N57="","",IF(INDEX('Cronograma Asistente Técnico'!$D$5:$D$1000,$N57)="","",INDEX('Cronograma Asistente Técnico'!$D$5:$D$1000,$N57)))</f>
        <v/>
      </c>
      <c r="E57" s="74">
        <f>IF($N57="","",IF(INDEX('Cronograma Asistente Técnico'!$E$5:$E$1000,$N57)="","",INDEX('Cronograma Asistente Técnico'!$E$5:$E$1000,$N57)))</f>
        <v/>
      </c>
      <c r="F57" s="60">
        <f>IF($N57="","",IF(NOT(ISNUMBER($E57)),"",IF($E57&lt;InicioCiclo,"Antes del ciclo",IF($E57&gt;=InicioCiclo+28,"Después del ciclo","Semana "&amp;(INT(($E57-InicioCiclo)/7)+1)))))</f>
        <v/>
      </c>
      <c r="G57" s="65">
        <f>IF($N57="","",IF(INDEX('Cronograma Asistente Técnico'!$G$5:$G$1000,$N57)="","",INDEX('Cronograma Asistente Técnico'!$G$5:$G$1000,$N57)))</f>
        <v/>
      </c>
      <c r="H57" s="65">
        <f>IF($N57="","",IF(INDEX('Cronograma Asistente Técnico'!$H$5:$H$1000,$N57)="","",INDEX('Cronograma Asistente Técnico'!$H$5:$H$1000,$N57)))</f>
        <v/>
      </c>
      <c r="I57" s="65">
        <f>IF($N57="","",IF(INDEX('Cronograma Asistente Técnico'!$I$5:$I$1000,$N57)="","",INDEX('Cronograma Asistente Técnico'!$I$5:$I$1000,$N57)))</f>
        <v/>
      </c>
      <c r="J57" s="65">
        <f>IF($N57="","",IF(INDEX('Cronograma Asistente Técnico'!$J$5:$J$1000,$N57)="","",INDEX('Cronograma Asistente Técnico'!$J$5:$J$1000,$N57)))</f>
        <v/>
      </c>
      <c r="K57" s="65">
        <f>IF($N57="","",INDEX('Cronograma Asistente Técnico'!$K$5:$K$1000,$N57))</f>
        <v/>
      </c>
      <c r="L57" s="60">
        <f>IF($N57="","",IF(N($K57)&gt;=1,"Completado",IF(AND(ISNUMBER($E57),$E57&lt;FechaRef),"Vencida",IF(N($K57)&gt;0,"En curso","Pendiente"))))</f>
        <v/>
      </c>
      <c r="M57" s="68">
        <f>IF($N57="","",INDEX('Cronograma Asistente Técnico'!$M$5:$M$1000,$N57)&amp;"")</f>
        <v/>
      </c>
      <c r="N57">
        <f>IFERROR(MATCH(ROW()-4,rOrden_ATR,0),"")</f>
        <v/>
      </c>
    </row>
    <row r="58">
      <c r="A58" s="60">
        <f>IF($N58="","",INDEX('Cronograma Asistente Técnico'!$A$5:$A$1000,$N58))</f>
        <v/>
      </c>
      <c r="B58" s="68">
        <f>IF($N58="","",INDEX('Cronograma Asistente Técnico'!$B$5:$B$1000,$N58)&amp;"")</f>
        <v/>
      </c>
      <c r="C58" s="68">
        <f>IF($N58="","",INDEX('Cronograma Asistente Técnico'!$C$5:$C$1000,$N58)&amp;"")</f>
        <v/>
      </c>
      <c r="D58" s="74">
        <f>IF($N58="","",IF(INDEX('Cronograma Asistente Técnico'!$D$5:$D$1000,$N58)="","",INDEX('Cronograma Asistente Técnico'!$D$5:$D$1000,$N58)))</f>
        <v/>
      </c>
      <c r="E58" s="74">
        <f>IF($N58="","",IF(INDEX('Cronograma Asistente Técnico'!$E$5:$E$1000,$N58)="","",INDEX('Cronograma Asistente Técnico'!$E$5:$E$1000,$N58)))</f>
        <v/>
      </c>
      <c r="F58" s="60">
        <f>IF($N58="","",IF(NOT(ISNUMBER($E58)),"",IF($E58&lt;InicioCiclo,"Antes del ciclo",IF($E58&gt;=InicioCiclo+28,"Después del ciclo","Semana "&amp;(INT(($E58-InicioCiclo)/7)+1)))))</f>
        <v/>
      </c>
      <c r="G58" s="65">
        <f>IF($N58="","",IF(INDEX('Cronograma Asistente Técnico'!$G$5:$G$1000,$N58)="","",INDEX('Cronograma Asistente Técnico'!$G$5:$G$1000,$N58)))</f>
        <v/>
      </c>
      <c r="H58" s="65">
        <f>IF($N58="","",IF(INDEX('Cronograma Asistente Técnico'!$H$5:$H$1000,$N58)="","",INDEX('Cronograma Asistente Técnico'!$H$5:$H$1000,$N58)))</f>
        <v/>
      </c>
      <c r="I58" s="65">
        <f>IF($N58="","",IF(INDEX('Cronograma Asistente Técnico'!$I$5:$I$1000,$N58)="","",INDEX('Cronograma Asistente Técnico'!$I$5:$I$1000,$N58)))</f>
        <v/>
      </c>
      <c r="J58" s="65">
        <f>IF($N58="","",IF(INDEX('Cronograma Asistente Técnico'!$J$5:$J$1000,$N58)="","",INDEX('Cronograma Asistente Técnico'!$J$5:$J$1000,$N58)))</f>
        <v/>
      </c>
      <c r="K58" s="65">
        <f>IF($N58="","",INDEX('Cronograma Asistente Técnico'!$K$5:$K$1000,$N58))</f>
        <v/>
      </c>
      <c r="L58" s="60">
        <f>IF($N58="","",IF(N($K58)&gt;=1,"Completado",IF(AND(ISNUMBER($E58),$E58&lt;FechaRef),"Vencida",IF(N($K58)&gt;0,"En curso","Pendiente"))))</f>
        <v/>
      </c>
      <c r="M58" s="68">
        <f>IF($N58="","",INDEX('Cronograma Asistente Técnico'!$M$5:$M$1000,$N58)&amp;"")</f>
        <v/>
      </c>
      <c r="N58">
        <f>IFERROR(MATCH(ROW()-4,rOrden_ATR,0),"")</f>
        <v/>
      </c>
    </row>
    <row r="59">
      <c r="A59" s="60">
        <f>IF($N59="","",INDEX('Cronograma Asistente Técnico'!$A$5:$A$1000,$N59))</f>
        <v/>
      </c>
      <c r="B59" s="68">
        <f>IF($N59="","",INDEX('Cronograma Asistente Técnico'!$B$5:$B$1000,$N59)&amp;"")</f>
        <v/>
      </c>
      <c r="C59" s="68">
        <f>IF($N59="","",INDEX('Cronograma Asistente Técnico'!$C$5:$C$1000,$N59)&amp;"")</f>
        <v/>
      </c>
      <c r="D59" s="74">
        <f>IF($N59="","",IF(INDEX('Cronograma Asistente Técnico'!$D$5:$D$1000,$N59)="","",INDEX('Cronograma Asistente Técnico'!$D$5:$D$1000,$N59)))</f>
        <v/>
      </c>
      <c r="E59" s="74">
        <f>IF($N59="","",IF(INDEX('Cronograma Asistente Técnico'!$E$5:$E$1000,$N59)="","",INDEX('Cronograma Asistente Técnico'!$E$5:$E$1000,$N59)))</f>
        <v/>
      </c>
      <c r="F59" s="60">
        <f>IF($N59="","",IF(NOT(ISNUMBER($E59)),"",IF($E59&lt;InicioCiclo,"Antes del ciclo",IF($E59&gt;=InicioCiclo+28,"Después del ciclo","Semana "&amp;(INT(($E59-InicioCiclo)/7)+1)))))</f>
        <v/>
      </c>
      <c r="G59" s="65">
        <f>IF($N59="","",IF(INDEX('Cronograma Asistente Técnico'!$G$5:$G$1000,$N59)="","",INDEX('Cronograma Asistente Técnico'!$G$5:$G$1000,$N59)))</f>
        <v/>
      </c>
      <c r="H59" s="65">
        <f>IF($N59="","",IF(INDEX('Cronograma Asistente Técnico'!$H$5:$H$1000,$N59)="","",INDEX('Cronograma Asistente Técnico'!$H$5:$H$1000,$N59)))</f>
        <v/>
      </c>
      <c r="I59" s="65">
        <f>IF($N59="","",IF(INDEX('Cronograma Asistente Técnico'!$I$5:$I$1000,$N59)="","",INDEX('Cronograma Asistente Técnico'!$I$5:$I$1000,$N59)))</f>
        <v/>
      </c>
      <c r="J59" s="65">
        <f>IF($N59="","",IF(INDEX('Cronograma Asistente Técnico'!$J$5:$J$1000,$N59)="","",INDEX('Cronograma Asistente Técnico'!$J$5:$J$1000,$N59)))</f>
        <v/>
      </c>
      <c r="K59" s="65">
        <f>IF($N59="","",INDEX('Cronograma Asistente Técnico'!$K$5:$K$1000,$N59))</f>
        <v/>
      </c>
      <c r="L59" s="60">
        <f>IF($N59="","",IF(N($K59)&gt;=1,"Completado",IF(AND(ISNUMBER($E59),$E59&lt;FechaRef),"Vencida",IF(N($K59)&gt;0,"En curso","Pendiente"))))</f>
        <v/>
      </c>
      <c r="M59" s="68">
        <f>IF($N59="","",INDEX('Cronograma Asistente Técnico'!$M$5:$M$1000,$N59)&amp;"")</f>
        <v/>
      </c>
      <c r="N59">
        <f>IFERROR(MATCH(ROW()-4,rOrden_ATR,0),"")</f>
        <v/>
      </c>
    </row>
    <row r="60">
      <c r="A60" s="60">
        <f>IF($N60="","",INDEX('Cronograma Asistente Técnico'!$A$5:$A$1000,$N60))</f>
        <v/>
      </c>
      <c r="B60" s="68">
        <f>IF($N60="","",INDEX('Cronograma Asistente Técnico'!$B$5:$B$1000,$N60)&amp;"")</f>
        <v/>
      </c>
      <c r="C60" s="68">
        <f>IF($N60="","",INDEX('Cronograma Asistente Técnico'!$C$5:$C$1000,$N60)&amp;"")</f>
        <v/>
      </c>
      <c r="D60" s="74">
        <f>IF($N60="","",IF(INDEX('Cronograma Asistente Técnico'!$D$5:$D$1000,$N60)="","",INDEX('Cronograma Asistente Técnico'!$D$5:$D$1000,$N60)))</f>
        <v/>
      </c>
      <c r="E60" s="74">
        <f>IF($N60="","",IF(INDEX('Cronograma Asistente Técnico'!$E$5:$E$1000,$N60)="","",INDEX('Cronograma Asistente Técnico'!$E$5:$E$1000,$N60)))</f>
        <v/>
      </c>
      <c r="F60" s="60">
        <f>IF($N60="","",IF(NOT(ISNUMBER($E60)),"",IF($E60&lt;InicioCiclo,"Antes del ciclo",IF($E60&gt;=InicioCiclo+28,"Después del ciclo","Semana "&amp;(INT(($E60-InicioCiclo)/7)+1)))))</f>
        <v/>
      </c>
      <c r="G60" s="65">
        <f>IF($N60="","",IF(INDEX('Cronograma Asistente Técnico'!$G$5:$G$1000,$N60)="","",INDEX('Cronograma Asistente Técnico'!$G$5:$G$1000,$N60)))</f>
        <v/>
      </c>
      <c r="H60" s="65">
        <f>IF($N60="","",IF(INDEX('Cronograma Asistente Técnico'!$H$5:$H$1000,$N60)="","",INDEX('Cronograma Asistente Técnico'!$H$5:$H$1000,$N60)))</f>
        <v/>
      </c>
      <c r="I60" s="65">
        <f>IF($N60="","",IF(INDEX('Cronograma Asistente Técnico'!$I$5:$I$1000,$N60)="","",INDEX('Cronograma Asistente Técnico'!$I$5:$I$1000,$N60)))</f>
        <v/>
      </c>
      <c r="J60" s="65">
        <f>IF($N60="","",IF(INDEX('Cronograma Asistente Técnico'!$J$5:$J$1000,$N60)="","",INDEX('Cronograma Asistente Técnico'!$J$5:$J$1000,$N60)))</f>
        <v/>
      </c>
      <c r="K60" s="65">
        <f>IF($N60="","",INDEX('Cronograma Asistente Técnico'!$K$5:$K$1000,$N60))</f>
        <v/>
      </c>
      <c r="L60" s="60">
        <f>IF($N60="","",IF(N($K60)&gt;=1,"Completado",IF(AND(ISNUMBER($E60),$E60&lt;FechaRef),"Vencida",IF(N($K60)&gt;0,"En curso","Pendiente"))))</f>
        <v/>
      </c>
      <c r="M60" s="68">
        <f>IF($N60="","",INDEX('Cronograma Asistente Técnico'!$M$5:$M$1000,$N60)&amp;"")</f>
        <v/>
      </c>
      <c r="N60">
        <f>IFERROR(MATCH(ROW()-4,rOrden_ATR,0),"")</f>
        <v/>
      </c>
    </row>
    <row r="61">
      <c r="A61" s="60">
        <f>IF($N61="","",INDEX('Cronograma Asistente Técnico'!$A$5:$A$1000,$N61))</f>
        <v/>
      </c>
      <c r="B61" s="68">
        <f>IF($N61="","",INDEX('Cronograma Asistente Técnico'!$B$5:$B$1000,$N61)&amp;"")</f>
        <v/>
      </c>
      <c r="C61" s="68">
        <f>IF($N61="","",INDEX('Cronograma Asistente Técnico'!$C$5:$C$1000,$N61)&amp;"")</f>
        <v/>
      </c>
      <c r="D61" s="74">
        <f>IF($N61="","",IF(INDEX('Cronograma Asistente Técnico'!$D$5:$D$1000,$N61)="","",INDEX('Cronograma Asistente Técnico'!$D$5:$D$1000,$N61)))</f>
        <v/>
      </c>
      <c r="E61" s="74">
        <f>IF($N61="","",IF(INDEX('Cronograma Asistente Técnico'!$E$5:$E$1000,$N61)="","",INDEX('Cronograma Asistente Técnico'!$E$5:$E$1000,$N61)))</f>
        <v/>
      </c>
      <c r="F61" s="60">
        <f>IF($N61="","",IF(NOT(ISNUMBER($E61)),"",IF($E61&lt;InicioCiclo,"Antes del ciclo",IF($E61&gt;=InicioCiclo+28,"Después del ciclo","Semana "&amp;(INT(($E61-InicioCiclo)/7)+1)))))</f>
        <v/>
      </c>
      <c r="G61" s="65">
        <f>IF($N61="","",IF(INDEX('Cronograma Asistente Técnico'!$G$5:$G$1000,$N61)="","",INDEX('Cronograma Asistente Técnico'!$G$5:$G$1000,$N61)))</f>
        <v/>
      </c>
      <c r="H61" s="65">
        <f>IF($N61="","",IF(INDEX('Cronograma Asistente Técnico'!$H$5:$H$1000,$N61)="","",INDEX('Cronograma Asistente Técnico'!$H$5:$H$1000,$N61)))</f>
        <v/>
      </c>
      <c r="I61" s="65">
        <f>IF($N61="","",IF(INDEX('Cronograma Asistente Técnico'!$I$5:$I$1000,$N61)="","",INDEX('Cronograma Asistente Técnico'!$I$5:$I$1000,$N61)))</f>
        <v/>
      </c>
      <c r="J61" s="65">
        <f>IF($N61="","",IF(INDEX('Cronograma Asistente Técnico'!$J$5:$J$1000,$N61)="","",INDEX('Cronograma Asistente Técnico'!$J$5:$J$1000,$N61)))</f>
        <v/>
      </c>
      <c r="K61" s="65">
        <f>IF($N61="","",INDEX('Cronograma Asistente Técnico'!$K$5:$K$1000,$N61))</f>
        <v/>
      </c>
      <c r="L61" s="60">
        <f>IF($N61="","",IF(N($K61)&gt;=1,"Completado",IF(AND(ISNUMBER($E61),$E61&lt;FechaRef),"Vencida",IF(N($K61)&gt;0,"En curso","Pendiente"))))</f>
        <v/>
      </c>
      <c r="M61" s="68">
        <f>IF($N61="","",INDEX('Cronograma Asistente Técnico'!$M$5:$M$1000,$N61)&amp;"")</f>
        <v/>
      </c>
      <c r="N61">
        <f>IFERROR(MATCH(ROW()-4,rOrden_ATR,0),"")</f>
        <v/>
      </c>
    </row>
    <row r="62">
      <c r="A62" s="60">
        <f>IF($N62="","",INDEX('Cronograma Asistente Técnico'!$A$5:$A$1000,$N62))</f>
        <v/>
      </c>
      <c r="B62" s="68">
        <f>IF($N62="","",INDEX('Cronograma Asistente Técnico'!$B$5:$B$1000,$N62)&amp;"")</f>
        <v/>
      </c>
      <c r="C62" s="68">
        <f>IF($N62="","",INDEX('Cronograma Asistente Técnico'!$C$5:$C$1000,$N62)&amp;"")</f>
        <v/>
      </c>
      <c r="D62" s="74">
        <f>IF($N62="","",IF(INDEX('Cronograma Asistente Técnico'!$D$5:$D$1000,$N62)="","",INDEX('Cronograma Asistente Técnico'!$D$5:$D$1000,$N62)))</f>
        <v/>
      </c>
      <c r="E62" s="74">
        <f>IF($N62="","",IF(INDEX('Cronograma Asistente Técnico'!$E$5:$E$1000,$N62)="","",INDEX('Cronograma Asistente Técnico'!$E$5:$E$1000,$N62)))</f>
        <v/>
      </c>
      <c r="F62" s="60">
        <f>IF($N62="","",IF(NOT(ISNUMBER($E62)),"",IF($E62&lt;InicioCiclo,"Antes del ciclo",IF($E62&gt;=InicioCiclo+28,"Después del ciclo","Semana "&amp;(INT(($E62-InicioCiclo)/7)+1)))))</f>
        <v/>
      </c>
      <c r="G62" s="65">
        <f>IF($N62="","",IF(INDEX('Cronograma Asistente Técnico'!$G$5:$G$1000,$N62)="","",INDEX('Cronograma Asistente Técnico'!$G$5:$G$1000,$N62)))</f>
        <v/>
      </c>
      <c r="H62" s="65">
        <f>IF($N62="","",IF(INDEX('Cronograma Asistente Técnico'!$H$5:$H$1000,$N62)="","",INDEX('Cronograma Asistente Técnico'!$H$5:$H$1000,$N62)))</f>
        <v/>
      </c>
      <c r="I62" s="65">
        <f>IF($N62="","",IF(INDEX('Cronograma Asistente Técnico'!$I$5:$I$1000,$N62)="","",INDEX('Cronograma Asistente Técnico'!$I$5:$I$1000,$N62)))</f>
        <v/>
      </c>
      <c r="J62" s="65">
        <f>IF($N62="","",IF(INDEX('Cronograma Asistente Técnico'!$J$5:$J$1000,$N62)="","",INDEX('Cronograma Asistente Técnico'!$J$5:$J$1000,$N62)))</f>
        <v/>
      </c>
      <c r="K62" s="65">
        <f>IF($N62="","",INDEX('Cronograma Asistente Técnico'!$K$5:$K$1000,$N62))</f>
        <v/>
      </c>
      <c r="L62" s="60">
        <f>IF($N62="","",IF(N($K62)&gt;=1,"Completado",IF(AND(ISNUMBER($E62),$E62&lt;FechaRef),"Vencida",IF(N($K62)&gt;0,"En curso","Pendiente"))))</f>
        <v/>
      </c>
      <c r="M62" s="68">
        <f>IF($N62="","",INDEX('Cronograma Asistente Técnico'!$M$5:$M$1000,$N62)&amp;"")</f>
        <v/>
      </c>
      <c r="N62">
        <f>IFERROR(MATCH(ROW()-4,rOrden_ATR,0),"")</f>
        <v/>
      </c>
    </row>
    <row r="63">
      <c r="A63" s="60">
        <f>IF($N63="","",INDEX('Cronograma Asistente Técnico'!$A$5:$A$1000,$N63))</f>
        <v/>
      </c>
      <c r="B63" s="68">
        <f>IF($N63="","",INDEX('Cronograma Asistente Técnico'!$B$5:$B$1000,$N63)&amp;"")</f>
        <v/>
      </c>
      <c r="C63" s="68">
        <f>IF($N63="","",INDEX('Cronograma Asistente Técnico'!$C$5:$C$1000,$N63)&amp;"")</f>
        <v/>
      </c>
      <c r="D63" s="74">
        <f>IF($N63="","",IF(INDEX('Cronograma Asistente Técnico'!$D$5:$D$1000,$N63)="","",INDEX('Cronograma Asistente Técnico'!$D$5:$D$1000,$N63)))</f>
        <v/>
      </c>
      <c r="E63" s="74">
        <f>IF($N63="","",IF(INDEX('Cronograma Asistente Técnico'!$E$5:$E$1000,$N63)="","",INDEX('Cronograma Asistente Técnico'!$E$5:$E$1000,$N63)))</f>
        <v/>
      </c>
      <c r="F63" s="60">
        <f>IF($N63="","",IF(NOT(ISNUMBER($E63)),"",IF($E63&lt;InicioCiclo,"Antes del ciclo",IF($E63&gt;=InicioCiclo+28,"Después del ciclo","Semana "&amp;(INT(($E63-InicioCiclo)/7)+1)))))</f>
        <v/>
      </c>
      <c r="G63" s="65">
        <f>IF($N63="","",IF(INDEX('Cronograma Asistente Técnico'!$G$5:$G$1000,$N63)="","",INDEX('Cronograma Asistente Técnico'!$G$5:$G$1000,$N63)))</f>
        <v/>
      </c>
      <c r="H63" s="65">
        <f>IF($N63="","",IF(INDEX('Cronograma Asistente Técnico'!$H$5:$H$1000,$N63)="","",INDEX('Cronograma Asistente Técnico'!$H$5:$H$1000,$N63)))</f>
        <v/>
      </c>
      <c r="I63" s="65">
        <f>IF($N63="","",IF(INDEX('Cronograma Asistente Técnico'!$I$5:$I$1000,$N63)="","",INDEX('Cronograma Asistente Técnico'!$I$5:$I$1000,$N63)))</f>
        <v/>
      </c>
      <c r="J63" s="65">
        <f>IF($N63="","",IF(INDEX('Cronograma Asistente Técnico'!$J$5:$J$1000,$N63)="","",INDEX('Cronograma Asistente Técnico'!$J$5:$J$1000,$N63)))</f>
        <v/>
      </c>
      <c r="K63" s="65">
        <f>IF($N63="","",INDEX('Cronograma Asistente Técnico'!$K$5:$K$1000,$N63))</f>
        <v/>
      </c>
      <c r="L63" s="60">
        <f>IF($N63="","",IF(N($K63)&gt;=1,"Completado",IF(AND(ISNUMBER($E63),$E63&lt;FechaRef),"Vencida",IF(N($K63)&gt;0,"En curso","Pendiente"))))</f>
        <v/>
      </c>
      <c r="M63" s="68">
        <f>IF($N63="","",INDEX('Cronograma Asistente Técnico'!$M$5:$M$1000,$N63)&amp;"")</f>
        <v/>
      </c>
      <c r="N63">
        <f>IFERROR(MATCH(ROW()-4,rOrden_ATR,0),"")</f>
        <v/>
      </c>
    </row>
    <row r="64">
      <c r="A64" s="60">
        <f>IF($N64="","",INDEX('Cronograma Asistente Técnico'!$A$5:$A$1000,$N64))</f>
        <v/>
      </c>
      <c r="B64" s="68">
        <f>IF($N64="","",INDEX('Cronograma Asistente Técnico'!$B$5:$B$1000,$N64)&amp;"")</f>
        <v/>
      </c>
      <c r="C64" s="68">
        <f>IF($N64="","",INDEX('Cronograma Asistente Técnico'!$C$5:$C$1000,$N64)&amp;"")</f>
        <v/>
      </c>
      <c r="D64" s="74">
        <f>IF($N64="","",IF(INDEX('Cronograma Asistente Técnico'!$D$5:$D$1000,$N64)="","",INDEX('Cronograma Asistente Técnico'!$D$5:$D$1000,$N64)))</f>
        <v/>
      </c>
      <c r="E64" s="74">
        <f>IF($N64="","",IF(INDEX('Cronograma Asistente Técnico'!$E$5:$E$1000,$N64)="","",INDEX('Cronograma Asistente Técnico'!$E$5:$E$1000,$N64)))</f>
        <v/>
      </c>
      <c r="F64" s="60">
        <f>IF($N64="","",IF(NOT(ISNUMBER($E64)),"",IF($E64&lt;InicioCiclo,"Antes del ciclo",IF($E64&gt;=InicioCiclo+28,"Después del ciclo","Semana "&amp;(INT(($E64-InicioCiclo)/7)+1)))))</f>
        <v/>
      </c>
      <c r="G64" s="65">
        <f>IF($N64="","",IF(INDEX('Cronograma Asistente Técnico'!$G$5:$G$1000,$N64)="","",INDEX('Cronograma Asistente Técnico'!$G$5:$G$1000,$N64)))</f>
        <v/>
      </c>
      <c r="H64" s="65">
        <f>IF($N64="","",IF(INDEX('Cronograma Asistente Técnico'!$H$5:$H$1000,$N64)="","",INDEX('Cronograma Asistente Técnico'!$H$5:$H$1000,$N64)))</f>
        <v/>
      </c>
      <c r="I64" s="65">
        <f>IF($N64="","",IF(INDEX('Cronograma Asistente Técnico'!$I$5:$I$1000,$N64)="","",INDEX('Cronograma Asistente Técnico'!$I$5:$I$1000,$N64)))</f>
        <v/>
      </c>
      <c r="J64" s="65">
        <f>IF($N64="","",IF(INDEX('Cronograma Asistente Técnico'!$J$5:$J$1000,$N64)="","",INDEX('Cronograma Asistente Técnico'!$J$5:$J$1000,$N64)))</f>
        <v/>
      </c>
      <c r="K64" s="65">
        <f>IF($N64="","",INDEX('Cronograma Asistente Técnico'!$K$5:$K$1000,$N64))</f>
        <v/>
      </c>
      <c r="L64" s="60">
        <f>IF($N64="","",IF(N($K64)&gt;=1,"Completado",IF(AND(ISNUMBER($E64),$E64&lt;FechaRef),"Vencida",IF(N($K64)&gt;0,"En curso","Pendiente"))))</f>
        <v/>
      </c>
      <c r="M64" s="68">
        <f>IF($N64="","",INDEX('Cronograma Asistente Técnico'!$M$5:$M$1000,$N64)&amp;"")</f>
        <v/>
      </c>
      <c r="N64">
        <f>IFERROR(MATCH(ROW()-4,rOrden_ATR,0),"")</f>
        <v/>
      </c>
    </row>
    <row r="65">
      <c r="A65" s="60">
        <f>IF($N65="","",INDEX('Cronograma Asistente Técnico'!$A$5:$A$1000,$N65))</f>
        <v/>
      </c>
      <c r="B65" s="68">
        <f>IF($N65="","",INDEX('Cronograma Asistente Técnico'!$B$5:$B$1000,$N65)&amp;"")</f>
        <v/>
      </c>
      <c r="C65" s="68">
        <f>IF($N65="","",INDEX('Cronograma Asistente Técnico'!$C$5:$C$1000,$N65)&amp;"")</f>
        <v/>
      </c>
      <c r="D65" s="74">
        <f>IF($N65="","",IF(INDEX('Cronograma Asistente Técnico'!$D$5:$D$1000,$N65)="","",INDEX('Cronograma Asistente Técnico'!$D$5:$D$1000,$N65)))</f>
        <v/>
      </c>
      <c r="E65" s="74">
        <f>IF($N65="","",IF(INDEX('Cronograma Asistente Técnico'!$E$5:$E$1000,$N65)="","",INDEX('Cronograma Asistente Técnico'!$E$5:$E$1000,$N65)))</f>
        <v/>
      </c>
      <c r="F65" s="60">
        <f>IF($N65="","",IF(NOT(ISNUMBER($E65)),"",IF($E65&lt;InicioCiclo,"Antes del ciclo",IF($E65&gt;=InicioCiclo+28,"Después del ciclo","Semana "&amp;(INT(($E65-InicioCiclo)/7)+1)))))</f>
        <v/>
      </c>
      <c r="G65" s="65">
        <f>IF($N65="","",IF(INDEX('Cronograma Asistente Técnico'!$G$5:$G$1000,$N65)="","",INDEX('Cronograma Asistente Técnico'!$G$5:$G$1000,$N65)))</f>
        <v/>
      </c>
      <c r="H65" s="65">
        <f>IF($N65="","",IF(INDEX('Cronograma Asistente Técnico'!$H$5:$H$1000,$N65)="","",INDEX('Cronograma Asistente Técnico'!$H$5:$H$1000,$N65)))</f>
        <v/>
      </c>
      <c r="I65" s="65">
        <f>IF($N65="","",IF(INDEX('Cronograma Asistente Técnico'!$I$5:$I$1000,$N65)="","",INDEX('Cronograma Asistente Técnico'!$I$5:$I$1000,$N65)))</f>
        <v/>
      </c>
      <c r="J65" s="65">
        <f>IF($N65="","",IF(INDEX('Cronograma Asistente Técnico'!$J$5:$J$1000,$N65)="","",INDEX('Cronograma Asistente Técnico'!$J$5:$J$1000,$N65)))</f>
        <v/>
      </c>
      <c r="K65" s="65">
        <f>IF($N65="","",INDEX('Cronograma Asistente Técnico'!$K$5:$K$1000,$N65))</f>
        <v/>
      </c>
      <c r="L65" s="60">
        <f>IF($N65="","",IF(N($K65)&gt;=1,"Completado",IF(AND(ISNUMBER($E65),$E65&lt;FechaRef),"Vencida",IF(N($K65)&gt;0,"En curso","Pendiente"))))</f>
        <v/>
      </c>
      <c r="M65" s="68">
        <f>IF($N65="","",INDEX('Cronograma Asistente Técnico'!$M$5:$M$1000,$N65)&amp;"")</f>
        <v/>
      </c>
      <c r="N65">
        <f>IFERROR(MATCH(ROW()-4,rOrden_ATR,0),"")</f>
        <v/>
      </c>
    </row>
    <row r="66">
      <c r="A66" s="60">
        <f>IF($N66="","",INDEX('Cronograma Asistente Técnico'!$A$5:$A$1000,$N66))</f>
        <v/>
      </c>
      <c r="B66" s="68">
        <f>IF($N66="","",INDEX('Cronograma Asistente Técnico'!$B$5:$B$1000,$N66)&amp;"")</f>
        <v/>
      </c>
      <c r="C66" s="68">
        <f>IF($N66="","",INDEX('Cronograma Asistente Técnico'!$C$5:$C$1000,$N66)&amp;"")</f>
        <v/>
      </c>
      <c r="D66" s="74">
        <f>IF($N66="","",IF(INDEX('Cronograma Asistente Técnico'!$D$5:$D$1000,$N66)="","",INDEX('Cronograma Asistente Técnico'!$D$5:$D$1000,$N66)))</f>
        <v/>
      </c>
      <c r="E66" s="74">
        <f>IF($N66="","",IF(INDEX('Cronograma Asistente Técnico'!$E$5:$E$1000,$N66)="","",INDEX('Cronograma Asistente Técnico'!$E$5:$E$1000,$N66)))</f>
        <v/>
      </c>
      <c r="F66" s="60">
        <f>IF($N66="","",IF(NOT(ISNUMBER($E66)),"",IF($E66&lt;InicioCiclo,"Antes del ciclo",IF($E66&gt;=InicioCiclo+28,"Después del ciclo","Semana "&amp;(INT(($E66-InicioCiclo)/7)+1)))))</f>
        <v/>
      </c>
      <c r="G66" s="65">
        <f>IF($N66="","",IF(INDEX('Cronograma Asistente Técnico'!$G$5:$G$1000,$N66)="","",INDEX('Cronograma Asistente Técnico'!$G$5:$G$1000,$N66)))</f>
        <v/>
      </c>
      <c r="H66" s="65">
        <f>IF($N66="","",IF(INDEX('Cronograma Asistente Técnico'!$H$5:$H$1000,$N66)="","",INDEX('Cronograma Asistente Técnico'!$H$5:$H$1000,$N66)))</f>
        <v/>
      </c>
      <c r="I66" s="65">
        <f>IF($N66="","",IF(INDEX('Cronograma Asistente Técnico'!$I$5:$I$1000,$N66)="","",INDEX('Cronograma Asistente Técnico'!$I$5:$I$1000,$N66)))</f>
        <v/>
      </c>
      <c r="J66" s="65">
        <f>IF($N66="","",IF(INDEX('Cronograma Asistente Técnico'!$J$5:$J$1000,$N66)="","",INDEX('Cronograma Asistente Técnico'!$J$5:$J$1000,$N66)))</f>
        <v/>
      </c>
      <c r="K66" s="65">
        <f>IF($N66="","",INDEX('Cronograma Asistente Técnico'!$K$5:$K$1000,$N66))</f>
        <v/>
      </c>
      <c r="L66" s="60">
        <f>IF($N66="","",IF(N($K66)&gt;=1,"Completado",IF(AND(ISNUMBER($E66),$E66&lt;FechaRef),"Vencida",IF(N($K66)&gt;0,"En curso","Pendiente"))))</f>
        <v/>
      </c>
      <c r="M66" s="68">
        <f>IF($N66="","",INDEX('Cronograma Asistente Técnico'!$M$5:$M$1000,$N66)&amp;"")</f>
        <v/>
      </c>
      <c r="N66">
        <f>IFERROR(MATCH(ROW()-4,rOrden_ATR,0),"")</f>
        <v/>
      </c>
    </row>
    <row r="67">
      <c r="A67" s="60">
        <f>IF($N67="","",INDEX('Cronograma Asistente Técnico'!$A$5:$A$1000,$N67))</f>
        <v/>
      </c>
      <c r="B67" s="68">
        <f>IF($N67="","",INDEX('Cronograma Asistente Técnico'!$B$5:$B$1000,$N67)&amp;"")</f>
        <v/>
      </c>
      <c r="C67" s="68">
        <f>IF($N67="","",INDEX('Cronograma Asistente Técnico'!$C$5:$C$1000,$N67)&amp;"")</f>
        <v/>
      </c>
      <c r="D67" s="74">
        <f>IF($N67="","",IF(INDEX('Cronograma Asistente Técnico'!$D$5:$D$1000,$N67)="","",INDEX('Cronograma Asistente Técnico'!$D$5:$D$1000,$N67)))</f>
        <v/>
      </c>
      <c r="E67" s="74">
        <f>IF($N67="","",IF(INDEX('Cronograma Asistente Técnico'!$E$5:$E$1000,$N67)="","",INDEX('Cronograma Asistente Técnico'!$E$5:$E$1000,$N67)))</f>
        <v/>
      </c>
      <c r="F67" s="60">
        <f>IF($N67="","",IF(NOT(ISNUMBER($E67)),"",IF($E67&lt;InicioCiclo,"Antes del ciclo",IF($E67&gt;=InicioCiclo+28,"Después del ciclo","Semana "&amp;(INT(($E67-InicioCiclo)/7)+1)))))</f>
        <v/>
      </c>
      <c r="G67" s="65">
        <f>IF($N67="","",IF(INDEX('Cronograma Asistente Técnico'!$G$5:$G$1000,$N67)="","",INDEX('Cronograma Asistente Técnico'!$G$5:$G$1000,$N67)))</f>
        <v/>
      </c>
      <c r="H67" s="65">
        <f>IF($N67="","",IF(INDEX('Cronograma Asistente Técnico'!$H$5:$H$1000,$N67)="","",INDEX('Cronograma Asistente Técnico'!$H$5:$H$1000,$N67)))</f>
        <v/>
      </c>
      <c r="I67" s="65">
        <f>IF($N67="","",IF(INDEX('Cronograma Asistente Técnico'!$I$5:$I$1000,$N67)="","",INDEX('Cronograma Asistente Técnico'!$I$5:$I$1000,$N67)))</f>
        <v/>
      </c>
      <c r="J67" s="65">
        <f>IF($N67="","",IF(INDEX('Cronograma Asistente Técnico'!$J$5:$J$1000,$N67)="","",INDEX('Cronograma Asistente Técnico'!$J$5:$J$1000,$N67)))</f>
        <v/>
      </c>
      <c r="K67" s="65">
        <f>IF($N67="","",INDEX('Cronograma Asistente Técnico'!$K$5:$K$1000,$N67))</f>
        <v/>
      </c>
      <c r="L67" s="60">
        <f>IF($N67="","",IF(N($K67)&gt;=1,"Completado",IF(AND(ISNUMBER($E67),$E67&lt;FechaRef),"Vencida",IF(N($K67)&gt;0,"En curso","Pendiente"))))</f>
        <v/>
      </c>
      <c r="M67" s="68">
        <f>IF($N67="","",INDEX('Cronograma Asistente Técnico'!$M$5:$M$1000,$N67)&amp;"")</f>
        <v/>
      </c>
      <c r="N67">
        <f>IFERROR(MATCH(ROW()-4,rOrden_ATR,0),"")</f>
        <v/>
      </c>
    </row>
    <row r="68">
      <c r="A68" s="60">
        <f>IF($N68="","",INDEX('Cronograma Asistente Técnico'!$A$5:$A$1000,$N68))</f>
        <v/>
      </c>
      <c r="B68" s="68">
        <f>IF($N68="","",INDEX('Cronograma Asistente Técnico'!$B$5:$B$1000,$N68)&amp;"")</f>
        <v/>
      </c>
      <c r="C68" s="68">
        <f>IF($N68="","",INDEX('Cronograma Asistente Técnico'!$C$5:$C$1000,$N68)&amp;"")</f>
        <v/>
      </c>
      <c r="D68" s="74">
        <f>IF($N68="","",IF(INDEX('Cronograma Asistente Técnico'!$D$5:$D$1000,$N68)="","",INDEX('Cronograma Asistente Técnico'!$D$5:$D$1000,$N68)))</f>
        <v/>
      </c>
      <c r="E68" s="74">
        <f>IF($N68="","",IF(INDEX('Cronograma Asistente Técnico'!$E$5:$E$1000,$N68)="","",INDEX('Cronograma Asistente Técnico'!$E$5:$E$1000,$N68)))</f>
        <v/>
      </c>
      <c r="F68" s="60">
        <f>IF($N68="","",IF(NOT(ISNUMBER($E68)),"",IF($E68&lt;InicioCiclo,"Antes del ciclo",IF($E68&gt;=InicioCiclo+28,"Después del ciclo","Semana "&amp;(INT(($E68-InicioCiclo)/7)+1)))))</f>
        <v/>
      </c>
      <c r="G68" s="65">
        <f>IF($N68="","",IF(INDEX('Cronograma Asistente Técnico'!$G$5:$G$1000,$N68)="","",INDEX('Cronograma Asistente Técnico'!$G$5:$G$1000,$N68)))</f>
        <v/>
      </c>
      <c r="H68" s="65">
        <f>IF($N68="","",IF(INDEX('Cronograma Asistente Técnico'!$H$5:$H$1000,$N68)="","",INDEX('Cronograma Asistente Técnico'!$H$5:$H$1000,$N68)))</f>
        <v/>
      </c>
      <c r="I68" s="65">
        <f>IF($N68="","",IF(INDEX('Cronograma Asistente Técnico'!$I$5:$I$1000,$N68)="","",INDEX('Cronograma Asistente Técnico'!$I$5:$I$1000,$N68)))</f>
        <v/>
      </c>
      <c r="J68" s="65">
        <f>IF($N68="","",IF(INDEX('Cronograma Asistente Técnico'!$J$5:$J$1000,$N68)="","",INDEX('Cronograma Asistente Técnico'!$J$5:$J$1000,$N68)))</f>
        <v/>
      </c>
      <c r="K68" s="65">
        <f>IF($N68="","",INDEX('Cronograma Asistente Técnico'!$K$5:$K$1000,$N68))</f>
        <v/>
      </c>
      <c r="L68" s="60">
        <f>IF($N68="","",IF(N($K68)&gt;=1,"Completado",IF(AND(ISNUMBER($E68),$E68&lt;FechaRef),"Vencida",IF(N($K68)&gt;0,"En curso","Pendiente"))))</f>
        <v/>
      </c>
      <c r="M68" s="68">
        <f>IF($N68="","",INDEX('Cronograma Asistente Técnico'!$M$5:$M$1000,$N68)&amp;"")</f>
        <v/>
      </c>
      <c r="N68">
        <f>IFERROR(MATCH(ROW()-4,rOrden_ATR,0),"")</f>
        <v/>
      </c>
    </row>
    <row r="69">
      <c r="A69" s="60">
        <f>IF($N69="","",INDEX('Cronograma Asistente Técnico'!$A$5:$A$1000,$N69))</f>
        <v/>
      </c>
      <c r="B69" s="68">
        <f>IF($N69="","",INDEX('Cronograma Asistente Técnico'!$B$5:$B$1000,$N69)&amp;"")</f>
        <v/>
      </c>
      <c r="C69" s="68">
        <f>IF($N69="","",INDEX('Cronograma Asistente Técnico'!$C$5:$C$1000,$N69)&amp;"")</f>
        <v/>
      </c>
      <c r="D69" s="74">
        <f>IF($N69="","",IF(INDEX('Cronograma Asistente Técnico'!$D$5:$D$1000,$N69)="","",INDEX('Cronograma Asistente Técnico'!$D$5:$D$1000,$N69)))</f>
        <v/>
      </c>
      <c r="E69" s="74">
        <f>IF($N69="","",IF(INDEX('Cronograma Asistente Técnico'!$E$5:$E$1000,$N69)="","",INDEX('Cronograma Asistente Técnico'!$E$5:$E$1000,$N69)))</f>
        <v/>
      </c>
      <c r="F69" s="60">
        <f>IF($N69="","",IF(NOT(ISNUMBER($E69)),"",IF($E69&lt;InicioCiclo,"Antes del ciclo",IF($E69&gt;=InicioCiclo+28,"Después del ciclo","Semana "&amp;(INT(($E69-InicioCiclo)/7)+1)))))</f>
        <v/>
      </c>
      <c r="G69" s="65">
        <f>IF($N69="","",IF(INDEX('Cronograma Asistente Técnico'!$G$5:$G$1000,$N69)="","",INDEX('Cronograma Asistente Técnico'!$G$5:$G$1000,$N69)))</f>
        <v/>
      </c>
      <c r="H69" s="65">
        <f>IF($N69="","",IF(INDEX('Cronograma Asistente Técnico'!$H$5:$H$1000,$N69)="","",INDEX('Cronograma Asistente Técnico'!$H$5:$H$1000,$N69)))</f>
        <v/>
      </c>
      <c r="I69" s="65">
        <f>IF($N69="","",IF(INDEX('Cronograma Asistente Técnico'!$I$5:$I$1000,$N69)="","",INDEX('Cronograma Asistente Técnico'!$I$5:$I$1000,$N69)))</f>
        <v/>
      </c>
      <c r="J69" s="65">
        <f>IF($N69="","",IF(INDEX('Cronograma Asistente Técnico'!$J$5:$J$1000,$N69)="","",INDEX('Cronograma Asistente Técnico'!$J$5:$J$1000,$N69)))</f>
        <v/>
      </c>
      <c r="K69" s="65">
        <f>IF($N69="","",INDEX('Cronograma Asistente Técnico'!$K$5:$K$1000,$N69))</f>
        <v/>
      </c>
      <c r="L69" s="60">
        <f>IF($N69="","",IF(N($K69)&gt;=1,"Completado",IF(AND(ISNUMBER($E69),$E69&lt;FechaRef),"Vencida",IF(N($K69)&gt;0,"En curso","Pendiente"))))</f>
        <v/>
      </c>
      <c r="M69" s="68">
        <f>IF($N69="","",INDEX('Cronograma Asistente Técnico'!$M$5:$M$1000,$N69)&amp;"")</f>
        <v/>
      </c>
      <c r="N69">
        <f>IFERROR(MATCH(ROW()-4,rOrden_ATR,0),"")</f>
        <v/>
      </c>
    </row>
    <row r="70">
      <c r="A70" s="60">
        <f>IF($N70="","",INDEX('Cronograma Asistente Técnico'!$A$5:$A$1000,$N70))</f>
        <v/>
      </c>
      <c r="B70" s="68">
        <f>IF($N70="","",INDEX('Cronograma Asistente Técnico'!$B$5:$B$1000,$N70)&amp;"")</f>
        <v/>
      </c>
      <c r="C70" s="68">
        <f>IF($N70="","",INDEX('Cronograma Asistente Técnico'!$C$5:$C$1000,$N70)&amp;"")</f>
        <v/>
      </c>
      <c r="D70" s="74">
        <f>IF($N70="","",IF(INDEX('Cronograma Asistente Técnico'!$D$5:$D$1000,$N70)="","",INDEX('Cronograma Asistente Técnico'!$D$5:$D$1000,$N70)))</f>
        <v/>
      </c>
      <c r="E70" s="74">
        <f>IF($N70="","",IF(INDEX('Cronograma Asistente Técnico'!$E$5:$E$1000,$N70)="","",INDEX('Cronograma Asistente Técnico'!$E$5:$E$1000,$N70)))</f>
        <v/>
      </c>
      <c r="F70" s="60">
        <f>IF($N70="","",IF(NOT(ISNUMBER($E70)),"",IF($E70&lt;InicioCiclo,"Antes del ciclo",IF($E70&gt;=InicioCiclo+28,"Después del ciclo","Semana "&amp;(INT(($E70-InicioCiclo)/7)+1)))))</f>
        <v/>
      </c>
      <c r="G70" s="65">
        <f>IF($N70="","",IF(INDEX('Cronograma Asistente Técnico'!$G$5:$G$1000,$N70)="","",INDEX('Cronograma Asistente Técnico'!$G$5:$G$1000,$N70)))</f>
        <v/>
      </c>
      <c r="H70" s="65">
        <f>IF($N70="","",IF(INDEX('Cronograma Asistente Técnico'!$H$5:$H$1000,$N70)="","",INDEX('Cronograma Asistente Técnico'!$H$5:$H$1000,$N70)))</f>
        <v/>
      </c>
      <c r="I70" s="65">
        <f>IF($N70="","",IF(INDEX('Cronograma Asistente Técnico'!$I$5:$I$1000,$N70)="","",INDEX('Cronograma Asistente Técnico'!$I$5:$I$1000,$N70)))</f>
        <v/>
      </c>
      <c r="J70" s="65">
        <f>IF($N70="","",IF(INDEX('Cronograma Asistente Técnico'!$J$5:$J$1000,$N70)="","",INDEX('Cronograma Asistente Técnico'!$J$5:$J$1000,$N70)))</f>
        <v/>
      </c>
      <c r="K70" s="65">
        <f>IF($N70="","",INDEX('Cronograma Asistente Técnico'!$K$5:$K$1000,$N70))</f>
        <v/>
      </c>
      <c r="L70" s="60">
        <f>IF($N70="","",IF(N($K70)&gt;=1,"Completado",IF(AND(ISNUMBER($E70),$E70&lt;FechaRef),"Vencida",IF(N($K70)&gt;0,"En curso","Pendiente"))))</f>
        <v/>
      </c>
      <c r="M70" s="68">
        <f>IF($N70="","",INDEX('Cronograma Asistente Técnico'!$M$5:$M$1000,$N70)&amp;"")</f>
        <v/>
      </c>
      <c r="N70">
        <f>IFERROR(MATCH(ROW()-4,rOrden_ATR,0),"")</f>
        <v/>
      </c>
    </row>
    <row r="71">
      <c r="A71" s="60">
        <f>IF($N71="","",INDEX('Cronograma Asistente Técnico'!$A$5:$A$1000,$N71))</f>
        <v/>
      </c>
      <c r="B71" s="68">
        <f>IF($N71="","",INDEX('Cronograma Asistente Técnico'!$B$5:$B$1000,$N71)&amp;"")</f>
        <v/>
      </c>
      <c r="C71" s="68">
        <f>IF($N71="","",INDEX('Cronograma Asistente Técnico'!$C$5:$C$1000,$N71)&amp;"")</f>
        <v/>
      </c>
      <c r="D71" s="74">
        <f>IF($N71="","",IF(INDEX('Cronograma Asistente Técnico'!$D$5:$D$1000,$N71)="","",INDEX('Cronograma Asistente Técnico'!$D$5:$D$1000,$N71)))</f>
        <v/>
      </c>
      <c r="E71" s="74">
        <f>IF($N71="","",IF(INDEX('Cronograma Asistente Técnico'!$E$5:$E$1000,$N71)="","",INDEX('Cronograma Asistente Técnico'!$E$5:$E$1000,$N71)))</f>
        <v/>
      </c>
      <c r="F71" s="60">
        <f>IF($N71="","",IF(NOT(ISNUMBER($E71)),"",IF($E71&lt;InicioCiclo,"Antes del ciclo",IF($E71&gt;=InicioCiclo+28,"Después del ciclo","Semana "&amp;(INT(($E71-InicioCiclo)/7)+1)))))</f>
        <v/>
      </c>
      <c r="G71" s="65">
        <f>IF($N71="","",IF(INDEX('Cronograma Asistente Técnico'!$G$5:$G$1000,$N71)="","",INDEX('Cronograma Asistente Técnico'!$G$5:$G$1000,$N71)))</f>
        <v/>
      </c>
      <c r="H71" s="65">
        <f>IF($N71="","",IF(INDEX('Cronograma Asistente Técnico'!$H$5:$H$1000,$N71)="","",INDEX('Cronograma Asistente Técnico'!$H$5:$H$1000,$N71)))</f>
        <v/>
      </c>
      <c r="I71" s="65">
        <f>IF($N71="","",IF(INDEX('Cronograma Asistente Técnico'!$I$5:$I$1000,$N71)="","",INDEX('Cronograma Asistente Técnico'!$I$5:$I$1000,$N71)))</f>
        <v/>
      </c>
      <c r="J71" s="65">
        <f>IF($N71="","",IF(INDEX('Cronograma Asistente Técnico'!$J$5:$J$1000,$N71)="","",INDEX('Cronograma Asistente Técnico'!$J$5:$J$1000,$N71)))</f>
        <v/>
      </c>
      <c r="K71" s="65">
        <f>IF($N71="","",INDEX('Cronograma Asistente Técnico'!$K$5:$K$1000,$N71))</f>
        <v/>
      </c>
      <c r="L71" s="60">
        <f>IF($N71="","",IF(N($K71)&gt;=1,"Completado",IF(AND(ISNUMBER($E71),$E71&lt;FechaRef),"Vencida",IF(N($K71)&gt;0,"En curso","Pendiente"))))</f>
        <v/>
      </c>
      <c r="M71" s="68">
        <f>IF($N71="","",INDEX('Cronograma Asistente Técnico'!$M$5:$M$1000,$N71)&amp;"")</f>
        <v/>
      </c>
      <c r="N71">
        <f>IFERROR(MATCH(ROW()-4,rOrden_ATR,0),"")</f>
        <v/>
      </c>
    </row>
    <row r="72">
      <c r="A72" s="60">
        <f>IF($N72="","",INDEX('Cronograma Asistente Técnico'!$A$5:$A$1000,$N72))</f>
        <v/>
      </c>
      <c r="B72" s="68">
        <f>IF($N72="","",INDEX('Cronograma Asistente Técnico'!$B$5:$B$1000,$N72)&amp;"")</f>
        <v/>
      </c>
      <c r="C72" s="68">
        <f>IF($N72="","",INDEX('Cronograma Asistente Técnico'!$C$5:$C$1000,$N72)&amp;"")</f>
        <v/>
      </c>
      <c r="D72" s="74">
        <f>IF($N72="","",IF(INDEX('Cronograma Asistente Técnico'!$D$5:$D$1000,$N72)="","",INDEX('Cronograma Asistente Técnico'!$D$5:$D$1000,$N72)))</f>
        <v/>
      </c>
      <c r="E72" s="74">
        <f>IF($N72="","",IF(INDEX('Cronograma Asistente Técnico'!$E$5:$E$1000,$N72)="","",INDEX('Cronograma Asistente Técnico'!$E$5:$E$1000,$N72)))</f>
        <v/>
      </c>
      <c r="F72" s="60">
        <f>IF($N72="","",IF(NOT(ISNUMBER($E72)),"",IF($E72&lt;InicioCiclo,"Antes del ciclo",IF($E72&gt;=InicioCiclo+28,"Después del ciclo","Semana "&amp;(INT(($E72-InicioCiclo)/7)+1)))))</f>
        <v/>
      </c>
      <c r="G72" s="65">
        <f>IF($N72="","",IF(INDEX('Cronograma Asistente Técnico'!$G$5:$G$1000,$N72)="","",INDEX('Cronograma Asistente Técnico'!$G$5:$G$1000,$N72)))</f>
        <v/>
      </c>
      <c r="H72" s="65">
        <f>IF($N72="","",IF(INDEX('Cronograma Asistente Técnico'!$H$5:$H$1000,$N72)="","",INDEX('Cronograma Asistente Técnico'!$H$5:$H$1000,$N72)))</f>
        <v/>
      </c>
      <c r="I72" s="65">
        <f>IF($N72="","",IF(INDEX('Cronograma Asistente Técnico'!$I$5:$I$1000,$N72)="","",INDEX('Cronograma Asistente Técnico'!$I$5:$I$1000,$N72)))</f>
        <v/>
      </c>
      <c r="J72" s="65">
        <f>IF($N72="","",IF(INDEX('Cronograma Asistente Técnico'!$J$5:$J$1000,$N72)="","",INDEX('Cronograma Asistente Técnico'!$J$5:$J$1000,$N72)))</f>
        <v/>
      </c>
      <c r="K72" s="65">
        <f>IF($N72="","",INDEX('Cronograma Asistente Técnico'!$K$5:$K$1000,$N72))</f>
        <v/>
      </c>
      <c r="L72" s="60">
        <f>IF($N72="","",IF(N($K72)&gt;=1,"Completado",IF(AND(ISNUMBER($E72),$E72&lt;FechaRef),"Vencida",IF(N($K72)&gt;0,"En curso","Pendiente"))))</f>
        <v/>
      </c>
      <c r="M72" s="68">
        <f>IF($N72="","",INDEX('Cronograma Asistente Técnico'!$M$5:$M$1000,$N72)&amp;"")</f>
        <v/>
      </c>
      <c r="N72">
        <f>IFERROR(MATCH(ROW()-4,rOrden_ATR,0),"")</f>
        <v/>
      </c>
    </row>
    <row r="73">
      <c r="A73" s="60">
        <f>IF($N73="","",INDEX('Cronograma Asistente Técnico'!$A$5:$A$1000,$N73))</f>
        <v/>
      </c>
      <c r="B73" s="68">
        <f>IF($N73="","",INDEX('Cronograma Asistente Técnico'!$B$5:$B$1000,$N73)&amp;"")</f>
        <v/>
      </c>
      <c r="C73" s="68">
        <f>IF($N73="","",INDEX('Cronograma Asistente Técnico'!$C$5:$C$1000,$N73)&amp;"")</f>
        <v/>
      </c>
      <c r="D73" s="74">
        <f>IF($N73="","",IF(INDEX('Cronograma Asistente Técnico'!$D$5:$D$1000,$N73)="","",INDEX('Cronograma Asistente Técnico'!$D$5:$D$1000,$N73)))</f>
        <v/>
      </c>
      <c r="E73" s="74">
        <f>IF($N73="","",IF(INDEX('Cronograma Asistente Técnico'!$E$5:$E$1000,$N73)="","",INDEX('Cronograma Asistente Técnico'!$E$5:$E$1000,$N73)))</f>
        <v/>
      </c>
      <c r="F73" s="60">
        <f>IF($N73="","",IF(NOT(ISNUMBER($E73)),"",IF($E73&lt;InicioCiclo,"Antes del ciclo",IF($E73&gt;=InicioCiclo+28,"Después del ciclo","Semana "&amp;(INT(($E73-InicioCiclo)/7)+1)))))</f>
        <v/>
      </c>
      <c r="G73" s="65">
        <f>IF($N73="","",IF(INDEX('Cronograma Asistente Técnico'!$G$5:$G$1000,$N73)="","",INDEX('Cronograma Asistente Técnico'!$G$5:$G$1000,$N73)))</f>
        <v/>
      </c>
      <c r="H73" s="65">
        <f>IF($N73="","",IF(INDEX('Cronograma Asistente Técnico'!$H$5:$H$1000,$N73)="","",INDEX('Cronograma Asistente Técnico'!$H$5:$H$1000,$N73)))</f>
        <v/>
      </c>
      <c r="I73" s="65">
        <f>IF($N73="","",IF(INDEX('Cronograma Asistente Técnico'!$I$5:$I$1000,$N73)="","",INDEX('Cronograma Asistente Técnico'!$I$5:$I$1000,$N73)))</f>
        <v/>
      </c>
      <c r="J73" s="65">
        <f>IF($N73="","",IF(INDEX('Cronograma Asistente Técnico'!$J$5:$J$1000,$N73)="","",INDEX('Cronograma Asistente Técnico'!$J$5:$J$1000,$N73)))</f>
        <v/>
      </c>
      <c r="K73" s="65">
        <f>IF($N73="","",INDEX('Cronograma Asistente Técnico'!$K$5:$K$1000,$N73))</f>
        <v/>
      </c>
      <c r="L73" s="60">
        <f>IF($N73="","",IF(N($K73)&gt;=1,"Completado",IF(AND(ISNUMBER($E73),$E73&lt;FechaRef),"Vencida",IF(N($K73)&gt;0,"En curso","Pendiente"))))</f>
        <v/>
      </c>
      <c r="M73" s="68">
        <f>IF($N73="","",INDEX('Cronograma Asistente Técnico'!$M$5:$M$1000,$N73)&amp;"")</f>
        <v/>
      </c>
      <c r="N73">
        <f>IFERROR(MATCH(ROW()-4,rOrden_ATR,0),"")</f>
        <v/>
      </c>
    </row>
    <row r="74">
      <c r="A74" s="60">
        <f>IF($N74="","",INDEX('Cronograma Asistente Técnico'!$A$5:$A$1000,$N74))</f>
        <v/>
      </c>
      <c r="B74" s="68">
        <f>IF($N74="","",INDEX('Cronograma Asistente Técnico'!$B$5:$B$1000,$N74)&amp;"")</f>
        <v/>
      </c>
      <c r="C74" s="68">
        <f>IF($N74="","",INDEX('Cronograma Asistente Técnico'!$C$5:$C$1000,$N74)&amp;"")</f>
        <v/>
      </c>
      <c r="D74" s="74">
        <f>IF($N74="","",IF(INDEX('Cronograma Asistente Técnico'!$D$5:$D$1000,$N74)="","",INDEX('Cronograma Asistente Técnico'!$D$5:$D$1000,$N74)))</f>
        <v/>
      </c>
      <c r="E74" s="74">
        <f>IF($N74="","",IF(INDEX('Cronograma Asistente Técnico'!$E$5:$E$1000,$N74)="","",INDEX('Cronograma Asistente Técnico'!$E$5:$E$1000,$N74)))</f>
        <v/>
      </c>
      <c r="F74" s="60">
        <f>IF($N74="","",IF(NOT(ISNUMBER($E74)),"",IF($E74&lt;InicioCiclo,"Antes del ciclo",IF($E74&gt;=InicioCiclo+28,"Después del ciclo","Semana "&amp;(INT(($E74-InicioCiclo)/7)+1)))))</f>
        <v/>
      </c>
      <c r="G74" s="65">
        <f>IF($N74="","",IF(INDEX('Cronograma Asistente Técnico'!$G$5:$G$1000,$N74)="","",INDEX('Cronograma Asistente Técnico'!$G$5:$G$1000,$N74)))</f>
        <v/>
      </c>
      <c r="H74" s="65">
        <f>IF($N74="","",IF(INDEX('Cronograma Asistente Técnico'!$H$5:$H$1000,$N74)="","",INDEX('Cronograma Asistente Técnico'!$H$5:$H$1000,$N74)))</f>
        <v/>
      </c>
      <c r="I74" s="65">
        <f>IF($N74="","",IF(INDEX('Cronograma Asistente Técnico'!$I$5:$I$1000,$N74)="","",INDEX('Cronograma Asistente Técnico'!$I$5:$I$1000,$N74)))</f>
        <v/>
      </c>
      <c r="J74" s="65">
        <f>IF($N74="","",IF(INDEX('Cronograma Asistente Técnico'!$J$5:$J$1000,$N74)="","",INDEX('Cronograma Asistente Técnico'!$J$5:$J$1000,$N74)))</f>
        <v/>
      </c>
      <c r="K74" s="65">
        <f>IF($N74="","",INDEX('Cronograma Asistente Técnico'!$K$5:$K$1000,$N74))</f>
        <v/>
      </c>
      <c r="L74" s="60">
        <f>IF($N74="","",IF(N($K74)&gt;=1,"Completado",IF(AND(ISNUMBER($E74),$E74&lt;FechaRef),"Vencida",IF(N($K74)&gt;0,"En curso","Pendiente"))))</f>
        <v/>
      </c>
      <c r="M74" s="68">
        <f>IF($N74="","",INDEX('Cronograma Asistente Técnico'!$M$5:$M$1000,$N74)&amp;"")</f>
        <v/>
      </c>
      <c r="N74">
        <f>IFERROR(MATCH(ROW()-4,rOrden_ATR,0),"")</f>
        <v/>
      </c>
    </row>
    <row r="75">
      <c r="A75" s="60">
        <f>IF($N75="","",INDEX('Cronograma Asistente Técnico'!$A$5:$A$1000,$N75))</f>
        <v/>
      </c>
      <c r="B75" s="68">
        <f>IF($N75="","",INDEX('Cronograma Asistente Técnico'!$B$5:$B$1000,$N75)&amp;"")</f>
        <v/>
      </c>
      <c r="C75" s="68">
        <f>IF($N75="","",INDEX('Cronograma Asistente Técnico'!$C$5:$C$1000,$N75)&amp;"")</f>
        <v/>
      </c>
      <c r="D75" s="74">
        <f>IF($N75="","",IF(INDEX('Cronograma Asistente Técnico'!$D$5:$D$1000,$N75)="","",INDEX('Cronograma Asistente Técnico'!$D$5:$D$1000,$N75)))</f>
        <v/>
      </c>
      <c r="E75" s="74">
        <f>IF($N75="","",IF(INDEX('Cronograma Asistente Técnico'!$E$5:$E$1000,$N75)="","",INDEX('Cronograma Asistente Técnico'!$E$5:$E$1000,$N75)))</f>
        <v/>
      </c>
      <c r="F75" s="60">
        <f>IF($N75="","",IF(NOT(ISNUMBER($E75)),"",IF($E75&lt;InicioCiclo,"Antes del ciclo",IF($E75&gt;=InicioCiclo+28,"Después del ciclo","Semana "&amp;(INT(($E75-InicioCiclo)/7)+1)))))</f>
        <v/>
      </c>
      <c r="G75" s="65">
        <f>IF($N75="","",IF(INDEX('Cronograma Asistente Técnico'!$G$5:$G$1000,$N75)="","",INDEX('Cronograma Asistente Técnico'!$G$5:$G$1000,$N75)))</f>
        <v/>
      </c>
      <c r="H75" s="65">
        <f>IF($N75="","",IF(INDEX('Cronograma Asistente Técnico'!$H$5:$H$1000,$N75)="","",INDEX('Cronograma Asistente Técnico'!$H$5:$H$1000,$N75)))</f>
        <v/>
      </c>
      <c r="I75" s="65">
        <f>IF($N75="","",IF(INDEX('Cronograma Asistente Técnico'!$I$5:$I$1000,$N75)="","",INDEX('Cronograma Asistente Técnico'!$I$5:$I$1000,$N75)))</f>
        <v/>
      </c>
      <c r="J75" s="65">
        <f>IF($N75="","",IF(INDEX('Cronograma Asistente Técnico'!$J$5:$J$1000,$N75)="","",INDEX('Cronograma Asistente Técnico'!$J$5:$J$1000,$N75)))</f>
        <v/>
      </c>
      <c r="K75" s="65">
        <f>IF($N75="","",INDEX('Cronograma Asistente Técnico'!$K$5:$K$1000,$N75))</f>
        <v/>
      </c>
      <c r="L75" s="60">
        <f>IF($N75="","",IF(N($K75)&gt;=1,"Completado",IF(AND(ISNUMBER($E75),$E75&lt;FechaRef),"Vencida",IF(N($K75)&gt;0,"En curso","Pendiente"))))</f>
        <v/>
      </c>
      <c r="M75" s="68">
        <f>IF($N75="","",INDEX('Cronograma Asistente Técnico'!$M$5:$M$1000,$N75)&amp;"")</f>
        <v/>
      </c>
      <c r="N75">
        <f>IFERROR(MATCH(ROW()-4,rOrden_ATR,0),"")</f>
        <v/>
      </c>
    </row>
    <row r="76">
      <c r="A76" s="60">
        <f>IF($N76="","",INDEX('Cronograma Asistente Técnico'!$A$5:$A$1000,$N76))</f>
        <v/>
      </c>
      <c r="B76" s="68">
        <f>IF($N76="","",INDEX('Cronograma Asistente Técnico'!$B$5:$B$1000,$N76)&amp;"")</f>
        <v/>
      </c>
      <c r="C76" s="68">
        <f>IF($N76="","",INDEX('Cronograma Asistente Técnico'!$C$5:$C$1000,$N76)&amp;"")</f>
        <v/>
      </c>
      <c r="D76" s="74">
        <f>IF($N76="","",IF(INDEX('Cronograma Asistente Técnico'!$D$5:$D$1000,$N76)="","",INDEX('Cronograma Asistente Técnico'!$D$5:$D$1000,$N76)))</f>
        <v/>
      </c>
      <c r="E76" s="74">
        <f>IF($N76="","",IF(INDEX('Cronograma Asistente Técnico'!$E$5:$E$1000,$N76)="","",INDEX('Cronograma Asistente Técnico'!$E$5:$E$1000,$N76)))</f>
        <v/>
      </c>
      <c r="F76" s="60">
        <f>IF($N76="","",IF(NOT(ISNUMBER($E76)),"",IF($E76&lt;InicioCiclo,"Antes del ciclo",IF($E76&gt;=InicioCiclo+28,"Después del ciclo","Semana "&amp;(INT(($E76-InicioCiclo)/7)+1)))))</f>
        <v/>
      </c>
      <c r="G76" s="65">
        <f>IF($N76="","",IF(INDEX('Cronograma Asistente Técnico'!$G$5:$G$1000,$N76)="","",INDEX('Cronograma Asistente Técnico'!$G$5:$G$1000,$N76)))</f>
        <v/>
      </c>
      <c r="H76" s="65">
        <f>IF($N76="","",IF(INDEX('Cronograma Asistente Técnico'!$H$5:$H$1000,$N76)="","",INDEX('Cronograma Asistente Técnico'!$H$5:$H$1000,$N76)))</f>
        <v/>
      </c>
      <c r="I76" s="65">
        <f>IF($N76="","",IF(INDEX('Cronograma Asistente Técnico'!$I$5:$I$1000,$N76)="","",INDEX('Cronograma Asistente Técnico'!$I$5:$I$1000,$N76)))</f>
        <v/>
      </c>
      <c r="J76" s="65">
        <f>IF($N76="","",IF(INDEX('Cronograma Asistente Técnico'!$J$5:$J$1000,$N76)="","",INDEX('Cronograma Asistente Técnico'!$J$5:$J$1000,$N76)))</f>
        <v/>
      </c>
      <c r="K76" s="65">
        <f>IF($N76="","",INDEX('Cronograma Asistente Técnico'!$K$5:$K$1000,$N76))</f>
        <v/>
      </c>
      <c r="L76" s="60">
        <f>IF($N76="","",IF(N($K76)&gt;=1,"Completado",IF(AND(ISNUMBER($E76),$E76&lt;FechaRef),"Vencida",IF(N($K76)&gt;0,"En curso","Pendiente"))))</f>
        <v/>
      </c>
      <c r="M76" s="68">
        <f>IF($N76="","",INDEX('Cronograma Asistente Técnico'!$M$5:$M$1000,$N76)&amp;"")</f>
        <v/>
      </c>
      <c r="N76">
        <f>IFERROR(MATCH(ROW()-4,rOrden_ATR,0),"")</f>
        <v/>
      </c>
    </row>
    <row r="77">
      <c r="A77" s="60">
        <f>IF($N77="","",INDEX('Cronograma Asistente Técnico'!$A$5:$A$1000,$N77))</f>
        <v/>
      </c>
      <c r="B77" s="68">
        <f>IF($N77="","",INDEX('Cronograma Asistente Técnico'!$B$5:$B$1000,$N77)&amp;"")</f>
        <v/>
      </c>
      <c r="C77" s="68">
        <f>IF($N77="","",INDEX('Cronograma Asistente Técnico'!$C$5:$C$1000,$N77)&amp;"")</f>
        <v/>
      </c>
      <c r="D77" s="74">
        <f>IF($N77="","",IF(INDEX('Cronograma Asistente Técnico'!$D$5:$D$1000,$N77)="","",INDEX('Cronograma Asistente Técnico'!$D$5:$D$1000,$N77)))</f>
        <v/>
      </c>
      <c r="E77" s="74">
        <f>IF($N77="","",IF(INDEX('Cronograma Asistente Técnico'!$E$5:$E$1000,$N77)="","",INDEX('Cronograma Asistente Técnico'!$E$5:$E$1000,$N77)))</f>
        <v/>
      </c>
      <c r="F77" s="60">
        <f>IF($N77="","",IF(NOT(ISNUMBER($E77)),"",IF($E77&lt;InicioCiclo,"Antes del ciclo",IF($E77&gt;=InicioCiclo+28,"Después del ciclo","Semana "&amp;(INT(($E77-InicioCiclo)/7)+1)))))</f>
        <v/>
      </c>
      <c r="G77" s="65">
        <f>IF($N77="","",IF(INDEX('Cronograma Asistente Técnico'!$G$5:$G$1000,$N77)="","",INDEX('Cronograma Asistente Técnico'!$G$5:$G$1000,$N77)))</f>
        <v/>
      </c>
      <c r="H77" s="65">
        <f>IF($N77="","",IF(INDEX('Cronograma Asistente Técnico'!$H$5:$H$1000,$N77)="","",INDEX('Cronograma Asistente Técnico'!$H$5:$H$1000,$N77)))</f>
        <v/>
      </c>
      <c r="I77" s="65">
        <f>IF($N77="","",IF(INDEX('Cronograma Asistente Técnico'!$I$5:$I$1000,$N77)="","",INDEX('Cronograma Asistente Técnico'!$I$5:$I$1000,$N77)))</f>
        <v/>
      </c>
      <c r="J77" s="65">
        <f>IF($N77="","",IF(INDEX('Cronograma Asistente Técnico'!$J$5:$J$1000,$N77)="","",INDEX('Cronograma Asistente Técnico'!$J$5:$J$1000,$N77)))</f>
        <v/>
      </c>
      <c r="K77" s="65">
        <f>IF($N77="","",INDEX('Cronograma Asistente Técnico'!$K$5:$K$1000,$N77))</f>
        <v/>
      </c>
      <c r="L77" s="60">
        <f>IF($N77="","",IF(N($K77)&gt;=1,"Completado",IF(AND(ISNUMBER($E77),$E77&lt;FechaRef),"Vencida",IF(N($K77)&gt;0,"En curso","Pendiente"))))</f>
        <v/>
      </c>
      <c r="M77" s="68">
        <f>IF($N77="","",INDEX('Cronograma Asistente Técnico'!$M$5:$M$1000,$N77)&amp;"")</f>
        <v/>
      </c>
      <c r="N77">
        <f>IFERROR(MATCH(ROW()-4,rOrden_ATR,0),"")</f>
        <v/>
      </c>
    </row>
    <row r="78">
      <c r="A78" s="60">
        <f>IF($N78="","",INDEX('Cronograma Asistente Técnico'!$A$5:$A$1000,$N78))</f>
        <v/>
      </c>
      <c r="B78" s="68">
        <f>IF($N78="","",INDEX('Cronograma Asistente Técnico'!$B$5:$B$1000,$N78)&amp;"")</f>
        <v/>
      </c>
      <c r="C78" s="68">
        <f>IF($N78="","",INDEX('Cronograma Asistente Técnico'!$C$5:$C$1000,$N78)&amp;"")</f>
        <v/>
      </c>
      <c r="D78" s="74">
        <f>IF($N78="","",IF(INDEX('Cronograma Asistente Técnico'!$D$5:$D$1000,$N78)="","",INDEX('Cronograma Asistente Técnico'!$D$5:$D$1000,$N78)))</f>
        <v/>
      </c>
      <c r="E78" s="74">
        <f>IF($N78="","",IF(INDEX('Cronograma Asistente Técnico'!$E$5:$E$1000,$N78)="","",INDEX('Cronograma Asistente Técnico'!$E$5:$E$1000,$N78)))</f>
        <v/>
      </c>
      <c r="F78" s="60">
        <f>IF($N78="","",IF(NOT(ISNUMBER($E78)),"",IF($E78&lt;InicioCiclo,"Antes del ciclo",IF($E78&gt;=InicioCiclo+28,"Después del ciclo","Semana "&amp;(INT(($E78-InicioCiclo)/7)+1)))))</f>
        <v/>
      </c>
      <c r="G78" s="65">
        <f>IF($N78="","",IF(INDEX('Cronograma Asistente Técnico'!$G$5:$G$1000,$N78)="","",INDEX('Cronograma Asistente Técnico'!$G$5:$G$1000,$N78)))</f>
        <v/>
      </c>
      <c r="H78" s="65">
        <f>IF($N78="","",IF(INDEX('Cronograma Asistente Técnico'!$H$5:$H$1000,$N78)="","",INDEX('Cronograma Asistente Técnico'!$H$5:$H$1000,$N78)))</f>
        <v/>
      </c>
      <c r="I78" s="65">
        <f>IF($N78="","",IF(INDEX('Cronograma Asistente Técnico'!$I$5:$I$1000,$N78)="","",INDEX('Cronograma Asistente Técnico'!$I$5:$I$1000,$N78)))</f>
        <v/>
      </c>
      <c r="J78" s="65">
        <f>IF($N78="","",IF(INDEX('Cronograma Asistente Técnico'!$J$5:$J$1000,$N78)="","",INDEX('Cronograma Asistente Técnico'!$J$5:$J$1000,$N78)))</f>
        <v/>
      </c>
      <c r="K78" s="65">
        <f>IF($N78="","",INDEX('Cronograma Asistente Técnico'!$K$5:$K$1000,$N78))</f>
        <v/>
      </c>
      <c r="L78" s="60">
        <f>IF($N78="","",IF(N($K78)&gt;=1,"Completado",IF(AND(ISNUMBER($E78),$E78&lt;FechaRef),"Vencida",IF(N($K78)&gt;0,"En curso","Pendiente"))))</f>
        <v/>
      </c>
      <c r="M78" s="68">
        <f>IF($N78="","",INDEX('Cronograma Asistente Técnico'!$M$5:$M$1000,$N78)&amp;"")</f>
        <v/>
      </c>
      <c r="N78">
        <f>IFERROR(MATCH(ROW()-4,rOrden_ATR,0),"")</f>
        <v/>
      </c>
    </row>
    <row r="79">
      <c r="A79" s="60">
        <f>IF($N79="","",INDEX('Cronograma Asistente Técnico'!$A$5:$A$1000,$N79))</f>
        <v/>
      </c>
      <c r="B79" s="68">
        <f>IF($N79="","",INDEX('Cronograma Asistente Técnico'!$B$5:$B$1000,$N79)&amp;"")</f>
        <v/>
      </c>
      <c r="C79" s="68">
        <f>IF($N79="","",INDEX('Cronograma Asistente Técnico'!$C$5:$C$1000,$N79)&amp;"")</f>
        <v/>
      </c>
      <c r="D79" s="74">
        <f>IF($N79="","",IF(INDEX('Cronograma Asistente Técnico'!$D$5:$D$1000,$N79)="","",INDEX('Cronograma Asistente Técnico'!$D$5:$D$1000,$N79)))</f>
        <v/>
      </c>
      <c r="E79" s="74">
        <f>IF($N79="","",IF(INDEX('Cronograma Asistente Técnico'!$E$5:$E$1000,$N79)="","",INDEX('Cronograma Asistente Técnico'!$E$5:$E$1000,$N79)))</f>
        <v/>
      </c>
      <c r="F79" s="60">
        <f>IF($N79="","",IF(NOT(ISNUMBER($E79)),"",IF($E79&lt;InicioCiclo,"Antes del ciclo",IF($E79&gt;=InicioCiclo+28,"Después del ciclo","Semana "&amp;(INT(($E79-InicioCiclo)/7)+1)))))</f>
        <v/>
      </c>
      <c r="G79" s="65">
        <f>IF($N79="","",IF(INDEX('Cronograma Asistente Técnico'!$G$5:$G$1000,$N79)="","",INDEX('Cronograma Asistente Técnico'!$G$5:$G$1000,$N79)))</f>
        <v/>
      </c>
      <c r="H79" s="65">
        <f>IF($N79="","",IF(INDEX('Cronograma Asistente Técnico'!$H$5:$H$1000,$N79)="","",INDEX('Cronograma Asistente Técnico'!$H$5:$H$1000,$N79)))</f>
        <v/>
      </c>
      <c r="I79" s="65">
        <f>IF($N79="","",IF(INDEX('Cronograma Asistente Técnico'!$I$5:$I$1000,$N79)="","",INDEX('Cronograma Asistente Técnico'!$I$5:$I$1000,$N79)))</f>
        <v/>
      </c>
      <c r="J79" s="65">
        <f>IF($N79="","",IF(INDEX('Cronograma Asistente Técnico'!$J$5:$J$1000,$N79)="","",INDEX('Cronograma Asistente Técnico'!$J$5:$J$1000,$N79)))</f>
        <v/>
      </c>
      <c r="K79" s="65">
        <f>IF($N79="","",INDEX('Cronograma Asistente Técnico'!$K$5:$K$1000,$N79))</f>
        <v/>
      </c>
      <c r="L79" s="60">
        <f>IF($N79="","",IF(N($K79)&gt;=1,"Completado",IF(AND(ISNUMBER($E79),$E79&lt;FechaRef),"Vencida",IF(N($K79)&gt;0,"En curso","Pendiente"))))</f>
        <v/>
      </c>
      <c r="M79" s="68">
        <f>IF($N79="","",INDEX('Cronograma Asistente Técnico'!$M$5:$M$1000,$N79)&amp;"")</f>
        <v/>
      </c>
      <c r="N79">
        <f>IFERROR(MATCH(ROW()-4,rOrden_ATR,0),"")</f>
        <v/>
      </c>
    </row>
    <row r="80">
      <c r="A80" s="60">
        <f>IF($N80="","",INDEX('Cronograma Asistente Técnico'!$A$5:$A$1000,$N80))</f>
        <v/>
      </c>
      <c r="B80" s="68">
        <f>IF($N80="","",INDEX('Cronograma Asistente Técnico'!$B$5:$B$1000,$N80)&amp;"")</f>
        <v/>
      </c>
      <c r="C80" s="68">
        <f>IF($N80="","",INDEX('Cronograma Asistente Técnico'!$C$5:$C$1000,$N80)&amp;"")</f>
        <v/>
      </c>
      <c r="D80" s="74">
        <f>IF($N80="","",IF(INDEX('Cronograma Asistente Técnico'!$D$5:$D$1000,$N80)="","",INDEX('Cronograma Asistente Técnico'!$D$5:$D$1000,$N80)))</f>
        <v/>
      </c>
      <c r="E80" s="74">
        <f>IF($N80="","",IF(INDEX('Cronograma Asistente Técnico'!$E$5:$E$1000,$N80)="","",INDEX('Cronograma Asistente Técnico'!$E$5:$E$1000,$N80)))</f>
        <v/>
      </c>
      <c r="F80" s="60">
        <f>IF($N80="","",IF(NOT(ISNUMBER($E80)),"",IF($E80&lt;InicioCiclo,"Antes del ciclo",IF($E80&gt;=InicioCiclo+28,"Después del ciclo","Semana "&amp;(INT(($E80-InicioCiclo)/7)+1)))))</f>
        <v/>
      </c>
      <c r="G80" s="65">
        <f>IF($N80="","",IF(INDEX('Cronograma Asistente Técnico'!$G$5:$G$1000,$N80)="","",INDEX('Cronograma Asistente Técnico'!$G$5:$G$1000,$N80)))</f>
        <v/>
      </c>
      <c r="H80" s="65">
        <f>IF($N80="","",IF(INDEX('Cronograma Asistente Técnico'!$H$5:$H$1000,$N80)="","",INDEX('Cronograma Asistente Técnico'!$H$5:$H$1000,$N80)))</f>
        <v/>
      </c>
      <c r="I80" s="65">
        <f>IF($N80="","",IF(INDEX('Cronograma Asistente Técnico'!$I$5:$I$1000,$N80)="","",INDEX('Cronograma Asistente Técnico'!$I$5:$I$1000,$N80)))</f>
        <v/>
      </c>
      <c r="J80" s="65">
        <f>IF($N80="","",IF(INDEX('Cronograma Asistente Técnico'!$J$5:$J$1000,$N80)="","",INDEX('Cronograma Asistente Técnico'!$J$5:$J$1000,$N80)))</f>
        <v/>
      </c>
      <c r="K80" s="65">
        <f>IF($N80="","",INDEX('Cronograma Asistente Técnico'!$K$5:$K$1000,$N80))</f>
        <v/>
      </c>
      <c r="L80" s="60">
        <f>IF($N80="","",IF(N($K80)&gt;=1,"Completado",IF(AND(ISNUMBER($E80),$E80&lt;FechaRef),"Vencida",IF(N($K80)&gt;0,"En curso","Pendiente"))))</f>
        <v/>
      </c>
      <c r="M80" s="68">
        <f>IF($N80="","",INDEX('Cronograma Asistente Técnico'!$M$5:$M$1000,$N80)&amp;"")</f>
        <v/>
      </c>
      <c r="N80">
        <f>IFERROR(MATCH(ROW()-4,rOrden_ATR,0),"")</f>
        <v/>
      </c>
    </row>
    <row r="81">
      <c r="A81" s="60">
        <f>IF($N81="","",INDEX('Cronograma Asistente Técnico'!$A$5:$A$1000,$N81))</f>
        <v/>
      </c>
      <c r="B81" s="68">
        <f>IF($N81="","",INDEX('Cronograma Asistente Técnico'!$B$5:$B$1000,$N81)&amp;"")</f>
        <v/>
      </c>
      <c r="C81" s="68">
        <f>IF($N81="","",INDEX('Cronograma Asistente Técnico'!$C$5:$C$1000,$N81)&amp;"")</f>
        <v/>
      </c>
      <c r="D81" s="74">
        <f>IF($N81="","",IF(INDEX('Cronograma Asistente Técnico'!$D$5:$D$1000,$N81)="","",INDEX('Cronograma Asistente Técnico'!$D$5:$D$1000,$N81)))</f>
        <v/>
      </c>
      <c r="E81" s="74">
        <f>IF($N81="","",IF(INDEX('Cronograma Asistente Técnico'!$E$5:$E$1000,$N81)="","",INDEX('Cronograma Asistente Técnico'!$E$5:$E$1000,$N81)))</f>
        <v/>
      </c>
      <c r="F81" s="60">
        <f>IF($N81="","",IF(NOT(ISNUMBER($E81)),"",IF($E81&lt;InicioCiclo,"Antes del ciclo",IF($E81&gt;=InicioCiclo+28,"Después del ciclo","Semana "&amp;(INT(($E81-InicioCiclo)/7)+1)))))</f>
        <v/>
      </c>
      <c r="G81" s="65">
        <f>IF($N81="","",IF(INDEX('Cronograma Asistente Técnico'!$G$5:$G$1000,$N81)="","",INDEX('Cronograma Asistente Técnico'!$G$5:$G$1000,$N81)))</f>
        <v/>
      </c>
      <c r="H81" s="65">
        <f>IF($N81="","",IF(INDEX('Cronograma Asistente Técnico'!$H$5:$H$1000,$N81)="","",INDEX('Cronograma Asistente Técnico'!$H$5:$H$1000,$N81)))</f>
        <v/>
      </c>
      <c r="I81" s="65">
        <f>IF($N81="","",IF(INDEX('Cronograma Asistente Técnico'!$I$5:$I$1000,$N81)="","",INDEX('Cronograma Asistente Técnico'!$I$5:$I$1000,$N81)))</f>
        <v/>
      </c>
      <c r="J81" s="65">
        <f>IF($N81="","",IF(INDEX('Cronograma Asistente Técnico'!$J$5:$J$1000,$N81)="","",INDEX('Cronograma Asistente Técnico'!$J$5:$J$1000,$N81)))</f>
        <v/>
      </c>
      <c r="K81" s="65">
        <f>IF($N81="","",INDEX('Cronograma Asistente Técnico'!$K$5:$K$1000,$N81))</f>
        <v/>
      </c>
      <c r="L81" s="60">
        <f>IF($N81="","",IF(N($K81)&gt;=1,"Completado",IF(AND(ISNUMBER($E81),$E81&lt;FechaRef),"Vencida",IF(N($K81)&gt;0,"En curso","Pendiente"))))</f>
        <v/>
      </c>
      <c r="M81" s="68">
        <f>IF($N81="","",INDEX('Cronograma Asistente Técnico'!$M$5:$M$1000,$N81)&amp;"")</f>
        <v/>
      </c>
      <c r="N81">
        <f>IFERROR(MATCH(ROW()-4,rOrden_ATR,0),"")</f>
        <v/>
      </c>
    </row>
    <row r="82">
      <c r="A82" s="60">
        <f>IF($N82="","",INDEX('Cronograma Asistente Técnico'!$A$5:$A$1000,$N82))</f>
        <v/>
      </c>
      <c r="B82" s="68">
        <f>IF($N82="","",INDEX('Cronograma Asistente Técnico'!$B$5:$B$1000,$N82)&amp;"")</f>
        <v/>
      </c>
      <c r="C82" s="68">
        <f>IF($N82="","",INDEX('Cronograma Asistente Técnico'!$C$5:$C$1000,$N82)&amp;"")</f>
        <v/>
      </c>
      <c r="D82" s="74">
        <f>IF($N82="","",IF(INDEX('Cronograma Asistente Técnico'!$D$5:$D$1000,$N82)="","",INDEX('Cronograma Asistente Técnico'!$D$5:$D$1000,$N82)))</f>
        <v/>
      </c>
      <c r="E82" s="74">
        <f>IF($N82="","",IF(INDEX('Cronograma Asistente Técnico'!$E$5:$E$1000,$N82)="","",INDEX('Cronograma Asistente Técnico'!$E$5:$E$1000,$N82)))</f>
        <v/>
      </c>
      <c r="F82" s="60">
        <f>IF($N82="","",IF(NOT(ISNUMBER($E82)),"",IF($E82&lt;InicioCiclo,"Antes del ciclo",IF($E82&gt;=InicioCiclo+28,"Después del ciclo","Semana "&amp;(INT(($E82-InicioCiclo)/7)+1)))))</f>
        <v/>
      </c>
      <c r="G82" s="65">
        <f>IF($N82="","",IF(INDEX('Cronograma Asistente Técnico'!$G$5:$G$1000,$N82)="","",INDEX('Cronograma Asistente Técnico'!$G$5:$G$1000,$N82)))</f>
        <v/>
      </c>
      <c r="H82" s="65">
        <f>IF($N82="","",IF(INDEX('Cronograma Asistente Técnico'!$H$5:$H$1000,$N82)="","",INDEX('Cronograma Asistente Técnico'!$H$5:$H$1000,$N82)))</f>
        <v/>
      </c>
      <c r="I82" s="65">
        <f>IF($N82="","",IF(INDEX('Cronograma Asistente Técnico'!$I$5:$I$1000,$N82)="","",INDEX('Cronograma Asistente Técnico'!$I$5:$I$1000,$N82)))</f>
        <v/>
      </c>
      <c r="J82" s="65">
        <f>IF($N82="","",IF(INDEX('Cronograma Asistente Técnico'!$J$5:$J$1000,$N82)="","",INDEX('Cronograma Asistente Técnico'!$J$5:$J$1000,$N82)))</f>
        <v/>
      </c>
      <c r="K82" s="65">
        <f>IF($N82="","",INDEX('Cronograma Asistente Técnico'!$K$5:$K$1000,$N82))</f>
        <v/>
      </c>
      <c r="L82" s="60">
        <f>IF($N82="","",IF(N($K82)&gt;=1,"Completado",IF(AND(ISNUMBER($E82),$E82&lt;FechaRef),"Vencida",IF(N($K82)&gt;0,"En curso","Pendiente"))))</f>
        <v/>
      </c>
      <c r="M82" s="68">
        <f>IF($N82="","",INDEX('Cronograma Asistente Técnico'!$M$5:$M$1000,$N82)&amp;"")</f>
        <v/>
      </c>
      <c r="N82">
        <f>IFERROR(MATCH(ROW()-4,rOrden_ATR,0),"")</f>
        <v/>
      </c>
    </row>
    <row r="83">
      <c r="A83" s="60">
        <f>IF($N83="","",INDEX('Cronograma Asistente Técnico'!$A$5:$A$1000,$N83))</f>
        <v/>
      </c>
      <c r="B83" s="68">
        <f>IF($N83="","",INDEX('Cronograma Asistente Técnico'!$B$5:$B$1000,$N83)&amp;"")</f>
        <v/>
      </c>
      <c r="C83" s="68">
        <f>IF($N83="","",INDEX('Cronograma Asistente Técnico'!$C$5:$C$1000,$N83)&amp;"")</f>
        <v/>
      </c>
      <c r="D83" s="74">
        <f>IF($N83="","",IF(INDEX('Cronograma Asistente Técnico'!$D$5:$D$1000,$N83)="","",INDEX('Cronograma Asistente Técnico'!$D$5:$D$1000,$N83)))</f>
        <v/>
      </c>
      <c r="E83" s="74">
        <f>IF($N83="","",IF(INDEX('Cronograma Asistente Técnico'!$E$5:$E$1000,$N83)="","",INDEX('Cronograma Asistente Técnico'!$E$5:$E$1000,$N83)))</f>
        <v/>
      </c>
      <c r="F83" s="60">
        <f>IF($N83="","",IF(NOT(ISNUMBER($E83)),"",IF($E83&lt;InicioCiclo,"Antes del ciclo",IF($E83&gt;=InicioCiclo+28,"Después del ciclo","Semana "&amp;(INT(($E83-InicioCiclo)/7)+1)))))</f>
        <v/>
      </c>
      <c r="G83" s="65">
        <f>IF($N83="","",IF(INDEX('Cronograma Asistente Técnico'!$G$5:$G$1000,$N83)="","",INDEX('Cronograma Asistente Técnico'!$G$5:$G$1000,$N83)))</f>
        <v/>
      </c>
      <c r="H83" s="65">
        <f>IF($N83="","",IF(INDEX('Cronograma Asistente Técnico'!$H$5:$H$1000,$N83)="","",INDEX('Cronograma Asistente Técnico'!$H$5:$H$1000,$N83)))</f>
        <v/>
      </c>
      <c r="I83" s="65">
        <f>IF($N83="","",IF(INDEX('Cronograma Asistente Técnico'!$I$5:$I$1000,$N83)="","",INDEX('Cronograma Asistente Técnico'!$I$5:$I$1000,$N83)))</f>
        <v/>
      </c>
      <c r="J83" s="65">
        <f>IF($N83="","",IF(INDEX('Cronograma Asistente Técnico'!$J$5:$J$1000,$N83)="","",INDEX('Cronograma Asistente Técnico'!$J$5:$J$1000,$N83)))</f>
        <v/>
      </c>
      <c r="K83" s="65">
        <f>IF($N83="","",INDEX('Cronograma Asistente Técnico'!$K$5:$K$1000,$N83))</f>
        <v/>
      </c>
      <c r="L83" s="60">
        <f>IF($N83="","",IF(N($K83)&gt;=1,"Completado",IF(AND(ISNUMBER($E83),$E83&lt;FechaRef),"Vencida",IF(N($K83)&gt;0,"En curso","Pendiente"))))</f>
        <v/>
      </c>
      <c r="M83" s="68">
        <f>IF($N83="","",INDEX('Cronograma Asistente Técnico'!$M$5:$M$1000,$N83)&amp;"")</f>
        <v/>
      </c>
      <c r="N83">
        <f>IFERROR(MATCH(ROW()-4,rOrden_ATR,0),"")</f>
        <v/>
      </c>
    </row>
    <row r="84">
      <c r="A84" s="60">
        <f>IF($N84="","",INDEX('Cronograma Asistente Técnico'!$A$5:$A$1000,$N84))</f>
        <v/>
      </c>
      <c r="B84" s="68">
        <f>IF($N84="","",INDEX('Cronograma Asistente Técnico'!$B$5:$B$1000,$N84)&amp;"")</f>
        <v/>
      </c>
      <c r="C84" s="68">
        <f>IF($N84="","",INDEX('Cronograma Asistente Técnico'!$C$5:$C$1000,$N84)&amp;"")</f>
        <v/>
      </c>
      <c r="D84" s="74">
        <f>IF($N84="","",IF(INDEX('Cronograma Asistente Técnico'!$D$5:$D$1000,$N84)="","",INDEX('Cronograma Asistente Técnico'!$D$5:$D$1000,$N84)))</f>
        <v/>
      </c>
      <c r="E84" s="74">
        <f>IF($N84="","",IF(INDEX('Cronograma Asistente Técnico'!$E$5:$E$1000,$N84)="","",INDEX('Cronograma Asistente Técnico'!$E$5:$E$1000,$N84)))</f>
        <v/>
      </c>
      <c r="F84" s="60">
        <f>IF($N84="","",IF(NOT(ISNUMBER($E84)),"",IF($E84&lt;InicioCiclo,"Antes del ciclo",IF($E84&gt;=InicioCiclo+28,"Después del ciclo","Semana "&amp;(INT(($E84-InicioCiclo)/7)+1)))))</f>
        <v/>
      </c>
      <c r="G84" s="65">
        <f>IF($N84="","",IF(INDEX('Cronograma Asistente Técnico'!$G$5:$G$1000,$N84)="","",INDEX('Cronograma Asistente Técnico'!$G$5:$G$1000,$N84)))</f>
        <v/>
      </c>
      <c r="H84" s="65">
        <f>IF($N84="","",IF(INDEX('Cronograma Asistente Técnico'!$H$5:$H$1000,$N84)="","",INDEX('Cronograma Asistente Técnico'!$H$5:$H$1000,$N84)))</f>
        <v/>
      </c>
      <c r="I84" s="65">
        <f>IF($N84="","",IF(INDEX('Cronograma Asistente Técnico'!$I$5:$I$1000,$N84)="","",INDEX('Cronograma Asistente Técnico'!$I$5:$I$1000,$N84)))</f>
        <v/>
      </c>
      <c r="J84" s="65">
        <f>IF($N84="","",IF(INDEX('Cronograma Asistente Técnico'!$J$5:$J$1000,$N84)="","",INDEX('Cronograma Asistente Técnico'!$J$5:$J$1000,$N84)))</f>
        <v/>
      </c>
      <c r="K84" s="65">
        <f>IF($N84="","",INDEX('Cronograma Asistente Técnico'!$K$5:$K$1000,$N84))</f>
        <v/>
      </c>
      <c r="L84" s="60">
        <f>IF($N84="","",IF(N($K84)&gt;=1,"Completado",IF(AND(ISNUMBER($E84),$E84&lt;FechaRef),"Vencida",IF(N($K84)&gt;0,"En curso","Pendiente"))))</f>
        <v/>
      </c>
      <c r="M84" s="68">
        <f>IF($N84="","",INDEX('Cronograma Asistente Técnico'!$M$5:$M$1000,$N84)&amp;"")</f>
        <v/>
      </c>
      <c r="N84">
        <f>IFERROR(MATCH(ROW()-4,rOrden_ATR,0),"")</f>
        <v/>
      </c>
    </row>
    <row r="85">
      <c r="A85" s="60">
        <f>IF($N85="","",INDEX('Cronograma Asistente Técnico'!$A$5:$A$1000,$N85))</f>
        <v/>
      </c>
      <c r="B85" s="68">
        <f>IF($N85="","",INDEX('Cronograma Asistente Técnico'!$B$5:$B$1000,$N85)&amp;"")</f>
        <v/>
      </c>
      <c r="C85" s="68">
        <f>IF($N85="","",INDEX('Cronograma Asistente Técnico'!$C$5:$C$1000,$N85)&amp;"")</f>
        <v/>
      </c>
      <c r="D85" s="74">
        <f>IF($N85="","",IF(INDEX('Cronograma Asistente Técnico'!$D$5:$D$1000,$N85)="","",INDEX('Cronograma Asistente Técnico'!$D$5:$D$1000,$N85)))</f>
        <v/>
      </c>
      <c r="E85" s="74">
        <f>IF($N85="","",IF(INDEX('Cronograma Asistente Técnico'!$E$5:$E$1000,$N85)="","",INDEX('Cronograma Asistente Técnico'!$E$5:$E$1000,$N85)))</f>
        <v/>
      </c>
      <c r="F85" s="60">
        <f>IF($N85="","",IF(NOT(ISNUMBER($E85)),"",IF($E85&lt;InicioCiclo,"Antes del ciclo",IF($E85&gt;=InicioCiclo+28,"Después del ciclo","Semana "&amp;(INT(($E85-InicioCiclo)/7)+1)))))</f>
        <v/>
      </c>
      <c r="G85" s="65">
        <f>IF($N85="","",IF(INDEX('Cronograma Asistente Técnico'!$G$5:$G$1000,$N85)="","",INDEX('Cronograma Asistente Técnico'!$G$5:$G$1000,$N85)))</f>
        <v/>
      </c>
      <c r="H85" s="65">
        <f>IF($N85="","",IF(INDEX('Cronograma Asistente Técnico'!$H$5:$H$1000,$N85)="","",INDEX('Cronograma Asistente Técnico'!$H$5:$H$1000,$N85)))</f>
        <v/>
      </c>
      <c r="I85" s="65">
        <f>IF($N85="","",IF(INDEX('Cronograma Asistente Técnico'!$I$5:$I$1000,$N85)="","",INDEX('Cronograma Asistente Técnico'!$I$5:$I$1000,$N85)))</f>
        <v/>
      </c>
      <c r="J85" s="65">
        <f>IF($N85="","",IF(INDEX('Cronograma Asistente Técnico'!$J$5:$J$1000,$N85)="","",INDEX('Cronograma Asistente Técnico'!$J$5:$J$1000,$N85)))</f>
        <v/>
      </c>
      <c r="K85" s="65">
        <f>IF($N85="","",INDEX('Cronograma Asistente Técnico'!$K$5:$K$1000,$N85))</f>
        <v/>
      </c>
      <c r="L85" s="60">
        <f>IF($N85="","",IF(N($K85)&gt;=1,"Completado",IF(AND(ISNUMBER($E85),$E85&lt;FechaRef),"Vencida",IF(N($K85)&gt;0,"En curso","Pendiente"))))</f>
        <v/>
      </c>
      <c r="M85" s="68">
        <f>IF($N85="","",INDEX('Cronograma Asistente Técnico'!$M$5:$M$1000,$N85)&amp;"")</f>
        <v/>
      </c>
      <c r="N85">
        <f>IFERROR(MATCH(ROW()-4,rOrden_ATR,0),"")</f>
        <v/>
      </c>
    </row>
    <row r="86">
      <c r="A86" s="60">
        <f>IF($N86="","",INDEX('Cronograma Asistente Técnico'!$A$5:$A$1000,$N86))</f>
        <v/>
      </c>
      <c r="B86" s="68">
        <f>IF($N86="","",INDEX('Cronograma Asistente Técnico'!$B$5:$B$1000,$N86)&amp;"")</f>
        <v/>
      </c>
      <c r="C86" s="68">
        <f>IF($N86="","",INDEX('Cronograma Asistente Técnico'!$C$5:$C$1000,$N86)&amp;"")</f>
        <v/>
      </c>
      <c r="D86" s="74">
        <f>IF($N86="","",IF(INDEX('Cronograma Asistente Técnico'!$D$5:$D$1000,$N86)="","",INDEX('Cronograma Asistente Técnico'!$D$5:$D$1000,$N86)))</f>
        <v/>
      </c>
      <c r="E86" s="74">
        <f>IF($N86="","",IF(INDEX('Cronograma Asistente Técnico'!$E$5:$E$1000,$N86)="","",INDEX('Cronograma Asistente Técnico'!$E$5:$E$1000,$N86)))</f>
        <v/>
      </c>
      <c r="F86" s="60">
        <f>IF($N86="","",IF(NOT(ISNUMBER($E86)),"",IF($E86&lt;InicioCiclo,"Antes del ciclo",IF($E86&gt;=InicioCiclo+28,"Después del ciclo","Semana "&amp;(INT(($E86-InicioCiclo)/7)+1)))))</f>
        <v/>
      </c>
      <c r="G86" s="65">
        <f>IF($N86="","",IF(INDEX('Cronograma Asistente Técnico'!$G$5:$G$1000,$N86)="","",INDEX('Cronograma Asistente Técnico'!$G$5:$G$1000,$N86)))</f>
        <v/>
      </c>
      <c r="H86" s="65">
        <f>IF($N86="","",IF(INDEX('Cronograma Asistente Técnico'!$H$5:$H$1000,$N86)="","",INDEX('Cronograma Asistente Técnico'!$H$5:$H$1000,$N86)))</f>
        <v/>
      </c>
      <c r="I86" s="65">
        <f>IF($N86="","",IF(INDEX('Cronograma Asistente Técnico'!$I$5:$I$1000,$N86)="","",INDEX('Cronograma Asistente Técnico'!$I$5:$I$1000,$N86)))</f>
        <v/>
      </c>
      <c r="J86" s="65">
        <f>IF($N86="","",IF(INDEX('Cronograma Asistente Técnico'!$J$5:$J$1000,$N86)="","",INDEX('Cronograma Asistente Técnico'!$J$5:$J$1000,$N86)))</f>
        <v/>
      </c>
      <c r="K86" s="65">
        <f>IF($N86="","",INDEX('Cronograma Asistente Técnico'!$K$5:$K$1000,$N86))</f>
        <v/>
      </c>
      <c r="L86" s="60">
        <f>IF($N86="","",IF(N($K86)&gt;=1,"Completado",IF(AND(ISNUMBER($E86),$E86&lt;FechaRef),"Vencida",IF(N($K86)&gt;0,"En curso","Pendiente"))))</f>
        <v/>
      </c>
      <c r="M86" s="68">
        <f>IF($N86="","",INDEX('Cronograma Asistente Técnico'!$M$5:$M$1000,$N86)&amp;"")</f>
        <v/>
      </c>
      <c r="N86">
        <f>IFERROR(MATCH(ROW()-4,rOrden_ATR,0),"")</f>
        <v/>
      </c>
    </row>
    <row r="87">
      <c r="A87" s="60">
        <f>IF($N87="","",INDEX('Cronograma Asistente Técnico'!$A$5:$A$1000,$N87))</f>
        <v/>
      </c>
      <c r="B87" s="68">
        <f>IF($N87="","",INDEX('Cronograma Asistente Técnico'!$B$5:$B$1000,$N87)&amp;"")</f>
        <v/>
      </c>
      <c r="C87" s="68">
        <f>IF($N87="","",INDEX('Cronograma Asistente Técnico'!$C$5:$C$1000,$N87)&amp;"")</f>
        <v/>
      </c>
      <c r="D87" s="74">
        <f>IF($N87="","",IF(INDEX('Cronograma Asistente Técnico'!$D$5:$D$1000,$N87)="","",INDEX('Cronograma Asistente Técnico'!$D$5:$D$1000,$N87)))</f>
        <v/>
      </c>
      <c r="E87" s="74">
        <f>IF($N87="","",IF(INDEX('Cronograma Asistente Técnico'!$E$5:$E$1000,$N87)="","",INDEX('Cronograma Asistente Técnico'!$E$5:$E$1000,$N87)))</f>
        <v/>
      </c>
      <c r="F87" s="60">
        <f>IF($N87="","",IF(NOT(ISNUMBER($E87)),"",IF($E87&lt;InicioCiclo,"Antes del ciclo",IF($E87&gt;=InicioCiclo+28,"Después del ciclo","Semana "&amp;(INT(($E87-InicioCiclo)/7)+1)))))</f>
        <v/>
      </c>
      <c r="G87" s="65">
        <f>IF($N87="","",IF(INDEX('Cronograma Asistente Técnico'!$G$5:$G$1000,$N87)="","",INDEX('Cronograma Asistente Técnico'!$G$5:$G$1000,$N87)))</f>
        <v/>
      </c>
      <c r="H87" s="65">
        <f>IF($N87="","",IF(INDEX('Cronograma Asistente Técnico'!$H$5:$H$1000,$N87)="","",INDEX('Cronograma Asistente Técnico'!$H$5:$H$1000,$N87)))</f>
        <v/>
      </c>
      <c r="I87" s="65">
        <f>IF($N87="","",IF(INDEX('Cronograma Asistente Técnico'!$I$5:$I$1000,$N87)="","",INDEX('Cronograma Asistente Técnico'!$I$5:$I$1000,$N87)))</f>
        <v/>
      </c>
      <c r="J87" s="65">
        <f>IF($N87="","",IF(INDEX('Cronograma Asistente Técnico'!$J$5:$J$1000,$N87)="","",INDEX('Cronograma Asistente Técnico'!$J$5:$J$1000,$N87)))</f>
        <v/>
      </c>
      <c r="K87" s="65">
        <f>IF($N87="","",INDEX('Cronograma Asistente Técnico'!$K$5:$K$1000,$N87))</f>
        <v/>
      </c>
      <c r="L87" s="60">
        <f>IF($N87="","",IF(N($K87)&gt;=1,"Completado",IF(AND(ISNUMBER($E87),$E87&lt;FechaRef),"Vencida",IF(N($K87)&gt;0,"En curso","Pendiente"))))</f>
        <v/>
      </c>
      <c r="M87" s="68">
        <f>IF($N87="","",INDEX('Cronograma Asistente Técnico'!$M$5:$M$1000,$N87)&amp;"")</f>
        <v/>
      </c>
      <c r="N87">
        <f>IFERROR(MATCH(ROW()-4,rOrden_ATR,0),"")</f>
        <v/>
      </c>
    </row>
    <row r="88">
      <c r="A88" s="60">
        <f>IF($N88="","",INDEX('Cronograma Asistente Técnico'!$A$5:$A$1000,$N88))</f>
        <v/>
      </c>
      <c r="B88" s="68">
        <f>IF($N88="","",INDEX('Cronograma Asistente Técnico'!$B$5:$B$1000,$N88)&amp;"")</f>
        <v/>
      </c>
      <c r="C88" s="68">
        <f>IF($N88="","",INDEX('Cronograma Asistente Técnico'!$C$5:$C$1000,$N88)&amp;"")</f>
        <v/>
      </c>
      <c r="D88" s="74">
        <f>IF($N88="","",IF(INDEX('Cronograma Asistente Técnico'!$D$5:$D$1000,$N88)="","",INDEX('Cronograma Asistente Técnico'!$D$5:$D$1000,$N88)))</f>
        <v/>
      </c>
      <c r="E88" s="74">
        <f>IF($N88="","",IF(INDEX('Cronograma Asistente Técnico'!$E$5:$E$1000,$N88)="","",INDEX('Cronograma Asistente Técnico'!$E$5:$E$1000,$N88)))</f>
        <v/>
      </c>
      <c r="F88" s="60">
        <f>IF($N88="","",IF(NOT(ISNUMBER($E88)),"",IF($E88&lt;InicioCiclo,"Antes del ciclo",IF($E88&gt;=InicioCiclo+28,"Después del ciclo","Semana "&amp;(INT(($E88-InicioCiclo)/7)+1)))))</f>
        <v/>
      </c>
      <c r="G88" s="65">
        <f>IF($N88="","",IF(INDEX('Cronograma Asistente Técnico'!$G$5:$G$1000,$N88)="","",INDEX('Cronograma Asistente Técnico'!$G$5:$G$1000,$N88)))</f>
        <v/>
      </c>
      <c r="H88" s="65">
        <f>IF($N88="","",IF(INDEX('Cronograma Asistente Técnico'!$H$5:$H$1000,$N88)="","",INDEX('Cronograma Asistente Técnico'!$H$5:$H$1000,$N88)))</f>
        <v/>
      </c>
      <c r="I88" s="65">
        <f>IF($N88="","",IF(INDEX('Cronograma Asistente Técnico'!$I$5:$I$1000,$N88)="","",INDEX('Cronograma Asistente Técnico'!$I$5:$I$1000,$N88)))</f>
        <v/>
      </c>
      <c r="J88" s="65">
        <f>IF($N88="","",IF(INDEX('Cronograma Asistente Técnico'!$J$5:$J$1000,$N88)="","",INDEX('Cronograma Asistente Técnico'!$J$5:$J$1000,$N88)))</f>
        <v/>
      </c>
      <c r="K88" s="65">
        <f>IF($N88="","",INDEX('Cronograma Asistente Técnico'!$K$5:$K$1000,$N88))</f>
        <v/>
      </c>
      <c r="L88" s="60">
        <f>IF($N88="","",IF(N($K88)&gt;=1,"Completado",IF(AND(ISNUMBER($E88),$E88&lt;FechaRef),"Vencida",IF(N($K88)&gt;0,"En curso","Pendiente"))))</f>
        <v/>
      </c>
      <c r="M88" s="68">
        <f>IF($N88="","",INDEX('Cronograma Asistente Técnico'!$M$5:$M$1000,$N88)&amp;"")</f>
        <v/>
      </c>
      <c r="N88">
        <f>IFERROR(MATCH(ROW()-4,rOrden_ATR,0),"")</f>
        <v/>
      </c>
    </row>
    <row r="89">
      <c r="A89" s="60">
        <f>IF($N89="","",INDEX('Cronograma Asistente Técnico'!$A$5:$A$1000,$N89))</f>
        <v/>
      </c>
      <c r="B89" s="68">
        <f>IF($N89="","",INDEX('Cronograma Asistente Técnico'!$B$5:$B$1000,$N89)&amp;"")</f>
        <v/>
      </c>
      <c r="C89" s="68">
        <f>IF($N89="","",INDEX('Cronograma Asistente Técnico'!$C$5:$C$1000,$N89)&amp;"")</f>
        <v/>
      </c>
      <c r="D89" s="74">
        <f>IF($N89="","",IF(INDEX('Cronograma Asistente Técnico'!$D$5:$D$1000,$N89)="","",INDEX('Cronograma Asistente Técnico'!$D$5:$D$1000,$N89)))</f>
        <v/>
      </c>
      <c r="E89" s="74">
        <f>IF($N89="","",IF(INDEX('Cronograma Asistente Técnico'!$E$5:$E$1000,$N89)="","",INDEX('Cronograma Asistente Técnico'!$E$5:$E$1000,$N89)))</f>
        <v/>
      </c>
      <c r="F89" s="60">
        <f>IF($N89="","",IF(NOT(ISNUMBER($E89)),"",IF($E89&lt;InicioCiclo,"Antes del ciclo",IF($E89&gt;=InicioCiclo+28,"Después del ciclo","Semana "&amp;(INT(($E89-InicioCiclo)/7)+1)))))</f>
        <v/>
      </c>
      <c r="G89" s="65">
        <f>IF($N89="","",IF(INDEX('Cronograma Asistente Técnico'!$G$5:$G$1000,$N89)="","",INDEX('Cronograma Asistente Técnico'!$G$5:$G$1000,$N89)))</f>
        <v/>
      </c>
      <c r="H89" s="65">
        <f>IF($N89="","",IF(INDEX('Cronograma Asistente Técnico'!$H$5:$H$1000,$N89)="","",INDEX('Cronograma Asistente Técnico'!$H$5:$H$1000,$N89)))</f>
        <v/>
      </c>
      <c r="I89" s="65">
        <f>IF($N89="","",IF(INDEX('Cronograma Asistente Técnico'!$I$5:$I$1000,$N89)="","",INDEX('Cronograma Asistente Técnico'!$I$5:$I$1000,$N89)))</f>
        <v/>
      </c>
      <c r="J89" s="65">
        <f>IF($N89="","",IF(INDEX('Cronograma Asistente Técnico'!$J$5:$J$1000,$N89)="","",INDEX('Cronograma Asistente Técnico'!$J$5:$J$1000,$N89)))</f>
        <v/>
      </c>
      <c r="K89" s="65">
        <f>IF($N89="","",INDEX('Cronograma Asistente Técnico'!$K$5:$K$1000,$N89))</f>
        <v/>
      </c>
      <c r="L89" s="60">
        <f>IF($N89="","",IF(N($K89)&gt;=1,"Completado",IF(AND(ISNUMBER($E89),$E89&lt;FechaRef),"Vencida",IF(N($K89)&gt;0,"En curso","Pendiente"))))</f>
        <v/>
      </c>
      <c r="M89" s="68">
        <f>IF($N89="","",INDEX('Cronograma Asistente Técnico'!$M$5:$M$1000,$N89)&amp;"")</f>
        <v/>
      </c>
      <c r="N89">
        <f>IFERROR(MATCH(ROW()-4,rOrden_ATR,0),"")</f>
        <v/>
      </c>
    </row>
    <row r="90">
      <c r="A90" s="60">
        <f>IF($N90="","",INDEX('Cronograma Asistente Técnico'!$A$5:$A$1000,$N90))</f>
        <v/>
      </c>
      <c r="B90" s="68">
        <f>IF($N90="","",INDEX('Cronograma Asistente Técnico'!$B$5:$B$1000,$N90)&amp;"")</f>
        <v/>
      </c>
      <c r="C90" s="68">
        <f>IF($N90="","",INDEX('Cronograma Asistente Técnico'!$C$5:$C$1000,$N90)&amp;"")</f>
        <v/>
      </c>
      <c r="D90" s="74">
        <f>IF($N90="","",IF(INDEX('Cronograma Asistente Técnico'!$D$5:$D$1000,$N90)="","",INDEX('Cronograma Asistente Técnico'!$D$5:$D$1000,$N90)))</f>
        <v/>
      </c>
      <c r="E90" s="74">
        <f>IF($N90="","",IF(INDEX('Cronograma Asistente Técnico'!$E$5:$E$1000,$N90)="","",INDEX('Cronograma Asistente Técnico'!$E$5:$E$1000,$N90)))</f>
        <v/>
      </c>
      <c r="F90" s="60">
        <f>IF($N90="","",IF(NOT(ISNUMBER($E90)),"",IF($E90&lt;InicioCiclo,"Antes del ciclo",IF($E90&gt;=InicioCiclo+28,"Después del ciclo","Semana "&amp;(INT(($E90-InicioCiclo)/7)+1)))))</f>
        <v/>
      </c>
      <c r="G90" s="65">
        <f>IF($N90="","",IF(INDEX('Cronograma Asistente Técnico'!$G$5:$G$1000,$N90)="","",INDEX('Cronograma Asistente Técnico'!$G$5:$G$1000,$N90)))</f>
        <v/>
      </c>
      <c r="H90" s="65">
        <f>IF($N90="","",IF(INDEX('Cronograma Asistente Técnico'!$H$5:$H$1000,$N90)="","",INDEX('Cronograma Asistente Técnico'!$H$5:$H$1000,$N90)))</f>
        <v/>
      </c>
      <c r="I90" s="65">
        <f>IF($N90="","",IF(INDEX('Cronograma Asistente Técnico'!$I$5:$I$1000,$N90)="","",INDEX('Cronograma Asistente Técnico'!$I$5:$I$1000,$N90)))</f>
        <v/>
      </c>
      <c r="J90" s="65">
        <f>IF($N90="","",IF(INDEX('Cronograma Asistente Técnico'!$J$5:$J$1000,$N90)="","",INDEX('Cronograma Asistente Técnico'!$J$5:$J$1000,$N90)))</f>
        <v/>
      </c>
      <c r="K90" s="65">
        <f>IF($N90="","",INDEX('Cronograma Asistente Técnico'!$K$5:$K$1000,$N90))</f>
        <v/>
      </c>
      <c r="L90" s="60">
        <f>IF($N90="","",IF(N($K90)&gt;=1,"Completado",IF(AND(ISNUMBER($E90),$E90&lt;FechaRef),"Vencida",IF(N($K90)&gt;0,"En curso","Pendiente"))))</f>
        <v/>
      </c>
      <c r="M90" s="68">
        <f>IF($N90="","",INDEX('Cronograma Asistente Técnico'!$M$5:$M$1000,$N90)&amp;"")</f>
        <v/>
      </c>
      <c r="N90">
        <f>IFERROR(MATCH(ROW()-4,rOrden_ATR,0),"")</f>
        <v/>
      </c>
    </row>
    <row r="91">
      <c r="A91" s="60">
        <f>IF($N91="","",INDEX('Cronograma Asistente Técnico'!$A$5:$A$1000,$N91))</f>
        <v/>
      </c>
      <c r="B91" s="68">
        <f>IF($N91="","",INDEX('Cronograma Asistente Técnico'!$B$5:$B$1000,$N91)&amp;"")</f>
        <v/>
      </c>
      <c r="C91" s="68">
        <f>IF($N91="","",INDEX('Cronograma Asistente Técnico'!$C$5:$C$1000,$N91)&amp;"")</f>
        <v/>
      </c>
      <c r="D91" s="74">
        <f>IF($N91="","",IF(INDEX('Cronograma Asistente Técnico'!$D$5:$D$1000,$N91)="","",INDEX('Cronograma Asistente Técnico'!$D$5:$D$1000,$N91)))</f>
        <v/>
      </c>
      <c r="E91" s="74">
        <f>IF($N91="","",IF(INDEX('Cronograma Asistente Técnico'!$E$5:$E$1000,$N91)="","",INDEX('Cronograma Asistente Técnico'!$E$5:$E$1000,$N91)))</f>
        <v/>
      </c>
      <c r="F91" s="60">
        <f>IF($N91="","",IF(NOT(ISNUMBER($E91)),"",IF($E91&lt;InicioCiclo,"Antes del ciclo",IF($E91&gt;=InicioCiclo+28,"Después del ciclo","Semana "&amp;(INT(($E91-InicioCiclo)/7)+1)))))</f>
        <v/>
      </c>
      <c r="G91" s="65">
        <f>IF($N91="","",IF(INDEX('Cronograma Asistente Técnico'!$G$5:$G$1000,$N91)="","",INDEX('Cronograma Asistente Técnico'!$G$5:$G$1000,$N91)))</f>
        <v/>
      </c>
      <c r="H91" s="65">
        <f>IF($N91="","",IF(INDEX('Cronograma Asistente Técnico'!$H$5:$H$1000,$N91)="","",INDEX('Cronograma Asistente Técnico'!$H$5:$H$1000,$N91)))</f>
        <v/>
      </c>
      <c r="I91" s="65">
        <f>IF($N91="","",IF(INDEX('Cronograma Asistente Técnico'!$I$5:$I$1000,$N91)="","",INDEX('Cronograma Asistente Técnico'!$I$5:$I$1000,$N91)))</f>
        <v/>
      </c>
      <c r="J91" s="65">
        <f>IF($N91="","",IF(INDEX('Cronograma Asistente Técnico'!$J$5:$J$1000,$N91)="","",INDEX('Cronograma Asistente Técnico'!$J$5:$J$1000,$N91)))</f>
        <v/>
      </c>
      <c r="K91" s="65">
        <f>IF($N91="","",INDEX('Cronograma Asistente Técnico'!$K$5:$K$1000,$N91))</f>
        <v/>
      </c>
      <c r="L91" s="60">
        <f>IF($N91="","",IF(N($K91)&gt;=1,"Completado",IF(AND(ISNUMBER($E91),$E91&lt;FechaRef),"Vencida",IF(N($K91)&gt;0,"En curso","Pendiente"))))</f>
        <v/>
      </c>
      <c r="M91" s="68">
        <f>IF($N91="","",INDEX('Cronograma Asistente Técnico'!$M$5:$M$1000,$N91)&amp;"")</f>
        <v/>
      </c>
      <c r="N91">
        <f>IFERROR(MATCH(ROW()-4,rOrden_ATR,0),"")</f>
        <v/>
      </c>
    </row>
    <row r="92">
      <c r="A92" s="60">
        <f>IF($N92="","",INDEX('Cronograma Asistente Técnico'!$A$5:$A$1000,$N92))</f>
        <v/>
      </c>
      <c r="B92" s="68">
        <f>IF($N92="","",INDEX('Cronograma Asistente Técnico'!$B$5:$B$1000,$N92)&amp;"")</f>
        <v/>
      </c>
      <c r="C92" s="68">
        <f>IF($N92="","",INDEX('Cronograma Asistente Técnico'!$C$5:$C$1000,$N92)&amp;"")</f>
        <v/>
      </c>
      <c r="D92" s="74">
        <f>IF($N92="","",IF(INDEX('Cronograma Asistente Técnico'!$D$5:$D$1000,$N92)="","",INDEX('Cronograma Asistente Técnico'!$D$5:$D$1000,$N92)))</f>
        <v/>
      </c>
      <c r="E92" s="74">
        <f>IF($N92="","",IF(INDEX('Cronograma Asistente Técnico'!$E$5:$E$1000,$N92)="","",INDEX('Cronograma Asistente Técnico'!$E$5:$E$1000,$N92)))</f>
        <v/>
      </c>
      <c r="F92" s="60">
        <f>IF($N92="","",IF(NOT(ISNUMBER($E92)),"",IF($E92&lt;InicioCiclo,"Antes del ciclo",IF($E92&gt;=InicioCiclo+28,"Después del ciclo","Semana "&amp;(INT(($E92-InicioCiclo)/7)+1)))))</f>
        <v/>
      </c>
      <c r="G92" s="65">
        <f>IF($N92="","",IF(INDEX('Cronograma Asistente Técnico'!$G$5:$G$1000,$N92)="","",INDEX('Cronograma Asistente Técnico'!$G$5:$G$1000,$N92)))</f>
        <v/>
      </c>
      <c r="H92" s="65">
        <f>IF($N92="","",IF(INDEX('Cronograma Asistente Técnico'!$H$5:$H$1000,$N92)="","",INDEX('Cronograma Asistente Técnico'!$H$5:$H$1000,$N92)))</f>
        <v/>
      </c>
      <c r="I92" s="65">
        <f>IF($N92="","",IF(INDEX('Cronograma Asistente Técnico'!$I$5:$I$1000,$N92)="","",INDEX('Cronograma Asistente Técnico'!$I$5:$I$1000,$N92)))</f>
        <v/>
      </c>
      <c r="J92" s="65">
        <f>IF($N92="","",IF(INDEX('Cronograma Asistente Técnico'!$J$5:$J$1000,$N92)="","",INDEX('Cronograma Asistente Técnico'!$J$5:$J$1000,$N92)))</f>
        <v/>
      </c>
      <c r="K92" s="65">
        <f>IF($N92="","",INDEX('Cronograma Asistente Técnico'!$K$5:$K$1000,$N92))</f>
        <v/>
      </c>
      <c r="L92" s="60">
        <f>IF($N92="","",IF(N($K92)&gt;=1,"Completado",IF(AND(ISNUMBER($E92),$E92&lt;FechaRef),"Vencida",IF(N($K92)&gt;0,"En curso","Pendiente"))))</f>
        <v/>
      </c>
      <c r="M92" s="68">
        <f>IF($N92="","",INDEX('Cronograma Asistente Técnico'!$M$5:$M$1000,$N92)&amp;"")</f>
        <v/>
      </c>
      <c r="N92">
        <f>IFERROR(MATCH(ROW()-4,rOrden_ATR,0),"")</f>
        <v/>
      </c>
    </row>
    <row r="93">
      <c r="A93" s="60">
        <f>IF($N93="","",INDEX('Cronograma Asistente Técnico'!$A$5:$A$1000,$N93))</f>
        <v/>
      </c>
      <c r="B93" s="68">
        <f>IF($N93="","",INDEX('Cronograma Asistente Técnico'!$B$5:$B$1000,$N93)&amp;"")</f>
        <v/>
      </c>
      <c r="C93" s="68">
        <f>IF($N93="","",INDEX('Cronograma Asistente Técnico'!$C$5:$C$1000,$N93)&amp;"")</f>
        <v/>
      </c>
      <c r="D93" s="74">
        <f>IF($N93="","",IF(INDEX('Cronograma Asistente Técnico'!$D$5:$D$1000,$N93)="","",INDEX('Cronograma Asistente Técnico'!$D$5:$D$1000,$N93)))</f>
        <v/>
      </c>
      <c r="E93" s="74">
        <f>IF($N93="","",IF(INDEX('Cronograma Asistente Técnico'!$E$5:$E$1000,$N93)="","",INDEX('Cronograma Asistente Técnico'!$E$5:$E$1000,$N93)))</f>
        <v/>
      </c>
      <c r="F93" s="60">
        <f>IF($N93="","",IF(NOT(ISNUMBER($E93)),"",IF($E93&lt;InicioCiclo,"Antes del ciclo",IF($E93&gt;=InicioCiclo+28,"Después del ciclo","Semana "&amp;(INT(($E93-InicioCiclo)/7)+1)))))</f>
        <v/>
      </c>
      <c r="G93" s="65">
        <f>IF($N93="","",IF(INDEX('Cronograma Asistente Técnico'!$G$5:$G$1000,$N93)="","",INDEX('Cronograma Asistente Técnico'!$G$5:$G$1000,$N93)))</f>
        <v/>
      </c>
      <c r="H93" s="65">
        <f>IF($N93="","",IF(INDEX('Cronograma Asistente Técnico'!$H$5:$H$1000,$N93)="","",INDEX('Cronograma Asistente Técnico'!$H$5:$H$1000,$N93)))</f>
        <v/>
      </c>
      <c r="I93" s="65">
        <f>IF($N93="","",IF(INDEX('Cronograma Asistente Técnico'!$I$5:$I$1000,$N93)="","",INDEX('Cronograma Asistente Técnico'!$I$5:$I$1000,$N93)))</f>
        <v/>
      </c>
      <c r="J93" s="65">
        <f>IF($N93="","",IF(INDEX('Cronograma Asistente Técnico'!$J$5:$J$1000,$N93)="","",INDEX('Cronograma Asistente Técnico'!$J$5:$J$1000,$N93)))</f>
        <v/>
      </c>
      <c r="K93" s="65">
        <f>IF($N93="","",INDEX('Cronograma Asistente Técnico'!$K$5:$K$1000,$N93))</f>
        <v/>
      </c>
      <c r="L93" s="60">
        <f>IF($N93="","",IF(N($K93)&gt;=1,"Completado",IF(AND(ISNUMBER($E93),$E93&lt;FechaRef),"Vencida",IF(N($K93)&gt;0,"En curso","Pendiente"))))</f>
        <v/>
      </c>
      <c r="M93" s="68">
        <f>IF($N93="","",INDEX('Cronograma Asistente Técnico'!$M$5:$M$1000,$N93)&amp;"")</f>
        <v/>
      </c>
      <c r="N93">
        <f>IFERROR(MATCH(ROW()-4,rOrden_ATR,0),"")</f>
        <v/>
      </c>
    </row>
    <row r="94">
      <c r="A94" s="60">
        <f>IF($N94="","",INDEX('Cronograma Asistente Técnico'!$A$5:$A$1000,$N94))</f>
        <v/>
      </c>
      <c r="B94" s="68">
        <f>IF($N94="","",INDEX('Cronograma Asistente Técnico'!$B$5:$B$1000,$N94)&amp;"")</f>
        <v/>
      </c>
      <c r="C94" s="68">
        <f>IF($N94="","",INDEX('Cronograma Asistente Técnico'!$C$5:$C$1000,$N94)&amp;"")</f>
        <v/>
      </c>
      <c r="D94" s="74">
        <f>IF($N94="","",IF(INDEX('Cronograma Asistente Técnico'!$D$5:$D$1000,$N94)="","",INDEX('Cronograma Asistente Técnico'!$D$5:$D$1000,$N94)))</f>
        <v/>
      </c>
      <c r="E94" s="74">
        <f>IF($N94="","",IF(INDEX('Cronograma Asistente Técnico'!$E$5:$E$1000,$N94)="","",INDEX('Cronograma Asistente Técnico'!$E$5:$E$1000,$N94)))</f>
        <v/>
      </c>
      <c r="F94" s="60">
        <f>IF($N94="","",IF(NOT(ISNUMBER($E94)),"",IF($E94&lt;InicioCiclo,"Antes del ciclo",IF($E94&gt;=InicioCiclo+28,"Después del ciclo","Semana "&amp;(INT(($E94-InicioCiclo)/7)+1)))))</f>
        <v/>
      </c>
      <c r="G94" s="65">
        <f>IF($N94="","",IF(INDEX('Cronograma Asistente Técnico'!$G$5:$G$1000,$N94)="","",INDEX('Cronograma Asistente Técnico'!$G$5:$G$1000,$N94)))</f>
        <v/>
      </c>
      <c r="H94" s="65">
        <f>IF($N94="","",IF(INDEX('Cronograma Asistente Técnico'!$H$5:$H$1000,$N94)="","",INDEX('Cronograma Asistente Técnico'!$H$5:$H$1000,$N94)))</f>
        <v/>
      </c>
      <c r="I94" s="65">
        <f>IF($N94="","",IF(INDEX('Cronograma Asistente Técnico'!$I$5:$I$1000,$N94)="","",INDEX('Cronograma Asistente Técnico'!$I$5:$I$1000,$N94)))</f>
        <v/>
      </c>
      <c r="J94" s="65">
        <f>IF($N94="","",IF(INDEX('Cronograma Asistente Técnico'!$J$5:$J$1000,$N94)="","",INDEX('Cronograma Asistente Técnico'!$J$5:$J$1000,$N94)))</f>
        <v/>
      </c>
      <c r="K94" s="65">
        <f>IF($N94="","",INDEX('Cronograma Asistente Técnico'!$K$5:$K$1000,$N94))</f>
        <v/>
      </c>
      <c r="L94" s="60">
        <f>IF($N94="","",IF(N($K94)&gt;=1,"Completado",IF(AND(ISNUMBER($E94),$E94&lt;FechaRef),"Vencida",IF(N($K94)&gt;0,"En curso","Pendiente"))))</f>
        <v/>
      </c>
      <c r="M94" s="68">
        <f>IF($N94="","",INDEX('Cronograma Asistente Técnico'!$M$5:$M$1000,$N94)&amp;"")</f>
        <v/>
      </c>
      <c r="N94">
        <f>IFERROR(MATCH(ROW()-4,rOrden_ATR,0),"")</f>
        <v/>
      </c>
    </row>
    <row r="95">
      <c r="A95" s="60">
        <f>IF($N95="","",INDEX('Cronograma Asistente Técnico'!$A$5:$A$1000,$N95))</f>
        <v/>
      </c>
      <c r="B95" s="68">
        <f>IF($N95="","",INDEX('Cronograma Asistente Técnico'!$B$5:$B$1000,$N95)&amp;"")</f>
        <v/>
      </c>
      <c r="C95" s="68">
        <f>IF($N95="","",INDEX('Cronograma Asistente Técnico'!$C$5:$C$1000,$N95)&amp;"")</f>
        <v/>
      </c>
      <c r="D95" s="74">
        <f>IF($N95="","",IF(INDEX('Cronograma Asistente Técnico'!$D$5:$D$1000,$N95)="","",INDEX('Cronograma Asistente Técnico'!$D$5:$D$1000,$N95)))</f>
        <v/>
      </c>
      <c r="E95" s="74">
        <f>IF($N95="","",IF(INDEX('Cronograma Asistente Técnico'!$E$5:$E$1000,$N95)="","",INDEX('Cronograma Asistente Técnico'!$E$5:$E$1000,$N95)))</f>
        <v/>
      </c>
      <c r="F95" s="60">
        <f>IF($N95="","",IF(NOT(ISNUMBER($E95)),"",IF($E95&lt;InicioCiclo,"Antes del ciclo",IF($E95&gt;=InicioCiclo+28,"Después del ciclo","Semana "&amp;(INT(($E95-InicioCiclo)/7)+1)))))</f>
        <v/>
      </c>
      <c r="G95" s="65">
        <f>IF($N95="","",IF(INDEX('Cronograma Asistente Técnico'!$G$5:$G$1000,$N95)="","",INDEX('Cronograma Asistente Técnico'!$G$5:$G$1000,$N95)))</f>
        <v/>
      </c>
      <c r="H95" s="65">
        <f>IF($N95="","",IF(INDEX('Cronograma Asistente Técnico'!$H$5:$H$1000,$N95)="","",INDEX('Cronograma Asistente Técnico'!$H$5:$H$1000,$N95)))</f>
        <v/>
      </c>
      <c r="I95" s="65">
        <f>IF($N95="","",IF(INDEX('Cronograma Asistente Técnico'!$I$5:$I$1000,$N95)="","",INDEX('Cronograma Asistente Técnico'!$I$5:$I$1000,$N95)))</f>
        <v/>
      </c>
      <c r="J95" s="65">
        <f>IF($N95="","",IF(INDEX('Cronograma Asistente Técnico'!$J$5:$J$1000,$N95)="","",INDEX('Cronograma Asistente Técnico'!$J$5:$J$1000,$N95)))</f>
        <v/>
      </c>
      <c r="K95" s="65">
        <f>IF($N95="","",INDEX('Cronograma Asistente Técnico'!$K$5:$K$1000,$N95))</f>
        <v/>
      </c>
      <c r="L95" s="60">
        <f>IF($N95="","",IF(N($K95)&gt;=1,"Completado",IF(AND(ISNUMBER($E95),$E95&lt;FechaRef),"Vencida",IF(N($K95)&gt;0,"En curso","Pendiente"))))</f>
        <v/>
      </c>
      <c r="M95" s="68">
        <f>IF($N95="","",INDEX('Cronograma Asistente Técnico'!$M$5:$M$1000,$N95)&amp;"")</f>
        <v/>
      </c>
      <c r="N95">
        <f>IFERROR(MATCH(ROW()-4,rOrden_ATR,0),"")</f>
        <v/>
      </c>
    </row>
    <row r="96">
      <c r="A96" s="60">
        <f>IF($N96="","",INDEX('Cronograma Asistente Técnico'!$A$5:$A$1000,$N96))</f>
        <v/>
      </c>
      <c r="B96" s="68">
        <f>IF($N96="","",INDEX('Cronograma Asistente Técnico'!$B$5:$B$1000,$N96)&amp;"")</f>
        <v/>
      </c>
      <c r="C96" s="68">
        <f>IF($N96="","",INDEX('Cronograma Asistente Técnico'!$C$5:$C$1000,$N96)&amp;"")</f>
        <v/>
      </c>
      <c r="D96" s="74">
        <f>IF($N96="","",IF(INDEX('Cronograma Asistente Técnico'!$D$5:$D$1000,$N96)="","",INDEX('Cronograma Asistente Técnico'!$D$5:$D$1000,$N96)))</f>
        <v/>
      </c>
      <c r="E96" s="74">
        <f>IF($N96="","",IF(INDEX('Cronograma Asistente Técnico'!$E$5:$E$1000,$N96)="","",INDEX('Cronograma Asistente Técnico'!$E$5:$E$1000,$N96)))</f>
        <v/>
      </c>
      <c r="F96" s="60">
        <f>IF($N96="","",IF(NOT(ISNUMBER($E96)),"",IF($E96&lt;InicioCiclo,"Antes del ciclo",IF($E96&gt;=InicioCiclo+28,"Después del ciclo","Semana "&amp;(INT(($E96-InicioCiclo)/7)+1)))))</f>
        <v/>
      </c>
      <c r="G96" s="65">
        <f>IF($N96="","",IF(INDEX('Cronograma Asistente Técnico'!$G$5:$G$1000,$N96)="","",INDEX('Cronograma Asistente Técnico'!$G$5:$G$1000,$N96)))</f>
        <v/>
      </c>
      <c r="H96" s="65">
        <f>IF($N96="","",IF(INDEX('Cronograma Asistente Técnico'!$H$5:$H$1000,$N96)="","",INDEX('Cronograma Asistente Técnico'!$H$5:$H$1000,$N96)))</f>
        <v/>
      </c>
      <c r="I96" s="65">
        <f>IF($N96="","",IF(INDEX('Cronograma Asistente Técnico'!$I$5:$I$1000,$N96)="","",INDEX('Cronograma Asistente Técnico'!$I$5:$I$1000,$N96)))</f>
        <v/>
      </c>
      <c r="J96" s="65">
        <f>IF($N96="","",IF(INDEX('Cronograma Asistente Técnico'!$J$5:$J$1000,$N96)="","",INDEX('Cronograma Asistente Técnico'!$J$5:$J$1000,$N96)))</f>
        <v/>
      </c>
      <c r="K96" s="65">
        <f>IF($N96="","",INDEX('Cronograma Asistente Técnico'!$K$5:$K$1000,$N96))</f>
        <v/>
      </c>
      <c r="L96" s="60">
        <f>IF($N96="","",IF(N($K96)&gt;=1,"Completado",IF(AND(ISNUMBER($E96),$E96&lt;FechaRef),"Vencida",IF(N($K96)&gt;0,"En curso","Pendiente"))))</f>
        <v/>
      </c>
      <c r="M96" s="68">
        <f>IF($N96="","",INDEX('Cronograma Asistente Técnico'!$M$5:$M$1000,$N96)&amp;"")</f>
        <v/>
      </c>
      <c r="N96">
        <f>IFERROR(MATCH(ROW()-4,rOrden_ATR,0),"")</f>
        <v/>
      </c>
    </row>
    <row r="97">
      <c r="A97" s="60">
        <f>IF($N97="","",INDEX('Cronograma Asistente Técnico'!$A$5:$A$1000,$N97))</f>
        <v/>
      </c>
      <c r="B97" s="68">
        <f>IF($N97="","",INDEX('Cronograma Asistente Técnico'!$B$5:$B$1000,$N97)&amp;"")</f>
        <v/>
      </c>
      <c r="C97" s="68">
        <f>IF($N97="","",INDEX('Cronograma Asistente Técnico'!$C$5:$C$1000,$N97)&amp;"")</f>
        <v/>
      </c>
      <c r="D97" s="74">
        <f>IF($N97="","",IF(INDEX('Cronograma Asistente Técnico'!$D$5:$D$1000,$N97)="","",INDEX('Cronograma Asistente Técnico'!$D$5:$D$1000,$N97)))</f>
        <v/>
      </c>
      <c r="E97" s="74">
        <f>IF($N97="","",IF(INDEX('Cronograma Asistente Técnico'!$E$5:$E$1000,$N97)="","",INDEX('Cronograma Asistente Técnico'!$E$5:$E$1000,$N97)))</f>
        <v/>
      </c>
      <c r="F97" s="60">
        <f>IF($N97="","",IF(NOT(ISNUMBER($E97)),"",IF($E97&lt;InicioCiclo,"Antes del ciclo",IF($E97&gt;=InicioCiclo+28,"Después del ciclo","Semana "&amp;(INT(($E97-InicioCiclo)/7)+1)))))</f>
        <v/>
      </c>
      <c r="G97" s="65">
        <f>IF($N97="","",IF(INDEX('Cronograma Asistente Técnico'!$G$5:$G$1000,$N97)="","",INDEX('Cronograma Asistente Técnico'!$G$5:$G$1000,$N97)))</f>
        <v/>
      </c>
      <c r="H97" s="65">
        <f>IF($N97="","",IF(INDEX('Cronograma Asistente Técnico'!$H$5:$H$1000,$N97)="","",INDEX('Cronograma Asistente Técnico'!$H$5:$H$1000,$N97)))</f>
        <v/>
      </c>
      <c r="I97" s="65">
        <f>IF($N97="","",IF(INDEX('Cronograma Asistente Técnico'!$I$5:$I$1000,$N97)="","",INDEX('Cronograma Asistente Técnico'!$I$5:$I$1000,$N97)))</f>
        <v/>
      </c>
      <c r="J97" s="65">
        <f>IF($N97="","",IF(INDEX('Cronograma Asistente Técnico'!$J$5:$J$1000,$N97)="","",INDEX('Cronograma Asistente Técnico'!$J$5:$J$1000,$N97)))</f>
        <v/>
      </c>
      <c r="K97" s="65">
        <f>IF($N97="","",INDEX('Cronograma Asistente Técnico'!$K$5:$K$1000,$N97))</f>
        <v/>
      </c>
      <c r="L97" s="60">
        <f>IF($N97="","",IF(N($K97)&gt;=1,"Completado",IF(AND(ISNUMBER($E97),$E97&lt;FechaRef),"Vencida",IF(N($K97)&gt;0,"En curso","Pendiente"))))</f>
        <v/>
      </c>
      <c r="M97" s="68">
        <f>IF($N97="","",INDEX('Cronograma Asistente Técnico'!$M$5:$M$1000,$N97)&amp;"")</f>
        <v/>
      </c>
      <c r="N97">
        <f>IFERROR(MATCH(ROW()-4,rOrden_ATR,0),"")</f>
        <v/>
      </c>
    </row>
    <row r="98">
      <c r="A98" s="60">
        <f>IF($N98="","",INDEX('Cronograma Asistente Técnico'!$A$5:$A$1000,$N98))</f>
        <v/>
      </c>
      <c r="B98" s="68">
        <f>IF($N98="","",INDEX('Cronograma Asistente Técnico'!$B$5:$B$1000,$N98)&amp;"")</f>
        <v/>
      </c>
      <c r="C98" s="68">
        <f>IF($N98="","",INDEX('Cronograma Asistente Técnico'!$C$5:$C$1000,$N98)&amp;"")</f>
        <v/>
      </c>
      <c r="D98" s="74">
        <f>IF($N98="","",IF(INDEX('Cronograma Asistente Técnico'!$D$5:$D$1000,$N98)="","",INDEX('Cronograma Asistente Técnico'!$D$5:$D$1000,$N98)))</f>
        <v/>
      </c>
      <c r="E98" s="74">
        <f>IF($N98="","",IF(INDEX('Cronograma Asistente Técnico'!$E$5:$E$1000,$N98)="","",INDEX('Cronograma Asistente Técnico'!$E$5:$E$1000,$N98)))</f>
        <v/>
      </c>
      <c r="F98" s="60">
        <f>IF($N98="","",IF(NOT(ISNUMBER($E98)),"",IF($E98&lt;InicioCiclo,"Antes del ciclo",IF($E98&gt;=InicioCiclo+28,"Después del ciclo","Semana "&amp;(INT(($E98-InicioCiclo)/7)+1)))))</f>
        <v/>
      </c>
      <c r="G98" s="65">
        <f>IF($N98="","",IF(INDEX('Cronograma Asistente Técnico'!$G$5:$G$1000,$N98)="","",INDEX('Cronograma Asistente Técnico'!$G$5:$G$1000,$N98)))</f>
        <v/>
      </c>
      <c r="H98" s="65">
        <f>IF($N98="","",IF(INDEX('Cronograma Asistente Técnico'!$H$5:$H$1000,$N98)="","",INDEX('Cronograma Asistente Técnico'!$H$5:$H$1000,$N98)))</f>
        <v/>
      </c>
      <c r="I98" s="65">
        <f>IF($N98="","",IF(INDEX('Cronograma Asistente Técnico'!$I$5:$I$1000,$N98)="","",INDEX('Cronograma Asistente Técnico'!$I$5:$I$1000,$N98)))</f>
        <v/>
      </c>
      <c r="J98" s="65">
        <f>IF($N98="","",IF(INDEX('Cronograma Asistente Técnico'!$J$5:$J$1000,$N98)="","",INDEX('Cronograma Asistente Técnico'!$J$5:$J$1000,$N98)))</f>
        <v/>
      </c>
      <c r="K98" s="65">
        <f>IF($N98="","",INDEX('Cronograma Asistente Técnico'!$K$5:$K$1000,$N98))</f>
        <v/>
      </c>
      <c r="L98" s="60">
        <f>IF($N98="","",IF(N($K98)&gt;=1,"Completado",IF(AND(ISNUMBER($E98),$E98&lt;FechaRef),"Vencida",IF(N($K98)&gt;0,"En curso","Pendiente"))))</f>
        <v/>
      </c>
      <c r="M98" s="68">
        <f>IF($N98="","",INDEX('Cronograma Asistente Técnico'!$M$5:$M$1000,$N98)&amp;"")</f>
        <v/>
      </c>
      <c r="N98">
        <f>IFERROR(MATCH(ROW()-4,rOrden_ATR,0),"")</f>
        <v/>
      </c>
    </row>
    <row r="99">
      <c r="A99" s="60">
        <f>IF($N99="","",INDEX('Cronograma Asistente Técnico'!$A$5:$A$1000,$N99))</f>
        <v/>
      </c>
      <c r="B99" s="68">
        <f>IF($N99="","",INDEX('Cronograma Asistente Técnico'!$B$5:$B$1000,$N99)&amp;"")</f>
        <v/>
      </c>
      <c r="C99" s="68">
        <f>IF($N99="","",INDEX('Cronograma Asistente Técnico'!$C$5:$C$1000,$N99)&amp;"")</f>
        <v/>
      </c>
      <c r="D99" s="74">
        <f>IF($N99="","",IF(INDEX('Cronograma Asistente Técnico'!$D$5:$D$1000,$N99)="","",INDEX('Cronograma Asistente Técnico'!$D$5:$D$1000,$N99)))</f>
        <v/>
      </c>
      <c r="E99" s="74">
        <f>IF($N99="","",IF(INDEX('Cronograma Asistente Técnico'!$E$5:$E$1000,$N99)="","",INDEX('Cronograma Asistente Técnico'!$E$5:$E$1000,$N99)))</f>
        <v/>
      </c>
      <c r="F99" s="60">
        <f>IF($N99="","",IF(NOT(ISNUMBER($E99)),"",IF($E99&lt;InicioCiclo,"Antes del ciclo",IF($E99&gt;=InicioCiclo+28,"Después del ciclo","Semana "&amp;(INT(($E99-InicioCiclo)/7)+1)))))</f>
        <v/>
      </c>
      <c r="G99" s="65">
        <f>IF($N99="","",IF(INDEX('Cronograma Asistente Técnico'!$G$5:$G$1000,$N99)="","",INDEX('Cronograma Asistente Técnico'!$G$5:$G$1000,$N99)))</f>
        <v/>
      </c>
      <c r="H99" s="65">
        <f>IF($N99="","",IF(INDEX('Cronograma Asistente Técnico'!$H$5:$H$1000,$N99)="","",INDEX('Cronograma Asistente Técnico'!$H$5:$H$1000,$N99)))</f>
        <v/>
      </c>
      <c r="I99" s="65">
        <f>IF($N99="","",IF(INDEX('Cronograma Asistente Técnico'!$I$5:$I$1000,$N99)="","",INDEX('Cronograma Asistente Técnico'!$I$5:$I$1000,$N99)))</f>
        <v/>
      </c>
      <c r="J99" s="65">
        <f>IF($N99="","",IF(INDEX('Cronograma Asistente Técnico'!$J$5:$J$1000,$N99)="","",INDEX('Cronograma Asistente Técnico'!$J$5:$J$1000,$N99)))</f>
        <v/>
      </c>
      <c r="K99" s="65">
        <f>IF($N99="","",INDEX('Cronograma Asistente Técnico'!$K$5:$K$1000,$N99))</f>
        <v/>
      </c>
      <c r="L99" s="60">
        <f>IF($N99="","",IF(N($K99)&gt;=1,"Completado",IF(AND(ISNUMBER($E99),$E99&lt;FechaRef),"Vencida",IF(N($K99)&gt;0,"En curso","Pendiente"))))</f>
        <v/>
      </c>
      <c r="M99" s="68">
        <f>IF($N99="","",INDEX('Cronograma Asistente Técnico'!$M$5:$M$1000,$N99)&amp;"")</f>
        <v/>
      </c>
      <c r="N99">
        <f>IFERROR(MATCH(ROW()-4,rOrden_ATR,0),"")</f>
        <v/>
      </c>
    </row>
    <row r="100">
      <c r="A100" s="60">
        <f>IF($N100="","",INDEX('Cronograma Asistente Técnico'!$A$5:$A$1000,$N100))</f>
        <v/>
      </c>
      <c r="B100" s="68">
        <f>IF($N100="","",INDEX('Cronograma Asistente Técnico'!$B$5:$B$1000,$N100)&amp;"")</f>
        <v/>
      </c>
      <c r="C100" s="68">
        <f>IF($N100="","",INDEX('Cronograma Asistente Técnico'!$C$5:$C$1000,$N100)&amp;"")</f>
        <v/>
      </c>
      <c r="D100" s="74">
        <f>IF($N100="","",IF(INDEX('Cronograma Asistente Técnico'!$D$5:$D$1000,$N100)="","",INDEX('Cronograma Asistente Técnico'!$D$5:$D$1000,$N100)))</f>
        <v/>
      </c>
      <c r="E100" s="74">
        <f>IF($N100="","",IF(INDEX('Cronograma Asistente Técnico'!$E$5:$E$1000,$N100)="","",INDEX('Cronograma Asistente Técnico'!$E$5:$E$1000,$N100)))</f>
        <v/>
      </c>
      <c r="F100" s="60">
        <f>IF($N100="","",IF(NOT(ISNUMBER($E100)),"",IF($E100&lt;InicioCiclo,"Antes del ciclo",IF($E100&gt;=InicioCiclo+28,"Después del ciclo","Semana "&amp;(INT(($E100-InicioCiclo)/7)+1)))))</f>
        <v/>
      </c>
      <c r="G100" s="65">
        <f>IF($N100="","",IF(INDEX('Cronograma Asistente Técnico'!$G$5:$G$1000,$N100)="","",INDEX('Cronograma Asistente Técnico'!$G$5:$G$1000,$N100)))</f>
        <v/>
      </c>
      <c r="H100" s="65">
        <f>IF($N100="","",IF(INDEX('Cronograma Asistente Técnico'!$H$5:$H$1000,$N100)="","",INDEX('Cronograma Asistente Técnico'!$H$5:$H$1000,$N100)))</f>
        <v/>
      </c>
      <c r="I100" s="65">
        <f>IF($N100="","",IF(INDEX('Cronograma Asistente Técnico'!$I$5:$I$1000,$N100)="","",INDEX('Cronograma Asistente Técnico'!$I$5:$I$1000,$N100)))</f>
        <v/>
      </c>
      <c r="J100" s="65">
        <f>IF($N100="","",IF(INDEX('Cronograma Asistente Técnico'!$J$5:$J$1000,$N100)="","",INDEX('Cronograma Asistente Técnico'!$J$5:$J$1000,$N100)))</f>
        <v/>
      </c>
      <c r="K100" s="65">
        <f>IF($N100="","",INDEX('Cronograma Asistente Técnico'!$K$5:$K$1000,$N100))</f>
        <v/>
      </c>
      <c r="L100" s="60">
        <f>IF($N100="","",IF(N($K100)&gt;=1,"Completado",IF(AND(ISNUMBER($E100),$E100&lt;FechaRef),"Vencida",IF(N($K100)&gt;0,"En curso","Pendiente"))))</f>
        <v/>
      </c>
      <c r="M100" s="68">
        <f>IF($N100="","",INDEX('Cronograma Asistente Técnico'!$M$5:$M$1000,$N100)&amp;"")</f>
        <v/>
      </c>
      <c r="N100">
        <f>IFERROR(MATCH(ROW()-4,rOrden_ATR,0),"")</f>
        <v/>
      </c>
    </row>
    <row r="101">
      <c r="A101" s="60">
        <f>IF($N101="","",INDEX('Cronograma Asistente Técnico'!$A$5:$A$1000,$N101))</f>
        <v/>
      </c>
      <c r="B101" s="68">
        <f>IF($N101="","",INDEX('Cronograma Asistente Técnico'!$B$5:$B$1000,$N101)&amp;"")</f>
        <v/>
      </c>
      <c r="C101" s="68">
        <f>IF($N101="","",INDEX('Cronograma Asistente Técnico'!$C$5:$C$1000,$N101)&amp;"")</f>
        <v/>
      </c>
      <c r="D101" s="74">
        <f>IF($N101="","",IF(INDEX('Cronograma Asistente Técnico'!$D$5:$D$1000,$N101)="","",INDEX('Cronograma Asistente Técnico'!$D$5:$D$1000,$N101)))</f>
        <v/>
      </c>
      <c r="E101" s="74">
        <f>IF($N101="","",IF(INDEX('Cronograma Asistente Técnico'!$E$5:$E$1000,$N101)="","",INDEX('Cronograma Asistente Técnico'!$E$5:$E$1000,$N101)))</f>
        <v/>
      </c>
      <c r="F101" s="60">
        <f>IF($N101="","",IF(NOT(ISNUMBER($E101)),"",IF($E101&lt;InicioCiclo,"Antes del ciclo",IF($E101&gt;=InicioCiclo+28,"Después del ciclo","Semana "&amp;(INT(($E101-InicioCiclo)/7)+1)))))</f>
        <v/>
      </c>
      <c r="G101" s="65">
        <f>IF($N101="","",IF(INDEX('Cronograma Asistente Técnico'!$G$5:$G$1000,$N101)="","",INDEX('Cronograma Asistente Técnico'!$G$5:$G$1000,$N101)))</f>
        <v/>
      </c>
      <c r="H101" s="65">
        <f>IF($N101="","",IF(INDEX('Cronograma Asistente Técnico'!$H$5:$H$1000,$N101)="","",INDEX('Cronograma Asistente Técnico'!$H$5:$H$1000,$N101)))</f>
        <v/>
      </c>
      <c r="I101" s="65">
        <f>IF($N101="","",IF(INDEX('Cronograma Asistente Técnico'!$I$5:$I$1000,$N101)="","",INDEX('Cronograma Asistente Técnico'!$I$5:$I$1000,$N101)))</f>
        <v/>
      </c>
      <c r="J101" s="65">
        <f>IF($N101="","",IF(INDEX('Cronograma Asistente Técnico'!$J$5:$J$1000,$N101)="","",INDEX('Cronograma Asistente Técnico'!$J$5:$J$1000,$N101)))</f>
        <v/>
      </c>
      <c r="K101" s="65">
        <f>IF($N101="","",INDEX('Cronograma Asistente Técnico'!$K$5:$K$1000,$N101))</f>
        <v/>
      </c>
      <c r="L101" s="60">
        <f>IF($N101="","",IF(N($K101)&gt;=1,"Completado",IF(AND(ISNUMBER($E101),$E101&lt;FechaRef),"Vencida",IF(N($K101)&gt;0,"En curso","Pendiente"))))</f>
        <v/>
      </c>
      <c r="M101" s="68">
        <f>IF($N101="","",INDEX('Cronograma Asistente Técnico'!$M$5:$M$1000,$N101)&amp;"")</f>
        <v/>
      </c>
      <c r="N101">
        <f>IFERROR(MATCH(ROW()-4,rOrden_ATR,0),"")</f>
        <v/>
      </c>
    </row>
    <row r="102">
      <c r="A102" s="60">
        <f>IF($N102="","",INDEX('Cronograma Asistente Técnico'!$A$5:$A$1000,$N102))</f>
        <v/>
      </c>
      <c r="B102" s="68">
        <f>IF($N102="","",INDEX('Cronograma Asistente Técnico'!$B$5:$B$1000,$N102)&amp;"")</f>
        <v/>
      </c>
      <c r="C102" s="68">
        <f>IF($N102="","",INDEX('Cronograma Asistente Técnico'!$C$5:$C$1000,$N102)&amp;"")</f>
        <v/>
      </c>
      <c r="D102" s="74">
        <f>IF($N102="","",IF(INDEX('Cronograma Asistente Técnico'!$D$5:$D$1000,$N102)="","",INDEX('Cronograma Asistente Técnico'!$D$5:$D$1000,$N102)))</f>
        <v/>
      </c>
      <c r="E102" s="74">
        <f>IF($N102="","",IF(INDEX('Cronograma Asistente Técnico'!$E$5:$E$1000,$N102)="","",INDEX('Cronograma Asistente Técnico'!$E$5:$E$1000,$N102)))</f>
        <v/>
      </c>
      <c r="F102" s="60">
        <f>IF($N102="","",IF(NOT(ISNUMBER($E102)),"",IF($E102&lt;InicioCiclo,"Antes del ciclo",IF($E102&gt;=InicioCiclo+28,"Después del ciclo","Semana "&amp;(INT(($E102-InicioCiclo)/7)+1)))))</f>
        <v/>
      </c>
      <c r="G102" s="65">
        <f>IF($N102="","",IF(INDEX('Cronograma Asistente Técnico'!$G$5:$G$1000,$N102)="","",INDEX('Cronograma Asistente Técnico'!$G$5:$G$1000,$N102)))</f>
        <v/>
      </c>
      <c r="H102" s="65">
        <f>IF($N102="","",IF(INDEX('Cronograma Asistente Técnico'!$H$5:$H$1000,$N102)="","",INDEX('Cronograma Asistente Técnico'!$H$5:$H$1000,$N102)))</f>
        <v/>
      </c>
      <c r="I102" s="65">
        <f>IF($N102="","",IF(INDEX('Cronograma Asistente Técnico'!$I$5:$I$1000,$N102)="","",INDEX('Cronograma Asistente Técnico'!$I$5:$I$1000,$N102)))</f>
        <v/>
      </c>
      <c r="J102" s="65">
        <f>IF($N102="","",IF(INDEX('Cronograma Asistente Técnico'!$J$5:$J$1000,$N102)="","",INDEX('Cronograma Asistente Técnico'!$J$5:$J$1000,$N102)))</f>
        <v/>
      </c>
      <c r="K102" s="65">
        <f>IF($N102="","",INDEX('Cronograma Asistente Técnico'!$K$5:$K$1000,$N102))</f>
        <v/>
      </c>
      <c r="L102" s="60">
        <f>IF($N102="","",IF(N($K102)&gt;=1,"Completado",IF(AND(ISNUMBER($E102),$E102&lt;FechaRef),"Vencida",IF(N($K102)&gt;0,"En curso","Pendiente"))))</f>
        <v/>
      </c>
      <c r="M102" s="68">
        <f>IF($N102="","",INDEX('Cronograma Asistente Técnico'!$M$5:$M$1000,$N102)&amp;"")</f>
        <v/>
      </c>
      <c r="N102">
        <f>IFERROR(MATCH(ROW()-4,rOrden_ATR,0),"")</f>
        <v/>
      </c>
    </row>
    <row r="103">
      <c r="A103" s="60">
        <f>IF($N103="","",INDEX('Cronograma Asistente Técnico'!$A$5:$A$1000,$N103))</f>
        <v/>
      </c>
      <c r="B103" s="68">
        <f>IF($N103="","",INDEX('Cronograma Asistente Técnico'!$B$5:$B$1000,$N103)&amp;"")</f>
        <v/>
      </c>
      <c r="C103" s="68">
        <f>IF($N103="","",INDEX('Cronograma Asistente Técnico'!$C$5:$C$1000,$N103)&amp;"")</f>
        <v/>
      </c>
      <c r="D103" s="74">
        <f>IF($N103="","",IF(INDEX('Cronograma Asistente Técnico'!$D$5:$D$1000,$N103)="","",INDEX('Cronograma Asistente Técnico'!$D$5:$D$1000,$N103)))</f>
        <v/>
      </c>
      <c r="E103" s="74">
        <f>IF($N103="","",IF(INDEX('Cronograma Asistente Técnico'!$E$5:$E$1000,$N103)="","",INDEX('Cronograma Asistente Técnico'!$E$5:$E$1000,$N103)))</f>
        <v/>
      </c>
      <c r="F103" s="60">
        <f>IF($N103="","",IF(NOT(ISNUMBER($E103)),"",IF($E103&lt;InicioCiclo,"Antes del ciclo",IF($E103&gt;=InicioCiclo+28,"Después del ciclo","Semana "&amp;(INT(($E103-InicioCiclo)/7)+1)))))</f>
        <v/>
      </c>
      <c r="G103" s="65">
        <f>IF($N103="","",IF(INDEX('Cronograma Asistente Técnico'!$G$5:$G$1000,$N103)="","",INDEX('Cronograma Asistente Técnico'!$G$5:$G$1000,$N103)))</f>
        <v/>
      </c>
      <c r="H103" s="65">
        <f>IF($N103="","",IF(INDEX('Cronograma Asistente Técnico'!$H$5:$H$1000,$N103)="","",INDEX('Cronograma Asistente Técnico'!$H$5:$H$1000,$N103)))</f>
        <v/>
      </c>
      <c r="I103" s="65">
        <f>IF($N103="","",IF(INDEX('Cronograma Asistente Técnico'!$I$5:$I$1000,$N103)="","",INDEX('Cronograma Asistente Técnico'!$I$5:$I$1000,$N103)))</f>
        <v/>
      </c>
      <c r="J103" s="65">
        <f>IF($N103="","",IF(INDEX('Cronograma Asistente Técnico'!$J$5:$J$1000,$N103)="","",INDEX('Cronograma Asistente Técnico'!$J$5:$J$1000,$N103)))</f>
        <v/>
      </c>
      <c r="K103" s="65">
        <f>IF($N103="","",INDEX('Cronograma Asistente Técnico'!$K$5:$K$1000,$N103))</f>
        <v/>
      </c>
      <c r="L103" s="60">
        <f>IF($N103="","",IF(N($K103)&gt;=1,"Completado",IF(AND(ISNUMBER($E103),$E103&lt;FechaRef),"Vencida",IF(N($K103)&gt;0,"En curso","Pendiente"))))</f>
        <v/>
      </c>
      <c r="M103" s="68">
        <f>IF($N103="","",INDEX('Cronograma Asistente Técnico'!$M$5:$M$1000,$N103)&amp;"")</f>
        <v/>
      </c>
      <c r="N103">
        <f>IFERROR(MATCH(ROW()-4,rOrden_ATR,0),"")</f>
        <v/>
      </c>
    </row>
    <row r="104">
      <c r="A104" s="60">
        <f>IF($N104="","",INDEX('Cronograma Asistente Técnico'!$A$5:$A$1000,$N104))</f>
        <v/>
      </c>
      <c r="B104" s="68">
        <f>IF($N104="","",INDEX('Cronograma Asistente Técnico'!$B$5:$B$1000,$N104)&amp;"")</f>
        <v/>
      </c>
      <c r="C104" s="68">
        <f>IF($N104="","",INDEX('Cronograma Asistente Técnico'!$C$5:$C$1000,$N104)&amp;"")</f>
        <v/>
      </c>
      <c r="D104" s="74">
        <f>IF($N104="","",IF(INDEX('Cronograma Asistente Técnico'!$D$5:$D$1000,$N104)="","",INDEX('Cronograma Asistente Técnico'!$D$5:$D$1000,$N104)))</f>
        <v/>
      </c>
      <c r="E104" s="74">
        <f>IF($N104="","",IF(INDEX('Cronograma Asistente Técnico'!$E$5:$E$1000,$N104)="","",INDEX('Cronograma Asistente Técnico'!$E$5:$E$1000,$N104)))</f>
        <v/>
      </c>
      <c r="F104" s="60">
        <f>IF($N104="","",IF(NOT(ISNUMBER($E104)),"",IF($E104&lt;InicioCiclo,"Antes del ciclo",IF($E104&gt;=InicioCiclo+28,"Después del ciclo","Semana "&amp;(INT(($E104-InicioCiclo)/7)+1)))))</f>
        <v/>
      </c>
      <c r="G104" s="65">
        <f>IF($N104="","",IF(INDEX('Cronograma Asistente Técnico'!$G$5:$G$1000,$N104)="","",INDEX('Cronograma Asistente Técnico'!$G$5:$G$1000,$N104)))</f>
        <v/>
      </c>
      <c r="H104" s="65">
        <f>IF($N104="","",IF(INDEX('Cronograma Asistente Técnico'!$H$5:$H$1000,$N104)="","",INDEX('Cronograma Asistente Técnico'!$H$5:$H$1000,$N104)))</f>
        <v/>
      </c>
      <c r="I104" s="65">
        <f>IF($N104="","",IF(INDEX('Cronograma Asistente Técnico'!$I$5:$I$1000,$N104)="","",INDEX('Cronograma Asistente Técnico'!$I$5:$I$1000,$N104)))</f>
        <v/>
      </c>
      <c r="J104" s="65">
        <f>IF($N104="","",IF(INDEX('Cronograma Asistente Técnico'!$J$5:$J$1000,$N104)="","",INDEX('Cronograma Asistente Técnico'!$J$5:$J$1000,$N104)))</f>
        <v/>
      </c>
      <c r="K104" s="65">
        <f>IF($N104="","",INDEX('Cronograma Asistente Técnico'!$K$5:$K$1000,$N104))</f>
        <v/>
      </c>
      <c r="L104" s="60">
        <f>IF($N104="","",IF(N($K104)&gt;=1,"Completado",IF(AND(ISNUMBER($E104),$E104&lt;FechaRef),"Vencida",IF(N($K104)&gt;0,"En curso","Pendiente"))))</f>
        <v/>
      </c>
      <c r="M104" s="68">
        <f>IF($N104="","",INDEX('Cronograma Asistente Técnico'!$M$5:$M$1000,$N104)&amp;"")</f>
        <v/>
      </c>
      <c r="N104">
        <f>IFERROR(MATCH(ROW()-4,rOrden_ATR,0),"")</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G5:J104">
    <cfRule type="expression" priority="1" dxfId="6" stopIfTrue="1">
      <formula>AND(AND(ISNUMBER($D5),ISNUMBER($E5),$D5&lt;=InicioCiclo+7*(COLUMN(G5)-7)+6,$E5&gt;=InicioCiclo+7*(COLUMN(G5)-7)),$L5="Vencida")</formula>
    </cfRule>
    <cfRule type="expression" priority="2" dxfId="14">
      <formula>AND(ISNUMBER($D5),ISNUMBER($E5),$D5&lt;=InicioCiclo+7*(COLUMN(G5)-7)+6,$E5&gt;=InicioCiclo+7*(COLUMN(G5)-7))</formula>
    </cfRule>
  </conditionalFormatting>
  <conditionalFormatting sqref="L5:L104">
    <cfRule type="expression" priority="3" dxfId="0">
      <formula>$L5="Completado"</formula>
    </cfRule>
    <cfRule type="expression" priority="4" dxfId="6">
      <formula>$L5="Vencida"</formula>
    </cfRule>
    <cfRule type="expression" priority="5" dxfId="4">
      <formula>$L5="En curso"</formula>
    </cfRule>
    <cfRule type="expression" priority="6" dxfId="5">
      <formula>$L5="Pendiente"</formula>
    </cfRule>
  </conditionalFormatting>
  <conditionalFormatting sqref="F5:F104">
    <cfRule type="expression" priority="7" dxfId="1">
      <formula>$F5="Semana "&amp;SemanaActual</formula>
    </cfRule>
  </conditionalFormatting>
  <conditionalFormatting sqref="K5:K104">
    <cfRule type="dataBar" priority="8">
      <dataBar showValue="1">
        <cfvo type="num" val="0"/>
        <cfvo type="num" val="1"/>
        <color rgb="005B9BD5"/>
      </dataBar>
    </cfRule>
  </conditionalFormatting>
  <conditionalFormatting sqref="G4:J4">
    <cfRule type="expression" priority="9" dxfId="1">
      <formula>COLUMN(G4)-6=SemanaActual</formula>
    </cfRule>
  </conditionalFormatting>
  <conditionalFormatting sqref="G3:J3">
    <cfRule type="expression" priority="10" dxfId="1">
      <formula>COLUMN(G3)-6=SemanaActual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B1:B69"/>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45" t="inlineStr">
        <is>
          <t>Instrucciones – cómo usar este archivo</t>
        </is>
      </c>
    </row>
    <row r="3" ht="20" customHeight="1">
      <c r="B3" s="78" t="inlineStr">
        <is>
          <t>¿Para qué sirve este archivo?</t>
        </is>
      </c>
    </row>
    <row r="4" ht="45" customHeight="1">
      <c r="B4" s="79"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78" t="inlineStr">
        <is>
          <t>Colores: qué se llena y qué no</t>
        </is>
      </c>
    </row>
    <row r="7" ht="15" customHeight="1">
      <c r="B7" s="79" t="inlineStr">
        <is>
          <t>• GRIS SUAVE = celda que usted llena (desbloqueada).</t>
        </is>
      </c>
    </row>
    <row r="8" ht="15" customHeight="1">
      <c r="B8" s="79" t="inlineStr">
        <is>
          <t>• AZUL MUY CLARO = celda automática (bloqueada: no se puede escribir en ella).</t>
        </is>
      </c>
    </row>
    <row r="9" ht="30" customHeight="1">
      <c r="B9" s="79" t="inlineStr">
        <is>
          <t>• Cada puesto tiene su color: NARANJA = Riesgo Operacional · MORADO = Riesgo Normativo · VERDE = Riesgo Financiero · AZUL = Asistente Técnico de Riesgo.</t>
        </is>
      </c>
    </row>
    <row r="10" ht="30" customHeight="1">
      <c r="B10" s="79" t="inlineStr">
        <is>
          <t>• Colores de avisos: verde = completado · azul claro = en curso · rojo suave = pendiente o dato faltante · ámbar = por vencer o mes actual · naranja = vencida.</t>
        </is>
      </c>
    </row>
    <row r="12" ht="20" customHeight="1">
      <c r="B12" s="78" t="inlineStr">
        <is>
          <t>Las hojas del archivo</t>
        </is>
      </c>
    </row>
    <row r="13" ht="15" customHeight="1">
      <c r="B13" s="79" t="inlineStr">
        <is>
          <t>• Dashboard - Consolidado: resumen del MES ACTUAL. Se actualiza solo; no se llena.</t>
        </is>
      </c>
    </row>
    <row r="14" ht="15" customHeight="1">
      <c r="B14" s="79" t="inlineStr">
        <is>
          <t>• Historial mensual: avance de cada puesto mes a mes desde octubre 2026. Se actualiza solo.</t>
        </is>
      </c>
    </row>
    <row r="15" ht="30" customHeight="1">
      <c r="B15" s="79" t="inlineStr">
        <is>
          <t>• Cronograma (una por puesto): la ÚNICA hoja donde cada responsable escribe sus actividades, pesos, avances y observaciones.</t>
        </is>
      </c>
    </row>
    <row r="16" ht="30" customHeight="1">
      <c r="B16" s="79" t="inlineStr">
        <is>
          <t>• Actividades (una por puesto, al lado de su cronograma): muestra sola las actividades del mes, semana por semana. Está bloqueada; no se escribe nada.</t>
        </is>
      </c>
    </row>
    <row r="17" ht="15" customHeight="1">
      <c r="B17" s="79" t="inlineStr">
        <is>
          <t>• Configuración: mes, semana y fecha de corte. Todo se calcula solo con la fecha de hoy.</t>
        </is>
      </c>
    </row>
    <row r="19" ht="20" customHeight="1">
      <c r="B19" s="78" t="inlineStr">
        <is>
          <t>Cómo llenar su hoja «Cronograma» (paso a paso)</t>
        </is>
      </c>
    </row>
    <row r="20" ht="15" customHeight="1">
      <c r="B20" s="79" t="inlineStr">
        <is>
          <t>1) Abra la pestaña «Cronograma» de SU puesto y escriba en la primera fila vacía (celdas gris suave).</t>
        </is>
      </c>
    </row>
    <row r="21" ht="30" customHeight="1">
      <c r="B21" s="79" t="inlineStr">
        <is>
          <t>2) Escriba: nombre de la actividad (Macro Actividad), Responsable, Fecha de inicio y Fecha límite. El N° (1, 2, 3… por mes) y el Mes se llenan solos.</t>
        </is>
      </c>
    </row>
    <row r="22" ht="45" customHeight="1">
      <c r="B22" s="79" t="inlineStr">
        <is>
          <t>3) Peso (%): qué tanto vale esa actividad dentro de su puesto EN ESE MES. Las actividades del mes deben sumar 100%. Ejemplo: Actividad 1 = 40%, Actividad 2 = 35%, Actividad 3 = 25%. Arriba de la tabla verá si las del mes actual ya suman 100%.</t>
        </is>
      </c>
    </row>
    <row r="23" ht="45" customHeight="1">
      <c r="B23" s="79" t="inlineStr">
        <is>
          <t>4) Cada viernes escriba en la columna de esa semana el avance TOTAL logrado hasta ese día (no lo que avanzó solo esa semana). Ejemplo: Semana 1 = 20%, Semana 2 = 45%, Semana 3 = 75%, Semana 4 = 100%. Deje en blanco las semanas que aún no llegan.</t>
        </is>
      </c>
    </row>
    <row r="24" ht="15" customHeight="1">
      <c r="B24" s="79" t="inlineStr">
        <is>
          <t>5) El «% de Avance Total Actual» y el «Estado» (Pendiente, En curso, Completado) se calculan solos.</t>
        </is>
      </c>
    </row>
    <row r="25" ht="30" customHeight="1">
      <c r="B25" s="79" t="inlineStr">
        <is>
          <t>6) Observaciones: si una actividad se atrasa o no se cumplió, escriba aquí el motivo y la nueva fecha. Si vence sin cumplirse y sin observación, el archivo se lo recuerda.</t>
        </is>
      </c>
    </row>
    <row r="27" ht="20" customHeight="1">
      <c r="B27" s="78" t="inlineStr">
        <is>
          <t>¿Qué es la columna «Revisión automática (alertas)»?</t>
        </is>
      </c>
    </row>
    <row r="28" ht="60" customHeight="1">
      <c r="B28" s="79" t="inlineStr">
        <is>
          <t>Es un revisor automático: revisa cada fila y avisa si algo falta o está mal. «✔ OK» = todo bien. «⚠» = hay algo que corregir y dice qué es, por ejemplo: «Sin responsable», «Sin fecha límite», «Pesos del mes suman 90%», «Avance semanal decreciente» (escribió un % menor que la semana anterior) o «Vencida» (pasó la fecha límite y no llegó al 100%).</t>
        </is>
      </c>
    </row>
    <row r="29" ht="15" customHeight="1">
      <c r="B29" s="79" t="inlineStr">
        <is>
          <t>No hay que escribir nada en esa columna. Corrija lo que indica y el aviso desaparece.</t>
        </is>
      </c>
    </row>
    <row r="31" ht="20" customHeight="1">
      <c r="B31" s="78" t="inlineStr">
        <is>
          <t>La hoja «Actividades» (automática y bloqueada)</t>
        </is>
      </c>
    </row>
    <row r="32" ht="15" customHeight="1">
      <c r="B32" s="79" t="inlineStr">
        <is>
          <t>1) Muestra solo las actividades del mes actual de su Cronograma, en orden. No se escribe nada en ella.</t>
        </is>
      </c>
    </row>
    <row r="33" ht="15" customHeight="1">
      <c r="B33" s="79" t="inlineStr">
        <is>
          <t>2) «Semana de entrega» indica en qué semana del mes cae la fecha límite (la semana actual se resalta en amarillo).</t>
        </is>
      </c>
    </row>
    <row r="34" ht="45" customHeight="1">
      <c r="B34" s="79"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35" ht="15" customHeight="1">
      <c r="B35" s="79" t="inlineStr">
        <is>
          <t>4) Para cambiar algo, corríjalo en el Cronograma: esta hoja se actualiza al instante.</t>
        </is>
      </c>
    </row>
    <row r="37" ht="20" customHeight="1">
      <c r="B37" s="78" t="inlineStr">
        <is>
          <t>Cada mes nuevo: NO se borra nada</t>
        </is>
      </c>
    </row>
    <row r="38" ht="30" customHeight="1">
      <c r="B38" s="79" t="inlineStr">
        <is>
          <t>1) Al empezar el mes, cada responsable escribe las actividades del nuevo mes en las filas vacías de su Cronograma, DEBAJO de las del mes anterior. No borre nada: los meses pasados quedan como historial.</t>
        </is>
      </c>
    </row>
    <row r="39" ht="30" customHeight="1">
      <c r="B39" s="79" t="inlineStr">
        <is>
          <t>2) El mes de cada actividad se asigna solo según su fecha de inicio. El Dashboard y las hojas Actividades muestran automáticamente el mes actual, con su Semana 1 a 4.</t>
        </is>
      </c>
    </row>
    <row r="40" ht="30" customHeight="1">
      <c r="B40" s="79" t="inlineStr">
        <is>
          <t>3) Si una actividad se repite cada mes, cópiela en una fila nueva y cambie sus fechas al nuevo mes (y borre los avances de la copia).</t>
        </is>
      </c>
    </row>
    <row r="41" ht="45" customHeight="1">
      <c r="B41" s="79" t="inlineStr">
        <is>
          <t>4) Para revisar un mes anterior: en Configuración, en «Mes que se muestra», escriba cualquier fecha de ese mes (ej. 01/09/2026). Dashboard y Actividades mostrarán ese mes. Para volver al mes actual escriba =FECHA(AÑO(HOY());MES(HOY());1).</t>
        </is>
      </c>
    </row>
    <row r="42" ht="15" customHeight="1">
      <c r="B42" s="79" t="inlineStr">
        <is>
          <t>5) La hoja «Historial mensual» muestra el avance de cada puesto mes a mes, desde octubre 2026 (24 meses).</t>
        </is>
      </c>
    </row>
    <row r="43" ht="30" customHeight="1">
      <c r="B43" s="79" t="inlineStr">
        <is>
          <t>6) Cada Cronograma tiene 300 filas (por ejemplo, 25 actividades al mes durante un año). Si se llena, vea «Necesito más filas» o guarde una copia anual del archivo (Archivo &gt; Guardar una copia).</t>
        </is>
      </c>
    </row>
    <row r="45" ht="20" customHeight="1">
      <c r="B45" s="78" t="inlineStr">
        <is>
          <t>El Dashboard (resumen automático del mes)</t>
        </is>
      </c>
    </row>
    <row r="46" ht="30" customHeight="1">
      <c r="B46" s="79" t="inlineStr">
        <is>
          <t>• Muestra el avance de cada puesto y el general, cuántas actividades están completadas, en curso, pendientes o vencidas, y el avance de cada semana del mes.</t>
        </is>
      </c>
    </row>
    <row r="47" ht="30" customHeight="1">
      <c r="B47" s="79" t="inlineStr">
        <is>
          <t>• Avance del puesto = suma de (peso × avance) de sus actividades del mes. Avance general = promedio de los 4 puestos (todos valen igual).</t>
        </is>
      </c>
    </row>
    <row r="48" ht="30" customHeight="1">
      <c r="B48" s="79" t="inlineStr">
        <is>
          <t>• Si un puesto llega al 100% antes de la Semana 4 aparece «¡Enhorabuena, completado anticipadamente!». Si llega en la Semana 4: «Completado».</t>
        </is>
      </c>
    </row>
    <row r="49" ht="30" customHeight="1">
      <c r="B49" s="79" t="inlineStr">
        <is>
          <t>• Si un puesto no tiene actividades en el mes o sus pesos no suman 100%, el avance general aparece como «No definitivo» hasta que se corrija.</t>
        </is>
      </c>
    </row>
    <row r="50" ht="15" customHeight="1">
      <c r="B50" s="79" t="inlineStr">
        <is>
          <t>• Haga clic en el nombre de un puesto para ir a su hoja.</t>
        </is>
      </c>
    </row>
    <row r="52" ht="20" customHeight="1">
      <c r="B52" s="78" t="inlineStr">
        <is>
          <t>Compartir el archivo con el equipo</t>
        </is>
      </c>
    </row>
    <row r="53" ht="15" customHeight="1">
      <c r="B53" s="79" t="inlineStr">
        <is>
          <t>1) Suba el archivo a OneDrive o SharePoint del área.</t>
        </is>
      </c>
    </row>
    <row r="54" ht="30" customHeight="1">
      <c r="B54" s="79" t="inlineStr">
        <is>
          <t>2) Botón Compartir &gt; invite a los cuatro responsables con permiso de edición, y a la jefatura con permiso de solo lectura.</t>
        </is>
      </c>
    </row>
    <row r="55" ht="30" customHeight="1">
      <c r="B55" s="79" t="inlineStr">
        <is>
          <t>3) Todos pueden trabajar al mismo tiempo, cada quien en su Cronograma (Excel en la Web o Microsoft 365, con Autoguardado activado).</t>
        </is>
      </c>
    </row>
    <row r="56" ht="30" customHeight="1">
      <c r="B56" s="79" t="inlineStr">
        <is>
          <t>4) Si alguien borra algo por error: Archivo &gt; Información &gt; Historial de versiones permite recuperar una versión anterior y ver quién cambió qué.</t>
        </is>
      </c>
    </row>
    <row r="58" ht="20" customHeight="1">
      <c r="B58" s="78" t="inlineStr">
        <is>
          <t>Protección</t>
        </is>
      </c>
    </row>
    <row r="59" ht="45" customHeight="1">
      <c r="B59" s="79"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60" ht="30" customHeight="1">
      <c r="B60" s="79" t="inlineStr">
        <is>
          <t>Para poner contraseña: Revisar &gt; Desproteger hoja y luego Revisar &gt; Proteger hoja; marque «Seleccionar celdas desbloqueadas», «Usar Autofiltro» y «Ordenar», y escriba la contraseña.</t>
        </is>
      </c>
    </row>
    <row r="61" ht="60" customHeight="1">
      <c r="B61" s="79"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63" ht="20" customHeight="1">
      <c r="B63" s="78" t="inlineStr">
        <is>
          <t>Necesito más filas</t>
        </is>
      </c>
    </row>
    <row r="64" ht="30" customHeight="1">
      <c r="B64" s="79" t="inlineStr">
        <is>
          <t>Revisar &gt; Desproteger hoja, colóquese en la última celda de la tabla del Cronograma y presione Tab; las fórmulas se copian solas. Luego vuelva a proteger la hoja. El Dashboard lee hasta la fila 1000.</t>
        </is>
      </c>
    </row>
    <row r="66" ht="20" customHeight="1">
      <c r="B66" s="78" t="inlineStr">
        <is>
          <t>Notas técnicas</t>
        </is>
      </c>
    </row>
    <row r="67" ht="30" customHeight="1">
      <c r="B67" s="79" t="inlineStr">
        <is>
          <t>• Archivo .xlsx sin macros, para Microsoft 365 en español (escritorio y Web). Las fórmulas se ven en español (BUSCAR, SI.ERROR, SUMAPRODUCTO, HOY…).</t>
        </is>
      </c>
    </row>
    <row r="68" ht="15" customHeight="1">
      <c r="B68" s="79" t="inlineStr">
        <is>
          <t>• Fórmula del avance actual: =SI.ERROR(BUSCAR(2;1/(G5:J5&lt;&gt;"");G5:J5);0) → toma el último avance semanal escrito.</t>
        </is>
      </c>
    </row>
    <row r="69" ht="30" customHeight="1">
      <c r="B69" s="79"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2.xml><?xml version="1.0" encoding="utf-8"?>
<worksheet xmlns="http://schemas.openxmlformats.org/spreadsheetml/2006/main">
  <sheetPr>
    <outlinePr summaryBelow="1" summaryRight="1"/>
    <pageSetUpPr fitToPage="1"/>
  </sheetPr>
  <dimension ref="B1:D54"/>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45" t="inlineStr">
        <is>
          <t>Configuración del ciclo mensual</t>
        </is>
      </c>
      <c r="C1" s="45" t="n"/>
      <c r="D1" s="45" t="n"/>
    </row>
    <row r="2">
      <c r="B2" s="80"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1" t="inlineStr">
        <is>
          <t>Mes que se muestra</t>
        </is>
      </c>
      <c r="C4" s="82">
        <f>DATE(YEAR(TODAY()),MONTH(TODAY()),1)</f>
        <v/>
      </c>
      <c r="D4" s="44" t="inlineStr">
        <is>
          <t>AUTOMÁTICO: mes actual. Para revisar un mes anterior (historial) escriba cualquier fecha de ese mes (ej. 01/09/2026); para volver al mes actual escriba =FECHA(AÑO(HOY());MES(HOY());1).</t>
        </is>
      </c>
    </row>
    <row r="5" ht="30" customHeight="1">
      <c r="B5" s="81" t="inlineStr">
        <is>
          <t>Fecha de inicio del ciclo (lunes de la Semana 1)</t>
        </is>
      </c>
      <c r="C5" s="83">
        <f>MesCiclo+MOD(2-WEEKDAY(MesCiclo),7)</f>
        <v/>
      </c>
      <c r="D5" s="44" t="inlineStr">
        <is>
          <t>AUTOMÁTICO: primer lunes del mes. Puede escribir otra fecha. Define en qué semana cae cada actividad en las hojas «Actividades».</t>
        </is>
      </c>
    </row>
    <row r="6" ht="30" customHeight="1">
      <c r="B6" s="81" t="inlineStr">
        <is>
          <t>Fecha de corte</t>
        </is>
      </c>
      <c r="C6" s="83">
        <f>TODAY()</f>
        <v/>
      </c>
      <c r="D6" s="44" t="inlineStr">
        <is>
          <t>AUTOMÁTICO: hoy. Puede escribir una fecha fija para emitir un reporte de corte. Determina actividades vencidas.</t>
        </is>
      </c>
    </row>
    <row r="7" ht="30" customHeight="1">
      <c r="B7" s="81" t="inlineStr">
        <is>
          <t>Semana actual del ciclo (1 a 4)</t>
        </is>
      </c>
      <c r="C7" s="84">
        <f>IF(SemanaManual&lt;&gt;"",SemanaManual,MIN(4,MAX(1,INT((FechaRef-InicioCiclo)/7)+1)))</f>
        <v/>
      </c>
      <c r="D7" s="44" t="inlineStr">
        <is>
          <t>AUTOMÁTICA: se calcula con la fecha de inicio y la fecha de corte. Controla los mensajes de finalización anticipada.</t>
        </is>
      </c>
    </row>
    <row r="8" ht="30" customHeight="1">
      <c r="B8" s="81" t="inlineStr">
        <is>
          <t>Semana manual (opcional)</t>
        </is>
      </c>
      <c r="C8" s="85" t="n"/>
      <c r="D8" s="44" t="inlineStr">
        <is>
          <t>Déjela VACÍA para usar la semana automática. Escriba 1–4 solo si necesita forzar otra semana.</t>
        </is>
      </c>
    </row>
    <row r="9" ht="30" customHeight="1">
      <c r="B9" s="81" t="inlineStr">
        <is>
          <t>Días de anticipación para alerta «próxima a vencer»</t>
        </is>
      </c>
      <c r="C9" s="85" t="n">
        <v>3</v>
      </c>
      <c r="D9" s="44" t="inlineStr">
        <is>
          <t>Actividades no completadas cuya fecha límite cae dentro de este número de días se señalan en ámbar.</t>
        </is>
      </c>
    </row>
    <row r="10" ht="30" customHeight="1">
      <c r="B10" s="81" t="inlineStr">
        <is>
          <t>¿Observación obligatoria si una actividad vence sin cumplirse?</t>
        </is>
      </c>
      <c r="C10" s="86" t="inlineStr">
        <is>
          <t>Sí</t>
        </is>
      </c>
      <c r="D10" s="44" t="inlineStr">
        <is>
          <t>Si es «Sí», una actividad vencida sin texto en Observaciones genera alerta (explicar por qué no se cumplió).</t>
        </is>
      </c>
    </row>
    <row r="11" ht="30" customHeight="1">
      <c r="B11" s="81" t="inlineStr">
        <is>
          <t>Meta mensual</t>
        </is>
      </c>
      <c r="C11" s="87" t="n">
        <v>1</v>
      </c>
      <c r="D11" s="44" t="inlineStr">
        <is>
          <t>Meta de cumplimiento de las actividades al cierre de la Semana 4 de cada mes.</t>
        </is>
      </c>
    </row>
    <row r="12" ht="30" customHeight="1">
      <c r="B12" s="81" t="inlineStr">
        <is>
          <t>Primer mes del historial</t>
        </is>
      </c>
      <c r="C12" s="82" t="n">
        <v>46296</v>
      </c>
      <c r="D12" s="44" t="inlineStr">
        <is>
          <t>El Historial mensual empieza en este mes (octubre 2026) y muestra 24 meses seguidos.</t>
        </is>
      </c>
    </row>
    <row r="14">
      <c r="B14" s="88" t="inlineStr">
        <is>
          <t>Plan de referencia (avance esperado acumulado por semana) – supuesto editable</t>
        </is>
      </c>
      <c r="C14" s="88" t="n"/>
      <c r="D14" s="88" t="n"/>
    </row>
    <row r="15">
      <c r="B15" s="89" t="inlineStr">
        <is>
          <t>Semana 1</t>
        </is>
      </c>
      <c r="C15" s="90" t="n">
        <v>0.25</v>
      </c>
      <c r="D15" s="91" t="inlineStr">
        <is>
          <t>Referencia lineal solo para comparación visual; no afecta el cálculo del avance real.</t>
        </is>
      </c>
    </row>
    <row r="16">
      <c r="B16" s="89" t="inlineStr">
        <is>
          <t>Semana 2</t>
        </is>
      </c>
      <c r="C16" s="90" t="n">
        <v>0.5</v>
      </c>
      <c r="D16" s="91" t="inlineStr">
        <is>
          <t>Referencia lineal solo para comparación visual; no afecta el cálculo del avance real.</t>
        </is>
      </c>
    </row>
    <row r="17">
      <c r="B17" s="89" t="inlineStr">
        <is>
          <t>Semana 3</t>
        </is>
      </c>
      <c r="C17" s="90" t="n">
        <v>0.75</v>
      </c>
      <c r="D17" s="91" t="inlineStr">
        <is>
          <t>Referencia lineal solo para comparación visual; no afecta el cálculo del avance real.</t>
        </is>
      </c>
    </row>
    <row r="18">
      <c r="B18" s="89" t="inlineStr">
        <is>
          <t>Semana 4</t>
        </is>
      </c>
      <c r="C18" s="90" t="n">
        <v>1</v>
      </c>
      <c r="D18" s="91" t="inlineStr">
        <is>
          <t>Referencia lineal solo para comparación visual; no afecta el cálculo del avance real.</t>
        </is>
      </c>
    </row>
    <row r="20">
      <c r="B20" s="92" t="inlineStr">
        <is>
          <t>Listas desplegables (no editar sin actualizar las fórmulas)</t>
        </is>
      </c>
      <c r="C20" s="92" t="n"/>
      <c r="D20" s="92" t="n"/>
    </row>
    <row r="21">
      <c r="B21" s="93" t="inlineStr">
        <is>
          <t>Áreas / Puestos</t>
        </is>
      </c>
    </row>
    <row r="22">
      <c r="B22" s="94" t="inlineStr">
        <is>
          <t>Riesgo Operacional</t>
        </is>
      </c>
    </row>
    <row r="23">
      <c r="B23" s="94" t="inlineStr">
        <is>
          <t>Riesgo Normativo</t>
        </is>
      </c>
    </row>
    <row r="24">
      <c r="B24" s="94" t="inlineStr">
        <is>
          <t>Riesgo Financiero</t>
        </is>
      </c>
    </row>
    <row r="25">
      <c r="B25" s="94" t="inlineStr">
        <is>
          <t>Asistente Técnico de Riesgo</t>
        </is>
      </c>
    </row>
    <row r="27">
      <c r="B27" s="93" t="inlineStr">
        <is>
          <t>Estados</t>
        </is>
      </c>
    </row>
    <row r="28">
      <c r="B28" s="94" t="inlineStr">
        <is>
          <t>Pendiente</t>
        </is>
      </c>
    </row>
    <row r="29">
      <c r="B29" s="94" t="inlineStr">
        <is>
          <t>En curso</t>
        </is>
      </c>
    </row>
    <row r="30">
      <c r="B30" s="94" t="inlineStr">
        <is>
          <t>Completado</t>
        </is>
      </c>
    </row>
    <row r="32">
      <c r="B32" s="93" t="inlineStr">
        <is>
          <t>Semanas</t>
        </is>
      </c>
    </row>
    <row r="33">
      <c r="B33" s="94" t="inlineStr">
        <is>
          <t>Semana 1</t>
        </is>
      </c>
    </row>
    <row r="34">
      <c r="B34" s="94" t="inlineStr">
        <is>
          <t>Semana 2</t>
        </is>
      </c>
    </row>
    <row r="35">
      <c r="B35" s="94" t="inlineStr">
        <is>
          <t>Semana 3</t>
        </is>
      </c>
    </row>
    <row r="36">
      <c r="B36" s="94" t="inlineStr">
        <is>
          <t>Semana 4</t>
        </is>
      </c>
    </row>
    <row r="38">
      <c r="B38" s="93" t="inlineStr">
        <is>
          <t>Sí / No</t>
        </is>
      </c>
    </row>
    <row r="39">
      <c r="B39" s="94" t="inlineStr">
        <is>
          <t>Sí</t>
        </is>
      </c>
    </row>
    <row r="40">
      <c r="B40" s="94" t="inlineStr">
        <is>
          <t>No</t>
        </is>
      </c>
    </row>
    <row r="43">
      <c r="B43" s="92" t="inlineStr">
        <is>
          <t>Metodología de cálculo (documentación)</t>
        </is>
      </c>
      <c r="C43" s="92" t="n"/>
      <c r="D43" s="92" t="n"/>
    </row>
    <row r="44" ht="30" customHeight="1">
      <c r="B44" s="95" t="inlineStr">
        <is>
          <t>1. Avance de una actividad = último avance semanal acumulado registrado (Semana 4 → 1), ignorando semanas vacías. Los avances semanales NO se suman.</t>
        </is>
      </c>
      <c r="C44" s="95" t="n"/>
      <c r="D44" s="95" t="n"/>
    </row>
    <row r="45" ht="30" customHeight="1">
      <c r="B45" s="95" t="inlineStr">
        <is>
          <t>2. Estado automático: 0% = Pendiente; &gt;0% y &lt;100% = En curso; 100% = Completado.</t>
        </is>
      </c>
      <c r="C45" s="95" t="n"/>
      <c r="D45" s="95" t="n"/>
    </row>
    <row r="46" ht="30" customHeight="1">
      <c r="B46" s="95" t="inlineStr">
        <is>
          <t>3. Avance ponderado del puesto = Σ (peso de la actividad × avance actual) de las actividades del mes. Solo es válido si el puesto tiene ≥1 actividad en el mes, ningún peso vacío o fuera de 0–100% y los pesos del mes suman 100% (tolerancia ±0,01%).</t>
        </is>
      </c>
      <c r="C46" s="95" t="n"/>
      <c r="D46" s="95" t="n"/>
    </row>
    <row r="47" ht="30" customHeight="1">
      <c r="B47" s="95" t="inlineStr">
        <is>
          <t>0. Cada actividad pertenece al mes de su fecha de inicio (columna «Mes» del Cronograma). Dashboard, hojas Actividades y cálculos usan solo el mes mostrado; los meses anteriores quedan en el Historial mensual.</t>
        </is>
      </c>
      <c r="C47" s="95" t="n"/>
      <c r="D47" s="95" t="n"/>
    </row>
    <row r="48" ht="30" customHeight="1">
      <c r="B48" s="95" t="inlineStr">
        <is>
          <t>4. Avance general de las actividades = promedio simple de los 4 puestos (cada puesto pesa 25%, sin importar cuántas actividades tenga). Si algún puesto no es válido, el Dashboard muestra «No definitivo» y un valor provisional rotulado como tal.</t>
        </is>
      </c>
      <c r="C48" s="95" t="n"/>
      <c r="D48" s="95" t="n"/>
    </row>
    <row r="49" ht="30" customHeight="1">
      <c r="B49" s="95" t="inlineStr">
        <is>
          <t>5. Avance semanal acumulado (Semana n) = Σ peso × último avance registrado hasta la Semana n. Incremento semanal = acumulado Semana n − acumulado Semana n−1.</t>
        </is>
      </c>
      <c r="C49" s="95" t="n"/>
      <c r="D49" s="95" t="n"/>
    </row>
    <row r="50" ht="30" customHeight="1">
      <c r="B50" s="95"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0" s="95" t="n"/>
      <c r="D50" s="95" t="n"/>
    </row>
    <row r="51" ht="30" customHeight="1">
      <c r="B51" s="95" t="inlineStr">
        <is>
          <t>7. Una semana se muestra en el seguimiento si es ≤ Semana actual o si ya tiene algún avance registrado.</t>
        </is>
      </c>
      <c r="C51" s="95" t="n"/>
      <c r="D51" s="95" t="n"/>
    </row>
    <row r="52" ht="30" customHeight="1">
      <c r="B52" s="95" t="inlineStr">
        <is>
          <t>8. Cada puesto tiene su propia hoja «Cronograma» y su hoja «Actividades» semanales. El Dashboard consolida los cuatro cronogramas (filas 5 a 1000) y las cuatro hojas de actividades (filas 5 a 500).</t>
        </is>
      </c>
      <c r="C52" s="95" t="n"/>
      <c r="D52" s="95" t="n"/>
    </row>
    <row r="53" ht="30" customHeight="1">
      <c r="B53" s="95" t="inlineStr">
        <is>
          <t>9. Semana actual = ENTERO((fecha de corte − fecha de inicio) / 7) + 1, limitada entre 1 y 4, salvo que se escriba una semana manual.</t>
        </is>
      </c>
      <c r="C53" s="95" t="n"/>
      <c r="D53" s="95" t="n"/>
    </row>
    <row r="54" ht="30" customHeight="1">
      <c r="B54" s="95" t="inlineStr">
        <is>
          <t>10. Hojas «Actividades»: se llenan solas desde el Cronograma del puesto. Semana de entrega = semana en que cae la fecha límite. Estado: Completado (100%), Vencida (pasó la fecha límite sin llegar a 100%), En curso o Pendiente.</t>
        </is>
      </c>
      <c r="C54" s="95" t="n"/>
      <c r="D54" s="95" t="n"/>
    </row>
  </sheetData>
  <sheetProtection selectLockedCells="0" selectUnlockedCells="0" sheet="1" objects="0" insertRows="1" insertHyperlinks="1" autoFilter="1" scenarios="0" formatColumns="0" deleteColumns="1" insertColumns="1" pivotTables="1" deleteRows="1" formatCells="1" formatRows="1" sort="1"/>
  <mergeCells count="15">
    <mergeCell ref="B54:D54"/>
    <mergeCell ref="B14:D14"/>
    <mergeCell ref="B45:D45"/>
    <mergeCell ref="B46:D46"/>
    <mergeCell ref="B1:D1"/>
    <mergeCell ref="B49:D49"/>
    <mergeCell ref="B50:D50"/>
    <mergeCell ref="B52:D52"/>
    <mergeCell ref="B44:D44"/>
    <mergeCell ref="B53:D53"/>
    <mergeCell ref="B43:D43"/>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sheetPr>
  <dimension ref="A1:T15"/>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96" t="inlineStr">
        <is>
          <t>Hoja auxiliar OCULTA: cálculos intermedios por puesto (cada fila lee la hoja de cronograma de su puesto) que alimentan el Dashboard. No editar. Ver metodología en Configuración.</t>
        </is>
      </c>
    </row>
    <row r="3">
      <c r="A3" s="97" t="inlineStr">
        <is>
          <t>Puesto</t>
        </is>
      </c>
      <c r="B3" s="97" t="inlineStr">
        <is>
          <t>N° actividades</t>
        </is>
      </c>
      <c r="C3" s="97" t="inlineStr">
        <is>
          <t>Suma de pesos</t>
        </is>
      </c>
      <c r="D3" s="97" t="inlineStr">
        <is>
          <t>Pesos vacíos o inválidos</t>
        </is>
      </c>
      <c r="E3" s="97" t="inlineStr">
        <is>
          <t>Configuración válida</t>
        </is>
      </c>
      <c r="F3" s="97" t="inlineStr">
        <is>
          <t>Avance ponderado actual</t>
        </is>
      </c>
      <c r="G3" s="97" t="inlineStr">
        <is>
          <t>Acum. Semana 1</t>
        </is>
      </c>
      <c r="H3" s="97" t="inlineStr">
        <is>
          <t>Acum. Semana 2</t>
        </is>
      </c>
      <c r="I3" s="97" t="inlineStr">
        <is>
          <t>Acum. Semana 3</t>
        </is>
      </c>
      <c r="J3" s="97" t="inlineStr">
        <is>
          <t>Acum. Semana 4</t>
        </is>
      </c>
      <c r="K3" s="97" t="inlineStr">
        <is>
          <t>Primera semana con 100%</t>
        </is>
      </c>
      <c r="L3" s="97" t="inlineStr">
        <is>
          <t>Completado (100%)</t>
        </is>
      </c>
      <c r="M3" s="97" t="inlineStr">
        <is>
          <t>Completado anticipadamente</t>
        </is>
      </c>
      <c r="N3" s="97" t="inlineStr">
        <is>
          <t>Completadas</t>
        </is>
      </c>
      <c r="O3" s="97" t="inlineStr">
        <is>
          <t>En curso</t>
        </is>
      </c>
      <c r="P3" s="97" t="inlineStr">
        <is>
          <t>Pendientes</t>
        </is>
      </c>
      <c r="Q3" s="97" t="inlineStr">
        <is>
          <t>Vencidas</t>
        </is>
      </c>
      <c r="R3" s="97" t="inlineStr">
        <is>
          <t>Con alertas</t>
        </is>
      </c>
      <c r="S3" s="97" t="inlineStr">
        <is>
          <t>Próximas a vencer</t>
        </is>
      </c>
      <c r="T3" s="97" t="inlineStr">
        <is>
          <t>Hoja de cronograma</t>
        </is>
      </c>
    </row>
    <row r="4">
      <c r="A4">
        <f>INDEX(ListaPuestos,1)</f>
        <v/>
      </c>
      <c r="B4">
        <f>COUNTIFS(rValid_RO,"?*",rMes_RO,MesCiclo)</f>
        <v/>
      </c>
      <c r="C4" s="98">
        <f>SUMIFS(rPeso_RO,rMes_RO,MesCiclo)</f>
        <v/>
      </c>
      <c r="D4" s="98">
        <f>COUNTIFS(rValid_RO,"?*",rPeso_RO,"",rMes_RO,MesCiclo)+COUNTIFS(rPeso_RO,"&lt;=0",rMes_RO,MesCiclo)+COUNTIFS(rPeso_RO,"&gt;1",rMes_RO,MesCiclo)</f>
        <v/>
      </c>
      <c r="E4">
        <f>AND(B4&gt;0,D4=0,ABS(C4-1)&lt;=0.0001)</f>
        <v/>
      </c>
      <c r="F4" s="98">
        <f>IFERROR(SUMPRODUCT(--(rMes_RO=MesCiclo),rPeso_RO,rAvance_RO),0)</f>
        <v/>
      </c>
      <c r="G4" s="98">
        <f>IFERROR(SUMPRODUCT((rMes_RO=MesCiclo)*rPeso_RO*rS1_RO),0)</f>
        <v/>
      </c>
      <c r="H4" s="98">
        <f>IFERROR(SUMPRODUCT((rMes_RO=MesCiclo)*rPeso_RO*(rS2_RO+(rS2_RO="")*rS1_RO)),0)</f>
        <v/>
      </c>
      <c r="I4" s="98">
        <f>IFERROR(SUMPRODUCT((rMes_RO=MesCiclo)*rPeso_RO*(rS3_RO+(rS3_RO="")*(rS2_RO+(rS2_RO="")*rS1_RO))),0)</f>
        <v/>
      </c>
      <c r="J4" s="98">
        <f>IFERROR(SUMPRODUCT((rMes_RO=MesCiclo)*rPeso_RO*(rS4_RO+(rS4_RO="")*(rS3_RO+(rS3_RO="")*(rS2_RO+(rS2_RO="")*rS1_RO)))),0)</f>
        <v/>
      </c>
      <c r="K4">
        <f>IF(ROUND(G4,4)&gt;=1,1,IF(ROUND(H4,4)&gt;=1,2,IF(ROUND(I4,4)&gt;=1,3,IF(ROUND(J4,4)&gt;=1,4,""))))</f>
        <v/>
      </c>
      <c r="L4">
        <f>AND(E4,ROUND(F4,4)&gt;=1)</f>
        <v/>
      </c>
      <c r="M4">
        <f>AND(L4,MIN(IF(K4="",4,K4),SemanaActual)&lt;4)</f>
        <v/>
      </c>
      <c r="N4">
        <f>COUNTIFS(rEstado_RO,"Completado",rMes_RO,MesCiclo)</f>
        <v/>
      </c>
      <c r="O4">
        <f>COUNTIFS(rEstado_RO,"En curso",rMes_RO,MesCiclo)</f>
        <v/>
      </c>
      <c r="P4">
        <f>COUNTIFS(rEstado_RO,"Pendiente",rMes_RO,MesCiclo)</f>
        <v/>
      </c>
      <c r="Q4">
        <f>SUMPRODUCT((rMes_RO=MesCiclo)*ISNUMBER(SEARCH("Vencida",rValid_RO)))</f>
        <v/>
      </c>
      <c r="R4">
        <f>SUMPRODUCT((rMes_RO=MesCiclo)*(LEFT(rValid_RO,1)="⚠"))</f>
        <v/>
      </c>
      <c r="S4">
        <f>COUNTIFS(rFLim_RO,"&gt;="&amp;FechaRef,rFLim_RO,"&lt;="&amp;(FechaRef+DiasAlerta),rAvance_RO,"&lt;1",rMes_RO,MesCiclo)</f>
        <v/>
      </c>
      <c r="T4" t="inlineStr">
        <is>
          <t>Cronograma R. Operacional</t>
        </is>
      </c>
    </row>
    <row r="5">
      <c r="A5">
        <f>INDEX(ListaPuestos,2)</f>
        <v/>
      </c>
      <c r="B5">
        <f>COUNTIFS(rValid_RN,"?*",rMes_RN,MesCiclo)</f>
        <v/>
      </c>
      <c r="C5" s="98">
        <f>SUMIFS(rPeso_RN,rMes_RN,MesCiclo)</f>
        <v/>
      </c>
      <c r="D5" s="98">
        <f>COUNTIFS(rValid_RN,"?*",rPeso_RN,"",rMes_RN,MesCiclo)+COUNTIFS(rPeso_RN,"&lt;=0",rMes_RN,MesCiclo)+COUNTIFS(rPeso_RN,"&gt;1",rMes_RN,MesCiclo)</f>
        <v/>
      </c>
      <c r="E5">
        <f>AND(B5&gt;0,D5=0,ABS(C5-1)&lt;=0.0001)</f>
        <v/>
      </c>
      <c r="F5" s="98">
        <f>IFERROR(SUMPRODUCT(--(rMes_RN=MesCiclo),rPeso_RN,rAvance_RN),0)</f>
        <v/>
      </c>
      <c r="G5" s="98">
        <f>IFERROR(SUMPRODUCT((rMes_RN=MesCiclo)*rPeso_RN*rS1_RN),0)</f>
        <v/>
      </c>
      <c r="H5" s="98">
        <f>IFERROR(SUMPRODUCT((rMes_RN=MesCiclo)*rPeso_RN*(rS2_RN+(rS2_RN="")*rS1_RN)),0)</f>
        <v/>
      </c>
      <c r="I5" s="98">
        <f>IFERROR(SUMPRODUCT((rMes_RN=MesCiclo)*rPeso_RN*(rS3_RN+(rS3_RN="")*(rS2_RN+(rS2_RN="")*rS1_RN))),0)</f>
        <v/>
      </c>
      <c r="J5" s="98">
        <f>IFERROR(SUMPRODUCT((rMes_RN=MesCiclo)*rPeso_RN*(rS4_RN+(rS4_RN="")*(rS3_RN+(rS3_RN="")*(rS2_RN+(rS2_RN="")*rS1_RN)))),0)</f>
        <v/>
      </c>
      <c r="K5">
        <f>IF(ROUND(G5,4)&gt;=1,1,IF(ROUND(H5,4)&gt;=1,2,IF(ROUND(I5,4)&gt;=1,3,IF(ROUND(J5,4)&gt;=1,4,""))))</f>
        <v/>
      </c>
      <c r="L5">
        <f>AND(E5,ROUND(F5,4)&gt;=1)</f>
        <v/>
      </c>
      <c r="M5">
        <f>AND(L5,MIN(IF(K5="",4,K5),SemanaActual)&lt;4)</f>
        <v/>
      </c>
      <c r="N5">
        <f>COUNTIFS(rEstado_RN,"Completado",rMes_RN,MesCiclo)</f>
        <v/>
      </c>
      <c r="O5">
        <f>COUNTIFS(rEstado_RN,"En curso",rMes_RN,MesCiclo)</f>
        <v/>
      </c>
      <c r="P5">
        <f>COUNTIFS(rEstado_RN,"Pendiente",rMes_RN,MesCiclo)</f>
        <v/>
      </c>
      <c r="Q5">
        <f>SUMPRODUCT((rMes_RN=MesCiclo)*ISNUMBER(SEARCH("Vencida",rValid_RN)))</f>
        <v/>
      </c>
      <c r="R5">
        <f>SUMPRODUCT((rMes_RN=MesCiclo)*(LEFT(rValid_RN,1)="⚠"))</f>
        <v/>
      </c>
      <c r="S5">
        <f>COUNTIFS(rFLim_RN,"&gt;="&amp;FechaRef,rFLim_RN,"&lt;="&amp;(FechaRef+DiasAlerta),rAvance_RN,"&lt;1",rMes_RN,MesCiclo)</f>
        <v/>
      </c>
      <c r="T5" t="inlineStr">
        <is>
          <t>Cronograma R. Normativo</t>
        </is>
      </c>
    </row>
    <row r="6">
      <c r="A6">
        <f>INDEX(ListaPuestos,3)</f>
        <v/>
      </c>
      <c r="B6">
        <f>COUNTIFS(rValid_RF,"?*",rMes_RF,MesCiclo)</f>
        <v/>
      </c>
      <c r="C6" s="98">
        <f>SUMIFS(rPeso_RF,rMes_RF,MesCiclo)</f>
        <v/>
      </c>
      <c r="D6" s="98">
        <f>COUNTIFS(rValid_RF,"?*",rPeso_RF,"",rMes_RF,MesCiclo)+COUNTIFS(rPeso_RF,"&lt;=0",rMes_RF,MesCiclo)+COUNTIFS(rPeso_RF,"&gt;1",rMes_RF,MesCiclo)</f>
        <v/>
      </c>
      <c r="E6">
        <f>AND(B6&gt;0,D6=0,ABS(C6-1)&lt;=0.0001)</f>
        <v/>
      </c>
      <c r="F6" s="98">
        <f>IFERROR(SUMPRODUCT(--(rMes_RF=MesCiclo),rPeso_RF,rAvance_RF),0)</f>
        <v/>
      </c>
      <c r="G6" s="98">
        <f>IFERROR(SUMPRODUCT((rMes_RF=MesCiclo)*rPeso_RF*rS1_RF),0)</f>
        <v/>
      </c>
      <c r="H6" s="98">
        <f>IFERROR(SUMPRODUCT((rMes_RF=MesCiclo)*rPeso_RF*(rS2_RF+(rS2_RF="")*rS1_RF)),0)</f>
        <v/>
      </c>
      <c r="I6" s="98">
        <f>IFERROR(SUMPRODUCT((rMes_RF=MesCiclo)*rPeso_RF*(rS3_RF+(rS3_RF="")*(rS2_RF+(rS2_RF="")*rS1_RF))),0)</f>
        <v/>
      </c>
      <c r="J6" s="98">
        <f>IFERROR(SUMPRODUCT((rMes_RF=MesCiclo)*rPeso_RF*(rS4_RF+(rS4_RF="")*(rS3_RF+(rS3_RF="")*(rS2_RF+(rS2_RF="")*rS1_RF)))),0)</f>
        <v/>
      </c>
      <c r="K6">
        <f>IF(ROUND(G6,4)&gt;=1,1,IF(ROUND(H6,4)&gt;=1,2,IF(ROUND(I6,4)&gt;=1,3,IF(ROUND(J6,4)&gt;=1,4,""))))</f>
        <v/>
      </c>
      <c r="L6">
        <f>AND(E6,ROUND(F6,4)&gt;=1)</f>
        <v/>
      </c>
      <c r="M6">
        <f>AND(L6,MIN(IF(K6="",4,K6),SemanaActual)&lt;4)</f>
        <v/>
      </c>
      <c r="N6">
        <f>COUNTIFS(rEstado_RF,"Completado",rMes_RF,MesCiclo)</f>
        <v/>
      </c>
      <c r="O6">
        <f>COUNTIFS(rEstado_RF,"En curso",rMes_RF,MesCiclo)</f>
        <v/>
      </c>
      <c r="P6">
        <f>COUNTIFS(rEstado_RF,"Pendiente",rMes_RF,MesCiclo)</f>
        <v/>
      </c>
      <c r="Q6">
        <f>SUMPRODUCT((rMes_RF=MesCiclo)*ISNUMBER(SEARCH("Vencida",rValid_RF)))</f>
        <v/>
      </c>
      <c r="R6">
        <f>SUMPRODUCT((rMes_RF=MesCiclo)*(LEFT(rValid_RF,1)="⚠"))</f>
        <v/>
      </c>
      <c r="S6">
        <f>COUNTIFS(rFLim_RF,"&gt;="&amp;FechaRef,rFLim_RF,"&lt;="&amp;(FechaRef+DiasAlerta),rAvance_RF,"&lt;1",rMes_RF,MesCiclo)</f>
        <v/>
      </c>
      <c r="T6" t="inlineStr">
        <is>
          <t>Cronograma R. Financiero</t>
        </is>
      </c>
    </row>
    <row r="7">
      <c r="A7">
        <f>INDEX(ListaPuestos,4)</f>
        <v/>
      </c>
      <c r="B7">
        <f>COUNTIFS(rValid_ATR,"?*",rMes_ATR,MesCiclo)</f>
        <v/>
      </c>
      <c r="C7" s="98">
        <f>SUMIFS(rPeso_ATR,rMes_ATR,MesCiclo)</f>
        <v/>
      </c>
      <c r="D7" s="98">
        <f>COUNTIFS(rValid_ATR,"?*",rPeso_ATR,"",rMes_ATR,MesCiclo)+COUNTIFS(rPeso_ATR,"&lt;=0",rMes_ATR,MesCiclo)+COUNTIFS(rPeso_ATR,"&gt;1",rMes_ATR,MesCiclo)</f>
        <v/>
      </c>
      <c r="E7">
        <f>AND(B7&gt;0,D7=0,ABS(C7-1)&lt;=0.0001)</f>
        <v/>
      </c>
      <c r="F7" s="98">
        <f>IFERROR(SUMPRODUCT(--(rMes_ATR=MesCiclo),rPeso_ATR,rAvance_ATR),0)</f>
        <v/>
      </c>
      <c r="G7" s="98">
        <f>IFERROR(SUMPRODUCT((rMes_ATR=MesCiclo)*rPeso_ATR*rS1_ATR),0)</f>
        <v/>
      </c>
      <c r="H7" s="98">
        <f>IFERROR(SUMPRODUCT((rMes_ATR=MesCiclo)*rPeso_ATR*(rS2_ATR+(rS2_ATR="")*rS1_ATR)),0)</f>
        <v/>
      </c>
      <c r="I7" s="98">
        <f>IFERROR(SUMPRODUCT((rMes_ATR=MesCiclo)*rPeso_ATR*(rS3_ATR+(rS3_ATR="")*(rS2_ATR+(rS2_ATR="")*rS1_ATR))),0)</f>
        <v/>
      </c>
      <c r="J7" s="98">
        <f>IFERROR(SUMPRODUCT((rMes_ATR=MesCiclo)*rPeso_ATR*(rS4_ATR+(rS4_ATR="")*(rS3_ATR+(rS3_ATR="")*(rS2_ATR+(rS2_ATR="")*rS1_ATR)))),0)</f>
        <v/>
      </c>
      <c r="K7">
        <f>IF(ROUND(G7,4)&gt;=1,1,IF(ROUND(H7,4)&gt;=1,2,IF(ROUND(I7,4)&gt;=1,3,IF(ROUND(J7,4)&gt;=1,4,""))))</f>
        <v/>
      </c>
      <c r="L7">
        <f>AND(E7,ROUND(F7,4)&gt;=1)</f>
        <v/>
      </c>
      <c r="M7">
        <f>AND(L7,MIN(IF(K7="",4,K7),SemanaActual)&lt;4)</f>
        <v/>
      </c>
      <c r="N7">
        <f>COUNTIFS(rEstado_ATR,"Completado",rMes_ATR,MesCiclo)</f>
        <v/>
      </c>
      <c r="O7">
        <f>COUNTIFS(rEstado_ATR,"En curso",rMes_ATR,MesCiclo)</f>
        <v/>
      </c>
      <c r="P7">
        <f>COUNTIFS(rEstado_ATR,"Pendiente",rMes_ATR,MesCiclo)</f>
        <v/>
      </c>
      <c r="Q7">
        <f>SUMPRODUCT((rMes_ATR=MesCiclo)*ISNUMBER(SEARCH("Vencida",rValid_ATR)))</f>
        <v/>
      </c>
      <c r="R7">
        <f>SUMPRODUCT((rMes_ATR=MesCiclo)*(LEFT(rValid_ATR,1)="⚠"))</f>
        <v/>
      </c>
      <c r="S7">
        <f>COUNTIFS(rFLim_ATR,"&gt;="&amp;FechaRef,rFLim_ATR,"&lt;="&amp;(FechaRef+DiasAlerta),rAvance_ATR,"&lt;1",rMes_ATR,MesCiclo)</f>
        <v/>
      </c>
      <c r="T7" t="inlineStr">
        <is>
          <t>Cronograma Asistente Técnico</t>
        </is>
      </c>
    </row>
    <row r="8">
      <c r="A8" t="inlineStr">
        <is>
          <t>Total actividades del mes (promedio de 4 puestos)</t>
        </is>
      </c>
      <c r="B8">
        <f>SUM(B4:B7)</f>
        <v/>
      </c>
      <c r="C8" s="99">
        <f>COUNTIF(E4:E7,TRUE)</f>
        <v/>
      </c>
      <c r="D8" s="98">
        <f>IF(C8&gt;0,SUMPRODUCT(F4:F7*(E4:E7=TRUE))/C8,"")</f>
        <v/>
      </c>
      <c r="E8">
        <f>AND(E4,E5,E6,E7)</f>
        <v/>
      </c>
      <c r="F8" s="98">
        <f>IF(E8,AVERAGE(F4:F7),"")</f>
        <v/>
      </c>
      <c r="G8" s="98">
        <f>IF($E$8,AVERAGE(G4:G7),"")</f>
        <v/>
      </c>
      <c r="H8" s="98">
        <f>IF($E$8,AVERAGE(H4:H7),"")</f>
        <v/>
      </c>
      <c r="I8" s="98">
        <f>IF($E$8,AVERAGE(I4:I7),"")</f>
        <v/>
      </c>
      <c r="J8" s="98">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row>
    <row r="9">
      <c r="A9" s="100"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1">
        <f>DATE(YEAR(MesEntrada),MONTH(MesEntrada),1)</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2026-10-09T20:10:03Z</dcterms:created>
  <dcterms:modified xmlns:dcterms="http://purl.org/dc/terms/" xmlns:xsi="http://www.w3.org/2001/XMLSchema-instance" xsi:type="dcterms:W3CDTF">2026-10-09T20:10:05Z</dcterms:modified>
</cp:coreProperties>
</file>