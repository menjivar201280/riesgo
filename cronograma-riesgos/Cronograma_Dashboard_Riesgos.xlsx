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- Consolidado" sheetId="1" state="visible" r:id="rId1"/>
    <sheet xmlns:r="http://schemas.openxmlformats.org/officeDocument/2006/relationships" name="Historial mensual" sheetId="2" state="visible" r:id="rId2"/>
    <sheet xmlns:r="http://schemas.openxmlformats.org/officeDocument/2006/relationships" name="Cronograma R. Operacional" sheetId="3" state="visible" r:id="rId3"/>
    <sheet xmlns:r="http://schemas.openxmlformats.org/officeDocument/2006/relationships" name="Actividades R. Operacional" sheetId="4" state="visible" r:id="rId4"/>
    <sheet xmlns:r="http://schemas.openxmlformats.org/officeDocument/2006/relationships" name="Cronograma R. Normativo" sheetId="5" state="visible" r:id="rId5"/>
    <sheet xmlns:r="http://schemas.openxmlformats.org/officeDocument/2006/relationships" name="Actividades R. Normativo" sheetId="6" state="visible" r:id="rId6"/>
    <sheet xmlns:r="http://schemas.openxmlformats.org/officeDocument/2006/relationships" name="Cronograma R. Financiero" sheetId="7" state="visible" r:id="rId7"/>
    <sheet xmlns:r="http://schemas.openxmlformats.org/officeDocument/2006/relationships" name="Actividades R. Financiero" sheetId="8" state="visible" r:id="rId8"/>
    <sheet xmlns:r="http://schemas.openxmlformats.org/officeDocument/2006/relationships" name="Cronograma Asistente Técnico" sheetId="9" state="visible" r:id="rId9"/>
    <sheet xmlns:r="http://schemas.openxmlformats.org/officeDocument/2006/relationships" name="Actividades Asistente Técnico" sheetId="10" state="visible" r:id="rId10"/>
    <sheet xmlns:r="http://schemas.openxmlformats.org/officeDocument/2006/relationships" name="Instrucciones" sheetId="11" state="visible" r:id="rId11"/>
    <sheet xmlns:r="http://schemas.openxmlformats.org/officeDocument/2006/relationships" name="Configuración" sheetId="12" state="visible" r:id="rId12"/>
    <sheet xmlns:r="http://schemas.openxmlformats.org/officeDocument/2006/relationships" name="Calculos" sheetId="13" state="hidden" r:id="rId13"/>
  </sheets>
  <definedNames>
    <definedName name="MesEntrada">'Configuración'!$C$4</definedName>
    <definedName name="InicioCiclo">'Configuración'!$C$5</definedName>
    <definedName name="FechaRef">'Configuración'!$C$6</definedName>
    <definedName name="SemanaActual">'Configuración'!$C$7</definedName>
    <definedName name="SemanaManual">'Configuración'!$C$8</definedName>
    <definedName name="DiasAlerta">'Configuración'!$C$9</definedName>
    <definedName name="ObsObligatoria">'Configuración'!$C$10</definedName>
    <definedName name="MetaFinal">'Configuración'!$C$11</definedName>
    <definedName name="HistInicio">'Configuración'!$C$12</definedName>
    <definedName name="PlanRef">'Configuración'!$C$15:$C$18</definedName>
    <definedName name="ListaPuestos">'Configuración'!$B$22:$B$25</definedName>
    <definedName name="ListaEstados">'Configuración'!$B$28:$B$30</definedName>
    <definedName name="ListaSemanas">'Configuración'!$B$33:$B$36</definedName>
    <definedName name="ListaSiNo">'Configuración'!$B$39:$B$40</definedName>
    <definedName name="rFLim_RO">'Cronograma R. Operacional'!$E$5:$E$1000</definedName>
    <definedName name="rPeso_RO">'Cronograma R. Operacional'!$F$5:$F$1000</definedName>
    <definedName name="rS1_RO">'Cronograma R. Operacional'!$G$5:$G$1000</definedName>
    <definedName name="rS2_RO">'Cronograma R. Operacional'!$H$5:$H$1000</definedName>
    <definedName name="rS3_RO">'Cronograma R. Operacional'!$I$5:$I$1000</definedName>
    <definedName name="rS4_RO">'Cronograma R. Operacional'!$J$5:$J$1000</definedName>
    <definedName name="rAvance_RO">'Cronograma R. Operacional'!$K$5:$K$1000</definedName>
    <definedName name="rEstado_RO">'Cronograma R. Operacional'!$L$5:$L$1000</definedName>
    <definedName name="rAlerta_RO">'Cronograma R. Operacional'!$M$5:$M$1000</definedName>
    <definedName name="rValid_RO">'Cronograma R. Operacional'!$O$5:$O$1000</definedName>
    <definedName name="rMes_RO">'Cronograma R. Operacional'!$P$5:$P$1000</definedName>
    <definedName name="rOrden_RO">'Cronograma R. Operacional'!$Q$5:$Q$1000</definedName>
    <definedName name="rTipo_RO">'Cronograma R. Operacional'!$S$5:$S$1000</definedName>
    <definedName name="rEf1_RO">'Cronograma R. Operacional'!$Y$5:$Y$1000</definedName>
    <definedName name="rEf2_RO">'Cronograma R. Operacional'!$Z$5:$Z$1000</definedName>
    <definedName name="rEf3_RO">'Cronograma R. Operacional'!$AA$5:$AA$1000</definedName>
    <definedName name="rEf4_RO">'Cronograma R. Operacional'!$AB$5:$AB$1000</definedName>
    <definedName name="rFLim_RN">'Cronograma R. Normativo'!$E$5:$E$1000</definedName>
    <definedName name="rPeso_RN">'Cronograma R. Normativo'!$F$5:$F$1000</definedName>
    <definedName name="rS1_RN">'Cronograma R. Normativo'!$G$5:$G$1000</definedName>
    <definedName name="rS2_RN">'Cronograma R. Normativo'!$H$5:$H$1000</definedName>
    <definedName name="rS3_RN">'Cronograma R. Normativo'!$I$5:$I$1000</definedName>
    <definedName name="rS4_RN">'Cronograma R. Normativo'!$J$5:$J$1000</definedName>
    <definedName name="rAvance_RN">'Cronograma R. Normativo'!$K$5:$K$1000</definedName>
    <definedName name="rEstado_RN">'Cronograma R. Normativo'!$L$5:$L$1000</definedName>
    <definedName name="rAlerta_RN">'Cronograma R. Normativo'!$M$5:$M$1000</definedName>
    <definedName name="rValid_RN">'Cronograma R. Normativo'!$O$5:$O$1000</definedName>
    <definedName name="rMes_RN">'Cronograma R. Normativo'!$P$5:$P$1000</definedName>
    <definedName name="rOrden_RN">'Cronograma R. Normativo'!$Q$5:$Q$1000</definedName>
    <definedName name="rTipo_RN">'Cronograma R. Normativo'!$S$5:$S$1000</definedName>
    <definedName name="rEf1_RN">'Cronograma R. Normativo'!$Y$5:$Y$1000</definedName>
    <definedName name="rEf2_RN">'Cronograma R. Normativo'!$Z$5:$Z$1000</definedName>
    <definedName name="rEf3_RN">'Cronograma R. Normativo'!$AA$5:$AA$1000</definedName>
    <definedName name="rEf4_RN">'Cronograma R. Normativo'!$AB$5:$AB$1000</definedName>
    <definedName name="rFLim_RF">'Cronograma R. Financiero'!$E$5:$E$1000</definedName>
    <definedName name="rPeso_RF">'Cronograma R. Financiero'!$F$5:$F$1000</definedName>
    <definedName name="rS1_RF">'Cronograma R. Financiero'!$G$5:$G$1000</definedName>
    <definedName name="rS2_RF">'Cronograma R. Financiero'!$H$5:$H$1000</definedName>
    <definedName name="rS3_RF">'Cronograma R. Financiero'!$I$5:$I$1000</definedName>
    <definedName name="rS4_RF">'Cronograma R. Financiero'!$J$5:$J$1000</definedName>
    <definedName name="rAvance_RF">'Cronograma R. Financiero'!$K$5:$K$1000</definedName>
    <definedName name="rEstado_RF">'Cronograma R. Financiero'!$L$5:$L$1000</definedName>
    <definedName name="rAlerta_RF">'Cronograma R. Financiero'!$M$5:$M$1000</definedName>
    <definedName name="rValid_RF">'Cronograma R. Financiero'!$O$5:$O$1000</definedName>
    <definedName name="rMes_RF">'Cronograma R. Financiero'!$P$5:$P$1000</definedName>
    <definedName name="rOrden_RF">'Cronograma R. Financiero'!$Q$5:$Q$1000</definedName>
    <definedName name="rTipo_RF">'Cronograma R. Financiero'!$S$5:$S$1000</definedName>
    <definedName name="rEf1_RF">'Cronograma R. Financiero'!$Y$5:$Y$1000</definedName>
    <definedName name="rEf2_RF">'Cronograma R. Financiero'!$Z$5:$Z$1000</definedName>
    <definedName name="rEf3_RF">'Cronograma R. Financiero'!$AA$5:$AA$1000</definedName>
    <definedName name="rEf4_RF">'Cronograma R. Financiero'!$AB$5:$AB$1000</definedName>
    <definedName name="rFLim_ATR">'Cronograma Asistente Técnico'!$E$5:$E$1000</definedName>
    <definedName name="rPeso_ATR">'Cronograma Asistente Técnico'!$F$5:$F$1000</definedName>
    <definedName name="rS1_ATR">'Cronograma Asistente Técnico'!$G$5:$G$1000</definedName>
    <definedName name="rS2_ATR">'Cronograma Asistente Técnico'!$H$5:$H$1000</definedName>
    <definedName name="rS3_ATR">'Cronograma Asistente Técnico'!$I$5:$I$1000</definedName>
    <definedName name="rS4_ATR">'Cronograma Asistente Técnico'!$J$5:$J$1000</definedName>
    <definedName name="rAvance_ATR">'Cronograma Asistente Técnico'!$K$5:$K$1000</definedName>
    <definedName name="rEstado_ATR">'Cronograma Asistente Técnico'!$L$5:$L$1000</definedName>
    <definedName name="rAlerta_ATR">'Cronograma Asistente Técnico'!$M$5:$M$1000</definedName>
    <definedName name="rValid_ATR">'Cronograma Asistente Técnico'!$O$5:$O$1000</definedName>
    <definedName name="rMes_ATR">'Cronograma Asistente Técnico'!$P$5:$P$1000</definedName>
    <definedName name="rOrden_ATR">'Cronograma Asistente Técnico'!$Q$5:$Q$1000</definedName>
    <definedName name="rTipo_ATR">'Cronograma Asistente Técnico'!$S$5:$S$1000</definedName>
    <definedName name="rEf1_ATR">'Cronograma Asistente Técnico'!$Y$5:$Y$1000</definedName>
    <definedName name="rEf2_ATR">'Cronograma Asistente Técnico'!$Z$5:$Z$1000</definedName>
    <definedName name="rEf3_ATR">'Cronograma Asistente Técnico'!$AA$5:$AA$1000</definedName>
    <definedName name="rEf4_ATR">'Cronograma Asistente Técnico'!$AB$5:$AB$1000</definedName>
    <definedName name="hSemana_RO">'Actividades R. Operacional'!$E$5:$E$104</definedName>
    <definedName name="hEstado_RO">'Actividades R. Operacional'!$K$5:$K$104</definedName>
    <definedName name="hTipo_RO">'Actividades R. Operacional'!$O$5:$O$104</definedName>
    <definedName name="hSemana_RN">'Actividades R. Normativo'!$E$5:$E$104</definedName>
    <definedName name="hEstado_RN">'Actividades R. Normativo'!$K$5:$K$104</definedName>
    <definedName name="hTipo_RN">'Actividades R. Normativo'!$O$5:$O$104</definedName>
    <definedName name="hSemana_RF">'Actividades R. Financiero'!$E$5:$E$104</definedName>
    <definedName name="hEstado_RF">'Actividades R. Financiero'!$K$5:$K$104</definedName>
    <definedName name="hTipo_RF">'Actividades R. Financiero'!$O$5:$O$104</definedName>
    <definedName name="hSemana_ATR">'Actividades Asistente Técnico'!$E$5:$E$104</definedName>
    <definedName name="hEstado_ATR">'Actividades Asistente Técnico'!$K$5:$K$104</definedName>
    <definedName name="hTipo_ATR">'Actividades Asistente Técnico'!$O$5:$O$104</definedName>
    <definedName name="MesCiclo">'Calculos'!$B$15</definedName>
    <definedName name="_xlnm.Print_Titles" localSheetId="0">'Dashboard - Consolidado'!$1:$2</definedName>
    <definedName name="_xlnm.Print_Area" localSheetId="0">'Dashboard - Consolidado'!$A$1:$N$90</definedName>
    <definedName name="_xlnm.Print_Titles" localSheetId="2">'Cronograma R. Operacional'!$4:$4</definedName>
    <definedName name="_xlnm.Print_Area" localSheetId="2">'Cronograma R. Operacional'!$A$1:$P$304</definedName>
    <definedName name="_xlnm.Print_Titles" localSheetId="3">'Actividades R. Operacional'!$4:$4</definedName>
    <definedName name="_xlnm.Print_Area" localSheetId="3">'Actividades R. Operacional'!$A$1:$M$104</definedName>
    <definedName name="_xlnm.Print_Titles" localSheetId="4">'Cronograma R. Normativo'!$4:$4</definedName>
    <definedName name="_xlnm.Print_Area" localSheetId="4">'Cronograma R. Normativo'!$A$1:$P$304</definedName>
    <definedName name="_xlnm.Print_Titles" localSheetId="5">'Actividades R. Normativo'!$4:$4</definedName>
    <definedName name="_xlnm.Print_Area" localSheetId="5">'Actividades R. Normativo'!$A$1:$M$104</definedName>
    <definedName name="_xlnm.Print_Titles" localSheetId="6">'Cronograma R. Financiero'!$4:$4</definedName>
    <definedName name="_xlnm.Print_Area" localSheetId="6">'Cronograma R. Financiero'!$A$1:$P$304</definedName>
    <definedName name="_xlnm.Print_Titles" localSheetId="7">'Actividades R. Financiero'!$4:$4</definedName>
    <definedName name="_xlnm.Print_Area" localSheetId="7">'Actividades R. Financiero'!$A$1:$M$104</definedName>
    <definedName name="_xlnm.Print_Titles" localSheetId="8">'Cronograma Asistente Técnico'!$4:$4</definedName>
    <definedName name="_xlnm.Print_Area" localSheetId="8">'Cronograma Asistente Técnico'!$A$1:$P$304</definedName>
    <definedName name="_xlnm.Print_Titles" localSheetId="9">'Actividades Asistente Técnico'!$4:$4</definedName>
    <definedName name="_xlnm.Print_Area" localSheetId="9">'Actividades Asistente Técnico'!$A$1:$M$104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-440A]mmmm yyyy"/>
    <numFmt numFmtId="165" formatCode="dd/mm/yyyy"/>
    <numFmt numFmtId="166" formatCode="&quot;Semana &quot;0"/>
    <numFmt numFmtId="167" formatCode="yyyy-mm-dd"/>
    <numFmt numFmtId="168" formatCode="0.0%"/>
    <numFmt numFmtId="169" formatCode="dd/mm"/>
    <numFmt numFmtId="170" formatCode="0&quot; de 4&quot;"/>
    <numFmt numFmtId="171" formatCode="0%;;&quot;&quot;"/>
    <numFmt numFmtId="172" formatCode="+0%;-0%;0%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1A1A1A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b val="1"/>
      <color rgb="001F3864"/>
      <sz val="10"/>
    </font>
    <font>
      <name val="Arial"/>
      <color rgb="001A1A1A"/>
      <sz val="9"/>
    </font>
    <font>
      <name val="Arial"/>
      <b val="1"/>
      <color rgb="002E75B6"/>
      <sz val="10"/>
    </font>
    <font>
      <name val="Arial"/>
      <color rgb="001A1A1A"/>
      <sz val="10"/>
    </font>
    <font>
      <name val="Arial"/>
      <color rgb="001F3864"/>
      <sz val="9"/>
    </font>
    <font>
      <name val="Arial"/>
      <color rgb="001A1A1A"/>
      <sz val="8"/>
    </font>
    <font>
      <name val="Arial"/>
      <b val="1"/>
      <color rgb="001A1A1A"/>
      <sz val="8"/>
    </font>
    <font>
      <name val="Arial"/>
      <b val="1"/>
      <color rgb="001F3864"/>
      <sz val="9"/>
    </font>
    <font>
      <name val="Arial"/>
      <b val="1"/>
      <color rgb="001A1A1A"/>
      <sz val="9"/>
    </font>
    <font>
      <name val="Arial"/>
      <b val="1"/>
      <color rgb="001F3864"/>
      <sz val="8"/>
    </font>
    <font>
      <name val="Arial"/>
      <b val="1"/>
      <color rgb="00FFFFFF"/>
      <sz val="9"/>
    </font>
    <font>
      <name val="Arial"/>
      <i val="1"/>
      <color rgb="001A1A1A"/>
      <sz val="8"/>
    </font>
    <font>
      <name val="Arial"/>
      <b val="1"/>
      <color rgb="00FFFFFF"/>
      <sz val="16"/>
    </font>
    <font>
      <name val="Arial"/>
      <b val="1"/>
      <color rgb="001F3864"/>
      <sz val="11"/>
    </font>
    <font>
      <name val="Arial"/>
      <i val="1"/>
      <color rgb="001F3864"/>
      <sz val="8"/>
    </font>
    <font>
      <name val="Arial"/>
      <b val="1"/>
      <color rgb="001F3864"/>
      <sz val="24"/>
    </font>
    <font>
      <name val="Arial"/>
      <b val="1"/>
      <color rgb="00FFFFFF"/>
      <sz val="12"/>
    </font>
    <font>
      <name val="Arial"/>
      <color rgb="00FFFFFF"/>
      <sz val="9"/>
    </font>
    <font>
      <name val="Arial"/>
      <color rgb="00DDEBF7"/>
      <sz val="9"/>
    </font>
    <font>
      <name val="Arial"/>
      <i val="1"/>
      <color rgb="00404040"/>
      <sz val="9"/>
    </font>
    <font>
      <name val="Arial"/>
      <color rgb="00404040"/>
      <sz val="9"/>
    </font>
    <font>
      <name val="Arial"/>
      <i val="1"/>
      <color rgb="00404040"/>
      <sz val="8"/>
    </font>
    <font>
      <name val="Arial"/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EDEDED"/>
        <bgColor rgb="00EDEDED"/>
      </patternFill>
    </fill>
    <fill>
      <patternFill patternType="solid">
        <fgColor rgb="00EAF3FB"/>
        <bgColor rgb="00EAF3FB"/>
      </patternFill>
    </fill>
    <fill>
      <patternFill patternType="solid">
        <fgColor rgb="00C55A11"/>
        <bgColor rgb="00C55A11"/>
      </patternFill>
    </fill>
    <fill>
      <patternFill patternType="solid">
        <fgColor rgb="00DDEBF7"/>
        <bgColor rgb="00DDEBF7"/>
      </patternFill>
    </fill>
    <fill>
      <patternFill patternType="solid">
        <fgColor rgb="00F3DECF"/>
        <bgColor rgb="00F3DECF"/>
      </patternFill>
    </fill>
    <fill>
      <patternFill patternType="solid">
        <fgColor rgb="007030A0"/>
        <bgColor rgb="007030A0"/>
      </patternFill>
    </fill>
    <fill>
      <patternFill patternType="solid">
        <fgColor rgb="00E2D5EC"/>
        <bgColor rgb="00E2D5EC"/>
      </patternFill>
    </fill>
    <fill>
      <patternFill patternType="solid">
        <fgColor rgb="00548235"/>
        <bgColor rgb="00548235"/>
      </patternFill>
    </fill>
    <fill>
      <patternFill patternType="solid">
        <fgColor rgb="00DCE6D6"/>
        <bgColor rgb="00DCE6D6"/>
      </patternFill>
    </fill>
    <fill>
      <patternFill patternType="solid">
        <fgColor rgb="00D5E3F0"/>
        <bgColor rgb="00D5E3F0"/>
      </patternFill>
    </fill>
    <fill>
      <patternFill patternType="solid">
        <fgColor rgb="00FFFFFF"/>
        <bgColor rgb="00FFFFF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7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right" vertical="center"/>
    </xf>
    <xf numFmtId="164" fontId="18" fillId="7" borderId="1" applyAlignment="1" pivotButton="0" quotePrefix="0" xfId="0">
      <alignment horizontal="center" vertical="center" wrapText="1"/>
    </xf>
    <xf numFmtId="170" fontId="18" fillId="7" borderId="1" applyAlignment="1" pivotButton="0" quotePrefix="0" xfId="0">
      <alignment horizontal="center" vertical="center" wrapText="1"/>
    </xf>
    <xf numFmtId="165" fontId="18" fillId="7" borderId="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9" fontId="20" fillId="14" borderId="1" applyAlignment="1" pivotButton="0" quotePrefix="0" xfId="0">
      <alignment horizontal="center" vertical="center" wrapText="1"/>
    </xf>
    <xf numFmtId="0" fontId="20" fillId="14" borderId="1" applyAlignment="1" pivotButton="0" quotePrefix="0" xfId="0">
      <alignment horizontal="center" vertical="center" wrapText="1"/>
    </xf>
    <xf numFmtId="1" fontId="20" fillId="14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170" fontId="20" fillId="14" borderId="1" applyAlignment="1" pivotButton="0" quotePrefix="0" xfId="0">
      <alignment horizontal="center" vertical="center" wrapText="1"/>
    </xf>
    <xf numFmtId="0" fontId="5" fillId="0" borderId="0" pivotButton="0" quotePrefix="0" xfId="0"/>
    <xf numFmtId="9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6" borderId="1" applyAlignment="1" pivotButton="0" quotePrefix="0" xfId="0">
      <alignment horizontal="left" vertical="center" wrapText="1"/>
    </xf>
    <xf numFmtId="9" fontId="8" fillId="0" borderId="1" applyAlignment="1" pivotButton="0" quotePrefix="0" xfId="0">
      <alignment horizontal="center" vertical="center" wrapText="1"/>
    </xf>
    <xf numFmtId="171" fontId="2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11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9" fontId="5" fillId="7" borderId="1" applyAlignment="1" pivotButton="0" quotePrefix="0" xfId="0">
      <alignment horizontal="center" vertical="center" wrapText="1"/>
    </xf>
    <xf numFmtId="171" fontId="23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172" fontId="8" fillId="0" borderId="1" applyAlignment="1" pivotButton="0" quotePrefix="0" xfId="0">
      <alignment horizontal="center" vertical="center" wrapText="1"/>
    </xf>
    <xf numFmtId="172" fontId="5" fillId="7" borderId="1" applyAlignment="1" pivotButton="0" quotePrefix="0" xfId="0">
      <alignment horizontal="center" vertical="center" wrapText="1"/>
    </xf>
    <xf numFmtId="0" fontId="24" fillId="14" borderId="1" applyAlignment="1" pivotButton="0" quotePrefix="0" xfId="0">
      <alignment horizontal="left" vertical="center" wrapText="1"/>
    </xf>
    <xf numFmtId="9" fontId="24" fillId="14" borderId="1" applyAlignment="1" pivotButton="0" quotePrefix="0" xfId="0">
      <alignment horizontal="center" vertical="center" wrapText="1"/>
    </xf>
    <xf numFmtId="172" fontId="5" fillId="14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25" fillId="14" borderId="1" applyAlignment="1" pivotButton="0" quotePrefix="0" xfId="0">
      <alignment horizontal="left" vertical="center" wrapText="1"/>
    </xf>
    <xf numFmtId="9" fontId="25" fillId="1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1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left" vertical="center" wrapText="1"/>
    </xf>
    <xf numFmtId="0" fontId="10" fillId="4" borderId="1" pivotButton="0" quotePrefix="0" xfId="0"/>
    <xf numFmtId="0" fontId="10" fillId="5" borderId="1" pivotButton="0" quotePrefix="0" xfId="0"/>
    <xf numFmtId="0" fontId="11" fillId="8" borderId="1" pivotButton="0" quotePrefix="0" xfId="0"/>
    <xf numFmtId="0" fontId="12" fillId="0" borderId="0" applyAlignment="1" pivotButton="0" quotePrefix="0" xfId="0">
      <alignment horizontal="right" vertical="center"/>
    </xf>
    <xf numFmtId="168" fontId="5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4" borderId="1" applyAlignment="1" applyProtection="1" pivotButton="0" quotePrefix="0" xfId="0">
      <alignment horizontal="center" vertical="center" wrapText="1"/>
      <protection locked="0" hidden="0"/>
    </xf>
    <xf numFmtId="0" fontId="8" fillId="4" borderId="1" applyAlignment="1" applyProtection="1" pivotButton="0" quotePrefix="0" xfId="0">
      <alignment horizontal="left" vertical="center" wrapText="1"/>
      <protection locked="0" hidden="0"/>
    </xf>
    <xf numFmtId="165" fontId="8" fillId="4" borderId="1" applyAlignment="1" applyProtection="1" pivotButton="0" quotePrefix="0" xfId="0">
      <alignment horizontal="center" vertical="center" wrapText="1"/>
      <protection locked="0" hidden="0"/>
    </xf>
    <xf numFmtId="168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4" borderId="1" applyAlignment="1" applyProtection="1" pivotButton="0" quotePrefix="0" xfId="0">
      <alignment horizontal="center" vertical="center" wrapText="1"/>
      <protection locked="0" hidden="0"/>
    </xf>
    <xf numFmtId="9" fontId="8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164" fontId="8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 wrapText="1"/>
    </xf>
    <xf numFmtId="0" fontId="12" fillId="7" borderId="0" applyAlignment="1" pivotButton="0" quotePrefix="0" xfId="0">
      <alignment horizontal="left" vertical="center" wrapText="1"/>
    </xf>
    <xf numFmtId="0" fontId="12" fillId="0" borderId="0" pivotButton="0" quotePrefix="0" xfId="0"/>
    <xf numFmtId="164" fontId="5" fillId="7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169" fontId="14" fillId="7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/>
    </xf>
    <xf numFmtId="0" fontId="11" fillId="10" borderId="1" pivotButton="0" quotePrefix="0" xfId="0"/>
    <xf numFmtId="0" fontId="1" fillId="11" borderId="0" applyAlignment="1" pivotButton="0" quotePrefix="0" xfId="0">
      <alignment horizontal="left" vertical="center" wrapText="1"/>
    </xf>
    <xf numFmtId="0" fontId="11" fillId="12" borderId="1" pivotButton="0" quotePrefix="0" xfId="0"/>
    <xf numFmtId="0" fontId="1" fillId="3" borderId="0" applyAlignment="1" pivotButton="0" quotePrefix="0" xfId="0">
      <alignment horizontal="left" vertical="center" wrapText="1"/>
    </xf>
    <xf numFmtId="0" fontId="11" fillId="13" borderId="1" pivotButton="0" quotePrefix="0" xfId="0"/>
    <xf numFmtId="0" fontId="27" fillId="3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4" fillId="0" borderId="1" applyAlignment="1" pivotButton="0" quotePrefix="0" xfId="0">
      <alignment horizontal="left" vertical="center" wrapText="1"/>
    </xf>
    <xf numFmtId="164" fontId="5" fillId="4" borderId="1" applyAlignment="1" applyProtection="1" pivotButton="0" quotePrefix="0" xfId="0">
      <alignment horizontal="center" vertical="center" wrapText="1"/>
      <protection locked="0" hidden="0"/>
    </xf>
    <xf numFmtId="165" fontId="5" fillId="4" borderId="1" applyAlignment="1" applyProtection="1" pivotButton="0" quotePrefix="0" xfId="0">
      <alignment horizontal="center" vertical="center" wrapText="1"/>
      <protection locked="0" hidden="0"/>
    </xf>
    <xf numFmtId="166" fontId="5" fillId="5" borderId="1" applyAlignment="1" pivotButton="0" quotePrefix="0" xfId="0">
      <alignment horizontal="center" vertical="center" wrapText="1"/>
    </xf>
    <xf numFmtId="1" fontId="5" fillId="4" borderId="1" applyAlignment="1" applyProtection="1" pivotButton="0" quotePrefix="0" xfId="0">
      <alignment horizontal="center" vertical="center" wrapText="1"/>
      <protection locked="0" hidden="0"/>
    </xf>
    <xf numFmtId="49" fontId="5" fillId="4" borderId="1" applyAlignment="1" applyProtection="1" pivotButton="0" quotePrefix="0" xfId="0">
      <alignment horizontal="center" vertical="center" wrapText="1"/>
      <protection locked="0" hidden="0"/>
    </xf>
    <xf numFmtId="9" fontId="5" fillId="5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0" borderId="1" pivotButton="0" quotePrefix="0" xfId="0"/>
    <xf numFmtId="9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0" borderId="1" pivotButton="0" quotePrefix="0" xfId="0"/>
    <xf numFmtId="0" fontId="6" fillId="0" borderId="0" applyAlignment="1" pivotButton="0" quotePrefix="0" xfId="0">
      <alignment horizontal="left" vertical="top" wrapText="1"/>
    </xf>
    <xf numFmtId="0" fontId="13" fillId="0" borderId="0" pivotButton="0" quotePrefix="0" xfId="0"/>
    <xf numFmtId="0" fontId="15" fillId="2" borderId="0" applyAlignment="1" pivotButton="0" quotePrefix="0" xfId="0">
      <alignment horizontal="center" vertical="center" wrapText="1"/>
    </xf>
    <xf numFmtId="168" fontId="0" fillId="0" borderId="0" pivotButton="0" quotePrefix="0" xfId="0"/>
    <xf numFmtId="1" fontId="0" fillId="0" borderId="0" pivotButton="0" quotePrefix="0" xfId="0"/>
    <xf numFmtId="0" fontId="16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1E7B34"/>
          <bgColor rgb="001E7B34"/>
        </patternFill>
      </fill>
    </dxf>
    <dxf>
      <font>
        <b val="1"/>
        <color rgb="001F3864"/>
      </font>
      <fill>
        <patternFill patternType="solid">
          <fgColor rgb="00BDD7EE"/>
          <bgColor rgb="00BDD7E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833C0B"/>
      </font>
      <fill>
        <patternFill patternType="solid">
          <fgColor rgb="00F8CBAD"/>
          <bgColor rgb="00F8CBAD"/>
        </patternFill>
      </fill>
    </dxf>
    <dxf>
      <font>
        <color rgb="007F6000"/>
      </font>
      <fill>
        <patternFill patternType="solid">
          <fgColor rgb="00FFE699"/>
          <bgColor rgb="00FFE699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b val="1"/>
        <color rgb="003F2F00"/>
      </font>
      <fill>
        <patternFill patternType="solid">
          <fgColor rgb="00FFC000"/>
          <bgColor rgb="00FFC000"/>
        </patternFill>
      </fill>
    </dxf>
    <dxf>
      <font>
        <color rgb="001F3864"/>
      </font>
      <fill>
        <patternFill patternType="solid">
          <fgColor rgb="00BDD7EE"/>
          <bgColor rgb="00BDD7EE"/>
        </patternFill>
      </fill>
    </dxf>
    <dxf>
      <font>
        <i val="1"/>
        <color rgb="007F7F7F"/>
      </font>
    </dxf>
    <dxf>
      <font>
        <b val="1"/>
      </font>
      <fill>
        <patternFill patternType="solid">
          <fgColor rgb="00F3DECF"/>
          <bgColor rgb="00F3DECF"/>
        </patternFill>
      </fill>
      <border>
        <top style="medium">
          <color rgb="00C55A11"/>
        </top>
      </border>
    </dxf>
    <dxf>
      <font>
        <color rgb="00404040"/>
      </font>
      <numFmt numFmtId="200" formatCode="&quot;      ↳  &quot;@"/>
    </dxf>
    <dxf>
      <font>
        <color rgb="00375623"/>
      </font>
      <fill>
        <patternFill patternType="solid">
          <fgColor rgb="00E2EFDA"/>
          <bgColor rgb="00E2EFDA"/>
        </patternFill>
      </fill>
    </dxf>
    <dxf>
      <font>
        <i val="1"/>
        <color rgb="00404040"/>
      </font>
    </dxf>
    <dxf>
      <fill>
        <patternFill patternType="solid">
          <fgColor rgb="00EAF3FB"/>
          <bgColor rgb="00EAF3FB"/>
        </patternFill>
      </fill>
    </dxf>
    <dxf>
      <font>
        <b val="1"/>
        <color rgb="00006100"/>
      </font>
    </dxf>
    <dxf>
      <font>
        <b val="1"/>
        <color rgb="00FFFFFF"/>
      </font>
      <fill>
        <patternFill patternType="solid">
          <fgColor rgb="00C55A11"/>
          <bgColor rgb="00C55A11"/>
        </patternFill>
      </fill>
    </dxf>
    <dxf>
      <font>
        <b val="1"/>
      </font>
      <fill>
        <patternFill patternType="solid">
          <fgColor rgb="00E2D5EC"/>
          <bgColor rgb="00E2D5EC"/>
        </patternFill>
      </fill>
      <border>
        <top style="medium">
          <color rgb="007030A0"/>
        </top>
      </border>
    </dxf>
    <dxf>
      <font>
        <b val="1"/>
        <color rgb="00FFFFFF"/>
      </font>
      <fill>
        <patternFill patternType="solid">
          <fgColor rgb="007030A0"/>
          <bgColor rgb="007030A0"/>
        </patternFill>
      </fill>
    </dxf>
    <dxf>
      <font>
        <b val="1"/>
      </font>
      <fill>
        <patternFill patternType="solid">
          <fgColor rgb="00DCE6D6"/>
          <bgColor rgb="00DCE6D6"/>
        </patternFill>
      </fill>
      <border>
        <top style="medium">
          <color rgb="00548235"/>
        </top>
      </border>
    </dxf>
    <dxf>
      <font>
        <b val="1"/>
        <color rgb="00FFFFFF"/>
      </font>
      <fill>
        <patternFill patternType="solid">
          <fgColor rgb="00548235"/>
          <bgColor rgb="00548235"/>
        </patternFill>
      </fill>
    </dxf>
    <dxf>
      <font>
        <b val="1"/>
      </font>
      <fill>
        <patternFill patternType="solid">
          <fgColor rgb="00D5E3F0"/>
          <bgColor rgb="00D5E3F0"/>
        </patternFill>
      </fill>
      <border>
        <top style="medium">
          <color rgb="002E75B6"/>
        </top>
      </border>
    </dxf>
    <dxf>
      <font>
        <b val="1"/>
        <color rgb="00FFFFFF"/>
      </font>
      <fill>
        <patternFill patternType="solid">
          <fgColor rgb="002E75B6"/>
          <bgColor rgb="002E75B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ponderado de cada puesto en el mes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cat>
            <numRef>
              <f>'Dashboard - Consolidado'!$P$16:$P$19</f>
            </numRef>
          </cat>
          <val>
            <numRef>
              <f>'Dashboard - Consolidado'!$D$16:$D$19</f>
            </numRef>
          </val>
        </ser>
        <dLbls>
          <numFmt formatCode="0%"/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%" sourceLinked="0"/>
        <majorTickMark val="none"/>
        <minorTickMark val="none"/>
        <crossAx val="10"/>
        <majorUnit val="0.25"/>
      </valAx>
    </plotArea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acumulado por semana de cada puesto vs plan de referencia</a:t>
            </a:r>
          </a:p>
        </rich>
      </tx>
    </title>
    <plotArea>
      <barChart>
        <barDir val="col"/>
        <grouping val="clustered"/>
        <ser>
          <idx val="0"/>
          <order val="0"/>
          <tx>
            <v>R. Operacional</v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Consolidado'!$C$25:$F$25</f>
            </numRef>
          </val>
        </ser>
        <ser>
          <idx val="1"/>
          <order val="1"/>
          <tx>
            <v>R. Normativo</v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Consolidado'!$C$26:$F$26</f>
            </numRef>
          </val>
        </ser>
        <ser>
          <idx val="2"/>
          <order val="2"/>
          <tx>
            <v>R. Financiero</v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Consolidado'!$C$27:$F$27</f>
            </numRef>
          </val>
        </ser>
        <ser>
          <idx val="3"/>
          <order val="3"/>
          <tx>
            <v>Asistente Técnico</v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'Dashboard - Consolidado'!$C$24:$F$24</f>
            </numRef>
          </cat>
          <val>
            <numRef>
              <f>'Dashboard - Consolidado'!$C$28:$F$28</f>
            </numRef>
          </val>
        </ser>
        <gapWidth val="80"/>
        <overlap val="-10"/>
        <axId val="10"/>
        <axId val="100"/>
      </barChart>
      <lineChart>
        <grouping val="standard"/>
        <ser>
          <idx val="4"/>
          <order val="4"/>
          <tx>
            <v>Plan de referencia</v>
          </tx>
          <spPr>
            <a:ln xmlns:a="http://schemas.openxmlformats.org/drawingml/2006/main" w="22000">
              <a:solidFill>
                <a:srgbClr val="7F7F7F"/>
              </a:solidFill>
              <a:prstDash val="dash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'Dashboard - Consolidado'!$C$30:$F$30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Avance por puesto – últimos 6 meses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'Historial mensual'!N5</f>
            </strRef>
          </tx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mensual'!$N$6:$N$11</f>
            </numRef>
          </val>
        </ser>
        <ser>
          <idx val="1"/>
          <order val="1"/>
          <tx>
            <strRef>
              <f>'Historial mensual'!O5</f>
            </strRef>
          </tx>
          <spPr>
            <a:solidFill xmlns:a="http://schemas.openxmlformats.org/drawingml/2006/main">
              <a:srgbClr val="7030A0"/>
            </a:solidFill>
            <a:ln xmlns:a="http://schemas.openxmlformats.org/drawingml/2006/main">
              <a:solidFill>
                <a:srgbClr val="7030A0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mensual'!$O$6:$O$11</f>
            </numRef>
          </val>
        </ser>
        <ser>
          <idx val="2"/>
          <order val="2"/>
          <tx>
            <strRef>
              <f>'Historial mensual'!P5</f>
            </strRef>
          </tx>
          <spPr>
            <a:solidFill xmlns:a="http://schemas.openxmlformats.org/drawingml/2006/main">
              <a:srgbClr val="548235"/>
            </a:solidFill>
            <a:ln xmlns:a="http://schemas.openxmlformats.org/drawingml/2006/main">
              <a:solidFill>
                <a:srgbClr val="548235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mensual'!$P$6:$P$11</f>
            </numRef>
          </val>
        </ser>
        <ser>
          <idx val="3"/>
          <order val="3"/>
          <tx>
            <strRef>
              <f>'Historial mensual'!Q5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cat>
            <numRef>
              <f>'Historial mensual'!$M$6:$M$11</f>
            </numRef>
          </cat>
          <val>
            <numRef>
              <f>'Historial mensual'!$Q$6:$Q$11</f>
            </numRef>
          </val>
        </ser>
        <gapWidth val="120"/>
        <overlap val="-1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  <majorUnit val="0.25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111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50</row>
      <rowOff>0</rowOff>
    </from>
    <ext cx="111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30</row>
      <rowOff>0</rowOff>
    </from>
    <ext cx="93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Act_RO" displayName="tblAct_RO" ref="A4:AG304" headerRowCount="1">
  <autoFilter ref="A4:AG304"/>
  <tableColumns count="33">
    <tableColumn id="1" name="N°">
      <calculatedColumnFormula>IF(NOT((COUNTA(tblAct_RO[[#This Row],[Tipo]:[Avance Semana 4 (%)]])+COUNTA(tblAct_RO[[#This Row],[Observaciones]]))&gt;0),"",IF(tblAct_RO[[#This Row],[Tipo (aux)]]="Macro",COUNTIFS(INDEX(tblAct_RO[Tipo (aux)],1):tblAct_RO[[#This Row],[Tipo (aux)]],"Macro",INDEX(tblAct_RO[Mes],1):tblAct_RO[[#This Row],[Mes]],tblAct_RO[[#This Row],[Mes]]),IF(N(tblAct_RO[[#This Row],[Grupo (aux)]])=0,"?",COUNTIFS(INDEX($S$5:$S$1000,1):INDEX($S$5:$S$1000,tblAct_RO[[#This Row],[Grupo (aux)]]-4),"Macro",INDEX($P$5:$P$1000,1):INDEX($P$5:$P$1000,tblAct_RO[[#This Row],[Grupo (aux)]]-4),INDEX($P$5:$P$1000,tblAct_RO[[#This Row],[Grupo (aux)]]-4))&amp;"."&amp;COUNTIFS(INDEX(tblAct_RO[Grupo (aux)],1):tblAct_RO[[#This Row],[Grupo (aux)]],tblAct_RO[[#This Row],[Grupo (aux)]],INDEX(tblAct_RO[Tipo (aux)],1):tblAct_RO[[#This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IF(NOT((COUNTA(tblAct_RO[[#This Row],[Tipo]:[Avance Semana 4 (%)]])+COUNTA(tblAct_RO[[#This Row],[Observaciones]]))&gt;0),"",IF(N(tblAct_RO[[#This Row],[N subactividades (aux)]])&gt;0,tblAct_RO[[#This Row],[Efectivo S4 (aux)]],IFERROR(LOOKUP(2,1/(tblAct_RO[[#This Row],[Avance Semana 1 (%)]:[Avance Semana 4 (%)]]&lt;&gt;""),tblAct_RO[[#This Row],[Avance Semana 1 (%)]:[Avance Semana 4 (%)]]),0)))</calculatedColumnFormula>
    </tableColumn>
    <tableColumn id="12" name="Estado">
      <calculatedColumnFormula>IF(tblAct_RO[[#This Row],[% de Avance Total Actual]]="","",IF(tblAct_RO[[#This Row],[% de Avance Total Actual]]&gt;=1,"Completado",IF(tblAct_RO[[#This Row],[% de Avance Total Actual]]&gt;0,"En curso","Pendiente")))</calculatedColumnFormula>
    </tableColumn>
    <tableColumn id="13" name="Alerta de plazo">
      <calculatedColumnFormula>IF(NOT((COUNTA(tblAct_RO[[#This Row],[Tipo]:[Avance Semana 4 (%)]])+COUNTA(tblAct_RO[[#This Row],[Observaciones]]))&gt;0),"",IF(N(tblAct_RO[[#This Row],[% de Avance Total Actual]])&gt;=1,"Cumplida",IF(NOT(ISNUMBER(tblAct_RO[[#This Row],[Fecha límite]])),"Sin fecha límite",IF(tblAct_RO[[#This Row],[Fecha límite]]&lt;FechaRef,"Vencida hace "&amp;(FechaRef-tblAct_RO[[#This Row],[Fecha límite]])&amp;IF(FechaRef-tblAct_RO[[#This Row],[Fecha límite]]=1," día"," días"),IF(tblAct_RO[[#This Row],[Fecha límite]]=FechaRef,"Vence hoy",IF(tblAct_RO[[#This Row],[Fecha límite]]-FechaRef&lt;=DiasAlerta,"Vence en "&amp;(tblAct_RO[[#This Row],[Fecha límite]]-FechaRef)&amp;IF(tblAct_RO[[#This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IF(NOT((COUNTA(tblAct_RO[[#This Row],[Tipo]:[Avance Semana 4 (%)]])+COUNTA(tblAct_RO[[#This Row],[Observaciones]]))&gt;0),"",IF((IF(tblAct_RO[[#This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de actividad (%)]]=""),"Peso vacío"&amp;" · ","")&amp;IF(AND(tblAct_RO[[#This Row],[Tipo (aux)]]="Macro",tblAct_RO[[#This Row],[Peso de actividad (%)]]&lt;&gt;"",OR(NOT(ISNUMBER(tblAct_RO[[#This Row],[Peso de actividad (%)]])),tblAct_RO[[#This Row],[Peso de actividad (%)]]&lt;=0,tblAct_RO[[#This Row],[Peso de actividad (%)]]&gt;1)),"Peso fuera de rango"&amp;" · ","")&amp;IF(AND(tblAct_RO[[#This Row],[Tipo (aux)]]="Sub",tblAct_RO[[#This Row],[Peso de actividad (%)]]&lt;&gt;"",OR(NOT(ISNUMBER(tblAct_RO[[#This Row],[Peso de actividad (%)]])),tblAct_RO[[#This Row],[Peso de actividad (%)]]&lt;0,tblAct_RO[[#This Row],[Peso de actividad (%)]]&gt;1)),"Peso fuera de rango"&amp;" · ","")&amp;IF(AND(tblAct_RO[[#This Row],[Tipo (aux)]]="Sub",tblAct_RO[[#This Row],[Peso de actividad (%)]]="",IFERROR(N(INDEX($AG$5:$AG$1000,tblAct_RO[[#This Row],[Grupo (aux)]]-4)),0)&gt;0),"Falta el peso de la subactividad"&amp;" · ","")&amp;IF(AND(N(tblAct_RO[[#This Row],[N subactividades (aux)]])&gt;0,N(tblAct_RO[[#This Row],[Suma pesos subactividades (aux)]])&gt;0,ABS(N(tblAct_RO[[#This Row],[Suma pesos subactividades (aux)]])-N(tblAct_RO[[#This Row],[Peso de actividad (%)]]))&gt;0.0001),"Pesos de sus subactividades suman "&amp;TEXT(N(tblAct_RO[[#This Row],[Suma pesos subactividades (aux)]]),"0%")&amp;" (deben sumar "&amp;TEXT(N(tblAct_RO[[#This Row],[Peso de actividad (%)]]),"0%")&amp;")"&amp;" · ","")&amp;IF(AND(tblAct_RO[[#This Row],[Tipo (aux)]]="Macro",ABS(SUMIFS($F$5:$F$1000,$P$5:$P$1000,tblAct_RO[[#This Row],[Mes]],$S$5:$S$1000,"Macro")-1)&gt;0.0001),"Pesos del mes suman "&amp;TEXT(SUMIFS($F$5:$F$1000,$P$5:$P$1000,tblAct_RO[[#This Row],[Mes]],$S$5:$S$1000,"Macro"),"0%")&amp;"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",""))="","✔ OK","⚠ "&amp;LEFT(IF(tblAct_RO[[#This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de actividad (%)]]=""),"Peso vacío"&amp;" · ","")&amp;IF(AND(tblAct_RO[[#This Row],[Tipo (aux)]]="Macro",tblAct_RO[[#This Row],[Peso de actividad (%)]]&lt;&gt;"",OR(NOT(ISNUMBER(tblAct_RO[[#This Row],[Peso de actividad (%)]])),tblAct_RO[[#This Row],[Peso de actividad (%)]]&lt;=0,tblAct_RO[[#This Row],[Peso de actividad (%)]]&gt;1)),"Peso fuera de rango"&amp;" · ","")&amp;IF(AND(tblAct_RO[[#This Row],[Tipo (aux)]]="Sub",tblAct_RO[[#This Row],[Peso de actividad (%)]]&lt;&gt;"",OR(NOT(ISNUMBER(tblAct_RO[[#This Row],[Peso de actividad (%)]])),tblAct_RO[[#This Row],[Peso de actividad (%)]]&lt;0,tblAct_RO[[#This Row],[Peso de actividad (%)]]&gt;1)),"Peso fuera de rango"&amp;" · ","")&amp;IF(AND(tblAct_RO[[#This Row],[Tipo (aux)]]="Sub",tblAct_RO[[#This Row],[Peso de actividad (%)]]="",IFERROR(N(INDEX($AG$5:$AG$1000,tblAct_RO[[#This Row],[Grupo (aux)]]-4)),0)&gt;0),"Falta el peso de la subactividad"&amp;" · ","")&amp;IF(AND(N(tblAct_RO[[#This Row],[N subactividades (aux)]])&gt;0,N(tblAct_RO[[#This Row],[Suma pesos subactividades (aux)]])&gt;0,ABS(N(tblAct_RO[[#This Row],[Suma pesos subactividades (aux)]])-N(tblAct_RO[[#This Row],[Peso de actividad (%)]]))&gt;0.0001),"Pesos de sus subactividades suman "&amp;TEXT(N(tblAct_RO[[#This Row],[Suma pesos subactividades (aux)]]),"0%")&amp;" (deben sumar "&amp;TEXT(N(tblAct_RO[[#This Row],[Peso de actividad (%)]]),"0%")&amp;")"&amp;" · ","")&amp;IF(AND(tblAct_RO[[#This Row],[Tipo (aux)]]="Macro",ABS(SUMIFS($F$5:$F$1000,$P$5:$P$1000,tblAct_RO[[#This Row],[Mes]],$S$5:$S$1000,"Macro")-1)&gt;0.0001),"Pesos del mes suman "&amp;TEXT(SUMIFS($F$5:$F$1000,$P$5:$P$1000,tblAct_RO[[#This Row],[Mes]],$S$5:$S$1000,"Macro"),"0%")&amp;"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",""),LEN(IF(tblAct_RO[[#This Row],[Actividad]]="","Falta el nombre de la actividad"&amp;" · ","")&amp;IF(AND(tblAct_RO[[#This Row],[Tipo (aux)]]="Sub",N(tblAct_RO[[#This Row],[Grupo (aux)]])=0),"Subactividad sin macroactividad arriba"&amp;" · ","")&amp;IF(tblAct_RO[[#This Row],[Fecha de inicio]]="","Sin fecha de inicio"&amp;" · ","")&amp;IF(tblAct_RO[[#This Row],[Fecha límite]]="","Sin fecha límite"&amp;" · ","")&amp;IF(OR(AND(tblAct_RO[[#This Row],[Fecha de inicio]]&lt;&gt;"",NOT(ISNUMBER(tblAct_RO[[#This Row],[Fecha de inicio]]))),AND(tblAct_RO[[#This Row],[Fecha límite]]&lt;&gt;"",NOT(ISNUMBER(tblAct_RO[[#This Row],[Fecha límite]])))),"Fecha no válida"&amp;" · ","")&amp;IF(AND(ISNUMBER(tblAct_RO[[#This Row],[Fecha de inicio]]),ISNUMBER(tblAct_RO[[#This Row],[Fecha límite]]),tblAct_RO[[#This Row],[Fecha de inicio]]&gt;tblAct_RO[[#This Row],[Fecha límite]]),"Inicio posterior a fecha límite"&amp;" · ","")&amp;IF(AND(tblAct_RO[[#This Row],[Tipo (aux)]]="Macro",tblAct_RO[[#This Row],[Peso de actividad (%)]]=""),"Peso vacío"&amp;" · ","")&amp;IF(AND(tblAct_RO[[#This Row],[Tipo (aux)]]="Macro",tblAct_RO[[#This Row],[Peso de actividad (%)]]&lt;&gt;"",OR(NOT(ISNUMBER(tblAct_RO[[#This Row],[Peso de actividad (%)]])),tblAct_RO[[#This Row],[Peso de actividad (%)]]&lt;=0,tblAct_RO[[#This Row],[Peso de actividad (%)]]&gt;1)),"Peso fuera de rango"&amp;" · ","")&amp;IF(AND(tblAct_RO[[#This Row],[Tipo (aux)]]="Sub",tblAct_RO[[#This Row],[Peso de actividad (%)]]&lt;&gt;"",OR(NOT(ISNUMBER(tblAct_RO[[#This Row],[Peso de actividad (%)]])),tblAct_RO[[#This Row],[Peso de actividad (%)]]&lt;0,tblAct_RO[[#This Row],[Peso de actividad (%)]]&gt;1)),"Peso fuera de rango"&amp;" · ","")&amp;IF(AND(tblAct_RO[[#This Row],[Tipo (aux)]]="Sub",tblAct_RO[[#This Row],[Peso de actividad (%)]]="",IFERROR(N(INDEX($AG$5:$AG$1000,tblAct_RO[[#This Row],[Grupo (aux)]]-4)),0)&gt;0),"Falta el peso de la subactividad"&amp;" · ","")&amp;IF(AND(N(tblAct_RO[[#This Row],[N subactividades (aux)]])&gt;0,N(tblAct_RO[[#This Row],[Suma pesos subactividades (aux)]])&gt;0,ABS(N(tblAct_RO[[#This Row],[Suma pesos subactividades (aux)]])-N(tblAct_RO[[#This Row],[Peso de actividad (%)]]))&gt;0.0001),"Pesos de sus subactividades suman "&amp;TEXT(N(tblAct_RO[[#This Row],[Suma pesos subactividades (aux)]]),"0%")&amp;" (deben sumar "&amp;TEXT(N(tblAct_RO[[#This Row],[Peso de actividad (%)]]),"0%")&amp;")"&amp;" · ","")&amp;IF(AND(tblAct_RO[[#This Row],[Tipo (aux)]]="Macro",ABS(SUMIFS($F$5:$F$1000,$P$5:$P$1000,tblAct_RO[[#This Row],[Mes]],$S$5:$S$1000,"Macro")-1)&gt;0.0001),"Pesos del mes suman "&amp;TEXT(SUMIFS($F$5:$F$1000,$P$5:$P$1000,tblAct_RO[[#This Row],[Mes]],$S$5:$S$1000,"Macro"),"0%")&amp;" · ","")&amp;IF(AND(N(tblAct_RO[[#This Row],[N subactividades (aux)]])&gt;0,COUNT(tblAct_RO[[#This Row],[Avance Semana 1 (%)]:[Avance Semana 4 (%)]])&gt;0),"Con subactividades: deje vacías las semanas (se calculan solas)"&amp;" · ","")&amp;IF((COUNTIF(tblAct_RO[[#This Row],[Avance Semana 1 (%)]:[Avance Semana 4 (%)]],"&gt;1")+COUNTIF(tblAct_RO[[#This Row],[Avance Semana 1 (%)]:[Avance Semana 4 (%)]],"&lt;0")+COUNTA(tblAct_RO[[#This Row],[Avance Semana 1 (%)]:[Avance Semana 4 (%)]])-COUNT(tblAct_RO[[#This Row],[Avance Semana 1 (%)]:[Avance Semana 4 (%)]]))&gt;0,"Avance fuera de rango 0-100%"&amp;" · ","")&amp;IF(OR(AND(tblAct_RO[[#This Row],[Avance Semana 2 (%)]]&lt;&gt;"",tblAct_RO[[#This Row],[Avance Semana 2 (%)]]&lt;tblAct_RO[[#This Row],[Avance Semana 1 (%)]]),AND(tblAct_RO[[#This Row],[Avance Semana 3 (%)]]&lt;&gt;"",tblAct_RO[[#This Row],[Avance Semana 3 (%)]]&lt;MAX(tblAct_RO[[#This Row],[Avance Semana 1 (%)]:[Avance Semana 2 (%)]])),AND(tblAct_RO[[#This Row],[Avance Semana 4 (%)]]&lt;&gt;"",tblAct_RO[[#This Row],[Avance Semana 4 (%)]]&lt;MAX(tblAct_RO[[#This Row],[Avance Semana 1 (%)]:[Avance Semana 3 (%)]]))),"Avance semanal decreciente"&amp;" · ","")&amp;IF(AND(ISNUMBER(tblAct_RO[[#This Row],[Fecha límite]]),tblAct_RO[[#This Row],[Fecha límite]]&lt;FechaRef,N(tblAct_RO[[#This Row],[% de Avance Total Actual]])&lt;1),"Vencida"&amp;" · ","")&amp;IF(AND(ObsObligatoria="Sí",ISNUMBER(tblAct_RO[[#This Row],[Fecha límite]]),tblAct_RO[[#This Row],[Fecha límite]]&lt;FechaRef,N(tblAct_RO[[#This Row],[% de Avance Total Actual]])&lt;1,tblAct_RO[[#This Row],[Observaciones]]=""),"Vencida sin observación"&amp;" · ",""))-3)))</calculatedColumnFormula>
    </tableColumn>
    <tableColumn id="16" name="Mes">
      <calculatedColumnFormula>IF(NOT((COUNTA(tblAct_RO[[#This Row],[Tipo]:[Avance Semana 4 (%)]])+COUNTA(tblAct_RO[[#This Row],[Observaciones]]))&gt;0),"",IF(AND(tblAct_RO[[#This Row],[Tipo (aux)]]="Sub",N(tblAct_RO[[#This Row],[Grupo (aux)]])&gt;0),IF(ISNUMBER(INDEX($D$5:$D$1000,tblAct_RO[[#This Row],[Grupo (aux)]]-4)),DATE(YEAR(INDEX($D$5:$D$1000,tblAct_RO[[#This Row],[Grupo (aux)]]-4)),MONTH(INDEX($D$5:$D$1000,tblAct_RO[[#This Row],[Grupo (aux)]]-4)),1),IF(ISNUMBER(INDEX($E$5:$E$1000,tblAct_RO[[#This Row],[Grupo (aux)]]-4)),DATE(YEAR(INDEX($E$5:$E$1000,tblAct_RO[[#This Row],[Grupo (aux)]]-4)),MONTH(INDEX($E$5:$E$1000,tblAct_RO[[#This Row],[Grupo (aux)]]-4)),1),MesCiclo)),IF(ISNUMBER(tblAct_RO[[#This Row],[Fecha de inicio]]),DATE(YEAR(tblAct_RO[[#This Row],[Fecha de inicio]]),MONTH(tblAct_RO[[#This Row],[Fecha de inicio]]),1),IF(ISNUMBER(tblAct_RO[[#This Row],[Fecha límite]]),DATE(YEAR(tblAct_RO[[#This Row],[Fecha límite]]),MONTH(tblAct_RO[[#This Row],[Fecha límite]]),1),MesCiclo))))</calculatedColumnFormula>
    </tableColumn>
    <tableColumn id="17" name="Orden en el mes (aux)">
      <calculatedColumnFormula>IF(OR(tblAct_RO[[#This Row],[Mes]]="",tblAct_RO[[#This Row],[Mes]]&lt;&gt;MesCiclo),"",COUNTIF(INDEX(tblAct_RO[Mes],1):tblAct_RO[[#This Row],[Mes]],MesCiclo))</calculatedColumnFormula>
    </tableColumn>
    <tableColumn id="18" name="Grupo (aux)">
      <calculatedColumnFormula>IF(tblAct_RO[[#This Row],[Tipo (aux)]]="","",IF(tblAct_RO[[#This Row],[Tipo (aux)]]="Macro",ROW(),IFERROR(LOOKUP(2,1/(INDEX(tblAct_RO[Tipo (aux)],1):tblAct_RO[[#This Row],[Tipo (aux)]]="Macro"),ROW(INDEX(tblAct_RO[Tipo (aux)],1):tblAct_RO[[#This Row],[Tipo (aux)]])),0)))</calculatedColumnFormula>
    </tableColumn>
    <tableColumn id="19" name="Tipo (aux)">
      <calculatedColumnFormula>IF(NOT((COUNTA(tblAct_RO[[#This Row],[Tipo]:[Avance Semana 4 (%)]])+COUNTA(tblAct_RO[[#This Row],[Observaciones]]))&gt;0),"",IF(tblAct_RO[[#This Row],[Tipo]]="Subactividad","Sub","Macro"))</calculatedColumnFormula>
    </tableColumn>
    <tableColumn id="20" name="N subactividades (aux)">
      <calculatedColumnFormula>IF(tblAct_RO[[#This Row],[Tipo (aux)]]="Macro",COUNTIFS($R$5:$R$1000,ROW(),$S$5:$S$1000,"Sub"),"")</calculatedColumnFormula>
    </tableColumn>
    <tableColumn id="21" name="Propio S1 (aux)">
      <calculatedColumnFormula>IF(tblAct_RO[[#This Row],[Tipo (aux)]]="","",IF(ISNUMBER(tblAct_RO[[#This Row],[Avance Semana 1 (%)]]),tblAct_RO[[#This Row],[Avance Semana 1 (%)]],0))</calculatedColumnFormula>
    </tableColumn>
    <tableColumn id="22" name="Propio S2 (aux)">
      <calculatedColumnFormula>IF(tblAct_RO[[#This Row],[Tipo (aux)]]="","",IF(ISNUMBER(tblAct_RO[[#This Row],[Avance Semana 2 (%)]]),tblAct_RO[[#This Row],[Avance Semana 2 (%)]],tblAct_RO[[#This Row],[Propio S1 (aux)]]))</calculatedColumnFormula>
    </tableColumn>
    <tableColumn id="23" name="Propio S3 (aux)">
      <calculatedColumnFormula>IF(tblAct_RO[[#This Row],[Tipo (aux)]]="","",IF(ISNUMBER(tblAct_RO[[#This Row],[Avance Semana 3 (%)]]),tblAct_RO[[#This Row],[Avance Semana 3 (%)]],tblAct_RO[[#This Row],[Propio S2 (aux)]]))</calculatedColumnFormula>
    </tableColumn>
    <tableColumn id="24" name="Propio S4 (aux)">
      <calculatedColumnFormula>IF(tblAct_RO[[#This Row],[Tipo (aux)]]="","",IF(ISNUMBER(tblAct_RO[[#This Row],[Avance Semana 4 (%)]]),tblAct_RO[[#This Row],[Avance Semana 4 (%)]],tblAct_RO[[#This Row],[Propio S3 (aux)]]))</calculatedColumnFormula>
    </tableColumn>
    <tableColumn id="25" name="Efectivo S1 (aux)">
      <calculatedColumnFormula>IF(tblAct_RO[[#This Row],[Tipo (aux)]]="","",IF(N(tblAct_RO[[#This Row],[N subactividades (aux)]])&gt;0,IF(N(tblAct_RO[[#This Row],[Suma pesos subactividades (aux)]])&gt;0,SUMIFS($AC$5:$AC$1000,$R$5:$R$1000,ROW(),$S$5:$S$1000,"Sub")/tblAct_RO[[#This Row],[Suma pesos subactividades (aux)]],AVERAGEIFS($U$5:$U$1000,$R$5:$R$1000,ROW(),$S$5:$S$1000,"Sub")),tblAct_RO[[#This Row],[Propio S1 (aux)]]))</calculatedColumnFormula>
    </tableColumn>
    <tableColumn id="26" name="Efectivo S2 (aux)">
      <calculatedColumnFormula>IF(tblAct_RO[[#This Row],[Tipo (aux)]]="","",IF(N(tblAct_RO[[#This Row],[N subactividades (aux)]])&gt;0,IF(N(tblAct_RO[[#This Row],[Suma pesos subactividades (aux)]])&gt;0,SUMIFS($AD$5:$AD$1000,$R$5:$R$1000,ROW(),$S$5:$S$1000,"Sub")/tblAct_RO[[#This Row],[Suma pesos subactividades (aux)]],AVERAGEIFS($V$5:$V$1000,$R$5:$R$1000,ROW(),$S$5:$S$1000,"Sub")),tblAct_RO[[#This Row],[Propio S2 (aux)]]))</calculatedColumnFormula>
    </tableColumn>
    <tableColumn id="27" name="Efectivo S3 (aux)">
      <calculatedColumnFormula>IF(tblAct_RO[[#This Row],[Tipo (aux)]]="","",IF(N(tblAct_RO[[#This Row],[N subactividades (aux)]])&gt;0,IF(N(tblAct_RO[[#This Row],[Suma pesos subactividades (aux)]])&gt;0,SUMIFS($AE$5:$AE$1000,$R$5:$R$1000,ROW(),$S$5:$S$1000,"Sub")/tblAct_RO[[#This Row],[Suma pesos subactividades (aux)]],AVERAGEIFS($W$5:$W$1000,$R$5:$R$1000,ROW(),$S$5:$S$1000,"Sub")),tblAct_RO[[#This Row],[Propio S3 (aux)]]))</calculatedColumnFormula>
    </tableColumn>
    <tableColumn id="28" name="Efectivo S4 (aux)">
      <calculatedColumnFormula>IF(tblAct_RO[[#This Row],[Tipo (aux)]]="","",IF(N(tblAct_RO[[#This Row],[N subactividades (aux)]])&gt;0,IF(N(tblAct_RO[[#This Row],[Suma pesos subactividades (aux)]])&gt;0,SUMIFS($AF$5:$AF$1000,$R$5:$R$1000,ROW(),$S$5:$S$1000,"Sub")/tblAct_RO[[#This Row],[Suma pesos subactividades (aux)]],AVERAGEIFS($X$5:$X$1000,$R$5:$R$1000,ROW(),$S$5:$S$1000,"Sub")),tblAct_RO[[#This Row],[Propio S4 (aux)]]))</calculatedColumnFormula>
    </tableColumn>
    <tableColumn id="29" name="Ponderado S1 (aux)">
      <calculatedColumnFormula>IF(tblAct_RO[[#This Row],[Tipo (aux)]]="Sub",N(tblAct_RO[[#This Row],[Peso de actividad (%)]])*N(tblAct_RO[[#This Row],[Propio S1 (aux)]]),"")</calculatedColumnFormula>
    </tableColumn>
    <tableColumn id="30" name="Ponderado S2 (aux)">
      <calculatedColumnFormula>IF(tblAct_RO[[#This Row],[Tipo (aux)]]="Sub",N(tblAct_RO[[#This Row],[Peso de actividad (%)]])*N(tblAct_RO[[#This Row],[Propio S2 (aux)]]),"")</calculatedColumnFormula>
    </tableColumn>
    <tableColumn id="31" name="Ponderado S3 (aux)">
      <calculatedColumnFormula>IF(tblAct_RO[[#This Row],[Tipo (aux)]]="Sub",N(tblAct_RO[[#This Row],[Peso de actividad (%)]])*N(tblAct_RO[[#This Row],[Propio S3 (aux)]]),"")</calculatedColumnFormula>
    </tableColumn>
    <tableColumn id="32" name="Ponderado S4 (aux)">
      <calculatedColumnFormula>IF(tblAct_RO[[#This Row],[Tipo (aux)]]="Sub",N(tblAct_RO[[#This Row],[Peso de actividad (%)]])*N(tblAct_RO[[#This Row],[Propio S4 (aux)]]),"")</calculatedColumnFormula>
    </tableColumn>
    <tableColumn id="33" name="Suma pesos subactividades (aux)">
      <calculatedColumnFormula>IF(N(tblAct_RO[[#This Row],[N subactividades (aux)]])&gt;0,SUMIFS($F$5:$F$1000,$R$5:$R$1000,ROW(),$S$5:$S$1000,"Sub"),"")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Sem_RO" displayName="tblSem_RO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3.xml><?xml version="1.0" encoding="utf-8"?>
<table xmlns="http://schemas.openxmlformats.org/spreadsheetml/2006/main" id="3" name="tblAct_RN" displayName="tblAct_RN" ref="A4:AG304" headerRowCount="1">
  <autoFilter ref="A4:AG304"/>
  <tableColumns count="33">
    <tableColumn id="1" name="N°">
      <calculatedColumnFormula>IF(NOT((COUNTA(tblAct_RN[[#This Row],[Tipo]:[Avance Semana 4 (%)]])+COUNTA(tblAct_RN[[#This Row],[Observaciones]]))&gt;0),"",IF(tblAct_RN[[#This Row],[Tipo (aux)]]="Macro",COUNTIFS(INDEX(tblAct_RN[Tipo (aux)],1):tblAct_RN[[#This Row],[Tipo (aux)]],"Macro",INDEX(tblAct_RN[Mes],1):tblAct_RN[[#This Row],[Mes]],tblAct_RN[[#This Row],[Mes]]),IF(N(tblAct_RN[[#This Row],[Grupo (aux)]])=0,"?",COUNTIFS(INDEX($S$5:$S$1000,1):INDEX($S$5:$S$1000,tblAct_RN[[#This Row],[Grupo (aux)]]-4),"Macro",INDEX($P$5:$P$1000,1):INDEX($P$5:$P$1000,tblAct_RN[[#This Row],[Grupo (aux)]]-4),INDEX($P$5:$P$1000,tblAct_RN[[#This Row],[Grupo (aux)]]-4))&amp;"."&amp;COUNTIFS(INDEX(tblAct_RN[Grupo (aux)],1):tblAct_RN[[#This Row],[Grupo (aux)]],tblAct_RN[[#This Row],[Grupo (aux)]],INDEX(tblAct_RN[Tipo (aux)],1):tblAct_RN[[#This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IF(NOT((COUNTA(tblAct_RN[[#This Row],[Tipo]:[Avance Semana 4 (%)]])+COUNTA(tblAct_RN[[#This Row],[Observaciones]]))&gt;0),"",IF(N(tblAct_RN[[#This Row],[N subactividades (aux)]])&gt;0,tblAct_RN[[#This Row],[Efectivo S4 (aux)]],IFERROR(LOOKUP(2,1/(tblAct_RN[[#This Row],[Avance Semana 1 (%)]:[Avance Semana 4 (%)]]&lt;&gt;""),tblAct_RN[[#This Row],[Avance Semana 1 (%)]:[Avance Semana 4 (%)]]),0)))</calculatedColumnFormula>
    </tableColumn>
    <tableColumn id="12" name="Estado">
      <calculatedColumnFormula>IF(tblAct_RN[[#This Row],[% de Avance Total Actual]]="","",IF(tblAct_RN[[#This Row],[% de Avance Total Actual]]&gt;=1,"Completado",IF(tblAct_RN[[#This Row],[% de Avance Total Actual]]&gt;0,"En curso","Pendiente")))</calculatedColumnFormula>
    </tableColumn>
    <tableColumn id="13" name="Alerta de plazo">
      <calculatedColumnFormula>IF(NOT((COUNTA(tblAct_RN[[#This Row],[Tipo]:[Avance Semana 4 (%)]])+COUNTA(tblAct_RN[[#This Row],[Observaciones]]))&gt;0),"",IF(N(tblAct_RN[[#This Row],[% de Avance Total Actual]])&gt;=1,"Cumplida",IF(NOT(ISNUMBER(tblAct_RN[[#This Row],[Fecha límite]])),"Sin fecha límite",IF(tblAct_RN[[#This Row],[Fecha límite]]&lt;FechaRef,"Vencida hace "&amp;(FechaRef-tblAct_RN[[#This Row],[Fecha límite]])&amp;IF(FechaRef-tblAct_RN[[#This Row],[Fecha límite]]=1," día"," días"),IF(tblAct_RN[[#This Row],[Fecha límite]]=FechaRef,"Vence hoy",IF(tblAct_RN[[#This Row],[Fecha límite]]-FechaRef&lt;=DiasAlerta,"Vence en "&amp;(tblAct_RN[[#This Row],[Fecha límite]]-FechaRef)&amp;IF(tblAct_RN[[#This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IF(NOT((COUNTA(tblAct_RN[[#This Row],[Tipo]:[Avance Semana 4 (%)]])+COUNTA(tblAct_RN[[#This Row],[Observaciones]]))&gt;0),"",IF((IF(tblAct_RN[[#This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de actividad (%)]]=""),"Peso vacío"&amp;" · ","")&amp;IF(AND(tblAct_RN[[#This Row],[Tipo (aux)]]="Macro",tblAct_RN[[#This Row],[Peso de actividad (%)]]&lt;&gt;"",OR(NOT(ISNUMBER(tblAct_RN[[#This Row],[Peso de actividad (%)]])),tblAct_RN[[#This Row],[Peso de actividad (%)]]&lt;=0,tblAct_RN[[#This Row],[Peso de actividad (%)]]&gt;1)),"Peso fuera de rango"&amp;" · ","")&amp;IF(AND(tblAct_RN[[#This Row],[Tipo (aux)]]="Sub",tblAct_RN[[#This Row],[Peso de actividad (%)]]&lt;&gt;"",OR(NOT(ISNUMBER(tblAct_RN[[#This Row],[Peso de actividad (%)]])),tblAct_RN[[#This Row],[Peso de actividad (%)]]&lt;0,tblAct_RN[[#This Row],[Peso de actividad (%)]]&gt;1)),"Peso fuera de rango"&amp;" · ","")&amp;IF(AND(tblAct_RN[[#This Row],[Tipo (aux)]]="Sub",tblAct_RN[[#This Row],[Peso de actividad (%)]]="",IFERROR(N(INDEX($AG$5:$AG$1000,tblAct_RN[[#This Row],[Grupo (aux)]]-4)),0)&gt;0),"Falta el peso de la subactividad"&amp;" · ","")&amp;IF(AND(N(tblAct_RN[[#This Row],[N subactividades (aux)]])&gt;0,N(tblAct_RN[[#This Row],[Suma pesos subactividades (aux)]])&gt;0,ABS(N(tblAct_RN[[#This Row],[Suma pesos subactividades (aux)]])-N(tblAct_RN[[#This Row],[Peso de actividad (%)]]))&gt;0.0001),"Pesos de sus subactividades suman "&amp;TEXT(N(tblAct_RN[[#This Row],[Suma pesos subactividades (aux)]]),"0%")&amp;" (deben sumar "&amp;TEXT(N(tblAct_RN[[#This Row],[Peso de actividad (%)]]),"0%")&amp;")"&amp;" · ","")&amp;IF(AND(tblAct_RN[[#This Row],[Tipo (aux)]]="Macro",ABS(SUMIFS($F$5:$F$1000,$P$5:$P$1000,tblAct_RN[[#This Row],[Mes]],$S$5:$S$1000,"Macro")-1)&gt;0.0001),"Pesos del mes suman "&amp;TEXT(SUMIFS($F$5:$F$1000,$P$5:$P$1000,tblAct_RN[[#This Row],[Mes]],$S$5:$S$1000,"Macro"),"0%")&amp;"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",""))="","✔ OK","⚠ "&amp;LEFT(IF(tblAct_RN[[#This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de actividad (%)]]=""),"Peso vacío"&amp;" · ","")&amp;IF(AND(tblAct_RN[[#This Row],[Tipo (aux)]]="Macro",tblAct_RN[[#This Row],[Peso de actividad (%)]]&lt;&gt;"",OR(NOT(ISNUMBER(tblAct_RN[[#This Row],[Peso de actividad (%)]])),tblAct_RN[[#This Row],[Peso de actividad (%)]]&lt;=0,tblAct_RN[[#This Row],[Peso de actividad (%)]]&gt;1)),"Peso fuera de rango"&amp;" · ","")&amp;IF(AND(tblAct_RN[[#This Row],[Tipo (aux)]]="Sub",tblAct_RN[[#This Row],[Peso de actividad (%)]]&lt;&gt;"",OR(NOT(ISNUMBER(tblAct_RN[[#This Row],[Peso de actividad (%)]])),tblAct_RN[[#This Row],[Peso de actividad (%)]]&lt;0,tblAct_RN[[#This Row],[Peso de actividad (%)]]&gt;1)),"Peso fuera de rango"&amp;" · ","")&amp;IF(AND(tblAct_RN[[#This Row],[Tipo (aux)]]="Sub",tblAct_RN[[#This Row],[Peso de actividad (%)]]="",IFERROR(N(INDEX($AG$5:$AG$1000,tblAct_RN[[#This Row],[Grupo (aux)]]-4)),0)&gt;0),"Falta el peso de la subactividad"&amp;" · ","")&amp;IF(AND(N(tblAct_RN[[#This Row],[N subactividades (aux)]])&gt;0,N(tblAct_RN[[#This Row],[Suma pesos subactividades (aux)]])&gt;0,ABS(N(tblAct_RN[[#This Row],[Suma pesos subactividades (aux)]])-N(tblAct_RN[[#This Row],[Peso de actividad (%)]]))&gt;0.0001),"Pesos de sus subactividades suman "&amp;TEXT(N(tblAct_RN[[#This Row],[Suma pesos subactividades (aux)]]),"0%")&amp;" (deben sumar "&amp;TEXT(N(tblAct_RN[[#This Row],[Peso de actividad (%)]]),"0%")&amp;")"&amp;" · ","")&amp;IF(AND(tblAct_RN[[#This Row],[Tipo (aux)]]="Macro",ABS(SUMIFS($F$5:$F$1000,$P$5:$P$1000,tblAct_RN[[#This Row],[Mes]],$S$5:$S$1000,"Macro")-1)&gt;0.0001),"Pesos del mes suman "&amp;TEXT(SUMIFS($F$5:$F$1000,$P$5:$P$1000,tblAct_RN[[#This Row],[Mes]],$S$5:$S$1000,"Macro"),"0%")&amp;"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",""),LEN(IF(tblAct_RN[[#This Row],[Actividad]]="","Falta el nombre de la actividad"&amp;" · ","")&amp;IF(AND(tblAct_RN[[#This Row],[Tipo (aux)]]="Sub",N(tblAct_RN[[#This Row],[Grupo (aux)]])=0),"Subactividad sin macroactividad arriba"&amp;" · ","")&amp;IF(tblAct_RN[[#This Row],[Fecha de inicio]]="","Sin fecha de inicio"&amp;" · ","")&amp;IF(tblAct_RN[[#This Row],[Fecha límite]]="","Sin fecha límite"&amp;" · ","")&amp;IF(OR(AND(tblAct_RN[[#This Row],[Fecha de inicio]]&lt;&gt;"",NOT(ISNUMBER(tblAct_RN[[#This Row],[Fecha de inicio]]))),AND(tblAct_RN[[#This Row],[Fecha límite]]&lt;&gt;"",NOT(ISNUMBER(tblAct_RN[[#This Row],[Fecha límite]])))),"Fecha no válida"&amp;" · ","")&amp;IF(AND(ISNUMBER(tblAct_RN[[#This Row],[Fecha de inicio]]),ISNUMBER(tblAct_RN[[#This Row],[Fecha límite]]),tblAct_RN[[#This Row],[Fecha de inicio]]&gt;tblAct_RN[[#This Row],[Fecha límite]]),"Inicio posterior a fecha límite"&amp;" · ","")&amp;IF(AND(tblAct_RN[[#This Row],[Tipo (aux)]]="Macro",tblAct_RN[[#This Row],[Peso de actividad (%)]]=""),"Peso vacío"&amp;" · ","")&amp;IF(AND(tblAct_RN[[#This Row],[Tipo (aux)]]="Macro",tblAct_RN[[#This Row],[Peso de actividad (%)]]&lt;&gt;"",OR(NOT(ISNUMBER(tblAct_RN[[#This Row],[Peso de actividad (%)]])),tblAct_RN[[#This Row],[Peso de actividad (%)]]&lt;=0,tblAct_RN[[#This Row],[Peso de actividad (%)]]&gt;1)),"Peso fuera de rango"&amp;" · ","")&amp;IF(AND(tblAct_RN[[#This Row],[Tipo (aux)]]="Sub",tblAct_RN[[#This Row],[Peso de actividad (%)]]&lt;&gt;"",OR(NOT(ISNUMBER(tblAct_RN[[#This Row],[Peso de actividad (%)]])),tblAct_RN[[#This Row],[Peso de actividad (%)]]&lt;0,tblAct_RN[[#This Row],[Peso de actividad (%)]]&gt;1)),"Peso fuera de rango"&amp;" · ","")&amp;IF(AND(tblAct_RN[[#This Row],[Tipo (aux)]]="Sub",tblAct_RN[[#This Row],[Peso de actividad (%)]]="",IFERROR(N(INDEX($AG$5:$AG$1000,tblAct_RN[[#This Row],[Grupo (aux)]]-4)),0)&gt;0),"Falta el peso de la subactividad"&amp;" · ","")&amp;IF(AND(N(tblAct_RN[[#This Row],[N subactividades (aux)]])&gt;0,N(tblAct_RN[[#This Row],[Suma pesos subactividades (aux)]])&gt;0,ABS(N(tblAct_RN[[#This Row],[Suma pesos subactividades (aux)]])-N(tblAct_RN[[#This Row],[Peso de actividad (%)]]))&gt;0.0001),"Pesos de sus subactividades suman "&amp;TEXT(N(tblAct_RN[[#This Row],[Suma pesos subactividades (aux)]]),"0%")&amp;" (deben sumar "&amp;TEXT(N(tblAct_RN[[#This Row],[Peso de actividad (%)]]),"0%")&amp;")"&amp;" · ","")&amp;IF(AND(tblAct_RN[[#This Row],[Tipo (aux)]]="Macro",ABS(SUMIFS($F$5:$F$1000,$P$5:$P$1000,tblAct_RN[[#This Row],[Mes]],$S$5:$S$1000,"Macro")-1)&gt;0.0001),"Pesos del mes suman "&amp;TEXT(SUMIFS($F$5:$F$1000,$P$5:$P$1000,tblAct_RN[[#This Row],[Mes]],$S$5:$S$1000,"Macro"),"0%")&amp;" · ","")&amp;IF(AND(N(tblAct_RN[[#This Row],[N subactividades (aux)]])&gt;0,COUNT(tblAct_RN[[#This Row],[Avance Semana 1 (%)]:[Avance Semana 4 (%)]])&gt;0),"Con subactividades: deje vacías las semanas (se calculan solas)"&amp;" · ","")&amp;IF((COUNTIF(tblAct_RN[[#This Row],[Avance Semana 1 (%)]:[Avance Semana 4 (%)]],"&gt;1")+COUNTIF(tblAct_RN[[#This Row],[Avance Semana 1 (%)]:[Avance Semana 4 (%)]],"&lt;0")+COUNTA(tblAct_RN[[#This Row],[Avance Semana 1 (%)]:[Avance Semana 4 (%)]])-COUNT(tblAct_RN[[#This Row],[Avance Semana 1 (%)]:[Avance Semana 4 (%)]]))&gt;0,"Avance fuera de rango 0-100%"&amp;" · ","")&amp;IF(OR(AND(tblAct_RN[[#This Row],[Avance Semana 2 (%)]]&lt;&gt;"",tblAct_RN[[#This Row],[Avance Semana 2 (%)]]&lt;tblAct_RN[[#This Row],[Avance Semana 1 (%)]]),AND(tblAct_RN[[#This Row],[Avance Semana 3 (%)]]&lt;&gt;"",tblAct_RN[[#This Row],[Avance Semana 3 (%)]]&lt;MAX(tblAct_RN[[#This Row],[Avance Semana 1 (%)]:[Avance Semana 2 (%)]])),AND(tblAct_RN[[#This Row],[Avance Semana 4 (%)]]&lt;&gt;"",tblAct_RN[[#This Row],[Avance Semana 4 (%)]]&lt;MAX(tblAct_RN[[#This Row],[Avance Semana 1 (%)]:[Avance Semana 3 (%)]]))),"Avance semanal decreciente"&amp;" · ","")&amp;IF(AND(ISNUMBER(tblAct_RN[[#This Row],[Fecha límite]]),tblAct_RN[[#This Row],[Fecha límite]]&lt;FechaRef,N(tblAct_RN[[#This Row],[% de Avance Total Actual]])&lt;1),"Vencida"&amp;" · ","")&amp;IF(AND(ObsObligatoria="Sí",ISNUMBER(tblAct_RN[[#This Row],[Fecha límite]]),tblAct_RN[[#This Row],[Fecha límite]]&lt;FechaRef,N(tblAct_RN[[#This Row],[% de Avance Total Actual]])&lt;1,tblAct_RN[[#This Row],[Observaciones]]=""),"Vencida sin observación"&amp;" · ",""))-3)))</calculatedColumnFormula>
    </tableColumn>
    <tableColumn id="16" name="Mes">
      <calculatedColumnFormula>IF(NOT((COUNTA(tblAct_RN[[#This Row],[Tipo]:[Avance Semana 4 (%)]])+COUNTA(tblAct_RN[[#This Row],[Observaciones]]))&gt;0),"",IF(AND(tblAct_RN[[#This Row],[Tipo (aux)]]="Sub",N(tblAct_RN[[#This Row],[Grupo (aux)]])&gt;0),IF(ISNUMBER(INDEX($D$5:$D$1000,tblAct_RN[[#This Row],[Grupo (aux)]]-4)),DATE(YEAR(INDEX($D$5:$D$1000,tblAct_RN[[#This Row],[Grupo (aux)]]-4)),MONTH(INDEX($D$5:$D$1000,tblAct_RN[[#This Row],[Grupo (aux)]]-4)),1),IF(ISNUMBER(INDEX($E$5:$E$1000,tblAct_RN[[#This Row],[Grupo (aux)]]-4)),DATE(YEAR(INDEX($E$5:$E$1000,tblAct_RN[[#This Row],[Grupo (aux)]]-4)),MONTH(INDEX($E$5:$E$1000,tblAct_RN[[#This Row],[Grupo (aux)]]-4)),1),MesCiclo)),IF(ISNUMBER(tblAct_RN[[#This Row],[Fecha de inicio]]),DATE(YEAR(tblAct_RN[[#This Row],[Fecha de inicio]]),MONTH(tblAct_RN[[#This Row],[Fecha de inicio]]),1),IF(ISNUMBER(tblAct_RN[[#This Row],[Fecha límite]]),DATE(YEAR(tblAct_RN[[#This Row],[Fecha límite]]),MONTH(tblAct_RN[[#This Row],[Fecha límite]]),1),MesCiclo))))</calculatedColumnFormula>
    </tableColumn>
    <tableColumn id="17" name="Orden en el mes (aux)">
      <calculatedColumnFormula>IF(OR(tblAct_RN[[#This Row],[Mes]]="",tblAct_RN[[#This Row],[Mes]]&lt;&gt;MesCiclo),"",COUNTIF(INDEX(tblAct_RN[Mes],1):tblAct_RN[[#This Row],[Mes]],MesCiclo))</calculatedColumnFormula>
    </tableColumn>
    <tableColumn id="18" name="Grupo (aux)">
      <calculatedColumnFormula>IF(tblAct_RN[[#This Row],[Tipo (aux)]]="","",IF(tblAct_RN[[#This Row],[Tipo (aux)]]="Macro",ROW(),IFERROR(LOOKUP(2,1/(INDEX(tblAct_RN[Tipo (aux)],1):tblAct_RN[[#This Row],[Tipo (aux)]]="Macro"),ROW(INDEX(tblAct_RN[Tipo (aux)],1):tblAct_RN[[#This Row],[Tipo (aux)]])),0)))</calculatedColumnFormula>
    </tableColumn>
    <tableColumn id="19" name="Tipo (aux)">
      <calculatedColumnFormula>IF(NOT((COUNTA(tblAct_RN[[#This Row],[Tipo]:[Avance Semana 4 (%)]])+COUNTA(tblAct_RN[[#This Row],[Observaciones]]))&gt;0),"",IF(tblAct_RN[[#This Row],[Tipo]]="Subactividad","Sub","Macro"))</calculatedColumnFormula>
    </tableColumn>
    <tableColumn id="20" name="N subactividades (aux)">
      <calculatedColumnFormula>IF(tblAct_RN[[#This Row],[Tipo (aux)]]="Macro",COUNTIFS($R$5:$R$1000,ROW(),$S$5:$S$1000,"Sub"),"")</calculatedColumnFormula>
    </tableColumn>
    <tableColumn id="21" name="Propio S1 (aux)">
      <calculatedColumnFormula>IF(tblAct_RN[[#This Row],[Tipo (aux)]]="","",IF(ISNUMBER(tblAct_RN[[#This Row],[Avance Semana 1 (%)]]),tblAct_RN[[#This Row],[Avance Semana 1 (%)]],0))</calculatedColumnFormula>
    </tableColumn>
    <tableColumn id="22" name="Propio S2 (aux)">
      <calculatedColumnFormula>IF(tblAct_RN[[#This Row],[Tipo (aux)]]="","",IF(ISNUMBER(tblAct_RN[[#This Row],[Avance Semana 2 (%)]]),tblAct_RN[[#This Row],[Avance Semana 2 (%)]],tblAct_RN[[#This Row],[Propio S1 (aux)]]))</calculatedColumnFormula>
    </tableColumn>
    <tableColumn id="23" name="Propio S3 (aux)">
      <calculatedColumnFormula>IF(tblAct_RN[[#This Row],[Tipo (aux)]]="","",IF(ISNUMBER(tblAct_RN[[#This Row],[Avance Semana 3 (%)]]),tblAct_RN[[#This Row],[Avance Semana 3 (%)]],tblAct_RN[[#This Row],[Propio S2 (aux)]]))</calculatedColumnFormula>
    </tableColumn>
    <tableColumn id="24" name="Propio S4 (aux)">
      <calculatedColumnFormula>IF(tblAct_RN[[#This Row],[Tipo (aux)]]="","",IF(ISNUMBER(tblAct_RN[[#This Row],[Avance Semana 4 (%)]]),tblAct_RN[[#This Row],[Avance Semana 4 (%)]],tblAct_RN[[#This Row],[Propio S3 (aux)]]))</calculatedColumnFormula>
    </tableColumn>
    <tableColumn id="25" name="Efectivo S1 (aux)">
      <calculatedColumnFormula>IF(tblAct_RN[[#This Row],[Tipo (aux)]]="","",IF(N(tblAct_RN[[#This Row],[N subactividades (aux)]])&gt;0,IF(N(tblAct_RN[[#This Row],[Suma pesos subactividades (aux)]])&gt;0,SUMIFS($AC$5:$AC$1000,$R$5:$R$1000,ROW(),$S$5:$S$1000,"Sub")/tblAct_RN[[#This Row],[Suma pesos subactividades (aux)]],AVERAGEIFS($U$5:$U$1000,$R$5:$R$1000,ROW(),$S$5:$S$1000,"Sub")),tblAct_RN[[#This Row],[Propio S1 (aux)]]))</calculatedColumnFormula>
    </tableColumn>
    <tableColumn id="26" name="Efectivo S2 (aux)">
      <calculatedColumnFormula>IF(tblAct_RN[[#This Row],[Tipo (aux)]]="","",IF(N(tblAct_RN[[#This Row],[N subactividades (aux)]])&gt;0,IF(N(tblAct_RN[[#This Row],[Suma pesos subactividades (aux)]])&gt;0,SUMIFS($AD$5:$AD$1000,$R$5:$R$1000,ROW(),$S$5:$S$1000,"Sub")/tblAct_RN[[#This Row],[Suma pesos subactividades (aux)]],AVERAGEIFS($V$5:$V$1000,$R$5:$R$1000,ROW(),$S$5:$S$1000,"Sub")),tblAct_RN[[#This Row],[Propio S2 (aux)]]))</calculatedColumnFormula>
    </tableColumn>
    <tableColumn id="27" name="Efectivo S3 (aux)">
      <calculatedColumnFormula>IF(tblAct_RN[[#This Row],[Tipo (aux)]]="","",IF(N(tblAct_RN[[#This Row],[N subactividades (aux)]])&gt;0,IF(N(tblAct_RN[[#This Row],[Suma pesos subactividades (aux)]])&gt;0,SUMIFS($AE$5:$AE$1000,$R$5:$R$1000,ROW(),$S$5:$S$1000,"Sub")/tblAct_RN[[#This Row],[Suma pesos subactividades (aux)]],AVERAGEIFS($W$5:$W$1000,$R$5:$R$1000,ROW(),$S$5:$S$1000,"Sub")),tblAct_RN[[#This Row],[Propio S3 (aux)]]))</calculatedColumnFormula>
    </tableColumn>
    <tableColumn id="28" name="Efectivo S4 (aux)">
      <calculatedColumnFormula>IF(tblAct_RN[[#This Row],[Tipo (aux)]]="","",IF(N(tblAct_RN[[#This Row],[N subactividades (aux)]])&gt;0,IF(N(tblAct_RN[[#This Row],[Suma pesos subactividades (aux)]])&gt;0,SUMIFS($AF$5:$AF$1000,$R$5:$R$1000,ROW(),$S$5:$S$1000,"Sub")/tblAct_RN[[#This Row],[Suma pesos subactividades (aux)]],AVERAGEIFS($X$5:$X$1000,$R$5:$R$1000,ROW(),$S$5:$S$1000,"Sub")),tblAct_RN[[#This Row],[Propio S4 (aux)]]))</calculatedColumnFormula>
    </tableColumn>
    <tableColumn id="29" name="Ponderado S1 (aux)">
      <calculatedColumnFormula>IF(tblAct_RN[[#This Row],[Tipo (aux)]]="Sub",N(tblAct_RN[[#This Row],[Peso de actividad (%)]])*N(tblAct_RN[[#This Row],[Propio S1 (aux)]]),"")</calculatedColumnFormula>
    </tableColumn>
    <tableColumn id="30" name="Ponderado S2 (aux)">
      <calculatedColumnFormula>IF(tblAct_RN[[#This Row],[Tipo (aux)]]="Sub",N(tblAct_RN[[#This Row],[Peso de actividad (%)]])*N(tblAct_RN[[#This Row],[Propio S2 (aux)]]),"")</calculatedColumnFormula>
    </tableColumn>
    <tableColumn id="31" name="Ponderado S3 (aux)">
      <calculatedColumnFormula>IF(tblAct_RN[[#This Row],[Tipo (aux)]]="Sub",N(tblAct_RN[[#This Row],[Peso de actividad (%)]])*N(tblAct_RN[[#This Row],[Propio S3 (aux)]]),"")</calculatedColumnFormula>
    </tableColumn>
    <tableColumn id="32" name="Ponderado S4 (aux)">
      <calculatedColumnFormula>IF(tblAct_RN[[#This Row],[Tipo (aux)]]="Sub",N(tblAct_RN[[#This Row],[Peso de actividad (%)]])*N(tblAct_RN[[#This Row],[Propio S4 (aux)]]),"")</calculatedColumnFormula>
    </tableColumn>
    <tableColumn id="33" name="Suma pesos subactividades (aux)">
      <calculatedColumnFormula>IF(N(tblAct_RN[[#This Row],[N subactividades (aux)]])&gt;0,SUMIFS($F$5:$F$1000,$R$5:$R$1000,ROW(),$S$5:$S$1000,"Sub"),"")</calculatedColumnFormula>
    </tableColumn>
  </tableColumns>
  <tableStyleInfo name="TableStyleLight1" showRowStripes="0"/>
</table>
</file>

<file path=xl/tables/table4.xml><?xml version="1.0" encoding="utf-8"?>
<table xmlns="http://schemas.openxmlformats.org/spreadsheetml/2006/main" id="4" name="tblSem_RN" displayName="tblSem_RN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5.xml><?xml version="1.0" encoding="utf-8"?>
<table xmlns="http://schemas.openxmlformats.org/spreadsheetml/2006/main" id="5" name="tblAct_RF" displayName="tblAct_RF" ref="A4:AG304" headerRowCount="1">
  <autoFilter ref="A4:AG304"/>
  <tableColumns count="33">
    <tableColumn id="1" name="N°">
      <calculatedColumnFormula>IF(NOT((COUNTA(tblAct_RF[[#This Row],[Tipo]:[Avance Semana 4 (%)]])+COUNTA(tblAct_RF[[#This Row],[Observaciones]]))&gt;0),"",IF(tblAct_RF[[#This Row],[Tipo (aux)]]="Macro",COUNTIFS(INDEX(tblAct_RF[Tipo (aux)],1):tblAct_RF[[#This Row],[Tipo (aux)]],"Macro",INDEX(tblAct_RF[Mes],1):tblAct_RF[[#This Row],[Mes]],tblAct_RF[[#This Row],[Mes]]),IF(N(tblAct_RF[[#This Row],[Grupo (aux)]])=0,"?",COUNTIFS(INDEX($S$5:$S$1000,1):INDEX($S$5:$S$1000,tblAct_RF[[#This Row],[Grupo (aux)]]-4),"Macro",INDEX($P$5:$P$1000,1):INDEX($P$5:$P$1000,tblAct_RF[[#This Row],[Grupo (aux)]]-4),INDEX($P$5:$P$1000,tblAct_RF[[#This Row],[Grupo (aux)]]-4))&amp;"."&amp;COUNTIFS(INDEX(tblAct_RF[Grupo (aux)],1):tblAct_RF[[#This Row],[Grupo (aux)]],tblAct_RF[[#This Row],[Grupo (aux)]],INDEX(tblAct_RF[Tipo (aux)],1):tblAct_RF[[#This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IF(NOT((COUNTA(tblAct_RF[[#This Row],[Tipo]:[Avance Semana 4 (%)]])+COUNTA(tblAct_RF[[#This Row],[Observaciones]]))&gt;0),"",IF(N(tblAct_RF[[#This Row],[N subactividades (aux)]])&gt;0,tblAct_RF[[#This Row],[Efectivo S4 (aux)]],IFERROR(LOOKUP(2,1/(tblAct_RF[[#This Row],[Avance Semana 1 (%)]:[Avance Semana 4 (%)]]&lt;&gt;""),tblAct_RF[[#This Row],[Avance Semana 1 (%)]:[Avance Semana 4 (%)]]),0)))</calculatedColumnFormula>
    </tableColumn>
    <tableColumn id="12" name="Estado">
      <calculatedColumnFormula>IF(tblAct_RF[[#This Row],[% de Avance Total Actual]]="","",IF(tblAct_RF[[#This Row],[% de Avance Total Actual]]&gt;=1,"Completado",IF(tblAct_RF[[#This Row],[% de Avance Total Actual]]&gt;0,"En curso","Pendiente")))</calculatedColumnFormula>
    </tableColumn>
    <tableColumn id="13" name="Alerta de plazo">
      <calculatedColumnFormula>IF(NOT((COUNTA(tblAct_RF[[#This Row],[Tipo]:[Avance Semana 4 (%)]])+COUNTA(tblAct_RF[[#This Row],[Observaciones]]))&gt;0),"",IF(N(tblAct_RF[[#This Row],[% de Avance Total Actual]])&gt;=1,"Cumplida",IF(NOT(ISNUMBER(tblAct_RF[[#This Row],[Fecha límite]])),"Sin fecha límite",IF(tblAct_RF[[#This Row],[Fecha límite]]&lt;FechaRef,"Vencida hace "&amp;(FechaRef-tblAct_RF[[#This Row],[Fecha límite]])&amp;IF(FechaRef-tblAct_RF[[#This Row],[Fecha límite]]=1," día"," días"),IF(tblAct_RF[[#This Row],[Fecha límite]]=FechaRef,"Vence hoy",IF(tblAct_RF[[#This Row],[Fecha límite]]-FechaRef&lt;=DiasAlerta,"Vence en "&amp;(tblAct_RF[[#This Row],[Fecha límite]]-FechaRef)&amp;IF(tblAct_RF[[#This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IF(NOT((COUNTA(tblAct_RF[[#This Row],[Tipo]:[Avance Semana 4 (%)]])+COUNTA(tblAct_RF[[#This Row],[Observaciones]]))&gt;0),"",IF((IF(tblAct_RF[[#This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de actividad (%)]]=""),"Peso vacío"&amp;" · ","")&amp;IF(AND(tblAct_RF[[#This Row],[Tipo (aux)]]="Macro",tblAct_RF[[#This Row],[Peso de actividad (%)]]&lt;&gt;"",OR(NOT(ISNUMBER(tblAct_RF[[#This Row],[Peso de actividad (%)]])),tblAct_RF[[#This Row],[Peso de actividad (%)]]&lt;=0,tblAct_RF[[#This Row],[Peso de actividad (%)]]&gt;1)),"Peso fuera de rango"&amp;" · ","")&amp;IF(AND(tblAct_RF[[#This Row],[Tipo (aux)]]="Sub",tblAct_RF[[#This Row],[Peso de actividad (%)]]&lt;&gt;"",OR(NOT(ISNUMBER(tblAct_RF[[#This Row],[Peso de actividad (%)]])),tblAct_RF[[#This Row],[Peso de actividad (%)]]&lt;0,tblAct_RF[[#This Row],[Peso de actividad (%)]]&gt;1)),"Peso fuera de rango"&amp;" · ","")&amp;IF(AND(tblAct_RF[[#This Row],[Tipo (aux)]]="Sub",tblAct_RF[[#This Row],[Peso de actividad (%)]]="",IFERROR(N(INDEX($AG$5:$AG$1000,tblAct_RF[[#This Row],[Grupo (aux)]]-4)),0)&gt;0),"Falta el peso de la subactividad"&amp;" · ","")&amp;IF(AND(N(tblAct_RF[[#This Row],[N subactividades (aux)]])&gt;0,N(tblAct_RF[[#This Row],[Suma pesos subactividades (aux)]])&gt;0,ABS(N(tblAct_RF[[#This Row],[Suma pesos subactividades (aux)]])-N(tblAct_RF[[#This Row],[Peso de actividad (%)]]))&gt;0.0001),"Pesos de sus subactividades suman "&amp;TEXT(N(tblAct_RF[[#This Row],[Suma pesos subactividades (aux)]]),"0%")&amp;" (deben sumar "&amp;TEXT(N(tblAct_RF[[#This Row],[Peso de actividad (%)]]),"0%")&amp;")"&amp;" · ","")&amp;IF(AND(tblAct_RF[[#This Row],[Tipo (aux)]]="Macro",ABS(SUMIFS($F$5:$F$1000,$P$5:$P$1000,tblAct_RF[[#This Row],[Mes]],$S$5:$S$1000,"Macro")-1)&gt;0.0001),"Pesos del mes suman "&amp;TEXT(SUMIFS($F$5:$F$1000,$P$5:$P$1000,tblAct_RF[[#This Row],[Mes]],$S$5:$S$1000,"Macro"),"0%")&amp;"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",""))="","✔ OK","⚠ "&amp;LEFT(IF(tblAct_RF[[#This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de actividad (%)]]=""),"Peso vacío"&amp;" · ","")&amp;IF(AND(tblAct_RF[[#This Row],[Tipo (aux)]]="Macro",tblAct_RF[[#This Row],[Peso de actividad (%)]]&lt;&gt;"",OR(NOT(ISNUMBER(tblAct_RF[[#This Row],[Peso de actividad (%)]])),tblAct_RF[[#This Row],[Peso de actividad (%)]]&lt;=0,tblAct_RF[[#This Row],[Peso de actividad (%)]]&gt;1)),"Peso fuera de rango"&amp;" · ","")&amp;IF(AND(tblAct_RF[[#This Row],[Tipo (aux)]]="Sub",tblAct_RF[[#This Row],[Peso de actividad (%)]]&lt;&gt;"",OR(NOT(ISNUMBER(tblAct_RF[[#This Row],[Peso de actividad (%)]])),tblAct_RF[[#This Row],[Peso de actividad (%)]]&lt;0,tblAct_RF[[#This Row],[Peso de actividad (%)]]&gt;1)),"Peso fuera de rango"&amp;" · ","")&amp;IF(AND(tblAct_RF[[#This Row],[Tipo (aux)]]="Sub",tblAct_RF[[#This Row],[Peso de actividad (%)]]="",IFERROR(N(INDEX($AG$5:$AG$1000,tblAct_RF[[#This Row],[Grupo (aux)]]-4)),0)&gt;0),"Falta el peso de la subactividad"&amp;" · ","")&amp;IF(AND(N(tblAct_RF[[#This Row],[N subactividades (aux)]])&gt;0,N(tblAct_RF[[#This Row],[Suma pesos subactividades (aux)]])&gt;0,ABS(N(tblAct_RF[[#This Row],[Suma pesos subactividades (aux)]])-N(tblAct_RF[[#This Row],[Peso de actividad (%)]]))&gt;0.0001),"Pesos de sus subactividades suman "&amp;TEXT(N(tblAct_RF[[#This Row],[Suma pesos subactividades (aux)]]),"0%")&amp;" (deben sumar "&amp;TEXT(N(tblAct_RF[[#This Row],[Peso de actividad (%)]]),"0%")&amp;")"&amp;" · ","")&amp;IF(AND(tblAct_RF[[#This Row],[Tipo (aux)]]="Macro",ABS(SUMIFS($F$5:$F$1000,$P$5:$P$1000,tblAct_RF[[#This Row],[Mes]],$S$5:$S$1000,"Macro")-1)&gt;0.0001),"Pesos del mes suman "&amp;TEXT(SUMIFS($F$5:$F$1000,$P$5:$P$1000,tblAct_RF[[#This Row],[Mes]],$S$5:$S$1000,"Macro"),"0%")&amp;"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",""),LEN(IF(tblAct_RF[[#This Row],[Actividad]]="","Falta el nombre de la actividad"&amp;" · ","")&amp;IF(AND(tblAct_RF[[#This Row],[Tipo (aux)]]="Sub",N(tblAct_RF[[#This Row],[Grupo (aux)]])=0),"Subactividad sin macroactividad arriba"&amp;" · ","")&amp;IF(tblAct_RF[[#This Row],[Fecha de inicio]]="","Sin fecha de inicio"&amp;" · ","")&amp;IF(tblAct_RF[[#This Row],[Fecha límite]]="","Sin fecha límite"&amp;" · ","")&amp;IF(OR(AND(tblAct_RF[[#This Row],[Fecha de inicio]]&lt;&gt;"",NOT(ISNUMBER(tblAct_RF[[#This Row],[Fecha de inicio]]))),AND(tblAct_RF[[#This Row],[Fecha límite]]&lt;&gt;"",NOT(ISNUMBER(tblAct_RF[[#This Row],[Fecha límite]])))),"Fecha no válida"&amp;" · ","")&amp;IF(AND(ISNUMBER(tblAct_RF[[#This Row],[Fecha de inicio]]),ISNUMBER(tblAct_RF[[#This Row],[Fecha límite]]),tblAct_RF[[#This Row],[Fecha de inicio]]&gt;tblAct_RF[[#This Row],[Fecha límite]]),"Inicio posterior a fecha límite"&amp;" · ","")&amp;IF(AND(tblAct_RF[[#This Row],[Tipo (aux)]]="Macro",tblAct_RF[[#This Row],[Peso de actividad (%)]]=""),"Peso vacío"&amp;" · ","")&amp;IF(AND(tblAct_RF[[#This Row],[Tipo (aux)]]="Macro",tblAct_RF[[#This Row],[Peso de actividad (%)]]&lt;&gt;"",OR(NOT(ISNUMBER(tblAct_RF[[#This Row],[Peso de actividad (%)]])),tblAct_RF[[#This Row],[Peso de actividad (%)]]&lt;=0,tblAct_RF[[#This Row],[Peso de actividad (%)]]&gt;1)),"Peso fuera de rango"&amp;" · ","")&amp;IF(AND(tblAct_RF[[#This Row],[Tipo (aux)]]="Sub",tblAct_RF[[#This Row],[Peso de actividad (%)]]&lt;&gt;"",OR(NOT(ISNUMBER(tblAct_RF[[#This Row],[Peso de actividad (%)]])),tblAct_RF[[#This Row],[Peso de actividad (%)]]&lt;0,tblAct_RF[[#This Row],[Peso de actividad (%)]]&gt;1)),"Peso fuera de rango"&amp;" · ","")&amp;IF(AND(tblAct_RF[[#This Row],[Tipo (aux)]]="Sub",tblAct_RF[[#This Row],[Peso de actividad (%)]]="",IFERROR(N(INDEX($AG$5:$AG$1000,tblAct_RF[[#This Row],[Grupo (aux)]]-4)),0)&gt;0),"Falta el peso de la subactividad"&amp;" · ","")&amp;IF(AND(N(tblAct_RF[[#This Row],[N subactividades (aux)]])&gt;0,N(tblAct_RF[[#This Row],[Suma pesos subactividades (aux)]])&gt;0,ABS(N(tblAct_RF[[#This Row],[Suma pesos subactividades (aux)]])-N(tblAct_RF[[#This Row],[Peso de actividad (%)]]))&gt;0.0001),"Pesos de sus subactividades suman "&amp;TEXT(N(tblAct_RF[[#This Row],[Suma pesos subactividades (aux)]]),"0%")&amp;" (deben sumar "&amp;TEXT(N(tblAct_RF[[#This Row],[Peso de actividad (%)]]),"0%")&amp;")"&amp;" · ","")&amp;IF(AND(tblAct_RF[[#This Row],[Tipo (aux)]]="Macro",ABS(SUMIFS($F$5:$F$1000,$P$5:$P$1000,tblAct_RF[[#This Row],[Mes]],$S$5:$S$1000,"Macro")-1)&gt;0.0001),"Pesos del mes suman "&amp;TEXT(SUMIFS($F$5:$F$1000,$P$5:$P$1000,tblAct_RF[[#This Row],[Mes]],$S$5:$S$1000,"Macro"),"0%")&amp;" · ","")&amp;IF(AND(N(tblAct_RF[[#This Row],[N subactividades (aux)]])&gt;0,COUNT(tblAct_RF[[#This Row],[Avance Semana 1 (%)]:[Avance Semana 4 (%)]])&gt;0),"Con subactividades: deje vacías las semanas (se calculan solas)"&amp;" · ","")&amp;IF((COUNTIF(tblAct_RF[[#This Row],[Avance Semana 1 (%)]:[Avance Semana 4 (%)]],"&gt;1")+COUNTIF(tblAct_RF[[#This Row],[Avance Semana 1 (%)]:[Avance Semana 4 (%)]],"&lt;0")+COUNTA(tblAct_RF[[#This Row],[Avance Semana 1 (%)]:[Avance Semana 4 (%)]])-COUNT(tblAct_RF[[#This Row],[Avance Semana 1 (%)]:[Avance Semana 4 (%)]]))&gt;0,"Avance fuera de rango 0-100%"&amp;" · ","")&amp;IF(OR(AND(tblAct_RF[[#This Row],[Avance Semana 2 (%)]]&lt;&gt;"",tblAct_RF[[#This Row],[Avance Semana 2 (%)]]&lt;tblAct_RF[[#This Row],[Avance Semana 1 (%)]]),AND(tblAct_RF[[#This Row],[Avance Semana 3 (%)]]&lt;&gt;"",tblAct_RF[[#This Row],[Avance Semana 3 (%)]]&lt;MAX(tblAct_RF[[#This Row],[Avance Semana 1 (%)]:[Avance Semana 2 (%)]])),AND(tblAct_RF[[#This Row],[Avance Semana 4 (%)]]&lt;&gt;"",tblAct_RF[[#This Row],[Avance Semana 4 (%)]]&lt;MAX(tblAct_RF[[#This Row],[Avance Semana 1 (%)]:[Avance Semana 3 (%)]]))),"Avance semanal decreciente"&amp;" · ","")&amp;IF(AND(ISNUMBER(tblAct_RF[[#This Row],[Fecha límite]]),tblAct_RF[[#This Row],[Fecha límite]]&lt;FechaRef,N(tblAct_RF[[#This Row],[% de Avance Total Actual]])&lt;1),"Vencida"&amp;" · ","")&amp;IF(AND(ObsObligatoria="Sí",ISNUMBER(tblAct_RF[[#This Row],[Fecha límite]]),tblAct_RF[[#This Row],[Fecha límite]]&lt;FechaRef,N(tblAct_RF[[#This Row],[% de Avance Total Actual]])&lt;1,tblAct_RF[[#This Row],[Observaciones]]=""),"Vencida sin observación"&amp;" · ",""))-3)))</calculatedColumnFormula>
    </tableColumn>
    <tableColumn id="16" name="Mes">
      <calculatedColumnFormula>IF(NOT((COUNTA(tblAct_RF[[#This Row],[Tipo]:[Avance Semana 4 (%)]])+COUNTA(tblAct_RF[[#This Row],[Observaciones]]))&gt;0),"",IF(AND(tblAct_RF[[#This Row],[Tipo (aux)]]="Sub",N(tblAct_RF[[#This Row],[Grupo (aux)]])&gt;0),IF(ISNUMBER(INDEX($D$5:$D$1000,tblAct_RF[[#This Row],[Grupo (aux)]]-4)),DATE(YEAR(INDEX($D$5:$D$1000,tblAct_RF[[#This Row],[Grupo (aux)]]-4)),MONTH(INDEX($D$5:$D$1000,tblAct_RF[[#This Row],[Grupo (aux)]]-4)),1),IF(ISNUMBER(INDEX($E$5:$E$1000,tblAct_RF[[#This Row],[Grupo (aux)]]-4)),DATE(YEAR(INDEX($E$5:$E$1000,tblAct_RF[[#This Row],[Grupo (aux)]]-4)),MONTH(INDEX($E$5:$E$1000,tblAct_RF[[#This Row],[Grupo (aux)]]-4)),1),MesCiclo)),IF(ISNUMBER(tblAct_RF[[#This Row],[Fecha de inicio]]),DATE(YEAR(tblAct_RF[[#This Row],[Fecha de inicio]]),MONTH(tblAct_RF[[#This Row],[Fecha de inicio]]),1),IF(ISNUMBER(tblAct_RF[[#This Row],[Fecha límite]]),DATE(YEAR(tblAct_RF[[#This Row],[Fecha límite]]),MONTH(tblAct_RF[[#This Row],[Fecha límite]]),1),MesCiclo))))</calculatedColumnFormula>
    </tableColumn>
    <tableColumn id="17" name="Orden en el mes (aux)">
      <calculatedColumnFormula>IF(OR(tblAct_RF[[#This Row],[Mes]]="",tblAct_RF[[#This Row],[Mes]]&lt;&gt;MesCiclo),"",COUNTIF(INDEX(tblAct_RF[Mes],1):tblAct_RF[[#This Row],[Mes]],MesCiclo))</calculatedColumnFormula>
    </tableColumn>
    <tableColumn id="18" name="Grupo (aux)">
      <calculatedColumnFormula>IF(tblAct_RF[[#This Row],[Tipo (aux)]]="","",IF(tblAct_RF[[#This Row],[Tipo (aux)]]="Macro",ROW(),IFERROR(LOOKUP(2,1/(INDEX(tblAct_RF[Tipo (aux)],1):tblAct_RF[[#This Row],[Tipo (aux)]]="Macro"),ROW(INDEX(tblAct_RF[Tipo (aux)],1):tblAct_RF[[#This Row],[Tipo (aux)]])),0)))</calculatedColumnFormula>
    </tableColumn>
    <tableColumn id="19" name="Tipo (aux)">
      <calculatedColumnFormula>IF(NOT((COUNTA(tblAct_RF[[#This Row],[Tipo]:[Avance Semana 4 (%)]])+COUNTA(tblAct_RF[[#This Row],[Observaciones]]))&gt;0),"",IF(tblAct_RF[[#This Row],[Tipo]]="Subactividad","Sub","Macro"))</calculatedColumnFormula>
    </tableColumn>
    <tableColumn id="20" name="N subactividades (aux)">
      <calculatedColumnFormula>IF(tblAct_RF[[#This Row],[Tipo (aux)]]="Macro",COUNTIFS($R$5:$R$1000,ROW(),$S$5:$S$1000,"Sub"),"")</calculatedColumnFormula>
    </tableColumn>
    <tableColumn id="21" name="Propio S1 (aux)">
      <calculatedColumnFormula>IF(tblAct_RF[[#This Row],[Tipo (aux)]]="","",IF(ISNUMBER(tblAct_RF[[#This Row],[Avance Semana 1 (%)]]),tblAct_RF[[#This Row],[Avance Semana 1 (%)]],0))</calculatedColumnFormula>
    </tableColumn>
    <tableColumn id="22" name="Propio S2 (aux)">
      <calculatedColumnFormula>IF(tblAct_RF[[#This Row],[Tipo (aux)]]="","",IF(ISNUMBER(tblAct_RF[[#This Row],[Avance Semana 2 (%)]]),tblAct_RF[[#This Row],[Avance Semana 2 (%)]],tblAct_RF[[#This Row],[Propio S1 (aux)]]))</calculatedColumnFormula>
    </tableColumn>
    <tableColumn id="23" name="Propio S3 (aux)">
      <calculatedColumnFormula>IF(tblAct_RF[[#This Row],[Tipo (aux)]]="","",IF(ISNUMBER(tblAct_RF[[#This Row],[Avance Semana 3 (%)]]),tblAct_RF[[#This Row],[Avance Semana 3 (%)]],tblAct_RF[[#This Row],[Propio S2 (aux)]]))</calculatedColumnFormula>
    </tableColumn>
    <tableColumn id="24" name="Propio S4 (aux)">
      <calculatedColumnFormula>IF(tblAct_RF[[#This Row],[Tipo (aux)]]="","",IF(ISNUMBER(tblAct_RF[[#This Row],[Avance Semana 4 (%)]]),tblAct_RF[[#This Row],[Avance Semana 4 (%)]],tblAct_RF[[#This Row],[Propio S3 (aux)]]))</calculatedColumnFormula>
    </tableColumn>
    <tableColumn id="25" name="Efectivo S1 (aux)">
      <calculatedColumnFormula>IF(tblAct_RF[[#This Row],[Tipo (aux)]]="","",IF(N(tblAct_RF[[#This Row],[N subactividades (aux)]])&gt;0,IF(N(tblAct_RF[[#This Row],[Suma pesos subactividades (aux)]])&gt;0,SUMIFS($AC$5:$AC$1000,$R$5:$R$1000,ROW(),$S$5:$S$1000,"Sub")/tblAct_RF[[#This Row],[Suma pesos subactividades (aux)]],AVERAGEIFS($U$5:$U$1000,$R$5:$R$1000,ROW(),$S$5:$S$1000,"Sub")),tblAct_RF[[#This Row],[Propio S1 (aux)]]))</calculatedColumnFormula>
    </tableColumn>
    <tableColumn id="26" name="Efectivo S2 (aux)">
      <calculatedColumnFormula>IF(tblAct_RF[[#This Row],[Tipo (aux)]]="","",IF(N(tblAct_RF[[#This Row],[N subactividades (aux)]])&gt;0,IF(N(tblAct_RF[[#This Row],[Suma pesos subactividades (aux)]])&gt;0,SUMIFS($AD$5:$AD$1000,$R$5:$R$1000,ROW(),$S$5:$S$1000,"Sub")/tblAct_RF[[#This Row],[Suma pesos subactividades (aux)]],AVERAGEIFS($V$5:$V$1000,$R$5:$R$1000,ROW(),$S$5:$S$1000,"Sub")),tblAct_RF[[#This Row],[Propio S2 (aux)]]))</calculatedColumnFormula>
    </tableColumn>
    <tableColumn id="27" name="Efectivo S3 (aux)">
      <calculatedColumnFormula>IF(tblAct_RF[[#This Row],[Tipo (aux)]]="","",IF(N(tblAct_RF[[#This Row],[N subactividades (aux)]])&gt;0,IF(N(tblAct_RF[[#This Row],[Suma pesos subactividades (aux)]])&gt;0,SUMIFS($AE$5:$AE$1000,$R$5:$R$1000,ROW(),$S$5:$S$1000,"Sub")/tblAct_RF[[#This Row],[Suma pesos subactividades (aux)]],AVERAGEIFS($W$5:$W$1000,$R$5:$R$1000,ROW(),$S$5:$S$1000,"Sub")),tblAct_RF[[#This Row],[Propio S3 (aux)]]))</calculatedColumnFormula>
    </tableColumn>
    <tableColumn id="28" name="Efectivo S4 (aux)">
      <calculatedColumnFormula>IF(tblAct_RF[[#This Row],[Tipo (aux)]]="","",IF(N(tblAct_RF[[#This Row],[N subactividades (aux)]])&gt;0,IF(N(tblAct_RF[[#This Row],[Suma pesos subactividades (aux)]])&gt;0,SUMIFS($AF$5:$AF$1000,$R$5:$R$1000,ROW(),$S$5:$S$1000,"Sub")/tblAct_RF[[#This Row],[Suma pesos subactividades (aux)]],AVERAGEIFS($X$5:$X$1000,$R$5:$R$1000,ROW(),$S$5:$S$1000,"Sub")),tblAct_RF[[#This Row],[Propio S4 (aux)]]))</calculatedColumnFormula>
    </tableColumn>
    <tableColumn id="29" name="Ponderado S1 (aux)">
      <calculatedColumnFormula>IF(tblAct_RF[[#This Row],[Tipo (aux)]]="Sub",N(tblAct_RF[[#This Row],[Peso de actividad (%)]])*N(tblAct_RF[[#This Row],[Propio S1 (aux)]]),"")</calculatedColumnFormula>
    </tableColumn>
    <tableColumn id="30" name="Ponderado S2 (aux)">
      <calculatedColumnFormula>IF(tblAct_RF[[#This Row],[Tipo (aux)]]="Sub",N(tblAct_RF[[#This Row],[Peso de actividad (%)]])*N(tblAct_RF[[#This Row],[Propio S2 (aux)]]),"")</calculatedColumnFormula>
    </tableColumn>
    <tableColumn id="31" name="Ponderado S3 (aux)">
      <calculatedColumnFormula>IF(tblAct_RF[[#This Row],[Tipo (aux)]]="Sub",N(tblAct_RF[[#This Row],[Peso de actividad (%)]])*N(tblAct_RF[[#This Row],[Propio S3 (aux)]]),"")</calculatedColumnFormula>
    </tableColumn>
    <tableColumn id="32" name="Ponderado S4 (aux)">
      <calculatedColumnFormula>IF(tblAct_RF[[#This Row],[Tipo (aux)]]="Sub",N(tblAct_RF[[#This Row],[Peso de actividad (%)]])*N(tblAct_RF[[#This Row],[Propio S4 (aux)]]),"")</calculatedColumnFormula>
    </tableColumn>
    <tableColumn id="33" name="Suma pesos subactividades (aux)">
      <calculatedColumnFormula>IF(N(tblAct_RF[[#This Row],[N subactividades (aux)]])&gt;0,SUMIFS($F$5:$F$1000,$R$5:$R$1000,ROW(),$S$5:$S$1000,"Sub"),"")</calculatedColumnFormula>
    </tableColumn>
  </tableColumns>
  <tableStyleInfo name="TableStyleLight1" showRowStripes="0"/>
</table>
</file>

<file path=xl/tables/table6.xml><?xml version="1.0" encoding="utf-8"?>
<table xmlns="http://schemas.openxmlformats.org/spreadsheetml/2006/main" id="6" name="tblSem_RF" displayName="tblSem_RF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ables/table7.xml><?xml version="1.0" encoding="utf-8"?>
<table xmlns="http://schemas.openxmlformats.org/spreadsheetml/2006/main" id="7" name="tblAct_ATR" displayName="tblAct_ATR" ref="A4:AG304" headerRowCount="1">
  <autoFilter ref="A4:AG304"/>
  <tableColumns count="33">
    <tableColumn id="1" name="N°">
      <calculatedColumnFormula>IF(NOT((COUNTA(tblAct_ATR[[#This Row],[Tipo]:[Avance Semana 4 (%)]])+COUNTA(tblAct_ATR[[#This Row],[Observaciones]]))&gt;0),"",IF(tblAct_ATR[[#This Row],[Tipo (aux)]]="Macro",COUNTIFS(INDEX(tblAct_ATR[Tipo (aux)],1):tblAct_ATR[[#This Row],[Tipo (aux)]],"Macro",INDEX(tblAct_ATR[Mes],1):tblAct_ATR[[#This Row],[Mes]],tblAct_ATR[[#This Row],[Mes]]),IF(N(tblAct_ATR[[#This Row],[Grupo (aux)]])=0,"?",COUNTIFS(INDEX($S$5:$S$1000,1):INDEX($S$5:$S$1000,tblAct_ATR[[#This Row],[Grupo (aux)]]-4),"Macro",INDEX($P$5:$P$1000,1):INDEX($P$5:$P$1000,tblAct_ATR[[#This Row],[Grupo (aux)]]-4),INDEX($P$5:$P$1000,tblAct_ATR[[#This Row],[Grupo (aux)]]-4))&amp;"."&amp;COUNTIFS(INDEX(tblAct_ATR[Grupo (aux)],1):tblAct_ATR[[#This Row],[Grupo (aux)]],tblAct_ATR[[#This Row],[Grupo (aux)]],INDEX(tblAct_ATR[Tipo (aux)],1):tblAct_ATR[[#This Row],[Tipo (aux)]],"Sub"))))</calculatedColumnFormula>
    </tableColumn>
    <tableColumn id="2" name="Tipo"/>
    <tableColumn id="3" name="Actividad"/>
    <tableColumn id="4" name="Fecha de inicio"/>
    <tableColumn id="5" name="Fecha límite"/>
    <tableColumn id="6" name="Peso de actividad (%)"/>
    <tableColumn id="7" name="Avance Semana 1 (%)"/>
    <tableColumn id="8" name="Avance Semana 2 (%)"/>
    <tableColumn id="9" name="Avance Semana 3 (%)"/>
    <tableColumn id="10" name="Avance Semana 4 (%)"/>
    <tableColumn id="11" name="% de Avance Total Actual">
      <calculatedColumnFormula>IF(NOT((COUNTA(tblAct_ATR[[#This Row],[Tipo]:[Avance Semana 4 (%)]])+COUNTA(tblAct_ATR[[#This Row],[Observaciones]]))&gt;0),"",IF(N(tblAct_ATR[[#This Row],[N subactividades (aux)]])&gt;0,tblAct_ATR[[#This Row],[Efectivo S4 (aux)]],IFERROR(LOOKUP(2,1/(tblAct_ATR[[#This Row],[Avance Semana 1 (%)]:[Avance Semana 4 (%)]]&lt;&gt;""),tblAct_ATR[[#This Row],[Avance Semana 1 (%)]:[Avance Semana 4 (%)]]),0)))</calculatedColumnFormula>
    </tableColumn>
    <tableColumn id="12" name="Estado">
      <calculatedColumnFormula>IF(tblAct_ATR[[#This Row],[% de Avance Total Actual]]="","",IF(tblAct_ATR[[#This Row],[% de Avance Total Actual]]&gt;=1,"Completado",IF(tblAct_ATR[[#This Row],[% de Avance Total Actual]]&gt;0,"En curso","Pendiente")))</calculatedColumnFormula>
    </tableColumn>
    <tableColumn id="13" name="Alerta de plazo">
      <calculatedColumnFormula>IF(NOT((COUNTA(tblAct_ATR[[#This Row],[Tipo]:[Avance Semana 4 (%)]])+COUNTA(tblAct_ATR[[#This Row],[Observaciones]]))&gt;0),"",IF(N(tblAct_ATR[[#This Row],[% de Avance Total Actual]])&gt;=1,"Cumplida",IF(NOT(ISNUMBER(tblAct_ATR[[#This Row],[Fecha límite]])),"Sin fecha límite",IF(tblAct_ATR[[#This Row],[Fecha límite]]&lt;FechaRef,"Vencida hace "&amp;(FechaRef-tblAct_ATR[[#This Row],[Fecha límite]])&amp;IF(FechaRef-tblAct_ATR[[#This Row],[Fecha límite]]=1," día"," días"),IF(tblAct_ATR[[#This Row],[Fecha límite]]=FechaRef,"Vence hoy",IF(tblAct_ATR[[#This Row],[Fecha límite]]-FechaRef&lt;=DiasAlerta,"Vence en "&amp;(tblAct_ATR[[#This Row],[Fecha límite]]-FechaRef)&amp;IF(tblAct_ATR[[#This Row],[Fecha límite]]-FechaRef=1," día"," días"),"En plazo"))))))</calculatedColumnFormula>
    </tableColumn>
    <tableColumn id="14" name="Observaciones"/>
    <tableColumn id="15" name="Revisión automática (alertas)">
      <calculatedColumnFormula>IF(NOT((COUNTA(tblAct_ATR[[#This Row],[Tipo]:[Avance Semana 4 (%)]])+COUNTA(tblAct_ATR[[#This Row],[Observaciones]]))&gt;0),"",IF((IF(tblAct_ATR[[#This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de actividad (%)]]=""),"Peso vacío"&amp;" · ","")&amp;IF(AND(tblAct_ATR[[#This Row],[Tipo (aux)]]="Macro",tblAct_ATR[[#This Row],[Peso de actividad (%)]]&lt;&gt;"",OR(NOT(ISNUMBER(tblAct_ATR[[#This Row],[Peso de actividad (%)]])),tblAct_ATR[[#This Row],[Peso de actividad (%)]]&lt;=0,tblAct_ATR[[#This Row],[Peso de actividad (%)]]&gt;1)),"Peso fuera de rango"&amp;" · ","")&amp;IF(AND(tblAct_ATR[[#This Row],[Tipo (aux)]]="Sub",tblAct_ATR[[#This Row],[Peso de actividad (%)]]&lt;&gt;"",OR(NOT(ISNUMBER(tblAct_ATR[[#This Row],[Peso de actividad (%)]])),tblAct_ATR[[#This Row],[Peso de actividad (%)]]&lt;0,tblAct_ATR[[#This Row],[Peso de actividad (%)]]&gt;1)),"Peso fuera de rango"&amp;" · ","")&amp;IF(AND(tblAct_ATR[[#This Row],[Tipo (aux)]]="Sub",tblAct_ATR[[#This Row],[Peso de actividad (%)]]="",IFERROR(N(INDEX($AG$5:$AG$1000,tblAct_ATR[[#This Row],[Grupo (aux)]]-4)),0)&gt;0),"Falta el peso de la subactividad"&amp;" · ","")&amp;IF(AND(N(tblAct_ATR[[#This Row],[N subactividades (aux)]])&gt;0,N(tblAct_ATR[[#This Row],[Suma pesos subactividades (aux)]])&gt;0,ABS(N(tblAct_ATR[[#This Row],[Suma pesos subactividades (aux)]])-N(tblAct_ATR[[#This Row],[Peso de actividad (%)]]))&gt;0.0001),"Pesos de sus subactividades suman "&amp;TEXT(N(tblAct_ATR[[#This Row],[Suma pesos subactividades (aux)]]),"0%")&amp;" (deben sumar "&amp;TEXT(N(tblAct_ATR[[#This Row],[Peso de actividad (%)]]),"0%")&amp;")"&amp;" · ","")&amp;IF(AND(tblAct_ATR[[#This Row],[Tipo (aux)]]="Macro",ABS(SUMIFS($F$5:$F$1000,$P$5:$P$1000,tblAct_ATR[[#This Row],[Mes]],$S$5:$S$1000,"Macro")-1)&gt;0.0001),"Pesos del mes suman "&amp;TEXT(SUMIFS($F$5:$F$1000,$P$5:$P$1000,tblAct_ATR[[#This Row],[Mes]],$S$5:$S$1000,"Macro"),"0%")&amp;"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",""))="","✔ OK","⚠ "&amp;LEFT(IF(tblAct_ATR[[#This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de actividad (%)]]=""),"Peso vacío"&amp;" · ","")&amp;IF(AND(tblAct_ATR[[#This Row],[Tipo (aux)]]="Macro",tblAct_ATR[[#This Row],[Peso de actividad (%)]]&lt;&gt;"",OR(NOT(ISNUMBER(tblAct_ATR[[#This Row],[Peso de actividad (%)]])),tblAct_ATR[[#This Row],[Peso de actividad (%)]]&lt;=0,tblAct_ATR[[#This Row],[Peso de actividad (%)]]&gt;1)),"Peso fuera de rango"&amp;" · ","")&amp;IF(AND(tblAct_ATR[[#This Row],[Tipo (aux)]]="Sub",tblAct_ATR[[#This Row],[Peso de actividad (%)]]&lt;&gt;"",OR(NOT(ISNUMBER(tblAct_ATR[[#This Row],[Peso de actividad (%)]])),tblAct_ATR[[#This Row],[Peso de actividad (%)]]&lt;0,tblAct_ATR[[#This Row],[Peso de actividad (%)]]&gt;1)),"Peso fuera de rango"&amp;" · ","")&amp;IF(AND(tblAct_ATR[[#This Row],[Tipo (aux)]]="Sub",tblAct_ATR[[#This Row],[Peso de actividad (%)]]="",IFERROR(N(INDEX($AG$5:$AG$1000,tblAct_ATR[[#This Row],[Grupo (aux)]]-4)),0)&gt;0),"Falta el peso de la subactividad"&amp;" · ","")&amp;IF(AND(N(tblAct_ATR[[#This Row],[N subactividades (aux)]])&gt;0,N(tblAct_ATR[[#This Row],[Suma pesos subactividades (aux)]])&gt;0,ABS(N(tblAct_ATR[[#This Row],[Suma pesos subactividades (aux)]])-N(tblAct_ATR[[#This Row],[Peso de actividad (%)]]))&gt;0.0001),"Pesos de sus subactividades suman "&amp;TEXT(N(tblAct_ATR[[#This Row],[Suma pesos subactividades (aux)]]),"0%")&amp;" (deben sumar "&amp;TEXT(N(tblAct_ATR[[#This Row],[Peso de actividad (%)]]),"0%")&amp;")"&amp;" · ","")&amp;IF(AND(tblAct_ATR[[#This Row],[Tipo (aux)]]="Macro",ABS(SUMIFS($F$5:$F$1000,$P$5:$P$1000,tblAct_ATR[[#This Row],[Mes]],$S$5:$S$1000,"Macro")-1)&gt;0.0001),"Pesos del mes suman "&amp;TEXT(SUMIFS($F$5:$F$1000,$P$5:$P$1000,tblAct_ATR[[#This Row],[Mes]],$S$5:$S$1000,"Macro"),"0%")&amp;"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",""),LEN(IF(tblAct_ATR[[#This Row],[Actividad]]="","Falta el nombre de la actividad"&amp;" · ","")&amp;IF(AND(tblAct_ATR[[#This Row],[Tipo (aux)]]="Sub",N(tblAct_ATR[[#This Row],[Grupo (aux)]])=0),"Subactividad sin macroactividad arriba"&amp;" · ","")&amp;IF(tblAct_ATR[[#This Row],[Fecha de inicio]]="","Sin fecha de inicio"&amp;" · ","")&amp;IF(tblAct_ATR[[#This Row],[Fecha límite]]="","Sin fecha límite"&amp;" · ","")&amp;IF(OR(AND(tblAct_ATR[[#This Row],[Fecha de inicio]]&lt;&gt;"",NOT(ISNUMBER(tblAct_ATR[[#This Row],[Fecha de inicio]]))),AND(tblAct_ATR[[#This Row],[Fecha límite]]&lt;&gt;"",NOT(ISNUMBER(tblAct_ATR[[#This Row],[Fecha límite]])))),"Fecha no válida"&amp;" · ","")&amp;IF(AND(ISNUMBER(tblAct_ATR[[#This Row],[Fecha de inicio]]),ISNUMBER(tblAct_ATR[[#This Row],[Fecha límite]]),tblAct_ATR[[#This Row],[Fecha de inicio]]&gt;tblAct_ATR[[#This Row],[Fecha límite]]),"Inicio posterior a fecha límite"&amp;" · ","")&amp;IF(AND(tblAct_ATR[[#This Row],[Tipo (aux)]]="Macro",tblAct_ATR[[#This Row],[Peso de actividad (%)]]=""),"Peso vacío"&amp;" · ","")&amp;IF(AND(tblAct_ATR[[#This Row],[Tipo (aux)]]="Macro",tblAct_ATR[[#This Row],[Peso de actividad (%)]]&lt;&gt;"",OR(NOT(ISNUMBER(tblAct_ATR[[#This Row],[Peso de actividad (%)]])),tblAct_ATR[[#This Row],[Peso de actividad (%)]]&lt;=0,tblAct_ATR[[#This Row],[Peso de actividad (%)]]&gt;1)),"Peso fuera de rango"&amp;" · ","")&amp;IF(AND(tblAct_ATR[[#This Row],[Tipo (aux)]]="Sub",tblAct_ATR[[#This Row],[Peso de actividad (%)]]&lt;&gt;"",OR(NOT(ISNUMBER(tblAct_ATR[[#This Row],[Peso de actividad (%)]])),tblAct_ATR[[#This Row],[Peso de actividad (%)]]&lt;0,tblAct_ATR[[#This Row],[Peso de actividad (%)]]&gt;1)),"Peso fuera de rango"&amp;" · ","")&amp;IF(AND(tblAct_ATR[[#This Row],[Tipo (aux)]]="Sub",tblAct_ATR[[#This Row],[Peso de actividad (%)]]="",IFERROR(N(INDEX($AG$5:$AG$1000,tblAct_ATR[[#This Row],[Grupo (aux)]]-4)),0)&gt;0),"Falta el peso de la subactividad"&amp;" · ","")&amp;IF(AND(N(tblAct_ATR[[#This Row],[N subactividades (aux)]])&gt;0,N(tblAct_ATR[[#This Row],[Suma pesos subactividades (aux)]])&gt;0,ABS(N(tblAct_ATR[[#This Row],[Suma pesos subactividades (aux)]])-N(tblAct_ATR[[#This Row],[Peso de actividad (%)]]))&gt;0.0001),"Pesos de sus subactividades suman "&amp;TEXT(N(tblAct_ATR[[#This Row],[Suma pesos subactividades (aux)]]),"0%")&amp;" (deben sumar "&amp;TEXT(N(tblAct_ATR[[#This Row],[Peso de actividad (%)]]),"0%")&amp;")"&amp;" · ","")&amp;IF(AND(tblAct_ATR[[#This Row],[Tipo (aux)]]="Macro",ABS(SUMIFS($F$5:$F$1000,$P$5:$P$1000,tblAct_ATR[[#This Row],[Mes]],$S$5:$S$1000,"Macro")-1)&gt;0.0001),"Pesos del mes suman "&amp;TEXT(SUMIFS($F$5:$F$1000,$P$5:$P$1000,tblAct_ATR[[#This Row],[Mes]],$S$5:$S$1000,"Macro"),"0%")&amp;" · ","")&amp;IF(AND(N(tblAct_ATR[[#This Row],[N subactividades (aux)]])&gt;0,COUNT(tblAct_ATR[[#This Row],[Avance Semana 1 (%)]:[Avance Semana 4 (%)]])&gt;0),"Con subactividades: deje vacías las semanas (se calculan solas)"&amp;" · ","")&amp;IF((COUNTIF(tblAct_ATR[[#This Row],[Avance Semana 1 (%)]:[Avance Semana 4 (%)]],"&gt;1")+COUNTIF(tblAct_ATR[[#This Row],[Avance Semana 1 (%)]:[Avance Semana 4 (%)]],"&lt;0")+COUNTA(tblAct_ATR[[#This Row],[Avance Semana 1 (%)]:[Avance Semana 4 (%)]])-COUNT(tblAct_ATR[[#This Row],[Avance Semana 1 (%)]:[Avance Semana 4 (%)]]))&gt;0,"Avance fuera de rango 0-100%"&amp;" · ","")&amp;IF(OR(AND(tblAct_ATR[[#This Row],[Avance Semana 2 (%)]]&lt;&gt;"",tblAct_ATR[[#This Row],[Avance Semana 2 (%)]]&lt;tblAct_ATR[[#This Row],[Avance Semana 1 (%)]]),AND(tblAct_ATR[[#This Row],[Avance Semana 3 (%)]]&lt;&gt;"",tblAct_ATR[[#This Row],[Avance Semana 3 (%)]]&lt;MAX(tblAct_ATR[[#This Row],[Avance Semana 1 (%)]:[Avance Semana 2 (%)]])),AND(tblAct_ATR[[#This Row],[Avance Semana 4 (%)]]&lt;&gt;"",tblAct_ATR[[#This Row],[Avance Semana 4 (%)]]&lt;MAX(tblAct_ATR[[#This Row],[Avance Semana 1 (%)]:[Avance Semana 3 (%)]]))),"Avance semanal decreciente"&amp;" · ","")&amp;IF(AND(ISNUMBER(tblAct_ATR[[#This Row],[Fecha límite]]),tblAct_ATR[[#This Row],[Fecha límite]]&lt;FechaRef,N(tblAct_ATR[[#This Row],[% de Avance Total Actual]])&lt;1),"Vencida"&amp;" · ","")&amp;IF(AND(ObsObligatoria="Sí",ISNUMBER(tblAct_ATR[[#This Row],[Fecha límite]]),tblAct_ATR[[#This Row],[Fecha límite]]&lt;FechaRef,N(tblAct_ATR[[#This Row],[% de Avance Total Actual]])&lt;1,tblAct_ATR[[#This Row],[Observaciones]]=""),"Vencida sin observación"&amp;" · ",""))-3)))</calculatedColumnFormula>
    </tableColumn>
    <tableColumn id="16" name="Mes">
      <calculatedColumnFormula>IF(NOT((COUNTA(tblAct_ATR[[#This Row],[Tipo]:[Avance Semana 4 (%)]])+COUNTA(tblAct_ATR[[#This Row],[Observaciones]]))&gt;0),"",IF(AND(tblAct_ATR[[#This Row],[Tipo (aux)]]="Sub",N(tblAct_ATR[[#This Row],[Grupo (aux)]])&gt;0),IF(ISNUMBER(INDEX($D$5:$D$1000,tblAct_ATR[[#This Row],[Grupo (aux)]]-4)),DATE(YEAR(INDEX($D$5:$D$1000,tblAct_ATR[[#This Row],[Grupo (aux)]]-4)),MONTH(INDEX($D$5:$D$1000,tblAct_ATR[[#This Row],[Grupo (aux)]]-4)),1),IF(ISNUMBER(INDEX($E$5:$E$1000,tblAct_ATR[[#This Row],[Grupo (aux)]]-4)),DATE(YEAR(INDEX($E$5:$E$1000,tblAct_ATR[[#This Row],[Grupo (aux)]]-4)),MONTH(INDEX($E$5:$E$1000,tblAct_ATR[[#This Row],[Grupo (aux)]]-4)),1),MesCiclo)),IF(ISNUMBER(tblAct_ATR[[#This Row],[Fecha de inicio]]),DATE(YEAR(tblAct_ATR[[#This Row],[Fecha de inicio]]),MONTH(tblAct_ATR[[#This Row],[Fecha de inicio]]),1),IF(ISNUMBER(tblAct_ATR[[#This Row],[Fecha límite]]),DATE(YEAR(tblAct_ATR[[#This Row],[Fecha límite]]),MONTH(tblAct_ATR[[#This Row],[Fecha límite]]),1),MesCiclo))))</calculatedColumnFormula>
    </tableColumn>
    <tableColumn id="17" name="Orden en el mes (aux)">
      <calculatedColumnFormula>IF(OR(tblAct_ATR[[#This Row],[Mes]]="",tblAct_ATR[[#This Row],[Mes]]&lt;&gt;MesCiclo),"",COUNTIF(INDEX(tblAct_ATR[Mes],1):tblAct_ATR[[#This Row],[Mes]],MesCiclo))</calculatedColumnFormula>
    </tableColumn>
    <tableColumn id="18" name="Grupo (aux)">
      <calculatedColumnFormula>IF(tblAct_ATR[[#This Row],[Tipo (aux)]]="","",IF(tblAct_ATR[[#This Row],[Tipo (aux)]]="Macro",ROW(),IFERROR(LOOKUP(2,1/(INDEX(tblAct_ATR[Tipo (aux)],1):tblAct_ATR[[#This Row],[Tipo (aux)]]="Macro"),ROW(INDEX(tblAct_ATR[Tipo (aux)],1):tblAct_ATR[[#This Row],[Tipo (aux)]])),0)))</calculatedColumnFormula>
    </tableColumn>
    <tableColumn id="19" name="Tipo (aux)">
      <calculatedColumnFormula>IF(NOT((COUNTA(tblAct_ATR[[#This Row],[Tipo]:[Avance Semana 4 (%)]])+COUNTA(tblAct_ATR[[#This Row],[Observaciones]]))&gt;0),"",IF(tblAct_ATR[[#This Row],[Tipo]]="Subactividad","Sub","Macro"))</calculatedColumnFormula>
    </tableColumn>
    <tableColumn id="20" name="N subactividades (aux)">
      <calculatedColumnFormula>IF(tblAct_ATR[[#This Row],[Tipo (aux)]]="Macro",COUNTIFS($R$5:$R$1000,ROW(),$S$5:$S$1000,"Sub"),"")</calculatedColumnFormula>
    </tableColumn>
    <tableColumn id="21" name="Propio S1 (aux)">
      <calculatedColumnFormula>IF(tblAct_ATR[[#This Row],[Tipo (aux)]]="","",IF(ISNUMBER(tblAct_ATR[[#This Row],[Avance Semana 1 (%)]]),tblAct_ATR[[#This Row],[Avance Semana 1 (%)]],0))</calculatedColumnFormula>
    </tableColumn>
    <tableColumn id="22" name="Propio S2 (aux)">
      <calculatedColumnFormula>IF(tblAct_ATR[[#This Row],[Tipo (aux)]]="","",IF(ISNUMBER(tblAct_ATR[[#This Row],[Avance Semana 2 (%)]]),tblAct_ATR[[#This Row],[Avance Semana 2 (%)]],tblAct_ATR[[#This Row],[Propio S1 (aux)]]))</calculatedColumnFormula>
    </tableColumn>
    <tableColumn id="23" name="Propio S3 (aux)">
      <calculatedColumnFormula>IF(tblAct_ATR[[#This Row],[Tipo (aux)]]="","",IF(ISNUMBER(tblAct_ATR[[#This Row],[Avance Semana 3 (%)]]),tblAct_ATR[[#This Row],[Avance Semana 3 (%)]],tblAct_ATR[[#This Row],[Propio S2 (aux)]]))</calculatedColumnFormula>
    </tableColumn>
    <tableColumn id="24" name="Propio S4 (aux)">
      <calculatedColumnFormula>IF(tblAct_ATR[[#This Row],[Tipo (aux)]]="","",IF(ISNUMBER(tblAct_ATR[[#This Row],[Avance Semana 4 (%)]]),tblAct_ATR[[#This Row],[Avance Semana 4 (%)]],tblAct_ATR[[#This Row],[Propio S3 (aux)]]))</calculatedColumnFormula>
    </tableColumn>
    <tableColumn id="25" name="Efectivo S1 (aux)">
      <calculatedColumnFormula>IF(tblAct_ATR[[#This Row],[Tipo (aux)]]="","",IF(N(tblAct_ATR[[#This Row],[N subactividades (aux)]])&gt;0,IF(N(tblAct_ATR[[#This Row],[Suma pesos subactividades (aux)]])&gt;0,SUMIFS($AC$5:$AC$1000,$R$5:$R$1000,ROW(),$S$5:$S$1000,"Sub")/tblAct_ATR[[#This Row],[Suma pesos subactividades (aux)]],AVERAGEIFS($U$5:$U$1000,$R$5:$R$1000,ROW(),$S$5:$S$1000,"Sub")),tblAct_ATR[[#This Row],[Propio S1 (aux)]]))</calculatedColumnFormula>
    </tableColumn>
    <tableColumn id="26" name="Efectivo S2 (aux)">
      <calculatedColumnFormula>IF(tblAct_ATR[[#This Row],[Tipo (aux)]]="","",IF(N(tblAct_ATR[[#This Row],[N subactividades (aux)]])&gt;0,IF(N(tblAct_ATR[[#This Row],[Suma pesos subactividades (aux)]])&gt;0,SUMIFS($AD$5:$AD$1000,$R$5:$R$1000,ROW(),$S$5:$S$1000,"Sub")/tblAct_ATR[[#This Row],[Suma pesos subactividades (aux)]],AVERAGEIFS($V$5:$V$1000,$R$5:$R$1000,ROW(),$S$5:$S$1000,"Sub")),tblAct_ATR[[#This Row],[Propio S2 (aux)]]))</calculatedColumnFormula>
    </tableColumn>
    <tableColumn id="27" name="Efectivo S3 (aux)">
      <calculatedColumnFormula>IF(tblAct_ATR[[#This Row],[Tipo (aux)]]="","",IF(N(tblAct_ATR[[#This Row],[N subactividades (aux)]])&gt;0,IF(N(tblAct_ATR[[#This Row],[Suma pesos subactividades (aux)]])&gt;0,SUMIFS($AE$5:$AE$1000,$R$5:$R$1000,ROW(),$S$5:$S$1000,"Sub")/tblAct_ATR[[#This Row],[Suma pesos subactividades (aux)]],AVERAGEIFS($W$5:$W$1000,$R$5:$R$1000,ROW(),$S$5:$S$1000,"Sub")),tblAct_ATR[[#This Row],[Propio S3 (aux)]]))</calculatedColumnFormula>
    </tableColumn>
    <tableColumn id="28" name="Efectivo S4 (aux)">
      <calculatedColumnFormula>IF(tblAct_ATR[[#This Row],[Tipo (aux)]]="","",IF(N(tblAct_ATR[[#This Row],[N subactividades (aux)]])&gt;0,IF(N(tblAct_ATR[[#This Row],[Suma pesos subactividades (aux)]])&gt;0,SUMIFS($AF$5:$AF$1000,$R$5:$R$1000,ROW(),$S$5:$S$1000,"Sub")/tblAct_ATR[[#This Row],[Suma pesos subactividades (aux)]],AVERAGEIFS($X$5:$X$1000,$R$5:$R$1000,ROW(),$S$5:$S$1000,"Sub")),tblAct_ATR[[#This Row],[Propio S4 (aux)]]))</calculatedColumnFormula>
    </tableColumn>
    <tableColumn id="29" name="Ponderado S1 (aux)">
      <calculatedColumnFormula>IF(tblAct_ATR[[#This Row],[Tipo (aux)]]="Sub",N(tblAct_ATR[[#This Row],[Peso de actividad (%)]])*N(tblAct_ATR[[#This Row],[Propio S1 (aux)]]),"")</calculatedColumnFormula>
    </tableColumn>
    <tableColumn id="30" name="Ponderado S2 (aux)">
      <calculatedColumnFormula>IF(tblAct_ATR[[#This Row],[Tipo (aux)]]="Sub",N(tblAct_ATR[[#This Row],[Peso de actividad (%)]])*N(tblAct_ATR[[#This Row],[Propio S2 (aux)]]),"")</calculatedColumnFormula>
    </tableColumn>
    <tableColumn id="31" name="Ponderado S3 (aux)">
      <calculatedColumnFormula>IF(tblAct_ATR[[#This Row],[Tipo (aux)]]="Sub",N(tblAct_ATR[[#This Row],[Peso de actividad (%)]])*N(tblAct_ATR[[#This Row],[Propio S3 (aux)]]),"")</calculatedColumnFormula>
    </tableColumn>
    <tableColumn id="32" name="Ponderado S4 (aux)">
      <calculatedColumnFormula>IF(tblAct_ATR[[#This Row],[Tipo (aux)]]="Sub",N(tblAct_ATR[[#This Row],[Peso de actividad (%)]])*N(tblAct_ATR[[#This Row],[Propio S4 (aux)]]),"")</calculatedColumnFormula>
    </tableColumn>
    <tableColumn id="33" name="Suma pesos subactividades (aux)">
      <calculatedColumnFormula>IF(N(tblAct_ATR[[#This Row],[N subactividades (aux)]])&gt;0,SUMIFS($F$5:$F$1000,$R$5:$R$1000,ROW(),$S$5:$S$1000,"Sub"),"")</calculatedColumnFormula>
    </tableColumn>
  </tableColumns>
  <tableStyleInfo name="TableStyleLight1" showRowStripes="0"/>
</table>
</file>

<file path=xl/tables/table8.xml><?xml version="1.0" encoding="utf-8"?>
<table xmlns="http://schemas.openxmlformats.org/spreadsheetml/2006/main" id="8" name="tblSem_ATR" displayName="tblSem_ATR" ref="A4:M104" headerRowCount="1">
  <autoFilter ref="A4:M104"/>
  <tableColumns count="13">
    <tableColumn id="1" name="N°"/>
    <tableColumn id="2" name="Actividad"/>
    <tableColumn id="3" name="Fecha de inicio"/>
    <tableColumn id="4" name="Fecha límite"/>
    <tableColumn id="5" name="Semana de entrega"/>
    <tableColumn id="6" name="Semana 1"/>
    <tableColumn id="7" name="Semana 2"/>
    <tableColumn id="8" name="Semana 3"/>
    <tableColumn id="9" name="Semana 4"/>
    <tableColumn id="10" name="% Avance actual"/>
    <tableColumn id="11" name="Estado"/>
    <tableColumn id="12" name="Alerta de plazo"/>
    <tableColumn id="13" name="Observacione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ronograma R. Operacional'!A1" TargetMode="External" Id="rId1"/><Relationship Type="http://schemas.openxmlformats.org/officeDocument/2006/relationships/hyperlink" Target="#'Cronograma R. Normativo'!A1" TargetMode="External" Id="rId2"/><Relationship Type="http://schemas.openxmlformats.org/officeDocument/2006/relationships/hyperlink" Target="#'Cronograma R. Financiero'!A1" TargetMode="External" Id="rId3"/><Relationship Type="http://schemas.openxmlformats.org/officeDocument/2006/relationships/hyperlink" Target="#'Cronograma Asistente T&#233;cnico'!A1" TargetMode="External" Id="rId4"/><Relationship Type="http://schemas.openxmlformats.org/officeDocument/2006/relationships/hyperlink" Target="#'Actividades R. Operacional'!A1" TargetMode="External" Id="rId5"/><Relationship Type="http://schemas.openxmlformats.org/officeDocument/2006/relationships/hyperlink" Target="#'Actividades R. Normativo'!A1" TargetMode="External" Id="rId6"/><Relationship Type="http://schemas.openxmlformats.org/officeDocument/2006/relationships/hyperlink" Target="#'Actividades R. Financiero'!A1" TargetMode="External" Id="rId7"/><Relationship Type="http://schemas.openxmlformats.org/officeDocument/2006/relationships/hyperlink" Target="#'Actividades Asistente T&#233;cnico'!A1" TargetMode="External" Id="rId8"/><Relationship Type="http://schemas.openxmlformats.org/officeDocument/2006/relationships/drawing" Target="/xl/drawings/drawing1.xml" Id="rId9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P89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18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22" customWidth="1" min="11" max="11"/>
    <col width="20" customWidth="1" min="12" max="12"/>
    <col width="24" customWidth="1" min="13" max="13"/>
    <col width="2" customWidth="1" min="14" max="14"/>
    <col hidden="1" width="13" customWidth="1" min="16" max="16"/>
  </cols>
  <sheetData>
    <row r="1" ht="34" customHeight="1">
      <c r="B1" s="1" t="inlineStr">
        <is>
          <t>Dashboard Consolidado – Gestión de Riesgos · Ciclo mensual de 4 semanas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2" customHeight="1">
      <c r="B2" s="2" t="inlineStr">
        <is>
          <t>Período:</t>
        </is>
      </c>
      <c r="C2" s="3">
        <f>MesCiclo</f>
        <v/>
      </c>
      <c r="D2" s="2" t="inlineStr">
        <is>
          <t>Semana actual:</t>
        </is>
      </c>
      <c r="E2" s="4">
        <f>SemanaActual</f>
        <v/>
      </c>
      <c r="F2" s="2" t="inlineStr">
        <is>
          <t>Fecha de corte:</t>
        </is>
      </c>
      <c r="G2" s="5">
        <f>FechaRef</f>
        <v/>
      </c>
      <c r="H2" s="6" t="inlineStr">
        <is>
          <t>Se actualiza solo con las hojas «Cronograma …» y «Actividades …» de cada puesto. El período y la semana se calculan con la fecha de hoy (ver Configuración).</t>
        </is>
      </c>
      <c r="I2" s="6" t="n"/>
      <c r="J2" s="6" t="n"/>
      <c r="K2" s="6" t="n"/>
      <c r="L2" s="6" t="n"/>
      <c r="M2" s="6" t="n"/>
    </row>
    <row r="4" ht="20" customHeight="1">
      <c r="B4" s="7" t="inlineStr">
        <is>
          <t>Avance general de las actividades</t>
        </is>
      </c>
      <c r="C4" s="7" t="n"/>
      <c r="D4" s="7" t="n"/>
      <c r="E4" s="7" t="inlineStr">
        <is>
          <t>Meta de cumplimiento</t>
        </is>
      </c>
      <c r="F4" s="7" t="n"/>
      <c r="G4" s="7" t="n"/>
      <c r="H4" s="7" t="inlineStr">
        <is>
          <t>Macroactividades registradas</t>
        </is>
      </c>
      <c r="I4" s="7" t="n"/>
      <c r="J4" s="7" t="n"/>
      <c r="K4" s="7" t="inlineStr">
        <is>
          <t>Actividades completadas</t>
        </is>
      </c>
      <c r="L4" s="7" t="n"/>
      <c r="M4" s="7" t="n"/>
    </row>
    <row r="5" ht="38" customHeight="1">
      <c r="B5" s="8">
        <f>IF('Calculos'!$E$8,'Calculos'!$F$8,"No definitivo")</f>
        <v/>
      </c>
      <c r="C5" s="9" t="n"/>
      <c r="D5" s="9" t="n"/>
      <c r="E5" s="8">
        <f>MetaFinal</f>
        <v/>
      </c>
      <c r="F5" s="9" t="n"/>
      <c r="G5" s="9" t="n"/>
      <c r="H5" s="10">
        <f>'Calculos'!$B$11</f>
        <v/>
      </c>
      <c r="I5" s="9" t="n"/>
      <c r="J5" s="9" t="n"/>
      <c r="K5" s="10">
        <f>'Calculos'!$N$8</f>
        <v/>
      </c>
      <c r="L5" s="9" t="n"/>
      <c r="M5" s="9" t="n"/>
    </row>
    <row r="6" ht="18" customHeight="1">
      <c r="B6" s="11">
        <f>IF('Calculos'!$E$8,"Promedio simple de los 4 puestos",IF('Calculos'!$C$8=0,"Ningún puesto con datos válidos","Provisional "&amp;TEXT('Calculos'!$D$8,"0%")&amp;" ("&amp;'Calculos'!$C$8&amp;" de 4 puestos válidos)"))</f>
        <v/>
      </c>
      <c r="C6" s="11" t="n"/>
      <c r="D6" s="11" t="n"/>
      <c r="E6" s="11" t="inlineStr">
        <is>
          <t>Al cierre de la Semana 4</t>
        </is>
      </c>
      <c r="F6" s="11" t="n"/>
      <c r="G6" s="11" t="n"/>
      <c r="H6" s="11" t="inlineStr">
        <is>
          <t>En los 4 cronogramas</t>
        </is>
      </c>
      <c r="I6" s="11" t="n"/>
      <c r="J6" s="11" t="n"/>
      <c r="K6" s="11">
        <f>IF('Calculos'!$B$11=0,"—",TEXT('Calculos'!$N$8/'Calculos'!$B$11,"0%")&amp;" del total")</f>
        <v/>
      </c>
      <c r="L6" s="11" t="n"/>
      <c r="M6" s="11" t="n"/>
    </row>
    <row r="7" ht="8" customHeight="1"/>
    <row r="8" ht="20" customHeight="1">
      <c r="B8" s="7" t="inlineStr">
        <is>
          <t>Actividades en curso</t>
        </is>
      </c>
      <c r="C8" s="7" t="n"/>
      <c r="D8" s="7" t="n"/>
      <c r="E8" s="7" t="inlineStr">
        <is>
          <t>Actividades pendientes</t>
        </is>
      </c>
      <c r="F8" s="7" t="n"/>
      <c r="G8" s="7" t="n"/>
      <c r="H8" s="7" t="inlineStr">
        <is>
          <t>Puestos que alcanzaron el 100%</t>
        </is>
      </c>
      <c r="I8" s="7" t="n"/>
      <c r="J8" s="7" t="n"/>
      <c r="K8" s="7" t="inlineStr">
        <is>
          <t>Actividades con alertas</t>
        </is>
      </c>
      <c r="L8" s="7" t="n"/>
      <c r="M8" s="7" t="n"/>
    </row>
    <row r="9" ht="38" customHeight="1">
      <c r="B9" s="10">
        <f>'Calculos'!$O$8</f>
        <v/>
      </c>
      <c r="C9" s="9" t="n"/>
      <c r="D9" s="9" t="n"/>
      <c r="E9" s="10">
        <f>'Calculos'!$P$8</f>
        <v/>
      </c>
      <c r="F9" s="9" t="n"/>
      <c r="G9" s="9" t="n"/>
      <c r="H9" s="12">
        <f>'Calculos'!$B$12</f>
        <v/>
      </c>
      <c r="I9" s="9" t="n"/>
      <c r="J9" s="9" t="n"/>
      <c r="K9" s="10">
        <f>'Calculos'!$R$8</f>
        <v/>
      </c>
      <c r="L9" s="9" t="n"/>
      <c r="M9" s="9" t="n"/>
    </row>
    <row r="10" ht="18" customHeight="1">
      <c r="B10" s="11" t="inlineStr">
        <is>
          <t>Avance &gt; 0% y &lt; 100%</t>
        </is>
      </c>
      <c r="C10" s="11" t="n"/>
      <c r="D10" s="11" t="n"/>
      <c r="E10" s="11">
        <f>"De todas las actividades, vencidas: "&amp;'Calculos'!$Q$8</f>
        <v/>
      </c>
      <c r="F10" s="11" t="n"/>
      <c r="G10" s="11" t="n"/>
      <c r="H10" s="11" t="inlineStr">
        <is>
          <t>Con ponderación válida</t>
        </is>
      </c>
      <c r="I10" s="11" t="n"/>
      <c r="J10" s="11" t="n"/>
      <c r="K10" s="11">
        <f>"Próximas a vencer: "&amp;'Calculos'!$B$13</f>
        <v/>
      </c>
      <c r="L10" s="11" t="n"/>
      <c r="M10" s="11" t="n"/>
    </row>
    <row r="12" ht="30" customHeight="1">
      <c r="B12" s="13">
        <f>IF('Calculos'!$E$8,"Avance general vs meta 100%","Avance PROVISIONAL vs meta")</f>
        <v/>
      </c>
      <c r="C12" s="14">
        <f>IF('Calculos'!$E$8,'Calculos'!$F$8,N('Calculos'!$D$8))</f>
        <v/>
      </c>
      <c r="D12" s="15" t="n"/>
      <c r="E12" s="15" t="n"/>
      <c r="F12" s="15" t="n"/>
      <c r="G12" s="16">
        <f>IF('Calculos'!$B$11=0,"⚠ No hay actividades registradas en este mes. Cada puesto registra sus actividades y pesos en su hoja «Cronograma …».",IF(NOT('Calculos'!$E$8),"⚠ Avance general NO definitivo: "&amp;(4-'Calculos'!$C$8)&amp;" puesto(s) sin actividades válidas o con pesos que no suman 100%.",IF('Calculos'!$M$8,"Actividades del mes: ¡Enhorabuena, completado anticipadamente!",IF('Calculos'!$L$8,"Actividades del mes completadas: meta del 100% alcanzada.","Actividades del mes en ejecución – Semana "&amp;SemanaActual&amp;" de 4."))))</f>
        <v/>
      </c>
      <c r="H12" s="16" t="n"/>
      <c r="I12" s="16" t="n"/>
      <c r="J12" s="16" t="n"/>
      <c r="K12" s="16" t="n"/>
      <c r="L12" s="16" t="n"/>
      <c r="M12" s="16" t="n"/>
    </row>
    <row r="14" ht="24" customHeight="1">
      <c r="B14" s="17" t="inlineStr">
        <is>
          <t>Avance individual por puesto (ponderado por el peso de cada actividad)</t>
        </is>
      </c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</row>
    <row r="15" ht="30" customHeight="1">
      <c r="B15" s="7" t="inlineStr">
        <is>
          <t>Puesto</t>
        </is>
      </c>
      <c r="C15" s="7" t="inlineStr">
        <is>
          <t>Avance ponderado</t>
        </is>
      </c>
      <c r="D15" s="7" t="inlineStr">
        <is>
          <t>Progreso</t>
        </is>
      </c>
      <c r="E15" s="7" t="inlineStr">
        <is>
          <t>Total actividades</t>
        </is>
      </c>
      <c r="F15" s="7" t="inlineStr">
        <is>
          <t>Completadas</t>
        </is>
      </c>
      <c r="G15" s="7" t="inlineStr">
        <is>
          <t>En curso</t>
        </is>
      </c>
      <c r="H15" s="7" t="inlineStr">
        <is>
          <t>Pendientes</t>
        </is>
      </c>
      <c r="I15" s="7" t="inlineStr">
        <is>
          <t>Vencidas</t>
        </is>
      </c>
      <c r="J15" s="7" t="inlineStr">
        <is>
          <t>Con alertas</t>
        </is>
      </c>
      <c r="K15" s="7" t="inlineStr">
        <is>
          <t>Estado general</t>
        </is>
      </c>
      <c r="L15" s="7" t="inlineStr">
        <is>
          <t>Mensaje de finalización</t>
        </is>
      </c>
      <c r="M15" s="18" t="n"/>
    </row>
    <row r="16" ht="28" customHeight="1">
      <c r="B16" s="19">
        <f>'Calculos'!A4</f>
        <v/>
      </c>
      <c r="C16" s="20">
        <f>IF('Calculos'!B4=0,"Sin actividades",IF(NOT('Calculos'!E4),"Revisar pesos",'Calculos'!F4))</f>
        <v/>
      </c>
      <c r="D16" s="21">
        <f>IF(ISNUMBER(C16),C16,0)</f>
        <v/>
      </c>
      <c r="E16" s="22">
        <f>'Calculos'!B4</f>
        <v/>
      </c>
      <c r="F16" s="22">
        <f>'Calculos'!N4</f>
        <v/>
      </c>
      <c r="G16" s="22">
        <f>'Calculos'!O4</f>
        <v/>
      </c>
      <c r="H16" s="22">
        <f>'Calculos'!P4</f>
        <v/>
      </c>
      <c r="I16" s="22">
        <f>'Calculos'!Q4</f>
        <v/>
      </c>
      <c r="J16" s="22">
        <f>'Calculos'!R4</f>
        <v/>
      </c>
      <c r="K16" s="22">
        <f>IF('Calculos'!B4=0,"Sin actividades",IF(NOT('Calculos'!E4),"Pesos suman "&amp;TEXT('Calculos'!C4,"0%")&amp;IF('Calculos'!D4&gt;0," / "&amp;'Calculos'!D4&amp;" vacío(s)",""),IF('Calculos'!L4,"Completado",IF('Calculos'!F4&gt;0,"En curso","Pendiente"))))</f>
        <v/>
      </c>
      <c r="L16" s="22">
        <f>IF('Calculos'!B4=0,"⚠ Registrar actividades",IF(NOT('Calculos'!E4),"⚠ Configurar ponderación al 100%",IF('Calculos'!M4,"¡Enhorabuena, completado anticipadamente!",IF('Calculos'!L4,"Completado","En ejecución"))))</f>
        <v/>
      </c>
      <c r="M16" s="22" t="n"/>
      <c r="P16" t="inlineStr">
        <is>
          <t>R. Operacional</t>
        </is>
      </c>
    </row>
    <row r="17" ht="28" customHeight="1">
      <c r="B17" s="23">
        <f>'Calculos'!A5</f>
        <v/>
      </c>
      <c r="C17" s="20">
        <f>IF('Calculos'!B5=0,"Sin actividades",IF(NOT('Calculos'!E5),"Revisar pesos",'Calculos'!F5))</f>
        <v/>
      </c>
      <c r="D17" s="21">
        <f>IF(ISNUMBER(C17),C17,0)</f>
        <v/>
      </c>
      <c r="E17" s="22">
        <f>'Calculos'!B5</f>
        <v/>
      </c>
      <c r="F17" s="22">
        <f>'Calculos'!N5</f>
        <v/>
      </c>
      <c r="G17" s="22">
        <f>'Calculos'!O5</f>
        <v/>
      </c>
      <c r="H17" s="22">
        <f>'Calculos'!P5</f>
        <v/>
      </c>
      <c r="I17" s="22">
        <f>'Calculos'!Q5</f>
        <v/>
      </c>
      <c r="J17" s="22">
        <f>'Calculos'!R5</f>
        <v/>
      </c>
      <c r="K17" s="22">
        <f>IF('Calculos'!B5=0,"Sin actividades",IF(NOT('Calculos'!E5),"Pesos suman "&amp;TEXT('Calculos'!C5,"0%")&amp;IF('Calculos'!D5&gt;0," / "&amp;'Calculos'!D5&amp;" vacío(s)",""),IF('Calculos'!L5,"Completado",IF('Calculos'!F5&gt;0,"En curso","Pendiente"))))</f>
        <v/>
      </c>
      <c r="L17" s="22">
        <f>IF('Calculos'!B5=0,"⚠ Registrar actividades",IF(NOT('Calculos'!E5),"⚠ Configurar ponderación al 100%",IF('Calculos'!M5,"¡Enhorabuena, completado anticipadamente!",IF('Calculos'!L5,"Completado","En ejecución"))))</f>
        <v/>
      </c>
      <c r="M17" s="22" t="n"/>
      <c r="P17" t="inlineStr">
        <is>
          <t>R. Normativo</t>
        </is>
      </c>
    </row>
    <row r="18" ht="28" customHeight="1">
      <c r="B18" s="24">
        <f>'Calculos'!A6</f>
        <v/>
      </c>
      <c r="C18" s="20">
        <f>IF('Calculos'!B6=0,"Sin actividades",IF(NOT('Calculos'!E6),"Revisar pesos",'Calculos'!F6))</f>
        <v/>
      </c>
      <c r="D18" s="21">
        <f>IF(ISNUMBER(C18),C18,0)</f>
        <v/>
      </c>
      <c r="E18" s="22">
        <f>'Calculos'!B6</f>
        <v/>
      </c>
      <c r="F18" s="22">
        <f>'Calculos'!N6</f>
        <v/>
      </c>
      <c r="G18" s="22">
        <f>'Calculos'!O6</f>
        <v/>
      </c>
      <c r="H18" s="22">
        <f>'Calculos'!P6</f>
        <v/>
      </c>
      <c r="I18" s="22">
        <f>'Calculos'!Q6</f>
        <v/>
      </c>
      <c r="J18" s="22">
        <f>'Calculos'!R6</f>
        <v/>
      </c>
      <c r="K18" s="22">
        <f>IF('Calculos'!B6=0,"Sin actividades",IF(NOT('Calculos'!E6),"Pesos suman "&amp;TEXT('Calculos'!C6,"0%")&amp;IF('Calculos'!D6&gt;0," / "&amp;'Calculos'!D6&amp;" vacío(s)",""),IF('Calculos'!L6,"Completado",IF('Calculos'!F6&gt;0,"En curso","Pendiente"))))</f>
        <v/>
      </c>
      <c r="L18" s="22">
        <f>IF('Calculos'!B6=0,"⚠ Registrar actividades",IF(NOT('Calculos'!E6),"⚠ Configurar ponderación al 100%",IF('Calculos'!M6,"¡Enhorabuena, completado anticipadamente!",IF('Calculos'!L6,"Completado","En ejecución"))))</f>
        <v/>
      </c>
      <c r="M18" s="22" t="n"/>
      <c r="P18" t="inlineStr">
        <is>
          <t>R. Financiero</t>
        </is>
      </c>
    </row>
    <row r="19" ht="28" customHeight="1">
      <c r="B19" s="25">
        <f>'Calculos'!A7</f>
        <v/>
      </c>
      <c r="C19" s="20">
        <f>IF('Calculos'!B7=0,"Sin actividades",IF(NOT('Calculos'!E7),"Revisar pesos",'Calculos'!F7))</f>
        <v/>
      </c>
      <c r="D19" s="21">
        <f>IF(ISNUMBER(C19),C19,0)</f>
        <v/>
      </c>
      <c r="E19" s="22">
        <f>'Calculos'!B7</f>
        <v/>
      </c>
      <c r="F19" s="22">
        <f>'Calculos'!N7</f>
        <v/>
      </c>
      <c r="G19" s="22">
        <f>'Calculos'!O7</f>
        <v/>
      </c>
      <c r="H19" s="22">
        <f>'Calculos'!P7</f>
        <v/>
      </c>
      <c r="I19" s="22">
        <f>'Calculos'!Q7</f>
        <v/>
      </c>
      <c r="J19" s="22">
        <f>'Calculos'!R7</f>
        <v/>
      </c>
      <c r="K19" s="22">
        <f>IF('Calculos'!B7=0,"Sin actividades",IF(NOT('Calculos'!E7),"Pesos suman "&amp;TEXT('Calculos'!C7,"0%")&amp;IF('Calculos'!D7&gt;0," / "&amp;'Calculos'!D7&amp;" vacío(s)",""),IF('Calculos'!L7,"Completado",IF('Calculos'!F7&gt;0,"En curso","Pendiente"))))</f>
        <v/>
      </c>
      <c r="L19" s="22">
        <f>IF('Calculos'!B7=0,"⚠ Registrar actividades",IF(NOT('Calculos'!E7),"⚠ Configurar ponderación al 100%",IF('Calculos'!M7,"¡Enhorabuena, completado anticipadamente!",IF('Calculos'!L7,"Completado","En ejecución"))))</f>
        <v/>
      </c>
      <c r="M19" s="22" t="n"/>
      <c r="P19" t="inlineStr">
        <is>
          <t>Asistente Técnico</t>
        </is>
      </c>
    </row>
    <row r="20" ht="28" customHeight="1">
      <c r="B20" s="26" t="inlineStr">
        <is>
          <t>Total actividades</t>
        </is>
      </c>
      <c r="C20" s="27">
        <f>IF('Calculos'!$E$8,'Calculos'!$F$8,"No definitivo")</f>
        <v/>
      </c>
      <c r="D20" s="28">
        <f>IF(ISNUMBER(C20),C20,0)</f>
        <v/>
      </c>
      <c r="E20" s="29">
        <f>'Calculos'!B11</f>
        <v/>
      </c>
      <c r="F20" s="29">
        <f>'Calculos'!N8</f>
        <v/>
      </c>
      <c r="G20" s="29">
        <f>'Calculos'!O8</f>
        <v/>
      </c>
      <c r="H20" s="29">
        <f>'Calculos'!P8</f>
        <v/>
      </c>
      <c r="I20" s="29">
        <f>'Calculos'!Q8</f>
        <v/>
      </c>
      <c r="J20" s="29">
        <f>'Calculos'!R8</f>
        <v/>
      </c>
      <c r="K20" s="29">
        <f>IF('Calculos'!$E$8,"Promedio 4 puestos","No definitivo")</f>
        <v/>
      </c>
      <c r="L20" s="29">
        <f>IF(NOT('Calculos'!$E$8),"⚠ Completar configuración de todos los puestos",IF('Calculos'!$M$8,"¡Enhorabuena, completado anticipadamente!",IF('Calculos'!$L$8,"Completado","En ejecución")))</f>
        <v/>
      </c>
      <c r="M20" s="29" t="n"/>
    </row>
    <row r="22" ht="24" customHeight="1">
      <c r="B22" s="17" t="inlineStr">
        <is>
          <t>Seguimiento semanal: avance acumulado ponderado e incremento semanal</t>
        </is>
      </c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</row>
    <row r="23">
      <c r="C23" s="30" t="inlineStr">
        <is>
          <t>Avance ACUMULADO ponderado al cierre de cada semana</t>
        </is>
      </c>
      <c r="D23" s="30" t="n"/>
      <c r="E23" s="30" t="n"/>
      <c r="F23" s="30" t="n"/>
      <c r="H23" s="30" t="inlineStr">
        <is>
          <t>INCREMENTO respecto a la semana anterior (puntos %)</t>
        </is>
      </c>
      <c r="I23" s="30" t="n"/>
      <c r="J23" s="30" t="n"/>
      <c r="K23" s="30" t="n"/>
      <c r="L23" s="30" t="inlineStr">
        <is>
          <t>Brecha vs meta 100%</t>
        </is>
      </c>
      <c r="M23" s="30" t="n"/>
    </row>
    <row r="24">
      <c r="B24" s="31" t="inlineStr">
        <is>
          <t>Puesto / Indicador</t>
        </is>
      </c>
      <c r="C24" s="31" t="inlineStr">
        <is>
          <t>Semana 1</t>
        </is>
      </c>
      <c r="D24" s="31" t="inlineStr">
        <is>
          <t>Semana 2</t>
        </is>
      </c>
      <c r="E24" s="31" t="inlineStr">
        <is>
          <t>Semana 3</t>
        </is>
      </c>
      <c r="F24" s="31" t="inlineStr">
        <is>
          <t>Semana 4</t>
        </is>
      </c>
      <c r="H24" s="31" t="inlineStr">
        <is>
          <t>Semana 1</t>
        </is>
      </c>
      <c r="I24" s="31" t="inlineStr">
        <is>
          <t>Semana 2</t>
        </is>
      </c>
      <c r="J24" s="31" t="inlineStr">
        <is>
          <t>Semana 3</t>
        </is>
      </c>
      <c r="K24" s="31" t="inlineStr">
        <is>
          <t>Semana 4</t>
        </is>
      </c>
      <c r="L24" s="31" t="inlineStr">
        <is>
          <t>Pendiente para la meta</t>
        </is>
      </c>
      <c r="M24" s="31" t="n"/>
    </row>
    <row r="25">
      <c r="B25" s="19">
        <f>'Calculos'!A4</f>
        <v/>
      </c>
      <c r="C25" s="20">
        <f>IF(NOT('Calculos'!G$10),"",IF('Calculos'!$E4,'Calculos'!G4,"–"))</f>
        <v/>
      </c>
      <c r="D25" s="20">
        <f>IF(NOT('Calculos'!H$10),"",IF('Calculos'!$E4,'Calculos'!H4,"–"))</f>
        <v/>
      </c>
      <c r="E25" s="20">
        <f>IF(NOT('Calculos'!I$10),"",IF('Calculos'!$E4,'Calculos'!I4,"–"))</f>
        <v/>
      </c>
      <c r="F25" s="20">
        <f>IF(NOT('Calculos'!J$10),"",IF('Calculos'!$E4,'Calculos'!J4,"–"))</f>
        <v/>
      </c>
      <c r="H25" s="32">
        <f>IF(ISNUMBER(C25),C25,"")</f>
        <v/>
      </c>
      <c r="I25" s="32">
        <f>IF(AND(ISNUMBER(D25),ISNUMBER(C25)),D25-C25,"")</f>
        <v/>
      </c>
      <c r="J25" s="32">
        <f>IF(AND(ISNUMBER(E25),ISNUMBER(D25)),E25-D25,"")</f>
        <v/>
      </c>
      <c r="K25" s="32">
        <f>IF(AND(ISNUMBER(F25),ISNUMBER(E25)),F25-E25,"")</f>
        <v/>
      </c>
      <c r="L25" s="20">
        <f>IFERROR(MetaFinal-LOOKUP(2,1/ISNUMBER(C25:F25),C25:F25),"")</f>
        <v/>
      </c>
      <c r="M25" s="22" t="n"/>
      <c r="P25" t="inlineStr">
        <is>
          <t>R. Operacional</t>
        </is>
      </c>
    </row>
    <row r="26">
      <c r="B26" s="23">
        <f>'Calculos'!A5</f>
        <v/>
      </c>
      <c r="C26" s="20">
        <f>IF(NOT('Calculos'!G$10),"",IF('Calculos'!$E5,'Calculos'!G5,"–"))</f>
        <v/>
      </c>
      <c r="D26" s="20">
        <f>IF(NOT('Calculos'!H$10),"",IF('Calculos'!$E5,'Calculos'!H5,"–"))</f>
        <v/>
      </c>
      <c r="E26" s="20">
        <f>IF(NOT('Calculos'!I$10),"",IF('Calculos'!$E5,'Calculos'!I5,"–"))</f>
        <v/>
      </c>
      <c r="F26" s="20">
        <f>IF(NOT('Calculos'!J$10),"",IF('Calculos'!$E5,'Calculos'!J5,"–"))</f>
        <v/>
      </c>
      <c r="H26" s="32">
        <f>IF(ISNUMBER(C26),C26,"")</f>
        <v/>
      </c>
      <c r="I26" s="32">
        <f>IF(AND(ISNUMBER(D26),ISNUMBER(C26)),D26-C26,"")</f>
        <v/>
      </c>
      <c r="J26" s="32">
        <f>IF(AND(ISNUMBER(E26),ISNUMBER(D26)),E26-D26,"")</f>
        <v/>
      </c>
      <c r="K26" s="32">
        <f>IF(AND(ISNUMBER(F26),ISNUMBER(E26)),F26-E26,"")</f>
        <v/>
      </c>
      <c r="L26" s="20">
        <f>IFERROR(MetaFinal-LOOKUP(2,1/ISNUMBER(C26:F26),C26:F26),"")</f>
        <v/>
      </c>
      <c r="M26" s="22" t="n"/>
      <c r="P26" t="inlineStr">
        <is>
          <t>R. Normativo</t>
        </is>
      </c>
    </row>
    <row r="27">
      <c r="B27" s="24">
        <f>'Calculos'!A6</f>
        <v/>
      </c>
      <c r="C27" s="20">
        <f>IF(NOT('Calculos'!G$10),"",IF('Calculos'!$E6,'Calculos'!G6,"–"))</f>
        <v/>
      </c>
      <c r="D27" s="20">
        <f>IF(NOT('Calculos'!H$10),"",IF('Calculos'!$E6,'Calculos'!H6,"–"))</f>
        <v/>
      </c>
      <c r="E27" s="20">
        <f>IF(NOT('Calculos'!I$10),"",IF('Calculos'!$E6,'Calculos'!I6,"–"))</f>
        <v/>
      </c>
      <c r="F27" s="20">
        <f>IF(NOT('Calculos'!J$10),"",IF('Calculos'!$E6,'Calculos'!J6,"–"))</f>
        <v/>
      </c>
      <c r="H27" s="32">
        <f>IF(ISNUMBER(C27),C27,"")</f>
        <v/>
      </c>
      <c r="I27" s="32">
        <f>IF(AND(ISNUMBER(D27),ISNUMBER(C27)),D27-C27,"")</f>
        <v/>
      </c>
      <c r="J27" s="32">
        <f>IF(AND(ISNUMBER(E27),ISNUMBER(D27)),E27-D27,"")</f>
        <v/>
      </c>
      <c r="K27" s="32">
        <f>IF(AND(ISNUMBER(F27),ISNUMBER(E27)),F27-E27,"")</f>
        <v/>
      </c>
      <c r="L27" s="20">
        <f>IFERROR(MetaFinal-LOOKUP(2,1/ISNUMBER(C27:F27),C27:F27),"")</f>
        <v/>
      </c>
      <c r="M27" s="22" t="n"/>
      <c r="P27" t="inlineStr">
        <is>
          <t>R. Financiero</t>
        </is>
      </c>
    </row>
    <row r="28">
      <c r="B28" s="25">
        <f>'Calculos'!A7</f>
        <v/>
      </c>
      <c r="C28" s="20">
        <f>IF(NOT('Calculos'!G$10),"",IF('Calculos'!$E7,'Calculos'!G7,"–"))</f>
        <v/>
      </c>
      <c r="D28" s="20">
        <f>IF(NOT('Calculos'!H$10),"",IF('Calculos'!$E7,'Calculos'!H7,"–"))</f>
        <v/>
      </c>
      <c r="E28" s="20">
        <f>IF(NOT('Calculos'!I$10),"",IF('Calculos'!$E7,'Calculos'!I7,"–"))</f>
        <v/>
      </c>
      <c r="F28" s="20">
        <f>IF(NOT('Calculos'!J$10),"",IF('Calculos'!$E7,'Calculos'!J7,"–"))</f>
        <v/>
      </c>
      <c r="H28" s="32">
        <f>IF(ISNUMBER(C28),C28,"")</f>
        <v/>
      </c>
      <c r="I28" s="32">
        <f>IF(AND(ISNUMBER(D28),ISNUMBER(C28)),D28-C28,"")</f>
        <v/>
      </c>
      <c r="J28" s="32">
        <f>IF(AND(ISNUMBER(E28),ISNUMBER(D28)),E28-D28,"")</f>
        <v/>
      </c>
      <c r="K28" s="32">
        <f>IF(AND(ISNUMBER(F28),ISNUMBER(E28)),F28-E28,"")</f>
        <v/>
      </c>
      <c r="L28" s="20">
        <f>IFERROR(MetaFinal-LOOKUP(2,1/ISNUMBER(C28:F28),C28:F28),"")</f>
        <v/>
      </c>
      <c r="M28" s="22" t="n"/>
      <c r="P28" t="inlineStr">
        <is>
          <t>Asistente Técnico</t>
        </is>
      </c>
    </row>
    <row r="29">
      <c r="B29" s="26" t="inlineStr">
        <is>
          <t>Avance general de las actividades</t>
        </is>
      </c>
      <c r="C29" s="27">
        <f>IF(NOT('Calculos'!G$10),"",IF('Calculos'!$E$8,'Calculos'!G8,"n/d"))</f>
        <v/>
      </c>
      <c r="D29" s="27">
        <f>IF(NOT('Calculos'!H$10),"",IF('Calculos'!$E$8,'Calculos'!H8,"n/d"))</f>
        <v/>
      </c>
      <c r="E29" s="27">
        <f>IF(NOT('Calculos'!I$10),"",IF('Calculos'!$E$8,'Calculos'!I8,"n/d"))</f>
        <v/>
      </c>
      <c r="F29" s="27">
        <f>IF(NOT('Calculos'!J$10),"",IF('Calculos'!$E$8,'Calculos'!J8,"n/d"))</f>
        <v/>
      </c>
      <c r="H29" s="33">
        <f>IF(ISNUMBER(C29),C29,"")</f>
        <v/>
      </c>
      <c r="I29" s="33">
        <f>IF(AND(ISNUMBER(D29),ISNUMBER(C29)),D29-C29,"")</f>
        <v/>
      </c>
      <c r="J29" s="33">
        <f>IF(AND(ISNUMBER(E29),ISNUMBER(D29)),E29-D29,"")</f>
        <v/>
      </c>
      <c r="K29" s="33">
        <f>IF(AND(ISNUMBER(F29),ISNUMBER(E29)),F29-E29,"")</f>
        <v/>
      </c>
      <c r="L29" s="27">
        <f>IFERROR(MetaFinal-LOOKUP(2,1/ISNUMBER(C29:F29),C29:F29),"")</f>
        <v/>
      </c>
      <c r="M29" s="29" t="n"/>
    </row>
    <row r="30">
      <c r="B30" s="34" t="inlineStr">
        <is>
          <t>Plan de referencia (supuesto)</t>
        </is>
      </c>
      <c r="C30" s="35">
        <f>INDEX(PlanRef,1)</f>
        <v/>
      </c>
      <c r="D30" s="35">
        <f>INDEX(PlanRef,2)</f>
        <v/>
      </c>
      <c r="E30" s="35">
        <f>INDEX(PlanRef,3)</f>
        <v/>
      </c>
      <c r="F30" s="35">
        <f>INDEX(PlanRef,4)</f>
        <v/>
      </c>
      <c r="H30" s="36" t="n"/>
      <c r="I30" s="36" t="n"/>
      <c r="J30" s="36" t="n"/>
      <c r="K30" s="36" t="n"/>
      <c r="L30" s="37" t="n"/>
      <c r="M30" s="37" t="n"/>
      <c r="P30" t="inlineStr">
        <is>
          <t>Plan de referencia</t>
        </is>
      </c>
    </row>
    <row r="31">
      <c r="B31" s="38" t="inlineStr">
        <is>
          <t>Meta final</t>
        </is>
      </c>
      <c r="C31" s="39">
        <f>MetaFinal</f>
        <v/>
      </c>
      <c r="D31" s="39">
        <f>MetaFinal</f>
        <v/>
      </c>
      <c r="E31" s="39">
        <f>MetaFinal</f>
        <v/>
      </c>
      <c r="F31" s="39">
        <f>MetaFinal</f>
        <v/>
      </c>
      <c r="H31" s="36" t="n"/>
      <c r="I31" s="36" t="n"/>
      <c r="J31" s="36" t="n"/>
      <c r="K31" s="36" t="n"/>
      <c r="L31" s="37" t="n"/>
      <c r="M31" s="37" t="n"/>
    </row>
    <row r="33" ht="26" customHeight="1">
      <c r="B33" s="40" t="inlineStr">
        <is>
          <t>Lectura: el acumulado NO se suma entre semanas; el incremento es la diferencia entre semanas consecutivas. «–» = puesto sin configuración válida; «n/d» = avance general no definitivo; celda vacía = semana aún no alcanzada. Ámbar = acumulado por debajo del plan de referencia.</t>
        </is>
      </c>
      <c r="C33" s="40" t="n"/>
      <c r="D33" s="40" t="n"/>
      <c r="E33" s="40" t="n"/>
      <c r="F33" s="40" t="n"/>
      <c r="G33" s="40" t="n"/>
      <c r="H33" s="40" t="n"/>
      <c r="I33" s="40" t="n"/>
      <c r="J33" s="40" t="n"/>
      <c r="K33" s="40" t="n"/>
      <c r="L33" s="40" t="n"/>
      <c r="M33" s="40" t="n"/>
    </row>
    <row r="68" ht="24" customHeight="1">
      <c r="B68" s="17" t="inlineStr">
        <is>
          <t>Control de calidad de datos</t>
        </is>
      </c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</row>
    <row r="69">
      <c r="B69" s="7" t="inlineStr">
        <is>
          <t>Verificación</t>
        </is>
      </c>
      <c r="C69" s="7" t="n"/>
      <c r="D69" s="7" t="n"/>
      <c r="E69" s="7" t="n"/>
      <c r="F69" s="7" t="n"/>
      <c r="G69" s="7" t="inlineStr">
        <is>
          <t>Casos</t>
        </is>
      </c>
      <c r="H69" s="7" t="inlineStr">
        <is>
          <t>Resultado</t>
        </is>
      </c>
      <c r="I69" s="7" t="inlineStr">
        <is>
          <t>Acción sugerida</t>
        </is>
      </c>
      <c r="J69" s="7" t="n"/>
      <c r="K69" s="7" t="n"/>
      <c r="L69" s="7" t="n"/>
      <c r="M69" s="7" t="n"/>
    </row>
    <row r="70" ht="20" customHeight="1">
      <c r="B70" s="41" t="inlineStr">
        <is>
          <t>Puestos sin actividades registradas</t>
        </is>
      </c>
      <c r="C70" s="41" t="n"/>
      <c r="D70" s="41" t="n"/>
      <c r="E70" s="41" t="n"/>
      <c r="F70" s="41" t="n"/>
      <c r="G70" s="42">
        <f>COUNTIF('Calculos'!B4:B7,0)</f>
        <v/>
      </c>
      <c r="H70" s="43">
        <f>IF(G70=0,"✔ OK",IF("crit"="warn","● Atención","⚠ Revisar"))</f>
        <v/>
      </c>
      <c r="I70" s="44" t="inlineStr">
        <is>
          <t>Registrar al menos una macroactividad por puesto.</t>
        </is>
      </c>
      <c r="J70" s="44" t="n"/>
      <c r="K70" s="44" t="n"/>
      <c r="L70" s="44" t="n"/>
      <c r="M70" s="44" t="n"/>
    </row>
    <row r="71" ht="20" customHeight="1">
      <c r="B71" s="41" t="inlineStr">
        <is>
          <t>Puestos cuya ponderación no suma 100% (o con pesos vacíos)</t>
        </is>
      </c>
      <c r="C71" s="41" t="n"/>
      <c r="D71" s="41" t="n"/>
      <c r="E71" s="41" t="n"/>
      <c r="F71" s="41" t="n"/>
      <c r="G71" s="42">
        <f>COUNTIFS('Calculos'!B4:B7,"&gt;0",'Calculos'!E4:E7,FALSE)</f>
        <v/>
      </c>
      <c r="H71" s="43">
        <f>IF(G71=0,"✔ OK",IF("crit"="warn","● Atención","⚠ Revisar"))</f>
        <v/>
      </c>
      <c r="I71" s="44" t="inlineStr">
        <is>
          <t>Ajustar los pesos del puesto hasta sumar 100%.</t>
        </is>
      </c>
      <c r="J71" s="44" t="n"/>
      <c r="K71" s="44" t="n"/>
      <c r="L71" s="44" t="n"/>
      <c r="M71" s="44" t="n"/>
    </row>
    <row r="72" ht="20" customHeight="1">
      <c r="B72" s="41" t="inlineStr">
        <is>
          <t>Actividades con peso vacío o fuera de rango</t>
        </is>
      </c>
      <c r="C72" s="41" t="n"/>
      <c r="D72" s="41" t="n"/>
      <c r="E72" s="41" t="n"/>
      <c r="F72" s="41" t="n"/>
      <c r="G72" s="42">
        <f>SUMPRODUCT((rMes_RO=MesCiclo)*((ISNUMBER(SEARCH("Peso vacío",rValid_RO))+ISNUMBER(SEARCH("Peso fuera de rango",rValid_RO)))&gt;0))+SUMPRODUCT((rMes_RN=MesCiclo)*((ISNUMBER(SEARCH("Peso vacío",rValid_RN))+ISNUMBER(SEARCH("Peso fuera de rango",rValid_RN)))&gt;0))+SUMPRODUCT((rMes_RF=MesCiclo)*((ISNUMBER(SEARCH("Peso vacío",rValid_RF))+ISNUMBER(SEARCH("Peso fuera de rango",rValid_RF)))&gt;0))+SUMPRODUCT((rMes_ATR=MesCiclo)*((ISNUMBER(SEARCH("Peso vacío",rValid_ATR))+ISNUMBER(SEARCH("Peso fuera de rango",rValid_ATR)))&gt;0))</f>
        <v/>
      </c>
      <c r="H72" s="43">
        <f>IF(G72=0,"✔ OK",IF("crit"="warn","● Atención","⚠ Revisar"))</f>
        <v/>
      </c>
      <c r="I72" s="44" t="inlineStr">
        <is>
          <t>Ingresar un peso entre 0% y 100% (mayor que 0).</t>
        </is>
      </c>
      <c r="J72" s="44" t="n"/>
      <c r="K72" s="44" t="n"/>
      <c r="L72" s="44" t="n"/>
      <c r="M72" s="44" t="n"/>
    </row>
    <row r="73" ht="20" customHeight="1">
      <c r="B73" s="41" t="inlineStr">
        <is>
          <t>Actividades sin fecha límite</t>
        </is>
      </c>
      <c r="C73" s="41" t="n"/>
      <c r="D73" s="41" t="n"/>
      <c r="E73" s="41" t="n"/>
      <c r="F73" s="41" t="n"/>
      <c r="G73" s="42">
        <f>SUMPRODUCT((rMes_RO=MesCiclo)*((ISNUMBER(SEARCH("Sin fecha límite",rValid_RO)))&gt;0))+SUMPRODUCT((rMes_RN=MesCiclo)*((ISNUMBER(SEARCH("Sin fecha límite",rValid_RN)))&gt;0))+SUMPRODUCT((rMes_RF=MesCiclo)*((ISNUMBER(SEARCH("Sin fecha límite",rValid_RF)))&gt;0))+SUMPRODUCT((rMes_ATR=MesCiclo)*((ISNUMBER(SEARCH("Sin fecha límite",rValid_ATR)))&gt;0))</f>
        <v/>
      </c>
      <c r="H73" s="43">
        <f>IF(G73=0,"✔ OK",IF("crit"="warn","● Atención","⚠ Revisar"))</f>
        <v/>
      </c>
      <c r="I73" s="44" t="inlineStr">
        <is>
          <t>Registrar la fecha límite.</t>
        </is>
      </c>
      <c r="J73" s="44" t="n"/>
      <c r="K73" s="44" t="n"/>
      <c r="L73" s="44" t="n"/>
      <c r="M73" s="44" t="n"/>
    </row>
    <row r="74" ht="20" customHeight="1">
      <c r="B74" s="41" t="inlineStr">
        <is>
          <t>Fechas incoherentes o no válidas (incluye sin fecha de inicio)</t>
        </is>
      </c>
      <c r="C74" s="41" t="n"/>
      <c r="D74" s="41" t="n"/>
      <c r="E74" s="41" t="n"/>
      <c r="F74" s="41" t="n"/>
      <c r="G74" s="42">
        <f>SUMPRODUCT((rMes_RO=MesCiclo)*((ISNUMBER(SEARCH("Inicio posterior",rValid_RO))+ISNUMBER(SEARCH("Fecha no válida",rValid_RO))+ISNUMBER(SEARCH("Sin fecha de inicio",rValid_RO)))&gt;0))+SUMPRODUCT((rMes_RN=MesCiclo)*((ISNUMBER(SEARCH("Inicio posterior",rValid_RN))+ISNUMBER(SEARCH("Fecha no válida",rValid_RN))+ISNUMBER(SEARCH("Sin fecha de inicio",rValid_RN)))&gt;0))+SUMPRODUCT((rMes_RF=MesCiclo)*((ISNUMBER(SEARCH("Inicio posterior",rValid_RF))+ISNUMBER(SEARCH("Fecha no válida",rValid_RF))+ISNUMBER(SEARCH("Sin fecha de inicio",rValid_RF)))&gt;0))+SUMPRODUCT((rMes_ATR=MesCiclo)*((ISNUMBER(SEARCH("Inicio posterior",rValid_ATR))+ISNUMBER(SEARCH("Fecha no válida",rValid_ATR))+ISNUMBER(SEARCH("Sin fecha de inicio",rValid_ATR)))&gt;0))</f>
        <v/>
      </c>
      <c r="H74" s="43">
        <f>IF(G74=0,"✔ OK",IF("crit"="warn","● Atención","⚠ Revisar"))</f>
        <v/>
      </c>
      <c r="I74" s="44" t="inlineStr">
        <is>
          <t>La fecha de inicio debe ser anterior o igual a la fecha límite.</t>
        </is>
      </c>
      <c r="J74" s="44" t="n"/>
      <c r="K74" s="44" t="n"/>
      <c r="L74" s="44" t="n"/>
      <c r="M74" s="44" t="n"/>
    </row>
    <row r="75" ht="20" customHeight="1">
      <c r="B75" s="41" t="inlineStr">
        <is>
          <t>Porcentajes de avance &gt; 100%, &lt; 0% o no numéricos</t>
        </is>
      </c>
      <c r="C75" s="41" t="n"/>
      <c r="D75" s="41" t="n"/>
      <c r="E75" s="41" t="n"/>
      <c r="F75" s="41" t="n"/>
      <c r="G75" s="42">
        <f>SUMPRODUCT((rMes_RO=MesCiclo)*((ISNUMBER(SEARCH("Avance fuera de rango",rValid_RO)))&gt;0))+SUMPRODUCT((rMes_RN=MesCiclo)*((ISNUMBER(SEARCH("Avance fuera de rango",rValid_RN)))&gt;0))+SUMPRODUCT((rMes_RF=MesCiclo)*((ISNUMBER(SEARCH("Avance fuera de rango",rValid_RF)))&gt;0))+SUMPRODUCT((rMes_ATR=MesCiclo)*((ISNUMBER(SEARCH("Avance fuera de rango",rValid_ATR)))&gt;0))</f>
        <v/>
      </c>
      <c r="H75" s="43">
        <f>IF(G75=0,"✔ OK",IF("crit"="warn","● Atención","⚠ Revisar"))</f>
        <v/>
      </c>
      <c r="I75" s="44" t="inlineStr">
        <is>
          <t>Corregir: los avances deben estar entre 0% y 100%.</t>
        </is>
      </c>
      <c r="J75" s="44" t="n"/>
      <c r="K75" s="44" t="n"/>
      <c r="L75" s="44" t="n"/>
      <c r="M75" s="44" t="n"/>
    </row>
    <row r="76" ht="20" customHeight="1">
      <c r="B76" s="41" t="inlineStr">
        <is>
          <t>Avance semanal menor que el de una semana anterior</t>
        </is>
      </c>
      <c r="C76" s="41" t="n"/>
      <c r="D76" s="41" t="n"/>
      <c r="E76" s="41" t="n"/>
      <c r="F76" s="41" t="n"/>
      <c r="G76" s="42">
        <f>SUMPRODUCT((rMes_RO=MesCiclo)*((ISNUMBER(SEARCH("decreciente",rValid_RO)))&gt;0))+SUMPRODUCT((rMes_RN=MesCiclo)*((ISNUMBER(SEARCH("decreciente",rValid_RN)))&gt;0))+SUMPRODUCT((rMes_RF=MesCiclo)*((ISNUMBER(SEARCH("decreciente",rValid_RF)))&gt;0))+SUMPRODUCT((rMes_ATR=MesCiclo)*((ISNUMBER(SEARCH("decreciente",rValid_ATR)))&gt;0))</f>
        <v/>
      </c>
      <c r="H76" s="43">
        <f>IF(G76=0,"✔ OK",IF("crit"="warn","● Atención","⚠ Revisar"))</f>
        <v/>
      </c>
      <c r="I76" s="44" t="inlineStr">
        <is>
          <t>Revisar: el avance es acumulado y no debería disminuir.</t>
        </is>
      </c>
      <c r="J76" s="44" t="n"/>
      <c r="K76" s="44" t="n"/>
      <c r="L76" s="44" t="n"/>
      <c r="M76" s="44" t="n"/>
    </row>
    <row r="77" ht="20" customHeight="1">
      <c r="B77" s="41" t="inlineStr">
        <is>
          <t>Actividades vencidas no completadas</t>
        </is>
      </c>
      <c r="C77" s="41" t="n"/>
      <c r="D77" s="41" t="n"/>
      <c r="E77" s="41" t="n"/>
      <c r="F77" s="41" t="n"/>
      <c r="G77" s="42">
        <f>'Calculos'!Q8</f>
        <v/>
      </c>
      <c r="H77" s="43">
        <f>IF(G77=0,"✔ OK",IF("crit"="warn","● Atención","⚠ Revisar"))</f>
        <v/>
      </c>
      <c r="I77" s="44" t="inlineStr">
        <is>
          <t>Actualizar avance o reprogramar con justificación en Observaciones.</t>
        </is>
      </c>
      <c r="J77" s="44" t="n"/>
      <c r="K77" s="44" t="n"/>
      <c r="L77" s="44" t="n"/>
      <c r="M77" s="44" t="n"/>
    </row>
    <row r="78" ht="20" customHeight="1">
      <c r="B78" s="41" t="inlineStr">
        <is>
          <t>Actividades próximas a vencer (no completadas)</t>
        </is>
      </c>
      <c r="C78" s="41" t="n"/>
      <c r="D78" s="41" t="n"/>
      <c r="E78" s="41" t="n"/>
      <c r="F78" s="41" t="n"/>
      <c r="G78" s="42">
        <f>'Calculos'!B13</f>
        <v/>
      </c>
      <c r="H78" s="43">
        <f>IF(G78=0,"✔ OK",IF("warn"="warn","● Atención","⚠ Revisar"))</f>
        <v/>
      </c>
      <c r="I78" s="44" t="inlineStr">
        <is>
          <t>Alerta preventiva: priorizar seguimiento.</t>
        </is>
      </c>
      <c r="J78" s="44" t="n"/>
      <c r="K78" s="44" t="n"/>
      <c r="L78" s="44" t="n"/>
      <c r="M78" s="44" t="n"/>
    </row>
    <row r="79" ht="20" customHeight="1">
      <c r="B79" s="41" t="inlineStr">
        <is>
          <t>Filas con datos pero sin nombre de macroactividad</t>
        </is>
      </c>
      <c r="C79" s="41" t="n"/>
      <c r="D79" s="41" t="n"/>
      <c r="E79" s="41" t="n"/>
      <c r="F79" s="41" t="n"/>
      <c r="G79" s="42">
        <f>SUMPRODUCT((rMes_RO=MesCiclo)*((ISNUMBER(SEARCH("Macroactividad vacía",rValid_RO)))&gt;0))+SUMPRODUCT((rMes_RN=MesCiclo)*((ISNUMBER(SEARCH("Macroactividad vacía",rValid_RN)))&gt;0))+SUMPRODUCT((rMes_RF=MesCiclo)*((ISNUMBER(SEARCH("Macroactividad vacía",rValid_RF)))&gt;0))+SUMPRODUCT((rMes_ATR=MesCiclo)*((ISNUMBER(SEARCH("Macroactividad vacía",rValid_ATR)))&gt;0))</f>
        <v/>
      </c>
      <c r="H79" s="43">
        <f>IF(G79=0,"✔ OK",IF("crit"="warn","● Atención","⚠ Revisar"))</f>
        <v/>
      </c>
      <c r="I79" s="44" t="inlineStr">
        <is>
          <t>Escribir el nombre de la actividad.</t>
        </is>
      </c>
      <c r="J79" s="44" t="n"/>
      <c r="K79" s="44" t="n"/>
      <c r="L79" s="44" t="n"/>
      <c r="M79" s="44" t="n"/>
    </row>
    <row r="80" ht="20" customHeight="1">
      <c r="B80" s="41" t="inlineStr">
        <is>
          <t>Actividades vencidas sin observación que explique el incumplimiento</t>
        </is>
      </c>
      <c r="C80" s="41" t="n"/>
      <c r="D80" s="41" t="n"/>
      <c r="E80" s="41" t="n"/>
      <c r="F80" s="41" t="n"/>
      <c r="G80" s="42">
        <f>SUMPRODUCT((rMes_RO=MesCiclo)*((ISNUMBER(SEARCH("sin observación",rValid_RO)))&gt;0))+SUMPRODUCT((rMes_RN=MesCiclo)*((ISNUMBER(SEARCH("sin observación",rValid_RN)))&gt;0))+SUMPRODUCT((rMes_RF=MesCiclo)*((ISNUMBER(SEARCH("sin observación",rValid_RF)))&gt;0))+SUMPRODUCT((rMes_ATR=MesCiclo)*((ISNUMBER(SEARCH("sin observación",rValid_ATR)))&gt;0))</f>
        <v/>
      </c>
      <c r="H80" s="43">
        <f>IF(G80=0,"✔ OK",IF("crit"="warn","● Atención","⚠ Revisar"))</f>
        <v/>
      </c>
      <c r="I80" s="44" t="inlineStr">
        <is>
          <t>Escribir en Observaciones por qué no se cumplió y la nueva fecha prevista.</t>
        </is>
      </c>
      <c r="J80" s="44" t="n"/>
      <c r="K80" s="44" t="n"/>
      <c r="L80" s="44" t="n"/>
      <c r="M80" s="44" t="n"/>
    </row>
    <row r="81" ht="20" customHeight="1">
      <c r="B81" s="41" t="inlineStr">
        <is>
          <t>Avance general no definitivo (puestos no válidos)</t>
        </is>
      </c>
      <c r="C81" s="41" t="n"/>
      <c r="D81" s="41" t="n"/>
      <c r="E81" s="41" t="n"/>
      <c r="F81" s="41" t="n"/>
      <c r="G81" s="42">
        <f>4-'Calculos'!C8</f>
        <v/>
      </c>
      <c r="H81" s="43">
        <f>IF(G81=0,"✔ OK",IF("crit"="warn","● Atención","⚠ Revisar"))</f>
        <v/>
      </c>
      <c r="I81" s="44" t="inlineStr">
        <is>
          <t>El avance general solo es definitivo con los 4 puestos válidos.</t>
        </is>
      </c>
      <c r="J81" s="44" t="n"/>
      <c r="K81" s="44" t="n"/>
      <c r="L81" s="44" t="n"/>
      <c r="M81" s="44" t="n"/>
    </row>
    <row r="82" ht="26" customHeight="1">
      <c r="B82" s="40" t="inlineStr">
        <is>
          <t>Detalle por actividad: columna «Revisión automática (alertas)» de la hoja «Cronograma …» de cada puesto (filtrar por «⚠»). Pendiente normal = sin avance y dentro de plazo; Vencida = fecha límite anterior a la fecha de corte sin llegar a 100%.</t>
        </is>
      </c>
      <c r="C82" s="40" t="n"/>
      <c r="D82" s="40" t="n"/>
      <c r="E82" s="40" t="n"/>
      <c r="F82" s="40" t="n"/>
      <c r="G82" s="40" t="n"/>
      <c r="H82" s="40" t="n"/>
      <c r="I82" s="40" t="n"/>
      <c r="J82" s="40" t="n"/>
      <c r="K82" s="40" t="n"/>
      <c r="L82" s="40" t="n"/>
      <c r="M82" s="40" t="n"/>
    </row>
    <row r="84" ht="24" customHeight="1">
      <c r="B84" s="17" t="inlineStr">
        <is>
          <t>Entregas por semana y alertas de plazo (macroactividades completadas / programadas)</t>
        </is>
      </c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</row>
    <row r="85">
      <c r="B85" s="7" t="inlineStr">
        <is>
          <t>Puesto</t>
        </is>
      </c>
      <c r="C85" s="7" t="inlineStr">
        <is>
          <t>Semana 1</t>
        </is>
      </c>
      <c r="D85" s="7" t="inlineStr">
        <is>
          <t>Semana 2</t>
        </is>
      </c>
      <c r="E85" s="7" t="inlineStr">
        <is>
          <t>Semana 3</t>
        </is>
      </c>
      <c r="F85" s="7" t="inlineStr">
        <is>
          <t>Semana 4</t>
        </is>
      </c>
      <c r="G85" s="7" t="inlineStr">
        <is>
          <t>Total</t>
        </is>
      </c>
      <c r="H85" s="7" t="inlineStr">
        <is>
          <t>Vencidas</t>
        </is>
      </c>
      <c r="I85" s="7" t="inlineStr">
        <is>
          <t>Por vencer</t>
        </is>
      </c>
      <c r="J85" s="7" t="inlineStr">
        <is>
          <t>Alerta de plazo (actividades y subactividades del mes)</t>
        </is>
      </c>
      <c r="K85" s="7" t="n"/>
      <c r="L85" s="7" t="n"/>
      <c r="M85" s="7" t="n"/>
    </row>
    <row r="86">
      <c r="B86" s="19">
        <f>'Calculos'!A4</f>
        <v/>
      </c>
      <c r="C86" s="22">
        <f>COUNTIFS(hSemana_RO,"Semana 1",hEstado_RO,"Completado",hTipo_RO,"Macro")&amp;" / "&amp;COUNTIFS(hSemana_RO,"Semana 1",hTipo_RO,"Macro")</f>
        <v/>
      </c>
      <c r="D86" s="22">
        <f>COUNTIFS(hSemana_RO,"Semana 2",hEstado_RO,"Completado",hTipo_RO,"Macro")&amp;" / "&amp;COUNTIFS(hSemana_RO,"Semana 2",hTipo_RO,"Macro")</f>
        <v/>
      </c>
      <c r="E86" s="22">
        <f>COUNTIFS(hSemana_RO,"Semana 3",hEstado_RO,"Completado",hTipo_RO,"Macro")&amp;" / "&amp;COUNTIFS(hSemana_RO,"Semana 3",hTipo_RO,"Macro")</f>
        <v/>
      </c>
      <c r="F86" s="22">
        <f>COUNTIFS(hSemana_RO,"Semana 4",hEstado_RO,"Completado",hTipo_RO,"Macro")&amp;" / "&amp;COUNTIFS(hSemana_RO,"Semana 4",hTipo_RO,"Macro")</f>
        <v/>
      </c>
      <c r="G86" s="22">
        <f>COUNTIFS(hEstado_RO,"Completado",hTipo_RO,"Macro")&amp;" / "&amp;COUNTIFS(hEstado_RO,"?*",hTipo_RO,"Macro")</f>
        <v/>
      </c>
      <c r="H86" s="22">
        <f>COUNTIFS(rMes_RO,MesCiclo,rAlerta_RO,"Vencida*")</f>
        <v/>
      </c>
      <c r="I86" s="22">
        <f>COUNTIFS(rMes_RO,MesCiclo,rAlerta_RO,"Vence*")</f>
        <v/>
      </c>
      <c r="J86" s="45">
        <f>IF(H86+I86=0,"✔ Sin vencidas ni por vencer",IF(H86&gt;0,"⚠ "&amp;H86&amp;" vencida(s) sin cumplir","")&amp;IF(AND(H86&gt;0,I86&gt;0),"  ·  ","")&amp;IF(I86&gt;0,I86&amp;" por vencer (≤ "&amp;DiasAlerta&amp;" días)",""))</f>
        <v/>
      </c>
      <c r="K86" s="45" t="n"/>
      <c r="L86" s="45" t="n"/>
      <c r="M86" s="45" t="n"/>
    </row>
    <row r="87">
      <c r="B87" s="23">
        <f>'Calculos'!A5</f>
        <v/>
      </c>
      <c r="C87" s="22">
        <f>COUNTIFS(hSemana_RN,"Semana 1",hEstado_RN,"Completado",hTipo_RN,"Macro")&amp;" / "&amp;COUNTIFS(hSemana_RN,"Semana 1",hTipo_RN,"Macro")</f>
        <v/>
      </c>
      <c r="D87" s="22">
        <f>COUNTIFS(hSemana_RN,"Semana 2",hEstado_RN,"Completado",hTipo_RN,"Macro")&amp;" / "&amp;COUNTIFS(hSemana_RN,"Semana 2",hTipo_RN,"Macro")</f>
        <v/>
      </c>
      <c r="E87" s="22">
        <f>COUNTIFS(hSemana_RN,"Semana 3",hEstado_RN,"Completado",hTipo_RN,"Macro")&amp;" / "&amp;COUNTIFS(hSemana_RN,"Semana 3",hTipo_RN,"Macro")</f>
        <v/>
      </c>
      <c r="F87" s="22">
        <f>COUNTIFS(hSemana_RN,"Semana 4",hEstado_RN,"Completado",hTipo_RN,"Macro")&amp;" / "&amp;COUNTIFS(hSemana_RN,"Semana 4",hTipo_RN,"Macro")</f>
        <v/>
      </c>
      <c r="G87" s="22">
        <f>COUNTIFS(hEstado_RN,"Completado",hTipo_RN,"Macro")&amp;" / "&amp;COUNTIFS(hEstado_RN,"?*",hTipo_RN,"Macro")</f>
        <v/>
      </c>
      <c r="H87" s="22">
        <f>COUNTIFS(rMes_RN,MesCiclo,rAlerta_RN,"Vencida*")</f>
        <v/>
      </c>
      <c r="I87" s="22">
        <f>COUNTIFS(rMes_RN,MesCiclo,rAlerta_RN,"Vence*")</f>
        <v/>
      </c>
      <c r="J87" s="45">
        <f>IF(H87+I87=0,"✔ Sin vencidas ni por vencer",IF(H87&gt;0,"⚠ "&amp;H87&amp;" vencida(s) sin cumplir","")&amp;IF(AND(H87&gt;0,I87&gt;0),"  ·  ","")&amp;IF(I87&gt;0,I87&amp;" por vencer (≤ "&amp;DiasAlerta&amp;" días)",""))</f>
        <v/>
      </c>
      <c r="K87" s="45" t="n"/>
      <c r="L87" s="45" t="n"/>
      <c r="M87" s="45" t="n"/>
    </row>
    <row r="88">
      <c r="B88" s="24">
        <f>'Calculos'!A6</f>
        <v/>
      </c>
      <c r="C88" s="22">
        <f>COUNTIFS(hSemana_RF,"Semana 1",hEstado_RF,"Completado",hTipo_RF,"Macro")&amp;" / "&amp;COUNTIFS(hSemana_RF,"Semana 1",hTipo_RF,"Macro")</f>
        <v/>
      </c>
      <c r="D88" s="22">
        <f>COUNTIFS(hSemana_RF,"Semana 2",hEstado_RF,"Completado",hTipo_RF,"Macro")&amp;" / "&amp;COUNTIFS(hSemana_RF,"Semana 2",hTipo_RF,"Macro")</f>
        <v/>
      </c>
      <c r="E88" s="22">
        <f>COUNTIFS(hSemana_RF,"Semana 3",hEstado_RF,"Completado",hTipo_RF,"Macro")&amp;" / "&amp;COUNTIFS(hSemana_RF,"Semana 3",hTipo_RF,"Macro")</f>
        <v/>
      </c>
      <c r="F88" s="22">
        <f>COUNTIFS(hSemana_RF,"Semana 4",hEstado_RF,"Completado",hTipo_RF,"Macro")&amp;" / "&amp;COUNTIFS(hSemana_RF,"Semana 4",hTipo_RF,"Macro")</f>
        <v/>
      </c>
      <c r="G88" s="22">
        <f>COUNTIFS(hEstado_RF,"Completado",hTipo_RF,"Macro")&amp;" / "&amp;COUNTIFS(hEstado_RF,"?*",hTipo_RF,"Macro")</f>
        <v/>
      </c>
      <c r="H88" s="22">
        <f>COUNTIFS(rMes_RF,MesCiclo,rAlerta_RF,"Vencida*")</f>
        <v/>
      </c>
      <c r="I88" s="22">
        <f>COUNTIFS(rMes_RF,MesCiclo,rAlerta_RF,"Vence*")</f>
        <v/>
      </c>
      <c r="J88" s="45">
        <f>IF(H88+I88=0,"✔ Sin vencidas ni por vencer",IF(H88&gt;0,"⚠ "&amp;H88&amp;" vencida(s) sin cumplir","")&amp;IF(AND(H88&gt;0,I88&gt;0),"  ·  ","")&amp;IF(I88&gt;0,I88&amp;" por vencer (≤ "&amp;DiasAlerta&amp;" días)",""))</f>
        <v/>
      </c>
      <c r="K88" s="45" t="n"/>
      <c r="L88" s="45" t="n"/>
      <c r="M88" s="45" t="n"/>
    </row>
    <row r="89">
      <c r="B89" s="25">
        <f>'Calculos'!A7</f>
        <v/>
      </c>
      <c r="C89" s="22">
        <f>COUNTIFS(hSemana_ATR,"Semana 1",hEstado_ATR,"Completado",hTipo_ATR,"Macro")&amp;" / "&amp;COUNTIFS(hSemana_ATR,"Semana 1",hTipo_ATR,"Macro")</f>
        <v/>
      </c>
      <c r="D89" s="22">
        <f>COUNTIFS(hSemana_ATR,"Semana 2",hEstado_ATR,"Completado",hTipo_ATR,"Macro")&amp;" / "&amp;COUNTIFS(hSemana_ATR,"Semana 2",hTipo_ATR,"Macro")</f>
        <v/>
      </c>
      <c r="E89" s="22">
        <f>COUNTIFS(hSemana_ATR,"Semana 3",hEstado_ATR,"Completado",hTipo_ATR,"Macro")&amp;" / "&amp;COUNTIFS(hSemana_ATR,"Semana 3",hTipo_ATR,"Macro")</f>
        <v/>
      </c>
      <c r="F89" s="22">
        <f>COUNTIFS(hSemana_ATR,"Semana 4",hEstado_ATR,"Completado",hTipo_ATR,"Macro")&amp;" / "&amp;COUNTIFS(hSemana_ATR,"Semana 4",hTipo_ATR,"Macro")</f>
        <v/>
      </c>
      <c r="G89" s="22">
        <f>COUNTIFS(hEstado_ATR,"Completado",hTipo_ATR,"Macro")&amp;" / "&amp;COUNTIFS(hEstado_ATR,"?*",hTipo_ATR,"Macro")</f>
        <v/>
      </c>
      <c r="H89" s="22">
        <f>COUNTIFS(rMes_ATR,MesCiclo,rAlerta_ATR,"Vencida*")</f>
        <v/>
      </c>
      <c r="I89" s="22">
        <f>COUNTIFS(rMes_ATR,MesCiclo,rAlerta_ATR,"Vence*")</f>
        <v/>
      </c>
      <c r="J89" s="45">
        <f>IF(H89+I89=0,"✔ Sin vencidas ni por vencer",IF(H89&gt;0,"⚠ "&amp;H89&amp;" vencida(s) sin cumplir","")&amp;IF(AND(H89&gt;0,I89&gt;0),"  ·  ","")&amp;IF(I89&gt;0,I89&amp;" por vencer (≤ "&amp;DiasAlerta&amp;" días)",""))</f>
        <v/>
      </c>
      <c r="K89" s="45" t="n"/>
      <c r="L89" s="45" t="n"/>
      <c r="M89" s="4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L17:M17"/>
    <mergeCell ref="B81:F81"/>
    <mergeCell ref="I77:M77"/>
    <mergeCell ref="I80:M80"/>
    <mergeCell ref="L19:M19"/>
    <mergeCell ref="B71:F71"/>
    <mergeCell ref="L28:M28"/>
    <mergeCell ref="I70:M70"/>
    <mergeCell ref="I72:M72"/>
    <mergeCell ref="B84:M84"/>
    <mergeCell ref="G12:M12"/>
    <mergeCell ref="B6:D6"/>
    <mergeCell ref="L29:M29"/>
    <mergeCell ref="K10:M10"/>
    <mergeCell ref="H5:J5"/>
    <mergeCell ref="B4:D4"/>
    <mergeCell ref="L31:M31"/>
    <mergeCell ref="I79:M79"/>
    <mergeCell ref="I73:M73"/>
    <mergeCell ref="K9:M9"/>
    <mergeCell ref="K5:M5"/>
    <mergeCell ref="J86:M86"/>
    <mergeCell ref="B80:F80"/>
    <mergeCell ref="I74:M74"/>
    <mergeCell ref="L16:M16"/>
    <mergeCell ref="B8:D8"/>
    <mergeCell ref="B72:F72"/>
    <mergeCell ref="B82:M82"/>
    <mergeCell ref="E6:G6"/>
    <mergeCell ref="H23:K23"/>
    <mergeCell ref="B10:D10"/>
    <mergeCell ref="B70:F70"/>
    <mergeCell ref="K8:M8"/>
    <mergeCell ref="B9:D9"/>
    <mergeCell ref="B68:M68"/>
    <mergeCell ref="L30:M30"/>
    <mergeCell ref="B5:D5"/>
    <mergeCell ref="L20:M20"/>
    <mergeCell ref="K4:M4"/>
    <mergeCell ref="B74:F74"/>
    <mergeCell ref="I78:M78"/>
    <mergeCell ref="E8:G8"/>
    <mergeCell ref="H4:J4"/>
    <mergeCell ref="B76:F76"/>
    <mergeCell ref="J85:M85"/>
    <mergeCell ref="H6:J6"/>
    <mergeCell ref="E10:G10"/>
    <mergeCell ref="B75:F75"/>
    <mergeCell ref="E9:G9"/>
    <mergeCell ref="I76:M76"/>
    <mergeCell ref="L24:M24"/>
    <mergeCell ref="L18:M18"/>
    <mergeCell ref="I75:M75"/>
    <mergeCell ref="L26:M26"/>
    <mergeCell ref="B73:F73"/>
    <mergeCell ref="J88:M88"/>
    <mergeCell ref="H8:J8"/>
    <mergeCell ref="L25:M25"/>
    <mergeCell ref="H10:J10"/>
    <mergeCell ref="C12:F12"/>
    <mergeCell ref="B22:M22"/>
    <mergeCell ref="E4:G4"/>
    <mergeCell ref="H9:J9"/>
    <mergeCell ref="C23:F23"/>
    <mergeCell ref="I81:M81"/>
    <mergeCell ref="B14:M14"/>
    <mergeCell ref="B1:M1"/>
    <mergeCell ref="H2:M2"/>
    <mergeCell ref="B77:F77"/>
    <mergeCell ref="L15:M15"/>
    <mergeCell ref="L23:M23"/>
    <mergeCell ref="I71:M71"/>
    <mergeCell ref="B33:M33"/>
    <mergeCell ref="B69:F69"/>
    <mergeCell ref="B78:F78"/>
    <mergeCell ref="K6:M6"/>
    <mergeCell ref="J87:M87"/>
    <mergeCell ref="J89:M89"/>
    <mergeCell ref="E5:G5"/>
    <mergeCell ref="L27:M27"/>
    <mergeCell ref="B79:F79"/>
    <mergeCell ref="I69:M69"/>
  </mergeCells>
  <conditionalFormatting sqref="B5">
    <cfRule type="expression" priority="1" dxfId="0">
      <formula>AND(ISNUMBER($B$5),$B$5&gt;=1)</formula>
    </cfRule>
    <cfRule type="expression" priority="2" dxfId="1">
      <formula>NOT(ISNUMBER($B$5))</formula>
    </cfRule>
  </conditionalFormatting>
  <conditionalFormatting sqref="K9">
    <cfRule type="expression" priority="3" dxfId="2">
      <formula>$K$9&gt;0</formula>
    </cfRule>
    <cfRule type="expression" priority="4" dxfId="0">
      <formula>$K$9=0</formula>
    </cfRule>
  </conditionalFormatting>
  <conditionalFormatting sqref="H9">
    <cfRule type="expression" priority="5" dxfId="0">
      <formula>$H$9=4</formula>
    </cfRule>
  </conditionalFormatting>
  <conditionalFormatting sqref="E9">
    <cfRule type="expression" priority="6" dxfId="0">
      <formula>$E$9&gt;0</formula>
    </cfRule>
  </conditionalFormatting>
  <conditionalFormatting sqref="C12:F12">
    <cfRule type="dataBar" priority="7">
      <dataBar showValue="1">
        <cfvo type="num" val="0"/>
        <cfvo type="num" val="1"/>
        <color rgb="002E75B6"/>
      </dataBar>
    </cfRule>
  </conditionalFormatting>
  <conditionalFormatting sqref="G12:M12">
    <cfRule type="expression" priority="8" dxfId="3" stopIfTrue="1">
      <formula>ISNUMBER(SEARCH("Enhorabuena",$G$12))</formula>
    </cfRule>
    <cfRule type="expression" priority="9" dxfId="0" stopIfTrue="1">
      <formula>ISNUMBER(SEARCH("ompletad",$G$12))</formula>
    </cfRule>
    <cfRule type="expression" priority="10" dxfId="2" stopIfTrue="1">
      <formula>LEFT($G$12,1)="⚠"</formula>
    </cfRule>
    <cfRule type="expression" priority="11" dxfId="4">
      <formula>ISNUMBER(SEARCH("ejecución",$G$12))</formula>
    </cfRule>
  </conditionalFormatting>
  <conditionalFormatting sqref="D16:D20">
    <cfRule type="dataBar" priority="12">
      <dataBar showValue="0">
        <cfvo type="num" val="0"/>
        <cfvo type="num" val="1"/>
        <color rgb="002E75B6"/>
      </dataBar>
    </cfRule>
  </conditionalFormatting>
  <conditionalFormatting sqref="C16:C20">
    <cfRule type="expression" priority="13" dxfId="0">
      <formula>AND(ISNUMBER(C16),C16&gt;=1)</formula>
    </cfRule>
    <cfRule type="expression" priority="14" dxfId="4">
      <formula>AND(ISNUMBER(C16),C16&gt;0,C16&lt;1)</formula>
    </cfRule>
    <cfRule type="expression" priority="15" dxfId="2">
      <formula>OR(NOT(ISNUMBER(C16)),C16=0)</formula>
    </cfRule>
  </conditionalFormatting>
  <conditionalFormatting sqref="K16:K20">
    <cfRule type="expression" priority="16" dxfId="0">
      <formula>K16="Completado"</formula>
    </cfRule>
    <cfRule type="expression" priority="17" dxfId="4">
      <formula>K16="En curso"</formula>
    </cfRule>
    <cfRule type="expression" priority="18" dxfId="1">
      <formula>OR(K16="Sin actividades",LEFT(K16,11)="Pesos suman",K16="No definitivo")</formula>
    </cfRule>
    <cfRule type="expression" priority="19" dxfId="5">
      <formula>K16="Pendiente"</formula>
    </cfRule>
  </conditionalFormatting>
  <conditionalFormatting sqref="I16:J20">
    <cfRule type="expression" priority="20" dxfId="6">
      <formula>I16&gt;0</formula>
    </cfRule>
  </conditionalFormatting>
  <conditionalFormatting sqref="L16:M20">
    <cfRule type="expression" priority="21" dxfId="3" stopIfTrue="1">
      <formula>ISNUMBER(SEARCH("Enhorabuena",$L16))</formula>
    </cfRule>
    <cfRule type="expression" priority="22" dxfId="0" stopIfTrue="1">
      <formula>ISNUMBER(SEARCH("ompletad",$L16))</formula>
    </cfRule>
    <cfRule type="expression" priority="23" dxfId="2" stopIfTrue="1">
      <formula>LEFT($L16,1)="⚠"</formula>
    </cfRule>
    <cfRule type="expression" priority="24" dxfId="4">
      <formula>ISNUMBER(SEARCH("ejecución",$L16))</formula>
    </cfRule>
  </conditionalFormatting>
  <conditionalFormatting sqref="C25:F29">
    <cfRule type="expression" priority="25" dxfId="0">
      <formula>AND(ISNUMBER(C25),C25&gt;=1)</formula>
    </cfRule>
    <cfRule type="expression" priority="26" dxfId="7">
      <formula>AND(ISNUMBER(C25),C25&lt;INDEX(PlanRef,COLUMN(C25)-2))</formula>
    </cfRule>
  </conditionalFormatting>
  <conditionalFormatting sqref="H25:K29">
    <cfRule type="expression" priority="27" dxfId="2">
      <formula>AND(ISNUMBER(H25),H25&lt;0)</formula>
    </cfRule>
  </conditionalFormatting>
  <conditionalFormatting sqref="H70:H81">
    <cfRule type="expression" priority="28" dxfId="0">
      <formula>LEFT(H70,1)="✔"</formula>
    </cfRule>
    <cfRule type="expression" priority="29" dxfId="1">
      <formula>LEFT(H70,1)="●"</formula>
    </cfRule>
    <cfRule type="expression" priority="30" dxfId="2">
      <formula>LEFT(H70,1)="⚠"</formula>
    </cfRule>
  </conditionalFormatting>
  <conditionalFormatting sqref="H86:H89">
    <cfRule type="expression" priority="31" dxfId="8">
      <formula>H86&gt;0</formula>
    </cfRule>
  </conditionalFormatting>
  <conditionalFormatting sqref="I86:I89">
    <cfRule type="expression" priority="32" dxfId="9">
      <formula>I86&gt;0</formula>
    </cfRule>
  </conditionalFormatting>
  <conditionalFormatting sqref="J86:M89">
    <cfRule type="expression" priority="33" dxfId="8" stopIfTrue="1">
      <formula>$H86&gt;0</formula>
    </cfRule>
    <cfRule type="expression" priority="34" dxfId="9" stopIfTrue="1">
      <formula>$I86&gt;0</formula>
    </cfRule>
    <cfRule type="expression" priority="35" dxfId="0">
      <formula>LEFT($J86,1)="✔"</formula>
    </cfRule>
  </conditionalFormatting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86" r:id="rId5"/>
    <hyperlink xmlns:r="http://schemas.openxmlformats.org/officeDocument/2006/relationships" ref="B87" r:id="rId6"/>
    <hyperlink xmlns:r="http://schemas.openxmlformats.org/officeDocument/2006/relationships" ref="B88" r:id="rId7"/>
    <hyperlink xmlns:r="http://schemas.openxmlformats.org/officeDocument/2006/relationships" ref="B89" r:id="rId8"/>
  </hyperlinks>
  <pageMargins left="0.3" right="0.3" top="0.4" bottom="0.4" header="0.5" footer="0.5"/>
  <pageSetup orientation="landscape" paperSize="1" fitToHeight="0" fitToWidth="1"/>
  <headerFooter>
    <oddHeader/>
    <oddFooter>&amp;CPágina &amp;P de &amp;N</oddFooter>
    <evenHeader/>
    <evenFooter/>
    <firstHeader/>
    <firstFooter/>
  </headerFooter>
  <rowBreaks count="2" manualBreakCount="2">
    <brk id="34" min="0" max="16383" man="1"/>
    <brk id="66" min="0" max="16383" man="1"/>
  </rowBreaks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Q29"/>
  <sheetViews>
    <sheetView showGridLines="0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28" customHeight="1">
      <c r="B1" s="46" t="inlineStr">
        <is>
          <t>Historial mensual de actividades</t>
        </is>
      </c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</row>
    <row r="2" ht="32" customHeight="1">
      <c r="B2" s="47" t="inlineStr">
        <is>
          <t>HOJA AUTOMÁTICA: resume cada mes con las actividades guardadas en los Cronogramas (nada se borra al empezar un mes). Empieza en octubre 2026 y muestra 24 meses (el mes actual se resalta en amarillo). «Sin datos» = el puesto no registró actividades ese mes; «Pesos ≠ 100%» = los pesos de ese mes no suman 100%.</t>
        </is>
      </c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</row>
    <row r="4">
      <c r="B4" s="48" t="inlineStr">
        <is>
          <t>Mes</t>
        </is>
      </c>
      <c r="C4" s="49" t="inlineStr">
        <is>
          <t>Riesgo Operacional</t>
        </is>
      </c>
      <c r="D4" s="49" t="n"/>
      <c r="E4" s="50" t="inlineStr">
        <is>
          <t>Riesgo Normativo</t>
        </is>
      </c>
      <c r="F4" s="50" t="n"/>
      <c r="G4" s="51" t="inlineStr">
        <is>
          <t>Riesgo Financiero</t>
        </is>
      </c>
      <c r="H4" s="51" t="n"/>
      <c r="I4" s="7" t="inlineStr">
        <is>
          <t>Asistente Técnico de Riesgo</t>
        </is>
      </c>
      <c r="J4" s="7" t="n"/>
      <c r="K4" s="48" t="inlineStr">
        <is>
          <t>Avance general</t>
        </is>
      </c>
    </row>
    <row r="5" ht="28" customHeight="1">
      <c r="B5" s="48" t="n"/>
      <c r="C5" s="31" t="inlineStr">
        <is>
          <t>Avance</t>
        </is>
      </c>
      <c r="D5" s="31" t="inlineStr">
        <is>
          <t>Completadas / total</t>
        </is>
      </c>
      <c r="E5" s="31" t="inlineStr">
        <is>
          <t>Avance</t>
        </is>
      </c>
      <c r="F5" s="31" t="inlineStr">
        <is>
          <t>Completadas / total</t>
        </is>
      </c>
      <c r="G5" s="31" t="inlineStr">
        <is>
          <t>Avance</t>
        </is>
      </c>
      <c r="H5" s="31" t="inlineStr">
        <is>
          <t>Completadas / total</t>
        </is>
      </c>
      <c r="I5" s="31" t="inlineStr">
        <is>
          <t>Avance</t>
        </is>
      </c>
      <c r="J5" s="31" t="inlineStr">
        <is>
          <t>Completadas / total</t>
        </is>
      </c>
      <c r="K5" s="48" t="n"/>
      <c r="M5" t="inlineStr">
        <is>
          <t>Mes (gráfico)</t>
        </is>
      </c>
      <c r="N5" t="inlineStr">
        <is>
          <t>R. Operacional</t>
        </is>
      </c>
      <c r="O5" t="inlineStr">
        <is>
          <t>R. Normativo</t>
        </is>
      </c>
      <c r="P5" t="inlineStr">
        <is>
          <t>R. Financiero</t>
        </is>
      </c>
      <c r="Q5" t="inlineStr">
        <is>
          <t>Asistente Técnico</t>
        </is>
      </c>
    </row>
    <row r="6" ht="20" customHeight="1">
      <c r="B6" s="52">
        <f>DATE(YEAR(HistInicio),MONTH(HistInicio)+0,1)</f>
        <v/>
      </c>
      <c r="C6" s="20">
        <f>IF(COUNTIFS(rMes_RO,$B6,rTipo_RO,"Macro")=0,"Sin datos",IF(ABS(SUMIFS(rPeso_RO,rMes_RO,$B6,rTipo_RO,"Macro")-1)&gt;0.0001,"Pesos ≠ 100%",SUMPRODUCT(--((rMes_RO=$B6)*(rTipo_RO="Macro")),rPeso_RO,rAvance_RO)))</f>
        <v/>
      </c>
      <c r="D6" s="22">
        <f>IF(COUNTIFS(rMes_RO,$B6,rTipo_RO,"Macro")=0,"",COUNTIFS(rEstado_RO,"Completado",rMes_RO,$B6,rTipo_RO,"Macro")&amp;" / "&amp;COUNTIFS(rMes_RO,$B6,rTipo_RO,"Macro"))</f>
        <v/>
      </c>
      <c r="E6" s="20">
        <f>IF(COUNTIFS(rMes_RN,$B6,rTipo_RN,"Macro")=0,"Sin datos",IF(ABS(SUMIFS(rPeso_RN,rMes_RN,$B6,rTipo_RN,"Macro")-1)&gt;0.0001,"Pesos ≠ 100%",SUMPRODUCT(--((rMes_RN=$B6)*(rTipo_RN="Macro")),rPeso_RN,rAvance_RN)))</f>
        <v/>
      </c>
      <c r="F6" s="22">
        <f>IF(COUNTIFS(rMes_RN,$B6,rTipo_RN,"Macro")=0,"",COUNTIFS(rEstado_RN,"Completado",rMes_RN,$B6,rTipo_RN,"Macro")&amp;" / "&amp;COUNTIFS(rMes_RN,$B6,rTipo_RN,"Macro"))</f>
        <v/>
      </c>
      <c r="G6" s="20">
        <f>IF(COUNTIFS(rMes_RF,$B6,rTipo_RF,"Macro")=0,"Sin datos",IF(ABS(SUMIFS(rPeso_RF,rMes_RF,$B6,rTipo_RF,"Macro")-1)&gt;0.0001,"Pesos ≠ 100%",SUMPRODUCT(--((rMes_RF=$B6)*(rTipo_RF="Macro")),rPeso_RF,rAvance_RF)))</f>
        <v/>
      </c>
      <c r="H6" s="22">
        <f>IF(COUNTIFS(rMes_RF,$B6,rTipo_RF,"Macro")=0,"",COUNTIFS(rEstado_RF,"Completado",rMes_RF,$B6,rTipo_RF,"Macro")&amp;" / "&amp;COUNTIFS(rMes_RF,$B6,rTipo_RF,"Macro"))</f>
        <v/>
      </c>
      <c r="I6" s="20">
        <f>IF(COUNTIFS(rMes_ATR,$B6,rTipo_ATR,"Macro")=0,"Sin datos",IF(ABS(SUMIFS(rPeso_ATR,rMes_ATR,$B6,rTipo_ATR,"Macro")-1)&gt;0.0001,"Pesos ≠ 100%",SUMPRODUCT(--((rMes_ATR=$B6)*(rTipo_ATR="Macro")),rPeso_ATR,rAvance_ATR)))</f>
        <v/>
      </c>
      <c r="J6" s="22">
        <f>IF(COUNTIFS(rMes_ATR,$B6,rTipo_ATR,"Macro")=0,"",COUNTIFS(rEstado_ATR,"Completado",rMes_ATR,$B6,rTipo_ATR,"Macro")&amp;" / "&amp;COUNTIFS(rMes_ATR,$B6,rTipo_ATR,"Macro"))</f>
        <v/>
      </c>
      <c r="K6" s="53">
        <f>IF(COUNT(C6,E6,G6,I6)=4,AVERAGE(C6,E6,G6,I6),IF(COUNTIF(C6:J6,"Sin datos")=4,"Sin datos","No definitivo"))</f>
        <v/>
      </c>
      <c r="M6">
        <f>CHOOSE(MONTH(DATE(YEAR(MAX(HistInicio,EDATE(MesCiclo,-5))),MONTH(MAX(HistInicio,EDATE(MesCiclo,-5)))+0,1)),"ene","feb","mar","abr","may","jun","jul","ago","sep","oct","nov","dic")&amp;" "&amp;YEAR(DATE(YEAR(MAX(HistInicio,EDATE(MesCiclo,-5))),MONTH(MAX(HistInicio,EDATE(MesCiclo,-5)))+0,1))</f>
        <v/>
      </c>
      <c r="N6">
        <f>IFERROR(N(INDEX(C6:C29,MATCH(DATE(YEAR(MAX(HistInicio,EDATE(MesCiclo,-5))),MONTH(MAX(HistInicio,EDATE(MesCiclo,-5)))+0,1),B6:B29,0))),0)</f>
        <v/>
      </c>
      <c r="O6">
        <f>IFERROR(N(INDEX(E6:E29,MATCH(DATE(YEAR(MAX(HistInicio,EDATE(MesCiclo,-5))),MONTH(MAX(HistInicio,EDATE(MesCiclo,-5)))+0,1),B6:B29,0))),0)</f>
        <v/>
      </c>
      <c r="P6">
        <f>IFERROR(N(INDEX(G6:G29,MATCH(DATE(YEAR(MAX(HistInicio,EDATE(MesCiclo,-5))),MONTH(MAX(HistInicio,EDATE(MesCiclo,-5)))+0,1),B6:B29,0))),0)</f>
        <v/>
      </c>
      <c r="Q6">
        <f>IFERROR(N(INDEX(I6:I29,MATCH(DATE(YEAR(MAX(HistInicio,EDATE(MesCiclo,-5))),MONTH(MAX(HistInicio,EDATE(MesCiclo,-5)))+0,1),B6:B29,0))),0)</f>
        <v/>
      </c>
    </row>
    <row r="7" ht="20" customHeight="1">
      <c r="B7" s="52">
        <f>DATE(YEAR(HistInicio),MONTH(HistInicio)+1,1)</f>
        <v/>
      </c>
      <c r="C7" s="20">
        <f>IF(COUNTIFS(rMes_RO,$B7,rTipo_RO,"Macro")=0,"Sin datos",IF(ABS(SUMIFS(rPeso_RO,rMes_RO,$B7,rTipo_RO,"Macro")-1)&gt;0.0001,"Pesos ≠ 100%",SUMPRODUCT(--((rMes_RO=$B7)*(rTipo_RO="Macro")),rPeso_RO,rAvance_RO)))</f>
        <v/>
      </c>
      <c r="D7" s="22">
        <f>IF(COUNTIFS(rMes_RO,$B7,rTipo_RO,"Macro")=0,"",COUNTIFS(rEstado_RO,"Completado",rMes_RO,$B7,rTipo_RO,"Macro")&amp;" / "&amp;COUNTIFS(rMes_RO,$B7,rTipo_RO,"Macro"))</f>
        <v/>
      </c>
      <c r="E7" s="20">
        <f>IF(COUNTIFS(rMes_RN,$B7,rTipo_RN,"Macro")=0,"Sin datos",IF(ABS(SUMIFS(rPeso_RN,rMes_RN,$B7,rTipo_RN,"Macro")-1)&gt;0.0001,"Pesos ≠ 100%",SUMPRODUCT(--((rMes_RN=$B7)*(rTipo_RN="Macro")),rPeso_RN,rAvance_RN)))</f>
        <v/>
      </c>
      <c r="F7" s="22">
        <f>IF(COUNTIFS(rMes_RN,$B7,rTipo_RN,"Macro")=0,"",COUNTIFS(rEstado_RN,"Completado",rMes_RN,$B7,rTipo_RN,"Macro")&amp;" / "&amp;COUNTIFS(rMes_RN,$B7,rTipo_RN,"Macro"))</f>
        <v/>
      </c>
      <c r="G7" s="20">
        <f>IF(COUNTIFS(rMes_RF,$B7,rTipo_RF,"Macro")=0,"Sin datos",IF(ABS(SUMIFS(rPeso_RF,rMes_RF,$B7,rTipo_RF,"Macro")-1)&gt;0.0001,"Pesos ≠ 100%",SUMPRODUCT(--((rMes_RF=$B7)*(rTipo_RF="Macro")),rPeso_RF,rAvance_RF)))</f>
        <v/>
      </c>
      <c r="H7" s="22">
        <f>IF(COUNTIFS(rMes_RF,$B7,rTipo_RF,"Macro")=0,"",COUNTIFS(rEstado_RF,"Completado",rMes_RF,$B7,rTipo_RF,"Macro")&amp;" / "&amp;COUNTIFS(rMes_RF,$B7,rTipo_RF,"Macro"))</f>
        <v/>
      </c>
      <c r="I7" s="20">
        <f>IF(COUNTIFS(rMes_ATR,$B7,rTipo_ATR,"Macro")=0,"Sin datos",IF(ABS(SUMIFS(rPeso_ATR,rMes_ATR,$B7,rTipo_ATR,"Macro")-1)&gt;0.0001,"Pesos ≠ 100%",SUMPRODUCT(--((rMes_ATR=$B7)*(rTipo_ATR="Macro")),rPeso_ATR,rAvance_ATR)))</f>
        <v/>
      </c>
      <c r="J7" s="22">
        <f>IF(COUNTIFS(rMes_ATR,$B7,rTipo_ATR,"Macro")=0,"",COUNTIFS(rEstado_ATR,"Completado",rMes_ATR,$B7,rTipo_ATR,"Macro")&amp;" / "&amp;COUNTIFS(rMes_ATR,$B7,rTipo_ATR,"Macro"))</f>
        <v/>
      </c>
      <c r="K7" s="53">
        <f>IF(COUNT(C7,E7,G7,I7)=4,AVERAGE(C7,E7,G7,I7),IF(COUNTIF(C7:J7,"Sin datos")=4,"Sin datos","No definitivo"))</f>
        <v/>
      </c>
      <c r="M7">
        <f>CHOOSE(MONTH(DATE(YEAR(MAX(HistInicio,EDATE(MesCiclo,-5))),MONTH(MAX(HistInicio,EDATE(MesCiclo,-5)))+1,1)),"ene","feb","mar","abr","may","jun","jul","ago","sep","oct","nov","dic")&amp;" "&amp;YEAR(DATE(YEAR(MAX(HistInicio,EDATE(MesCiclo,-5))),MONTH(MAX(HistInicio,EDATE(MesCiclo,-5)))+1,1))</f>
        <v/>
      </c>
      <c r="N7">
        <f>IFERROR(N(INDEX(C6:C29,MATCH(DATE(YEAR(MAX(HistInicio,EDATE(MesCiclo,-5))),MONTH(MAX(HistInicio,EDATE(MesCiclo,-5)))+1,1),B6:B29,0))),0)</f>
        <v/>
      </c>
      <c r="O7">
        <f>IFERROR(N(INDEX(E6:E29,MATCH(DATE(YEAR(MAX(HistInicio,EDATE(MesCiclo,-5))),MONTH(MAX(HistInicio,EDATE(MesCiclo,-5)))+1,1),B6:B29,0))),0)</f>
        <v/>
      </c>
      <c r="P7">
        <f>IFERROR(N(INDEX(G6:G29,MATCH(DATE(YEAR(MAX(HistInicio,EDATE(MesCiclo,-5))),MONTH(MAX(HistInicio,EDATE(MesCiclo,-5)))+1,1),B6:B29,0))),0)</f>
        <v/>
      </c>
      <c r="Q7">
        <f>IFERROR(N(INDEX(I6:I29,MATCH(DATE(YEAR(MAX(HistInicio,EDATE(MesCiclo,-5))),MONTH(MAX(HistInicio,EDATE(MesCiclo,-5)))+1,1),B6:B29,0))),0)</f>
        <v/>
      </c>
    </row>
    <row r="8" ht="20" customHeight="1">
      <c r="B8" s="52">
        <f>DATE(YEAR(HistInicio),MONTH(HistInicio)+2,1)</f>
        <v/>
      </c>
      <c r="C8" s="20">
        <f>IF(COUNTIFS(rMes_RO,$B8,rTipo_RO,"Macro")=0,"Sin datos",IF(ABS(SUMIFS(rPeso_RO,rMes_RO,$B8,rTipo_RO,"Macro")-1)&gt;0.0001,"Pesos ≠ 100%",SUMPRODUCT(--((rMes_RO=$B8)*(rTipo_RO="Macro")),rPeso_RO,rAvance_RO)))</f>
        <v/>
      </c>
      <c r="D8" s="22">
        <f>IF(COUNTIFS(rMes_RO,$B8,rTipo_RO,"Macro")=0,"",COUNTIFS(rEstado_RO,"Completado",rMes_RO,$B8,rTipo_RO,"Macro")&amp;" / "&amp;COUNTIFS(rMes_RO,$B8,rTipo_RO,"Macro"))</f>
        <v/>
      </c>
      <c r="E8" s="20">
        <f>IF(COUNTIFS(rMes_RN,$B8,rTipo_RN,"Macro")=0,"Sin datos",IF(ABS(SUMIFS(rPeso_RN,rMes_RN,$B8,rTipo_RN,"Macro")-1)&gt;0.0001,"Pesos ≠ 100%",SUMPRODUCT(--((rMes_RN=$B8)*(rTipo_RN="Macro")),rPeso_RN,rAvance_RN)))</f>
        <v/>
      </c>
      <c r="F8" s="22">
        <f>IF(COUNTIFS(rMes_RN,$B8,rTipo_RN,"Macro")=0,"",COUNTIFS(rEstado_RN,"Completado",rMes_RN,$B8,rTipo_RN,"Macro")&amp;" / "&amp;COUNTIFS(rMes_RN,$B8,rTipo_RN,"Macro"))</f>
        <v/>
      </c>
      <c r="G8" s="20">
        <f>IF(COUNTIFS(rMes_RF,$B8,rTipo_RF,"Macro")=0,"Sin datos",IF(ABS(SUMIFS(rPeso_RF,rMes_RF,$B8,rTipo_RF,"Macro")-1)&gt;0.0001,"Pesos ≠ 100%",SUMPRODUCT(--((rMes_RF=$B8)*(rTipo_RF="Macro")),rPeso_RF,rAvance_RF)))</f>
        <v/>
      </c>
      <c r="H8" s="22">
        <f>IF(COUNTIFS(rMes_RF,$B8,rTipo_RF,"Macro")=0,"",COUNTIFS(rEstado_RF,"Completado",rMes_RF,$B8,rTipo_RF,"Macro")&amp;" / "&amp;COUNTIFS(rMes_RF,$B8,rTipo_RF,"Macro"))</f>
        <v/>
      </c>
      <c r="I8" s="20">
        <f>IF(COUNTIFS(rMes_ATR,$B8,rTipo_ATR,"Macro")=0,"Sin datos",IF(ABS(SUMIFS(rPeso_ATR,rMes_ATR,$B8,rTipo_ATR,"Macro")-1)&gt;0.0001,"Pesos ≠ 100%",SUMPRODUCT(--((rMes_ATR=$B8)*(rTipo_ATR="Macro")),rPeso_ATR,rAvance_ATR)))</f>
        <v/>
      </c>
      <c r="J8" s="22">
        <f>IF(COUNTIFS(rMes_ATR,$B8,rTipo_ATR,"Macro")=0,"",COUNTIFS(rEstado_ATR,"Completado",rMes_ATR,$B8,rTipo_ATR,"Macro")&amp;" / "&amp;COUNTIFS(rMes_ATR,$B8,rTipo_ATR,"Macro"))</f>
        <v/>
      </c>
      <c r="K8" s="53">
        <f>IF(COUNT(C8,E8,G8,I8)=4,AVERAGE(C8,E8,G8,I8),IF(COUNTIF(C8:J8,"Sin datos")=4,"Sin datos","No definitivo"))</f>
        <v/>
      </c>
      <c r="M8">
        <f>CHOOSE(MONTH(DATE(YEAR(MAX(HistInicio,EDATE(MesCiclo,-5))),MONTH(MAX(HistInicio,EDATE(MesCiclo,-5)))+2,1)),"ene","feb","mar","abr","may","jun","jul","ago","sep","oct","nov","dic")&amp;" "&amp;YEAR(DATE(YEAR(MAX(HistInicio,EDATE(MesCiclo,-5))),MONTH(MAX(HistInicio,EDATE(MesCiclo,-5)))+2,1))</f>
        <v/>
      </c>
      <c r="N8">
        <f>IFERROR(N(INDEX(C6:C29,MATCH(DATE(YEAR(MAX(HistInicio,EDATE(MesCiclo,-5))),MONTH(MAX(HistInicio,EDATE(MesCiclo,-5)))+2,1),B6:B29,0))),0)</f>
        <v/>
      </c>
      <c r="O8">
        <f>IFERROR(N(INDEX(E6:E29,MATCH(DATE(YEAR(MAX(HistInicio,EDATE(MesCiclo,-5))),MONTH(MAX(HistInicio,EDATE(MesCiclo,-5)))+2,1),B6:B29,0))),0)</f>
        <v/>
      </c>
      <c r="P8">
        <f>IFERROR(N(INDEX(G6:G29,MATCH(DATE(YEAR(MAX(HistInicio,EDATE(MesCiclo,-5))),MONTH(MAX(HistInicio,EDATE(MesCiclo,-5)))+2,1),B6:B29,0))),0)</f>
        <v/>
      </c>
      <c r="Q8">
        <f>IFERROR(N(INDEX(I6:I29,MATCH(DATE(YEAR(MAX(HistInicio,EDATE(MesCiclo,-5))),MONTH(MAX(HistInicio,EDATE(MesCiclo,-5)))+2,1),B6:B29,0))),0)</f>
        <v/>
      </c>
    </row>
    <row r="9" ht="20" customHeight="1">
      <c r="B9" s="52">
        <f>DATE(YEAR(HistInicio),MONTH(HistInicio)+3,1)</f>
        <v/>
      </c>
      <c r="C9" s="20">
        <f>IF(COUNTIFS(rMes_RO,$B9,rTipo_RO,"Macro")=0,"Sin datos",IF(ABS(SUMIFS(rPeso_RO,rMes_RO,$B9,rTipo_RO,"Macro")-1)&gt;0.0001,"Pesos ≠ 100%",SUMPRODUCT(--((rMes_RO=$B9)*(rTipo_RO="Macro")),rPeso_RO,rAvance_RO)))</f>
        <v/>
      </c>
      <c r="D9" s="22">
        <f>IF(COUNTIFS(rMes_RO,$B9,rTipo_RO,"Macro")=0,"",COUNTIFS(rEstado_RO,"Completado",rMes_RO,$B9,rTipo_RO,"Macro")&amp;" / "&amp;COUNTIFS(rMes_RO,$B9,rTipo_RO,"Macro"))</f>
        <v/>
      </c>
      <c r="E9" s="20">
        <f>IF(COUNTIFS(rMes_RN,$B9,rTipo_RN,"Macro")=0,"Sin datos",IF(ABS(SUMIFS(rPeso_RN,rMes_RN,$B9,rTipo_RN,"Macro")-1)&gt;0.0001,"Pesos ≠ 100%",SUMPRODUCT(--((rMes_RN=$B9)*(rTipo_RN="Macro")),rPeso_RN,rAvance_RN)))</f>
        <v/>
      </c>
      <c r="F9" s="22">
        <f>IF(COUNTIFS(rMes_RN,$B9,rTipo_RN,"Macro")=0,"",COUNTIFS(rEstado_RN,"Completado",rMes_RN,$B9,rTipo_RN,"Macro")&amp;" / "&amp;COUNTIFS(rMes_RN,$B9,rTipo_RN,"Macro"))</f>
        <v/>
      </c>
      <c r="G9" s="20">
        <f>IF(COUNTIFS(rMes_RF,$B9,rTipo_RF,"Macro")=0,"Sin datos",IF(ABS(SUMIFS(rPeso_RF,rMes_RF,$B9,rTipo_RF,"Macro")-1)&gt;0.0001,"Pesos ≠ 100%",SUMPRODUCT(--((rMes_RF=$B9)*(rTipo_RF="Macro")),rPeso_RF,rAvance_RF)))</f>
        <v/>
      </c>
      <c r="H9" s="22">
        <f>IF(COUNTIFS(rMes_RF,$B9,rTipo_RF,"Macro")=0,"",COUNTIFS(rEstado_RF,"Completado",rMes_RF,$B9,rTipo_RF,"Macro")&amp;" / "&amp;COUNTIFS(rMes_RF,$B9,rTipo_RF,"Macro"))</f>
        <v/>
      </c>
      <c r="I9" s="20">
        <f>IF(COUNTIFS(rMes_ATR,$B9,rTipo_ATR,"Macro")=0,"Sin datos",IF(ABS(SUMIFS(rPeso_ATR,rMes_ATR,$B9,rTipo_ATR,"Macro")-1)&gt;0.0001,"Pesos ≠ 100%",SUMPRODUCT(--((rMes_ATR=$B9)*(rTipo_ATR="Macro")),rPeso_ATR,rAvance_ATR)))</f>
        <v/>
      </c>
      <c r="J9" s="22">
        <f>IF(COUNTIFS(rMes_ATR,$B9,rTipo_ATR,"Macro")=0,"",COUNTIFS(rEstado_ATR,"Completado",rMes_ATR,$B9,rTipo_ATR,"Macro")&amp;" / "&amp;COUNTIFS(rMes_ATR,$B9,rTipo_ATR,"Macro"))</f>
        <v/>
      </c>
      <c r="K9" s="53">
        <f>IF(COUNT(C9,E9,G9,I9)=4,AVERAGE(C9,E9,G9,I9),IF(COUNTIF(C9:J9,"Sin datos")=4,"Sin datos","No definitivo"))</f>
        <v/>
      </c>
      <c r="M9">
        <f>CHOOSE(MONTH(DATE(YEAR(MAX(HistInicio,EDATE(MesCiclo,-5))),MONTH(MAX(HistInicio,EDATE(MesCiclo,-5)))+3,1)),"ene","feb","mar","abr","may","jun","jul","ago","sep","oct","nov","dic")&amp;" "&amp;YEAR(DATE(YEAR(MAX(HistInicio,EDATE(MesCiclo,-5))),MONTH(MAX(HistInicio,EDATE(MesCiclo,-5)))+3,1))</f>
        <v/>
      </c>
      <c r="N9">
        <f>IFERROR(N(INDEX(C6:C29,MATCH(DATE(YEAR(MAX(HistInicio,EDATE(MesCiclo,-5))),MONTH(MAX(HistInicio,EDATE(MesCiclo,-5)))+3,1),B6:B29,0))),0)</f>
        <v/>
      </c>
      <c r="O9">
        <f>IFERROR(N(INDEX(E6:E29,MATCH(DATE(YEAR(MAX(HistInicio,EDATE(MesCiclo,-5))),MONTH(MAX(HistInicio,EDATE(MesCiclo,-5)))+3,1),B6:B29,0))),0)</f>
        <v/>
      </c>
      <c r="P9">
        <f>IFERROR(N(INDEX(G6:G29,MATCH(DATE(YEAR(MAX(HistInicio,EDATE(MesCiclo,-5))),MONTH(MAX(HistInicio,EDATE(MesCiclo,-5)))+3,1),B6:B29,0))),0)</f>
        <v/>
      </c>
      <c r="Q9">
        <f>IFERROR(N(INDEX(I6:I29,MATCH(DATE(YEAR(MAX(HistInicio,EDATE(MesCiclo,-5))),MONTH(MAX(HistInicio,EDATE(MesCiclo,-5)))+3,1),B6:B29,0))),0)</f>
        <v/>
      </c>
    </row>
    <row r="10" ht="20" customHeight="1">
      <c r="B10" s="52">
        <f>DATE(YEAR(HistInicio),MONTH(HistInicio)+4,1)</f>
        <v/>
      </c>
      <c r="C10" s="20">
        <f>IF(COUNTIFS(rMes_RO,$B10,rTipo_RO,"Macro")=0,"Sin datos",IF(ABS(SUMIFS(rPeso_RO,rMes_RO,$B10,rTipo_RO,"Macro")-1)&gt;0.0001,"Pesos ≠ 100%",SUMPRODUCT(--((rMes_RO=$B10)*(rTipo_RO="Macro")),rPeso_RO,rAvance_RO)))</f>
        <v/>
      </c>
      <c r="D10" s="22">
        <f>IF(COUNTIFS(rMes_RO,$B10,rTipo_RO,"Macro")=0,"",COUNTIFS(rEstado_RO,"Completado",rMes_RO,$B10,rTipo_RO,"Macro")&amp;" / "&amp;COUNTIFS(rMes_RO,$B10,rTipo_RO,"Macro"))</f>
        <v/>
      </c>
      <c r="E10" s="20">
        <f>IF(COUNTIFS(rMes_RN,$B10,rTipo_RN,"Macro")=0,"Sin datos",IF(ABS(SUMIFS(rPeso_RN,rMes_RN,$B10,rTipo_RN,"Macro")-1)&gt;0.0001,"Pesos ≠ 100%",SUMPRODUCT(--((rMes_RN=$B10)*(rTipo_RN="Macro")),rPeso_RN,rAvance_RN)))</f>
        <v/>
      </c>
      <c r="F10" s="22">
        <f>IF(COUNTIFS(rMes_RN,$B10,rTipo_RN,"Macro")=0,"",COUNTIFS(rEstado_RN,"Completado",rMes_RN,$B10,rTipo_RN,"Macro")&amp;" / "&amp;COUNTIFS(rMes_RN,$B10,rTipo_RN,"Macro"))</f>
        <v/>
      </c>
      <c r="G10" s="20">
        <f>IF(COUNTIFS(rMes_RF,$B10,rTipo_RF,"Macro")=0,"Sin datos",IF(ABS(SUMIFS(rPeso_RF,rMes_RF,$B10,rTipo_RF,"Macro")-1)&gt;0.0001,"Pesos ≠ 100%",SUMPRODUCT(--((rMes_RF=$B10)*(rTipo_RF="Macro")),rPeso_RF,rAvance_RF)))</f>
        <v/>
      </c>
      <c r="H10" s="22">
        <f>IF(COUNTIFS(rMes_RF,$B10,rTipo_RF,"Macro")=0,"",COUNTIFS(rEstado_RF,"Completado",rMes_RF,$B10,rTipo_RF,"Macro")&amp;" / "&amp;COUNTIFS(rMes_RF,$B10,rTipo_RF,"Macro"))</f>
        <v/>
      </c>
      <c r="I10" s="20">
        <f>IF(COUNTIFS(rMes_ATR,$B10,rTipo_ATR,"Macro")=0,"Sin datos",IF(ABS(SUMIFS(rPeso_ATR,rMes_ATR,$B10,rTipo_ATR,"Macro")-1)&gt;0.0001,"Pesos ≠ 100%",SUMPRODUCT(--((rMes_ATR=$B10)*(rTipo_ATR="Macro")),rPeso_ATR,rAvance_ATR)))</f>
        <v/>
      </c>
      <c r="J10" s="22">
        <f>IF(COUNTIFS(rMes_ATR,$B10,rTipo_ATR,"Macro")=0,"",COUNTIFS(rEstado_ATR,"Completado",rMes_ATR,$B10,rTipo_ATR,"Macro")&amp;" / "&amp;COUNTIFS(rMes_ATR,$B10,rTipo_ATR,"Macro"))</f>
        <v/>
      </c>
      <c r="K10" s="53">
        <f>IF(COUNT(C10,E10,G10,I10)=4,AVERAGE(C10,E10,G10,I10),IF(COUNTIF(C10:J10,"Sin datos")=4,"Sin datos","No definitivo"))</f>
        <v/>
      </c>
      <c r="M10">
        <f>CHOOSE(MONTH(DATE(YEAR(MAX(HistInicio,EDATE(MesCiclo,-5))),MONTH(MAX(HistInicio,EDATE(MesCiclo,-5)))+4,1)),"ene","feb","mar","abr","may","jun","jul","ago","sep","oct","nov","dic")&amp;" "&amp;YEAR(DATE(YEAR(MAX(HistInicio,EDATE(MesCiclo,-5))),MONTH(MAX(HistInicio,EDATE(MesCiclo,-5)))+4,1))</f>
        <v/>
      </c>
      <c r="N10">
        <f>IFERROR(N(INDEX(C6:C29,MATCH(DATE(YEAR(MAX(HistInicio,EDATE(MesCiclo,-5))),MONTH(MAX(HistInicio,EDATE(MesCiclo,-5)))+4,1),B6:B29,0))),0)</f>
        <v/>
      </c>
      <c r="O10">
        <f>IFERROR(N(INDEX(E6:E29,MATCH(DATE(YEAR(MAX(HistInicio,EDATE(MesCiclo,-5))),MONTH(MAX(HistInicio,EDATE(MesCiclo,-5)))+4,1),B6:B29,0))),0)</f>
        <v/>
      </c>
      <c r="P10">
        <f>IFERROR(N(INDEX(G6:G29,MATCH(DATE(YEAR(MAX(HistInicio,EDATE(MesCiclo,-5))),MONTH(MAX(HistInicio,EDATE(MesCiclo,-5)))+4,1),B6:B29,0))),0)</f>
        <v/>
      </c>
      <c r="Q10">
        <f>IFERROR(N(INDEX(I6:I29,MATCH(DATE(YEAR(MAX(HistInicio,EDATE(MesCiclo,-5))),MONTH(MAX(HistInicio,EDATE(MesCiclo,-5)))+4,1),B6:B29,0))),0)</f>
        <v/>
      </c>
    </row>
    <row r="11" ht="20" customHeight="1">
      <c r="B11" s="52">
        <f>DATE(YEAR(HistInicio),MONTH(HistInicio)+5,1)</f>
        <v/>
      </c>
      <c r="C11" s="20">
        <f>IF(COUNTIFS(rMes_RO,$B11,rTipo_RO,"Macro")=0,"Sin datos",IF(ABS(SUMIFS(rPeso_RO,rMes_RO,$B11,rTipo_RO,"Macro")-1)&gt;0.0001,"Pesos ≠ 100%",SUMPRODUCT(--((rMes_RO=$B11)*(rTipo_RO="Macro")),rPeso_RO,rAvance_RO)))</f>
        <v/>
      </c>
      <c r="D11" s="22">
        <f>IF(COUNTIFS(rMes_RO,$B11,rTipo_RO,"Macro")=0,"",COUNTIFS(rEstado_RO,"Completado",rMes_RO,$B11,rTipo_RO,"Macro")&amp;" / "&amp;COUNTIFS(rMes_RO,$B11,rTipo_RO,"Macro"))</f>
        <v/>
      </c>
      <c r="E11" s="20">
        <f>IF(COUNTIFS(rMes_RN,$B11,rTipo_RN,"Macro")=0,"Sin datos",IF(ABS(SUMIFS(rPeso_RN,rMes_RN,$B11,rTipo_RN,"Macro")-1)&gt;0.0001,"Pesos ≠ 100%",SUMPRODUCT(--((rMes_RN=$B11)*(rTipo_RN="Macro")),rPeso_RN,rAvance_RN)))</f>
        <v/>
      </c>
      <c r="F11" s="22">
        <f>IF(COUNTIFS(rMes_RN,$B11,rTipo_RN,"Macro")=0,"",COUNTIFS(rEstado_RN,"Completado",rMes_RN,$B11,rTipo_RN,"Macro")&amp;" / "&amp;COUNTIFS(rMes_RN,$B11,rTipo_RN,"Macro"))</f>
        <v/>
      </c>
      <c r="G11" s="20">
        <f>IF(COUNTIFS(rMes_RF,$B11,rTipo_RF,"Macro")=0,"Sin datos",IF(ABS(SUMIFS(rPeso_RF,rMes_RF,$B11,rTipo_RF,"Macro")-1)&gt;0.0001,"Pesos ≠ 100%",SUMPRODUCT(--((rMes_RF=$B11)*(rTipo_RF="Macro")),rPeso_RF,rAvance_RF)))</f>
        <v/>
      </c>
      <c r="H11" s="22">
        <f>IF(COUNTIFS(rMes_RF,$B11,rTipo_RF,"Macro")=0,"",COUNTIFS(rEstado_RF,"Completado",rMes_RF,$B11,rTipo_RF,"Macro")&amp;" / "&amp;COUNTIFS(rMes_RF,$B11,rTipo_RF,"Macro"))</f>
        <v/>
      </c>
      <c r="I11" s="20">
        <f>IF(COUNTIFS(rMes_ATR,$B11,rTipo_ATR,"Macro")=0,"Sin datos",IF(ABS(SUMIFS(rPeso_ATR,rMes_ATR,$B11,rTipo_ATR,"Macro")-1)&gt;0.0001,"Pesos ≠ 100%",SUMPRODUCT(--((rMes_ATR=$B11)*(rTipo_ATR="Macro")),rPeso_ATR,rAvance_ATR)))</f>
        <v/>
      </c>
      <c r="J11" s="22">
        <f>IF(COUNTIFS(rMes_ATR,$B11,rTipo_ATR,"Macro")=0,"",COUNTIFS(rEstado_ATR,"Completado",rMes_ATR,$B11,rTipo_ATR,"Macro")&amp;" / "&amp;COUNTIFS(rMes_ATR,$B11,rTipo_ATR,"Macro"))</f>
        <v/>
      </c>
      <c r="K11" s="53">
        <f>IF(COUNT(C11,E11,G11,I11)=4,AVERAGE(C11,E11,G11,I11),IF(COUNTIF(C11:J11,"Sin datos")=4,"Sin datos","No definitivo"))</f>
        <v/>
      </c>
      <c r="M11">
        <f>CHOOSE(MONTH(DATE(YEAR(MAX(HistInicio,EDATE(MesCiclo,-5))),MONTH(MAX(HistInicio,EDATE(MesCiclo,-5)))+5,1)),"ene","feb","mar","abr","may","jun","jul","ago","sep","oct","nov","dic")&amp;" "&amp;YEAR(DATE(YEAR(MAX(HistInicio,EDATE(MesCiclo,-5))),MONTH(MAX(HistInicio,EDATE(MesCiclo,-5)))+5,1))</f>
        <v/>
      </c>
      <c r="N11">
        <f>IFERROR(N(INDEX(C6:C29,MATCH(DATE(YEAR(MAX(HistInicio,EDATE(MesCiclo,-5))),MONTH(MAX(HistInicio,EDATE(MesCiclo,-5)))+5,1),B6:B29,0))),0)</f>
        <v/>
      </c>
      <c r="O11">
        <f>IFERROR(N(INDEX(E6:E29,MATCH(DATE(YEAR(MAX(HistInicio,EDATE(MesCiclo,-5))),MONTH(MAX(HistInicio,EDATE(MesCiclo,-5)))+5,1),B6:B29,0))),0)</f>
        <v/>
      </c>
      <c r="P11">
        <f>IFERROR(N(INDEX(G6:G29,MATCH(DATE(YEAR(MAX(HistInicio,EDATE(MesCiclo,-5))),MONTH(MAX(HistInicio,EDATE(MesCiclo,-5)))+5,1),B6:B29,0))),0)</f>
        <v/>
      </c>
      <c r="Q11">
        <f>IFERROR(N(INDEX(I6:I29,MATCH(DATE(YEAR(MAX(HistInicio,EDATE(MesCiclo,-5))),MONTH(MAX(HistInicio,EDATE(MesCiclo,-5)))+5,1),B6:B29,0))),0)</f>
        <v/>
      </c>
    </row>
    <row r="12" ht="20" customHeight="1">
      <c r="B12" s="52">
        <f>DATE(YEAR(HistInicio),MONTH(HistInicio)+6,1)</f>
        <v/>
      </c>
      <c r="C12" s="20">
        <f>IF(COUNTIFS(rMes_RO,$B12,rTipo_RO,"Macro")=0,"Sin datos",IF(ABS(SUMIFS(rPeso_RO,rMes_RO,$B12,rTipo_RO,"Macro")-1)&gt;0.0001,"Pesos ≠ 100%",SUMPRODUCT(--((rMes_RO=$B12)*(rTipo_RO="Macro")),rPeso_RO,rAvance_RO)))</f>
        <v/>
      </c>
      <c r="D12" s="22">
        <f>IF(COUNTIFS(rMes_RO,$B12,rTipo_RO,"Macro")=0,"",COUNTIFS(rEstado_RO,"Completado",rMes_RO,$B12,rTipo_RO,"Macro")&amp;" / "&amp;COUNTIFS(rMes_RO,$B12,rTipo_RO,"Macro"))</f>
        <v/>
      </c>
      <c r="E12" s="20">
        <f>IF(COUNTIFS(rMes_RN,$B12,rTipo_RN,"Macro")=0,"Sin datos",IF(ABS(SUMIFS(rPeso_RN,rMes_RN,$B12,rTipo_RN,"Macro")-1)&gt;0.0001,"Pesos ≠ 100%",SUMPRODUCT(--((rMes_RN=$B12)*(rTipo_RN="Macro")),rPeso_RN,rAvance_RN)))</f>
        <v/>
      </c>
      <c r="F12" s="22">
        <f>IF(COUNTIFS(rMes_RN,$B12,rTipo_RN,"Macro")=0,"",COUNTIFS(rEstado_RN,"Completado",rMes_RN,$B12,rTipo_RN,"Macro")&amp;" / "&amp;COUNTIFS(rMes_RN,$B12,rTipo_RN,"Macro"))</f>
        <v/>
      </c>
      <c r="G12" s="20">
        <f>IF(COUNTIFS(rMes_RF,$B12,rTipo_RF,"Macro")=0,"Sin datos",IF(ABS(SUMIFS(rPeso_RF,rMes_RF,$B12,rTipo_RF,"Macro")-1)&gt;0.0001,"Pesos ≠ 100%",SUMPRODUCT(--((rMes_RF=$B12)*(rTipo_RF="Macro")),rPeso_RF,rAvance_RF)))</f>
        <v/>
      </c>
      <c r="H12" s="22">
        <f>IF(COUNTIFS(rMes_RF,$B12,rTipo_RF,"Macro")=0,"",COUNTIFS(rEstado_RF,"Completado",rMes_RF,$B12,rTipo_RF,"Macro")&amp;" / "&amp;COUNTIFS(rMes_RF,$B12,rTipo_RF,"Macro"))</f>
        <v/>
      </c>
      <c r="I12" s="20">
        <f>IF(COUNTIFS(rMes_ATR,$B12,rTipo_ATR,"Macro")=0,"Sin datos",IF(ABS(SUMIFS(rPeso_ATR,rMes_ATR,$B12,rTipo_ATR,"Macro")-1)&gt;0.0001,"Pesos ≠ 100%",SUMPRODUCT(--((rMes_ATR=$B12)*(rTipo_ATR="Macro")),rPeso_ATR,rAvance_ATR)))</f>
        <v/>
      </c>
      <c r="J12" s="22">
        <f>IF(COUNTIFS(rMes_ATR,$B12,rTipo_ATR,"Macro")=0,"",COUNTIFS(rEstado_ATR,"Completado",rMes_ATR,$B12,rTipo_ATR,"Macro")&amp;" / "&amp;COUNTIFS(rMes_ATR,$B12,rTipo_ATR,"Macro"))</f>
        <v/>
      </c>
      <c r="K12" s="53">
        <f>IF(COUNT(C12,E12,G12,I12)=4,AVERAGE(C12,E12,G12,I12),IF(COUNTIF(C12:J12,"Sin datos")=4,"Sin datos","No definitivo"))</f>
        <v/>
      </c>
    </row>
    <row r="13" ht="20" customHeight="1">
      <c r="B13" s="52">
        <f>DATE(YEAR(HistInicio),MONTH(HistInicio)+7,1)</f>
        <v/>
      </c>
      <c r="C13" s="20">
        <f>IF(COUNTIFS(rMes_RO,$B13,rTipo_RO,"Macro")=0,"Sin datos",IF(ABS(SUMIFS(rPeso_RO,rMes_RO,$B13,rTipo_RO,"Macro")-1)&gt;0.0001,"Pesos ≠ 100%",SUMPRODUCT(--((rMes_RO=$B13)*(rTipo_RO="Macro")),rPeso_RO,rAvance_RO)))</f>
        <v/>
      </c>
      <c r="D13" s="22">
        <f>IF(COUNTIFS(rMes_RO,$B13,rTipo_RO,"Macro")=0,"",COUNTIFS(rEstado_RO,"Completado",rMes_RO,$B13,rTipo_RO,"Macro")&amp;" / "&amp;COUNTIFS(rMes_RO,$B13,rTipo_RO,"Macro"))</f>
        <v/>
      </c>
      <c r="E13" s="20">
        <f>IF(COUNTIFS(rMes_RN,$B13,rTipo_RN,"Macro")=0,"Sin datos",IF(ABS(SUMIFS(rPeso_RN,rMes_RN,$B13,rTipo_RN,"Macro")-1)&gt;0.0001,"Pesos ≠ 100%",SUMPRODUCT(--((rMes_RN=$B13)*(rTipo_RN="Macro")),rPeso_RN,rAvance_RN)))</f>
        <v/>
      </c>
      <c r="F13" s="22">
        <f>IF(COUNTIFS(rMes_RN,$B13,rTipo_RN,"Macro")=0,"",COUNTIFS(rEstado_RN,"Completado",rMes_RN,$B13,rTipo_RN,"Macro")&amp;" / "&amp;COUNTIFS(rMes_RN,$B13,rTipo_RN,"Macro"))</f>
        <v/>
      </c>
      <c r="G13" s="20">
        <f>IF(COUNTIFS(rMes_RF,$B13,rTipo_RF,"Macro")=0,"Sin datos",IF(ABS(SUMIFS(rPeso_RF,rMes_RF,$B13,rTipo_RF,"Macro")-1)&gt;0.0001,"Pesos ≠ 100%",SUMPRODUCT(--((rMes_RF=$B13)*(rTipo_RF="Macro")),rPeso_RF,rAvance_RF)))</f>
        <v/>
      </c>
      <c r="H13" s="22">
        <f>IF(COUNTIFS(rMes_RF,$B13,rTipo_RF,"Macro")=0,"",COUNTIFS(rEstado_RF,"Completado",rMes_RF,$B13,rTipo_RF,"Macro")&amp;" / "&amp;COUNTIFS(rMes_RF,$B13,rTipo_RF,"Macro"))</f>
        <v/>
      </c>
      <c r="I13" s="20">
        <f>IF(COUNTIFS(rMes_ATR,$B13,rTipo_ATR,"Macro")=0,"Sin datos",IF(ABS(SUMIFS(rPeso_ATR,rMes_ATR,$B13,rTipo_ATR,"Macro")-1)&gt;0.0001,"Pesos ≠ 100%",SUMPRODUCT(--((rMes_ATR=$B13)*(rTipo_ATR="Macro")),rPeso_ATR,rAvance_ATR)))</f>
        <v/>
      </c>
      <c r="J13" s="22">
        <f>IF(COUNTIFS(rMes_ATR,$B13,rTipo_ATR,"Macro")=0,"",COUNTIFS(rEstado_ATR,"Completado",rMes_ATR,$B13,rTipo_ATR,"Macro")&amp;" / "&amp;COUNTIFS(rMes_ATR,$B13,rTipo_ATR,"Macro"))</f>
        <v/>
      </c>
      <c r="K13" s="53">
        <f>IF(COUNT(C13,E13,G13,I13)=4,AVERAGE(C13,E13,G13,I13),IF(COUNTIF(C13:J13,"Sin datos")=4,"Sin datos","No definitivo"))</f>
        <v/>
      </c>
    </row>
    <row r="14" ht="20" customHeight="1">
      <c r="B14" s="52">
        <f>DATE(YEAR(HistInicio),MONTH(HistInicio)+8,1)</f>
        <v/>
      </c>
      <c r="C14" s="20">
        <f>IF(COUNTIFS(rMes_RO,$B14,rTipo_RO,"Macro")=0,"Sin datos",IF(ABS(SUMIFS(rPeso_RO,rMes_RO,$B14,rTipo_RO,"Macro")-1)&gt;0.0001,"Pesos ≠ 100%",SUMPRODUCT(--((rMes_RO=$B14)*(rTipo_RO="Macro")),rPeso_RO,rAvance_RO)))</f>
        <v/>
      </c>
      <c r="D14" s="22">
        <f>IF(COUNTIFS(rMes_RO,$B14,rTipo_RO,"Macro")=0,"",COUNTIFS(rEstado_RO,"Completado",rMes_RO,$B14,rTipo_RO,"Macro")&amp;" / "&amp;COUNTIFS(rMes_RO,$B14,rTipo_RO,"Macro"))</f>
        <v/>
      </c>
      <c r="E14" s="20">
        <f>IF(COUNTIFS(rMes_RN,$B14,rTipo_RN,"Macro")=0,"Sin datos",IF(ABS(SUMIFS(rPeso_RN,rMes_RN,$B14,rTipo_RN,"Macro")-1)&gt;0.0001,"Pesos ≠ 100%",SUMPRODUCT(--((rMes_RN=$B14)*(rTipo_RN="Macro")),rPeso_RN,rAvance_RN)))</f>
        <v/>
      </c>
      <c r="F14" s="22">
        <f>IF(COUNTIFS(rMes_RN,$B14,rTipo_RN,"Macro")=0,"",COUNTIFS(rEstado_RN,"Completado",rMes_RN,$B14,rTipo_RN,"Macro")&amp;" / "&amp;COUNTIFS(rMes_RN,$B14,rTipo_RN,"Macro"))</f>
        <v/>
      </c>
      <c r="G14" s="20">
        <f>IF(COUNTIFS(rMes_RF,$B14,rTipo_RF,"Macro")=0,"Sin datos",IF(ABS(SUMIFS(rPeso_RF,rMes_RF,$B14,rTipo_RF,"Macro")-1)&gt;0.0001,"Pesos ≠ 100%",SUMPRODUCT(--((rMes_RF=$B14)*(rTipo_RF="Macro")),rPeso_RF,rAvance_RF)))</f>
        <v/>
      </c>
      <c r="H14" s="22">
        <f>IF(COUNTIFS(rMes_RF,$B14,rTipo_RF,"Macro")=0,"",COUNTIFS(rEstado_RF,"Completado",rMes_RF,$B14,rTipo_RF,"Macro")&amp;" / "&amp;COUNTIFS(rMes_RF,$B14,rTipo_RF,"Macro"))</f>
        <v/>
      </c>
      <c r="I14" s="20">
        <f>IF(COUNTIFS(rMes_ATR,$B14,rTipo_ATR,"Macro")=0,"Sin datos",IF(ABS(SUMIFS(rPeso_ATR,rMes_ATR,$B14,rTipo_ATR,"Macro")-1)&gt;0.0001,"Pesos ≠ 100%",SUMPRODUCT(--((rMes_ATR=$B14)*(rTipo_ATR="Macro")),rPeso_ATR,rAvance_ATR)))</f>
        <v/>
      </c>
      <c r="J14" s="22">
        <f>IF(COUNTIFS(rMes_ATR,$B14,rTipo_ATR,"Macro")=0,"",COUNTIFS(rEstado_ATR,"Completado",rMes_ATR,$B14,rTipo_ATR,"Macro")&amp;" / "&amp;COUNTIFS(rMes_ATR,$B14,rTipo_ATR,"Macro"))</f>
        <v/>
      </c>
      <c r="K14" s="53">
        <f>IF(COUNT(C14,E14,G14,I14)=4,AVERAGE(C14,E14,G14,I14),IF(COUNTIF(C14:J14,"Sin datos")=4,"Sin datos","No definitivo"))</f>
        <v/>
      </c>
    </row>
    <row r="15" ht="20" customHeight="1">
      <c r="B15" s="52">
        <f>DATE(YEAR(HistInicio),MONTH(HistInicio)+9,1)</f>
        <v/>
      </c>
      <c r="C15" s="20">
        <f>IF(COUNTIFS(rMes_RO,$B15,rTipo_RO,"Macro")=0,"Sin datos",IF(ABS(SUMIFS(rPeso_RO,rMes_RO,$B15,rTipo_RO,"Macro")-1)&gt;0.0001,"Pesos ≠ 100%",SUMPRODUCT(--((rMes_RO=$B15)*(rTipo_RO="Macro")),rPeso_RO,rAvance_RO)))</f>
        <v/>
      </c>
      <c r="D15" s="22">
        <f>IF(COUNTIFS(rMes_RO,$B15,rTipo_RO,"Macro")=0,"",COUNTIFS(rEstado_RO,"Completado",rMes_RO,$B15,rTipo_RO,"Macro")&amp;" / "&amp;COUNTIFS(rMes_RO,$B15,rTipo_RO,"Macro"))</f>
        <v/>
      </c>
      <c r="E15" s="20">
        <f>IF(COUNTIFS(rMes_RN,$B15,rTipo_RN,"Macro")=0,"Sin datos",IF(ABS(SUMIFS(rPeso_RN,rMes_RN,$B15,rTipo_RN,"Macro")-1)&gt;0.0001,"Pesos ≠ 100%",SUMPRODUCT(--((rMes_RN=$B15)*(rTipo_RN="Macro")),rPeso_RN,rAvance_RN)))</f>
        <v/>
      </c>
      <c r="F15" s="22">
        <f>IF(COUNTIFS(rMes_RN,$B15,rTipo_RN,"Macro")=0,"",COUNTIFS(rEstado_RN,"Completado",rMes_RN,$B15,rTipo_RN,"Macro")&amp;" / "&amp;COUNTIFS(rMes_RN,$B15,rTipo_RN,"Macro"))</f>
        <v/>
      </c>
      <c r="G15" s="20">
        <f>IF(COUNTIFS(rMes_RF,$B15,rTipo_RF,"Macro")=0,"Sin datos",IF(ABS(SUMIFS(rPeso_RF,rMes_RF,$B15,rTipo_RF,"Macro")-1)&gt;0.0001,"Pesos ≠ 100%",SUMPRODUCT(--((rMes_RF=$B15)*(rTipo_RF="Macro")),rPeso_RF,rAvance_RF)))</f>
        <v/>
      </c>
      <c r="H15" s="22">
        <f>IF(COUNTIFS(rMes_RF,$B15,rTipo_RF,"Macro")=0,"",COUNTIFS(rEstado_RF,"Completado",rMes_RF,$B15,rTipo_RF,"Macro")&amp;" / "&amp;COUNTIFS(rMes_RF,$B15,rTipo_RF,"Macro"))</f>
        <v/>
      </c>
      <c r="I15" s="20">
        <f>IF(COUNTIFS(rMes_ATR,$B15,rTipo_ATR,"Macro")=0,"Sin datos",IF(ABS(SUMIFS(rPeso_ATR,rMes_ATR,$B15,rTipo_ATR,"Macro")-1)&gt;0.0001,"Pesos ≠ 100%",SUMPRODUCT(--((rMes_ATR=$B15)*(rTipo_ATR="Macro")),rPeso_ATR,rAvance_ATR)))</f>
        <v/>
      </c>
      <c r="J15" s="22">
        <f>IF(COUNTIFS(rMes_ATR,$B15,rTipo_ATR,"Macro")=0,"",COUNTIFS(rEstado_ATR,"Completado",rMes_ATR,$B15,rTipo_ATR,"Macro")&amp;" / "&amp;COUNTIFS(rMes_ATR,$B15,rTipo_ATR,"Macro"))</f>
        <v/>
      </c>
      <c r="K15" s="53">
        <f>IF(COUNT(C15,E15,G15,I15)=4,AVERAGE(C15,E15,G15,I15),IF(COUNTIF(C15:J15,"Sin datos")=4,"Sin datos","No definitivo"))</f>
        <v/>
      </c>
    </row>
    <row r="16" ht="20" customHeight="1">
      <c r="B16" s="52">
        <f>DATE(YEAR(HistInicio),MONTH(HistInicio)+10,1)</f>
        <v/>
      </c>
      <c r="C16" s="20">
        <f>IF(COUNTIFS(rMes_RO,$B16,rTipo_RO,"Macro")=0,"Sin datos",IF(ABS(SUMIFS(rPeso_RO,rMes_RO,$B16,rTipo_RO,"Macro")-1)&gt;0.0001,"Pesos ≠ 100%",SUMPRODUCT(--((rMes_RO=$B16)*(rTipo_RO="Macro")),rPeso_RO,rAvance_RO)))</f>
        <v/>
      </c>
      <c r="D16" s="22">
        <f>IF(COUNTIFS(rMes_RO,$B16,rTipo_RO,"Macro")=0,"",COUNTIFS(rEstado_RO,"Completado",rMes_RO,$B16,rTipo_RO,"Macro")&amp;" / "&amp;COUNTIFS(rMes_RO,$B16,rTipo_RO,"Macro"))</f>
        <v/>
      </c>
      <c r="E16" s="20">
        <f>IF(COUNTIFS(rMes_RN,$B16,rTipo_RN,"Macro")=0,"Sin datos",IF(ABS(SUMIFS(rPeso_RN,rMes_RN,$B16,rTipo_RN,"Macro")-1)&gt;0.0001,"Pesos ≠ 100%",SUMPRODUCT(--((rMes_RN=$B16)*(rTipo_RN="Macro")),rPeso_RN,rAvance_RN)))</f>
        <v/>
      </c>
      <c r="F16" s="22">
        <f>IF(COUNTIFS(rMes_RN,$B16,rTipo_RN,"Macro")=0,"",COUNTIFS(rEstado_RN,"Completado",rMes_RN,$B16,rTipo_RN,"Macro")&amp;" / "&amp;COUNTIFS(rMes_RN,$B16,rTipo_RN,"Macro"))</f>
        <v/>
      </c>
      <c r="G16" s="20">
        <f>IF(COUNTIFS(rMes_RF,$B16,rTipo_RF,"Macro")=0,"Sin datos",IF(ABS(SUMIFS(rPeso_RF,rMes_RF,$B16,rTipo_RF,"Macro")-1)&gt;0.0001,"Pesos ≠ 100%",SUMPRODUCT(--((rMes_RF=$B16)*(rTipo_RF="Macro")),rPeso_RF,rAvance_RF)))</f>
        <v/>
      </c>
      <c r="H16" s="22">
        <f>IF(COUNTIFS(rMes_RF,$B16,rTipo_RF,"Macro")=0,"",COUNTIFS(rEstado_RF,"Completado",rMes_RF,$B16,rTipo_RF,"Macro")&amp;" / "&amp;COUNTIFS(rMes_RF,$B16,rTipo_RF,"Macro"))</f>
        <v/>
      </c>
      <c r="I16" s="20">
        <f>IF(COUNTIFS(rMes_ATR,$B16,rTipo_ATR,"Macro")=0,"Sin datos",IF(ABS(SUMIFS(rPeso_ATR,rMes_ATR,$B16,rTipo_ATR,"Macro")-1)&gt;0.0001,"Pesos ≠ 100%",SUMPRODUCT(--((rMes_ATR=$B16)*(rTipo_ATR="Macro")),rPeso_ATR,rAvance_ATR)))</f>
        <v/>
      </c>
      <c r="J16" s="22">
        <f>IF(COUNTIFS(rMes_ATR,$B16,rTipo_ATR,"Macro")=0,"",COUNTIFS(rEstado_ATR,"Completado",rMes_ATR,$B16,rTipo_ATR,"Macro")&amp;" / "&amp;COUNTIFS(rMes_ATR,$B16,rTipo_ATR,"Macro"))</f>
        <v/>
      </c>
      <c r="K16" s="53">
        <f>IF(COUNT(C16,E16,G16,I16)=4,AVERAGE(C16,E16,G16,I16),IF(COUNTIF(C16:J16,"Sin datos")=4,"Sin datos","No definitivo"))</f>
        <v/>
      </c>
    </row>
    <row r="17" ht="20" customHeight="1">
      <c r="B17" s="52">
        <f>DATE(YEAR(HistInicio),MONTH(HistInicio)+11,1)</f>
        <v/>
      </c>
      <c r="C17" s="20">
        <f>IF(COUNTIFS(rMes_RO,$B17,rTipo_RO,"Macro")=0,"Sin datos",IF(ABS(SUMIFS(rPeso_RO,rMes_RO,$B17,rTipo_RO,"Macro")-1)&gt;0.0001,"Pesos ≠ 100%",SUMPRODUCT(--((rMes_RO=$B17)*(rTipo_RO="Macro")),rPeso_RO,rAvance_RO)))</f>
        <v/>
      </c>
      <c r="D17" s="22">
        <f>IF(COUNTIFS(rMes_RO,$B17,rTipo_RO,"Macro")=0,"",COUNTIFS(rEstado_RO,"Completado",rMes_RO,$B17,rTipo_RO,"Macro")&amp;" / "&amp;COUNTIFS(rMes_RO,$B17,rTipo_RO,"Macro"))</f>
        <v/>
      </c>
      <c r="E17" s="20">
        <f>IF(COUNTIFS(rMes_RN,$B17,rTipo_RN,"Macro")=0,"Sin datos",IF(ABS(SUMIFS(rPeso_RN,rMes_RN,$B17,rTipo_RN,"Macro")-1)&gt;0.0001,"Pesos ≠ 100%",SUMPRODUCT(--((rMes_RN=$B17)*(rTipo_RN="Macro")),rPeso_RN,rAvance_RN)))</f>
        <v/>
      </c>
      <c r="F17" s="22">
        <f>IF(COUNTIFS(rMes_RN,$B17,rTipo_RN,"Macro")=0,"",COUNTIFS(rEstado_RN,"Completado",rMes_RN,$B17,rTipo_RN,"Macro")&amp;" / "&amp;COUNTIFS(rMes_RN,$B17,rTipo_RN,"Macro"))</f>
        <v/>
      </c>
      <c r="G17" s="20">
        <f>IF(COUNTIFS(rMes_RF,$B17,rTipo_RF,"Macro")=0,"Sin datos",IF(ABS(SUMIFS(rPeso_RF,rMes_RF,$B17,rTipo_RF,"Macro")-1)&gt;0.0001,"Pesos ≠ 100%",SUMPRODUCT(--((rMes_RF=$B17)*(rTipo_RF="Macro")),rPeso_RF,rAvance_RF)))</f>
        <v/>
      </c>
      <c r="H17" s="22">
        <f>IF(COUNTIFS(rMes_RF,$B17,rTipo_RF,"Macro")=0,"",COUNTIFS(rEstado_RF,"Completado",rMes_RF,$B17,rTipo_RF,"Macro")&amp;" / "&amp;COUNTIFS(rMes_RF,$B17,rTipo_RF,"Macro"))</f>
        <v/>
      </c>
      <c r="I17" s="20">
        <f>IF(COUNTIFS(rMes_ATR,$B17,rTipo_ATR,"Macro")=0,"Sin datos",IF(ABS(SUMIFS(rPeso_ATR,rMes_ATR,$B17,rTipo_ATR,"Macro")-1)&gt;0.0001,"Pesos ≠ 100%",SUMPRODUCT(--((rMes_ATR=$B17)*(rTipo_ATR="Macro")),rPeso_ATR,rAvance_ATR)))</f>
        <v/>
      </c>
      <c r="J17" s="22">
        <f>IF(COUNTIFS(rMes_ATR,$B17,rTipo_ATR,"Macro")=0,"",COUNTIFS(rEstado_ATR,"Completado",rMes_ATR,$B17,rTipo_ATR,"Macro")&amp;" / "&amp;COUNTIFS(rMes_ATR,$B17,rTipo_ATR,"Macro"))</f>
        <v/>
      </c>
      <c r="K17" s="53">
        <f>IF(COUNT(C17,E17,G17,I17)=4,AVERAGE(C17,E17,G17,I17),IF(COUNTIF(C17:J17,"Sin datos")=4,"Sin datos","No definitivo"))</f>
        <v/>
      </c>
    </row>
    <row r="18" ht="20" customHeight="1">
      <c r="B18" s="52">
        <f>DATE(YEAR(HistInicio),MONTH(HistInicio)+12,1)</f>
        <v/>
      </c>
      <c r="C18" s="20">
        <f>IF(COUNTIFS(rMes_RO,$B18,rTipo_RO,"Macro")=0,"Sin datos",IF(ABS(SUMIFS(rPeso_RO,rMes_RO,$B18,rTipo_RO,"Macro")-1)&gt;0.0001,"Pesos ≠ 100%",SUMPRODUCT(--((rMes_RO=$B18)*(rTipo_RO="Macro")),rPeso_RO,rAvance_RO)))</f>
        <v/>
      </c>
      <c r="D18" s="22">
        <f>IF(COUNTIFS(rMes_RO,$B18,rTipo_RO,"Macro")=0,"",COUNTIFS(rEstado_RO,"Completado",rMes_RO,$B18,rTipo_RO,"Macro")&amp;" / "&amp;COUNTIFS(rMes_RO,$B18,rTipo_RO,"Macro"))</f>
        <v/>
      </c>
      <c r="E18" s="20">
        <f>IF(COUNTIFS(rMes_RN,$B18,rTipo_RN,"Macro")=0,"Sin datos",IF(ABS(SUMIFS(rPeso_RN,rMes_RN,$B18,rTipo_RN,"Macro")-1)&gt;0.0001,"Pesos ≠ 100%",SUMPRODUCT(--((rMes_RN=$B18)*(rTipo_RN="Macro")),rPeso_RN,rAvance_RN)))</f>
        <v/>
      </c>
      <c r="F18" s="22">
        <f>IF(COUNTIFS(rMes_RN,$B18,rTipo_RN,"Macro")=0,"",COUNTIFS(rEstado_RN,"Completado",rMes_RN,$B18,rTipo_RN,"Macro")&amp;" / "&amp;COUNTIFS(rMes_RN,$B18,rTipo_RN,"Macro"))</f>
        <v/>
      </c>
      <c r="G18" s="20">
        <f>IF(COUNTIFS(rMes_RF,$B18,rTipo_RF,"Macro")=0,"Sin datos",IF(ABS(SUMIFS(rPeso_RF,rMes_RF,$B18,rTipo_RF,"Macro")-1)&gt;0.0001,"Pesos ≠ 100%",SUMPRODUCT(--((rMes_RF=$B18)*(rTipo_RF="Macro")),rPeso_RF,rAvance_RF)))</f>
        <v/>
      </c>
      <c r="H18" s="22">
        <f>IF(COUNTIFS(rMes_RF,$B18,rTipo_RF,"Macro")=0,"",COUNTIFS(rEstado_RF,"Completado",rMes_RF,$B18,rTipo_RF,"Macro")&amp;" / "&amp;COUNTIFS(rMes_RF,$B18,rTipo_RF,"Macro"))</f>
        <v/>
      </c>
      <c r="I18" s="20">
        <f>IF(COUNTIFS(rMes_ATR,$B18,rTipo_ATR,"Macro")=0,"Sin datos",IF(ABS(SUMIFS(rPeso_ATR,rMes_ATR,$B18,rTipo_ATR,"Macro")-1)&gt;0.0001,"Pesos ≠ 100%",SUMPRODUCT(--((rMes_ATR=$B18)*(rTipo_ATR="Macro")),rPeso_ATR,rAvance_ATR)))</f>
        <v/>
      </c>
      <c r="J18" s="22">
        <f>IF(COUNTIFS(rMes_ATR,$B18,rTipo_ATR,"Macro")=0,"",COUNTIFS(rEstado_ATR,"Completado",rMes_ATR,$B18,rTipo_ATR,"Macro")&amp;" / "&amp;COUNTIFS(rMes_ATR,$B18,rTipo_ATR,"Macro"))</f>
        <v/>
      </c>
      <c r="K18" s="53">
        <f>IF(COUNT(C18,E18,G18,I18)=4,AVERAGE(C18,E18,G18,I18),IF(COUNTIF(C18:J18,"Sin datos")=4,"Sin datos","No definitivo"))</f>
        <v/>
      </c>
    </row>
    <row r="19" ht="20" customHeight="1">
      <c r="B19" s="52">
        <f>DATE(YEAR(HistInicio),MONTH(HistInicio)+13,1)</f>
        <v/>
      </c>
      <c r="C19" s="20">
        <f>IF(COUNTIFS(rMes_RO,$B19,rTipo_RO,"Macro")=0,"Sin datos",IF(ABS(SUMIFS(rPeso_RO,rMes_RO,$B19,rTipo_RO,"Macro")-1)&gt;0.0001,"Pesos ≠ 100%",SUMPRODUCT(--((rMes_RO=$B19)*(rTipo_RO="Macro")),rPeso_RO,rAvance_RO)))</f>
        <v/>
      </c>
      <c r="D19" s="22">
        <f>IF(COUNTIFS(rMes_RO,$B19,rTipo_RO,"Macro")=0,"",COUNTIFS(rEstado_RO,"Completado",rMes_RO,$B19,rTipo_RO,"Macro")&amp;" / "&amp;COUNTIFS(rMes_RO,$B19,rTipo_RO,"Macro"))</f>
        <v/>
      </c>
      <c r="E19" s="20">
        <f>IF(COUNTIFS(rMes_RN,$B19,rTipo_RN,"Macro")=0,"Sin datos",IF(ABS(SUMIFS(rPeso_RN,rMes_RN,$B19,rTipo_RN,"Macro")-1)&gt;0.0001,"Pesos ≠ 100%",SUMPRODUCT(--((rMes_RN=$B19)*(rTipo_RN="Macro")),rPeso_RN,rAvance_RN)))</f>
        <v/>
      </c>
      <c r="F19" s="22">
        <f>IF(COUNTIFS(rMes_RN,$B19,rTipo_RN,"Macro")=0,"",COUNTIFS(rEstado_RN,"Completado",rMes_RN,$B19,rTipo_RN,"Macro")&amp;" / "&amp;COUNTIFS(rMes_RN,$B19,rTipo_RN,"Macro"))</f>
        <v/>
      </c>
      <c r="G19" s="20">
        <f>IF(COUNTIFS(rMes_RF,$B19,rTipo_RF,"Macro")=0,"Sin datos",IF(ABS(SUMIFS(rPeso_RF,rMes_RF,$B19,rTipo_RF,"Macro")-1)&gt;0.0001,"Pesos ≠ 100%",SUMPRODUCT(--((rMes_RF=$B19)*(rTipo_RF="Macro")),rPeso_RF,rAvance_RF)))</f>
        <v/>
      </c>
      <c r="H19" s="22">
        <f>IF(COUNTIFS(rMes_RF,$B19,rTipo_RF,"Macro")=0,"",COUNTIFS(rEstado_RF,"Completado",rMes_RF,$B19,rTipo_RF,"Macro")&amp;" / "&amp;COUNTIFS(rMes_RF,$B19,rTipo_RF,"Macro"))</f>
        <v/>
      </c>
      <c r="I19" s="20">
        <f>IF(COUNTIFS(rMes_ATR,$B19,rTipo_ATR,"Macro")=0,"Sin datos",IF(ABS(SUMIFS(rPeso_ATR,rMes_ATR,$B19,rTipo_ATR,"Macro")-1)&gt;0.0001,"Pesos ≠ 100%",SUMPRODUCT(--((rMes_ATR=$B19)*(rTipo_ATR="Macro")),rPeso_ATR,rAvance_ATR)))</f>
        <v/>
      </c>
      <c r="J19" s="22">
        <f>IF(COUNTIFS(rMes_ATR,$B19,rTipo_ATR,"Macro")=0,"",COUNTIFS(rEstado_ATR,"Completado",rMes_ATR,$B19,rTipo_ATR,"Macro")&amp;" / "&amp;COUNTIFS(rMes_ATR,$B19,rTipo_ATR,"Macro"))</f>
        <v/>
      </c>
      <c r="K19" s="53">
        <f>IF(COUNT(C19,E19,G19,I19)=4,AVERAGE(C19,E19,G19,I19),IF(COUNTIF(C19:J19,"Sin datos")=4,"Sin datos","No definitivo"))</f>
        <v/>
      </c>
    </row>
    <row r="20" ht="20" customHeight="1">
      <c r="B20" s="52">
        <f>DATE(YEAR(HistInicio),MONTH(HistInicio)+14,1)</f>
        <v/>
      </c>
      <c r="C20" s="20">
        <f>IF(COUNTIFS(rMes_RO,$B20,rTipo_RO,"Macro")=0,"Sin datos",IF(ABS(SUMIFS(rPeso_RO,rMes_RO,$B20,rTipo_RO,"Macro")-1)&gt;0.0001,"Pesos ≠ 100%",SUMPRODUCT(--((rMes_RO=$B20)*(rTipo_RO="Macro")),rPeso_RO,rAvance_RO)))</f>
        <v/>
      </c>
      <c r="D20" s="22">
        <f>IF(COUNTIFS(rMes_RO,$B20,rTipo_RO,"Macro")=0,"",COUNTIFS(rEstado_RO,"Completado",rMes_RO,$B20,rTipo_RO,"Macro")&amp;" / "&amp;COUNTIFS(rMes_RO,$B20,rTipo_RO,"Macro"))</f>
        <v/>
      </c>
      <c r="E20" s="20">
        <f>IF(COUNTIFS(rMes_RN,$B20,rTipo_RN,"Macro")=0,"Sin datos",IF(ABS(SUMIFS(rPeso_RN,rMes_RN,$B20,rTipo_RN,"Macro")-1)&gt;0.0001,"Pesos ≠ 100%",SUMPRODUCT(--((rMes_RN=$B20)*(rTipo_RN="Macro")),rPeso_RN,rAvance_RN)))</f>
        <v/>
      </c>
      <c r="F20" s="22">
        <f>IF(COUNTIFS(rMes_RN,$B20,rTipo_RN,"Macro")=0,"",COUNTIFS(rEstado_RN,"Completado",rMes_RN,$B20,rTipo_RN,"Macro")&amp;" / "&amp;COUNTIFS(rMes_RN,$B20,rTipo_RN,"Macro"))</f>
        <v/>
      </c>
      <c r="G20" s="20">
        <f>IF(COUNTIFS(rMes_RF,$B20,rTipo_RF,"Macro")=0,"Sin datos",IF(ABS(SUMIFS(rPeso_RF,rMes_RF,$B20,rTipo_RF,"Macro")-1)&gt;0.0001,"Pesos ≠ 100%",SUMPRODUCT(--((rMes_RF=$B20)*(rTipo_RF="Macro")),rPeso_RF,rAvance_RF)))</f>
        <v/>
      </c>
      <c r="H20" s="22">
        <f>IF(COUNTIFS(rMes_RF,$B20,rTipo_RF,"Macro")=0,"",COUNTIFS(rEstado_RF,"Completado",rMes_RF,$B20,rTipo_RF,"Macro")&amp;" / "&amp;COUNTIFS(rMes_RF,$B20,rTipo_RF,"Macro"))</f>
        <v/>
      </c>
      <c r="I20" s="20">
        <f>IF(COUNTIFS(rMes_ATR,$B20,rTipo_ATR,"Macro")=0,"Sin datos",IF(ABS(SUMIFS(rPeso_ATR,rMes_ATR,$B20,rTipo_ATR,"Macro")-1)&gt;0.0001,"Pesos ≠ 100%",SUMPRODUCT(--((rMes_ATR=$B20)*(rTipo_ATR="Macro")),rPeso_ATR,rAvance_ATR)))</f>
        <v/>
      </c>
      <c r="J20" s="22">
        <f>IF(COUNTIFS(rMes_ATR,$B20,rTipo_ATR,"Macro")=0,"",COUNTIFS(rEstado_ATR,"Completado",rMes_ATR,$B20,rTipo_ATR,"Macro")&amp;" / "&amp;COUNTIFS(rMes_ATR,$B20,rTipo_ATR,"Macro"))</f>
        <v/>
      </c>
      <c r="K20" s="53">
        <f>IF(COUNT(C20,E20,G20,I20)=4,AVERAGE(C20,E20,G20,I20),IF(COUNTIF(C20:J20,"Sin datos")=4,"Sin datos","No definitivo"))</f>
        <v/>
      </c>
    </row>
    <row r="21" ht="20" customHeight="1">
      <c r="B21" s="52">
        <f>DATE(YEAR(HistInicio),MONTH(HistInicio)+15,1)</f>
        <v/>
      </c>
      <c r="C21" s="20">
        <f>IF(COUNTIFS(rMes_RO,$B21,rTipo_RO,"Macro")=0,"Sin datos",IF(ABS(SUMIFS(rPeso_RO,rMes_RO,$B21,rTipo_RO,"Macro")-1)&gt;0.0001,"Pesos ≠ 100%",SUMPRODUCT(--((rMes_RO=$B21)*(rTipo_RO="Macro")),rPeso_RO,rAvance_RO)))</f>
        <v/>
      </c>
      <c r="D21" s="22">
        <f>IF(COUNTIFS(rMes_RO,$B21,rTipo_RO,"Macro")=0,"",COUNTIFS(rEstado_RO,"Completado",rMes_RO,$B21,rTipo_RO,"Macro")&amp;" / "&amp;COUNTIFS(rMes_RO,$B21,rTipo_RO,"Macro"))</f>
        <v/>
      </c>
      <c r="E21" s="20">
        <f>IF(COUNTIFS(rMes_RN,$B21,rTipo_RN,"Macro")=0,"Sin datos",IF(ABS(SUMIFS(rPeso_RN,rMes_RN,$B21,rTipo_RN,"Macro")-1)&gt;0.0001,"Pesos ≠ 100%",SUMPRODUCT(--((rMes_RN=$B21)*(rTipo_RN="Macro")),rPeso_RN,rAvance_RN)))</f>
        <v/>
      </c>
      <c r="F21" s="22">
        <f>IF(COUNTIFS(rMes_RN,$B21,rTipo_RN,"Macro")=0,"",COUNTIFS(rEstado_RN,"Completado",rMes_RN,$B21,rTipo_RN,"Macro")&amp;" / "&amp;COUNTIFS(rMes_RN,$B21,rTipo_RN,"Macro"))</f>
        <v/>
      </c>
      <c r="G21" s="20">
        <f>IF(COUNTIFS(rMes_RF,$B21,rTipo_RF,"Macro")=0,"Sin datos",IF(ABS(SUMIFS(rPeso_RF,rMes_RF,$B21,rTipo_RF,"Macro")-1)&gt;0.0001,"Pesos ≠ 100%",SUMPRODUCT(--((rMes_RF=$B21)*(rTipo_RF="Macro")),rPeso_RF,rAvance_RF)))</f>
        <v/>
      </c>
      <c r="H21" s="22">
        <f>IF(COUNTIFS(rMes_RF,$B21,rTipo_RF,"Macro")=0,"",COUNTIFS(rEstado_RF,"Completado",rMes_RF,$B21,rTipo_RF,"Macro")&amp;" / "&amp;COUNTIFS(rMes_RF,$B21,rTipo_RF,"Macro"))</f>
        <v/>
      </c>
      <c r="I21" s="20">
        <f>IF(COUNTIFS(rMes_ATR,$B21,rTipo_ATR,"Macro")=0,"Sin datos",IF(ABS(SUMIFS(rPeso_ATR,rMes_ATR,$B21,rTipo_ATR,"Macro")-1)&gt;0.0001,"Pesos ≠ 100%",SUMPRODUCT(--((rMes_ATR=$B21)*(rTipo_ATR="Macro")),rPeso_ATR,rAvance_ATR)))</f>
        <v/>
      </c>
      <c r="J21" s="22">
        <f>IF(COUNTIFS(rMes_ATR,$B21,rTipo_ATR,"Macro")=0,"",COUNTIFS(rEstado_ATR,"Completado",rMes_ATR,$B21,rTipo_ATR,"Macro")&amp;" / "&amp;COUNTIFS(rMes_ATR,$B21,rTipo_ATR,"Macro"))</f>
        <v/>
      </c>
      <c r="K21" s="53">
        <f>IF(COUNT(C21,E21,G21,I21)=4,AVERAGE(C21,E21,G21,I21),IF(COUNTIF(C21:J21,"Sin datos")=4,"Sin datos","No definitivo"))</f>
        <v/>
      </c>
    </row>
    <row r="22" ht="20" customHeight="1">
      <c r="B22" s="52">
        <f>DATE(YEAR(HistInicio),MONTH(HistInicio)+16,1)</f>
        <v/>
      </c>
      <c r="C22" s="20">
        <f>IF(COUNTIFS(rMes_RO,$B22,rTipo_RO,"Macro")=0,"Sin datos",IF(ABS(SUMIFS(rPeso_RO,rMes_RO,$B22,rTipo_RO,"Macro")-1)&gt;0.0001,"Pesos ≠ 100%",SUMPRODUCT(--((rMes_RO=$B22)*(rTipo_RO="Macro")),rPeso_RO,rAvance_RO)))</f>
        <v/>
      </c>
      <c r="D22" s="22">
        <f>IF(COUNTIFS(rMes_RO,$B22,rTipo_RO,"Macro")=0,"",COUNTIFS(rEstado_RO,"Completado",rMes_RO,$B22,rTipo_RO,"Macro")&amp;" / "&amp;COUNTIFS(rMes_RO,$B22,rTipo_RO,"Macro"))</f>
        <v/>
      </c>
      <c r="E22" s="20">
        <f>IF(COUNTIFS(rMes_RN,$B22,rTipo_RN,"Macro")=0,"Sin datos",IF(ABS(SUMIFS(rPeso_RN,rMes_RN,$B22,rTipo_RN,"Macro")-1)&gt;0.0001,"Pesos ≠ 100%",SUMPRODUCT(--((rMes_RN=$B22)*(rTipo_RN="Macro")),rPeso_RN,rAvance_RN)))</f>
        <v/>
      </c>
      <c r="F22" s="22">
        <f>IF(COUNTIFS(rMes_RN,$B22,rTipo_RN,"Macro")=0,"",COUNTIFS(rEstado_RN,"Completado",rMes_RN,$B22,rTipo_RN,"Macro")&amp;" / "&amp;COUNTIFS(rMes_RN,$B22,rTipo_RN,"Macro"))</f>
        <v/>
      </c>
      <c r="G22" s="20">
        <f>IF(COUNTIFS(rMes_RF,$B22,rTipo_RF,"Macro")=0,"Sin datos",IF(ABS(SUMIFS(rPeso_RF,rMes_RF,$B22,rTipo_RF,"Macro")-1)&gt;0.0001,"Pesos ≠ 100%",SUMPRODUCT(--((rMes_RF=$B22)*(rTipo_RF="Macro")),rPeso_RF,rAvance_RF)))</f>
        <v/>
      </c>
      <c r="H22" s="22">
        <f>IF(COUNTIFS(rMes_RF,$B22,rTipo_RF,"Macro")=0,"",COUNTIFS(rEstado_RF,"Completado",rMes_RF,$B22,rTipo_RF,"Macro")&amp;" / "&amp;COUNTIFS(rMes_RF,$B22,rTipo_RF,"Macro"))</f>
        <v/>
      </c>
      <c r="I22" s="20">
        <f>IF(COUNTIFS(rMes_ATR,$B22,rTipo_ATR,"Macro")=0,"Sin datos",IF(ABS(SUMIFS(rPeso_ATR,rMes_ATR,$B22,rTipo_ATR,"Macro")-1)&gt;0.0001,"Pesos ≠ 100%",SUMPRODUCT(--((rMes_ATR=$B22)*(rTipo_ATR="Macro")),rPeso_ATR,rAvance_ATR)))</f>
        <v/>
      </c>
      <c r="J22" s="22">
        <f>IF(COUNTIFS(rMes_ATR,$B22,rTipo_ATR,"Macro")=0,"",COUNTIFS(rEstado_ATR,"Completado",rMes_ATR,$B22,rTipo_ATR,"Macro")&amp;" / "&amp;COUNTIFS(rMes_ATR,$B22,rTipo_ATR,"Macro"))</f>
        <v/>
      </c>
      <c r="K22" s="53">
        <f>IF(COUNT(C22,E22,G22,I22)=4,AVERAGE(C22,E22,G22,I22),IF(COUNTIF(C22:J22,"Sin datos")=4,"Sin datos","No definitivo"))</f>
        <v/>
      </c>
    </row>
    <row r="23" ht="20" customHeight="1">
      <c r="B23" s="52">
        <f>DATE(YEAR(HistInicio),MONTH(HistInicio)+17,1)</f>
        <v/>
      </c>
      <c r="C23" s="20">
        <f>IF(COUNTIFS(rMes_RO,$B23,rTipo_RO,"Macro")=0,"Sin datos",IF(ABS(SUMIFS(rPeso_RO,rMes_RO,$B23,rTipo_RO,"Macro")-1)&gt;0.0001,"Pesos ≠ 100%",SUMPRODUCT(--((rMes_RO=$B23)*(rTipo_RO="Macro")),rPeso_RO,rAvance_RO)))</f>
        <v/>
      </c>
      <c r="D23" s="22">
        <f>IF(COUNTIFS(rMes_RO,$B23,rTipo_RO,"Macro")=0,"",COUNTIFS(rEstado_RO,"Completado",rMes_RO,$B23,rTipo_RO,"Macro")&amp;" / "&amp;COUNTIFS(rMes_RO,$B23,rTipo_RO,"Macro"))</f>
        <v/>
      </c>
      <c r="E23" s="20">
        <f>IF(COUNTIFS(rMes_RN,$B23,rTipo_RN,"Macro")=0,"Sin datos",IF(ABS(SUMIFS(rPeso_RN,rMes_RN,$B23,rTipo_RN,"Macro")-1)&gt;0.0001,"Pesos ≠ 100%",SUMPRODUCT(--((rMes_RN=$B23)*(rTipo_RN="Macro")),rPeso_RN,rAvance_RN)))</f>
        <v/>
      </c>
      <c r="F23" s="22">
        <f>IF(COUNTIFS(rMes_RN,$B23,rTipo_RN,"Macro")=0,"",COUNTIFS(rEstado_RN,"Completado",rMes_RN,$B23,rTipo_RN,"Macro")&amp;" / "&amp;COUNTIFS(rMes_RN,$B23,rTipo_RN,"Macro"))</f>
        <v/>
      </c>
      <c r="G23" s="20">
        <f>IF(COUNTIFS(rMes_RF,$B23,rTipo_RF,"Macro")=0,"Sin datos",IF(ABS(SUMIFS(rPeso_RF,rMes_RF,$B23,rTipo_RF,"Macro")-1)&gt;0.0001,"Pesos ≠ 100%",SUMPRODUCT(--((rMes_RF=$B23)*(rTipo_RF="Macro")),rPeso_RF,rAvance_RF)))</f>
        <v/>
      </c>
      <c r="H23" s="22">
        <f>IF(COUNTIFS(rMes_RF,$B23,rTipo_RF,"Macro")=0,"",COUNTIFS(rEstado_RF,"Completado",rMes_RF,$B23,rTipo_RF,"Macro")&amp;" / "&amp;COUNTIFS(rMes_RF,$B23,rTipo_RF,"Macro"))</f>
        <v/>
      </c>
      <c r="I23" s="20">
        <f>IF(COUNTIFS(rMes_ATR,$B23,rTipo_ATR,"Macro")=0,"Sin datos",IF(ABS(SUMIFS(rPeso_ATR,rMes_ATR,$B23,rTipo_ATR,"Macro")-1)&gt;0.0001,"Pesos ≠ 100%",SUMPRODUCT(--((rMes_ATR=$B23)*(rTipo_ATR="Macro")),rPeso_ATR,rAvance_ATR)))</f>
        <v/>
      </c>
      <c r="J23" s="22">
        <f>IF(COUNTIFS(rMes_ATR,$B23,rTipo_ATR,"Macro")=0,"",COUNTIFS(rEstado_ATR,"Completado",rMes_ATR,$B23,rTipo_ATR,"Macro")&amp;" / "&amp;COUNTIFS(rMes_ATR,$B23,rTipo_ATR,"Macro"))</f>
        <v/>
      </c>
      <c r="K23" s="53">
        <f>IF(COUNT(C23,E23,G23,I23)=4,AVERAGE(C23,E23,G23,I23),IF(COUNTIF(C23:J23,"Sin datos")=4,"Sin datos","No definitivo"))</f>
        <v/>
      </c>
    </row>
    <row r="24" ht="20" customHeight="1">
      <c r="B24" s="52">
        <f>DATE(YEAR(HistInicio),MONTH(HistInicio)+18,1)</f>
        <v/>
      </c>
      <c r="C24" s="20">
        <f>IF(COUNTIFS(rMes_RO,$B24,rTipo_RO,"Macro")=0,"Sin datos",IF(ABS(SUMIFS(rPeso_RO,rMes_RO,$B24,rTipo_RO,"Macro")-1)&gt;0.0001,"Pesos ≠ 100%",SUMPRODUCT(--((rMes_RO=$B24)*(rTipo_RO="Macro")),rPeso_RO,rAvance_RO)))</f>
        <v/>
      </c>
      <c r="D24" s="22">
        <f>IF(COUNTIFS(rMes_RO,$B24,rTipo_RO,"Macro")=0,"",COUNTIFS(rEstado_RO,"Completado",rMes_RO,$B24,rTipo_RO,"Macro")&amp;" / "&amp;COUNTIFS(rMes_RO,$B24,rTipo_RO,"Macro"))</f>
        <v/>
      </c>
      <c r="E24" s="20">
        <f>IF(COUNTIFS(rMes_RN,$B24,rTipo_RN,"Macro")=0,"Sin datos",IF(ABS(SUMIFS(rPeso_RN,rMes_RN,$B24,rTipo_RN,"Macro")-1)&gt;0.0001,"Pesos ≠ 100%",SUMPRODUCT(--((rMes_RN=$B24)*(rTipo_RN="Macro")),rPeso_RN,rAvance_RN)))</f>
        <v/>
      </c>
      <c r="F24" s="22">
        <f>IF(COUNTIFS(rMes_RN,$B24,rTipo_RN,"Macro")=0,"",COUNTIFS(rEstado_RN,"Completado",rMes_RN,$B24,rTipo_RN,"Macro")&amp;" / "&amp;COUNTIFS(rMes_RN,$B24,rTipo_RN,"Macro"))</f>
        <v/>
      </c>
      <c r="G24" s="20">
        <f>IF(COUNTIFS(rMes_RF,$B24,rTipo_RF,"Macro")=0,"Sin datos",IF(ABS(SUMIFS(rPeso_RF,rMes_RF,$B24,rTipo_RF,"Macro")-1)&gt;0.0001,"Pesos ≠ 100%",SUMPRODUCT(--((rMes_RF=$B24)*(rTipo_RF="Macro")),rPeso_RF,rAvance_RF)))</f>
        <v/>
      </c>
      <c r="H24" s="22">
        <f>IF(COUNTIFS(rMes_RF,$B24,rTipo_RF,"Macro")=0,"",COUNTIFS(rEstado_RF,"Completado",rMes_RF,$B24,rTipo_RF,"Macro")&amp;" / "&amp;COUNTIFS(rMes_RF,$B24,rTipo_RF,"Macro"))</f>
        <v/>
      </c>
      <c r="I24" s="20">
        <f>IF(COUNTIFS(rMes_ATR,$B24,rTipo_ATR,"Macro")=0,"Sin datos",IF(ABS(SUMIFS(rPeso_ATR,rMes_ATR,$B24,rTipo_ATR,"Macro")-1)&gt;0.0001,"Pesos ≠ 100%",SUMPRODUCT(--((rMes_ATR=$B24)*(rTipo_ATR="Macro")),rPeso_ATR,rAvance_ATR)))</f>
        <v/>
      </c>
      <c r="J24" s="22">
        <f>IF(COUNTIFS(rMes_ATR,$B24,rTipo_ATR,"Macro")=0,"",COUNTIFS(rEstado_ATR,"Completado",rMes_ATR,$B24,rTipo_ATR,"Macro")&amp;" / "&amp;COUNTIFS(rMes_ATR,$B24,rTipo_ATR,"Macro"))</f>
        <v/>
      </c>
      <c r="K24" s="53">
        <f>IF(COUNT(C24,E24,G24,I24)=4,AVERAGE(C24,E24,G24,I24),IF(COUNTIF(C24:J24,"Sin datos")=4,"Sin datos","No definitivo"))</f>
        <v/>
      </c>
    </row>
    <row r="25" ht="20" customHeight="1">
      <c r="B25" s="52">
        <f>DATE(YEAR(HistInicio),MONTH(HistInicio)+19,1)</f>
        <v/>
      </c>
      <c r="C25" s="20">
        <f>IF(COUNTIFS(rMes_RO,$B25,rTipo_RO,"Macro")=0,"Sin datos",IF(ABS(SUMIFS(rPeso_RO,rMes_RO,$B25,rTipo_RO,"Macro")-1)&gt;0.0001,"Pesos ≠ 100%",SUMPRODUCT(--((rMes_RO=$B25)*(rTipo_RO="Macro")),rPeso_RO,rAvance_RO)))</f>
        <v/>
      </c>
      <c r="D25" s="22">
        <f>IF(COUNTIFS(rMes_RO,$B25,rTipo_RO,"Macro")=0,"",COUNTIFS(rEstado_RO,"Completado",rMes_RO,$B25,rTipo_RO,"Macro")&amp;" / "&amp;COUNTIFS(rMes_RO,$B25,rTipo_RO,"Macro"))</f>
        <v/>
      </c>
      <c r="E25" s="20">
        <f>IF(COUNTIFS(rMes_RN,$B25,rTipo_RN,"Macro")=0,"Sin datos",IF(ABS(SUMIFS(rPeso_RN,rMes_RN,$B25,rTipo_RN,"Macro")-1)&gt;0.0001,"Pesos ≠ 100%",SUMPRODUCT(--((rMes_RN=$B25)*(rTipo_RN="Macro")),rPeso_RN,rAvance_RN)))</f>
        <v/>
      </c>
      <c r="F25" s="22">
        <f>IF(COUNTIFS(rMes_RN,$B25,rTipo_RN,"Macro")=0,"",COUNTIFS(rEstado_RN,"Completado",rMes_RN,$B25,rTipo_RN,"Macro")&amp;" / "&amp;COUNTIFS(rMes_RN,$B25,rTipo_RN,"Macro"))</f>
        <v/>
      </c>
      <c r="G25" s="20">
        <f>IF(COUNTIFS(rMes_RF,$B25,rTipo_RF,"Macro")=0,"Sin datos",IF(ABS(SUMIFS(rPeso_RF,rMes_RF,$B25,rTipo_RF,"Macro")-1)&gt;0.0001,"Pesos ≠ 100%",SUMPRODUCT(--((rMes_RF=$B25)*(rTipo_RF="Macro")),rPeso_RF,rAvance_RF)))</f>
        <v/>
      </c>
      <c r="H25" s="22">
        <f>IF(COUNTIFS(rMes_RF,$B25,rTipo_RF,"Macro")=0,"",COUNTIFS(rEstado_RF,"Completado",rMes_RF,$B25,rTipo_RF,"Macro")&amp;" / "&amp;COUNTIFS(rMes_RF,$B25,rTipo_RF,"Macro"))</f>
        <v/>
      </c>
      <c r="I25" s="20">
        <f>IF(COUNTIFS(rMes_ATR,$B25,rTipo_ATR,"Macro")=0,"Sin datos",IF(ABS(SUMIFS(rPeso_ATR,rMes_ATR,$B25,rTipo_ATR,"Macro")-1)&gt;0.0001,"Pesos ≠ 100%",SUMPRODUCT(--((rMes_ATR=$B25)*(rTipo_ATR="Macro")),rPeso_ATR,rAvance_ATR)))</f>
        <v/>
      </c>
      <c r="J25" s="22">
        <f>IF(COUNTIFS(rMes_ATR,$B25,rTipo_ATR,"Macro")=0,"",COUNTIFS(rEstado_ATR,"Completado",rMes_ATR,$B25,rTipo_ATR,"Macro")&amp;" / "&amp;COUNTIFS(rMes_ATR,$B25,rTipo_ATR,"Macro"))</f>
        <v/>
      </c>
      <c r="K25" s="53">
        <f>IF(COUNT(C25,E25,G25,I25)=4,AVERAGE(C25,E25,G25,I25),IF(COUNTIF(C25:J25,"Sin datos")=4,"Sin datos","No definitivo"))</f>
        <v/>
      </c>
    </row>
    <row r="26" ht="20" customHeight="1">
      <c r="B26" s="52">
        <f>DATE(YEAR(HistInicio),MONTH(HistInicio)+20,1)</f>
        <v/>
      </c>
      <c r="C26" s="20">
        <f>IF(COUNTIFS(rMes_RO,$B26,rTipo_RO,"Macro")=0,"Sin datos",IF(ABS(SUMIFS(rPeso_RO,rMes_RO,$B26,rTipo_RO,"Macro")-1)&gt;0.0001,"Pesos ≠ 100%",SUMPRODUCT(--((rMes_RO=$B26)*(rTipo_RO="Macro")),rPeso_RO,rAvance_RO)))</f>
        <v/>
      </c>
      <c r="D26" s="22">
        <f>IF(COUNTIFS(rMes_RO,$B26,rTipo_RO,"Macro")=0,"",COUNTIFS(rEstado_RO,"Completado",rMes_RO,$B26,rTipo_RO,"Macro")&amp;" / "&amp;COUNTIFS(rMes_RO,$B26,rTipo_RO,"Macro"))</f>
        <v/>
      </c>
      <c r="E26" s="20">
        <f>IF(COUNTIFS(rMes_RN,$B26,rTipo_RN,"Macro")=0,"Sin datos",IF(ABS(SUMIFS(rPeso_RN,rMes_RN,$B26,rTipo_RN,"Macro")-1)&gt;0.0001,"Pesos ≠ 100%",SUMPRODUCT(--((rMes_RN=$B26)*(rTipo_RN="Macro")),rPeso_RN,rAvance_RN)))</f>
        <v/>
      </c>
      <c r="F26" s="22">
        <f>IF(COUNTIFS(rMes_RN,$B26,rTipo_RN,"Macro")=0,"",COUNTIFS(rEstado_RN,"Completado",rMes_RN,$B26,rTipo_RN,"Macro")&amp;" / "&amp;COUNTIFS(rMes_RN,$B26,rTipo_RN,"Macro"))</f>
        <v/>
      </c>
      <c r="G26" s="20">
        <f>IF(COUNTIFS(rMes_RF,$B26,rTipo_RF,"Macro")=0,"Sin datos",IF(ABS(SUMIFS(rPeso_RF,rMes_RF,$B26,rTipo_RF,"Macro")-1)&gt;0.0001,"Pesos ≠ 100%",SUMPRODUCT(--((rMes_RF=$B26)*(rTipo_RF="Macro")),rPeso_RF,rAvance_RF)))</f>
        <v/>
      </c>
      <c r="H26" s="22">
        <f>IF(COUNTIFS(rMes_RF,$B26,rTipo_RF,"Macro")=0,"",COUNTIFS(rEstado_RF,"Completado",rMes_RF,$B26,rTipo_RF,"Macro")&amp;" / "&amp;COUNTIFS(rMes_RF,$B26,rTipo_RF,"Macro"))</f>
        <v/>
      </c>
      <c r="I26" s="20">
        <f>IF(COUNTIFS(rMes_ATR,$B26,rTipo_ATR,"Macro")=0,"Sin datos",IF(ABS(SUMIFS(rPeso_ATR,rMes_ATR,$B26,rTipo_ATR,"Macro")-1)&gt;0.0001,"Pesos ≠ 100%",SUMPRODUCT(--((rMes_ATR=$B26)*(rTipo_ATR="Macro")),rPeso_ATR,rAvance_ATR)))</f>
        <v/>
      </c>
      <c r="J26" s="22">
        <f>IF(COUNTIFS(rMes_ATR,$B26,rTipo_ATR,"Macro")=0,"",COUNTIFS(rEstado_ATR,"Completado",rMes_ATR,$B26,rTipo_ATR,"Macro")&amp;" / "&amp;COUNTIFS(rMes_ATR,$B26,rTipo_ATR,"Macro"))</f>
        <v/>
      </c>
      <c r="K26" s="53">
        <f>IF(COUNT(C26,E26,G26,I26)=4,AVERAGE(C26,E26,G26,I26),IF(COUNTIF(C26:J26,"Sin datos")=4,"Sin datos","No definitivo"))</f>
        <v/>
      </c>
    </row>
    <row r="27" ht="20" customHeight="1">
      <c r="B27" s="52">
        <f>DATE(YEAR(HistInicio),MONTH(HistInicio)+21,1)</f>
        <v/>
      </c>
      <c r="C27" s="20">
        <f>IF(COUNTIFS(rMes_RO,$B27,rTipo_RO,"Macro")=0,"Sin datos",IF(ABS(SUMIFS(rPeso_RO,rMes_RO,$B27,rTipo_RO,"Macro")-1)&gt;0.0001,"Pesos ≠ 100%",SUMPRODUCT(--((rMes_RO=$B27)*(rTipo_RO="Macro")),rPeso_RO,rAvance_RO)))</f>
        <v/>
      </c>
      <c r="D27" s="22">
        <f>IF(COUNTIFS(rMes_RO,$B27,rTipo_RO,"Macro")=0,"",COUNTIFS(rEstado_RO,"Completado",rMes_RO,$B27,rTipo_RO,"Macro")&amp;" / "&amp;COUNTIFS(rMes_RO,$B27,rTipo_RO,"Macro"))</f>
        <v/>
      </c>
      <c r="E27" s="20">
        <f>IF(COUNTIFS(rMes_RN,$B27,rTipo_RN,"Macro")=0,"Sin datos",IF(ABS(SUMIFS(rPeso_RN,rMes_RN,$B27,rTipo_RN,"Macro")-1)&gt;0.0001,"Pesos ≠ 100%",SUMPRODUCT(--((rMes_RN=$B27)*(rTipo_RN="Macro")),rPeso_RN,rAvance_RN)))</f>
        <v/>
      </c>
      <c r="F27" s="22">
        <f>IF(COUNTIFS(rMes_RN,$B27,rTipo_RN,"Macro")=0,"",COUNTIFS(rEstado_RN,"Completado",rMes_RN,$B27,rTipo_RN,"Macro")&amp;" / "&amp;COUNTIFS(rMes_RN,$B27,rTipo_RN,"Macro"))</f>
        <v/>
      </c>
      <c r="G27" s="20">
        <f>IF(COUNTIFS(rMes_RF,$B27,rTipo_RF,"Macro")=0,"Sin datos",IF(ABS(SUMIFS(rPeso_RF,rMes_RF,$B27,rTipo_RF,"Macro")-1)&gt;0.0001,"Pesos ≠ 100%",SUMPRODUCT(--((rMes_RF=$B27)*(rTipo_RF="Macro")),rPeso_RF,rAvance_RF)))</f>
        <v/>
      </c>
      <c r="H27" s="22">
        <f>IF(COUNTIFS(rMes_RF,$B27,rTipo_RF,"Macro")=0,"",COUNTIFS(rEstado_RF,"Completado",rMes_RF,$B27,rTipo_RF,"Macro")&amp;" / "&amp;COUNTIFS(rMes_RF,$B27,rTipo_RF,"Macro"))</f>
        <v/>
      </c>
      <c r="I27" s="20">
        <f>IF(COUNTIFS(rMes_ATR,$B27,rTipo_ATR,"Macro")=0,"Sin datos",IF(ABS(SUMIFS(rPeso_ATR,rMes_ATR,$B27,rTipo_ATR,"Macro")-1)&gt;0.0001,"Pesos ≠ 100%",SUMPRODUCT(--((rMes_ATR=$B27)*(rTipo_ATR="Macro")),rPeso_ATR,rAvance_ATR)))</f>
        <v/>
      </c>
      <c r="J27" s="22">
        <f>IF(COUNTIFS(rMes_ATR,$B27,rTipo_ATR,"Macro")=0,"",COUNTIFS(rEstado_ATR,"Completado",rMes_ATR,$B27,rTipo_ATR,"Macro")&amp;" / "&amp;COUNTIFS(rMes_ATR,$B27,rTipo_ATR,"Macro"))</f>
        <v/>
      </c>
      <c r="K27" s="53">
        <f>IF(COUNT(C27,E27,G27,I27)=4,AVERAGE(C27,E27,G27,I27),IF(COUNTIF(C27:J27,"Sin datos")=4,"Sin datos","No definitivo"))</f>
        <v/>
      </c>
    </row>
    <row r="28" ht="20" customHeight="1">
      <c r="B28" s="52">
        <f>DATE(YEAR(HistInicio),MONTH(HistInicio)+22,1)</f>
        <v/>
      </c>
      <c r="C28" s="20">
        <f>IF(COUNTIFS(rMes_RO,$B28,rTipo_RO,"Macro")=0,"Sin datos",IF(ABS(SUMIFS(rPeso_RO,rMes_RO,$B28,rTipo_RO,"Macro")-1)&gt;0.0001,"Pesos ≠ 100%",SUMPRODUCT(--((rMes_RO=$B28)*(rTipo_RO="Macro")),rPeso_RO,rAvance_RO)))</f>
        <v/>
      </c>
      <c r="D28" s="22">
        <f>IF(COUNTIFS(rMes_RO,$B28,rTipo_RO,"Macro")=0,"",COUNTIFS(rEstado_RO,"Completado",rMes_RO,$B28,rTipo_RO,"Macro")&amp;" / "&amp;COUNTIFS(rMes_RO,$B28,rTipo_RO,"Macro"))</f>
        <v/>
      </c>
      <c r="E28" s="20">
        <f>IF(COUNTIFS(rMes_RN,$B28,rTipo_RN,"Macro")=0,"Sin datos",IF(ABS(SUMIFS(rPeso_RN,rMes_RN,$B28,rTipo_RN,"Macro")-1)&gt;0.0001,"Pesos ≠ 100%",SUMPRODUCT(--((rMes_RN=$B28)*(rTipo_RN="Macro")),rPeso_RN,rAvance_RN)))</f>
        <v/>
      </c>
      <c r="F28" s="22">
        <f>IF(COUNTIFS(rMes_RN,$B28,rTipo_RN,"Macro")=0,"",COUNTIFS(rEstado_RN,"Completado",rMes_RN,$B28,rTipo_RN,"Macro")&amp;" / "&amp;COUNTIFS(rMes_RN,$B28,rTipo_RN,"Macro"))</f>
        <v/>
      </c>
      <c r="G28" s="20">
        <f>IF(COUNTIFS(rMes_RF,$B28,rTipo_RF,"Macro")=0,"Sin datos",IF(ABS(SUMIFS(rPeso_RF,rMes_RF,$B28,rTipo_RF,"Macro")-1)&gt;0.0001,"Pesos ≠ 100%",SUMPRODUCT(--((rMes_RF=$B28)*(rTipo_RF="Macro")),rPeso_RF,rAvance_RF)))</f>
        <v/>
      </c>
      <c r="H28" s="22">
        <f>IF(COUNTIFS(rMes_RF,$B28,rTipo_RF,"Macro")=0,"",COUNTIFS(rEstado_RF,"Completado",rMes_RF,$B28,rTipo_RF,"Macro")&amp;" / "&amp;COUNTIFS(rMes_RF,$B28,rTipo_RF,"Macro"))</f>
        <v/>
      </c>
      <c r="I28" s="20">
        <f>IF(COUNTIFS(rMes_ATR,$B28,rTipo_ATR,"Macro")=0,"Sin datos",IF(ABS(SUMIFS(rPeso_ATR,rMes_ATR,$B28,rTipo_ATR,"Macro")-1)&gt;0.0001,"Pesos ≠ 100%",SUMPRODUCT(--((rMes_ATR=$B28)*(rTipo_ATR="Macro")),rPeso_ATR,rAvance_ATR)))</f>
        <v/>
      </c>
      <c r="J28" s="22">
        <f>IF(COUNTIFS(rMes_ATR,$B28,rTipo_ATR,"Macro")=0,"",COUNTIFS(rEstado_ATR,"Completado",rMes_ATR,$B28,rTipo_ATR,"Macro")&amp;" / "&amp;COUNTIFS(rMes_ATR,$B28,rTipo_ATR,"Macro"))</f>
        <v/>
      </c>
      <c r="K28" s="53">
        <f>IF(COUNT(C28,E28,G28,I28)=4,AVERAGE(C28,E28,G28,I28),IF(COUNTIF(C28:J28,"Sin datos")=4,"Sin datos","No definitivo"))</f>
        <v/>
      </c>
    </row>
    <row r="29" ht="20" customHeight="1">
      <c r="B29" s="52">
        <f>DATE(YEAR(HistInicio),MONTH(HistInicio)+23,1)</f>
        <v/>
      </c>
      <c r="C29" s="20">
        <f>IF(COUNTIFS(rMes_RO,$B29,rTipo_RO,"Macro")=0,"Sin datos",IF(ABS(SUMIFS(rPeso_RO,rMes_RO,$B29,rTipo_RO,"Macro")-1)&gt;0.0001,"Pesos ≠ 100%",SUMPRODUCT(--((rMes_RO=$B29)*(rTipo_RO="Macro")),rPeso_RO,rAvance_RO)))</f>
        <v/>
      </c>
      <c r="D29" s="22">
        <f>IF(COUNTIFS(rMes_RO,$B29,rTipo_RO,"Macro")=0,"",COUNTIFS(rEstado_RO,"Completado",rMes_RO,$B29,rTipo_RO,"Macro")&amp;" / "&amp;COUNTIFS(rMes_RO,$B29,rTipo_RO,"Macro"))</f>
        <v/>
      </c>
      <c r="E29" s="20">
        <f>IF(COUNTIFS(rMes_RN,$B29,rTipo_RN,"Macro")=0,"Sin datos",IF(ABS(SUMIFS(rPeso_RN,rMes_RN,$B29,rTipo_RN,"Macro")-1)&gt;0.0001,"Pesos ≠ 100%",SUMPRODUCT(--((rMes_RN=$B29)*(rTipo_RN="Macro")),rPeso_RN,rAvance_RN)))</f>
        <v/>
      </c>
      <c r="F29" s="22">
        <f>IF(COUNTIFS(rMes_RN,$B29,rTipo_RN,"Macro")=0,"",COUNTIFS(rEstado_RN,"Completado",rMes_RN,$B29,rTipo_RN,"Macro")&amp;" / "&amp;COUNTIFS(rMes_RN,$B29,rTipo_RN,"Macro"))</f>
        <v/>
      </c>
      <c r="G29" s="20">
        <f>IF(COUNTIFS(rMes_RF,$B29,rTipo_RF,"Macro")=0,"Sin datos",IF(ABS(SUMIFS(rPeso_RF,rMes_RF,$B29,rTipo_RF,"Macro")-1)&gt;0.0001,"Pesos ≠ 100%",SUMPRODUCT(--((rMes_RF=$B29)*(rTipo_RF="Macro")),rPeso_RF,rAvance_RF)))</f>
        <v/>
      </c>
      <c r="H29" s="22">
        <f>IF(COUNTIFS(rMes_RF,$B29,rTipo_RF,"Macro")=0,"",COUNTIFS(rEstado_RF,"Completado",rMes_RF,$B29,rTipo_RF,"Macro")&amp;" / "&amp;COUNTIFS(rMes_RF,$B29,rTipo_RF,"Macro"))</f>
        <v/>
      </c>
      <c r="I29" s="20">
        <f>IF(COUNTIFS(rMes_ATR,$B29,rTipo_ATR,"Macro")=0,"Sin datos",IF(ABS(SUMIFS(rPeso_ATR,rMes_ATR,$B29,rTipo_ATR,"Macro")-1)&gt;0.0001,"Pesos ≠ 100%",SUMPRODUCT(--((rMes_ATR=$B29)*(rTipo_ATR="Macro")),rPeso_ATR,rAvance_ATR)))</f>
        <v/>
      </c>
      <c r="J29" s="22">
        <f>IF(COUNTIFS(rMes_ATR,$B29,rTipo_ATR,"Macro")=0,"",COUNTIFS(rEstado_ATR,"Completado",rMes_ATR,$B29,rTipo_ATR,"Macro")&amp;" / "&amp;COUNTIFS(rMes_ATR,$B29,rTipo_ATR,"Macro"))</f>
        <v/>
      </c>
      <c r="K29" s="53">
        <f>IF(COUNT(C29,E29,G29,I29)=4,AVERAGE(C29,E29,G29,I29),IF(COUNTIF(C29:J29,"Sin datos")=4,"Sin datos","No definitivo"))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G4:H4"/>
    <mergeCell ref="E4:F4"/>
    <mergeCell ref="I4:J4"/>
    <mergeCell ref="B1:K1"/>
    <mergeCell ref="B4:B5"/>
    <mergeCell ref="K4:K5"/>
    <mergeCell ref="B2:K2"/>
    <mergeCell ref="C4:D4"/>
  </mergeCells>
  <conditionalFormatting sqref="C6:K29">
    <cfRule type="expression" priority="1" dxfId="0">
      <formula>AND(ISNUMBER(C6),C6&gt;=1)</formula>
    </cfRule>
    <cfRule type="expression" priority="2" dxfId="10">
      <formula>AND(ISNUMBER(C6),C6&lt;1)</formula>
    </cfRule>
    <cfRule type="expression" priority="3" dxfId="7">
      <formula>OR(C6="Pesos ≠ 100%",C6="No definitivo")</formula>
    </cfRule>
    <cfRule type="expression" priority="4" dxfId="11">
      <formula>C6="Sin datos"</formula>
    </cfRule>
  </conditionalFormatting>
  <conditionalFormatting sqref="B6:B29">
    <cfRule type="expression" priority="5" dxfId="1">
      <formula>$B6=MesCiclo</formula>
    </cfRule>
  </conditionalFormatting>
  <pageMargins left="0.75" right="0.75" top="1" bottom="1" header="0.5" footer="0.5"/>
  <pageSetup orientation="landscape" fitToHeight="0" fitToWidth="1"/>
  <rowBreaks count="1" manualBreakCount="1">
    <brk id="30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54" t="inlineStr">
        <is>
          <t>Cronograma – Riesgo Operacional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  <c r="N1" s="54" t="n"/>
      <c r="O1" s="54" t="n"/>
      <c r="P1" s="54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57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49" t="inlineStr">
        <is>
          <t>Tipo</t>
        </is>
      </c>
      <c r="C4" s="49" t="inlineStr">
        <is>
          <t>Actividad</t>
        </is>
      </c>
      <c r="D4" s="49" t="inlineStr">
        <is>
          <t>Fecha de inicio</t>
        </is>
      </c>
      <c r="E4" s="49" t="inlineStr">
        <is>
          <t>Fecha límite</t>
        </is>
      </c>
      <c r="F4" s="49" t="inlineStr">
        <is>
          <t>Peso de actividad (%)</t>
        </is>
      </c>
      <c r="G4" s="49" t="inlineStr">
        <is>
          <t>Avance Semana 1 (%)</t>
        </is>
      </c>
      <c r="H4" s="49" t="inlineStr">
        <is>
          <t>Avance Semana 2 (%)</t>
        </is>
      </c>
      <c r="I4" s="49" t="inlineStr">
        <is>
          <t>Avance Semana 3 (%)</t>
        </is>
      </c>
      <c r="J4" s="49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49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C1000">
    <cfRule type="expression" priority="6" dxfId="5" stopIfTrue="1">
      <formula>AND($S5="Macro",$C5="")</formula>
    </cfRule>
    <cfRule type="expression" priority="7" dxfId="12">
      <formula>$S5="Macro"</formula>
    </cfRule>
  </conditionalFormatting>
  <conditionalFormatting sqref="C5:C1000">
    <cfRule type="expression" priority="8" dxfId="13">
      <formula>$S5="Sub"</formula>
    </cfRule>
  </conditionalFormatting>
  <conditionalFormatting sqref="L5:L1000">
    <cfRule type="expression" priority="9" dxfId="0">
      <formula>$L5="Completado"</formula>
    </cfRule>
    <cfRule type="expression" priority="10" dxfId="4">
      <formula>$L5="En curso"</formula>
    </cfRule>
    <cfRule type="expression" priority="11" dxfId="5">
      <formula>$L5="Pendiente"</formula>
    </cfRule>
  </conditionalFormatting>
  <conditionalFormatting sqref="M5:M1000">
    <cfRule type="expression" priority="12" dxfId="8" stopIfTrue="1">
      <formula>LEFT($M5,7)="Vencida"</formula>
    </cfRule>
    <cfRule type="expression" priority="13" dxfId="9" stopIfTrue="1">
      <formula>LEFT($M5,5)="Vence"</formula>
    </cfRule>
    <cfRule type="expression" priority="14" dxfId="0" stopIfTrue="1">
      <formula>$M5="Cumplida"</formula>
    </cfRule>
    <cfRule type="expression" priority="15" dxfId="14" stopIfTrue="1">
      <formula>$M5="En plazo"</formula>
    </cfRule>
    <cfRule type="expression" priority="16" dxfId="5">
      <formula>$M5="Sin fecha límite"</formula>
    </cfRule>
  </conditionalFormatting>
  <conditionalFormatting sqref="K5:K1000">
    <cfRule type="expression" priority="17" dxfId="0">
      <formula>AND(ISNUMBER($K5),$K5&gt;=1)</formula>
    </cfRule>
    <cfRule type="dataBar" priority="18">
      <dataBar showValue="1">
        <cfvo type="num" val="0"/>
        <cfvo type="num" val="1"/>
        <color rgb="005B9BD5"/>
      </dataBar>
    </cfRule>
  </conditionalFormatting>
  <conditionalFormatting sqref="E5:E1000">
    <cfRule type="expression" priority="19" dxfId="6" stopIfTrue="1">
      <formula>AND(ISNUMBER($E5),$E5&lt;FechaRef,N($K5)&lt;1)</formula>
    </cfRule>
    <cfRule type="expression" priority="20" dxfId="7">
      <formula>AND(ISNUMBER($E5),$E5&gt;=FechaRef,$E5-FechaRef&lt;=DiasAlerta,N($K5)&lt;1)</formula>
    </cfRule>
  </conditionalFormatting>
  <conditionalFormatting sqref="D5:E1000">
    <cfRule type="expression" priority="21" dxfId="5" stopIfTrue="1">
      <formula>AND((COUNTA($B5:$J5)+COUNTA($N5))&gt;0,D5="")</formula>
    </cfRule>
    <cfRule type="expression" priority="22" dxfId="6">
      <formula>AND(ISNUMBER($D5),ISNUMBER($E5),$D5&gt;$E5)</formula>
    </cfRule>
  </conditionalFormatting>
  <conditionalFormatting sqref="F5:F1000">
    <cfRule type="expression" priority="23" dxfId="15" stopIfTrue="1">
      <formula>$S5="Sub"</formula>
    </cfRule>
    <cfRule type="expression" priority="24" dxfId="5" stopIfTrue="1">
      <formula>AND($S5="Macro",F5="")</formula>
    </cfRule>
    <cfRule type="expression" priority="25" dxfId="7">
      <formula>AND($S5="Macro",ABS(SUMIFS($F$5:$F$1000,$P$5:$P$1000,$P5,$S$5:$S$1000,"Macro")-1)&gt;0.0001)</formula>
    </cfRule>
  </conditionalFormatting>
  <conditionalFormatting sqref="G5:J1000">
    <cfRule type="expression" priority="26" dxfId="5" stopIfTrue="1">
      <formula>AND(N($T5)&gt;0,G5&lt;&gt;"")</formula>
    </cfRule>
    <cfRule type="expression" priority="27" dxfId="16" stopIfTrue="1">
      <formula>N($T5)&gt;0</formula>
    </cfRule>
    <cfRule type="expression" priority="28" dxfId="5" stopIfTrue="1">
      <formula>AND(G5&lt;&gt;"",OR(NOT(ISNUMBER(G5)),G5&gt;1,G5&lt;0))</formula>
    </cfRule>
  </conditionalFormatting>
  <conditionalFormatting sqref="H5:J1000">
    <cfRule type="expression" priority="29" dxfId="6">
      <formula>AND(H5&lt;&gt;"",H5&lt;MAX($G5:G5))</formula>
    </cfRule>
  </conditionalFormatting>
  <conditionalFormatting sqref="N5:N1000">
    <cfRule type="expression" priority="30" dxfId="5">
      <formula>AND(ObsObligatoria="Sí",ISNUMBER($E5),$E5&lt;FechaRef,N($K5)&lt;1,$N5="")</formula>
    </cfRule>
  </conditionalFormatting>
  <conditionalFormatting sqref="O5:O1000">
    <cfRule type="expression" priority="31" dxfId="5">
      <formula>LEFT($O5,1)="⚠"</formula>
    </cfRule>
    <cfRule type="expression" priority="32" dxfId="17">
      <formula>LEFT($O5,1)="✔"</formula>
    </cfRule>
  </conditionalFormatting>
  <conditionalFormatting sqref="P5:P1000">
    <cfRule type="expression" priority="33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54" t="inlineStr">
        <is>
          <t>Actividades del mes por semana – Riesgo Operacional</t>
        </is>
      </c>
      <c r="B1" s="54" t="n"/>
      <c r="C1" s="54" t="n"/>
      <c r="D1" s="54" t="n"/>
      <c r="E1" s="54" t="n"/>
      <c r="F1" s="54" t="n"/>
      <c r="G1" s="54" t="n"/>
      <c r="H1" s="54" t="n"/>
      <c r="I1" s="54" t="n"/>
      <c r="J1" s="54" t="n"/>
      <c r="K1" s="54" t="n"/>
      <c r="L1" s="54" t="n"/>
      <c r="M1" s="54" t="n"/>
    </row>
    <row r="2" ht="34" customHeight="1">
      <c r="A2" s="72" t="inlineStr">
        <is>
          <t>HOJA AUTOMÁTICA Y BLOQUEADA: muestra solo las actividades del mes indicado abajo, tomadas de «Cronograma R. Operacional».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49" t="inlineStr">
        <is>
          <t>Semana 1</t>
        </is>
      </c>
      <c r="G4" s="49" t="inlineStr">
        <is>
          <t>Semana 2</t>
        </is>
      </c>
      <c r="H4" s="49" t="inlineStr">
        <is>
          <t>Semana 3</t>
        </is>
      </c>
      <c r="I4" s="49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R. Operacional'!$A$5:$A$1000,$N5))</f>
        <v/>
      </c>
      <c r="B5" s="71">
        <f>IF($N5="","",IF($O5="Sub","      ↳  "&amp;INDEX('Cronograma R. Operacional'!$C$5:$C$1000,$N5),INDEX('Cronograma R. Operacional'!$C$5:$C$1000,$N5)&amp;""))</f>
        <v/>
      </c>
      <c r="C5" s="77">
        <f>IF($N5="","",IF(INDEX('Cronograma R. Operacional'!$D$5:$D$1000,$N5)="","",INDEX('Cronograma R. Operacional'!$D$5:$D$1000,$N5)))</f>
        <v/>
      </c>
      <c r="D5" s="77">
        <f>IF($N5="","",IF(INDEX('Cronograma R. Operacional'!$E$5:$E$1000,$N5)="","",INDEX('Cronograma R. Operacional'!$E$5:$E$1000,$N5)))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R. Operacional'!$Y$5:$Y$1000,$N5),""),IF(INDEX('Cronograma R. Operacional'!$G$5:$G$1000,$N5)="","",INDEX('Cronograma R. Operacional'!$G$5:$G$1000,$N5))))</f>
        <v/>
      </c>
      <c r="G5" s="68">
        <f>IF($N5="","",IF($P5&gt;0,IF(2&lt;=SemanaActual,INDEX('Cronograma R. Operacional'!$Z$5:$Z$1000,$N5),""),IF(INDEX('Cronograma R. Operacional'!$H$5:$H$1000,$N5)="","",INDEX('Cronograma R. Operacional'!$H$5:$H$1000,$N5))))</f>
        <v/>
      </c>
      <c r="H5" s="68">
        <f>IF($N5="","",IF($P5&gt;0,IF(3&lt;=SemanaActual,INDEX('Cronograma R. Operacional'!$AA$5:$AA$1000,$N5),""),IF(INDEX('Cronograma R. Operacional'!$I$5:$I$1000,$N5)="","",INDEX('Cronograma R. Operacional'!$I$5:$I$1000,$N5))))</f>
        <v/>
      </c>
      <c r="I5" s="68">
        <f>IF($N5="","",IF($P5&gt;0,IF(4&lt;=SemanaActual,INDEX('Cronograma R. Operacional'!$AB$5:$AB$1000,$N5),""),IF(INDEX('Cronograma R. Operacional'!$J$5:$J$1000,$N5)="","",INDEX('Cronograma R. Operacional'!$J$5:$J$1000,$N5))))</f>
        <v/>
      </c>
      <c r="J5" s="68">
        <f>IF($N5="","",INDEX('Cronograma R. Operacional'!$K$5:$K$1000,$N5))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R. Operacional'!$M$5:$M$1000,$N5)&amp;"")</f>
        <v/>
      </c>
      <c r="M5" s="71">
        <f>IF($N5="","",INDEX('Cronograma R. Operacional'!$N$5:$N$1000,$N5)&amp;"")</f>
        <v/>
      </c>
      <c r="N5">
        <f>IFERROR(MATCH(ROW()-4,rOrden_RO,0),"")</f>
        <v/>
      </c>
      <c r="O5">
        <f>IF($N5="","",INDEX('Cronograma R. Operacional'!$S$5:$S$1000,$N5))</f>
        <v/>
      </c>
      <c r="P5">
        <f>IF($N5="","",N(INDEX('Cronograma R. Operacional'!$T$5:$T$1000,$N5)))</f>
        <v/>
      </c>
    </row>
    <row r="6">
      <c r="A6" s="62">
        <f>IF($N6="","",INDEX('Cronograma R. Operacional'!$A$5:$A$1000,$N6))</f>
        <v/>
      </c>
      <c r="B6" s="71">
        <f>IF($N6="","",IF($O6="Sub","      ↳  "&amp;INDEX('Cronograma R. Operacional'!$C$5:$C$1000,$N6),INDEX('Cronograma R. Operacional'!$C$5:$C$1000,$N6)&amp;""))</f>
        <v/>
      </c>
      <c r="C6" s="77">
        <f>IF($N6="","",IF(INDEX('Cronograma R. Operacional'!$D$5:$D$1000,$N6)="","",INDEX('Cronograma R. Operacional'!$D$5:$D$1000,$N6)))</f>
        <v/>
      </c>
      <c r="D6" s="77">
        <f>IF($N6="","",IF(INDEX('Cronograma R. Operacional'!$E$5:$E$1000,$N6)="","",INDEX('Cronograma R. Operacional'!$E$5:$E$1000,$N6)))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R. Operacional'!$Y$5:$Y$1000,$N6),""),IF(INDEX('Cronograma R. Operacional'!$G$5:$G$1000,$N6)="","",INDEX('Cronograma R. Operacional'!$G$5:$G$1000,$N6))))</f>
        <v/>
      </c>
      <c r="G6" s="68">
        <f>IF($N6="","",IF($P6&gt;0,IF(2&lt;=SemanaActual,INDEX('Cronograma R. Operacional'!$Z$5:$Z$1000,$N6),""),IF(INDEX('Cronograma R. Operacional'!$H$5:$H$1000,$N6)="","",INDEX('Cronograma R. Operacional'!$H$5:$H$1000,$N6))))</f>
        <v/>
      </c>
      <c r="H6" s="68">
        <f>IF($N6="","",IF($P6&gt;0,IF(3&lt;=SemanaActual,INDEX('Cronograma R. Operacional'!$AA$5:$AA$1000,$N6),""),IF(INDEX('Cronograma R. Operacional'!$I$5:$I$1000,$N6)="","",INDEX('Cronograma R. Operacional'!$I$5:$I$1000,$N6))))</f>
        <v/>
      </c>
      <c r="I6" s="68">
        <f>IF($N6="","",IF($P6&gt;0,IF(4&lt;=SemanaActual,INDEX('Cronograma R. Operacional'!$AB$5:$AB$1000,$N6),""),IF(INDEX('Cronograma R. Operacional'!$J$5:$J$1000,$N6)="","",INDEX('Cronograma R. Operacional'!$J$5:$J$1000,$N6))))</f>
        <v/>
      </c>
      <c r="J6" s="68">
        <f>IF($N6="","",INDEX('Cronograma R. Operacional'!$K$5:$K$1000,$N6))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R. Operacional'!$M$5:$M$1000,$N6)&amp;"")</f>
        <v/>
      </c>
      <c r="M6" s="71">
        <f>IF($N6="","",INDEX('Cronograma R. Operacional'!$N$5:$N$1000,$N6)&amp;"")</f>
        <v/>
      </c>
      <c r="N6">
        <f>IFERROR(MATCH(ROW()-4,rOrden_RO,0),"")</f>
        <v/>
      </c>
      <c r="O6">
        <f>IF($N6="","",INDEX('Cronograma R. Operacional'!$S$5:$S$1000,$N6))</f>
        <v/>
      </c>
      <c r="P6">
        <f>IF($N6="","",N(INDEX('Cronograma R. Operacional'!$T$5:$T$1000,$N6)))</f>
        <v/>
      </c>
    </row>
    <row r="7">
      <c r="A7" s="62">
        <f>IF($N7="","",INDEX('Cronograma R. Operacional'!$A$5:$A$1000,$N7))</f>
        <v/>
      </c>
      <c r="B7" s="71">
        <f>IF($N7="","",IF($O7="Sub","      ↳  "&amp;INDEX('Cronograma R. Operacional'!$C$5:$C$1000,$N7),INDEX('Cronograma R. Operacional'!$C$5:$C$1000,$N7)&amp;""))</f>
        <v/>
      </c>
      <c r="C7" s="77">
        <f>IF($N7="","",IF(INDEX('Cronograma R. Operacional'!$D$5:$D$1000,$N7)="","",INDEX('Cronograma R. Operacional'!$D$5:$D$1000,$N7)))</f>
        <v/>
      </c>
      <c r="D7" s="77">
        <f>IF($N7="","",IF(INDEX('Cronograma R. Operacional'!$E$5:$E$1000,$N7)="","",INDEX('Cronograma R. Operacional'!$E$5:$E$1000,$N7)))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R. Operacional'!$Y$5:$Y$1000,$N7),""),IF(INDEX('Cronograma R. Operacional'!$G$5:$G$1000,$N7)="","",INDEX('Cronograma R. Operacional'!$G$5:$G$1000,$N7))))</f>
        <v/>
      </c>
      <c r="G7" s="68">
        <f>IF($N7="","",IF($P7&gt;0,IF(2&lt;=SemanaActual,INDEX('Cronograma R. Operacional'!$Z$5:$Z$1000,$N7),""),IF(INDEX('Cronograma R. Operacional'!$H$5:$H$1000,$N7)="","",INDEX('Cronograma R. Operacional'!$H$5:$H$1000,$N7))))</f>
        <v/>
      </c>
      <c r="H7" s="68">
        <f>IF($N7="","",IF($P7&gt;0,IF(3&lt;=SemanaActual,INDEX('Cronograma R. Operacional'!$AA$5:$AA$1000,$N7),""),IF(INDEX('Cronograma R. Operacional'!$I$5:$I$1000,$N7)="","",INDEX('Cronograma R. Operacional'!$I$5:$I$1000,$N7))))</f>
        <v/>
      </c>
      <c r="I7" s="68">
        <f>IF($N7="","",IF($P7&gt;0,IF(4&lt;=SemanaActual,INDEX('Cronograma R. Operacional'!$AB$5:$AB$1000,$N7),""),IF(INDEX('Cronograma R. Operacional'!$J$5:$J$1000,$N7)="","",INDEX('Cronograma R. Operacional'!$J$5:$J$1000,$N7))))</f>
        <v/>
      </c>
      <c r="J7" s="68">
        <f>IF($N7="","",INDEX('Cronograma R. Operacional'!$K$5:$K$1000,$N7))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R. Operacional'!$M$5:$M$1000,$N7)&amp;"")</f>
        <v/>
      </c>
      <c r="M7" s="71">
        <f>IF($N7="","",INDEX('Cronograma R. Operacional'!$N$5:$N$1000,$N7)&amp;"")</f>
        <v/>
      </c>
      <c r="N7">
        <f>IFERROR(MATCH(ROW()-4,rOrden_RO,0),"")</f>
        <v/>
      </c>
      <c r="O7">
        <f>IF($N7="","",INDEX('Cronograma R. Operacional'!$S$5:$S$1000,$N7))</f>
        <v/>
      </c>
      <c r="P7">
        <f>IF($N7="","",N(INDEX('Cronograma R. Operacional'!$T$5:$T$1000,$N7)))</f>
        <v/>
      </c>
    </row>
    <row r="8">
      <c r="A8" s="62">
        <f>IF($N8="","",INDEX('Cronograma R. Operacional'!$A$5:$A$1000,$N8))</f>
        <v/>
      </c>
      <c r="B8" s="71">
        <f>IF($N8="","",IF($O8="Sub","      ↳  "&amp;INDEX('Cronograma R. Operacional'!$C$5:$C$1000,$N8),INDEX('Cronograma R. Operacional'!$C$5:$C$1000,$N8)&amp;""))</f>
        <v/>
      </c>
      <c r="C8" s="77">
        <f>IF($N8="","",IF(INDEX('Cronograma R. Operacional'!$D$5:$D$1000,$N8)="","",INDEX('Cronograma R. Operacional'!$D$5:$D$1000,$N8)))</f>
        <v/>
      </c>
      <c r="D8" s="77">
        <f>IF($N8="","",IF(INDEX('Cronograma R. Operacional'!$E$5:$E$1000,$N8)="","",INDEX('Cronograma R. Operacional'!$E$5:$E$1000,$N8)))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R. Operacional'!$Y$5:$Y$1000,$N8),""),IF(INDEX('Cronograma R. Operacional'!$G$5:$G$1000,$N8)="","",INDEX('Cronograma R. Operacional'!$G$5:$G$1000,$N8))))</f>
        <v/>
      </c>
      <c r="G8" s="68">
        <f>IF($N8="","",IF($P8&gt;0,IF(2&lt;=SemanaActual,INDEX('Cronograma R. Operacional'!$Z$5:$Z$1000,$N8),""),IF(INDEX('Cronograma R. Operacional'!$H$5:$H$1000,$N8)="","",INDEX('Cronograma R. Operacional'!$H$5:$H$1000,$N8))))</f>
        <v/>
      </c>
      <c r="H8" s="68">
        <f>IF($N8="","",IF($P8&gt;0,IF(3&lt;=SemanaActual,INDEX('Cronograma R. Operacional'!$AA$5:$AA$1000,$N8),""),IF(INDEX('Cronograma R. Operacional'!$I$5:$I$1000,$N8)="","",INDEX('Cronograma R. Operacional'!$I$5:$I$1000,$N8))))</f>
        <v/>
      </c>
      <c r="I8" s="68">
        <f>IF($N8="","",IF($P8&gt;0,IF(4&lt;=SemanaActual,INDEX('Cronograma R. Operacional'!$AB$5:$AB$1000,$N8),""),IF(INDEX('Cronograma R. Operacional'!$J$5:$J$1000,$N8)="","",INDEX('Cronograma R. Operacional'!$J$5:$J$1000,$N8))))</f>
        <v/>
      </c>
      <c r="J8" s="68">
        <f>IF($N8="","",INDEX('Cronograma R. Operacional'!$K$5:$K$1000,$N8))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R. Operacional'!$M$5:$M$1000,$N8)&amp;"")</f>
        <v/>
      </c>
      <c r="M8" s="71">
        <f>IF($N8="","",INDEX('Cronograma R. Operacional'!$N$5:$N$1000,$N8)&amp;"")</f>
        <v/>
      </c>
      <c r="N8">
        <f>IFERROR(MATCH(ROW()-4,rOrden_RO,0),"")</f>
        <v/>
      </c>
      <c r="O8">
        <f>IF($N8="","",INDEX('Cronograma R. Operacional'!$S$5:$S$1000,$N8))</f>
        <v/>
      </c>
      <c r="P8">
        <f>IF($N8="","",N(INDEX('Cronograma R. Operacional'!$T$5:$T$1000,$N8)))</f>
        <v/>
      </c>
    </row>
    <row r="9">
      <c r="A9" s="62">
        <f>IF($N9="","",INDEX('Cronograma R. Operacional'!$A$5:$A$1000,$N9))</f>
        <v/>
      </c>
      <c r="B9" s="71">
        <f>IF($N9="","",IF($O9="Sub","      ↳  "&amp;INDEX('Cronograma R. Operacional'!$C$5:$C$1000,$N9),INDEX('Cronograma R. Operacional'!$C$5:$C$1000,$N9)&amp;""))</f>
        <v/>
      </c>
      <c r="C9" s="77">
        <f>IF($N9="","",IF(INDEX('Cronograma R. Operacional'!$D$5:$D$1000,$N9)="","",INDEX('Cronograma R. Operacional'!$D$5:$D$1000,$N9)))</f>
        <v/>
      </c>
      <c r="D9" s="77">
        <f>IF($N9="","",IF(INDEX('Cronograma R. Operacional'!$E$5:$E$1000,$N9)="","",INDEX('Cronograma R. Operacional'!$E$5:$E$1000,$N9)))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R. Operacional'!$Y$5:$Y$1000,$N9),""),IF(INDEX('Cronograma R. Operacional'!$G$5:$G$1000,$N9)="","",INDEX('Cronograma R. Operacional'!$G$5:$G$1000,$N9))))</f>
        <v/>
      </c>
      <c r="G9" s="68">
        <f>IF($N9="","",IF($P9&gt;0,IF(2&lt;=SemanaActual,INDEX('Cronograma R. Operacional'!$Z$5:$Z$1000,$N9),""),IF(INDEX('Cronograma R. Operacional'!$H$5:$H$1000,$N9)="","",INDEX('Cronograma R. Operacional'!$H$5:$H$1000,$N9))))</f>
        <v/>
      </c>
      <c r="H9" s="68">
        <f>IF($N9="","",IF($P9&gt;0,IF(3&lt;=SemanaActual,INDEX('Cronograma R. Operacional'!$AA$5:$AA$1000,$N9),""),IF(INDEX('Cronograma R. Operacional'!$I$5:$I$1000,$N9)="","",INDEX('Cronograma R. Operacional'!$I$5:$I$1000,$N9))))</f>
        <v/>
      </c>
      <c r="I9" s="68">
        <f>IF($N9="","",IF($P9&gt;0,IF(4&lt;=SemanaActual,INDEX('Cronograma R. Operacional'!$AB$5:$AB$1000,$N9),""),IF(INDEX('Cronograma R. Operacional'!$J$5:$J$1000,$N9)="","",INDEX('Cronograma R. Operacional'!$J$5:$J$1000,$N9))))</f>
        <v/>
      </c>
      <c r="J9" s="68">
        <f>IF($N9="","",INDEX('Cronograma R. Operacional'!$K$5:$K$1000,$N9))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R. Operacional'!$M$5:$M$1000,$N9)&amp;"")</f>
        <v/>
      </c>
      <c r="M9" s="71">
        <f>IF($N9="","",INDEX('Cronograma R. Operacional'!$N$5:$N$1000,$N9)&amp;"")</f>
        <v/>
      </c>
      <c r="N9">
        <f>IFERROR(MATCH(ROW()-4,rOrden_RO,0),"")</f>
        <v/>
      </c>
      <c r="O9">
        <f>IF($N9="","",INDEX('Cronograma R. Operacional'!$S$5:$S$1000,$N9))</f>
        <v/>
      </c>
      <c r="P9">
        <f>IF($N9="","",N(INDEX('Cronograma R. Operacional'!$T$5:$T$1000,$N9)))</f>
        <v/>
      </c>
    </row>
    <row r="10">
      <c r="A10" s="62">
        <f>IF($N10="","",INDEX('Cronograma R. Operacional'!$A$5:$A$1000,$N10))</f>
        <v/>
      </c>
      <c r="B10" s="71">
        <f>IF($N10="","",IF($O10="Sub","      ↳  "&amp;INDEX('Cronograma R. Operacional'!$C$5:$C$1000,$N10),INDEX('Cronograma R. Operacional'!$C$5:$C$1000,$N10)&amp;""))</f>
        <v/>
      </c>
      <c r="C10" s="77">
        <f>IF($N10="","",IF(INDEX('Cronograma R. Operacional'!$D$5:$D$1000,$N10)="","",INDEX('Cronograma R. Operacional'!$D$5:$D$1000,$N10)))</f>
        <v/>
      </c>
      <c r="D10" s="77">
        <f>IF($N10="","",IF(INDEX('Cronograma R. Operacional'!$E$5:$E$1000,$N10)="","",INDEX('Cronograma R. Operacional'!$E$5:$E$1000,$N10)))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R. Operacional'!$Y$5:$Y$1000,$N10),""),IF(INDEX('Cronograma R. Operacional'!$G$5:$G$1000,$N10)="","",INDEX('Cronograma R. Operacional'!$G$5:$G$1000,$N10))))</f>
        <v/>
      </c>
      <c r="G10" s="68">
        <f>IF($N10="","",IF($P10&gt;0,IF(2&lt;=SemanaActual,INDEX('Cronograma R. Operacional'!$Z$5:$Z$1000,$N10),""),IF(INDEX('Cronograma R. Operacional'!$H$5:$H$1000,$N10)="","",INDEX('Cronograma R. Operacional'!$H$5:$H$1000,$N10))))</f>
        <v/>
      </c>
      <c r="H10" s="68">
        <f>IF($N10="","",IF($P10&gt;0,IF(3&lt;=SemanaActual,INDEX('Cronograma R. Operacional'!$AA$5:$AA$1000,$N10),""),IF(INDEX('Cronograma R. Operacional'!$I$5:$I$1000,$N10)="","",INDEX('Cronograma R. Operacional'!$I$5:$I$1000,$N10))))</f>
        <v/>
      </c>
      <c r="I10" s="68">
        <f>IF($N10="","",IF($P10&gt;0,IF(4&lt;=SemanaActual,INDEX('Cronograma R. Operacional'!$AB$5:$AB$1000,$N10),""),IF(INDEX('Cronograma R. Operacional'!$J$5:$J$1000,$N10)="","",INDEX('Cronograma R. Operacional'!$J$5:$J$1000,$N10))))</f>
        <v/>
      </c>
      <c r="J10" s="68">
        <f>IF($N10="","",INDEX('Cronograma R. Operacional'!$K$5:$K$1000,$N10))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R. Operacional'!$M$5:$M$1000,$N10)&amp;"")</f>
        <v/>
      </c>
      <c r="M10" s="71">
        <f>IF($N10="","",INDEX('Cronograma R. Operacional'!$N$5:$N$1000,$N10)&amp;"")</f>
        <v/>
      </c>
      <c r="N10">
        <f>IFERROR(MATCH(ROW()-4,rOrden_RO,0),"")</f>
        <v/>
      </c>
      <c r="O10">
        <f>IF($N10="","",INDEX('Cronograma R. Operacional'!$S$5:$S$1000,$N10))</f>
        <v/>
      </c>
      <c r="P10">
        <f>IF($N10="","",N(INDEX('Cronograma R. Operacional'!$T$5:$T$1000,$N10)))</f>
        <v/>
      </c>
    </row>
    <row r="11">
      <c r="A11" s="62">
        <f>IF($N11="","",INDEX('Cronograma R. Operacional'!$A$5:$A$1000,$N11))</f>
        <v/>
      </c>
      <c r="B11" s="71">
        <f>IF($N11="","",IF($O11="Sub","      ↳  "&amp;INDEX('Cronograma R. Operacional'!$C$5:$C$1000,$N11),INDEX('Cronograma R. Operacional'!$C$5:$C$1000,$N11)&amp;""))</f>
        <v/>
      </c>
      <c r="C11" s="77">
        <f>IF($N11="","",IF(INDEX('Cronograma R. Operacional'!$D$5:$D$1000,$N11)="","",INDEX('Cronograma R. Operacional'!$D$5:$D$1000,$N11)))</f>
        <v/>
      </c>
      <c r="D11" s="77">
        <f>IF($N11="","",IF(INDEX('Cronograma R. Operacional'!$E$5:$E$1000,$N11)="","",INDEX('Cronograma R. Operacional'!$E$5:$E$1000,$N11)))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R. Operacional'!$Y$5:$Y$1000,$N11),""),IF(INDEX('Cronograma R. Operacional'!$G$5:$G$1000,$N11)="","",INDEX('Cronograma R. Operacional'!$G$5:$G$1000,$N11))))</f>
        <v/>
      </c>
      <c r="G11" s="68">
        <f>IF($N11="","",IF($P11&gt;0,IF(2&lt;=SemanaActual,INDEX('Cronograma R. Operacional'!$Z$5:$Z$1000,$N11),""),IF(INDEX('Cronograma R. Operacional'!$H$5:$H$1000,$N11)="","",INDEX('Cronograma R. Operacional'!$H$5:$H$1000,$N11))))</f>
        <v/>
      </c>
      <c r="H11" s="68">
        <f>IF($N11="","",IF($P11&gt;0,IF(3&lt;=SemanaActual,INDEX('Cronograma R. Operacional'!$AA$5:$AA$1000,$N11),""),IF(INDEX('Cronograma R. Operacional'!$I$5:$I$1000,$N11)="","",INDEX('Cronograma R. Operacional'!$I$5:$I$1000,$N11))))</f>
        <v/>
      </c>
      <c r="I11" s="68">
        <f>IF($N11="","",IF($P11&gt;0,IF(4&lt;=SemanaActual,INDEX('Cronograma R. Operacional'!$AB$5:$AB$1000,$N11),""),IF(INDEX('Cronograma R. Operacional'!$J$5:$J$1000,$N11)="","",INDEX('Cronograma R. Operacional'!$J$5:$J$1000,$N11))))</f>
        <v/>
      </c>
      <c r="J11" s="68">
        <f>IF($N11="","",INDEX('Cronograma R. Operacional'!$K$5:$K$1000,$N11))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R. Operacional'!$M$5:$M$1000,$N11)&amp;"")</f>
        <v/>
      </c>
      <c r="M11" s="71">
        <f>IF($N11="","",INDEX('Cronograma R. Operacional'!$N$5:$N$1000,$N11)&amp;"")</f>
        <v/>
      </c>
      <c r="N11">
        <f>IFERROR(MATCH(ROW()-4,rOrden_RO,0),"")</f>
        <v/>
      </c>
      <c r="O11">
        <f>IF($N11="","",INDEX('Cronograma R. Operacional'!$S$5:$S$1000,$N11))</f>
        <v/>
      </c>
      <c r="P11">
        <f>IF($N11="","",N(INDEX('Cronograma R. Operacional'!$T$5:$T$1000,$N11)))</f>
        <v/>
      </c>
    </row>
    <row r="12">
      <c r="A12" s="62">
        <f>IF($N12="","",INDEX('Cronograma R. Operacional'!$A$5:$A$1000,$N12))</f>
        <v/>
      </c>
      <c r="B12" s="71">
        <f>IF($N12="","",IF($O12="Sub","      ↳  "&amp;INDEX('Cronograma R. Operacional'!$C$5:$C$1000,$N12),INDEX('Cronograma R. Operacional'!$C$5:$C$1000,$N12)&amp;""))</f>
        <v/>
      </c>
      <c r="C12" s="77">
        <f>IF($N12="","",IF(INDEX('Cronograma R. Operacional'!$D$5:$D$1000,$N12)="","",INDEX('Cronograma R. Operacional'!$D$5:$D$1000,$N12)))</f>
        <v/>
      </c>
      <c r="D12" s="77">
        <f>IF($N12="","",IF(INDEX('Cronograma R. Operacional'!$E$5:$E$1000,$N12)="","",INDEX('Cronograma R. Operacional'!$E$5:$E$1000,$N12)))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R. Operacional'!$Y$5:$Y$1000,$N12),""),IF(INDEX('Cronograma R. Operacional'!$G$5:$G$1000,$N12)="","",INDEX('Cronograma R. Operacional'!$G$5:$G$1000,$N12))))</f>
        <v/>
      </c>
      <c r="G12" s="68">
        <f>IF($N12="","",IF($P12&gt;0,IF(2&lt;=SemanaActual,INDEX('Cronograma R. Operacional'!$Z$5:$Z$1000,$N12),""),IF(INDEX('Cronograma R. Operacional'!$H$5:$H$1000,$N12)="","",INDEX('Cronograma R. Operacional'!$H$5:$H$1000,$N12))))</f>
        <v/>
      </c>
      <c r="H12" s="68">
        <f>IF($N12="","",IF($P12&gt;0,IF(3&lt;=SemanaActual,INDEX('Cronograma R. Operacional'!$AA$5:$AA$1000,$N12),""),IF(INDEX('Cronograma R. Operacional'!$I$5:$I$1000,$N12)="","",INDEX('Cronograma R. Operacional'!$I$5:$I$1000,$N12))))</f>
        <v/>
      </c>
      <c r="I12" s="68">
        <f>IF($N12="","",IF($P12&gt;0,IF(4&lt;=SemanaActual,INDEX('Cronograma R. Operacional'!$AB$5:$AB$1000,$N12),""),IF(INDEX('Cronograma R. Operacional'!$J$5:$J$1000,$N12)="","",INDEX('Cronograma R. Operacional'!$J$5:$J$1000,$N12))))</f>
        <v/>
      </c>
      <c r="J12" s="68">
        <f>IF($N12="","",INDEX('Cronograma R. Operacional'!$K$5:$K$1000,$N12))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R. Operacional'!$M$5:$M$1000,$N12)&amp;"")</f>
        <v/>
      </c>
      <c r="M12" s="71">
        <f>IF($N12="","",INDEX('Cronograma R. Operacional'!$N$5:$N$1000,$N12)&amp;"")</f>
        <v/>
      </c>
      <c r="N12">
        <f>IFERROR(MATCH(ROW()-4,rOrden_RO,0),"")</f>
        <v/>
      </c>
      <c r="O12">
        <f>IF($N12="","",INDEX('Cronograma R. Operacional'!$S$5:$S$1000,$N12))</f>
        <v/>
      </c>
      <c r="P12">
        <f>IF($N12="","",N(INDEX('Cronograma R. Operacional'!$T$5:$T$1000,$N12)))</f>
        <v/>
      </c>
    </row>
    <row r="13">
      <c r="A13" s="62">
        <f>IF($N13="","",INDEX('Cronograma R. Operacional'!$A$5:$A$1000,$N13))</f>
        <v/>
      </c>
      <c r="B13" s="71">
        <f>IF($N13="","",IF($O13="Sub","      ↳  "&amp;INDEX('Cronograma R. Operacional'!$C$5:$C$1000,$N13),INDEX('Cronograma R. Operacional'!$C$5:$C$1000,$N13)&amp;""))</f>
        <v/>
      </c>
      <c r="C13" s="77">
        <f>IF($N13="","",IF(INDEX('Cronograma R. Operacional'!$D$5:$D$1000,$N13)="","",INDEX('Cronograma R. Operacional'!$D$5:$D$1000,$N13)))</f>
        <v/>
      </c>
      <c r="D13" s="77">
        <f>IF($N13="","",IF(INDEX('Cronograma R. Operacional'!$E$5:$E$1000,$N13)="","",INDEX('Cronograma R. Operacional'!$E$5:$E$1000,$N13)))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R. Operacional'!$Y$5:$Y$1000,$N13),""),IF(INDEX('Cronograma R. Operacional'!$G$5:$G$1000,$N13)="","",INDEX('Cronograma R. Operacional'!$G$5:$G$1000,$N13))))</f>
        <v/>
      </c>
      <c r="G13" s="68">
        <f>IF($N13="","",IF($P13&gt;0,IF(2&lt;=SemanaActual,INDEX('Cronograma R. Operacional'!$Z$5:$Z$1000,$N13),""),IF(INDEX('Cronograma R. Operacional'!$H$5:$H$1000,$N13)="","",INDEX('Cronograma R. Operacional'!$H$5:$H$1000,$N13))))</f>
        <v/>
      </c>
      <c r="H13" s="68">
        <f>IF($N13="","",IF($P13&gt;0,IF(3&lt;=SemanaActual,INDEX('Cronograma R. Operacional'!$AA$5:$AA$1000,$N13),""),IF(INDEX('Cronograma R. Operacional'!$I$5:$I$1000,$N13)="","",INDEX('Cronograma R. Operacional'!$I$5:$I$1000,$N13))))</f>
        <v/>
      </c>
      <c r="I13" s="68">
        <f>IF($N13="","",IF($P13&gt;0,IF(4&lt;=SemanaActual,INDEX('Cronograma R. Operacional'!$AB$5:$AB$1000,$N13),""),IF(INDEX('Cronograma R. Operacional'!$J$5:$J$1000,$N13)="","",INDEX('Cronograma R. Operacional'!$J$5:$J$1000,$N13))))</f>
        <v/>
      </c>
      <c r="J13" s="68">
        <f>IF($N13="","",INDEX('Cronograma R. Operacional'!$K$5:$K$1000,$N13))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R. Operacional'!$M$5:$M$1000,$N13)&amp;"")</f>
        <v/>
      </c>
      <c r="M13" s="71">
        <f>IF($N13="","",INDEX('Cronograma R. Operacional'!$N$5:$N$1000,$N13)&amp;"")</f>
        <v/>
      </c>
      <c r="N13">
        <f>IFERROR(MATCH(ROW()-4,rOrden_RO,0),"")</f>
        <v/>
      </c>
      <c r="O13">
        <f>IF($N13="","",INDEX('Cronograma R. Operacional'!$S$5:$S$1000,$N13))</f>
        <v/>
      </c>
      <c r="P13">
        <f>IF($N13="","",N(INDEX('Cronograma R. Operacional'!$T$5:$T$1000,$N13)))</f>
        <v/>
      </c>
    </row>
    <row r="14">
      <c r="A14" s="62">
        <f>IF($N14="","",INDEX('Cronograma R. Operacional'!$A$5:$A$1000,$N14))</f>
        <v/>
      </c>
      <c r="B14" s="71">
        <f>IF($N14="","",IF($O14="Sub","      ↳  "&amp;INDEX('Cronograma R. Operacional'!$C$5:$C$1000,$N14),INDEX('Cronograma R. Operacional'!$C$5:$C$1000,$N14)&amp;""))</f>
        <v/>
      </c>
      <c r="C14" s="77">
        <f>IF($N14="","",IF(INDEX('Cronograma R. Operacional'!$D$5:$D$1000,$N14)="","",INDEX('Cronograma R. Operacional'!$D$5:$D$1000,$N14)))</f>
        <v/>
      </c>
      <c r="D14" s="77">
        <f>IF($N14="","",IF(INDEX('Cronograma R. Operacional'!$E$5:$E$1000,$N14)="","",INDEX('Cronograma R. Operacional'!$E$5:$E$1000,$N14)))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R. Operacional'!$Y$5:$Y$1000,$N14),""),IF(INDEX('Cronograma R. Operacional'!$G$5:$G$1000,$N14)="","",INDEX('Cronograma R. Operacional'!$G$5:$G$1000,$N14))))</f>
        <v/>
      </c>
      <c r="G14" s="68">
        <f>IF($N14="","",IF($P14&gt;0,IF(2&lt;=SemanaActual,INDEX('Cronograma R. Operacional'!$Z$5:$Z$1000,$N14),""),IF(INDEX('Cronograma R. Operacional'!$H$5:$H$1000,$N14)="","",INDEX('Cronograma R. Operacional'!$H$5:$H$1000,$N14))))</f>
        <v/>
      </c>
      <c r="H14" s="68">
        <f>IF($N14="","",IF($P14&gt;0,IF(3&lt;=SemanaActual,INDEX('Cronograma R. Operacional'!$AA$5:$AA$1000,$N14),""),IF(INDEX('Cronograma R. Operacional'!$I$5:$I$1000,$N14)="","",INDEX('Cronograma R. Operacional'!$I$5:$I$1000,$N14))))</f>
        <v/>
      </c>
      <c r="I14" s="68">
        <f>IF($N14="","",IF($P14&gt;0,IF(4&lt;=SemanaActual,INDEX('Cronograma R. Operacional'!$AB$5:$AB$1000,$N14),""),IF(INDEX('Cronograma R. Operacional'!$J$5:$J$1000,$N14)="","",INDEX('Cronograma R. Operacional'!$J$5:$J$1000,$N14))))</f>
        <v/>
      </c>
      <c r="J14" s="68">
        <f>IF($N14="","",INDEX('Cronograma R. Operacional'!$K$5:$K$1000,$N14))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R. Operacional'!$M$5:$M$1000,$N14)&amp;"")</f>
        <v/>
      </c>
      <c r="M14" s="71">
        <f>IF($N14="","",INDEX('Cronograma R. Operacional'!$N$5:$N$1000,$N14)&amp;"")</f>
        <v/>
      </c>
      <c r="N14">
        <f>IFERROR(MATCH(ROW()-4,rOrden_RO,0),"")</f>
        <v/>
      </c>
      <c r="O14">
        <f>IF($N14="","",INDEX('Cronograma R. Operacional'!$S$5:$S$1000,$N14))</f>
        <v/>
      </c>
      <c r="P14">
        <f>IF($N14="","",N(INDEX('Cronograma R. Operacional'!$T$5:$T$1000,$N14)))</f>
        <v/>
      </c>
    </row>
    <row r="15">
      <c r="A15" s="62">
        <f>IF($N15="","",INDEX('Cronograma R. Operacional'!$A$5:$A$1000,$N15))</f>
        <v/>
      </c>
      <c r="B15" s="71">
        <f>IF($N15="","",IF($O15="Sub","      ↳  "&amp;INDEX('Cronograma R. Operacional'!$C$5:$C$1000,$N15),INDEX('Cronograma R. Operacional'!$C$5:$C$1000,$N15)&amp;""))</f>
        <v/>
      </c>
      <c r="C15" s="77">
        <f>IF($N15="","",IF(INDEX('Cronograma R. Operacional'!$D$5:$D$1000,$N15)="","",INDEX('Cronograma R. Operacional'!$D$5:$D$1000,$N15)))</f>
        <v/>
      </c>
      <c r="D15" s="77">
        <f>IF($N15="","",IF(INDEX('Cronograma R. Operacional'!$E$5:$E$1000,$N15)="","",INDEX('Cronograma R. Operacional'!$E$5:$E$1000,$N15)))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R. Operacional'!$Y$5:$Y$1000,$N15),""),IF(INDEX('Cronograma R. Operacional'!$G$5:$G$1000,$N15)="","",INDEX('Cronograma R. Operacional'!$G$5:$G$1000,$N15))))</f>
        <v/>
      </c>
      <c r="G15" s="68">
        <f>IF($N15="","",IF($P15&gt;0,IF(2&lt;=SemanaActual,INDEX('Cronograma R. Operacional'!$Z$5:$Z$1000,$N15),""),IF(INDEX('Cronograma R. Operacional'!$H$5:$H$1000,$N15)="","",INDEX('Cronograma R. Operacional'!$H$5:$H$1000,$N15))))</f>
        <v/>
      </c>
      <c r="H15" s="68">
        <f>IF($N15="","",IF($P15&gt;0,IF(3&lt;=SemanaActual,INDEX('Cronograma R. Operacional'!$AA$5:$AA$1000,$N15),""),IF(INDEX('Cronograma R. Operacional'!$I$5:$I$1000,$N15)="","",INDEX('Cronograma R. Operacional'!$I$5:$I$1000,$N15))))</f>
        <v/>
      </c>
      <c r="I15" s="68">
        <f>IF($N15="","",IF($P15&gt;0,IF(4&lt;=SemanaActual,INDEX('Cronograma R. Operacional'!$AB$5:$AB$1000,$N15),""),IF(INDEX('Cronograma R. Operacional'!$J$5:$J$1000,$N15)="","",INDEX('Cronograma R. Operacional'!$J$5:$J$1000,$N15))))</f>
        <v/>
      </c>
      <c r="J15" s="68">
        <f>IF($N15="","",INDEX('Cronograma R. Operacional'!$K$5:$K$1000,$N15))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R. Operacional'!$M$5:$M$1000,$N15)&amp;"")</f>
        <v/>
      </c>
      <c r="M15" s="71">
        <f>IF($N15="","",INDEX('Cronograma R. Operacional'!$N$5:$N$1000,$N15)&amp;"")</f>
        <v/>
      </c>
      <c r="N15">
        <f>IFERROR(MATCH(ROW()-4,rOrden_RO,0),"")</f>
        <v/>
      </c>
      <c r="O15">
        <f>IF($N15="","",INDEX('Cronograma R. Operacional'!$S$5:$S$1000,$N15))</f>
        <v/>
      </c>
      <c r="P15">
        <f>IF($N15="","",N(INDEX('Cronograma R. Operacional'!$T$5:$T$1000,$N15)))</f>
        <v/>
      </c>
    </row>
    <row r="16">
      <c r="A16" s="62">
        <f>IF($N16="","",INDEX('Cronograma R. Operacional'!$A$5:$A$1000,$N16))</f>
        <v/>
      </c>
      <c r="B16" s="71">
        <f>IF($N16="","",IF($O16="Sub","      ↳  "&amp;INDEX('Cronograma R. Operacional'!$C$5:$C$1000,$N16),INDEX('Cronograma R. Operacional'!$C$5:$C$1000,$N16)&amp;""))</f>
        <v/>
      </c>
      <c r="C16" s="77">
        <f>IF($N16="","",IF(INDEX('Cronograma R. Operacional'!$D$5:$D$1000,$N16)="","",INDEX('Cronograma R. Operacional'!$D$5:$D$1000,$N16)))</f>
        <v/>
      </c>
      <c r="D16" s="77">
        <f>IF($N16="","",IF(INDEX('Cronograma R. Operacional'!$E$5:$E$1000,$N16)="","",INDEX('Cronograma R. Operacional'!$E$5:$E$1000,$N16)))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R. Operacional'!$Y$5:$Y$1000,$N16),""),IF(INDEX('Cronograma R. Operacional'!$G$5:$G$1000,$N16)="","",INDEX('Cronograma R. Operacional'!$G$5:$G$1000,$N16))))</f>
        <v/>
      </c>
      <c r="G16" s="68">
        <f>IF($N16="","",IF($P16&gt;0,IF(2&lt;=SemanaActual,INDEX('Cronograma R. Operacional'!$Z$5:$Z$1000,$N16),""),IF(INDEX('Cronograma R. Operacional'!$H$5:$H$1000,$N16)="","",INDEX('Cronograma R. Operacional'!$H$5:$H$1000,$N16))))</f>
        <v/>
      </c>
      <c r="H16" s="68">
        <f>IF($N16="","",IF($P16&gt;0,IF(3&lt;=SemanaActual,INDEX('Cronograma R. Operacional'!$AA$5:$AA$1000,$N16),""),IF(INDEX('Cronograma R. Operacional'!$I$5:$I$1000,$N16)="","",INDEX('Cronograma R. Operacional'!$I$5:$I$1000,$N16))))</f>
        <v/>
      </c>
      <c r="I16" s="68">
        <f>IF($N16="","",IF($P16&gt;0,IF(4&lt;=SemanaActual,INDEX('Cronograma R. Operacional'!$AB$5:$AB$1000,$N16),""),IF(INDEX('Cronograma R. Operacional'!$J$5:$J$1000,$N16)="","",INDEX('Cronograma R. Operacional'!$J$5:$J$1000,$N16))))</f>
        <v/>
      </c>
      <c r="J16" s="68">
        <f>IF($N16="","",INDEX('Cronograma R. Operacional'!$K$5:$K$1000,$N16))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R. Operacional'!$M$5:$M$1000,$N16)&amp;"")</f>
        <v/>
      </c>
      <c r="M16" s="71">
        <f>IF($N16="","",INDEX('Cronograma R. Operacional'!$N$5:$N$1000,$N16)&amp;"")</f>
        <v/>
      </c>
      <c r="N16">
        <f>IFERROR(MATCH(ROW()-4,rOrden_RO,0),"")</f>
        <v/>
      </c>
      <c r="O16">
        <f>IF($N16="","",INDEX('Cronograma R. Operacional'!$S$5:$S$1000,$N16))</f>
        <v/>
      </c>
      <c r="P16">
        <f>IF($N16="","",N(INDEX('Cronograma R. Operacional'!$T$5:$T$1000,$N16)))</f>
        <v/>
      </c>
    </row>
    <row r="17">
      <c r="A17" s="62">
        <f>IF($N17="","",INDEX('Cronograma R. Operacional'!$A$5:$A$1000,$N17))</f>
        <v/>
      </c>
      <c r="B17" s="71">
        <f>IF($N17="","",IF($O17="Sub","      ↳  "&amp;INDEX('Cronograma R. Operacional'!$C$5:$C$1000,$N17),INDEX('Cronograma R. Operacional'!$C$5:$C$1000,$N17)&amp;""))</f>
        <v/>
      </c>
      <c r="C17" s="77">
        <f>IF($N17="","",IF(INDEX('Cronograma R. Operacional'!$D$5:$D$1000,$N17)="","",INDEX('Cronograma R. Operacional'!$D$5:$D$1000,$N17)))</f>
        <v/>
      </c>
      <c r="D17" s="77">
        <f>IF($N17="","",IF(INDEX('Cronograma R. Operacional'!$E$5:$E$1000,$N17)="","",INDEX('Cronograma R. Operacional'!$E$5:$E$1000,$N17)))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R. Operacional'!$Y$5:$Y$1000,$N17),""),IF(INDEX('Cronograma R. Operacional'!$G$5:$G$1000,$N17)="","",INDEX('Cronograma R. Operacional'!$G$5:$G$1000,$N17))))</f>
        <v/>
      </c>
      <c r="G17" s="68">
        <f>IF($N17="","",IF($P17&gt;0,IF(2&lt;=SemanaActual,INDEX('Cronograma R. Operacional'!$Z$5:$Z$1000,$N17),""),IF(INDEX('Cronograma R. Operacional'!$H$5:$H$1000,$N17)="","",INDEX('Cronograma R. Operacional'!$H$5:$H$1000,$N17))))</f>
        <v/>
      </c>
      <c r="H17" s="68">
        <f>IF($N17="","",IF($P17&gt;0,IF(3&lt;=SemanaActual,INDEX('Cronograma R. Operacional'!$AA$5:$AA$1000,$N17),""),IF(INDEX('Cronograma R. Operacional'!$I$5:$I$1000,$N17)="","",INDEX('Cronograma R. Operacional'!$I$5:$I$1000,$N17))))</f>
        <v/>
      </c>
      <c r="I17" s="68">
        <f>IF($N17="","",IF($P17&gt;0,IF(4&lt;=SemanaActual,INDEX('Cronograma R. Operacional'!$AB$5:$AB$1000,$N17),""),IF(INDEX('Cronograma R. Operacional'!$J$5:$J$1000,$N17)="","",INDEX('Cronograma R. Operacional'!$J$5:$J$1000,$N17))))</f>
        <v/>
      </c>
      <c r="J17" s="68">
        <f>IF($N17="","",INDEX('Cronograma R. Operacional'!$K$5:$K$1000,$N17))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R. Operacional'!$M$5:$M$1000,$N17)&amp;"")</f>
        <v/>
      </c>
      <c r="M17" s="71">
        <f>IF($N17="","",INDEX('Cronograma R. Operacional'!$N$5:$N$1000,$N17)&amp;"")</f>
        <v/>
      </c>
      <c r="N17">
        <f>IFERROR(MATCH(ROW()-4,rOrden_RO,0),"")</f>
        <v/>
      </c>
      <c r="O17">
        <f>IF($N17="","",INDEX('Cronograma R. Operacional'!$S$5:$S$1000,$N17))</f>
        <v/>
      </c>
      <c r="P17">
        <f>IF($N17="","",N(INDEX('Cronograma R. Operacional'!$T$5:$T$1000,$N17)))</f>
        <v/>
      </c>
    </row>
    <row r="18">
      <c r="A18" s="62">
        <f>IF($N18="","",INDEX('Cronograma R. Operacional'!$A$5:$A$1000,$N18))</f>
        <v/>
      </c>
      <c r="B18" s="71">
        <f>IF($N18="","",IF($O18="Sub","      ↳  "&amp;INDEX('Cronograma R. Operacional'!$C$5:$C$1000,$N18),INDEX('Cronograma R. Operacional'!$C$5:$C$1000,$N18)&amp;""))</f>
        <v/>
      </c>
      <c r="C18" s="77">
        <f>IF($N18="","",IF(INDEX('Cronograma R. Operacional'!$D$5:$D$1000,$N18)="","",INDEX('Cronograma R. Operacional'!$D$5:$D$1000,$N18)))</f>
        <v/>
      </c>
      <c r="D18" s="77">
        <f>IF($N18="","",IF(INDEX('Cronograma R. Operacional'!$E$5:$E$1000,$N18)="","",INDEX('Cronograma R. Operacional'!$E$5:$E$1000,$N18)))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R. Operacional'!$Y$5:$Y$1000,$N18),""),IF(INDEX('Cronograma R. Operacional'!$G$5:$G$1000,$N18)="","",INDEX('Cronograma R. Operacional'!$G$5:$G$1000,$N18))))</f>
        <v/>
      </c>
      <c r="G18" s="68">
        <f>IF($N18="","",IF($P18&gt;0,IF(2&lt;=SemanaActual,INDEX('Cronograma R. Operacional'!$Z$5:$Z$1000,$N18),""),IF(INDEX('Cronograma R. Operacional'!$H$5:$H$1000,$N18)="","",INDEX('Cronograma R. Operacional'!$H$5:$H$1000,$N18))))</f>
        <v/>
      </c>
      <c r="H18" s="68">
        <f>IF($N18="","",IF($P18&gt;0,IF(3&lt;=SemanaActual,INDEX('Cronograma R. Operacional'!$AA$5:$AA$1000,$N18),""),IF(INDEX('Cronograma R. Operacional'!$I$5:$I$1000,$N18)="","",INDEX('Cronograma R. Operacional'!$I$5:$I$1000,$N18))))</f>
        <v/>
      </c>
      <c r="I18" s="68">
        <f>IF($N18="","",IF($P18&gt;0,IF(4&lt;=SemanaActual,INDEX('Cronograma R. Operacional'!$AB$5:$AB$1000,$N18),""),IF(INDEX('Cronograma R. Operacional'!$J$5:$J$1000,$N18)="","",INDEX('Cronograma R. Operacional'!$J$5:$J$1000,$N18))))</f>
        <v/>
      </c>
      <c r="J18" s="68">
        <f>IF($N18="","",INDEX('Cronograma R. Operacional'!$K$5:$K$1000,$N18))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R. Operacional'!$M$5:$M$1000,$N18)&amp;"")</f>
        <v/>
      </c>
      <c r="M18" s="71">
        <f>IF($N18="","",INDEX('Cronograma R. Operacional'!$N$5:$N$1000,$N18)&amp;"")</f>
        <v/>
      </c>
      <c r="N18">
        <f>IFERROR(MATCH(ROW()-4,rOrden_RO,0),"")</f>
        <v/>
      </c>
      <c r="O18">
        <f>IF($N18="","",INDEX('Cronograma R. Operacional'!$S$5:$S$1000,$N18))</f>
        <v/>
      </c>
      <c r="P18">
        <f>IF($N18="","",N(INDEX('Cronograma R. Operacional'!$T$5:$T$1000,$N18)))</f>
        <v/>
      </c>
    </row>
    <row r="19">
      <c r="A19" s="62">
        <f>IF($N19="","",INDEX('Cronograma R. Operacional'!$A$5:$A$1000,$N19))</f>
        <v/>
      </c>
      <c r="B19" s="71">
        <f>IF($N19="","",IF($O19="Sub","      ↳  "&amp;INDEX('Cronograma R. Operacional'!$C$5:$C$1000,$N19),INDEX('Cronograma R. Operacional'!$C$5:$C$1000,$N19)&amp;""))</f>
        <v/>
      </c>
      <c r="C19" s="77">
        <f>IF($N19="","",IF(INDEX('Cronograma R. Operacional'!$D$5:$D$1000,$N19)="","",INDEX('Cronograma R. Operacional'!$D$5:$D$1000,$N19)))</f>
        <v/>
      </c>
      <c r="D19" s="77">
        <f>IF($N19="","",IF(INDEX('Cronograma R. Operacional'!$E$5:$E$1000,$N19)="","",INDEX('Cronograma R. Operacional'!$E$5:$E$1000,$N19)))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R. Operacional'!$Y$5:$Y$1000,$N19),""),IF(INDEX('Cronograma R. Operacional'!$G$5:$G$1000,$N19)="","",INDEX('Cronograma R. Operacional'!$G$5:$G$1000,$N19))))</f>
        <v/>
      </c>
      <c r="G19" s="68">
        <f>IF($N19="","",IF($P19&gt;0,IF(2&lt;=SemanaActual,INDEX('Cronograma R. Operacional'!$Z$5:$Z$1000,$N19),""),IF(INDEX('Cronograma R. Operacional'!$H$5:$H$1000,$N19)="","",INDEX('Cronograma R. Operacional'!$H$5:$H$1000,$N19))))</f>
        <v/>
      </c>
      <c r="H19" s="68">
        <f>IF($N19="","",IF($P19&gt;0,IF(3&lt;=SemanaActual,INDEX('Cronograma R. Operacional'!$AA$5:$AA$1000,$N19),""),IF(INDEX('Cronograma R. Operacional'!$I$5:$I$1000,$N19)="","",INDEX('Cronograma R. Operacional'!$I$5:$I$1000,$N19))))</f>
        <v/>
      </c>
      <c r="I19" s="68">
        <f>IF($N19="","",IF($P19&gt;0,IF(4&lt;=SemanaActual,INDEX('Cronograma R. Operacional'!$AB$5:$AB$1000,$N19),""),IF(INDEX('Cronograma R. Operacional'!$J$5:$J$1000,$N19)="","",INDEX('Cronograma R. Operacional'!$J$5:$J$1000,$N19))))</f>
        <v/>
      </c>
      <c r="J19" s="68">
        <f>IF($N19="","",INDEX('Cronograma R. Operacional'!$K$5:$K$1000,$N19))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R. Operacional'!$M$5:$M$1000,$N19)&amp;"")</f>
        <v/>
      </c>
      <c r="M19" s="71">
        <f>IF($N19="","",INDEX('Cronograma R. Operacional'!$N$5:$N$1000,$N19)&amp;"")</f>
        <v/>
      </c>
      <c r="N19">
        <f>IFERROR(MATCH(ROW()-4,rOrden_RO,0),"")</f>
        <v/>
      </c>
      <c r="O19">
        <f>IF($N19="","",INDEX('Cronograma R. Operacional'!$S$5:$S$1000,$N19))</f>
        <v/>
      </c>
      <c r="P19">
        <f>IF($N19="","",N(INDEX('Cronograma R. Operacional'!$T$5:$T$1000,$N19)))</f>
        <v/>
      </c>
    </row>
    <row r="20">
      <c r="A20" s="62">
        <f>IF($N20="","",INDEX('Cronograma R. Operacional'!$A$5:$A$1000,$N20))</f>
        <v/>
      </c>
      <c r="B20" s="71">
        <f>IF($N20="","",IF($O20="Sub","      ↳  "&amp;INDEX('Cronograma R. Operacional'!$C$5:$C$1000,$N20),INDEX('Cronograma R. Operacional'!$C$5:$C$1000,$N20)&amp;""))</f>
        <v/>
      </c>
      <c r="C20" s="77">
        <f>IF($N20="","",IF(INDEX('Cronograma R. Operacional'!$D$5:$D$1000,$N20)="","",INDEX('Cronograma R. Operacional'!$D$5:$D$1000,$N20)))</f>
        <v/>
      </c>
      <c r="D20" s="77">
        <f>IF($N20="","",IF(INDEX('Cronograma R. Operacional'!$E$5:$E$1000,$N20)="","",INDEX('Cronograma R. Operacional'!$E$5:$E$1000,$N20)))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R. Operacional'!$Y$5:$Y$1000,$N20),""),IF(INDEX('Cronograma R. Operacional'!$G$5:$G$1000,$N20)="","",INDEX('Cronograma R. Operacional'!$G$5:$G$1000,$N20))))</f>
        <v/>
      </c>
      <c r="G20" s="68">
        <f>IF($N20="","",IF($P20&gt;0,IF(2&lt;=SemanaActual,INDEX('Cronograma R. Operacional'!$Z$5:$Z$1000,$N20),""),IF(INDEX('Cronograma R. Operacional'!$H$5:$H$1000,$N20)="","",INDEX('Cronograma R. Operacional'!$H$5:$H$1000,$N20))))</f>
        <v/>
      </c>
      <c r="H20" s="68">
        <f>IF($N20="","",IF($P20&gt;0,IF(3&lt;=SemanaActual,INDEX('Cronograma R. Operacional'!$AA$5:$AA$1000,$N20),""),IF(INDEX('Cronograma R. Operacional'!$I$5:$I$1000,$N20)="","",INDEX('Cronograma R. Operacional'!$I$5:$I$1000,$N20))))</f>
        <v/>
      </c>
      <c r="I20" s="68">
        <f>IF($N20="","",IF($P20&gt;0,IF(4&lt;=SemanaActual,INDEX('Cronograma R. Operacional'!$AB$5:$AB$1000,$N20),""),IF(INDEX('Cronograma R. Operacional'!$J$5:$J$1000,$N20)="","",INDEX('Cronograma R. Operacional'!$J$5:$J$1000,$N20))))</f>
        <v/>
      </c>
      <c r="J20" s="68">
        <f>IF($N20="","",INDEX('Cronograma R. Operacional'!$K$5:$K$1000,$N20))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R. Operacional'!$M$5:$M$1000,$N20)&amp;"")</f>
        <v/>
      </c>
      <c r="M20" s="71">
        <f>IF($N20="","",INDEX('Cronograma R. Operacional'!$N$5:$N$1000,$N20)&amp;"")</f>
        <v/>
      </c>
      <c r="N20">
        <f>IFERROR(MATCH(ROW()-4,rOrden_RO,0),"")</f>
        <v/>
      </c>
      <c r="O20">
        <f>IF($N20="","",INDEX('Cronograma R. Operacional'!$S$5:$S$1000,$N20))</f>
        <v/>
      </c>
      <c r="P20">
        <f>IF($N20="","",N(INDEX('Cronograma R. Operacional'!$T$5:$T$1000,$N20)))</f>
        <v/>
      </c>
    </row>
    <row r="21">
      <c r="A21" s="62">
        <f>IF($N21="","",INDEX('Cronograma R. Operacional'!$A$5:$A$1000,$N21))</f>
        <v/>
      </c>
      <c r="B21" s="71">
        <f>IF($N21="","",IF($O21="Sub","      ↳  "&amp;INDEX('Cronograma R. Operacional'!$C$5:$C$1000,$N21),INDEX('Cronograma R. Operacional'!$C$5:$C$1000,$N21)&amp;""))</f>
        <v/>
      </c>
      <c r="C21" s="77">
        <f>IF($N21="","",IF(INDEX('Cronograma R. Operacional'!$D$5:$D$1000,$N21)="","",INDEX('Cronograma R. Operacional'!$D$5:$D$1000,$N21)))</f>
        <v/>
      </c>
      <c r="D21" s="77">
        <f>IF($N21="","",IF(INDEX('Cronograma R. Operacional'!$E$5:$E$1000,$N21)="","",INDEX('Cronograma R. Operacional'!$E$5:$E$1000,$N21)))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R. Operacional'!$Y$5:$Y$1000,$N21),""),IF(INDEX('Cronograma R. Operacional'!$G$5:$G$1000,$N21)="","",INDEX('Cronograma R. Operacional'!$G$5:$G$1000,$N21))))</f>
        <v/>
      </c>
      <c r="G21" s="68">
        <f>IF($N21="","",IF($P21&gt;0,IF(2&lt;=SemanaActual,INDEX('Cronograma R. Operacional'!$Z$5:$Z$1000,$N21),""),IF(INDEX('Cronograma R. Operacional'!$H$5:$H$1000,$N21)="","",INDEX('Cronograma R. Operacional'!$H$5:$H$1000,$N21))))</f>
        <v/>
      </c>
      <c r="H21" s="68">
        <f>IF($N21="","",IF($P21&gt;0,IF(3&lt;=SemanaActual,INDEX('Cronograma R. Operacional'!$AA$5:$AA$1000,$N21),""),IF(INDEX('Cronograma R. Operacional'!$I$5:$I$1000,$N21)="","",INDEX('Cronograma R. Operacional'!$I$5:$I$1000,$N21))))</f>
        <v/>
      </c>
      <c r="I21" s="68">
        <f>IF($N21="","",IF($P21&gt;0,IF(4&lt;=SemanaActual,INDEX('Cronograma R. Operacional'!$AB$5:$AB$1000,$N21),""),IF(INDEX('Cronograma R. Operacional'!$J$5:$J$1000,$N21)="","",INDEX('Cronograma R. Operacional'!$J$5:$J$1000,$N21))))</f>
        <v/>
      </c>
      <c r="J21" s="68">
        <f>IF($N21="","",INDEX('Cronograma R. Operacional'!$K$5:$K$1000,$N21))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R. Operacional'!$M$5:$M$1000,$N21)&amp;"")</f>
        <v/>
      </c>
      <c r="M21" s="71">
        <f>IF($N21="","",INDEX('Cronograma R. Operacional'!$N$5:$N$1000,$N21)&amp;"")</f>
        <v/>
      </c>
      <c r="N21">
        <f>IFERROR(MATCH(ROW()-4,rOrden_RO,0),"")</f>
        <v/>
      </c>
      <c r="O21">
        <f>IF($N21="","",INDEX('Cronograma R. Operacional'!$S$5:$S$1000,$N21))</f>
        <v/>
      </c>
      <c r="P21">
        <f>IF($N21="","",N(INDEX('Cronograma R. Operacional'!$T$5:$T$1000,$N21)))</f>
        <v/>
      </c>
    </row>
    <row r="22">
      <c r="A22" s="62">
        <f>IF($N22="","",INDEX('Cronograma R. Operacional'!$A$5:$A$1000,$N22))</f>
        <v/>
      </c>
      <c r="B22" s="71">
        <f>IF($N22="","",IF($O22="Sub","      ↳  "&amp;INDEX('Cronograma R. Operacional'!$C$5:$C$1000,$N22),INDEX('Cronograma R. Operacional'!$C$5:$C$1000,$N22)&amp;""))</f>
        <v/>
      </c>
      <c r="C22" s="77">
        <f>IF($N22="","",IF(INDEX('Cronograma R. Operacional'!$D$5:$D$1000,$N22)="","",INDEX('Cronograma R. Operacional'!$D$5:$D$1000,$N22)))</f>
        <v/>
      </c>
      <c r="D22" s="77">
        <f>IF($N22="","",IF(INDEX('Cronograma R. Operacional'!$E$5:$E$1000,$N22)="","",INDEX('Cronograma R. Operacional'!$E$5:$E$1000,$N22)))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R. Operacional'!$Y$5:$Y$1000,$N22),""),IF(INDEX('Cronograma R. Operacional'!$G$5:$G$1000,$N22)="","",INDEX('Cronograma R. Operacional'!$G$5:$G$1000,$N22))))</f>
        <v/>
      </c>
      <c r="G22" s="68">
        <f>IF($N22="","",IF($P22&gt;0,IF(2&lt;=SemanaActual,INDEX('Cronograma R. Operacional'!$Z$5:$Z$1000,$N22),""),IF(INDEX('Cronograma R. Operacional'!$H$5:$H$1000,$N22)="","",INDEX('Cronograma R. Operacional'!$H$5:$H$1000,$N22))))</f>
        <v/>
      </c>
      <c r="H22" s="68">
        <f>IF($N22="","",IF($P22&gt;0,IF(3&lt;=SemanaActual,INDEX('Cronograma R. Operacional'!$AA$5:$AA$1000,$N22),""),IF(INDEX('Cronograma R. Operacional'!$I$5:$I$1000,$N22)="","",INDEX('Cronograma R. Operacional'!$I$5:$I$1000,$N22))))</f>
        <v/>
      </c>
      <c r="I22" s="68">
        <f>IF($N22="","",IF($P22&gt;0,IF(4&lt;=SemanaActual,INDEX('Cronograma R. Operacional'!$AB$5:$AB$1000,$N22),""),IF(INDEX('Cronograma R. Operacional'!$J$5:$J$1000,$N22)="","",INDEX('Cronograma R. Operacional'!$J$5:$J$1000,$N22))))</f>
        <v/>
      </c>
      <c r="J22" s="68">
        <f>IF($N22="","",INDEX('Cronograma R. Operacional'!$K$5:$K$1000,$N22))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R. Operacional'!$M$5:$M$1000,$N22)&amp;"")</f>
        <v/>
      </c>
      <c r="M22" s="71">
        <f>IF($N22="","",INDEX('Cronograma R. Operacional'!$N$5:$N$1000,$N22)&amp;"")</f>
        <v/>
      </c>
      <c r="N22">
        <f>IFERROR(MATCH(ROW()-4,rOrden_RO,0),"")</f>
        <v/>
      </c>
      <c r="O22">
        <f>IF($N22="","",INDEX('Cronograma R. Operacional'!$S$5:$S$1000,$N22))</f>
        <v/>
      </c>
      <c r="P22">
        <f>IF($N22="","",N(INDEX('Cronograma R. Operacional'!$T$5:$T$1000,$N22)))</f>
        <v/>
      </c>
    </row>
    <row r="23">
      <c r="A23" s="62">
        <f>IF($N23="","",INDEX('Cronograma R. Operacional'!$A$5:$A$1000,$N23))</f>
        <v/>
      </c>
      <c r="B23" s="71">
        <f>IF($N23="","",IF($O23="Sub","      ↳  "&amp;INDEX('Cronograma R. Operacional'!$C$5:$C$1000,$N23),INDEX('Cronograma R. Operacional'!$C$5:$C$1000,$N23)&amp;""))</f>
        <v/>
      </c>
      <c r="C23" s="77">
        <f>IF($N23="","",IF(INDEX('Cronograma R. Operacional'!$D$5:$D$1000,$N23)="","",INDEX('Cronograma R. Operacional'!$D$5:$D$1000,$N23)))</f>
        <v/>
      </c>
      <c r="D23" s="77">
        <f>IF($N23="","",IF(INDEX('Cronograma R. Operacional'!$E$5:$E$1000,$N23)="","",INDEX('Cronograma R. Operacional'!$E$5:$E$1000,$N23)))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R. Operacional'!$Y$5:$Y$1000,$N23),""),IF(INDEX('Cronograma R. Operacional'!$G$5:$G$1000,$N23)="","",INDEX('Cronograma R. Operacional'!$G$5:$G$1000,$N23))))</f>
        <v/>
      </c>
      <c r="G23" s="68">
        <f>IF($N23="","",IF($P23&gt;0,IF(2&lt;=SemanaActual,INDEX('Cronograma R. Operacional'!$Z$5:$Z$1000,$N23),""),IF(INDEX('Cronograma R. Operacional'!$H$5:$H$1000,$N23)="","",INDEX('Cronograma R. Operacional'!$H$5:$H$1000,$N23))))</f>
        <v/>
      </c>
      <c r="H23" s="68">
        <f>IF($N23="","",IF($P23&gt;0,IF(3&lt;=SemanaActual,INDEX('Cronograma R. Operacional'!$AA$5:$AA$1000,$N23),""),IF(INDEX('Cronograma R. Operacional'!$I$5:$I$1000,$N23)="","",INDEX('Cronograma R. Operacional'!$I$5:$I$1000,$N23))))</f>
        <v/>
      </c>
      <c r="I23" s="68">
        <f>IF($N23="","",IF($P23&gt;0,IF(4&lt;=SemanaActual,INDEX('Cronograma R. Operacional'!$AB$5:$AB$1000,$N23),""),IF(INDEX('Cronograma R. Operacional'!$J$5:$J$1000,$N23)="","",INDEX('Cronograma R. Operacional'!$J$5:$J$1000,$N23))))</f>
        <v/>
      </c>
      <c r="J23" s="68">
        <f>IF($N23="","",INDEX('Cronograma R. Operacional'!$K$5:$K$1000,$N23))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R. Operacional'!$M$5:$M$1000,$N23)&amp;"")</f>
        <v/>
      </c>
      <c r="M23" s="71">
        <f>IF($N23="","",INDEX('Cronograma R. Operacional'!$N$5:$N$1000,$N23)&amp;"")</f>
        <v/>
      </c>
      <c r="N23">
        <f>IFERROR(MATCH(ROW()-4,rOrden_RO,0),"")</f>
        <v/>
      </c>
      <c r="O23">
        <f>IF($N23="","",INDEX('Cronograma R. Operacional'!$S$5:$S$1000,$N23))</f>
        <v/>
      </c>
      <c r="P23">
        <f>IF($N23="","",N(INDEX('Cronograma R. Operacional'!$T$5:$T$1000,$N23)))</f>
        <v/>
      </c>
    </row>
    <row r="24">
      <c r="A24" s="62">
        <f>IF($N24="","",INDEX('Cronograma R. Operacional'!$A$5:$A$1000,$N24))</f>
        <v/>
      </c>
      <c r="B24" s="71">
        <f>IF($N24="","",IF($O24="Sub","      ↳  "&amp;INDEX('Cronograma R. Operacional'!$C$5:$C$1000,$N24),INDEX('Cronograma R. Operacional'!$C$5:$C$1000,$N24)&amp;""))</f>
        <v/>
      </c>
      <c r="C24" s="77">
        <f>IF($N24="","",IF(INDEX('Cronograma R. Operacional'!$D$5:$D$1000,$N24)="","",INDEX('Cronograma R. Operacional'!$D$5:$D$1000,$N24)))</f>
        <v/>
      </c>
      <c r="D24" s="77">
        <f>IF($N24="","",IF(INDEX('Cronograma R. Operacional'!$E$5:$E$1000,$N24)="","",INDEX('Cronograma R. Operacional'!$E$5:$E$1000,$N24)))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R. Operacional'!$Y$5:$Y$1000,$N24),""),IF(INDEX('Cronograma R. Operacional'!$G$5:$G$1000,$N24)="","",INDEX('Cronograma R. Operacional'!$G$5:$G$1000,$N24))))</f>
        <v/>
      </c>
      <c r="G24" s="68">
        <f>IF($N24="","",IF($P24&gt;0,IF(2&lt;=SemanaActual,INDEX('Cronograma R. Operacional'!$Z$5:$Z$1000,$N24),""),IF(INDEX('Cronograma R. Operacional'!$H$5:$H$1000,$N24)="","",INDEX('Cronograma R. Operacional'!$H$5:$H$1000,$N24))))</f>
        <v/>
      </c>
      <c r="H24" s="68">
        <f>IF($N24="","",IF($P24&gt;0,IF(3&lt;=SemanaActual,INDEX('Cronograma R. Operacional'!$AA$5:$AA$1000,$N24),""),IF(INDEX('Cronograma R. Operacional'!$I$5:$I$1000,$N24)="","",INDEX('Cronograma R. Operacional'!$I$5:$I$1000,$N24))))</f>
        <v/>
      </c>
      <c r="I24" s="68">
        <f>IF($N24="","",IF($P24&gt;0,IF(4&lt;=SemanaActual,INDEX('Cronograma R. Operacional'!$AB$5:$AB$1000,$N24),""),IF(INDEX('Cronograma R. Operacional'!$J$5:$J$1000,$N24)="","",INDEX('Cronograma R. Operacional'!$J$5:$J$1000,$N24))))</f>
        <v/>
      </c>
      <c r="J24" s="68">
        <f>IF($N24="","",INDEX('Cronograma R. Operacional'!$K$5:$K$1000,$N24))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R. Operacional'!$M$5:$M$1000,$N24)&amp;"")</f>
        <v/>
      </c>
      <c r="M24" s="71">
        <f>IF($N24="","",INDEX('Cronograma R. Operacional'!$N$5:$N$1000,$N24)&amp;"")</f>
        <v/>
      </c>
      <c r="N24">
        <f>IFERROR(MATCH(ROW()-4,rOrden_RO,0),"")</f>
        <v/>
      </c>
      <c r="O24">
        <f>IF($N24="","",INDEX('Cronograma R. Operacional'!$S$5:$S$1000,$N24))</f>
        <v/>
      </c>
      <c r="P24">
        <f>IF($N24="","",N(INDEX('Cronograma R. Operacional'!$T$5:$T$1000,$N24)))</f>
        <v/>
      </c>
    </row>
    <row r="25">
      <c r="A25" s="62">
        <f>IF($N25="","",INDEX('Cronograma R. Operacional'!$A$5:$A$1000,$N25))</f>
        <v/>
      </c>
      <c r="B25" s="71">
        <f>IF($N25="","",IF($O25="Sub","      ↳  "&amp;INDEX('Cronograma R. Operacional'!$C$5:$C$1000,$N25),INDEX('Cronograma R. Operacional'!$C$5:$C$1000,$N25)&amp;""))</f>
        <v/>
      </c>
      <c r="C25" s="77">
        <f>IF($N25="","",IF(INDEX('Cronograma R. Operacional'!$D$5:$D$1000,$N25)="","",INDEX('Cronograma R. Operacional'!$D$5:$D$1000,$N25)))</f>
        <v/>
      </c>
      <c r="D25" s="77">
        <f>IF($N25="","",IF(INDEX('Cronograma R. Operacional'!$E$5:$E$1000,$N25)="","",INDEX('Cronograma R. Operacional'!$E$5:$E$1000,$N25)))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R. Operacional'!$Y$5:$Y$1000,$N25),""),IF(INDEX('Cronograma R. Operacional'!$G$5:$G$1000,$N25)="","",INDEX('Cronograma R. Operacional'!$G$5:$G$1000,$N25))))</f>
        <v/>
      </c>
      <c r="G25" s="68">
        <f>IF($N25="","",IF($P25&gt;0,IF(2&lt;=SemanaActual,INDEX('Cronograma R. Operacional'!$Z$5:$Z$1000,$N25),""),IF(INDEX('Cronograma R. Operacional'!$H$5:$H$1000,$N25)="","",INDEX('Cronograma R. Operacional'!$H$5:$H$1000,$N25))))</f>
        <v/>
      </c>
      <c r="H25" s="68">
        <f>IF($N25="","",IF($P25&gt;0,IF(3&lt;=SemanaActual,INDEX('Cronograma R. Operacional'!$AA$5:$AA$1000,$N25),""),IF(INDEX('Cronograma R. Operacional'!$I$5:$I$1000,$N25)="","",INDEX('Cronograma R. Operacional'!$I$5:$I$1000,$N25))))</f>
        <v/>
      </c>
      <c r="I25" s="68">
        <f>IF($N25="","",IF($P25&gt;0,IF(4&lt;=SemanaActual,INDEX('Cronograma R. Operacional'!$AB$5:$AB$1000,$N25),""),IF(INDEX('Cronograma R. Operacional'!$J$5:$J$1000,$N25)="","",INDEX('Cronograma R. Operacional'!$J$5:$J$1000,$N25))))</f>
        <v/>
      </c>
      <c r="J25" s="68">
        <f>IF($N25="","",INDEX('Cronograma R. Operacional'!$K$5:$K$1000,$N25))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R. Operacional'!$M$5:$M$1000,$N25)&amp;"")</f>
        <v/>
      </c>
      <c r="M25" s="71">
        <f>IF($N25="","",INDEX('Cronograma R. Operacional'!$N$5:$N$1000,$N25)&amp;"")</f>
        <v/>
      </c>
      <c r="N25">
        <f>IFERROR(MATCH(ROW()-4,rOrden_RO,0),"")</f>
        <v/>
      </c>
      <c r="O25">
        <f>IF($N25="","",INDEX('Cronograma R. Operacional'!$S$5:$S$1000,$N25))</f>
        <v/>
      </c>
      <c r="P25">
        <f>IF($N25="","",N(INDEX('Cronograma R. Operacional'!$T$5:$T$1000,$N25)))</f>
        <v/>
      </c>
    </row>
    <row r="26">
      <c r="A26" s="62">
        <f>IF($N26="","",INDEX('Cronograma R. Operacional'!$A$5:$A$1000,$N26))</f>
        <v/>
      </c>
      <c r="B26" s="71">
        <f>IF($N26="","",IF($O26="Sub","      ↳  "&amp;INDEX('Cronograma R. Operacional'!$C$5:$C$1000,$N26),INDEX('Cronograma R. Operacional'!$C$5:$C$1000,$N26)&amp;""))</f>
        <v/>
      </c>
      <c r="C26" s="77">
        <f>IF($N26="","",IF(INDEX('Cronograma R. Operacional'!$D$5:$D$1000,$N26)="","",INDEX('Cronograma R. Operacional'!$D$5:$D$1000,$N26)))</f>
        <v/>
      </c>
      <c r="D26" s="77">
        <f>IF($N26="","",IF(INDEX('Cronograma R. Operacional'!$E$5:$E$1000,$N26)="","",INDEX('Cronograma R. Operacional'!$E$5:$E$1000,$N26)))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R. Operacional'!$Y$5:$Y$1000,$N26),""),IF(INDEX('Cronograma R. Operacional'!$G$5:$G$1000,$N26)="","",INDEX('Cronograma R. Operacional'!$G$5:$G$1000,$N26))))</f>
        <v/>
      </c>
      <c r="G26" s="68">
        <f>IF($N26="","",IF($P26&gt;0,IF(2&lt;=SemanaActual,INDEX('Cronograma R. Operacional'!$Z$5:$Z$1000,$N26),""),IF(INDEX('Cronograma R. Operacional'!$H$5:$H$1000,$N26)="","",INDEX('Cronograma R. Operacional'!$H$5:$H$1000,$N26))))</f>
        <v/>
      </c>
      <c r="H26" s="68">
        <f>IF($N26="","",IF($P26&gt;0,IF(3&lt;=SemanaActual,INDEX('Cronograma R. Operacional'!$AA$5:$AA$1000,$N26),""),IF(INDEX('Cronograma R. Operacional'!$I$5:$I$1000,$N26)="","",INDEX('Cronograma R. Operacional'!$I$5:$I$1000,$N26))))</f>
        <v/>
      </c>
      <c r="I26" s="68">
        <f>IF($N26="","",IF($P26&gt;0,IF(4&lt;=SemanaActual,INDEX('Cronograma R. Operacional'!$AB$5:$AB$1000,$N26),""),IF(INDEX('Cronograma R. Operacional'!$J$5:$J$1000,$N26)="","",INDEX('Cronograma R. Operacional'!$J$5:$J$1000,$N26))))</f>
        <v/>
      </c>
      <c r="J26" s="68">
        <f>IF($N26="","",INDEX('Cronograma R. Operacional'!$K$5:$K$1000,$N26))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R. Operacional'!$M$5:$M$1000,$N26)&amp;"")</f>
        <v/>
      </c>
      <c r="M26" s="71">
        <f>IF($N26="","",INDEX('Cronograma R. Operacional'!$N$5:$N$1000,$N26)&amp;"")</f>
        <v/>
      </c>
      <c r="N26">
        <f>IFERROR(MATCH(ROW()-4,rOrden_RO,0),"")</f>
        <v/>
      </c>
      <c r="O26">
        <f>IF($N26="","",INDEX('Cronograma R. Operacional'!$S$5:$S$1000,$N26))</f>
        <v/>
      </c>
      <c r="P26">
        <f>IF($N26="","",N(INDEX('Cronograma R. Operacional'!$T$5:$T$1000,$N26)))</f>
        <v/>
      </c>
    </row>
    <row r="27">
      <c r="A27" s="62">
        <f>IF($N27="","",INDEX('Cronograma R. Operacional'!$A$5:$A$1000,$N27))</f>
        <v/>
      </c>
      <c r="B27" s="71">
        <f>IF($N27="","",IF($O27="Sub","      ↳  "&amp;INDEX('Cronograma R. Operacional'!$C$5:$C$1000,$N27),INDEX('Cronograma R. Operacional'!$C$5:$C$1000,$N27)&amp;""))</f>
        <v/>
      </c>
      <c r="C27" s="77">
        <f>IF($N27="","",IF(INDEX('Cronograma R. Operacional'!$D$5:$D$1000,$N27)="","",INDEX('Cronograma R. Operacional'!$D$5:$D$1000,$N27)))</f>
        <v/>
      </c>
      <c r="D27" s="77">
        <f>IF($N27="","",IF(INDEX('Cronograma R. Operacional'!$E$5:$E$1000,$N27)="","",INDEX('Cronograma R. Operacional'!$E$5:$E$1000,$N27)))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R. Operacional'!$Y$5:$Y$1000,$N27),""),IF(INDEX('Cronograma R. Operacional'!$G$5:$G$1000,$N27)="","",INDEX('Cronograma R. Operacional'!$G$5:$G$1000,$N27))))</f>
        <v/>
      </c>
      <c r="G27" s="68">
        <f>IF($N27="","",IF($P27&gt;0,IF(2&lt;=SemanaActual,INDEX('Cronograma R. Operacional'!$Z$5:$Z$1000,$N27),""),IF(INDEX('Cronograma R. Operacional'!$H$5:$H$1000,$N27)="","",INDEX('Cronograma R. Operacional'!$H$5:$H$1000,$N27))))</f>
        <v/>
      </c>
      <c r="H27" s="68">
        <f>IF($N27="","",IF($P27&gt;0,IF(3&lt;=SemanaActual,INDEX('Cronograma R. Operacional'!$AA$5:$AA$1000,$N27),""),IF(INDEX('Cronograma R. Operacional'!$I$5:$I$1000,$N27)="","",INDEX('Cronograma R. Operacional'!$I$5:$I$1000,$N27))))</f>
        <v/>
      </c>
      <c r="I27" s="68">
        <f>IF($N27="","",IF($P27&gt;0,IF(4&lt;=SemanaActual,INDEX('Cronograma R. Operacional'!$AB$5:$AB$1000,$N27),""),IF(INDEX('Cronograma R. Operacional'!$J$5:$J$1000,$N27)="","",INDEX('Cronograma R. Operacional'!$J$5:$J$1000,$N27))))</f>
        <v/>
      </c>
      <c r="J27" s="68">
        <f>IF($N27="","",INDEX('Cronograma R. Operacional'!$K$5:$K$1000,$N27))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R. Operacional'!$M$5:$M$1000,$N27)&amp;"")</f>
        <v/>
      </c>
      <c r="M27" s="71">
        <f>IF($N27="","",INDEX('Cronograma R. Operacional'!$N$5:$N$1000,$N27)&amp;"")</f>
        <v/>
      </c>
      <c r="N27">
        <f>IFERROR(MATCH(ROW()-4,rOrden_RO,0),"")</f>
        <v/>
      </c>
      <c r="O27">
        <f>IF($N27="","",INDEX('Cronograma R. Operacional'!$S$5:$S$1000,$N27))</f>
        <v/>
      </c>
      <c r="P27">
        <f>IF($N27="","",N(INDEX('Cronograma R. Operacional'!$T$5:$T$1000,$N27)))</f>
        <v/>
      </c>
    </row>
    <row r="28">
      <c r="A28" s="62">
        <f>IF($N28="","",INDEX('Cronograma R. Operacional'!$A$5:$A$1000,$N28))</f>
        <v/>
      </c>
      <c r="B28" s="71">
        <f>IF($N28="","",IF($O28="Sub","      ↳  "&amp;INDEX('Cronograma R. Operacional'!$C$5:$C$1000,$N28),INDEX('Cronograma R. Operacional'!$C$5:$C$1000,$N28)&amp;""))</f>
        <v/>
      </c>
      <c r="C28" s="77">
        <f>IF($N28="","",IF(INDEX('Cronograma R. Operacional'!$D$5:$D$1000,$N28)="","",INDEX('Cronograma R. Operacional'!$D$5:$D$1000,$N28)))</f>
        <v/>
      </c>
      <c r="D28" s="77">
        <f>IF($N28="","",IF(INDEX('Cronograma R. Operacional'!$E$5:$E$1000,$N28)="","",INDEX('Cronograma R. Operacional'!$E$5:$E$1000,$N28)))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R. Operacional'!$Y$5:$Y$1000,$N28),""),IF(INDEX('Cronograma R. Operacional'!$G$5:$G$1000,$N28)="","",INDEX('Cronograma R. Operacional'!$G$5:$G$1000,$N28))))</f>
        <v/>
      </c>
      <c r="G28" s="68">
        <f>IF($N28="","",IF($P28&gt;0,IF(2&lt;=SemanaActual,INDEX('Cronograma R. Operacional'!$Z$5:$Z$1000,$N28),""),IF(INDEX('Cronograma R. Operacional'!$H$5:$H$1000,$N28)="","",INDEX('Cronograma R. Operacional'!$H$5:$H$1000,$N28))))</f>
        <v/>
      </c>
      <c r="H28" s="68">
        <f>IF($N28="","",IF($P28&gt;0,IF(3&lt;=SemanaActual,INDEX('Cronograma R. Operacional'!$AA$5:$AA$1000,$N28),""),IF(INDEX('Cronograma R. Operacional'!$I$5:$I$1000,$N28)="","",INDEX('Cronograma R. Operacional'!$I$5:$I$1000,$N28))))</f>
        <v/>
      </c>
      <c r="I28" s="68">
        <f>IF($N28="","",IF($P28&gt;0,IF(4&lt;=SemanaActual,INDEX('Cronograma R. Operacional'!$AB$5:$AB$1000,$N28),""),IF(INDEX('Cronograma R. Operacional'!$J$5:$J$1000,$N28)="","",INDEX('Cronograma R. Operacional'!$J$5:$J$1000,$N28))))</f>
        <v/>
      </c>
      <c r="J28" s="68">
        <f>IF($N28="","",INDEX('Cronograma R. Operacional'!$K$5:$K$1000,$N28))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R. Operacional'!$M$5:$M$1000,$N28)&amp;"")</f>
        <v/>
      </c>
      <c r="M28" s="71">
        <f>IF($N28="","",INDEX('Cronograma R. Operacional'!$N$5:$N$1000,$N28)&amp;"")</f>
        <v/>
      </c>
      <c r="N28">
        <f>IFERROR(MATCH(ROW()-4,rOrden_RO,0),"")</f>
        <v/>
      </c>
      <c r="O28">
        <f>IF($N28="","",INDEX('Cronograma R. Operacional'!$S$5:$S$1000,$N28))</f>
        <v/>
      </c>
      <c r="P28">
        <f>IF($N28="","",N(INDEX('Cronograma R. Operacional'!$T$5:$T$1000,$N28)))</f>
        <v/>
      </c>
    </row>
    <row r="29">
      <c r="A29" s="62">
        <f>IF($N29="","",INDEX('Cronograma R. Operacional'!$A$5:$A$1000,$N29))</f>
        <v/>
      </c>
      <c r="B29" s="71">
        <f>IF($N29="","",IF($O29="Sub","      ↳  "&amp;INDEX('Cronograma R. Operacional'!$C$5:$C$1000,$N29),INDEX('Cronograma R. Operacional'!$C$5:$C$1000,$N29)&amp;""))</f>
        <v/>
      </c>
      <c r="C29" s="77">
        <f>IF($N29="","",IF(INDEX('Cronograma R. Operacional'!$D$5:$D$1000,$N29)="","",INDEX('Cronograma R. Operacional'!$D$5:$D$1000,$N29)))</f>
        <v/>
      </c>
      <c r="D29" s="77">
        <f>IF($N29="","",IF(INDEX('Cronograma R. Operacional'!$E$5:$E$1000,$N29)="","",INDEX('Cronograma R. Operacional'!$E$5:$E$1000,$N29)))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R. Operacional'!$Y$5:$Y$1000,$N29),""),IF(INDEX('Cronograma R. Operacional'!$G$5:$G$1000,$N29)="","",INDEX('Cronograma R. Operacional'!$G$5:$G$1000,$N29))))</f>
        <v/>
      </c>
      <c r="G29" s="68">
        <f>IF($N29="","",IF($P29&gt;0,IF(2&lt;=SemanaActual,INDEX('Cronograma R. Operacional'!$Z$5:$Z$1000,$N29),""),IF(INDEX('Cronograma R. Operacional'!$H$5:$H$1000,$N29)="","",INDEX('Cronograma R. Operacional'!$H$5:$H$1000,$N29))))</f>
        <v/>
      </c>
      <c r="H29" s="68">
        <f>IF($N29="","",IF($P29&gt;0,IF(3&lt;=SemanaActual,INDEX('Cronograma R. Operacional'!$AA$5:$AA$1000,$N29),""),IF(INDEX('Cronograma R. Operacional'!$I$5:$I$1000,$N29)="","",INDEX('Cronograma R. Operacional'!$I$5:$I$1000,$N29))))</f>
        <v/>
      </c>
      <c r="I29" s="68">
        <f>IF($N29="","",IF($P29&gt;0,IF(4&lt;=SemanaActual,INDEX('Cronograma R. Operacional'!$AB$5:$AB$1000,$N29),""),IF(INDEX('Cronograma R. Operacional'!$J$5:$J$1000,$N29)="","",INDEX('Cronograma R. Operacional'!$J$5:$J$1000,$N29))))</f>
        <v/>
      </c>
      <c r="J29" s="68">
        <f>IF($N29="","",INDEX('Cronograma R. Operacional'!$K$5:$K$1000,$N29))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R. Operacional'!$M$5:$M$1000,$N29)&amp;"")</f>
        <v/>
      </c>
      <c r="M29" s="71">
        <f>IF($N29="","",INDEX('Cronograma R. Operacional'!$N$5:$N$1000,$N29)&amp;"")</f>
        <v/>
      </c>
      <c r="N29">
        <f>IFERROR(MATCH(ROW()-4,rOrden_RO,0),"")</f>
        <v/>
      </c>
      <c r="O29">
        <f>IF($N29="","",INDEX('Cronograma R. Operacional'!$S$5:$S$1000,$N29))</f>
        <v/>
      </c>
      <c r="P29">
        <f>IF($N29="","",N(INDEX('Cronograma R. Operacional'!$T$5:$T$1000,$N29)))</f>
        <v/>
      </c>
    </row>
    <row r="30">
      <c r="A30" s="62">
        <f>IF($N30="","",INDEX('Cronograma R. Operacional'!$A$5:$A$1000,$N30))</f>
        <v/>
      </c>
      <c r="B30" s="71">
        <f>IF($N30="","",IF($O30="Sub","      ↳  "&amp;INDEX('Cronograma R. Operacional'!$C$5:$C$1000,$N30),INDEX('Cronograma R. Operacional'!$C$5:$C$1000,$N30)&amp;""))</f>
        <v/>
      </c>
      <c r="C30" s="77">
        <f>IF($N30="","",IF(INDEX('Cronograma R. Operacional'!$D$5:$D$1000,$N30)="","",INDEX('Cronograma R. Operacional'!$D$5:$D$1000,$N30)))</f>
        <v/>
      </c>
      <c r="D30" s="77">
        <f>IF($N30="","",IF(INDEX('Cronograma R. Operacional'!$E$5:$E$1000,$N30)="","",INDEX('Cronograma R. Operacional'!$E$5:$E$1000,$N30)))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R. Operacional'!$Y$5:$Y$1000,$N30),""),IF(INDEX('Cronograma R. Operacional'!$G$5:$G$1000,$N30)="","",INDEX('Cronograma R. Operacional'!$G$5:$G$1000,$N30))))</f>
        <v/>
      </c>
      <c r="G30" s="68">
        <f>IF($N30="","",IF($P30&gt;0,IF(2&lt;=SemanaActual,INDEX('Cronograma R. Operacional'!$Z$5:$Z$1000,$N30),""),IF(INDEX('Cronograma R. Operacional'!$H$5:$H$1000,$N30)="","",INDEX('Cronograma R. Operacional'!$H$5:$H$1000,$N30))))</f>
        <v/>
      </c>
      <c r="H30" s="68">
        <f>IF($N30="","",IF($P30&gt;0,IF(3&lt;=SemanaActual,INDEX('Cronograma R. Operacional'!$AA$5:$AA$1000,$N30),""),IF(INDEX('Cronograma R. Operacional'!$I$5:$I$1000,$N30)="","",INDEX('Cronograma R. Operacional'!$I$5:$I$1000,$N30))))</f>
        <v/>
      </c>
      <c r="I30" s="68">
        <f>IF($N30="","",IF($P30&gt;0,IF(4&lt;=SemanaActual,INDEX('Cronograma R. Operacional'!$AB$5:$AB$1000,$N30),""),IF(INDEX('Cronograma R. Operacional'!$J$5:$J$1000,$N30)="","",INDEX('Cronograma R. Operacional'!$J$5:$J$1000,$N30))))</f>
        <v/>
      </c>
      <c r="J30" s="68">
        <f>IF($N30="","",INDEX('Cronograma R. Operacional'!$K$5:$K$1000,$N30))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R. Operacional'!$M$5:$M$1000,$N30)&amp;"")</f>
        <v/>
      </c>
      <c r="M30" s="71">
        <f>IF($N30="","",INDEX('Cronograma R. Operacional'!$N$5:$N$1000,$N30)&amp;"")</f>
        <v/>
      </c>
      <c r="N30">
        <f>IFERROR(MATCH(ROW()-4,rOrden_RO,0),"")</f>
        <v/>
      </c>
      <c r="O30">
        <f>IF($N30="","",INDEX('Cronograma R. Operacional'!$S$5:$S$1000,$N30))</f>
        <v/>
      </c>
      <c r="P30">
        <f>IF($N30="","",N(INDEX('Cronograma R. Operacional'!$T$5:$T$1000,$N30)))</f>
        <v/>
      </c>
    </row>
    <row r="31">
      <c r="A31" s="62">
        <f>IF($N31="","",INDEX('Cronograma R. Operacional'!$A$5:$A$1000,$N31))</f>
        <v/>
      </c>
      <c r="B31" s="71">
        <f>IF($N31="","",IF($O31="Sub","      ↳  "&amp;INDEX('Cronograma R. Operacional'!$C$5:$C$1000,$N31),INDEX('Cronograma R. Operacional'!$C$5:$C$1000,$N31)&amp;""))</f>
        <v/>
      </c>
      <c r="C31" s="77">
        <f>IF($N31="","",IF(INDEX('Cronograma R. Operacional'!$D$5:$D$1000,$N31)="","",INDEX('Cronograma R. Operacional'!$D$5:$D$1000,$N31)))</f>
        <v/>
      </c>
      <c r="D31" s="77">
        <f>IF($N31="","",IF(INDEX('Cronograma R. Operacional'!$E$5:$E$1000,$N31)="","",INDEX('Cronograma R. Operacional'!$E$5:$E$1000,$N31)))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R. Operacional'!$Y$5:$Y$1000,$N31),""),IF(INDEX('Cronograma R. Operacional'!$G$5:$G$1000,$N31)="","",INDEX('Cronograma R. Operacional'!$G$5:$G$1000,$N31))))</f>
        <v/>
      </c>
      <c r="G31" s="68">
        <f>IF($N31="","",IF($P31&gt;0,IF(2&lt;=SemanaActual,INDEX('Cronograma R. Operacional'!$Z$5:$Z$1000,$N31),""),IF(INDEX('Cronograma R. Operacional'!$H$5:$H$1000,$N31)="","",INDEX('Cronograma R. Operacional'!$H$5:$H$1000,$N31))))</f>
        <v/>
      </c>
      <c r="H31" s="68">
        <f>IF($N31="","",IF($P31&gt;0,IF(3&lt;=SemanaActual,INDEX('Cronograma R. Operacional'!$AA$5:$AA$1000,$N31),""),IF(INDEX('Cronograma R. Operacional'!$I$5:$I$1000,$N31)="","",INDEX('Cronograma R. Operacional'!$I$5:$I$1000,$N31))))</f>
        <v/>
      </c>
      <c r="I31" s="68">
        <f>IF($N31="","",IF($P31&gt;0,IF(4&lt;=SemanaActual,INDEX('Cronograma R. Operacional'!$AB$5:$AB$1000,$N31),""),IF(INDEX('Cronograma R. Operacional'!$J$5:$J$1000,$N31)="","",INDEX('Cronograma R. Operacional'!$J$5:$J$1000,$N31))))</f>
        <v/>
      </c>
      <c r="J31" s="68">
        <f>IF($N31="","",INDEX('Cronograma R. Operacional'!$K$5:$K$1000,$N31))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R. Operacional'!$M$5:$M$1000,$N31)&amp;"")</f>
        <v/>
      </c>
      <c r="M31" s="71">
        <f>IF($N31="","",INDEX('Cronograma R. Operacional'!$N$5:$N$1000,$N31)&amp;"")</f>
        <v/>
      </c>
      <c r="N31">
        <f>IFERROR(MATCH(ROW()-4,rOrden_RO,0),"")</f>
        <v/>
      </c>
      <c r="O31">
        <f>IF($N31="","",INDEX('Cronograma R. Operacional'!$S$5:$S$1000,$N31))</f>
        <v/>
      </c>
      <c r="P31">
        <f>IF($N31="","",N(INDEX('Cronograma R. Operacional'!$T$5:$T$1000,$N31)))</f>
        <v/>
      </c>
    </row>
    <row r="32">
      <c r="A32" s="62">
        <f>IF($N32="","",INDEX('Cronograma R. Operacional'!$A$5:$A$1000,$N32))</f>
        <v/>
      </c>
      <c r="B32" s="71">
        <f>IF($N32="","",IF($O32="Sub","      ↳  "&amp;INDEX('Cronograma R. Operacional'!$C$5:$C$1000,$N32),INDEX('Cronograma R. Operacional'!$C$5:$C$1000,$N32)&amp;""))</f>
        <v/>
      </c>
      <c r="C32" s="77">
        <f>IF($N32="","",IF(INDEX('Cronograma R. Operacional'!$D$5:$D$1000,$N32)="","",INDEX('Cronograma R. Operacional'!$D$5:$D$1000,$N32)))</f>
        <v/>
      </c>
      <c r="D32" s="77">
        <f>IF($N32="","",IF(INDEX('Cronograma R. Operacional'!$E$5:$E$1000,$N32)="","",INDEX('Cronograma R. Operacional'!$E$5:$E$1000,$N32)))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R. Operacional'!$Y$5:$Y$1000,$N32),""),IF(INDEX('Cronograma R. Operacional'!$G$5:$G$1000,$N32)="","",INDEX('Cronograma R. Operacional'!$G$5:$G$1000,$N32))))</f>
        <v/>
      </c>
      <c r="G32" s="68">
        <f>IF($N32="","",IF($P32&gt;0,IF(2&lt;=SemanaActual,INDEX('Cronograma R. Operacional'!$Z$5:$Z$1000,$N32),""),IF(INDEX('Cronograma R. Operacional'!$H$5:$H$1000,$N32)="","",INDEX('Cronograma R. Operacional'!$H$5:$H$1000,$N32))))</f>
        <v/>
      </c>
      <c r="H32" s="68">
        <f>IF($N32="","",IF($P32&gt;0,IF(3&lt;=SemanaActual,INDEX('Cronograma R. Operacional'!$AA$5:$AA$1000,$N32),""),IF(INDEX('Cronograma R. Operacional'!$I$5:$I$1000,$N32)="","",INDEX('Cronograma R. Operacional'!$I$5:$I$1000,$N32))))</f>
        <v/>
      </c>
      <c r="I32" s="68">
        <f>IF($N32="","",IF($P32&gt;0,IF(4&lt;=SemanaActual,INDEX('Cronograma R. Operacional'!$AB$5:$AB$1000,$N32),""),IF(INDEX('Cronograma R. Operacional'!$J$5:$J$1000,$N32)="","",INDEX('Cronograma R. Operacional'!$J$5:$J$1000,$N32))))</f>
        <v/>
      </c>
      <c r="J32" s="68">
        <f>IF($N32="","",INDEX('Cronograma R. Operacional'!$K$5:$K$1000,$N32))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R. Operacional'!$M$5:$M$1000,$N32)&amp;"")</f>
        <v/>
      </c>
      <c r="M32" s="71">
        <f>IF($N32="","",INDEX('Cronograma R. Operacional'!$N$5:$N$1000,$N32)&amp;"")</f>
        <v/>
      </c>
      <c r="N32">
        <f>IFERROR(MATCH(ROW()-4,rOrden_RO,0),"")</f>
        <v/>
      </c>
      <c r="O32">
        <f>IF($N32="","",INDEX('Cronograma R. Operacional'!$S$5:$S$1000,$N32))</f>
        <v/>
      </c>
      <c r="P32">
        <f>IF($N32="","",N(INDEX('Cronograma R. Operacional'!$T$5:$T$1000,$N32)))</f>
        <v/>
      </c>
    </row>
    <row r="33">
      <c r="A33" s="62">
        <f>IF($N33="","",INDEX('Cronograma R. Operacional'!$A$5:$A$1000,$N33))</f>
        <v/>
      </c>
      <c r="B33" s="71">
        <f>IF($N33="","",IF($O33="Sub","      ↳  "&amp;INDEX('Cronograma R. Operacional'!$C$5:$C$1000,$N33),INDEX('Cronograma R. Operacional'!$C$5:$C$1000,$N33)&amp;""))</f>
        <v/>
      </c>
      <c r="C33" s="77">
        <f>IF($N33="","",IF(INDEX('Cronograma R. Operacional'!$D$5:$D$1000,$N33)="","",INDEX('Cronograma R. Operacional'!$D$5:$D$1000,$N33)))</f>
        <v/>
      </c>
      <c r="D33" s="77">
        <f>IF($N33="","",IF(INDEX('Cronograma R. Operacional'!$E$5:$E$1000,$N33)="","",INDEX('Cronograma R. Operacional'!$E$5:$E$1000,$N33)))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R. Operacional'!$Y$5:$Y$1000,$N33),""),IF(INDEX('Cronograma R. Operacional'!$G$5:$G$1000,$N33)="","",INDEX('Cronograma R. Operacional'!$G$5:$G$1000,$N33))))</f>
        <v/>
      </c>
      <c r="G33" s="68">
        <f>IF($N33="","",IF($P33&gt;0,IF(2&lt;=SemanaActual,INDEX('Cronograma R. Operacional'!$Z$5:$Z$1000,$N33),""),IF(INDEX('Cronograma R. Operacional'!$H$5:$H$1000,$N33)="","",INDEX('Cronograma R. Operacional'!$H$5:$H$1000,$N33))))</f>
        <v/>
      </c>
      <c r="H33" s="68">
        <f>IF($N33="","",IF($P33&gt;0,IF(3&lt;=SemanaActual,INDEX('Cronograma R. Operacional'!$AA$5:$AA$1000,$N33),""),IF(INDEX('Cronograma R. Operacional'!$I$5:$I$1000,$N33)="","",INDEX('Cronograma R. Operacional'!$I$5:$I$1000,$N33))))</f>
        <v/>
      </c>
      <c r="I33" s="68">
        <f>IF($N33="","",IF($P33&gt;0,IF(4&lt;=SemanaActual,INDEX('Cronograma R. Operacional'!$AB$5:$AB$1000,$N33),""),IF(INDEX('Cronograma R. Operacional'!$J$5:$J$1000,$N33)="","",INDEX('Cronograma R. Operacional'!$J$5:$J$1000,$N33))))</f>
        <v/>
      </c>
      <c r="J33" s="68">
        <f>IF($N33="","",INDEX('Cronograma R. Operacional'!$K$5:$K$1000,$N33))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R. Operacional'!$M$5:$M$1000,$N33)&amp;"")</f>
        <v/>
      </c>
      <c r="M33" s="71">
        <f>IF($N33="","",INDEX('Cronograma R. Operacional'!$N$5:$N$1000,$N33)&amp;"")</f>
        <v/>
      </c>
      <c r="N33">
        <f>IFERROR(MATCH(ROW()-4,rOrden_RO,0),"")</f>
        <v/>
      </c>
      <c r="O33">
        <f>IF($N33="","",INDEX('Cronograma R. Operacional'!$S$5:$S$1000,$N33))</f>
        <v/>
      </c>
      <c r="P33">
        <f>IF($N33="","",N(INDEX('Cronograma R. Operacional'!$T$5:$T$1000,$N33)))</f>
        <v/>
      </c>
    </row>
    <row r="34">
      <c r="A34" s="62">
        <f>IF($N34="","",INDEX('Cronograma R. Operacional'!$A$5:$A$1000,$N34))</f>
        <v/>
      </c>
      <c r="B34" s="71">
        <f>IF($N34="","",IF($O34="Sub","      ↳  "&amp;INDEX('Cronograma R. Operacional'!$C$5:$C$1000,$N34),INDEX('Cronograma R. Operacional'!$C$5:$C$1000,$N34)&amp;""))</f>
        <v/>
      </c>
      <c r="C34" s="77">
        <f>IF($N34="","",IF(INDEX('Cronograma R. Operacional'!$D$5:$D$1000,$N34)="","",INDEX('Cronograma R. Operacional'!$D$5:$D$1000,$N34)))</f>
        <v/>
      </c>
      <c r="D34" s="77">
        <f>IF($N34="","",IF(INDEX('Cronograma R. Operacional'!$E$5:$E$1000,$N34)="","",INDEX('Cronograma R. Operacional'!$E$5:$E$1000,$N34)))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R. Operacional'!$Y$5:$Y$1000,$N34),""),IF(INDEX('Cronograma R. Operacional'!$G$5:$G$1000,$N34)="","",INDEX('Cronograma R. Operacional'!$G$5:$G$1000,$N34))))</f>
        <v/>
      </c>
      <c r="G34" s="68">
        <f>IF($N34="","",IF($P34&gt;0,IF(2&lt;=SemanaActual,INDEX('Cronograma R. Operacional'!$Z$5:$Z$1000,$N34),""),IF(INDEX('Cronograma R. Operacional'!$H$5:$H$1000,$N34)="","",INDEX('Cronograma R. Operacional'!$H$5:$H$1000,$N34))))</f>
        <v/>
      </c>
      <c r="H34" s="68">
        <f>IF($N34="","",IF($P34&gt;0,IF(3&lt;=SemanaActual,INDEX('Cronograma R. Operacional'!$AA$5:$AA$1000,$N34),""),IF(INDEX('Cronograma R. Operacional'!$I$5:$I$1000,$N34)="","",INDEX('Cronograma R. Operacional'!$I$5:$I$1000,$N34))))</f>
        <v/>
      </c>
      <c r="I34" s="68">
        <f>IF($N34="","",IF($P34&gt;0,IF(4&lt;=SemanaActual,INDEX('Cronograma R. Operacional'!$AB$5:$AB$1000,$N34),""),IF(INDEX('Cronograma R. Operacional'!$J$5:$J$1000,$N34)="","",INDEX('Cronograma R. Operacional'!$J$5:$J$1000,$N34))))</f>
        <v/>
      </c>
      <c r="J34" s="68">
        <f>IF($N34="","",INDEX('Cronograma R. Operacional'!$K$5:$K$1000,$N34))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R. Operacional'!$M$5:$M$1000,$N34)&amp;"")</f>
        <v/>
      </c>
      <c r="M34" s="71">
        <f>IF($N34="","",INDEX('Cronograma R. Operacional'!$N$5:$N$1000,$N34)&amp;"")</f>
        <v/>
      </c>
      <c r="N34">
        <f>IFERROR(MATCH(ROW()-4,rOrden_RO,0),"")</f>
        <v/>
      </c>
      <c r="O34">
        <f>IF($N34="","",INDEX('Cronograma R. Operacional'!$S$5:$S$1000,$N34))</f>
        <v/>
      </c>
      <c r="P34">
        <f>IF($N34="","",N(INDEX('Cronograma R. Operacional'!$T$5:$T$1000,$N34)))</f>
        <v/>
      </c>
    </row>
    <row r="35">
      <c r="A35" s="62">
        <f>IF($N35="","",INDEX('Cronograma R. Operacional'!$A$5:$A$1000,$N35))</f>
        <v/>
      </c>
      <c r="B35" s="71">
        <f>IF($N35="","",IF($O35="Sub","      ↳  "&amp;INDEX('Cronograma R. Operacional'!$C$5:$C$1000,$N35),INDEX('Cronograma R. Operacional'!$C$5:$C$1000,$N35)&amp;""))</f>
        <v/>
      </c>
      <c r="C35" s="77">
        <f>IF($N35="","",IF(INDEX('Cronograma R. Operacional'!$D$5:$D$1000,$N35)="","",INDEX('Cronograma R. Operacional'!$D$5:$D$1000,$N35)))</f>
        <v/>
      </c>
      <c r="D35" s="77">
        <f>IF($N35="","",IF(INDEX('Cronograma R. Operacional'!$E$5:$E$1000,$N35)="","",INDEX('Cronograma R. Operacional'!$E$5:$E$1000,$N35)))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R. Operacional'!$Y$5:$Y$1000,$N35),""),IF(INDEX('Cronograma R. Operacional'!$G$5:$G$1000,$N35)="","",INDEX('Cronograma R. Operacional'!$G$5:$G$1000,$N35))))</f>
        <v/>
      </c>
      <c r="G35" s="68">
        <f>IF($N35="","",IF($P35&gt;0,IF(2&lt;=SemanaActual,INDEX('Cronograma R. Operacional'!$Z$5:$Z$1000,$N35),""),IF(INDEX('Cronograma R. Operacional'!$H$5:$H$1000,$N35)="","",INDEX('Cronograma R. Operacional'!$H$5:$H$1000,$N35))))</f>
        <v/>
      </c>
      <c r="H35" s="68">
        <f>IF($N35="","",IF($P35&gt;0,IF(3&lt;=SemanaActual,INDEX('Cronograma R. Operacional'!$AA$5:$AA$1000,$N35),""),IF(INDEX('Cronograma R. Operacional'!$I$5:$I$1000,$N35)="","",INDEX('Cronograma R. Operacional'!$I$5:$I$1000,$N35))))</f>
        <v/>
      </c>
      <c r="I35" s="68">
        <f>IF($N35="","",IF($P35&gt;0,IF(4&lt;=SemanaActual,INDEX('Cronograma R. Operacional'!$AB$5:$AB$1000,$N35),""),IF(INDEX('Cronograma R. Operacional'!$J$5:$J$1000,$N35)="","",INDEX('Cronograma R. Operacional'!$J$5:$J$1000,$N35))))</f>
        <v/>
      </c>
      <c r="J35" s="68">
        <f>IF($N35="","",INDEX('Cronograma R. Operacional'!$K$5:$K$1000,$N35))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R. Operacional'!$M$5:$M$1000,$N35)&amp;"")</f>
        <v/>
      </c>
      <c r="M35" s="71">
        <f>IF($N35="","",INDEX('Cronograma R. Operacional'!$N$5:$N$1000,$N35)&amp;"")</f>
        <v/>
      </c>
      <c r="N35">
        <f>IFERROR(MATCH(ROW()-4,rOrden_RO,0),"")</f>
        <v/>
      </c>
      <c r="O35">
        <f>IF($N35="","",INDEX('Cronograma R. Operacional'!$S$5:$S$1000,$N35))</f>
        <v/>
      </c>
      <c r="P35">
        <f>IF($N35="","",N(INDEX('Cronograma R. Operacional'!$T$5:$T$1000,$N35)))</f>
        <v/>
      </c>
    </row>
    <row r="36">
      <c r="A36" s="62">
        <f>IF($N36="","",INDEX('Cronograma R. Operacional'!$A$5:$A$1000,$N36))</f>
        <v/>
      </c>
      <c r="B36" s="71">
        <f>IF($N36="","",IF($O36="Sub","      ↳  "&amp;INDEX('Cronograma R. Operacional'!$C$5:$C$1000,$N36),INDEX('Cronograma R. Operacional'!$C$5:$C$1000,$N36)&amp;""))</f>
        <v/>
      </c>
      <c r="C36" s="77">
        <f>IF($N36="","",IF(INDEX('Cronograma R. Operacional'!$D$5:$D$1000,$N36)="","",INDEX('Cronograma R. Operacional'!$D$5:$D$1000,$N36)))</f>
        <v/>
      </c>
      <c r="D36" s="77">
        <f>IF($N36="","",IF(INDEX('Cronograma R. Operacional'!$E$5:$E$1000,$N36)="","",INDEX('Cronograma R. Operacional'!$E$5:$E$1000,$N36)))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R. Operacional'!$Y$5:$Y$1000,$N36),""),IF(INDEX('Cronograma R. Operacional'!$G$5:$G$1000,$N36)="","",INDEX('Cronograma R. Operacional'!$G$5:$G$1000,$N36))))</f>
        <v/>
      </c>
      <c r="G36" s="68">
        <f>IF($N36="","",IF($P36&gt;0,IF(2&lt;=SemanaActual,INDEX('Cronograma R. Operacional'!$Z$5:$Z$1000,$N36),""),IF(INDEX('Cronograma R. Operacional'!$H$5:$H$1000,$N36)="","",INDEX('Cronograma R. Operacional'!$H$5:$H$1000,$N36))))</f>
        <v/>
      </c>
      <c r="H36" s="68">
        <f>IF($N36="","",IF($P36&gt;0,IF(3&lt;=SemanaActual,INDEX('Cronograma R. Operacional'!$AA$5:$AA$1000,$N36),""),IF(INDEX('Cronograma R. Operacional'!$I$5:$I$1000,$N36)="","",INDEX('Cronograma R. Operacional'!$I$5:$I$1000,$N36))))</f>
        <v/>
      </c>
      <c r="I36" s="68">
        <f>IF($N36="","",IF($P36&gt;0,IF(4&lt;=SemanaActual,INDEX('Cronograma R. Operacional'!$AB$5:$AB$1000,$N36),""),IF(INDEX('Cronograma R. Operacional'!$J$5:$J$1000,$N36)="","",INDEX('Cronograma R. Operacional'!$J$5:$J$1000,$N36))))</f>
        <v/>
      </c>
      <c r="J36" s="68">
        <f>IF($N36="","",INDEX('Cronograma R. Operacional'!$K$5:$K$1000,$N36))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R. Operacional'!$M$5:$M$1000,$N36)&amp;"")</f>
        <v/>
      </c>
      <c r="M36" s="71">
        <f>IF($N36="","",INDEX('Cronograma R. Operacional'!$N$5:$N$1000,$N36)&amp;"")</f>
        <v/>
      </c>
      <c r="N36">
        <f>IFERROR(MATCH(ROW()-4,rOrden_RO,0),"")</f>
        <v/>
      </c>
      <c r="O36">
        <f>IF($N36="","",INDEX('Cronograma R. Operacional'!$S$5:$S$1000,$N36))</f>
        <v/>
      </c>
      <c r="P36">
        <f>IF($N36="","",N(INDEX('Cronograma R. Operacional'!$T$5:$T$1000,$N36)))</f>
        <v/>
      </c>
    </row>
    <row r="37">
      <c r="A37" s="62">
        <f>IF($N37="","",INDEX('Cronograma R. Operacional'!$A$5:$A$1000,$N37))</f>
        <v/>
      </c>
      <c r="B37" s="71">
        <f>IF($N37="","",IF($O37="Sub","      ↳  "&amp;INDEX('Cronograma R. Operacional'!$C$5:$C$1000,$N37),INDEX('Cronograma R. Operacional'!$C$5:$C$1000,$N37)&amp;""))</f>
        <v/>
      </c>
      <c r="C37" s="77">
        <f>IF($N37="","",IF(INDEX('Cronograma R. Operacional'!$D$5:$D$1000,$N37)="","",INDEX('Cronograma R. Operacional'!$D$5:$D$1000,$N37)))</f>
        <v/>
      </c>
      <c r="D37" s="77">
        <f>IF($N37="","",IF(INDEX('Cronograma R. Operacional'!$E$5:$E$1000,$N37)="","",INDEX('Cronograma R. Operacional'!$E$5:$E$1000,$N37)))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R. Operacional'!$Y$5:$Y$1000,$N37),""),IF(INDEX('Cronograma R. Operacional'!$G$5:$G$1000,$N37)="","",INDEX('Cronograma R. Operacional'!$G$5:$G$1000,$N37))))</f>
        <v/>
      </c>
      <c r="G37" s="68">
        <f>IF($N37="","",IF($P37&gt;0,IF(2&lt;=SemanaActual,INDEX('Cronograma R. Operacional'!$Z$5:$Z$1000,$N37),""),IF(INDEX('Cronograma R. Operacional'!$H$5:$H$1000,$N37)="","",INDEX('Cronograma R. Operacional'!$H$5:$H$1000,$N37))))</f>
        <v/>
      </c>
      <c r="H37" s="68">
        <f>IF($N37="","",IF($P37&gt;0,IF(3&lt;=SemanaActual,INDEX('Cronograma R. Operacional'!$AA$5:$AA$1000,$N37),""),IF(INDEX('Cronograma R. Operacional'!$I$5:$I$1000,$N37)="","",INDEX('Cronograma R. Operacional'!$I$5:$I$1000,$N37))))</f>
        <v/>
      </c>
      <c r="I37" s="68">
        <f>IF($N37="","",IF($P37&gt;0,IF(4&lt;=SemanaActual,INDEX('Cronograma R. Operacional'!$AB$5:$AB$1000,$N37),""),IF(INDEX('Cronograma R. Operacional'!$J$5:$J$1000,$N37)="","",INDEX('Cronograma R. Operacional'!$J$5:$J$1000,$N37))))</f>
        <v/>
      </c>
      <c r="J37" s="68">
        <f>IF($N37="","",INDEX('Cronograma R. Operacional'!$K$5:$K$1000,$N37))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R. Operacional'!$M$5:$M$1000,$N37)&amp;"")</f>
        <v/>
      </c>
      <c r="M37" s="71">
        <f>IF($N37="","",INDEX('Cronograma R. Operacional'!$N$5:$N$1000,$N37)&amp;"")</f>
        <v/>
      </c>
      <c r="N37">
        <f>IFERROR(MATCH(ROW()-4,rOrden_RO,0),"")</f>
        <v/>
      </c>
      <c r="O37">
        <f>IF($N37="","",INDEX('Cronograma R. Operacional'!$S$5:$S$1000,$N37))</f>
        <v/>
      </c>
      <c r="P37">
        <f>IF($N37="","",N(INDEX('Cronograma R. Operacional'!$T$5:$T$1000,$N37)))</f>
        <v/>
      </c>
    </row>
    <row r="38">
      <c r="A38" s="62">
        <f>IF($N38="","",INDEX('Cronograma R. Operacional'!$A$5:$A$1000,$N38))</f>
        <v/>
      </c>
      <c r="B38" s="71">
        <f>IF($N38="","",IF($O38="Sub","      ↳  "&amp;INDEX('Cronograma R. Operacional'!$C$5:$C$1000,$N38),INDEX('Cronograma R. Operacional'!$C$5:$C$1000,$N38)&amp;""))</f>
        <v/>
      </c>
      <c r="C38" s="77">
        <f>IF($N38="","",IF(INDEX('Cronograma R. Operacional'!$D$5:$D$1000,$N38)="","",INDEX('Cronograma R. Operacional'!$D$5:$D$1000,$N38)))</f>
        <v/>
      </c>
      <c r="D38" s="77">
        <f>IF($N38="","",IF(INDEX('Cronograma R. Operacional'!$E$5:$E$1000,$N38)="","",INDEX('Cronograma R. Operacional'!$E$5:$E$1000,$N38)))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R. Operacional'!$Y$5:$Y$1000,$N38),""),IF(INDEX('Cronograma R. Operacional'!$G$5:$G$1000,$N38)="","",INDEX('Cronograma R. Operacional'!$G$5:$G$1000,$N38))))</f>
        <v/>
      </c>
      <c r="G38" s="68">
        <f>IF($N38="","",IF($P38&gt;0,IF(2&lt;=SemanaActual,INDEX('Cronograma R. Operacional'!$Z$5:$Z$1000,$N38),""),IF(INDEX('Cronograma R. Operacional'!$H$5:$H$1000,$N38)="","",INDEX('Cronograma R. Operacional'!$H$5:$H$1000,$N38))))</f>
        <v/>
      </c>
      <c r="H38" s="68">
        <f>IF($N38="","",IF($P38&gt;0,IF(3&lt;=SemanaActual,INDEX('Cronograma R. Operacional'!$AA$5:$AA$1000,$N38),""),IF(INDEX('Cronograma R. Operacional'!$I$5:$I$1000,$N38)="","",INDEX('Cronograma R. Operacional'!$I$5:$I$1000,$N38))))</f>
        <v/>
      </c>
      <c r="I38" s="68">
        <f>IF($N38="","",IF($P38&gt;0,IF(4&lt;=SemanaActual,INDEX('Cronograma R. Operacional'!$AB$5:$AB$1000,$N38),""),IF(INDEX('Cronograma R. Operacional'!$J$5:$J$1000,$N38)="","",INDEX('Cronograma R. Operacional'!$J$5:$J$1000,$N38))))</f>
        <v/>
      </c>
      <c r="J38" s="68">
        <f>IF($N38="","",INDEX('Cronograma R. Operacional'!$K$5:$K$1000,$N38))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R. Operacional'!$M$5:$M$1000,$N38)&amp;"")</f>
        <v/>
      </c>
      <c r="M38" s="71">
        <f>IF($N38="","",INDEX('Cronograma R. Operacional'!$N$5:$N$1000,$N38)&amp;"")</f>
        <v/>
      </c>
      <c r="N38">
        <f>IFERROR(MATCH(ROW()-4,rOrden_RO,0),"")</f>
        <v/>
      </c>
      <c r="O38">
        <f>IF($N38="","",INDEX('Cronograma R. Operacional'!$S$5:$S$1000,$N38))</f>
        <v/>
      </c>
      <c r="P38">
        <f>IF($N38="","",N(INDEX('Cronograma R. Operacional'!$T$5:$T$1000,$N38)))</f>
        <v/>
      </c>
    </row>
    <row r="39">
      <c r="A39" s="62">
        <f>IF($N39="","",INDEX('Cronograma R. Operacional'!$A$5:$A$1000,$N39))</f>
        <v/>
      </c>
      <c r="B39" s="71">
        <f>IF($N39="","",IF($O39="Sub","      ↳  "&amp;INDEX('Cronograma R. Operacional'!$C$5:$C$1000,$N39),INDEX('Cronograma R. Operacional'!$C$5:$C$1000,$N39)&amp;""))</f>
        <v/>
      </c>
      <c r="C39" s="77">
        <f>IF($N39="","",IF(INDEX('Cronograma R. Operacional'!$D$5:$D$1000,$N39)="","",INDEX('Cronograma R. Operacional'!$D$5:$D$1000,$N39)))</f>
        <v/>
      </c>
      <c r="D39" s="77">
        <f>IF($N39="","",IF(INDEX('Cronograma R. Operacional'!$E$5:$E$1000,$N39)="","",INDEX('Cronograma R. Operacional'!$E$5:$E$1000,$N39)))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R. Operacional'!$Y$5:$Y$1000,$N39),""),IF(INDEX('Cronograma R. Operacional'!$G$5:$G$1000,$N39)="","",INDEX('Cronograma R. Operacional'!$G$5:$G$1000,$N39))))</f>
        <v/>
      </c>
      <c r="G39" s="68">
        <f>IF($N39="","",IF($P39&gt;0,IF(2&lt;=SemanaActual,INDEX('Cronograma R. Operacional'!$Z$5:$Z$1000,$N39),""),IF(INDEX('Cronograma R. Operacional'!$H$5:$H$1000,$N39)="","",INDEX('Cronograma R. Operacional'!$H$5:$H$1000,$N39))))</f>
        <v/>
      </c>
      <c r="H39" s="68">
        <f>IF($N39="","",IF($P39&gt;0,IF(3&lt;=SemanaActual,INDEX('Cronograma R. Operacional'!$AA$5:$AA$1000,$N39),""),IF(INDEX('Cronograma R. Operacional'!$I$5:$I$1000,$N39)="","",INDEX('Cronograma R. Operacional'!$I$5:$I$1000,$N39))))</f>
        <v/>
      </c>
      <c r="I39" s="68">
        <f>IF($N39="","",IF($P39&gt;0,IF(4&lt;=SemanaActual,INDEX('Cronograma R. Operacional'!$AB$5:$AB$1000,$N39),""),IF(INDEX('Cronograma R. Operacional'!$J$5:$J$1000,$N39)="","",INDEX('Cronograma R. Operacional'!$J$5:$J$1000,$N39))))</f>
        <v/>
      </c>
      <c r="J39" s="68">
        <f>IF($N39="","",INDEX('Cronograma R. Operacional'!$K$5:$K$1000,$N39))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R. Operacional'!$M$5:$M$1000,$N39)&amp;"")</f>
        <v/>
      </c>
      <c r="M39" s="71">
        <f>IF($N39="","",INDEX('Cronograma R. Operacional'!$N$5:$N$1000,$N39)&amp;"")</f>
        <v/>
      </c>
      <c r="N39">
        <f>IFERROR(MATCH(ROW()-4,rOrden_RO,0),"")</f>
        <v/>
      </c>
      <c r="O39">
        <f>IF($N39="","",INDEX('Cronograma R. Operacional'!$S$5:$S$1000,$N39))</f>
        <v/>
      </c>
      <c r="P39">
        <f>IF($N39="","",N(INDEX('Cronograma R. Operacional'!$T$5:$T$1000,$N39)))</f>
        <v/>
      </c>
    </row>
    <row r="40">
      <c r="A40" s="62">
        <f>IF($N40="","",INDEX('Cronograma R. Operacional'!$A$5:$A$1000,$N40))</f>
        <v/>
      </c>
      <c r="B40" s="71">
        <f>IF($N40="","",IF($O40="Sub","      ↳  "&amp;INDEX('Cronograma R. Operacional'!$C$5:$C$1000,$N40),INDEX('Cronograma R. Operacional'!$C$5:$C$1000,$N40)&amp;""))</f>
        <v/>
      </c>
      <c r="C40" s="77">
        <f>IF($N40="","",IF(INDEX('Cronograma R. Operacional'!$D$5:$D$1000,$N40)="","",INDEX('Cronograma R. Operacional'!$D$5:$D$1000,$N40)))</f>
        <v/>
      </c>
      <c r="D40" s="77">
        <f>IF($N40="","",IF(INDEX('Cronograma R. Operacional'!$E$5:$E$1000,$N40)="","",INDEX('Cronograma R. Operacional'!$E$5:$E$1000,$N40)))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R. Operacional'!$Y$5:$Y$1000,$N40),""),IF(INDEX('Cronograma R. Operacional'!$G$5:$G$1000,$N40)="","",INDEX('Cronograma R. Operacional'!$G$5:$G$1000,$N40))))</f>
        <v/>
      </c>
      <c r="G40" s="68">
        <f>IF($N40="","",IF($P40&gt;0,IF(2&lt;=SemanaActual,INDEX('Cronograma R. Operacional'!$Z$5:$Z$1000,$N40),""),IF(INDEX('Cronograma R. Operacional'!$H$5:$H$1000,$N40)="","",INDEX('Cronograma R. Operacional'!$H$5:$H$1000,$N40))))</f>
        <v/>
      </c>
      <c r="H40" s="68">
        <f>IF($N40="","",IF($P40&gt;0,IF(3&lt;=SemanaActual,INDEX('Cronograma R. Operacional'!$AA$5:$AA$1000,$N40),""),IF(INDEX('Cronograma R. Operacional'!$I$5:$I$1000,$N40)="","",INDEX('Cronograma R. Operacional'!$I$5:$I$1000,$N40))))</f>
        <v/>
      </c>
      <c r="I40" s="68">
        <f>IF($N40="","",IF($P40&gt;0,IF(4&lt;=SemanaActual,INDEX('Cronograma R. Operacional'!$AB$5:$AB$1000,$N40),""),IF(INDEX('Cronograma R. Operacional'!$J$5:$J$1000,$N40)="","",INDEX('Cronograma R. Operacional'!$J$5:$J$1000,$N40))))</f>
        <v/>
      </c>
      <c r="J40" s="68">
        <f>IF($N40="","",INDEX('Cronograma R. Operacional'!$K$5:$K$1000,$N40))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R. Operacional'!$M$5:$M$1000,$N40)&amp;"")</f>
        <v/>
      </c>
      <c r="M40" s="71">
        <f>IF($N40="","",INDEX('Cronograma R. Operacional'!$N$5:$N$1000,$N40)&amp;"")</f>
        <v/>
      </c>
      <c r="N40">
        <f>IFERROR(MATCH(ROW()-4,rOrden_RO,0),"")</f>
        <v/>
      </c>
      <c r="O40">
        <f>IF($N40="","",INDEX('Cronograma R. Operacional'!$S$5:$S$1000,$N40))</f>
        <v/>
      </c>
      <c r="P40">
        <f>IF($N40="","",N(INDEX('Cronograma R. Operacional'!$T$5:$T$1000,$N40)))</f>
        <v/>
      </c>
    </row>
    <row r="41">
      <c r="A41" s="62">
        <f>IF($N41="","",INDEX('Cronograma R. Operacional'!$A$5:$A$1000,$N41))</f>
        <v/>
      </c>
      <c r="B41" s="71">
        <f>IF($N41="","",IF($O41="Sub","      ↳  "&amp;INDEX('Cronograma R. Operacional'!$C$5:$C$1000,$N41),INDEX('Cronograma R. Operacional'!$C$5:$C$1000,$N41)&amp;""))</f>
        <v/>
      </c>
      <c r="C41" s="77">
        <f>IF($N41="","",IF(INDEX('Cronograma R. Operacional'!$D$5:$D$1000,$N41)="","",INDEX('Cronograma R. Operacional'!$D$5:$D$1000,$N41)))</f>
        <v/>
      </c>
      <c r="D41" s="77">
        <f>IF($N41="","",IF(INDEX('Cronograma R. Operacional'!$E$5:$E$1000,$N41)="","",INDEX('Cronograma R. Operacional'!$E$5:$E$1000,$N41)))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R. Operacional'!$Y$5:$Y$1000,$N41),""),IF(INDEX('Cronograma R. Operacional'!$G$5:$G$1000,$N41)="","",INDEX('Cronograma R. Operacional'!$G$5:$G$1000,$N41))))</f>
        <v/>
      </c>
      <c r="G41" s="68">
        <f>IF($N41="","",IF($P41&gt;0,IF(2&lt;=SemanaActual,INDEX('Cronograma R. Operacional'!$Z$5:$Z$1000,$N41),""),IF(INDEX('Cronograma R. Operacional'!$H$5:$H$1000,$N41)="","",INDEX('Cronograma R. Operacional'!$H$5:$H$1000,$N41))))</f>
        <v/>
      </c>
      <c r="H41" s="68">
        <f>IF($N41="","",IF($P41&gt;0,IF(3&lt;=SemanaActual,INDEX('Cronograma R. Operacional'!$AA$5:$AA$1000,$N41),""),IF(INDEX('Cronograma R. Operacional'!$I$5:$I$1000,$N41)="","",INDEX('Cronograma R. Operacional'!$I$5:$I$1000,$N41))))</f>
        <v/>
      </c>
      <c r="I41" s="68">
        <f>IF($N41="","",IF($P41&gt;0,IF(4&lt;=SemanaActual,INDEX('Cronograma R. Operacional'!$AB$5:$AB$1000,$N41),""),IF(INDEX('Cronograma R. Operacional'!$J$5:$J$1000,$N41)="","",INDEX('Cronograma R. Operacional'!$J$5:$J$1000,$N41))))</f>
        <v/>
      </c>
      <c r="J41" s="68">
        <f>IF($N41="","",INDEX('Cronograma R. Operacional'!$K$5:$K$1000,$N41))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R. Operacional'!$M$5:$M$1000,$N41)&amp;"")</f>
        <v/>
      </c>
      <c r="M41" s="71">
        <f>IF($N41="","",INDEX('Cronograma R. Operacional'!$N$5:$N$1000,$N41)&amp;"")</f>
        <v/>
      </c>
      <c r="N41">
        <f>IFERROR(MATCH(ROW()-4,rOrden_RO,0),"")</f>
        <v/>
      </c>
      <c r="O41">
        <f>IF($N41="","",INDEX('Cronograma R. Operacional'!$S$5:$S$1000,$N41))</f>
        <v/>
      </c>
      <c r="P41">
        <f>IF($N41="","",N(INDEX('Cronograma R. Operacional'!$T$5:$T$1000,$N41)))</f>
        <v/>
      </c>
    </row>
    <row r="42">
      <c r="A42" s="62">
        <f>IF($N42="","",INDEX('Cronograma R. Operacional'!$A$5:$A$1000,$N42))</f>
        <v/>
      </c>
      <c r="B42" s="71">
        <f>IF($N42="","",IF($O42="Sub","      ↳  "&amp;INDEX('Cronograma R. Operacional'!$C$5:$C$1000,$N42),INDEX('Cronograma R. Operacional'!$C$5:$C$1000,$N42)&amp;""))</f>
        <v/>
      </c>
      <c r="C42" s="77">
        <f>IF($N42="","",IF(INDEX('Cronograma R. Operacional'!$D$5:$D$1000,$N42)="","",INDEX('Cronograma R. Operacional'!$D$5:$D$1000,$N42)))</f>
        <v/>
      </c>
      <c r="D42" s="77">
        <f>IF($N42="","",IF(INDEX('Cronograma R. Operacional'!$E$5:$E$1000,$N42)="","",INDEX('Cronograma R. Operacional'!$E$5:$E$1000,$N42)))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R. Operacional'!$Y$5:$Y$1000,$N42),""),IF(INDEX('Cronograma R. Operacional'!$G$5:$G$1000,$N42)="","",INDEX('Cronograma R. Operacional'!$G$5:$G$1000,$N42))))</f>
        <v/>
      </c>
      <c r="G42" s="68">
        <f>IF($N42="","",IF($P42&gt;0,IF(2&lt;=SemanaActual,INDEX('Cronograma R. Operacional'!$Z$5:$Z$1000,$N42),""),IF(INDEX('Cronograma R. Operacional'!$H$5:$H$1000,$N42)="","",INDEX('Cronograma R. Operacional'!$H$5:$H$1000,$N42))))</f>
        <v/>
      </c>
      <c r="H42" s="68">
        <f>IF($N42="","",IF($P42&gt;0,IF(3&lt;=SemanaActual,INDEX('Cronograma R. Operacional'!$AA$5:$AA$1000,$N42),""),IF(INDEX('Cronograma R. Operacional'!$I$5:$I$1000,$N42)="","",INDEX('Cronograma R. Operacional'!$I$5:$I$1000,$N42))))</f>
        <v/>
      </c>
      <c r="I42" s="68">
        <f>IF($N42="","",IF($P42&gt;0,IF(4&lt;=SemanaActual,INDEX('Cronograma R. Operacional'!$AB$5:$AB$1000,$N42),""),IF(INDEX('Cronograma R. Operacional'!$J$5:$J$1000,$N42)="","",INDEX('Cronograma R. Operacional'!$J$5:$J$1000,$N42))))</f>
        <v/>
      </c>
      <c r="J42" s="68">
        <f>IF($N42="","",INDEX('Cronograma R. Operacional'!$K$5:$K$1000,$N42))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R. Operacional'!$M$5:$M$1000,$N42)&amp;"")</f>
        <v/>
      </c>
      <c r="M42" s="71">
        <f>IF($N42="","",INDEX('Cronograma R. Operacional'!$N$5:$N$1000,$N42)&amp;"")</f>
        <v/>
      </c>
      <c r="N42">
        <f>IFERROR(MATCH(ROW()-4,rOrden_RO,0),"")</f>
        <v/>
      </c>
      <c r="O42">
        <f>IF($N42="","",INDEX('Cronograma R. Operacional'!$S$5:$S$1000,$N42))</f>
        <v/>
      </c>
      <c r="P42">
        <f>IF($N42="","",N(INDEX('Cronograma R. Operacional'!$T$5:$T$1000,$N42)))</f>
        <v/>
      </c>
    </row>
    <row r="43">
      <c r="A43" s="62">
        <f>IF($N43="","",INDEX('Cronograma R. Operacional'!$A$5:$A$1000,$N43))</f>
        <v/>
      </c>
      <c r="B43" s="71">
        <f>IF($N43="","",IF($O43="Sub","      ↳  "&amp;INDEX('Cronograma R. Operacional'!$C$5:$C$1000,$N43),INDEX('Cronograma R. Operacional'!$C$5:$C$1000,$N43)&amp;""))</f>
        <v/>
      </c>
      <c r="C43" s="77">
        <f>IF($N43="","",IF(INDEX('Cronograma R. Operacional'!$D$5:$D$1000,$N43)="","",INDEX('Cronograma R. Operacional'!$D$5:$D$1000,$N43)))</f>
        <v/>
      </c>
      <c r="D43" s="77">
        <f>IF($N43="","",IF(INDEX('Cronograma R. Operacional'!$E$5:$E$1000,$N43)="","",INDEX('Cronograma R. Operacional'!$E$5:$E$1000,$N43)))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R. Operacional'!$Y$5:$Y$1000,$N43),""),IF(INDEX('Cronograma R. Operacional'!$G$5:$G$1000,$N43)="","",INDEX('Cronograma R. Operacional'!$G$5:$G$1000,$N43))))</f>
        <v/>
      </c>
      <c r="G43" s="68">
        <f>IF($N43="","",IF($P43&gt;0,IF(2&lt;=SemanaActual,INDEX('Cronograma R. Operacional'!$Z$5:$Z$1000,$N43),""),IF(INDEX('Cronograma R. Operacional'!$H$5:$H$1000,$N43)="","",INDEX('Cronograma R. Operacional'!$H$5:$H$1000,$N43))))</f>
        <v/>
      </c>
      <c r="H43" s="68">
        <f>IF($N43="","",IF($P43&gt;0,IF(3&lt;=SemanaActual,INDEX('Cronograma R. Operacional'!$AA$5:$AA$1000,$N43),""),IF(INDEX('Cronograma R. Operacional'!$I$5:$I$1000,$N43)="","",INDEX('Cronograma R. Operacional'!$I$5:$I$1000,$N43))))</f>
        <v/>
      </c>
      <c r="I43" s="68">
        <f>IF($N43="","",IF($P43&gt;0,IF(4&lt;=SemanaActual,INDEX('Cronograma R. Operacional'!$AB$5:$AB$1000,$N43),""),IF(INDEX('Cronograma R. Operacional'!$J$5:$J$1000,$N43)="","",INDEX('Cronograma R. Operacional'!$J$5:$J$1000,$N43))))</f>
        <v/>
      </c>
      <c r="J43" s="68">
        <f>IF($N43="","",INDEX('Cronograma R. Operacional'!$K$5:$K$1000,$N43))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R. Operacional'!$M$5:$M$1000,$N43)&amp;"")</f>
        <v/>
      </c>
      <c r="M43" s="71">
        <f>IF($N43="","",INDEX('Cronograma R. Operacional'!$N$5:$N$1000,$N43)&amp;"")</f>
        <v/>
      </c>
      <c r="N43">
        <f>IFERROR(MATCH(ROW()-4,rOrden_RO,0),"")</f>
        <v/>
      </c>
      <c r="O43">
        <f>IF($N43="","",INDEX('Cronograma R. Operacional'!$S$5:$S$1000,$N43))</f>
        <v/>
      </c>
      <c r="P43">
        <f>IF($N43="","",N(INDEX('Cronograma R. Operacional'!$T$5:$T$1000,$N43)))</f>
        <v/>
      </c>
    </row>
    <row r="44">
      <c r="A44" s="62">
        <f>IF($N44="","",INDEX('Cronograma R. Operacional'!$A$5:$A$1000,$N44))</f>
        <v/>
      </c>
      <c r="B44" s="71">
        <f>IF($N44="","",IF($O44="Sub","      ↳  "&amp;INDEX('Cronograma R. Operacional'!$C$5:$C$1000,$N44),INDEX('Cronograma R. Operacional'!$C$5:$C$1000,$N44)&amp;""))</f>
        <v/>
      </c>
      <c r="C44" s="77">
        <f>IF($N44="","",IF(INDEX('Cronograma R. Operacional'!$D$5:$D$1000,$N44)="","",INDEX('Cronograma R. Operacional'!$D$5:$D$1000,$N44)))</f>
        <v/>
      </c>
      <c r="D44" s="77">
        <f>IF($N44="","",IF(INDEX('Cronograma R. Operacional'!$E$5:$E$1000,$N44)="","",INDEX('Cronograma R. Operacional'!$E$5:$E$1000,$N44)))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R. Operacional'!$Y$5:$Y$1000,$N44),""),IF(INDEX('Cronograma R. Operacional'!$G$5:$G$1000,$N44)="","",INDEX('Cronograma R. Operacional'!$G$5:$G$1000,$N44))))</f>
        <v/>
      </c>
      <c r="G44" s="68">
        <f>IF($N44="","",IF($P44&gt;0,IF(2&lt;=SemanaActual,INDEX('Cronograma R. Operacional'!$Z$5:$Z$1000,$N44),""),IF(INDEX('Cronograma R. Operacional'!$H$5:$H$1000,$N44)="","",INDEX('Cronograma R. Operacional'!$H$5:$H$1000,$N44))))</f>
        <v/>
      </c>
      <c r="H44" s="68">
        <f>IF($N44="","",IF($P44&gt;0,IF(3&lt;=SemanaActual,INDEX('Cronograma R. Operacional'!$AA$5:$AA$1000,$N44),""),IF(INDEX('Cronograma R. Operacional'!$I$5:$I$1000,$N44)="","",INDEX('Cronograma R. Operacional'!$I$5:$I$1000,$N44))))</f>
        <v/>
      </c>
      <c r="I44" s="68">
        <f>IF($N44="","",IF($P44&gt;0,IF(4&lt;=SemanaActual,INDEX('Cronograma R. Operacional'!$AB$5:$AB$1000,$N44),""),IF(INDEX('Cronograma R. Operacional'!$J$5:$J$1000,$N44)="","",INDEX('Cronograma R. Operacional'!$J$5:$J$1000,$N44))))</f>
        <v/>
      </c>
      <c r="J44" s="68">
        <f>IF($N44="","",INDEX('Cronograma R. Operacional'!$K$5:$K$1000,$N44))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R. Operacional'!$M$5:$M$1000,$N44)&amp;"")</f>
        <v/>
      </c>
      <c r="M44" s="71">
        <f>IF($N44="","",INDEX('Cronograma R. Operacional'!$N$5:$N$1000,$N44)&amp;"")</f>
        <v/>
      </c>
      <c r="N44">
        <f>IFERROR(MATCH(ROW()-4,rOrden_RO,0),"")</f>
        <v/>
      </c>
      <c r="O44">
        <f>IF($N44="","",INDEX('Cronograma R. Operacional'!$S$5:$S$1000,$N44))</f>
        <v/>
      </c>
      <c r="P44">
        <f>IF($N44="","",N(INDEX('Cronograma R. Operacional'!$T$5:$T$1000,$N44)))</f>
        <v/>
      </c>
    </row>
    <row r="45">
      <c r="A45" s="62">
        <f>IF($N45="","",INDEX('Cronograma R. Operacional'!$A$5:$A$1000,$N45))</f>
        <v/>
      </c>
      <c r="B45" s="71">
        <f>IF($N45="","",IF($O45="Sub","      ↳  "&amp;INDEX('Cronograma R. Operacional'!$C$5:$C$1000,$N45),INDEX('Cronograma R. Operacional'!$C$5:$C$1000,$N45)&amp;""))</f>
        <v/>
      </c>
      <c r="C45" s="77">
        <f>IF($N45="","",IF(INDEX('Cronograma R. Operacional'!$D$5:$D$1000,$N45)="","",INDEX('Cronograma R. Operacional'!$D$5:$D$1000,$N45)))</f>
        <v/>
      </c>
      <c r="D45" s="77">
        <f>IF($N45="","",IF(INDEX('Cronograma R. Operacional'!$E$5:$E$1000,$N45)="","",INDEX('Cronograma R. Operacional'!$E$5:$E$1000,$N45)))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R. Operacional'!$Y$5:$Y$1000,$N45),""),IF(INDEX('Cronograma R. Operacional'!$G$5:$G$1000,$N45)="","",INDEX('Cronograma R. Operacional'!$G$5:$G$1000,$N45))))</f>
        <v/>
      </c>
      <c r="G45" s="68">
        <f>IF($N45="","",IF($P45&gt;0,IF(2&lt;=SemanaActual,INDEX('Cronograma R. Operacional'!$Z$5:$Z$1000,$N45),""),IF(INDEX('Cronograma R. Operacional'!$H$5:$H$1000,$N45)="","",INDEX('Cronograma R. Operacional'!$H$5:$H$1000,$N45))))</f>
        <v/>
      </c>
      <c r="H45" s="68">
        <f>IF($N45="","",IF($P45&gt;0,IF(3&lt;=SemanaActual,INDEX('Cronograma R. Operacional'!$AA$5:$AA$1000,$N45),""),IF(INDEX('Cronograma R. Operacional'!$I$5:$I$1000,$N45)="","",INDEX('Cronograma R. Operacional'!$I$5:$I$1000,$N45))))</f>
        <v/>
      </c>
      <c r="I45" s="68">
        <f>IF($N45="","",IF($P45&gt;0,IF(4&lt;=SemanaActual,INDEX('Cronograma R. Operacional'!$AB$5:$AB$1000,$N45),""),IF(INDEX('Cronograma R. Operacional'!$J$5:$J$1000,$N45)="","",INDEX('Cronograma R. Operacional'!$J$5:$J$1000,$N45))))</f>
        <v/>
      </c>
      <c r="J45" s="68">
        <f>IF($N45="","",INDEX('Cronograma R. Operacional'!$K$5:$K$1000,$N45))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R. Operacional'!$M$5:$M$1000,$N45)&amp;"")</f>
        <v/>
      </c>
      <c r="M45" s="71">
        <f>IF($N45="","",INDEX('Cronograma R. Operacional'!$N$5:$N$1000,$N45)&amp;"")</f>
        <v/>
      </c>
      <c r="N45">
        <f>IFERROR(MATCH(ROW()-4,rOrden_RO,0),"")</f>
        <v/>
      </c>
      <c r="O45">
        <f>IF($N45="","",INDEX('Cronograma R. Operacional'!$S$5:$S$1000,$N45))</f>
        <v/>
      </c>
      <c r="P45">
        <f>IF($N45="","",N(INDEX('Cronograma R. Operacional'!$T$5:$T$1000,$N45)))</f>
        <v/>
      </c>
    </row>
    <row r="46">
      <c r="A46" s="62">
        <f>IF($N46="","",INDEX('Cronograma R. Operacional'!$A$5:$A$1000,$N46))</f>
        <v/>
      </c>
      <c r="B46" s="71">
        <f>IF($N46="","",IF($O46="Sub","      ↳  "&amp;INDEX('Cronograma R. Operacional'!$C$5:$C$1000,$N46),INDEX('Cronograma R. Operacional'!$C$5:$C$1000,$N46)&amp;""))</f>
        <v/>
      </c>
      <c r="C46" s="77">
        <f>IF($N46="","",IF(INDEX('Cronograma R. Operacional'!$D$5:$D$1000,$N46)="","",INDEX('Cronograma R. Operacional'!$D$5:$D$1000,$N46)))</f>
        <v/>
      </c>
      <c r="D46" s="77">
        <f>IF($N46="","",IF(INDEX('Cronograma R. Operacional'!$E$5:$E$1000,$N46)="","",INDEX('Cronograma R. Operacional'!$E$5:$E$1000,$N46)))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R. Operacional'!$Y$5:$Y$1000,$N46),""),IF(INDEX('Cronograma R. Operacional'!$G$5:$G$1000,$N46)="","",INDEX('Cronograma R. Operacional'!$G$5:$G$1000,$N46))))</f>
        <v/>
      </c>
      <c r="G46" s="68">
        <f>IF($N46="","",IF($P46&gt;0,IF(2&lt;=SemanaActual,INDEX('Cronograma R. Operacional'!$Z$5:$Z$1000,$N46),""),IF(INDEX('Cronograma R. Operacional'!$H$5:$H$1000,$N46)="","",INDEX('Cronograma R. Operacional'!$H$5:$H$1000,$N46))))</f>
        <v/>
      </c>
      <c r="H46" s="68">
        <f>IF($N46="","",IF($P46&gt;0,IF(3&lt;=SemanaActual,INDEX('Cronograma R. Operacional'!$AA$5:$AA$1000,$N46),""),IF(INDEX('Cronograma R. Operacional'!$I$5:$I$1000,$N46)="","",INDEX('Cronograma R. Operacional'!$I$5:$I$1000,$N46))))</f>
        <v/>
      </c>
      <c r="I46" s="68">
        <f>IF($N46="","",IF($P46&gt;0,IF(4&lt;=SemanaActual,INDEX('Cronograma R. Operacional'!$AB$5:$AB$1000,$N46),""),IF(INDEX('Cronograma R. Operacional'!$J$5:$J$1000,$N46)="","",INDEX('Cronograma R. Operacional'!$J$5:$J$1000,$N46))))</f>
        <v/>
      </c>
      <c r="J46" s="68">
        <f>IF($N46="","",INDEX('Cronograma R. Operacional'!$K$5:$K$1000,$N46))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R. Operacional'!$M$5:$M$1000,$N46)&amp;"")</f>
        <v/>
      </c>
      <c r="M46" s="71">
        <f>IF($N46="","",INDEX('Cronograma R. Operacional'!$N$5:$N$1000,$N46)&amp;"")</f>
        <v/>
      </c>
      <c r="N46">
        <f>IFERROR(MATCH(ROW()-4,rOrden_RO,0),"")</f>
        <v/>
      </c>
      <c r="O46">
        <f>IF($N46="","",INDEX('Cronograma R. Operacional'!$S$5:$S$1000,$N46))</f>
        <v/>
      </c>
      <c r="P46">
        <f>IF($N46="","",N(INDEX('Cronograma R. Operacional'!$T$5:$T$1000,$N46)))</f>
        <v/>
      </c>
    </row>
    <row r="47">
      <c r="A47" s="62">
        <f>IF($N47="","",INDEX('Cronograma R. Operacional'!$A$5:$A$1000,$N47))</f>
        <v/>
      </c>
      <c r="B47" s="71">
        <f>IF($N47="","",IF($O47="Sub","      ↳  "&amp;INDEX('Cronograma R. Operacional'!$C$5:$C$1000,$N47),INDEX('Cronograma R. Operacional'!$C$5:$C$1000,$N47)&amp;""))</f>
        <v/>
      </c>
      <c r="C47" s="77">
        <f>IF($N47="","",IF(INDEX('Cronograma R. Operacional'!$D$5:$D$1000,$N47)="","",INDEX('Cronograma R. Operacional'!$D$5:$D$1000,$N47)))</f>
        <v/>
      </c>
      <c r="D47" s="77">
        <f>IF($N47="","",IF(INDEX('Cronograma R. Operacional'!$E$5:$E$1000,$N47)="","",INDEX('Cronograma R. Operacional'!$E$5:$E$1000,$N47)))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R. Operacional'!$Y$5:$Y$1000,$N47),""),IF(INDEX('Cronograma R. Operacional'!$G$5:$G$1000,$N47)="","",INDEX('Cronograma R. Operacional'!$G$5:$G$1000,$N47))))</f>
        <v/>
      </c>
      <c r="G47" s="68">
        <f>IF($N47="","",IF($P47&gt;0,IF(2&lt;=SemanaActual,INDEX('Cronograma R. Operacional'!$Z$5:$Z$1000,$N47),""),IF(INDEX('Cronograma R. Operacional'!$H$5:$H$1000,$N47)="","",INDEX('Cronograma R. Operacional'!$H$5:$H$1000,$N47))))</f>
        <v/>
      </c>
      <c r="H47" s="68">
        <f>IF($N47="","",IF($P47&gt;0,IF(3&lt;=SemanaActual,INDEX('Cronograma R. Operacional'!$AA$5:$AA$1000,$N47),""),IF(INDEX('Cronograma R. Operacional'!$I$5:$I$1000,$N47)="","",INDEX('Cronograma R. Operacional'!$I$5:$I$1000,$N47))))</f>
        <v/>
      </c>
      <c r="I47" s="68">
        <f>IF($N47="","",IF($P47&gt;0,IF(4&lt;=SemanaActual,INDEX('Cronograma R. Operacional'!$AB$5:$AB$1000,$N47),""),IF(INDEX('Cronograma R. Operacional'!$J$5:$J$1000,$N47)="","",INDEX('Cronograma R. Operacional'!$J$5:$J$1000,$N47))))</f>
        <v/>
      </c>
      <c r="J47" s="68">
        <f>IF($N47="","",INDEX('Cronograma R. Operacional'!$K$5:$K$1000,$N47))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R. Operacional'!$M$5:$M$1000,$N47)&amp;"")</f>
        <v/>
      </c>
      <c r="M47" s="71">
        <f>IF($N47="","",INDEX('Cronograma R. Operacional'!$N$5:$N$1000,$N47)&amp;"")</f>
        <v/>
      </c>
      <c r="N47">
        <f>IFERROR(MATCH(ROW()-4,rOrden_RO,0),"")</f>
        <v/>
      </c>
      <c r="O47">
        <f>IF($N47="","",INDEX('Cronograma R. Operacional'!$S$5:$S$1000,$N47))</f>
        <v/>
      </c>
      <c r="P47">
        <f>IF($N47="","",N(INDEX('Cronograma R. Operacional'!$T$5:$T$1000,$N47)))</f>
        <v/>
      </c>
    </row>
    <row r="48">
      <c r="A48" s="62">
        <f>IF($N48="","",INDEX('Cronograma R. Operacional'!$A$5:$A$1000,$N48))</f>
        <v/>
      </c>
      <c r="B48" s="71">
        <f>IF($N48="","",IF($O48="Sub","      ↳  "&amp;INDEX('Cronograma R. Operacional'!$C$5:$C$1000,$N48),INDEX('Cronograma R. Operacional'!$C$5:$C$1000,$N48)&amp;""))</f>
        <v/>
      </c>
      <c r="C48" s="77">
        <f>IF($N48="","",IF(INDEX('Cronograma R. Operacional'!$D$5:$D$1000,$N48)="","",INDEX('Cronograma R. Operacional'!$D$5:$D$1000,$N48)))</f>
        <v/>
      </c>
      <c r="D48" s="77">
        <f>IF($N48="","",IF(INDEX('Cronograma R. Operacional'!$E$5:$E$1000,$N48)="","",INDEX('Cronograma R. Operacional'!$E$5:$E$1000,$N48)))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R. Operacional'!$Y$5:$Y$1000,$N48),""),IF(INDEX('Cronograma R. Operacional'!$G$5:$G$1000,$N48)="","",INDEX('Cronograma R. Operacional'!$G$5:$G$1000,$N48))))</f>
        <v/>
      </c>
      <c r="G48" s="68">
        <f>IF($N48="","",IF($P48&gt;0,IF(2&lt;=SemanaActual,INDEX('Cronograma R. Operacional'!$Z$5:$Z$1000,$N48),""),IF(INDEX('Cronograma R. Operacional'!$H$5:$H$1000,$N48)="","",INDEX('Cronograma R. Operacional'!$H$5:$H$1000,$N48))))</f>
        <v/>
      </c>
      <c r="H48" s="68">
        <f>IF($N48="","",IF($P48&gt;0,IF(3&lt;=SemanaActual,INDEX('Cronograma R. Operacional'!$AA$5:$AA$1000,$N48),""),IF(INDEX('Cronograma R. Operacional'!$I$5:$I$1000,$N48)="","",INDEX('Cronograma R. Operacional'!$I$5:$I$1000,$N48))))</f>
        <v/>
      </c>
      <c r="I48" s="68">
        <f>IF($N48="","",IF($P48&gt;0,IF(4&lt;=SemanaActual,INDEX('Cronograma R. Operacional'!$AB$5:$AB$1000,$N48),""),IF(INDEX('Cronograma R. Operacional'!$J$5:$J$1000,$N48)="","",INDEX('Cronograma R. Operacional'!$J$5:$J$1000,$N48))))</f>
        <v/>
      </c>
      <c r="J48" s="68">
        <f>IF($N48="","",INDEX('Cronograma R. Operacional'!$K$5:$K$1000,$N48))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R. Operacional'!$M$5:$M$1000,$N48)&amp;"")</f>
        <v/>
      </c>
      <c r="M48" s="71">
        <f>IF($N48="","",INDEX('Cronograma R. Operacional'!$N$5:$N$1000,$N48)&amp;"")</f>
        <v/>
      </c>
      <c r="N48">
        <f>IFERROR(MATCH(ROW()-4,rOrden_RO,0),"")</f>
        <v/>
      </c>
      <c r="O48">
        <f>IF($N48="","",INDEX('Cronograma R. Operacional'!$S$5:$S$1000,$N48))</f>
        <v/>
      </c>
      <c r="P48">
        <f>IF($N48="","",N(INDEX('Cronograma R. Operacional'!$T$5:$T$1000,$N48)))</f>
        <v/>
      </c>
    </row>
    <row r="49">
      <c r="A49" s="62">
        <f>IF($N49="","",INDEX('Cronograma R. Operacional'!$A$5:$A$1000,$N49))</f>
        <v/>
      </c>
      <c r="B49" s="71">
        <f>IF($N49="","",IF($O49="Sub","      ↳  "&amp;INDEX('Cronograma R. Operacional'!$C$5:$C$1000,$N49),INDEX('Cronograma R. Operacional'!$C$5:$C$1000,$N49)&amp;""))</f>
        <v/>
      </c>
      <c r="C49" s="77">
        <f>IF($N49="","",IF(INDEX('Cronograma R. Operacional'!$D$5:$D$1000,$N49)="","",INDEX('Cronograma R. Operacional'!$D$5:$D$1000,$N49)))</f>
        <v/>
      </c>
      <c r="D49" s="77">
        <f>IF($N49="","",IF(INDEX('Cronograma R. Operacional'!$E$5:$E$1000,$N49)="","",INDEX('Cronograma R. Operacional'!$E$5:$E$1000,$N49)))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R. Operacional'!$Y$5:$Y$1000,$N49),""),IF(INDEX('Cronograma R. Operacional'!$G$5:$G$1000,$N49)="","",INDEX('Cronograma R. Operacional'!$G$5:$G$1000,$N49))))</f>
        <v/>
      </c>
      <c r="G49" s="68">
        <f>IF($N49="","",IF($P49&gt;0,IF(2&lt;=SemanaActual,INDEX('Cronograma R. Operacional'!$Z$5:$Z$1000,$N49),""),IF(INDEX('Cronograma R. Operacional'!$H$5:$H$1000,$N49)="","",INDEX('Cronograma R. Operacional'!$H$5:$H$1000,$N49))))</f>
        <v/>
      </c>
      <c r="H49" s="68">
        <f>IF($N49="","",IF($P49&gt;0,IF(3&lt;=SemanaActual,INDEX('Cronograma R. Operacional'!$AA$5:$AA$1000,$N49),""),IF(INDEX('Cronograma R. Operacional'!$I$5:$I$1000,$N49)="","",INDEX('Cronograma R. Operacional'!$I$5:$I$1000,$N49))))</f>
        <v/>
      </c>
      <c r="I49" s="68">
        <f>IF($N49="","",IF($P49&gt;0,IF(4&lt;=SemanaActual,INDEX('Cronograma R. Operacional'!$AB$5:$AB$1000,$N49),""),IF(INDEX('Cronograma R. Operacional'!$J$5:$J$1000,$N49)="","",INDEX('Cronograma R. Operacional'!$J$5:$J$1000,$N49))))</f>
        <v/>
      </c>
      <c r="J49" s="68">
        <f>IF($N49="","",INDEX('Cronograma R. Operacional'!$K$5:$K$1000,$N49))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R. Operacional'!$M$5:$M$1000,$N49)&amp;"")</f>
        <v/>
      </c>
      <c r="M49" s="71">
        <f>IF($N49="","",INDEX('Cronograma R. Operacional'!$N$5:$N$1000,$N49)&amp;"")</f>
        <v/>
      </c>
      <c r="N49">
        <f>IFERROR(MATCH(ROW()-4,rOrden_RO,0),"")</f>
        <v/>
      </c>
      <c r="O49">
        <f>IF($N49="","",INDEX('Cronograma R. Operacional'!$S$5:$S$1000,$N49))</f>
        <v/>
      </c>
      <c r="P49">
        <f>IF($N49="","",N(INDEX('Cronograma R. Operacional'!$T$5:$T$1000,$N49)))</f>
        <v/>
      </c>
    </row>
    <row r="50">
      <c r="A50" s="62">
        <f>IF($N50="","",INDEX('Cronograma R. Operacional'!$A$5:$A$1000,$N50))</f>
        <v/>
      </c>
      <c r="B50" s="71">
        <f>IF($N50="","",IF($O50="Sub","      ↳  "&amp;INDEX('Cronograma R. Operacional'!$C$5:$C$1000,$N50),INDEX('Cronograma R. Operacional'!$C$5:$C$1000,$N50)&amp;""))</f>
        <v/>
      </c>
      <c r="C50" s="77">
        <f>IF($N50="","",IF(INDEX('Cronograma R. Operacional'!$D$5:$D$1000,$N50)="","",INDEX('Cronograma R. Operacional'!$D$5:$D$1000,$N50)))</f>
        <v/>
      </c>
      <c r="D50" s="77">
        <f>IF($N50="","",IF(INDEX('Cronograma R. Operacional'!$E$5:$E$1000,$N50)="","",INDEX('Cronograma R. Operacional'!$E$5:$E$1000,$N50)))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R. Operacional'!$Y$5:$Y$1000,$N50),""),IF(INDEX('Cronograma R. Operacional'!$G$5:$G$1000,$N50)="","",INDEX('Cronograma R. Operacional'!$G$5:$G$1000,$N50))))</f>
        <v/>
      </c>
      <c r="G50" s="68">
        <f>IF($N50="","",IF($P50&gt;0,IF(2&lt;=SemanaActual,INDEX('Cronograma R. Operacional'!$Z$5:$Z$1000,$N50),""),IF(INDEX('Cronograma R. Operacional'!$H$5:$H$1000,$N50)="","",INDEX('Cronograma R. Operacional'!$H$5:$H$1000,$N50))))</f>
        <v/>
      </c>
      <c r="H50" s="68">
        <f>IF($N50="","",IF($P50&gt;0,IF(3&lt;=SemanaActual,INDEX('Cronograma R. Operacional'!$AA$5:$AA$1000,$N50),""),IF(INDEX('Cronograma R. Operacional'!$I$5:$I$1000,$N50)="","",INDEX('Cronograma R. Operacional'!$I$5:$I$1000,$N50))))</f>
        <v/>
      </c>
      <c r="I50" s="68">
        <f>IF($N50="","",IF($P50&gt;0,IF(4&lt;=SemanaActual,INDEX('Cronograma R. Operacional'!$AB$5:$AB$1000,$N50),""),IF(INDEX('Cronograma R. Operacional'!$J$5:$J$1000,$N50)="","",INDEX('Cronograma R. Operacional'!$J$5:$J$1000,$N50))))</f>
        <v/>
      </c>
      <c r="J50" s="68">
        <f>IF($N50="","",INDEX('Cronograma R. Operacional'!$K$5:$K$1000,$N50))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R. Operacional'!$M$5:$M$1000,$N50)&amp;"")</f>
        <v/>
      </c>
      <c r="M50" s="71">
        <f>IF($N50="","",INDEX('Cronograma R. Operacional'!$N$5:$N$1000,$N50)&amp;"")</f>
        <v/>
      </c>
      <c r="N50">
        <f>IFERROR(MATCH(ROW()-4,rOrden_RO,0),"")</f>
        <v/>
      </c>
      <c r="O50">
        <f>IF($N50="","",INDEX('Cronograma R. Operacional'!$S$5:$S$1000,$N50))</f>
        <v/>
      </c>
      <c r="P50">
        <f>IF($N50="","",N(INDEX('Cronograma R. Operacional'!$T$5:$T$1000,$N50)))</f>
        <v/>
      </c>
    </row>
    <row r="51">
      <c r="A51" s="62">
        <f>IF($N51="","",INDEX('Cronograma R. Operacional'!$A$5:$A$1000,$N51))</f>
        <v/>
      </c>
      <c r="B51" s="71">
        <f>IF($N51="","",IF($O51="Sub","      ↳  "&amp;INDEX('Cronograma R. Operacional'!$C$5:$C$1000,$N51),INDEX('Cronograma R. Operacional'!$C$5:$C$1000,$N51)&amp;""))</f>
        <v/>
      </c>
      <c r="C51" s="77">
        <f>IF($N51="","",IF(INDEX('Cronograma R. Operacional'!$D$5:$D$1000,$N51)="","",INDEX('Cronograma R. Operacional'!$D$5:$D$1000,$N51)))</f>
        <v/>
      </c>
      <c r="D51" s="77">
        <f>IF($N51="","",IF(INDEX('Cronograma R. Operacional'!$E$5:$E$1000,$N51)="","",INDEX('Cronograma R. Operacional'!$E$5:$E$1000,$N51)))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R. Operacional'!$Y$5:$Y$1000,$N51),""),IF(INDEX('Cronograma R. Operacional'!$G$5:$G$1000,$N51)="","",INDEX('Cronograma R. Operacional'!$G$5:$G$1000,$N51))))</f>
        <v/>
      </c>
      <c r="G51" s="68">
        <f>IF($N51="","",IF($P51&gt;0,IF(2&lt;=SemanaActual,INDEX('Cronograma R. Operacional'!$Z$5:$Z$1000,$N51),""),IF(INDEX('Cronograma R. Operacional'!$H$5:$H$1000,$N51)="","",INDEX('Cronograma R. Operacional'!$H$5:$H$1000,$N51))))</f>
        <v/>
      </c>
      <c r="H51" s="68">
        <f>IF($N51="","",IF($P51&gt;0,IF(3&lt;=SemanaActual,INDEX('Cronograma R. Operacional'!$AA$5:$AA$1000,$N51),""),IF(INDEX('Cronograma R. Operacional'!$I$5:$I$1000,$N51)="","",INDEX('Cronograma R. Operacional'!$I$5:$I$1000,$N51))))</f>
        <v/>
      </c>
      <c r="I51" s="68">
        <f>IF($N51="","",IF($P51&gt;0,IF(4&lt;=SemanaActual,INDEX('Cronograma R. Operacional'!$AB$5:$AB$1000,$N51),""),IF(INDEX('Cronograma R. Operacional'!$J$5:$J$1000,$N51)="","",INDEX('Cronograma R. Operacional'!$J$5:$J$1000,$N51))))</f>
        <v/>
      </c>
      <c r="J51" s="68">
        <f>IF($N51="","",INDEX('Cronograma R. Operacional'!$K$5:$K$1000,$N51))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R. Operacional'!$M$5:$M$1000,$N51)&amp;"")</f>
        <v/>
      </c>
      <c r="M51" s="71">
        <f>IF($N51="","",INDEX('Cronograma R. Operacional'!$N$5:$N$1000,$N51)&amp;"")</f>
        <v/>
      </c>
      <c r="N51">
        <f>IFERROR(MATCH(ROW()-4,rOrden_RO,0),"")</f>
        <v/>
      </c>
      <c r="O51">
        <f>IF($N51="","",INDEX('Cronograma R. Operacional'!$S$5:$S$1000,$N51))</f>
        <v/>
      </c>
      <c r="P51">
        <f>IF($N51="","",N(INDEX('Cronograma R. Operacional'!$T$5:$T$1000,$N51)))</f>
        <v/>
      </c>
    </row>
    <row r="52">
      <c r="A52" s="62">
        <f>IF($N52="","",INDEX('Cronograma R. Operacional'!$A$5:$A$1000,$N52))</f>
        <v/>
      </c>
      <c r="B52" s="71">
        <f>IF($N52="","",IF($O52="Sub","      ↳  "&amp;INDEX('Cronograma R. Operacional'!$C$5:$C$1000,$N52),INDEX('Cronograma R. Operacional'!$C$5:$C$1000,$N52)&amp;""))</f>
        <v/>
      </c>
      <c r="C52" s="77">
        <f>IF($N52="","",IF(INDEX('Cronograma R. Operacional'!$D$5:$D$1000,$N52)="","",INDEX('Cronograma R. Operacional'!$D$5:$D$1000,$N52)))</f>
        <v/>
      </c>
      <c r="D52" s="77">
        <f>IF($N52="","",IF(INDEX('Cronograma R. Operacional'!$E$5:$E$1000,$N52)="","",INDEX('Cronograma R. Operacional'!$E$5:$E$1000,$N52)))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R. Operacional'!$Y$5:$Y$1000,$N52),""),IF(INDEX('Cronograma R. Operacional'!$G$5:$G$1000,$N52)="","",INDEX('Cronograma R. Operacional'!$G$5:$G$1000,$N52))))</f>
        <v/>
      </c>
      <c r="G52" s="68">
        <f>IF($N52="","",IF($P52&gt;0,IF(2&lt;=SemanaActual,INDEX('Cronograma R. Operacional'!$Z$5:$Z$1000,$N52),""),IF(INDEX('Cronograma R. Operacional'!$H$5:$H$1000,$N52)="","",INDEX('Cronograma R. Operacional'!$H$5:$H$1000,$N52))))</f>
        <v/>
      </c>
      <c r="H52" s="68">
        <f>IF($N52="","",IF($P52&gt;0,IF(3&lt;=SemanaActual,INDEX('Cronograma R. Operacional'!$AA$5:$AA$1000,$N52),""),IF(INDEX('Cronograma R. Operacional'!$I$5:$I$1000,$N52)="","",INDEX('Cronograma R. Operacional'!$I$5:$I$1000,$N52))))</f>
        <v/>
      </c>
      <c r="I52" s="68">
        <f>IF($N52="","",IF($P52&gt;0,IF(4&lt;=SemanaActual,INDEX('Cronograma R. Operacional'!$AB$5:$AB$1000,$N52),""),IF(INDEX('Cronograma R. Operacional'!$J$5:$J$1000,$N52)="","",INDEX('Cronograma R. Operacional'!$J$5:$J$1000,$N52))))</f>
        <v/>
      </c>
      <c r="J52" s="68">
        <f>IF($N52="","",INDEX('Cronograma R. Operacional'!$K$5:$K$1000,$N52))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R. Operacional'!$M$5:$M$1000,$N52)&amp;"")</f>
        <v/>
      </c>
      <c r="M52" s="71">
        <f>IF($N52="","",INDEX('Cronograma R. Operacional'!$N$5:$N$1000,$N52)&amp;"")</f>
        <v/>
      </c>
      <c r="N52">
        <f>IFERROR(MATCH(ROW()-4,rOrden_RO,0),"")</f>
        <v/>
      </c>
      <c r="O52">
        <f>IF($N52="","",INDEX('Cronograma R. Operacional'!$S$5:$S$1000,$N52))</f>
        <v/>
      </c>
      <c r="P52">
        <f>IF($N52="","",N(INDEX('Cronograma R. Operacional'!$T$5:$T$1000,$N52)))</f>
        <v/>
      </c>
    </row>
    <row r="53">
      <c r="A53" s="62">
        <f>IF($N53="","",INDEX('Cronograma R. Operacional'!$A$5:$A$1000,$N53))</f>
        <v/>
      </c>
      <c r="B53" s="71">
        <f>IF($N53="","",IF($O53="Sub","      ↳  "&amp;INDEX('Cronograma R. Operacional'!$C$5:$C$1000,$N53),INDEX('Cronograma R. Operacional'!$C$5:$C$1000,$N53)&amp;""))</f>
        <v/>
      </c>
      <c r="C53" s="77">
        <f>IF($N53="","",IF(INDEX('Cronograma R. Operacional'!$D$5:$D$1000,$N53)="","",INDEX('Cronograma R. Operacional'!$D$5:$D$1000,$N53)))</f>
        <v/>
      </c>
      <c r="D53" s="77">
        <f>IF($N53="","",IF(INDEX('Cronograma R. Operacional'!$E$5:$E$1000,$N53)="","",INDEX('Cronograma R. Operacional'!$E$5:$E$1000,$N53)))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R. Operacional'!$Y$5:$Y$1000,$N53),""),IF(INDEX('Cronograma R. Operacional'!$G$5:$G$1000,$N53)="","",INDEX('Cronograma R. Operacional'!$G$5:$G$1000,$N53))))</f>
        <v/>
      </c>
      <c r="G53" s="68">
        <f>IF($N53="","",IF($P53&gt;0,IF(2&lt;=SemanaActual,INDEX('Cronograma R. Operacional'!$Z$5:$Z$1000,$N53),""),IF(INDEX('Cronograma R. Operacional'!$H$5:$H$1000,$N53)="","",INDEX('Cronograma R. Operacional'!$H$5:$H$1000,$N53))))</f>
        <v/>
      </c>
      <c r="H53" s="68">
        <f>IF($N53="","",IF($P53&gt;0,IF(3&lt;=SemanaActual,INDEX('Cronograma R. Operacional'!$AA$5:$AA$1000,$N53),""),IF(INDEX('Cronograma R. Operacional'!$I$5:$I$1000,$N53)="","",INDEX('Cronograma R. Operacional'!$I$5:$I$1000,$N53))))</f>
        <v/>
      </c>
      <c r="I53" s="68">
        <f>IF($N53="","",IF($P53&gt;0,IF(4&lt;=SemanaActual,INDEX('Cronograma R. Operacional'!$AB$5:$AB$1000,$N53),""),IF(INDEX('Cronograma R. Operacional'!$J$5:$J$1000,$N53)="","",INDEX('Cronograma R. Operacional'!$J$5:$J$1000,$N53))))</f>
        <v/>
      </c>
      <c r="J53" s="68">
        <f>IF($N53="","",INDEX('Cronograma R. Operacional'!$K$5:$K$1000,$N53))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R. Operacional'!$M$5:$M$1000,$N53)&amp;"")</f>
        <v/>
      </c>
      <c r="M53" s="71">
        <f>IF($N53="","",INDEX('Cronograma R. Operacional'!$N$5:$N$1000,$N53)&amp;"")</f>
        <v/>
      </c>
      <c r="N53">
        <f>IFERROR(MATCH(ROW()-4,rOrden_RO,0),"")</f>
        <v/>
      </c>
      <c r="O53">
        <f>IF($N53="","",INDEX('Cronograma R. Operacional'!$S$5:$S$1000,$N53))</f>
        <v/>
      </c>
      <c r="P53">
        <f>IF($N53="","",N(INDEX('Cronograma R. Operacional'!$T$5:$T$1000,$N53)))</f>
        <v/>
      </c>
    </row>
    <row r="54">
      <c r="A54" s="62">
        <f>IF($N54="","",INDEX('Cronograma R. Operacional'!$A$5:$A$1000,$N54))</f>
        <v/>
      </c>
      <c r="B54" s="71">
        <f>IF($N54="","",IF($O54="Sub","      ↳  "&amp;INDEX('Cronograma R. Operacional'!$C$5:$C$1000,$N54),INDEX('Cronograma R. Operacional'!$C$5:$C$1000,$N54)&amp;""))</f>
        <v/>
      </c>
      <c r="C54" s="77">
        <f>IF($N54="","",IF(INDEX('Cronograma R. Operacional'!$D$5:$D$1000,$N54)="","",INDEX('Cronograma R. Operacional'!$D$5:$D$1000,$N54)))</f>
        <v/>
      </c>
      <c r="D54" s="77">
        <f>IF($N54="","",IF(INDEX('Cronograma R. Operacional'!$E$5:$E$1000,$N54)="","",INDEX('Cronograma R. Operacional'!$E$5:$E$1000,$N54)))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R. Operacional'!$Y$5:$Y$1000,$N54),""),IF(INDEX('Cronograma R. Operacional'!$G$5:$G$1000,$N54)="","",INDEX('Cronograma R. Operacional'!$G$5:$G$1000,$N54))))</f>
        <v/>
      </c>
      <c r="G54" s="68">
        <f>IF($N54="","",IF($P54&gt;0,IF(2&lt;=SemanaActual,INDEX('Cronograma R. Operacional'!$Z$5:$Z$1000,$N54),""),IF(INDEX('Cronograma R. Operacional'!$H$5:$H$1000,$N54)="","",INDEX('Cronograma R. Operacional'!$H$5:$H$1000,$N54))))</f>
        <v/>
      </c>
      <c r="H54" s="68">
        <f>IF($N54="","",IF($P54&gt;0,IF(3&lt;=SemanaActual,INDEX('Cronograma R. Operacional'!$AA$5:$AA$1000,$N54),""),IF(INDEX('Cronograma R. Operacional'!$I$5:$I$1000,$N54)="","",INDEX('Cronograma R. Operacional'!$I$5:$I$1000,$N54))))</f>
        <v/>
      </c>
      <c r="I54" s="68">
        <f>IF($N54="","",IF($P54&gt;0,IF(4&lt;=SemanaActual,INDEX('Cronograma R. Operacional'!$AB$5:$AB$1000,$N54),""),IF(INDEX('Cronograma R. Operacional'!$J$5:$J$1000,$N54)="","",INDEX('Cronograma R. Operacional'!$J$5:$J$1000,$N54))))</f>
        <v/>
      </c>
      <c r="J54" s="68">
        <f>IF($N54="","",INDEX('Cronograma R. Operacional'!$K$5:$K$1000,$N54))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R. Operacional'!$M$5:$M$1000,$N54)&amp;"")</f>
        <v/>
      </c>
      <c r="M54" s="71">
        <f>IF($N54="","",INDEX('Cronograma R. Operacional'!$N$5:$N$1000,$N54)&amp;"")</f>
        <v/>
      </c>
      <c r="N54">
        <f>IFERROR(MATCH(ROW()-4,rOrden_RO,0),"")</f>
        <v/>
      </c>
      <c r="O54">
        <f>IF($N54="","",INDEX('Cronograma R. Operacional'!$S$5:$S$1000,$N54))</f>
        <v/>
      </c>
      <c r="P54">
        <f>IF($N54="","",N(INDEX('Cronograma R. Operacional'!$T$5:$T$1000,$N54)))</f>
        <v/>
      </c>
    </row>
    <row r="55">
      <c r="A55" s="62">
        <f>IF($N55="","",INDEX('Cronograma R. Operacional'!$A$5:$A$1000,$N55))</f>
        <v/>
      </c>
      <c r="B55" s="71">
        <f>IF($N55="","",IF($O55="Sub","      ↳  "&amp;INDEX('Cronograma R. Operacional'!$C$5:$C$1000,$N55),INDEX('Cronograma R. Operacional'!$C$5:$C$1000,$N55)&amp;""))</f>
        <v/>
      </c>
      <c r="C55" s="77">
        <f>IF($N55="","",IF(INDEX('Cronograma R. Operacional'!$D$5:$D$1000,$N55)="","",INDEX('Cronograma R. Operacional'!$D$5:$D$1000,$N55)))</f>
        <v/>
      </c>
      <c r="D55" s="77">
        <f>IF($N55="","",IF(INDEX('Cronograma R. Operacional'!$E$5:$E$1000,$N55)="","",INDEX('Cronograma R. Operacional'!$E$5:$E$1000,$N55)))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R. Operacional'!$Y$5:$Y$1000,$N55),""),IF(INDEX('Cronograma R. Operacional'!$G$5:$G$1000,$N55)="","",INDEX('Cronograma R. Operacional'!$G$5:$G$1000,$N55))))</f>
        <v/>
      </c>
      <c r="G55" s="68">
        <f>IF($N55="","",IF($P55&gt;0,IF(2&lt;=SemanaActual,INDEX('Cronograma R. Operacional'!$Z$5:$Z$1000,$N55),""),IF(INDEX('Cronograma R. Operacional'!$H$5:$H$1000,$N55)="","",INDEX('Cronograma R. Operacional'!$H$5:$H$1000,$N55))))</f>
        <v/>
      </c>
      <c r="H55" s="68">
        <f>IF($N55="","",IF($P55&gt;0,IF(3&lt;=SemanaActual,INDEX('Cronograma R. Operacional'!$AA$5:$AA$1000,$N55),""),IF(INDEX('Cronograma R. Operacional'!$I$5:$I$1000,$N55)="","",INDEX('Cronograma R. Operacional'!$I$5:$I$1000,$N55))))</f>
        <v/>
      </c>
      <c r="I55" s="68">
        <f>IF($N55="","",IF($P55&gt;0,IF(4&lt;=SemanaActual,INDEX('Cronograma R. Operacional'!$AB$5:$AB$1000,$N55),""),IF(INDEX('Cronograma R. Operacional'!$J$5:$J$1000,$N55)="","",INDEX('Cronograma R. Operacional'!$J$5:$J$1000,$N55))))</f>
        <v/>
      </c>
      <c r="J55" s="68">
        <f>IF($N55="","",INDEX('Cronograma R. Operacional'!$K$5:$K$1000,$N55))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R. Operacional'!$M$5:$M$1000,$N55)&amp;"")</f>
        <v/>
      </c>
      <c r="M55" s="71">
        <f>IF($N55="","",INDEX('Cronograma R. Operacional'!$N$5:$N$1000,$N55)&amp;"")</f>
        <v/>
      </c>
      <c r="N55">
        <f>IFERROR(MATCH(ROW()-4,rOrden_RO,0),"")</f>
        <v/>
      </c>
      <c r="O55">
        <f>IF($N55="","",INDEX('Cronograma R. Operacional'!$S$5:$S$1000,$N55))</f>
        <v/>
      </c>
      <c r="P55">
        <f>IF($N55="","",N(INDEX('Cronograma R. Operacional'!$T$5:$T$1000,$N55)))</f>
        <v/>
      </c>
    </row>
    <row r="56">
      <c r="A56" s="62">
        <f>IF($N56="","",INDEX('Cronograma R. Operacional'!$A$5:$A$1000,$N56))</f>
        <v/>
      </c>
      <c r="B56" s="71">
        <f>IF($N56="","",IF($O56="Sub","      ↳  "&amp;INDEX('Cronograma R. Operacional'!$C$5:$C$1000,$N56),INDEX('Cronograma R. Operacional'!$C$5:$C$1000,$N56)&amp;""))</f>
        <v/>
      </c>
      <c r="C56" s="77">
        <f>IF($N56="","",IF(INDEX('Cronograma R. Operacional'!$D$5:$D$1000,$N56)="","",INDEX('Cronograma R. Operacional'!$D$5:$D$1000,$N56)))</f>
        <v/>
      </c>
      <c r="D56" s="77">
        <f>IF($N56="","",IF(INDEX('Cronograma R. Operacional'!$E$5:$E$1000,$N56)="","",INDEX('Cronograma R. Operacional'!$E$5:$E$1000,$N56)))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R. Operacional'!$Y$5:$Y$1000,$N56),""),IF(INDEX('Cronograma R. Operacional'!$G$5:$G$1000,$N56)="","",INDEX('Cronograma R. Operacional'!$G$5:$G$1000,$N56))))</f>
        <v/>
      </c>
      <c r="G56" s="68">
        <f>IF($N56="","",IF($P56&gt;0,IF(2&lt;=SemanaActual,INDEX('Cronograma R. Operacional'!$Z$5:$Z$1000,$N56),""),IF(INDEX('Cronograma R. Operacional'!$H$5:$H$1000,$N56)="","",INDEX('Cronograma R. Operacional'!$H$5:$H$1000,$N56))))</f>
        <v/>
      </c>
      <c r="H56" s="68">
        <f>IF($N56="","",IF($P56&gt;0,IF(3&lt;=SemanaActual,INDEX('Cronograma R. Operacional'!$AA$5:$AA$1000,$N56),""),IF(INDEX('Cronograma R. Operacional'!$I$5:$I$1000,$N56)="","",INDEX('Cronograma R. Operacional'!$I$5:$I$1000,$N56))))</f>
        <v/>
      </c>
      <c r="I56" s="68">
        <f>IF($N56="","",IF($P56&gt;0,IF(4&lt;=SemanaActual,INDEX('Cronograma R. Operacional'!$AB$5:$AB$1000,$N56),""),IF(INDEX('Cronograma R. Operacional'!$J$5:$J$1000,$N56)="","",INDEX('Cronograma R. Operacional'!$J$5:$J$1000,$N56))))</f>
        <v/>
      </c>
      <c r="J56" s="68">
        <f>IF($N56="","",INDEX('Cronograma R. Operacional'!$K$5:$K$1000,$N56))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R. Operacional'!$M$5:$M$1000,$N56)&amp;"")</f>
        <v/>
      </c>
      <c r="M56" s="71">
        <f>IF($N56="","",INDEX('Cronograma R. Operacional'!$N$5:$N$1000,$N56)&amp;"")</f>
        <v/>
      </c>
      <c r="N56">
        <f>IFERROR(MATCH(ROW()-4,rOrden_RO,0),"")</f>
        <v/>
      </c>
      <c r="O56">
        <f>IF($N56="","",INDEX('Cronograma R. Operacional'!$S$5:$S$1000,$N56))</f>
        <v/>
      </c>
      <c r="P56">
        <f>IF($N56="","",N(INDEX('Cronograma R. Operacional'!$T$5:$T$1000,$N56)))</f>
        <v/>
      </c>
    </row>
    <row r="57">
      <c r="A57" s="62">
        <f>IF($N57="","",INDEX('Cronograma R. Operacional'!$A$5:$A$1000,$N57))</f>
        <v/>
      </c>
      <c r="B57" s="71">
        <f>IF($N57="","",IF($O57="Sub","      ↳  "&amp;INDEX('Cronograma R. Operacional'!$C$5:$C$1000,$N57),INDEX('Cronograma R. Operacional'!$C$5:$C$1000,$N57)&amp;""))</f>
        <v/>
      </c>
      <c r="C57" s="77">
        <f>IF($N57="","",IF(INDEX('Cronograma R. Operacional'!$D$5:$D$1000,$N57)="","",INDEX('Cronograma R. Operacional'!$D$5:$D$1000,$N57)))</f>
        <v/>
      </c>
      <c r="D57" s="77">
        <f>IF($N57="","",IF(INDEX('Cronograma R. Operacional'!$E$5:$E$1000,$N57)="","",INDEX('Cronograma R. Operacional'!$E$5:$E$1000,$N57)))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R. Operacional'!$Y$5:$Y$1000,$N57),""),IF(INDEX('Cronograma R. Operacional'!$G$5:$G$1000,$N57)="","",INDEX('Cronograma R. Operacional'!$G$5:$G$1000,$N57))))</f>
        <v/>
      </c>
      <c r="G57" s="68">
        <f>IF($N57="","",IF($P57&gt;0,IF(2&lt;=SemanaActual,INDEX('Cronograma R. Operacional'!$Z$5:$Z$1000,$N57),""),IF(INDEX('Cronograma R. Operacional'!$H$5:$H$1000,$N57)="","",INDEX('Cronograma R. Operacional'!$H$5:$H$1000,$N57))))</f>
        <v/>
      </c>
      <c r="H57" s="68">
        <f>IF($N57="","",IF($P57&gt;0,IF(3&lt;=SemanaActual,INDEX('Cronograma R. Operacional'!$AA$5:$AA$1000,$N57),""),IF(INDEX('Cronograma R. Operacional'!$I$5:$I$1000,$N57)="","",INDEX('Cronograma R. Operacional'!$I$5:$I$1000,$N57))))</f>
        <v/>
      </c>
      <c r="I57" s="68">
        <f>IF($N57="","",IF($P57&gt;0,IF(4&lt;=SemanaActual,INDEX('Cronograma R. Operacional'!$AB$5:$AB$1000,$N57),""),IF(INDEX('Cronograma R. Operacional'!$J$5:$J$1000,$N57)="","",INDEX('Cronograma R. Operacional'!$J$5:$J$1000,$N57))))</f>
        <v/>
      </c>
      <c r="J57" s="68">
        <f>IF($N57="","",INDEX('Cronograma R. Operacional'!$K$5:$K$1000,$N57))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R. Operacional'!$M$5:$M$1000,$N57)&amp;"")</f>
        <v/>
      </c>
      <c r="M57" s="71">
        <f>IF($N57="","",INDEX('Cronograma R. Operacional'!$N$5:$N$1000,$N57)&amp;"")</f>
        <v/>
      </c>
      <c r="N57">
        <f>IFERROR(MATCH(ROW()-4,rOrden_RO,0),"")</f>
        <v/>
      </c>
      <c r="O57">
        <f>IF($N57="","",INDEX('Cronograma R. Operacional'!$S$5:$S$1000,$N57))</f>
        <v/>
      </c>
      <c r="P57">
        <f>IF($N57="","",N(INDEX('Cronograma R. Operacional'!$T$5:$T$1000,$N57)))</f>
        <v/>
      </c>
    </row>
    <row r="58">
      <c r="A58" s="62">
        <f>IF($N58="","",INDEX('Cronograma R. Operacional'!$A$5:$A$1000,$N58))</f>
        <v/>
      </c>
      <c r="B58" s="71">
        <f>IF($N58="","",IF($O58="Sub","      ↳  "&amp;INDEX('Cronograma R. Operacional'!$C$5:$C$1000,$N58),INDEX('Cronograma R. Operacional'!$C$5:$C$1000,$N58)&amp;""))</f>
        <v/>
      </c>
      <c r="C58" s="77">
        <f>IF($N58="","",IF(INDEX('Cronograma R. Operacional'!$D$5:$D$1000,$N58)="","",INDEX('Cronograma R. Operacional'!$D$5:$D$1000,$N58)))</f>
        <v/>
      </c>
      <c r="D58" s="77">
        <f>IF($N58="","",IF(INDEX('Cronograma R. Operacional'!$E$5:$E$1000,$N58)="","",INDEX('Cronograma R. Operacional'!$E$5:$E$1000,$N58)))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R. Operacional'!$Y$5:$Y$1000,$N58),""),IF(INDEX('Cronograma R. Operacional'!$G$5:$G$1000,$N58)="","",INDEX('Cronograma R. Operacional'!$G$5:$G$1000,$N58))))</f>
        <v/>
      </c>
      <c r="G58" s="68">
        <f>IF($N58="","",IF($P58&gt;0,IF(2&lt;=SemanaActual,INDEX('Cronograma R. Operacional'!$Z$5:$Z$1000,$N58),""),IF(INDEX('Cronograma R. Operacional'!$H$5:$H$1000,$N58)="","",INDEX('Cronograma R. Operacional'!$H$5:$H$1000,$N58))))</f>
        <v/>
      </c>
      <c r="H58" s="68">
        <f>IF($N58="","",IF($P58&gt;0,IF(3&lt;=SemanaActual,INDEX('Cronograma R. Operacional'!$AA$5:$AA$1000,$N58),""),IF(INDEX('Cronograma R. Operacional'!$I$5:$I$1000,$N58)="","",INDEX('Cronograma R. Operacional'!$I$5:$I$1000,$N58))))</f>
        <v/>
      </c>
      <c r="I58" s="68">
        <f>IF($N58="","",IF($P58&gt;0,IF(4&lt;=SemanaActual,INDEX('Cronograma R. Operacional'!$AB$5:$AB$1000,$N58),""),IF(INDEX('Cronograma R. Operacional'!$J$5:$J$1000,$N58)="","",INDEX('Cronograma R. Operacional'!$J$5:$J$1000,$N58))))</f>
        <v/>
      </c>
      <c r="J58" s="68">
        <f>IF($N58="","",INDEX('Cronograma R. Operacional'!$K$5:$K$1000,$N58))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R. Operacional'!$M$5:$M$1000,$N58)&amp;"")</f>
        <v/>
      </c>
      <c r="M58" s="71">
        <f>IF($N58="","",INDEX('Cronograma R. Operacional'!$N$5:$N$1000,$N58)&amp;"")</f>
        <v/>
      </c>
      <c r="N58">
        <f>IFERROR(MATCH(ROW()-4,rOrden_RO,0),"")</f>
        <v/>
      </c>
      <c r="O58">
        <f>IF($N58="","",INDEX('Cronograma R. Operacional'!$S$5:$S$1000,$N58))</f>
        <v/>
      </c>
      <c r="P58">
        <f>IF($N58="","",N(INDEX('Cronograma R. Operacional'!$T$5:$T$1000,$N58)))</f>
        <v/>
      </c>
    </row>
    <row r="59">
      <c r="A59" s="62">
        <f>IF($N59="","",INDEX('Cronograma R. Operacional'!$A$5:$A$1000,$N59))</f>
        <v/>
      </c>
      <c r="B59" s="71">
        <f>IF($N59="","",IF($O59="Sub","      ↳  "&amp;INDEX('Cronograma R. Operacional'!$C$5:$C$1000,$N59),INDEX('Cronograma R. Operacional'!$C$5:$C$1000,$N59)&amp;""))</f>
        <v/>
      </c>
      <c r="C59" s="77">
        <f>IF($N59="","",IF(INDEX('Cronograma R. Operacional'!$D$5:$D$1000,$N59)="","",INDEX('Cronograma R. Operacional'!$D$5:$D$1000,$N59)))</f>
        <v/>
      </c>
      <c r="D59" s="77">
        <f>IF($N59="","",IF(INDEX('Cronograma R. Operacional'!$E$5:$E$1000,$N59)="","",INDEX('Cronograma R. Operacional'!$E$5:$E$1000,$N59)))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R. Operacional'!$Y$5:$Y$1000,$N59),""),IF(INDEX('Cronograma R. Operacional'!$G$5:$G$1000,$N59)="","",INDEX('Cronograma R. Operacional'!$G$5:$G$1000,$N59))))</f>
        <v/>
      </c>
      <c r="G59" s="68">
        <f>IF($N59="","",IF($P59&gt;0,IF(2&lt;=SemanaActual,INDEX('Cronograma R. Operacional'!$Z$5:$Z$1000,$N59),""),IF(INDEX('Cronograma R. Operacional'!$H$5:$H$1000,$N59)="","",INDEX('Cronograma R. Operacional'!$H$5:$H$1000,$N59))))</f>
        <v/>
      </c>
      <c r="H59" s="68">
        <f>IF($N59="","",IF($P59&gt;0,IF(3&lt;=SemanaActual,INDEX('Cronograma R. Operacional'!$AA$5:$AA$1000,$N59),""),IF(INDEX('Cronograma R. Operacional'!$I$5:$I$1000,$N59)="","",INDEX('Cronograma R. Operacional'!$I$5:$I$1000,$N59))))</f>
        <v/>
      </c>
      <c r="I59" s="68">
        <f>IF($N59="","",IF($P59&gt;0,IF(4&lt;=SemanaActual,INDEX('Cronograma R. Operacional'!$AB$5:$AB$1000,$N59),""),IF(INDEX('Cronograma R. Operacional'!$J$5:$J$1000,$N59)="","",INDEX('Cronograma R. Operacional'!$J$5:$J$1000,$N59))))</f>
        <v/>
      </c>
      <c r="J59" s="68">
        <f>IF($N59="","",INDEX('Cronograma R. Operacional'!$K$5:$K$1000,$N59))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R. Operacional'!$M$5:$M$1000,$N59)&amp;"")</f>
        <v/>
      </c>
      <c r="M59" s="71">
        <f>IF($N59="","",INDEX('Cronograma R. Operacional'!$N$5:$N$1000,$N59)&amp;"")</f>
        <v/>
      </c>
      <c r="N59">
        <f>IFERROR(MATCH(ROW()-4,rOrden_RO,0),"")</f>
        <v/>
      </c>
      <c r="O59">
        <f>IF($N59="","",INDEX('Cronograma R. Operacional'!$S$5:$S$1000,$N59))</f>
        <v/>
      </c>
      <c r="P59">
        <f>IF($N59="","",N(INDEX('Cronograma R. Operacional'!$T$5:$T$1000,$N59)))</f>
        <v/>
      </c>
    </row>
    <row r="60">
      <c r="A60" s="62">
        <f>IF($N60="","",INDEX('Cronograma R. Operacional'!$A$5:$A$1000,$N60))</f>
        <v/>
      </c>
      <c r="B60" s="71">
        <f>IF($N60="","",IF($O60="Sub","      ↳  "&amp;INDEX('Cronograma R. Operacional'!$C$5:$C$1000,$N60),INDEX('Cronograma R. Operacional'!$C$5:$C$1000,$N60)&amp;""))</f>
        <v/>
      </c>
      <c r="C60" s="77">
        <f>IF($N60="","",IF(INDEX('Cronograma R. Operacional'!$D$5:$D$1000,$N60)="","",INDEX('Cronograma R. Operacional'!$D$5:$D$1000,$N60)))</f>
        <v/>
      </c>
      <c r="D60" s="77">
        <f>IF($N60="","",IF(INDEX('Cronograma R. Operacional'!$E$5:$E$1000,$N60)="","",INDEX('Cronograma R. Operacional'!$E$5:$E$1000,$N60)))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R. Operacional'!$Y$5:$Y$1000,$N60),""),IF(INDEX('Cronograma R. Operacional'!$G$5:$G$1000,$N60)="","",INDEX('Cronograma R. Operacional'!$G$5:$G$1000,$N60))))</f>
        <v/>
      </c>
      <c r="G60" s="68">
        <f>IF($N60="","",IF($P60&gt;0,IF(2&lt;=SemanaActual,INDEX('Cronograma R. Operacional'!$Z$5:$Z$1000,$N60),""),IF(INDEX('Cronograma R. Operacional'!$H$5:$H$1000,$N60)="","",INDEX('Cronograma R. Operacional'!$H$5:$H$1000,$N60))))</f>
        <v/>
      </c>
      <c r="H60" s="68">
        <f>IF($N60="","",IF($P60&gt;0,IF(3&lt;=SemanaActual,INDEX('Cronograma R. Operacional'!$AA$5:$AA$1000,$N60),""),IF(INDEX('Cronograma R. Operacional'!$I$5:$I$1000,$N60)="","",INDEX('Cronograma R. Operacional'!$I$5:$I$1000,$N60))))</f>
        <v/>
      </c>
      <c r="I60" s="68">
        <f>IF($N60="","",IF($P60&gt;0,IF(4&lt;=SemanaActual,INDEX('Cronograma R. Operacional'!$AB$5:$AB$1000,$N60),""),IF(INDEX('Cronograma R. Operacional'!$J$5:$J$1000,$N60)="","",INDEX('Cronograma R. Operacional'!$J$5:$J$1000,$N60))))</f>
        <v/>
      </c>
      <c r="J60" s="68">
        <f>IF($N60="","",INDEX('Cronograma R. Operacional'!$K$5:$K$1000,$N60))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R. Operacional'!$M$5:$M$1000,$N60)&amp;"")</f>
        <v/>
      </c>
      <c r="M60" s="71">
        <f>IF($N60="","",INDEX('Cronograma R. Operacional'!$N$5:$N$1000,$N60)&amp;"")</f>
        <v/>
      </c>
      <c r="N60">
        <f>IFERROR(MATCH(ROW()-4,rOrden_RO,0),"")</f>
        <v/>
      </c>
      <c r="O60">
        <f>IF($N60="","",INDEX('Cronograma R. Operacional'!$S$5:$S$1000,$N60))</f>
        <v/>
      </c>
      <c r="P60">
        <f>IF($N60="","",N(INDEX('Cronograma R. Operacional'!$T$5:$T$1000,$N60)))</f>
        <v/>
      </c>
    </row>
    <row r="61">
      <c r="A61" s="62">
        <f>IF($N61="","",INDEX('Cronograma R. Operacional'!$A$5:$A$1000,$N61))</f>
        <v/>
      </c>
      <c r="B61" s="71">
        <f>IF($N61="","",IF($O61="Sub","      ↳  "&amp;INDEX('Cronograma R. Operacional'!$C$5:$C$1000,$N61),INDEX('Cronograma R. Operacional'!$C$5:$C$1000,$N61)&amp;""))</f>
        <v/>
      </c>
      <c r="C61" s="77">
        <f>IF($N61="","",IF(INDEX('Cronograma R. Operacional'!$D$5:$D$1000,$N61)="","",INDEX('Cronograma R. Operacional'!$D$5:$D$1000,$N61)))</f>
        <v/>
      </c>
      <c r="D61" s="77">
        <f>IF($N61="","",IF(INDEX('Cronograma R. Operacional'!$E$5:$E$1000,$N61)="","",INDEX('Cronograma R. Operacional'!$E$5:$E$1000,$N61)))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R. Operacional'!$Y$5:$Y$1000,$N61),""),IF(INDEX('Cronograma R. Operacional'!$G$5:$G$1000,$N61)="","",INDEX('Cronograma R. Operacional'!$G$5:$G$1000,$N61))))</f>
        <v/>
      </c>
      <c r="G61" s="68">
        <f>IF($N61="","",IF($P61&gt;0,IF(2&lt;=SemanaActual,INDEX('Cronograma R. Operacional'!$Z$5:$Z$1000,$N61),""),IF(INDEX('Cronograma R. Operacional'!$H$5:$H$1000,$N61)="","",INDEX('Cronograma R. Operacional'!$H$5:$H$1000,$N61))))</f>
        <v/>
      </c>
      <c r="H61" s="68">
        <f>IF($N61="","",IF($P61&gt;0,IF(3&lt;=SemanaActual,INDEX('Cronograma R. Operacional'!$AA$5:$AA$1000,$N61),""),IF(INDEX('Cronograma R. Operacional'!$I$5:$I$1000,$N61)="","",INDEX('Cronograma R. Operacional'!$I$5:$I$1000,$N61))))</f>
        <v/>
      </c>
      <c r="I61" s="68">
        <f>IF($N61="","",IF($P61&gt;0,IF(4&lt;=SemanaActual,INDEX('Cronograma R. Operacional'!$AB$5:$AB$1000,$N61),""),IF(INDEX('Cronograma R. Operacional'!$J$5:$J$1000,$N61)="","",INDEX('Cronograma R. Operacional'!$J$5:$J$1000,$N61))))</f>
        <v/>
      </c>
      <c r="J61" s="68">
        <f>IF($N61="","",INDEX('Cronograma R. Operacional'!$K$5:$K$1000,$N61))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R. Operacional'!$M$5:$M$1000,$N61)&amp;"")</f>
        <v/>
      </c>
      <c r="M61" s="71">
        <f>IF($N61="","",INDEX('Cronograma R. Operacional'!$N$5:$N$1000,$N61)&amp;"")</f>
        <v/>
      </c>
      <c r="N61">
        <f>IFERROR(MATCH(ROW()-4,rOrden_RO,0),"")</f>
        <v/>
      </c>
      <c r="O61">
        <f>IF($N61="","",INDEX('Cronograma R. Operacional'!$S$5:$S$1000,$N61))</f>
        <v/>
      </c>
      <c r="P61">
        <f>IF($N61="","",N(INDEX('Cronograma R. Operacional'!$T$5:$T$1000,$N61)))</f>
        <v/>
      </c>
    </row>
    <row r="62">
      <c r="A62" s="62">
        <f>IF($N62="","",INDEX('Cronograma R. Operacional'!$A$5:$A$1000,$N62))</f>
        <v/>
      </c>
      <c r="B62" s="71">
        <f>IF($N62="","",IF($O62="Sub","      ↳  "&amp;INDEX('Cronograma R. Operacional'!$C$5:$C$1000,$N62),INDEX('Cronograma R. Operacional'!$C$5:$C$1000,$N62)&amp;""))</f>
        <v/>
      </c>
      <c r="C62" s="77">
        <f>IF($N62="","",IF(INDEX('Cronograma R. Operacional'!$D$5:$D$1000,$N62)="","",INDEX('Cronograma R. Operacional'!$D$5:$D$1000,$N62)))</f>
        <v/>
      </c>
      <c r="D62" s="77">
        <f>IF($N62="","",IF(INDEX('Cronograma R. Operacional'!$E$5:$E$1000,$N62)="","",INDEX('Cronograma R. Operacional'!$E$5:$E$1000,$N62)))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R. Operacional'!$Y$5:$Y$1000,$N62),""),IF(INDEX('Cronograma R. Operacional'!$G$5:$G$1000,$N62)="","",INDEX('Cronograma R. Operacional'!$G$5:$G$1000,$N62))))</f>
        <v/>
      </c>
      <c r="G62" s="68">
        <f>IF($N62="","",IF($P62&gt;0,IF(2&lt;=SemanaActual,INDEX('Cronograma R. Operacional'!$Z$5:$Z$1000,$N62),""),IF(INDEX('Cronograma R. Operacional'!$H$5:$H$1000,$N62)="","",INDEX('Cronograma R. Operacional'!$H$5:$H$1000,$N62))))</f>
        <v/>
      </c>
      <c r="H62" s="68">
        <f>IF($N62="","",IF($P62&gt;0,IF(3&lt;=SemanaActual,INDEX('Cronograma R. Operacional'!$AA$5:$AA$1000,$N62),""),IF(INDEX('Cronograma R. Operacional'!$I$5:$I$1000,$N62)="","",INDEX('Cronograma R. Operacional'!$I$5:$I$1000,$N62))))</f>
        <v/>
      </c>
      <c r="I62" s="68">
        <f>IF($N62="","",IF($P62&gt;0,IF(4&lt;=SemanaActual,INDEX('Cronograma R. Operacional'!$AB$5:$AB$1000,$N62),""),IF(INDEX('Cronograma R. Operacional'!$J$5:$J$1000,$N62)="","",INDEX('Cronograma R. Operacional'!$J$5:$J$1000,$N62))))</f>
        <v/>
      </c>
      <c r="J62" s="68">
        <f>IF($N62="","",INDEX('Cronograma R. Operacional'!$K$5:$K$1000,$N62))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R. Operacional'!$M$5:$M$1000,$N62)&amp;"")</f>
        <v/>
      </c>
      <c r="M62" s="71">
        <f>IF($N62="","",INDEX('Cronograma R. Operacional'!$N$5:$N$1000,$N62)&amp;"")</f>
        <v/>
      </c>
      <c r="N62">
        <f>IFERROR(MATCH(ROW()-4,rOrden_RO,0),"")</f>
        <v/>
      </c>
      <c r="O62">
        <f>IF($N62="","",INDEX('Cronograma R. Operacional'!$S$5:$S$1000,$N62))</f>
        <v/>
      </c>
      <c r="P62">
        <f>IF($N62="","",N(INDEX('Cronograma R. Operacional'!$T$5:$T$1000,$N62)))</f>
        <v/>
      </c>
    </row>
    <row r="63">
      <c r="A63" s="62">
        <f>IF($N63="","",INDEX('Cronograma R. Operacional'!$A$5:$A$1000,$N63))</f>
        <v/>
      </c>
      <c r="B63" s="71">
        <f>IF($N63="","",IF($O63="Sub","      ↳  "&amp;INDEX('Cronograma R. Operacional'!$C$5:$C$1000,$N63),INDEX('Cronograma R. Operacional'!$C$5:$C$1000,$N63)&amp;""))</f>
        <v/>
      </c>
      <c r="C63" s="77">
        <f>IF($N63="","",IF(INDEX('Cronograma R. Operacional'!$D$5:$D$1000,$N63)="","",INDEX('Cronograma R. Operacional'!$D$5:$D$1000,$N63)))</f>
        <v/>
      </c>
      <c r="D63" s="77">
        <f>IF($N63="","",IF(INDEX('Cronograma R. Operacional'!$E$5:$E$1000,$N63)="","",INDEX('Cronograma R. Operacional'!$E$5:$E$1000,$N63)))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R. Operacional'!$Y$5:$Y$1000,$N63),""),IF(INDEX('Cronograma R. Operacional'!$G$5:$G$1000,$N63)="","",INDEX('Cronograma R. Operacional'!$G$5:$G$1000,$N63))))</f>
        <v/>
      </c>
      <c r="G63" s="68">
        <f>IF($N63="","",IF($P63&gt;0,IF(2&lt;=SemanaActual,INDEX('Cronograma R. Operacional'!$Z$5:$Z$1000,$N63),""),IF(INDEX('Cronograma R. Operacional'!$H$5:$H$1000,$N63)="","",INDEX('Cronograma R. Operacional'!$H$5:$H$1000,$N63))))</f>
        <v/>
      </c>
      <c r="H63" s="68">
        <f>IF($N63="","",IF($P63&gt;0,IF(3&lt;=SemanaActual,INDEX('Cronograma R. Operacional'!$AA$5:$AA$1000,$N63),""),IF(INDEX('Cronograma R. Operacional'!$I$5:$I$1000,$N63)="","",INDEX('Cronograma R. Operacional'!$I$5:$I$1000,$N63))))</f>
        <v/>
      </c>
      <c r="I63" s="68">
        <f>IF($N63="","",IF($P63&gt;0,IF(4&lt;=SemanaActual,INDEX('Cronograma R. Operacional'!$AB$5:$AB$1000,$N63),""),IF(INDEX('Cronograma R. Operacional'!$J$5:$J$1000,$N63)="","",INDEX('Cronograma R. Operacional'!$J$5:$J$1000,$N63))))</f>
        <v/>
      </c>
      <c r="J63" s="68">
        <f>IF($N63="","",INDEX('Cronograma R. Operacional'!$K$5:$K$1000,$N63))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R. Operacional'!$M$5:$M$1000,$N63)&amp;"")</f>
        <v/>
      </c>
      <c r="M63" s="71">
        <f>IF($N63="","",INDEX('Cronograma R. Operacional'!$N$5:$N$1000,$N63)&amp;"")</f>
        <v/>
      </c>
      <c r="N63">
        <f>IFERROR(MATCH(ROW()-4,rOrden_RO,0),"")</f>
        <v/>
      </c>
      <c r="O63">
        <f>IF($N63="","",INDEX('Cronograma R. Operacional'!$S$5:$S$1000,$N63))</f>
        <v/>
      </c>
      <c r="P63">
        <f>IF($N63="","",N(INDEX('Cronograma R. Operacional'!$T$5:$T$1000,$N63)))</f>
        <v/>
      </c>
    </row>
    <row r="64">
      <c r="A64" s="62">
        <f>IF($N64="","",INDEX('Cronograma R. Operacional'!$A$5:$A$1000,$N64))</f>
        <v/>
      </c>
      <c r="B64" s="71">
        <f>IF($N64="","",IF($O64="Sub","      ↳  "&amp;INDEX('Cronograma R. Operacional'!$C$5:$C$1000,$N64),INDEX('Cronograma R. Operacional'!$C$5:$C$1000,$N64)&amp;""))</f>
        <v/>
      </c>
      <c r="C64" s="77">
        <f>IF($N64="","",IF(INDEX('Cronograma R. Operacional'!$D$5:$D$1000,$N64)="","",INDEX('Cronograma R. Operacional'!$D$5:$D$1000,$N64)))</f>
        <v/>
      </c>
      <c r="D64" s="77">
        <f>IF($N64="","",IF(INDEX('Cronograma R. Operacional'!$E$5:$E$1000,$N64)="","",INDEX('Cronograma R. Operacional'!$E$5:$E$1000,$N64)))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R. Operacional'!$Y$5:$Y$1000,$N64),""),IF(INDEX('Cronograma R. Operacional'!$G$5:$G$1000,$N64)="","",INDEX('Cronograma R. Operacional'!$G$5:$G$1000,$N64))))</f>
        <v/>
      </c>
      <c r="G64" s="68">
        <f>IF($N64="","",IF($P64&gt;0,IF(2&lt;=SemanaActual,INDEX('Cronograma R. Operacional'!$Z$5:$Z$1000,$N64),""),IF(INDEX('Cronograma R. Operacional'!$H$5:$H$1000,$N64)="","",INDEX('Cronograma R. Operacional'!$H$5:$H$1000,$N64))))</f>
        <v/>
      </c>
      <c r="H64" s="68">
        <f>IF($N64="","",IF($P64&gt;0,IF(3&lt;=SemanaActual,INDEX('Cronograma R. Operacional'!$AA$5:$AA$1000,$N64),""),IF(INDEX('Cronograma R. Operacional'!$I$5:$I$1000,$N64)="","",INDEX('Cronograma R. Operacional'!$I$5:$I$1000,$N64))))</f>
        <v/>
      </c>
      <c r="I64" s="68">
        <f>IF($N64="","",IF($P64&gt;0,IF(4&lt;=SemanaActual,INDEX('Cronograma R. Operacional'!$AB$5:$AB$1000,$N64),""),IF(INDEX('Cronograma R. Operacional'!$J$5:$J$1000,$N64)="","",INDEX('Cronograma R. Operacional'!$J$5:$J$1000,$N64))))</f>
        <v/>
      </c>
      <c r="J64" s="68">
        <f>IF($N64="","",INDEX('Cronograma R. Operacional'!$K$5:$K$1000,$N64))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R. Operacional'!$M$5:$M$1000,$N64)&amp;"")</f>
        <v/>
      </c>
      <c r="M64" s="71">
        <f>IF($N64="","",INDEX('Cronograma R. Operacional'!$N$5:$N$1000,$N64)&amp;"")</f>
        <v/>
      </c>
      <c r="N64">
        <f>IFERROR(MATCH(ROW()-4,rOrden_RO,0),"")</f>
        <v/>
      </c>
      <c r="O64">
        <f>IF($N64="","",INDEX('Cronograma R. Operacional'!$S$5:$S$1000,$N64))</f>
        <v/>
      </c>
      <c r="P64">
        <f>IF($N64="","",N(INDEX('Cronograma R. Operacional'!$T$5:$T$1000,$N64)))</f>
        <v/>
      </c>
    </row>
    <row r="65">
      <c r="A65" s="62">
        <f>IF($N65="","",INDEX('Cronograma R. Operacional'!$A$5:$A$1000,$N65))</f>
        <v/>
      </c>
      <c r="B65" s="71">
        <f>IF($N65="","",IF($O65="Sub","      ↳  "&amp;INDEX('Cronograma R. Operacional'!$C$5:$C$1000,$N65),INDEX('Cronograma R. Operacional'!$C$5:$C$1000,$N65)&amp;""))</f>
        <v/>
      </c>
      <c r="C65" s="77">
        <f>IF($N65="","",IF(INDEX('Cronograma R. Operacional'!$D$5:$D$1000,$N65)="","",INDEX('Cronograma R. Operacional'!$D$5:$D$1000,$N65)))</f>
        <v/>
      </c>
      <c r="D65" s="77">
        <f>IF($N65="","",IF(INDEX('Cronograma R. Operacional'!$E$5:$E$1000,$N65)="","",INDEX('Cronograma R. Operacional'!$E$5:$E$1000,$N65)))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R. Operacional'!$Y$5:$Y$1000,$N65),""),IF(INDEX('Cronograma R. Operacional'!$G$5:$G$1000,$N65)="","",INDEX('Cronograma R. Operacional'!$G$5:$G$1000,$N65))))</f>
        <v/>
      </c>
      <c r="G65" s="68">
        <f>IF($N65="","",IF($P65&gt;0,IF(2&lt;=SemanaActual,INDEX('Cronograma R. Operacional'!$Z$5:$Z$1000,$N65),""),IF(INDEX('Cronograma R. Operacional'!$H$5:$H$1000,$N65)="","",INDEX('Cronograma R. Operacional'!$H$5:$H$1000,$N65))))</f>
        <v/>
      </c>
      <c r="H65" s="68">
        <f>IF($N65="","",IF($P65&gt;0,IF(3&lt;=SemanaActual,INDEX('Cronograma R. Operacional'!$AA$5:$AA$1000,$N65),""),IF(INDEX('Cronograma R. Operacional'!$I$5:$I$1000,$N65)="","",INDEX('Cronograma R. Operacional'!$I$5:$I$1000,$N65))))</f>
        <v/>
      </c>
      <c r="I65" s="68">
        <f>IF($N65="","",IF($P65&gt;0,IF(4&lt;=SemanaActual,INDEX('Cronograma R. Operacional'!$AB$5:$AB$1000,$N65),""),IF(INDEX('Cronograma R. Operacional'!$J$5:$J$1000,$N65)="","",INDEX('Cronograma R. Operacional'!$J$5:$J$1000,$N65))))</f>
        <v/>
      </c>
      <c r="J65" s="68">
        <f>IF($N65="","",INDEX('Cronograma R. Operacional'!$K$5:$K$1000,$N65))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R. Operacional'!$M$5:$M$1000,$N65)&amp;"")</f>
        <v/>
      </c>
      <c r="M65" s="71">
        <f>IF($N65="","",INDEX('Cronograma R. Operacional'!$N$5:$N$1000,$N65)&amp;"")</f>
        <v/>
      </c>
      <c r="N65">
        <f>IFERROR(MATCH(ROW()-4,rOrden_RO,0),"")</f>
        <v/>
      </c>
      <c r="O65">
        <f>IF($N65="","",INDEX('Cronograma R. Operacional'!$S$5:$S$1000,$N65))</f>
        <v/>
      </c>
      <c r="P65">
        <f>IF($N65="","",N(INDEX('Cronograma R. Operacional'!$T$5:$T$1000,$N65)))</f>
        <v/>
      </c>
    </row>
    <row r="66">
      <c r="A66" s="62">
        <f>IF($N66="","",INDEX('Cronograma R. Operacional'!$A$5:$A$1000,$N66))</f>
        <v/>
      </c>
      <c r="B66" s="71">
        <f>IF($N66="","",IF($O66="Sub","      ↳  "&amp;INDEX('Cronograma R. Operacional'!$C$5:$C$1000,$N66),INDEX('Cronograma R. Operacional'!$C$5:$C$1000,$N66)&amp;""))</f>
        <v/>
      </c>
      <c r="C66" s="77">
        <f>IF($N66="","",IF(INDEX('Cronograma R. Operacional'!$D$5:$D$1000,$N66)="","",INDEX('Cronograma R. Operacional'!$D$5:$D$1000,$N66)))</f>
        <v/>
      </c>
      <c r="D66" s="77">
        <f>IF($N66="","",IF(INDEX('Cronograma R. Operacional'!$E$5:$E$1000,$N66)="","",INDEX('Cronograma R. Operacional'!$E$5:$E$1000,$N66)))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R. Operacional'!$Y$5:$Y$1000,$N66),""),IF(INDEX('Cronograma R. Operacional'!$G$5:$G$1000,$N66)="","",INDEX('Cronograma R. Operacional'!$G$5:$G$1000,$N66))))</f>
        <v/>
      </c>
      <c r="G66" s="68">
        <f>IF($N66="","",IF($P66&gt;0,IF(2&lt;=SemanaActual,INDEX('Cronograma R. Operacional'!$Z$5:$Z$1000,$N66),""),IF(INDEX('Cronograma R. Operacional'!$H$5:$H$1000,$N66)="","",INDEX('Cronograma R. Operacional'!$H$5:$H$1000,$N66))))</f>
        <v/>
      </c>
      <c r="H66" s="68">
        <f>IF($N66="","",IF($P66&gt;0,IF(3&lt;=SemanaActual,INDEX('Cronograma R. Operacional'!$AA$5:$AA$1000,$N66),""),IF(INDEX('Cronograma R. Operacional'!$I$5:$I$1000,$N66)="","",INDEX('Cronograma R. Operacional'!$I$5:$I$1000,$N66))))</f>
        <v/>
      </c>
      <c r="I66" s="68">
        <f>IF($N66="","",IF($P66&gt;0,IF(4&lt;=SemanaActual,INDEX('Cronograma R. Operacional'!$AB$5:$AB$1000,$N66),""),IF(INDEX('Cronograma R. Operacional'!$J$5:$J$1000,$N66)="","",INDEX('Cronograma R. Operacional'!$J$5:$J$1000,$N66))))</f>
        <v/>
      </c>
      <c r="J66" s="68">
        <f>IF($N66="","",INDEX('Cronograma R. Operacional'!$K$5:$K$1000,$N66))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R. Operacional'!$M$5:$M$1000,$N66)&amp;"")</f>
        <v/>
      </c>
      <c r="M66" s="71">
        <f>IF($N66="","",INDEX('Cronograma R. Operacional'!$N$5:$N$1000,$N66)&amp;"")</f>
        <v/>
      </c>
      <c r="N66">
        <f>IFERROR(MATCH(ROW()-4,rOrden_RO,0),"")</f>
        <v/>
      </c>
      <c r="O66">
        <f>IF($N66="","",INDEX('Cronograma R. Operacional'!$S$5:$S$1000,$N66))</f>
        <v/>
      </c>
      <c r="P66">
        <f>IF($N66="","",N(INDEX('Cronograma R. Operacional'!$T$5:$T$1000,$N66)))</f>
        <v/>
      </c>
    </row>
    <row r="67">
      <c r="A67" s="62">
        <f>IF($N67="","",INDEX('Cronograma R. Operacional'!$A$5:$A$1000,$N67))</f>
        <v/>
      </c>
      <c r="B67" s="71">
        <f>IF($N67="","",IF($O67="Sub","      ↳  "&amp;INDEX('Cronograma R. Operacional'!$C$5:$C$1000,$N67),INDEX('Cronograma R. Operacional'!$C$5:$C$1000,$N67)&amp;""))</f>
        <v/>
      </c>
      <c r="C67" s="77">
        <f>IF($N67="","",IF(INDEX('Cronograma R. Operacional'!$D$5:$D$1000,$N67)="","",INDEX('Cronograma R. Operacional'!$D$5:$D$1000,$N67)))</f>
        <v/>
      </c>
      <c r="D67" s="77">
        <f>IF($N67="","",IF(INDEX('Cronograma R. Operacional'!$E$5:$E$1000,$N67)="","",INDEX('Cronograma R. Operacional'!$E$5:$E$1000,$N67)))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R. Operacional'!$Y$5:$Y$1000,$N67),""),IF(INDEX('Cronograma R. Operacional'!$G$5:$G$1000,$N67)="","",INDEX('Cronograma R. Operacional'!$G$5:$G$1000,$N67))))</f>
        <v/>
      </c>
      <c r="G67" s="68">
        <f>IF($N67="","",IF($P67&gt;0,IF(2&lt;=SemanaActual,INDEX('Cronograma R. Operacional'!$Z$5:$Z$1000,$N67),""),IF(INDEX('Cronograma R. Operacional'!$H$5:$H$1000,$N67)="","",INDEX('Cronograma R. Operacional'!$H$5:$H$1000,$N67))))</f>
        <v/>
      </c>
      <c r="H67" s="68">
        <f>IF($N67="","",IF($P67&gt;0,IF(3&lt;=SemanaActual,INDEX('Cronograma R. Operacional'!$AA$5:$AA$1000,$N67),""),IF(INDEX('Cronograma R. Operacional'!$I$5:$I$1000,$N67)="","",INDEX('Cronograma R. Operacional'!$I$5:$I$1000,$N67))))</f>
        <v/>
      </c>
      <c r="I67" s="68">
        <f>IF($N67="","",IF($P67&gt;0,IF(4&lt;=SemanaActual,INDEX('Cronograma R. Operacional'!$AB$5:$AB$1000,$N67),""),IF(INDEX('Cronograma R. Operacional'!$J$5:$J$1000,$N67)="","",INDEX('Cronograma R. Operacional'!$J$5:$J$1000,$N67))))</f>
        <v/>
      </c>
      <c r="J67" s="68">
        <f>IF($N67="","",INDEX('Cronograma R. Operacional'!$K$5:$K$1000,$N67))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R. Operacional'!$M$5:$M$1000,$N67)&amp;"")</f>
        <v/>
      </c>
      <c r="M67" s="71">
        <f>IF($N67="","",INDEX('Cronograma R. Operacional'!$N$5:$N$1000,$N67)&amp;"")</f>
        <v/>
      </c>
      <c r="N67">
        <f>IFERROR(MATCH(ROW()-4,rOrden_RO,0),"")</f>
        <v/>
      </c>
      <c r="O67">
        <f>IF($N67="","",INDEX('Cronograma R. Operacional'!$S$5:$S$1000,$N67))</f>
        <v/>
      </c>
      <c r="P67">
        <f>IF($N67="","",N(INDEX('Cronograma R. Operacional'!$T$5:$T$1000,$N67)))</f>
        <v/>
      </c>
    </row>
    <row r="68">
      <c r="A68" s="62">
        <f>IF($N68="","",INDEX('Cronograma R. Operacional'!$A$5:$A$1000,$N68))</f>
        <v/>
      </c>
      <c r="B68" s="71">
        <f>IF($N68="","",IF($O68="Sub","      ↳  "&amp;INDEX('Cronograma R. Operacional'!$C$5:$C$1000,$N68),INDEX('Cronograma R. Operacional'!$C$5:$C$1000,$N68)&amp;""))</f>
        <v/>
      </c>
      <c r="C68" s="77">
        <f>IF($N68="","",IF(INDEX('Cronograma R. Operacional'!$D$5:$D$1000,$N68)="","",INDEX('Cronograma R. Operacional'!$D$5:$D$1000,$N68)))</f>
        <v/>
      </c>
      <c r="D68" s="77">
        <f>IF($N68="","",IF(INDEX('Cronograma R. Operacional'!$E$5:$E$1000,$N68)="","",INDEX('Cronograma R. Operacional'!$E$5:$E$1000,$N68)))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R. Operacional'!$Y$5:$Y$1000,$N68),""),IF(INDEX('Cronograma R. Operacional'!$G$5:$G$1000,$N68)="","",INDEX('Cronograma R. Operacional'!$G$5:$G$1000,$N68))))</f>
        <v/>
      </c>
      <c r="G68" s="68">
        <f>IF($N68="","",IF($P68&gt;0,IF(2&lt;=SemanaActual,INDEX('Cronograma R. Operacional'!$Z$5:$Z$1000,$N68),""),IF(INDEX('Cronograma R. Operacional'!$H$5:$H$1000,$N68)="","",INDEX('Cronograma R. Operacional'!$H$5:$H$1000,$N68))))</f>
        <v/>
      </c>
      <c r="H68" s="68">
        <f>IF($N68="","",IF($P68&gt;0,IF(3&lt;=SemanaActual,INDEX('Cronograma R. Operacional'!$AA$5:$AA$1000,$N68),""),IF(INDEX('Cronograma R. Operacional'!$I$5:$I$1000,$N68)="","",INDEX('Cronograma R. Operacional'!$I$5:$I$1000,$N68))))</f>
        <v/>
      </c>
      <c r="I68" s="68">
        <f>IF($N68="","",IF($P68&gt;0,IF(4&lt;=SemanaActual,INDEX('Cronograma R. Operacional'!$AB$5:$AB$1000,$N68),""),IF(INDEX('Cronograma R. Operacional'!$J$5:$J$1000,$N68)="","",INDEX('Cronograma R. Operacional'!$J$5:$J$1000,$N68))))</f>
        <v/>
      </c>
      <c r="J68" s="68">
        <f>IF($N68="","",INDEX('Cronograma R. Operacional'!$K$5:$K$1000,$N68))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R. Operacional'!$M$5:$M$1000,$N68)&amp;"")</f>
        <v/>
      </c>
      <c r="M68" s="71">
        <f>IF($N68="","",INDEX('Cronograma R. Operacional'!$N$5:$N$1000,$N68)&amp;"")</f>
        <v/>
      </c>
      <c r="N68">
        <f>IFERROR(MATCH(ROW()-4,rOrden_RO,0),"")</f>
        <v/>
      </c>
      <c r="O68">
        <f>IF($N68="","",INDEX('Cronograma R. Operacional'!$S$5:$S$1000,$N68))</f>
        <v/>
      </c>
      <c r="P68">
        <f>IF($N68="","",N(INDEX('Cronograma R. Operacional'!$T$5:$T$1000,$N68)))</f>
        <v/>
      </c>
    </row>
    <row r="69">
      <c r="A69" s="62">
        <f>IF($N69="","",INDEX('Cronograma R. Operacional'!$A$5:$A$1000,$N69))</f>
        <v/>
      </c>
      <c r="B69" s="71">
        <f>IF($N69="","",IF($O69="Sub","      ↳  "&amp;INDEX('Cronograma R. Operacional'!$C$5:$C$1000,$N69),INDEX('Cronograma R. Operacional'!$C$5:$C$1000,$N69)&amp;""))</f>
        <v/>
      </c>
      <c r="C69" s="77">
        <f>IF($N69="","",IF(INDEX('Cronograma R. Operacional'!$D$5:$D$1000,$N69)="","",INDEX('Cronograma R. Operacional'!$D$5:$D$1000,$N69)))</f>
        <v/>
      </c>
      <c r="D69" s="77">
        <f>IF($N69="","",IF(INDEX('Cronograma R. Operacional'!$E$5:$E$1000,$N69)="","",INDEX('Cronograma R. Operacional'!$E$5:$E$1000,$N69)))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R. Operacional'!$Y$5:$Y$1000,$N69),""),IF(INDEX('Cronograma R. Operacional'!$G$5:$G$1000,$N69)="","",INDEX('Cronograma R. Operacional'!$G$5:$G$1000,$N69))))</f>
        <v/>
      </c>
      <c r="G69" s="68">
        <f>IF($N69="","",IF($P69&gt;0,IF(2&lt;=SemanaActual,INDEX('Cronograma R. Operacional'!$Z$5:$Z$1000,$N69),""),IF(INDEX('Cronograma R. Operacional'!$H$5:$H$1000,$N69)="","",INDEX('Cronograma R. Operacional'!$H$5:$H$1000,$N69))))</f>
        <v/>
      </c>
      <c r="H69" s="68">
        <f>IF($N69="","",IF($P69&gt;0,IF(3&lt;=SemanaActual,INDEX('Cronograma R. Operacional'!$AA$5:$AA$1000,$N69),""),IF(INDEX('Cronograma R. Operacional'!$I$5:$I$1000,$N69)="","",INDEX('Cronograma R. Operacional'!$I$5:$I$1000,$N69))))</f>
        <v/>
      </c>
      <c r="I69" s="68">
        <f>IF($N69="","",IF($P69&gt;0,IF(4&lt;=SemanaActual,INDEX('Cronograma R. Operacional'!$AB$5:$AB$1000,$N69),""),IF(INDEX('Cronograma R. Operacional'!$J$5:$J$1000,$N69)="","",INDEX('Cronograma R. Operacional'!$J$5:$J$1000,$N69))))</f>
        <v/>
      </c>
      <c r="J69" s="68">
        <f>IF($N69="","",INDEX('Cronograma R. Operacional'!$K$5:$K$1000,$N69))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R. Operacional'!$M$5:$M$1000,$N69)&amp;"")</f>
        <v/>
      </c>
      <c r="M69" s="71">
        <f>IF($N69="","",INDEX('Cronograma R. Operacional'!$N$5:$N$1000,$N69)&amp;"")</f>
        <v/>
      </c>
      <c r="N69">
        <f>IFERROR(MATCH(ROW()-4,rOrden_RO,0),"")</f>
        <v/>
      </c>
      <c r="O69">
        <f>IF($N69="","",INDEX('Cronograma R. Operacional'!$S$5:$S$1000,$N69))</f>
        <v/>
      </c>
      <c r="P69">
        <f>IF($N69="","",N(INDEX('Cronograma R. Operacional'!$T$5:$T$1000,$N69)))</f>
        <v/>
      </c>
    </row>
    <row r="70">
      <c r="A70" s="62">
        <f>IF($N70="","",INDEX('Cronograma R. Operacional'!$A$5:$A$1000,$N70))</f>
        <v/>
      </c>
      <c r="B70" s="71">
        <f>IF($N70="","",IF($O70="Sub","      ↳  "&amp;INDEX('Cronograma R. Operacional'!$C$5:$C$1000,$N70),INDEX('Cronograma R. Operacional'!$C$5:$C$1000,$N70)&amp;""))</f>
        <v/>
      </c>
      <c r="C70" s="77">
        <f>IF($N70="","",IF(INDEX('Cronograma R. Operacional'!$D$5:$D$1000,$N70)="","",INDEX('Cronograma R. Operacional'!$D$5:$D$1000,$N70)))</f>
        <v/>
      </c>
      <c r="D70" s="77">
        <f>IF($N70="","",IF(INDEX('Cronograma R. Operacional'!$E$5:$E$1000,$N70)="","",INDEX('Cronograma R. Operacional'!$E$5:$E$1000,$N70)))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R. Operacional'!$Y$5:$Y$1000,$N70),""),IF(INDEX('Cronograma R. Operacional'!$G$5:$G$1000,$N70)="","",INDEX('Cronograma R. Operacional'!$G$5:$G$1000,$N70))))</f>
        <v/>
      </c>
      <c r="G70" s="68">
        <f>IF($N70="","",IF($P70&gt;0,IF(2&lt;=SemanaActual,INDEX('Cronograma R. Operacional'!$Z$5:$Z$1000,$N70),""),IF(INDEX('Cronograma R. Operacional'!$H$5:$H$1000,$N70)="","",INDEX('Cronograma R. Operacional'!$H$5:$H$1000,$N70))))</f>
        <v/>
      </c>
      <c r="H70" s="68">
        <f>IF($N70="","",IF($P70&gt;0,IF(3&lt;=SemanaActual,INDEX('Cronograma R. Operacional'!$AA$5:$AA$1000,$N70),""),IF(INDEX('Cronograma R. Operacional'!$I$5:$I$1000,$N70)="","",INDEX('Cronograma R. Operacional'!$I$5:$I$1000,$N70))))</f>
        <v/>
      </c>
      <c r="I70" s="68">
        <f>IF($N70="","",IF($P70&gt;0,IF(4&lt;=SemanaActual,INDEX('Cronograma R. Operacional'!$AB$5:$AB$1000,$N70),""),IF(INDEX('Cronograma R. Operacional'!$J$5:$J$1000,$N70)="","",INDEX('Cronograma R. Operacional'!$J$5:$J$1000,$N70))))</f>
        <v/>
      </c>
      <c r="J70" s="68">
        <f>IF($N70="","",INDEX('Cronograma R. Operacional'!$K$5:$K$1000,$N70))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R. Operacional'!$M$5:$M$1000,$N70)&amp;"")</f>
        <v/>
      </c>
      <c r="M70" s="71">
        <f>IF($N70="","",INDEX('Cronograma R. Operacional'!$N$5:$N$1000,$N70)&amp;"")</f>
        <v/>
      </c>
      <c r="N70">
        <f>IFERROR(MATCH(ROW()-4,rOrden_RO,0),"")</f>
        <v/>
      </c>
      <c r="O70">
        <f>IF($N70="","",INDEX('Cronograma R. Operacional'!$S$5:$S$1000,$N70))</f>
        <v/>
      </c>
      <c r="P70">
        <f>IF($N70="","",N(INDEX('Cronograma R. Operacional'!$T$5:$T$1000,$N70)))</f>
        <v/>
      </c>
    </row>
    <row r="71">
      <c r="A71" s="62">
        <f>IF($N71="","",INDEX('Cronograma R. Operacional'!$A$5:$A$1000,$N71))</f>
        <v/>
      </c>
      <c r="B71" s="71">
        <f>IF($N71="","",IF($O71="Sub","      ↳  "&amp;INDEX('Cronograma R. Operacional'!$C$5:$C$1000,$N71),INDEX('Cronograma R. Operacional'!$C$5:$C$1000,$N71)&amp;""))</f>
        <v/>
      </c>
      <c r="C71" s="77">
        <f>IF($N71="","",IF(INDEX('Cronograma R. Operacional'!$D$5:$D$1000,$N71)="","",INDEX('Cronograma R. Operacional'!$D$5:$D$1000,$N71)))</f>
        <v/>
      </c>
      <c r="D71" s="77">
        <f>IF($N71="","",IF(INDEX('Cronograma R. Operacional'!$E$5:$E$1000,$N71)="","",INDEX('Cronograma R. Operacional'!$E$5:$E$1000,$N71)))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R. Operacional'!$Y$5:$Y$1000,$N71),""),IF(INDEX('Cronograma R. Operacional'!$G$5:$G$1000,$N71)="","",INDEX('Cronograma R. Operacional'!$G$5:$G$1000,$N71))))</f>
        <v/>
      </c>
      <c r="G71" s="68">
        <f>IF($N71="","",IF($P71&gt;0,IF(2&lt;=SemanaActual,INDEX('Cronograma R. Operacional'!$Z$5:$Z$1000,$N71),""),IF(INDEX('Cronograma R. Operacional'!$H$5:$H$1000,$N71)="","",INDEX('Cronograma R. Operacional'!$H$5:$H$1000,$N71))))</f>
        <v/>
      </c>
      <c r="H71" s="68">
        <f>IF($N71="","",IF($P71&gt;0,IF(3&lt;=SemanaActual,INDEX('Cronograma R. Operacional'!$AA$5:$AA$1000,$N71),""),IF(INDEX('Cronograma R. Operacional'!$I$5:$I$1000,$N71)="","",INDEX('Cronograma R. Operacional'!$I$5:$I$1000,$N71))))</f>
        <v/>
      </c>
      <c r="I71" s="68">
        <f>IF($N71="","",IF($P71&gt;0,IF(4&lt;=SemanaActual,INDEX('Cronograma R. Operacional'!$AB$5:$AB$1000,$N71),""),IF(INDEX('Cronograma R. Operacional'!$J$5:$J$1000,$N71)="","",INDEX('Cronograma R. Operacional'!$J$5:$J$1000,$N71))))</f>
        <v/>
      </c>
      <c r="J71" s="68">
        <f>IF($N71="","",INDEX('Cronograma R. Operacional'!$K$5:$K$1000,$N71))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R. Operacional'!$M$5:$M$1000,$N71)&amp;"")</f>
        <v/>
      </c>
      <c r="M71" s="71">
        <f>IF($N71="","",INDEX('Cronograma R. Operacional'!$N$5:$N$1000,$N71)&amp;"")</f>
        <v/>
      </c>
      <c r="N71">
        <f>IFERROR(MATCH(ROW()-4,rOrden_RO,0),"")</f>
        <v/>
      </c>
      <c r="O71">
        <f>IF($N71="","",INDEX('Cronograma R. Operacional'!$S$5:$S$1000,$N71))</f>
        <v/>
      </c>
      <c r="P71">
        <f>IF($N71="","",N(INDEX('Cronograma R. Operacional'!$T$5:$T$1000,$N71)))</f>
        <v/>
      </c>
    </row>
    <row r="72">
      <c r="A72" s="62">
        <f>IF($N72="","",INDEX('Cronograma R. Operacional'!$A$5:$A$1000,$N72))</f>
        <v/>
      </c>
      <c r="B72" s="71">
        <f>IF($N72="","",IF($O72="Sub","      ↳  "&amp;INDEX('Cronograma R. Operacional'!$C$5:$C$1000,$N72),INDEX('Cronograma R. Operacional'!$C$5:$C$1000,$N72)&amp;""))</f>
        <v/>
      </c>
      <c r="C72" s="77">
        <f>IF($N72="","",IF(INDEX('Cronograma R. Operacional'!$D$5:$D$1000,$N72)="","",INDEX('Cronograma R. Operacional'!$D$5:$D$1000,$N72)))</f>
        <v/>
      </c>
      <c r="D72" s="77">
        <f>IF($N72="","",IF(INDEX('Cronograma R. Operacional'!$E$5:$E$1000,$N72)="","",INDEX('Cronograma R. Operacional'!$E$5:$E$1000,$N72)))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R. Operacional'!$Y$5:$Y$1000,$N72),""),IF(INDEX('Cronograma R. Operacional'!$G$5:$G$1000,$N72)="","",INDEX('Cronograma R. Operacional'!$G$5:$G$1000,$N72))))</f>
        <v/>
      </c>
      <c r="G72" s="68">
        <f>IF($N72="","",IF($P72&gt;0,IF(2&lt;=SemanaActual,INDEX('Cronograma R. Operacional'!$Z$5:$Z$1000,$N72),""),IF(INDEX('Cronograma R. Operacional'!$H$5:$H$1000,$N72)="","",INDEX('Cronograma R. Operacional'!$H$5:$H$1000,$N72))))</f>
        <v/>
      </c>
      <c r="H72" s="68">
        <f>IF($N72="","",IF($P72&gt;0,IF(3&lt;=SemanaActual,INDEX('Cronograma R. Operacional'!$AA$5:$AA$1000,$N72),""),IF(INDEX('Cronograma R. Operacional'!$I$5:$I$1000,$N72)="","",INDEX('Cronograma R. Operacional'!$I$5:$I$1000,$N72))))</f>
        <v/>
      </c>
      <c r="I72" s="68">
        <f>IF($N72="","",IF($P72&gt;0,IF(4&lt;=SemanaActual,INDEX('Cronograma R. Operacional'!$AB$5:$AB$1000,$N72),""),IF(INDEX('Cronograma R. Operacional'!$J$5:$J$1000,$N72)="","",INDEX('Cronograma R. Operacional'!$J$5:$J$1000,$N72))))</f>
        <v/>
      </c>
      <c r="J72" s="68">
        <f>IF($N72="","",INDEX('Cronograma R. Operacional'!$K$5:$K$1000,$N72))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R. Operacional'!$M$5:$M$1000,$N72)&amp;"")</f>
        <v/>
      </c>
      <c r="M72" s="71">
        <f>IF($N72="","",INDEX('Cronograma R. Operacional'!$N$5:$N$1000,$N72)&amp;"")</f>
        <v/>
      </c>
      <c r="N72">
        <f>IFERROR(MATCH(ROW()-4,rOrden_RO,0),"")</f>
        <v/>
      </c>
      <c r="O72">
        <f>IF($N72="","",INDEX('Cronograma R. Operacional'!$S$5:$S$1000,$N72))</f>
        <v/>
      </c>
      <c r="P72">
        <f>IF($N72="","",N(INDEX('Cronograma R. Operacional'!$T$5:$T$1000,$N72)))</f>
        <v/>
      </c>
    </row>
    <row r="73">
      <c r="A73" s="62">
        <f>IF($N73="","",INDEX('Cronograma R. Operacional'!$A$5:$A$1000,$N73))</f>
        <v/>
      </c>
      <c r="B73" s="71">
        <f>IF($N73="","",IF($O73="Sub","      ↳  "&amp;INDEX('Cronograma R. Operacional'!$C$5:$C$1000,$N73),INDEX('Cronograma R. Operacional'!$C$5:$C$1000,$N73)&amp;""))</f>
        <v/>
      </c>
      <c r="C73" s="77">
        <f>IF($N73="","",IF(INDEX('Cronograma R. Operacional'!$D$5:$D$1000,$N73)="","",INDEX('Cronograma R. Operacional'!$D$5:$D$1000,$N73)))</f>
        <v/>
      </c>
      <c r="D73" s="77">
        <f>IF($N73="","",IF(INDEX('Cronograma R. Operacional'!$E$5:$E$1000,$N73)="","",INDEX('Cronograma R. Operacional'!$E$5:$E$1000,$N73)))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R. Operacional'!$Y$5:$Y$1000,$N73),""),IF(INDEX('Cronograma R. Operacional'!$G$5:$G$1000,$N73)="","",INDEX('Cronograma R. Operacional'!$G$5:$G$1000,$N73))))</f>
        <v/>
      </c>
      <c r="G73" s="68">
        <f>IF($N73="","",IF($P73&gt;0,IF(2&lt;=SemanaActual,INDEX('Cronograma R. Operacional'!$Z$5:$Z$1000,$N73),""),IF(INDEX('Cronograma R. Operacional'!$H$5:$H$1000,$N73)="","",INDEX('Cronograma R. Operacional'!$H$5:$H$1000,$N73))))</f>
        <v/>
      </c>
      <c r="H73" s="68">
        <f>IF($N73="","",IF($P73&gt;0,IF(3&lt;=SemanaActual,INDEX('Cronograma R. Operacional'!$AA$5:$AA$1000,$N73),""),IF(INDEX('Cronograma R. Operacional'!$I$5:$I$1000,$N73)="","",INDEX('Cronograma R. Operacional'!$I$5:$I$1000,$N73))))</f>
        <v/>
      </c>
      <c r="I73" s="68">
        <f>IF($N73="","",IF($P73&gt;0,IF(4&lt;=SemanaActual,INDEX('Cronograma R. Operacional'!$AB$5:$AB$1000,$N73),""),IF(INDEX('Cronograma R. Operacional'!$J$5:$J$1000,$N73)="","",INDEX('Cronograma R. Operacional'!$J$5:$J$1000,$N73))))</f>
        <v/>
      </c>
      <c r="J73" s="68">
        <f>IF($N73="","",INDEX('Cronograma R. Operacional'!$K$5:$K$1000,$N73))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R. Operacional'!$M$5:$M$1000,$N73)&amp;"")</f>
        <v/>
      </c>
      <c r="M73" s="71">
        <f>IF($N73="","",INDEX('Cronograma R. Operacional'!$N$5:$N$1000,$N73)&amp;"")</f>
        <v/>
      </c>
      <c r="N73">
        <f>IFERROR(MATCH(ROW()-4,rOrden_RO,0),"")</f>
        <v/>
      </c>
      <c r="O73">
        <f>IF($N73="","",INDEX('Cronograma R. Operacional'!$S$5:$S$1000,$N73))</f>
        <v/>
      </c>
      <c r="P73">
        <f>IF($N73="","",N(INDEX('Cronograma R. Operacional'!$T$5:$T$1000,$N73)))</f>
        <v/>
      </c>
    </row>
    <row r="74">
      <c r="A74" s="62">
        <f>IF($N74="","",INDEX('Cronograma R. Operacional'!$A$5:$A$1000,$N74))</f>
        <v/>
      </c>
      <c r="B74" s="71">
        <f>IF($N74="","",IF($O74="Sub","      ↳  "&amp;INDEX('Cronograma R. Operacional'!$C$5:$C$1000,$N74),INDEX('Cronograma R. Operacional'!$C$5:$C$1000,$N74)&amp;""))</f>
        <v/>
      </c>
      <c r="C74" s="77">
        <f>IF($N74="","",IF(INDEX('Cronograma R. Operacional'!$D$5:$D$1000,$N74)="","",INDEX('Cronograma R. Operacional'!$D$5:$D$1000,$N74)))</f>
        <v/>
      </c>
      <c r="D74" s="77">
        <f>IF($N74="","",IF(INDEX('Cronograma R. Operacional'!$E$5:$E$1000,$N74)="","",INDEX('Cronograma R. Operacional'!$E$5:$E$1000,$N74)))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R. Operacional'!$Y$5:$Y$1000,$N74),""),IF(INDEX('Cronograma R. Operacional'!$G$5:$G$1000,$N74)="","",INDEX('Cronograma R. Operacional'!$G$5:$G$1000,$N74))))</f>
        <v/>
      </c>
      <c r="G74" s="68">
        <f>IF($N74="","",IF($P74&gt;0,IF(2&lt;=SemanaActual,INDEX('Cronograma R. Operacional'!$Z$5:$Z$1000,$N74),""),IF(INDEX('Cronograma R. Operacional'!$H$5:$H$1000,$N74)="","",INDEX('Cronograma R. Operacional'!$H$5:$H$1000,$N74))))</f>
        <v/>
      </c>
      <c r="H74" s="68">
        <f>IF($N74="","",IF($P74&gt;0,IF(3&lt;=SemanaActual,INDEX('Cronograma R. Operacional'!$AA$5:$AA$1000,$N74),""),IF(INDEX('Cronograma R. Operacional'!$I$5:$I$1000,$N74)="","",INDEX('Cronograma R. Operacional'!$I$5:$I$1000,$N74))))</f>
        <v/>
      </c>
      <c r="I74" s="68">
        <f>IF($N74="","",IF($P74&gt;0,IF(4&lt;=SemanaActual,INDEX('Cronograma R. Operacional'!$AB$5:$AB$1000,$N74),""),IF(INDEX('Cronograma R. Operacional'!$J$5:$J$1000,$N74)="","",INDEX('Cronograma R. Operacional'!$J$5:$J$1000,$N74))))</f>
        <v/>
      </c>
      <c r="J74" s="68">
        <f>IF($N74="","",INDEX('Cronograma R. Operacional'!$K$5:$K$1000,$N74))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R. Operacional'!$M$5:$M$1000,$N74)&amp;"")</f>
        <v/>
      </c>
      <c r="M74" s="71">
        <f>IF($N74="","",INDEX('Cronograma R. Operacional'!$N$5:$N$1000,$N74)&amp;"")</f>
        <v/>
      </c>
      <c r="N74">
        <f>IFERROR(MATCH(ROW()-4,rOrden_RO,0),"")</f>
        <v/>
      </c>
      <c r="O74">
        <f>IF($N74="","",INDEX('Cronograma R. Operacional'!$S$5:$S$1000,$N74))</f>
        <v/>
      </c>
      <c r="P74">
        <f>IF($N74="","",N(INDEX('Cronograma R. Operacional'!$T$5:$T$1000,$N74)))</f>
        <v/>
      </c>
    </row>
    <row r="75">
      <c r="A75" s="62">
        <f>IF($N75="","",INDEX('Cronograma R. Operacional'!$A$5:$A$1000,$N75))</f>
        <v/>
      </c>
      <c r="B75" s="71">
        <f>IF($N75="","",IF($O75="Sub","      ↳  "&amp;INDEX('Cronograma R. Operacional'!$C$5:$C$1000,$N75),INDEX('Cronograma R. Operacional'!$C$5:$C$1000,$N75)&amp;""))</f>
        <v/>
      </c>
      <c r="C75" s="77">
        <f>IF($N75="","",IF(INDEX('Cronograma R. Operacional'!$D$5:$D$1000,$N75)="","",INDEX('Cronograma R. Operacional'!$D$5:$D$1000,$N75)))</f>
        <v/>
      </c>
      <c r="D75" s="77">
        <f>IF($N75="","",IF(INDEX('Cronograma R. Operacional'!$E$5:$E$1000,$N75)="","",INDEX('Cronograma R. Operacional'!$E$5:$E$1000,$N75)))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R. Operacional'!$Y$5:$Y$1000,$N75),""),IF(INDEX('Cronograma R. Operacional'!$G$5:$G$1000,$N75)="","",INDEX('Cronograma R. Operacional'!$G$5:$G$1000,$N75))))</f>
        <v/>
      </c>
      <c r="G75" s="68">
        <f>IF($N75="","",IF($P75&gt;0,IF(2&lt;=SemanaActual,INDEX('Cronograma R. Operacional'!$Z$5:$Z$1000,$N75),""),IF(INDEX('Cronograma R. Operacional'!$H$5:$H$1000,$N75)="","",INDEX('Cronograma R. Operacional'!$H$5:$H$1000,$N75))))</f>
        <v/>
      </c>
      <c r="H75" s="68">
        <f>IF($N75="","",IF($P75&gt;0,IF(3&lt;=SemanaActual,INDEX('Cronograma R. Operacional'!$AA$5:$AA$1000,$N75),""),IF(INDEX('Cronograma R. Operacional'!$I$5:$I$1000,$N75)="","",INDEX('Cronograma R. Operacional'!$I$5:$I$1000,$N75))))</f>
        <v/>
      </c>
      <c r="I75" s="68">
        <f>IF($N75="","",IF($P75&gt;0,IF(4&lt;=SemanaActual,INDEX('Cronograma R. Operacional'!$AB$5:$AB$1000,$N75),""),IF(INDEX('Cronograma R. Operacional'!$J$5:$J$1000,$N75)="","",INDEX('Cronograma R. Operacional'!$J$5:$J$1000,$N75))))</f>
        <v/>
      </c>
      <c r="J75" s="68">
        <f>IF($N75="","",INDEX('Cronograma R. Operacional'!$K$5:$K$1000,$N75))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R. Operacional'!$M$5:$M$1000,$N75)&amp;"")</f>
        <v/>
      </c>
      <c r="M75" s="71">
        <f>IF($N75="","",INDEX('Cronograma R. Operacional'!$N$5:$N$1000,$N75)&amp;"")</f>
        <v/>
      </c>
      <c r="N75">
        <f>IFERROR(MATCH(ROW()-4,rOrden_RO,0),"")</f>
        <v/>
      </c>
      <c r="O75">
        <f>IF($N75="","",INDEX('Cronograma R. Operacional'!$S$5:$S$1000,$N75))</f>
        <v/>
      </c>
      <c r="P75">
        <f>IF($N75="","",N(INDEX('Cronograma R. Operacional'!$T$5:$T$1000,$N75)))</f>
        <v/>
      </c>
    </row>
    <row r="76">
      <c r="A76" s="62">
        <f>IF($N76="","",INDEX('Cronograma R. Operacional'!$A$5:$A$1000,$N76))</f>
        <v/>
      </c>
      <c r="B76" s="71">
        <f>IF($N76="","",IF($O76="Sub","      ↳  "&amp;INDEX('Cronograma R. Operacional'!$C$5:$C$1000,$N76),INDEX('Cronograma R. Operacional'!$C$5:$C$1000,$N76)&amp;""))</f>
        <v/>
      </c>
      <c r="C76" s="77">
        <f>IF($N76="","",IF(INDEX('Cronograma R. Operacional'!$D$5:$D$1000,$N76)="","",INDEX('Cronograma R. Operacional'!$D$5:$D$1000,$N76)))</f>
        <v/>
      </c>
      <c r="D76" s="77">
        <f>IF($N76="","",IF(INDEX('Cronograma R. Operacional'!$E$5:$E$1000,$N76)="","",INDEX('Cronograma R. Operacional'!$E$5:$E$1000,$N76)))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R. Operacional'!$Y$5:$Y$1000,$N76),""),IF(INDEX('Cronograma R. Operacional'!$G$5:$G$1000,$N76)="","",INDEX('Cronograma R. Operacional'!$G$5:$G$1000,$N76))))</f>
        <v/>
      </c>
      <c r="G76" s="68">
        <f>IF($N76="","",IF($P76&gt;0,IF(2&lt;=SemanaActual,INDEX('Cronograma R. Operacional'!$Z$5:$Z$1000,$N76),""),IF(INDEX('Cronograma R. Operacional'!$H$5:$H$1000,$N76)="","",INDEX('Cronograma R. Operacional'!$H$5:$H$1000,$N76))))</f>
        <v/>
      </c>
      <c r="H76" s="68">
        <f>IF($N76="","",IF($P76&gt;0,IF(3&lt;=SemanaActual,INDEX('Cronograma R. Operacional'!$AA$5:$AA$1000,$N76),""),IF(INDEX('Cronograma R. Operacional'!$I$5:$I$1000,$N76)="","",INDEX('Cronograma R. Operacional'!$I$5:$I$1000,$N76))))</f>
        <v/>
      </c>
      <c r="I76" s="68">
        <f>IF($N76="","",IF($P76&gt;0,IF(4&lt;=SemanaActual,INDEX('Cronograma R. Operacional'!$AB$5:$AB$1000,$N76),""),IF(INDEX('Cronograma R. Operacional'!$J$5:$J$1000,$N76)="","",INDEX('Cronograma R. Operacional'!$J$5:$J$1000,$N76))))</f>
        <v/>
      </c>
      <c r="J76" s="68">
        <f>IF($N76="","",INDEX('Cronograma R. Operacional'!$K$5:$K$1000,$N76))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R. Operacional'!$M$5:$M$1000,$N76)&amp;"")</f>
        <v/>
      </c>
      <c r="M76" s="71">
        <f>IF($N76="","",INDEX('Cronograma R. Operacional'!$N$5:$N$1000,$N76)&amp;"")</f>
        <v/>
      </c>
      <c r="N76">
        <f>IFERROR(MATCH(ROW()-4,rOrden_RO,0),"")</f>
        <v/>
      </c>
      <c r="O76">
        <f>IF($N76="","",INDEX('Cronograma R. Operacional'!$S$5:$S$1000,$N76))</f>
        <v/>
      </c>
      <c r="P76">
        <f>IF($N76="","",N(INDEX('Cronograma R. Operacional'!$T$5:$T$1000,$N76)))</f>
        <v/>
      </c>
    </row>
    <row r="77">
      <c r="A77" s="62">
        <f>IF($N77="","",INDEX('Cronograma R. Operacional'!$A$5:$A$1000,$N77))</f>
        <v/>
      </c>
      <c r="B77" s="71">
        <f>IF($N77="","",IF($O77="Sub","      ↳  "&amp;INDEX('Cronograma R. Operacional'!$C$5:$C$1000,$N77),INDEX('Cronograma R. Operacional'!$C$5:$C$1000,$N77)&amp;""))</f>
        <v/>
      </c>
      <c r="C77" s="77">
        <f>IF($N77="","",IF(INDEX('Cronograma R. Operacional'!$D$5:$D$1000,$N77)="","",INDEX('Cronograma R. Operacional'!$D$5:$D$1000,$N77)))</f>
        <v/>
      </c>
      <c r="D77" s="77">
        <f>IF($N77="","",IF(INDEX('Cronograma R. Operacional'!$E$5:$E$1000,$N77)="","",INDEX('Cronograma R. Operacional'!$E$5:$E$1000,$N77)))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R. Operacional'!$Y$5:$Y$1000,$N77),""),IF(INDEX('Cronograma R. Operacional'!$G$5:$G$1000,$N77)="","",INDEX('Cronograma R. Operacional'!$G$5:$G$1000,$N77))))</f>
        <v/>
      </c>
      <c r="G77" s="68">
        <f>IF($N77="","",IF($P77&gt;0,IF(2&lt;=SemanaActual,INDEX('Cronograma R. Operacional'!$Z$5:$Z$1000,$N77),""),IF(INDEX('Cronograma R. Operacional'!$H$5:$H$1000,$N77)="","",INDEX('Cronograma R. Operacional'!$H$5:$H$1000,$N77))))</f>
        <v/>
      </c>
      <c r="H77" s="68">
        <f>IF($N77="","",IF($P77&gt;0,IF(3&lt;=SemanaActual,INDEX('Cronograma R. Operacional'!$AA$5:$AA$1000,$N77),""),IF(INDEX('Cronograma R. Operacional'!$I$5:$I$1000,$N77)="","",INDEX('Cronograma R. Operacional'!$I$5:$I$1000,$N77))))</f>
        <v/>
      </c>
      <c r="I77" s="68">
        <f>IF($N77="","",IF($P77&gt;0,IF(4&lt;=SemanaActual,INDEX('Cronograma R. Operacional'!$AB$5:$AB$1000,$N77),""),IF(INDEX('Cronograma R. Operacional'!$J$5:$J$1000,$N77)="","",INDEX('Cronograma R. Operacional'!$J$5:$J$1000,$N77))))</f>
        <v/>
      </c>
      <c r="J77" s="68">
        <f>IF($N77="","",INDEX('Cronograma R. Operacional'!$K$5:$K$1000,$N77))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R. Operacional'!$M$5:$M$1000,$N77)&amp;"")</f>
        <v/>
      </c>
      <c r="M77" s="71">
        <f>IF($N77="","",INDEX('Cronograma R. Operacional'!$N$5:$N$1000,$N77)&amp;"")</f>
        <v/>
      </c>
      <c r="N77">
        <f>IFERROR(MATCH(ROW()-4,rOrden_RO,0),"")</f>
        <v/>
      </c>
      <c r="O77">
        <f>IF($N77="","",INDEX('Cronograma R. Operacional'!$S$5:$S$1000,$N77))</f>
        <v/>
      </c>
      <c r="P77">
        <f>IF($N77="","",N(INDEX('Cronograma R. Operacional'!$T$5:$T$1000,$N77)))</f>
        <v/>
      </c>
    </row>
    <row r="78">
      <c r="A78" s="62">
        <f>IF($N78="","",INDEX('Cronograma R. Operacional'!$A$5:$A$1000,$N78))</f>
        <v/>
      </c>
      <c r="B78" s="71">
        <f>IF($N78="","",IF($O78="Sub","      ↳  "&amp;INDEX('Cronograma R. Operacional'!$C$5:$C$1000,$N78),INDEX('Cronograma R. Operacional'!$C$5:$C$1000,$N78)&amp;""))</f>
        <v/>
      </c>
      <c r="C78" s="77">
        <f>IF($N78="","",IF(INDEX('Cronograma R. Operacional'!$D$5:$D$1000,$N78)="","",INDEX('Cronograma R. Operacional'!$D$5:$D$1000,$N78)))</f>
        <v/>
      </c>
      <c r="D78" s="77">
        <f>IF($N78="","",IF(INDEX('Cronograma R. Operacional'!$E$5:$E$1000,$N78)="","",INDEX('Cronograma R. Operacional'!$E$5:$E$1000,$N78)))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R. Operacional'!$Y$5:$Y$1000,$N78),""),IF(INDEX('Cronograma R. Operacional'!$G$5:$G$1000,$N78)="","",INDEX('Cronograma R. Operacional'!$G$5:$G$1000,$N78))))</f>
        <v/>
      </c>
      <c r="G78" s="68">
        <f>IF($N78="","",IF($P78&gt;0,IF(2&lt;=SemanaActual,INDEX('Cronograma R. Operacional'!$Z$5:$Z$1000,$N78),""),IF(INDEX('Cronograma R. Operacional'!$H$5:$H$1000,$N78)="","",INDEX('Cronograma R. Operacional'!$H$5:$H$1000,$N78))))</f>
        <v/>
      </c>
      <c r="H78" s="68">
        <f>IF($N78="","",IF($P78&gt;0,IF(3&lt;=SemanaActual,INDEX('Cronograma R. Operacional'!$AA$5:$AA$1000,$N78),""),IF(INDEX('Cronograma R. Operacional'!$I$5:$I$1000,$N78)="","",INDEX('Cronograma R. Operacional'!$I$5:$I$1000,$N78))))</f>
        <v/>
      </c>
      <c r="I78" s="68">
        <f>IF($N78="","",IF($P78&gt;0,IF(4&lt;=SemanaActual,INDEX('Cronograma R. Operacional'!$AB$5:$AB$1000,$N78),""),IF(INDEX('Cronograma R. Operacional'!$J$5:$J$1000,$N78)="","",INDEX('Cronograma R. Operacional'!$J$5:$J$1000,$N78))))</f>
        <v/>
      </c>
      <c r="J78" s="68">
        <f>IF($N78="","",INDEX('Cronograma R. Operacional'!$K$5:$K$1000,$N78))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R. Operacional'!$M$5:$M$1000,$N78)&amp;"")</f>
        <v/>
      </c>
      <c r="M78" s="71">
        <f>IF($N78="","",INDEX('Cronograma R. Operacional'!$N$5:$N$1000,$N78)&amp;"")</f>
        <v/>
      </c>
      <c r="N78">
        <f>IFERROR(MATCH(ROW()-4,rOrden_RO,0),"")</f>
        <v/>
      </c>
      <c r="O78">
        <f>IF($N78="","",INDEX('Cronograma R. Operacional'!$S$5:$S$1000,$N78))</f>
        <v/>
      </c>
      <c r="P78">
        <f>IF($N78="","",N(INDEX('Cronograma R. Operacional'!$T$5:$T$1000,$N78)))</f>
        <v/>
      </c>
    </row>
    <row r="79">
      <c r="A79" s="62">
        <f>IF($N79="","",INDEX('Cronograma R. Operacional'!$A$5:$A$1000,$N79))</f>
        <v/>
      </c>
      <c r="B79" s="71">
        <f>IF($N79="","",IF($O79="Sub","      ↳  "&amp;INDEX('Cronograma R. Operacional'!$C$5:$C$1000,$N79),INDEX('Cronograma R. Operacional'!$C$5:$C$1000,$N79)&amp;""))</f>
        <v/>
      </c>
      <c r="C79" s="77">
        <f>IF($N79="","",IF(INDEX('Cronograma R. Operacional'!$D$5:$D$1000,$N79)="","",INDEX('Cronograma R. Operacional'!$D$5:$D$1000,$N79)))</f>
        <v/>
      </c>
      <c r="D79" s="77">
        <f>IF($N79="","",IF(INDEX('Cronograma R. Operacional'!$E$5:$E$1000,$N79)="","",INDEX('Cronograma R. Operacional'!$E$5:$E$1000,$N79)))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R. Operacional'!$Y$5:$Y$1000,$N79),""),IF(INDEX('Cronograma R. Operacional'!$G$5:$G$1000,$N79)="","",INDEX('Cronograma R. Operacional'!$G$5:$G$1000,$N79))))</f>
        <v/>
      </c>
      <c r="G79" s="68">
        <f>IF($N79="","",IF($P79&gt;0,IF(2&lt;=SemanaActual,INDEX('Cronograma R. Operacional'!$Z$5:$Z$1000,$N79),""),IF(INDEX('Cronograma R. Operacional'!$H$5:$H$1000,$N79)="","",INDEX('Cronograma R. Operacional'!$H$5:$H$1000,$N79))))</f>
        <v/>
      </c>
      <c r="H79" s="68">
        <f>IF($N79="","",IF($P79&gt;0,IF(3&lt;=SemanaActual,INDEX('Cronograma R. Operacional'!$AA$5:$AA$1000,$N79),""),IF(INDEX('Cronograma R. Operacional'!$I$5:$I$1000,$N79)="","",INDEX('Cronograma R. Operacional'!$I$5:$I$1000,$N79))))</f>
        <v/>
      </c>
      <c r="I79" s="68">
        <f>IF($N79="","",IF($P79&gt;0,IF(4&lt;=SemanaActual,INDEX('Cronograma R. Operacional'!$AB$5:$AB$1000,$N79),""),IF(INDEX('Cronograma R. Operacional'!$J$5:$J$1000,$N79)="","",INDEX('Cronograma R. Operacional'!$J$5:$J$1000,$N79))))</f>
        <v/>
      </c>
      <c r="J79" s="68">
        <f>IF($N79="","",INDEX('Cronograma R. Operacional'!$K$5:$K$1000,$N79))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R. Operacional'!$M$5:$M$1000,$N79)&amp;"")</f>
        <v/>
      </c>
      <c r="M79" s="71">
        <f>IF($N79="","",INDEX('Cronograma R. Operacional'!$N$5:$N$1000,$N79)&amp;"")</f>
        <v/>
      </c>
      <c r="N79">
        <f>IFERROR(MATCH(ROW()-4,rOrden_RO,0),"")</f>
        <v/>
      </c>
      <c r="O79">
        <f>IF($N79="","",INDEX('Cronograma R. Operacional'!$S$5:$S$1000,$N79))</f>
        <v/>
      </c>
      <c r="P79">
        <f>IF($N79="","",N(INDEX('Cronograma R. Operacional'!$T$5:$T$1000,$N79)))</f>
        <v/>
      </c>
    </row>
    <row r="80">
      <c r="A80" s="62">
        <f>IF($N80="","",INDEX('Cronograma R. Operacional'!$A$5:$A$1000,$N80))</f>
        <v/>
      </c>
      <c r="B80" s="71">
        <f>IF($N80="","",IF($O80="Sub","      ↳  "&amp;INDEX('Cronograma R. Operacional'!$C$5:$C$1000,$N80),INDEX('Cronograma R. Operacional'!$C$5:$C$1000,$N80)&amp;""))</f>
        <v/>
      </c>
      <c r="C80" s="77">
        <f>IF($N80="","",IF(INDEX('Cronograma R. Operacional'!$D$5:$D$1000,$N80)="","",INDEX('Cronograma R. Operacional'!$D$5:$D$1000,$N80)))</f>
        <v/>
      </c>
      <c r="D80" s="77">
        <f>IF($N80="","",IF(INDEX('Cronograma R. Operacional'!$E$5:$E$1000,$N80)="","",INDEX('Cronograma R. Operacional'!$E$5:$E$1000,$N80)))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R. Operacional'!$Y$5:$Y$1000,$N80),""),IF(INDEX('Cronograma R. Operacional'!$G$5:$G$1000,$N80)="","",INDEX('Cronograma R. Operacional'!$G$5:$G$1000,$N80))))</f>
        <v/>
      </c>
      <c r="G80" s="68">
        <f>IF($N80="","",IF($P80&gt;0,IF(2&lt;=SemanaActual,INDEX('Cronograma R. Operacional'!$Z$5:$Z$1000,$N80),""),IF(INDEX('Cronograma R. Operacional'!$H$5:$H$1000,$N80)="","",INDEX('Cronograma R. Operacional'!$H$5:$H$1000,$N80))))</f>
        <v/>
      </c>
      <c r="H80" s="68">
        <f>IF($N80="","",IF($P80&gt;0,IF(3&lt;=SemanaActual,INDEX('Cronograma R. Operacional'!$AA$5:$AA$1000,$N80),""),IF(INDEX('Cronograma R. Operacional'!$I$5:$I$1000,$N80)="","",INDEX('Cronograma R. Operacional'!$I$5:$I$1000,$N80))))</f>
        <v/>
      </c>
      <c r="I80" s="68">
        <f>IF($N80="","",IF($P80&gt;0,IF(4&lt;=SemanaActual,INDEX('Cronograma R. Operacional'!$AB$5:$AB$1000,$N80),""),IF(INDEX('Cronograma R. Operacional'!$J$5:$J$1000,$N80)="","",INDEX('Cronograma R. Operacional'!$J$5:$J$1000,$N80))))</f>
        <v/>
      </c>
      <c r="J80" s="68">
        <f>IF($N80="","",INDEX('Cronograma R. Operacional'!$K$5:$K$1000,$N80))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R. Operacional'!$M$5:$M$1000,$N80)&amp;"")</f>
        <v/>
      </c>
      <c r="M80" s="71">
        <f>IF($N80="","",INDEX('Cronograma R. Operacional'!$N$5:$N$1000,$N80)&amp;"")</f>
        <v/>
      </c>
      <c r="N80">
        <f>IFERROR(MATCH(ROW()-4,rOrden_RO,0),"")</f>
        <v/>
      </c>
      <c r="O80">
        <f>IF($N80="","",INDEX('Cronograma R. Operacional'!$S$5:$S$1000,$N80))</f>
        <v/>
      </c>
      <c r="P80">
        <f>IF($N80="","",N(INDEX('Cronograma R. Operacional'!$T$5:$T$1000,$N80)))</f>
        <v/>
      </c>
    </row>
    <row r="81">
      <c r="A81" s="62">
        <f>IF($N81="","",INDEX('Cronograma R. Operacional'!$A$5:$A$1000,$N81))</f>
        <v/>
      </c>
      <c r="B81" s="71">
        <f>IF($N81="","",IF($O81="Sub","      ↳  "&amp;INDEX('Cronograma R. Operacional'!$C$5:$C$1000,$N81),INDEX('Cronograma R. Operacional'!$C$5:$C$1000,$N81)&amp;""))</f>
        <v/>
      </c>
      <c r="C81" s="77">
        <f>IF($N81="","",IF(INDEX('Cronograma R. Operacional'!$D$5:$D$1000,$N81)="","",INDEX('Cronograma R. Operacional'!$D$5:$D$1000,$N81)))</f>
        <v/>
      </c>
      <c r="D81" s="77">
        <f>IF($N81="","",IF(INDEX('Cronograma R. Operacional'!$E$5:$E$1000,$N81)="","",INDEX('Cronograma R. Operacional'!$E$5:$E$1000,$N81)))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R. Operacional'!$Y$5:$Y$1000,$N81),""),IF(INDEX('Cronograma R. Operacional'!$G$5:$G$1000,$N81)="","",INDEX('Cronograma R. Operacional'!$G$5:$G$1000,$N81))))</f>
        <v/>
      </c>
      <c r="G81" s="68">
        <f>IF($N81="","",IF($P81&gt;0,IF(2&lt;=SemanaActual,INDEX('Cronograma R. Operacional'!$Z$5:$Z$1000,$N81),""),IF(INDEX('Cronograma R. Operacional'!$H$5:$H$1000,$N81)="","",INDEX('Cronograma R. Operacional'!$H$5:$H$1000,$N81))))</f>
        <v/>
      </c>
      <c r="H81" s="68">
        <f>IF($N81="","",IF($P81&gt;0,IF(3&lt;=SemanaActual,INDEX('Cronograma R. Operacional'!$AA$5:$AA$1000,$N81),""),IF(INDEX('Cronograma R. Operacional'!$I$5:$I$1000,$N81)="","",INDEX('Cronograma R. Operacional'!$I$5:$I$1000,$N81))))</f>
        <v/>
      </c>
      <c r="I81" s="68">
        <f>IF($N81="","",IF($P81&gt;0,IF(4&lt;=SemanaActual,INDEX('Cronograma R. Operacional'!$AB$5:$AB$1000,$N81),""),IF(INDEX('Cronograma R. Operacional'!$J$5:$J$1000,$N81)="","",INDEX('Cronograma R. Operacional'!$J$5:$J$1000,$N81))))</f>
        <v/>
      </c>
      <c r="J81" s="68">
        <f>IF($N81="","",INDEX('Cronograma R. Operacional'!$K$5:$K$1000,$N81))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R. Operacional'!$M$5:$M$1000,$N81)&amp;"")</f>
        <v/>
      </c>
      <c r="M81" s="71">
        <f>IF($N81="","",INDEX('Cronograma R. Operacional'!$N$5:$N$1000,$N81)&amp;"")</f>
        <v/>
      </c>
      <c r="N81">
        <f>IFERROR(MATCH(ROW()-4,rOrden_RO,0),"")</f>
        <v/>
      </c>
      <c r="O81">
        <f>IF($N81="","",INDEX('Cronograma R. Operacional'!$S$5:$S$1000,$N81))</f>
        <v/>
      </c>
      <c r="P81">
        <f>IF($N81="","",N(INDEX('Cronograma R. Operacional'!$T$5:$T$1000,$N81)))</f>
        <v/>
      </c>
    </row>
    <row r="82">
      <c r="A82" s="62">
        <f>IF($N82="","",INDEX('Cronograma R. Operacional'!$A$5:$A$1000,$N82))</f>
        <v/>
      </c>
      <c r="B82" s="71">
        <f>IF($N82="","",IF($O82="Sub","      ↳  "&amp;INDEX('Cronograma R. Operacional'!$C$5:$C$1000,$N82),INDEX('Cronograma R. Operacional'!$C$5:$C$1000,$N82)&amp;""))</f>
        <v/>
      </c>
      <c r="C82" s="77">
        <f>IF($N82="","",IF(INDEX('Cronograma R. Operacional'!$D$5:$D$1000,$N82)="","",INDEX('Cronograma R. Operacional'!$D$5:$D$1000,$N82)))</f>
        <v/>
      </c>
      <c r="D82" s="77">
        <f>IF($N82="","",IF(INDEX('Cronograma R. Operacional'!$E$5:$E$1000,$N82)="","",INDEX('Cronograma R. Operacional'!$E$5:$E$1000,$N82)))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R. Operacional'!$Y$5:$Y$1000,$N82),""),IF(INDEX('Cronograma R. Operacional'!$G$5:$G$1000,$N82)="","",INDEX('Cronograma R. Operacional'!$G$5:$G$1000,$N82))))</f>
        <v/>
      </c>
      <c r="G82" s="68">
        <f>IF($N82="","",IF($P82&gt;0,IF(2&lt;=SemanaActual,INDEX('Cronograma R. Operacional'!$Z$5:$Z$1000,$N82),""),IF(INDEX('Cronograma R. Operacional'!$H$5:$H$1000,$N82)="","",INDEX('Cronograma R. Operacional'!$H$5:$H$1000,$N82))))</f>
        <v/>
      </c>
      <c r="H82" s="68">
        <f>IF($N82="","",IF($P82&gt;0,IF(3&lt;=SemanaActual,INDEX('Cronograma R. Operacional'!$AA$5:$AA$1000,$N82),""),IF(INDEX('Cronograma R. Operacional'!$I$5:$I$1000,$N82)="","",INDEX('Cronograma R. Operacional'!$I$5:$I$1000,$N82))))</f>
        <v/>
      </c>
      <c r="I82" s="68">
        <f>IF($N82="","",IF($P82&gt;0,IF(4&lt;=SemanaActual,INDEX('Cronograma R. Operacional'!$AB$5:$AB$1000,$N82),""),IF(INDEX('Cronograma R. Operacional'!$J$5:$J$1000,$N82)="","",INDEX('Cronograma R. Operacional'!$J$5:$J$1000,$N82))))</f>
        <v/>
      </c>
      <c r="J82" s="68">
        <f>IF($N82="","",INDEX('Cronograma R. Operacional'!$K$5:$K$1000,$N82))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R. Operacional'!$M$5:$M$1000,$N82)&amp;"")</f>
        <v/>
      </c>
      <c r="M82" s="71">
        <f>IF($N82="","",INDEX('Cronograma R. Operacional'!$N$5:$N$1000,$N82)&amp;"")</f>
        <v/>
      </c>
      <c r="N82">
        <f>IFERROR(MATCH(ROW()-4,rOrden_RO,0),"")</f>
        <v/>
      </c>
      <c r="O82">
        <f>IF($N82="","",INDEX('Cronograma R. Operacional'!$S$5:$S$1000,$N82))</f>
        <v/>
      </c>
      <c r="P82">
        <f>IF($N82="","",N(INDEX('Cronograma R. Operacional'!$T$5:$T$1000,$N82)))</f>
        <v/>
      </c>
    </row>
    <row r="83">
      <c r="A83" s="62">
        <f>IF($N83="","",INDEX('Cronograma R. Operacional'!$A$5:$A$1000,$N83))</f>
        <v/>
      </c>
      <c r="B83" s="71">
        <f>IF($N83="","",IF($O83="Sub","      ↳  "&amp;INDEX('Cronograma R. Operacional'!$C$5:$C$1000,$N83),INDEX('Cronograma R. Operacional'!$C$5:$C$1000,$N83)&amp;""))</f>
        <v/>
      </c>
      <c r="C83" s="77">
        <f>IF($N83="","",IF(INDEX('Cronograma R. Operacional'!$D$5:$D$1000,$N83)="","",INDEX('Cronograma R. Operacional'!$D$5:$D$1000,$N83)))</f>
        <v/>
      </c>
      <c r="D83" s="77">
        <f>IF($N83="","",IF(INDEX('Cronograma R. Operacional'!$E$5:$E$1000,$N83)="","",INDEX('Cronograma R. Operacional'!$E$5:$E$1000,$N83)))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R. Operacional'!$Y$5:$Y$1000,$N83),""),IF(INDEX('Cronograma R. Operacional'!$G$5:$G$1000,$N83)="","",INDEX('Cronograma R. Operacional'!$G$5:$G$1000,$N83))))</f>
        <v/>
      </c>
      <c r="G83" s="68">
        <f>IF($N83="","",IF($P83&gt;0,IF(2&lt;=SemanaActual,INDEX('Cronograma R. Operacional'!$Z$5:$Z$1000,$N83),""),IF(INDEX('Cronograma R. Operacional'!$H$5:$H$1000,$N83)="","",INDEX('Cronograma R. Operacional'!$H$5:$H$1000,$N83))))</f>
        <v/>
      </c>
      <c r="H83" s="68">
        <f>IF($N83="","",IF($P83&gt;0,IF(3&lt;=SemanaActual,INDEX('Cronograma R. Operacional'!$AA$5:$AA$1000,$N83),""),IF(INDEX('Cronograma R. Operacional'!$I$5:$I$1000,$N83)="","",INDEX('Cronograma R. Operacional'!$I$5:$I$1000,$N83))))</f>
        <v/>
      </c>
      <c r="I83" s="68">
        <f>IF($N83="","",IF($P83&gt;0,IF(4&lt;=SemanaActual,INDEX('Cronograma R. Operacional'!$AB$5:$AB$1000,$N83),""),IF(INDEX('Cronograma R. Operacional'!$J$5:$J$1000,$N83)="","",INDEX('Cronograma R. Operacional'!$J$5:$J$1000,$N83))))</f>
        <v/>
      </c>
      <c r="J83" s="68">
        <f>IF($N83="","",INDEX('Cronograma R. Operacional'!$K$5:$K$1000,$N83))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R. Operacional'!$M$5:$M$1000,$N83)&amp;"")</f>
        <v/>
      </c>
      <c r="M83" s="71">
        <f>IF($N83="","",INDEX('Cronograma R. Operacional'!$N$5:$N$1000,$N83)&amp;"")</f>
        <v/>
      </c>
      <c r="N83">
        <f>IFERROR(MATCH(ROW()-4,rOrden_RO,0),"")</f>
        <v/>
      </c>
      <c r="O83">
        <f>IF($N83="","",INDEX('Cronograma R. Operacional'!$S$5:$S$1000,$N83))</f>
        <v/>
      </c>
      <c r="P83">
        <f>IF($N83="","",N(INDEX('Cronograma R. Operacional'!$T$5:$T$1000,$N83)))</f>
        <v/>
      </c>
    </row>
    <row r="84">
      <c r="A84" s="62">
        <f>IF($N84="","",INDEX('Cronograma R. Operacional'!$A$5:$A$1000,$N84))</f>
        <v/>
      </c>
      <c r="B84" s="71">
        <f>IF($N84="","",IF($O84="Sub","      ↳  "&amp;INDEX('Cronograma R. Operacional'!$C$5:$C$1000,$N84),INDEX('Cronograma R. Operacional'!$C$5:$C$1000,$N84)&amp;""))</f>
        <v/>
      </c>
      <c r="C84" s="77">
        <f>IF($N84="","",IF(INDEX('Cronograma R. Operacional'!$D$5:$D$1000,$N84)="","",INDEX('Cronograma R. Operacional'!$D$5:$D$1000,$N84)))</f>
        <v/>
      </c>
      <c r="D84" s="77">
        <f>IF($N84="","",IF(INDEX('Cronograma R. Operacional'!$E$5:$E$1000,$N84)="","",INDEX('Cronograma R. Operacional'!$E$5:$E$1000,$N84)))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R. Operacional'!$Y$5:$Y$1000,$N84),""),IF(INDEX('Cronograma R. Operacional'!$G$5:$G$1000,$N84)="","",INDEX('Cronograma R. Operacional'!$G$5:$G$1000,$N84))))</f>
        <v/>
      </c>
      <c r="G84" s="68">
        <f>IF($N84="","",IF($P84&gt;0,IF(2&lt;=SemanaActual,INDEX('Cronograma R. Operacional'!$Z$5:$Z$1000,$N84),""),IF(INDEX('Cronograma R. Operacional'!$H$5:$H$1000,$N84)="","",INDEX('Cronograma R. Operacional'!$H$5:$H$1000,$N84))))</f>
        <v/>
      </c>
      <c r="H84" s="68">
        <f>IF($N84="","",IF($P84&gt;0,IF(3&lt;=SemanaActual,INDEX('Cronograma R. Operacional'!$AA$5:$AA$1000,$N84),""),IF(INDEX('Cronograma R. Operacional'!$I$5:$I$1000,$N84)="","",INDEX('Cronograma R. Operacional'!$I$5:$I$1000,$N84))))</f>
        <v/>
      </c>
      <c r="I84" s="68">
        <f>IF($N84="","",IF($P84&gt;0,IF(4&lt;=SemanaActual,INDEX('Cronograma R. Operacional'!$AB$5:$AB$1000,$N84),""),IF(INDEX('Cronograma R. Operacional'!$J$5:$J$1000,$N84)="","",INDEX('Cronograma R. Operacional'!$J$5:$J$1000,$N84))))</f>
        <v/>
      </c>
      <c r="J84" s="68">
        <f>IF($N84="","",INDEX('Cronograma R. Operacional'!$K$5:$K$1000,$N84))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R. Operacional'!$M$5:$M$1000,$N84)&amp;"")</f>
        <v/>
      </c>
      <c r="M84" s="71">
        <f>IF($N84="","",INDEX('Cronograma R. Operacional'!$N$5:$N$1000,$N84)&amp;"")</f>
        <v/>
      </c>
      <c r="N84">
        <f>IFERROR(MATCH(ROW()-4,rOrden_RO,0),"")</f>
        <v/>
      </c>
      <c r="O84">
        <f>IF($N84="","",INDEX('Cronograma R. Operacional'!$S$5:$S$1000,$N84))</f>
        <v/>
      </c>
      <c r="P84">
        <f>IF($N84="","",N(INDEX('Cronograma R. Operacional'!$T$5:$T$1000,$N84)))</f>
        <v/>
      </c>
    </row>
    <row r="85">
      <c r="A85" s="62">
        <f>IF($N85="","",INDEX('Cronograma R. Operacional'!$A$5:$A$1000,$N85))</f>
        <v/>
      </c>
      <c r="B85" s="71">
        <f>IF($N85="","",IF($O85="Sub","      ↳  "&amp;INDEX('Cronograma R. Operacional'!$C$5:$C$1000,$N85),INDEX('Cronograma R. Operacional'!$C$5:$C$1000,$N85)&amp;""))</f>
        <v/>
      </c>
      <c r="C85" s="77">
        <f>IF($N85="","",IF(INDEX('Cronograma R. Operacional'!$D$5:$D$1000,$N85)="","",INDEX('Cronograma R. Operacional'!$D$5:$D$1000,$N85)))</f>
        <v/>
      </c>
      <c r="D85" s="77">
        <f>IF($N85="","",IF(INDEX('Cronograma R. Operacional'!$E$5:$E$1000,$N85)="","",INDEX('Cronograma R. Operacional'!$E$5:$E$1000,$N85)))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R. Operacional'!$Y$5:$Y$1000,$N85),""),IF(INDEX('Cronograma R. Operacional'!$G$5:$G$1000,$N85)="","",INDEX('Cronograma R. Operacional'!$G$5:$G$1000,$N85))))</f>
        <v/>
      </c>
      <c r="G85" s="68">
        <f>IF($N85="","",IF($P85&gt;0,IF(2&lt;=SemanaActual,INDEX('Cronograma R. Operacional'!$Z$5:$Z$1000,$N85),""),IF(INDEX('Cronograma R. Operacional'!$H$5:$H$1000,$N85)="","",INDEX('Cronograma R. Operacional'!$H$5:$H$1000,$N85))))</f>
        <v/>
      </c>
      <c r="H85" s="68">
        <f>IF($N85="","",IF($P85&gt;0,IF(3&lt;=SemanaActual,INDEX('Cronograma R. Operacional'!$AA$5:$AA$1000,$N85),""),IF(INDEX('Cronograma R. Operacional'!$I$5:$I$1000,$N85)="","",INDEX('Cronograma R. Operacional'!$I$5:$I$1000,$N85))))</f>
        <v/>
      </c>
      <c r="I85" s="68">
        <f>IF($N85="","",IF($P85&gt;0,IF(4&lt;=SemanaActual,INDEX('Cronograma R. Operacional'!$AB$5:$AB$1000,$N85),""),IF(INDEX('Cronograma R. Operacional'!$J$5:$J$1000,$N85)="","",INDEX('Cronograma R. Operacional'!$J$5:$J$1000,$N85))))</f>
        <v/>
      </c>
      <c r="J85" s="68">
        <f>IF($N85="","",INDEX('Cronograma R. Operacional'!$K$5:$K$1000,$N85))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R. Operacional'!$M$5:$M$1000,$N85)&amp;"")</f>
        <v/>
      </c>
      <c r="M85" s="71">
        <f>IF($N85="","",INDEX('Cronograma R. Operacional'!$N$5:$N$1000,$N85)&amp;"")</f>
        <v/>
      </c>
      <c r="N85">
        <f>IFERROR(MATCH(ROW()-4,rOrden_RO,0),"")</f>
        <v/>
      </c>
      <c r="O85">
        <f>IF($N85="","",INDEX('Cronograma R. Operacional'!$S$5:$S$1000,$N85))</f>
        <v/>
      </c>
      <c r="P85">
        <f>IF($N85="","",N(INDEX('Cronograma R. Operacional'!$T$5:$T$1000,$N85)))</f>
        <v/>
      </c>
    </row>
    <row r="86">
      <c r="A86" s="62">
        <f>IF($N86="","",INDEX('Cronograma R. Operacional'!$A$5:$A$1000,$N86))</f>
        <v/>
      </c>
      <c r="B86" s="71">
        <f>IF($N86="","",IF($O86="Sub","      ↳  "&amp;INDEX('Cronograma R. Operacional'!$C$5:$C$1000,$N86),INDEX('Cronograma R. Operacional'!$C$5:$C$1000,$N86)&amp;""))</f>
        <v/>
      </c>
      <c r="C86" s="77">
        <f>IF($N86="","",IF(INDEX('Cronograma R. Operacional'!$D$5:$D$1000,$N86)="","",INDEX('Cronograma R. Operacional'!$D$5:$D$1000,$N86)))</f>
        <v/>
      </c>
      <c r="D86" s="77">
        <f>IF($N86="","",IF(INDEX('Cronograma R. Operacional'!$E$5:$E$1000,$N86)="","",INDEX('Cronograma R. Operacional'!$E$5:$E$1000,$N86)))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R. Operacional'!$Y$5:$Y$1000,$N86),""),IF(INDEX('Cronograma R. Operacional'!$G$5:$G$1000,$N86)="","",INDEX('Cronograma R. Operacional'!$G$5:$G$1000,$N86))))</f>
        <v/>
      </c>
      <c r="G86" s="68">
        <f>IF($N86="","",IF($P86&gt;0,IF(2&lt;=SemanaActual,INDEX('Cronograma R. Operacional'!$Z$5:$Z$1000,$N86),""),IF(INDEX('Cronograma R. Operacional'!$H$5:$H$1000,$N86)="","",INDEX('Cronograma R. Operacional'!$H$5:$H$1000,$N86))))</f>
        <v/>
      </c>
      <c r="H86" s="68">
        <f>IF($N86="","",IF($P86&gt;0,IF(3&lt;=SemanaActual,INDEX('Cronograma R. Operacional'!$AA$5:$AA$1000,$N86),""),IF(INDEX('Cronograma R. Operacional'!$I$5:$I$1000,$N86)="","",INDEX('Cronograma R. Operacional'!$I$5:$I$1000,$N86))))</f>
        <v/>
      </c>
      <c r="I86" s="68">
        <f>IF($N86="","",IF($P86&gt;0,IF(4&lt;=SemanaActual,INDEX('Cronograma R. Operacional'!$AB$5:$AB$1000,$N86),""),IF(INDEX('Cronograma R. Operacional'!$J$5:$J$1000,$N86)="","",INDEX('Cronograma R. Operacional'!$J$5:$J$1000,$N86))))</f>
        <v/>
      </c>
      <c r="J86" s="68">
        <f>IF($N86="","",INDEX('Cronograma R. Operacional'!$K$5:$K$1000,$N86))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R. Operacional'!$M$5:$M$1000,$N86)&amp;"")</f>
        <v/>
      </c>
      <c r="M86" s="71">
        <f>IF($N86="","",INDEX('Cronograma R. Operacional'!$N$5:$N$1000,$N86)&amp;"")</f>
        <v/>
      </c>
      <c r="N86">
        <f>IFERROR(MATCH(ROW()-4,rOrden_RO,0),"")</f>
        <v/>
      </c>
      <c r="O86">
        <f>IF($N86="","",INDEX('Cronograma R. Operacional'!$S$5:$S$1000,$N86))</f>
        <v/>
      </c>
      <c r="P86">
        <f>IF($N86="","",N(INDEX('Cronograma R. Operacional'!$T$5:$T$1000,$N86)))</f>
        <v/>
      </c>
    </row>
    <row r="87">
      <c r="A87" s="62">
        <f>IF($N87="","",INDEX('Cronograma R. Operacional'!$A$5:$A$1000,$N87))</f>
        <v/>
      </c>
      <c r="B87" s="71">
        <f>IF($N87="","",IF($O87="Sub","      ↳  "&amp;INDEX('Cronograma R. Operacional'!$C$5:$C$1000,$N87),INDEX('Cronograma R. Operacional'!$C$5:$C$1000,$N87)&amp;""))</f>
        <v/>
      </c>
      <c r="C87" s="77">
        <f>IF($N87="","",IF(INDEX('Cronograma R. Operacional'!$D$5:$D$1000,$N87)="","",INDEX('Cronograma R. Operacional'!$D$5:$D$1000,$N87)))</f>
        <v/>
      </c>
      <c r="D87" s="77">
        <f>IF($N87="","",IF(INDEX('Cronograma R. Operacional'!$E$5:$E$1000,$N87)="","",INDEX('Cronograma R. Operacional'!$E$5:$E$1000,$N87)))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R. Operacional'!$Y$5:$Y$1000,$N87),""),IF(INDEX('Cronograma R. Operacional'!$G$5:$G$1000,$N87)="","",INDEX('Cronograma R. Operacional'!$G$5:$G$1000,$N87))))</f>
        <v/>
      </c>
      <c r="G87" s="68">
        <f>IF($N87="","",IF($P87&gt;0,IF(2&lt;=SemanaActual,INDEX('Cronograma R. Operacional'!$Z$5:$Z$1000,$N87),""),IF(INDEX('Cronograma R. Operacional'!$H$5:$H$1000,$N87)="","",INDEX('Cronograma R. Operacional'!$H$5:$H$1000,$N87))))</f>
        <v/>
      </c>
      <c r="H87" s="68">
        <f>IF($N87="","",IF($P87&gt;0,IF(3&lt;=SemanaActual,INDEX('Cronograma R. Operacional'!$AA$5:$AA$1000,$N87),""),IF(INDEX('Cronograma R. Operacional'!$I$5:$I$1000,$N87)="","",INDEX('Cronograma R. Operacional'!$I$5:$I$1000,$N87))))</f>
        <v/>
      </c>
      <c r="I87" s="68">
        <f>IF($N87="","",IF($P87&gt;0,IF(4&lt;=SemanaActual,INDEX('Cronograma R. Operacional'!$AB$5:$AB$1000,$N87),""),IF(INDEX('Cronograma R. Operacional'!$J$5:$J$1000,$N87)="","",INDEX('Cronograma R. Operacional'!$J$5:$J$1000,$N87))))</f>
        <v/>
      </c>
      <c r="J87" s="68">
        <f>IF($N87="","",INDEX('Cronograma R. Operacional'!$K$5:$K$1000,$N87))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R. Operacional'!$M$5:$M$1000,$N87)&amp;"")</f>
        <v/>
      </c>
      <c r="M87" s="71">
        <f>IF($N87="","",INDEX('Cronograma R. Operacional'!$N$5:$N$1000,$N87)&amp;"")</f>
        <v/>
      </c>
      <c r="N87">
        <f>IFERROR(MATCH(ROW()-4,rOrden_RO,0),"")</f>
        <v/>
      </c>
      <c r="O87">
        <f>IF($N87="","",INDEX('Cronograma R. Operacional'!$S$5:$S$1000,$N87))</f>
        <v/>
      </c>
      <c r="P87">
        <f>IF($N87="","",N(INDEX('Cronograma R. Operacional'!$T$5:$T$1000,$N87)))</f>
        <v/>
      </c>
    </row>
    <row r="88">
      <c r="A88" s="62">
        <f>IF($N88="","",INDEX('Cronograma R. Operacional'!$A$5:$A$1000,$N88))</f>
        <v/>
      </c>
      <c r="B88" s="71">
        <f>IF($N88="","",IF($O88="Sub","      ↳  "&amp;INDEX('Cronograma R. Operacional'!$C$5:$C$1000,$N88),INDEX('Cronograma R. Operacional'!$C$5:$C$1000,$N88)&amp;""))</f>
        <v/>
      </c>
      <c r="C88" s="77">
        <f>IF($N88="","",IF(INDEX('Cronograma R. Operacional'!$D$5:$D$1000,$N88)="","",INDEX('Cronograma R. Operacional'!$D$5:$D$1000,$N88)))</f>
        <v/>
      </c>
      <c r="D88" s="77">
        <f>IF($N88="","",IF(INDEX('Cronograma R. Operacional'!$E$5:$E$1000,$N88)="","",INDEX('Cronograma R. Operacional'!$E$5:$E$1000,$N88)))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R. Operacional'!$Y$5:$Y$1000,$N88),""),IF(INDEX('Cronograma R. Operacional'!$G$5:$G$1000,$N88)="","",INDEX('Cronograma R. Operacional'!$G$5:$G$1000,$N88))))</f>
        <v/>
      </c>
      <c r="G88" s="68">
        <f>IF($N88="","",IF($P88&gt;0,IF(2&lt;=SemanaActual,INDEX('Cronograma R. Operacional'!$Z$5:$Z$1000,$N88),""),IF(INDEX('Cronograma R. Operacional'!$H$5:$H$1000,$N88)="","",INDEX('Cronograma R. Operacional'!$H$5:$H$1000,$N88))))</f>
        <v/>
      </c>
      <c r="H88" s="68">
        <f>IF($N88="","",IF($P88&gt;0,IF(3&lt;=SemanaActual,INDEX('Cronograma R. Operacional'!$AA$5:$AA$1000,$N88),""),IF(INDEX('Cronograma R. Operacional'!$I$5:$I$1000,$N88)="","",INDEX('Cronograma R. Operacional'!$I$5:$I$1000,$N88))))</f>
        <v/>
      </c>
      <c r="I88" s="68">
        <f>IF($N88="","",IF($P88&gt;0,IF(4&lt;=SemanaActual,INDEX('Cronograma R. Operacional'!$AB$5:$AB$1000,$N88),""),IF(INDEX('Cronograma R. Operacional'!$J$5:$J$1000,$N88)="","",INDEX('Cronograma R. Operacional'!$J$5:$J$1000,$N88))))</f>
        <v/>
      </c>
      <c r="J88" s="68">
        <f>IF($N88="","",INDEX('Cronograma R. Operacional'!$K$5:$K$1000,$N88))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R. Operacional'!$M$5:$M$1000,$N88)&amp;"")</f>
        <v/>
      </c>
      <c r="M88" s="71">
        <f>IF($N88="","",INDEX('Cronograma R. Operacional'!$N$5:$N$1000,$N88)&amp;"")</f>
        <v/>
      </c>
      <c r="N88">
        <f>IFERROR(MATCH(ROW()-4,rOrden_RO,0),"")</f>
        <v/>
      </c>
      <c r="O88">
        <f>IF($N88="","",INDEX('Cronograma R. Operacional'!$S$5:$S$1000,$N88))</f>
        <v/>
      </c>
      <c r="P88">
        <f>IF($N88="","",N(INDEX('Cronograma R. Operacional'!$T$5:$T$1000,$N88)))</f>
        <v/>
      </c>
    </row>
    <row r="89">
      <c r="A89" s="62">
        <f>IF($N89="","",INDEX('Cronograma R. Operacional'!$A$5:$A$1000,$N89))</f>
        <v/>
      </c>
      <c r="B89" s="71">
        <f>IF($N89="","",IF($O89="Sub","      ↳  "&amp;INDEX('Cronograma R. Operacional'!$C$5:$C$1000,$N89),INDEX('Cronograma R. Operacional'!$C$5:$C$1000,$N89)&amp;""))</f>
        <v/>
      </c>
      <c r="C89" s="77">
        <f>IF($N89="","",IF(INDEX('Cronograma R. Operacional'!$D$5:$D$1000,$N89)="","",INDEX('Cronograma R. Operacional'!$D$5:$D$1000,$N89)))</f>
        <v/>
      </c>
      <c r="D89" s="77">
        <f>IF($N89="","",IF(INDEX('Cronograma R. Operacional'!$E$5:$E$1000,$N89)="","",INDEX('Cronograma R. Operacional'!$E$5:$E$1000,$N89)))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R. Operacional'!$Y$5:$Y$1000,$N89),""),IF(INDEX('Cronograma R. Operacional'!$G$5:$G$1000,$N89)="","",INDEX('Cronograma R. Operacional'!$G$5:$G$1000,$N89))))</f>
        <v/>
      </c>
      <c r="G89" s="68">
        <f>IF($N89="","",IF($P89&gt;0,IF(2&lt;=SemanaActual,INDEX('Cronograma R. Operacional'!$Z$5:$Z$1000,$N89),""),IF(INDEX('Cronograma R. Operacional'!$H$5:$H$1000,$N89)="","",INDEX('Cronograma R. Operacional'!$H$5:$H$1000,$N89))))</f>
        <v/>
      </c>
      <c r="H89" s="68">
        <f>IF($N89="","",IF($P89&gt;0,IF(3&lt;=SemanaActual,INDEX('Cronograma R. Operacional'!$AA$5:$AA$1000,$N89),""),IF(INDEX('Cronograma R. Operacional'!$I$5:$I$1000,$N89)="","",INDEX('Cronograma R. Operacional'!$I$5:$I$1000,$N89))))</f>
        <v/>
      </c>
      <c r="I89" s="68">
        <f>IF($N89="","",IF($P89&gt;0,IF(4&lt;=SemanaActual,INDEX('Cronograma R. Operacional'!$AB$5:$AB$1000,$N89),""),IF(INDEX('Cronograma R. Operacional'!$J$5:$J$1000,$N89)="","",INDEX('Cronograma R. Operacional'!$J$5:$J$1000,$N89))))</f>
        <v/>
      </c>
      <c r="J89" s="68">
        <f>IF($N89="","",INDEX('Cronograma R. Operacional'!$K$5:$K$1000,$N89))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R. Operacional'!$M$5:$M$1000,$N89)&amp;"")</f>
        <v/>
      </c>
      <c r="M89" s="71">
        <f>IF($N89="","",INDEX('Cronograma R. Operacional'!$N$5:$N$1000,$N89)&amp;"")</f>
        <v/>
      </c>
      <c r="N89">
        <f>IFERROR(MATCH(ROW()-4,rOrden_RO,0),"")</f>
        <v/>
      </c>
      <c r="O89">
        <f>IF($N89="","",INDEX('Cronograma R. Operacional'!$S$5:$S$1000,$N89))</f>
        <v/>
      </c>
      <c r="P89">
        <f>IF($N89="","",N(INDEX('Cronograma R. Operacional'!$T$5:$T$1000,$N89)))</f>
        <v/>
      </c>
    </row>
    <row r="90">
      <c r="A90" s="62">
        <f>IF($N90="","",INDEX('Cronograma R. Operacional'!$A$5:$A$1000,$N90))</f>
        <v/>
      </c>
      <c r="B90" s="71">
        <f>IF($N90="","",IF($O90="Sub","      ↳  "&amp;INDEX('Cronograma R. Operacional'!$C$5:$C$1000,$N90),INDEX('Cronograma R. Operacional'!$C$5:$C$1000,$N90)&amp;""))</f>
        <v/>
      </c>
      <c r="C90" s="77">
        <f>IF($N90="","",IF(INDEX('Cronograma R. Operacional'!$D$5:$D$1000,$N90)="","",INDEX('Cronograma R. Operacional'!$D$5:$D$1000,$N90)))</f>
        <v/>
      </c>
      <c r="D90" s="77">
        <f>IF($N90="","",IF(INDEX('Cronograma R. Operacional'!$E$5:$E$1000,$N90)="","",INDEX('Cronograma R. Operacional'!$E$5:$E$1000,$N90)))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R. Operacional'!$Y$5:$Y$1000,$N90),""),IF(INDEX('Cronograma R. Operacional'!$G$5:$G$1000,$N90)="","",INDEX('Cronograma R. Operacional'!$G$5:$G$1000,$N90))))</f>
        <v/>
      </c>
      <c r="G90" s="68">
        <f>IF($N90="","",IF($P90&gt;0,IF(2&lt;=SemanaActual,INDEX('Cronograma R. Operacional'!$Z$5:$Z$1000,$N90),""),IF(INDEX('Cronograma R. Operacional'!$H$5:$H$1000,$N90)="","",INDEX('Cronograma R. Operacional'!$H$5:$H$1000,$N90))))</f>
        <v/>
      </c>
      <c r="H90" s="68">
        <f>IF($N90="","",IF($P90&gt;0,IF(3&lt;=SemanaActual,INDEX('Cronograma R. Operacional'!$AA$5:$AA$1000,$N90),""),IF(INDEX('Cronograma R. Operacional'!$I$5:$I$1000,$N90)="","",INDEX('Cronograma R. Operacional'!$I$5:$I$1000,$N90))))</f>
        <v/>
      </c>
      <c r="I90" s="68">
        <f>IF($N90="","",IF($P90&gt;0,IF(4&lt;=SemanaActual,INDEX('Cronograma R. Operacional'!$AB$5:$AB$1000,$N90),""),IF(INDEX('Cronograma R. Operacional'!$J$5:$J$1000,$N90)="","",INDEX('Cronograma R. Operacional'!$J$5:$J$1000,$N90))))</f>
        <v/>
      </c>
      <c r="J90" s="68">
        <f>IF($N90="","",INDEX('Cronograma R. Operacional'!$K$5:$K$1000,$N90))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R. Operacional'!$M$5:$M$1000,$N90)&amp;"")</f>
        <v/>
      </c>
      <c r="M90" s="71">
        <f>IF($N90="","",INDEX('Cronograma R. Operacional'!$N$5:$N$1000,$N90)&amp;"")</f>
        <v/>
      </c>
      <c r="N90">
        <f>IFERROR(MATCH(ROW()-4,rOrden_RO,0),"")</f>
        <v/>
      </c>
      <c r="O90">
        <f>IF($N90="","",INDEX('Cronograma R. Operacional'!$S$5:$S$1000,$N90))</f>
        <v/>
      </c>
      <c r="P90">
        <f>IF($N90="","",N(INDEX('Cronograma R. Operacional'!$T$5:$T$1000,$N90)))</f>
        <v/>
      </c>
    </row>
    <row r="91">
      <c r="A91" s="62">
        <f>IF($N91="","",INDEX('Cronograma R. Operacional'!$A$5:$A$1000,$N91))</f>
        <v/>
      </c>
      <c r="B91" s="71">
        <f>IF($N91="","",IF($O91="Sub","      ↳  "&amp;INDEX('Cronograma R. Operacional'!$C$5:$C$1000,$N91),INDEX('Cronograma R. Operacional'!$C$5:$C$1000,$N91)&amp;""))</f>
        <v/>
      </c>
      <c r="C91" s="77">
        <f>IF($N91="","",IF(INDEX('Cronograma R. Operacional'!$D$5:$D$1000,$N91)="","",INDEX('Cronograma R. Operacional'!$D$5:$D$1000,$N91)))</f>
        <v/>
      </c>
      <c r="D91" s="77">
        <f>IF($N91="","",IF(INDEX('Cronograma R. Operacional'!$E$5:$E$1000,$N91)="","",INDEX('Cronograma R. Operacional'!$E$5:$E$1000,$N91)))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R. Operacional'!$Y$5:$Y$1000,$N91),""),IF(INDEX('Cronograma R. Operacional'!$G$5:$G$1000,$N91)="","",INDEX('Cronograma R. Operacional'!$G$5:$G$1000,$N91))))</f>
        <v/>
      </c>
      <c r="G91" s="68">
        <f>IF($N91="","",IF($P91&gt;0,IF(2&lt;=SemanaActual,INDEX('Cronograma R. Operacional'!$Z$5:$Z$1000,$N91),""),IF(INDEX('Cronograma R. Operacional'!$H$5:$H$1000,$N91)="","",INDEX('Cronograma R. Operacional'!$H$5:$H$1000,$N91))))</f>
        <v/>
      </c>
      <c r="H91" s="68">
        <f>IF($N91="","",IF($P91&gt;0,IF(3&lt;=SemanaActual,INDEX('Cronograma R. Operacional'!$AA$5:$AA$1000,$N91),""),IF(INDEX('Cronograma R. Operacional'!$I$5:$I$1000,$N91)="","",INDEX('Cronograma R. Operacional'!$I$5:$I$1000,$N91))))</f>
        <v/>
      </c>
      <c r="I91" s="68">
        <f>IF($N91="","",IF($P91&gt;0,IF(4&lt;=SemanaActual,INDEX('Cronograma R. Operacional'!$AB$5:$AB$1000,$N91),""),IF(INDEX('Cronograma R. Operacional'!$J$5:$J$1000,$N91)="","",INDEX('Cronograma R. Operacional'!$J$5:$J$1000,$N91))))</f>
        <v/>
      </c>
      <c r="J91" s="68">
        <f>IF($N91="","",INDEX('Cronograma R. Operacional'!$K$5:$K$1000,$N91))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R. Operacional'!$M$5:$M$1000,$N91)&amp;"")</f>
        <v/>
      </c>
      <c r="M91" s="71">
        <f>IF($N91="","",INDEX('Cronograma R. Operacional'!$N$5:$N$1000,$N91)&amp;"")</f>
        <v/>
      </c>
      <c r="N91">
        <f>IFERROR(MATCH(ROW()-4,rOrden_RO,0),"")</f>
        <v/>
      </c>
      <c r="O91">
        <f>IF($N91="","",INDEX('Cronograma R. Operacional'!$S$5:$S$1000,$N91))</f>
        <v/>
      </c>
      <c r="P91">
        <f>IF($N91="","",N(INDEX('Cronograma R. Operacional'!$T$5:$T$1000,$N91)))</f>
        <v/>
      </c>
    </row>
    <row r="92">
      <c r="A92" s="62">
        <f>IF($N92="","",INDEX('Cronograma R. Operacional'!$A$5:$A$1000,$N92))</f>
        <v/>
      </c>
      <c r="B92" s="71">
        <f>IF($N92="","",IF($O92="Sub","      ↳  "&amp;INDEX('Cronograma R. Operacional'!$C$5:$C$1000,$N92),INDEX('Cronograma R. Operacional'!$C$5:$C$1000,$N92)&amp;""))</f>
        <v/>
      </c>
      <c r="C92" s="77">
        <f>IF($N92="","",IF(INDEX('Cronograma R. Operacional'!$D$5:$D$1000,$N92)="","",INDEX('Cronograma R. Operacional'!$D$5:$D$1000,$N92)))</f>
        <v/>
      </c>
      <c r="D92" s="77">
        <f>IF($N92="","",IF(INDEX('Cronograma R. Operacional'!$E$5:$E$1000,$N92)="","",INDEX('Cronograma R. Operacional'!$E$5:$E$1000,$N92)))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R. Operacional'!$Y$5:$Y$1000,$N92),""),IF(INDEX('Cronograma R. Operacional'!$G$5:$G$1000,$N92)="","",INDEX('Cronograma R. Operacional'!$G$5:$G$1000,$N92))))</f>
        <v/>
      </c>
      <c r="G92" s="68">
        <f>IF($N92="","",IF($P92&gt;0,IF(2&lt;=SemanaActual,INDEX('Cronograma R. Operacional'!$Z$5:$Z$1000,$N92),""),IF(INDEX('Cronograma R. Operacional'!$H$5:$H$1000,$N92)="","",INDEX('Cronograma R. Operacional'!$H$5:$H$1000,$N92))))</f>
        <v/>
      </c>
      <c r="H92" s="68">
        <f>IF($N92="","",IF($P92&gt;0,IF(3&lt;=SemanaActual,INDEX('Cronograma R. Operacional'!$AA$5:$AA$1000,$N92),""),IF(INDEX('Cronograma R. Operacional'!$I$5:$I$1000,$N92)="","",INDEX('Cronograma R. Operacional'!$I$5:$I$1000,$N92))))</f>
        <v/>
      </c>
      <c r="I92" s="68">
        <f>IF($N92="","",IF($P92&gt;0,IF(4&lt;=SemanaActual,INDEX('Cronograma R. Operacional'!$AB$5:$AB$1000,$N92),""),IF(INDEX('Cronograma R. Operacional'!$J$5:$J$1000,$N92)="","",INDEX('Cronograma R. Operacional'!$J$5:$J$1000,$N92))))</f>
        <v/>
      </c>
      <c r="J92" s="68">
        <f>IF($N92="","",INDEX('Cronograma R. Operacional'!$K$5:$K$1000,$N92))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R. Operacional'!$M$5:$M$1000,$N92)&amp;"")</f>
        <v/>
      </c>
      <c r="M92" s="71">
        <f>IF($N92="","",INDEX('Cronograma R. Operacional'!$N$5:$N$1000,$N92)&amp;"")</f>
        <v/>
      </c>
      <c r="N92">
        <f>IFERROR(MATCH(ROW()-4,rOrden_RO,0),"")</f>
        <v/>
      </c>
      <c r="O92">
        <f>IF($N92="","",INDEX('Cronograma R. Operacional'!$S$5:$S$1000,$N92))</f>
        <v/>
      </c>
      <c r="P92">
        <f>IF($N92="","",N(INDEX('Cronograma R. Operacional'!$T$5:$T$1000,$N92)))</f>
        <v/>
      </c>
    </row>
    <row r="93">
      <c r="A93" s="62">
        <f>IF($N93="","",INDEX('Cronograma R. Operacional'!$A$5:$A$1000,$N93))</f>
        <v/>
      </c>
      <c r="B93" s="71">
        <f>IF($N93="","",IF($O93="Sub","      ↳  "&amp;INDEX('Cronograma R. Operacional'!$C$5:$C$1000,$N93),INDEX('Cronograma R. Operacional'!$C$5:$C$1000,$N93)&amp;""))</f>
        <v/>
      </c>
      <c r="C93" s="77">
        <f>IF($N93="","",IF(INDEX('Cronograma R. Operacional'!$D$5:$D$1000,$N93)="","",INDEX('Cronograma R. Operacional'!$D$5:$D$1000,$N93)))</f>
        <v/>
      </c>
      <c r="D93" s="77">
        <f>IF($N93="","",IF(INDEX('Cronograma R. Operacional'!$E$5:$E$1000,$N93)="","",INDEX('Cronograma R. Operacional'!$E$5:$E$1000,$N93)))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R. Operacional'!$Y$5:$Y$1000,$N93),""),IF(INDEX('Cronograma R. Operacional'!$G$5:$G$1000,$N93)="","",INDEX('Cronograma R. Operacional'!$G$5:$G$1000,$N93))))</f>
        <v/>
      </c>
      <c r="G93" s="68">
        <f>IF($N93="","",IF($P93&gt;0,IF(2&lt;=SemanaActual,INDEX('Cronograma R. Operacional'!$Z$5:$Z$1000,$N93),""),IF(INDEX('Cronograma R. Operacional'!$H$5:$H$1000,$N93)="","",INDEX('Cronograma R. Operacional'!$H$5:$H$1000,$N93))))</f>
        <v/>
      </c>
      <c r="H93" s="68">
        <f>IF($N93="","",IF($P93&gt;0,IF(3&lt;=SemanaActual,INDEX('Cronograma R. Operacional'!$AA$5:$AA$1000,$N93),""),IF(INDEX('Cronograma R. Operacional'!$I$5:$I$1000,$N93)="","",INDEX('Cronograma R. Operacional'!$I$5:$I$1000,$N93))))</f>
        <v/>
      </c>
      <c r="I93" s="68">
        <f>IF($N93="","",IF($P93&gt;0,IF(4&lt;=SemanaActual,INDEX('Cronograma R. Operacional'!$AB$5:$AB$1000,$N93),""),IF(INDEX('Cronograma R. Operacional'!$J$5:$J$1000,$N93)="","",INDEX('Cronograma R. Operacional'!$J$5:$J$1000,$N93))))</f>
        <v/>
      </c>
      <c r="J93" s="68">
        <f>IF($N93="","",INDEX('Cronograma R. Operacional'!$K$5:$K$1000,$N93))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R. Operacional'!$M$5:$M$1000,$N93)&amp;"")</f>
        <v/>
      </c>
      <c r="M93" s="71">
        <f>IF($N93="","",INDEX('Cronograma R. Operacional'!$N$5:$N$1000,$N93)&amp;"")</f>
        <v/>
      </c>
      <c r="N93">
        <f>IFERROR(MATCH(ROW()-4,rOrden_RO,0),"")</f>
        <v/>
      </c>
      <c r="O93">
        <f>IF($N93="","",INDEX('Cronograma R. Operacional'!$S$5:$S$1000,$N93))</f>
        <v/>
      </c>
      <c r="P93">
        <f>IF($N93="","",N(INDEX('Cronograma R. Operacional'!$T$5:$T$1000,$N93)))</f>
        <v/>
      </c>
    </row>
    <row r="94">
      <c r="A94" s="62">
        <f>IF($N94="","",INDEX('Cronograma R. Operacional'!$A$5:$A$1000,$N94))</f>
        <v/>
      </c>
      <c r="B94" s="71">
        <f>IF($N94="","",IF($O94="Sub","      ↳  "&amp;INDEX('Cronograma R. Operacional'!$C$5:$C$1000,$N94),INDEX('Cronograma R. Operacional'!$C$5:$C$1000,$N94)&amp;""))</f>
        <v/>
      </c>
      <c r="C94" s="77">
        <f>IF($N94="","",IF(INDEX('Cronograma R. Operacional'!$D$5:$D$1000,$N94)="","",INDEX('Cronograma R. Operacional'!$D$5:$D$1000,$N94)))</f>
        <v/>
      </c>
      <c r="D94" s="77">
        <f>IF($N94="","",IF(INDEX('Cronograma R. Operacional'!$E$5:$E$1000,$N94)="","",INDEX('Cronograma R. Operacional'!$E$5:$E$1000,$N94)))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R. Operacional'!$Y$5:$Y$1000,$N94),""),IF(INDEX('Cronograma R. Operacional'!$G$5:$G$1000,$N94)="","",INDEX('Cronograma R. Operacional'!$G$5:$G$1000,$N94))))</f>
        <v/>
      </c>
      <c r="G94" s="68">
        <f>IF($N94="","",IF($P94&gt;0,IF(2&lt;=SemanaActual,INDEX('Cronograma R. Operacional'!$Z$5:$Z$1000,$N94),""),IF(INDEX('Cronograma R. Operacional'!$H$5:$H$1000,$N94)="","",INDEX('Cronograma R. Operacional'!$H$5:$H$1000,$N94))))</f>
        <v/>
      </c>
      <c r="H94" s="68">
        <f>IF($N94="","",IF($P94&gt;0,IF(3&lt;=SemanaActual,INDEX('Cronograma R. Operacional'!$AA$5:$AA$1000,$N94),""),IF(INDEX('Cronograma R. Operacional'!$I$5:$I$1000,$N94)="","",INDEX('Cronograma R. Operacional'!$I$5:$I$1000,$N94))))</f>
        <v/>
      </c>
      <c r="I94" s="68">
        <f>IF($N94="","",IF($P94&gt;0,IF(4&lt;=SemanaActual,INDEX('Cronograma R. Operacional'!$AB$5:$AB$1000,$N94),""),IF(INDEX('Cronograma R. Operacional'!$J$5:$J$1000,$N94)="","",INDEX('Cronograma R. Operacional'!$J$5:$J$1000,$N94))))</f>
        <v/>
      </c>
      <c r="J94" s="68">
        <f>IF($N94="","",INDEX('Cronograma R. Operacional'!$K$5:$K$1000,$N94))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R. Operacional'!$M$5:$M$1000,$N94)&amp;"")</f>
        <v/>
      </c>
      <c r="M94" s="71">
        <f>IF($N94="","",INDEX('Cronograma R. Operacional'!$N$5:$N$1000,$N94)&amp;"")</f>
        <v/>
      </c>
      <c r="N94">
        <f>IFERROR(MATCH(ROW()-4,rOrden_RO,0),"")</f>
        <v/>
      </c>
      <c r="O94">
        <f>IF($N94="","",INDEX('Cronograma R. Operacional'!$S$5:$S$1000,$N94))</f>
        <v/>
      </c>
      <c r="P94">
        <f>IF($N94="","",N(INDEX('Cronograma R. Operacional'!$T$5:$T$1000,$N94)))</f>
        <v/>
      </c>
    </row>
    <row r="95">
      <c r="A95" s="62">
        <f>IF($N95="","",INDEX('Cronograma R. Operacional'!$A$5:$A$1000,$N95))</f>
        <v/>
      </c>
      <c r="B95" s="71">
        <f>IF($N95="","",IF($O95="Sub","      ↳  "&amp;INDEX('Cronograma R. Operacional'!$C$5:$C$1000,$N95),INDEX('Cronograma R. Operacional'!$C$5:$C$1000,$N95)&amp;""))</f>
        <v/>
      </c>
      <c r="C95" s="77">
        <f>IF($N95="","",IF(INDEX('Cronograma R. Operacional'!$D$5:$D$1000,$N95)="","",INDEX('Cronograma R. Operacional'!$D$5:$D$1000,$N95)))</f>
        <v/>
      </c>
      <c r="D95" s="77">
        <f>IF($N95="","",IF(INDEX('Cronograma R. Operacional'!$E$5:$E$1000,$N95)="","",INDEX('Cronograma R. Operacional'!$E$5:$E$1000,$N95)))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R. Operacional'!$Y$5:$Y$1000,$N95),""),IF(INDEX('Cronograma R. Operacional'!$G$5:$G$1000,$N95)="","",INDEX('Cronograma R. Operacional'!$G$5:$G$1000,$N95))))</f>
        <v/>
      </c>
      <c r="G95" s="68">
        <f>IF($N95="","",IF($P95&gt;0,IF(2&lt;=SemanaActual,INDEX('Cronograma R. Operacional'!$Z$5:$Z$1000,$N95),""),IF(INDEX('Cronograma R. Operacional'!$H$5:$H$1000,$N95)="","",INDEX('Cronograma R. Operacional'!$H$5:$H$1000,$N95))))</f>
        <v/>
      </c>
      <c r="H95" s="68">
        <f>IF($N95="","",IF($P95&gt;0,IF(3&lt;=SemanaActual,INDEX('Cronograma R. Operacional'!$AA$5:$AA$1000,$N95),""),IF(INDEX('Cronograma R. Operacional'!$I$5:$I$1000,$N95)="","",INDEX('Cronograma R. Operacional'!$I$5:$I$1000,$N95))))</f>
        <v/>
      </c>
      <c r="I95" s="68">
        <f>IF($N95="","",IF($P95&gt;0,IF(4&lt;=SemanaActual,INDEX('Cronograma R. Operacional'!$AB$5:$AB$1000,$N95),""),IF(INDEX('Cronograma R. Operacional'!$J$5:$J$1000,$N95)="","",INDEX('Cronograma R. Operacional'!$J$5:$J$1000,$N95))))</f>
        <v/>
      </c>
      <c r="J95" s="68">
        <f>IF($N95="","",INDEX('Cronograma R. Operacional'!$K$5:$K$1000,$N95))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R. Operacional'!$M$5:$M$1000,$N95)&amp;"")</f>
        <v/>
      </c>
      <c r="M95" s="71">
        <f>IF($N95="","",INDEX('Cronograma R. Operacional'!$N$5:$N$1000,$N95)&amp;"")</f>
        <v/>
      </c>
      <c r="N95">
        <f>IFERROR(MATCH(ROW()-4,rOrden_RO,0),"")</f>
        <v/>
      </c>
      <c r="O95">
        <f>IF($N95="","",INDEX('Cronograma R. Operacional'!$S$5:$S$1000,$N95))</f>
        <v/>
      </c>
      <c r="P95">
        <f>IF($N95="","",N(INDEX('Cronograma R. Operacional'!$T$5:$T$1000,$N95)))</f>
        <v/>
      </c>
    </row>
    <row r="96">
      <c r="A96" s="62">
        <f>IF($N96="","",INDEX('Cronograma R. Operacional'!$A$5:$A$1000,$N96))</f>
        <v/>
      </c>
      <c r="B96" s="71">
        <f>IF($N96="","",IF($O96="Sub","      ↳  "&amp;INDEX('Cronograma R. Operacional'!$C$5:$C$1000,$N96),INDEX('Cronograma R. Operacional'!$C$5:$C$1000,$N96)&amp;""))</f>
        <v/>
      </c>
      <c r="C96" s="77">
        <f>IF($N96="","",IF(INDEX('Cronograma R. Operacional'!$D$5:$D$1000,$N96)="","",INDEX('Cronograma R. Operacional'!$D$5:$D$1000,$N96)))</f>
        <v/>
      </c>
      <c r="D96" s="77">
        <f>IF($N96="","",IF(INDEX('Cronograma R. Operacional'!$E$5:$E$1000,$N96)="","",INDEX('Cronograma R. Operacional'!$E$5:$E$1000,$N96)))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R. Operacional'!$Y$5:$Y$1000,$N96),""),IF(INDEX('Cronograma R. Operacional'!$G$5:$G$1000,$N96)="","",INDEX('Cronograma R. Operacional'!$G$5:$G$1000,$N96))))</f>
        <v/>
      </c>
      <c r="G96" s="68">
        <f>IF($N96="","",IF($P96&gt;0,IF(2&lt;=SemanaActual,INDEX('Cronograma R. Operacional'!$Z$5:$Z$1000,$N96),""),IF(INDEX('Cronograma R. Operacional'!$H$5:$H$1000,$N96)="","",INDEX('Cronograma R. Operacional'!$H$5:$H$1000,$N96))))</f>
        <v/>
      </c>
      <c r="H96" s="68">
        <f>IF($N96="","",IF($P96&gt;0,IF(3&lt;=SemanaActual,INDEX('Cronograma R. Operacional'!$AA$5:$AA$1000,$N96),""),IF(INDEX('Cronograma R. Operacional'!$I$5:$I$1000,$N96)="","",INDEX('Cronograma R. Operacional'!$I$5:$I$1000,$N96))))</f>
        <v/>
      </c>
      <c r="I96" s="68">
        <f>IF($N96="","",IF($P96&gt;0,IF(4&lt;=SemanaActual,INDEX('Cronograma R. Operacional'!$AB$5:$AB$1000,$N96),""),IF(INDEX('Cronograma R. Operacional'!$J$5:$J$1000,$N96)="","",INDEX('Cronograma R. Operacional'!$J$5:$J$1000,$N96))))</f>
        <v/>
      </c>
      <c r="J96" s="68">
        <f>IF($N96="","",INDEX('Cronograma R. Operacional'!$K$5:$K$1000,$N96))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R. Operacional'!$M$5:$M$1000,$N96)&amp;"")</f>
        <v/>
      </c>
      <c r="M96" s="71">
        <f>IF($N96="","",INDEX('Cronograma R. Operacional'!$N$5:$N$1000,$N96)&amp;"")</f>
        <v/>
      </c>
      <c r="N96">
        <f>IFERROR(MATCH(ROW()-4,rOrden_RO,0),"")</f>
        <v/>
      </c>
      <c r="O96">
        <f>IF($N96="","",INDEX('Cronograma R. Operacional'!$S$5:$S$1000,$N96))</f>
        <v/>
      </c>
      <c r="P96">
        <f>IF($N96="","",N(INDEX('Cronograma R. Operacional'!$T$5:$T$1000,$N96)))</f>
        <v/>
      </c>
    </row>
    <row r="97">
      <c r="A97" s="62">
        <f>IF($N97="","",INDEX('Cronograma R. Operacional'!$A$5:$A$1000,$N97))</f>
        <v/>
      </c>
      <c r="B97" s="71">
        <f>IF($N97="","",IF($O97="Sub","      ↳  "&amp;INDEX('Cronograma R. Operacional'!$C$5:$C$1000,$N97),INDEX('Cronograma R. Operacional'!$C$5:$C$1000,$N97)&amp;""))</f>
        <v/>
      </c>
      <c r="C97" s="77">
        <f>IF($N97="","",IF(INDEX('Cronograma R. Operacional'!$D$5:$D$1000,$N97)="","",INDEX('Cronograma R. Operacional'!$D$5:$D$1000,$N97)))</f>
        <v/>
      </c>
      <c r="D97" s="77">
        <f>IF($N97="","",IF(INDEX('Cronograma R. Operacional'!$E$5:$E$1000,$N97)="","",INDEX('Cronograma R. Operacional'!$E$5:$E$1000,$N97)))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R. Operacional'!$Y$5:$Y$1000,$N97),""),IF(INDEX('Cronograma R. Operacional'!$G$5:$G$1000,$N97)="","",INDEX('Cronograma R. Operacional'!$G$5:$G$1000,$N97))))</f>
        <v/>
      </c>
      <c r="G97" s="68">
        <f>IF($N97="","",IF($P97&gt;0,IF(2&lt;=SemanaActual,INDEX('Cronograma R. Operacional'!$Z$5:$Z$1000,$N97),""),IF(INDEX('Cronograma R. Operacional'!$H$5:$H$1000,$N97)="","",INDEX('Cronograma R. Operacional'!$H$5:$H$1000,$N97))))</f>
        <v/>
      </c>
      <c r="H97" s="68">
        <f>IF($N97="","",IF($P97&gt;0,IF(3&lt;=SemanaActual,INDEX('Cronograma R. Operacional'!$AA$5:$AA$1000,$N97),""),IF(INDEX('Cronograma R. Operacional'!$I$5:$I$1000,$N97)="","",INDEX('Cronograma R. Operacional'!$I$5:$I$1000,$N97))))</f>
        <v/>
      </c>
      <c r="I97" s="68">
        <f>IF($N97="","",IF($P97&gt;0,IF(4&lt;=SemanaActual,INDEX('Cronograma R. Operacional'!$AB$5:$AB$1000,$N97),""),IF(INDEX('Cronograma R. Operacional'!$J$5:$J$1000,$N97)="","",INDEX('Cronograma R. Operacional'!$J$5:$J$1000,$N97))))</f>
        <v/>
      </c>
      <c r="J97" s="68">
        <f>IF($N97="","",INDEX('Cronograma R. Operacional'!$K$5:$K$1000,$N97))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R. Operacional'!$M$5:$M$1000,$N97)&amp;"")</f>
        <v/>
      </c>
      <c r="M97" s="71">
        <f>IF($N97="","",INDEX('Cronograma R. Operacional'!$N$5:$N$1000,$N97)&amp;"")</f>
        <v/>
      </c>
      <c r="N97">
        <f>IFERROR(MATCH(ROW()-4,rOrden_RO,0),"")</f>
        <v/>
      </c>
      <c r="O97">
        <f>IF($N97="","",INDEX('Cronograma R. Operacional'!$S$5:$S$1000,$N97))</f>
        <v/>
      </c>
      <c r="P97">
        <f>IF($N97="","",N(INDEX('Cronograma R. Operacional'!$T$5:$T$1000,$N97)))</f>
        <v/>
      </c>
    </row>
    <row r="98">
      <c r="A98" s="62">
        <f>IF($N98="","",INDEX('Cronograma R. Operacional'!$A$5:$A$1000,$N98))</f>
        <v/>
      </c>
      <c r="B98" s="71">
        <f>IF($N98="","",IF($O98="Sub","      ↳  "&amp;INDEX('Cronograma R. Operacional'!$C$5:$C$1000,$N98),INDEX('Cronograma R. Operacional'!$C$5:$C$1000,$N98)&amp;""))</f>
        <v/>
      </c>
      <c r="C98" s="77">
        <f>IF($N98="","",IF(INDEX('Cronograma R. Operacional'!$D$5:$D$1000,$N98)="","",INDEX('Cronograma R. Operacional'!$D$5:$D$1000,$N98)))</f>
        <v/>
      </c>
      <c r="D98" s="77">
        <f>IF($N98="","",IF(INDEX('Cronograma R. Operacional'!$E$5:$E$1000,$N98)="","",INDEX('Cronograma R. Operacional'!$E$5:$E$1000,$N98)))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R. Operacional'!$Y$5:$Y$1000,$N98),""),IF(INDEX('Cronograma R. Operacional'!$G$5:$G$1000,$N98)="","",INDEX('Cronograma R. Operacional'!$G$5:$G$1000,$N98))))</f>
        <v/>
      </c>
      <c r="G98" s="68">
        <f>IF($N98="","",IF($P98&gt;0,IF(2&lt;=SemanaActual,INDEX('Cronograma R. Operacional'!$Z$5:$Z$1000,$N98),""),IF(INDEX('Cronograma R. Operacional'!$H$5:$H$1000,$N98)="","",INDEX('Cronograma R. Operacional'!$H$5:$H$1000,$N98))))</f>
        <v/>
      </c>
      <c r="H98" s="68">
        <f>IF($N98="","",IF($P98&gt;0,IF(3&lt;=SemanaActual,INDEX('Cronograma R. Operacional'!$AA$5:$AA$1000,$N98),""),IF(INDEX('Cronograma R. Operacional'!$I$5:$I$1000,$N98)="","",INDEX('Cronograma R. Operacional'!$I$5:$I$1000,$N98))))</f>
        <v/>
      </c>
      <c r="I98" s="68">
        <f>IF($N98="","",IF($P98&gt;0,IF(4&lt;=SemanaActual,INDEX('Cronograma R. Operacional'!$AB$5:$AB$1000,$N98),""),IF(INDEX('Cronograma R. Operacional'!$J$5:$J$1000,$N98)="","",INDEX('Cronograma R. Operacional'!$J$5:$J$1000,$N98))))</f>
        <v/>
      </c>
      <c r="J98" s="68">
        <f>IF($N98="","",INDEX('Cronograma R. Operacional'!$K$5:$K$1000,$N98))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R. Operacional'!$M$5:$M$1000,$N98)&amp;"")</f>
        <v/>
      </c>
      <c r="M98" s="71">
        <f>IF($N98="","",INDEX('Cronograma R. Operacional'!$N$5:$N$1000,$N98)&amp;"")</f>
        <v/>
      </c>
      <c r="N98">
        <f>IFERROR(MATCH(ROW()-4,rOrden_RO,0),"")</f>
        <v/>
      </c>
      <c r="O98">
        <f>IF($N98="","",INDEX('Cronograma R. Operacional'!$S$5:$S$1000,$N98))</f>
        <v/>
      </c>
      <c r="P98">
        <f>IF($N98="","",N(INDEX('Cronograma R. Operacional'!$T$5:$T$1000,$N98)))</f>
        <v/>
      </c>
    </row>
    <row r="99">
      <c r="A99" s="62">
        <f>IF($N99="","",INDEX('Cronograma R. Operacional'!$A$5:$A$1000,$N99))</f>
        <v/>
      </c>
      <c r="B99" s="71">
        <f>IF($N99="","",IF($O99="Sub","      ↳  "&amp;INDEX('Cronograma R. Operacional'!$C$5:$C$1000,$N99),INDEX('Cronograma R. Operacional'!$C$5:$C$1000,$N99)&amp;""))</f>
        <v/>
      </c>
      <c r="C99" s="77">
        <f>IF($N99="","",IF(INDEX('Cronograma R. Operacional'!$D$5:$D$1000,$N99)="","",INDEX('Cronograma R. Operacional'!$D$5:$D$1000,$N99)))</f>
        <v/>
      </c>
      <c r="D99" s="77">
        <f>IF($N99="","",IF(INDEX('Cronograma R. Operacional'!$E$5:$E$1000,$N99)="","",INDEX('Cronograma R. Operacional'!$E$5:$E$1000,$N99)))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R. Operacional'!$Y$5:$Y$1000,$N99),""),IF(INDEX('Cronograma R. Operacional'!$G$5:$G$1000,$N99)="","",INDEX('Cronograma R. Operacional'!$G$5:$G$1000,$N99))))</f>
        <v/>
      </c>
      <c r="G99" s="68">
        <f>IF($N99="","",IF($P99&gt;0,IF(2&lt;=SemanaActual,INDEX('Cronograma R. Operacional'!$Z$5:$Z$1000,$N99),""),IF(INDEX('Cronograma R. Operacional'!$H$5:$H$1000,$N99)="","",INDEX('Cronograma R. Operacional'!$H$5:$H$1000,$N99))))</f>
        <v/>
      </c>
      <c r="H99" s="68">
        <f>IF($N99="","",IF($P99&gt;0,IF(3&lt;=SemanaActual,INDEX('Cronograma R. Operacional'!$AA$5:$AA$1000,$N99),""),IF(INDEX('Cronograma R. Operacional'!$I$5:$I$1000,$N99)="","",INDEX('Cronograma R. Operacional'!$I$5:$I$1000,$N99))))</f>
        <v/>
      </c>
      <c r="I99" s="68">
        <f>IF($N99="","",IF($P99&gt;0,IF(4&lt;=SemanaActual,INDEX('Cronograma R. Operacional'!$AB$5:$AB$1000,$N99),""),IF(INDEX('Cronograma R. Operacional'!$J$5:$J$1000,$N99)="","",INDEX('Cronograma R. Operacional'!$J$5:$J$1000,$N99))))</f>
        <v/>
      </c>
      <c r="J99" s="68">
        <f>IF($N99="","",INDEX('Cronograma R. Operacional'!$K$5:$K$1000,$N99))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R. Operacional'!$M$5:$M$1000,$N99)&amp;"")</f>
        <v/>
      </c>
      <c r="M99" s="71">
        <f>IF($N99="","",INDEX('Cronograma R. Operacional'!$N$5:$N$1000,$N99)&amp;"")</f>
        <v/>
      </c>
      <c r="N99">
        <f>IFERROR(MATCH(ROW()-4,rOrden_RO,0),"")</f>
        <v/>
      </c>
      <c r="O99">
        <f>IF($N99="","",INDEX('Cronograma R. Operacional'!$S$5:$S$1000,$N99))</f>
        <v/>
      </c>
      <c r="P99">
        <f>IF($N99="","",N(INDEX('Cronograma R. Operacional'!$T$5:$T$1000,$N99)))</f>
        <v/>
      </c>
    </row>
    <row r="100">
      <c r="A100" s="62">
        <f>IF($N100="","",INDEX('Cronograma R. Operacional'!$A$5:$A$1000,$N100))</f>
        <v/>
      </c>
      <c r="B100" s="71">
        <f>IF($N100="","",IF($O100="Sub","      ↳  "&amp;INDEX('Cronograma R. Operacional'!$C$5:$C$1000,$N100),INDEX('Cronograma R. Operacional'!$C$5:$C$1000,$N100)&amp;""))</f>
        <v/>
      </c>
      <c r="C100" s="77">
        <f>IF($N100="","",IF(INDEX('Cronograma R. Operacional'!$D$5:$D$1000,$N100)="","",INDEX('Cronograma R. Operacional'!$D$5:$D$1000,$N100)))</f>
        <v/>
      </c>
      <c r="D100" s="77">
        <f>IF($N100="","",IF(INDEX('Cronograma R. Operacional'!$E$5:$E$1000,$N100)="","",INDEX('Cronograma R. Operacional'!$E$5:$E$1000,$N100)))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R. Operacional'!$Y$5:$Y$1000,$N100),""),IF(INDEX('Cronograma R. Operacional'!$G$5:$G$1000,$N100)="","",INDEX('Cronograma R. Operacional'!$G$5:$G$1000,$N100))))</f>
        <v/>
      </c>
      <c r="G100" s="68">
        <f>IF($N100="","",IF($P100&gt;0,IF(2&lt;=SemanaActual,INDEX('Cronograma R. Operacional'!$Z$5:$Z$1000,$N100),""),IF(INDEX('Cronograma R. Operacional'!$H$5:$H$1000,$N100)="","",INDEX('Cronograma R. Operacional'!$H$5:$H$1000,$N100))))</f>
        <v/>
      </c>
      <c r="H100" s="68">
        <f>IF($N100="","",IF($P100&gt;0,IF(3&lt;=SemanaActual,INDEX('Cronograma R. Operacional'!$AA$5:$AA$1000,$N100),""),IF(INDEX('Cronograma R. Operacional'!$I$5:$I$1000,$N100)="","",INDEX('Cronograma R. Operacional'!$I$5:$I$1000,$N100))))</f>
        <v/>
      </c>
      <c r="I100" s="68">
        <f>IF($N100="","",IF($P100&gt;0,IF(4&lt;=SemanaActual,INDEX('Cronograma R. Operacional'!$AB$5:$AB$1000,$N100),""),IF(INDEX('Cronograma R. Operacional'!$J$5:$J$1000,$N100)="","",INDEX('Cronograma R. Operacional'!$J$5:$J$1000,$N100))))</f>
        <v/>
      </c>
      <c r="J100" s="68">
        <f>IF($N100="","",INDEX('Cronograma R. Operacional'!$K$5:$K$1000,$N100))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R. Operacional'!$M$5:$M$1000,$N100)&amp;"")</f>
        <v/>
      </c>
      <c r="M100" s="71">
        <f>IF($N100="","",INDEX('Cronograma R. Operacional'!$N$5:$N$1000,$N100)&amp;"")</f>
        <v/>
      </c>
      <c r="N100">
        <f>IFERROR(MATCH(ROW()-4,rOrden_RO,0),"")</f>
        <v/>
      </c>
      <c r="O100">
        <f>IF($N100="","",INDEX('Cronograma R. Operacional'!$S$5:$S$1000,$N100))</f>
        <v/>
      </c>
      <c r="P100">
        <f>IF($N100="","",N(INDEX('Cronograma R. Operacional'!$T$5:$T$1000,$N100)))</f>
        <v/>
      </c>
    </row>
    <row r="101">
      <c r="A101" s="62">
        <f>IF($N101="","",INDEX('Cronograma R. Operacional'!$A$5:$A$1000,$N101))</f>
        <v/>
      </c>
      <c r="B101" s="71">
        <f>IF($N101="","",IF($O101="Sub","      ↳  "&amp;INDEX('Cronograma R. Operacional'!$C$5:$C$1000,$N101),INDEX('Cronograma R. Operacional'!$C$5:$C$1000,$N101)&amp;""))</f>
        <v/>
      </c>
      <c r="C101" s="77">
        <f>IF($N101="","",IF(INDEX('Cronograma R. Operacional'!$D$5:$D$1000,$N101)="","",INDEX('Cronograma R. Operacional'!$D$5:$D$1000,$N101)))</f>
        <v/>
      </c>
      <c r="D101" s="77">
        <f>IF($N101="","",IF(INDEX('Cronograma R. Operacional'!$E$5:$E$1000,$N101)="","",INDEX('Cronograma R. Operacional'!$E$5:$E$1000,$N101)))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R. Operacional'!$Y$5:$Y$1000,$N101),""),IF(INDEX('Cronograma R. Operacional'!$G$5:$G$1000,$N101)="","",INDEX('Cronograma R. Operacional'!$G$5:$G$1000,$N101))))</f>
        <v/>
      </c>
      <c r="G101" s="68">
        <f>IF($N101="","",IF($P101&gt;0,IF(2&lt;=SemanaActual,INDEX('Cronograma R. Operacional'!$Z$5:$Z$1000,$N101),""),IF(INDEX('Cronograma R. Operacional'!$H$5:$H$1000,$N101)="","",INDEX('Cronograma R. Operacional'!$H$5:$H$1000,$N101))))</f>
        <v/>
      </c>
      <c r="H101" s="68">
        <f>IF($N101="","",IF($P101&gt;0,IF(3&lt;=SemanaActual,INDEX('Cronograma R. Operacional'!$AA$5:$AA$1000,$N101),""),IF(INDEX('Cronograma R. Operacional'!$I$5:$I$1000,$N101)="","",INDEX('Cronograma R. Operacional'!$I$5:$I$1000,$N101))))</f>
        <v/>
      </c>
      <c r="I101" s="68">
        <f>IF($N101="","",IF($P101&gt;0,IF(4&lt;=SemanaActual,INDEX('Cronograma R. Operacional'!$AB$5:$AB$1000,$N101),""),IF(INDEX('Cronograma R. Operacional'!$J$5:$J$1000,$N101)="","",INDEX('Cronograma R. Operacional'!$J$5:$J$1000,$N101))))</f>
        <v/>
      </c>
      <c r="J101" s="68">
        <f>IF($N101="","",INDEX('Cronograma R. Operacional'!$K$5:$K$1000,$N101))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R. Operacional'!$M$5:$M$1000,$N101)&amp;"")</f>
        <v/>
      </c>
      <c r="M101" s="71">
        <f>IF($N101="","",INDEX('Cronograma R. Operacional'!$N$5:$N$1000,$N101)&amp;"")</f>
        <v/>
      </c>
      <c r="N101">
        <f>IFERROR(MATCH(ROW()-4,rOrden_RO,0),"")</f>
        <v/>
      </c>
      <c r="O101">
        <f>IF($N101="","",INDEX('Cronograma R. Operacional'!$S$5:$S$1000,$N101))</f>
        <v/>
      </c>
      <c r="P101">
        <f>IF($N101="","",N(INDEX('Cronograma R. Operacional'!$T$5:$T$1000,$N101)))</f>
        <v/>
      </c>
    </row>
    <row r="102">
      <c r="A102" s="62">
        <f>IF($N102="","",INDEX('Cronograma R. Operacional'!$A$5:$A$1000,$N102))</f>
        <v/>
      </c>
      <c r="B102" s="71">
        <f>IF($N102="","",IF($O102="Sub","      ↳  "&amp;INDEX('Cronograma R. Operacional'!$C$5:$C$1000,$N102),INDEX('Cronograma R. Operacional'!$C$5:$C$1000,$N102)&amp;""))</f>
        <v/>
      </c>
      <c r="C102" s="77">
        <f>IF($N102="","",IF(INDEX('Cronograma R. Operacional'!$D$5:$D$1000,$N102)="","",INDEX('Cronograma R. Operacional'!$D$5:$D$1000,$N102)))</f>
        <v/>
      </c>
      <c r="D102" s="77">
        <f>IF($N102="","",IF(INDEX('Cronograma R. Operacional'!$E$5:$E$1000,$N102)="","",INDEX('Cronograma R. Operacional'!$E$5:$E$1000,$N102)))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R. Operacional'!$Y$5:$Y$1000,$N102),""),IF(INDEX('Cronograma R. Operacional'!$G$5:$G$1000,$N102)="","",INDEX('Cronograma R. Operacional'!$G$5:$G$1000,$N102))))</f>
        <v/>
      </c>
      <c r="G102" s="68">
        <f>IF($N102="","",IF($P102&gt;0,IF(2&lt;=SemanaActual,INDEX('Cronograma R. Operacional'!$Z$5:$Z$1000,$N102),""),IF(INDEX('Cronograma R. Operacional'!$H$5:$H$1000,$N102)="","",INDEX('Cronograma R. Operacional'!$H$5:$H$1000,$N102))))</f>
        <v/>
      </c>
      <c r="H102" s="68">
        <f>IF($N102="","",IF($P102&gt;0,IF(3&lt;=SemanaActual,INDEX('Cronograma R. Operacional'!$AA$5:$AA$1000,$N102),""),IF(INDEX('Cronograma R. Operacional'!$I$5:$I$1000,$N102)="","",INDEX('Cronograma R. Operacional'!$I$5:$I$1000,$N102))))</f>
        <v/>
      </c>
      <c r="I102" s="68">
        <f>IF($N102="","",IF($P102&gt;0,IF(4&lt;=SemanaActual,INDEX('Cronograma R. Operacional'!$AB$5:$AB$1000,$N102),""),IF(INDEX('Cronograma R. Operacional'!$J$5:$J$1000,$N102)="","",INDEX('Cronograma R. Operacional'!$J$5:$J$1000,$N102))))</f>
        <v/>
      </c>
      <c r="J102" s="68">
        <f>IF($N102="","",INDEX('Cronograma R. Operacional'!$K$5:$K$1000,$N102))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R. Operacional'!$M$5:$M$1000,$N102)&amp;"")</f>
        <v/>
      </c>
      <c r="M102" s="71">
        <f>IF($N102="","",INDEX('Cronograma R. Operacional'!$N$5:$N$1000,$N102)&amp;"")</f>
        <v/>
      </c>
      <c r="N102">
        <f>IFERROR(MATCH(ROW()-4,rOrden_RO,0),"")</f>
        <v/>
      </c>
      <c r="O102">
        <f>IF($N102="","",INDEX('Cronograma R. Operacional'!$S$5:$S$1000,$N102))</f>
        <v/>
      </c>
      <c r="P102">
        <f>IF($N102="","",N(INDEX('Cronograma R. Operacional'!$T$5:$T$1000,$N102)))</f>
        <v/>
      </c>
    </row>
    <row r="103">
      <c r="A103" s="62">
        <f>IF($N103="","",INDEX('Cronograma R. Operacional'!$A$5:$A$1000,$N103))</f>
        <v/>
      </c>
      <c r="B103" s="71">
        <f>IF($N103="","",IF($O103="Sub","      ↳  "&amp;INDEX('Cronograma R. Operacional'!$C$5:$C$1000,$N103),INDEX('Cronograma R. Operacional'!$C$5:$C$1000,$N103)&amp;""))</f>
        <v/>
      </c>
      <c r="C103" s="77">
        <f>IF($N103="","",IF(INDEX('Cronograma R. Operacional'!$D$5:$D$1000,$N103)="","",INDEX('Cronograma R. Operacional'!$D$5:$D$1000,$N103)))</f>
        <v/>
      </c>
      <c r="D103" s="77">
        <f>IF($N103="","",IF(INDEX('Cronograma R. Operacional'!$E$5:$E$1000,$N103)="","",INDEX('Cronograma R. Operacional'!$E$5:$E$1000,$N103)))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R. Operacional'!$Y$5:$Y$1000,$N103),""),IF(INDEX('Cronograma R. Operacional'!$G$5:$G$1000,$N103)="","",INDEX('Cronograma R. Operacional'!$G$5:$G$1000,$N103))))</f>
        <v/>
      </c>
      <c r="G103" s="68">
        <f>IF($N103="","",IF($P103&gt;0,IF(2&lt;=SemanaActual,INDEX('Cronograma R. Operacional'!$Z$5:$Z$1000,$N103),""),IF(INDEX('Cronograma R. Operacional'!$H$5:$H$1000,$N103)="","",INDEX('Cronograma R. Operacional'!$H$5:$H$1000,$N103))))</f>
        <v/>
      </c>
      <c r="H103" s="68">
        <f>IF($N103="","",IF($P103&gt;0,IF(3&lt;=SemanaActual,INDEX('Cronograma R. Operacional'!$AA$5:$AA$1000,$N103),""),IF(INDEX('Cronograma R. Operacional'!$I$5:$I$1000,$N103)="","",INDEX('Cronograma R. Operacional'!$I$5:$I$1000,$N103))))</f>
        <v/>
      </c>
      <c r="I103" s="68">
        <f>IF($N103="","",IF($P103&gt;0,IF(4&lt;=SemanaActual,INDEX('Cronograma R. Operacional'!$AB$5:$AB$1000,$N103),""),IF(INDEX('Cronograma R. Operacional'!$J$5:$J$1000,$N103)="","",INDEX('Cronograma R. Operacional'!$J$5:$J$1000,$N103))))</f>
        <v/>
      </c>
      <c r="J103" s="68">
        <f>IF($N103="","",INDEX('Cronograma R. Operacional'!$K$5:$K$1000,$N103))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R. Operacional'!$M$5:$M$1000,$N103)&amp;"")</f>
        <v/>
      </c>
      <c r="M103" s="71">
        <f>IF($N103="","",INDEX('Cronograma R. Operacional'!$N$5:$N$1000,$N103)&amp;"")</f>
        <v/>
      </c>
      <c r="N103">
        <f>IFERROR(MATCH(ROW()-4,rOrden_RO,0),"")</f>
        <v/>
      </c>
      <c r="O103">
        <f>IF($N103="","",INDEX('Cronograma R. Operacional'!$S$5:$S$1000,$N103))</f>
        <v/>
      </c>
      <c r="P103">
        <f>IF($N103="","",N(INDEX('Cronograma R. Operacional'!$T$5:$T$1000,$N103)))</f>
        <v/>
      </c>
    </row>
    <row r="104">
      <c r="A104" s="62">
        <f>IF($N104="","",INDEX('Cronograma R. Operacional'!$A$5:$A$1000,$N104))</f>
        <v/>
      </c>
      <c r="B104" s="71">
        <f>IF($N104="","",IF($O104="Sub","      ↳  "&amp;INDEX('Cronograma R. Operacional'!$C$5:$C$1000,$N104),INDEX('Cronograma R. Operacional'!$C$5:$C$1000,$N104)&amp;""))</f>
        <v/>
      </c>
      <c r="C104" s="77">
        <f>IF($N104="","",IF(INDEX('Cronograma R. Operacional'!$D$5:$D$1000,$N104)="","",INDEX('Cronograma R. Operacional'!$D$5:$D$1000,$N104)))</f>
        <v/>
      </c>
      <c r="D104" s="77">
        <f>IF($N104="","",IF(INDEX('Cronograma R. Operacional'!$E$5:$E$1000,$N104)="","",INDEX('Cronograma R. Operacional'!$E$5:$E$1000,$N104)))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R. Operacional'!$Y$5:$Y$1000,$N104),""),IF(INDEX('Cronograma R. Operacional'!$G$5:$G$1000,$N104)="","",INDEX('Cronograma R. Operacional'!$G$5:$G$1000,$N104))))</f>
        <v/>
      </c>
      <c r="G104" s="68">
        <f>IF($N104="","",IF($P104&gt;0,IF(2&lt;=SemanaActual,INDEX('Cronograma R. Operacional'!$Z$5:$Z$1000,$N104),""),IF(INDEX('Cronograma R. Operacional'!$H$5:$H$1000,$N104)="","",INDEX('Cronograma R. Operacional'!$H$5:$H$1000,$N104))))</f>
        <v/>
      </c>
      <c r="H104" s="68">
        <f>IF($N104="","",IF($P104&gt;0,IF(3&lt;=SemanaActual,INDEX('Cronograma R. Operacional'!$AA$5:$AA$1000,$N104),""),IF(INDEX('Cronograma R. Operacional'!$I$5:$I$1000,$N104)="","",INDEX('Cronograma R. Operacional'!$I$5:$I$1000,$N104))))</f>
        <v/>
      </c>
      <c r="I104" s="68">
        <f>IF($N104="","",IF($P104&gt;0,IF(4&lt;=SemanaActual,INDEX('Cronograma R. Operacional'!$AB$5:$AB$1000,$N104),""),IF(INDEX('Cronograma R. Operacional'!$J$5:$J$1000,$N104)="","",INDEX('Cronograma R. Operacional'!$J$5:$J$1000,$N104))))</f>
        <v/>
      </c>
      <c r="J104" s="68">
        <f>IF($N104="","",INDEX('Cronograma R. Operacional'!$K$5:$K$1000,$N104))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R. Operacional'!$M$5:$M$1000,$N104)&amp;"")</f>
        <v/>
      </c>
      <c r="M104" s="71">
        <f>IF($N104="","",INDEX('Cronograma R. Operacional'!$N$5:$N$1000,$N104)&amp;"")</f>
        <v/>
      </c>
      <c r="N104">
        <f>IFERROR(MATCH(ROW()-4,rOrden_RO,0),"")</f>
        <v/>
      </c>
      <c r="O104">
        <f>IF($N104="","",INDEX('Cronograma R. Operacional'!$S$5:$S$1000,$N104))</f>
        <v/>
      </c>
      <c r="P104">
        <f>IF($N104="","",N(INDEX('Cronograma R. Operacional'!$T$5:$T$1000,$N104)))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18">
      <formula>AND(ISNUMBER($C5),ISNUMBER($D5),$C5&lt;=InicioCiclo+7*(COLUMN(F5)-6)+6,$D5&gt;=InicioCiclo+7*(COLUMN(F5)-6))</formula>
    </cfRule>
  </conditionalFormatting>
  <conditionalFormatting sqref="A5:B104">
    <cfRule type="expression" priority="3" dxfId="12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$L5="Cumplida"</formula>
    </cfRule>
    <cfRule type="expression" priority="11" dxfId="14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78" t="inlineStr">
        <is>
          <t>Cronograma – Riesgo Normativo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  <c r="N1" s="78" t="n"/>
      <c r="O1" s="78" t="n"/>
      <c r="P1" s="78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79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50" t="inlineStr">
        <is>
          <t>Tipo</t>
        </is>
      </c>
      <c r="C4" s="50" t="inlineStr">
        <is>
          <t>Actividad</t>
        </is>
      </c>
      <c r="D4" s="50" t="inlineStr">
        <is>
          <t>Fecha de inicio</t>
        </is>
      </c>
      <c r="E4" s="50" t="inlineStr">
        <is>
          <t>Fecha límite</t>
        </is>
      </c>
      <c r="F4" s="50" t="inlineStr">
        <is>
          <t>Peso de actividad (%)</t>
        </is>
      </c>
      <c r="G4" s="50" t="inlineStr">
        <is>
          <t>Avance Semana 1 (%)</t>
        </is>
      </c>
      <c r="H4" s="50" t="inlineStr">
        <is>
          <t>Avance Semana 2 (%)</t>
        </is>
      </c>
      <c r="I4" s="50" t="inlineStr">
        <is>
          <t>Avance Semana 3 (%)</t>
        </is>
      </c>
      <c r="J4" s="50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50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C1000">
    <cfRule type="expression" priority="6" dxfId="5" stopIfTrue="1">
      <formula>AND($S5="Macro",$C5="")</formula>
    </cfRule>
    <cfRule type="expression" priority="7" dxfId="19">
      <formula>$S5="Macro"</formula>
    </cfRule>
  </conditionalFormatting>
  <conditionalFormatting sqref="C5:C1000">
    <cfRule type="expression" priority="8" dxfId="13">
      <formula>$S5="Sub"</formula>
    </cfRule>
  </conditionalFormatting>
  <conditionalFormatting sqref="L5:L1000">
    <cfRule type="expression" priority="9" dxfId="0">
      <formula>$L5="Completado"</formula>
    </cfRule>
    <cfRule type="expression" priority="10" dxfId="4">
      <formula>$L5="En curso"</formula>
    </cfRule>
    <cfRule type="expression" priority="11" dxfId="5">
      <formula>$L5="Pendiente"</formula>
    </cfRule>
  </conditionalFormatting>
  <conditionalFormatting sqref="M5:M1000">
    <cfRule type="expression" priority="12" dxfId="8" stopIfTrue="1">
      <formula>LEFT($M5,7)="Vencida"</formula>
    </cfRule>
    <cfRule type="expression" priority="13" dxfId="9" stopIfTrue="1">
      <formula>LEFT($M5,5)="Vence"</formula>
    </cfRule>
    <cfRule type="expression" priority="14" dxfId="0" stopIfTrue="1">
      <formula>$M5="Cumplida"</formula>
    </cfRule>
    <cfRule type="expression" priority="15" dxfId="14" stopIfTrue="1">
      <formula>$M5="En plazo"</formula>
    </cfRule>
    <cfRule type="expression" priority="16" dxfId="5">
      <formula>$M5="Sin fecha límite"</formula>
    </cfRule>
  </conditionalFormatting>
  <conditionalFormatting sqref="K5:K1000">
    <cfRule type="expression" priority="17" dxfId="0">
      <formula>AND(ISNUMBER($K5),$K5&gt;=1)</formula>
    </cfRule>
    <cfRule type="dataBar" priority="18">
      <dataBar showValue="1">
        <cfvo type="num" val="0"/>
        <cfvo type="num" val="1"/>
        <color rgb="005B9BD5"/>
      </dataBar>
    </cfRule>
  </conditionalFormatting>
  <conditionalFormatting sqref="E5:E1000">
    <cfRule type="expression" priority="19" dxfId="6" stopIfTrue="1">
      <formula>AND(ISNUMBER($E5),$E5&lt;FechaRef,N($K5)&lt;1)</formula>
    </cfRule>
    <cfRule type="expression" priority="20" dxfId="7">
      <formula>AND(ISNUMBER($E5),$E5&gt;=FechaRef,$E5-FechaRef&lt;=DiasAlerta,N($K5)&lt;1)</formula>
    </cfRule>
  </conditionalFormatting>
  <conditionalFormatting sqref="D5:E1000">
    <cfRule type="expression" priority="21" dxfId="5" stopIfTrue="1">
      <formula>AND((COUNTA($B5:$J5)+COUNTA($N5))&gt;0,D5="")</formula>
    </cfRule>
    <cfRule type="expression" priority="22" dxfId="6">
      <formula>AND(ISNUMBER($D5),ISNUMBER($E5),$D5&gt;$E5)</formula>
    </cfRule>
  </conditionalFormatting>
  <conditionalFormatting sqref="F5:F1000">
    <cfRule type="expression" priority="23" dxfId="15" stopIfTrue="1">
      <formula>$S5="Sub"</formula>
    </cfRule>
    <cfRule type="expression" priority="24" dxfId="5" stopIfTrue="1">
      <formula>AND($S5="Macro",F5="")</formula>
    </cfRule>
    <cfRule type="expression" priority="25" dxfId="7">
      <formula>AND($S5="Macro",ABS(SUMIFS($F$5:$F$1000,$P$5:$P$1000,$P5,$S$5:$S$1000,"Macro")-1)&gt;0.0001)</formula>
    </cfRule>
  </conditionalFormatting>
  <conditionalFormatting sqref="G5:J1000">
    <cfRule type="expression" priority="26" dxfId="5" stopIfTrue="1">
      <formula>AND(N($T5)&gt;0,G5&lt;&gt;"")</formula>
    </cfRule>
    <cfRule type="expression" priority="27" dxfId="16" stopIfTrue="1">
      <formula>N($T5)&gt;0</formula>
    </cfRule>
    <cfRule type="expression" priority="28" dxfId="5" stopIfTrue="1">
      <formula>AND(G5&lt;&gt;"",OR(NOT(ISNUMBER(G5)),G5&gt;1,G5&lt;0))</formula>
    </cfRule>
  </conditionalFormatting>
  <conditionalFormatting sqref="H5:J1000">
    <cfRule type="expression" priority="29" dxfId="6">
      <formula>AND(H5&lt;&gt;"",H5&lt;MAX($G5:G5))</formula>
    </cfRule>
  </conditionalFormatting>
  <conditionalFormatting sqref="N5:N1000">
    <cfRule type="expression" priority="30" dxfId="5">
      <formula>AND(ObsObligatoria="Sí",ISNUMBER($E5),$E5&lt;FechaRef,N($K5)&lt;1,$N5="")</formula>
    </cfRule>
  </conditionalFormatting>
  <conditionalFormatting sqref="O5:O1000">
    <cfRule type="expression" priority="31" dxfId="5">
      <formula>LEFT($O5,1)="⚠"</formula>
    </cfRule>
    <cfRule type="expression" priority="32" dxfId="17">
      <formula>LEFT($O5,1)="✔"</formula>
    </cfRule>
  </conditionalFormatting>
  <conditionalFormatting sqref="P5:P1000">
    <cfRule type="expression" priority="33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78" t="inlineStr">
        <is>
          <t>Actividades del mes por semana – Riesgo Normativo</t>
        </is>
      </c>
      <c r="B1" s="78" t="n"/>
      <c r="C1" s="78" t="n"/>
      <c r="D1" s="78" t="n"/>
      <c r="E1" s="78" t="n"/>
      <c r="F1" s="78" t="n"/>
      <c r="G1" s="78" t="n"/>
      <c r="H1" s="78" t="n"/>
      <c r="I1" s="78" t="n"/>
      <c r="J1" s="78" t="n"/>
      <c r="K1" s="78" t="n"/>
      <c r="L1" s="78" t="n"/>
      <c r="M1" s="78" t="n"/>
    </row>
    <row r="2" ht="34" customHeight="1">
      <c r="A2" s="72" t="inlineStr">
        <is>
          <t>HOJA AUTOMÁTICA Y BLOQUEADA: muestra solo las actividades del mes indicado abajo, tomadas de «Cronograma R. Normativo».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50" t="inlineStr">
        <is>
          <t>Semana 1</t>
        </is>
      </c>
      <c r="G4" s="50" t="inlineStr">
        <is>
          <t>Semana 2</t>
        </is>
      </c>
      <c r="H4" s="50" t="inlineStr">
        <is>
          <t>Semana 3</t>
        </is>
      </c>
      <c r="I4" s="50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R. Normativo'!$A$5:$A$1000,$N5))</f>
        <v/>
      </c>
      <c r="B5" s="71">
        <f>IF($N5="","",IF($O5="Sub","      ↳  "&amp;INDEX('Cronograma R. Normativo'!$C$5:$C$1000,$N5),INDEX('Cronograma R. Normativo'!$C$5:$C$1000,$N5)&amp;""))</f>
        <v/>
      </c>
      <c r="C5" s="77">
        <f>IF($N5="","",IF(INDEX('Cronograma R. Normativo'!$D$5:$D$1000,$N5)="","",INDEX('Cronograma R. Normativo'!$D$5:$D$1000,$N5)))</f>
        <v/>
      </c>
      <c r="D5" s="77">
        <f>IF($N5="","",IF(INDEX('Cronograma R. Normativo'!$E$5:$E$1000,$N5)="","",INDEX('Cronograma R. Normativo'!$E$5:$E$1000,$N5)))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R. Normativo'!$Y$5:$Y$1000,$N5),""),IF(INDEX('Cronograma R. Normativo'!$G$5:$G$1000,$N5)="","",INDEX('Cronograma R. Normativo'!$G$5:$G$1000,$N5))))</f>
        <v/>
      </c>
      <c r="G5" s="68">
        <f>IF($N5="","",IF($P5&gt;0,IF(2&lt;=SemanaActual,INDEX('Cronograma R. Normativo'!$Z$5:$Z$1000,$N5),""),IF(INDEX('Cronograma R. Normativo'!$H$5:$H$1000,$N5)="","",INDEX('Cronograma R. Normativo'!$H$5:$H$1000,$N5))))</f>
        <v/>
      </c>
      <c r="H5" s="68">
        <f>IF($N5="","",IF($P5&gt;0,IF(3&lt;=SemanaActual,INDEX('Cronograma R. Normativo'!$AA$5:$AA$1000,$N5),""),IF(INDEX('Cronograma R. Normativo'!$I$5:$I$1000,$N5)="","",INDEX('Cronograma R. Normativo'!$I$5:$I$1000,$N5))))</f>
        <v/>
      </c>
      <c r="I5" s="68">
        <f>IF($N5="","",IF($P5&gt;0,IF(4&lt;=SemanaActual,INDEX('Cronograma R. Normativo'!$AB$5:$AB$1000,$N5),""),IF(INDEX('Cronograma R. Normativo'!$J$5:$J$1000,$N5)="","",INDEX('Cronograma R. Normativo'!$J$5:$J$1000,$N5))))</f>
        <v/>
      </c>
      <c r="J5" s="68">
        <f>IF($N5="","",INDEX('Cronograma R. Normativo'!$K$5:$K$1000,$N5))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R. Normativo'!$M$5:$M$1000,$N5)&amp;"")</f>
        <v/>
      </c>
      <c r="M5" s="71">
        <f>IF($N5="","",INDEX('Cronograma R. Normativo'!$N$5:$N$1000,$N5)&amp;"")</f>
        <v/>
      </c>
      <c r="N5">
        <f>IFERROR(MATCH(ROW()-4,rOrden_RN,0),"")</f>
        <v/>
      </c>
      <c r="O5">
        <f>IF($N5="","",INDEX('Cronograma R. Normativo'!$S$5:$S$1000,$N5))</f>
        <v/>
      </c>
      <c r="P5">
        <f>IF($N5="","",N(INDEX('Cronograma R. Normativo'!$T$5:$T$1000,$N5)))</f>
        <v/>
      </c>
    </row>
    <row r="6">
      <c r="A6" s="62">
        <f>IF($N6="","",INDEX('Cronograma R. Normativo'!$A$5:$A$1000,$N6))</f>
        <v/>
      </c>
      <c r="B6" s="71">
        <f>IF($N6="","",IF($O6="Sub","      ↳  "&amp;INDEX('Cronograma R. Normativo'!$C$5:$C$1000,$N6),INDEX('Cronograma R. Normativo'!$C$5:$C$1000,$N6)&amp;""))</f>
        <v/>
      </c>
      <c r="C6" s="77">
        <f>IF($N6="","",IF(INDEX('Cronograma R. Normativo'!$D$5:$D$1000,$N6)="","",INDEX('Cronograma R. Normativo'!$D$5:$D$1000,$N6)))</f>
        <v/>
      </c>
      <c r="D6" s="77">
        <f>IF($N6="","",IF(INDEX('Cronograma R. Normativo'!$E$5:$E$1000,$N6)="","",INDEX('Cronograma R. Normativo'!$E$5:$E$1000,$N6)))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R. Normativo'!$Y$5:$Y$1000,$N6),""),IF(INDEX('Cronograma R. Normativo'!$G$5:$G$1000,$N6)="","",INDEX('Cronograma R. Normativo'!$G$5:$G$1000,$N6))))</f>
        <v/>
      </c>
      <c r="G6" s="68">
        <f>IF($N6="","",IF($P6&gt;0,IF(2&lt;=SemanaActual,INDEX('Cronograma R. Normativo'!$Z$5:$Z$1000,$N6),""),IF(INDEX('Cronograma R. Normativo'!$H$5:$H$1000,$N6)="","",INDEX('Cronograma R. Normativo'!$H$5:$H$1000,$N6))))</f>
        <v/>
      </c>
      <c r="H6" s="68">
        <f>IF($N6="","",IF($P6&gt;0,IF(3&lt;=SemanaActual,INDEX('Cronograma R. Normativo'!$AA$5:$AA$1000,$N6),""),IF(INDEX('Cronograma R. Normativo'!$I$5:$I$1000,$N6)="","",INDEX('Cronograma R. Normativo'!$I$5:$I$1000,$N6))))</f>
        <v/>
      </c>
      <c r="I6" s="68">
        <f>IF($N6="","",IF($P6&gt;0,IF(4&lt;=SemanaActual,INDEX('Cronograma R. Normativo'!$AB$5:$AB$1000,$N6),""),IF(INDEX('Cronograma R. Normativo'!$J$5:$J$1000,$N6)="","",INDEX('Cronograma R. Normativo'!$J$5:$J$1000,$N6))))</f>
        <v/>
      </c>
      <c r="J6" s="68">
        <f>IF($N6="","",INDEX('Cronograma R. Normativo'!$K$5:$K$1000,$N6))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R. Normativo'!$M$5:$M$1000,$N6)&amp;"")</f>
        <v/>
      </c>
      <c r="M6" s="71">
        <f>IF($N6="","",INDEX('Cronograma R. Normativo'!$N$5:$N$1000,$N6)&amp;"")</f>
        <v/>
      </c>
      <c r="N6">
        <f>IFERROR(MATCH(ROW()-4,rOrden_RN,0),"")</f>
        <v/>
      </c>
      <c r="O6">
        <f>IF($N6="","",INDEX('Cronograma R. Normativo'!$S$5:$S$1000,$N6))</f>
        <v/>
      </c>
      <c r="P6">
        <f>IF($N6="","",N(INDEX('Cronograma R. Normativo'!$T$5:$T$1000,$N6)))</f>
        <v/>
      </c>
    </row>
    <row r="7">
      <c r="A7" s="62">
        <f>IF($N7="","",INDEX('Cronograma R. Normativo'!$A$5:$A$1000,$N7))</f>
        <v/>
      </c>
      <c r="B7" s="71">
        <f>IF($N7="","",IF($O7="Sub","      ↳  "&amp;INDEX('Cronograma R. Normativo'!$C$5:$C$1000,$N7),INDEX('Cronograma R. Normativo'!$C$5:$C$1000,$N7)&amp;""))</f>
        <v/>
      </c>
      <c r="C7" s="77">
        <f>IF($N7="","",IF(INDEX('Cronograma R. Normativo'!$D$5:$D$1000,$N7)="","",INDEX('Cronograma R. Normativo'!$D$5:$D$1000,$N7)))</f>
        <v/>
      </c>
      <c r="D7" s="77">
        <f>IF($N7="","",IF(INDEX('Cronograma R. Normativo'!$E$5:$E$1000,$N7)="","",INDEX('Cronograma R. Normativo'!$E$5:$E$1000,$N7)))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R. Normativo'!$Y$5:$Y$1000,$N7),""),IF(INDEX('Cronograma R. Normativo'!$G$5:$G$1000,$N7)="","",INDEX('Cronograma R. Normativo'!$G$5:$G$1000,$N7))))</f>
        <v/>
      </c>
      <c r="G7" s="68">
        <f>IF($N7="","",IF($P7&gt;0,IF(2&lt;=SemanaActual,INDEX('Cronograma R. Normativo'!$Z$5:$Z$1000,$N7),""),IF(INDEX('Cronograma R. Normativo'!$H$5:$H$1000,$N7)="","",INDEX('Cronograma R. Normativo'!$H$5:$H$1000,$N7))))</f>
        <v/>
      </c>
      <c r="H7" s="68">
        <f>IF($N7="","",IF($P7&gt;0,IF(3&lt;=SemanaActual,INDEX('Cronograma R. Normativo'!$AA$5:$AA$1000,$N7),""),IF(INDEX('Cronograma R. Normativo'!$I$5:$I$1000,$N7)="","",INDEX('Cronograma R. Normativo'!$I$5:$I$1000,$N7))))</f>
        <v/>
      </c>
      <c r="I7" s="68">
        <f>IF($N7="","",IF($P7&gt;0,IF(4&lt;=SemanaActual,INDEX('Cronograma R. Normativo'!$AB$5:$AB$1000,$N7),""),IF(INDEX('Cronograma R. Normativo'!$J$5:$J$1000,$N7)="","",INDEX('Cronograma R. Normativo'!$J$5:$J$1000,$N7))))</f>
        <v/>
      </c>
      <c r="J7" s="68">
        <f>IF($N7="","",INDEX('Cronograma R. Normativo'!$K$5:$K$1000,$N7))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R. Normativo'!$M$5:$M$1000,$N7)&amp;"")</f>
        <v/>
      </c>
      <c r="M7" s="71">
        <f>IF($N7="","",INDEX('Cronograma R. Normativo'!$N$5:$N$1000,$N7)&amp;"")</f>
        <v/>
      </c>
      <c r="N7">
        <f>IFERROR(MATCH(ROW()-4,rOrden_RN,0),"")</f>
        <v/>
      </c>
      <c r="O7">
        <f>IF($N7="","",INDEX('Cronograma R. Normativo'!$S$5:$S$1000,$N7))</f>
        <v/>
      </c>
      <c r="P7">
        <f>IF($N7="","",N(INDEX('Cronograma R. Normativo'!$T$5:$T$1000,$N7)))</f>
        <v/>
      </c>
    </row>
    <row r="8">
      <c r="A8" s="62">
        <f>IF($N8="","",INDEX('Cronograma R. Normativo'!$A$5:$A$1000,$N8))</f>
        <v/>
      </c>
      <c r="B8" s="71">
        <f>IF($N8="","",IF($O8="Sub","      ↳  "&amp;INDEX('Cronograma R. Normativo'!$C$5:$C$1000,$N8),INDEX('Cronograma R. Normativo'!$C$5:$C$1000,$N8)&amp;""))</f>
        <v/>
      </c>
      <c r="C8" s="77">
        <f>IF($N8="","",IF(INDEX('Cronograma R. Normativo'!$D$5:$D$1000,$N8)="","",INDEX('Cronograma R. Normativo'!$D$5:$D$1000,$N8)))</f>
        <v/>
      </c>
      <c r="D8" s="77">
        <f>IF($N8="","",IF(INDEX('Cronograma R. Normativo'!$E$5:$E$1000,$N8)="","",INDEX('Cronograma R. Normativo'!$E$5:$E$1000,$N8)))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R. Normativo'!$Y$5:$Y$1000,$N8),""),IF(INDEX('Cronograma R. Normativo'!$G$5:$G$1000,$N8)="","",INDEX('Cronograma R. Normativo'!$G$5:$G$1000,$N8))))</f>
        <v/>
      </c>
      <c r="G8" s="68">
        <f>IF($N8="","",IF($P8&gt;0,IF(2&lt;=SemanaActual,INDEX('Cronograma R. Normativo'!$Z$5:$Z$1000,$N8),""),IF(INDEX('Cronograma R. Normativo'!$H$5:$H$1000,$N8)="","",INDEX('Cronograma R. Normativo'!$H$5:$H$1000,$N8))))</f>
        <v/>
      </c>
      <c r="H8" s="68">
        <f>IF($N8="","",IF($P8&gt;0,IF(3&lt;=SemanaActual,INDEX('Cronograma R. Normativo'!$AA$5:$AA$1000,$N8),""),IF(INDEX('Cronograma R. Normativo'!$I$5:$I$1000,$N8)="","",INDEX('Cronograma R. Normativo'!$I$5:$I$1000,$N8))))</f>
        <v/>
      </c>
      <c r="I8" s="68">
        <f>IF($N8="","",IF($P8&gt;0,IF(4&lt;=SemanaActual,INDEX('Cronograma R. Normativo'!$AB$5:$AB$1000,$N8),""),IF(INDEX('Cronograma R. Normativo'!$J$5:$J$1000,$N8)="","",INDEX('Cronograma R. Normativo'!$J$5:$J$1000,$N8))))</f>
        <v/>
      </c>
      <c r="J8" s="68">
        <f>IF($N8="","",INDEX('Cronograma R. Normativo'!$K$5:$K$1000,$N8))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R. Normativo'!$M$5:$M$1000,$N8)&amp;"")</f>
        <v/>
      </c>
      <c r="M8" s="71">
        <f>IF($N8="","",INDEX('Cronograma R. Normativo'!$N$5:$N$1000,$N8)&amp;"")</f>
        <v/>
      </c>
      <c r="N8">
        <f>IFERROR(MATCH(ROW()-4,rOrden_RN,0),"")</f>
        <v/>
      </c>
      <c r="O8">
        <f>IF($N8="","",INDEX('Cronograma R. Normativo'!$S$5:$S$1000,$N8))</f>
        <v/>
      </c>
      <c r="P8">
        <f>IF($N8="","",N(INDEX('Cronograma R. Normativo'!$T$5:$T$1000,$N8)))</f>
        <v/>
      </c>
    </row>
    <row r="9">
      <c r="A9" s="62">
        <f>IF($N9="","",INDEX('Cronograma R. Normativo'!$A$5:$A$1000,$N9))</f>
        <v/>
      </c>
      <c r="B9" s="71">
        <f>IF($N9="","",IF($O9="Sub","      ↳  "&amp;INDEX('Cronograma R. Normativo'!$C$5:$C$1000,$N9),INDEX('Cronograma R. Normativo'!$C$5:$C$1000,$N9)&amp;""))</f>
        <v/>
      </c>
      <c r="C9" s="77">
        <f>IF($N9="","",IF(INDEX('Cronograma R. Normativo'!$D$5:$D$1000,$N9)="","",INDEX('Cronograma R. Normativo'!$D$5:$D$1000,$N9)))</f>
        <v/>
      </c>
      <c r="D9" s="77">
        <f>IF($N9="","",IF(INDEX('Cronograma R. Normativo'!$E$5:$E$1000,$N9)="","",INDEX('Cronograma R. Normativo'!$E$5:$E$1000,$N9)))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R. Normativo'!$Y$5:$Y$1000,$N9),""),IF(INDEX('Cronograma R. Normativo'!$G$5:$G$1000,$N9)="","",INDEX('Cronograma R. Normativo'!$G$5:$G$1000,$N9))))</f>
        <v/>
      </c>
      <c r="G9" s="68">
        <f>IF($N9="","",IF($P9&gt;0,IF(2&lt;=SemanaActual,INDEX('Cronograma R. Normativo'!$Z$5:$Z$1000,$N9),""),IF(INDEX('Cronograma R. Normativo'!$H$5:$H$1000,$N9)="","",INDEX('Cronograma R. Normativo'!$H$5:$H$1000,$N9))))</f>
        <v/>
      </c>
      <c r="H9" s="68">
        <f>IF($N9="","",IF($P9&gt;0,IF(3&lt;=SemanaActual,INDEX('Cronograma R. Normativo'!$AA$5:$AA$1000,$N9),""),IF(INDEX('Cronograma R. Normativo'!$I$5:$I$1000,$N9)="","",INDEX('Cronograma R. Normativo'!$I$5:$I$1000,$N9))))</f>
        <v/>
      </c>
      <c r="I9" s="68">
        <f>IF($N9="","",IF($P9&gt;0,IF(4&lt;=SemanaActual,INDEX('Cronograma R. Normativo'!$AB$5:$AB$1000,$N9),""),IF(INDEX('Cronograma R. Normativo'!$J$5:$J$1000,$N9)="","",INDEX('Cronograma R. Normativo'!$J$5:$J$1000,$N9))))</f>
        <v/>
      </c>
      <c r="J9" s="68">
        <f>IF($N9="","",INDEX('Cronograma R. Normativo'!$K$5:$K$1000,$N9))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R. Normativo'!$M$5:$M$1000,$N9)&amp;"")</f>
        <v/>
      </c>
      <c r="M9" s="71">
        <f>IF($N9="","",INDEX('Cronograma R. Normativo'!$N$5:$N$1000,$N9)&amp;"")</f>
        <v/>
      </c>
      <c r="N9">
        <f>IFERROR(MATCH(ROW()-4,rOrden_RN,0),"")</f>
        <v/>
      </c>
      <c r="O9">
        <f>IF($N9="","",INDEX('Cronograma R. Normativo'!$S$5:$S$1000,$N9))</f>
        <v/>
      </c>
      <c r="P9">
        <f>IF($N9="","",N(INDEX('Cronograma R. Normativo'!$T$5:$T$1000,$N9)))</f>
        <v/>
      </c>
    </row>
    <row r="10">
      <c r="A10" s="62">
        <f>IF($N10="","",INDEX('Cronograma R. Normativo'!$A$5:$A$1000,$N10))</f>
        <v/>
      </c>
      <c r="B10" s="71">
        <f>IF($N10="","",IF($O10="Sub","      ↳  "&amp;INDEX('Cronograma R. Normativo'!$C$5:$C$1000,$N10),INDEX('Cronograma R. Normativo'!$C$5:$C$1000,$N10)&amp;""))</f>
        <v/>
      </c>
      <c r="C10" s="77">
        <f>IF($N10="","",IF(INDEX('Cronograma R. Normativo'!$D$5:$D$1000,$N10)="","",INDEX('Cronograma R. Normativo'!$D$5:$D$1000,$N10)))</f>
        <v/>
      </c>
      <c r="D10" s="77">
        <f>IF($N10="","",IF(INDEX('Cronograma R. Normativo'!$E$5:$E$1000,$N10)="","",INDEX('Cronograma R. Normativo'!$E$5:$E$1000,$N10)))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R. Normativo'!$Y$5:$Y$1000,$N10),""),IF(INDEX('Cronograma R. Normativo'!$G$5:$G$1000,$N10)="","",INDEX('Cronograma R. Normativo'!$G$5:$G$1000,$N10))))</f>
        <v/>
      </c>
      <c r="G10" s="68">
        <f>IF($N10="","",IF($P10&gt;0,IF(2&lt;=SemanaActual,INDEX('Cronograma R. Normativo'!$Z$5:$Z$1000,$N10),""),IF(INDEX('Cronograma R. Normativo'!$H$5:$H$1000,$N10)="","",INDEX('Cronograma R. Normativo'!$H$5:$H$1000,$N10))))</f>
        <v/>
      </c>
      <c r="H10" s="68">
        <f>IF($N10="","",IF($P10&gt;0,IF(3&lt;=SemanaActual,INDEX('Cronograma R. Normativo'!$AA$5:$AA$1000,$N10),""),IF(INDEX('Cronograma R. Normativo'!$I$5:$I$1000,$N10)="","",INDEX('Cronograma R. Normativo'!$I$5:$I$1000,$N10))))</f>
        <v/>
      </c>
      <c r="I10" s="68">
        <f>IF($N10="","",IF($P10&gt;0,IF(4&lt;=SemanaActual,INDEX('Cronograma R. Normativo'!$AB$5:$AB$1000,$N10),""),IF(INDEX('Cronograma R. Normativo'!$J$5:$J$1000,$N10)="","",INDEX('Cronograma R. Normativo'!$J$5:$J$1000,$N10))))</f>
        <v/>
      </c>
      <c r="J10" s="68">
        <f>IF($N10="","",INDEX('Cronograma R. Normativo'!$K$5:$K$1000,$N10))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R. Normativo'!$M$5:$M$1000,$N10)&amp;"")</f>
        <v/>
      </c>
      <c r="M10" s="71">
        <f>IF($N10="","",INDEX('Cronograma R. Normativo'!$N$5:$N$1000,$N10)&amp;"")</f>
        <v/>
      </c>
      <c r="N10">
        <f>IFERROR(MATCH(ROW()-4,rOrden_RN,0),"")</f>
        <v/>
      </c>
      <c r="O10">
        <f>IF($N10="","",INDEX('Cronograma R. Normativo'!$S$5:$S$1000,$N10))</f>
        <v/>
      </c>
      <c r="P10">
        <f>IF($N10="","",N(INDEX('Cronograma R. Normativo'!$T$5:$T$1000,$N10)))</f>
        <v/>
      </c>
    </row>
    <row r="11">
      <c r="A11" s="62">
        <f>IF($N11="","",INDEX('Cronograma R. Normativo'!$A$5:$A$1000,$N11))</f>
        <v/>
      </c>
      <c r="B11" s="71">
        <f>IF($N11="","",IF($O11="Sub","      ↳  "&amp;INDEX('Cronograma R. Normativo'!$C$5:$C$1000,$N11),INDEX('Cronograma R. Normativo'!$C$5:$C$1000,$N11)&amp;""))</f>
        <v/>
      </c>
      <c r="C11" s="77">
        <f>IF($N11="","",IF(INDEX('Cronograma R. Normativo'!$D$5:$D$1000,$N11)="","",INDEX('Cronograma R. Normativo'!$D$5:$D$1000,$N11)))</f>
        <v/>
      </c>
      <c r="D11" s="77">
        <f>IF($N11="","",IF(INDEX('Cronograma R. Normativo'!$E$5:$E$1000,$N11)="","",INDEX('Cronograma R. Normativo'!$E$5:$E$1000,$N11)))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R. Normativo'!$Y$5:$Y$1000,$N11),""),IF(INDEX('Cronograma R. Normativo'!$G$5:$G$1000,$N11)="","",INDEX('Cronograma R. Normativo'!$G$5:$G$1000,$N11))))</f>
        <v/>
      </c>
      <c r="G11" s="68">
        <f>IF($N11="","",IF($P11&gt;0,IF(2&lt;=SemanaActual,INDEX('Cronograma R. Normativo'!$Z$5:$Z$1000,$N11),""),IF(INDEX('Cronograma R. Normativo'!$H$5:$H$1000,$N11)="","",INDEX('Cronograma R. Normativo'!$H$5:$H$1000,$N11))))</f>
        <v/>
      </c>
      <c r="H11" s="68">
        <f>IF($N11="","",IF($P11&gt;0,IF(3&lt;=SemanaActual,INDEX('Cronograma R. Normativo'!$AA$5:$AA$1000,$N11),""),IF(INDEX('Cronograma R. Normativo'!$I$5:$I$1000,$N11)="","",INDEX('Cronograma R. Normativo'!$I$5:$I$1000,$N11))))</f>
        <v/>
      </c>
      <c r="I11" s="68">
        <f>IF($N11="","",IF($P11&gt;0,IF(4&lt;=SemanaActual,INDEX('Cronograma R. Normativo'!$AB$5:$AB$1000,$N11),""),IF(INDEX('Cronograma R. Normativo'!$J$5:$J$1000,$N11)="","",INDEX('Cronograma R. Normativo'!$J$5:$J$1000,$N11))))</f>
        <v/>
      </c>
      <c r="J11" s="68">
        <f>IF($N11="","",INDEX('Cronograma R. Normativo'!$K$5:$K$1000,$N11))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R. Normativo'!$M$5:$M$1000,$N11)&amp;"")</f>
        <v/>
      </c>
      <c r="M11" s="71">
        <f>IF($N11="","",INDEX('Cronograma R. Normativo'!$N$5:$N$1000,$N11)&amp;"")</f>
        <v/>
      </c>
      <c r="N11">
        <f>IFERROR(MATCH(ROW()-4,rOrden_RN,0),"")</f>
        <v/>
      </c>
      <c r="O11">
        <f>IF($N11="","",INDEX('Cronograma R. Normativo'!$S$5:$S$1000,$N11))</f>
        <v/>
      </c>
      <c r="P11">
        <f>IF($N11="","",N(INDEX('Cronograma R. Normativo'!$T$5:$T$1000,$N11)))</f>
        <v/>
      </c>
    </row>
    <row r="12">
      <c r="A12" s="62">
        <f>IF($N12="","",INDEX('Cronograma R. Normativo'!$A$5:$A$1000,$N12))</f>
        <v/>
      </c>
      <c r="B12" s="71">
        <f>IF($N12="","",IF($O12="Sub","      ↳  "&amp;INDEX('Cronograma R. Normativo'!$C$5:$C$1000,$N12),INDEX('Cronograma R. Normativo'!$C$5:$C$1000,$N12)&amp;""))</f>
        <v/>
      </c>
      <c r="C12" s="77">
        <f>IF($N12="","",IF(INDEX('Cronograma R. Normativo'!$D$5:$D$1000,$N12)="","",INDEX('Cronograma R. Normativo'!$D$5:$D$1000,$N12)))</f>
        <v/>
      </c>
      <c r="D12" s="77">
        <f>IF($N12="","",IF(INDEX('Cronograma R. Normativo'!$E$5:$E$1000,$N12)="","",INDEX('Cronograma R. Normativo'!$E$5:$E$1000,$N12)))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R. Normativo'!$Y$5:$Y$1000,$N12),""),IF(INDEX('Cronograma R. Normativo'!$G$5:$G$1000,$N12)="","",INDEX('Cronograma R. Normativo'!$G$5:$G$1000,$N12))))</f>
        <v/>
      </c>
      <c r="G12" s="68">
        <f>IF($N12="","",IF($P12&gt;0,IF(2&lt;=SemanaActual,INDEX('Cronograma R. Normativo'!$Z$5:$Z$1000,$N12),""),IF(INDEX('Cronograma R. Normativo'!$H$5:$H$1000,$N12)="","",INDEX('Cronograma R. Normativo'!$H$5:$H$1000,$N12))))</f>
        <v/>
      </c>
      <c r="H12" s="68">
        <f>IF($N12="","",IF($P12&gt;0,IF(3&lt;=SemanaActual,INDEX('Cronograma R. Normativo'!$AA$5:$AA$1000,$N12),""),IF(INDEX('Cronograma R. Normativo'!$I$5:$I$1000,$N12)="","",INDEX('Cronograma R. Normativo'!$I$5:$I$1000,$N12))))</f>
        <v/>
      </c>
      <c r="I12" s="68">
        <f>IF($N12="","",IF($P12&gt;0,IF(4&lt;=SemanaActual,INDEX('Cronograma R. Normativo'!$AB$5:$AB$1000,$N12),""),IF(INDEX('Cronograma R. Normativo'!$J$5:$J$1000,$N12)="","",INDEX('Cronograma R. Normativo'!$J$5:$J$1000,$N12))))</f>
        <v/>
      </c>
      <c r="J12" s="68">
        <f>IF($N12="","",INDEX('Cronograma R. Normativo'!$K$5:$K$1000,$N12))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R. Normativo'!$M$5:$M$1000,$N12)&amp;"")</f>
        <v/>
      </c>
      <c r="M12" s="71">
        <f>IF($N12="","",INDEX('Cronograma R. Normativo'!$N$5:$N$1000,$N12)&amp;"")</f>
        <v/>
      </c>
      <c r="N12">
        <f>IFERROR(MATCH(ROW()-4,rOrden_RN,0),"")</f>
        <v/>
      </c>
      <c r="O12">
        <f>IF($N12="","",INDEX('Cronograma R. Normativo'!$S$5:$S$1000,$N12))</f>
        <v/>
      </c>
      <c r="P12">
        <f>IF($N12="","",N(INDEX('Cronograma R. Normativo'!$T$5:$T$1000,$N12)))</f>
        <v/>
      </c>
    </row>
    <row r="13">
      <c r="A13" s="62">
        <f>IF($N13="","",INDEX('Cronograma R. Normativo'!$A$5:$A$1000,$N13))</f>
        <v/>
      </c>
      <c r="B13" s="71">
        <f>IF($N13="","",IF($O13="Sub","      ↳  "&amp;INDEX('Cronograma R. Normativo'!$C$5:$C$1000,$N13),INDEX('Cronograma R. Normativo'!$C$5:$C$1000,$N13)&amp;""))</f>
        <v/>
      </c>
      <c r="C13" s="77">
        <f>IF($N13="","",IF(INDEX('Cronograma R. Normativo'!$D$5:$D$1000,$N13)="","",INDEX('Cronograma R. Normativo'!$D$5:$D$1000,$N13)))</f>
        <v/>
      </c>
      <c r="D13" s="77">
        <f>IF($N13="","",IF(INDEX('Cronograma R. Normativo'!$E$5:$E$1000,$N13)="","",INDEX('Cronograma R. Normativo'!$E$5:$E$1000,$N13)))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R. Normativo'!$Y$5:$Y$1000,$N13),""),IF(INDEX('Cronograma R. Normativo'!$G$5:$G$1000,$N13)="","",INDEX('Cronograma R. Normativo'!$G$5:$G$1000,$N13))))</f>
        <v/>
      </c>
      <c r="G13" s="68">
        <f>IF($N13="","",IF($P13&gt;0,IF(2&lt;=SemanaActual,INDEX('Cronograma R. Normativo'!$Z$5:$Z$1000,$N13),""),IF(INDEX('Cronograma R. Normativo'!$H$5:$H$1000,$N13)="","",INDEX('Cronograma R. Normativo'!$H$5:$H$1000,$N13))))</f>
        <v/>
      </c>
      <c r="H13" s="68">
        <f>IF($N13="","",IF($P13&gt;0,IF(3&lt;=SemanaActual,INDEX('Cronograma R. Normativo'!$AA$5:$AA$1000,$N13),""),IF(INDEX('Cronograma R. Normativo'!$I$5:$I$1000,$N13)="","",INDEX('Cronograma R. Normativo'!$I$5:$I$1000,$N13))))</f>
        <v/>
      </c>
      <c r="I13" s="68">
        <f>IF($N13="","",IF($P13&gt;0,IF(4&lt;=SemanaActual,INDEX('Cronograma R. Normativo'!$AB$5:$AB$1000,$N13),""),IF(INDEX('Cronograma R. Normativo'!$J$5:$J$1000,$N13)="","",INDEX('Cronograma R. Normativo'!$J$5:$J$1000,$N13))))</f>
        <v/>
      </c>
      <c r="J13" s="68">
        <f>IF($N13="","",INDEX('Cronograma R. Normativo'!$K$5:$K$1000,$N13))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R. Normativo'!$M$5:$M$1000,$N13)&amp;"")</f>
        <v/>
      </c>
      <c r="M13" s="71">
        <f>IF($N13="","",INDEX('Cronograma R. Normativo'!$N$5:$N$1000,$N13)&amp;"")</f>
        <v/>
      </c>
      <c r="N13">
        <f>IFERROR(MATCH(ROW()-4,rOrden_RN,0),"")</f>
        <v/>
      </c>
      <c r="O13">
        <f>IF($N13="","",INDEX('Cronograma R. Normativo'!$S$5:$S$1000,$N13))</f>
        <v/>
      </c>
      <c r="P13">
        <f>IF($N13="","",N(INDEX('Cronograma R. Normativo'!$T$5:$T$1000,$N13)))</f>
        <v/>
      </c>
    </row>
    <row r="14">
      <c r="A14" s="62">
        <f>IF($N14="","",INDEX('Cronograma R. Normativo'!$A$5:$A$1000,$N14))</f>
        <v/>
      </c>
      <c r="B14" s="71">
        <f>IF($N14="","",IF($O14="Sub","      ↳  "&amp;INDEX('Cronograma R. Normativo'!$C$5:$C$1000,$N14),INDEX('Cronograma R. Normativo'!$C$5:$C$1000,$N14)&amp;""))</f>
        <v/>
      </c>
      <c r="C14" s="77">
        <f>IF($N14="","",IF(INDEX('Cronograma R. Normativo'!$D$5:$D$1000,$N14)="","",INDEX('Cronograma R. Normativo'!$D$5:$D$1000,$N14)))</f>
        <v/>
      </c>
      <c r="D14" s="77">
        <f>IF($N14="","",IF(INDEX('Cronograma R. Normativo'!$E$5:$E$1000,$N14)="","",INDEX('Cronograma R. Normativo'!$E$5:$E$1000,$N14)))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R. Normativo'!$Y$5:$Y$1000,$N14),""),IF(INDEX('Cronograma R. Normativo'!$G$5:$G$1000,$N14)="","",INDEX('Cronograma R. Normativo'!$G$5:$G$1000,$N14))))</f>
        <v/>
      </c>
      <c r="G14" s="68">
        <f>IF($N14="","",IF($P14&gt;0,IF(2&lt;=SemanaActual,INDEX('Cronograma R. Normativo'!$Z$5:$Z$1000,$N14),""),IF(INDEX('Cronograma R. Normativo'!$H$5:$H$1000,$N14)="","",INDEX('Cronograma R. Normativo'!$H$5:$H$1000,$N14))))</f>
        <v/>
      </c>
      <c r="H14" s="68">
        <f>IF($N14="","",IF($P14&gt;0,IF(3&lt;=SemanaActual,INDEX('Cronograma R. Normativo'!$AA$5:$AA$1000,$N14),""),IF(INDEX('Cronograma R. Normativo'!$I$5:$I$1000,$N14)="","",INDEX('Cronograma R. Normativo'!$I$5:$I$1000,$N14))))</f>
        <v/>
      </c>
      <c r="I14" s="68">
        <f>IF($N14="","",IF($P14&gt;0,IF(4&lt;=SemanaActual,INDEX('Cronograma R. Normativo'!$AB$5:$AB$1000,$N14),""),IF(INDEX('Cronograma R. Normativo'!$J$5:$J$1000,$N14)="","",INDEX('Cronograma R. Normativo'!$J$5:$J$1000,$N14))))</f>
        <v/>
      </c>
      <c r="J14" s="68">
        <f>IF($N14="","",INDEX('Cronograma R. Normativo'!$K$5:$K$1000,$N14))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R. Normativo'!$M$5:$M$1000,$N14)&amp;"")</f>
        <v/>
      </c>
      <c r="M14" s="71">
        <f>IF($N14="","",INDEX('Cronograma R. Normativo'!$N$5:$N$1000,$N14)&amp;"")</f>
        <v/>
      </c>
      <c r="N14">
        <f>IFERROR(MATCH(ROW()-4,rOrden_RN,0),"")</f>
        <v/>
      </c>
      <c r="O14">
        <f>IF($N14="","",INDEX('Cronograma R. Normativo'!$S$5:$S$1000,$N14))</f>
        <v/>
      </c>
      <c r="P14">
        <f>IF($N14="","",N(INDEX('Cronograma R. Normativo'!$T$5:$T$1000,$N14)))</f>
        <v/>
      </c>
    </row>
    <row r="15">
      <c r="A15" s="62">
        <f>IF($N15="","",INDEX('Cronograma R. Normativo'!$A$5:$A$1000,$N15))</f>
        <v/>
      </c>
      <c r="B15" s="71">
        <f>IF($N15="","",IF($O15="Sub","      ↳  "&amp;INDEX('Cronograma R. Normativo'!$C$5:$C$1000,$N15),INDEX('Cronograma R. Normativo'!$C$5:$C$1000,$N15)&amp;""))</f>
        <v/>
      </c>
      <c r="C15" s="77">
        <f>IF($N15="","",IF(INDEX('Cronograma R. Normativo'!$D$5:$D$1000,$N15)="","",INDEX('Cronograma R. Normativo'!$D$5:$D$1000,$N15)))</f>
        <v/>
      </c>
      <c r="D15" s="77">
        <f>IF($N15="","",IF(INDEX('Cronograma R. Normativo'!$E$5:$E$1000,$N15)="","",INDEX('Cronograma R. Normativo'!$E$5:$E$1000,$N15)))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R. Normativo'!$Y$5:$Y$1000,$N15),""),IF(INDEX('Cronograma R. Normativo'!$G$5:$G$1000,$N15)="","",INDEX('Cronograma R. Normativo'!$G$5:$G$1000,$N15))))</f>
        <v/>
      </c>
      <c r="G15" s="68">
        <f>IF($N15="","",IF($P15&gt;0,IF(2&lt;=SemanaActual,INDEX('Cronograma R. Normativo'!$Z$5:$Z$1000,$N15),""),IF(INDEX('Cronograma R. Normativo'!$H$5:$H$1000,$N15)="","",INDEX('Cronograma R. Normativo'!$H$5:$H$1000,$N15))))</f>
        <v/>
      </c>
      <c r="H15" s="68">
        <f>IF($N15="","",IF($P15&gt;0,IF(3&lt;=SemanaActual,INDEX('Cronograma R. Normativo'!$AA$5:$AA$1000,$N15),""),IF(INDEX('Cronograma R. Normativo'!$I$5:$I$1000,$N15)="","",INDEX('Cronograma R. Normativo'!$I$5:$I$1000,$N15))))</f>
        <v/>
      </c>
      <c r="I15" s="68">
        <f>IF($N15="","",IF($P15&gt;0,IF(4&lt;=SemanaActual,INDEX('Cronograma R. Normativo'!$AB$5:$AB$1000,$N15),""),IF(INDEX('Cronograma R. Normativo'!$J$5:$J$1000,$N15)="","",INDEX('Cronograma R. Normativo'!$J$5:$J$1000,$N15))))</f>
        <v/>
      </c>
      <c r="J15" s="68">
        <f>IF($N15="","",INDEX('Cronograma R. Normativo'!$K$5:$K$1000,$N15))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R. Normativo'!$M$5:$M$1000,$N15)&amp;"")</f>
        <v/>
      </c>
      <c r="M15" s="71">
        <f>IF($N15="","",INDEX('Cronograma R. Normativo'!$N$5:$N$1000,$N15)&amp;"")</f>
        <v/>
      </c>
      <c r="N15">
        <f>IFERROR(MATCH(ROW()-4,rOrden_RN,0),"")</f>
        <v/>
      </c>
      <c r="O15">
        <f>IF($N15="","",INDEX('Cronograma R. Normativo'!$S$5:$S$1000,$N15))</f>
        <v/>
      </c>
      <c r="P15">
        <f>IF($N15="","",N(INDEX('Cronograma R. Normativo'!$T$5:$T$1000,$N15)))</f>
        <v/>
      </c>
    </row>
    <row r="16">
      <c r="A16" s="62">
        <f>IF($N16="","",INDEX('Cronograma R. Normativo'!$A$5:$A$1000,$N16))</f>
        <v/>
      </c>
      <c r="B16" s="71">
        <f>IF($N16="","",IF($O16="Sub","      ↳  "&amp;INDEX('Cronograma R. Normativo'!$C$5:$C$1000,$N16),INDEX('Cronograma R. Normativo'!$C$5:$C$1000,$N16)&amp;""))</f>
        <v/>
      </c>
      <c r="C16" s="77">
        <f>IF($N16="","",IF(INDEX('Cronograma R. Normativo'!$D$5:$D$1000,$N16)="","",INDEX('Cronograma R. Normativo'!$D$5:$D$1000,$N16)))</f>
        <v/>
      </c>
      <c r="D16" s="77">
        <f>IF($N16="","",IF(INDEX('Cronograma R. Normativo'!$E$5:$E$1000,$N16)="","",INDEX('Cronograma R. Normativo'!$E$5:$E$1000,$N16)))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R. Normativo'!$Y$5:$Y$1000,$N16),""),IF(INDEX('Cronograma R. Normativo'!$G$5:$G$1000,$N16)="","",INDEX('Cronograma R. Normativo'!$G$5:$G$1000,$N16))))</f>
        <v/>
      </c>
      <c r="G16" s="68">
        <f>IF($N16="","",IF($P16&gt;0,IF(2&lt;=SemanaActual,INDEX('Cronograma R. Normativo'!$Z$5:$Z$1000,$N16),""),IF(INDEX('Cronograma R. Normativo'!$H$5:$H$1000,$N16)="","",INDEX('Cronograma R. Normativo'!$H$5:$H$1000,$N16))))</f>
        <v/>
      </c>
      <c r="H16" s="68">
        <f>IF($N16="","",IF($P16&gt;0,IF(3&lt;=SemanaActual,INDEX('Cronograma R. Normativo'!$AA$5:$AA$1000,$N16),""),IF(INDEX('Cronograma R. Normativo'!$I$5:$I$1000,$N16)="","",INDEX('Cronograma R. Normativo'!$I$5:$I$1000,$N16))))</f>
        <v/>
      </c>
      <c r="I16" s="68">
        <f>IF($N16="","",IF($P16&gt;0,IF(4&lt;=SemanaActual,INDEX('Cronograma R. Normativo'!$AB$5:$AB$1000,$N16),""),IF(INDEX('Cronograma R. Normativo'!$J$5:$J$1000,$N16)="","",INDEX('Cronograma R. Normativo'!$J$5:$J$1000,$N16))))</f>
        <v/>
      </c>
      <c r="J16" s="68">
        <f>IF($N16="","",INDEX('Cronograma R. Normativo'!$K$5:$K$1000,$N16))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R. Normativo'!$M$5:$M$1000,$N16)&amp;"")</f>
        <v/>
      </c>
      <c r="M16" s="71">
        <f>IF($N16="","",INDEX('Cronograma R. Normativo'!$N$5:$N$1000,$N16)&amp;"")</f>
        <v/>
      </c>
      <c r="N16">
        <f>IFERROR(MATCH(ROW()-4,rOrden_RN,0),"")</f>
        <v/>
      </c>
      <c r="O16">
        <f>IF($N16="","",INDEX('Cronograma R. Normativo'!$S$5:$S$1000,$N16))</f>
        <v/>
      </c>
      <c r="P16">
        <f>IF($N16="","",N(INDEX('Cronograma R. Normativo'!$T$5:$T$1000,$N16)))</f>
        <v/>
      </c>
    </row>
    <row r="17">
      <c r="A17" s="62">
        <f>IF($N17="","",INDEX('Cronograma R. Normativo'!$A$5:$A$1000,$N17))</f>
        <v/>
      </c>
      <c r="B17" s="71">
        <f>IF($N17="","",IF($O17="Sub","      ↳  "&amp;INDEX('Cronograma R. Normativo'!$C$5:$C$1000,$N17),INDEX('Cronograma R. Normativo'!$C$5:$C$1000,$N17)&amp;""))</f>
        <v/>
      </c>
      <c r="C17" s="77">
        <f>IF($N17="","",IF(INDEX('Cronograma R. Normativo'!$D$5:$D$1000,$N17)="","",INDEX('Cronograma R. Normativo'!$D$5:$D$1000,$N17)))</f>
        <v/>
      </c>
      <c r="D17" s="77">
        <f>IF($N17="","",IF(INDEX('Cronograma R. Normativo'!$E$5:$E$1000,$N17)="","",INDEX('Cronograma R. Normativo'!$E$5:$E$1000,$N17)))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R. Normativo'!$Y$5:$Y$1000,$N17),""),IF(INDEX('Cronograma R. Normativo'!$G$5:$G$1000,$N17)="","",INDEX('Cronograma R. Normativo'!$G$5:$G$1000,$N17))))</f>
        <v/>
      </c>
      <c r="G17" s="68">
        <f>IF($N17="","",IF($P17&gt;0,IF(2&lt;=SemanaActual,INDEX('Cronograma R. Normativo'!$Z$5:$Z$1000,$N17),""),IF(INDEX('Cronograma R. Normativo'!$H$5:$H$1000,$N17)="","",INDEX('Cronograma R. Normativo'!$H$5:$H$1000,$N17))))</f>
        <v/>
      </c>
      <c r="H17" s="68">
        <f>IF($N17="","",IF($P17&gt;0,IF(3&lt;=SemanaActual,INDEX('Cronograma R. Normativo'!$AA$5:$AA$1000,$N17),""),IF(INDEX('Cronograma R. Normativo'!$I$5:$I$1000,$N17)="","",INDEX('Cronograma R. Normativo'!$I$5:$I$1000,$N17))))</f>
        <v/>
      </c>
      <c r="I17" s="68">
        <f>IF($N17="","",IF($P17&gt;0,IF(4&lt;=SemanaActual,INDEX('Cronograma R. Normativo'!$AB$5:$AB$1000,$N17),""),IF(INDEX('Cronograma R. Normativo'!$J$5:$J$1000,$N17)="","",INDEX('Cronograma R. Normativo'!$J$5:$J$1000,$N17))))</f>
        <v/>
      </c>
      <c r="J17" s="68">
        <f>IF($N17="","",INDEX('Cronograma R. Normativo'!$K$5:$K$1000,$N17))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R. Normativo'!$M$5:$M$1000,$N17)&amp;"")</f>
        <v/>
      </c>
      <c r="M17" s="71">
        <f>IF($N17="","",INDEX('Cronograma R. Normativo'!$N$5:$N$1000,$N17)&amp;"")</f>
        <v/>
      </c>
      <c r="N17">
        <f>IFERROR(MATCH(ROW()-4,rOrden_RN,0),"")</f>
        <v/>
      </c>
      <c r="O17">
        <f>IF($N17="","",INDEX('Cronograma R. Normativo'!$S$5:$S$1000,$N17))</f>
        <v/>
      </c>
      <c r="P17">
        <f>IF($N17="","",N(INDEX('Cronograma R. Normativo'!$T$5:$T$1000,$N17)))</f>
        <v/>
      </c>
    </row>
    <row r="18">
      <c r="A18" s="62">
        <f>IF($N18="","",INDEX('Cronograma R. Normativo'!$A$5:$A$1000,$N18))</f>
        <v/>
      </c>
      <c r="B18" s="71">
        <f>IF($N18="","",IF($O18="Sub","      ↳  "&amp;INDEX('Cronograma R. Normativo'!$C$5:$C$1000,$N18),INDEX('Cronograma R. Normativo'!$C$5:$C$1000,$N18)&amp;""))</f>
        <v/>
      </c>
      <c r="C18" s="77">
        <f>IF($N18="","",IF(INDEX('Cronograma R. Normativo'!$D$5:$D$1000,$N18)="","",INDEX('Cronograma R. Normativo'!$D$5:$D$1000,$N18)))</f>
        <v/>
      </c>
      <c r="D18" s="77">
        <f>IF($N18="","",IF(INDEX('Cronograma R. Normativo'!$E$5:$E$1000,$N18)="","",INDEX('Cronograma R. Normativo'!$E$5:$E$1000,$N18)))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R. Normativo'!$Y$5:$Y$1000,$N18),""),IF(INDEX('Cronograma R. Normativo'!$G$5:$G$1000,$N18)="","",INDEX('Cronograma R. Normativo'!$G$5:$G$1000,$N18))))</f>
        <v/>
      </c>
      <c r="G18" s="68">
        <f>IF($N18="","",IF($P18&gt;0,IF(2&lt;=SemanaActual,INDEX('Cronograma R. Normativo'!$Z$5:$Z$1000,$N18),""),IF(INDEX('Cronograma R. Normativo'!$H$5:$H$1000,$N18)="","",INDEX('Cronograma R. Normativo'!$H$5:$H$1000,$N18))))</f>
        <v/>
      </c>
      <c r="H18" s="68">
        <f>IF($N18="","",IF($P18&gt;0,IF(3&lt;=SemanaActual,INDEX('Cronograma R. Normativo'!$AA$5:$AA$1000,$N18),""),IF(INDEX('Cronograma R. Normativo'!$I$5:$I$1000,$N18)="","",INDEX('Cronograma R. Normativo'!$I$5:$I$1000,$N18))))</f>
        <v/>
      </c>
      <c r="I18" s="68">
        <f>IF($N18="","",IF($P18&gt;0,IF(4&lt;=SemanaActual,INDEX('Cronograma R. Normativo'!$AB$5:$AB$1000,$N18),""),IF(INDEX('Cronograma R. Normativo'!$J$5:$J$1000,$N18)="","",INDEX('Cronograma R. Normativo'!$J$5:$J$1000,$N18))))</f>
        <v/>
      </c>
      <c r="J18" s="68">
        <f>IF($N18="","",INDEX('Cronograma R. Normativo'!$K$5:$K$1000,$N18))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R. Normativo'!$M$5:$M$1000,$N18)&amp;"")</f>
        <v/>
      </c>
      <c r="M18" s="71">
        <f>IF($N18="","",INDEX('Cronograma R. Normativo'!$N$5:$N$1000,$N18)&amp;"")</f>
        <v/>
      </c>
      <c r="N18">
        <f>IFERROR(MATCH(ROW()-4,rOrden_RN,0),"")</f>
        <v/>
      </c>
      <c r="O18">
        <f>IF($N18="","",INDEX('Cronograma R. Normativo'!$S$5:$S$1000,$N18))</f>
        <v/>
      </c>
      <c r="P18">
        <f>IF($N18="","",N(INDEX('Cronograma R. Normativo'!$T$5:$T$1000,$N18)))</f>
        <v/>
      </c>
    </row>
    <row r="19">
      <c r="A19" s="62">
        <f>IF($N19="","",INDEX('Cronograma R. Normativo'!$A$5:$A$1000,$N19))</f>
        <v/>
      </c>
      <c r="B19" s="71">
        <f>IF($N19="","",IF($O19="Sub","      ↳  "&amp;INDEX('Cronograma R. Normativo'!$C$5:$C$1000,$N19),INDEX('Cronograma R. Normativo'!$C$5:$C$1000,$N19)&amp;""))</f>
        <v/>
      </c>
      <c r="C19" s="77">
        <f>IF($N19="","",IF(INDEX('Cronograma R. Normativo'!$D$5:$D$1000,$N19)="","",INDEX('Cronograma R. Normativo'!$D$5:$D$1000,$N19)))</f>
        <v/>
      </c>
      <c r="D19" s="77">
        <f>IF($N19="","",IF(INDEX('Cronograma R. Normativo'!$E$5:$E$1000,$N19)="","",INDEX('Cronograma R. Normativo'!$E$5:$E$1000,$N19)))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R. Normativo'!$Y$5:$Y$1000,$N19),""),IF(INDEX('Cronograma R. Normativo'!$G$5:$G$1000,$N19)="","",INDEX('Cronograma R. Normativo'!$G$5:$G$1000,$N19))))</f>
        <v/>
      </c>
      <c r="G19" s="68">
        <f>IF($N19="","",IF($P19&gt;0,IF(2&lt;=SemanaActual,INDEX('Cronograma R. Normativo'!$Z$5:$Z$1000,$N19),""),IF(INDEX('Cronograma R. Normativo'!$H$5:$H$1000,$N19)="","",INDEX('Cronograma R. Normativo'!$H$5:$H$1000,$N19))))</f>
        <v/>
      </c>
      <c r="H19" s="68">
        <f>IF($N19="","",IF($P19&gt;0,IF(3&lt;=SemanaActual,INDEX('Cronograma R. Normativo'!$AA$5:$AA$1000,$N19),""),IF(INDEX('Cronograma R. Normativo'!$I$5:$I$1000,$N19)="","",INDEX('Cronograma R. Normativo'!$I$5:$I$1000,$N19))))</f>
        <v/>
      </c>
      <c r="I19" s="68">
        <f>IF($N19="","",IF($P19&gt;0,IF(4&lt;=SemanaActual,INDEX('Cronograma R. Normativo'!$AB$5:$AB$1000,$N19),""),IF(INDEX('Cronograma R. Normativo'!$J$5:$J$1000,$N19)="","",INDEX('Cronograma R. Normativo'!$J$5:$J$1000,$N19))))</f>
        <v/>
      </c>
      <c r="J19" s="68">
        <f>IF($N19="","",INDEX('Cronograma R. Normativo'!$K$5:$K$1000,$N19))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R. Normativo'!$M$5:$M$1000,$N19)&amp;"")</f>
        <v/>
      </c>
      <c r="M19" s="71">
        <f>IF($N19="","",INDEX('Cronograma R. Normativo'!$N$5:$N$1000,$N19)&amp;"")</f>
        <v/>
      </c>
      <c r="N19">
        <f>IFERROR(MATCH(ROW()-4,rOrden_RN,0),"")</f>
        <v/>
      </c>
      <c r="O19">
        <f>IF($N19="","",INDEX('Cronograma R. Normativo'!$S$5:$S$1000,$N19))</f>
        <v/>
      </c>
      <c r="P19">
        <f>IF($N19="","",N(INDEX('Cronograma R. Normativo'!$T$5:$T$1000,$N19)))</f>
        <v/>
      </c>
    </row>
    <row r="20">
      <c r="A20" s="62">
        <f>IF($N20="","",INDEX('Cronograma R. Normativo'!$A$5:$A$1000,$N20))</f>
        <v/>
      </c>
      <c r="B20" s="71">
        <f>IF($N20="","",IF($O20="Sub","      ↳  "&amp;INDEX('Cronograma R. Normativo'!$C$5:$C$1000,$N20),INDEX('Cronograma R. Normativo'!$C$5:$C$1000,$N20)&amp;""))</f>
        <v/>
      </c>
      <c r="C20" s="77">
        <f>IF($N20="","",IF(INDEX('Cronograma R. Normativo'!$D$5:$D$1000,$N20)="","",INDEX('Cronograma R. Normativo'!$D$5:$D$1000,$N20)))</f>
        <v/>
      </c>
      <c r="D20" s="77">
        <f>IF($N20="","",IF(INDEX('Cronograma R. Normativo'!$E$5:$E$1000,$N20)="","",INDEX('Cronograma R. Normativo'!$E$5:$E$1000,$N20)))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R. Normativo'!$Y$5:$Y$1000,$N20),""),IF(INDEX('Cronograma R. Normativo'!$G$5:$G$1000,$N20)="","",INDEX('Cronograma R. Normativo'!$G$5:$G$1000,$N20))))</f>
        <v/>
      </c>
      <c r="G20" s="68">
        <f>IF($N20="","",IF($P20&gt;0,IF(2&lt;=SemanaActual,INDEX('Cronograma R. Normativo'!$Z$5:$Z$1000,$N20),""),IF(INDEX('Cronograma R. Normativo'!$H$5:$H$1000,$N20)="","",INDEX('Cronograma R. Normativo'!$H$5:$H$1000,$N20))))</f>
        <v/>
      </c>
      <c r="H20" s="68">
        <f>IF($N20="","",IF($P20&gt;0,IF(3&lt;=SemanaActual,INDEX('Cronograma R. Normativo'!$AA$5:$AA$1000,$N20),""),IF(INDEX('Cronograma R. Normativo'!$I$5:$I$1000,$N20)="","",INDEX('Cronograma R. Normativo'!$I$5:$I$1000,$N20))))</f>
        <v/>
      </c>
      <c r="I20" s="68">
        <f>IF($N20="","",IF($P20&gt;0,IF(4&lt;=SemanaActual,INDEX('Cronograma R. Normativo'!$AB$5:$AB$1000,$N20),""),IF(INDEX('Cronograma R. Normativo'!$J$5:$J$1000,$N20)="","",INDEX('Cronograma R. Normativo'!$J$5:$J$1000,$N20))))</f>
        <v/>
      </c>
      <c r="J20" s="68">
        <f>IF($N20="","",INDEX('Cronograma R. Normativo'!$K$5:$K$1000,$N20))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R. Normativo'!$M$5:$M$1000,$N20)&amp;"")</f>
        <v/>
      </c>
      <c r="M20" s="71">
        <f>IF($N20="","",INDEX('Cronograma R. Normativo'!$N$5:$N$1000,$N20)&amp;"")</f>
        <v/>
      </c>
      <c r="N20">
        <f>IFERROR(MATCH(ROW()-4,rOrden_RN,0),"")</f>
        <v/>
      </c>
      <c r="O20">
        <f>IF($N20="","",INDEX('Cronograma R. Normativo'!$S$5:$S$1000,$N20))</f>
        <v/>
      </c>
      <c r="P20">
        <f>IF($N20="","",N(INDEX('Cronograma R. Normativo'!$T$5:$T$1000,$N20)))</f>
        <v/>
      </c>
    </row>
    <row r="21">
      <c r="A21" s="62">
        <f>IF($N21="","",INDEX('Cronograma R. Normativo'!$A$5:$A$1000,$N21))</f>
        <v/>
      </c>
      <c r="B21" s="71">
        <f>IF($N21="","",IF($O21="Sub","      ↳  "&amp;INDEX('Cronograma R. Normativo'!$C$5:$C$1000,$N21),INDEX('Cronograma R. Normativo'!$C$5:$C$1000,$N21)&amp;""))</f>
        <v/>
      </c>
      <c r="C21" s="77">
        <f>IF($N21="","",IF(INDEX('Cronograma R. Normativo'!$D$5:$D$1000,$N21)="","",INDEX('Cronograma R. Normativo'!$D$5:$D$1000,$N21)))</f>
        <v/>
      </c>
      <c r="D21" s="77">
        <f>IF($N21="","",IF(INDEX('Cronograma R. Normativo'!$E$5:$E$1000,$N21)="","",INDEX('Cronograma R. Normativo'!$E$5:$E$1000,$N21)))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R. Normativo'!$Y$5:$Y$1000,$N21),""),IF(INDEX('Cronograma R. Normativo'!$G$5:$G$1000,$N21)="","",INDEX('Cronograma R. Normativo'!$G$5:$G$1000,$N21))))</f>
        <v/>
      </c>
      <c r="G21" s="68">
        <f>IF($N21="","",IF($P21&gt;0,IF(2&lt;=SemanaActual,INDEX('Cronograma R. Normativo'!$Z$5:$Z$1000,$N21),""),IF(INDEX('Cronograma R. Normativo'!$H$5:$H$1000,$N21)="","",INDEX('Cronograma R. Normativo'!$H$5:$H$1000,$N21))))</f>
        <v/>
      </c>
      <c r="H21" s="68">
        <f>IF($N21="","",IF($P21&gt;0,IF(3&lt;=SemanaActual,INDEX('Cronograma R. Normativo'!$AA$5:$AA$1000,$N21),""),IF(INDEX('Cronograma R. Normativo'!$I$5:$I$1000,$N21)="","",INDEX('Cronograma R. Normativo'!$I$5:$I$1000,$N21))))</f>
        <v/>
      </c>
      <c r="I21" s="68">
        <f>IF($N21="","",IF($P21&gt;0,IF(4&lt;=SemanaActual,INDEX('Cronograma R. Normativo'!$AB$5:$AB$1000,$N21),""),IF(INDEX('Cronograma R. Normativo'!$J$5:$J$1000,$N21)="","",INDEX('Cronograma R. Normativo'!$J$5:$J$1000,$N21))))</f>
        <v/>
      </c>
      <c r="J21" s="68">
        <f>IF($N21="","",INDEX('Cronograma R. Normativo'!$K$5:$K$1000,$N21))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R. Normativo'!$M$5:$M$1000,$N21)&amp;"")</f>
        <v/>
      </c>
      <c r="M21" s="71">
        <f>IF($N21="","",INDEX('Cronograma R. Normativo'!$N$5:$N$1000,$N21)&amp;"")</f>
        <v/>
      </c>
      <c r="N21">
        <f>IFERROR(MATCH(ROW()-4,rOrden_RN,0),"")</f>
        <v/>
      </c>
      <c r="O21">
        <f>IF($N21="","",INDEX('Cronograma R. Normativo'!$S$5:$S$1000,$N21))</f>
        <v/>
      </c>
      <c r="P21">
        <f>IF($N21="","",N(INDEX('Cronograma R. Normativo'!$T$5:$T$1000,$N21)))</f>
        <v/>
      </c>
    </row>
    <row r="22">
      <c r="A22" s="62">
        <f>IF($N22="","",INDEX('Cronograma R. Normativo'!$A$5:$A$1000,$N22))</f>
        <v/>
      </c>
      <c r="B22" s="71">
        <f>IF($N22="","",IF($O22="Sub","      ↳  "&amp;INDEX('Cronograma R. Normativo'!$C$5:$C$1000,$N22),INDEX('Cronograma R. Normativo'!$C$5:$C$1000,$N22)&amp;""))</f>
        <v/>
      </c>
      <c r="C22" s="77">
        <f>IF($N22="","",IF(INDEX('Cronograma R. Normativo'!$D$5:$D$1000,$N22)="","",INDEX('Cronograma R. Normativo'!$D$5:$D$1000,$N22)))</f>
        <v/>
      </c>
      <c r="D22" s="77">
        <f>IF($N22="","",IF(INDEX('Cronograma R. Normativo'!$E$5:$E$1000,$N22)="","",INDEX('Cronograma R. Normativo'!$E$5:$E$1000,$N22)))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R. Normativo'!$Y$5:$Y$1000,$N22),""),IF(INDEX('Cronograma R. Normativo'!$G$5:$G$1000,$N22)="","",INDEX('Cronograma R. Normativo'!$G$5:$G$1000,$N22))))</f>
        <v/>
      </c>
      <c r="G22" s="68">
        <f>IF($N22="","",IF($P22&gt;0,IF(2&lt;=SemanaActual,INDEX('Cronograma R. Normativo'!$Z$5:$Z$1000,$N22),""),IF(INDEX('Cronograma R. Normativo'!$H$5:$H$1000,$N22)="","",INDEX('Cronograma R. Normativo'!$H$5:$H$1000,$N22))))</f>
        <v/>
      </c>
      <c r="H22" s="68">
        <f>IF($N22="","",IF($P22&gt;0,IF(3&lt;=SemanaActual,INDEX('Cronograma R. Normativo'!$AA$5:$AA$1000,$N22),""),IF(INDEX('Cronograma R. Normativo'!$I$5:$I$1000,$N22)="","",INDEX('Cronograma R. Normativo'!$I$5:$I$1000,$N22))))</f>
        <v/>
      </c>
      <c r="I22" s="68">
        <f>IF($N22="","",IF($P22&gt;0,IF(4&lt;=SemanaActual,INDEX('Cronograma R. Normativo'!$AB$5:$AB$1000,$N22),""),IF(INDEX('Cronograma R. Normativo'!$J$5:$J$1000,$N22)="","",INDEX('Cronograma R. Normativo'!$J$5:$J$1000,$N22))))</f>
        <v/>
      </c>
      <c r="J22" s="68">
        <f>IF($N22="","",INDEX('Cronograma R. Normativo'!$K$5:$K$1000,$N22))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R. Normativo'!$M$5:$M$1000,$N22)&amp;"")</f>
        <v/>
      </c>
      <c r="M22" s="71">
        <f>IF($N22="","",INDEX('Cronograma R. Normativo'!$N$5:$N$1000,$N22)&amp;"")</f>
        <v/>
      </c>
      <c r="N22">
        <f>IFERROR(MATCH(ROW()-4,rOrden_RN,0),"")</f>
        <v/>
      </c>
      <c r="O22">
        <f>IF($N22="","",INDEX('Cronograma R. Normativo'!$S$5:$S$1000,$N22))</f>
        <v/>
      </c>
      <c r="P22">
        <f>IF($N22="","",N(INDEX('Cronograma R. Normativo'!$T$5:$T$1000,$N22)))</f>
        <v/>
      </c>
    </row>
    <row r="23">
      <c r="A23" s="62">
        <f>IF($N23="","",INDEX('Cronograma R. Normativo'!$A$5:$A$1000,$N23))</f>
        <v/>
      </c>
      <c r="B23" s="71">
        <f>IF($N23="","",IF($O23="Sub","      ↳  "&amp;INDEX('Cronograma R. Normativo'!$C$5:$C$1000,$N23),INDEX('Cronograma R. Normativo'!$C$5:$C$1000,$N23)&amp;""))</f>
        <v/>
      </c>
      <c r="C23" s="77">
        <f>IF($N23="","",IF(INDEX('Cronograma R. Normativo'!$D$5:$D$1000,$N23)="","",INDEX('Cronograma R. Normativo'!$D$5:$D$1000,$N23)))</f>
        <v/>
      </c>
      <c r="D23" s="77">
        <f>IF($N23="","",IF(INDEX('Cronograma R. Normativo'!$E$5:$E$1000,$N23)="","",INDEX('Cronograma R. Normativo'!$E$5:$E$1000,$N23)))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R. Normativo'!$Y$5:$Y$1000,$N23),""),IF(INDEX('Cronograma R. Normativo'!$G$5:$G$1000,$N23)="","",INDEX('Cronograma R. Normativo'!$G$5:$G$1000,$N23))))</f>
        <v/>
      </c>
      <c r="G23" s="68">
        <f>IF($N23="","",IF($P23&gt;0,IF(2&lt;=SemanaActual,INDEX('Cronograma R. Normativo'!$Z$5:$Z$1000,$N23),""),IF(INDEX('Cronograma R. Normativo'!$H$5:$H$1000,$N23)="","",INDEX('Cronograma R. Normativo'!$H$5:$H$1000,$N23))))</f>
        <v/>
      </c>
      <c r="H23" s="68">
        <f>IF($N23="","",IF($P23&gt;0,IF(3&lt;=SemanaActual,INDEX('Cronograma R. Normativo'!$AA$5:$AA$1000,$N23),""),IF(INDEX('Cronograma R. Normativo'!$I$5:$I$1000,$N23)="","",INDEX('Cronograma R. Normativo'!$I$5:$I$1000,$N23))))</f>
        <v/>
      </c>
      <c r="I23" s="68">
        <f>IF($N23="","",IF($P23&gt;0,IF(4&lt;=SemanaActual,INDEX('Cronograma R. Normativo'!$AB$5:$AB$1000,$N23),""),IF(INDEX('Cronograma R. Normativo'!$J$5:$J$1000,$N23)="","",INDEX('Cronograma R. Normativo'!$J$5:$J$1000,$N23))))</f>
        <v/>
      </c>
      <c r="J23" s="68">
        <f>IF($N23="","",INDEX('Cronograma R. Normativo'!$K$5:$K$1000,$N23))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R. Normativo'!$M$5:$M$1000,$N23)&amp;"")</f>
        <v/>
      </c>
      <c r="M23" s="71">
        <f>IF($N23="","",INDEX('Cronograma R. Normativo'!$N$5:$N$1000,$N23)&amp;"")</f>
        <v/>
      </c>
      <c r="N23">
        <f>IFERROR(MATCH(ROW()-4,rOrden_RN,0),"")</f>
        <v/>
      </c>
      <c r="O23">
        <f>IF($N23="","",INDEX('Cronograma R. Normativo'!$S$5:$S$1000,$N23))</f>
        <v/>
      </c>
      <c r="P23">
        <f>IF($N23="","",N(INDEX('Cronograma R. Normativo'!$T$5:$T$1000,$N23)))</f>
        <v/>
      </c>
    </row>
    <row r="24">
      <c r="A24" s="62">
        <f>IF($N24="","",INDEX('Cronograma R. Normativo'!$A$5:$A$1000,$N24))</f>
        <v/>
      </c>
      <c r="B24" s="71">
        <f>IF($N24="","",IF($O24="Sub","      ↳  "&amp;INDEX('Cronograma R. Normativo'!$C$5:$C$1000,$N24),INDEX('Cronograma R. Normativo'!$C$5:$C$1000,$N24)&amp;""))</f>
        <v/>
      </c>
      <c r="C24" s="77">
        <f>IF($N24="","",IF(INDEX('Cronograma R. Normativo'!$D$5:$D$1000,$N24)="","",INDEX('Cronograma R. Normativo'!$D$5:$D$1000,$N24)))</f>
        <v/>
      </c>
      <c r="D24" s="77">
        <f>IF($N24="","",IF(INDEX('Cronograma R. Normativo'!$E$5:$E$1000,$N24)="","",INDEX('Cronograma R. Normativo'!$E$5:$E$1000,$N24)))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R. Normativo'!$Y$5:$Y$1000,$N24),""),IF(INDEX('Cronograma R. Normativo'!$G$5:$G$1000,$N24)="","",INDEX('Cronograma R. Normativo'!$G$5:$G$1000,$N24))))</f>
        <v/>
      </c>
      <c r="G24" s="68">
        <f>IF($N24="","",IF($P24&gt;0,IF(2&lt;=SemanaActual,INDEX('Cronograma R. Normativo'!$Z$5:$Z$1000,$N24),""),IF(INDEX('Cronograma R. Normativo'!$H$5:$H$1000,$N24)="","",INDEX('Cronograma R. Normativo'!$H$5:$H$1000,$N24))))</f>
        <v/>
      </c>
      <c r="H24" s="68">
        <f>IF($N24="","",IF($P24&gt;0,IF(3&lt;=SemanaActual,INDEX('Cronograma R. Normativo'!$AA$5:$AA$1000,$N24),""),IF(INDEX('Cronograma R. Normativo'!$I$5:$I$1000,$N24)="","",INDEX('Cronograma R. Normativo'!$I$5:$I$1000,$N24))))</f>
        <v/>
      </c>
      <c r="I24" s="68">
        <f>IF($N24="","",IF($P24&gt;0,IF(4&lt;=SemanaActual,INDEX('Cronograma R. Normativo'!$AB$5:$AB$1000,$N24),""),IF(INDEX('Cronograma R. Normativo'!$J$5:$J$1000,$N24)="","",INDEX('Cronograma R. Normativo'!$J$5:$J$1000,$N24))))</f>
        <v/>
      </c>
      <c r="J24" s="68">
        <f>IF($N24="","",INDEX('Cronograma R. Normativo'!$K$5:$K$1000,$N24))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R. Normativo'!$M$5:$M$1000,$N24)&amp;"")</f>
        <v/>
      </c>
      <c r="M24" s="71">
        <f>IF($N24="","",INDEX('Cronograma R. Normativo'!$N$5:$N$1000,$N24)&amp;"")</f>
        <v/>
      </c>
      <c r="N24">
        <f>IFERROR(MATCH(ROW()-4,rOrden_RN,0),"")</f>
        <v/>
      </c>
      <c r="O24">
        <f>IF($N24="","",INDEX('Cronograma R. Normativo'!$S$5:$S$1000,$N24))</f>
        <v/>
      </c>
      <c r="P24">
        <f>IF($N24="","",N(INDEX('Cronograma R. Normativo'!$T$5:$T$1000,$N24)))</f>
        <v/>
      </c>
    </row>
    <row r="25">
      <c r="A25" s="62">
        <f>IF($N25="","",INDEX('Cronograma R. Normativo'!$A$5:$A$1000,$N25))</f>
        <v/>
      </c>
      <c r="B25" s="71">
        <f>IF($N25="","",IF($O25="Sub","      ↳  "&amp;INDEX('Cronograma R. Normativo'!$C$5:$C$1000,$N25),INDEX('Cronograma R. Normativo'!$C$5:$C$1000,$N25)&amp;""))</f>
        <v/>
      </c>
      <c r="C25" s="77">
        <f>IF($N25="","",IF(INDEX('Cronograma R. Normativo'!$D$5:$D$1000,$N25)="","",INDEX('Cronograma R. Normativo'!$D$5:$D$1000,$N25)))</f>
        <v/>
      </c>
      <c r="D25" s="77">
        <f>IF($N25="","",IF(INDEX('Cronograma R. Normativo'!$E$5:$E$1000,$N25)="","",INDEX('Cronograma R. Normativo'!$E$5:$E$1000,$N25)))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R. Normativo'!$Y$5:$Y$1000,$N25),""),IF(INDEX('Cronograma R. Normativo'!$G$5:$G$1000,$N25)="","",INDEX('Cronograma R. Normativo'!$G$5:$G$1000,$N25))))</f>
        <v/>
      </c>
      <c r="G25" s="68">
        <f>IF($N25="","",IF($P25&gt;0,IF(2&lt;=SemanaActual,INDEX('Cronograma R. Normativo'!$Z$5:$Z$1000,$N25),""),IF(INDEX('Cronograma R. Normativo'!$H$5:$H$1000,$N25)="","",INDEX('Cronograma R. Normativo'!$H$5:$H$1000,$N25))))</f>
        <v/>
      </c>
      <c r="H25" s="68">
        <f>IF($N25="","",IF($P25&gt;0,IF(3&lt;=SemanaActual,INDEX('Cronograma R. Normativo'!$AA$5:$AA$1000,$N25),""),IF(INDEX('Cronograma R. Normativo'!$I$5:$I$1000,$N25)="","",INDEX('Cronograma R. Normativo'!$I$5:$I$1000,$N25))))</f>
        <v/>
      </c>
      <c r="I25" s="68">
        <f>IF($N25="","",IF($P25&gt;0,IF(4&lt;=SemanaActual,INDEX('Cronograma R. Normativo'!$AB$5:$AB$1000,$N25),""),IF(INDEX('Cronograma R. Normativo'!$J$5:$J$1000,$N25)="","",INDEX('Cronograma R. Normativo'!$J$5:$J$1000,$N25))))</f>
        <v/>
      </c>
      <c r="J25" s="68">
        <f>IF($N25="","",INDEX('Cronograma R. Normativo'!$K$5:$K$1000,$N25))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R. Normativo'!$M$5:$M$1000,$N25)&amp;"")</f>
        <v/>
      </c>
      <c r="M25" s="71">
        <f>IF($N25="","",INDEX('Cronograma R. Normativo'!$N$5:$N$1000,$N25)&amp;"")</f>
        <v/>
      </c>
      <c r="N25">
        <f>IFERROR(MATCH(ROW()-4,rOrden_RN,0),"")</f>
        <v/>
      </c>
      <c r="O25">
        <f>IF($N25="","",INDEX('Cronograma R. Normativo'!$S$5:$S$1000,$N25))</f>
        <v/>
      </c>
      <c r="P25">
        <f>IF($N25="","",N(INDEX('Cronograma R. Normativo'!$T$5:$T$1000,$N25)))</f>
        <v/>
      </c>
    </row>
    <row r="26">
      <c r="A26" s="62">
        <f>IF($N26="","",INDEX('Cronograma R. Normativo'!$A$5:$A$1000,$N26))</f>
        <v/>
      </c>
      <c r="B26" s="71">
        <f>IF($N26="","",IF($O26="Sub","      ↳  "&amp;INDEX('Cronograma R. Normativo'!$C$5:$C$1000,$N26),INDEX('Cronograma R. Normativo'!$C$5:$C$1000,$N26)&amp;""))</f>
        <v/>
      </c>
      <c r="C26" s="77">
        <f>IF($N26="","",IF(INDEX('Cronograma R. Normativo'!$D$5:$D$1000,$N26)="","",INDEX('Cronograma R. Normativo'!$D$5:$D$1000,$N26)))</f>
        <v/>
      </c>
      <c r="D26" s="77">
        <f>IF($N26="","",IF(INDEX('Cronograma R. Normativo'!$E$5:$E$1000,$N26)="","",INDEX('Cronograma R. Normativo'!$E$5:$E$1000,$N26)))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R. Normativo'!$Y$5:$Y$1000,$N26),""),IF(INDEX('Cronograma R. Normativo'!$G$5:$G$1000,$N26)="","",INDEX('Cronograma R. Normativo'!$G$5:$G$1000,$N26))))</f>
        <v/>
      </c>
      <c r="G26" s="68">
        <f>IF($N26="","",IF($P26&gt;0,IF(2&lt;=SemanaActual,INDEX('Cronograma R. Normativo'!$Z$5:$Z$1000,$N26),""),IF(INDEX('Cronograma R. Normativo'!$H$5:$H$1000,$N26)="","",INDEX('Cronograma R. Normativo'!$H$5:$H$1000,$N26))))</f>
        <v/>
      </c>
      <c r="H26" s="68">
        <f>IF($N26="","",IF($P26&gt;0,IF(3&lt;=SemanaActual,INDEX('Cronograma R. Normativo'!$AA$5:$AA$1000,$N26),""),IF(INDEX('Cronograma R. Normativo'!$I$5:$I$1000,$N26)="","",INDEX('Cronograma R. Normativo'!$I$5:$I$1000,$N26))))</f>
        <v/>
      </c>
      <c r="I26" s="68">
        <f>IF($N26="","",IF($P26&gt;0,IF(4&lt;=SemanaActual,INDEX('Cronograma R. Normativo'!$AB$5:$AB$1000,$N26),""),IF(INDEX('Cronograma R. Normativo'!$J$5:$J$1000,$N26)="","",INDEX('Cronograma R. Normativo'!$J$5:$J$1000,$N26))))</f>
        <v/>
      </c>
      <c r="J26" s="68">
        <f>IF($N26="","",INDEX('Cronograma R. Normativo'!$K$5:$K$1000,$N26))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R. Normativo'!$M$5:$M$1000,$N26)&amp;"")</f>
        <v/>
      </c>
      <c r="M26" s="71">
        <f>IF($N26="","",INDEX('Cronograma R. Normativo'!$N$5:$N$1000,$N26)&amp;"")</f>
        <v/>
      </c>
      <c r="N26">
        <f>IFERROR(MATCH(ROW()-4,rOrden_RN,0),"")</f>
        <v/>
      </c>
      <c r="O26">
        <f>IF($N26="","",INDEX('Cronograma R. Normativo'!$S$5:$S$1000,$N26))</f>
        <v/>
      </c>
      <c r="P26">
        <f>IF($N26="","",N(INDEX('Cronograma R. Normativo'!$T$5:$T$1000,$N26)))</f>
        <v/>
      </c>
    </row>
    <row r="27">
      <c r="A27" s="62">
        <f>IF($N27="","",INDEX('Cronograma R. Normativo'!$A$5:$A$1000,$N27))</f>
        <v/>
      </c>
      <c r="B27" s="71">
        <f>IF($N27="","",IF($O27="Sub","      ↳  "&amp;INDEX('Cronograma R. Normativo'!$C$5:$C$1000,$N27),INDEX('Cronograma R. Normativo'!$C$5:$C$1000,$N27)&amp;""))</f>
        <v/>
      </c>
      <c r="C27" s="77">
        <f>IF($N27="","",IF(INDEX('Cronograma R. Normativo'!$D$5:$D$1000,$N27)="","",INDEX('Cronograma R. Normativo'!$D$5:$D$1000,$N27)))</f>
        <v/>
      </c>
      <c r="D27" s="77">
        <f>IF($N27="","",IF(INDEX('Cronograma R. Normativo'!$E$5:$E$1000,$N27)="","",INDEX('Cronograma R. Normativo'!$E$5:$E$1000,$N27)))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R. Normativo'!$Y$5:$Y$1000,$N27),""),IF(INDEX('Cronograma R. Normativo'!$G$5:$G$1000,$N27)="","",INDEX('Cronograma R. Normativo'!$G$5:$G$1000,$N27))))</f>
        <v/>
      </c>
      <c r="G27" s="68">
        <f>IF($N27="","",IF($P27&gt;0,IF(2&lt;=SemanaActual,INDEX('Cronograma R. Normativo'!$Z$5:$Z$1000,$N27),""),IF(INDEX('Cronograma R. Normativo'!$H$5:$H$1000,$N27)="","",INDEX('Cronograma R. Normativo'!$H$5:$H$1000,$N27))))</f>
        <v/>
      </c>
      <c r="H27" s="68">
        <f>IF($N27="","",IF($P27&gt;0,IF(3&lt;=SemanaActual,INDEX('Cronograma R. Normativo'!$AA$5:$AA$1000,$N27),""),IF(INDEX('Cronograma R. Normativo'!$I$5:$I$1000,$N27)="","",INDEX('Cronograma R. Normativo'!$I$5:$I$1000,$N27))))</f>
        <v/>
      </c>
      <c r="I27" s="68">
        <f>IF($N27="","",IF($P27&gt;0,IF(4&lt;=SemanaActual,INDEX('Cronograma R. Normativo'!$AB$5:$AB$1000,$N27),""),IF(INDEX('Cronograma R. Normativo'!$J$5:$J$1000,$N27)="","",INDEX('Cronograma R. Normativo'!$J$5:$J$1000,$N27))))</f>
        <v/>
      </c>
      <c r="J27" s="68">
        <f>IF($N27="","",INDEX('Cronograma R. Normativo'!$K$5:$K$1000,$N27))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R. Normativo'!$M$5:$M$1000,$N27)&amp;"")</f>
        <v/>
      </c>
      <c r="M27" s="71">
        <f>IF($N27="","",INDEX('Cronograma R. Normativo'!$N$5:$N$1000,$N27)&amp;"")</f>
        <v/>
      </c>
      <c r="N27">
        <f>IFERROR(MATCH(ROW()-4,rOrden_RN,0),"")</f>
        <v/>
      </c>
      <c r="O27">
        <f>IF($N27="","",INDEX('Cronograma R. Normativo'!$S$5:$S$1000,$N27))</f>
        <v/>
      </c>
      <c r="P27">
        <f>IF($N27="","",N(INDEX('Cronograma R. Normativo'!$T$5:$T$1000,$N27)))</f>
        <v/>
      </c>
    </row>
    <row r="28">
      <c r="A28" s="62">
        <f>IF($N28="","",INDEX('Cronograma R. Normativo'!$A$5:$A$1000,$N28))</f>
        <v/>
      </c>
      <c r="B28" s="71">
        <f>IF($N28="","",IF($O28="Sub","      ↳  "&amp;INDEX('Cronograma R. Normativo'!$C$5:$C$1000,$N28),INDEX('Cronograma R. Normativo'!$C$5:$C$1000,$N28)&amp;""))</f>
        <v/>
      </c>
      <c r="C28" s="77">
        <f>IF($N28="","",IF(INDEX('Cronograma R. Normativo'!$D$5:$D$1000,$N28)="","",INDEX('Cronograma R. Normativo'!$D$5:$D$1000,$N28)))</f>
        <v/>
      </c>
      <c r="D28" s="77">
        <f>IF($N28="","",IF(INDEX('Cronograma R. Normativo'!$E$5:$E$1000,$N28)="","",INDEX('Cronograma R. Normativo'!$E$5:$E$1000,$N28)))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R. Normativo'!$Y$5:$Y$1000,$N28),""),IF(INDEX('Cronograma R. Normativo'!$G$5:$G$1000,$N28)="","",INDEX('Cronograma R. Normativo'!$G$5:$G$1000,$N28))))</f>
        <v/>
      </c>
      <c r="G28" s="68">
        <f>IF($N28="","",IF($P28&gt;0,IF(2&lt;=SemanaActual,INDEX('Cronograma R. Normativo'!$Z$5:$Z$1000,$N28),""),IF(INDEX('Cronograma R. Normativo'!$H$5:$H$1000,$N28)="","",INDEX('Cronograma R. Normativo'!$H$5:$H$1000,$N28))))</f>
        <v/>
      </c>
      <c r="H28" s="68">
        <f>IF($N28="","",IF($P28&gt;0,IF(3&lt;=SemanaActual,INDEX('Cronograma R. Normativo'!$AA$5:$AA$1000,$N28),""),IF(INDEX('Cronograma R. Normativo'!$I$5:$I$1000,$N28)="","",INDEX('Cronograma R. Normativo'!$I$5:$I$1000,$N28))))</f>
        <v/>
      </c>
      <c r="I28" s="68">
        <f>IF($N28="","",IF($P28&gt;0,IF(4&lt;=SemanaActual,INDEX('Cronograma R. Normativo'!$AB$5:$AB$1000,$N28),""),IF(INDEX('Cronograma R. Normativo'!$J$5:$J$1000,$N28)="","",INDEX('Cronograma R. Normativo'!$J$5:$J$1000,$N28))))</f>
        <v/>
      </c>
      <c r="J28" s="68">
        <f>IF($N28="","",INDEX('Cronograma R. Normativo'!$K$5:$K$1000,$N28))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R. Normativo'!$M$5:$M$1000,$N28)&amp;"")</f>
        <v/>
      </c>
      <c r="M28" s="71">
        <f>IF($N28="","",INDEX('Cronograma R. Normativo'!$N$5:$N$1000,$N28)&amp;"")</f>
        <v/>
      </c>
      <c r="N28">
        <f>IFERROR(MATCH(ROW()-4,rOrden_RN,0),"")</f>
        <v/>
      </c>
      <c r="O28">
        <f>IF($N28="","",INDEX('Cronograma R. Normativo'!$S$5:$S$1000,$N28))</f>
        <v/>
      </c>
      <c r="P28">
        <f>IF($N28="","",N(INDEX('Cronograma R. Normativo'!$T$5:$T$1000,$N28)))</f>
        <v/>
      </c>
    </row>
    <row r="29">
      <c r="A29" s="62">
        <f>IF($N29="","",INDEX('Cronograma R. Normativo'!$A$5:$A$1000,$N29))</f>
        <v/>
      </c>
      <c r="B29" s="71">
        <f>IF($N29="","",IF($O29="Sub","      ↳  "&amp;INDEX('Cronograma R. Normativo'!$C$5:$C$1000,$N29),INDEX('Cronograma R. Normativo'!$C$5:$C$1000,$N29)&amp;""))</f>
        <v/>
      </c>
      <c r="C29" s="77">
        <f>IF($N29="","",IF(INDEX('Cronograma R. Normativo'!$D$5:$D$1000,$N29)="","",INDEX('Cronograma R. Normativo'!$D$5:$D$1000,$N29)))</f>
        <v/>
      </c>
      <c r="D29" s="77">
        <f>IF($N29="","",IF(INDEX('Cronograma R. Normativo'!$E$5:$E$1000,$N29)="","",INDEX('Cronograma R. Normativo'!$E$5:$E$1000,$N29)))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R. Normativo'!$Y$5:$Y$1000,$N29),""),IF(INDEX('Cronograma R. Normativo'!$G$5:$G$1000,$N29)="","",INDEX('Cronograma R. Normativo'!$G$5:$G$1000,$N29))))</f>
        <v/>
      </c>
      <c r="G29" s="68">
        <f>IF($N29="","",IF($P29&gt;0,IF(2&lt;=SemanaActual,INDEX('Cronograma R. Normativo'!$Z$5:$Z$1000,$N29),""),IF(INDEX('Cronograma R. Normativo'!$H$5:$H$1000,$N29)="","",INDEX('Cronograma R. Normativo'!$H$5:$H$1000,$N29))))</f>
        <v/>
      </c>
      <c r="H29" s="68">
        <f>IF($N29="","",IF($P29&gt;0,IF(3&lt;=SemanaActual,INDEX('Cronograma R. Normativo'!$AA$5:$AA$1000,$N29),""),IF(INDEX('Cronograma R. Normativo'!$I$5:$I$1000,$N29)="","",INDEX('Cronograma R. Normativo'!$I$5:$I$1000,$N29))))</f>
        <v/>
      </c>
      <c r="I29" s="68">
        <f>IF($N29="","",IF($P29&gt;0,IF(4&lt;=SemanaActual,INDEX('Cronograma R. Normativo'!$AB$5:$AB$1000,$N29),""),IF(INDEX('Cronograma R. Normativo'!$J$5:$J$1000,$N29)="","",INDEX('Cronograma R. Normativo'!$J$5:$J$1000,$N29))))</f>
        <v/>
      </c>
      <c r="J29" s="68">
        <f>IF($N29="","",INDEX('Cronograma R. Normativo'!$K$5:$K$1000,$N29))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R. Normativo'!$M$5:$M$1000,$N29)&amp;"")</f>
        <v/>
      </c>
      <c r="M29" s="71">
        <f>IF($N29="","",INDEX('Cronograma R. Normativo'!$N$5:$N$1000,$N29)&amp;"")</f>
        <v/>
      </c>
      <c r="N29">
        <f>IFERROR(MATCH(ROW()-4,rOrden_RN,0),"")</f>
        <v/>
      </c>
      <c r="O29">
        <f>IF($N29="","",INDEX('Cronograma R. Normativo'!$S$5:$S$1000,$N29))</f>
        <v/>
      </c>
      <c r="P29">
        <f>IF($N29="","",N(INDEX('Cronograma R. Normativo'!$T$5:$T$1000,$N29)))</f>
        <v/>
      </c>
    </row>
    <row r="30">
      <c r="A30" s="62">
        <f>IF($N30="","",INDEX('Cronograma R. Normativo'!$A$5:$A$1000,$N30))</f>
        <v/>
      </c>
      <c r="B30" s="71">
        <f>IF($N30="","",IF($O30="Sub","      ↳  "&amp;INDEX('Cronograma R. Normativo'!$C$5:$C$1000,$N30),INDEX('Cronograma R. Normativo'!$C$5:$C$1000,$N30)&amp;""))</f>
        <v/>
      </c>
      <c r="C30" s="77">
        <f>IF($N30="","",IF(INDEX('Cronograma R. Normativo'!$D$5:$D$1000,$N30)="","",INDEX('Cronograma R. Normativo'!$D$5:$D$1000,$N30)))</f>
        <v/>
      </c>
      <c r="D30" s="77">
        <f>IF($N30="","",IF(INDEX('Cronograma R. Normativo'!$E$5:$E$1000,$N30)="","",INDEX('Cronograma R. Normativo'!$E$5:$E$1000,$N30)))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R. Normativo'!$Y$5:$Y$1000,$N30),""),IF(INDEX('Cronograma R. Normativo'!$G$5:$G$1000,$N30)="","",INDEX('Cronograma R. Normativo'!$G$5:$G$1000,$N30))))</f>
        <v/>
      </c>
      <c r="G30" s="68">
        <f>IF($N30="","",IF($P30&gt;0,IF(2&lt;=SemanaActual,INDEX('Cronograma R. Normativo'!$Z$5:$Z$1000,$N30),""),IF(INDEX('Cronograma R. Normativo'!$H$5:$H$1000,$N30)="","",INDEX('Cronograma R. Normativo'!$H$5:$H$1000,$N30))))</f>
        <v/>
      </c>
      <c r="H30" s="68">
        <f>IF($N30="","",IF($P30&gt;0,IF(3&lt;=SemanaActual,INDEX('Cronograma R. Normativo'!$AA$5:$AA$1000,$N30),""),IF(INDEX('Cronograma R. Normativo'!$I$5:$I$1000,$N30)="","",INDEX('Cronograma R. Normativo'!$I$5:$I$1000,$N30))))</f>
        <v/>
      </c>
      <c r="I30" s="68">
        <f>IF($N30="","",IF($P30&gt;0,IF(4&lt;=SemanaActual,INDEX('Cronograma R. Normativo'!$AB$5:$AB$1000,$N30),""),IF(INDEX('Cronograma R. Normativo'!$J$5:$J$1000,$N30)="","",INDEX('Cronograma R. Normativo'!$J$5:$J$1000,$N30))))</f>
        <v/>
      </c>
      <c r="J30" s="68">
        <f>IF($N30="","",INDEX('Cronograma R. Normativo'!$K$5:$K$1000,$N30))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R. Normativo'!$M$5:$M$1000,$N30)&amp;"")</f>
        <v/>
      </c>
      <c r="M30" s="71">
        <f>IF($N30="","",INDEX('Cronograma R. Normativo'!$N$5:$N$1000,$N30)&amp;"")</f>
        <v/>
      </c>
      <c r="N30">
        <f>IFERROR(MATCH(ROW()-4,rOrden_RN,0),"")</f>
        <v/>
      </c>
      <c r="O30">
        <f>IF($N30="","",INDEX('Cronograma R. Normativo'!$S$5:$S$1000,$N30))</f>
        <v/>
      </c>
      <c r="P30">
        <f>IF($N30="","",N(INDEX('Cronograma R. Normativo'!$T$5:$T$1000,$N30)))</f>
        <v/>
      </c>
    </row>
    <row r="31">
      <c r="A31" s="62">
        <f>IF($N31="","",INDEX('Cronograma R. Normativo'!$A$5:$A$1000,$N31))</f>
        <v/>
      </c>
      <c r="B31" s="71">
        <f>IF($N31="","",IF($O31="Sub","      ↳  "&amp;INDEX('Cronograma R. Normativo'!$C$5:$C$1000,$N31),INDEX('Cronograma R. Normativo'!$C$5:$C$1000,$N31)&amp;""))</f>
        <v/>
      </c>
      <c r="C31" s="77">
        <f>IF($N31="","",IF(INDEX('Cronograma R. Normativo'!$D$5:$D$1000,$N31)="","",INDEX('Cronograma R. Normativo'!$D$5:$D$1000,$N31)))</f>
        <v/>
      </c>
      <c r="D31" s="77">
        <f>IF($N31="","",IF(INDEX('Cronograma R. Normativo'!$E$5:$E$1000,$N31)="","",INDEX('Cronograma R. Normativo'!$E$5:$E$1000,$N31)))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R. Normativo'!$Y$5:$Y$1000,$N31),""),IF(INDEX('Cronograma R. Normativo'!$G$5:$G$1000,$N31)="","",INDEX('Cronograma R. Normativo'!$G$5:$G$1000,$N31))))</f>
        <v/>
      </c>
      <c r="G31" s="68">
        <f>IF($N31="","",IF($P31&gt;0,IF(2&lt;=SemanaActual,INDEX('Cronograma R. Normativo'!$Z$5:$Z$1000,$N31),""),IF(INDEX('Cronograma R. Normativo'!$H$5:$H$1000,$N31)="","",INDEX('Cronograma R. Normativo'!$H$5:$H$1000,$N31))))</f>
        <v/>
      </c>
      <c r="H31" s="68">
        <f>IF($N31="","",IF($P31&gt;0,IF(3&lt;=SemanaActual,INDEX('Cronograma R. Normativo'!$AA$5:$AA$1000,$N31),""),IF(INDEX('Cronograma R. Normativo'!$I$5:$I$1000,$N31)="","",INDEX('Cronograma R. Normativo'!$I$5:$I$1000,$N31))))</f>
        <v/>
      </c>
      <c r="I31" s="68">
        <f>IF($N31="","",IF($P31&gt;0,IF(4&lt;=SemanaActual,INDEX('Cronograma R. Normativo'!$AB$5:$AB$1000,$N31),""),IF(INDEX('Cronograma R. Normativo'!$J$5:$J$1000,$N31)="","",INDEX('Cronograma R. Normativo'!$J$5:$J$1000,$N31))))</f>
        <v/>
      </c>
      <c r="J31" s="68">
        <f>IF($N31="","",INDEX('Cronograma R. Normativo'!$K$5:$K$1000,$N31))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R. Normativo'!$M$5:$M$1000,$N31)&amp;"")</f>
        <v/>
      </c>
      <c r="M31" s="71">
        <f>IF($N31="","",INDEX('Cronograma R. Normativo'!$N$5:$N$1000,$N31)&amp;"")</f>
        <v/>
      </c>
      <c r="N31">
        <f>IFERROR(MATCH(ROW()-4,rOrden_RN,0),"")</f>
        <v/>
      </c>
      <c r="O31">
        <f>IF($N31="","",INDEX('Cronograma R. Normativo'!$S$5:$S$1000,$N31))</f>
        <v/>
      </c>
      <c r="P31">
        <f>IF($N31="","",N(INDEX('Cronograma R. Normativo'!$T$5:$T$1000,$N31)))</f>
        <v/>
      </c>
    </row>
    <row r="32">
      <c r="A32" s="62">
        <f>IF($N32="","",INDEX('Cronograma R. Normativo'!$A$5:$A$1000,$N32))</f>
        <v/>
      </c>
      <c r="B32" s="71">
        <f>IF($N32="","",IF($O32="Sub","      ↳  "&amp;INDEX('Cronograma R. Normativo'!$C$5:$C$1000,$N32),INDEX('Cronograma R. Normativo'!$C$5:$C$1000,$N32)&amp;""))</f>
        <v/>
      </c>
      <c r="C32" s="77">
        <f>IF($N32="","",IF(INDEX('Cronograma R. Normativo'!$D$5:$D$1000,$N32)="","",INDEX('Cronograma R. Normativo'!$D$5:$D$1000,$N32)))</f>
        <v/>
      </c>
      <c r="D32" s="77">
        <f>IF($N32="","",IF(INDEX('Cronograma R. Normativo'!$E$5:$E$1000,$N32)="","",INDEX('Cronograma R. Normativo'!$E$5:$E$1000,$N32)))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R. Normativo'!$Y$5:$Y$1000,$N32),""),IF(INDEX('Cronograma R. Normativo'!$G$5:$G$1000,$N32)="","",INDEX('Cronograma R. Normativo'!$G$5:$G$1000,$N32))))</f>
        <v/>
      </c>
      <c r="G32" s="68">
        <f>IF($N32="","",IF($P32&gt;0,IF(2&lt;=SemanaActual,INDEX('Cronograma R. Normativo'!$Z$5:$Z$1000,$N32),""),IF(INDEX('Cronograma R. Normativo'!$H$5:$H$1000,$N32)="","",INDEX('Cronograma R. Normativo'!$H$5:$H$1000,$N32))))</f>
        <v/>
      </c>
      <c r="H32" s="68">
        <f>IF($N32="","",IF($P32&gt;0,IF(3&lt;=SemanaActual,INDEX('Cronograma R. Normativo'!$AA$5:$AA$1000,$N32),""),IF(INDEX('Cronograma R. Normativo'!$I$5:$I$1000,$N32)="","",INDEX('Cronograma R. Normativo'!$I$5:$I$1000,$N32))))</f>
        <v/>
      </c>
      <c r="I32" s="68">
        <f>IF($N32="","",IF($P32&gt;0,IF(4&lt;=SemanaActual,INDEX('Cronograma R. Normativo'!$AB$5:$AB$1000,$N32),""),IF(INDEX('Cronograma R. Normativo'!$J$5:$J$1000,$N32)="","",INDEX('Cronograma R. Normativo'!$J$5:$J$1000,$N32))))</f>
        <v/>
      </c>
      <c r="J32" s="68">
        <f>IF($N32="","",INDEX('Cronograma R. Normativo'!$K$5:$K$1000,$N32))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R. Normativo'!$M$5:$M$1000,$N32)&amp;"")</f>
        <v/>
      </c>
      <c r="M32" s="71">
        <f>IF($N32="","",INDEX('Cronograma R. Normativo'!$N$5:$N$1000,$N32)&amp;"")</f>
        <v/>
      </c>
      <c r="N32">
        <f>IFERROR(MATCH(ROW()-4,rOrden_RN,0),"")</f>
        <v/>
      </c>
      <c r="O32">
        <f>IF($N32="","",INDEX('Cronograma R. Normativo'!$S$5:$S$1000,$N32))</f>
        <v/>
      </c>
      <c r="P32">
        <f>IF($N32="","",N(INDEX('Cronograma R. Normativo'!$T$5:$T$1000,$N32)))</f>
        <v/>
      </c>
    </row>
    <row r="33">
      <c r="A33" s="62">
        <f>IF($N33="","",INDEX('Cronograma R. Normativo'!$A$5:$A$1000,$N33))</f>
        <v/>
      </c>
      <c r="B33" s="71">
        <f>IF($N33="","",IF($O33="Sub","      ↳  "&amp;INDEX('Cronograma R. Normativo'!$C$5:$C$1000,$N33),INDEX('Cronograma R. Normativo'!$C$5:$C$1000,$N33)&amp;""))</f>
        <v/>
      </c>
      <c r="C33" s="77">
        <f>IF($N33="","",IF(INDEX('Cronograma R. Normativo'!$D$5:$D$1000,$N33)="","",INDEX('Cronograma R. Normativo'!$D$5:$D$1000,$N33)))</f>
        <v/>
      </c>
      <c r="D33" s="77">
        <f>IF($N33="","",IF(INDEX('Cronograma R. Normativo'!$E$5:$E$1000,$N33)="","",INDEX('Cronograma R. Normativo'!$E$5:$E$1000,$N33)))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R. Normativo'!$Y$5:$Y$1000,$N33),""),IF(INDEX('Cronograma R. Normativo'!$G$5:$G$1000,$N33)="","",INDEX('Cronograma R. Normativo'!$G$5:$G$1000,$N33))))</f>
        <v/>
      </c>
      <c r="G33" s="68">
        <f>IF($N33="","",IF($P33&gt;0,IF(2&lt;=SemanaActual,INDEX('Cronograma R. Normativo'!$Z$5:$Z$1000,$N33),""),IF(INDEX('Cronograma R. Normativo'!$H$5:$H$1000,$N33)="","",INDEX('Cronograma R. Normativo'!$H$5:$H$1000,$N33))))</f>
        <v/>
      </c>
      <c r="H33" s="68">
        <f>IF($N33="","",IF($P33&gt;0,IF(3&lt;=SemanaActual,INDEX('Cronograma R. Normativo'!$AA$5:$AA$1000,$N33),""),IF(INDEX('Cronograma R. Normativo'!$I$5:$I$1000,$N33)="","",INDEX('Cronograma R. Normativo'!$I$5:$I$1000,$N33))))</f>
        <v/>
      </c>
      <c r="I33" s="68">
        <f>IF($N33="","",IF($P33&gt;0,IF(4&lt;=SemanaActual,INDEX('Cronograma R. Normativo'!$AB$5:$AB$1000,$N33),""),IF(INDEX('Cronograma R. Normativo'!$J$5:$J$1000,$N33)="","",INDEX('Cronograma R. Normativo'!$J$5:$J$1000,$N33))))</f>
        <v/>
      </c>
      <c r="J33" s="68">
        <f>IF($N33="","",INDEX('Cronograma R. Normativo'!$K$5:$K$1000,$N33))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R. Normativo'!$M$5:$M$1000,$N33)&amp;"")</f>
        <v/>
      </c>
      <c r="M33" s="71">
        <f>IF($N33="","",INDEX('Cronograma R. Normativo'!$N$5:$N$1000,$N33)&amp;"")</f>
        <v/>
      </c>
      <c r="N33">
        <f>IFERROR(MATCH(ROW()-4,rOrden_RN,0),"")</f>
        <v/>
      </c>
      <c r="O33">
        <f>IF($N33="","",INDEX('Cronograma R. Normativo'!$S$5:$S$1000,$N33))</f>
        <v/>
      </c>
      <c r="P33">
        <f>IF($N33="","",N(INDEX('Cronograma R. Normativo'!$T$5:$T$1000,$N33)))</f>
        <v/>
      </c>
    </row>
    <row r="34">
      <c r="A34" s="62">
        <f>IF($N34="","",INDEX('Cronograma R. Normativo'!$A$5:$A$1000,$N34))</f>
        <v/>
      </c>
      <c r="B34" s="71">
        <f>IF($N34="","",IF($O34="Sub","      ↳  "&amp;INDEX('Cronograma R. Normativo'!$C$5:$C$1000,$N34),INDEX('Cronograma R. Normativo'!$C$5:$C$1000,$N34)&amp;""))</f>
        <v/>
      </c>
      <c r="C34" s="77">
        <f>IF($N34="","",IF(INDEX('Cronograma R. Normativo'!$D$5:$D$1000,$N34)="","",INDEX('Cronograma R. Normativo'!$D$5:$D$1000,$N34)))</f>
        <v/>
      </c>
      <c r="D34" s="77">
        <f>IF($N34="","",IF(INDEX('Cronograma R. Normativo'!$E$5:$E$1000,$N34)="","",INDEX('Cronograma R. Normativo'!$E$5:$E$1000,$N34)))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R. Normativo'!$Y$5:$Y$1000,$N34),""),IF(INDEX('Cronograma R. Normativo'!$G$5:$G$1000,$N34)="","",INDEX('Cronograma R. Normativo'!$G$5:$G$1000,$N34))))</f>
        <v/>
      </c>
      <c r="G34" s="68">
        <f>IF($N34="","",IF($P34&gt;0,IF(2&lt;=SemanaActual,INDEX('Cronograma R. Normativo'!$Z$5:$Z$1000,$N34),""),IF(INDEX('Cronograma R. Normativo'!$H$5:$H$1000,$N34)="","",INDEX('Cronograma R. Normativo'!$H$5:$H$1000,$N34))))</f>
        <v/>
      </c>
      <c r="H34" s="68">
        <f>IF($N34="","",IF($P34&gt;0,IF(3&lt;=SemanaActual,INDEX('Cronograma R. Normativo'!$AA$5:$AA$1000,$N34),""),IF(INDEX('Cronograma R. Normativo'!$I$5:$I$1000,$N34)="","",INDEX('Cronograma R. Normativo'!$I$5:$I$1000,$N34))))</f>
        <v/>
      </c>
      <c r="I34" s="68">
        <f>IF($N34="","",IF($P34&gt;0,IF(4&lt;=SemanaActual,INDEX('Cronograma R. Normativo'!$AB$5:$AB$1000,$N34),""),IF(INDEX('Cronograma R. Normativo'!$J$5:$J$1000,$N34)="","",INDEX('Cronograma R. Normativo'!$J$5:$J$1000,$N34))))</f>
        <v/>
      </c>
      <c r="J34" s="68">
        <f>IF($N34="","",INDEX('Cronograma R. Normativo'!$K$5:$K$1000,$N34))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R. Normativo'!$M$5:$M$1000,$N34)&amp;"")</f>
        <v/>
      </c>
      <c r="M34" s="71">
        <f>IF($N34="","",INDEX('Cronograma R. Normativo'!$N$5:$N$1000,$N34)&amp;"")</f>
        <v/>
      </c>
      <c r="N34">
        <f>IFERROR(MATCH(ROW()-4,rOrden_RN,0),"")</f>
        <v/>
      </c>
      <c r="O34">
        <f>IF($N34="","",INDEX('Cronograma R. Normativo'!$S$5:$S$1000,$N34))</f>
        <v/>
      </c>
      <c r="P34">
        <f>IF($N34="","",N(INDEX('Cronograma R. Normativo'!$T$5:$T$1000,$N34)))</f>
        <v/>
      </c>
    </row>
    <row r="35">
      <c r="A35" s="62">
        <f>IF($N35="","",INDEX('Cronograma R. Normativo'!$A$5:$A$1000,$N35))</f>
        <v/>
      </c>
      <c r="B35" s="71">
        <f>IF($N35="","",IF($O35="Sub","      ↳  "&amp;INDEX('Cronograma R. Normativo'!$C$5:$C$1000,$N35),INDEX('Cronograma R. Normativo'!$C$5:$C$1000,$N35)&amp;""))</f>
        <v/>
      </c>
      <c r="C35" s="77">
        <f>IF($N35="","",IF(INDEX('Cronograma R. Normativo'!$D$5:$D$1000,$N35)="","",INDEX('Cronograma R. Normativo'!$D$5:$D$1000,$N35)))</f>
        <v/>
      </c>
      <c r="D35" s="77">
        <f>IF($N35="","",IF(INDEX('Cronograma R. Normativo'!$E$5:$E$1000,$N35)="","",INDEX('Cronograma R. Normativo'!$E$5:$E$1000,$N35)))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R. Normativo'!$Y$5:$Y$1000,$N35),""),IF(INDEX('Cronograma R. Normativo'!$G$5:$G$1000,$N35)="","",INDEX('Cronograma R. Normativo'!$G$5:$G$1000,$N35))))</f>
        <v/>
      </c>
      <c r="G35" s="68">
        <f>IF($N35="","",IF($P35&gt;0,IF(2&lt;=SemanaActual,INDEX('Cronograma R. Normativo'!$Z$5:$Z$1000,$N35),""),IF(INDEX('Cronograma R. Normativo'!$H$5:$H$1000,$N35)="","",INDEX('Cronograma R. Normativo'!$H$5:$H$1000,$N35))))</f>
        <v/>
      </c>
      <c r="H35" s="68">
        <f>IF($N35="","",IF($P35&gt;0,IF(3&lt;=SemanaActual,INDEX('Cronograma R. Normativo'!$AA$5:$AA$1000,$N35),""),IF(INDEX('Cronograma R. Normativo'!$I$5:$I$1000,$N35)="","",INDEX('Cronograma R. Normativo'!$I$5:$I$1000,$N35))))</f>
        <v/>
      </c>
      <c r="I35" s="68">
        <f>IF($N35="","",IF($P35&gt;0,IF(4&lt;=SemanaActual,INDEX('Cronograma R. Normativo'!$AB$5:$AB$1000,$N35),""),IF(INDEX('Cronograma R. Normativo'!$J$5:$J$1000,$N35)="","",INDEX('Cronograma R. Normativo'!$J$5:$J$1000,$N35))))</f>
        <v/>
      </c>
      <c r="J35" s="68">
        <f>IF($N35="","",INDEX('Cronograma R. Normativo'!$K$5:$K$1000,$N35))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R. Normativo'!$M$5:$M$1000,$N35)&amp;"")</f>
        <v/>
      </c>
      <c r="M35" s="71">
        <f>IF($N35="","",INDEX('Cronograma R. Normativo'!$N$5:$N$1000,$N35)&amp;"")</f>
        <v/>
      </c>
      <c r="N35">
        <f>IFERROR(MATCH(ROW()-4,rOrden_RN,0),"")</f>
        <v/>
      </c>
      <c r="O35">
        <f>IF($N35="","",INDEX('Cronograma R. Normativo'!$S$5:$S$1000,$N35))</f>
        <v/>
      </c>
      <c r="P35">
        <f>IF($N35="","",N(INDEX('Cronograma R. Normativo'!$T$5:$T$1000,$N35)))</f>
        <v/>
      </c>
    </row>
    <row r="36">
      <c r="A36" s="62">
        <f>IF($N36="","",INDEX('Cronograma R. Normativo'!$A$5:$A$1000,$N36))</f>
        <v/>
      </c>
      <c r="B36" s="71">
        <f>IF($N36="","",IF($O36="Sub","      ↳  "&amp;INDEX('Cronograma R. Normativo'!$C$5:$C$1000,$N36),INDEX('Cronograma R. Normativo'!$C$5:$C$1000,$N36)&amp;""))</f>
        <v/>
      </c>
      <c r="C36" s="77">
        <f>IF($N36="","",IF(INDEX('Cronograma R. Normativo'!$D$5:$D$1000,$N36)="","",INDEX('Cronograma R. Normativo'!$D$5:$D$1000,$N36)))</f>
        <v/>
      </c>
      <c r="D36" s="77">
        <f>IF($N36="","",IF(INDEX('Cronograma R. Normativo'!$E$5:$E$1000,$N36)="","",INDEX('Cronograma R. Normativo'!$E$5:$E$1000,$N36)))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R. Normativo'!$Y$5:$Y$1000,$N36),""),IF(INDEX('Cronograma R. Normativo'!$G$5:$G$1000,$N36)="","",INDEX('Cronograma R. Normativo'!$G$5:$G$1000,$N36))))</f>
        <v/>
      </c>
      <c r="G36" s="68">
        <f>IF($N36="","",IF($P36&gt;0,IF(2&lt;=SemanaActual,INDEX('Cronograma R. Normativo'!$Z$5:$Z$1000,$N36),""),IF(INDEX('Cronograma R. Normativo'!$H$5:$H$1000,$N36)="","",INDEX('Cronograma R. Normativo'!$H$5:$H$1000,$N36))))</f>
        <v/>
      </c>
      <c r="H36" s="68">
        <f>IF($N36="","",IF($P36&gt;0,IF(3&lt;=SemanaActual,INDEX('Cronograma R. Normativo'!$AA$5:$AA$1000,$N36),""),IF(INDEX('Cronograma R. Normativo'!$I$5:$I$1000,$N36)="","",INDEX('Cronograma R. Normativo'!$I$5:$I$1000,$N36))))</f>
        <v/>
      </c>
      <c r="I36" s="68">
        <f>IF($N36="","",IF($P36&gt;0,IF(4&lt;=SemanaActual,INDEX('Cronograma R. Normativo'!$AB$5:$AB$1000,$N36),""),IF(INDEX('Cronograma R. Normativo'!$J$5:$J$1000,$N36)="","",INDEX('Cronograma R. Normativo'!$J$5:$J$1000,$N36))))</f>
        <v/>
      </c>
      <c r="J36" s="68">
        <f>IF($N36="","",INDEX('Cronograma R. Normativo'!$K$5:$K$1000,$N36))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R. Normativo'!$M$5:$M$1000,$N36)&amp;"")</f>
        <v/>
      </c>
      <c r="M36" s="71">
        <f>IF($N36="","",INDEX('Cronograma R. Normativo'!$N$5:$N$1000,$N36)&amp;"")</f>
        <v/>
      </c>
      <c r="N36">
        <f>IFERROR(MATCH(ROW()-4,rOrden_RN,0),"")</f>
        <v/>
      </c>
      <c r="O36">
        <f>IF($N36="","",INDEX('Cronograma R. Normativo'!$S$5:$S$1000,$N36))</f>
        <v/>
      </c>
      <c r="P36">
        <f>IF($N36="","",N(INDEX('Cronograma R. Normativo'!$T$5:$T$1000,$N36)))</f>
        <v/>
      </c>
    </row>
    <row r="37">
      <c r="A37" s="62">
        <f>IF($N37="","",INDEX('Cronograma R. Normativo'!$A$5:$A$1000,$N37))</f>
        <v/>
      </c>
      <c r="B37" s="71">
        <f>IF($N37="","",IF($O37="Sub","      ↳  "&amp;INDEX('Cronograma R. Normativo'!$C$5:$C$1000,$N37),INDEX('Cronograma R. Normativo'!$C$5:$C$1000,$N37)&amp;""))</f>
        <v/>
      </c>
      <c r="C37" s="77">
        <f>IF($N37="","",IF(INDEX('Cronograma R. Normativo'!$D$5:$D$1000,$N37)="","",INDEX('Cronograma R. Normativo'!$D$5:$D$1000,$N37)))</f>
        <v/>
      </c>
      <c r="D37" s="77">
        <f>IF($N37="","",IF(INDEX('Cronograma R. Normativo'!$E$5:$E$1000,$N37)="","",INDEX('Cronograma R. Normativo'!$E$5:$E$1000,$N37)))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R. Normativo'!$Y$5:$Y$1000,$N37),""),IF(INDEX('Cronograma R. Normativo'!$G$5:$G$1000,$N37)="","",INDEX('Cronograma R. Normativo'!$G$5:$G$1000,$N37))))</f>
        <v/>
      </c>
      <c r="G37" s="68">
        <f>IF($N37="","",IF($P37&gt;0,IF(2&lt;=SemanaActual,INDEX('Cronograma R. Normativo'!$Z$5:$Z$1000,$N37),""),IF(INDEX('Cronograma R. Normativo'!$H$5:$H$1000,$N37)="","",INDEX('Cronograma R. Normativo'!$H$5:$H$1000,$N37))))</f>
        <v/>
      </c>
      <c r="H37" s="68">
        <f>IF($N37="","",IF($P37&gt;0,IF(3&lt;=SemanaActual,INDEX('Cronograma R. Normativo'!$AA$5:$AA$1000,$N37),""),IF(INDEX('Cronograma R. Normativo'!$I$5:$I$1000,$N37)="","",INDEX('Cronograma R. Normativo'!$I$5:$I$1000,$N37))))</f>
        <v/>
      </c>
      <c r="I37" s="68">
        <f>IF($N37="","",IF($P37&gt;0,IF(4&lt;=SemanaActual,INDEX('Cronograma R. Normativo'!$AB$5:$AB$1000,$N37),""),IF(INDEX('Cronograma R. Normativo'!$J$5:$J$1000,$N37)="","",INDEX('Cronograma R. Normativo'!$J$5:$J$1000,$N37))))</f>
        <v/>
      </c>
      <c r="J37" s="68">
        <f>IF($N37="","",INDEX('Cronograma R. Normativo'!$K$5:$K$1000,$N37))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R. Normativo'!$M$5:$M$1000,$N37)&amp;"")</f>
        <v/>
      </c>
      <c r="M37" s="71">
        <f>IF($N37="","",INDEX('Cronograma R. Normativo'!$N$5:$N$1000,$N37)&amp;"")</f>
        <v/>
      </c>
      <c r="N37">
        <f>IFERROR(MATCH(ROW()-4,rOrden_RN,0),"")</f>
        <v/>
      </c>
      <c r="O37">
        <f>IF($N37="","",INDEX('Cronograma R. Normativo'!$S$5:$S$1000,$N37))</f>
        <v/>
      </c>
      <c r="P37">
        <f>IF($N37="","",N(INDEX('Cronograma R. Normativo'!$T$5:$T$1000,$N37)))</f>
        <v/>
      </c>
    </row>
    <row r="38">
      <c r="A38" s="62">
        <f>IF($N38="","",INDEX('Cronograma R. Normativo'!$A$5:$A$1000,$N38))</f>
        <v/>
      </c>
      <c r="B38" s="71">
        <f>IF($N38="","",IF($O38="Sub","      ↳  "&amp;INDEX('Cronograma R. Normativo'!$C$5:$C$1000,$N38),INDEX('Cronograma R. Normativo'!$C$5:$C$1000,$N38)&amp;""))</f>
        <v/>
      </c>
      <c r="C38" s="77">
        <f>IF($N38="","",IF(INDEX('Cronograma R. Normativo'!$D$5:$D$1000,$N38)="","",INDEX('Cronograma R. Normativo'!$D$5:$D$1000,$N38)))</f>
        <v/>
      </c>
      <c r="D38" s="77">
        <f>IF($N38="","",IF(INDEX('Cronograma R. Normativo'!$E$5:$E$1000,$N38)="","",INDEX('Cronograma R. Normativo'!$E$5:$E$1000,$N38)))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R. Normativo'!$Y$5:$Y$1000,$N38),""),IF(INDEX('Cronograma R. Normativo'!$G$5:$G$1000,$N38)="","",INDEX('Cronograma R. Normativo'!$G$5:$G$1000,$N38))))</f>
        <v/>
      </c>
      <c r="G38" s="68">
        <f>IF($N38="","",IF($P38&gt;0,IF(2&lt;=SemanaActual,INDEX('Cronograma R. Normativo'!$Z$5:$Z$1000,$N38),""),IF(INDEX('Cronograma R. Normativo'!$H$5:$H$1000,$N38)="","",INDEX('Cronograma R. Normativo'!$H$5:$H$1000,$N38))))</f>
        <v/>
      </c>
      <c r="H38" s="68">
        <f>IF($N38="","",IF($P38&gt;0,IF(3&lt;=SemanaActual,INDEX('Cronograma R. Normativo'!$AA$5:$AA$1000,$N38),""),IF(INDEX('Cronograma R. Normativo'!$I$5:$I$1000,$N38)="","",INDEX('Cronograma R. Normativo'!$I$5:$I$1000,$N38))))</f>
        <v/>
      </c>
      <c r="I38" s="68">
        <f>IF($N38="","",IF($P38&gt;0,IF(4&lt;=SemanaActual,INDEX('Cronograma R. Normativo'!$AB$5:$AB$1000,$N38),""),IF(INDEX('Cronograma R. Normativo'!$J$5:$J$1000,$N38)="","",INDEX('Cronograma R. Normativo'!$J$5:$J$1000,$N38))))</f>
        <v/>
      </c>
      <c r="J38" s="68">
        <f>IF($N38="","",INDEX('Cronograma R. Normativo'!$K$5:$K$1000,$N38))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R. Normativo'!$M$5:$M$1000,$N38)&amp;"")</f>
        <v/>
      </c>
      <c r="M38" s="71">
        <f>IF($N38="","",INDEX('Cronograma R. Normativo'!$N$5:$N$1000,$N38)&amp;"")</f>
        <v/>
      </c>
      <c r="N38">
        <f>IFERROR(MATCH(ROW()-4,rOrden_RN,0),"")</f>
        <v/>
      </c>
      <c r="O38">
        <f>IF($N38="","",INDEX('Cronograma R. Normativo'!$S$5:$S$1000,$N38))</f>
        <v/>
      </c>
      <c r="P38">
        <f>IF($N38="","",N(INDEX('Cronograma R. Normativo'!$T$5:$T$1000,$N38)))</f>
        <v/>
      </c>
    </row>
    <row r="39">
      <c r="A39" s="62">
        <f>IF($N39="","",INDEX('Cronograma R. Normativo'!$A$5:$A$1000,$N39))</f>
        <v/>
      </c>
      <c r="B39" s="71">
        <f>IF($N39="","",IF($O39="Sub","      ↳  "&amp;INDEX('Cronograma R. Normativo'!$C$5:$C$1000,$N39),INDEX('Cronograma R. Normativo'!$C$5:$C$1000,$N39)&amp;""))</f>
        <v/>
      </c>
      <c r="C39" s="77">
        <f>IF($N39="","",IF(INDEX('Cronograma R. Normativo'!$D$5:$D$1000,$N39)="","",INDEX('Cronograma R. Normativo'!$D$5:$D$1000,$N39)))</f>
        <v/>
      </c>
      <c r="D39" s="77">
        <f>IF($N39="","",IF(INDEX('Cronograma R. Normativo'!$E$5:$E$1000,$N39)="","",INDEX('Cronograma R. Normativo'!$E$5:$E$1000,$N39)))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R. Normativo'!$Y$5:$Y$1000,$N39),""),IF(INDEX('Cronograma R. Normativo'!$G$5:$G$1000,$N39)="","",INDEX('Cronograma R. Normativo'!$G$5:$G$1000,$N39))))</f>
        <v/>
      </c>
      <c r="G39" s="68">
        <f>IF($N39="","",IF($P39&gt;0,IF(2&lt;=SemanaActual,INDEX('Cronograma R. Normativo'!$Z$5:$Z$1000,$N39),""),IF(INDEX('Cronograma R. Normativo'!$H$5:$H$1000,$N39)="","",INDEX('Cronograma R. Normativo'!$H$5:$H$1000,$N39))))</f>
        <v/>
      </c>
      <c r="H39" s="68">
        <f>IF($N39="","",IF($P39&gt;0,IF(3&lt;=SemanaActual,INDEX('Cronograma R. Normativo'!$AA$5:$AA$1000,$N39),""),IF(INDEX('Cronograma R. Normativo'!$I$5:$I$1000,$N39)="","",INDEX('Cronograma R. Normativo'!$I$5:$I$1000,$N39))))</f>
        <v/>
      </c>
      <c r="I39" s="68">
        <f>IF($N39="","",IF($P39&gt;0,IF(4&lt;=SemanaActual,INDEX('Cronograma R. Normativo'!$AB$5:$AB$1000,$N39),""),IF(INDEX('Cronograma R. Normativo'!$J$5:$J$1000,$N39)="","",INDEX('Cronograma R. Normativo'!$J$5:$J$1000,$N39))))</f>
        <v/>
      </c>
      <c r="J39" s="68">
        <f>IF($N39="","",INDEX('Cronograma R. Normativo'!$K$5:$K$1000,$N39))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R. Normativo'!$M$5:$M$1000,$N39)&amp;"")</f>
        <v/>
      </c>
      <c r="M39" s="71">
        <f>IF($N39="","",INDEX('Cronograma R. Normativo'!$N$5:$N$1000,$N39)&amp;"")</f>
        <v/>
      </c>
      <c r="N39">
        <f>IFERROR(MATCH(ROW()-4,rOrden_RN,0),"")</f>
        <v/>
      </c>
      <c r="O39">
        <f>IF($N39="","",INDEX('Cronograma R. Normativo'!$S$5:$S$1000,$N39))</f>
        <v/>
      </c>
      <c r="P39">
        <f>IF($N39="","",N(INDEX('Cronograma R. Normativo'!$T$5:$T$1000,$N39)))</f>
        <v/>
      </c>
    </row>
    <row r="40">
      <c r="A40" s="62">
        <f>IF($N40="","",INDEX('Cronograma R. Normativo'!$A$5:$A$1000,$N40))</f>
        <v/>
      </c>
      <c r="B40" s="71">
        <f>IF($N40="","",IF($O40="Sub","      ↳  "&amp;INDEX('Cronograma R. Normativo'!$C$5:$C$1000,$N40),INDEX('Cronograma R. Normativo'!$C$5:$C$1000,$N40)&amp;""))</f>
        <v/>
      </c>
      <c r="C40" s="77">
        <f>IF($N40="","",IF(INDEX('Cronograma R. Normativo'!$D$5:$D$1000,$N40)="","",INDEX('Cronograma R. Normativo'!$D$5:$D$1000,$N40)))</f>
        <v/>
      </c>
      <c r="D40" s="77">
        <f>IF($N40="","",IF(INDEX('Cronograma R. Normativo'!$E$5:$E$1000,$N40)="","",INDEX('Cronograma R. Normativo'!$E$5:$E$1000,$N40)))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R. Normativo'!$Y$5:$Y$1000,$N40),""),IF(INDEX('Cronograma R. Normativo'!$G$5:$G$1000,$N40)="","",INDEX('Cronograma R. Normativo'!$G$5:$G$1000,$N40))))</f>
        <v/>
      </c>
      <c r="G40" s="68">
        <f>IF($N40="","",IF($P40&gt;0,IF(2&lt;=SemanaActual,INDEX('Cronograma R. Normativo'!$Z$5:$Z$1000,$N40),""),IF(INDEX('Cronograma R. Normativo'!$H$5:$H$1000,$N40)="","",INDEX('Cronograma R. Normativo'!$H$5:$H$1000,$N40))))</f>
        <v/>
      </c>
      <c r="H40" s="68">
        <f>IF($N40="","",IF($P40&gt;0,IF(3&lt;=SemanaActual,INDEX('Cronograma R. Normativo'!$AA$5:$AA$1000,$N40),""),IF(INDEX('Cronograma R. Normativo'!$I$5:$I$1000,$N40)="","",INDEX('Cronograma R. Normativo'!$I$5:$I$1000,$N40))))</f>
        <v/>
      </c>
      <c r="I40" s="68">
        <f>IF($N40="","",IF($P40&gt;0,IF(4&lt;=SemanaActual,INDEX('Cronograma R. Normativo'!$AB$5:$AB$1000,$N40),""),IF(INDEX('Cronograma R. Normativo'!$J$5:$J$1000,$N40)="","",INDEX('Cronograma R. Normativo'!$J$5:$J$1000,$N40))))</f>
        <v/>
      </c>
      <c r="J40" s="68">
        <f>IF($N40="","",INDEX('Cronograma R. Normativo'!$K$5:$K$1000,$N40))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R. Normativo'!$M$5:$M$1000,$N40)&amp;"")</f>
        <v/>
      </c>
      <c r="M40" s="71">
        <f>IF($N40="","",INDEX('Cronograma R. Normativo'!$N$5:$N$1000,$N40)&amp;"")</f>
        <v/>
      </c>
      <c r="N40">
        <f>IFERROR(MATCH(ROW()-4,rOrden_RN,0),"")</f>
        <v/>
      </c>
      <c r="O40">
        <f>IF($N40="","",INDEX('Cronograma R. Normativo'!$S$5:$S$1000,$N40))</f>
        <v/>
      </c>
      <c r="P40">
        <f>IF($N40="","",N(INDEX('Cronograma R. Normativo'!$T$5:$T$1000,$N40)))</f>
        <v/>
      </c>
    </row>
    <row r="41">
      <c r="A41" s="62">
        <f>IF($N41="","",INDEX('Cronograma R. Normativo'!$A$5:$A$1000,$N41))</f>
        <v/>
      </c>
      <c r="B41" s="71">
        <f>IF($N41="","",IF($O41="Sub","      ↳  "&amp;INDEX('Cronograma R. Normativo'!$C$5:$C$1000,$N41),INDEX('Cronograma R. Normativo'!$C$5:$C$1000,$N41)&amp;""))</f>
        <v/>
      </c>
      <c r="C41" s="77">
        <f>IF($N41="","",IF(INDEX('Cronograma R. Normativo'!$D$5:$D$1000,$N41)="","",INDEX('Cronograma R. Normativo'!$D$5:$D$1000,$N41)))</f>
        <v/>
      </c>
      <c r="D41" s="77">
        <f>IF($N41="","",IF(INDEX('Cronograma R. Normativo'!$E$5:$E$1000,$N41)="","",INDEX('Cronograma R. Normativo'!$E$5:$E$1000,$N41)))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R. Normativo'!$Y$5:$Y$1000,$N41),""),IF(INDEX('Cronograma R. Normativo'!$G$5:$G$1000,$N41)="","",INDEX('Cronograma R. Normativo'!$G$5:$G$1000,$N41))))</f>
        <v/>
      </c>
      <c r="G41" s="68">
        <f>IF($N41="","",IF($P41&gt;0,IF(2&lt;=SemanaActual,INDEX('Cronograma R. Normativo'!$Z$5:$Z$1000,$N41),""),IF(INDEX('Cronograma R. Normativo'!$H$5:$H$1000,$N41)="","",INDEX('Cronograma R. Normativo'!$H$5:$H$1000,$N41))))</f>
        <v/>
      </c>
      <c r="H41" s="68">
        <f>IF($N41="","",IF($P41&gt;0,IF(3&lt;=SemanaActual,INDEX('Cronograma R. Normativo'!$AA$5:$AA$1000,$N41),""),IF(INDEX('Cronograma R. Normativo'!$I$5:$I$1000,$N41)="","",INDEX('Cronograma R. Normativo'!$I$5:$I$1000,$N41))))</f>
        <v/>
      </c>
      <c r="I41" s="68">
        <f>IF($N41="","",IF($P41&gt;0,IF(4&lt;=SemanaActual,INDEX('Cronograma R. Normativo'!$AB$5:$AB$1000,$N41),""),IF(INDEX('Cronograma R. Normativo'!$J$5:$J$1000,$N41)="","",INDEX('Cronograma R. Normativo'!$J$5:$J$1000,$N41))))</f>
        <v/>
      </c>
      <c r="J41" s="68">
        <f>IF($N41="","",INDEX('Cronograma R. Normativo'!$K$5:$K$1000,$N41))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R. Normativo'!$M$5:$M$1000,$N41)&amp;"")</f>
        <v/>
      </c>
      <c r="M41" s="71">
        <f>IF($N41="","",INDEX('Cronograma R. Normativo'!$N$5:$N$1000,$N41)&amp;"")</f>
        <v/>
      </c>
      <c r="N41">
        <f>IFERROR(MATCH(ROW()-4,rOrden_RN,0),"")</f>
        <v/>
      </c>
      <c r="O41">
        <f>IF($N41="","",INDEX('Cronograma R. Normativo'!$S$5:$S$1000,$N41))</f>
        <v/>
      </c>
      <c r="P41">
        <f>IF($N41="","",N(INDEX('Cronograma R. Normativo'!$T$5:$T$1000,$N41)))</f>
        <v/>
      </c>
    </row>
    <row r="42">
      <c r="A42" s="62">
        <f>IF($N42="","",INDEX('Cronograma R. Normativo'!$A$5:$A$1000,$N42))</f>
        <v/>
      </c>
      <c r="B42" s="71">
        <f>IF($N42="","",IF($O42="Sub","      ↳  "&amp;INDEX('Cronograma R. Normativo'!$C$5:$C$1000,$N42),INDEX('Cronograma R. Normativo'!$C$5:$C$1000,$N42)&amp;""))</f>
        <v/>
      </c>
      <c r="C42" s="77">
        <f>IF($N42="","",IF(INDEX('Cronograma R. Normativo'!$D$5:$D$1000,$N42)="","",INDEX('Cronograma R. Normativo'!$D$5:$D$1000,$N42)))</f>
        <v/>
      </c>
      <c r="D42" s="77">
        <f>IF($N42="","",IF(INDEX('Cronograma R. Normativo'!$E$5:$E$1000,$N42)="","",INDEX('Cronograma R. Normativo'!$E$5:$E$1000,$N42)))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R. Normativo'!$Y$5:$Y$1000,$N42),""),IF(INDEX('Cronograma R. Normativo'!$G$5:$G$1000,$N42)="","",INDEX('Cronograma R. Normativo'!$G$5:$G$1000,$N42))))</f>
        <v/>
      </c>
      <c r="G42" s="68">
        <f>IF($N42="","",IF($P42&gt;0,IF(2&lt;=SemanaActual,INDEX('Cronograma R. Normativo'!$Z$5:$Z$1000,$N42),""),IF(INDEX('Cronograma R. Normativo'!$H$5:$H$1000,$N42)="","",INDEX('Cronograma R. Normativo'!$H$5:$H$1000,$N42))))</f>
        <v/>
      </c>
      <c r="H42" s="68">
        <f>IF($N42="","",IF($P42&gt;0,IF(3&lt;=SemanaActual,INDEX('Cronograma R. Normativo'!$AA$5:$AA$1000,$N42),""),IF(INDEX('Cronograma R. Normativo'!$I$5:$I$1000,$N42)="","",INDEX('Cronograma R. Normativo'!$I$5:$I$1000,$N42))))</f>
        <v/>
      </c>
      <c r="I42" s="68">
        <f>IF($N42="","",IF($P42&gt;0,IF(4&lt;=SemanaActual,INDEX('Cronograma R. Normativo'!$AB$5:$AB$1000,$N42),""),IF(INDEX('Cronograma R. Normativo'!$J$5:$J$1000,$N42)="","",INDEX('Cronograma R. Normativo'!$J$5:$J$1000,$N42))))</f>
        <v/>
      </c>
      <c r="J42" s="68">
        <f>IF($N42="","",INDEX('Cronograma R. Normativo'!$K$5:$K$1000,$N42))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R. Normativo'!$M$5:$M$1000,$N42)&amp;"")</f>
        <v/>
      </c>
      <c r="M42" s="71">
        <f>IF($N42="","",INDEX('Cronograma R. Normativo'!$N$5:$N$1000,$N42)&amp;"")</f>
        <v/>
      </c>
      <c r="N42">
        <f>IFERROR(MATCH(ROW()-4,rOrden_RN,0),"")</f>
        <v/>
      </c>
      <c r="O42">
        <f>IF($N42="","",INDEX('Cronograma R. Normativo'!$S$5:$S$1000,$N42))</f>
        <v/>
      </c>
      <c r="P42">
        <f>IF($N42="","",N(INDEX('Cronograma R. Normativo'!$T$5:$T$1000,$N42)))</f>
        <v/>
      </c>
    </row>
    <row r="43">
      <c r="A43" s="62">
        <f>IF($N43="","",INDEX('Cronograma R. Normativo'!$A$5:$A$1000,$N43))</f>
        <v/>
      </c>
      <c r="B43" s="71">
        <f>IF($N43="","",IF($O43="Sub","      ↳  "&amp;INDEX('Cronograma R. Normativo'!$C$5:$C$1000,$N43),INDEX('Cronograma R. Normativo'!$C$5:$C$1000,$N43)&amp;""))</f>
        <v/>
      </c>
      <c r="C43" s="77">
        <f>IF($N43="","",IF(INDEX('Cronograma R. Normativo'!$D$5:$D$1000,$N43)="","",INDEX('Cronograma R. Normativo'!$D$5:$D$1000,$N43)))</f>
        <v/>
      </c>
      <c r="D43" s="77">
        <f>IF($N43="","",IF(INDEX('Cronograma R. Normativo'!$E$5:$E$1000,$N43)="","",INDEX('Cronograma R. Normativo'!$E$5:$E$1000,$N43)))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R. Normativo'!$Y$5:$Y$1000,$N43),""),IF(INDEX('Cronograma R. Normativo'!$G$5:$G$1000,$N43)="","",INDEX('Cronograma R. Normativo'!$G$5:$G$1000,$N43))))</f>
        <v/>
      </c>
      <c r="G43" s="68">
        <f>IF($N43="","",IF($P43&gt;0,IF(2&lt;=SemanaActual,INDEX('Cronograma R. Normativo'!$Z$5:$Z$1000,$N43),""),IF(INDEX('Cronograma R. Normativo'!$H$5:$H$1000,$N43)="","",INDEX('Cronograma R. Normativo'!$H$5:$H$1000,$N43))))</f>
        <v/>
      </c>
      <c r="H43" s="68">
        <f>IF($N43="","",IF($P43&gt;0,IF(3&lt;=SemanaActual,INDEX('Cronograma R. Normativo'!$AA$5:$AA$1000,$N43),""),IF(INDEX('Cronograma R. Normativo'!$I$5:$I$1000,$N43)="","",INDEX('Cronograma R. Normativo'!$I$5:$I$1000,$N43))))</f>
        <v/>
      </c>
      <c r="I43" s="68">
        <f>IF($N43="","",IF($P43&gt;0,IF(4&lt;=SemanaActual,INDEX('Cronograma R. Normativo'!$AB$5:$AB$1000,$N43),""),IF(INDEX('Cronograma R. Normativo'!$J$5:$J$1000,$N43)="","",INDEX('Cronograma R. Normativo'!$J$5:$J$1000,$N43))))</f>
        <v/>
      </c>
      <c r="J43" s="68">
        <f>IF($N43="","",INDEX('Cronograma R. Normativo'!$K$5:$K$1000,$N43))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R. Normativo'!$M$5:$M$1000,$N43)&amp;"")</f>
        <v/>
      </c>
      <c r="M43" s="71">
        <f>IF($N43="","",INDEX('Cronograma R. Normativo'!$N$5:$N$1000,$N43)&amp;"")</f>
        <v/>
      </c>
      <c r="N43">
        <f>IFERROR(MATCH(ROW()-4,rOrden_RN,0),"")</f>
        <v/>
      </c>
      <c r="O43">
        <f>IF($N43="","",INDEX('Cronograma R. Normativo'!$S$5:$S$1000,$N43))</f>
        <v/>
      </c>
      <c r="P43">
        <f>IF($N43="","",N(INDEX('Cronograma R. Normativo'!$T$5:$T$1000,$N43)))</f>
        <v/>
      </c>
    </row>
    <row r="44">
      <c r="A44" s="62">
        <f>IF($N44="","",INDEX('Cronograma R. Normativo'!$A$5:$A$1000,$N44))</f>
        <v/>
      </c>
      <c r="B44" s="71">
        <f>IF($N44="","",IF($O44="Sub","      ↳  "&amp;INDEX('Cronograma R. Normativo'!$C$5:$C$1000,$N44),INDEX('Cronograma R. Normativo'!$C$5:$C$1000,$N44)&amp;""))</f>
        <v/>
      </c>
      <c r="C44" s="77">
        <f>IF($N44="","",IF(INDEX('Cronograma R. Normativo'!$D$5:$D$1000,$N44)="","",INDEX('Cronograma R. Normativo'!$D$5:$D$1000,$N44)))</f>
        <v/>
      </c>
      <c r="D44" s="77">
        <f>IF($N44="","",IF(INDEX('Cronograma R. Normativo'!$E$5:$E$1000,$N44)="","",INDEX('Cronograma R. Normativo'!$E$5:$E$1000,$N44)))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R. Normativo'!$Y$5:$Y$1000,$N44),""),IF(INDEX('Cronograma R. Normativo'!$G$5:$G$1000,$N44)="","",INDEX('Cronograma R. Normativo'!$G$5:$G$1000,$N44))))</f>
        <v/>
      </c>
      <c r="G44" s="68">
        <f>IF($N44="","",IF($P44&gt;0,IF(2&lt;=SemanaActual,INDEX('Cronograma R. Normativo'!$Z$5:$Z$1000,$N44),""),IF(INDEX('Cronograma R. Normativo'!$H$5:$H$1000,$N44)="","",INDEX('Cronograma R. Normativo'!$H$5:$H$1000,$N44))))</f>
        <v/>
      </c>
      <c r="H44" s="68">
        <f>IF($N44="","",IF($P44&gt;0,IF(3&lt;=SemanaActual,INDEX('Cronograma R. Normativo'!$AA$5:$AA$1000,$N44),""),IF(INDEX('Cronograma R. Normativo'!$I$5:$I$1000,$N44)="","",INDEX('Cronograma R. Normativo'!$I$5:$I$1000,$N44))))</f>
        <v/>
      </c>
      <c r="I44" s="68">
        <f>IF($N44="","",IF($P44&gt;0,IF(4&lt;=SemanaActual,INDEX('Cronograma R. Normativo'!$AB$5:$AB$1000,$N44),""),IF(INDEX('Cronograma R. Normativo'!$J$5:$J$1000,$N44)="","",INDEX('Cronograma R. Normativo'!$J$5:$J$1000,$N44))))</f>
        <v/>
      </c>
      <c r="J44" s="68">
        <f>IF($N44="","",INDEX('Cronograma R. Normativo'!$K$5:$K$1000,$N44))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R. Normativo'!$M$5:$M$1000,$N44)&amp;"")</f>
        <v/>
      </c>
      <c r="M44" s="71">
        <f>IF($N44="","",INDEX('Cronograma R. Normativo'!$N$5:$N$1000,$N44)&amp;"")</f>
        <v/>
      </c>
      <c r="N44">
        <f>IFERROR(MATCH(ROW()-4,rOrden_RN,0),"")</f>
        <v/>
      </c>
      <c r="O44">
        <f>IF($N44="","",INDEX('Cronograma R. Normativo'!$S$5:$S$1000,$N44))</f>
        <v/>
      </c>
      <c r="P44">
        <f>IF($N44="","",N(INDEX('Cronograma R. Normativo'!$T$5:$T$1000,$N44)))</f>
        <v/>
      </c>
    </row>
    <row r="45">
      <c r="A45" s="62">
        <f>IF($N45="","",INDEX('Cronograma R. Normativo'!$A$5:$A$1000,$N45))</f>
        <v/>
      </c>
      <c r="B45" s="71">
        <f>IF($N45="","",IF($O45="Sub","      ↳  "&amp;INDEX('Cronograma R. Normativo'!$C$5:$C$1000,$N45),INDEX('Cronograma R. Normativo'!$C$5:$C$1000,$N45)&amp;""))</f>
        <v/>
      </c>
      <c r="C45" s="77">
        <f>IF($N45="","",IF(INDEX('Cronograma R. Normativo'!$D$5:$D$1000,$N45)="","",INDEX('Cronograma R. Normativo'!$D$5:$D$1000,$N45)))</f>
        <v/>
      </c>
      <c r="D45" s="77">
        <f>IF($N45="","",IF(INDEX('Cronograma R. Normativo'!$E$5:$E$1000,$N45)="","",INDEX('Cronograma R. Normativo'!$E$5:$E$1000,$N45)))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R. Normativo'!$Y$5:$Y$1000,$N45),""),IF(INDEX('Cronograma R. Normativo'!$G$5:$G$1000,$N45)="","",INDEX('Cronograma R. Normativo'!$G$5:$G$1000,$N45))))</f>
        <v/>
      </c>
      <c r="G45" s="68">
        <f>IF($N45="","",IF($P45&gt;0,IF(2&lt;=SemanaActual,INDEX('Cronograma R. Normativo'!$Z$5:$Z$1000,$N45),""),IF(INDEX('Cronograma R. Normativo'!$H$5:$H$1000,$N45)="","",INDEX('Cronograma R. Normativo'!$H$5:$H$1000,$N45))))</f>
        <v/>
      </c>
      <c r="H45" s="68">
        <f>IF($N45="","",IF($P45&gt;0,IF(3&lt;=SemanaActual,INDEX('Cronograma R. Normativo'!$AA$5:$AA$1000,$N45),""),IF(INDEX('Cronograma R. Normativo'!$I$5:$I$1000,$N45)="","",INDEX('Cronograma R. Normativo'!$I$5:$I$1000,$N45))))</f>
        <v/>
      </c>
      <c r="I45" s="68">
        <f>IF($N45="","",IF($P45&gt;0,IF(4&lt;=SemanaActual,INDEX('Cronograma R. Normativo'!$AB$5:$AB$1000,$N45),""),IF(INDEX('Cronograma R. Normativo'!$J$5:$J$1000,$N45)="","",INDEX('Cronograma R. Normativo'!$J$5:$J$1000,$N45))))</f>
        <v/>
      </c>
      <c r="J45" s="68">
        <f>IF($N45="","",INDEX('Cronograma R. Normativo'!$K$5:$K$1000,$N45))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R. Normativo'!$M$5:$M$1000,$N45)&amp;"")</f>
        <v/>
      </c>
      <c r="M45" s="71">
        <f>IF($N45="","",INDEX('Cronograma R. Normativo'!$N$5:$N$1000,$N45)&amp;"")</f>
        <v/>
      </c>
      <c r="N45">
        <f>IFERROR(MATCH(ROW()-4,rOrden_RN,0),"")</f>
        <v/>
      </c>
      <c r="O45">
        <f>IF($N45="","",INDEX('Cronograma R. Normativo'!$S$5:$S$1000,$N45))</f>
        <v/>
      </c>
      <c r="P45">
        <f>IF($N45="","",N(INDEX('Cronograma R. Normativo'!$T$5:$T$1000,$N45)))</f>
        <v/>
      </c>
    </row>
    <row r="46">
      <c r="A46" s="62">
        <f>IF($N46="","",INDEX('Cronograma R. Normativo'!$A$5:$A$1000,$N46))</f>
        <v/>
      </c>
      <c r="B46" s="71">
        <f>IF($N46="","",IF($O46="Sub","      ↳  "&amp;INDEX('Cronograma R. Normativo'!$C$5:$C$1000,$N46),INDEX('Cronograma R. Normativo'!$C$5:$C$1000,$N46)&amp;""))</f>
        <v/>
      </c>
      <c r="C46" s="77">
        <f>IF($N46="","",IF(INDEX('Cronograma R. Normativo'!$D$5:$D$1000,$N46)="","",INDEX('Cronograma R. Normativo'!$D$5:$D$1000,$N46)))</f>
        <v/>
      </c>
      <c r="D46" s="77">
        <f>IF($N46="","",IF(INDEX('Cronograma R. Normativo'!$E$5:$E$1000,$N46)="","",INDEX('Cronograma R. Normativo'!$E$5:$E$1000,$N46)))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R. Normativo'!$Y$5:$Y$1000,$N46),""),IF(INDEX('Cronograma R. Normativo'!$G$5:$G$1000,$N46)="","",INDEX('Cronograma R. Normativo'!$G$5:$G$1000,$N46))))</f>
        <v/>
      </c>
      <c r="G46" s="68">
        <f>IF($N46="","",IF($P46&gt;0,IF(2&lt;=SemanaActual,INDEX('Cronograma R. Normativo'!$Z$5:$Z$1000,$N46),""),IF(INDEX('Cronograma R. Normativo'!$H$5:$H$1000,$N46)="","",INDEX('Cronograma R. Normativo'!$H$5:$H$1000,$N46))))</f>
        <v/>
      </c>
      <c r="H46" s="68">
        <f>IF($N46="","",IF($P46&gt;0,IF(3&lt;=SemanaActual,INDEX('Cronograma R. Normativo'!$AA$5:$AA$1000,$N46),""),IF(INDEX('Cronograma R. Normativo'!$I$5:$I$1000,$N46)="","",INDEX('Cronograma R. Normativo'!$I$5:$I$1000,$N46))))</f>
        <v/>
      </c>
      <c r="I46" s="68">
        <f>IF($N46="","",IF($P46&gt;0,IF(4&lt;=SemanaActual,INDEX('Cronograma R. Normativo'!$AB$5:$AB$1000,$N46),""),IF(INDEX('Cronograma R. Normativo'!$J$5:$J$1000,$N46)="","",INDEX('Cronograma R. Normativo'!$J$5:$J$1000,$N46))))</f>
        <v/>
      </c>
      <c r="J46" s="68">
        <f>IF($N46="","",INDEX('Cronograma R. Normativo'!$K$5:$K$1000,$N46))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R. Normativo'!$M$5:$M$1000,$N46)&amp;"")</f>
        <v/>
      </c>
      <c r="M46" s="71">
        <f>IF($N46="","",INDEX('Cronograma R. Normativo'!$N$5:$N$1000,$N46)&amp;"")</f>
        <v/>
      </c>
      <c r="N46">
        <f>IFERROR(MATCH(ROW()-4,rOrden_RN,0),"")</f>
        <v/>
      </c>
      <c r="O46">
        <f>IF($N46="","",INDEX('Cronograma R. Normativo'!$S$5:$S$1000,$N46))</f>
        <v/>
      </c>
      <c r="P46">
        <f>IF($N46="","",N(INDEX('Cronograma R. Normativo'!$T$5:$T$1000,$N46)))</f>
        <v/>
      </c>
    </row>
    <row r="47">
      <c r="A47" s="62">
        <f>IF($N47="","",INDEX('Cronograma R. Normativo'!$A$5:$A$1000,$N47))</f>
        <v/>
      </c>
      <c r="B47" s="71">
        <f>IF($N47="","",IF($O47="Sub","      ↳  "&amp;INDEX('Cronograma R. Normativo'!$C$5:$C$1000,$N47),INDEX('Cronograma R. Normativo'!$C$5:$C$1000,$N47)&amp;""))</f>
        <v/>
      </c>
      <c r="C47" s="77">
        <f>IF($N47="","",IF(INDEX('Cronograma R. Normativo'!$D$5:$D$1000,$N47)="","",INDEX('Cronograma R. Normativo'!$D$5:$D$1000,$N47)))</f>
        <v/>
      </c>
      <c r="D47" s="77">
        <f>IF($N47="","",IF(INDEX('Cronograma R. Normativo'!$E$5:$E$1000,$N47)="","",INDEX('Cronograma R. Normativo'!$E$5:$E$1000,$N47)))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R. Normativo'!$Y$5:$Y$1000,$N47),""),IF(INDEX('Cronograma R. Normativo'!$G$5:$G$1000,$N47)="","",INDEX('Cronograma R. Normativo'!$G$5:$G$1000,$N47))))</f>
        <v/>
      </c>
      <c r="G47" s="68">
        <f>IF($N47="","",IF($P47&gt;0,IF(2&lt;=SemanaActual,INDEX('Cronograma R. Normativo'!$Z$5:$Z$1000,$N47),""),IF(INDEX('Cronograma R. Normativo'!$H$5:$H$1000,$N47)="","",INDEX('Cronograma R. Normativo'!$H$5:$H$1000,$N47))))</f>
        <v/>
      </c>
      <c r="H47" s="68">
        <f>IF($N47="","",IF($P47&gt;0,IF(3&lt;=SemanaActual,INDEX('Cronograma R. Normativo'!$AA$5:$AA$1000,$N47),""),IF(INDEX('Cronograma R. Normativo'!$I$5:$I$1000,$N47)="","",INDEX('Cronograma R. Normativo'!$I$5:$I$1000,$N47))))</f>
        <v/>
      </c>
      <c r="I47" s="68">
        <f>IF($N47="","",IF($P47&gt;0,IF(4&lt;=SemanaActual,INDEX('Cronograma R. Normativo'!$AB$5:$AB$1000,$N47),""),IF(INDEX('Cronograma R. Normativo'!$J$5:$J$1000,$N47)="","",INDEX('Cronograma R. Normativo'!$J$5:$J$1000,$N47))))</f>
        <v/>
      </c>
      <c r="J47" s="68">
        <f>IF($N47="","",INDEX('Cronograma R. Normativo'!$K$5:$K$1000,$N47))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R. Normativo'!$M$5:$M$1000,$N47)&amp;"")</f>
        <v/>
      </c>
      <c r="M47" s="71">
        <f>IF($N47="","",INDEX('Cronograma R. Normativo'!$N$5:$N$1000,$N47)&amp;"")</f>
        <v/>
      </c>
      <c r="N47">
        <f>IFERROR(MATCH(ROW()-4,rOrden_RN,0),"")</f>
        <v/>
      </c>
      <c r="O47">
        <f>IF($N47="","",INDEX('Cronograma R. Normativo'!$S$5:$S$1000,$N47))</f>
        <v/>
      </c>
      <c r="P47">
        <f>IF($N47="","",N(INDEX('Cronograma R. Normativo'!$T$5:$T$1000,$N47)))</f>
        <v/>
      </c>
    </row>
    <row r="48">
      <c r="A48" s="62">
        <f>IF($N48="","",INDEX('Cronograma R. Normativo'!$A$5:$A$1000,$N48))</f>
        <v/>
      </c>
      <c r="B48" s="71">
        <f>IF($N48="","",IF($O48="Sub","      ↳  "&amp;INDEX('Cronograma R. Normativo'!$C$5:$C$1000,$N48),INDEX('Cronograma R. Normativo'!$C$5:$C$1000,$N48)&amp;""))</f>
        <v/>
      </c>
      <c r="C48" s="77">
        <f>IF($N48="","",IF(INDEX('Cronograma R. Normativo'!$D$5:$D$1000,$N48)="","",INDEX('Cronograma R. Normativo'!$D$5:$D$1000,$N48)))</f>
        <v/>
      </c>
      <c r="D48" s="77">
        <f>IF($N48="","",IF(INDEX('Cronograma R. Normativo'!$E$5:$E$1000,$N48)="","",INDEX('Cronograma R. Normativo'!$E$5:$E$1000,$N48)))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R. Normativo'!$Y$5:$Y$1000,$N48),""),IF(INDEX('Cronograma R. Normativo'!$G$5:$G$1000,$N48)="","",INDEX('Cronograma R. Normativo'!$G$5:$G$1000,$N48))))</f>
        <v/>
      </c>
      <c r="G48" s="68">
        <f>IF($N48="","",IF($P48&gt;0,IF(2&lt;=SemanaActual,INDEX('Cronograma R. Normativo'!$Z$5:$Z$1000,$N48),""),IF(INDEX('Cronograma R. Normativo'!$H$5:$H$1000,$N48)="","",INDEX('Cronograma R. Normativo'!$H$5:$H$1000,$N48))))</f>
        <v/>
      </c>
      <c r="H48" s="68">
        <f>IF($N48="","",IF($P48&gt;0,IF(3&lt;=SemanaActual,INDEX('Cronograma R. Normativo'!$AA$5:$AA$1000,$N48),""),IF(INDEX('Cronograma R. Normativo'!$I$5:$I$1000,$N48)="","",INDEX('Cronograma R. Normativo'!$I$5:$I$1000,$N48))))</f>
        <v/>
      </c>
      <c r="I48" s="68">
        <f>IF($N48="","",IF($P48&gt;0,IF(4&lt;=SemanaActual,INDEX('Cronograma R. Normativo'!$AB$5:$AB$1000,$N48),""),IF(INDEX('Cronograma R. Normativo'!$J$5:$J$1000,$N48)="","",INDEX('Cronograma R. Normativo'!$J$5:$J$1000,$N48))))</f>
        <v/>
      </c>
      <c r="J48" s="68">
        <f>IF($N48="","",INDEX('Cronograma R. Normativo'!$K$5:$K$1000,$N48))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R. Normativo'!$M$5:$M$1000,$N48)&amp;"")</f>
        <v/>
      </c>
      <c r="M48" s="71">
        <f>IF($N48="","",INDEX('Cronograma R. Normativo'!$N$5:$N$1000,$N48)&amp;"")</f>
        <v/>
      </c>
      <c r="N48">
        <f>IFERROR(MATCH(ROW()-4,rOrden_RN,0),"")</f>
        <v/>
      </c>
      <c r="O48">
        <f>IF($N48="","",INDEX('Cronograma R. Normativo'!$S$5:$S$1000,$N48))</f>
        <v/>
      </c>
      <c r="P48">
        <f>IF($N48="","",N(INDEX('Cronograma R. Normativo'!$T$5:$T$1000,$N48)))</f>
        <v/>
      </c>
    </row>
    <row r="49">
      <c r="A49" s="62">
        <f>IF($N49="","",INDEX('Cronograma R. Normativo'!$A$5:$A$1000,$N49))</f>
        <v/>
      </c>
      <c r="B49" s="71">
        <f>IF($N49="","",IF($O49="Sub","      ↳  "&amp;INDEX('Cronograma R. Normativo'!$C$5:$C$1000,$N49),INDEX('Cronograma R. Normativo'!$C$5:$C$1000,$N49)&amp;""))</f>
        <v/>
      </c>
      <c r="C49" s="77">
        <f>IF($N49="","",IF(INDEX('Cronograma R. Normativo'!$D$5:$D$1000,$N49)="","",INDEX('Cronograma R. Normativo'!$D$5:$D$1000,$N49)))</f>
        <v/>
      </c>
      <c r="D49" s="77">
        <f>IF($N49="","",IF(INDEX('Cronograma R. Normativo'!$E$5:$E$1000,$N49)="","",INDEX('Cronograma R. Normativo'!$E$5:$E$1000,$N49)))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R. Normativo'!$Y$5:$Y$1000,$N49),""),IF(INDEX('Cronograma R. Normativo'!$G$5:$G$1000,$N49)="","",INDEX('Cronograma R. Normativo'!$G$5:$G$1000,$N49))))</f>
        <v/>
      </c>
      <c r="G49" s="68">
        <f>IF($N49="","",IF($P49&gt;0,IF(2&lt;=SemanaActual,INDEX('Cronograma R. Normativo'!$Z$5:$Z$1000,$N49),""),IF(INDEX('Cronograma R. Normativo'!$H$5:$H$1000,$N49)="","",INDEX('Cronograma R. Normativo'!$H$5:$H$1000,$N49))))</f>
        <v/>
      </c>
      <c r="H49" s="68">
        <f>IF($N49="","",IF($P49&gt;0,IF(3&lt;=SemanaActual,INDEX('Cronograma R. Normativo'!$AA$5:$AA$1000,$N49),""),IF(INDEX('Cronograma R. Normativo'!$I$5:$I$1000,$N49)="","",INDEX('Cronograma R. Normativo'!$I$5:$I$1000,$N49))))</f>
        <v/>
      </c>
      <c r="I49" s="68">
        <f>IF($N49="","",IF($P49&gt;0,IF(4&lt;=SemanaActual,INDEX('Cronograma R. Normativo'!$AB$5:$AB$1000,$N49),""),IF(INDEX('Cronograma R. Normativo'!$J$5:$J$1000,$N49)="","",INDEX('Cronograma R. Normativo'!$J$5:$J$1000,$N49))))</f>
        <v/>
      </c>
      <c r="J49" s="68">
        <f>IF($N49="","",INDEX('Cronograma R. Normativo'!$K$5:$K$1000,$N49))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R. Normativo'!$M$5:$M$1000,$N49)&amp;"")</f>
        <v/>
      </c>
      <c r="M49" s="71">
        <f>IF($N49="","",INDEX('Cronograma R. Normativo'!$N$5:$N$1000,$N49)&amp;"")</f>
        <v/>
      </c>
      <c r="N49">
        <f>IFERROR(MATCH(ROW()-4,rOrden_RN,0),"")</f>
        <v/>
      </c>
      <c r="O49">
        <f>IF($N49="","",INDEX('Cronograma R. Normativo'!$S$5:$S$1000,$N49))</f>
        <v/>
      </c>
      <c r="P49">
        <f>IF($N49="","",N(INDEX('Cronograma R. Normativo'!$T$5:$T$1000,$N49)))</f>
        <v/>
      </c>
    </row>
    <row r="50">
      <c r="A50" s="62">
        <f>IF($N50="","",INDEX('Cronograma R. Normativo'!$A$5:$A$1000,$N50))</f>
        <v/>
      </c>
      <c r="B50" s="71">
        <f>IF($N50="","",IF($O50="Sub","      ↳  "&amp;INDEX('Cronograma R. Normativo'!$C$5:$C$1000,$N50),INDEX('Cronograma R. Normativo'!$C$5:$C$1000,$N50)&amp;""))</f>
        <v/>
      </c>
      <c r="C50" s="77">
        <f>IF($N50="","",IF(INDEX('Cronograma R. Normativo'!$D$5:$D$1000,$N50)="","",INDEX('Cronograma R. Normativo'!$D$5:$D$1000,$N50)))</f>
        <v/>
      </c>
      <c r="D50" s="77">
        <f>IF($N50="","",IF(INDEX('Cronograma R. Normativo'!$E$5:$E$1000,$N50)="","",INDEX('Cronograma R. Normativo'!$E$5:$E$1000,$N50)))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R. Normativo'!$Y$5:$Y$1000,$N50),""),IF(INDEX('Cronograma R. Normativo'!$G$5:$G$1000,$N50)="","",INDEX('Cronograma R. Normativo'!$G$5:$G$1000,$N50))))</f>
        <v/>
      </c>
      <c r="G50" s="68">
        <f>IF($N50="","",IF($P50&gt;0,IF(2&lt;=SemanaActual,INDEX('Cronograma R. Normativo'!$Z$5:$Z$1000,$N50),""),IF(INDEX('Cronograma R. Normativo'!$H$5:$H$1000,$N50)="","",INDEX('Cronograma R. Normativo'!$H$5:$H$1000,$N50))))</f>
        <v/>
      </c>
      <c r="H50" s="68">
        <f>IF($N50="","",IF($P50&gt;0,IF(3&lt;=SemanaActual,INDEX('Cronograma R. Normativo'!$AA$5:$AA$1000,$N50),""),IF(INDEX('Cronograma R. Normativo'!$I$5:$I$1000,$N50)="","",INDEX('Cronograma R. Normativo'!$I$5:$I$1000,$N50))))</f>
        <v/>
      </c>
      <c r="I50" s="68">
        <f>IF($N50="","",IF($P50&gt;0,IF(4&lt;=SemanaActual,INDEX('Cronograma R. Normativo'!$AB$5:$AB$1000,$N50),""),IF(INDEX('Cronograma R. Normativo'!$J$5:$J$1000,$N50)="","",INDEX('Cronograma R. Normativo'!$J$5:$J$1000,$N50))))</f>
        <v/>
      </c>
      <c r="J50" s="68">
        <f>IF($N50="","",INDEX('Cronograma R. Normativo'!$K$5:$K$1000,$N50))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R. Normativo'!$M$5:$M$1000,$N50)&amp;"")</f>
        <v/>
      </c>
      <c r="M50" s="71">
        <f>IF($N50="","",INDEX('Cronograma R. Normativo'!$N$5:$N$1000,$N50)&amp;"")</f>
        <v/>
      </c>
      <c r="N50">
        <f>IFERROR(MATCH(ROW()-4,rOrden_RN,0),"")</f>
        <v/>
      </c>
      <c r="O50">
        <f>IF($N50="","",INDEX('Cronograma R. Normativo'!$S$5:$S$1000,$N50))</f>
        <v/>
      </c>
      <c r="P50">
        <f>IF($N50="","",N(INDEX('Cronograma R. Normativo'!$T$5:$T$1000,$N50)))</f>
        <v/>
      </c>
    </row>
    <row r="51">
      <c r="A51" s="62">
        <f>IF($N51="","",INDEX('Cronograma R. Normativo'!$A$5:$A$1000,$N51))</f>
        <v/>
      </c>
      <c r="B51" s="71">
        <f>IF($N51="","",IF($O51="Sub","      ↳  "&amp;INDEX('Cronograma R. Normativo'!$C$5:$C$1000,$N51),INDEX('Cronograma R. Normativo'!$C$5:$C$1000,$N51)&amp;""))</f>
        <v/>
      </c>
      <c r="C51" s="77">
        <f>IF($N51="","",IF(INDEX('Cronograma R. Normativo'!$D$5:$D$1000,$N51)="","",INDEX('Cronograma R. Normativo'!$D$5:$D$1000,$N51)))</f>
        <v/>
      </c>
      <c r="D51" s="77">
        <f>IF($N51="","",IF(INDEX('Cronograma R. Normativo'!$E$5:$E$1000,$N51)="","",INDEX('Cronograma R. Normativo'!$E$5:$E$1000,$N51)))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R. Normativo'!$Y$5:$Y$1000,$N51),""),IF(INDEX('Cronograma R. Normativo'!$G$5:$G$1000,$N51)="","",INDEX('Cronograma R. Normativo'!$G$5:$G$1000,$N51))))</f>
        <v/>
      </c>
      <c r="G51" s="68">
        <f>IF($N51="","",IF($P51&gt;0,IF(2&lt;=SemanaActual,INDEX('Cronograma R. Normativo'!$Z$5:$Z$1000,$N51),""),IF(INDEX('Cronograma R. Normativo'!$H$5:$H$1000,$N51)="","",INDEX('Cronograma R. Normativo'!$H$5:$H$1000,$N51))))</f>
        <v/>
      </c>
      <c r="H51" s="68">
        <f>IF($N51="","",IF($P51&gt;0,IF(3&lt;=SemanaActual,INDEX('Cronograma R. Normativo'!$AA$5:$AA$1000,$N51),""),IF(INDEX('Cronograma R. Normativo'!$I$5:$I$1000,$N51)="","",INDEX('Cronograma R. Normativo'!$I$5:$I$1000,$N51))))</f>
        <v/>
      </c>
      <c r="I51" s="68">
        <f>IF($N51="","",IF($P51&gt;0,IF(4&lt;=SemanaActual,INDEX('Cronograma R. Normativo'!$AB$5:$AB$1000,$N51),""),IF(INDEX('Cronograma R. Normativo'!$J$5:$J$1000,$N51)="","",INDEX('Cronograma R. Normativo'!$J$5:$J$1000,$N51))))</f>
        <v/>
      </c>
      <c r="J51" s="68">
        <f>IF($N51="","",INDEX('Cronograma R. Normativo'!$K$5:$K$1000,$N51))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R. Normativo'!$M$5:$M$1000,$N51)&amp;"")</f>
        <v/>
      </c>
      <c r="M51" s="71">
        <f>IF($N51="","",INDEX('Cronograma R. Normativo'!$N$5:$N$1000,$N51)&amp;"")</f>
        <v/>
      </c>
      <c r="N51">
        <f>IFERROR(MATCH(ROW()-4,rOrden_RN,0),"")</f>
        <v/>
      </c>
      <c r="O51">
        <f>IF($N51="","",INDEX('Cronograma R. Normativo'!$S$5:$S$1000,$N51))</f>
        <v/>
      </c>
      <c r="P51">
        <f>IF($N51="","",N(INDEX('Cronograma R. Normativo'!$T$5:$T$1000,$N51)))</f>
        <v/>
      </c>
    </row>
    <row r="52">
      <c r="A52" s="62">
        <f>IF($N52="","",INDEX('Cronograma R. Normativo'!$A$5:$A$1000,$N52))</f>
        <v/>
      </c>
      <c r="B52" s="71">
        <f>IF($N52="","",IF($O52="Sub","      ↳  "&amp;INDEX('Cronograma R. Normativo'!$C$5:$C$1000,$N52),INDEX('Cronograma R. Normativo'!$C$5:$C$1000,$N52)&amp;""))</f>
        <v/>
      </c>
      <c r="C52" s="77">
        <f>IF($N52="","",IF(INDEX('Cronograma R. Normativo'!$D$5:$D$1000,$N52)="","",INDEX('Cronograma R. Normativo'!$D$5:$D$1000,$N52)))</f>
        <v/>
      </c>
      <c r="D52" s="77">
        <f>IF($N52="","",IF(INDEX('Cronograma R. Normativo'!$E$5:$E$1000,$N52)="","",INDEX('Cronograma R. Normativo'!$E$5:$E$1000,$N52)))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R. Normativo'!$Y$5:$Y$1000,$N52),""),IF(INDEX('Cronograma R. Normativo'!$G$5:$G$1000,$N52)="","",INDEX('Cronograma R. Normativo'!$G$5:$G$1000,$N52))))</f>
        <v/>
      </c>
      <c r="G52" s="68">
        <f>IF($N52="","",IF($P52&gt;0,IF(2&lt;=SemanaActual,INDEX('Cronograma R. Normativo'!$Z$5:$Z$1000,$N52),""),IF(INDEX('Cronograma R. Normativo'!$H$5:$H$1000,$N52)="","",INDEX('Cronograma R. Normativo'!$H$5:$H$1000,$N52))))</f>
        <v/>
      </c>
      <c r="H52" s="68">
        <f>IF($N52="","",IF($P52&gt;0,IF(3&lt;=SemanaActual,INDEX('Cronograma R. Normativo'!$AA$5:$AA$1000,$N52),""),IF(INDEX('Cronograma R. Normativo'!$I$5:$I$1000,$N52)="","",INDEX('Cronograma R. Normativo'!$I$5:$I$1000,$N52))))</f>
        <v/>
      </c>
      <c r="I52" s="68">
        <f>IF($N52="","",IF($P52&gt;0,IF(4&lt;=SemanaActual,INDEX('Cronograma R. Normativo'!$AB$5:$AB$1000,$N52),""),IF(INDEX('Cronograma R. Normativo'!$J$5:$J$1000,$N52)="","",INDEX('Cronograma R. Normativo'!$J$5:$J$1000,$N52))))</f>
        <v/>
      </c>
      <c r="J52" s="68">
        <f>IF($N52="","",INDEX('Cronograma R. Normativo'!$K$5:$K$1000,$N52))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R. Normativo'!$M$5:$M$1000,$N52)&amp;"")</f>
        <v/>
      </c>
      <c r="M52" s="71">
        <f>IF($N52="","",INDEX('Cronograma R. Normativo'!$N$5:$N$1000,$N52)&amp;"")</f>
        <v/>
      </c>
      <c r="N52">
        <f>IFERROR(MATCH(ROW()-4,rOrden_RN,0),"")</f>
        <v/>
      </c>
      <c r="O52">
        <f>IF($N52="","",INDEX('Cronograma R. Normativo'!$S$5:$S$1000,$N52))</f>
        <v/>
      </c>
      <c r="P52">
        <f>IF($N52="","",N(INDEX('Cronograma R. Normativo'!$T$5:$T$1000,$N52)))</f>
        <v/>
      </c>
    </row>
    <row r="53">
      <c r="A53" s="62">
        <f>IF($N53="","",INDEX('Cronograma R. Normativo'!$A$5:$A$1000,$N53))</f>
        <v/>
      </c>
      <c r="B53" s="71">
        <f>IF($N53="","",IF($O53="Sub","      ↳  "&amp;INDEX('Cronograma R. Normativo'!$C$5:$C$1000,$N53),INDEX('Cronograma R. Normativo'!$C$5:$C$1000,$N53)&amp;""))</f>
        <v/>
      </c>
      <c r="C53" s="77">
        <f>IF($N53="","",IF(INDEX('Cronograma R. Normativo'!$D$5:$D$1000,$N53)="","",INDEX('Cronograma R. Normativo'!$D$5:$D$1000,$N53)))</f>
        <v/>
      </c>
      <c r="D53" s="77">
        <f>IF($N53="","",IF(INDEX('Cronograma R. Normativo'!$E$5:$E$1000,$N53)="","",INDEX('Cronograma R. Normativo'!$E$5:$E$1000,$N53)))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R. Normativo'!$Y$5:$Y$1000,$N53),""),IF(INDEX('Cronograma R. Normativo'!$G$5:$G$1000,$N53)="","",INDEX('Cronograma R. Normativo'!$G$5:$G$1000,$N53))))</f>
        <v/>
      </c>
      <c r="G53" s="68">
        <f>IF($N53="","",IF($P53&gt;0,IF(2&lt;=SemanaActual,INDEX('Cronograma R. Normativo'!$Z$5:$Z$1000,$N53),""),IF(INDEX('Cronograma R. Normativo'!$H$5:$H$1000,$N53)="","",INDEX('Cronograma R. Normativo'!$H$5:$H$1000,$N53))))</f>
        <v/>
      </c>
      <c r="H53" s="68">
        <f>IF($N53="","",IF($P53&gt;0,IF(3&lt;=SemanaActual,INDEX('Cronograma R. Normativo'!$AA$5:$AA$1000,$N53),""),IF(INDEX('Cronograma R. Normativo'!$I$5:$I$1000,$N53)="","",INDEX('Cronograma R. Normativo'!$I$5:$I$1000,$N53))))</f>
        <v/>
      </c>
      <c r="I53" s="68">
        <f>IF($N53="","",IF($P53&gt;0,IF(4&lt;=SemanaActual,INDEX('Cronograma R. Normativo'!$AB$5:$AB$1000,$N53),""),IF(INDEX('Cronograma R. Normativo'!$J$5:$J$1000,$N53)="","",INDEX('Cronograma R. Normativo'!$J$5:$J$1000,$N53))))</f>
        <v/>
      </c>
      <c r="J53" s="68">
        <f>IF($N53="","",INDEX('Cronograma R. Normativo'!$K$5:$K$1000,$N53))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R. Normativo'!$M$5:$M$1000,$N53)&amp;"")</f>
        <v/>
      </c>
      <c r="M53" s="71">
        <f>IF($N53="","",INDEX('Cronograma R. Normativo'!$N$5:$N$1000,$N53)&amp;"")</f>
        <v/>
      </c>
      <c r="N53">
        <f>IFERROR(MATCH(ROW()-4,rOrden_RN,0),"")</f>
        <v/>
      </c>
      <c r="O53">
        <f>IF($N53="","",INDEX('Cronograma R. Normativo'!$S$5:$S$1000,$N53))</f>
        <v/>
      </c>
      <c r="P53">
        <f>IF($N53="","",N(INDEX('Cronograma R. Normativo'!$T$5:$T$1000,$N53)))</f>
        <v/>
      </c>
    </row>
    <row r="54">
      <c r="A54" s="62">
        <f>IF($N54="","",INDEX('Cronograma R. Normativo'!$A$5:$A$1000,$N54))</f>
        <v/>
      </c>
      <c r="B54" s="71">
        <f>IF($N54="","",IF($O54="Sub","      ↳  "&amp;INDEX('Cronograma R. Normativo'!$C$5:$C$1000,$N54),INDEX('Cronograma R. Normativo'!$C$5:$C$1000,$N54)&amp;""))</f>
        <v/>
      </c>
      <c r="C54" s="77">
        <f>IF($N54="","",IF(INDEX('Cronograma R. Normativo'!$D$5:$D$1000,$N54)="","",INDEX('Cronograma R. Normativo'!$D$5:$D$1000,$N54)))</f>
        <v/>
      </c>
      <c r="D54" s="77">
        <f>IF($N54="","",IF(INDEX('Cronograma R. Normativo'!$E$5:$E$1000,$N54)="","",INDEX('Cronograma R. Normativo'!$E$5:$E$1000,$N54)))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R. Normativo'!$Y$5:$Y$1000,$N54),""),IF(INDEX('Cronograma R. Normativo'!$G$5:$G$1000,$N54)="","",INDEX('Cronograma R. Normativo'!$G$5:$G$1000,$N54))))</f>
        <v/>
      </c>
      <c r="G54" s="68">
        <f>IF($N54="","",IF($P54&gt;0,IF(2&lt;=SemanaActual,INDEX('Cronograma R. Normativo'!$Z$5:$Z$1000,$N54),""),IF(INDEX('Cronograma R. Normativo'!$H$5:$H$1000,$N54)="","",INDEX('Cronograma R. Normativo'!$H$5:$H$1000,$N54))))</f>
        <v/>
      </c>
      <c r="H54" s="68">
        <f>IF($N54="","",IF($P54&gt;0,IF(3&lt;=SemanaActual,INDEX('Cronograma R. Normativo'!$AA$5:$AA$1000,$N54),""),IF(INDEX('Cronograma R. Normativo'!$I$5:$I$1000,$N54)="","",INDEX('Cronograma R. Normativo'!$I$5:$I$1000,$N54))))</f>
        <v/>
      </c>
      <c r="I54" s="68">
        <f>IF($N54="","",IF($P54&gt;0,IF(4&lt;=SemanaActual,INDEX('Cronograma R. Normativo'!$AB$5:$AB$1000,$N54),""),IF(INDEX('Cronograma R. Normativo'!$J$5:$J$1000,$N54)="","",INDEX('Cronograma R. Normativo'!$J$5:$J$1000,$N54))))</f>
        <v/>
      </c>
      <c r="J54" s="68">
        <f>IF($N54="","",INDEX('Cronograma R. Normativo'!$K$5:$K$1000,$N54))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R. Normativo'!$M$5:$M$1000,$N54)&amp;"")</f>
        <v/>
      </c>
      <c r="M54" s="71">
        <f>IF($N54="","",INDEX('Cronograma R. Normativo'!$N$5:$N$1000,$N54)&amp;"")</f>
        <v/>
      </c>
      <c r="N54">
        <f>IFERROR(MATCH(ROW()-4,rOrden_RN,0),"")</f>
        <v/>
      </c>
      <c r="O54">
        <f>IF($N54="","",INDEX('Cronograma R. Normativo'!$S$5:$S$1000,$N54))</f>
        <v/>
      </c>
      <c r="P54">
        <f>IF($N54="","",N(INDEX('Cronograma R. Normativo'!$T$5:$T$1000,$N54)))</f>
        <v/>
      </c>
    </row>
    <row r="55">
      <c r="A55" s="62">
        <f>IF($N55="","",INDEX('Cronograma R. Normativo'!$A$5:$A$1000,$N55))</f>
        <v/>
      </c>
      <c r="B55" s="71">
        <f>IF($N55="","",IF($O55="Sub","      ↳  "&amp;INDEX('Cronograma R. Normativo'!$C$5:$C$1000,$N55),INDEX('Cronograma R. Normativo'!$C$5:$C$1000,$N55)&amp;""))</f>
        <v/>
      </c>
      <c r="C55" s="77">
        <f>IF($N55="","",IF(INDEX('Cronograma R. Normativo'!$D$5:$D$1000,$N55)="","",INDEX('Cronograma R. Normativo'!$D$5:$D$1000,$N55)))</f>
        <v/>
      </c>
      <c r="D55" s="77">
        <f>IF($N55="","",IF(INDEX('Cronograma R. Normativo'!$E$5:$E$1000,$N55)="","",INDEX('Cronograma R. Normativo'!$E$5:$E$1000,$N55)))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R. Normativo'!$Y$5:$Y$1000,$N55),""),IF(INDEX('Cronograma R. Normativo'!$G$5:$G$1000,$N55)="","",INDEX('Cronograma R. Normativo'!$G$5:$G$1000,$N55))))</f>
        <v/>
      </c>
      <c r="G55" s="68">
        <f>IF($N55="","",IF($P55&gt;0,IF(2&lt;=SemanaActual,INDEX('Cronograma R. Normativo'!$Z$5:$Z$1000,$N55),""),IF(INDEX('Cronograma R. Normativo'!$H$5:$H$1000,$N55)="","",INDEX('Cronograma R. Normativo'!$H$5:$H$1000,$N55))))</f>
        <v/>
      </c>
      <c r="H55" s="68">
        <f>IF($N55="","",IF($P55&gt;0,IF(3&lt;=SemanaActual,INDEX('Cronograma R. Normativo'!$AA$5:$AA$1000,$N55),""),IF(INDEX('Cronograma R. Normativo'!$I$5:$I$1000,$N55)="","",INDEX('Cronograma R. Normativo'!$I$5:$I$1000,$N55))))</f>
        <v/>
      </c>
      <c r="I55" s="68">
        <f>IF($N55="","",IF($P55&gt;0,IF(4&lt;=SemanaActual,INDEX('Cronograma R. Normativo'!$AB$5:$AB$1000,$N55),""),IF(INDEX('Cronograma R. Normativo'!$J$5:$J$1000,$N55)="","",INDEX('Cronograma R. Normativo'!$J$5:$J$1000,$N55))))</f>
        <v/>
      </c>
      <c r="J55" s="68">
        <f>IF($N55="","",INDEX('Cronograma R. Normativo'!$K$5:$K$1000,$N55))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R. Normativo'!$M$5:$M$1000,$N55)&amp;"")</f>
        <v/>
      </c>
      <c r="M55" s="71">
        <f>IF($N55="","",INDEX('Cronograma R. Normativo'!$N$5:$N$1000,$N55)&amp;"")</f>
        <v/>
      </c>
      <c r="N55">
        <f>IFERROR(MATCH(ROW()-4,rOrden_RN,0),"")</f>
        <v/>
      </c>
      <c r="O55">
        <f>IF($N55="","",INDEX('Cronograma R. Normativo'!$S$5:$S$1000,$N55))</f>
        <v/>
      </c>
      <c r="P55">
        <f>IF($N55="","",N(INDEX('Cronograma R. Normativo'!$T$5:$T$1000,$N55)))</f>
        <v/>
      </c>
    </row>
    <row r="56">
      <c r="A56" s="62">
        <f>IF($N56="","",INDEX('Cronograma R. Normativo'!$A$5:$A$1000,$N56))</f>
        <v/>
      </c>
      <c r="B56" s="71">
        <f>IF($N56="","",IF($O56="Sub","      ↳  "&amp;INDEX('Cronograma R. Normativo'!$C$5:$C$1000,$N56),INDEX('Cronograma R. Normativo'!$C$5:$C$1000,$N56)&amp;""))</f>
        <v/>
      </c>
      <c r="C56" s="77">
        <f>IF($N56="","",IF(INDEX('Cronograma R. Normativo'!$D$5:$D$1000,$N56)="","",INDEX('Cronograma R. Normativo'!$D$5:$D$1000,$N56)))</f>
        <v/>
      </c>
      <c r="D56" s="77">
        <f>IF($N56="","",IF(INDEX('Cronograma R. Normativo'!$E$5:$E$1000,$N56)="","",INDEX('Cronograma R. Normativo'!$E$5:$E$1000,$N56)))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R. Normativo'!$Y$5:$Y$1000,$N56),""),IF(INDEX('Cronograma R. Normativo'!$G$5:$G$1000,$N56)="","",INDEX('Cronograma R. Normativo'!$G$5:$G$1000,$N56))))</f>
        <v/>
      </c>
      <c r="G56" s="68">
        <f>IF($N56="","",IF($P56&gt;0,IF(2&lt;=SemanaActual,INDEX('Cronograma R. Normativo'!$Z$5:$Z$1000,$N56),""),IF(INDEX('Cronograma R. Normativo'!$H$5:$H$1000,$N56)="","",INDEX('Cronograma R. Normativo'!$H$5:$H$1000,$N56))))</f>
        <v/>
      </c>
      <c r="H56" s="68">
        <f>IF($N56="","",IF($P56&gt;0,IF(3&lt;=SemanaActual,INDEX('Cronograma R. Normativo'!$AA$5:$AA$1000,$N56),""),IF(INDEX('Cronograma R. Normativo'!$I$5:$I$1000,$N56)="","",INDEX('Cronograma R. Normativo'!$I$5:$I$1000,$N56))))</f>
        <v/>
      </c>
      <c r="I56" s="68">
        <f>IF($N56="","",IF($P56&gt;0,IF(4&lt;=SemanaActual,INDEX('Cronograma R. Normativo'!$AB$5:$AB$1000,$N56),""),IF(INDEX('Cronograma R. Normativo'!$J$5:$J$1000,$N56)="","",INDEX('Cronograma R. Normativo'!$J$5:$J$1000,$N56))))</f>
        <v/>
      </c>
      <c r="J56" s="68">
        <f>IF($N56="","",INDEX('Cronograma R. Normativo'!$K$5:$K$1000,$N56))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R. Normativo'!$M$5:$M$1000,$N56)&amp;"")</f>
        <v/>
      </c>
      <c r="M56" s="71">
        <f>IF($N56="","",INDEX('Cronograma R. Normativo'!$N$5:$N$1000,$N56)&amp;"")</f>
        <v/>
      </c>
      <c r="N56">
        <f>IFERROR(MATCH(ROW()-4,rOrden_RN,0),"")</f>
        <v/>
      </c>
      <c r="O56">
        <f>IF($N56="","",INDEX('Cronograma R. Normativo'!$S$5:$S$1000,$N56))</f>
        <v/>
      </c>
      <c r="P56">
        <f>IF($N56="","",N(INDEX('Cronograma R. Normativo'!$T$5:$T$1000,$N56)))</f>
        <v/>
      </c>
    </row>
    <row r="57">
      <c r="A57" s="62">
        <f>IF($N57="","",INDEX('Cronograma R. Normativo'!$A$5:$A$1000,$N57))</f>
        <v/>
      </c>
      <c r="B57" s="71">
        <f>IF($N57="","",IF($O57="Sub","      ↳  "&amp;INDEX('Cronograma R. Normativo'!$C$5:$C$1000,$N57),INDEX('Cronograma R. Normativo'!$C$5:$C$1000,$N57)&amp;""))</f>
        <v/>
      </c>
      <c r="C57" s="77">
        <f>IF($N57="","",IF(INDEX('Cronograma R. Normativo'!$D$5:$D$1000,$N57)="","",INDEX('Cronograma R. Normativo'!$D$5:$D$1000,$N57)))</f>
        <v/>
      </c>
      <c r="D57" s="77">
        <f>IF($N57="","",IF(INDEX('Cronograma R. Normativo'!$E$5:$E$1000,$N57)="","",INDEX('Cronograma R. Normativo'!$E$5:$E$1000,$N57)))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R. Normativo'!$Y$5:$Y$1000,$N57),""),IF(INDEX('Cronograma R. Normativo'!$G$5:$G$1000,$N57)="","",INDEX('Cronograma R. Normativo'!$G$5:$G$1000,$N57))))</f>
        <v/>
      </c>
      <c r="G57" s="68">
        <f>IF($N57="","",IF($P57&gt;0,IF(2&lt;=SemanaActual,INDEX('Cronograma R. Normativo'!$Z$5:$Z$1000,$N57),""),IF(INDEX('Cronograma R. Normativo'!$H$5:$H$1000,$N57)="","",INDEX('Cronograma R. Normativo'!$H$5:$H$1000,$N57))))</f>
        <v/>
      </c>
      <c r="H57" s="68">
        <f>IF($N57="","",IF($P57&gt;0,IF(3&lt;=SemanaActual,INDEX('Cronograma R. Normativo'!$AA$5:$AA$1000,$N57),""),IF(INDEX('Cronograma R. Normativo'!$I$5:$I$1000,$N57)="","",INDEX('Cronograma R. Normativo'!$I$5:$I$1000,$N57))))</f>
        <v/>
      </c>
      <c r="I57" s="68">
        <f>IF($N57="","",IF($P57&gt;0,IF(4&lt;=SemanaActual,INDEX('Cronograma R. Normativo'!$AB$5:$AB$1000,$N57),""),IF(INDEX('Cronograma R. Normativo'!$J$5:$J$1000,$N57)="","",INDEX('Cronograma R. Normativo'!$J$5:$J$1000,$N57))))</f>
        <v/>
      </c>
      <c r="J57" s="68">
        <f>IF($N57="","",INDEX('Cronograma R. Normativo'!$K$5:$K$1000,$N57))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R. Normativo'!$M$5:$M$1000,$N57)&amp;"")</f>
        <v/>
      </c>
      <c r="M57" s="71">
        <f>IF($N57="","",INDEX('Cronograma R. Normativo'!$N$5:$N$1000,$N57)&amp;"")</f>
        <v/>
      </c>
      <c r="N57">
        <f>IFERROR(MATCH(ROW()-4,rOrden_RN,0),"")</f>
        <v/>
      </c>
      <c r="O57">
        <f>IF($N57="","",INDEX('Cronograma R. Normativo'!$S$5:$S$1000,$N57))</f>
        <v/>
      </c>
      <c r="P57">
        <f>IF($N57="","",N(INDEX('Cronograma R. Normativo'!$T$5:$T$1000,$N57)))</f>
        <v/>
      </c>
    </row>
    <row r="58">
      <c r="A58" s="62">
        <f>IF($N58="","",INDEX('Cronograma R. Normativo'!$A$5:$A$1000,$N58))</f>
        <v/>
      </c>
      <c r="B58" s="71">
        <f>IF($N58="","",IF($O58="Sub","      ↳  "&amp;INDEX('Cronograma R. Normativo'!$C$5:$C$1000,$N58),INDEX('Cronograma R. Normativo'!$C$5:$C$1000,$N58)&amp;""))</f>
        <v/>
      </c>
      <c r="C58" s="77">
        <f>IF($N58="","",IF(INDEX('Cronograma R. Normativo'!$D$5:$D$1000,$N58)="","",INDEX('Cronograma R. Normativo'!$D$5:$D$1000,$N58)))</f>
        <v/>
      </c>
      <c r="D58" s="77">
        <f>IF($N58="","",IF(INDEX('Cronograma R. Normativo'!$E$5:$E$1000,$N58)="","",INDEX('Cronograma R. Normativo'!$E$5:$E$1000,$N58)))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R. Normativo'!$Y$5:$Y$1000,$N58),""),IF(INDEX('Cronograma R. Normativo'!$G$5:$G$1000,$N58)="","",INDEX('Cronograma R. Normativo'!$G$5:$G$1000,$N58))))</f>
        <v/>
      </c>
      <c r="G58" s="68">
        <f>IF($N58="","",IF($P58&gt;0,IF(2&lt;=SemanaActual,INDEX('Cronograma R. Normativo'!$Z$5:$Z$1000,$N58),""),IF(INDEX('Cronograma R. Normativo'!$H$5:$H$1000,$N58)="","",INDEX('Cronograma R. Normativo'!$H$5:$H$1000,$N58))))</f>
        <v/>
      </c>
      <c r="H58" s="68">
        <f>IF($N58="","",IF($P58&gt;0,IF(3&lt;=SemanaActual,INDEX('Cronograma R. Normativo'!$AA$5:$AA$1000,$N58),""),IF(INDEX('Cronograma R. Normativo'!$I$5:$I$1000,$N58)="","",INDEX('Cronograma R. Normativo'!$I$5:$I$1000,$N58))))</f>
        <v/>
      </c>
      <c r="I58" s="68">
        <f>IF($N58="","",IF($P58&gt;0,IF(4&lt;=SemanaActual,INDEX('Cronograma R. Normativo'!$AB$5:$AB$1000,$N58),""),IF(INDEX('Cronograma R. Normativo'!$J$5:$J$1000,$N58)="","",INDEX('Cronograma R. Normativo'!$J$5:$J$1000,$N58))))</f>
        <v/>
      </c>
      <c r="J58" s="68">
        <f>IF($N58="","",INDEX('Cronograma R. Normativo'!$K$5:$K$1000,$N58))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R. Normativo'!$M$5:$M$1000,$N58)&amp;"")</f>
        <v/>
      </c>
      <c r="M58" s="71">
        <f>IF($N58="","",INDEX('Cronograma R. Normativo'!$N$5:$N$1000,$N58)&amp;"")</f>
        <v/>
      </c>
      <c r="N58">
        <f>IFERROR(MATCH(ROW()-4,rOrden_RN,0),"")</f>
        <v/>
      </c>
      <c r="O58">
        <f>IF($N58="","",INDEX('Cronograma R. Normativo'!$S$5:$S$1000,$N58))</f>
        <v/>
      </c>
      <c r="P58">
        <f>IF($N58="","",N(INDEX('Cronograma R. Normativo'!$T$5:$T$1000,$N58)))</f>
        <v/>
      </c>
    </row>
    <row r="59">
      <c r="A59" s="62">
        <f>IF($N59="","",INDEX('Cronograma R. Normativo'!$A$5:$A$1000,$N59))</f>
        <v/>
      </c>
      <c r="B59" s="71">
        <f>IF($N59="","",IF($O59="Sub","      ↳  "&amp;INDEX('Cronograma R. Normativo'!$C$5:$C$1000,$N59),INDEX('Cronograma R. Normativo'!$C$5:$C$1000,$N59)&amp;""))</f>
        <v/>
      </c>
      <c r="C59" s="77">
        <f>IF($N59="","",IF(INDEX('Cronograma R. Normativo'!$D$5:$D$1000,$N59)="","",INDEX('Cronograma R. Normativo'!$D$5:$D$1000,$N59)))</f>
        <v/>
      </c>
      <c r="D59" s="77">
        <f>IF($N59="","",IF(INDEX('Cronograma R. Normativo'!$E$5:$E$1000,$N59)="","",INDEX('Cronograma R. Normativo'!$E$5:$E$1000,$N59)))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R. Normativo'!$Y$5:$Y$1000,$N59),""),IF(INDEX('Cronograma R. Normativo'!$G$5:$G$1000,$N59)="","",INDEX('Cronograma R. Normativo'!$G$5:$G$1000,$N59))))</f>
        <v/>
      </c>
      <c r="G59" s="68">
        <f>IF($N59="","",IF($P59&gt;0,IF(2&lt;=SemanaActual,INDEX('Cronograma R. Normativo'!$Z$5:$Z$1000,$N59),""),IF(INDEX('Cronograma R. Normativo'!$H$5:$H$1000,$N59)="","",INDEX('Cronograma R. Normativo'!$H$5:$H$1000,$N59))))</f>
        <v/>
      </c>
      <c r="H59" s="68">
        <f>IF($N59="","",IF($P59&gt;0,IF(3&lt;=SemanaActual,INDEX('Cronograma R. Normativo'!$AA$5:$AA$1000,$N59),""),IF(INDEX('Cronograma R. Normativo'!$I$5:$I$1000,$N59)="","",INDEX('Cronograma R. Normativo'!$I$5:$I$1000,$N59))))</f>
        <v/>
      </c>
      <c r="I59" s="68">
        <f>IF($N59="","",IF($P59&gt;0,IF(4&lt;=SemanaActual,INDEX('Cronograma R. Normativo'!$AB$5:$AB$1000,$N59),""),IF(INDEX('Cronograma R. Normativo'!$J$5:$J$1000,$N59)="","",INDEX('Cronograma R. Normativo'!$J$5:$J$1000,$N59))))</f>
        <v/>
      </c>
      <c r="J59" s="68">
        <f>IF($N59="","",INDEX('Cronograma R. Normativo'!$K$5:$K$1000,$N59))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R. Normativo'!$M$5:$M$1000,$N59)&amp;"")</f>
        <v/>
      </c>
      <c r="M59" s="71">
        <f>IF($N59="","",INDEX('Cronograma R. Normativo'!$N$5:$N$1000,$N59)&amp;"")</f>
        <v/>
      </c>
      <c r="N59">
        <f>IFERROR(MATCH(ROW()-4,rOrden_RN,0),"")</f>
        <v/>
      </c>
      <c r="O59">
        <f>IF($N59="","",INDEX('Cronograma R. Normativo'!$S$5:$S$1000,$N59))</f>
        <v/>
      </c>
      <c r="P59">
        <f>IF($N59="","",N(INDEX('Cronograma R. Normativo'!$T$5:$T$1000,$N59)))</f>
        <v/>
      </c>
    </row>
    <row r="60">
      <c r="A60" s="62">
        <f>IF($N60="","",INDEX('Cronograma R. Normativo'!$A$5:$A$1000,$N60))</f>
        <v/>
      </c>
      <c r="B60" s="71">
        <f>IF($N60="","",IF($O60="Sub","      ↳  "&amp;INDEX('Cronograma R. Normativo'!$C$5:$C$1000,$N60),INDEX('Cronograma R. Normativo'!$C$5:$C$1000,$N60)&amp;""))</f>
        <v/>
      </c>
      <c r="C60" s="77">
        <f>IF($N60="","",IF(INDEX('Cronograma R. Normativo'!$D$5:$D$1000,$N60)="","",INDEX('Cronograma R. Normativo'!$D$5:$D$1000,$N60)))</f>
        <v/>
      </c>
      <c r="D60" s="77">
        <f>IF($N60="","",IF(INDEX('Cronograma R. Normativo'!$E$5:$E$1000,$N60)="","",INDEX('Cronograma R. Normativo'!$E$5:$E$1000,$N60)))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R. Normativo'!$Y$5:$Y$1000,$N60),""),IF(INDEX('Cronograma R. Normativo'!$G$5:$G$1000,$N60)="","",INDEX('Cronograma R. Normativo'!$G$5:$G$1000,$N60))))</f>
        <v/>
      </c>
      <c r="G60" s="68">
        <f>IF($N60="","",IF($P60&gt;0,IF(2&lt;=SemanaActual,INDEX('Cronograma R. Normativo'!$Z$5:$Z$1000,$N60),""),IF(INDEX('Cronograma R. Normativo'!$H$5:$H$1000,$N60)="","",INDEX('Cronograma R. Normativo'!$H$5:$H$1000,$N60))))</f>
        <v/>
      </c>
      <c r="H60" s="68">
        <f>IF($N60="","",IF($P60&gt;0,IF(3&lt;=SemanaActual,INDEX('Cronograma R. Normativo'!$AA$5:$AA$1000,$N60),""),IF(INDEX('Cronograma R. Normativo'!$I$5:$I$1000,$N60)="","",INDEX('Cronograma R. Normativo'!$I$5:$I$1000,$N60))))</f>
        <v/>
      </c>
      <c r="I60" s="68">
        <f>IF($N60="","",IF($P60&gt;0,IF(4&lt;=SemanaActual,INDEX('Cronograma R. Normativo'!$AB$5:$AB$1000,$N60),""),IF(INDEX('Cronograma R. Normativo'!$J$5:$J$1000,$N60)="","",INDEX('Cronograma R. Normativo'!$J$5:$J$1000,$N60))))</f>
        <v/>
      </c>
      <c r="J60" s="68">
        <f>IF($N60="","",INDEX('Cronograma R. Normativo'!$K$5:$K$1000,$N60))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R. Normativo'!$M$5:$M$1000,$N60)&amp;"")</f>
        <v/>
      </c>
      <c r="M60" s="71">
        <f>IF($N60="","",INDEX('Cronograma R. Normativo'!$N$5:$N$1000,$N60)&amp;"")</f>
        <v/>
      </c>
      <c r="N60">
        <f>IFERROR(MATCH(ROW()-4,rOrden_RN,0),"")</f>
        <v/>
      </c>
      <c r="O60">
        <f>IF($N60="","",INDEX('Cronograma R. Normativo'!$S$5:$S$1000,$N60))</f>
        <v/>
      </c>
      <c r="P60">
        <f>IF($N60="","",N(INDEX('Cronograma R. Normativo'!$T$5:$T$1000,$N60)))</f>
        <v/>
      </c>
    </row>
    <row r="61">
      <c r="A61" s="62">
        <f>IF($N61="","",INDEX('Cronograma R. Normativo'!$A$5:$A$1000,$N61))</f>
        <v/>
      </c>
      <c r="B61" s="71">
        <f>IF($N61="","",IF($O61="Sub","      ↳  "&amp;INDEX('Cronograma R. Normativo'!$C$5:$C$1000,$N61),INDEX('Cronograma R. Normativo'!$C$5:$C$1000,$N61)&amp;""))</f>
        <v/>
      </c>
      <c r="C61" s="77">
        <f>IF($N61="","",IF(INDEX('Cronograma R. Normativo'!$D$5:$D$1000,$N61)="","",INDEX('Cronograma R. Normativo'!$D$5:$D$1000,$N61)))</f>
        <v/>
      </c>
      <c r="D61" s="77">
        <f>IF($N61="","",IF(INDEX('Cronograma R. Normativo'!$E$5:$E$1000,$N61)="","",INDEX('Cronograma R. Normativo'!$E$5:$E$1000,$N61)))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R. Normativo'!$Y$5:$Y$1000,$N61),""),IF(INDEX('Cronograma R. Normativo'!$G$5:$G$1000,$N61)="","",INDEX('Cronograma R. Normativo'!$G$5:$G$1000,$N61))))</f>
        <v/>
      </c>
      <c r="G61" s="68">
        <f>IF($N61="","",IF($P61&gt;0,IF(2&lt;=SemanaActual,INDEX('Cronograma R. Normativo'!$Z$5:$Z$1000,$N61),""),IF(INDEX('Cronograma R. Normativo'!$H$5:$H$1000,$N61)="","",INDEX('Cronograma R. Normativo'!$H$5:$H$1000,$N61))))</f>
        <v/>
      </c>
      <c r="H61" s="68">
        <f>IF($N61="","",IF($P61&gt;0,IF(3&lt;=SemanaActual,INDEX('Cronograma R. Normativo'!$AA$5:$AA$1000,$N61),""),IF(INDEX('Cronograma R. Normativo'!$I$5:$I$1000,$N61)="","",INDEX('Cronograma R. Normativo'!$I$5:$I$1000,$N61))))</f>
        <v/>
      </c>
      <c r="I61" s="68">
        <f>IF($N61="","",IF($P61&gt;0,IF(4&lt;=SemanaActual,INDEX('Cronograma R. Normativo'!$AB$5:$AB$1000,$N61),""),IF(INDEX('Cronograma R. Normativo'!$J$5:$J$1000,$N61)="","",INDEX('Cronograma R. Normativo'!$J$5:$J$1000,$N61))))</f>
        <v/>
      </c>
      <c r="J61" s="68">
        <f>IF($N61="","",INDEX('Cronograma R. Normativo'!$K$5:$K$1000,$N61))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R. Normativo'!$M$5:$M$1000,$N61)&amp;"")</f>
        <v/>
      </c>
      <c r="M61" s="71">
        <f>IF($N61="","",INDEX('Cronograma R. Normativo'!$N$5:$N$1000,$N61)&amp;"")</f>
        <v/>
      </c>
      <c r="N61">
        <f>IFERROR(MATCH(ROW()-4,rOrden_RN,0),"")</f>
        <v/>
      </c>
      <c r="O61">
        <f>IF($N61="","",INDEX('Cronograma R. Normativo'!$S$5:$S$1000,$N61))</f>
        <v/>
      </c>
      <c r="P61">
        <f>IF($N61="","",N(INDEX('Cronograma R. Normativo'!$T$5:$T$1000,$N61)))</f>
        <v/>
      </c>
    </row>
    <row r="62">
      <c r="A62" s="62">
        <f>IF($N62="","",INDEX('Cronograma R. Normativo'!$A$5:$A$1000,$N62))</f>
        <v/>
      </c>
      <c r="B62" s="71">
        <f>IF($N62="","",IF($O62="Sub","      ↳  "&amp;INDEX('Cronograma R. Normativo'!$C$5:$C$1000,$N62),INDEX('Cronograma R. Normativo'!$C$5:$C$1000,$N62)&amp;""))</f>
        <v/>
      </c>
      <c r="C62" s="77">
        <f>IF($N62="","",IF(INDEX('Cronograma R. Normativo'!$D$5:$D$1000,$N62)="","",INDEX('Cronograma R. Normativo'!$D$5:$D$1000,$N62)))</f>
        <v/>
      </c>
      <c r="D62" s="77">
        <f>IF($N62="","",IF(INDEX('Cronograma R. Normativo'!$E$5:$E$1000,$N62)="","",INDEX('Cronograma R. Normativo'!$E$5:$E$1000,$N62)))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R. Normativo'!$Y$5:$Y$1000,$N62),""),IF(INDEX('Cronograma R. Normativo'!$G$5:$G$1000,$N62)="","",INDEX('Cronograma R. Normativo'!$G$5:$G$1000,$N62))))</f>
        <v/>
      </c>
      <c r="G62" s="68">
        <f>IF($N62="","",IF($P62&gt;0,IF(2&lt;=SemanaActual,INDEX('Cronograma R. Normativo'!$Z$5:$Z$1000,$N62),""),IF(INDEX('Cronograma R. Normativo'!$H$5:$H$1000,$N62)="","",INDEX('Cronograma R. Normativo'!$H$5:$H$1000,$N62))))</f>
        <v/>
      </c>
      <c r="H62" s="68">
        <f>IF($N62="","",IF($P62&gt;0,IF(3&lt;=SemanaActual,INDEX('Cronograma R. Normativo'!$AA$5:$AA$1000,$N62),""),IF(INDEX('Cronograma R. Normativo'!$I$5:$I$1000,$N62)="","",INDEX('Cronograma R. Normativo'!$I$5:$I$1000,$N62))))</f>
        <v/>
      </c>
      <c r="I62" s="68">
        <f>IF($N62="","",IF($P62&gt;0,IF(4&lt;=SemanaActual,INDEX('Cronograma R. Normativo'!$AB$5:$AB$1000,$N62),""),IF(INDEX('Cronograma R. Normativo'!$J$5:$J$1000,$N62)="","",INDEX('Cronograma R. Normativo'!$J$5:$J$1000,$N62))))</f>
        <v/>
      </c>
      <c r="J62" s="68">
        <f>IF($N62="","",INDEX('Cronograma R. Normativo'!$K$5:$K$1000,$N62))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R. Normativo'!$M$5:$M$1000,$N62)&amp;"")</f>
        <v/>
      </c>
      <c r="M62" s="71">
        <f>IF($N62="","",INDEX('Cronograma R. Normativo'!$N$5:$N$1000,$N62)&amp;"")</f>
        <v/>
      </c>
      <c r="N62">
        <f>IFERROR(MATCH(ROW()-4,rOrden_RN,0),"")</f>
        <v/>
      </c>
      <c r="O62">
        <f>IF($N62="","",INDEX('Cronograma R. Normativo'!$S$5:$S$1000,$N62))</f>
        <v/>
      </c>
      <c r="P62">
        <f>IF($N62="","",N(INDEX('Cronograma R. Normativo'!$T$5:$T$1000,$N62)))</f>
        <v/>
      </c>
    </row>
    <row r="63">
      <c r="A63" s="62">
        <f>IF($N63="","",INDEX('Cronograma R. Normativo'!$A$5:$A$1000,$N63))</f>
        <v/>
      </c>
      <c r="B63" s="71">
        <f>IF($N63="","",IF($O63="Sub","      ↳  "&amp;INDEX('Cronograma R. Normativo'!$C$5:$C$1000,$N63),INDEX('Cronograma R. Normativo'!$C$5:$C$1000,$N63)&amp;""))</f>
        <v/>
      </c>
      <c r="C63" s="77">
        <f>IF($N63="","",IF(INDEX('Cronograma R. Normativo'!$D$5:$D$1000,$N63)="","",INDEX('Cronograma R. Normativo'!$D$5:$D$1000,$N63)))</f>
        <v/>
      </c>
      <c r="D63" s="77">
        <f>IF($N63="","",IF(INDEX('Cronograma R. Normativo'!$E$5:$E$1000,$N63)="","",INDEX('Cronograma R. Normativo'!$E$5:$E$1000,$N63)))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R. Normativo'!$Y$5:$Y$1000,$N63),""),IF(INDEX('Cronograma R. Normativo'!$G$5:$G$1000,$N63)="","",INDEX('Cronograma R. Normativo'!$G$5:$G$1000,$N63))))</f>
        <v/>
      </c>
      <c r="G63" s="68">
        <f>IF($N63="","",IF($P63&gt;0,IF(2&lt;=SemanaActual,INDEX('Cronograma R. Normativo'!$Z$5:$Z$1000,$N63),""),IF(INDEX('Cronograma R. Normativo'!$H$5:$H$1000,$N63)="","",INDEX('Cronograma R. Normativo'!$H$5:$H$1000,$N63))))</f>
        <v/>
      </c>
      <c r="H63" s="68">
        <f>IF($N63="","",IF($P63&gt;0,IF(3&lt;=SemanaActual,INDEX('Cronograma R. Normativo'!$AA$5:$AA$1000,$N63),""),IF(INDEX('Cronograma R. Normativo'!$I$5:$I$1000,$N63)="","",INDEX('Cronograma R. Normativo'!$I$5:$I$1000,$N63))))</f>
        <v/>
      </c>
      <c r="I63" s="68">
        <f>IF($N63="","",IF($P63&gt;0,IF(4&lt;=SemanaActual,INDEX('Cronograma R. Normativo'!$AB$5:$AB$1000,$N63),""),IF(INDEX('Cronograma R. Normativo'!$J$5:$J$1000,$N63)="","",INDEX('Cronograma R. Normativo'!$J$5:$J$1000,$N63))))</f>
        <v/>
      </c>
      <c r="J63" s="68">
        <f>IF($N63="","",INDEX('Cronograma R. Normativo'!$K$5:$K$1000,$N63))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R. Normativo'!$M$5:$M$1000,$N63)&amp;"")</f>
        <v/>
      </c>
      <c r="M63" s="71">
        <f>IF($N63="","",INDEX('Cronograma R. Normativo'!$N$5:$N$1000,$N63)&amp;"")</f>
        <v/>
      </c>
      <c r="N63">
        <f>IFERROR(MATCH(ROW()-4,rOrden_RN,0),"")</f>
        <v/>
      </c>
      <c r="O63">
        <f>IF($N63="","",INDEX('Cronograma R. Normativo'!$S$5:$S$1000,$N63))</f>
        <v/>
      </c>
      <c r="P63">
        <f>IF($N63="","",N(INDEX('Cronograma R. Normativo'!$T$5:$T$1000,$N63)))</f>
        <v/>
      </c>
    </row>
    <row r="64">
      <c r="A64" s="62">
        <f>IF($N64="","",INDEX('Cronograma R. Normativo'!$A$5:$A$1000,$N64))</f>
        <v/>
      </c>
      <c r="B64" s="71">
        <f>IF($N64="","",IF($O64="Sub","      ↳  "&amp;INDEX('Cronograma R. Normativo'!$C$5:$C$1000,$N64),INDEX('Cronograma R. Normativo'!$C$5:$C$1000,$N64)&amp;""))</f>
        <v/>
      </c>
      <c r="C64" s="77">
        <f>IF($N64="","",IF(INDEX('Cronograma R. Normativo'!$D$5:$D$1000,$N64)="","",INDEX('Cronograma R. Normativo'!$D$5:$D$1000,$N64)))</f>
        <v/>
      </c>
      <c r="D64" s="77">
        <f>IF($N64="","",IF(INDEX('Cronograma R. Normativo'!$E$5:$E$1000,$N64)="","",INDEX('Cronograma R. Normativo'!$E$5:$E$1000,$N64)))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R. Normativo'!$Y$5:$Y$1000,$N64),""),IF(INDEX('Cronograma R. Normativo'!$G$5:$G$1000,$N64)="","",INDEX('Cronograma R. Normativo'!$G$5:$G$1000,$N64))))</f>
        <v/>
      </c>
      <c r="G64" s="68">
        <f>IF($N64="","",IF($P64&gt;0,IF(2&lt;=SemanaActual,INDEX('Cronograma R. Normativo'!$Z$5:$Z$1000,$N64),""),IF(INDEX('Cronograma R. Normativo'!$H$5:$H$1000,$N64)="","",INDEX('Cronograma R. Normativo'!$H$5:$H$1000,$N64))))</f>
        <v/>
      </c>
      <c r="H64" s="68">
        <f>IF($N64="","",IF($P64&gt;0,IF(3&lt;=SemanaActual,INDEX('Cronograma R. Normativo'!$AA$5:$AA$1000,$N64),""),IF(INDEX('Cronograma R. Normativo'!$I$5:$I$1000,$N64)="","",INDEX('Cronograma R. Normativo'!$I$5:$I$1000,$N64))))</f>
        <v/>
      </c>
      <c r="I64" s="68">
        <f>IF($N64="","",IF($P64&gt;0,IF(4&lt;=SemanaActual,INDEX('Cronograma R. Normativo'!$AB$5:$AB$1000,$N64),""),IF(INDEX('Cronograma R. Normativo'!$J$5:$J$1000,$N64)="","",INDEX('Cronograma R. Normativo'!$J$5:$J$1000,$N64))))</f>
        <v/>
      </c>
      <c r="J64" s="68">
        <f>IF($N64="","",INDEX('Cronograma R. Normativo'!$K$5:$K$1000,$N64))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R. Normativo'!$M$5:$M$1000,$N64)&amp;"")</f>
        <v/>
      </c>
      <c r="M64" s="71">
        <f>IF($N64="","",INDEX('Cronograma R. Normativo'!$N$5:$N$1000,$N64)&amp;"")</f>
        <v/>
      </c>
      <c r="N64">
        <f>IFERROR(MATCH(ROW()-4,rOrden_RN,0),"")</f>
        <v/>
      </c>
      <c r="O64">
        <f>IF($N64="","",INDEX('Cronograma R. Normativo'!$S$5:$S$1000,$N64))</f>
        <v/>
      </c>
      <c r="P64">
        <f>IF($N64="","",N(INDEX('Cronograma R. Normativo'!$T$5:$T$1000,$N64)))</f>
        <v/>
      </c>
    </row>
    <row r="65">
      <c r="A65" s="62">
        <f>IF($N65="","",INDEX('Cronograma R. Normativo'!$A$5:$A$1000,$N65))</f>
        <v/>
      </c>
      <c r="B65" s="71">
        <f>IF($N65="","",IF($O65="Sub","      ↳  "&amp;INDEX('Cronograma R. Normativo'!$C$5:$C$1000,$N65),INDEX('Cronograma R. Normativo'!$C$5:$C$1000,$N65)&amp;""))</f>
        <v/>
      </c>
      <c r="C65" s="77">
        <f>IF($N65="","",IF(INDEX('Cronograma R. Normativo'!$D$5:$D$1000,$N65)="","",INDEX('Cronograma R. Normativo'!$D$5:$D$1000,$N65)))</f>
        <v/>
      </c>
      <c r="D65" s="77">
        <f>IF($N65="","",IF(INDEX('Cronograma R. Normativo'!$E$5:$E$1000,$N65)="","",INDEX('Cronograma R. Normativo'!$E$5:$E$1000,$N65)))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R. Normativo'!$Y$5:$Y$1000,$N65),""),IF(INDEX('Cronograma R. Normativo'!$G$5:$G$1000,$N65)="","",INDEX('Cronograma R. Normativo'!$G$5:$G$1000,$N65))))</f>
        <v/>
      </c>
      <c r="G65" s="68">
        <f>IF($N65="","",IF($P65&gt;0,IF(2&lt;=SemanaActual,INDEX('Cronograma R. Normativo'!$Z$5:$Z$1000,$N65),""),IF(INDEX('Cronograma R. Normativo'!$H$5:$H$1000,$N65)="","",INDEX('Cronograma R. Normativo'!$H$5:$H$1000,$N65))))</f>
        <v/>
      </c>
      <c r="H65" s="68">
        <f>IF($N65="","",IF($P65&gt;0,IF(3&lt;=SemanaActual,INDEX('Cronograma R. Normativo'!$AA$5:$AA$1000,$N65),""),IF(INDEX('Cronograma R. Normativo'!$I$5:$I$1000,$N65)="","",INDEX('Cronograma R. Normativo'!$I$5:$I$1000,$N65))))</f>
        <v/>
      </c>
      <c r="I65" s="68">
        <f>IF($N65="","",IF($P65&gt;0,IF(4&lt;=SemanaActual,INDEX('Cronograma R. Normativo'!$AB$5:$AB$1000,$N65),""),IF(INDEX('Cronograma R. Normativo'!$J$5:$J$1000,$N65)="","",INDEX('Cronograma R. Normativo'!$J$5:$J$1000,$N65))))</f>
        <v/>
      </c>
      <c r="J65" s="68">
        <f>IF($N65="","",INDEX('Cronograma R. Normativo'!$K$5:$K$1000,$N65))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R. Normativo'!$M$5:$M$1000,$N65)&amp;"")</f>
        <v/>
      </c>
      <c r="M65" s="71">
        <f>IF($N65="","",INDEX('Cronograma R. Normativo'!$N$5:$N$1000,$N65)&amp;"")</f>
        <v/>
      </c>
      <c r="N65">
        <f>IFERROR(MATCH(ROW()-4,rOrden_RN,0),"")</f>
        <v/>
      </c>
      <c r="O65">
        <f>IF($N65="","",INDEX('Cronograma R. Normativo'!$S$5:$S$1000,$N65))</f>
        <v/>
      </c>
      <c r="P65">
        <f>IF($N65="","",N(INDEX('Cronograma R. Normativo'!$T$5:$T$1000,$N65)))</f>
        <v/>
      </c>
    </row>
    <row r="66">
      <c r="A66" s="62">
        <f>IF($N66="","",INDEX('Cronograma R. Normativo'!$A$5:$A$1000,$N66))</f>
        <v/>
      </c>
      <c r="B66" s="71">
        <f>IF($N66="","",IF($O66="Sub","      ↳  "&amp;INDEX('Cronograma R. Normativo'!$C$5:$C$1000,$N66),INDEX('Cronograma R. Normativo'!$C$5:$C$1000,$N66)&amp;""))</f>
        <v/>
      </c>
      <c r="C66" s="77">
        <f>IF($N66="","",IF(INDEX('Cronograma R. Normativo'!$D$5:$D$1000,$N66)="","",INDEX('Cronograma R. Normativo'!$D$5:$D$1000,$N66)))</f>
        <v/>
      </c>
      <c r="D66" s="77">
        <f>IF($N66="","",IF(INDEX('Cronograma R. Normativo'!$E$5:$E$1000,$N66)="","",INDEX('Cronograma R. Normativo'!$E$5:$E$1000,$N66)))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R. Normativo'!$Y$5:$Y$1000,$N66),""),IF(INDEX('Cronograma R. Normativo'!$G$5:$G$1000,$N66)="","",INDEX('Cronograma R. Normativo'!$G$5:$G$1000,$N66))))</f>
        <v/>
      </c>
      <c r="G66" s="68">
        <f>IF($N66="","",IF($P66&gt;0,IF(2&lt;=SemanaActual,INDEX('Cronograma R. Normativo'!$Z$5:$Z$1000,$N66),""),IF(INDEX('Cronograma R. Normativo'!$H$5:$H$1000,$N66)="","",INDEX('Cronograma R. Normativo'!$H$5:$H$1000,$N66))))</f>
        <v/>
      </c>
      <c r="H66" s="68">
        <f>IF($N66="","",IF($P66&gt;0,IF(3&lt;=SemanaActual,INDEX('Cronograma R. Normativo'!$AA$5:$AA$1000,$N66),""),IF(INDEX('Cronograma R. Normativo'!$I$5:$I$1000,$N66)="","",INDEX('Cronograma R. Normativo'!$I$5:$I$1000,$N66))))</f>
        <v/>
      </c>
      <c r="I66" s="68">
        <f>IF($N66="","",IF($P66&gt;0,IF(4&lt;=SemanaActual,INDEX('Cronograma R. Normativo'!$AB$5:$AB$1000,$N66),""),IF(INDEX('Cronograma R. Normativo'!$J$5:$J$1000,$N66)="","",INDEX('Cronograma R. Normativo'!$J$5:$J$1000,$N66))))</f>
        <v/>
      </c>
      <c r="J66" s="68">
        <f>IF($N66="","",INDEX('Cronograma R. Normativo'!$K$5:$K$1000,$N66))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R. Normativo'!$M$5:$M$1000,$N66)&amp;"")</f>
        <v/>
      </c>
      <c r="M66" s="71">
        <f>IF($N66="","",INDEX('Cronograma R. Normativo'!$N$5:$N$1000,$N66)&amp;"")</f>
        <v/>
      </c>
      <c r="N66">
        <f>IFERROR(MATCH(ROW()-4,rOrden_RN,0),"")</f>
        <v/>
      </c>
      <c r="O66">
        <f>IF($N66="","",INDEX('Cronograma R. Normativo'!$S$5:$S$1000,$N66))</f>
        <v/>
      </c>
      <c r="P66">
        <f>IF($N66="","",N(INDEX('Cronograma R. Normativo'!$T$5:$T$1000,$N66)))</f>
        <v/>
      </c>
    </row>
    <row r="67">
      <c r="A67" s="62">
        <f>IF($N67="","",INDEX('Cronograma R. Normativo'!$A$5:$A$1000,$N67))</f>
        <v/>
      </c>
      <c r="B67" s="71">
        <f>IF($N67="","",IF($O67="Sub","      ↳  "&amp;INDEX('Cronograma R. Normativo'!$C$5:$C$1000,$N67),INDEX('Cronograma R. Normativo'!$C$5:$C$1000,$N67)&amp;""))</f>
        <v/>
      </c>
      <c r="C67" s="77">
        <f>IF($N67="","",IF(INDEX('Cronograma R. Normativo'!$D$5:$D$1000,$N67)="","",INDEX('Cronograma R. Normativo'!$D$5:$D$1000,$N67)))</f>
        <v/>
      </c>
      <c r="D67" s="77">
        <f>IF($N67="","",IF(INDEX('Cronograma R. Normativo'!$E$5:$E$1000,$N67)="","",INDEX('Cronograma R. Normativo'!$E$5:$E$1000,$N67)))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R. Normativo'!$Y$5:$Y$1000,$N67),""),IF(INDEX('Cronograma R. Normativo'!$G$5:$G$1000,$N67)="","",INDEX('Cronograma R. Normativo'!$G$5:$G$1000,$N67))))</f>
        <v/>
      </c>
      <c r="G67" s="68">
        <f>IF($N67="","",IF($P67&gt;0,IF(2&lt;=SemanaActual,INDEX('Cronograma R. Normativo'!$Z$5:$Z$1000,$N67),""),IF(INDEX('Cronograma R. Normativo'!$H$5:$H$1000,$N67)="","",INDEX('Cronograma R. Normativo'!$H$5:$H$1000,$N67))))</f>
        <v/>
      </c>
      <c r="H67" s="68">
        <f>IF($N67="","",IF($P67&gt;0,IF(3&lt;=SemanaActual,INDEX('Cronograma R. Normativo'!$AA$5:$AA$1000,$N67),""),IF(INDEX('Cronograma R. Normativo'!$I$5:$I$1000,$N67)="","",INDEX('Cronograma R. Normativo'!$I$5:$I$1000,$N67))))</f>
        <v/>
      </c>
      <c r="I67" s="68">
        <f>IF($N67="","",IF($P67&gt;0,IF(4&lt;=SemanaActual,INDEX('Cronograma R. Normativo'!$AB$5:$AB$1000,$N67),""),IF(INDEX('Cronograma R. Normativo'!$J$5:$J$1000,$N67)="","",INDEX('Cronograma R. Normativo'!$J$5:$J$1000,$N67))))</f>
        <v/>
      </c>
      <c r="J67" s="68">
        <f>IF($N67="","",INDEX('Cronograma R. Normativo'!$K$5:$K$1000,$N67))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R. Normativo'!$M$5:$M$1000,$N67)&amp;"")</f>
        <v/>
      </c>
      <c r="M67" s="71">
        <f>IF($N67="","",INDEX('Cronograma R. Normativo'!$N$5:$N$1000,$N67)&amp;"")</f>
        <v/>
      </c>
      <c r="N67">
        <f>IFERROR(MATCH(ROW()-4,rOrden_RN,0),"")</f>
        <v/>
      </c>
      <c r="O67">
        <f>IF($N67="","",INDEX('Cronograma R. Normativo'!$S$5:$S$1000,$N67))</f>
        <v/>
      </c>
      <c r="P67">
        <f>IF($N67="","",N(INDEX('Cronograma R. Normativo'!$T$5:$T$1000,$N67)))</f>
        <v/>
      </c>
    </row>
    <row r="68">
      <c r="A68" s="62">
        <f>IF($N68="","",INDEX('Cronograma R. Normativo'!$A$5:$A$1000,$N68))</f>
        <v/>
      </c>
      <c r="B68" s="71">
        <f>IF($N68="","",IF($O68="Sub","      ↳  "&amp;INDEX('Cronograma R. Normativo'!$C$5:$C$1000,$N68),INDEX('Cronograma R. Normativo'!$C$5:$C$1000,$N68)&amp;""))</f>
        <v/>
      </c>
      <c r="C68" s="77">
        <f>IF($N68="","",IF(INDEX('Cronograma R. Normativo'!$D$5:$D$1000,$N68)="","",INDEX('Cronograma R. Normativo'!$D$5:$D$1000,$N68)))</f>
        <v/>
      </c>
      <c r="D68" s="77">
        <f>IF($N68="","",IF(INDEX('Cronograma R. Normativo'!$E$5:$E$1000,$N68)="","",INDEX('Cronograma R. Normativo'!$E$5:$E$1000,$N68)))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R. Normativo'!$Y$5:$Y$1000,$N68),""),IF(INDEX('Cronograma R. Normativo'!$G$5:$G$1000,$N68)="","",INDEX('Cronograma R. Normativo'!$G$5:$G$1000,$N68))))</f>
        <v/>
      </c>
      <c r="G68" s="68">
        <f>IF($N68="","",IF($P68&gt;0,IF(2&lt;=SemanaActual,INDEX('Cronograma R. Normativo'!$Z$5:$Z$1000,$N68),""),IF(INDEX('Cronograma R. Normativo'!$H$5:$H$1000,$N68)="","",INDEX('Cronograma R. Normativo'!$H$5:$H$1000,$N68))))</f>
        <v/>
      </c>
      <c r="H68" s="68">
        <f>IF($N68="","",IF($P68&gt;0,IF(3&lt;=SemanaActual,INDEX('Cronograma R. Normativo'!$AA$5:$AA$1000,$N68),""),IF(INDEX('Cronograma R. Normativo'!$I$5:$I$1000,$N68)="","",INDEX('Cronograma R. Normativo'!$I$5:$I$1000,$N68))))</f>
        <v/>
      </c>
      <c r="I68" s="68">
        <f>IF($N68="","",IF($P68&gt;0,IF(4&lt;=SemanaActual,INDEX('Cronograma R. Normativo'!$AB$5:$AB$1000,$N68),""),IF(INDEX('Cronograma R. Normativo'!$J$5:$J$1000,$N68)="","",INDEX('Cronograma R. Normativo'!$J$5:$J$1000,$N68))))</f>
        <v/>
      </c>
      <c r="J68" s="68">
        <f>IF($N68="","",INDEX('Cronograma R. Normativo'!$K$5:$K$1000,$N68))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R. Normativo'!$M$5:$M$1000,$N68)&amp;"")</f>
        <v/>
      </c>
      <c r="M68" s="71">
        <f>IF($N68="","",INDEX('Cronograma R. Normativo'!$N$5:$N$1000,$N68)&amp;"")</f>
        <v/>
      </c>
      <c r="N68">
        <f>IFERROR(MATCH(ROW()-4,rOrden_RN,0),"")</f>
        <v/>
      </c>
      <c r="O68">
        <f>IF($N68="","",INDEX('Cronograma R. Normativo'!$S$5:$S$1000,$N68))</f>
        <v/>
      </c>
      <c r="P68">
        <f>IF($N68="","",N(INDEX('Cronograma R. Normativo'!$T$5:$T$1000,$N68)))</f>
        <v/>
      </c>
    </row>
    <row r="69">
      <c r="A69" s="62">
        <f>IF($N69="","",INDEX('Cronograma R. Normativo'!$A$5:$A$1000,$N69))</f>
        <v/>
      </c>
      <c r="B69" s="71">
        <f>IF($N69="","",IF($O69="Sub","      ↳  "&amp;INDEX('Cronograma R. Normativo'!$C$5:$C$1000,$N69),INDEX('Cronograma R. Normativo'!$C$5:$C$1000,$N69)&amp;""))</f>
        <v/>
      </c>
      <c r="C69" s="77">
        <f>IF($N69="","",IF(INDEX('Cronograma R. Normativo'!$D$5:$D$1000,$N69)="","",INDEX('Cronograma R. Normativo'!$D$5:$D$1000,$N69)))</f>
        <v/>
      </c>
      <c r="D69" s="77">
        <f>IF($N69="","",IF(INDEX('Cronograma R. Normativo'!$E$5:$E$1000,$N69)="","",INDEX('Cronograma R. Normativo'!$E$5:$E$1000,$N69)))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R. Normativo'!$Y$5:$Y$1000,$N69),""),IF(INDEX('Cronograma R. Normativo'!$G$5:$G$1000,$N69)="","",INDEX('Cronograma R. Normativo'!$G$5:$G$1000,$N69))))</f>
        <v/>
      </c>
      <c r="G69" s="68">
        <f>IF($N69="","",IF($P69&gt;0,IF(2&lt;=SemanaActual,INDEX('Cronograma R. Normativo'!$Z$5:$Z$1000,$N69),""),IF(INDEX('Cronograma R. Normativo'!$H$5:$H$1000,$N69)="","",INDEX('Cronograma R. Normativo'!$H$5:$H$1000,$N69))))</f>
        <v/>
      </c>
      <c r="H69" s="68">
        <f>IF($N69="","",IF($P69&gt;0,IF(3&lt;=SemanaActual,INDEX('Cronograma R. Normativo'!$AA$5:$AA$1000,$N69),""),IF(INDEX('Cronograma R. Normativo'!$I$5:$I$1000,$N69)="","",INDEX('Cronograma R. Normativo'!$I$5:$I$1000,$N69))))</f>
        <v/>
      </c>
      <c r="I69" s="68">
        <f>IF($N69="","",IF($P69&gt;0,IF(4&lt;=SemanaActual,INDEX('Cronograma R. Normativo'!$AB$5:$AB$1000,$N69),""),IF(INDEX('Cronograma R. Normativo'!$J$5:$J$1000,$N69)="","",INDEX('Cronograma R. Normativo'!$J$5:$J$1000,$N69))))</f>
        <v/>
      </c>
      <c r="J69" s="68">
        <f>IF($N69="","",INDEX('Cronograma R. Normativo'!$K$5:$K$1000,$N69))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R. Normativo'!$M$5:$M$1000,$N69)&amp;"")</f>
        <v/>
      </c>
      <c r="M69" s="71">
        <f>IF($N69="","",INDEX('Cronograma R. Normativo'!$N$5:$N$1000,$N69)&amp;"")</f>
        <v/>
      </c>
      <c r="N69">
        <f>IFERROR(MATCH(ROW()-4,rOrden_RN,0),"")</f>
        <v/>
      </c>
      <c r="O69">
        <f>IF($N69="","",INDEX('Cronograma R. Normativo'!$S$5:$S$1000,$N69))</f>
        <v/>
      </c>
      <c r="P69">
        <f>IF($N69="","",N(INDEX('Cronograma R. Normativo'!$T$5:$T$1000,$N69)))</f>
        <v/>
      </c>
    </row>
    <row r="70">
      <c r="A70" s="62">
        <f>IF($N70="","",INDEX('Cronograma R. Normativo'!$A$5:$A$1000,$N70))</f>
        <v/>
      </c>
      <c r="B70" s="71">
        <f>IF($N70="","",IF($O70="Sub","      ↳  "&amp;INDEX('Cronograma R. Normativo'!$C$5:$C$1000,$N70),INDEX('Cronograma R. Normativo'!$C$5:$C$1000,$N70)&amp;""))</f>
        <v/>
      </c>
      <c r="C70" s="77">
        <f>IF($N70="","",IF(INDEX('Cronograma R. Normativo'!$D$5:$D$1000,$N70)="","",INDEX('Cronograma R. Normativo'!$D$5:$D$1000,$N70)))</f>
        <v/>
      </c>
      <c r="D70" s="77">
        <f>IF($N70="","",IF(INDEX('Cronograma R. Normativo'!$E$5:$E$1000,$N70)="","",INDEX('Cronograma R. Normativo'!$E$5:$E$1000,$N70)))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R. Normativo'!$Y$5:$Y$1000,$N70),""),IF(INDEX('Cronograma R. Normativo'!$G$5:$G$1000,$N70)="","",INDEX('Cronograma R. Normativo'!$G$5:$G$1000,$N70))))</f>
        <v/>
      </c>
      <c r="G70" s="68">
        <f>IF($N70="","",IF($P70&gt;0,IF(2&lt;=SemanaActual,INDEX('Cronograma R. Normativo'!$Z$5:$Z$1000,$N70),""),IF(INDEX('Cronograma R. Normativo'!$H$5:$H$1000,$N70)="","",INDEX('Cronograma R. Normativo'!$H$5:$H$1000,$N70))))</f>
        <v/>
      </c>
      <c r="H70" s="68">
        <f>IF($N70="","",IF($P70&gt;0,IF(3&lt;=SemanaActual,INDEX('Cronograma R. Normativo'!$AA$5:$AA$1000,$N70),""),IF(INDEX('Cronograma R. Normativo'!$I$5:$I$1000,$N70)="","",INDEX('Cronograma R. Normativo'!$I$5:$I$1000,$N70))))</f>
        <v/>
      </c>
      <c r="I70" s="68">
        <f>IF($N70="","",IF($P70&gt;0,IF(4&lt;=SemanaActual,INDEX('Cronograma R. Normativo'!$AB$5:$AB$1000,$N70),""),IF(INDEX('Cronograma R. Normativo'!$J$5:$J$1000,$N70)="","",INDEX('Cronograma R. Normativo'!$J$5:$J$1000,$N70))))</f>
        <v/>
      </c>
      <c r="J70" s="68">
        <f>IF($N70="","",INDEX('Cronograma R. Normativo'!$K$5:$K$1000,$N70))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R. Normativo'!$M$5:$M$1000,$N70)&amp;"")</f>
        <v/>
      </c>
      <c r="M70" s="71">
        <f>IF($N70="","",INDEX('Cronograma R. Normativo'!$N$5:$N$1000,$N70)&amp;"")</f>
        <v/>
      </c>
      <c r="N70">
        <f>IFERROR(MATCH(ROW()-4,rOrden_RN,0),"")</f>
        <v/>
      </c>
      <c r="O70">
        <f>IF($N70="","",INDEX('Cronograma R. Normativo'!$S$5:$S$1000,$N70))</f>
        <v/>
      </c>
      <c r="P70">
        <f>IF($N70="","",N(INDEX('Cronograma R. Normativo'!$T$5:$T$1000,$N70)))</f>
        <v/>
      </c>
    </row>
    <row r="71">
      <c r="A71" s="62">
        <f>IF($N71="","",INDEX('Cronograma R. Normativo'!$A$5:$A$1000,$N71))</f>
        <v/>
      </c>
      <c r="B71" s="71">
        <f>IF($N71="","",IF($O71="Sub","      ↳  "&amp;INDEX('Cronograma R. Normativo'!$C$5:$C$1000,$N71),INDEX('Cronograma R. Normativo'!$C$5:$C$1000,$N71)&amp;""))</f>
        <v/>
      </c>
      <c r="C71" s="77">
        <f>IF($N71="","",IF(INDEX('Cronograma R. Normativo'!$D$5:$D$1000,$N71)="","",INDEX('Cronograma R. Normativo'!$D$5:$D$1000,$N71)))</f>
        <v/>
      </c>
      <c r="D71" s="77">
        <f>IF($N71="","",IF(INDEX('Cronograma R. Normativo'!$E$5:$E$1000,$N71)="","",INDEX('Cronograma R. Normativo'!$E$5:$E$1000,$N71)))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R. Normativo'!$Y$5:$Y$1000,$N71),""),IF(INDEX('Cronograma R. Normativo'!$G$5:$G$1000,$N71)="","",INDEX('Cronograma R. Normativo'!$G$5:$G$1000,$N71))))</f>
        <v/>
      </c>
      <c r="G71" s="68">
        <f>IF($N71="","",IF($P71&gt;0,IF(2&lt;=SemanaActual,INDEX('Cronograma R. Normativo'!$Z$5:$Z$1000,$N71),""),IF(INDEX('Cronograma R. Normativo'!$H$5:$H$1000,$N71)="","",INDEX('Cronograma R. Normativo'!$H$5:$H$1000,$N71))))</f>
        <v/>
      </c>
      <c r="H71" s="68">
        <f>IF($N71="","",IF($P71&gt;0,IF(3&lt;=SemanaActual,INDEX('Cronograma R. Normativo'!$AA$5:$AA$1000,$N71),""),IF(INDEX('Cronograma R. Normativo'!$I$5:$I$1000,$N71)="","",INDEX('Cronograma R. Normativo'!$I$5:$I$1000,$N71))))</f>
        <v/>
      </c>
      <c r="I71" s="68">
        <f>IF($N71="","",IF($P71&gt;0,IF(4&lt;=SemanaActual,INDEX('Cronograma R. Normativo'!$AB$5:$AB$1000,$N71),""),IF(INDEX('Cronograma R. Normativo'!$J$5:$J$1000,$N71)="","",INDEX('Cronograma R. Normativo'!$J$5:$J$1000,$N71))))</f>
        <v/>
      </c>
      <c r="J71" s="68">
        <f>IF($N71="","",INDEX('Cronograma R. Normativo'!$K$5:$K$1000,$N71))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R. Normativo'!$M$5:$M$1000,$N71)&amp;"")</f>
        <v/>
      </c>
      <c r="M71" s="71">
        <f>IF($N71="","",INDEX('Cronograma R. Normativo'!$N$5:$N$1000,$N71)&amp;"")</f>
        <v/>
      </c>
      <c r="N71">
        <f>IFERROR(MATCH(ROW()-4,rOrden_RN,0),"")</f>
        <v/>
      </c>
      <c r="O71">
        <f>IF($N71="","",INDEX('Cronograma R. Normativo'!$S$5:$S$1000,$N71))</f>
        <v/>
      </c>
      <c r="P71">
        <f>IF($N71="","",N(INDEX('Cronograma R. Normativo'!$T$5:$T$1000,$N71)))</f>
        <v/>
      </c>
    </row>
    <row r="72">
      <c r="A72" s="62">
        <f>IF($N72="","",INDEX('Cronograma R. Normativo'!$A$5:$A$1000,$N72))</f>
        <v/>
      </c>
      <c r="B72" s="71">
        <f>IF($N72="","",IF($O72="Sub","      ↳  "&amp;INDEX('Cronograma R. Normativo'!$C$5:$C$1000,$N72),INDEX('Cronograma R. Normativo'!$C$5:$C$1000,$N72)&amp;""))</f>
        <v/>
      </c>
      <c r="C72" s="77">
        <f>IF($N72="","",IF(INDEX('Cronograma R. Normativo'!$D$5:$D$1000,$N72)="","",INDEX('Cronograma R. Normativo'!$D$5:$D$1000,$N72)))</f>
        <v/>
      </c>
      <c r="D72" s="77">
        <f>IF($N72="","",IF(INDEX('Cronograma R. Normativo'!$E$5:$E$1000,$N72)="","",INDEX('Cronograma R. Normativo'!$E$5:$E$1000,$N72)))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R. Normativo'!$Y$5:$Y$1000,$N72),""),IF(INDEX('Cronograma R. Normativo'!$G$5:$G$1000,$N72)="","",INDEX('Cronograma R. Normativo'!$G$5:$G$1000,$N72))))</f>
        <v/>
      </c>
      <c r="G72" s="68">
        <f>IF($N72="","",IF($P72&gt;0,IF(2&lt;=SemanaActual,INDEX('Cronograma R. Normativo'!$Z$5:$Z$1000,$N72),""),IF(INDEX('Cronograma R. Normativo'!$H$5:$H$1000,$N72)="","",INDEX('Cronograma R. Normativo'!$H$5:$H$1000,$N72))))</f>
        <v/>
      </c>
      <c r="H72" s="68">
        <f>IF($N72="","",IF($P72&gt;0,IF(3&lt;=SemanaActual,INDEX('Cronograma R. Normativo'!$AA$5:$AA$1000,$N72),""),IF(INDEX('Cronograma R. Normativo'!$I$5:$I$1000,$N72)="","",INDEX('Cronograma R. Normativo'!$I$5:$I$1000,$N72))))</f>
        <v/>
      </c>
      <c r="I72" s="68">
        <f>IF($N72="","",IF($P72&gt;0,IF(4&lt;=SemanaActual,INDEX('Cronograma R. Normativo'!$AB$5:$AB$1000,$N72),""),IF(INDEX('Cronograma R. Normativo'!$J$5:$J$1000,$N72)="","",INDEX('Cronograma R. Normativo'!$J$5:$J$1000,$N72))))</f>
        <v/>
      </c>
      <c r="J72" s="68">
        <f>IF($N72="","",INDEX('Cronograma R. Normativo'!$K$5:$K$1000,$N72))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R. Normativo'!$M$5:$M$1000,$N72)&amp;"")</f>
        <v/>
      </c>
      <c r="M72" s="71">
        <f>IF($N72="","",INDEX('Cronograma R. Normativo'!$N$5:$N$1000,$N72)&amp;"")</f>
        <v/>
      </c>
      <c r="N72">
        <f>IFERROR(MATCH(ROW()-4,rOrden_RN,0),"")</f>
        <v/>
      </c>
      <c r="O72">
        <f>IF($N72="","",INDEX('Cronograma R. Normativo'!$S$5:$S$1000,$N72))</f>
        <v/>
      </c>
      <c r="P72">
        <f>IF($N72="","",N(INDEX('Cronograma R. Normativo'!$T$5:$T$1000,$N72)))</f>
        <v/>
      </c>
    </row>
    <row r="73">
      <c r="A73" s="62">
        <f>IF($N73="","",INDEX('Cronograma R. Normativo'!$A$5:$A$1000,$N73))</f>
        <v/>
      </c>
      <c r="B73" s="71">
        <f>IF($N73="","",IF($O73="Sub","      ↳  "&amp;INDEX('Cronograma R. Normativo'!$C$5:$C$1000,$N73),INDEX('Cronograma R. Normativo'!$C$5:$C$1000,$N73)&amp;""))</f>
        <v/>
      </c>
      <c r="C73" s="77">
        <f>IF($N73="","",IF(INDEX('Cronograma R. Normativo'!$D$5:$D$1000,$N73)="","",INDEX('Cronograma R. Normativo'!$D$5:$D$1000,$N73)))</f>
        <v/>
      </c>
      <c r="D73" s="77">
        <f>IF($N73="","",IF(INDEX('Cronograma R. Normativo'!$E$5:$E$1000,$N73)="","",INDEX('Cronograma R. Normativo'!$E$5:$E$1000,$N73)))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R. Normativo'!$Y$5:$Y$1000,$N73),""),IF(INDEX('Cronograma R. Normativo'!$G$5:$G$1000,$N73)="","",INDEX('Cronograma R. Normativo'!$G$5:$G$1000,$N73))))</f>
        <v/>
      </c>
      <c r="G73" s="68">
        <f>IF($N73="","",IF($P73&gt;0,IF(2&lt;=SemanaActual,INDEX('Cronograma R. Normativo'!$Z$5:$Z$1000,$N73),""),IF(INDEX('Cronograma R. Normativo'!$H$5:$H$1000,$N73)="","",INDEX('Cronograma R. Normativo'!$H$5:$H$1000,$N73))))</f>
        <v/>
      </c>
      <c r="H73" s="68">
        <f>IF($N73="","",IF($P73&gt;0,IF(3&lt;=SemanaActual,INDEX('Cronograma R. Normativo'!$AA$5:$AA$1000,$N73),""),IF(INDEX('Cronograma R. Normativo'!$I$5:$I$1000,$N73)="","",INDEX('Cronograma R. Normativo'!$I$5:$I$1000,$N73))))</f>
        <v/>
      </c>
      <c r="I73" s="68">
        <f>IF($N73="","",IF($P73&gt;0,IF(4&lt;=SemanaActual,INDEX('Cronograma R. Normativo'!$AB$5:$AB$1000,$N73),""),IF(INDEX('Cronograma R. Normativo'!$J$5:$J$1000,$N73)="","",INDEX('Cronograma R. Normativo'!$J$5:$J$1000,$N73))))</f>
        <v/>
      </c>
      <c r="J73" s="68">
        <f>IF($N73="","",INDEX('Cronograma R. Normativo'!$K$5:$K$1000,$N73))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R. Normativo'!$M$5:$M$1000,$N73)&amp;"")</f>
        <v/>
      </c>
      <c r="M73" s="71">
        <f>IF($N73="","",INDEX('Cronograma R. Normativo'!$N$5:$N$1000,$N73)&amp;"")</f>
        <v/>
      </c>
      <c r="N73">
        <f>IFERROR(MATCH(ROW()-4,rOrden_RN,0),"")</f>
        <v/>
      </c>
      <c r="O73">
        <f>IF($N73="","",INDEX('Cronograma R. Normativo'!$S$5:$S$1000,$N73))</f>
        <v/>
      </c>
      <c r="P73">
        <f>IF($N73="","",N(INDEX('Cronograma R. Normativo'!$T$5:$T$1000,$N73)))</f>
        <v/>
      </c>
    </row>
    <row r="74">
      <c r="A74" s="62">
        <f>IF($N74="","",INDEX('Cronograma R. Normativo'!$A$5:$A$1000,$N74))</f>
        <v/>
      </c>
      <c r="B74" s="71">
        <f>IF($N74="","",IF($O74="Sub","      ↳  "&amp;INDEX('Cronograma R. Normativo'!$C$5:$C$1000,$N74),INDEX('Cronograma R. Normativo'!$C$5:$C$1000,$N74)&amp;""))</f>
        <v/>
      </c>
      <c r="C74" s="77">
        <f>IF($N74="","",IF(INDEX('Cronograma R. Normativo'!$D$5:$D$1000,$N74)="","",INDEX('Cronograma R. Normativo'!$D$5:$D$1000,$N74)))</f>
        <v/>
      </c>
      <c r="D74" s="77">
        <f>IF($N74="","",IF(INDEX('Cronograma R. Normativo'!$E$5:$E$1000,$N74)="","",INDEX('Cronograma R. Normativo'!$E$5:$E$1000,$N74)))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R. Normativo'!$Y$5:$Y$1000,$N74),""),IF(INDEX('Cronograma R. Normativo'!$G$5:$G$1000,$N74)="","",INDEX('Cronograma R. Normativo'!$G$5:$G$1000,$N74))))</f>
        <v/>
      </c>
      <c r="G74" s="68">
        <f>IF($N74="","",IF($P74&gt;0,IF(2&lt;=SemanaActual,INDEX('Cronograma R. Normativo'!$Z$5:$Z$1000,$N74),""),IF(INDEX('Cronograma R. Normativo'!$H$5:$H$1000,$N74)="","",INDEX('Cronograma R. Normativo'!$H$5:$H$1000,$N74))))</f>
        <v/>
      </c>
      <c r="H74" s="68">
        <f>IF($N74="","",IF($P74&gt;0,IF(3&lt;=SemanaActual,INDEX('Cronograma R. Normativo'!$AA$5:$AA$1000,$N74),""),IF(INDEX('Cronograma R. Normativo'!$I$5:$I$1000,$N74)="","",INDEX('Cronograma R. Normativo'!$I$5:$I$1000,$N74))))</f>
        <v/>
      </c>
      <c r="I74" s="68">
        <f>IF($N74="","",IF($P74&gt;0,IF(4&lt;=SemanaActual,INDEX('Cronograma R. Normativo'!$AB$5:$AB$1000,$N74),""),IF(INDEX('Cronograma R. Normativo'!$J$5:$J$1000,$N74)="","",INDEX('Cronograma R. Normativo'!$J$5:$J$1000,$N74))))</f>
        <v/>
      </c>
      <c r="J74" s="68">
        <f>IF($N74="","",INDEX('Cronograma R. Normativo'!$K$5:$K$1000,$N74))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R. Normativo'!$M$5:$M$1000,$N74)&amp;"")</f>
        <v/>
      </c>
      <c r="M74" s="71">
        <f>IF($N74="","",INDEX('Cronograma R. Normativo'!$N$5:$N$1000,$N74)&amp;"")</f>
        <v/>
      </c>
      <c r="N74">
        <f>IFERROR(MATCH(ROW()-4,rOrden_RN,0),"")</f>
        <v/>
      </c>
      <c r="O74">
        <f>IF($N74="","",INDEX('Cronograma R. Normativo'!$S$5:$S$1000,$N74))</f>
        <v/>
      </c>
      <c r="P74">
        <f>IF($N74="","",N(INDEX('Cronograma R. Normativo'!$T$5:$T$1000,$N74)))</f>
        <v/>
      </c>
    </row>
    <row r="75">
      <c r="A75" s="62">
        <f>IF($N75="","",INDEX('Cronograma R. Normativo'!$A$5:$A$1000,$N75))</f>
        <v/>
      </c>
      <c r="B75" s="71">
        <f>IF($N75="","",IF($O75="Sub","      ↳  "&amp;INDEX('Cronograma R. Normativo'!$C$5:$C$1000,$N75),INDEX('Cronograma R. Normativo'!$C$5:$C$1000,$N75)&amp;""))</f>
        <v/>
      </c>
      <c r="C75" s="77">
        <f>IF($N75="","",IF(INDEX('Cronograma R. Normativo'!$D$5:$D$1000,$N75)="","",INDEX('Cronograma R. Normativo'!$D$5:$D$1000,$N75)))</f>
        <v/>
      </c>
      <c r="D75" s="77">
        <f>IF($N75="","",IF(INDEX('Cronograma R. Normativo'!$E$5:$E$1000,$N75)="","",INDEX('Cronograma R. Normativo'!$E$5:$E$1000,$N75)))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R. Normativo'!$Y$5:$Y$1000,$N75),""),IF(INDEX('Cronograma R. Normativo'!$G$5:$G$1000,$N75)="","",INDEX('Cronograma R. Normativo'!$G$5:$G$1000,$N75))))</f>
        <v/>
      </c>
      <c r="G75" s="68">
        <f>IF($N75="","",IF($P75&gt;0,IF(2&lt;=SemanaActual,INDEX('Cronograma R. Normativo'!$Z$5:$Z$1000,$N75),""),IF(INDEX('Cronograma R. Normativo'!$H$5:$H$1000,$N75)="","",INDEX('Cronograma R. Normativo'!$H$5:$H$1000,$N75))))</f>
        <v/>
      </c>
      <c r="H75" s="68">
        <f>IF($N75="","",IF($P75&gt;0,IF(3&lt;=SemanaActual,INDEX('Cronograma R. Normativo'!$AA$5:$AA$1000,$N75),""),IF(INDEX('Cronograma R. Normativo'!$I$5:$I$1000,$N75)="","",INDEX('Cronograma R. Normativo'!$I$5:$I$1000,$N75))))</f>
        <v/>
      </c>
      <c r="I75" s="68">
        <f>IF($N75="","",IF($P75&gt;0,IF(4&lt;=SemanaActual,INDEX('Cronograma R. Normativo'!$AB$5:$AB$1000,$N75),""),IF(INDEX('Cronograma R. Normativo'!$J$5:$J$1000,$N75)="","",INDEX('Cronograma R. Normativo'!$J$5:$J$1000,$N75))))</f>
        <v/>
      </c>
      <c r="J75" s="68">
        <f>IF($N75="","",INDEX('Cronograma R. Normativo'!$K$5:$K$1000,$N75))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R. Normativo'!$M$5:$M$1000,$N75)&amp;"")</f>
        <v/>
      </c>
      <c r="M75" s="71">
        <f>IF($N75="","",INDEX('Cronograma R. Normativo'!$N$5:$N$1000,$N75)&amp;"")</f>
        <v/>
      </c>
      <c r="N75">
        <f>IFERROR(MATCH(ROW()-4,rOrden_RN,0),"")</f>
        <v/>
      </c>
      <c r="O75">
        <f>IF($N75="","",INDEX('Cronograma R. Normativo'!$S$5:$S$1000,$N75))</f>
        <v/>
      </c>
      <c r="P75">
        <f>IF($N75="","",N(INDEX('Cronograma R. Normativo'!$T$5:$T$1000,$N75)))</f>
        <v/>
      </c>
    </row>
    <row r="76">
      <c r="A76" s="62">
        <f>IF($N76="","",INDEX('Cronograma R. Normativo'!$A$5:$A$1000,$N76))</f>
        <v/>
      </c>
      <c r="B76" s="71">
        <f>IF($N76="","",IF($O76="Sub","      ↳  "&amp;INDEX('Cronograma R. Normativo'!$C$5:$C$1000,$N76),INDEX('Cronograma R. Normativo'!$C$5:$C$1000,$N76)&amp;""))</f>
        <v/>
      </c>
      <c r="C76" s="77">
        <f>IF($N76="","",IF(INDEX('Cronograma R. Normativo'!$D$5:$D$1000,$N76)="","",INDEX('Cronograma R. Normativo'!$D$5:$D$1000,$N76)))</f>
        <v/>
      </c>
      <c r="D76" s="77">
        <f>IF($N76="","",IF(INDEX('Cronograma R. Normativo'!$E$5:$E$1000,$N76)="","",INDEX('Cronograma R. Normativo'!$E$5:$E$1000,$N76)))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R. Normativo'!$Y$5:$Y$1000,$N76),""),IF(INDEX('Cronograma R. Normativo'!$G$5:$G$1000,$N76)="","",INDEX('Cronograma R. Normativo'!$G$5:$G$1000,$N76))))</f>
        <v/>
      </c>
      <c r="G76" s="68">
        <f>IF($N76="","",IF($P76&gt;0,IF(2&lt;=SemanaActual,INDEX('Cronograma R. Normativo'!$Z$5:$Z$1000,$N76),""),IF(INDEX('Cronograma R. Normativo'!$H$5:$H$1000,$N76)="","",INDEX('Cronograma R. Normativo'!$H$5:$H$1000,$N76))))</f>
        <v/>
      </c>
      <c r="H76" s="68">
        <f>IF($N76="","",IF($P76&gt;0,IF(3&lt;=SemanaActual,INDEX('Cronograma R. Normativo'!$AA$5:$AA$1000,$N76),""),IF(INDEX('Cronograma R. Normativo'!$I$5:$I$1000,$N76)="","",INDEX('Cronograma R. Normativo'!$I$5:$I$1000,$N76))))</f>
        <v/>
      </c>
      <c r="I76" s="68">
        <f>IF($N76="","",IF($P76&gt;0,IF(4&lt;=SemanaActual,INDEX('Cronograma R. Normativo'!$AB$5:$AB$1000,$N76),""),IF(INDEX('Cronograma R. Normativo'!$J$5:$J$1000,$N76)="","",INDEX('Cronograma R. Normativo'!$J$5:$J$1000,$N76))))</f>
        <v/>
      </c>
      <c r="J76" s="68">
        <f>IF($N76="","",INDEX('Cronograma R. Normativo'!$K$5:$K$1000,$N76))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R. Normativo'!$M$5:$M$1000,$N76)&amp;"")</f>
        <v/>
      </c>
      <c r="M76" s="71">
        <f>IF($N76="","",INDEX('Cronograma R. Normativo'!$N$5:$N$1000,$N76)&amp;"")</f>
        <v/>
      </c>
      <c r="N76">
        <f>IFERROR(MATCH(ROW()-4,rOrden_RN,0),"")</f>
        <v/>
      </c>
      <c r="O76">
        <f>IF($N76="","",INDEX('Cronograma R. Normativo'!$S$5:$S$1000,$N76))</f>
        <v/>
      </c>
      <c r="P76">
        <f>IF($N76="","",N(INDEX('Cronograma R. Normativo'!$T$5:$T$1000,$N76)))</f>
        <v/>
      </c>
    </row>
    <row r="77">
      <c r="A77" s="62">
        <f>IF($N77="","",INDEX('Cronograma R. Normativo'!$A$5:$A$1000,$N77))</f>
        <v/>
      </c>
      <c r="B77" s="71">
        <f>IF($N77="","",IF($O77="Sub","      ↳  "&amp;INDEX('Cronograma R. Normativo'!$C$5:$C$1000,$N77),INDEX('Cronograma R. Normativo'!$C$5:$C$1000,$N77)&amp;""))</f>
        <v/>
      </c>
      <c r="C77" s="77">
        <f>IF($N77="","",IF(INDEX('Cronograma R. Normativo'!$D$5:$D$1000,$N77)="","",INDEX('Cronograma R. Normativo'!$D$5:$D$1000,$N77)))</f>
        <v/>
      </c>
      <c r="D77" s="77">
        <f>IF($N77="","",IF(INDEX('Cronograma R. Normativo'!$E$5:$E$1000,$N77)="","",INDEX('Cronograma R. Normativo'!$E$5:$E$1000,$N77)))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R. Normativo'!$Y$5:$Y$1000,$N77),""),IF(INDEX('Cronograma R. Normativo'!$G$5:$G$1000,$N77)="","",INDEX('Cronograma R. Normativo'!$G$5:$G$1000,$N77))))</f>
        <v/>
      </c>
      <c r="G77" s="68">
        <f>IF($N77="","",IF($P77&gt;0,IF(2&lt;=SemanaActual,INDEX('Cronograma R. Normativo'!$Z$5:$Z$1000,$N77),""),IF(INDEX('Cronograma R. Normativo'!$H$5:$H$1000,$N77)="","",INDEX('Cronograma R. Normativo'!$H$5:$H$1000,$N77))))</f>
        <v/>
      </c>
      <c r="H77" s="68">
        <f>IF($N77="","",IF($P77&gt;0,IF(3&lt;=SemanaActual,INDEX('Cronograma R. Normativo'!$AA$5:$AA$1000,$N77),""),IF(INDEX('Cronograma R. Normativo'!$I$5:$I$1000,$N77)="","",INDEX('Cronograma R. Normativo'!$I$5:$I$1000,$N77))))</f>
        <v/>
      </c>
      <c r="I77" s="68">
        <f>IF($N77="","",IF($P77&gt;0,IF(4&lt;=SemanaActual,INDEX('Cronograma R. Normativo'!$AB$5:$AB$1000,$N77),""),IF(INDEX('Cronograma R. Normativo'!$J$5:$J$1000,$N77)="","",INDEX('Cronograma R. Normativo'!$J$5:$J$1000,$N77))))</f>
        <v/>
      </c>
      <c r="J77" s="68">
        <f>IF($N77="","",INDEX('Cronograma R. Normativo'!$K$5:$K$1000,$N77))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R. Normativo'!$M$5:$M$1000,$N77)&amp;"")</f>
        <v/>
      </c>
      <c r="M77" s="71">
        <f>IF($N77="","",INDEX('Cronograma R. Normativo'!$N$5:$N$1000,$N77)&amp;"")</f>
        <v/>
      </c>
      <c r="N77">
        <f>IFERROR(MATCH(ROW()-4,rOrden_RN,0),"")</f>
        <v/>
      </c>
      <c r="O77">
        <f>IF($N77="","",INDEX('Cronograma R. Normativo'!$S$5:$S$1000,$N77))</f>
        <v/>
      </c>
      <c r="P77">
        <f>IF($N77="","",N(INDEX('Cronograma R. Normativo'!$T$5:$T$1000,$N77)))</f>
        <v/>
      </c>
    </row>
    <row r="78">
      <c r="A78" s="62">
        <f>IF($N78="","",INDEX('Cronograma R. Normativo'!$A$5:$A$1000,$N78))</f>
        <v/>
      </c>
      <c r="B78" s="71">
        <f>IF($N78="","",IF($O78="Sub","      ↳  "&amp;INDEX('Cronograma R. Normativo'!$C$5:$C$1000,$N78),INDEX('Cronograma R. Normativo'!$C$5:$C$1000,$N78)&amp;""))</f>
        <v/>
      </c>
      <c r="C78" s="77">
        <f>IF($N78="","",IF(INDEX('Cronograma R. Normativo'!$D$5:$D$1000,$N78)="","",INDEX('Cronograma R. Normativo'!$D$5:$D$1000,$N78)))</f>
        <v/>
      </c>
      <c r="D78" s="77">
        <f>IF($N78="","",IF(INDEX('Cronograma R. Normativo'!$E$5:$E$1000,$N78)="","",INDEX('Cronograma R. Normativo'!$E$5:$E$1000,$N78)))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R. Normativo'!$Y$5:$Y$1000,$N78),""),IF(INDEX('Cronograma R. Normativo'!$G$5:$G$1000,$N78)="","",INDEX('Cronograma R. Normativo'!$G$5:$G$1000,$N78))))</f>
        <v/>
      </c>
      <c r="G78" s="68">
        <f>IF($N78="","",IF($P78&gt;0,IF(2&lt;=SemanaActual,INDEX('Cronograma R. Normativo'!$Z$5:$Z$1000,$N78),""),IF(INDEX('Cronograma R. Normativo'!$H$5:$H$1000,$N78)="","",INDEX('Cronograma R. Normativo'!$H$5:$H$1000,$N78))))</f>
        <v/>
      </c>
      <c r="H78" s="68">
        <f>IF($N78="","",IF($P78&gt;0,IF(3&lt;=SemanaActual,INDEX('Cronograma R. Normativo'!$AA$5:$AA$1000,$N78),""),IF(INDEX('Cronograma R. Normativo'!$I$5:$I$1000,$N78)="","",INDEX('Cronograma R. Normativo'!$I$5:$I$1000,$N78))))</f>
        <v/>
      </c>
      <c r="I78" s="68">
        <f>IF($N78="","",IF($P78&gt;0,IF(4&lt;=SemanaActual,INDEX('Cronograma R. Normativo'!$AB$5:$AB$1000,$N78),""),IF(INDEX('Cronograma R. Normativo'!$J$5:$J$1000,$N78)="","",INDEX('Cronograma R. Normativo'!$J$5:$J$1000,$N78))))</f>
        <v/>
      </c>
      <c r="J78" s="68">
        <f>IF($N78="","",INDEX('Cronograma R. Normativo'!$K$5:$K$1000,$N78))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R. Normativo'!$M$5:$M$1000,$N78)&amp;"")</f>
        <v/>
      </c>
      <c r="M78" s="71">
        <f>IF($N78="","",INDEX('Cronograma R. Normativo'!$N$5:$N$1000,$N78)&amp;"")</f>
        <v/>
      </c>
      <c r="N78">
        <f>IFERROR(MATCH(ROW()-4,rOrden_RN,0),"")</f>
        <v/>
      </c>
      <c r="O78">
        <f>IF($N78="","",INDEX('Cronograma R. Normativo'!$S$5:$S$1000,$N78))</f>
        <v/>
      </c>
      <c r="P78">
        <f>IF($N78="","",N(INDEX('Cronograma R. Normativo'!$T$5:$T$1000,$N78)))</f>
        <v/>
      </c>
    </row>
    <row r="79">
      <c r="A79" s="62">
        <f>IF($N79="","",INDEX('Cronograma R. Normativo'!$A$5:$A$1000,$N79))</f>
        <v/>
      </c>
      <c r="B79" s="71">
        <f>IF($N79="","",IF($O79="Sub","      ↳  "&amp;INDEX('Cronograma R. Normativo'!$C$5:$C$1000,$N79),INDEX('Cronograma R. Normativo'!$C$5:$C$1000,$N79)&amp;""))</f>
        <v/>
      </c>
      <c r="C79" s="77">
        <f>IF($N79="","",IF(INDEX('Cronograma R. Normativo'!$D$5:$D$1000,$N79)="","",INDEX('Cronograma R. Normativo'!$D$5:$D$1000,$N79)))</f>
        <v/>
      </c>
      <c r="D79" s="77">
        <f>IF($N79="","",IF(INDEX('Cronograma R. Normativo'!$E$5:$E$1000,$N79)="","",INDEX('Cronograma R. Normativo'!$E$5:$E$1000,$N79)))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R. Normativo'!$Y$5:$Y$1000,$N79),""),IF(INDEX('Cronograma R. Normativo'!$G$5:$G$1000,$N79)="","",INDEX('Cronograma R. Normativo'!$G$5:$G$1000,$N79))))</f>
        <v/>
      </c>
      <c r="G79" s="68">
        <f>IF($N79="","",IF($P79&gt;0,IF(2&lt;=SemanaActual,INDEX('Cronograma R. Normativo'!$Z$5:$Z$1000,$N79),""),IF(INDEX('Cronograma R. Normativo'!$H$5:$H$1000,$N79)="","",INDEX('Cronograma R. Normativo'!$H$5:$H$1000,$N79))))</f>
        <v/>
      </c>
      <c r="H79" s="68">
        <f>IF($N79="","",IF($P79&gt;0,IF(3&lt;=SemanaActual,INDEX('Cronograma R. Normativo'!$AA$5:$AA$1000,$N79),""),IF(INDEX('Cronograma R. Normativo'!$I$5:$I$1000,$N79)="","",INDEX('Cronograma R. Normativo'!$I$5:$I$1000,$N79))))</f>
        <v/>
      </c>
      <c r="I79" s="68">
        <f>IF($N79="","",IF($P79&gt;0,IF(4&lt;=SemanaActual,INDEX('Cronograma R. Normativo'!$AB$5:$AB$1000,$N79),""),IF(INDEX('Cronograma R. Normativo'!$J$5:$J$1000,$N79)="","",INDEX('Cronograma R. Normativo'!$J$5:$J$1000,$N79))))</f>
        <v/>
      </c>
      <c r="J79" s="68">
        <f>IF($N79="","",INDEX('Cronograma R. Normativo'!$K$5:$K$1000,$N79))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R. Normativo'!$M$5:$M$1000,$N79)&amp;"")</f>
        <v/>
      </c>
      <c r="M79" s="71">
        <f>IF($N79="","",INDEX('Cronograma R. Normativo'!$N$5:$N$1000,$N79)&amp;"")</f>
        <v/>
      </c>
      <c r="N79">
        <f>IFERROR(MATCH(ROW()-4,rOrden_RN,0),"")</f>
        <v/>
      </c>
      <c r="O79">
        <f>IF($N79="","",INDEX('Cronograma R. Normativo'!$S$5:$S$1000,$N79))</f>
        <v/>
      </c>
      <c r="P79">
        <f>IF($N79="","",N(INDEX('Cronograma R. Normativo'!$T$5:$T$1000,$N79)))</f>
        <v/>
      </c>
    </row>
    <row r="80">
      <c r="A80" s="62">
        <f>IF($N80="","",INDEX('Cronograma R. Normativo'!$A$5:$A$1000,$N80))</f>
        <v/>
      </c>
      <c r="B80" s="71">
        <f>IF($N80="","",IF($O80="Sub","      ↳  "&amp;INDEX('Cronograma R. Normativo'!$C$5:$C$1000,$N80),INDEX('Cronograma R. Normativo'!$C$5:$C$1000,$N80)&amp;""))</f>
        <v/>
      </c>
      <c r="C80" s="77">
        <f>IF($N80="","",IF(INDEX('Cronograma R. Normativo'!$D$5:$D$1000,$N80)="","",INDEX('Cronograma R. Normativo'!$D$5:$D$1000,$N80)))</f>
        <v/>
      </c>
      <c r="D80" s="77">
        <f>IF($N80="","",IF(INDEX('Cronograma R. Normativo'!$E$5:$E$1000,$N80)="","",INDEX('Cronograma R. Normativo'!$E$5:$E$1000,$N80)))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R. Normativo'!$Y$5:$Y$1000,$N80),""),IF(INDEX('Cronograma R. Normativo'!$G$5:$G$1000,$N80)="","",INDEX('Cronograma R. Normativo'!$G$5:$G$1000,$N80))))</f>
        <v/>
      </c>
      <c r="G80" s="68">
        <f>IF($N80="","",IF($P80&gt;0,IF(2&lt;=SemanaActual,INDEX('Cronograma R. Normativo'!$Z$5:$Z$1000,$N80),""),IF(INDEX('Cronograma R. Normativo'!$H$5:$H$1000,$N80)="","",INDEX('Cronograma R. Normativo'!$H$5:$H$1000,$N80))))</f>
        <v/>
      </c>
      <c r="H80" s="68">
        <f>IF($N80="","",IF($P80&gt;0,IF(3&lt;=SemanaActual,INDEX('Cronograma R. Normativo'!$AA$5:$AA$1000,$N80),""),IF(INDEX('Cronograma R. Normativo'!$I$5:$I$1000,$N80)="","",INDEX('Cronograma R. Normativo'!$I$5:$I$1000,$N80))))</f>
        <v/>
      </c>
      <c r="I80" s="68">
        <f>IF($N80="","",IF($P80&gt;0,IF(4&lt;=SemanaActual,INDEX('Cronograma R. Normativo'!$AB$5:$AB$1000,$N80),""),IF(INDEX('Cronograma R. Normativo'!$J$5:$J$1000,$N80)="","",INDEX('Cronograma R. Normativo'!$J$5:$J$1000,$N80))))</f>
        <v/>
      </c>
      <c r="J80" s="68">
        <f>IF($N80="","",INDEX('Cronograma R. Normativo'!$K$5:$K$1000,$N80))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R. Normativo'!$M$5:$M$1000,$N80)&amp;"")</f>
        <v/>
      </c>
      <c r="M80" s="71">
        <f>IF($N80="","",INDEX('Cronograma R. Normativo'!$N$5:$N$1000,$N80)&amp;"")</f>
        <v/>
      </c>
      <c r="N80">
        <f>IFERROR(MATCH(ROW()-4,rOrden_RN,0),"")</f>
        <v/>
      </c>
      <c r="O80">
        <f>IF($N80="","",INDEX('Cronograma R. Normativo'!$S$5:$S$1000,$N80))</f>
        <v/>
      </c>
      <c r="P80">
        <f>IF($N80="","",N(INDEX('Cronograma R. Normativo'!$T$5:$T$1000,$N80)))</f>
        <v/>
      </c>
    </row>
    <row r="81">
      <c r="A81" s="62">
        <f>IF($N81="","",INDEX('Cronograma R. Normativo'!$A$5:$A$1000,$N81))</f>
        <v/>
      </c>
      <c r="B81" s="71">
        <f>IF($N81="","",IF($O81="Sub","      ↳  "&amp;INDEX('Cronograma R. Normativo'!$C$5:$C$1000,$N81),INDEX('Cronograma R. Normativo'!$C$5:$C$1000,$N81)&amp;""))</f>
        <v/>
      </c>
      <c r="C81" s="77">
        <f>IF($N81="","",IF(INDEX('Cronograma R. Normativo'!$D$5:$D$1000,$N81)="","",INDEX('Cronograma R. Normativo'!$D$5:$D$1000,$N81)))</f>
        <v/>
      </c>
      <c r="D81" s="77">
        <f>IF($N81="","",IF(INDEX('Cronograma R. Normativo'!$E$5:$E$1000,$N81)="","",INDEX('Cronograma R. Normativo'!$E$5:$E$1000,$N81)))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R. Normativo'!$Y$5:$Y$1000,$N81),""),IF(INDEX('Cronograma R. Normativo'!$G$5:$G$1000,$N81)="","",INDEX('Cronograma R. Normativo'!$G$5:$G$1000,$N81))))</f>
        <v/>
      </c>
      <c r="G81" s="68">
        <f>IF($N81="","",IF($P81&gt;0,IF(2&lt;=SemanaActual,INDEX('Cronograma R. Normativo'!$Z$5:$Z$1000,$N81),""),IF(INDEX('Cronograma R. Normativo'!$H$5:$H$1000,$N81)="","",INDEX('Cronograma R. Normativo'!$H$5:$H$1000,$N81))))</f>
        <v/>
      </c>
      <c r="H81" s="68">
        <f>IF($N81="","",IF($P81&gt;0,IF(3&lt;=SemanaActual,INDEX('Cronograma R. Normativo'!$AA$5:$AA$1000,$N81),""),IF(INDEX('Cronograma R. Normativo'!$I$5:$I$1000,$N81)="","",INDEX('Cronograma R. Normativo'!$I$5:$I$1000,$N81))))</f>
        <v/>
      </c>
      <c r="I81" s="68">
        <f>IF($N81="","",IF($P81&gt;0,IF(4&lt;=SemanaActual,INDEX('Cronograma R. Normativo'!$AB$5:$AB$1000,$N81),""),IF(INDEX('Cronograma R. Normativo'!$J$5:$J$1000,$N81)="","",INDEX('Cronograma R. Normativo'!$J$5:$J$1000,$N81))))</f>
        <v/>
      </c>
      <c r="J81" s="68">
        <f>IF($N81="","",INDEX('Cronograma R. Normativo'!$K$5:$K$1000,$N81))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R. Normativo'!$M$5:$M$1000,$N81)&amp;"")</f>
        <v/>
      </c>
      <c r="M81" s="71">
        <f>IF($N81="","",INDEX('Cronograma R. Normativo'!$N$5:$N$1000,$N81)&amp;"")</f>
        <v/>
      </c>
      <c r="N81">
        <f>IFERROR(MATCH(ROW()-4,rOrden_RN,0),"")</f>
        <v/>
      </c>
      <c r="O81">
        <f>IF($N81="","",INDEX('Cronograma R. Normativo'!$S$5:$S$1000,$N81))</f>
        <v/>
      </c>
      <c r="P81">
        <f>IF($N81="","",N(INDEX('Cronograma R. Normativo'!$T$5:$T$1000,$N81)))</f>
        <v/>
      </c>
    </row>
    <row r="82">
      <c r="A82" s="62">
        <f>IF($N82="","",INDEX('Cronograma R. Normativo'!$A$5:$A$1000,$N82))</f>
        <v/>
      </c>
      <c r="B82" s="71">
        <f>IF($N82="","",IF($O82="Sub","      ↳  "&amp;INDEX('Cronograma R. Normativo'!$C$5:$C$1000,$N82),INDEX('Cronograma R. Normativo'!$C$5:$C$1000,$N82)&amp;""))</f>
        <v/>
      </c>
      <c r="C82" s="77">
        <f>IF($N82="","",IF(INDEX('Cronograma R. Normativo'!$D$5:$D$1000,$N82)="","",INDEX('Cronograma R. Normativo'!$D$5:$D$1000,$N82)))</f>
        <v/>
      </c>
      <c r="D82" s="77">
        <f>IF($N82="","",IF(INDEX('Cronograma R. Normativo'!$E$5:$E$1000,$N82)="","",INDEX('Cronograma R. Normativo'!$E$5:$E$1000,$N82)))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R. Normativo'!$Y$5:$Y$1000,$N82),""),IF(INDEX('Cronograma R. Normativo'!$G$5:$G$1000,$N82)="","",INDEX('Cronograma R. Normativo'!$G$5:$G$1000,$N82))))</f>
        <v/>
      </c>
      <c r="G82" s="68">
        <f>IF($N82="","",IF($P82&gt;0,IF(2&lt;=SemanaActual,INDEX('Cronograma R. Normativo'!$Z$5:$Z$1000,$N82),""),IF(INDEX('Cronograma R. Normativo'!$H$5:$H$1000,$N82)="","",INDEX('Cronograma R. Normativo'!$H$5:$H$1000,$N82))))</f>
        <v/>
      </c>
      <c r="H82" s="68">
        <f>IF($N82="","",IF($P82&gt;0,IF(3&lt;=SemanaActual,INDEX('Cronograma R. Normativo'!$AA$5:$AA$1000,$N82),""),IF(INDEX('Cronograma R. Normativo'!$I$5:$I$1000,$N82)="","",INDEX('Cronograma R. Normativo'!$I$5:$I$1000,$N82))))</f>
        <v/>
      </c>
      <c r="I82" s="68">
        <f>IF($N82="","",IF($P82&gt;0,IF(4&lt;=SemanaActual,INDEX('Cronograma R. Normativo'!$AB$5:$AB$1000,$N82),""),IF(INDEX('Cronograma R. Normativo'!$J$5:$J$1000,$N82)="","",INDEX('Cronograma R. Normativo'!$J$5:$J$1000,$N82))))</f>
        <v/>
      </c>
      <c r="J82" s="68">
        <f>IF($N82="","",INDEX('Cronograma R. Normativo'!$K$5:$K$1000,$N82))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R. Normativo'!$M$5:$M$1000,$N82)&amp;"")</f>
        <v/>
      </c>
      <c r="M82" s="71">
        <f>IF($N82="","",INDEX('Cronograma R. Normativo'!$N$5:$N$1000,$N82)&amp;"")</f>
        <v/>
      </c>
      <c r="N82">
        <f>IFERROR(MATCH(ROW()-4,rOrden_RN,0),"")</f>
        <v/>
      </c>
      <c r="O82">
        <f>IF($N82="","",INDEX('Cronograma R. Normativo'!$S$5:$S$1000,$N82))</f>
        <v/>
      </c>
      <c r="P82">
        <f>IF($N82="","",N(INDEX('Cronograma R. Normativo'!$T$5:$T$1000,$N82)))</f>
        <v/>
      </c>
    </row>
    <row r="83">
      <c r="A83" s="62">
        <f>IF($N83="","",INDEX('Cronograma R. Normativo'!$A$5:$A$1000,$N83))</f>
        <v/>
      </c>
      <c r="B83" s="71">
        <f>IF($N83="","",IF($O83="Sub","      ↳  "&amp;INDEX('Cronograma R. Normativo'!$C$5:$C$1000,$N83),INDEX('Cronograma R. Normativo'!$C$5:$C$1000,$N83)&amp;""))</f>
        <v/>
      </c>
      <c r="C83" s="77">
        <f>IF($N83="","",IF(INDEX('Cronograma R. Normativo'!$D$5:$D$1000,$N83)="","",INDEX('Cronograma R. Normativo'!$D$5:$D$1000,$N83)))</f>
        <v/>
      </c>
      <c r="D83" s="77">
        <f>IF($N83="","",IF(INDEX('Cronograma R. Normativo'!$E$5:$E$1000,$N83)="","",INDEX('Cronograma R. Normativo'!$E$5:$E$1000,$N83)))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R. Normativo'!$Y$5:$Y$1000,$N83),""),IF(INDEX('Cronograma R. Normativo'!$G$5:$G$1000,$N83)="","",INDEX('Cronograma R. Normativo'!$G$5:$G$1000,$N83))))</f>
        <v/>
      </c>
      <c r="G83" s="68">
        <f>IF($N83="","",IF($P83&gt;0,IF(2&lt;=SemanaActual,INDEX('Cronograma R. Normativo'!$Z$5:$Z$1000,$N83),""),IF(INDEX('Cronograma R. Normativo'!$H$5:$H$1000,$N83)="","",INDEX('Cronograma R. Normativo'!$H$5:$H$1000,$N83))))</f>
        <v/>
      </c>
      <c r="H83" s="68">
        <f>IF($N83="","",IF($P83&gt;0,IF(3&lt;=SemanaActual,INDEX('Cronograma R. Normativo'!$AA$5:$AA$1000,$N83),""),IF(INDEX('Cronograma R. Normativo'!$I$5:$I$1000,$N83)="","",INDEX('Cronograma R. Normativo'!$I$5:$I$1000,$N83))))</f>
        <v/>
      </c>
      <c r="I83" s="68">
        <f>IF($N83="","",IF($P83&gt;0,IF(4&lt;=SemanaActual,INDEX('Cronograma R. Normativo'!$AB$5:$AB$1000,$N83),""),IF(INDEX('Cronograma R. Normativo'!$J$5:$J$1000,$N83)="","",INDEX('Cronograma R. Normativo'!$J$5:$J$1000,$N83))))</f>
        <v/>
      </c>
      <c r="J83" s="68">
        <f>IF($N83="","",INDEX('Cronograma R. Normativo'!$K$5:$K$1000,$N83))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R. Normativo'!$M$5:$M$1000,$N83)&amp;"")</f>
        <v/>
      </c>
      <c r="M83" s="71">
        <f>IF($N83="","",INDEX('Cronograma R. Normativo'!$N$5:$N$1000,$N83)&amp;"")</f>
        <v/>
      </c>
      <c r="N83">
        <f>IFERROR(MATCH(ROW()-4,rOrden_RN,0),"")</f>
        <v/>
      </c>
      <c r="O83">
        <f>IF($N83="","",INDEX('Cronograma R. Normativo'!$S$5:$S$1000,$N83))</f>
        <v/>
      </c>
      <c r="P83">
        <f>IF($N83="","",N(INDEX('Cronograma R. Normativo'!$T$5:$T$1000,$N83)))</f>
        <v/>
      </c>
    </row>
    <row r="84">
      <c r="A84" s="62">
        <f>IF($N84="","",INDEX('Cronograma R. Normativo'!$A$5:$A$1000,$N84))</f>
        <v/>
      </c>
      <c r="B84" s="71">
        <f>IF($N84="","",IF($O84="Sub","      ↳  "&amp;INDEX('Cronograma R. Normativo'!$C$5:$C$1000,$N84),INDEX('Cronograma R. Normativo'!$C$5:$C$1000,$N84)&amp;""))</f>
        <v/>
      </c>
      <c r="C84" s="77">
        <f>IF($N84="","",IF(INDEX('Cronograma R. Normativo'!$D$5:$D$1000,$N84)="","",INDEX('Cronograma R. Normativo'!$D$5:$D$1000,$N84)))</f>
        <v/>
      </c>
      <c r="D84" s="77">
        <f>IF($N84="","",IF(INDEX('Cronograma R. Normativo'!$E$5:$E$1000,$N84)="","",INDEX('Cronograma R. Normativo'!$E$5:$E$1000,$N84)))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R. Normativo'!$Y$5:$Y$1000,$N84),""),IF(INDEX('Cronograma R. Normativo'!$G$5:$G$1000,$N84)="","",INDEX('Cronograma R. Normativo'!$G$5:$G$1000,$N84))))</f>
        <v/>
      </c>
      <c r="G84" s="68">
        <f>IF($N84="","",IF($P84&gt;0,IF(2&lt;=SemanaActual,INDEX('Cronograma R. Normativo'!$Z$5:$Z$1000,$N84),""),IF(INDEX('Cronograma R. Normativo'!$H$5:$H$1000,$N84)="","",INDEX('Cronograma R. Normativo'!$H$5:$H$1000,$N84))))</f>
        <v/>
      </c>
      <c r="H84" s="68">
        <f>IF($N84="","",IF($P84&gt;0,IF(3&lt;=SemanaActual,INDEX('Cronograma R. Normativo'!$AA$5:$AA$1000,$N84),""),IF(INDEX('Cronograma R. Normativo'!$I$5:$I$1000,$N84)="","",INDEX('Cronograma R. Normativo'!$I$5:$I$1000,$N84))))</f>
        <v/>
      </c>
      <c r="I84" s="68">
        <f>IF($N84="","",IF($P84&gt;0,IF(4&lt;=SemanaActual,INDEX('Cronograma R. Normativo'!$AB$5:$AB$1000,$N84),""),IF(INDEX('Cronograma R. Normativo'!$J$5:$J$1000,$N84)="","",INDEX('Cronograma R. Normativo'!$J$5:$J$1000,$N84))))</f>
        <v/>
      </c>
      <c r="J84" s="68">
        <f>IF($N84="","",INDEX('Cronograma R. Normativo'!$K$5:$K$1000,$N84))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R. Normativo'!$M$5:$M$1000,$N84)&amp;"")</f>
        <v/>
      </c>
      <c r="M84" s="71">
        <f>IF($N84="","",INDEX('Cronograma R. Normativo'!$N$5:$N$1000,$N84)&amp;"")</f>
        <v/>
      </c>
      <c r="N84">
        <f>IFERROR(MATCH(ROW()-4,rOrden_RN,0),"")</f>
        <v/>
      </c>
      <c r="O84">
        <f>IF($N84="","",INDEX('Cronograma R. Normativo'!$S$5:$S$1000,$N84))</f>
        <v/>
      </c>
      <c r="P84">
        <f>IF($N84="","",N(INDEX('Cronograma R. Normativo'!$T$5:$T$1000,$N84)))</f>
        <v/>
      </c>
    </row>
    <row r="85">
      <c r="A85" s="62">
        <f>IF($N85="","",INDEX('Cronograma R. Normativo'!$A$5:$A$1000,$N85))</f>
        <v/>
      </c>
      <c r="B85" s="71">
        <f>IF($N85="","",IF($O85="Sub","      ↳  "&amp;INDEX('Cronograma R. Normativo'!$C$5:$C$1000,$N85),INDEX('Cronograma R. Normativo'!$C$5:$C$1000,$N85)&amp;""))</f>
        <v/>
      </c>
      <c r="C85" s="77">
        <f>IF($N85="","",IF(INDEX('Cronograma R. Normativo'!$D$5:$D$1000,$N85)="","",INDEX('Cronograma R. Normativo'!$D$5:$D$1000,$N85)))</f>
        <v/>
      </c>
      <c r="D85" s="77">
        <f>IF($N85="","",IF(INDEX('Cronograma R. Normativo'!$E$5:$E$1000,$N85)="","",INDEX('Cronograma R. Normativo'!$E$5:$E$1000,$N85)))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R. Normativo'!$Y$5:$Y$1000,$N85),""),IF(INDEX('Cronograma R. Normativo'!$G$5:$G$1000,$N85)="","",INDEX('Cronograma R. Normativo'!$G$5:$G$1000,$N85))))</f>
        <v/>
      </c>
      <c r="G85" s="68">
        <f>IF($N85="","",IF($P85&gt;0,IF(2&lt;=SemanaActual,INDEX('Cronograma R. Normativo'!$Z$5:$Z$1000,$N85),""),IF(INDEX('Cronograma R. Normativo'!$H$5:$H$1000,$N85)="","",INDEX('Cronograma R. Normativo'!$H$5:$H$1000,$N85))))</f>
        <v/>
      </c>
      <c r="H85" s="68">
        <f>IF($N85="","",IF($P85&gt;0,IF(3&lt;=SemanaActual,INDEX('Cronograma R. Normativo'!$AA$5:$AA$1000,$N85),""),IF(INDEX('Cronograma R. Normativo'!$I$5:$I$1000,$N85)="","",INDEX('Cronograma R. Normativo'!$I$5:$I$1000,$N85))))</f>
        <v/>
      </c>
      <c r="I85" s="68">
        <f>IF($N85="","",IF($P85&gt;0,IF(4&lt;=SemanaActual,INDEX('Cronograma R. Normativo'!$AB$5:$AB$1000,$N85),""),IF(INDEX('Cronograma R. Normativo'!$J$5:$J$1000,$N85)="","",INDEX('Cronograma R. Normativo'!$J$5:$J$1000,$N85))))</f>
        <v/>
      </c>
      <c r="J85" s="68">
        <f>IF($N85="","",INDEX('Cronograma R. Normativo'!$K$5:$K$1000,$N85))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R. Normativo'!$M$5:$M$1000,$N85)&amp;"")</f>
        <v/>
      </c>
      <c r="M85" s="71">
        <f>IF($N85="","",INDEX('Cronograma R. Normativo'!$N$5:$N$1000,$N85)&amp;"")</f>
        <v/>
      </c>
      <c r="N85">
        <f>IFERROR(MATCH(ROW()-4,rOrden_RN,0),"")</f>
        <v/>
      </c>
      <c r="O85">
        <f>IF($N85="","",INDEX('Cronograma R. Normativo'!$S$5:$S$1000,$N85))</f>
        <v/>
      </c>
      <c r="P85">
        <f>IF($N85="","",N(INDEX('Cronograma R. Normativo'!$T$5:$T$1000,$N85)))</f>
        <v/>
      </c>
    </row>
    <row r="86">
      <c r="A86" s="62">
        <f>IF($N86="","",INDEX('Cronograma R. Normativo'!$A$5:$A$1000,$N86))</f>
        <v/>
      </c>
      <c r="B86" s="71">
        <f>IF($N86="","",IF($O86="Sub","      ↳  "&amp;INDEX('Cronograma R. Normativo'!$C$5:$C$1000,$N86),INDEX('Cronograma R. Normativo'!$C$5:$C$1000,$N86)&amp;""))</f>
        <v/>
      </c>
      <c r="C86" s="77">
        <f>IF($N86="","",IF(INDEX('Cronograma R. Normativo'!$D$5:$D$1000,$N86)="","",INDEX('Cronograma R. Normativo'!$D$5:$D$1000,$N86)))</f>
        <v/>
      </c>
      <c r="D86" s="77">
        <f>IF($N86="","",IF(INDEX('Cronograma R. Normativo'!$E$5:$E$1000,$N86)="","",INDEX('Cronograma R. Normativo'!$E$5:$E$1000,$N86)))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R. Normativo'!$Y$5:$Y$1000,$N86),""),IF(INDEX('Cronograma R. Normativo'!$G$5:$G$1000,$N86)="","",INDEX('Cronograma R. Normativo'!$G$5:$G$1000,$N86))))</f>
        <v/>
      </c>
      <c r="G86" s="68">
        <f>IF($N86="","",IF($P86&gt;0,IF(2&lt;=SemanaActual,INDEX('Cronograma R. Normativo'!$Z$5:$Z$1000,$N86),""),IF(INDEX('Cronograma R. Normativo'!$H$5:$H$1000,$N86)="","",INDEX('Cronograma R. Normativo'!$H$5:$H$1000,$N86))))</f>
        <v/>
      </c>
      <c r="H86" s="68">
        <f>IF($N86="","",IF($P86&gt;0,IF(3&lt;=SemanaActual,INDEX('Cronograma R. Normativo'!$AA$5:$AA$1000,$N86),""),IF(INDEX('Cronograma R. Normativo'!$I$5:$I$1000,$N86)="","",INDEX('Cronograma R. Normativo'!$I$5:$I$1000,$N86))))</f>
        <v/>
      </c>
      <c r="I86" s="68">
        <f>IF($N86="","",IF($P86&gt;0,IF(4&lt;=SemanaActual,INDEX('Cronograma R. Normativo'!$AB$5:$AB$1000,$N86),""),IF(INDEX('Cronograma R. Normativo'!$J$5:$J$1000,$N86)="","",INDEX('Cronograma R. Normativo'!$J$5:$J$1000,$N86))))</f>
        <v/>
      </c>
      <c r="J86" s="68">
        <f>IF($N86="","",INDEX('Cronograma R. Normativo'!$K$5:$K$1000,$N86))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R. Normativo'!$M$5:$M$1000,$N86)&amp;"")</f>
        <v/>
      </c>
      <c r="M86" s="71">
        <f>IF($N86="","",INDEX('Cronograma R. Normativo'!$N$5:$N$1000,$N86)&amp;"")</f>
        <v/>
      </c>
      <c r="N86">
        <f>IFERROR(MATCH(ROW()-4,rOrden_RN,0),"")</f>
        <v/>
      </c>
      <c r="O86">
        <f>IF($N86="","",INDEX('Cronograma R. Normativo'!$S$5:$S$1000,$N86))</f>
        <v/>
      </c>
      <c r="P86">
        <f>IF($N86="","",N(INDEX('Cronograma R. Normativo'!$T$5:$T$1000,$N86)))</f>
        <v/>
      </c>
    </row>
    <row r="87">
      <c r="A87" s="62">
        <f>IF($N87="","",INDEX('Cronograma R. Normativo'!$A$5:$A$1000,$N87))</f>
        <v/>
      </c>
      <c r="B87" s="71">
        <f>IF($N87="","",IF($O87="Sub","      ↳  "&amp;INDEX('Cronograma R. Normativo'!$C$5:$C$1000,$N87),INDEX('Cronograma R. Normativo'!$C$5:$C$1000,$N87)&amp;""))</f>
        <v/>
      </c>
      <c r="C87" s="77">
        <f>IF($N87="","",IF(INDEX('Cronograma R. Normativo'!$D$5:$D$1000,$N87)="","",INDEX('Cronograma R. Normativo'!$D$5:$D$1000,$N87)))</f>
        <v/>
      </c>
      <c r="D87" s="77">
        <f>IF($N87="","",IF(INDEX('Cronograma R. Normativo'!$E$5:$E$1000,$N87)="","",INDEX('Cronograma R. Normativo'!$E$5:$E$1000,$N87)))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R. Normativo'!$Y$5:$Y$1000,$N87),""),IF(INDEX('Cronograma R. Normativo'!$G$5:$G$1000,$N87)="","",INDEX('Cronograma R. Normativo'!$G$5:$G$1000,$N87))))</f>
        <v/>
      </c>
      <c r="G87" s="68">
        <f>IF($N87="","",IF($P87&gt;0,IF(2&lt;=SemanaActual,INDEX('Cronograma R. Normativo'!$Z$5:$Z$1000,$N87),""),IF(INDEX('Cronograma R. Normativo'!$H$5:$H$1000,$N87)="","",INDEX('Cronograma R. Normativo'!$H$5:$H$1000,$N87))))</f>
        <v/>
      </c>
      <c r="H87" s="68">
        <f>IF($N87="","",IF($P87&gt;0,IF(3&lt;=SemanaActual,INDEX('Cronograma R. Normativo'!$AA$5:$AA$1000,$N87),""),IF(INDEX('Cronograma R. Normativo'!$I$5:$I$1000,$N87)="","",INDEX('Cronograma R. Normativo'!$I$5:$I$1000,$N87))))</f>
        <v/>
      </c>
      <c r="I87" s="68">
        <f>IF($N87="","",IF($P87&gt;0,IF(4&lt;=SemanaActual,INDEX('Cronograma R. Normativo'!$AB$5:$AB$1000,$N87),""),IF(INDEX('Cronograma R. Normativo'!$J$5:$J$1000,$N87)="","",INDEX('Cronograma R. Normativo'!$J$5:$J$1000,$N87))))</f>
        <v/>
      </c>
      <c r="J87" s="68">
        <f>IF($N87="","",INDEX('Cronograma R. Normativo'!$K$5:$K$1000,$N87))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R. Normativo'!$M$5:$M$1000,$N87)&amp;"")</f>
        <v/>
      </c>
      <c r="M87" s="71">
        <f>IF($N87="","",INDEX('Cronograma R. Normativo'!$N$5:$N$1000,$N87)&amp;"")</f>
        <v/>
      </c>
      <c r="N87">
        <f>IFERROR(MATCH(ROW()-4,rOrden_RN,0),"")</f>
        <v/>
      </c>
      <c r="O87">
        <f>IF($N87="","",INDEX('Cronograma R. Normativo'!$S$5:$S$1000,$N87))</f>
        <v/>
      </c>
      <c r="P87">
        <f>IF($N87="","",N(INDEX('Cronograma R. Normativo'!$T$5:$T$1000,$N87)))</f>
        <v/>
      </c>
    </row>
    <row r="88">
      <c r="A88" s="62">
        <f>IF($N88="","",INDEX('Cronograma R. Normativo'!$A$5:$A$1000,$N88))</f>
        <v/>
      </c>
      <c r="B88" s="71">
        <f>IF($N88="","",IF($O88="Sub","      ↳  "&amp;INDEX('Cronograma R. Normativo'!$C$5:$C$1000,$N88),INDEX('Cronograma R. Normativo'!$C$5:$C$1000,$N88)&amp;""))</f>
        <v/>
      </c>
      <c r="C88" s="77">
        <f>IF($N88="","",IF(INDEX('Cronograma R. Normativo'!$D$5:$D$1000,$N88)="","",INDEX('Cronograma R. Normativo'!$D$5:$D$1000,$N88)))</f>
        <v/>
      </c>
      <c r="D88" s="77">
        <f>IF($N88="","",IF(INDEX('Cronograma R. Normativo'!$E$5:$E$1000,$N88)="","",INDEX('Cronograma R. Normativo'!$E$5:$E$1000,$N88)))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R. Normativo'!$Y$5:$Y$1000,$N88),""),IF(INDEX('Cronograma R. Normativo'!$G$5:$G$1000,$N88)="","",INDEX('Cronograma R. Normativo'!$G$5:$G$1000,$N88))))</f>
        <v/>
      </c>
      <c r="G88" s="68">
        <f>IF($N88="","",IF($P88&gt;0,IF(2&lt;=SemanaActual,INDEX('Cronograma R. Normativo'!$Z$5:$Z$1000,$N88),""),IF(INDEX('Cronograma R. Normativo'!$H$5:$H$1000,$N88)="","",INDEX('Cronograma R. Normativo'!$H$5:$H$1000,$N88))))</f>
        <v/>
      </c>
      <c r="H88" s="68">
        <f>IF($N88="","",IF($P88&gt;0,IF(3&lt;=SemanaActual,INDEX('Cronograma R. Normativo'!$AA$5:$AA$1000,$N88),""),IF(INDEX('Cronograma R. Normativo'!$I$5:$I$1000,$N88)="","",INDEX('Cronograma R. Normativo'!$I$5:$I$1000,$N88))))</f>
        <v/>
      </c>
      <c r="I88" s="68">
        <f>IF($N88="","",IF($P88&gt;0,IF(4&lt;=SemanaActual,INDEX('Cronograma R. Normativo'!$AB$5:$AB$1000,$N88),""),IF(INDEX('Cronograma R. Normativo'!$J$5:$J$1000,$N88)="","",INDEX('Cronograma R. Normativo'!$J$5:$J$1000,$N88))))</f>
        <v/>
      </c>
      <c r="J88" s="68">
        <f>IF($N88="","",INDEX('Cronograma R. Normativo'!$K$5:$K$1000,$N88))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R. Normativo'!$M$5:$M$1000,$N88)&amp;"")</f>
        <v/>
      </c>
      <c r="M88" s="71">
        <f>IF($N88="","",INDEX('Cronograma R. Normativo'!$N$5:$N$1000,$N88)&amp;"")</f>
        <v/>
      </c>
      <c r="N88">
        <f>IFERROR(MATCH(ROW()-4,rOrden_RN,0),"")</f>
        <v/>
      </c>
      <c r="O88">
        <f>IF($N88="","",INDEX('Cronograma R. Normativo'!$S$5:$S$1000,$N88))</f>
        <v/>
      </c>
      <c r="P88">
        <f>IF($N88="","",N(INDEX('Cronograma R. Normativo'!$T$5:$T$1000,$N88)))</f>
        <v/>
      </c>
    </row>
    <row r="89">
      <c r="A89" s="62">
        <f>IF($N89="","",INDEX('Cronograma R. Normativo'!$A$5:$A$1000,$N89))</f>
        <v/>
      </c>
      <c r="B89" s="71">
        <f>IF($N89="","",IF($O89="Sub","      ↳  "&amp;INDEX('Cronograma R. Normativo'!$C$5:$C$1000,$N89),INDEX('Cronograma R. Normativo'!$C$5:$C$1000,$N89)&amp;""))</f>
        <v/>
      </c>
      <c r="C89" s="77">
        <f>IF($N89="","",IF(INDEX('Cronograma R. Normativo'!$D$5:$D$1000,$N89)="","",INDEX('Cronograma R. Normativo'!$D$5:$D$1000,$N89)))</f>
        <v/>
      </c>
      <c r="D89" s="77">
        <f>IF($N89="","",IF(INDEX('Cronograma R. Normativo'!$E$5:$E$1000,$N89)="","",INDEX('Cronograma R. Normativo'!$E$5:$E$1000,$N89)))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R. Normativo'!$Y$5:$Y$1000,$N89),""),IF(INDEX('Cronograma R. Normativo'!$G$5:$G$1000,$N89)="","",INDEX('Cronograma R. Normativo'!$G$5:$G$1000,$N89))))</f>
        <v/>
      </c>
      <c r="G89" s="68">
        <f>IF($N89="","",IF($P89&gt;0,IF(2&lt;=SemanaActual,INDEX('Cronograma R. Normativo'!$Z$5:$Z$1000,$N89),""),IF(INDEX('Cronograma R. Normativo'!$H$5:$H$1000,$N89)="","",INDEX('Cronograma R. Normativo'!$H$5:$H$1000,$N89))))</f>
        <v/>
      </c>
      <c r="H89" s="68">
        <f>IF($N89="","",IF($P89&gt;0,IF(3&lt;=SemanaActual,INDEX('Cronograma R. Normativo'!$AA$5:$AA$1000,$N89),""),IF(INDEX('Cronograma R. Normativo'!$I$5:$I$1000,$N89)="","",INDEX('Cronograma R. Normativo'!$I$5:$I$1000,$N89))))</f>
        <v/>
      </c>
      <c r="I89" s="68">
        <f>IF($N89="","",IF($P89&gt;0,IF(4&lt;=SemanaActual,INDEX('Cronograma R. Normativo'!$AB$5:$AB$1000,$N89),""),IF(INDEX('Cronograma R. Normativo'!$J$5:$J$1000,$N89)="","",INDEX('Cronograma R. Normativo'!$J$5:$J$1000,$N89))))</f>
        <v/>
      </c>
      <c r="J89" s="68">
        <f>IF($N89="","",INDEX('Cronograma R. Normativo'!$K$5:$K$1000,$N89))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R. Normativo'!$M$5:$M$1000,$N89)&amp;"")</f>
        <v/>
      </c>
      <c r="M89" s="71">
        <f>IF($N89="","",INDEX('Cronograma R. Normativo'!$N$5:$N$1000,$N89)&amp;"")</f>
        <v/>
      </c>
      <c r="N89">
        <f>IFERROR(MATCH(ROW()-4,rOrden_RN,0),"")</f>
        <v/>
      </c>
      <c r="O89">
        <f>IF($N89="","",INDEX('Cronograma R. Normativo'!$S$5:$S$1000,$N89))</f>
        <v/>
      </c>
      <c r="P89">
        <f>IF($N89="","",N(INDEX('Cronograma R. Normativo'!$T$5:$T$1000,$N89)))</f>
        <v/>
      </c>
    </row>
    <row r="90">
      <c r="A90" s="62">
        <f>IF($N90="","",INDEX('Cronograma R. Normativo'!$A$5:$A$1000,$N90))</f>
        <v/>
      </c>
      <c r="B90" s="71">
        <f>IF($N90="","",IF($O90="Sub","      ↳  "&amp;INDEX('Cronograma R. Normativo'!$C$5:$C$1000,$N90),INDEX('Cronograma R. Normativo'!$C$5:$C$1000,$N90)&amp;""))</f>
        <v/>
      </c>
      <c r="C90" s="77">
        <f>IF($N90="","",IF(INDEX('Cronograma R. Normativo'!$D$5:$D$1000,$N90)="","",INDEX('Cronograma R. Normativo'!$D$5:$D$1000,$N90)))</f>
        <v/>
      </c>
      <c r="D90" s="77">
        <f>IF($N90="","",IF(INDEX('Cronograma R. Normativo'!$E$5:$E$1000,$N90)="","",INDEX('Cronograma R. Normativo'!$E$5:$E$1000,$N90)))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R. Normativo'!$Y$5:$Y$1000,$N90),""),IF(INDEX('Cronograma R. Normativo'!$G$5:$G$1000,$N90)="","",INDEX('Cronograma R. Normativo'!$G$5:$G$1000,$N90))))</f>
        <v/>
      </c>
      <c r="G90" s="68">
        <f>IF($N90="","",IF($P90&gt;0,IF(2&lt;=SemanaActual,INDEX('Cronograma R. Normativo'!$Z$5:$Z$1000,$N90),""),IF(INDEX('Cronograma R. Normativo'!$H$5:$H$1000,$N90)="","",INDEX('Cronograma R. Normativo'!$H$5:$H$1000,$N90))))</f>
        <v/>
      </c>
      <c r="H90" s="68">
        <f>IF($N90="","",IF($P90&gt;0,IF(3&lt;=SemanaActual,INDEX('Cronograma R. Normativo'!$AA$5:$AA$1000,$N90),""),IF(INDEX('Cronograma R. Normativo'!$I$5:$I$1000,$N90)="","",INDEX('Cronograma R. Normativo'!$I$5:$I$1000,$N90))))</f>
        <v/>
      </c>
      <c r="I90" s="68">
        <f>IF($N90="","",IF($P90&gt;0,IF(4&lt;=SemanaActual,INDEX('Cronograma R. Normativo'!$AB$5:$AB$1000,$N90),""),IF(INDEX('Cronograma R. Normativo'!$J$5:$J$1000,$N90)="","",INDEX('Cronograma R. Normativo'!$J$5:$J$1000,$N90))))</f>
        <v/>
      </c>
      <c r="J90" s="68">
        <f>IF($N90="","",INDEX('Cronograma R. Normativo'!$K$5:$K$1000,$N90))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R. Normativo'!$M$5:$M$1000,$N90)&amp;"")</f>
        <v/>
      </c>
      <c r="M90" s="71">
        <f>IF($N90="","",INDEX('Cronograma R. Normativo'!$N$5:$N$1000,$N90)&amp;"")</f>
        <v/>
      </c>
      <c r="N90">
        <f>IFERROR(MATCH(ROW()-4,rOrden_RN,0),"")</f>
        <v/>
      </c>
      <c r="O90">
        <f>IF($N90="","",INDEX('Cronograma R. Normativo'!$S$5:$S$1000,$N90))</f>
        <v/>
      </c>
      <c r="P90">
        <f>IF($N90="","",N(INDEX('Cronograma R. Normativo'!$T$5:$T$1000,$N90)))</f>
        <v/>
      </c>
    </row>
    <row r="91">
      <c r="A91" s="62">
        <f>IF($N91="","",INDEX('Cronograma R. Normativo'!$A$5:$A$1000,$N91))</f>
        <v/>
      </c>
      <c r="B91" s="71">
        <f>IF($N91="","",IF($O91="Sub","      ↳  "&amp;INDEX('Cronograma R. Normativo'!$C$5:$C$1000,$N91),INDEX('Cronograma R. Normativo'!$C$5:$C$1000,$N91)&amp;""))</f>
        <v/>
      </c>
      <c r="C91" s="77">
        <f>IF($N91="","",IF(INDEX('Cronograma R. Normativo'!$D$5:$D$1000,$N91)="","",INDEX('Cronograma R. Normativo'!$D$5:$D$1000,$N91)))</f>
        <v/>
      </c>
      <c r="D91" s="77">
        <f>IF($N91="","",IF(INDEX('Cronograma R. Normativo'!$E$5:$E$1000,$N91)="","",INDEX('Cronograma R. Normativo'!$E$5:$E$1000,$N91)))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R. Normativo'!$Y$5:$Y$1000,$N91),""),IF(INDEX('Cronograma R. Normativo'!$G$5:$G$1000,$N91)="","",INDEX('Cronograma R. Normativo'!$G$5:$G$1000,$N91))))</f>
        <v/>
      </c>
      <c r="G91" s="68">
        <f>IF($N91="","",IF($P91&gt;0,IF(2&lt;=SemanaActual,INDEX('Cronograma R. Normativo'!$Z$5:$Z$1000,$N91),""),IF(INDEX('Cronograma R. Normativo'!$H$5:$H$1000,$N91)="","",INDEX('Cronograma R. Normativo'!$H$5:$H$1000,$N91))))</f>
        <v/>
      </c>
      <c r="H91" s="68">
        <f>IF($N91="","",IF($P91&gt;0,IF(3&lt;=SemanaActual,INDEX('Cronograma R. Normativo'!$AA$5:$AA$1000,$N91),""),IF(INDEX('Cronograma R. Normativo'!$I$5:$I$1000,$N91)="","",INDEX('Cronograma R. Normativo'!$I$5:$I$1000,$N91))))</f>
        <v/>
      </c>
      <c r="I91" s="68">
        <f>IF($N91="","",IF($P91&gt;0,IF(4&lt;=SemanaActual,INDEX('Cronograma R. Normativo'!$AB$5:$AB$1000,$N91),""),IF(INDEX('Cronograma R. Normativo'!$J$5:$J$1000,$N91)="","",INDEX('Cronograma R. Normativo'!$J$5:$J$1000,$N91))))</f>
        <v/>
      </c>
      <c r="J91" s="68">
        <f>IF($N91="","",INDEX('Cronograma R. Normativo'!$K$5:$K$1000,$N91))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R. Normativo'!$M$5:$M$1000,$N91)&amp;"")</f>
        <v/>
      </c>
      <c r="M91" s="71">
        <f>IF($N91="","",INDEX('Cronograma R. Normativo'!$N$5:$N$1000,$N91)&amp;"")</f>
        <v/>
      </c>
      <c r="N91">
        <f>IFERROR(MATCH(ROW()-4,rOrden_RN,0),"")</f>
        <v/>
      </c>
      <c r="O91">
        <f>IF($N91="","",INDEX('Cronograma R. Normativo'!$S$5:$S$1000,$N91))</f>
        <v/>
      </c>
      <c r="P91">
        <f>IF($N91="","",N(INDEX('Cronograma R. Normativo'!$T$5:$T$1000,$N91)))</f>
        <v/>
      </c>
    </row>
    <row r="92">
      <c r="A92" s="62">
        <f>IF($N92="","",INDEX('Cronograma R. Normativo'!$A$5:$A$1000,$N92))</f>
        <v/>
      </c>
      <c r="B92" s="71">
        <f>IF($N92="","",IF($O92="Sub","      ↳  "&amp;INDEX('Cronograma R. Normativo'!$C$5:$C$1000,$N92),INDEX('Cronograma R. Normativo'!$C$5:$C$1000,$N92)&amp;""))</f>
        <v/>
      </c>
      <c r="C92" s="77">
        <f>IF($N92="","",IF(INDEX('Cronograma R. Normativo'!$D$5:$D$1000,$N92)="","",INDEX('Cronograma R. Normativo'!$D$5:$D$1000,$N92)))</f>
        <v/>
      </c>
      <c r="D92" s="77">
        <f>IF($N92="","",IF(INDEX('Cronograma R. Normativo'!$E$5:$E$1000,$N92)="","",INDEX('Cronograma R. Normativo'!$E$5:$E$1000,$N92)))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R. Normativo'!$Y$5:$Y$1000,$N92),""),IF(INDEX('Cronograma R. Normativo'!$G$5:$G$1000,$N92)="","",INDEX('Cronograma R. Normativo'!$G$5:$G$1000,$N92))))</f>
        <v/>
      </c>
      <c r="G92" s="68">
        <f>IF($N92="","",IF($P92&gt;0,IF(2&lt;=SemanaActual,INDEX('Cronograma R. Normativo'!$Z$5:$Z$1000,$N92),""),IF(INDEX('Cronograma R. Normativo'!$H$5:$H$1000,$N92)="","",INDEX('Cronograma R. Normativo'!$H$5:$H$1000,$N92))))</f>
        <v/>
      </c>
      <c r="H92" s="68">
        <f>IF($N92="","",IF($P92&gt;0,IF(3&lt;=SemanaActual,INDEX('Cronograma R. Normativo'!$AA$5:$AA$1000,$N92),""),IF(INDEX('Cronograma R. Normativo'!$I$5:$I$1000,$N92)="","",INDEX('Cronograma R. Normativo'!$I$5:$I$1000,$N92))))</f>
        <v/>
      </c>
      <c r="I92" s="68">
        <f>IF($N92="","",IF($P92&gt;0,IF(4&lt;=SemanaActual,INDEX('Cronograma R. Normativo'!$AB$5:$AB$1000,$N92),""),IF(INDEX('Cronograma R. Normativo'!$J$5:$J$1000,$N92)="","",INDEX('Cronograma R. Normativo'!$J$5:$J$1000,$N92))))</f>
        <v/>
      </c>
      <c r="J92" s="68">
        <f>IF($N92="","",INDEX('Cronograma R. Normativo'!$K$5:$K$1000,$N92))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R. Normativo'!$M$5:$M$1000,$N92)&amp;"")</f>
        <v/>
      </c>
      <c r="M92" s="71">
        <f>IF($N92="","",INDEX('Cronograma R. Normativo'!$N$5:$N$1000,$N92)&amp;"")</f>
        <v/>
      </c>
      <c r="N92">
        <f>IFERROR(MATCH(ROW()-4,rOrden_RN,0),"")</f>
        <v/>
      </c>
      <c r="O92">
        <f>IF($N92="","",INDEX('Cronograma R. Normativo'!$S$5:$S$1000,$N92))</f>
        <v/>
      </c>
      <c r="P92">
        <f>IF($N92="","",N(INDEX('Cronograma R. Normativo'!$T$5:$T$1000,$N92)))</f>
        <v/>
      </c>
    </row>
    <row r="93">
      <c r="A93" s="62">
        <f>IF($N93="","",INDEX('Cronograma R. Normativo'!$A$5:$A$1000,$N93))</f>
        <v/>
      </c>
      <c r="B93" s="71">
        <f>IF($N93="","",IF($O93="Sub","      ↳  "&amp;INDEX('Cronograma R. Normativo'!$C$5:$C$1000,$N93),INDEX('Cronograma R. Normativo'!$C$5:$C$1000,$N93)&amp;""))</f>
        <v/>
      </c>
      <c r="C93" s="77">
        <f>IF($N93="","",IF(INDEX('Cronograma R. Normativo'!$D$5:$D$1000,$N93)="","",INDEX('Cronograma R. Normativo'!$D$5:$D$1000,$N93)))</f>
        <v/>
      </c>
      <c r="D93" s="77">
        <f>IF($N93="","",IF(INDEX('Cronograma R. Normativo'!$E$5:$E$1000,$N93)="","",INDEX('Cronograma R. Normativo'!$E$5:$E$1000,$N93)))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R. Normativo'!$Y$5:$Y$1000,$N93),""),IF(INDEX('Cronograma R. Normativo'!$G$5:$G$1000,$N93)="","",INDEX('Cronograma R. Normativo'!$G$5:$G$1000,$N93))))</f>
        <v/>
      </c>
      <c r="G93" s="68">
        <f>IF($N93="","",IF($P93&gt;0,IF(2&lt;=SemanaActual,INDEX('Cronograma R. Normativo'!$Z$5:$Z$1000,$N93),""),IF(INDEX('Cronograma R. Normativo'!$H$5:$H$1000,$N93)="","",INDEX('Cronograma R. Normativo'!$H$5:$H$1000,$N93))))</f>
        <v/>
      </c>
      <c r="H93" s="68">
        <f>IF($N93="","",IF($P93&gt;0,IF(3&lt;=SemanaActual,INDEX('Cronograma R. Normativo'!$AA$5:$AA$1000,$N93),""),IF(INDEX('Cronograma R. Normativo'!$I$5:$I$1000,$N93)="","",INDEX('Cronograma R. Normativo'!$I$5:$I$1000,$N93))))</f>
        <v/>
      </c>
      <c r="I93" s="68">
        <f>IF($N93="","",IF($P93&gt;0,IF(4&lt;=SemanaActual,INDEX('Cronograma R. Normativo'!$AB$5:$AB$1000,$N93),""),IF(INDEX('Cronograma R. Normativo'!$J$5:$J$1000,$N93)="","",INDEX('Cronograma R. Normativo'!$J$5:$J$1000,$N93))))</f>
        <v/>
      </c>
      <c r="J93" s="68">
        <f>IF($N93="","",INDEX('Cronograma R. Normativo'!$K$5:$K$1000,$N93))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R. Normativo'!$M$5:$M$1000,$N93)&amp;"")</f>
        <v/>
      </c>
      <c r="M93" s="71">
        <f>IF($N93="","",INDEX('Cronograma R. Normativo'!$N$5:$N$1000,$N93)&amp;"")</f>
        <v/>
      </c>
      <c r="N93">
        <f>IFERROR(MATCH(ROW()-4,rOrden_RN,0),"")</f>
        <v/>
      </c>
      <c r="O93">
        <f>IF($N93="","",INDEX('Cronograma R. Normativo'!$S$5:$S$1000,$N93))</f>
        <v/>
      </c>
      <c r="P93">
        <f>IF($N93="","",N(INDEX('Cronograma R. Normativo'!$T$5:$T$1000,$N93)))</f>
        <v/>
      </c>
    </row>
    <row r="94">
      <c r="A94" s="62">
        <f>IF($N94="","",INDEX('Cronograma R. Normativo'!$A$5:$A$1000,$N94))</f>
        <v/>
      </c>
      <c r="B94" s="71">
        <f>IF($N94="","",IF($O94="Sub","      ↳  "&amp;INDEX('Cronograma R. Normativo'!$C$5:$C$1000,$N94),INDEX('Cronograma R. Normativo'!$C$5:$C$1000,$N94)&amp;""))</f>
        <v/>
      </c>
      <c r="C94" s="77">
        <f>IF($N94="","",IF(INDEX('Cronograma R. Normativo'!$D$5:$D$1000,$N94)="","",INDEX('Cronograma R. Normativo'!$D$5:$D$1000,$N94)))</f>
        <v/>
      </c>
      <c r="D94" s="77">
        <f>IF($N94="","",IF(INDEX('Cronograma R. Normativo'!$E$5:$E$1000,$N94)="","",INDEX('Cronograma R. Normativo'!$E$5:$E$1000,$N94)))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R. Normativo'!$Y$5:$Y$1000,$N94),""),IF(INDEX('Cronograma R. Normativo'!$G$5:$G$1000,$N94)="","",INDEX('Cronograma R. Normativo'!$G$5:$G$1000,$N94))))</f>
        <v/>
      </c>
      <c r="G94" s="68">
        <f>IF($N94="","",IF($P94&gt;0,IF(2&lt;=SemanaActual,INDEX('Cronograma R. Normativo'!$Z$5:$Z$1000,$N94),""),IF(INDEX('Cronograma R. Normativo'!$H$5:$H$1000,$N94)="","",INDEX('Cronograma R. Normativo'!$H$5:$H$1000,$N94))))</f>
        <v/>
      </c>
      <c r="H94" s="68">
        <f>IF($N94="","",IF($P94&gt;0,IF(3&lt;=SemanaActual,INDEX('Cronograma R. Normativo'!$AA$5:$AA$1000,$N94),""),IF(INDEX('Cronograma R. Normativo'!$I$5:$I$1000,$N94)="","",INDEX('Cronograma R. Normativo'!$I$5:$I$1000,$N94))))</f>
        <v/>
      </c>
      <c r="I94" s="68">
        <f>IF($N94="","",IF($P94&gt;0,IF(4&lt;=SemanaActual,INDEX('Cronograma R. Normativo'!$AB$5:$AB$1000,$N94),""),IF(INDEX('Cronograma R. Normativo'!$J$5:$J$1000,$N94)="","",INDEX('Cronograma R. Normativo'!$J$5:$J$1000,$N94))))</f>
        <v/>
      </c>
      <c r="J94" s="68">
        <f>IF($N94="","",INDEX('Cronograma R. Normativo'!$K$5:$K$1000,$N94))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R. Normativo'!$M$5:$M$1000,$N94)&amp;"")</f>
        <v/>
      </c>
      <c r="M94" s="71">
        <f>IF($N94="","",INDEX('Cronograma R. Normativo'!$N$5:$N$1000,$N94)&amp;"")</f>
        <v/>
      </c>
      <c r="N94">
        <f>IFERROR(MATCH(ROW()-4,rOrden_RN,0),"")</f>
        <v/>
      </c>
      <c r="O94">
        <f>IF($N94="","",INDEX('Cronograma R. Normativo'!$S$5:$S$1000,$N94))</f>
        <v/>
      </c>
      <c r="P94">
        <f>IF($N94="","",N(INDEX('Cronograma R. Normativo'!$T$5:$T$1000,$N94)))</f>
        <v/>
      </c>
    </row>
    <row r="95">
      <c r="A95" s="62">
        <f>IF($N95="","",INDEX('Cronograma R. Normativo'!$A$5:$A$1000,$N95))</f>
        <v/>
      </c>
      <c r="B95" s="71">
        <f>IF($N95="","",IF($O95="Sub","      ↳  "&amp;INDEX('Cronograma R. Normativo'!$C$5:$C$1000,$N95),INDEX('Cronograma R. Normativo'!$C$5:$C$1000,$N95)&amp;""))</f>
        <v/>
      </c>
      <c r="C95" s="77">
        <f>IF($N95="","",IF(INDEX('Cronograma R. Normativo'!$D$5:$D$1000,$N95)="","",INDEX('Cronograma R. Normativo'!$D$5:$D$1000,$N95)))</f>
        <v/>
      </c>
      <c r="D95" s="77">
        <f>IF($N95="","",IF(INDEX('Cronograma R. Normativo'!$E$5:$E$1000,$N95)="","",INDEX('Cronograma R. Normativo'!$E$5:$E$1000,$N95)))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R. Normativo'!$Y$5:$Y$1000,$N95),""),IF(INDEX('Cronograma R. Normativo'!$G$5:$G$1000,$N95)="","",INDEX('Cronograma R. Normativo'!$G$5:$G$1000,$N95))))</f>
        <v/>
      </c>
      <c r="G95" s="68">
        <f>IF($N95="","",IF($P95&gt;0,IF(2&lt;=SemanaActual,INDEX('Cronograma R. Normativo'!$Z$5:$Z$1000,$N95),""),IF(INDEX('Cronograma R. Normativo'!$H$5:$H$1000,$N95)="","",INDEX('Cronograma R. Normativo'!$H$5:$H$1000,$N95))))</f>
        <v/>
      </c>
      <c r="H95" s="68">
        <f>IF($N95="","",IF($P95&gt;0,IF(3&lt;=SemanaActual,INDEX('Cronograma R. Normativo'!$AA$5:$AA$1000,$N95),""),IF(INDEX('Cronograma R. Normativo'!$I$5:$I$1000,$N95)="","",INDEX('Cronograma R. Normativo'!$I$5:$I$1000,$N95))))</f>
        <v/>
      </c>
      <c r="I95" s="68">
        <f>IF($N95="","",IF($P95&gt;0,IF(4&lt;=SemanaActual,INDEX('Cronograma R. Normativo'!$AB$5:$AB$1000,$N95),""),IF(INDEX('Cronograma R. Normativo'!$J$5:$J$1000,$N95)="","",INDEX('Cronograma R. Normativo'!$J$5:$J$1000,$N95))))</f>
        <v/>
      </c>
      <c r="J95" s="68">
        <f>IF($N95="","",INDEX('Cronograma R. Normativo'!$K$5:$K$1000,$N95))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R. Normativo'!$M$5:$M$1000,$N95)&amp;"")</f>
        <v/>
      </c>
      <c r="M95" s="71">
        <f>IF($N95="","",INDEX('Cronograma R. Normativo'!$N$5:$N$1000,$N95)&amp;"")</f>
        <v/>
      </c>
      <c r="N95">
        <f>IFERROR(MATCH(ROW()-4,rOrden_RN,0),"")</f>
        <v/>
      </c>
      <c r="O95">
        <f>IF($N95="","",INDEX('Cronograma R. Normativo'!$S$5:$S$1000,$N95))</f>
        <v/>
      </c>
      <c r="P95">
        <f>IF($N95="","",N(INDEX('Cronograma R. Normativo'!$T$5:$T$1000,$N95)))</f>
        <v/>
      </c>
    </row>
    <row r="96">
      <c r="A96" s="62">
        <f>IF($N96="","",INDEX('Cronograma R. Normativo'!$A$5:$A$1000,$N96))</f>
        <v/>
      </c>
      <c r="B96" s="71">
        <f>IF($N96="","",IF($O96="Sub","      ↳  "&amp;INDEX('Cronograma R. Normativo'!$C$5:$C$1000,$N96),INDEX('Cronograma R. Normativo'!$C$5:$C$1000,$N96)&amp;""))</f>
        <v/>
      </c>
      <c r="C96" s="77">
        <f>IF($N96="","",IF(INDEX('Cronograma R. Normativo'!$D$5:$D$1000,$N96)="","",INDEX('Cronograma R. Normativo'!$D$5:$D$1000,$N96)))</f>
        <v/>
      </c>
      <c r="D96" s="77">
        <f>IF($N96="","",IF(INDEX('Cronograma R. Normativo'!$E$5:$E$1000,$N96)="","",INDEX('Cronograma R. Normativo'!$E$5:$E$1000,$N96)))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R. Normativo'!$Y$5:$Y$1000,$N96),""),IF(INDEX('Cronograma R. Normativo'!$G$5:$G$1000,$N96)="","",INDEX('Cronograma R. Normativo'!$G$5:$G$1000,$N96))))</f>
        <v/>
      </c>
      <c r="G96" s="68">
        <f>IF($N96="","",IF($P96&gt;0,IF(2&lt;=SemanaActual,INDEX('Cronograma R. Normativo'!$Z$5:$Z$1000,$N96),""),IF(INDEX('Cronograma R. Normativo'!$H$5:$H$1000,$N96)="","",INDEX('Cronograma R. Normativo'!$H$5:$H$1000,$N96))))</f>
        <v/>
      </c>
      <c r="H96" s="68">
        <f>IF($N96="","",IF($P96&gt;0,IF(3&lt;=SemanaActual,INDEX('Cronograma R. Normativo'!$AA$5:$AA$1000,$N96),""),IF(INDEX('Cronograma R. Normativo'!$I$5:$I$1000,$N96)="","",INDEX('Cronograma R. Normativo'!$I$5:$I$1000,$N96))))</f>
        <v/>
      </c>
      <c r="I96" s="68">
        <f>IF($N96="","",IF($P96&gt;0,IF(4&lt;=SemanaActual,INDEX('Cronograma R. Normativo'!$AB$5:$AB$1000,$N96),""),IF(INDEX('Cronograma R. Normativo'!$J$5:$J$1000,$N96)="","",INDEX('Cronograma R. Normativo'!$J$5:$J$1000,$N96))))</f>
        <v/>
      </c>
      <c r="J96" s="68">
        <f>IF($N96="","",INDEX('Cronograma R. Normativo'!$K$5:$K$1000,$N96))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R. Normativo'!$M$5:$M$1000,$N96)&amp;"")</f>
        <v/>
      </c>
      <c r="M96" s="71">
        <f>IF($N96="","",INDEX('Cronograma R. Normativo'!$N$5:$N$1000,$N96)&amp;"")</f>
        <v/>
      </c>
      <c r="N96">
        <f>IFERROR(MATCH(ROW()-4,rOrden_RN,0),"")</f>
        <v/>
      </c>
      <c r="O96">
        <f>IF($N96="","",INDEX('Cronograma R. Normativo'!$S$5:$S$1000,$N96))</f>
        <v/>
      </c>
      <c r="P96">
        <f>IF($N96="","",N(INDEX('Cronograma R. Normativo'!$T$5:$T$1000,$N96)))</f>
        <v/>
      </c>
    </row>
    <row r="97">
      <c r="A97" s="62">
        <f>IF($N97="","",INDEX('Cronograma R. Normativo'!$A$5:$A$1000,$N97))</f>
        <v/>
      </c>
      <c r="B97" s="71">
        <f>IF($N97="","",IF($O97="Sub","      ↳  "&amp;INDEX('Cronograma R. Normativo'!$C$5:$C$1000,$N97),INDEX('Cronograma R. Normativo'!$C$5:$C$1000,$N97)&amp;""))</f>
        <v/>
      </c>
      <c r="C97" s="77">
        <f>IF($N97="","",IF(INDEX('Cronograma R. Normativo'!$D$5:$D$1000,$N97)="","",INDEX('Cronograma R. Normativo'!$D$5:$D$1000,$N97)))</f>
        <v/>
      </c>
      <c r="D97" s="77">
        <f>IF($N97="","",IF(INDEX('Cronograma R. Normativo'!$E$5:$E$1000,$N97)="","",INDEX('Cronograma R. Normativo'!$E$5:$E$1000,$N97)))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R. Normativo'!$Y$5:$Y$1000,$N97),""),IF(INDEX('Cronograma R. Normativo'!$G$5:$G$1000,$N97)="","",INDEX('Cronograma R. Normativo'!$G$5:$G$1000,$N97))))</f>
        <v/>
      </c>
      <c r="G97" s="68">
        <f>IF($N97="","",IF($P97&gt;0,IF(2&lt;=SemanaActual,INDEX('Cronograma R. Normativo'!$Z$5:$Z$1000,$N97),""),IF(INDEX('Cronograma R. Normativo'!$H$5:$H$1000,$N97)="","",INDEX('Cronograma R. Normativo'!$H$5:$H$1000,$N97))))</f>
        <v/>
      </c>
      <c r="H97" s="68">
        <f>IF($N97="","",IF($P97&gt;0,IF(3&lt;=SemanaActual,INDEX('Cronograma R. Normativo'!$AA$5:$AA$1000,$N97),""),IF(INDEX('Cronograma R. Normativo'!$I$5:$I$1000,$N97)="","",INDEX('Cronograma R. Normativo'!$I$5:$I$1000,$N97))))</f>
        <v/>
      </c>
      <c r="I97" s="68">
        <f>IF($N97="","",IF($P97&gt;0,IF(4&lt;=SemanaActual,INDEX('Cronograma R. Normativo'!$AB$5:$AB$1000,$N97),""),IF(INDEX('Cronograma R. Normativo'!$J$5:$J$1000,$N97)="","",INDEX('Cronograma R. Normativo'!$J$5:$J$1000,$N97))))</f>
        <v/>
      </c>
      <c r="J97" s="68">
        <f>IF($N97="","",INDEX('Cronograma R. Normativo'!$K$5:$K$1000,$N97))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R. Normativo'!$M$5:$M$1000,$N97)&amp;"")</f>
        <v/>
      </c>
      <c r="M97" s="71">
        <f>IF($N97="","",INDEX('Cronograma R. Normativo'!$N$5:$N$1000,$N97)&amp;"")</f>
        <v/>
      </c>
      <c r="N97">
        <f>IFERROR(MATCH(ROW()-4,rOrden_RN,0),"")</f>
        <v/>
      </c>
      <c r="O97">
        <f>IF($N97="","",INDEX('Cronograma R. Normativo'!$S$5:$S$1000,$N97))</f>
        <v/>
      </c>
      <c r="P97">
        <f>IF($N97="","",N(INDEX('Cronograma R. Normativo'!$T$5:$T$1000,$N97)))</f>
        <v/>
      </c>
    </row>
    <row r="98">
      <c r="A98" s="62">
        <f>IF($N98="","",INDEX('Cronograma R. Normativo'!$A$5:$A$1000,$N98))</f>
        <v/>
      </c>
      <c r="B98" s="71">
        <f>IF($N98="","",IF($O98="Sub","      ↳  "&amp;INDEX('Cronograma R. Normativo'!$C$5:$C$1000,$N98),INDEX('Cronograma R. Normativo'!$C$5:$C$1000,$N98)&amp;""))</f>
        <v/>
      </c>
      <c r="C98" s="77">
        <f>IF($N98="","",IF(INDEX('Cronograma R. Normativo'!$D$5:$D$1000,$N98)="","",INDEX('Cronograma R. Normativo'!$D$5:$D$1000,$N98)))</f>
        <v/>
      </c>
      <c r="D98" s="77">
        <f>IF($N98="","",IF(INDEX('Cronograma R. Normativo'!$E$5:$E$1000,$N98)="","",INDEX('Cronograma R. Normativo'!$E$5:$E$1000,$N98)))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R. Normativo'!$Y$5:$Y$1000,$N98),""),IF(INDEX('Cronograma R. Normativo'!$G$5:$G$1000,$N98)="","",INDEX('Cronograma R. Normativo'!$G$5:$G$1000,$N98))))</f>
        <v/>
      </c>
      <c r="G98" s="68">
        <f>IF($N98="","",IF($P98&gt;0,IF(2&lt;=SemanaActual,INDEX('Cronograma R. Normativo'!$Z$5:$Z$1000,$N98),""),IF(INDEX('Cronograma R. Normativo'!$H$5:$H$1000,$N98)="","",INDEX('Cronograma R. Normativo'!$H$5:$H$1000,$N98))))</f>
        <v/>
      </c>
      <c r="H98" s="68">
        <f>IF($N98="","",IF($P98&gt;0,IF(3&lt;=SemanaActual,INDEX('Cronograma R. Normativo'!$AA$5:$AA$1000,$N98),""),IF(INDEX('Cronograma R. Normativo'!$I$5:$I$1000,$N98)="","",INDEX('Cronograma R. Normativo'!$I$5:$I$1000,$N98))))</f>
        <v/>
      </c>
      <c r="I98" s="68">
        <f>IF($N98="","",IF($P98&gt;0,IF(4&lt;=SemanaActual,INDEX('Cronograma R. Normativo'!$AB$5:$AB$1000,$N98),""),IF(INDEX('Cronograma R. Normativo'!$J$5:$J$1000,$N98)="","",INDEX('Cronograma R. Normativo'!$J$5:$J$1000,$N98))))</f>
        <v/>
      </c>
      <c r="J98" s="68">
        <f>IF($N98="","",INDEX('Cronograma R. Normativo'!$K$5:$K$1000,$N98))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R. Normativo'!$M$5:$M$1000,$N98)&amp;"")</f>
        <v/>
      </c>
      <c r="M98" s="71">
        <f>IF($N98="","",INDEX('Cronograma R. Normativo'!$N$5:$N$1000,$N98)&amp;"")</f>
        <v/>
      </c>
      <c r="N98">
        <f>IFERROR(MATCH(ROW()-4,rOrden_RN,0),"")</f>
        <v/>
      </c>
      <c r="O98">
        <f>IF($N98="","",INDEX('Cronograma R. Normativo'!$S$5:$S$1000,$N98))</f>
        <v/>
      </c>
      <c r="P98">
        <f>IF($N98="","",N(INDEX('Cronograma R. Normativo'!$T$5:$T$1000,$N98)))</f>
        <v/>
      </c>
    </row>
    <row r="99">
      <c r="A99" s="62">
        <f>IF($N99="","",INDEX('Cronograma R. Normativo'!$A$5:$A$1000,$N99))</f>
        <v/>
      </c>
      <c r="B99" s="71">
        <f>IF($N99="","",IF($O99="Sub","      ↳  "&amp;INDEX('Cronograma R. Normativo'!$C$5:$C$1000,$N99),INDEX('Cronograma R. Normativo'!$C$5:$C$1000,$N99)&amp;""))</f>
        <v/>
      </c>
      <c r="C99" s="77">
        <f>IF($N99="","",IF(INDEX('Cronograma R. Normativo'!$D$5:$D$1000,$N99)="","",INDEX('Cronograma R. Normativo'!$D$5:$D$1000,$N99)))</f>
        <v/>
      </c>
      <c r="D99" s="77">
        <f>IF($N99="","",IF(INDEX('Cronograma R. Normativo'!$E$5:$E$1000,$N99)="","",INDEX('Cronograma R. Normativo'!$E$5:$E$1000,$N99)))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R. Normativo'!$Y$5:$Y$1000,$N99),""),IF(INDEX('Cronograma R. Normativo'!$G$5:$G$1000,$N99)="","",INDEX('Cronograma R. Normativo'!$G$5:$G$1000,$N99))))</f>
        <v/>
      </c>
      <c r="G99" s="68">
        <f>IF($N99="","",IF($P99&gt;0,IF(2&lt;=SemanaActual,INDEX('Cronograma R. Normativo'!$Z$5:$Z$1000,$N99),""),IF(INDEX('Cronograma R. Normativo'!$H$5:$H$1000,$N99)="","",INDEX('Cronograma R. Normativo'!$H$5:$H$1000,$N99))))</f>
        <v/>
      </c>
      <c r="H99" s="68">
        <f>IF($N99="","",IF($P99&gt;0,IF(3&lt;=SemanaActual,INDEX('Cronograma R. Normativo'!$AA$5:$AA$1000,$N99),""),IF(INDEX('Cronograma R. Normativo'!$I$5:$I$1000,$N99)="","",INDEX('Cronograma R. Normativo'!$I$5:$I$1000,$N99))))</f>
        <v/>
      </c>
      <c r="I99" s="68">
        <f>IF($N99="","",IF($P99&gt;0,IF(4&lt;=SemanaActual,INDEX('Cronograma R. Normativo'!$AB$5:$AB$1000,$N99),""),IF(INDEX('Cronograma R. Normativo'!$J$5:$J$1000,$N99)="","",INDEX('Cronograma R. Normativo'!$J$5:$J$1000,$N99))))</f>
        <v/>
      </c>
      <c r="J99" s="68">
        <f>IF($N99="","",INDEX('Cronograma R. Normativo'!$K$5:$K$1000,$N99))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R. Normativo'!$M$5:$M$1000,$N99)&amp;"")</f>
        <v/>
      </c>
      <c r="M99" s="71">
        <f>IF($N99="","",INDEX('Cronograma R. Normativo'!$N$5:$N$1000,$N99)&amp;"")</f>
        <v/>
      </c>
      <c r="N99">
        <f>IFERROR(MATCH(ROW()-4,rOrden_RN,0),"")</f>
        <v/>
      </c>
      <c r="O99">
        <f>IF($N99="","",INDEX('Cronograma R. Normativo'!$S$5:$S$1000,$N99))</f>
        <v/>
      </c>
      <c r="P99">
        <f>IF($N99="","",N(INDEX('Cronograma R. Normativo'!$T$5:$T$1000,$N99)))</f>
        <v/>
      </c>
    </row>
    <row r="100">
      <c r="A100" s="62">
        <f>IF($N100="","",INDEX('Cronograma R. Normativo'!$A$5:$A$1000,$N100))</f>
        <v/>
      </c>
      <c r="B100" s="71">
        <f>IF($N100="","",IF($O100="Sub","      ↳  "&amp;INDEX('Cronograma R. Normativo'!$C$5:$C$1000,$N100),INDEX('Cronograma R. Normativo'!$C$5:$C$1000,$N100)&amp;""))</f>
        <v/>
      </c>
      <c r="C100" s="77">
        <f>IF($N100="","",IF(INDEX('Cronograma R. Normativo'!$D$5:$D$1000,$N100)="","",INDEX('Cronograma R. Normativo'!$D$5:$D$1000,$N100)))</f>
        <v/>
      </c>
      <c r="D100" s="77">
        <f>IF($N100="","",IF(INDEX('Cronograma R. Normativo'!$E$5:$E$1000,$N100)="","",INDEX('Cronograma R. Normativo'!$E$5:$E$1000,$N100)))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R. Normativo'!$Y$5:$Y$1000,$N100),""),IF(INDEX('Cronograma R. Normativo'!$G$5:$G$1000,$N100)="","",INDEX('Cronograma R. Normativo'!$G$5:$G$1000,$N100))))</f>
        <v/>
      </c>
      <c r="G100" s="68">
        <f>IF($N100="","",IF($P100&gt;0,IF(2&lt;=SemanaActual,INDEX('Cronograma R. Normativo'!$Z$5:$Z$1000,$N100),""),IF(INDEX('Cronograma R. Normativo'!$H$5:$H$1000,$N100)="","",INDEX('Cronograma R. Normativo'!$H$5:$H$1000,$N100))))</f>
        <v/>
      </c>
      <c r="H100" s="68">
        <f>IF($N100="","",IF($P100&gt;0,IF(3&lt;=SemanaActual,INDEX('Cronograma R. Normativo'!$AA$5:$AA$1000,$N100),""),IF(INDEX('Cronograma R. Normativo'!$I$5:$I$1000,$N100)="","",INDEX('Cronograma R. Normativo'!$I$5:$I$1000,$N100))))</f>
        <v/>
      </c>
      <c r="I100" s="68">
        <f>IF($N100="","",IF($P100&gt;0,IF(4&lt;=SemanaActual,INDEX('Cronograma R. Normativo'!$AB$5:$AB$1000,$N100),""),IF(INDEX('Cronograma R. Normativo'!$J$5:$J$1000,$N100)="","",INDEX('Cronograma R. Normativo'!$J$5:$J$1000,$N100))))</f>
        <v/>
      </c>
      <c r="J100" s="68">
        <f>IF($N100="","",INDEX('Cronograma R. Normativo'!$K$5:$K$1000,$N100))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R. Normativo'!$M$5:$M$1000,$N100)&amp;"")</f>
        <v/>
      </c>
      <c r="M100" s="71">
        <f>IF($N100="","",INDEX('Cronograma R. Normativo'!$N$5:$N$1000,$N100)&amp;"")</f>
        <v/>
      </c>
      <c r="N100">
        <f>IFERROR(MATCH(ROW()-4,rOrden_RN,0),"")</f>
        <v/>
      </c>
      <c r="O100">
        <f>IF($N100="","",INDEX('Cronograma R. Normativo'!$S$5:$S$1000,$N100))</f>
        <v/>
      </c>
      <c r="P100">
        <f>IF($N100="","",N(INDEX('Cronograma R. Normativo'!$T$5:$T$1000,$N100)))</f>
        <v/>
      </c>
    </row>
    <row r="101">
      <c r="A101" s="62">
        <f>IF($N101="","",INDEX('Cronograma R. Normativo'!$A$5:$A$1000,$N101))</f>
        <v/>
      </c>
      <c r="B101" s="71">
        <f>IF($N101="","",IF($O101="Sub","      ↳  "&amp;INDEX('Cronograma R. Normativo'!$C$5:$C$1000,$N101),INDEX('Cronograma R. Normativo'!$C$5:$C$1000,$N101)&amp;""))</f>
        <v/>
      </c>
      <c r="C101" s="77">
        <f>IF($N101="","",IF(INDEX('Cronograma R. Normativo'!$D$5:$D$1000,$N101)="","",INDEX('Cronograma R. Normativo'!$D$5:$D$1000,$N101)))</f>
        <v/>
      </c>
      <c r="D101" s="77">
        <f>IF($N101="","",IF(INDEX('Cronograma R. Normativo'!$E$5:$E$1000,$N101)="","",INDEX('Cronograma R. Normativo'!$E$5:$E$1000,$N101)))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R. Normativo'!$Y$5:$Y$1000,$N101),""),IF(INDEX('Cronograma R. Normativo'!$G$5:$G$1000,$N101)="","",INDEX('Cronograma R. Normativo'!$G$5:$G$1000,$N101))))</f>
        <v/>
      </c>
      <c r="G101" s="68">
        <f>IF($N101="","",IF($P101&gt;0,IF(2&lt;=SemanaActual,INDEX('Cronograma R. Normativo'!$Z$5:$Z$1000,$N101),""),IF(INDEX('Cronograma R. Normativo'!$H$5:$H$1000,$N101)="","",INDEX('Cronograma R. Normativo'!$H$5:$H$1000,$N101))))</f>
        <v/>
      </c>
      <c r="H101" s="68">
        <f>IF($N101="","",IF($P101&gt;0,IF(3&lt;=SemanaActual,INDEX('Cronograma R. Normativo'!$AA$5:$AA$1000,$N101),""),IF(INDEX('Cronograma R. Normativo'!$I$5:$I$1000,$N101)="","",INDEX('Cronograma R. Normativo'!$I$5:$I$1000,$N101))))</f>
        <v/>
      </c>
      <c r="I101" s="68">
        <f>IF($N101="","",IF($P101&gt;0,IF(4&lt;=SemanaActual,INDEX('Cronograma R. Normativo'!$AB$5:$AB$1000,$N101),""),IF(INDEX('Cronograma R. Normativo'!$J$5:$J$1000,$N101)="","",INDEX('Cronograma R. Normativo'!$J$5:$J$1000,$N101))))</f>
        <v/>
      </c>
      <c r="J101" s="68">
        <f>IF($N101="","",INDEX('Cronograma R. Normativo'!$K$5:$K$1000,$N101))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R. Normativo'!$M$5:$M$1000,$N101)&amp;"")</f>
        <v/>
      </c>
      <c r="M101" s="71">
        <f>IF($N101="","",INDEX('Cronograma R. Normativo'!$N$5:$N$1000,$N101)&amp;"")</f>
        <v/>
      </c>
      <c r="N101">
        <f>IFERROR(MATCH(ROW()-4,rOrden_RN,0),"")</f>
        <v/>
      </c>
      <c r="O101">
        <f>IF($N101="","",INDEX('Cronograma R. Normativo'!$S$5:$S$1000,$N101))</f>
        <v/>
      </c>
      <c r="P101">
        <f>IF($N101="","",N(INDEX('Cronograma R. Normativo'!$T$5:$T$1000,$N101)))</f>
        <v/>
      </c>
    </row>
    <row r="102">
      <c r="A102" s="62">
        <f>IF($N102="","",INDEX('Cronograma R. Normativo'!$A$5:$A$1000,$N102))</f>
        <v/>
      </c>
      <c r="B102" s="71">
        <f>IF($N102="","",IF($O102="Sub","      ↳  "&amp;INDEX('Cronograma R. Normativo'!$C$5:$C$1000,$N102),INDEX('Cronograma R. Normativo'!$C$5:$C$1000,$N102)&amp;""))</f>
        <v/>
      </c>
      <c r="C102" s="77">
        <f>IF($N102="","",IF(INDEX('Cronograma R. Normativo'!$D$5:$D$1000,$N102)="","",INDEX('Cronograma R. Normativo'!$D$5:$D$1000,$N102)))</f>
        <v/>
      </c>
      <c r="D102" s="77">
        <f>IF($N102="","",IF(INDEX('Cronograma R. Normativo'!$E$5:$E$1000,$N102)="","",INDEX('Cronograma R. Normativo'!$E$5:$E$1000,$N102)))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R. Normativo'!$Y$5:$Y$1000,$N102),""),IF(INDEX('Cronograma R. Normativo'!$G$5:$G$1000,$N102)="","",INDEX('Cronograma R. Normativo'!$G$5:$G$1000,$N102))))</f>
        <v/>
      </c>
      <c r="G102" s="68">
        <f>IF($N102="","",IF($P102&gt;0,IF(2&lt;=SemanaActual,INDEX('Cronograma R. Normativo'!$Z$5:$Z$1000,$N102),""),IF(INDEX('Cronograma R. Normativo'!$H$5:$H$1000,$N102)="","",INDEX('Cronograma R. Normativo'!$H$5:$H$1000,$N102))))</f>
        <v/>
      </c>
      <c r="H102" s="68">
        <f>IF($N102="","",IF($P102&gt;0,IF(3&lt;=SemanaActual,INDEX('Cronograma R. Normativo'!$AA$5:$AA$1000,$N102),""),IF(INDEX('Cronograma R. Normativo'!$I$5:$I$1000,$N102)="","",INDEX('Cronograma R. Normativo'!$I$5:$I$1000,$N102))))</f>
        <v/>
      </c>
      <c r="I102" s="68">
        <f>IF($N102="","",IF($P102&gt;0,IF(4&lt;=SemanaActual,INDEX('Cronograma R. Normativo'!$AB$5:$AB$1000,$N102),""),IF(INDEX('Cronograma R. Normativo'!$J$5:$J$1000,$N102)="","",INDEX('Cronograma R. Normativo'!$J$5:$J$1000,$N102))))</f>
        <v/>
      </c>
      <c r="J102" s="68">
        <f>IF($N102="","",INDEX('Cronograma R. Normativo'!$K$5:$K$1000,$N102))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R. Normativo'!$M$5:$M$1000,$N102)&amp;"")</f>
        <v/>
      </c>
      <c r="M102" s="71">
        <f>IF($N102="","",INDEX('Cronograma R. Normativo'!$N$5:$N$1000,$N102)&amp;"")</f>
        <v/>
      </c>
      <c r="N102">
        <f>IFERROR(MATCH(ROW()-4,rOrden_RN,0),"")</f>
        <v/>
      </c>
      <c r="O102">
        <f>IF($N102="","",INDEX('Cronograma R. Normativo'!$S$5:$S$1000,$N102))</f>
        <v/>
      </c>
      <c r="P102">
        <f>IF($N102="","",N(INDEX('Cronograma R. Normativo'!$T$5:$T$1000,$N102)))</f>
        <v/>
      </c>
    </row>
    <row r="103">
      <c r="A103" s="62">
        <f>IF($N103="","",INDEX('Cronograma R. Normativo'!$A$5:$A$1000,$N103))</f>
        <v/>
      </c>
      <c r="B103" s="71">
        <f>IF($N103="","",IF($O103="Sub","      ↳  "&amp;INDEX('Cronograma R. Normativo'!$C$5:$C$1000,$N103),INDEX('Cronograma R. Normativo'!$C$5:$C$1000,$N103)&amp;""))</f>
        <v/>
      </c>
      <c r="C103" s="77">
        <f>IF($N103="","",IF(INDEX('Cronograma R. Normativo'!$D$5:$D$1000,$N103)="","",INDEX('Cronograma R. Normativo'!$D$5:$D$1000,$N103)))</f>
        <v/>
      </c>
      <c r="D103" s="77">
        <f>IF($N103="","",IF(INDEX('Cronograma R. Normativo'!$E$5:$E$1000,$N103)="","",INDEX('Cronograma R. Normativo'!$E$5:$E$1000,$N103)))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R. Normativo'!$Y$5:$Y$1000,$N103),""),IF(INDEX('Cronograma R. Normativo'!$G$5:$G$1000,$N103)="","",INDEX('Cronograma R. Normativo'!$G$5:$G$1000,$N103))))</f>
        <v/>
      </c>
      <c r="G103" s="68">
        <f>IF($N103="","",IF($P103&gt;0,IF(2&lt;=SemanaActual,INDEX('Cronograma R. Normativo'!$Z$5:$Z$1000,$N103),""),IF(INDEX('Cronograma R. Normativo'!$H$5:$H$1000,$N103)="","",INDEX('Cronograma R. Normativo'!$H$5:$H$1000,$N103))))</f>
        <v/>
      </c>
      <c r="H103" s="68">
        <f>IF($N103="","",IF($P103&gt;0,IF(3&lt;=SemanaActual,INDEX('Cronograma R. Normativo'!$AA$5:$AA$1000,$N103),""),IF(INDEX('Cronograma R. Normativo'!$I$5:$I$1000,$N103)="","",INDEX('Cronograma R. Normativo'!$I$5:$I$1000,$N103))))</f>
        <v/>
      </c>
      <c r="I103" s="68">
        <f>IF($N103="","",IF($P103&gt;0,IF(4&lt;=SemanaActual,INDEX('Cronograma R. Normativo'!$AB$5:$AB$1000,$N103),""),IF(INDEX('Cronograma R. Normativo'!$J$5:$J$1000,$N103)="","",INDEX('Cronograma R. Normativo'!$J$5:$J$1000,$N103))))</f>
        <v/>
      </c>
      <c r="J103" s="68">
        <f>IF($N103="","",INDEX('Cronograma R. Normativo'!$K$5:$K$1000,$N103))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R. Normativo'!$M$5:$M$1000,$N103)&amp;"")</f>
        <v/>
      </c>
      <c r="M103" s="71">
        <f>IF($N103="","",INDEX('Cronograma R. Normativo'!$N$5:$N$1000,$N103)&amp;"")</f>
        <v/>
      </c>
      <c r="N103">
        <f>IFERROR(MATCH(ROW()-4,rOrden_RN,0),"")</f>
        <v/>
      </c>
      <c r="O103">
        <f>IF($N103="","",INDEX('Cronograma R. Normativo'!$S$5:$S$1000,$N103))</f>
        <v/>
      </c>
      <c r="P103">
        <f>IF($N103="","",N(INDEX('Cronograma R. Normativo'!$T$5:$T$1000,$N103)))</f>
        <v/>
      </c>
    </row>
    <row r="104">
      <c r="A104" s="62">
        <f>IF($N104="","",INDEX('Cronograma R. Normativo'!$A$5:$A$1000,$N104))</f>
        <v/>
      </c>
      <c r="B104" s="71">
        <f>IF($N104="","",IF($O104="Sub","      ↳  "&amp;INDEX('Cronograma R. Normativo'!$C$5:$C$1000,$N104),INDEX('Cronograma R. Normativo'!$C$5:$C$1000,$N104)&amp;""))</f>
        <v/>
      </c>
      <c r="C104" s="77">
        <f>IF($N104="","",IF(INDEX('Cronograma R. Normativo'!$D$5:$D$1000,$N104)="","",INDEX('Cronograma R. Normativo'!$D$5:$D$1000,$N104)))</f>
        <v/>
      </c>
      <c r="D104" s="77">
        <f>IF($N104="","",IF(INDEX('Cronograma R. Normativo'!$E$5:$E$1000,$N104)="","",INDEX('Cronograma R. Normativo'!$E$5:$E$1000,$N104)))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R. Normativo'!$Y$5:$Y$1000,$N104),""),IF(INDEX('Cronograma R. Normativo'!$G$5:$G$1000,$N104)="","",INDEX('Cronograma R. Normativo'!$G$5:$G$1000,$N104))))</f>
        <v/>
      </c>
      <c r="G104" s="68">
        <f>IF($N104="","",IF($P104&gt;0,IF(2&lt;=SemanaActual,INDEX('Cronograma R. Normativo'!$Z$5:$Z$1000,$N104),""),IF(INDEX('Cronograma R. Normativo'!$H$5:$H$1000,$N104)="","",INDEX('Cronograma R. Normativo'!$H$5:$H$1000,$N104))))</f>
        <v/>
      </c>
      <c r="H104" s="68">
        <f>IF($N104="","",IF($P104&gt;0,IF(3&lt;=SemanaActual,INDEX('Cronograma R. Normativo'!$AA$5:$AA$1000,$N104),""),IF(INDEX('Cronograma R. Normativo'!$I$5:$I$1000,$N104)="","",INDEX('Cronograma R. Normativo'!$I$5:$I$1000,$N104))))</f>
        <v/>
      </c>
      <c r="I104" s="68">
        <f>IF($N104="","",IF($P104&gt;0,IF(4&lt;=SemanaActual,INDEX('Cronograma R. Normativo'!$AB$5:$AB$1000,$N104),""),IF(INDEX('Cronograma R. Normativo'!$J$5:$J$1000,$N104)="","",INDEX('Cronograma R. Normativo'!$J$5:$J$1000,$N104))))</f>
        <v/>
      </c>
      <c r="J104" s="68">
        <f>IF($N104="","",INDEX('Cronograma R. Normativo'!$K$5:$K$1000,$N104))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R. Normativo'!$M$5:$M$1000,$N104)&amp;"")</f>
        <v/>
      </c>
      <c r="M104" s="71">
        <f>IF($N104="","",INDEX('Cronograma R. Normativo'!$N$5:$N$1000,$N104)&amp;"")</f>
        <v/>
      </c>
      <c r="N104">
        <f>IFERROR(MATCH(ROW()-4,rOrden_RN,0),"")</f>
        <v/>
      </c>
      <c r="O104">
        <f>IF($N104="","",INDEX('Cronograma R. Normativo'!$S$5:$S$1000,$N104))</f>
        <v/>
      </c>
      <c r="P104">
        <f>IF($N104="","",N(INDEX('Cronograma R. Normativo'!$T$5:$T$1000,$N104)))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0">
      <formula>AND(ISNUMBER($C5),ISNUMBER($D5),$C5&lt;=InicioCiclo+7*(COLUMN(F5)-6)+6,$D5&gt;=InicioCiclo+7*(COLUMN(F5)-6))</formula>
    </cfRule>
  </conditionalFormatting>
  <conditionalFormatting sqref="A5:B104">
    <cfRule type="expression" priority="3" dxfId="19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$L5="Cumplida"</formula>
    </cfRule>
    <cfRule type="expression" priority="11" dxfId="14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80" t="inlineStr">
        <is>
          <t>Cronograma – Riesgo Financiero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  <c r="N1" s="80" t="n"/>
      <c r="O1" s="80" t="n"/>
      <c r="P1" s="80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81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51" t="inlineStr">
        <is>
          <t>Tipo</t>
        </is>
      </c>
      <c r="C4" s="51" t="inlineStr">
        <is>
          <t>Actividad</t>
        </is>
      </c>
      <c r="D4" s="51" t="inlineStr">
        <is>
          <t>Fecha de inicio</t>
        </is>
      </c>
      <c r="E4" s="51" t="inlineStr">
        <is>
          <t>Fecha límite</t>
        </is>
      </c>
      <c r="F4" s="51" t="inlineStr">
        <is>
          <t>Peso de actividad (%)</t>
        </is>
      </c>
      <c r="G4" s="51" t="inlineStr">
        <is>
          <t>Avance Semana 1 (%)</t>
        </is>
      </c>
      <c r="H4" s="51" t="inlineStr">
        <is>
          <t>Avance Semana 2 (%)</t>
        </is>
      </c>
      <c r="I4" s="51" t="inlineStr">
        <is>
          <t>Avance Semana 3 (%)</t>
        </is>
      </c>
      <c r="J4" s="51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51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C1000">
    <cfRule type="expression" priority="6" dxfId="5" stopIfTrue="1">
      <formula>AND($S5="Macro",$C5="")</formula>
    </cfRule>
    <cfRule type="expression" priority="7" dxfId="21">
      <formula>$S5="Macro"</formula>
    </cfRule>
  </conditionalFormatting>
  <conditionalFormatting sqref="C5:C1000">
    <cfRule type="expression" priority="8" dxfId="13">
      <formula>$S5="Sub"</formula>
    </cfRule>
  </conditionalFormatting>
  <conditionalFormatting sqref="L5:L1000">
    <cfRule type="expression" priority="9" dxfId="0">
      <formula>$L5="Completado"</formula>
    </cfRule>
    <cfRule type="expression" priority="10" dxfId="4">
      <formula>$L5="En curso"</formula>
    </cfRule>
    <cfRule type="expression" priority="11" dxfId="5">
      <formula>$L5="Pendiente"</formula>
    </cfRule>
  </conditionalFormatting>
  <conditionalFormatting sqref="M5:M1000">
    <cfRule type="expression" priority="12" dxfId="8" stopIfTrue="1">
      <formula>LEFT($M5,7)="Vencida"</formula>
    </cfRule>
    <cfRule type="expression" priority="13" dxfId="9" stopIfTrue="1">
      <formula>LEFT($M5,5)="Vence"</formula>
    </cfRule>
    <cfRule type="expression" priority="14" dxfId="0" stopIfTrue="1">
      <formula>$M5="Cumplida"</formula>
    </cfRule>
    <cfRule type="expression" priority="15" dxfId="14" stopIfTrue="1">
      <formula>$M5="En plazo"</formula>
    </cfRule>
    <cfRule type="expression" priority="16" dxfId="5">
      <formula>$M5="Sin fecha límite"</formula>
    </cfRule>
  </conditionalFormatting>
  <conditionalFormatting sqref="K5:K1000">
    <cfRule type="expression" priority="17" dxfId="0">
      <formula>AND(ISNUMBER($K5),$K5&gt;=1)</formula>
    </cfRule>
    <cfRule type="dataBar" priority="18">
      <dataBar showValue="1">
        <cfvo type="num" val="0"/>
        <cfvo type="num" val="1"/>
        <color rgb="005B9BD5"/>
      </dataBar>
    </cfRule>
  </conditionalFormatting>
  <conditionalFormatting sqref="E5:E1000">
    <cfRule type="expression" priority="19" dxfId="6" stopIfTrue="1">
      <formula>AND(ISNUMBER($E5),$E5&lt;FechaRef,N($K5)&lt;1)</formula>
    </cfRule>
    <cfRule type="expression" priority="20" dxfId="7">
      <formula>AND(ISNUMBER($E5),$E5&gt;=FechaRef,$E5-FechaRef&lt;=DiasAlerta,N($K5)&lt;1)</formula>
    </cfRule>
  </conditionalFormatting>
  <conditionalFormatting sqref="D5:E1000">
    <cfRule type="expression" priority="21" dxfId="5" stopIfTrue="1">
      <formula>AND((COUNTA($B5:$J5)+COUNTA($N5))&gt;0,D5="")</formula>
    </cfRule>
    <cfRule type="expression" priority="22" dxfId="6">
      <formula>AND(ISNUMBER($D5),ISNUMBER($E5),$D5&gt;$E5)</formula>
    </cfRule>
  </conditionalFormatting>
  <conditionalFormatting sqref="F5:F1000">
    <cfRule type="expression" priority="23" dxfId="15" stopIfTrue="1">
      <formula>$S5="Sub"</formula>
    </cfRule>
    <cfRule type="expression" priority="24" dxfId="5" stopIfTrue="1">
      <formula>AND($S5="Macro",F5="")</formula>
    </cfRule>
    <cfRule type="expression" priority="25" dxfId="7">
      <formula>AND($S5="Macro",ABS(SUMIFS($F$5:$F$1000,$P$5:$P$1000,$P5,$S$5:$S$1000,"Macro")-1)&gt;0.0001)</formula>
    </cfRule>
  </conditionalFormatting>
  <conditionalFormatting sqref="G5:J1000">
    <cfRule type="expression" priority="26" dxfId="5" stopIfTrue="1">
      <formula>AND(N($T5)&gt;0,G5&lt;&gt;"")</formula>
    </cfRule>
    <cfRule type="expression" priority="27" dxfId="16" stopIfTrue="1">
      <formula>N($T5)&gt;0</formula>
    </cfRule>
    <cfRule type="expression" priority="28" dxfId="5" stopIfTrue="1">
      <formula>AND(G5&lt;&gt;"",OR(NOT(ISNUMBER(G5)),G5&gt;1,G5&lt;0))</formula>
    </cfRule>
  </conditionalFormatting>
  <conditionalFormatting sqref="H5:J1000">
    <cfRule type="expression" priority="29" dxfId="6">
      <formula>AND(H5&lt;&gt;"",H5&lt;MAX($G5:G5))</formula>
    </cfRule>
  </conditionalFormatting>
  <conditionalFormatting sqref="N5:N1000">
    <cfRule type="expression" priority="30" dxfId="5">
      <formula>AND(ObsObligatoria="Sí",ISNUMBER($E5),$E5&lt;FechaRef,N($K5)&lt;1,$N5="")</formula>
    </cfRule>
  </conditionalFormatting>
  <conditionalFormatting sqref="O5:O1000">
    <cfRule type="expression" priority="31" dxfId="5">
      <formula>LEFT($O5,1)="⚠"</formula>
    </cfRule>
    <cfRule type="expression" priority="32" dxfId="17">
      <formula>LEFT($O5,1)="✔"</formula>
    </cfRule>
  </conditionalFormatting>
  <conditionalFormatting sqref="P5:P1000">
    <cfRule type="expression" priority="33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80" t="inlineStr">
        <is>
          <t>Actividades del mes por semana – Riesgo Financiero</t>
        </is>
      </c>
      <c r="B1" s="80" t="n"/>
      <c r="C1" s="80" t="n"/>
      <c r="D1" s="80" t="n"/>
      <c r="E1" s="80" t="n"/>
      <c r="F1" s="80" t="n"/>
      <c r="G1" s="80" t="n"/>
      <c r="H1" s="80" t="n"/>
      <c r="I1" s="80" t="n"/>
      <c r="J1" s="80" t="n"/>
      <c r="K1" s="80" t="n"/>
      <c r="L1" s="80" t="n"/>
      <c r="M1" s="80" t="n"/>
    </row>
    <row r="2" ht="34" customHeight="1">
      <c r="A2" s="72" t="inlineStr">
        <is>
          <t>HOJA AUTOMÁTICA Y BLOQUEADA: muestra solo las actividades del mes indicado abajo, tomadas de «Cronograma R. Financiero».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51" t="inlineStr">
        <is>
          <t>Semana 1</t>
        </is>
      </c>
      <c r="G4" s="51" t="inlineStr">
        <is>
          <t>Semana 2</t>
        </is>
      </c>
      <c r="H4" s="51" t="inlineStr">
        <is>
          <t>Semana 3</t>
        </is>
      </c>
      <c r="I4" s="51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R. Financiero'!$A$5:$A$1000,$N5))</f>
        <v/>
      </c>
      <c r="B5" s="71">
        <f>IF($N5="","",IF($O5="Sub","      ↳  "&amp;INDEX('Cronograma R. Financiero'!$C$5:$C$1000,$N5),INDEX('Cronograma R. Financiero'!$C$5:$C$1000,$N5)&amp;""))</f>
        <v/>
      </c>
      <c r="C5" s="77">
        <f>IF($N5="","",IF(INDEX('Cronograma R. Financiero'!$D$5:$D$1000,$N5)="","",INDEX('Cronograma R. Financiero'!$D$5:$D$1000,$N5)))</f>
        <v/>
      </c>
      <c r="D5" s="77">
        <f>IF($N5="","",IF(INDEX('Cronograma R. Financiero'!$E$5:$E$1000,$N5)="","",INDEX('Cronograma R. Financiero'!$E$5:$E$1000,$N5)))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R. Financiero'!$Y$5:$Y$1000,$N5),""),IF(INDEX('Cronograma R. Financiero'!$G$5:$G$1000,$N5)="","",INDEX('Cronograma R. Financiero'!$G$5:$G$1000,$N5))))</f>
        <v/>
      </c>
      <c r="G5" s="68">
        <f>IF($N5="","",IF($P5&gt;0,IF(2&lt;=SemanaActual,INDEX('Cronograma R. Financiero'!$Z$5:$Z$1000,$N5),""),IF(INDEX('Cronograma R. Financiero'!$H$5:$H$1000,$N5)="","",INDEX('Cronograma R. Financiero'!$H$5:$H$1000,$N5))))</f>
        <v/>
      </c>
      <c r="H5" s="68">
        <f>IF($N5="","",IF($P5&gt;0,IF(3&lt;=SemanaActual,INDEX('Cronograma R. Financiero'!$AA$5:$AA$1000,$N5),""),IF(INDEX('Cronograma R. Financiero'!$I$5:$I$1000,$N5)="","",INDEX('Cronograma R. Financiero'!$I$5:$I$1000,$N5))))</f>
        <v/>
      </c>
      <c r="I5" s="68">
        <f>IF($N5="","",IF($P5&gt;0,IF(4&lt;=SemanaActual,INDEX('Cronograma R. Financiero'!$AB$5:$AB$1000,$N5),""),IF(INDEX('Cronograma R. Financiero'!$J$5:$J$1000,$N5)="","",INDEX('Cronograma R. Financiero'!$J$5:$J$1000,$N5))))</f>
        <v/>
      </c>
      <c r="J5" s="68">
        <f>IF($N5="","",INDEX('Cronograma R. Financiero'!$K$5:$K$1000,$N5))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R. Financiero'!$M$5:$M$1000,$N5)&amp;"")</f>
        <v/>
      </c>
      <c r="M5" s="71">
        <f>IF($N5="","",INDEX('Cronograma R. Financiero'!$N$5:$N$1000,$N5)&amp;"")</f>
        <v/>
      </c>
      <c r="N5">
        <f>IFERROR(MATCH(ROW()-4,rOrden_RF,0),"")</f>
        <v/>
      </c>
      <c r="O5">
        <f>IF($N5="","",INDEX('Cronograma R. Financiero'!$S$5:$S$1000,$N5))</f>
        <v/>
      </c>
      <c r="P5">
        <f>IF($N5="","",N(INDEX('Cronograma R. Financiero'!$T$5:$T$1000,$N5)))</f>
        <v/>
      </c>
    </row>
    <row r="6">
      <c r="A6" s="62">
        <f>IF($N6="","",INDEX('Cronograma R. Financiero'!$A$5:$A$1000,$N6))</f>
        <v/>
      </c>
      <c r="B6" s="71">
        <f>IF($N6="","",IF($O6="Sub","      ↳  "&amp;INDEX('Cronograma R. Financiero'!$C$5:$C$1000,$N6),INDEX('Cronograma R. Financiero'!$C$5:$C$1000,$N6)&amp;""))</f>
        <v/>
      </c>
      <c r="C6" s="77">
        <f>IF($N6="","",IF(INDEX('Cronograma R. Financiero'!$D$5:$D$1000,$N6)="","",INDEX('Cronograma R. Financiero'!$D$5:$D$1000,$N6)))</f>
        <v/>
      </c>
      <c r="D6" s="77">
        <f>IF($N6="","",IF(INDEX('Cronograma R. Financiero'!$E$5:$E$1000,$N6)="","",INDEX('Cronograma R. Financiero'!$E$5:$E$1000,$N6)))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R. Financiero'!$Y$5:$Y$1000,$N6),""),IF(INDEX('Cronograma R. Financiero'!$G$5:$G$1000,$N6)="","",INDEX('Cronograma R. Financiero'!$G$5:$G$1000,$N6))))</f>
        <v/>
      </c>
      <c r="G6" s="68">
        <f>IF($N6="","",IF($P6&gt;0,IF(2&lt;=SemanaActual,INDEX('Cronograma R. Financiero'!$Z$5:$Z$1000,$N6),""),IF(INDEX('Cronograma R. Financiero'!$H$5:$H$1000,$N6)="","",INDEX('Cronograma R. Financiero'!$H$5:$H$1000,$N6))))</f>
        <v/>
      </c>
      <c r="H6" s="68">
        <f>IF($N6="","",IF($P6&gt;0,IF(3&lt;=SemanaActual,INDEX('Cronograma R. Financiero'!$AA$5:$AA$1000,$N6),""),IF(INDEX('Cronograma R. Financiero'!$I$5:$I$1000,$N6)="","",INDEX('Cronograma R. Financiero'!$I$5:$I$1000,$N6))))</f>
        <v/>
      </c>
      <c r="I6" s="68">
        <f>IF($N6="","",IF($P6&gt;0,IF(4&lt;=SemanaActual,INDEX('Cronograma R. Financiero'!$AB$5:$AB$1000,$N6),""),IF(INDEX('Cronograma R. Financiero'!$J$5:$J$1000,$N6)="","",INDEX('Cronograma R. Financiero'!$J$5:$J$1000,$N6))))</f>
        <v/>
      </c>
      <c r="J6" s="68">
        <f>IF($N6="","",INDEX('Cronograma R. Financiero'!$K$5:$K$1000,$N6))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R. Financiero'!$M$5:$M$1000,$N6)&amp;"")</f>
        <v/>
      </c>
      <c r="M6" s="71">
        <f>IF($N6="","",INDEX('Cronograma R. Financiero'!$N$5:$N$1000,$N6)&amp;"")</f>
        <v/>
      </c>
      <c r="N6">
        <f>IFERROR(MATCH(ROW()-4,rOrden_RF,0),"")</f>
        <v/>
      </c>
      <c r="O6">
        <f>IF($N6="","",INDEX('Cronograma R. Financiero'!$S$5:$S$1000,$N6))</f>
        <v/>
      </c>
      <c r="P6">
        <f>IF($N6="","",N(INDEX('Cronograma R. Financiero'!$T$5:$T$1000,$N6)))</f>
        <v/>
      </c>
    </row>
    <row r="7">
      <c r="A7" s="62">
        <f>IF($N7="","",INDEX('Cronograma R. Financiero'!$A$5:$A$1000,$N7))</f>
        <v/>
      </c>
      <c r="B7" s="71">
        <f>IF($N7="","",IF($O7="Sub","      ↳  "&amp;INDEX('Cronograma R. Financiero'!$C$5:$C$1000,$N7),INDEX('Cronograma R. Financiero'!$C$5:$C$1000,$N7)&amp;""))</f>
        <v/>
      </c>
      <c r="C7" s="77">
        <f>IF($N7="","",IF(INDEX('Cronograma R. Financiero'!$D$5:$D$1000,$N7)="","",INDEX('Cronograma R. Financiero'!$D$5:$D$1000,$N7)))</f>
        <v/>
      </c>
      <c r="D7" s="77">
        <f>IF($N7="","",IF(INDEX('Cronograma R. Financiero'!$E$5:$E$1000,$N7)="","",INDEX('Cronograma R. Financiero'!$E$5:$E$1000,$N7)))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R. Financiero'!$Y$5:$Y$1000,$N7),""),IF(INDEX('Cronograma R. Financiero'!$G$5:$G$1000,$N7)="","",INDEX('Cronograma R. Financiero'!$G$5:$G$1000,$N7))))</f>
        <v/>
      </c>
      <c r="G7" s="68">
        <f>IF($N7="","",IF($P7&gt;0,IF(2&lt;=SemanaActual,INDEX('Cronograma R. Financiero'!$Z$5:$Z$1000,$N7),""),IF(INDEX('Cronograma R. Financiero'!$H$5:$H$1000,$N7)="","",INDEX('Cronograma R. Financiero'!$H$5:$H$1000,$N7))))</f>
        <v/>
      </c>
      <c r="H7" s="68">
        <f>IF($N7="","",IF($P7&gt;0,IF(3&lt;=SemanaActual,INDEX('Cronograma R. Financiero'!$AA$5:$AA$1000,$N7),""),IF(INDEX('Cronograma R. Financiero'!$I$5:$I$1000,$N7)="","",INDEX('Cronograma R. Financiero'!$I$5:$I$1000,$N7))))</f>
        <v/>
      </c>
      <c r="I7" s="68">
        <f>IF($N7="","",IF($P7&gt;0,IF(4&lt;=SemanaActual,INDEX('Cronograma R. Financiero'!$AB$5:$AB$1000,$N7),""),IF(INDEX('Cronograma R. Financiero'!$J$5:$J$1000,$N7)="","",INDEX('Cronograma R. Financiero'!$J$5:$J$1000,$N7))))</f>
        <v/>
      </c>
      <c r="J7" s="68">
        <f>IF($N7="","",INDEX('Cronograma R. Financiero'!$K$5:$K$1000,$N7))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R. Financiero'!$M$5:$M$1000,$N7)&amp;"")</f>
        <v/>
      </c>
      <c r="M7" s="71">
        <f>IF($N7="","",INDEX('Cronograma R. Financiero'!$N$5:$N$1000,$N7)&amp;"")</f>
        <v/>
      </c>
      <c r="N7">
        <f>IFERROR(MATCH(ROW()-4,rOrden_RF,0),"")</f>
        <v/>
      </c>
      <c r="O7">
        <f>IF($N7="","",INDEX('Cronograma R. Financiero'!$S$5:$S$1000,$N7))</f>
        <v/>
      </c>
      <c r="P7">
        <f>IF($N7="","",N(INDEX('Cronograma R. Financiero'!$T$5:$T$1000,$N7)))</f>
        <v/>
      </c>
    </row>
    <row r="8">
      <c r="A8" s="62">
        <f>IF($N8="","",INDEX('Cronograma R. Financiero'!$A$5:$A$1000,$N8))</f>
        <v/>
      </c>
      <c r="B8" s="71">
        <f>IF($N8="","",IF($O8="Sub","      ↳  "&amp;INDEX('Cronograma R. Financiero'!$C$5:$C$1000,$N8),INDEX('Cronograma R. Financiero'!$C$5:$C$1000,$N8)&amp;""))</f>
        <v/>
      </c>
      <c r="C8" s="77">
        <f>IF($N8="","",IF(INDEX('Cronograma R. Financiero'!$D$5:$D$1000,$N8)="","",INDEX('Cronograma R. Financiero'!$D$5:$D$1000,$N8)))</f>
        <v/>
      </c>
      <c r="D8" s="77">
        <f>IF($N8="","",IF(INDEX('Cronograma R. Financiero'!$E$5:$E$1000,$N8)="","",INDEX('Cronograma R. Financiero'!$E$5:$E$1000,$N8)))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R. Financiero'!$Y$5:$Y$1000,$N8),""),IF(INDEX('Cronograma R. Financiero'!$G$5:$G$1000,$N8)="","",INDEX('Cronograma R. Financiero'!$G$5:$G$1000,$N8))))</f>
        <v/>
      </c>
      <c r="G8" s="68">
        <f>IF($N8="","",IF($P8&gt;0,IF(2&lt;=SemanaActual,INDEX('Cronograma R. Financiero'!$Z$5:$Z$1000,$N8),""),IF(INDEX('Cronograma R. Financiero'!$H$5:$H$1000,$N8)="","",INDEX('Cronograma R. Financiero'!$H$5:$H$1000,$N8))))</f>
        <v/>
      </c>
      <c r="H8" s="68">
        <f>IF($N8="","",IF($P8&gt;0,IF(3&lt;=SemanaActual,INDEX('Cronograma R. Financiero'!$AA$5:$AA$1000,$N8),""),IF(INDEX('Cronograma R. Financiero'!$I$5:$I$1000,$N8)="","",INDEX('Cronograma R. Financiero'!$I$5:$I$1000,$N8))))</f>
        <v/>
      </c>
      <c r="I8" s="68">
        <f>IF($N8="","",IF($P8&gt;0,IF(4&lt;=SemanaActual,INDEX('Cronograma R. Financiero'!$AB$5:$AB$1000,$N8),""),IF(INDEX('Cronograma R. Financiero'!$J$5:$J$1000,$N8)="","",INDEX('Cronograma R. Financiero'!$J$5:$J$1000,$N8))))</f>
        <v/>
      </c>
      <c r="J8" s="68">
        <f>IF($N8="","",INDEX('Cronograma R. Financiero'!$K$5:$K$1000,$N8))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R. Financiero'!$M$5:$M$1000,$N8)&amp;"")</f>
        <v/>
      </c>
      <c r="M8" s="71">
        <f>IF($N8="","",INDEX('Cronograma R. Financiero'!$N$5:$N$1000,$N8)&amp;"")</f>
        <v/>
      </c>
      <c r="N8">
        <f>IFERROR(MATCH(ROW()-4,rOrden_RF,0),"")</f>
        <v/>
      </c>
      <c r="O8">
        <f>IF($N8="","",INDEX('Cronograma R. Financiero'!$S$5:$S$1000,$N8))</f>
        <v/>
      </c>
      <c r="P8">
        <f>IF($N8="","",N(INDEX('Cronograma R. Financiero'!$T$5:$T$1000,$N8)))</f>
        <v/>
      </c>
    </row>
    <row r="9">
      <c r="A9" s="62">
        <f>IF($N9="","",INDEX('Cronograma R. Financiero'!$A$5:$A$1000,$N9))</f>
        <v/>
      </c>
      <c r="B9" s="71">
        <f>IF($N9="","",IF($O9="Sub","      ↳  "&amp;INDEX('Cronograma R. Financiero'!$C$5:$C$1000,$N9),INDEX('Cronograma R. Financiero'!$C$5:$C$1000,$N9)&amp;""))</f>
        <v/>
      </c>
      <c r="C9" s="77">
        <f>IF($N9="","",IF(INDEX('Cronograma R. Financiero'!$D$5:$D$1000,$N9)="","",INDEX('Cronograma R. Financiero'!$D$5:$D$1000,$N9)))</f>
        <v/>
      </c>
      <c r="D9" s="77">
        <f>IF($N9="","",IF(INDEX('Cronograma R. Financiero'!$E$5:$E$1000,$N9)="","",INDEX('Cronograma R. Financiero'!$E$5:$E$1000,$N9)))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R. Financiero'!$Y$5:$Y$1000,$N9),""),IF(INDEX('Cronograma R. Financiero'!$G$5:$G$1000,$N9)="","",INDEX('Cronograma R. Financiero'!$G$5:$G$1000,$N9))))</f>
        <v/>
      </c>
      <c r="G9" s="68">
        <f>IF($N9="","",IF($P9&gt;0,IF(2&lt;=SemanaActual,INDEX('Cronograma R. Financiero'!$Z$5:$Z$1000,$N9),""),IF(INDEX('Cronograma R. Financiero'!$H$5:$H$1000,$N9)="","",INDEX('Cronograma R. Financiero'!$H$5:$H$1000,$N9))))</f>
        <v/>
      </c>
      <c r="H9" s="68">
        <f>IF($N9="","",IF($P9&gt;0,IF(3&lt;=SemanaActual,INDEX('Cronograma R. Financiero'!$AA$5:$AA$1000,$N9),""),IF(INDEX('Cronograma R. Financiero'!$I$5:$I$1000,$N9)="","",INDEX('Cronograma R. Financiero'!$I$5:$I$1000,$N9))))</f>
        <v/>
      </c>
      <c r="I9" s="68">
        <f>IF($N9="","",IF($P9&gt;0,IF(4&lt;=SemanaActual,INDEX('Cronograma R. Financiero'!$AB$5:$AB$1000,$N9),""),IF(INDEX('Cronograma R. Financiero'!$J$5:$J$1000,$N9)="","",INDEX('Cronograma R. Financiero'!$J$5:$J$1000,$N9))))</f>
        <v/>
      </c>
      <c r="J9" s="68">
        <f>IF($N9="","",INDEX('Cronograma R. Financiero'!$K$5:$K$1000,$N9))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R. Financiero'!$M$5:$M$1000,$N9)&amp;"")</f>
        <v/>
      </c>
      <c r="M9" s="71">
        <f>IF($N9="","",INDEX('Cronograma R. Financiero'!$N$5:$N$1000,$N9)&amp;"")</f>
        <v/>
      </c>
      <c r="N9">
        <f>IFERROR(MATCH(ROW()-4,rOrden_RF,0),"")</f>
        <v/>
      </c>
      <c r="O9">
        <f>IF($N9="","",INDEX('Cronograma R. Financiero'!$S$5:$S$1000,$N9))</f>
        <v/>
      </c>
      <c r="P9">
        <f>IF($N9="","",N(INDEX('Cronograma R. Financiero'!$T$5:$T$1000,$N9)))</f>
        <v/>
      </c>
    </row>
    <row r="10">
      <c r="A10" s="62">
        <f>IF($N10="","",INDEX('Cronograma R. Financiero'!$A$5:$A$1000,$N10))</f>
        <v/>
      </c>
      <c r="B10" s="71">
        <f>IF($N10="","",IF($O10="Sub","      ↳  "&amp;INDEX('Cronograma R. Financiero'!$C$5:$C$1000,$N10),INDEX('Cronograma R. Financiero'!$C$5:$C$1000,$N10)&amp;""))</f>
        <v/>
      </c>
      <c r="C10" s="77">
        <f>IF($N10="","",IF(INDEX('Cronograma R. Financiero'!$D$5:$D$1000,$N10)="","",INDEX('Cronograma R. Financiero'!$D$5:$D$1000,$N10)))</f>
        <v/>
      </c>
      <c r="D10" s="77">
        <f>IF($N10="","",IF(INDEX('Cronograma R. Financiero'!$E$5:$E$1000,$N10)="","",INDEX('Cronograma R. Financiero'!$E$5:$E$1000,$N10)))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R. Financiero'!$Y$5:$Y$1000,$N10),""),IF(INDEX('Cronograma R. Financiero'!$G$5:$G$1000,$N10)="","",INDEX('Cronograma R. Financiero'!$G$5:$G$1000,$N10))))</f>
        <v/>
      </c>
      <c r="G10" s="68">
        <f>IF($N10="","",IF($P10&gt;0,IF(2&lt;=SemanaActual,INDEX('Cronograma R. Financiero'!$Z$5:$Z$1000,$N10),""),IF(INDEX('Cronograma R. Financiero'!$H$5:$H$1000,$N10)="","",INDEX('Cronograma R. Financiero'!$H$5:$H$1000,$N10))))</f>
        <v/>
      </c>
      <c r="H10" s="68">
        <f>IF($N10="","",IF($P10&gt;0,IF(3&lt;=SemanaActual,INDEX('Cronograma R. Financiero'!$AA$5:$AA$1000,$N10),""),IF(INDEX('Cronograma R. Financiero'!$I$5:$I$1000,$N10)="","",INDEX('Cronograma R. Financiero'!$I$5:$I$1000,$N10))))</f>
        <v/>
      </c>
      <c r="I10" s="68">
        <f>IF($N10="","",IF($P10&gt;0,IF(4&lt;=SemanaActual,INDEX('Cronograma R. Financiero'!$AB$5:$AB$1000,$N10),""),IF(INDEX('Cronograma R. Financiero'!$J$5:$J$1000,$N10)="","",INDEX('Cronograma R. Financiero'!$J$5:$J$1000,$N10))))</f>
        <v/>
      </c>
      <c r="J10" s="68">
        <f>IF($N10="","",INDEX('Cronograma R. Financiero'!$K$5:$K$1000,$N10))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R. Financiero'!$M$5:$M$1000,$N10)&amp;"")</f>
        <v/>
      </c>
      <c r="M10" s="71">
        <f>IF($N10="","",INDEX('Cronograma R. Financiero'!$N$5:$N$1000,$N10)&amp;"")</f>
        <v/>
      </c>
      <c r="N10">
        <f>IFERROR(MATCH(ROW()-4,rOrden_RF,0),"")</f>
        <v/>
      </c>
      <c r="O10">
        <f>IF($N10="","",INDEX('Cronograma R. Financiero'!$S$5:$S$1000,$N10))</f>
        <v/>
      </c>
      <c r="P10">
        <f>IF($N10="","",N(INDEX('Cronograma R. Financiero'!$T$5:$T$1000,$N10)))</f>
        <v/>
      </c>
    </row>
    <row r="11">
      <c r="A11" s="62">
        <f>IF($N11="","",INDEX('Cronograma R. Financiero'!$A$5:$A$1000,$N11))</f>
        <v/>
      </c>
      <c r="B11" s="71">
        <f>IF($N11="","",IF($O11="Sub","      ↳  "&amp;INDEX('Cronograma R. Financiero'!$C$5:$C$1000,$N11),INDEX('Cronograma R. Financiero'!$C$5:$C$1000,$N11)&amp;""))</f>
        <v/>
      </c>
      <c r="C11" s="77">
        <f>IF($N11="","",IF(INDEX('Cronograma R. Financiero'!$D$5:$D$1000,$N11)="","",INDEX('Cronograma R. Financiero'!$D$5:$D$1000,$N11)))</f>
        <v/>
      </c>
      <c r="D11" s="77">
        <f>IF($N11="","",IF(INDEX('Cronograma R. Financiero'!$E$5:$E$1000,$N11)="","",INDEX('Cronograma R. Financiero'!$E$5:$E$1000,$N11)))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R. Financiero'!$Y$5:$Y$1000,$N11),""),IF(INDEX('Cronograma R. Financiero'!$G$5:$G$1000,$N11)="","",INDEX('Cronograma R. Financiero'!$G$5:$G$1000,$N11))))</f>
        <v/>
      </c>
      <c r="G11" s="68">
        <f>IF($N11="","",IF($P11&gt;0,IF(2&lt;=SemanaActual,INDEX('Cronograma R. Financiero'!$Z$5:$Z$1000,$N11),""),IF(INDEX('Cronograma R. Financiero'!$H$5:$H$1000,$N11)="","",INDEX('Cronograma R. Financiero'!$H$5:$H$1000,$N11))))</f>
        <v/>
      </c>
      <c r="H11" s="68">
        <f>IF($N11="","",IF($P11&gt;0,IF(3&lt;=SemanaActual,INDEX('Cronograma R. Financiero'!$AA$5:$AA$1000,$N11),""),IF(INDEX('Cronograma R. Financiero'!$I$5:$I$1000,$N11)="","",INDEX('Cronograma R. Financiero'!$I$5:$I$1000,$N11))))</f>
        <v/>
      </c>
      <c r="I11" s="68">
        <f>IF($N11="","",IF($P11&gt;0,IF(4&lt;=SemanaActual,INDEX('Cronograma R. Financiero'!$AB$5:$AB$1000,$N11),""),IF(INDEX('Cronograma R. Financiero'!$J$5:$J$1000,$N11)="","",INDEX('Cronograma R. Financiero'!$J$5:$J$1000,$N11))))</f>
        <v/>
      </c>
      <c r="J11" s="68">
        <f>IF($N11="","",INDEX('Cronograma R. Financiero'!$K$5:$K$1000,$N11))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R. Financiero'!$M$5:$M$1000,$N11)&amp;"")</f>
        <v/>
      </c>
      <c r="M11" s="71">
        <f>IF($N11="","",INDEX('Cronograma R. Financiero'!$N$5:$N$1000,$N11)&amp;"")</f>
        <v/>
      </c>
      <c r="N11">
        <f>IFERROR(MATCH(ROW()-4,rOrden_RF,0),"")</f>
        <v/>
      </c>
      <c r="O11">
        <f>IF($N11="","",INDEX('Cronograma R. Financiero'!$S$5:$S$1000,$N11))</f>
        <v/>
      </c>
      <c r="P11">
        <f>IF($N11="","",N(INDEX('Cronograma R. Financiero'!$T$5:$T$1000,$N11)))</f>
        <v/>
      </c>
    </row>
    <row r="12">
      <c r="A12" s="62">
        <f>IF($N12="","",INDEX('Cronograma R. Financiero'!$A$5:$A$1000,$N12))</f>
        <v/>
      </c>
      <c r="B12" s="71">
        <f>IF($N12="","",IF($O12="Sub","      ↳  "&amp;INDEX('Cronograma R. Financiero'!$C$5:$C$1000,$N12),INDEX('Cronograma R. Financiero'!$C$5:$C$1000,$N12)&amp;""))</f>
        <v/>
      </c>
      <c r="C12" s="77">
        <f>IF($N12="","",IF(INDEX('Cronograma R. Financiero'!$D$5:$D$1000,$N12)="","",INDEX('Cronograma R. Financiero'!$D$5:$D$1000,$N12)))</f>
        <v/>
      </c>
      <c r="D12" s="77">
        <f>IF($N12="","",IF(INDEX('Cronograma R. Financiero'!$E$5:$E$1000,$N12)="","",INDEX('Cronograma R. Financiero'!$E$5:$E$1000,$N12)))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R. Financiero'!$Y$5:$Y$1000,$N12),""),IF(INDEX('Cronograma R. Financiero'!$G$5:$G$1000,$N12)="","",INDEX('Cronograma R. Financiero'!$G$5:$G$1000,$N12))))</f>
        <v/>
      </c>
      <c r="G12" s="68">
        <f>IF($N12="","",IF($P12&gt;0,IF(2&lt;=SemanaActual,INDEX('Cronograma R. Financiero'!$Z$5:$Z$1000,$N12),""),IF(INDEX('Cronograma R. Financiero'!$H$5:$H$1000,$N12)="","",INDEX('Cronograma R. Financiero'!$H$5:$H$1000,$N12))))</f>
        <v/>
      </c>
      <c r="H12" s="68">
        <f>IF($N12="","",IF($P12&gt;0,IF(3&lt;=SemanaActual,INDEX('Cronograma R. Financiero'!$AA$5:$AA$1000,$N12),""),IF(INDEX('Cronograma R. Financiero'!$I$5:$I$1000,$N12)="","",INDEX('Cronograma R. Financiero'!$I$5:$I$1000,$N12))))</f>
        <v/>
      </c>
      <c r="I12" s="68">
        <f>IF($N12="","",IF($P12&gt;0,IF(4&lt;=SemanaActual,INDEX('Cronograma R. Financiero'!$AB$5:$AB$1000,$N12),""),IF(INDEX('Cronograma R. Financiero'!$J$5:$J$1000,$N12)="","",INDEX('Cronograma R. Financiero'!$J$5:$J$1000,$N12))))</f>
        <v/>
      </c>
      <c r="J12" s="68">
        <f>IF($N12="","",INDEX('Cronograma R. Financiero'!$K$5:$K$1000,$N12))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R. Financiero'!$M$5:$M$1000,$N12)&amp;"")</f>
        <v/>
      </c>
      <c r="M12" s="71">
        <f>IF($N12="","",INDEX('Cronograma R. Financiero'!$N$5:$N$1000,$N12)&amp;"")</f>
        <v/>
      </c>
      <c r="N12">
        <f>IFERROR(MATCH(ROW()-4,rOrden_RF,0),"")</f>
        <v/>
      </c>
      <c r="O12">
        <f>IF($N12="","",INDEX('Cronograma R. Financiero'!$S$5:$S$1000,$N12))</f>
        <v/>
      </c>
      <c r="P12">
        <f>IF($N12="","",N(INDEX('Cronograma R. Financiero'!$T$5:$T$1000,$N12)))</f>
        <v/>
      </c>
    </row>
    <row r="13">
      <c r="A13" s="62">
        <f>IF($N13="","",INDEX('Cronograma R. Financiero'!$A$5:$A$1000,$N13))</f>
        <v/>
      </c>
      <c r="B13" s="71">
        <f>IF($N13="","",IF($O13="Sub","      ↳  "&amp;INDEX('Cronograma R. Financiero'!$C$5:$C$1000,$N13),INDEX('Cronograma R. Financiero'!$C$5:$C$1000,$N13)&amp;""))</f>
        <v/>
      </c>
      <c r="C13" s="77">
        <f>IF($N13="","",IF(INDEX('Cronograma R. Financiero'!$D$5:$D$1000,$N13)="","",INDEX('Cronograma R. Financiero'!$D$5:$D$1000,$N13)))</f>
        <v/>
      </c>
      <c r="D13" s="77">
        <f>IF($N13="","",IF(INDEX('Cronograma R. Financiero'!$E$5:$E$1000,$N13)="","",INDEX('Cronograma R. Financiero'!$E$5:$E$1000,$N13)))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R. Financiero'!$Y$5:$Y$1000,$N13),""),IF(INDEX('Cronograma R. Financiero'!$G$5:$G$1000,$N13)="","",INDEX('Cronograma R. Financiero'!$G$5:$G$1000,$N13))))</f>
        <v/>
      </c>
      <c r="G13" s="68">
        <f>IF($N13="","",IF($P13&gt;0,IF(2&lt;=SemanaActual,INDEX('Cronograma R. Financiero'!$Z$5:$Z$1000,$N13),""),IF(INDEX('Cronograma R. Financiero'!$H$5:$H$1000,$N13)="","",INDEX('Cronograma R. Financiero'!$H$5:$H$1000,$N13))))</f>
        <v/>
      </c>
      <c r="H13" s="68">
        <f>IF($N13="","",IF($P13&gt;0,IF(3&lt;=SemanaActual,INDEX('Cronograma R. Financiero'!$AA$5:$AA$1000,$N13),""),IF(INDEX('Cronograma R. Financiero'!$I$5:$I$1000,$N13)="","",INDEX('Cronograma R. Financiero'!$I$5:$I$1000,$N13))))</f>
        <v/>
      </c>
      <c r="I13" s="68">
        <f>IF($N13="","",IF($P13&gt;0,IF(4&lt;=SemanaActual,INDEX('Cronograma R. Financiero'!$AB$5:$AB$1000,$N13),""),IF(INDEX('Cronograma R. Financiero'!$J$5:$J$1000,$N13)="","",INDEX('Cronograma R. Financiero'!$J$5:$J$1000,$N13))))</f>
        <v/>
      </c>
      <c r="J13" s="68">
        <f>IF($N13="","",INDEX('Cronograma R. Financiero'!$K$5:$K$1000,$N13))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R. Financiero'!$M$5:$M$1000,$N13)&amp;"")</f>
        <v/>
      </c>
      <c r="M13" s="71">
        <f>IF($N13="","",INDEX('Cronograma R. Financiero'!$N$5:$N$1000,$N13)&amp;"")</f>
        <v/>
      </c>
      <c r="N13">
        <f>IFERROR(MATCH(ROW()-4,rOrden_RF,0),"")</f>
        <v/>
      </c>
      <c r="O13">
        <f>IF($N13="","",INDEX('Cronograma R. Financiero'!$S$5:$S$1000,$N13))</f>
        <v/>
      </c>
      <c r="P13">
        <f>IF($N13="","",N(INDEX('Cronograma R. Financiero'!$T$5:$T$1000,$N13)))</f>
        <v/>
      </c>
    </row>
    <row r="14">
      <c r="A14" s="62">
        <f>IF($N14="","",INDEX('Cronograma R. Financiero'!$A$5:$A$1000,$N14))</f>
        <v/>
      </c>
      <c r="B14" s="71">
        <f>IF($N14="","",IF($O14="Sub","      ↳  "&amp;INDEX('Cronograma R. Financiero'!$C$5:$C$1000,$N14),INDEX('Cronograma R. Financiero'!$C$5:$C$1000,$N14)&amp;""))</f>
        <v/>
      </c>
      <c r="C14" s="77">
        <f>IF($N14="","",IF(INDEX('Cronograma R. Financiero'!$D$5:$D$1000,$N14)="","",INDEX('Cronograma R. Financiero'!$D$5:$D$1000,$N14)))</f>
        <v/>
      </c>
      <c r="D14" s="77">
        <f>IF($N14="","",IF(INDEX('Cronograma R. Financiero'!$E$5:$E$1000,$N14)="","",INDEX('Cronograma R. Financiero'!$E$5:$E$1000,$N14)))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R. Financiero'!$Y$5:$Y$1000,$N14),""),IF(INDEX('Cronograma R. Financiero'!$G$5:$G$1000,$N14)="","",INDEX('Cronograma R. Financiero'!$G$5:$G$1000,$N14))))</f>
        <v/>
      </c>
      <c r="G14" s="68">
        <f>IF($N14="","",IF($P14&gt;0,IF(2&lt;=SemanaActual,INDEX('Cronograma R. Financiero'!$Z$5:$Z$1000,$N14),""),IF(INDEX('Cronograma R. Financiero'!$H$5:$H$1000,$N14)="","",INDEX('Cronograma R. Financiero'!$H$5:$H$1000,$N14))))</f>
        <v/>
      </c>
      <c r="H14" s="68">
        <f>IF($N14="","",IF($P14&gt;0,IF(3&lt;=SemanaActual,INDEX('Cronograma R. Financiero'!$AA$5:$AA$1000,$N14),""),IF(INDEX('Cronograma R. Financiero'!$I$5:$I$1000,$N14)="","",INDEX('Cronograma R. Financiero'!$I$5:$I$1000,$N14))))</f>
        <v/>
      </c>
      <c r="I14" s="68">
        <f>IF($N14="","",IF($P14&gt;0,IF(4&lt;=SemanaActual,INDEX('Cronograma R. Financiero'!$AB$5:$AB$1000,$N14),""),IF(INDEX('Cronograma R. Financiero'!$J$5:$J$1000,$N14)="","",INDEX('Cronograma R. Financiero'!$J$5:$J$1000,$N14))))</f>
        <v/>
      </c>
      <c r="J14" s="68">
        <f>IF($N14="","",INDEX('Cronograma R. Financiero'!$K$5:$K$1000,$N14))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R. Financiero'!$M$5:$M$1000,$N14)&amp;"")</f>
        <v/>
      </c>
      <c r="M14" s="71">
        <f>IF($N14="","",INDEX('Cronograma R. Financiero'!$N$5:$N$1000,$N14)&amp;"")</f>
        <v/>
      </c>
      <c r="N14">
        <f>IFERROR(MATCH(ROW()-4,rOrden_RF,0),"")</f>
        <v/>
      </c>
      <c r="O14">
        <f>IF($N14="","",INDEX('Cronograma R. Financiero'!$S$5:$S$1000,$N14))</f>
        <v/>
      </c>
      <c r="P14">
        <f>IF($N14="","",N(INDEX('Cronograma R. Financiero'!$T$5:$T$1000,$N14)))</f>
        <v/>
      </c>
    </row>
    <row r="15">
      <c r="A15" s="62">
        <f>IF($N15="","",INDEX('Cronograma R. Financiero'!$A$5:$A$1000,$N15))</f>
        <v/>
      </c>
      <c r="B15" s="71">
        <f>IF($N15="","",IF($O15="Sub","      ↳  "&amp;INDEX('Cronograma R. Financiero'!$C$5:$C$1000,$N15),INDEX('Cronograma R. Financiero'!$C$5:$C$1000,$N15)&amp;""))</f>
        <v/>
      </c>
      <c r="C15" s="77">
        <f>IF($N15="","",IF(INDEX('Cronograma R. Financiero'!$D$5:$D$1000,$N15)="","",INDEX('Cronograma R. Financiero'!$D$5:$D$1000,$N15)))</f>
        <v/>
      </c>
      <c r="D15" s="77">
        <f>IF($N15="","",IF(INDEX('Cronograma R. Financiero'!$E$5:$E$1000,$N15)="","",INDEX('Cronograma R. Financiero'!$E$5:$E$1000,$N15)))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R. Financiero'!$Y$5:$Y$1000,$N15),""),IF(INDEX('Cronograma R. Financiero'!$G$5:$G$1000,$N15)="","",INDEX('Cronograma R. Financiero'!$G$5:$G$1000,$N15))))</f>
        <v/>
      </c>
      <c r="G15" s="68">
        <f>IF($N15="","",IF($P15&gt;0,IF(2&lt;=SemanaActual,INDEX('Cronograma R. Financiero'!$Z$5:$Z$1000,$N15),""),IF(INDEX('Cronograma R. Financiero'!$H$5:$H$1000,$N15)="","",INDEX('Cronograma R. Financiero'!$H$5:$H$1000,$N15))))</f>
        <v/>
      </c>
      <c r="H15" s="68">
        <f>IF($N15="","",IF($P15&gt;0,IF(3&lt;=SemanaActual,INDEX('Cronograma R. Financiero'!$AA$5:$AA$1000,$N15),""),IF(INDEX('Cronograma R. Financiero'!$I$5:$I$1000,$N15)="","",INDEX('Cronograma R. Financiero'!$I$5:$I$1000,$N15))))</f>
        <v/>
      </c>
      <c r="I15" s="68">
        <f>IF($N15="","",IF($P15&gt;0,IF(4&lt;=SemanaActual,INDEX('Cronograma R. Financiero'!$AB$5:$AB$1000,$N15),""),IF(INDEX('Cronograma R. Financiero'!$J$5:$J$1000,$N15)="","",INDEX('Cronograma R. Financiero'!$J$5:$J$1000,$N15))))</f>
        <v/>
      </c>
      <c r="J15" s="68">
        <f>IF($N15="","",INDEX('Cronograma R. Financiero'!$K$5:$K$1000,$N15))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R. Financiero'!$M$5:$M$1000,$N15)&amp;"")</f>
        <v/>
      </c>
      <c r="M15" s="71">
        <f>IF($N15="","",INDEX('Cronograma R. Financiero'!$N$5:$N$1000,$N15)&amp;"")</f>
        <v/>
      </c>
      <c r="N15">
        <f>IFERROR(MATCH(ROW()-4,rOrden_RF,0),"")</f>
        <v/>
      </c>
      <c r="O15">
        <f>IF($N15="","",INDEX('Cronograma R. Financiero'!$S$5:$S$1000,$N15))</f>
        <v/>
      </c>
      <c r="P15">
        <f>IF($N15="","",N(INDEX('Cronograma R. Financiero'!$T$5:$T$1000,$N15)))</f>
        <v/>
      </c>
    </row>
    <row r="16">
      <c r="A16" s="62">
        <f>IF($N16="","",INDEX('Cronograma R. Financiero'!$A$5:$A$1000,$N16))</f>
        <v/>
      </c>
      <c r="B16" s="71">
        <f>IF($N16="","",IF($O16="Sub","      ↳  "&amp;INDEX('Cronograma R. Financiero'!$C$5:$C$1000,$N16),INDEX('Cronograma R. Financiero'!$C$5:$C$1000,$N16)&amp;""))</f>
        <v/>
      </c>
      <c r="C16" s="77">
        <f>IF($N16="","",IF(INDEX('Cronograma R. Financiero'!$D$5:$D$1000,$N16)="","",INDEX('Cronograma R. Financiero'!$D$5:$D$1000,$N16)))</f>
        <v/>
      </c>
      <c r="D16" s="77">
        <f>IF($N16="","",IF(INDEX('Cronograma R. Financiero'!$E$5:$E$1000,$N16)="","",INDEX('Cronograma R. Financiero'!$E$5:$E$1000,$N16)))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R. Financiero'!$Y$5:$Y$1000,$N16),""),IF(INDEX('Cronograma R. Financiero'!$G$5:$G$1000,$N16)="","",INDEX('Cronograma R. Financiero'!$G$5:$G$1000,$N16))))</f>
        <v/>
      </c>
      <c r="G16" s="68">
        <f>IF($N16="","",IF($P16&gt;0,IF(2&lt;=SemanaActual,INDEX('Cronograma R. Financiero'!$Z$5:$Z$1000,$N16),""),IF(INDEX('Cronograma R. Financiero'!$H$5:$H$1000,$N16)="","",INDEX('Cronograma R. Financiero'!$H$5:$H$1000,$N16))))</f>
        <v/>
      </c>
      <c r="H16" s="68">
        <f>IF($N16="","",IF($P16&gt;0,IF(3&lt;=SemanaActual,INDEX('Cronograma R. Financiero'!$AA$5:$AA$1000,$N16),""),IF(INDEX('Cronograma R. Financiero'!$I$5:$I$1000,$N16)="","",INDEX('Cronograma R. Financiero'!$I$5:$I$1000,$N16))))</f>
        <v/>
      </c>
      <c r="I16" s="68">
        <f>IF($N16="","",IF($P16&gt;0,IF(4&lt;=SemanaActual,INDEX('Cronograma R. Financiero'!$AB$5:$AB$1000,$N16),""),IF(INDEX('Cronograma R. Financiero'!$J$5:$J$1000,$N16)="","",INDEX('Cronograma R. Financiero'!$J$5:$J$1000,$N16))))</f>
        <v/>
      </c>
      <c r="J16" s="68">
        <f>IF($N16="","",INDEX('Cronograma R. Financiero'!$K$5:$K$1000,$N16))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R. Financiero'!$M$5:$M$1000,$N16)&amp;"")</f>
        <v/>
      </c>
      <c r="M16" s="71">
        <f>IF($N16="","",INDEX('Cronograma R. Financiero'!$N$5:$N$1000,$N16)&amp;"")</f>
        <v/>
      </c>
      <c r="N16">
        <f>IFERROR(MATCH(ROW()-4,rOrden_RF,0),"")</f>
        <v/>
      </c>
      <c r="O16">
        <f>IF($N16="","",INDEX('Cronograma R. Financiero'!$S$5:$S$1000,$N16))</f>
        <v/>
      </c>
      <c r="P16">
        <f>IF($N16="","",N(INDEX('Cronograma R. Financiero'!$T$5:$T$1000,$N16)))</f>
        <v/>
      </c>
    </row>
    <row r="17">
      <c r="A17" s="62">
        <f>IF($N17="","",INDEX('Cronograma R. Financiero'!$A$5:$A$1000,$N17))</f>
        <v/>
      </c>
      <c r="B17" s="71">
        <f>IF($N17="","",IF($O17="Sub","      ↳  "&amp;INDEX('Cronograma R. Financiero'!$C$5:$C$1000,$N17),INDEX('Cronograma R. Financiero'!$C$5:$C$1000,$N17)&amp;""))</f>
        <v/>
      </c>
      <c r="C17" s="77">
        <f>IF($N17="","",IF(INDEX('Cronograma R. Financiero'!$D$5:$D$1000,$N17)="","",INDEX('Cronograma R. Financiero'!$D$5:$D$1000,$N17)))</f>
        <v/>
      </c>
      <c r="D17" s="77">
        <f>IF($N17="","",IF(INDEX('Cronograma R. Financiero'!$E$5:$E$1000,$N17)="","",INDEX('Cronograma R. Financiero'!$E$5:$E$1000,$N17)))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R. Financiero'!$Y$5:$Y$1000,$N17),""),IF(INDEX('Cronograma R. Financiero'!$G$5:$G$1000,$N17)="","",INDEX('Cronograma R. Financiero'!$G$5:$G$1000,$N17))))</f>
        <v/>
      </c>
      <c r="G17" s="68">
        <f>IF($N17="","",IF($P17&gt;0,IF(2&lt;=SemanaActual,INDEX('Cronograma R. Financiero'!$Z$5:$Z$1000,$N17),""),IF(INDEX('Cronograma R. Financiero'!$H$5:$H$1000,$N17)="","",INDEX('Cronograma R. Financiero'!$H$5:$H$1000,$N17))))</f>
        <v/>
      </c>
      <c r="H17" s="68">
        <f>IF($N17="","",IF($P17&gt;0,IF(3&lt;=SemanaActual,INDEX('Cronograma R. Financiero'!$AA$5:$AA$1000,$N17),""),IF(INDEX('Cronograma R. Financiero'!$I$5:$I$1000,$N17)="","",INDEX('Cronograma R. Financiero'!$I$5:$I$1000,$N17))))</f>
        <v/>
      </c>
      <c r="I17" s="68">
        <f>IF($N17="","",IF($P17&gt;0,IF(4&lt;=SemanaActual,INDEX('Cronograma R. Financiero'!$AB$5:$AB$1000,$N17),""),IF(INDEX('Cronograma R. Financiero'!$J$5:$J$1000,$N17)="","",INDEX('Cronograma R. Financiero'!$J$5:$J$1000,$N17))))</f>
        <v/>
      </c>
      <c r="J17" s="68">
        <f>IF($N17="","",INDEX('Cronograma R. Financiero'!$K$5:$K$1000,$N17))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R. Financiero'!$M$5:$M$1000,$N17)&amp;"")</f>
        <v/>
      </c>
      <c r="M17" s="71">
        <f>IF($N17="","",INDEX('Cronograma R. Financiero'!$N$5:$N$1000,$N17)&amp;"")</f>
        <v/>
      </c>
      <c r="N17">
        <f>IFERROR(MATCH(ROW()-4,rOrden_RF,0),"")</f>
        <v/>
      </c>
      <c r="O17">
        <f>IF($N17="","",INDEX('Cronograma R. Financiero'!$S$5:$S$1000,$N17))</f>
        <v/>
      </c>
      <c r="P17">
        <f>IF($N17="","",N(INDEX('Cronograma R. Financiero'!$T$5:$T$1000,$N17)))</f>
        <v/>
      </c>
    </row>
    <row r="18">
      <c r="A18" s="62">
        <f>IF($N18="","",INDEX('Cronograma R. Financiero'!$A$5:$A$1000,$N18))</f>
        <v/>
      </c>
      <c r="B18" s="71">
        <f>IF($N18="","",IF($O18="Sub","      ↳  "&amp;INDEX('Cronograma R. Financiero'!$C$5:$C$1000,$N18),INDEX('Cronograma R. Financiero'!$C$5:$C$1000,$N18)&amp;""))</f>
        <v/>
      </c>
      <c r="C18" s="77">
        <f>IF($N18="","",IF(INDEX('Cronograma R. Financiero'!$D$5:$D$1000,$N18)="","",INDEX('Cronograma R. Financiero'!$D$5:$D$1000,$N18)))</f>
        <v/>
      </c>
      <c r="D18" s="77">
        <f>IF($N18="","",IF(INDEX('Cronograma R. Financiero'!$E$5:$E$1000,$N18)="","",INDEX('Cronograma R. Financiero'!$E$5:$E$1000,$N18)))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R. Financiero'!$Y$5:$Y$1000,$N18),""),IF(INDEX('Cronograma R. Financiero'!$G$5:$G$1000,$N18)="","",INDEX('Cronograma R. Financiero'!$G$5:$G$1000,$N18))))</f>
        <v/>
      </c>
      <c r="G18" s="68">
        <f>IF($N18="","",IF($P18&gt;0,IF(2&lt;=SemanaActual,INDEX('Cronograma R. Financiero'!$Z$5:$Z$1000,$N18),""),IF(INDEX('Cronograma R. Financiero'!$H$5:$H$1000,$N18)="","",INDEX('Cronograma R. Financiero'!$H$5:$H$1000,$N18))))</f>
        <v/>
      </c>
      <c r="H18" s="68">
        <f>IF($N18="","",IF($P18&gt;0,IF(3&lt;=SemanaActual,INDEX('Cronograma R. Financiero'!$AA$5:$AA$1000,$N18),""),IF(INDEX('Cronograma R. Financiero'!$I$5:$I$1000,$N18)="","",INDEX('Cronograma R. Financiero'!$I$5:$I$1000,$N18))))</f>
        <v/>
      </c>
      <c r="I18" s="68">
        <f>IF($N18="","",IF($P18&gt;0,IF(4&lt;=SemanaActual,INDEX('Cronograma R. Financiero'!$AB$5:$AB$1000,$N18),""),IF(INDEX('Cronograma R. Financiero'!$J$5:$J$1000,$N18)="","",INDEX('Cronograma R. Financiero'!$J$5:$J$1000,$N18))))</f>
        <v/>
      </c>
      <c r="J18" s="68">
        <f>IF($N18="","",INDEX('Cronograma R. Financiero'!$K$5:$K$1000,$N18))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R. Financiero'!$M$5:$M$1000,$N18)&amp;"")</f>
        <v/>
      </c>
      <c r="M18" s="71">
        <f>IF($N18="","",INDEX('Cronograma R. Financiero'!$N$5:$N$1000,$N18)&amp;"")</f>
        <v/>
      </c>
      <c r="N18">
        <f>IFERROR(MATCH(ROW()-4,rOrden_RF,0),"")</f>
        <v/>
      </c>
      <c r="O18">
        <f>IF($N18="","",INDEX('Cronograma R. Financiero'!$S$5:$S$1000,$N18))</f>
        <v/>
      </c>
      <c r="P18">
        <f>IF($N18="","",N(INDEX('Cronograma R. Financiero'!$T$5:$T$1000,$N18)))</f>
        <v/>
      </c>
    </row>
    <row r="19">
      <c r="A19" s="62">
        <f>IF($N19="","",INDEX('Cronograma R. Financiero'!$A$5:$A$1000,$N19))</f>
        <v/>
      </c>
      <c r="B19" s="71">
        <f>IF($N19="","",IF($O19="Sub","      ↳  "&amp;INDEX('Cronograma R. Financiero'!$C$5:$C$1000,$N19),INDEX('Cronograma R. Financiero'!$C$5:$C$1000,$N19)&amp;""))</f>
        <v/>
      </c>
      <c r="C19" s="77">
        <f>IF($N19="","",IF(INDEX('Cronograma R. Financiero'!$D$5:$D$1000,$N19)="","",INDEX('Cronograma R. Financiero'!$D$5:$D$1000,$N19)))</f>
        <v/>
      </c>
      <c r="D19" s="77">
        <f>IF($N19="","",IF(INDEX('Cronograma R. Financiero'!$E$5:$E$1000,$N19)="","",INDEX('Cronograma R. Financiero'!$E$5:$E$1000,$N19)))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R. Financiero'!$Y$5:$Y$1000,$N19),""),IF(INDEX('Cronograma R. Financiero'!$G$5:$G$1000,$N19)="","",INDEX('Cronograma R. Financiero'!$G$5:$G$1000,$N19))))</f>
        <v/>
      </c>
      <c r="G19" s="68">
        <f>IF($N19="","",IF($P19&gt;0,IF(2&lt;=SemanaActual,INDEX('Cronograma R. Financiero'!$Z$5:$Z$1000,$N19),""),IF(INDEX('Cronograma R. Financiero'!$H$5:$H$1000,$N19)="","",INDEX('Cronograma R. Financiero'!$H$5:$H$1000,$N19))))</f>
        <v/>
      </c>
      <c r="H19" s="68">
        <f>IF($N19="","",IF($P19&gt;0,IF(3&lt;=SemanaActual,INDEX('Cronograma R. Financiero'!$AA$5:$AA$1000,$N19),""),IF(INDEX('Cronograma R. Financiero'!$I$5:$I$1000,$N19)="","",INDEX('Cronograma R. Financiero'!$I$5:$I$1000,$N19))))</f>
        <v/>
      </c>
      <c r="I19" s="68">
        <f>IF($N19="","",IF($P19&gt;0,IF(4&lt;=SemanaActual,INDEX('Cronograma R. Financiero'!$AB$5:$AB$1000,$N19),""),IF(INDEX('Cronograma R. Financiero'!$J$5:$J$1000,$N19)="","",INDEX('Cronograma R. Financiero'!$J$5:$J$1000,$N19))))</f>
        <v/>
      </c>
      <c r="J19" s="68">
        <f>IF($N19="","",INDEX('Cronograma R. Financiero'!$K$5:$K$1000,$N19))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R. Financiero'!$M$5:$M$1000,$N19)&amp;"")</f>
        <v/>
      </c>
      <c r="M19" s="71">
        <f>IF($N19="","",INDEX('Cronograma R. Financiero'!$N$5:$N$1000,$N19)&amp;"")</f>
        <v/>
      </c>
      <c r="N19">
        <f>IFERROR(MATCH(ROW()-4,rOrden_RF,0),"")</f>
        <v/>
      </c>
      <c r="O19">
        <f>IF($N19="","",INDEX('Cronograma R. Financiero'!$S$5:$S$1000,$N19))</f>
        <v/>
      </c>
      <c r="P19">
        <f>IF($N19="","",N(INDEX('Cronograma R. Financiero'!$T$5:$T$1000,$N19)))</f>
        <v/>
      </c>
    </row>
    <row r="20">
      <c r="A20" s="62">
        <f>IF($N20="","",INDEX('Cronograma R. Financiero'!$A$5:$A$1000,$N20))</f>
        <v/>
      </c>
      <c r="B20" s="71">
        <f>IF($N20="","",IF($O20="Sub","      ↳  "&amp;INDEX('Cronograma R. Financiero'!$C$5:$C$1000,$N20),INDEX('Cronograma R. Financiero'!$C$5:$C$1000,$N20)&amp;""))</f>
        <v/>
      </c>
      <c r="C20" s="77">
        <f>IF($N20="","",IF(INDEX('Cronograma R. Financiero'!$D$5:$D$1000,$N20)="","",INDEX('Cronograma R. Financiero'!$D$5:$D$1000,$N20)))</f>
        <v/>
      </c>
      <c r="D20" s="77">
        <f>IF($N20="","",IF(INDEX('Cronograma R. Financiero'!$E$5:$E$1000,$N20)="","",INDEX('Cronograma R. Financiero'!$E$5:$E$1000,$N20)))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R. Financiero'!$Y$5:$Y$1000,$N20),""),IF(INDEX('Cronograma R. Financiero'!$G$5:$G$1000,$N20)="","",INDEX('Cronograma R. Financiero'!$G$5:$G$1000,$N20))))</f>
        <v/>
      </c>
      <c r="G20" s="68">
        <f>IF($N20="","",IF($P20&gt;0,IF(2&lt;=SemanaActual,INDEX('Cronograma R. Financiero'!$Z$5:$Z$1000,$N20),""),IF(INDEX('Cronograma R. Financiero'!$H$5:$H$1000,$N20)="","",INDEX('Cronograma R. Financiero'!$H$5:$H$1000,$N20))))</f>
        <v/>
      </c>
      <c r="H20" s="68">
        <f>IF($N20="","",IF($P20&gt;0,IF(3&lt;=SemanaActual,INDEX('Cronograma R. Financiero'!$AA$5:$AA$1000,$N20),""),IF(INDEX('Cronograma R. Financiero'!$I$5:$I$1000,$N20)="","",INDEX('Cronograma R. Financiero'!$I$5:$I$1000,$N20))))</f>
        <v/>
      </c>
      <c r="I20" s="68">
        <f>IF($N20="","",IF($P20&gt;0,IF(4&lt;=SemanaActual,INDEX('Cronograma R. Financiero'!$AB$5:$AB$1000,$N20),""),IF(INDEX('Cronograma R. Financiero'!$J$5:$J$1000,$N20)="","",INDEX('Cronograma R. Financiero'!$J$5:$J$1000,$N20))))</f>
        <v/>
      </c>
      <c r="J20" s="68">
        <f>IF($N20="","",INDEX('Cronograma R. Financiero'!$K$5:$K$1000,$N20))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R. Financiero'!$M$5:$M$1000,$N20)&amp;"")</f>
        <v/>
      </c>
      <c r="M20" s="71">
        <f>IF($N20="","",INDEX('Cronograma R. Financiero'!$N$5:$N$1000,$N20)&amp;"")</f>
        <v/>
      </c>
      <c r="N20">
        <f>IFERROR(MATCH(ROW()-4,rOrden_RF,0),"")</f>
        <v/>
      </c>
      <c r="O20">
        <f>IF($N20="","",INDEX('Cronograma R. Financiero'!$S$5:$S$1000,$N20))</f>
        <v/>
      </c>
      <c r="P20">
        <f>IF($N20="","",N(INDEX('Cronograma R. Financiero'!$T$5:$T$1000,$N20)))</f>
        <v/>
      </c>
    </row>
    <row r="21">
      <c r="A21" s="62">
        <f>IF($N21="","",INDEX('Cronograma R. Financiero'!$A$5:$A$1000,$N21))</f>
        <v/>
      </c>
      <c r="B21" s="71">
        <f>IF($N21="","",IF($O21="Sub","      ↳  "&amp;INDEX('Cronograma R. Financiero'!$C$5:$C$1000,$N21),INDEX('Cronograma R. Financiero'!$C$5:$C$1000,$N21)&amp;""))</f>
        <v/>
      </c>
      <c r="C21" s="77">
        <f>IF($N21="","",IF(INDEX('Cronograma R. Financiero'!$D$5:$D$1000,$N21)="","",INDEX('Cronograma R. Financiero'!$D$5:$D$1000,$N21)))</f>
        <v/>
      </c>
      <c r="D21" s="77">
        <f>IF($N21="","",IF(INDEX('Cronograma R. Financiero'!$E$5:$E$1000,$N21)="","",INDEX('Cronograma R. Financiero'!$E$5:$E$1000,$N21)))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R. Financiero'!$Y$5:$Y$1000,$N21),""),IF(INDEX('Cronograma R. Financiero'!$G$5:$G$1000,$N21)="","",INDEX('Cronograma R. Financiero'!$G$5:$G$1000,$N21))))</f>
        <v/>
      </c>
      <c r="G21" s="68">
        <f>IF($N21="","",IF($P21&gt;0,IF(2&lt;=SemanaActual,INDEX('Cronograma R. Financiero'!$Z$5:$Z$1000,$N21),""),IF(INDEX('Cronograma R. Financiero'!$H$5:$H$1000,$N21)="","",INDEX('Cronograma R. Financiero'!$H$5:$H$1000,$N21))))</f>
        <v/>
      </c>
      <c r="H21" s="68">
        <f>IF($N21="","",IF($P21&gt;0,IF(3&lt;=SemanaActual,INDEX('Cronograma R. Financiero'!$AA$5:$AA$1000,$N21),""),IF(INDEX('Cronograma R. Financiero'!$I$5:$I$1000,$N21)="","",INDEX('Cronograma R. Financiero'!$I$5:$I$1000,$N21))))</f>
        <v/>
      </c>
      <c r="I21" s="68">
        <f>IF($N21="","",IF($P21&gt;0,IF(4&lt;=SemanaActual,INDEX('Cronograma R. Financiero'!$AB$5:$AB$1000,$N21),""),IF(INDEX('Cronograma R. Financiero'!$J$5:$J$1000,$N21)="","",INDEX('Cronograma R. Financiero'!$J$5:$J$1000,$N21))))</f>
        <v/>
      </c>
      <c r="J21" s="68">
        <f>IF($N21="","",INDEX('Cronograma R. Financiero'!$K$5:$K$1000,$N21))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R. Financiero'!$M$5:$M$1000,$N21)&amp;"")</f>
        <v/>
      </c>
      <c r="M21" s="71">
        <f>IF($N21="","",INDEX('Cronograma R. Financiero'!$N$5:$N$1000,$N21)&amp;"")</f>
        <v/>
      </c>
      <c r="N21">
        <f>IFERROR(MATCH(ROW()-4,rOrden_RF,0),"")</f>
        <v/>
      </c>
      <c r="O21">
        <f>IF($N21="","",INDEX('Cronograma R. Financiero'!$S$5:$S$1000,$N21))</f>
        <v/>
      </c>
      <c r="P21">
        <f>IF($N21="","",N(INDEX('Cronograma R. Financiero'!$T$5:$T$1000,$N21)))</f>
        <v/>
      </c>
    </row>
    <row r="22">
      <c r="A22" s="62">
        <f>IF($N22="","",INDEX('Cronograma R. Financiero'!$A$5:$A$1000,$N22))</f>
        <v/>
      </c>
      <c r="B22" s="71">
        <f>IF($N22="","",IF($O22="Sub","      ↳  "&amp;INDEX('Cronograma R. Financiero'!$C$5:$C$1000,$N22),INDEX('Cronograma R. Financiero'!$C$5:$C$1000,$N22)&amp;""))</f>
        <v/>
      </c>
      <c r="C22" s="77">
        <f>IF($N22="","",IF(INDEX('Cronograma R. Financiero'!$D$5:$D$1000,$N22)="","",INDEX('Cronograma R. Financiero'!$D$5:$D$1000,$N22)))</f>
        <v/>
      </c>
      <c r="D22" s="77">
        <f>IF($N22="","",IF(INDEX('Cronograma R. Financiero'!$E$5:$E$1000,$N22)="","",INDEX('Cronograma R. Financiero'!$E$5:$E$1000,$N22)))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R. Financiero'!$Y$5:$Y$1000,$N22),""),IF(INDEX('Cronograma R. Financiero'!$G$5:$G$1000,$N22)="","",INDEX('Cronograma R. Financiero'!$G$5:$G$1000,$N22))))</f>
        <v/>
      </c>
      <c r="G22" s="68">
        <f>IF($N22="","",IF($P22&gt;0,IF(2&lt;=SemanaActual,INDEX('Cronograma R. Financiero'!$Z$5:$Z$1000,$N22),""),IF(INDEX('Cronograma R. Financiero'!$H$5:$H$1000,$N22)="","",INDEX('Cronograma R. Financiero'!$H$5:$H$1000,$N22))))</f>
        <v/>
      </c>
      <c r="H22" s="68">
        <f>IF($N22="","",IF($P22&gt;0,IF(3&lt;=SemanaActual,INDEX('Cronograma R. Financiero'!$AA$5:$AA$1000,$N22),""),IF(INDEX('Cronograma R. Financiero'!$I$5:$I$1000,$N22)="","",INDEX('Cronograma R. Financiero'!$I$5:$I$1000,$N22))))</f>
        <v/>
      </c>
      <c r="I22" s="68">
        <f>IF($N22="","",IF($P22&gt;0,IF(4&lt;=SemanaActual,INDEX('Cronograma R. Financiero'!$AB$5:$AB$1000,$N22),""),IF(INDEX('Cronograma R. Financiero'!$J$5:$J$1000,$N22)="","",INDEX('Cronograma R. Financiero'!$J$5:$J$1000,$N22))))</f>
        <v/>
      </c>
      <c r="J22" s="68">
        <f>IF($N22="","",INDEX('Cronograma R. Financiero'!$K$5:$K$1000,$N22))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R. Financiero'!$M$5:$M$1000,$N22)&amp;"")</f>
        <v/>
      </c>
      <c r="M22" s="71">
        <f>IF($N22="","",INDEX('Cronograma R. Financiero'!$N$5:$N$1000,$N22)&amp;"")</f>
        <v/>
      </c>
      <c r="N22">
        <f>IFERROR(MATCH(ROW()-4,rOrden_RF,0),"")</f>
        <v/>
      </c>
      <c r="O22">
        <f>IF($N22="","",INDEX('Cronograma R. Financiero'!$S$5:$S$1000,$N22))</f>
        <v/>
      </c>
      <c r="P22">
        <f>IF($N22="","",N(INDEX('Cronograma R. Financiero'!$T$5:$T$1000,$N22)))</f>
        <v/>
      </c>
    </row>
    <row r="23">
      <c r="A23" s="62">
        <f>IF($N23="","",INDEX('Cronograma R. Financiero'!$A$5:$A$1000,$N23))</f>
        <v/>
      </c>
      <c r="B23" s="71">
        <f>IF($N23="","",IF($O23="Sub","      ↳  "&amp;INDEX('Cronograma R. Financiero'!$C$5:$C$1000,$N23),INDEX('Cronograma R. Financiero'!$C$5:$C$1000,$N23)&amp;""))</f>
        <v/>
      </c>
      <c r="C23" s="77">
        <f>IF($N23="","",IF(INDEX('Cronograma R. Financiero'!$D$5:$D$1000,$N23)="","",INDEX('Cronograma R. Financiero'!$D$5:$D$1000,$N23)))</f>
        <v/>
      </c>
      <c r="D23" s="77">
        <f>IF($N23="","",IF(INDEX('Cronograma R. Financiero'!$E$5:$E$1000,$N23)="","",INDEX('Cronograma R. Financiero'!$E$5:$E$1000,$N23)))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R. Financiero'!$Y$5:$Y$1000,$N23),""),IF(INDEX('Cronograma R. Financiero'!$G$5:$G$1000,$N23)="","",INDEX('Cronograma R. Financiero'!$G$5:$G$1000,$N23))))</f>
        <v/>
      </c>
      <c r="G23" s="68">
        <f>IF($N23="","",IF($P23&gt;0,IF(2&lt;=SemanaActual,INDEX('Cronograma R. Financiero'!$Z$5:$Z$1000,$N23),""),IF(INDEX('Cronograma R. Financiero'!$H$5:$H$1000,$N23)="","",INDEX('Cronograma R. Financiero'!$H$5:$H$1000,$N23))))</f>
        <v/>
      </c>
      <c r="H23" s="68">
        <f>IF($N23="","",IF($P23&gt;0,IF(3&lt;=SemanaActual,INDEX('Cronograma R. Financiero'!$AA$5:$AA$1000,$N23),""),IF(INDEX('Cronograma R. Financiero'!$I$5:$I$1000,$N23)="","",INDEX('Cronograma R. Financiero'!$I$5:$I$1000,$N23))))</f>
        <v/>
      </c>
      <c r="I23" s="68">
        <f>IF($N23="","",IF($P23&gt;0,IF(4&lt;=SemanaActual,INDEX('Cronograma R. Financiero'!$AB$5:$AB$1000,$N23),""),IF(INDEX('Cronograma R. Financiero'!$J$5:$J$1000,$N23)="","",INDEX('Cronograma R. Financiero'!$J$5:$J$1000,$N23))))</f>
        <v/>
      </c>
      <c r="J23" s="68">
        <f>IF($N23="","",INDEX('Cronograma R. Financiero'!$K$5:$K$1000,$N23))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R. Financiero'!$M$5:$M$1000,$N23)&amp;"")</f>
        <v/>
      </c>
      <c r="M23" s="71">
        <f>IF($N23="","",INDEX('Cronograma R. Financiero'!$N$5:$N$1000,$N23)&amp;"")</f>
        <v/>
      </c>
      <c r="N23">
        <f>IFERROR(MATCH(ROW()-4,rOrden_RF,0),"")</f>
        <v/>
      </c>
      <c r="O23">
        <f>IF($N23="","",INDEX('Cronograma R. Financiero'!$S$5:$S$1000,$N23))</f>
        <v/>
      </c>
      <c r="P23">
        <f>IF($N23="","",N(INDEX('Cronograma R. Financiero'!$T$5:$T$1000,$N23)))</f>
        <v/>
      </c>
    </row>
    <row r="24">
      <c r="A24" s="62">
        <f>IF($N24="","",INDEX('Cronograma R. Financiero'!$A$5:$A$1000,$N24))</f>
        <v/>
      </c>
      <c r="B24" s="71">
        <f>IF($N24="","",IF($O24="Sub","      ↳  "&amp;INDEX('Cronograma R. Financiero'!$C$5:$C$1000,$N24),INDEX('Cronograma R. Financiero'!$C$5:$C$1000,$N24)&amp;""))</f>
        <v/>
      </c>
      <c r="C24" s="77">
        <f>IF($N24="","",IF(INDEX('Cronograma R. Financiero'!$D$5:$D$1000,$N24)="","",INDEX('Cronograma R. Financiero'!$D$5:$D$1000,$N24)))</f>
        <v/>
      </c>
      <c r="D24" s="77">
        <f>IF($N24="","",IF(INDEX('Cronograma R. Financiero'!$E$5:$E$1000,$N24)="","",INDEX('Cronograma R. Financiero'!$E$5:$E$1000,$N24)))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R. Financiero'!$Y$5:$Y$1000,$N24),""),IF(INDEX('Cronograma R. Financiero'!$G$5:$G$1000,$N24)="","",INDEX('Cronograma R. Financiero'!$G$5:$G$1000,$N24))))</f>
        <v/>
      </c>
      <c r="G24" s="68">
        <f>IF($N24="","",IF($P24&gt;0,IF(2&lt;=SemanaActual,INDEX('Cronograma R. Financiero'!$Z$5:$Z$1000,$N24),""),IF(INDEX('Cronograma R. Financiero'!$H$5:$H$1000,$N24)="","",INDEX('Cronograma R. Financiero'!$H$5:$H$1000,$N24))))</f>
        <v/>
      </c>
      <c r="H24" s="68">
        <f>IF($N24="","",IF($P24&gt;0,IF(3&lt;=SemanaActual,INDEX('Cronograma R. Financiero'!$AA$5:$AA$1000,$N24),""),IF(INDEX('Cronograma R. Financiero'!$I$5:$I$1000,$N24)="","",INDEX('Cronograma R. Financiero'!$I$5:$I$1000,$N24))))</f>
        <v/>
      </c>
      <c r="I24" s="68">
        <f>IF($N24="","",IF($P24&gt;0,IF(4&lt;=SemanaActual,INDEX('Cronograma R. Financiero'!$AB$5:$AB$1000,$N24),""),IF(INDEX('Cronograma R. Financiero'!$J$5:$J$1000,$N24)="","",INDEX('Cronograma R. Financiero'!$J$5:$J$1000,$N24))))</f>
        <v/>
      </c>
      <c r="J24" s="68">
        <f>IF($N24="","",INDEX('Cronograma R. Financiero'!$K$5:$K$1000,$N24))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R. Financiero'!$M$5:$M$1000,$N24)&amp;"")</f>
        <v/>
      </c>
      <c r="M24" s="71">
        <f>IF($N24="","",INDEX('Cronograma R. Financiero'!$N$5:$N$1000,$N24)&amp;"")</f>
        <v/>
      </c>
      <c r="N24">
        <f>IFERROR(MATCH(ROW()-4,rOrden_RF,0),"")</f>
        <v/>
      </c>
      <c r="O24">
        <f>IF($N24="","",INDEX('Cronograma R. Financiero'!$S$5:$S$1000,$N24))</f>
        <v/>
      </c>
      <c r="P24">
        <f>IF($N24="","",N(INDEX('Cronograma R. Financiero'!$T$5:$T$1000,$N24)))</f>
        <v/>
      </c>
    </row>
    <row r="25">
      <c r="A25" s="62">
        <f>IF($N25="","",INDEX('Cronograma R. Financiero'!$A$5:$A$1000,$N25))</f>
        <v/>
      </c>
      <c r="B25" s="71">
        <f>IF($N25="","",IF($O25="Sub","      ↳  "&amp;INDEX('Cronograma R. Financiero'!$C$5:$C$1000,$N25),INDEX('Cronograma R. Financiero'!$C$5:$C$1000,$N25)&amp;""))</f>
        <v/>
      </c>
      <c r="C25" s="77">
        <f>IF($N25="","",IF(INDEX('Cronograma R. Financiero'!$D$5:$D$1000,$N25)="","",INDEX('Cronograma R. Financiero'!$D$5:$D$1000,$N25)))</f>
        <v/>
      </c>
      <c r="D25" s="77">
        <f>IF($N25="","",IF(INDEX('Cronograma R. Financiero'!$E$5:$E$1000,$N25)="","",INDEX('Cronograma R. Financiero'!$E$5:$E$1000,$N25)))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R. Financiero'!$Y$5:$Y$1000,$N25),""),IF(INDEX('Cronograma R. Financiero'!$G$5:$G$1000,$N25)="","",INDEX('Cronograma R. Financiero'!$G$5:$G$1000,$N25))))</f>
        <v/>
      </c>
      <c r="G25" s="68">
        <f>IF($N25="","",IF($P25&gt;0,IF(2&lt;=SemanaActual,INDEX('Cronograma R. Financiero'!$Z$5:$Z$1000,$N25),""),IF(INDEX('Cronograma R. Financiero'!$H$5:$H$1000,$N25)="","",INDEX('Cronograma R. Financiero'!$H$5:$H$1000,$N25))))</f>
        <v/>
      </c>
      <c r="H25" s="68">
        <f>IF($N25="","",IF($P25&gt;0,IF(3&lt;=SemanaActual,INDEX('Cronograma R. Financiero'!$AA$5:$AA$1000,$N25),""),IF(INDEX('Cronograma R. Financiero'!$I$5:$I$1000,$N25)="","",INDEX('Cronograma R. Financiero'!$I$5:$I$1000,$N25))))</f>
        <v/>
      </c>
      <c r="I25" s="68">
        <f>IF($N25="","",IF($P25&gt;0,IF(4&lt;=SemanaActual,INDEX('Cronograma R. Financiero'!$AB$5:$AB$1000,$N25),""),IF(INDEX('Cronograma R. Financiero'!$J$5:$J$1000,$N25)="","",INDEX('Cronograma R. Financiero'!$J$5:$J$1000,$N25))))</f>
        <v/>
      </c>
      <c r="J25" s="68">
        <f>IF($N25="","",INDEX('Cronograma R. Financiero'!$K$5:$K$1000,$N25))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R. Financiero'!$M$5:$M$1000,$N25)&amp;"")</f>
        <v/>
      </c>
      <c r="M25" s="71">
        <f>IF($N25="","",INDEX('Cronograma R. Financiero'!$N$5:$N$1000,$N25)&amp;"")</f>
        <v/>
      </c>
      <c r="N25">
        <f>IFERROR(MATCH(ROW()-4,rOrden_RF,0),"")</f>
        <v/>
      </c>
      <c r="O25">
        <f>IF($N25="","",INDEX('Cronograma R. Financiero'!$S$5:$S$1000,$N25))</f>
        <v/>
      </c>
      <c r="P25">
        <f>IF($N25="","",N(INDEX('Cronograma R. Financiero'!$T$5:$T$1000,$N25)))</f>
        <v/>
      </c>
    </row>
    <row r="26">
      <c r="A26" s="62">
        <f>IF($N26="","",INDEX('Cronograma R. Financiero'!$A$5:$A$1000,$N26))</f>
        <v/>
      </c>
      <c r="B26" s="71">
        <f>IF($N26="","",IF($O26="Sub","      ↳  "&amp;INDEX('Cronograma R. Financiero'!$C$5:$C$1000,$N26),INDEX('Cronograma R. Financiero'!$C$5:$C$1000,$N26)&amp;""))</f>
        <v/>
      </c>
      <c r="C26" s="77">
        <f>IF($N26="","",IF(INDEX('Cronograma R. Financiero'!$D$5:$D$1000,$N26)="","",INDEX('Cronograma R. Financiero'!$D$5:$D$1000,$N26)))</f>
        <v/>
      </c>
      <c r="D26" s="77">
        <f>IF($N26="","",IF(INDEX('Cronograma R. Financiero'!$E$5:$E$1000,$N26)="","",INDEX('Cronograma R. Financiero'!$E$5:$E$1000,$N26)))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R. Financiero'!$Y$5:$Y$1000,$N26),""),IF(INDEX('Cronograma R. Financiero'!$G$5:$G$1000,$N26)="","",INDEX('Cronograma R. Financiero'!$G$5:$G$1000,$N26))))</f>
        <v/>
      </c>
      <c r="G26" s="68">
        <f>IF($N26="","",IF($P26&gt;0,IF(2&lt;=SemanaActual,INDEX('Cronograma R. Financiero'!$Z$5:$Z$1000,$N26),""),IF(INDEX('Cronograma R. Financiero'!$H$5:$H$1000,$N26)="","",INDEX('Cronograma R. Financiero'!$H$5:$H$1000,$N26))))</f>
        <v/>
      </c>
      <c r="H26" s="68">
        <f>IF($N26="","",IF($P26&gt;0,IF(3&lt;=SemanaActual,INDEX('Cronograma R. Financiero'!$AA$5:$AA$1000,$N26),""),IF(INDEX('Cronograma R. Financiero'!$I$5:$I$1000,$N26)="","",INDEX('Cronograma R. Financiero'!$I$5:$I$1000,$N26))))</f>
        <v/>
      </c>
      <c r="I26" s="68">
        <f>IF($N26="","",IF($P26&gt;0,IF(4&lt;=SemanaActual,INDEX('Cronograma R. Financiero'!$AB$5:$AB$1000,$N26),""),IF(INDEX('Cronograma R. Financiero'!$J$5:$J$1000,$N26)="","",INDEX('Cronograma R. Financiero'!$J$5:$J$1000,$N26))))</f>
        <v/>
      </c>
      <c r="J26" s="68">
        <f>IF($N26="","",INDEX('Cronograma R. Financiero'!$K$5:$K$1000,$N26))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R. Financiero'!$M$5:$M$1000,$N26)&amp;"")</f>
        <v/>
      </c>
      <c r="M26" s="71">
        <f>IF($N26="","",INDEX('Cronograma R. Financiero'!$N$5:$N$1000,$N26)&amp;"")</f>
        <v/>
      </c>
      <c r="N26">
        <f>IFERROR(MATCH(ROW()-4,rOrden_RF,0),"")</f>
        <v/>
      </c>
      <c r="O26">
        <f>IF($N26="","",INDEX('Cronograma R. Financiero'!$S$5:$S$1000,$N26))</f>
        <v/>
      </c>
      <c r="P26">
        <f>IF($N26="","",N(INDEX('Cronograma R. Financiero'!$T$5:$T$1000,$N26)))</f>
        <v/>
      </c>
    </row>
    <row r="27">
      <c r="A27" s="62">
        <f>IF($N27="","",INDEX('Cronograma R. Financiero'!$A$5:$A$1000,$N27))</f>
        <v/>
      </c>
      <c r="B27" s="71">
        <f>IF($N27="","",IF($O27="Sub","      ↳  "&amp;INDEX('Cronograma R. Financiero'!$C$5:$C$1000,$N27),INDEX('Cronograma R. Financiero'!$C$5:$C$1000,$N27)&amp;""))</f>
        <v/>
      </c>
      <c r="C27" s="77">
        <f>IF($N27="","",IF(INDEX('Cronograma R. Financiero'!$D$5:$D$1000,$N27)="","",INDEX('Cronograma R. Financiero'!$D$5:$D$1000,$N27)))</f>
        <v/>
      </c>
      <c r="D27" s="77">
        <f>IF($N27="","",IF(INDEX('Cronograma R. Financiero'!$E$5:$E$1000,$N27)="","",INDEX('Cronograma R. Financiero'!$E$5:$E$1000,$N27)))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R. Financiero'!$Y$5:$Y$1000,$N27),""),IF(INDEX('Cronograma R. Financiero'!$G$5:$G$1000,$N27)="","",INDEX('Cronograma R. Financiero'!$G$5:$G$1000,$N27))))</f>
        <v/>
      </c>
      <c r="G27" s="68">
        <f>IF($N27="","",IF($P27&gt;0,IF(2&lt;=SemanaActual,INDEX('Cronograma R. Financiero'!$Z$5:$Z$1000,$N27),""),IF(INDEX('Cronograma R. Financiero'!$H$5:$H$1000,$N27)="","",INDEX('Cronograma R. Financiero'!$H$5:$H$1000,$N27))))</f>
        <v/>
      </c>
      <c r="H27" s="68">
        <f>IF($N27="","",IF($P27&gt;0,IF(3&lt;=SemanaActual,INDEX('Cronograma R. Financiero'!$AA$5:$AA$1000,$N27),""),IF(INDEX('Cronograma R. Financiero'!$I$5:$I$1000,$N27)="","",INDEX('Cronograma R. Financiero'!$I$5:$I$1000,$N27))))</f>
        <v/>
      </c>
      <c r="I27" s="68">
        <f>IF($N27="","",IF($P27&gt;0,IF(4&lt;=SemanaActual,INDEX('Cronograma R. Financiero'!$AB$5:$AB$1000,$N27),""),IF(INDEX('Cronograma R. Financiero'!$J$5:$J$1000,$N27)="","",INDEX('Cronograma R. Financiero'!$J$5:$J$1000,$N27))))</f>
        <v/>
      </c>
      <c r="J27" s="68">
        <f>IF($N27="","",INDEX('Cronograma R. Financiero'!$K$5:$K$1000,$N27))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R. Financiero'!$M$5:$M$1000,$N27)&amp;"")</f>
        <v/>
      </c>
      <c r="M27" s="71">
        <f>IF($N27="","",INDEX('Cronograma R. Financiero'!$N$5:$N$1000,$N27)&amp;"")</f>
        <v/>
      </c>
      <c r="N27">
        <f>IFERROR(MATCH(ROW()-4,rOrden_RF,0),"")</f>
        <v/>
      </c>
      <c r="O27">
        <f>IF($N27="","",INDEX('Cronograma R. Financiero'!$S$5:$S$1000,$N27))</f>
        <v/>
      </c>
      <c r="P27">
        <f>IF($N27="","",N(INDEX('Cronograma R. Financiero'!$T$5:$T$1000,$N27)))</f>
        <v/>
      </c>
    </row>
    <row r="28">
      <c r="A28" s="62">
        <f>IF($N28="","",INDEX('Cronograma R. Financiero'!$A$5:$A$1000,$N28))</f>
        <v/>
      </c>
      <c r="B28" s="71">
        <f>IF($N28="","",IF($O28="Sub","      ↳  "&amp;INDEX('Cronograma R. Financiero'!$C$5:$C$1000,$N28),INDEX('Cronograma R. Financiero'!$C$5:$C$1000,$N28)&amp;""))</f>
        <v/>
      </c>
      <c r="C28" s="77">
        <f>IF($N28="","",IF(INDEX('Cronograma R. Financiero'!$D$5:$D$1000,$N28)="","",INDEX('Cronograma R. Financiero'!$D$5:$D$1000,$N28)))</f>
        <v/>
      </c>
      <c r="D28" s="77">
        <f>IF($N28="","",IF(INDEX('Cronograma R. Financiero'!$E$5:$E$1000,$N28)="","",INDEX('Cronograma R. Financiero'!$E$5:$E$1000,$N28)))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R. Financiero'!$Y$5:$Y$1000,$N28),""),IF(INDEX('Cronograma R. Financiero'!$G$5:$G$1000,$N28)="","",INDEX('Cronograma R. Financiero'!$G$5:$G$1000,$N28))))</f>
        <v/>
      </c>
      <c r="G28" s="68">
        <f>IF($N28="","",IF($P28&gt;0,IF(2&lt;=SemanaActual,INDEX('Cronograma R. Financiero'!$Z$5:$Z$1000,$N28),""),IF(INDEX('Cronograma R. Financiero'!$H$5:$H$1000,$N28)="","",INDEX('Cronograma R. Financiero'!$H$5:$H$1000,$N28))))</f>
        <v/>
      </c>
      <c r="H28" s="68">
        <f>IF($N28="","",IF($P28&gt;0,IF(3&lt;=SemanaActual,INDEX('Cronograma R. Financiero'!$AA$5:$AA$1000,$N28),""),IF(INDEX('Cronograma R. Financiero'!$I$5:$I$1000,$N28)="","",INDEX('Cronograma R. Financiero'!$I$5:$I$1000,$N28))))</f>
        <v/>
      </c>
      <c r="I28" s="68">
        <f>IF($N28="","",IF($P28&gt;0,IF(4&lt;=SemanaActual,INDEX('Cronograma R. Financiero'!$AB$5:$AB$1000,$N28),""),IF(INDEX('Cronograma R. Financiero'!$J$5:$J$1000,$N28)="","",INDEX('Cronograma R. Financiero'!$J$5:$J$1000,$N28))))</f>
        <v/>
      </c>
      <c r="J28" s="68">
        <f>IF($N28="","",INDEX('Cronograma R. Financiero'!$K$5:$K$1000,$N28))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R. Financiero'!$M$5:$M$1000,$N28)&amp;"")</f>
        <v/>
      </c>
      <c r="M28" s="71">
        <f>IF($N28="","",INDEX('Cronograma R. Financiero'!$N$5:$N$1000,$N28)&amp;"")</f>
        <v/>
      </c>
      <c r="N28">
        <f>IFERROR(MATCH(ROW()-4,rOrden_RF,0),"")</f>
        <v/>
      </c>
      <c r="O28">
        <f>IF($N28="","",INDEX('Cronograma R. Financiero'!$S$5:$S$1000,$N28))</f>
        <v/>
      </c>
      <c r="P28">
        <f>IF($N28="","",N(INDEX('Cronograma R. Financiero'!$T$5:$T$1000,$N28)))</f>
        <v/>
      </c>
    </row>
    <row r="29">
      <c r="A29" s="62">
        <f>IF($N29="","",INDEX('Cronograma R. Financiero'!$A$5:$A$1000,$N29))</f>
        <v/>
      </c>
      <c r="B29" s="71">
        <f>IF($N29="","",IF($O29="Sub","      ↳  "&amp;INDEX('Cronograma R. Financiero'!$C$5:$C$1000,$N29),INDEX('Cronograma R. Financiero'!$C$5:$C$1000,$N29)&amp;""))</f>
        <v/>
      </c>
      <c r="C29" s="77">
        <f>IF($N29="","",IF(INDEX('Cronograma R. Financiero'!$D$5:$D$1000,$N29)="","",INDEX('Cronograma R. Financiero'!$D$5:$D$1000,$N29)))</f>
        <v/>
      </c>
      <c r="D29" s="77">
        <f>IF($N29="","",IF(INDEX('Cronograma R. Financiero'!$E$5:$E$1000,$N29)="","",INDEX('Cronograma R. Financiero'!$E$5:$E$1000,$N29)))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R. Financiero'!$Y$5:$Y$1000,$N29),""),IF(INDEX('Cronograma R. Financiero'!$G$5:$G$1000,$N29)="","",INDEX('Cronograma R. Financiero'!$G$5:$G$1000,$N29))))</f>
        <v/>
      </c>
      <c r="G29" s="68">
        <f>IF($N29="","",IF($P29&gt;0,IF(2&lt;=SemanaActual,INDEX('Cronograma R. Financiero'!$Z$5:$Z$1000,$N29),""),IF(INDEX('Cronograma R. Financiero'!$H$5:$H$1000,$N29)="","",INDEX('Cronograma R. Financiero'!$H$5:$H$1000,$N29))))</f>
        <v/>
      </c>
      <c r="H29" s="68">
        <f>IF($N29="","",IF($P29&gt;0,IF(3&lt;=SemanaActual,INDEX('Cronograma R. Financiero'!$AA$5:$AA$1000,$N29),""),IF(INDEX('Cronograma R. Financiero'!$I$5:$I$1000,$N29)="","",INDEX('Cronograma R. Financiero'!$I$5:$I$1000,$N29))))</f>
        <v/>
      </c>
      <c r="I29" s="68">
        <f>IF($N29="","",IF($P29&gt;0,IF(4&lt;=SemanaActual,INDEX('Cronograma R. Financiero'!$AB$5:$AB$1000,$N29),""),IF(INDEX('Cronograma R. Financiero'!$J$5:$J$1000,$N29)="","",INDEX('Cronograma R. Financiero'!$J$5:$J$1000,$N29))))</f>
        <v/>
      </c>
      <c r="J29" s="68">
        <f>IF($N29="","",INDEX('Cronograma R. Financiero'!$K$5:$K$1000,$N29))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R. Financiero'!$M$5:$M$1000,$N29)&amp;"")</f>
        <v/>
      </c>
      <c r="M29" s="71">
        <f>IF($N29="","",INDEX('Cronograma R. Financiero'!$N$5:$N$1000,$N29)&amp;"")</f>
        <v/>
      </c>
      <c r="N29">
        <f>IFERROR(MATCH(ROW()-4,rOrden_RF,0),"")</f>
        <v/>
      </c>
      <c r="O29">
        <f>IF($N29="","",INDEX('Cronograma R. Financiero'!$S$5:$S$1000,$N29))</f>
        <v/>
      </c>
      <c r="P29">
        <f>IF($N29="","",N(INDEX('Cronograma R. Financiero'!$T$5:$T$1000,$N29)))</f>
        <v/>
      </c>
    </row>
    <row r="30">
      <c r="A30" s="62">
        <f>IF($N30="","",INDEX('Cronograma R. Financiero'!$A$5:$A$1000,$N30))</f>
        <v/>
      </c>
      <c r="B30" s="71">
        <f>IF($N30="","",IF($O30="Sub","      ↳  "&amp;INDEX('Cronograma R. Financiero'!$C$5:$C$1000,$N30),INDEX('Cronograma R. Financiero'!$C$5:$C$1000,$N30)&amp;""))</f>
        <v/>
      </c>
      <c r="C30" s="77">
        <f>IF($N30="","",IF(INDEX('Cronograma R. Financiero'!$D$5:$D$1000,$N30)="","",INDEX('Cronograma R. Financiero'!$D$5:$D$1000,$N30)))</f>
        <v/>
      </c>
      <c r="D30" s="77">
        <f>IF($N30="","",IF(INDEX('Cronograma R. Financiero'!$E$5:$E$1000,$N30)="","",INDEX('Cronograma R. Financiero'!$E$5:$E$1000,$N30)))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R. Financiero'!$Y$5:$Y$1000,$N30),""),IF(INDEX('Cronograma R. Financiero'!$G$5:$G$1000,$N30)="","",INDEX('Cronograma R. Financiero'!$G$5:$G$1000,$N30))))</f>
        <v/>
      </c>
      <c r="G30" s="68">
        <f>IF($N30="","",IF($P30&gt;0,IF(2&lt;=SemanaActual,INDEX('Cronograma R. Financiero'!$Z$5:$Z$1000,$N30),""),IF(INDEX('Cronograma R. Financiero'!$H$5:$H$1000,$N30)="","",INDEX('Cronograma R. Financiero'!$H$5:$H$1000,$N30))))</f>
        <v/>
      </c>
      <c r="H30" s="68">
        <f>IF($N30="","",IF($P30&gt;0,IF(3&lt;=SemanaActual,INDEX('Cronograma R. Financiero'!$AA$5:$AA$1000,$N30),""),IF(INDEX('Cronograma R. Financiero'!$I$5:$I$1000,$N30)="","",INDEX('Cronograma R. Financiero'!$I$5:$I$1000,$N30))))</f>
        <v/>
      </c>
      <c r="I30" s="68">
        <f>IF($N30="","",IF($P30&gt;0,IF(4&lt;=SemanaActual,INDEX('Cronograma R. Financiero'!$AB$5:$AB$1000,$N30),""),IF(INDEX('Cronograma R. Financiero'!$J$5:$J$1000,$N30)="","",INDEX('Cronograma R. Financiero'!$J$5:$J$1000,$N30))))</f>
        <v/>
      </c>
      <c r="J30" s="68">
        <f>IF($N30="","",INDEX('Cronograma R. Financiero'!$K$5:$K$1000,$N30))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R. Financiero'!$M$5:$M$1000,$N30)&amp;"")</f>
        <v/>
      </c>
      <c r="M30" s="71">
        <f>IF($N30="","",INDEX('Cronograma R. Financiero'!$N$5:$N$1000,$N30)&amp;"")</f>
        <v/>
      </c>
      <c r="N30">
        <f>IFERROR(MATCH(ROW()-4,rOrden_RF,0),"")</f>
        <v/>
      </c>
      <c r="O30">
        <f>IF($N30="","",INDEX('Cronograma R. Financiero'!$S$5:$S$1000,$N30))</f>
        <v/>
      </c>
      <c r="P30">
        <f>IF($N30="","",N(INDEX('Cronograma R. Financiero'!$T$5:$T$1000,$N30)))</f>
        <v/>
      </c>
    </row>
    <row r="31">
      <c r="A31" s="62">
        <f>IF($N31="","",INDEX('Cronograma R. Financiero'!$A$5:$A$1000,$N31))</f>
        <v/>
      </c>
      <c r="B31" s="71">
        <f>IF($N31="","",IF($O31="Sub","      ↳  "&amp;INDEX('Cronograma R. Financiero'!$C$5:$C$1000,$N31),INDEX('Cronograma R. Financiero'!$C$5:$C$1000,$N31)&amp;""))</f>
        <v/>
      </c>
      <c r="C31" s="77">
        <f>IF($N31="","",IF(INDEX('Cronograma R. Financiero'!$D$5:$D$1000,$N31)="","",INDEX('Cronograma R. Financiero'!$D$5:$D$1000,$N31)))</f>
        <v/>
      </c>
      <c r="D31" s="77">
        <f>IF($N31="","",IF(INDEX('Cronograma R. Financiero'!$E$5:$E$1000,$N31)="","",INDEX('Cronograma R. Financiero'!$E$5:$E$1000,$N31)))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R. Financiero'!$Y$5:$Y$1000,$N31),""),IF(INDEX('Cronograma R. Financiero'!$G$5:$G$1000,$N31)="","",INDEX('Cronograma R. Financiero'!$G$5:$G$1000,$N31))))</f>
        <v/>
      </c>
      <c r="G31" s="68">
        <f>IF($N31="","",IF($P31&gt;0,IF(2&lt;=SemanaActual,INDEX('Cronograma R. Financiero'!$Z$5:$Z$1000,$N31),""),IF(INDEX('Cronograma R. Financiero'!$H$5:$H$1000,$N31)="","",INDEX('Cronograma R. Financiero'!$H$5:$H$1000,$N31))))</f>
        <v/>
      </c>
      <c r="H31" s="68">
        <f>IF($N31="","",IF($P31&gt;0,IF(3&lt;=SemanaActual,INDEX('Cronograma R. Financiero'!$AA$5:$AA$1000,$N31),""),IF(INDEX('Cronograma R. Financiero'!$I$5:$I$1000,$N31)="","",INDEX('Cronograma R. Financiero'!$I$5:$I$1000,$N31))))</f>
        <v/>
      </c>
      <c r="I31" s="68">
        <f>IF($N31="","",IF($P31&gt;0,IF(4&lt;=SemanaActual,INDEX('Cronograma R. Financiero'!$AB$5:$AB$1000,$N31),""),IF(INDEX('Cronograma R. Financiero'!$J$5:$J$1000,$N31)="","",INDEX('Cronograma R. Financiero'!$J$5:$J$1000,$N31))))</f>
        <v/>
      </c>
      <c r="J31" s="68">
        <f>IF($N31="","",INDEX('Cronograma R. Financiero'!$K$5:$K$1000,$N31))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R. Financiero'!$M$5:$M$1000,$N31)&amp;"")</f>
        <v/>
      </c>
      <c r="M31" s="71">
        <f>IF($N31="","",INDEX('Cronograma R. Financiero'!$N$5:$N$1000,$N31)&amp;"")</f>
        <v/>
      </c>
      <c r="N31">
        <f>IFERROR(MATCH(ROW()-4,rOrden_RF,0),"")</f>
        <v/>
      </c>
      <c r="O31">
        <f>IF($N31="","",INDEX('Cronograma R. Financiero'!$S$5:$S$1000,$N31))</f>
        <v/>
      </c>
      <c r="P31">
        <f>IF($N31="","",N(INDEX('Cronograma R. Financiero'!$T$5:$T$1000,$N31)))</f>
        <v/>
      </c>
    </row>
    <row r="32">
      <c r="A32" s="62">
        <f>IF($N32="","",INDEX('Cronograma R. Financiero'!$A$5:$A$1000,$N32))</f>
        <v/>
      </c>
      <c r="B32" s="71">
        <f>IF($N32="","",IF($O32="Sub","      ↳  "&amp;INDEX('Cronograma R. Financiero'!$C$5:$C$1000,$N32),INDEX('Cronograma R. Financiero'!$C$5:$C$1000,$N32)&amp;""))</f>
        <v/>
      </c>
      <c r="C32" s="77">
        <f>IF($N32="","",IF(INDEX('Cronograma R. Financiero'!$D$5:$D$1000,$N32)="","",INDEX('Cronograma R. Financiero'!$D$5:$D$1000,$N32)))</f>
        <v/>
      </c>
      <c r="D32" s="77">
        <f>IF($N32="","",IF(INDEX('Cronograma R. Financiero'!$E$5:$E$1000,$N32)="","",INDEX('Cronograma R. Financiero'!$E$5:$E$1000,$N32)))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R. Financiero'!$Y$5:$Y$1000,$N32),""),IF(INDEX('Cronograma R. Financiero'!$G$5:$G$1000,$N32)="","",INDEX('Cronograma R. Financiero'!$G$5:$G$1000,$N32))))</f>
        <v/>
      </c>
      <c r="G32" s="68">
        <f>IF($N32="","",IF($P32&gt;0,IF(2&lt;=SemanaActual,INDEX('Cronograma R. Financiero'!$Z$5:$Z$1000,$N32),""),IF(INDEX('Cronograma R. Financiero'!$H$5:$H$1000,$N32)="","",INDEX('Cronograma R. Financiero'!$H$5:$H$1000,$N32))))</f>
        <v/>
      </c>
      <c r="H32" s="68">
        <f>IF($N32="","",IF($P32&gt;0,IF(3&lt;=SemanaActual,INDEX('Cronograma R. Financiero'!$AA$5:$AA$1000,$N32),""),IF(INDEX('Cronograma R. Financiero'!$I$5:$I$1000,$N32)="","",INDEX('Cronograma R. Financiero'!$I$5:$I$1000,$N32))))</f>
        <v/>
      </c>
      <c r="I32" s="68">
        <f>IF($N32="","",IF($P32&gt;0,IF(4&lt;=SemanaActual,INDEX('Cronograma R. Financiero'!$AB$5:$AB$1000,$N32),""),IF(INDEX('Cronograma R. Financiero'!$J$5:$J$1000,$N32)="","",INDEX('Cronograma R. Financiero'!$J$5:$J$1000,$N32))))</f>
        <v/>
      </c>
      <c r="J32" s="68">
        <f>IF($N32="","",INDEX('Cronograma R. Financiero'!$K$5:$K$1000,$N32))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R. Financiero'!$M$5:$M$1000,$N32)&amp;"")</f>
        <v/>
      </c>
      <c r="M32" s="71">
        <f>IF($N32="","",INDEX('Cronograma R. Financiero'!$N$5:$N$1000,$N32)&amp;"")</f>
        <v/>
      </c>
      <c r="N32">
        <f>IFERROR(MATCH(ROW()-4,rOrden_RF,0),"")</f>
        <v/>
      </c>
      <c r="O32">
        <f>IF($N32="","",INDEX('Cronograma R. Financiero'!$S$5:$S$1000,$N32))</f>
        <v/>
      </c>
      <c r="P32">
        <f>IF($N32="","",N(INDEX('Cronograma R. Financiero'!$T$5:$T$1000,$N32)))</f>
        <v/>
      </c>
    </row>
    <row r="33">
      <c r="A33" s="62">
        <f>IF($N33="","",INDEX('Cronograma R. Financiero'!$A$5:$A$1000,$N33))</f>
        <v/>
      </c>
      <c r="B33" s="71">
        <f>IF($N33="","",IF($O33="Sub","      ↳  "&amp;INDEX('Cronograma R. Financiero'!$C$5:$C$1000,$N33),INDEX('Cronograma R. Financiero'!$C$5:$C$1000,$N33)&amp;""))</f>
        <v/>
      </c>
      <c r="C33" s="77">
        <f>IF($N33="","",IF(INDEX('Cronograma R. Financiero'!$D$5:$D$1000,$N33)="","",INDEX('Cronograma R. Financiero'!$D$5:$D$1000,$N33)))</f>
        <v/>
      </c>
      <c r="D33" s="77">
        <f>IF($N33="","",IF(INDEX('Cronograma R. Financiero'!$E$5:$E$1000,$N33)="","",INDEX('Cronograma R. Financiero'!$E$5:$E$1000,$N33)))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R. Financiero'!$Y$5:$Y$1000,$N33),""),IF(INDEX('Cronograma R. Financiero'!$G$5:$G$1000,$N33)="","",INDEX('Cronograma R. Financiero'!$G$5:$G$1000,$N33))))</f>
        <v/>
      </c>
      <c r="G33" s="68">
        <f>IF($N33="","",IF($P33&gt;0,IF(2&lt;=SemanaActual,INDEX('Cronograma R. Financiero'!$Z$5:$Z$1000,$N33),""),IF(INDEX('Cronograma R. Financiero'!$H$5:$H$1000,$N33)="","",INDEX('Cronograma R. Financiero'!$H$5:$H$1000,$N33))))</f>
        <v/>
      </c>
      <c r="H33" s="68">
        <f>IF($N33="","",IF($P33&gt;0,IF(3&lt;=SemanaActual,INDEX('Cronograma R. Financiero'!$AA$5:$AA$1000,$N33),""),IF(INDEX('Cronograma R. Financiero'!$I$5:$I$1000,$N33)="","",INDEX('Cronograma R. Financiero'!$I$5:$I$1000,$N33))))</f>
        <v/>
      </c>
      <c r="I33" s="68">
        <f>IF($N33="","",IF($P33&gt;0,IF(4&lt;=SemanaActual,INDEX('Cronograma R. Financiero'!$AB$5:$AB$1000,$N33),""),IF(INDEX('Cronograma R. Financiero'!$J$5:$J$1000,$N33)="","",INDEX('Cronograma R. Financiero'!$J$5:$J$1000,$N33))))</f>
        <v/>
      </c>
      <c r="J33" s="68">
        <f>IF($N33="","",INDEX('Cronograma R. Financiero'!$K$5:$K$1000,$N33))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R. Financiero'!$M$5:$M$1000,$N33)&amp;"")</f>
        <v/>
      </c>
      <c r="M33" s="71">
        <f>IF($N33="","",INDEX('Cronograma R. Financiero'!$N$5:$N$1000,$N33)&amp;"")</f>
        <v/>
      </c>
      <c r="N33">
        <f>IFERROR(MATCH(ROW()-4,rOrden_RF,0),"")</f>
        <v/>
      </c>
      <c r="O33">
        <f>IF($N33="","",INDEX('Cronograma R. Financiero'!$S$5:$S$1000,$N33))</f>
        <v/>
      </c>
      <c r="P33">
        <f>IF($N33="","",N(INDEX('Cronograma R. Financiero'!$T$5:$T$1000,$N33)))</f>
        <v/>
      </c>
    </row>
    <row r="34">
      <c r="A34" s="62">
        <f>IF($N34="","",INDEX('Cronograma R. Financiero'!$A$5:$A$1000,$N34))</f>
        <v/>
      </c>
      <c r="B34" s="71">
        <f>IF($N34="","",IF($O34="Sub","      ↳  "&amp;INDEX('Cronograma R. Financiero'!$C$5:$C$1000,$N34),INDEX('Cronograma R. Financiero'!$C$5:$C$1000,$N34)&amp;""))</f>
        <v/>
      </c>
      <c r="C34" s="77">
        <f>IF($N34="","",IF(INDEX('Cronograma R. Financiero'!$D$5:$D$1000,$N34)="","",INDEX('Cronograma R. Financiero'!$D$5:$D$1000,$N34)))</f>
        <v/>
      </c>
      <c r="D34" s="77">
        <f>IF($N34="","",IF(INDEX('Cronograma R. Financiero'!$E$5:$E$1000,$N34)="","",INDEX('Cronograma R. Financiero'!$E$5:$E$1000,$N34)))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R. Financiero'!$Y$5:$Y$1000,$N34),""),IF(INDEX('Cronograma R. Financiero'!$G$5:$G$1000,$N34)="","",INDEX('Cronograma R. Financiero'!$G$5:$G$1000,$N34))))</f>
        <v/>
      </c>
      <c r="G34" s="68">
        <f>IF($N34="","",IF($P34&gt;0,IF(2&lt;=SemanaActual,INDEX('Cronograma R. Financiero'!$Z$5:$Z$1000,$N34),""),IF(INDEX('Cronograma R. Financiero'!$H$5:$H$1000,$N34)="","",INDEX('Cronograma R. Financiero'!$H$5:$H$1000,$N34))))</f>
        <v/>
      </c>
      <c r="H34" s="68">
        <f>IF($N34="","",IF($P34&gt;0,IF(3&lt;=SemanaActual,INDEX('Cronograma R. Financiero'!$AA$5:$AA$1000,$N34),""),IF(INDEX('Cronograma R. Financiero'!$I$5:$I$1000,$N34)="","",INDEX('Cronograma R. Financiero'!$I$5:$I$1000,$N34))))</f>
        <v/>
      </c>
      <c r="I34" s="68">
        <f>IF($N34="","",IF($P34&gt;0,IF(4&lt;=SemanaActual,INDEX('Cronograma R. Financiero'!$AB$5:$AB$1000,$N34),""),IF(INDEX('Cronograma R. Financiero'!$J$5:$J$1000,$N34)="","",INDEX('Cronograma R. Financiero'!$J$5:$J$1000,$N34))))</f>
        <v/>
      </c>
      <c r="J34" s="68">
        <f>IF($N34="","",INDEX('Cronograma R. Financiero'!$K$5:$K$1000,$N34))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R. Financiero'!$M$5:$M$1000,$N34)&amp;"")</f>
        <v/>
      </c>
      <c r="M34" s="71">
        <f>IF($N34="","",INDEX('Cronograma R. Financiero'!$N$5:$N$1000,$N34)&amp;"")</f>
        <v/>
      </c>
      <c r="N34">
        <f>IFERROR(MATCH(ROW()-4,rOrden_RF,0),"")</f>
        <v/>
      </c>
      <c r="O34">
        <f>IF($N34="","",INDEX('Cronograma R. Financiero'!$S$5:$S$1000,$N34))</f>
        <v/>
      </c>
      <c r="P34">
        <f>IF($N34="","",N(INDEX('Cronograma R. Financiero'!$T$5:$T$1000,$N34)))</f>
        <v/>
      </c>
    </row>
    <row r="35">
      <c r="A35" s="62">
        <f>IF($N35="","",INDEX('Cronograma R. Financiero'!$A$5:$A$1000,$N35))</f>
        <v/>
      </c>
      <c r="B35" s="71">
        <f>IF($N35="","",IF($O35="Sub","      ↳  "&amp;INDEX('Cronograma R. Financiero'!$C$5:$C$1000,$N35),INDEX('Cronograma R. Financiero'!$C$5:$C$1000,$N35)&amp;""))</f>
        <v/>
      </c>
      <c r="C35" s="77">
        <f>IF($N35="","",IF(INDEX('Cronograma R. Financiero'!$D$5:$D$1000,$N35)="","",INDEX('Cronograma R. Financiero'!$D$5:$D$1000,$N35)))</f>
        <v/>
      </c>
      <c r="D35" s="77">
        <f>IF($N35="","",IF(INDEX('Cronograma R. Financiero'!$E$5:$E$1000,$N35)="","",INDEX('Cronograma R. Financiero'!$E$5:$E$1000,$N35)))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R. Financiero'!$Y$5:$Y$1000,$N35),""),IF(INDEX('Cronograma R. Financiero'!$G$5:$G$1000,$N35)="","",INDEX('Cronograma R. Financiero'!$G$5:$G$1000,$N35))))</f>
        <v/>
      </c>
      <c r="G35" s="68">
        <f>IF($N35="","",IF($P35&gt;0,IF(2&lt;=SemanaActual,INDEX('Cronograma R. Financiero'!$Z$5:$Z$1000,$N35),""),IF(INDEX('Cronograma R. Financiero'!$H$5:$H$1000,$N35)="","",INDEX('Cronograma R. Financiero'!$H$5:$H$1000,$N35))))</f>
        <v/>
      </c>
      <c r="H35" s="68">
        <f>IF($N35="","",IF($P35&gt;0,IF(3&lt;=SemanaActual,INDEX('Cronograma R. Financiero'!$AA$5:$AA$1000,$N35),""),IF(INDEX('Cronograma R. Financiero'!$I$5:$I$1000,$N35)="","",INDEX('Cronograma R. Financiero'!$I$5:$I$1000,$N35))))</f>
        <v/>
      </c>
      <c r="I35" s="68">
        <f>IF($N35="","",IF($P35&gt;0,IF(4&lt;=SemanaActual,INDEX('Cronograma R. Financiero'!$AB$5:$AB$1000,$N35),""),IF(INDEX('Cronograma R. Financiero'!$J$5:$J$1000,$N35)="","",INDEX('Cronograma R. Financiero'!$J$5:$J$1000,$N35))))</f>
        <v/>
      </c>
      <c r="J35" s="68">
        <f>IF($N35="","",INDEX('Cronograma R. Financiero'!$K$5:$K$1000,$N35))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R. Financiero'!$M$5:$M$1000,$N35)&amp;"")</f>
        <v/>
      </c>
      <c r="M35" s="71">
        <f>IF($N35="","",INDEX('Cronograma R. Financiero'!$N$5:$N$1000,$N35)&amp;"")</f>
        <v/>
      </c>
      <c r="N35">
        <f>IFERROR(MATCH(ROW()-4,rOrden_RF,0),"")</f>
        <v/>
      </c>
      <c r="O35">
        <f>IF($N35="","",INDEX('Cronograma R. Financiero'!$S$5:$S$1000,$N35))</f>
        <v/>
      </c>
      <c r="P35">
        <f>IF($N35="","",N(INDEX('Cronograma R. Financiero'!$T$5:$T$1000,$N35)))</f>
        <v/>
      </c>
    </row>
    <row r="36">
      <c r="A36" s="62">
        <f>IF($N36="","",INDEX('Cronograma R. Financiero'!$A$5:$A$1000,$N36))</f>
        <v/>
      </c>
      <c r="B36" s="71">
        <f>IF($N36="","",IF($O36="Sub","      ↳  "&amp;INDEX('Cronograma R. Financiero'!$C$5:$C$1000,$N36),INDEX('Cronograma R. Financiero'!$C$5:$C$1000,$N36)&amp;""))</f>
        <v/>
      </c>
      <c r="C36" s="77">
        <f>IF($N36="","",IF(INDEX('Cronograma R. Financiero'!$D$5:$D$1000,$N36)="","",INDEX('Cronograma R. Financiero'!$D$5:$D$1000,$N36)))</f>
        <v/>
      </c>
      <c r="D36" s="77">
        <f>IF($N36="","",IF(INDEX('Cronograma R. Financiero'!$E$5:$E$1000,$N36)="","",INDEX('Cronograma R. Financiero'!$E$5:$E$1000,$N36)))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R. Financiero'!$Y$5:$Y$1000,$N36),""),IF(INDEX('Cronograma R. Financiero'!$G$5:$G$1000,$N36)="","",INDEX('Cronograma R. Financiero'!$G$5:$G$1000,$N36))))</f>
        <v/>
      </c>
      <c r="G36" s="68">
        <f>IF($N36="","",IF($P36&gt;0,IF(2&lt;=SemanaActual,INDEX('Cronograma R. Financiero'!$Z$5:$Z$1000,$N36),""),IF(INDEX('Cronograma R. Financiero'!$H$5:$H$1000,$N36)="","",INDEX('Cronograma R. Financiero'!$H$5:$H$1000,$N36))))</f>
        <v/>
      </c>
      <c r="H36" s="68">
        <f>IF($N36="","",IF($P36&gt;0,IF(3&lt;=SemanaActual,INDEX('Cronograma R. Financiero'!$AA$5:$AA$1000,$N36),""),IF(INDEX('Cronograma R. Financiero'!$I$5:$I$1000,$N36)="","",INDEX('Cronograma R. Financiero'!$I$5:$I$1000,$N36))))</f>
        <v/>
      </c>
      <c r="I36" s="68">
        <f>IF($N36="","",IF($P36&gt;0,IF(4&lt;=SemanaActual,INDEX('Cronograma R. Financiero'!$AB$5:$AB$1000,$N36),""),IF(INDEX('Cronograma R. Financiero'!$J$5:$J$1000,$N36)="","",INDEX('Cronograma R. Financiero'!$J$5:$J$1000,$N36))))</f>
        <v/>
      </c>
      <c r="J36" s="68">
        <f>IF($N36="","",INDEX('Cronograma R. Financiero'!$K$5:$K$1000,$N36))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R. Financiero'!$M$5:$M$1000,$N36)&amp;"")</f>
        <v/>
      </c>
      <c r="M36" s="71">
        <f>IF($N36="","",INDEX('Cronograma R. Financiero'!$N$5:$N$1000,$N36)&amp;"")</f>
        <v/>
      </c>
      <c r="N36">
        <f>IFERROR(MATCH(ROW()-4,rOrden_RF,0),"")</f>
        <v/>
      </c>
      <c r="O36">
        <f>IF($N36="","",INDEX('Cronograma R. Financiero'!$S$5:$S$1000,$N36))</f>
        <v/>
      </c>
      <c r="P36">
        <f>IF($N36="","",N(INDEX('Cronograma R. Financiero'!$T$5:$T$1000,$N36)))</f>
        <v/>
      </c>
    </row>
    <row r="37">
      <c r="A37" s="62">
        <f>IF($N37="","",INDEX('Cronograma R. Financiero'!$A$5:$A$1000,$N37))</f>
        <v/>
      </c>
      <c r="B37" s="71">
        <f>IF($N37="","",IF($O37="Sub","      ↳  "&amp;INDEX('Cronograma R. Financiero'!$C$5:$C$1000,$N37),INDEX('Cronograma R. Financiero'!$C$5:$C$1000,$N37)&amp;""))</f>
        <v/>
      </c>
      <c r="C37" s="77">
        <f>IF($N37="","",IF(INDEX('Cronograma R. Financiero'!$D$5:$D$1000,$N37)="","",INDEX('Cronograma R. Financiero'!$D$5:$D$1000,$N37)))</f>
        <v/>
      </c>
      <c r="D37" s="77">
        <f>IF($N37="","",IF(INDEX('Cronograma R. Financiero'!$E$5:$E$1000,$N37)="","",INDEX('Cronograma R. Financiero'!$E$5:$E$1000,$N37)))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R. Financiero'!$Y$5:$Y$1000,$N37),""),IF(INDEX('Cronograma R. Financiero'!$G$5:$G$1000,$N37)="","",INDEX('Cronograma R. Financiero'!$G$5:$G$1000,$N37))))</f>
        <v/>
      </c>
      <c r="G37" s="68">
        <f>IF($N37="","",IF($P37&gt;0,IF(2&lt;=SemanaActual,INDEX('Cronograma R. Financiero'!$Z$5:$Z$1000,$N37),""),IF(INDEX('Cronograma R. Financiero'!$H$5:$H$1000,$N37)="","",INDEX('Cronograma R. Financiero'!$H$5:$H$1000,$N37))))</f>
        <v/>
      </c>
      <c r="H37" s="68">
        <f>IF($N37="","",IF($P37&gt;0,IF(3&lt;=SemanaActual,INDEX('Cronograma R. Financiero'!$AA$5:$AA$1000,$N37),""),IF(INDEX('Cronograma R. Financiero'!$I$5:$I$1000,$N37)="","",INDEX('Cronograma R. Financiero'!$I$5:$I$1000,$N37))))</f>
        <v/>
      </c>
      <c r="I37" s="68">
        <f>IF($N37="","",IF($P37&gt;0,IF(4&lt;=SemanaActual,INDEX('Cronograma R. Financiero'!$AB$5:$AB$1000,$N37),""),IF(INDEX('Cronograma R. Financiero'!$J$5:$J$1000,$N37)="","",INDEX('Cronograma R. Financiero'!$J$5:$J$1000,$N37))))</f>
        <v/>
      </c>
      <c r="J37" s="68">
        <f>IF($N37="","",INDEX('Cronograma R. Financiero'!$K$5:$K$1000,$N37))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R. Financiero'!$M$5:$M$1000,$N37)&amp;"")</f>
        <v/>
      </c>
      <c r="M37" s="71">
        <f>IF($N37="","",INDEX('Cronograma R. Financiero'!$N$5:$N$1000,$N37)&amp;"")</f>
        <v/>
      </c>
      <c r="N37">
        <f>IFERROR(MATCH(ROW()-4,rOrden_RF,0),"")</f>
        <v/>
      </c>
      <c r="O37">
        <f>IF($N37="","",INDEX('Cronograma R. Financiero'!$S$5:$S$1000,$N37))</f>
        <v/>
      </c>
      <c r="P37">
        <f>IF($N37="","",N(INDEX('Cronograma R. Financiero'!$T$5:$T$1000,$N37)))</f>
        <v/>
      </c>
    </row>
    <row r="38">
      <c r="A38" s="62">
        <f>IF($N38="","",INDEX('Cronograma R. Financiero'!$A$5:$A$1000,$N38))</f>
        <v/>
      </c>
      <c r="B38" s="71">
        <f>IF($N38="","",IF($O38="Sub","      ↳  "&amp;INDEX('Cronograma R. Financiero'!$C$5:$C$1000,$N38),INDEX('Cronograma R. Financiero'!$C$5:$C$1000,$N38)&amp;""))</f>
        <v/>
      </c>
      <c r="C38" s="77">
        <f>IF($N38="","",IF(INDEX('Cronograma R. Financiero'!$D$5:$D$1000,$N38)="","",INDEX('Cronograma R. Financiero'!$D$5:$D$1000,$N38)))</f>
        <v/>
      </c>
      <c r="D38" s="77">
        <f>IF($N38="","",IF(INDEX('Cronograma R. Financiero'!$E$5:$E$1000,$N38)="","",INDEX('Cronograma R. Financiero'!$E$5:$E$1000,$N38)))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R. Financiero'!$Y$5:$Y$1000,$N38),""),IF(INDEX('Cronograma R. Financiero'!$G$5:$G$1000,$N38)="","",INDEX('Cronograma R. Financiero'!$G$5:$G$1000,$N38))))</f>
        <v/>
      </c>
      <c r="G38" s="68">
        <f>IF($N38="","",IF($P38&gt;0,IF(2&lt;=SemanaActual,INDEX('Cronograma R. Financiero'!$Z$5:$Z$1000,$N38),""),IF(INDEX('Cronograma R. Financiero'!$H$5:$H$1000,$N38)="","",INDEX('Cronograma R. Financiero'!$H$5:$H$1000,$N38))))</f>
        <v/>
      </c>
      <c r="H38" s="68">
        <f>IF($N38="","",IF($P38&gt;0,IF(3&lt;=SemanaActual,INDEX('Cronograma R. Financiero'!$AA$5:$AA$1000,$N38),""),IF(INDEX('Cronograma R. Financiero'!$I$5:$I$1000,$N38)="","",INDEX('Cronograma R. Financiero'!$I$5:$I$1000,$N38))))</f>
        <v/>
      </c>
      <c r="I38" s="68">
        <f>IF($N38="","",IF($P38&gt;0,IF(4&lt;=SemanaActual,INDEX('Cronograma R. Financiero'!$AB$5:$AB$1000,$N38),""),IF(INDEX('Cronograma R. Financiero'!$J$5:$J$1000,$N38)="","",INDEX('Cronograma R. Financiero'!$J$5:$J$1000,$N38))))</f>
        <v/>
      </c>
      <c r="J38" s="68">
        <f>IF($N38="","",INDEX('Cronograma R. Financiero'!$K$5:$K$1000,$N38))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R. Financiero'!$M$5:$M$1000,$N38)&amp;"")</f>
        <v/>
      </c>
      <c r="M38" s="71">
        <f>IF($N38="","",INDEX('Cronograma R. Financiero'!$N$5:$N$1000,$N38)&amp;"")</f>
        <v/>
      </c>
      <c r="N38">
        <f>IFERROR(MATCH(ROW()-4,rOrden_RF,0),"")</f>
        <v/>
      </c>
      <c r="O38">
        <f>IF($N38="","",INDEX('Cronograma R. Financiero'!$S$5:$S$1000,$N38))</f>
        <v/>
      </c>
      <c r="P38">
        <f>IF($N38="","",N(INDEX('Cronograma R. Financiero'!$T$5:$T$1000,$N38)))</f>
        <v/>
      </c>
    </row>
    <row r="39">
      <c r="A39" s="62">
        <f>IF($N39="","",INDEX('Cronograma R. Financiero'!$A$5:$A$1000,$N39))</f>
        <v/>
      </c>
      <c r="B39" s="71">
        <f>IF($N39="","",IF($O39="Sub","      ↳  "&amp;INDEX('Cronograma R. Financiero'!$C$5:$C$1000,$N39),INDEX('Cronograma R. Financiero'!$C$5:$C$1000,$N39)&amp;""))</f>
        <v/>
      </c>
      <c r="C39" s="77">
        <f>IF($N39="","",IF(INDEX('Cronograma R. Financiero'!$D$5:$D$1000,$N39)="","",INDEX('Cronograma R. Financiero'!$D$5:$D$1000,$N39)))</f>
        <v/>
      </c>
      <c r="D39" s="77">
        <f>IF($N39="","",IF(INDEX('Cronograma R. Financiero'!$E$5:$E$1000,$N39)="","",INDEX('Cronograma R. Financiero'!$E$5:$E$1000,$N39)))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R. Financiero'!$Y$5:$Y$1000,$N39),""),IF(INDEX('Cronograma R. Financiero'!$G$5:$G$1000,$N39)="","",INDEX('Cronograma R. Financiero'!$G$5:$G$1000,$N39))))</f>
        <v/>
      </c>
      <c r="G39" s="68">
        <f>IF($N39="","",IF($P39&gt;0,IF(2&lt;=SemanaActual,INDEX('Cronograma R. Financiero'!$Z$5:$Z$1000,$N39),""),IF(INDEX('Cronograma R. Financiero'!$H$5:$H$1000,$N39)="","",INDEX('Cronograma R. Financiero'!$H$5:$H$1000,$N39))))</f>
        <v/>
      </c>
      <c r="H39" s="68">
        <f>IF($N39="","",IF($P39&gt;0,IF(3&lt;=SemanaActual,INDEX('Cronograma R. Financiero'!$AA$5:$AA$1000,$N39),""),IF(INDEX('Cronograma R. Financiero'!$I$5:$I$1000,$N39)="","",INDEX('Cronograma R. Financiero'!$I$5:$I$1000,$N39))))</f>
        <v/>
      </c>
      <c r="I39" s="68">
        <f>IF($N39="","",IF($P39&gt;0,IF(4&lt;=SemanaActual,INDEX('Cronograma R. Financiero'!$AB$5:$AB$1000,$N39),""),IF(INDEX('Cronograma R. Financiero'!$J$5:$J$1000,$N39)="","",INDEX('Cronograma R. Financiero'!$J$5:$J$1000,$N39))))</f>
        <v/>
      </c>
      <c r="J39" s="68">
        <f>IF($N39="","",INDEX('Cronograma R. Financiero'!$K$5:$K$1000,$N39))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R. Financiero'!$M$5:$M$1000,$N39)&amp;"")</f>
        <v/>
      </c>
      <c r="M39" s="71">
        <f>IF($N39="","",INDEX('Cronograma R. Financiero'!$N$5:$N$1000,$N39)&amp;"")</f>
        <v/>
      </c>
      <c r="N39">
        <f>IFERROR(MATCH(ROW()-4,rOrden_RF,0),"")</f>
        <v/>
      </c>
      <c r="O39">
        <f>IF($N39="","",INDEX('Cronograma R. Financiero'!$S$5:$S$1000,$N39))</f>
        <v/>
      </c>
      <c r="P39">
        <f>IF($N39="","",N(INDEX('Cronograma R. Financiero'!$T$5:$T$1000,$N39)))</f>
        <v/>
      </c>
    </row>
    <row r="40">
      <c r="A40" s="62">
        <f>IF($N40="","",INDEX('Cronograma R. Financiero'!$A$5:$A$1000,$N40))</f>
        <v/>
      </c>
      <c r="B40" s="71">
        <f>IF($N40="","",IF($O40="Sub","      ↳  "&amp;INDEX('Cronograma R. Financiero'!$C$5:$C$1000,$N40),INDEX('Cronograma R. Financiero'!$C$5:$C$1000,$N40)&amp;""))</f>
        <v/>
      </c>
      <c r="C40" s="77">
        <f>IF($N40="","",IF(INDEX('Cronograma R. Financiero'!$D$5:$D$1000,$N40)="","",INDEX('Cronograma R. Financiero'!$D$5:$D$1000,$N40)))</f>
        <v/>
      </c>
      <c r="D40" s="77">
        <f>IF($N40="","",IF(INDEX('Cronograma R. Financiero'!$E$5:$E$1000,$N40)="","",INDEX('Cronograma R. Financiero'!$E$5:$E$1000,$N40)))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R. Financiero'!$Y$5:$Y$1000,$N40),""),IF(INDEX('Cronograma R. Financiero'!$G$5:$G$1000,$N40)="","",INDEX('Cronograma R. Financiero'!$G$5:$G$1000,$N40))))</f>
        <v/>
      </c>
      <c r="G40" s="68">
        <f>IF($N40="","",IF($P40&gt;0,IF(2&lt;=SemanaActual,INDEX('Cronograma R. Financiero'!$Z$5:$Z$1000,$N40),""),IF(INDEX('Cronograma R. Financiero'!$H$5:$H$1000,$N40)="","",INDEX('Cronograma R. Financiero'!$H$5:$H$1000,$N40))))</f>
        <v/>
      </c>
      <c r="H40" s="68">
        <f>IF($N40="","",IF($P40&gt;0,IF(3&lt;=SemanaActual,INDEX('Cronograma R. Financiero'!$AA$5:$AA$1000,$N40),""),IF(INDEX('Cronograma R. Financiero'!$I$5:$I$1000,$N40)="","",INDEX('Cronograma R. Financiero'!$I$5:$I$1000,$N40))))</f>
        <v/>
      </c>
      <c r="I40" s="68">
        <f>IF($N40="","",IF($P40&gt;0,IF(4&lt;=SemanaActual,INDEX('Cronograma R. Financiero'!$AB$5:$AB$1000,$N40),""),IF(INDEX('Cronograma R. Financiero'!$J$5:$J$1000,$N40)="","",INDEX('Cronograma R. Financiero'!$J$5:$J$1000,$N40))))</f>
        <v/>
      </c>
      <c r="J40" s="68">
        <f>IF($N40="","",INDEX('Cronograma R. Financiero'!$K$5:$K$1000,$N40))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R. Financiero'!$M$5:$M$1000,$N40)&amp;"")</f>
        <v/>
      </c>
      <c r="M40" s="71">
        <f>IF($N40="","",INDEX('Cronograma R. Financiero'!$N$5:$N$1000,$N40)&amp;"")</f>
        <v/>
      </c>
      <c r="N40">
        <f>IFERROR(MATCH(ROW()-4,rOrden_RF,0),"")</f>
        <v/>
      </c>
      <c r="O40">
        <f>IF($N40="","",INDEX('Cronograma R. Financiero'!$S$5:$S$1000,$N40))</f>
        <v/>
      </c>
      <c r="P40">
        <f>IF($N40="","",N(INDEX('Cronograma R. Financiero'!$T$5:$T$1000,$N40)))</f>
        <v/>
      </c>
    </row>
    <row r="41">
      <c r="A41" s="62">
        <f>IF($N41="","",INDEX('Cronograma R. Financiero'!$A$5:$A$1000,$N41))</f>
        <v/>
      </c>
      <c r="B41" s="71">
        <f>IF($N41="","",IF($O41="Sub","      ↳  "&amp;INDEX('Cronograma R. Financiero'!$C$5:$C$1000,$N41),INDEX('Cronograma R. Financiero'!$C$5:$C$1000,$N41)&amp;""))</f>
        <v/>
      </c>
      <c r="C41" s="77">
        <f>IF($N41="","",IF(INDEX('Cronograma R. Financiero'!$D$5:$D$1000,$N41)="","",INDEX('Cronograma R. Financiero'!$D$5:$D$1000,$N41)))</f>
        <v/>
      </c>
      <c r="D41" s="77">
        <f>IF($N41="","",IF(INDEX('Cronograma R. Financiero'!$E$5:$E$1000,$N41)="","",INDEX('Cronograma R. Financiero'!$E$5:$E$1000,$N41)))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R. Financiero'!$Y$5:$Y$1000,$N41),""),IF(INDEX('Cronograma R. Financiero'!$G$5:$G$1000,$N41)="","",INDEX('Cronograma R. Financiero'!$G$5:$G$1000,$N41))))</f>
        <v/>
      </c>
      <c r="G41" s="68">
        <f>IF($N41="","",IF($P41&gt;0,IF(2&lt;=SemanaActual,INDEX('Cronograma R. Financiero'!$Z$5:$Z$1000,$N41),""),IF(INDEX('Cronograma R. Financiero'!$H$5:$H$1000,$N41)="","",INDEX('Cronograma R. Financiero'!$H$5:$H$1000,$N41))))</f>
        <v/>
      </c>
      <c r="H41" s="68">
        <f>IF($N41="","",IF($P41&gt;0,IF(3&lt;=SemanaActual,INDEX('Cronograma R. Financiero'!$AA$5:$AA$1000,$N41),""),IF(INDEX('Cronograma R. Financiero'!$I$5:$I$1000,$N41)="","",INDEX('Cronograma R. Financiero'!$I$5:$I$1000,$N41))))</f>
        <v/>
      </c>
      <c r="I41" s="68">
        <f>IF($N41="","",IF($P41&gt;0,IF(4&lt;=SemanaActual,INDEX('Cronograma R. Financiero'!$AB$5:$AB$1000,$N41),""),IF(INDEX('Cronograma R. Financiero'!$J$5:$J$1000,$N41)="","",INDEX('Cronograma R. Financiero'!$J$5:$J$1000,$N41))))</f>
        <v/>
      </c>
      <c r="J41" s="68">
        <f>IF($N41="","",INDEX('Cronograma R. Financiero'!$K$5:$K$1000,$N41))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R. Financiero'!$M$5:$M$1000,$N41)&amp;"")</f>
        <v/>
      </c>
      <c r="M41" s="71">
        <f>IF($N41="","",INDEX('Cronograma R. Financiero'!$N$5:$N$1000,$N41)&amp;"")</f>
        <v/>
      </c>
      <c r="N41">
        <f>IFERROR(MATCH(ROW()-4,rOrden_RF,0),"")</f>
        <v/>
      </c>
      <c r="O41">
        <f>IF($N41="","",INDEX('Cronograma R. Financiero'!$S$5:$S$1000,$N41))</f>
        <v/>
      </c>
      <c r="P41">
        <f>IF($N41="","",N(INDEX('Cronograma R. Financiero'!$T$5:$T$1000,$N41)))</f>
        <v/>
      </c>
    </row>
    <row r="42">
      <c r="A42" s="62">
        <f>IF($N42="","",INDEX('Cronograma R. Financiero'!$A$5:$A$1000,$N42))</f>
        <v/>
      </c>
      <c r="B42" s="71">
        <f>IF($N42="","",IF($O42="Sub","      ↳  "&amp;INDEX('Cronograma R. Financiero'!$C$5:$C$1000,$N42),INDEX('Cronograma R. Financiero'!$C$5:$C$1000,$N42)&amp;""))</f>
        <v/>
      </c>
      <c r="C42" s="77">
        <f>IF($N42="","",IF(INDEX('Cronograma R. Financiero'!$D$5:$D$1000,$N42)="","",INDEX('Cronograma R. Financiero'!$D$5:$D$1000,$N42)))</f>
        <v/>
      </c>
      <c r="D42" s="77">
        <f>IF($N42="","",IF(INDEX('Cronograma R. Financiero'!$E$5:$E$1000,$N42)="","",INDEX('Cronograma R. Financiero'!$E$5:$E$1000,$N42)))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R. Financiero'!$Y$5:$Y$1000,$N42),""),IF(INDEX('Cronograma R. Financiero'!$G$5:$G$1000,$N42)="","",INDEX('Cronograma R. Financiero'!$G$5:$G$1000,$N42))))</f>
        <v/>
      </c>
      <c r="G42" s="68">
        <f>IF($N42="","",IF($P42&gt;0,IF(2&lt;=SemanaActual,INDEX('Cronograma R. Financiero'!$Z$5:$Z$1000,$N42),""),IF(INDEX('Cronograma R. Financiero'!$H$5:$H$1000,$N42)="","",INDEX('Cronograma R. Financiero'!$H$5:$H$1000,$N42))))</f>
        <v/>
      </c>
      <c r="H42" s="68">
        <f>IF($N42="","",IF($P42&gt;0,IF(3&lt;=SemanaActual,INDEX('Cronograma R. Financiero'!$AA$5:$AA$1000,$N42),""),IF(INDEX('Cronograma R. Financiero'!$I$5:$I$1000,$N42)="","",INDEX('Cronograma R. Financiero'!$I$5:$I$1000,$N42))))</f>
        <v/>
      </c>
      <c r="I42" s="68">
        <f>IF($N42="","",IF($P42&gt;0,IF(4&lt;=SemanaActual,INDEX('Cronograma R. Financiero'!$AB$5:$AB$1000,$N42),""),IF(INDEX('Cronograma R. Financiero'!$J$5:$J$1000,$N42)="","",INDEX('Cronograma R. Financiero'!$J$5:$J$1000,$N42))))</f>
        <v/>
      </c>
      <c r="J42" s="68">
        <f>IF($N42="","",INDEX('Cronograma R. Financiero'!$K$5:$K$1000,$N42))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R. Financiero'!$M$5:$M$1000,$N42)&amp;"")</f>
        <v/>
      </c>
      <c r="M42" s="71">
        <f>IF($N42="","",INDEX('Cronograma R. Financiero'!$N$5:$N$1000,$N42)&amp;"")</f>
        <v/>
      </c>
      <c r="N42">
        <f>IFERROR(MATCH(ROW()-4,rOrden_RF,0),"")</f>
        <v/>
      </c>
      <c r="O42">
        <f>IF($N42="","",INDEX('Cronograma R. Financiero'!$S$5:$S$1000,$N42))</f>
        <v/>
      </c>
      <c r="P42">
        <f>IF($N42="","",N(INDEX('Cronograma R. Financiero'!$T$5:$T$1000,$N42)))</f>
        <v/>
      </c>
    </row>
    <row r="43">
      <c r="A43" s="62">
        <f>IF($N43="","",INDEX('Cronograma R. Financiero'!$A$5:$A$1000,$N43))</f>
        <v/>
      </c>
      <c r="B43" s="71">
        <f>IF($N43="","",IF($O43="Sub","      ↳  "&amp;INDEX('Cronograma R. Financiero'!$C$5:$C$1000,$N43),INDEX('Cronograma R. Financiero'!$C$5:$C$1000,$N43)&amp;""))</f>
        <v/>
      </c>
      <c r="C43" s="77">
        <f>IF($N43="","",IF(INDEX('Cronograma R. Financiero'!$D$5:$D$1000,$N43)="","",INDEX('Cronograma R. Financiero'!$D$5:$D$1000,$N43)))</f>
        <v/>
      </c>
      <c r="D43" s="77">
        <f>IF($N43="","",IF(INDEX('Cronograma R. Financiero'!$E$5:$E$1000,$N43)="","",INDEX('Cronograma R. Financiero'!$E$5:$E$1000,$N43)))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R. Financiero'!$Y$5:$Y$1000,$N43),""),IF(INDEX('Cronograma R. Financiero'!$G$5:$G$1000,$N43)="","",INDEX('Cronograma R. Financiero'!$G$5:$G$1000,$N43))))</f>
        <v/>
      </c>
      <c r="G43" s="68">
        <f>IF($N43="","",IF($P43&gt;0,IF(2&lt;=SemanaActual,INDEX('Cronograma R. Financiero'!$Z$5:$Z$1000,$N43),""),IF(INDEX('Cronograma R. Financiero'!$H$5:$H$1000,$N43)="","",INDEX('Cronograma R. Financiero'!$H$5:$H$1000,$N43))))</f>
        <v/>
      </c>
      <c r="H43" s="68">
        <f>IF($N43="","",IF($P43&gt;0,IF(3&lt;=SemanaActual,INDEX('Cronograma R. Financiero'!$AA$5:$AA$1000,$N43),""),IF(INDEX('Cronograma R. Financiero'!$I$5:$I$1000,$N43)="","",INDEX('Cronograma R. Financiero'!$I$5:$I$1000,$N43))))</f>
        <v/>
      </c>
      <c r="I43" s="68">
        <f>IF($N43="","",IF($P43&gt;0,IF(4&lt;=SemanaActual,INDEX('Cronograma R. Financiero'!$AB$5:$AB$1000,$N43),""),IF(INDEX('Cronograma R. Financiero'!$J$5:$J$1000,$N43)="","",INDEX('Cronograma R. Financiero'!$J$5:$J$1000,$N43))))</f>
        <v/>
      </c>
      <c r="J43" s="68">
        <f>IF($N43="","",INDEX('Cronograma R. Financiero'!$K$5:$K$1000,$N43))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R. Financiero'!$M$5:$M$1000,$N43)&amp;"")</f>
        <v/>
      </c>
      <c r="M43" s="71">
        <f>IF($N43="","",INDEX('Cronograma R. Financiero'!$N$5:$N$1000,$N43)&amp;"")</f>
        <v/>
      </c>
      <c r="N43">
        <f>IFERROR(MATCH(ROW()-4,rOrden_RF,0),"")</f>
        <v/>
      </c>
      <c r="O43">
        <f>IF($N43="","",INDEX('Cronograma R. Financiero'!$S$5:$S$1000,$N43))</f>
        <v/>
      </c>
      <c r="P43">
        <f>IF($N43="","",N(INDEX('Cronograma R. Financiero'!$T$5:$T$1000,$N43)))</f>
        <v/>
      </c>
    </row>
    <row r="44">
      <c r="A44" s="62">
        <f>IF($N44="","",INDEX('Cronograma R. Financiero'!$A$5:$A$1000,$N44))</f>
        <v/>
      </c>
      <c r="B44" s="71">
        <f>IF($N44="","",IF($O44="Sub","      ↳  "&amp;INDEX('Cronograma R. Financiero'!$C$5:$C$1000,$N44),INDEX('Cronograma R. Financiero'!$C$5:$C$1000,$N44)&amp;""))</f>
        <v/>
      </c>
      <c r="C44" s="77">
        <f>IF($N44="","",IF(INDEX('Cronograma R. Financiero'!$D$5:$D$1000,$N44)="","",INDEX('Cronograma R. Financiero'!$D$5:$D$1000,$N44)))</f>
        <v/>
      </c>
      <c r="D44" s="77">
        <f>IF($N44="","",IF(INDEX('Cronograma R. Financiero'!$E$5:$E$1000,$N44)="","",INDEX('Cronograma R. Financiero'!$E$5:$E$1000,$N44)))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R. Financiero'!$Y$5:$Y$1000,$N44),""),IF(INDEX('Cronograma R. Financiero'!$G$5:$G$1000,$N44)="","",INDEX('Cronograma R. Financiero'!$G$5:$G$1000,$N44))))</f>
        <v/>
      </c>
      <c r="G44" s="68">
        <f>IF($N44="","",IF($P44&gt;0,IF(2&lt;=SemanaActual,INDEX('Cronograma R. Financiero'!$Z$5:$Z$1000,$N44),""),IF(INDEX('Cronograma R. Financiero'!$H$5:$H$1000,$N44)="","",INDEX('Cronograma R. Financiero'!$H$5:$H$1000,$N44))))</f>
        <v/>
      </c>
      <c r="H44" s="68">
        <f>IF($N44="","",IF($P44&gt;0,IF(3&lt;=SemanaActual,INDEX('Cronograma R. Financiero'!$AA$5:$AA$1000,$N44),""),IF(INDEX('Cronograma R. Financiero'!$I$5:$I$1000,$N44)="","",INDEX('Cronograma R. Financiero'!$I$5:$I$1000,$N44))))</f>
        <v/>
      </c>
      <c r="I44" s="68">
        <f>IF($N44="","",IF($P44&gt;0,IF(4&lt;=SemanaActual,INDEX('Cronograma R. Financiero'!$AB$5:$AB$1000,$N44),""),IF(INDEX('Cronograma R. Financiero'!$J$5:$J$1000,$N44)="","",INDEX('Cronograma R. Financiero'!$J$5:$J$1000,$N44))))</f>
        <v/>
      </c>
      <c r="J44" s="68">
        <f>IF($N44="","",INDEX('Cronograma R. Financiero'!$K$5:$K$1000,$N44))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R. Financiero'!$M$5:$M$1000,$N44)&amp;"")</f>
        <v/>
      </c>
      <c r="M44" s="71">
        <f>IF($N44="","",INDEX('Cronograma R. Financiero'!$N$5:$N$1000,$N44)&amp;"")</f>
        <v/>
      </c>
      <c r="N44">
        <f>IFERROR(MATCH(ROW()-4,rOrden_RF,0),"")</f>
        <v/>
      </c>
      <c r="O44">
        <f>IF($N44="","",INDEX('Cronograma R. Financiero'!$S$5:$S$1000,$N44))</f>
        <v/>
      </c>
      <c r="P44">
        <f>IF($N44="","",N(INDEX('Cronograma R. Financiero'!$T$5:$T$1000,$N44)))</f>
        <v/>
      </c>
    </row>
    <row r="45">
      <c r="A45" s="62">
        <f>IF($N45="","",INDEX('Cronograma R. Financiero'!$A$5:$A$1000,$N45))</f>
        <v/>
      </c>
      <c r="B45" s="71">
        <f>IF($N45="","",IF($O45="Sub","      ↳  "&amp;INDEX('Cronograma R. Financiero'!$C$5:$C$1000,$N45),INDEX('Cronograma R. Financiero'!$C$5:$C$1000,$N45)&amp;""))</f>
        <v/>
      </c>
      <c r="C45" s="77">
        <f>IF($N45="","",IF(INDEX('Cronograma R. Financiero'!$D$5:$D$1000,$N45)="","",INDEX('Cronograma R. Financiero'!$D$5:$D$1000,$N45)))</f>
        <v/>
      </c>
      <c r="D45" s="77">
        <f>IF($N45="","",IF(INDEX('Cronograma R. Financiero'!$E$5:$E$1000,$N45)="","",INDEX('Cronograma R. Financiero'!$E$5:$E$1000,$N45)))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R. Financiero'!$Y$5:$Y$1000,$N45),""),IF(INDEX('Cronograma R. Financiero'!$G$5:$G$1000,$N45)="","",INDEX('Cronograma R. Financiero'!$G$5:$G$1000,$N45))))</f>
        <v/>
      </c>
      <c r="G45" s="68">
        <f>IF($N45="","",IF($P45&gt;0,IF(2&lt;=SemanaActual,INDEX('Cronograma R. Financiero'!$Z$5:$Z$1000,$N45),""),IF(INDEX('Cronograma R. Financiero'!$H$5:$H$1000,$N45)="","",INDEX('Cronograma R. Financiero'!$H$5:$H$1000,$N45))))</f>
        <v/>
      </c>
      <c r="H45" s="68">
        <f>IF($N45="","",IF($P45&gt;0,IF(3&lt;=SemanaActual,INDEX('Cronograma R. Financiero'!$AA$5:$AA$1000,$N45),""),IF(INDEX('Cronograma R. Financiero'!$I$5:$I$1000,$N45)="","",INDEX('Cronograma R. Financiero'!$I$5:$I$1000,$N45))))</f>
        <v/>
      </c>
      <c r="I45" s="68">
        <f>IF($N45="","",IF($P45&gt;0,IF(4&lt;=SemanaActual,INDEX('Cronograma R. Financiero'!$AB$5:$AB$1000,$N45),""),IF(INDEX('Cronograma R. Financiero'!$J$5:$J$1000,$N45)="","",INDEX('Cronograma R. Financiero'!$J$5:$J$1000,$N45))))</f>
        <v/>
      </c>
      <c r="J45" s="68">
        <f>IF($N45="","",INDEX('Cronograma R. Financiero'!$K$5:$K$1000,$N45))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R. Financiero'!$M$5:$M$1000,$N45)&amp;"")</f>
        <v/>
      </c>
      <c r="M45" s="71">
        <f>IF($N45="","",INDEX('Cronograma R. Financiero'!$N$5:$N$1000,$N45)&amp;"")</f>
        <v/>
      </c>
      <c r="N45">
        <f>IFERROR(MATCH(ROW()-4,rOrden_RF,0),"")</f>
        <v/>
      </c>
      <c r="O45">
        <f>IF($N45="","",INDEX('Cronograma R. Financiero'!$S$5:$S$1000,$N45))</f>
        <v/>
      </c>
      <c r="P45">
        <f>IF($N45="","",N(INDEX('Cronograma R. Financiero'!$T$5:$T$1000,$N45)))</f>
        <v/>
      </c>
    </row>
    <row r="46">
      <c r="A46" s="62">
        <f>IF($N46="","",INDEX('Cronograma R. Financiero'!$A$5:$A$1000,$N46))</f>
        <v/>
      </c>
      <c r="B46" s="71">
        <f>IF($N46="","",IF($O46="Sub","      ↳  "&amp;INDEX('Cronograma R. Financiero'!$C$5:$C$1000,$N46),INDEX('Cronograma R. Financiero'!$C$5:$C$1000,$N46)&amp;""))</f>
        <v/>
      </c>
      <c r="C46" s="77">
        <f>IF($N46="","",IF(INDEX('Cronograma R. Financiero'!$D$5:$D$1000,$N46)="","",INDEX('Cronograma R. Financiero'!$D$5:$D$1000,$N46)))</f>
        <v/>
      </c>
      <c r="D46" s="77">
        <f>IF($N46="","",IF(INDEX('Cronograma R. Financiero'!$E$5:$E$1000,$N46)="","",INDEX('Cronograma R. Financiero'!$E$5:$E$1000,$N46)))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R. Financiero'!$Y$5:$Y$1000,$N46),""),IF(INDEX('Cronograma R. Financiero'!$G$5:$G$1000,$N46)="","",INDEX('Cronograma R. Financiero'!$G$5:$G$1000,$N46))))</f>
        <v/>
      </c>
      <c r="G46" s="68">
        <f>IF($N46="","",IF($P46&gt;0,IF(2&lt;=SemanaActual,INDEX('Cronograma R. Financiero'!$Z$5:$Z$1000,$N46),""),IF(INDEX('Cronograma R. Financiero'!$H$5:$H$1000,$N46)="","",INDEX('Cronograma R. Financiero'!$H$5:$H$1000,$N46))))</f>
        <v/>
      </c>
      <c r="H46" s="68">
        <f>IF($N46="","",IF($P46&gt;0,IF(3&lt;=SemanaActual,INDEX('Cronograma R. Financiero'!$AA$5:$AA$1000,$N46),""),IF(INDEX('Cronograma R. Financiero'!$I$5:$I$1000,$N46)="","",INDEX('Cronograma R. Financiero'!$I$5:$I$1000,$N46))))</f>
        <v/>
      </c>
      <c r="I46" s="68">
        <f>IF($N46="","",IF($P46&gt;0,IF(4&lt;=SemanaActual,INDEX('Cronograma R. Financiero'!$AB$5:$AB$1000,$N46),""),IF(INDEX('Cronograma R. Financiero'!$J$5:$J$1000,$N46)="","",INDEX('Cronograma R. Financiero'!$J$5:$J$1000,$N46))))</f>
        <v/>
      </c>
      <c r="J46" s="68">
        <f>IF($N46="","",INDEX('Cronograma R. Financiero'!$K$5:$K$1000,$N46))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R. Financiero'!$M$5:$M$1000,$N46)&amp;"")</f>
        <v/>
      </c>
      <c r="M46" s="71">
        <f>IF($N46="","",INDEX('Cronograma R. Financiero'!$N$5:$N$1000,$N46)&amp;"")</f>
        <v/>
      </c>
      <c r="N46">
        <f>IFERROR(MATCH(ROW()-4,rOrden_RF,0),"")</f>
        <v/>
      </c>
      <c r="O46">
        <f>IF($N46="","",INDEX('Cronograma R. Financiero'!$S$5:$S$1000,$N46))</f>
        <v/>
      </c>
      <c r="P46">
        <f>IF($N46="","",N(INDEX('Cronograma R. Financiero'!$T$5:$T$1000,$N46)))</f>
        <v/>
      </c>
    </row>
    <row r="47">
      <c r="A47" s="62">
        <f>IF($N47="","",INDEX('Cronograma R. Financiero'!$A$5:$A$1000,$N47))</f>
        <v/>
      </c>
      <c r="B47" s="71">
        <f>IF($N47="","",IF($O47="Sub","      ↳  "&amp;INDEX('Cronograma R. Financiero'!$C$5:$C$1000,$N47),INDEX('Cronograma R. Financiero'!$C$5:$C$1000,$N47)&amp;""))</f>
        <v/>
      </c>
      <c r="C47" s="77">
        <f>IF($N47="","",IF(INDEX('Cronograma R. Financiero'!$D$5:$D$1000,$N47)="","",INDEX('Cronograma R. Financiero'!$D$5:$D$1000,$N47)))</f>
        <v/>
      </c>
      <c r="D47" s="77">
        <f>IF($N47="","",IF(INDEX('Cronograma R. Financiero'!$E$5:$E$1000,$N47)="","",INDEX('Cronograma R. Financiero'!$E$5:$E$1000,$N47)))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R. Financiero'!$Y$5:$Y$1000,$N47),""),IF(INDEX('Cronograma R. Financiero'!$G$5:$G$1000,$N47)="","",INDEX('Cronograma R. Financiero'!$G$5:$G$1000,$N47))))</f>
        <v/>
      </c>
      <c r="G47" s="68">
        <f>IF($N47="","",IF($P47&gt;0,IF(2&lt;=SemanaActual,INDEX('Cronograma R. Financiero'!$Z$5:$Z$1000,$N47),""),IF(INDEX('Cronograma R. Financiero'!$H$5:$H$1000,$N47)="","",INDEX('Cronograma R. Financiero'!$H$5:$H$1000,$N47))))</f>
        <v/>
      </c>
      <c r="H47" s="68">
        <f>IF($N47="","",IF($P47&gt;0,IF(3&lt;=SemanaActual,INDEX('Cronograma R. Financiero'!$AA$5:$AA$1000,$N47),""),IF(INDEX('Cronograma R. Financiero'!$I$5:$I$1000,$N47)="","",INDEX('Cronograma R. Financiero'!$I$5:$I$1000,$N47))))</f>
        <v/>
      </c>
      <c r="I47" s="68">
        <f>IF($N47="","",IF($P47&gt;0,IF(4&lt;=SemanaActual,INDEX('Cronograma R. Financiero'!$AB$5:$AB$1000,$N47),""),IF(INDEX('Cronograma R. Financiero'!$J$5:$J$1000,$N47)="","",INDEX('Cronograma R. Financiero'!$J$5:$J$1000,$N47))))</f>
        <v/>
      </c>
      <c r="J47" s="68">
        <f>IF($N47="","",INDEX('Cronograma R. Financiero'!$K$5:$K$1000,$N47))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R. Financiero'!$M$5:$M$1000,$N47)&amp;"")</f>
        <v/>
      </c>
      <c r="M47" s="71">
        <f>IF($N47="","",INDEX('Cronograma R. Financiero'!$N$5:$N$1000,$N47)&amp;"")</f>
        <v/>
      </c>
      <c r="N47">
        <f>IFERROR(MATCH(ROW()-4,rOrden_RF,0),"")</f>
        <v/>
      </c>
      <c r="O47">
        <f>IF($N47="","",INDEX('Cronograma R. Financiero'!$S$5:$S$1000,$N47))</f>
        <v/>
      </c>
      <c r="P47">
        <f>IF($N47="","",N(INDEX('Cronograma R. Financiero'!$T$5:$T$1000,$N47)))</f>
        <v/>
      </c>
    </row>
    <row r="48">
      <c r="A48" s="62">
        <f>IF($N48="","",INDEX('Cronograma R. Financiero'!$A$5:$A$1000,$N48))</f>
        <v/>
      </c>
      <c r="B48" s="71">
        <f>IF($N48="","",IF($O48="Sub","      ↳  "&amp;INDEX('Cronograma R. Financiero'!$C$5:$C$1000,$N48),INDEX('Cronograma R. Financiero'!$C$5:$C$1000,$N48)&amp;""))</f>
        <v/>
      </c>
      <c r="C48" s="77">
        <f>IF($N48="","",IF(INDEX('Cronograma R. Financiero'!$D$5:$D$1000,$N48)="","",INDEX('Cronograma R. Financiero'!$D$5:$D$1000,$N48)))</f>
        <v/>
      </c>
      <c r="D48" s="77">
        <f>IF($N48="","",IF(INDEX('Cronograma R. Financiero'!$E$5:$E$1000,$N48)="","",INDEX('Cronograma R. Financiero'!$E$5:$E$1000,$N48)))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R. Financiero'!$Y$5:$Y$1000,$N48),""),IF(INDEX('Cronograma R. Financiero'!$G$5:$G$1000,$N48)="","",INDEX('Cronograma R. Financiero'!$G$5:$G$1000,$N48))))</f>
        <v/>
      </c>
      <c r="G48" s="68">
        <f>IF($N48="","",IF($P48&gt;0,IF(2&lt;=SemanaActual,INDEX('Cronograma R. Financiero'!$Z$5:$Z$1000,$N48),""),IF(INDEX('Cronograma R. Financiero'!$H$5:$H$1000,$N48)="","",INDEX('Cronograma R. Financiero'!$H$5:$H$1000,$N48))))</f>
        <v/>
      </c>
      <c r="H48" s="68">
        <f>IF($N48="","",IF($P48&gt;0,IF(3&lt;=SemanaActual,INDEX('Cronograma R. Financiero'!$AA$5:$AA$1000,$N48),""),IF(INDEX('Cronograma R. Financiero'!$I$5:$I$1000,$N48)="","",INDEX('Cronograma R. Financiero'!$I$5:$I$1000,$N48))))</f>
        <v/>
      </c>
      <c r="I48" s="68">
        <f>IF($N48="","",IF($P48&gt;0,IF(4&lt;=SemanaActual,INDEX('Cronograma R. Financiero'!$AB$5:$AB$1000,$N48),""),IF(INDEX('Cronograma R. Financiero'!$J$5:$J$1000,$N48)="","",INDEX('Cronograma R. Financiero'!$J$5:$J$1000,$N48))))</f>
        <v/>
      </c>
      <c r="J48" s="68">
        <f>IF($N48="","",INDEX('Cronograma R. Financiero'!$K$5:$K$1000,$N48))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R. Financiero'!$M$5:$M$1000,$N48)&amp;"")</f>
        <v/>
      </c>
      <c r="M48" s="71">
        <f>IF($N48="","",INDEX('Cronograma R. Financiero'!$N$5:$N$1000,$N48)&amp;"")</f>
        <v/>
      </c>
      <c r="N48">
        <f>IFERROR(MATCH(ROW()-4,rOrden_RF,0),"")</f>
        <v/>
      </c>
      <c r="O48">
        <f>IF($N48="","",INDEX('Cronograma R. Financiero'!$S$5:$S$1000,$N48))</f>
        <v/>
      </c>
      <c r="P48">
        <f>IF($N48="","",N(INDEX('Cronograma R. Financiero'!$T$5:$T$1000,$N48)))</f>
        <v/>
      </c>
    </row>
    <row r="49">
      <c r="A49" s="62">
        <f>IF($N49="","",INDEX('Cronograma R. Financiero'!$A$5:$A$1000,$N49))</f>
        <v/>
      </c>
      <c r="B49" s="71">
        <f>IF($N49="","",IF($O49="Sub","      ↳  "&amp;INDEX('Cronograma R. Financiero'!$C$5:$C$1000,$N49),INDEX('Cronograma R. Financiero'!$C$5:$C$1000,$N49)&amp;""))</f>
        <v/>
      </c>
      <c r="C49" s="77">
        <f>IF($N49="","",IF(INDEX('Cronograma R. Financiero'!$D$5:$D$1000,$N49)="","",INDEX('Cronograma R. Financiero'!$D$5:$D$1000,$N49)))</f>
        <v/>
      </c>
      <c r="D49" s="77">
        <f>IF($N49="","",IF(INDEX('Cronograma R. Financiero'!$E$5:$E$1000,$N49)="","",INDEX('Cronograma R. Financiero'!$E$5:$E$1000,$N49)))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R. Financiero'!$Y$5:$Y$1000,$N49),""),IF(INDEX('Cronograma R. Financiero'!$G$5:$G$1000,$N49)="","",INDEX('Cronograma R. Financiero'!$G$5:$G$1000,$N49))))</f>
        <v/>
      </c>
      <c r="G49" s="68">
        <f>IF($N49="","",IF($P49&gt;0,IF(2&lt;=SemanaActual,INDEX('Cronograma R. Financiero'!$Z$5:$Z$1000,$N49),""),IF(INDEX('Cronograma R. Financiero'!$H$5:$H$1000,$N49)="","",INDEX('Cronograma R. Financiero'!$H$5:$H$1000,$N49))))</f>
        <v/>
      </c>
      <c r="H49" s="68">
        <f>IF($N49="","",IF($P49&gt;0,IF(3&lt;=SemanaActual,INDEX('Cronograma R. Financiero'!$AA$5:$AA$1000,$N49),""),IF(INDEX('Cronograma R. Financiero'!$I$5:$I$1000,$N49)="","",INDEX('Cronograma R. Financiero'!$I$5:$I$1000,$N49))))</f>
        <v/>
      </c>
      <c r="I49" s="68">
        <f>IF($N49="","",IF($P49&gt;0,IF(4&lt;=SemanaActual,INDEX('Cronograma R. Financiero'!$AB$5:$AB$1000,$N49),""),IF(INDEX('Cronograma R. Financiero'!$J$5:$J$1000,$N49)="","",INDEX('Cronograma R. Financiero'!$J$5:$J$1000,$N49))))</f>
        <v/>
      </c>
      <c r="J49" s="68">
        <f>IF($N49="","",INDEX('Cronograma R. Financiero'!$K$5:$K$1000,$N49))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R. Financiero'!$M$5:$M$1000,$N49)&amp;"")</f>
        <v/>
      </c>
      <c r="M49" s="71">
        <f>IF($N49="","",INDEX('Cronograma R. Financiero'!$N$5:$N$1000,$N49)&amp;"")</f>
        <v/>
      </c>
      <c r="N49">
        <f>IFERROR(MATCH(ROW()-4,rOrden_RF,0),"")</f>
        <v/>
      </c>
      <c r="O49">
        <f>IF($N49="","",INDEX('Cronograma R. Financiero'!$S$5:$S$1000,$N49))</f>
        <v/>
      </c>
      <c r="P49">
        <f>IF($N49="","",N(INDEX('Cronograma R. Financiero'!$T$5:$T$1000,$N49)))</f>
        <v/>
      </c>
    </row>
    <row r="50">
      <c r="A50" s="62">
        <f>IF($N50="","",INDEX('Cronograma R. Financiero'!$A$5:$A$1000,$N50))</f>
        <v/>
      </c>
      <c r="B50" s="71">
        <f>IF($N50="","",IF($O50="Sub","      ↳  "&amp;INDEX('Cronograma R. Financiero'!$C$5:$C$1000,$N50),INDEX('Cronograma R. Financiero'!$C$5:$C$1000,$N50)&amp;""))</f>
        <v/>
      </c>
      <c r="C50" s="77">
        <f>IF($N50="","",IF(INDEX('Cronograma R. Financiero'!$D$5:$D$1000,$N50)="","",INDEX('Cronograma R. Financiero'!$D$5:$D$1000,$N50)))</f>
        <v/>
      </c>
      <c r="D50" s="77">
        <f>IF($N50="","",IF(INDEX('Cronograma R. Financiero'!$E$5:$E$1000,$N50)="","",INDEX('Cronograma R. Financiero'!$E$5:$E$1000,$N50)))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R. Financiero'!$Y$5:$Y$1000,$N50),""),IF(INDEX('Cronograma R. Financiero'!$G$5:$G$1000,$N50)="","",INDEX('Cronograma R. Financiero'!$G$5:$G$1000,$N50))))</f>
        <v/>
      </c>
      <c r="G50" s="68">
        <f>IF($N50="","",IF($P50&gt;0,IF(2&lt;=SemanaActual,INDEX('Cronograma R. Financiero'!$Z$5:$Z$1000,$N50),""),IF(INDEX('Cronograma R. Financiero'!$H$5:$H$1000,$N50)="","",INDEX('Cronograma R. Financiero'!$H$5:$H$1000,$N50))))</f>
        <v/>
      </c>
      <c r="H50" s="68">
        <f>IF($N50="","",IF($P50&gt;0,IF(3&lt;=SemanaActual,INDEX('Cronograma R. Financiero'!$AA$5:$AA$1000,$N50),""),IF(INDEX('Cronograma R. Financiero'!$I$5:$I$1000,$N50)="","",INDEX('Cronograma R. Financiero'!$I$5:$I$1000,$N50))))</f>
        <v/>
      </c>
      <c r="I50" s="68">
        <f>IF($N50="","",IF($P50&gt;0,IF(4&lt;=SemanaActual,INDEX('Cronograma R. Financiero'!$AB$5:$AB$1000,$N50),""),IF(INDEX('Cronograma R. Financiero'!$J$5:$J$1000,$N50)="","",INDEX('Cronograma R. Financiero'!$J$5:$J$1000,$N50))))</f>
        <v/>
      </c>
      <c r="J50" s="68">
        <f>IF($N50="","",INDEX('Cronograma R. Financiero'!$K$5:$K$1000,$N50))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R. Financiero'!$M$5:$M$1000,$N50)&amp;"")</f>
        <v/>
      </c>
      <c r="M50" s="71">
        <f>IF($N50="","",INDEX('Cronograma R. Financiero'!$N$5:$N$1000,$N50)&amp;"")</f>
        <v/>
      </c>
      <c r="N50">
        <f>IFERROR(MATCH(ROW()-4,rOrden_RF,0),"")</f>
        <v/>
      </c>
      <c r="O50">
        <f>IF($N50="","",INDEX('Cronograma R. Financiero'!$S$5:$S$1000,$N50))</f>
        <v/>
      </c>
      <c r="P50">
        <f>IF($N50="","",N(INDEX('Cronograma R. Financiero'!$T$5:$T$1000,$N50)))</f>
        <v/>
      </c>
    </row>
    <row r="51">
      <c r="A51" s="62">
        <f>IF($N51="","",INDEX('Cronograma R. Financiero'!$A$5:$A$1000,$N51))</f>
        <v/>
      </c>
      <c r="B51" s="71">
        <f>IF($N51="","",IF($O51="Sub","      ↳  "&amp;INDEX('Cronograma R. Financiero'!$C$5:$C$1000,$N51),INDEX('Cronograma R. Financiero'!$C$5:$C$1000,$N51)&amp;""))</f>
        <v/>
      </c>
      <c r="C51" s="77">
        <f>IF($N51="","",IF(INDEX('Cronograma R. Financiero'!$D$5:$D$1000,$N51)="","",INDEX('Cronograma R. Financiero'!$D$5:$D$1000,$N51)))</f>
        <v/>
      </c>
      <c r="D51" s="77">
        <f>IF($N51="","",IF(INDEX('Cronograma R. Financiero'!$E$5:$E$1000,$N51)="","",INDEX('Cronograma R. Financiero'!$E$5:$E$1000,$N51)))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R. Financiero'!$Y$5:$Y$1000,$N51),""),IF(INDEX('Cronograma R. Financiero'!$G$5:$G$1000,$N51)="","",INDEX('Cronograma R. Financiero'!$G$5:$G$1000,$N51))))</f>
        <v/>
      </c>
      <c r="G51" s="68">
        <f>IF($N51="","",IF($P51&gt;0,IF(2&lt;=SemanaActual,INDEX('Cronograma R. Financiero'!$Z$5:$Z$1000,$N51),""),IF(INDEX('Cronograma R. Financiero'!$H$5:$H$1000,$N51)="","",INDEX('Cronograma R. Financiero'!$H$5:$H$1000,$N51))))</f>
        <v/>
      </c>
      <c r="H51" s="68">
        <f>IF($N51="","",IF($P51&gt;0,IF(3&lt;=SemanaActual,INDEX('Cronograma R. Financiero'!$AA$5:$AA$1000,$N51),""),IF(INDEX('Cronograma R. Financiero'!$I$5:$I$1000,$N51)="","",INDEX('Cronograma R. Financiero'!$I$5:$I$1000,$N51))))</f>
        <v/>
      </c>
      <c r="I51" s="68">
        <f>IF($N51="","",IF($P51&gt;0,IF(4&lt;=SemanaActual,INDEX('Cronograma R. Financiero'!$AB$5:$AB$1000,$N51),""),IF(INDEX('Cronograma R. Financiero'!$J$5:$J$1000,$N51)="","",INDEX('Cronograma R. Financiero'!$J$5:$J$1000,$N51))))</f>
        <v/>
      </c>
      <c r="J51" s="68">
        <f>IF($N51="","",INDEX('Cronograma R. Financiero'!$K$5:$K$1000,$N51))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R. Financiero'!$M$5:$M$1000,$N51)&amp;"")</f>
        <v/>
      </c>
      <c r="M51" s="71">
        <f>IF($N51="","",INDEX('Cronograma R. Financiero'!$N$5:$N$1000,$N51)&amp;"")</f>
        <v/>
      </c>
      <c r="N51">
        <f>IFERROR(MATCH(ROW()-4,rOrden_RF,0),"")</f>
        <v/>
      </c>
      <c r="O51">
        <f>IF($N51="","",INDEX('Cronograma R. Financiero'!$S$5:$S$1000,$N51))</f>
        <v/>
      </c>
      <c r="P51">
        <f>IF($N51="","",N(INDEX('Cronograma R. Financiero'!$T$5:$T$1000,$N51)))</f>
        <v/>
      </c>
    </row>
    <row r="52">
      <c r="A52" s="62">
        <f>IF($N52="","",INDEX('Cronograma R. Financiero'!$A$5:$A$1000,$N52))</f>
        <v/>
      </c>
      <c r="B52" s="71">
        <f>IF($N52="","",IF($O52="Sub","      ↳  "&amp;INDEX('Cronograma R. Financiero'!$C$5:$C$1000,$N52),INDEX('Cronograma R. Financiero'!$C$5:$C$1000,$N52)&amp;""))</f>
        <v/>
      </c>
      <c r="C52" s="77">
        <f>IF($N52="","",IF(INDEX('Cronograma R. Financiero'!$D$5:$D$1000,$N52)="","",INDEX('Cronograma R. Financiero'!$D$5:$D$1000,$N52)))</f>
        <v/>
      </c>
      <c r="D52" s="77">
        <f>IF($N52="","",IF(INDEX('Cronograma R. Financiero'!$E$5:$E$1000,$N52)="","",INDEX('Cronograma R. Financiero'!$E$5:$E$1000,$N52)))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R. Financiero'!$Y$5:$Y$1000,$N52),""),IF(INDEX('Cronograma R. Financiero'!$G$5:$G$1000,$N52)="","",INDEX('Cronograma R. Financiero'!$G$5:$G$1000,$N52))))</f>
        <v/>
      </c>
      <c r="G52" s="68">
        <f>IF($N52="","",IF($P52&gt;0,IF(2&lt;=SemanaActual,INDEX('Cronograma R. Financiero'!$Z$5:$Z$1000,$N52),""),IF(INDEX('Cronograma R. Financiero'!$H$5:$H$1000,$N52)="","",INDEX('Cronograma R. Financiero'!$H$5:$H$1000,$N52))))</f>
        <v/>
      </c>
      <c r="H52" s="68">
        <f>IF($N52="","",IF($P52&gt;0,IF(3&lt;=SemanaActual,INDEX('Cronograma R. Financiero'!$AA$5:$AA$1000,$N52),""),IF(INDEX('Cronograma R. Financiero'!$I$5:$I$1000,$N52)="","",INDEX('Cronograma R. Financiero'!$I$5:$I$1000,$N52))))</f>
        <v/>
      </c>
      <c r="I52" s="68">
        <f>IF($N52="","",IF($P52&gt;0,IF(4&lt;=SemanaActual,INDEX('Cronograma R. Financiero'!$AB$5:$AB$1000,$N52),""),IF(INDEX('Cronograma R. Financiero'!$J$5:$J$1000,$N52)="","",INDEX('Cronograma R. Financiero'!$J$5:$J$1000,$N52))))</f>
        <v/>
      </c>
      <c r="J52" s="68">
        <f>IF($N52="","",INDEX('Cronograma R. Financiero'!$K$5:$K$1000,$N52))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R. Financiero'!$M$5:$M$1000,$N52)&amp;"")</f>
        <v/>
      </c>
      <c r="M52" s="71">
        <f>IF($N52="","",INDEX('Cronograma R. Financiero'!$N$5:$N$1000,$N52)&amp;"")</f>
        <v/>
      </c>
      <c r="N52">
        <f>IFERROR(MATCH(ROW()-4,rOrden_RF,0),"")</f>
        <v/>
      </c>
      <c r="O52">
        <f>IF($N52="","",INDEX('Cronograma R. Financiero'!$S$5:$S$1000,$N52))</f>
        <v/>
      </c>
      <c r="P52">
        <f>IF($N52="","",N(INDEX('Cronograma R. Financiero'!$T$5:$T$1000,$N52)))</f>
        <v/>
      </c>
    </row>
    <row r="53">
      <c r="A53" s="62">
        <f>IF($N53="","",INDEX('Cronograma R. Financiero'!$A$5:$A$1000,$N53))</f>
        <v/>
      </c>
      <c r="B53" s="71">
        <f>IF($N53="","",IF($O53="Sub","      ↳  "&amp;INDEX('Cronograma R. Financiero'!$C$5:$C$1000,$N53),INDEX('Cronograma R. Financiero'!$C$5:$C$1000,$N53)&amp;""))</f>
        <v/>
      </c>
      <c r="C53" s="77">
        <f>IF($N53="","",IF(INDEX('Cronograma R. Financiero'!$D$5:$D$1000,$N53)="","",INDEX('Cronograma R. Financiero'!$D$5:$D$1000,$N53)))</f>
        <v/>
      </c>
      <c r="D53" s="77">
        <f>IF($N53="","",IF(INDEX('Cronograma R. Financiero'!$E$5:$E$1000,$N53)="","",INDEX('Cronograma R. Financiero'!$E$5:$E$1000,$N53)))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R. Financiero'!$Y$5:$Y$1000,$N53),""),IF(INDEX('Cronograma R. Financiero'!$G$5:$G$1000,$N53)="","",INDEX('Cronograma R. Financiero'!$G$5:$G$1000,$N53))))</f>
        <v/>
      </c>
      <c r="G53" s="68">
        <f>IF($N53="","",IF($P53&gt;0,IF(2&lt;=SemanaActual,INDEX('Cronograma R. Financiero'!$Z$5:$Z$1000,$N53),""),IF(INDEX('Cronograma R. Financiero'!$H$5:$H$1000,$N53)="","",INDEX('Cronograma R. Financiero'!$H$5:$H$1000,$N53))))</f>
        <v/>
      </c>
      <c r="H53" s="68">
        <f>IF($N53="","",IF($P53&gt;0,IF(3&lt;=SemanaActual,INDEX('Cronograma R. Financiero'!$AA$5:$AA$1000,$N53),""),IF(INDEX('Cronograma R. Financiero'!$I$5:$I$1000,$N53)="","",INDEX('Cronograma R. Financiero'!$I$5:$I$1000,$N53))))</f>
        <v/>
      </c>
      <c r="I53" s="68">
        <f>IF($N53="","",IF($P53&gt;0,IF(4&lt;=SemanaActual,INDEX('Cronograma R. Financiero'!$AB$5:$AB$1000,$N53),""),IF(INDEX('Cronograma R. Financiero'!$J$5:$J$1000,$N53)="","",INDEX('Cronograma R. Financiero'!$J$5:$J$1000,$N53))))</f>
        <v/>
      </c>
      <c r="J53" s="68">
        <f>IF($N53="","",INDEX('Cronograma R. Financiero'!$K$5:$K$1000,$N53))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R. Financiero'!$M$5:$M$1000,$N53)&amp;"")</f>
        <v/>
      </c>
      <c r="M53" s="71">
        <f>IF($N53="","",INDEX('Cronograma R. Financiero'!$N$5:$N$1000,$N53)&amp;"")</f>
        <v/>
      </c>
      <c r="N53">
        <f>IFERROR(MATCH(ROW()-4,rOrden_RF,0),"")</f>
        <v/>
      </c>
      <c r="O53">
        <f>IF($N53="","",INDEX('Cronograma R. Financiero'!$S$5:$S$1000,$N53))</f>
        <v/>
      </c>
      <c r="P53">
        <f>IF($N53="","",N(INDEX('Cronograma R. Financiero'!$T$5:$T$1000,$N53)))</f>
        <v/>
      </c>
    </row>
    <row r="54">
      <c r="A54" s="62">
        <f>IF($N54="","",INDEX('Cronograma R. Financiero'!$A$5:$A$1000,$N54))</f>
        <v/>
      </c>
      <c r="B54" s="71">
        <f>IF($N54="","",IF($O54="Sub","      ↳  "&amp;INDEX('Cronograma R. Financiero'!$C$5:$C$1000,$N54),INDEX('Cronograma R. Financiero'!$C$5:$C$1000,$N54)&amp;""))</f>
        <v/>
      </c>
      <c r="C54" s="77">
        <f>IF($N54="","",IF(INDEX('Cronograma R. Financiero'!$D$5:$D$1000,$N54)="","",INDEX('Cronograma R. Financiero'!$D$5:$D$1000,$N54)))</f>
        <v/>
      </c>
      <c r="D54" s="77">
        <f>IF($N54="","",IF(INDEX('Cronograma R. Financiero'!$E$5:$E$1000,$N54)="","",INDEX('Cronograma R. Financiero'!$E$5:$E$1000,$N54)))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R. Financiero'!$Y$5:$Y$1000,$N54),""),IF(INDEX('Cronograma R. Financiero'!$G$5:$G$1000,$N54)="","",INDEX('Cronograma R. Financiero'!$G$5:$G$1000,$N54))))</f>
        <v/>
      </c>
      <c r="G54" s="68">
        <f>IF($N54="","",IF($P54&gt;0,IF(2&lt;=SemanaActual,INDEX('Cronograma R. Financiero'!$Z$5:$Z$1000,$N54),""),IF(INDEX('Cronograma R. Financiero'!$H$5:$H$1000,$N54)="","",INDEX('Cronograma R. Financiero'!$H$5:$H$1000,$N54))))</f>
        <v/>
      </c>
      <c r="H54" s="68">
        <f>IF($N54="","",IF($P54&gt;0,IF(3&lt;=SemanaActual,INDEX('Cronograma R. Financiero'!$AA$5:$AA$1000,$N54),""),IF(INDEX('Cronograma R. Financiero'!$I$5:$I$1000,$N54)="","",INDEX('Cronograma R. Financiero'!$I$5:$I$1000,$N54))))</f>
        <v/>
      </c>
      <c r="I54" s="68">
        <f>IF($N54="","",IF($P54&gt;0,IF(4&lt;=SemanaActual,INDEX('Cronograma R. Financiero'!$AB$5:$AB$1000,$N54),""),IF(INDEX('Cronograma R. Financiero'!$J$5:$J$1000,$N54)="","",INDEX('Cronograma R. Financiero'!$J$5:$J$1000,$N54))))</f>
        <v/>
      </c>
      <c r="J54" s="68">
        <f>IF($N54="","",INDEX('Cronograma R. Financiero'!$K$5:$K$1000,$N54))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R. Financiero'!$M$5:$M$1000,$N54)&amp;"")</f>
        <v/>
      </c>
      <c r="M54" s="71">
        <f>IF($N54="","",INDEX('Cronograma R. Financiero'!$N$5:$N$1000,$N54)&amp;"")</f>
        <v/>
      </c>
      <c r="N54">
        <f>IFERROR(MATCH(ROW()-4,rOrden_RF,0),"")</f>
        <v/>
      </c>
      <c r="O54">
        <f>IF($N54="","",INDEX('Cronograma R. Financiero'!$S$5:$S$1000,$N54))</f>
        <v/>
      </c>
      <c r="P54">
        <f>IF($N54="","",N(INDEX('Cronograma R. Financiero'!$T$5:$T$1000,$N54)))</f>
        <v/>
      </c>
    </row>
    <row r="55">
      <c r="A55" s="62">
        <f>IF($N55="","",INDEX('Cronograma R. Financiero'!$A$5:$A$1000,$N55))</f>
        <v/>
      </c>
      <c r="B55" s="71">
        <f>IF($N55="","",IF($O55="Sub","      ↳  "&amp;INDEX('Cronograma R. Financiero'!$C$5:$C$1000,$N55),INDEX('Cronograma R. Financiero'!$C$5:$C$1000,$N55)&amp;""))</f>
        <v/>
      </c>
      <c r="C55" s="77">
        <f>IF($N55="","",IF(INDEX('Cronograma R. Financiero'!$D$5:$D$1000,$N55)="","",INDEX('Cronograma R. Financiero'!$D$5:$D$1000,$N55)))</f>
        <v/>
      </c>
      <c r="D55" s="77">
        <f>IF($N55="","",IF(INDEX('Cronograma R. Financiero'!$E$5:$E$1000,$N55)="","",INDEX('Cronograma R. Financiero'!$E$5:$E$1000,$N55)))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R. Financiero'!$Y$5:$Y$1000,$N55),""),IF(INDEX('Cronograma R. Financiero'!$G$5:$G$1000,$N55)="","",INDEX('Cronograma R. Financiero'!$G$5:$G$1000,$N55))))</f>
        <v/>
      </c>
      <c r="G55" s="68">
        <f>IF($N55="","",IF($P55&gt;0,IF(2&lt;=SemanaActual,INDEX('Cronograma R. Financiero'!$Z$5:$Z$1000,$N55),""),IF(INDEX('Cronograma R. Financiero'!$H$5:$H$1000,$N55)="","",INDEX('Cronograma R. Financiero'!$H$5:$H$1000,$N55))))</f>
        <v/>
      </c>
      <c r="H55" s="68">
        <f>IF($N55="","",IF($P55&gt;0,IF(3&lt;=SemanaActual,INDEX('Cronograma R. Financiero'!$AA$5:$AA$1000,$N55),""),IF(INDEX('Cronograma R. Financiero'!$I$5:$I$1000,$N55)="","",INDEX('Cronograma R. Financiero'!$I$5:$I$1000,$N55))))</f>
        <v/>
      </c>
      <c r="I55" s="68">
        <f>IF($N55="","",IF($P55&gt;0,IF(4&lt;=SemanaActual,INDEX('Cronograma R. Financiero'!$AB$5:$AB$1000,$N55),""),IF(INDEX('Cronograma R. Financiero'!$J$5:$J$1000,$N55)="","",INDEX('Cronograma R. Financiero'!$J$5:$J$1000,$N55))))</f>
        <v/>
      </c>
      <c r="J55" s="68">
        <f>IF($N55="","",INDEX('Cronograma R. Financiero'!$K$5:$K$1000,$N55))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R. Financiero'!$M$5:$M$1000,$N55)&amp;"")</f>
        <v/>
      </c>
      <c r="M55" s="71">
        <f>IF($N55="","",INDEX('Cronograma R. Financiero'!$N$5:$N$1000,$N55)&amp;"")</f>
        <v/>
      </c>
      <c r="N55">
        <f>IFERROR(MATCH(ROW()-4,rOrden_RF,0),"")</f>
        <v/>
      </c>
      <c r="O55">
        <f>IF($N55="","",INDEX('Cronograma R. Financiero'!$S$5:$S$1000,$N55))</f>
        <v/>
      </c>
      <c r="P55">
        <f>IF($N55="","",N(INDEX('Cronograma R. Financiero'!$T$5:$T$1000,$N55)))</f>
        <v/>
      </c>
    </row>
    <row r="56">
      <c r="A56" s="62">
        <f>IF($N56="","",INDEX('Cronograma R. Financiero'!$A$5:$A$1000,$N56))</f>
        <v/>
      </c>
      <c r="B56" s="71">
        <f>IF($N56="","",IF($O56="Sub","      ↳  "&amp;INDEX('Cronograma R. Financiero'!$C$5:$C$1000,$N56),INDEX('Cronograma R. Financiero'!$C$5:$C$1000,$N56)&amp;""))</f>
        <v/>
      </c>
      <c r="C56" s="77">
        <f>IF($N56="","",IF(INDEX('Cronograma R. Financiero'!$D$5:$D$1000,$N56)="","",INDEX('Cronograma R. Financiero'!$D$5:$D$1000,$N56)))</f>
        <v/>
      </c>
      <c r="D56" s="77">
        <f>IF($N56="","",IF(INDEX('Cronograma R. Financiero'!$E$5:$E$1000,$N56)="","",INDEX('Cronograma R. Financiero'!$E$5:$E$1000,$N56)))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R. Financiero'!$Y$5:$Y$1000,$N56),""),IF(INDEX('Cronograma R. Financiero'!$G$5:$G$1000,$N56)="","",INDEX('Cronograma R. Financiero'!$G$5:$G$1000,$N56))))</f>
        <v/>
      </c>
      <c r="G56" s="68">
        <f>IF($N56="","",IF($P56&gt;0,IF(2&lt;=SemanaActual,INDEX('Cronograma R. Financiero'!$Z$5:$Z$1000,$N56),""),IF(INDEX('Cronograma R. Financiero'!$H$5:$H$1000,$N56)="","",INDEX('Cronograma R. Financiero'!$H$5:$H$1000,$N56))))</f>
        <v/>
      </c>
      <c r="H56" s="68">
        <f>IF($N56="","",IF($P56&gt;0,IF(3&lt;=SemanaActual,INDEX('Cronograma R. Financiero'!$AA$5:$AA$1000,$N56),""),IF(INDEX('Cronograma R. Financiero'!$I$5:$I$1000,$N56)="","",INDEX('Cronograma R. Financiero'!$I$5:$I$1000,$N56))))</f>
        <v/>
      </c>
      <c r="I56" s="68">
        <f>IF($N56="","",IF($P56&gt;0,IF(4&lt;=SemanaActual,INDEX('Cronograma R. Financiero'!$AB$5:$AB$1000,$N56),""),IF(INDEX('Cronograma R. Financiero'!$J$5:$J$1000,$N56)="","",INDEX('Cronograma R. Financiero'!$J$5:$J$1000,$N56))))</f>
        <v/>
      </c>
      <c r="J56" s="68">
        <f>IF($N56="","",INDEX('Cronograma R. Financiero'!$K$5:$K$1000,$N56))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R. Financiero'!$M$5:$M$1000,$N56)&amp;"")</f>
        <v/>
      </c>
      <c r="M56" s="71">
        <f>IF($N56="","",INDEX('Cronograma R. Financiero'!$N$5:$N$1000,$N56)&amp;"")</f>
        <v/>
      </c>
      <c r="N56">
        <f>IFERROR(MATCH(ROW()-4,rOrden_RF,0),"")</f>
        <v/>
      </c>
      <c r="O56">
        <f>IF($N56="","",INDEX('Cronograma R. Financiero'!$S$5:$S$1000,$N56))</f>
        <v/>
      </c>
      <c r="P56">
        <f>IF($N56="","",N(INDEX('Cronograma R. Financiero'!$T$5:$T$1000,$N56)))</f>
        <v/>
      </c>
    </row>
    <row r="57">
      <c r="A57" s="62">
        <f>IF($N57="","",INDEX('Cronograma R. Financiero'!$A$5:$A$1000,$N57))</f>
        <v/>
      </c>
      <c r="B57" s="71">
        <f>IF($N57="","",IF($O57="Sub","      ↳  "&amp;INDEX('Cronograma R. Financiero'!$C$5:$C$1000,$N57),INDEX('Cronograma R. Financiero'!$C$5:$C$1000,$N57)&amp;""))</f>
        <v/>
      </c>
      <c r="C57" s="77">
        <f>IF($N57="","",IF(INDEX('Cronograma R. Financiero'!$D$5:$D$1000,$N57)="","",INDEX('Cronograma R. Financiero'!$D$5:$D$1000,$N57)))</f>
        <v/>
      </c>
      <c r="D57" s="77">
        <f>IF($N57="","",IF(INDEX('Cronograma R. Financiero'!$E$5:$E$1000,$N57)="","",INDEX('Cronograma R. Financiero'!$E$5:$E$1000,$N57)))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R. Financiero'!$Y$5:$Y$1000,$N57),""),IF(INDEX('Cronograma R. Financiero'!$G$5:$G$1000,$N57)="","",INDEX('Cronograma R. Financiero'!$G$5:$G$1000,$N57))))</f>
        <v/>
      </c>
      <c r="G57" s="68">
        <f>IF($N57="","",IF($P57&gt;0,IF(2&lt;=SemanaActual,INDEX('Cronograma R. Financiero'!$Z$5:$Z$1000,$N57),""),IF(INDEX('Cronograma R. Financiero'!$H$5:$H$1000,$N57)="","",INDEX('Cronograma R. Financiero'!$H$5:$H$1000,$N57))))</f>
        <v/>
      </c>
      <c r="H57" s="68">
        <f>IF($N57="","",IF($P57&gt;0,IF(3&lt;=SemanaActual,INDEX('Cronograma R. Financiero'!$AA$5:$AA$1000,$N57),""),IF(INDEX('Cronograma R. Financiero'!$I$5:$I$1000,$N57)="","",INDEX('Cronograma R. Financiero'!$I$5:$I$1000,$N57))))</f>
        <v/>
      </c>
      <c r="I57" s="68">
        <f>IF($N57="","",IF($P57&gt;0,IF(4&lt;=SemanaActual,INDEX('Cronograma R. Financiero'!$AB$5:$AB$1000,$N57),""),IF(INDEX('Cronograma R. Financiero'!$J$5:$J$1000,$N57)="","",INDEX('Cronograma R. Financiero'!$J$5:$J$1000,$N57))))</f>
        <v/>
      </c>
      <c r="J57" s="68">
        <f>IF($N57="","",INDEX('Cronograma R. Financiero'!$K$5:$K$1000,$N57))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R. Financiero'!$M$5:$M$1000,$N57)&amp;"")</f>
        <v/>
      </c>
      <c r="M57" s="71">
        <f>IF($N57="","",INDEX('Cronograma R. Financiero'!$N$5:$N$1000,$N57)&amp;"")</f>
        <v/>
      </c>
      <c r="N57">
        <f>IFERROR(MATCH(ROW()-4,rOrden_RF,0),"")</f>
        <v/>
      </c>
      <c r="O57">
        <f>IF($N57="","",INDEX('Cronograma R. Financiero'!$S$5:$S$1000,$N57))</f>
        <v/>
      </c>
      <c r="P57">
        <f>IF($N57="","",N(INDEX('Cronograma R. Financiero'!$T$5:$T$1000,$N57)))</f>
        <v/>
      </c>
    </row>
    <row r="58">
      <c r="A58" s="62">
        <f>IF($N58="","",INDEX('Cronograma R. Financiero'!$A$5:$A$1000,$N58))</f>
        <v/>
      </c>
      <c r="B58" s="71">
        <f>IF($N58="","",IF($O58="Sub","      ↳  "&amp;INDEX('Cronograma R. Financiero'!$C$5:$C$1000,$N58),INDEX('Cronograma R. Financiero'!$C$5:$C$1000,$N58)&amp;""))</f>
        <v/>
      </c>
      <c r="C58" s="77">
        <f>IF($N58="","",IF(INDEX('Cronograma R. Financiero'!$D$5:$D$1000,$N58)="","",INDEX('Cronograma R. Financiero'!$D$5:$D$1000,$N58)))</f>
        <v/>
      </c>
      <c r="D58" s="77">
        <f>IF($N58="","",IF(INDEX('Cronograma R. Financiero'!$E$5:$E$1000,$N58)="","",INDEX('Cronograma R. Financiero'!$E$5:$E$1000,$N58)))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R. Financiero'!$Y$5:$Y$1000,$N58),""),IF(INDEX('Cronograma R. Financiero'!$G$5:$G$1000,$N58)="","",INDEX('Cronograma R. Financiero'!$G$5:$G$1000,$N58))))</f>
        <v/>
      </c>
      <c r="G58" s="68">
        <f>IF($N58="","",IF($P58&gt;0,IF(2&lt;=SemanaActual,INDEX('Cronograma R. Financiero'!$Z$5:$Z$1000,$N58),""),IF(INDEX('Cronograma R. Financiero'!$H$5:$H$1000,$N58)="","",INDEX('Cronograma R. Financiero'!$H$5:$H$1000,$N58))))</f>
        <v/>
      </c>
      <c r="H58" s="68">
        <f>IF($N58="","",IF($P58&gt;0,IF(3&lt;=SemanaActual,INDEX('Cronograma R. Financiero'!$AA$5:$AA$1000,$N58),""),IF(INDEX('Cronograma R. Financiero'!$I$5:$I$1000,$N58)="","",INDEX('Cronograma R. Financiero'!$I$5:$I$1000,$N58))))</f>
        <v/>
      </c>
      <c r="I58" s="68">
        <f>IF($N58="","",IF($P58&gt;0,IF(4&lt;=SemanaActual,INDEX('Cronograma R. Financiero'!$AB$5:$AB$1000,$N58),""),IF(INDEX('Cronograma R. Financiero'!$J$5:$J$1000,$N58)="","",INDEX('Cronograma R. Financiero'!$J$5:$J$1000,$N58))))</f>
        <v/>
      </c>
      <c r="J58" s="68">
        <f>IF($N58="","",INDEX('Cronograma R. Financiero'!$K$5:$K$1000,$N58))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R. Financiero'!$M$5:$M$1000,$N58)&amp;"")</f>
        <v/>
      </c>
      <c r="M58" s="71">
        <f>IF($N58="","",INDEX('Cronograma R. Financiero'!$N$5:$N$1000,$N58)&amp;"")</f>
        <v/>
      </c>
      <c r="N58">
        <f>IFERROR(MATCH(ROW()-4,rOrden_RF,0),"")</f>
        <v/>
      </c>
      <c r="O58">
        <f>IF($N58="","",INDEX('Cronograma R. Financiero'!$S$5:$S$1000,$N58))</f>
        <v/>
      </c>
      <c r="P58">
        <f>IF($N58="","",N(INDEX('Cronograma R. Financiero'!$T$5:$T$1000,$N58)))</f>
        <v/>
      </c>
    </row>
    <row r="59">
      <c r="A59" s="62">
        <f>IF($N59="","",INDEX('Cronograma R. Financiero'!$A$5:$A$1000,$N59))</f>
        <v/>
      </c>
      <c r="B59" s="71">
        <f>IF($N59="","",IF($O59="Sub","      ↳  "&amp;INDEX('Cronograma R. Financiero'!$C$5:$C$1000,$N59),INDEX('Cronograma R. Financiero'!$C$5:$C$1000,$N59)&amp;""))</f>
        <v/>
      </c>
      <c r="C59" s="77">
        <f>IF($N59="","",IF(INDEX('Cronograma R. Financiero'!$D$5:$D$1000,$N59)="","",INDEX('Cronograma R. Financiero'!$D$5:$D$1000,$N59)))</f>
        <v/>
      </c>
      <c r="D59" s="77">
        <f>IF($N59="","",IF(INDEX('Cronograma R. Financiero'!$E$5:$E$1000,$N59)="","",INDEX('Cronograma R. Financiero'!$E$5:$E$1000,$N59)))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R. Financiero'!$Y$5:$Y$1000,$N59),""),IF(INDEX('Cronograma R. Financiero'!$G$5:$G$1000,$N59)="","",INDEX('Cronograma R. Financiero'!$G$5:$G$1000,$N59))))</f>
        <v/>
      </c>
      <c r="G59" s="68">
        <f>IF($N59="","",IF($P59&gt;0,IF(2&lt;=SemanaActual,INDEX('Cronograma R. Financiero'!$Z$5:$Z$1000,$N59),""),IF(INDEX('Cronograma R. Financiero'!$H$5:$H$1000,$N59)="","",INDEX('Cronograma R. Financiero'!$H$5:$H$1000,$N59))))</f>
        <v/>
      </c>
      <c r="H59" s="68">
        <f>IF($N59="","",IF($P59&gt;0,IF(3&lt;=SemanaActual,INDEX('Cronograma R. Financiero'!$AA$5:$AA$1000,$N59),""),IF(INDEX('Cronograma R. Financiero'!$I$5:$I$1000,$N59)="","",INDEX('Cronograma R. Financiero'!$I$5:$I$1000,$N59))))</f>
        <v/>
      </c>
      <c r="I59" s="68">
        <f>IF($N59="","",IF($P59&gt;0,IF(4&lt;=SemanaActual,INDEX('Cronograma R. Financiero'!$AB$5:$AB$1000,$N59),""),IF(INDEX('Cronograma R. Financiero'!$J$5:$J$1000,$N59)="","",INDEX('Cronograma R. Financiero'!$J$5:$J$1000,$N59))))</f>
        <v/>
      </c>
      <c r="J59" s="68">
        <f>IF($N59="","",INDEX('Cronograma R. Financiero'!$K$5:$K$1000,$N59))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R. Financiero'!$M$5:$M$1000,$N59)&amp;"")</f>
        <v/>
      </c>
      <c r="M59" s="71">
        <f>IF($N59="","",INDEX('Cronograma R. Financiero'!$N$5:$N$1000,$N59)&amp;"")</f>
        <v/>
      </c>
      <c r="N59">
        <f>IFERROR(MATCH(ROW()-4,rOrden_RF,0),"")</f>
        <v/>
      </c>
      <c r="O59">
        <f>IF($N59="","",INDEX('Cronograma R. Financiero'!$S$5:$S$1000,$N59))</f>
        <v/>
      </c>
      <c r="P59">
        <f>IF($N59="","",N(INDEX('Cronograma R. Financiero'!$T$5:$T$1000,$N59)))</f>
        <v/>
      </c>
    </row>
    <row r="60">
      <c r="A60" s="62">
        <f>IF($N60="","",INDEX('Cronograma R. Financiero'!$A$5:$A$1000,$N60))</f>
        <v/>
      </c>
      <c r="B60" s="71">
        <f>IF($N60="","",IF($O60="Sub","      ↳  "&amp;INDEX('Cronograma R. Financiero'!$C$5:$C$1000,$N60),INDEX('Cronograma R. Financiero'!$C$5:$C$1000,$N60)&amp;""))</f>
        <v/>
      </c>
      <c r="C60" s="77">
        <f>IF($N60="","",IF(INDEX('Cronograma R. Financiero'!$D$5:$D$1000,$N60)="","",INDEX('Cronograma R. Financiero'!$D$5:$D$1000,$N60)))</f>
        <v/>
      </c>
      <c r="D60" s="77">
        <f>IF($N60="","",IF(INDEX('Cronograma R. Financiero'!$E$5:$E$1000,$N60)="","",INDEX('Cronograma R. Financiero'!$E$5:$E$1000,$N60)))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R. Financiero'!$Y$5:$Y$1000,$N60),""),IF(INDEX('Cronograma R. Financiero'!$G$5:$G$1000,$N60)="","",INDEX('Cronograma R. Financiero'!$G$5:$G$1000,$N60))))</f>
        <v/>
      </c>
      <c r="G60" s="68">
        <f>IF($N60="","",IF($P60&gt;0,IF(2&lt;=SemanaActual,INDEX('Cronograma R. Financiero'!$Z$5:$Z$1000,$N60),""),IF(INDEX('Cronograma R. Financiero'!$H$5:$H$1000,$N60)="","",INDEX('Cronograma R. Financiero'!$H$5:$H$1000,$N60))))</f>
        <v/>
      </c>
      <c r="H60" s="68">
        <f>IF($N60="","",IF($P60&gt;0,IF(3&lt;=SemanaActual,INDEX('Cronograma R. Financiero'!$AA$5:$AA$1000,$N60),""),IF(INDEX('Cronograma R. Financiero'!$I$5:$I$1000,$N60)="","",INDEX('Cronograma R. Financiero'!$I$5:$I$1000,$N60))))</f>
        <v/>
      </c>
      <c r="I60" s="68">
        <f>IF($N60="","",IF($P60&gt;0,IF(4&lt;=SemanaActual,INDEX('Cronograma R. Financiero'!$AB$5:$AB$1000,$N60),""),IF(INDEX('Cronograma R. Financiero'!$J$5:$J$1000,$N60)="","",INDEX('Cronograma R. Financiero'!$J$5:$J$1000,$N60))))</f>
        <v/>
      </c>
      <c r="J60" s="68">
        <f>IF($N60="","",INDEX('Cronograma R. Financiero'!$K$5:$K$1000,$N60))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R. Financiero'!$M$5:$M$1000,$N60)&amp;"")</f>
        <v/>
      </c>
      <c r="M60" s="71">
        <f>IF($N60="","",INDEX('Cronograma R. Financiero'!$N$5:$N$1000,$N60)&amp;"")</f>
        <v/>
      </c>
      <c r="N60">
        <f>IFERROR(MATCH(ROW()-4,rOrden_RF,0),"")</f>
        <v/>
      </c>
      <c r="O60">
        <f>IF($N60="","",INDEX('Cronograma R. Financiero'!$S$5:$S$1000,$N60))</f>
        <v/>
      </c>
      <c r="P60">
        <f>IF($N60="","",N(INDEX('Cronograma R. Financiero'!$T$5:$T$1000,$N60)))</f>
        <v/>
      </c>
    </row>
    <row r="61">
      <c r="A61" s="62">
        <f>IF($N61="","",INDEX('Cronograma R. Financiero'!$A$5:$A$1000,$N61))</f>
        <v/>
      </c>
      <c r="B61" s="71">
        <f>IF($N61="","",IF($O61="Sub","      ↳  "&amp;INDEX('Cronograma R. Financiero'!$C$5:$C$1000,$N61),INDEX('Cronograma R. Financiero'!$C$5:$C$1000,$N61)&amp;""))</f>
        <v/>
      </c>
      <c r="C61" s="77">
        <f>IF($N61="","",IF(INDEX('Cronograma R. Financiero'!$D$5:$D$1000,$N61)="","",INDEX('Cronograma R. Financiero'!$D$5:$D$1000,$N61)))</f>
        <v/>
      </c>
      <c r="D61" s="77">
        <f>IF($N61="","",IF(INDEX('Cronograma R. Financiero'!$E$5:$E$1000,$N61)="","",INDEX('Cronograma R. Financiero'!$E$5:$E$1000,$N61)))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R. Financiero'!$Y$5:$Y$1000,$N61),""),IF(INDEX('Cronograma R. Financiero'!$G$5:$G$1000,$N61)="","",INDEX('Cronograma R. Financiero'!$G$5:$G$1000,$N61))))</f>
        <v/>
      </c>
      <c r="G61" s="68">
        <f>IF($N61="","",IF($P61&gt;0,IF(2&lt;=SemanaActual,INDEX('Cronograma R. Financiero'!$Z$5:$Z$1000,$N61),""),IF(INDEX('Cronograma R. Financiero'!$H$5:$H$1000,$N61)="","",INDEX('Cronograma R. Financiero'!$H$5:$H$1000,$N61))))</f>
        <v/>
      </c>
      <c r="H61" s="68">
        <f>IF($N61="","",IF($P61&gt;0,IF(3&lt;=SemanaActual,INDEX('Cronograma R. Financiero'!$AA$5:$AA$1000,$N61),""),IF(INDEX('Cronograma R. Financiero'!$I$5:$I$1000,$N61)="","",INDEX('Cronograma R. Financiero'!$I$5:$I$1000,$N61))))</f>
        <v/>
      </c>
      <c r="I61" s="68">
        <f>IF($N61="","",IF($P61&gt;0,IF(4&lt;=SemanaActual,INDEX('Cronograma R. Financiero'!$AB$5:$AB$1000,$N61),""),IF(INDEX('Cronograma R. Financiero'!$J$5:$J$1000,$N61)="","",INDEX('Cronograma R. Financiero'!$J$5:$J$1000,$N61))))</f>
        <v/>
      </c>
      <c r="J61" s="68">
        <f>IF($N61="","",INDEX('Cronograma R. Financiero'!$K$5:$K$1000,$N61))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R. Financiero'!$M$5:$M$1000,$N61)&amp;"")</f>
        <v/>
      </c>
      <c r="M61" s="71">
        <f>IF($N61="","",INDEX('Cronograma R. Financiero'!$N$5:$N$1000,$N61)&amp;"")</f>
        <v/>
      </c>
      <c r="N61">
        <f>IFERROR(MATCH(ROW()-4,rOrden_RF,0),"")</f>
        <v/>
      </c>
      <c r="O61">
        <f>IF($N61="","",INDEX('Cronograma R. Financiero'!$S$5:$S$1000,$N61))</f>
        <v/>
      </c>
      <c r="P61">
        <f>IF($N61="","",N(INDEX('Cronograma R. Financiero'!$T$5:$T$1000,$N61)))</f>
        <v/>
      </c>
    </row>
    <row r="62">
      <c r="A62" s="62">
        <f>IF($N62="","",INDEX('Cronograma R. Financiero'!$A$5:$A$1000,$N62))</f>
        <v/>
      </c>
      <c r="B62" s="71">
        <f>IF($N62="","",IF($O62="Sub","      ↳  "&amp;INDEX('Cronograma R. Financiero'!$C$5:$C$1000,$N62),INDEX('Cronograma R. Financiero'!$C$5:$C$1000,$N62)&amp;""))</f>
        <v/>
      </c>
      <c r="C62" s="77">
        <f>IF($N62="","",IF(INDEX('Cronograma R. Financiero'!$D$5:$D$1000,$N62)="","",INDEX('Cronograma R. Financiero'!$D$5:$D$1000,$N62)))</f>
        <v/>
      </c>
      <c r="D62" s="77">
        <f>IF($N62="","",IF(INDEX('Cronograma R. Financiero'!$E$5:$E$1000,$N62)="","",INDEX('Cronograma R. Financiero'!$E$5:$E$1000,$N62)))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R. Financiero'!$Y$5:$Y$1000,$N62),""),IF(INDEX('Cronograma R. Financiero'!$G$5:$G$1000,$N62)="","",INDEX('Cronograma R. Financiero'!$G$5:$G$1000,$N62))))</f>
        <v/>
      </c>
      <c r="G62" s="68">
        <f>IF($N62="","",IF($P62&gt;0,IF(2&lt;=SemanaActual,INDEX('Cronograma R. Financiero'!$Z$5:$Z$1000,$N62),""),IF(INDEX('Cronograma R. Financiero'!$H$5:$H$1000,$N62)="","",INDEX('Cronograma R. Financiero'!$H$5:$H$1000,$N62))))</f>
        <v/>
      </c>
      <c r="H62" s="68">
        <f>IF($N62="","",IF($P62&gt;0,IF(3&lt;=SemanaActual,INDEX('Cronograma R. Financiero'!$AA$5:$AA$1000,$N62),""),IF(INDEX('Cronograma R. Financiero'!$I$5:$I$1000,$N62)="","",INDEX('Cronograma R. Financiero'!$I$5:$I$1000,$N62))))</f>
        <v/>
      </c>
      <c r="I62" s="68">
        <f>IF($N62="","",IF($P62&gt;0,IF(4&lt;=SemanaActual,INDEX('Cronograma R. Financiero'!$AB$5:$AB$1000,$N62),""),IF(INDEX('Cronograma R. Financiero'!$J$5:$J$1000,$N62)="","",INDEX('Cronograma R. Financiero'!$J$5:$J$1000,$N62))))</f>
        <v/>
      </c>
      <c r="J62" s="68">
        <f>IF($N62="","",INDEX('Cronograma R. Financiero'!$K$5:$K$1000,$N62))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R. Financiero'!$M$5:$M$1000,$N62)&amp;"")</f>
        <v/>
      </c>
      <c r="M62" s="71">
        <f>IF($N62="","",INDEX('Cronograma R. Financiero'!$N$5:$N$1000,$N62)&amp;"")</f>
        <v/>
      </c>
      <c r="N62">
        <f>IFERROR(MATCH(ROW()-4,rOrden_RF,0),"")</f>
        <v/>
      </c>
      <c r="O62">
        <f>IF($N62="","",INDEX('Cronograma R. Financiero'!$S$5:$S$1000,$N62))</f>
        <v/>
      </c>
      <c r="P62">
        <f>IF($N62="","",N(INDEX('Cronograma R. Financiero'!$T$5:$T$1000,$N62)))</f>
        <v/>
      </c>
    </row>
    <row r="63">
      <c r="A63" s="62">
        <f>IF($N63="","",INDEX('Cronograma R. Financiero'!$A$5:$A$1000,$N63))</f>
        <v/>
      </c>
      <c r="B63" s="71">
        <f>IF($N63="","",IF($O63="Sub","      ↳  "&amp;INDEX('Cronograma R. Financiero'!$C$5:$C$1000,$N63),INDEX('Cronograma R. Financiero'!$C$5:$C$1000,$N63)&amp;""))</f>
        <v/>
      </c>
      <c r="C63" s="77">
        <f>IF($N63="","",IF(INDEX('Cronograma R. Financiero'!$D$5:$D$1000,$N63)="","",INDEX('Cronograma R. Financiero'!$D$5:$D$1000,$N63)))</f>
        <v/>
      </c>
      <c r="D63" s="77">
        <f>IF($N63="","",IF(INDEX('Cronograma R. Financiero'!$E$5:$E$1000,$N63)="","",INDEX('Cronograma R. Financiero'!$E$5:$E$1000,$N63)))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R. Financiero'!$Y$5:$Y$1000,$N63),""),IF(INDEX('Cronograma R. Financiero'!$G$5:$G$1000,$N63)="","",INDEX('Cronograma R. Financiero'!$G$5:$G$1000,$N63))))</f>
        <v/>
      </c>
      <c r="G63" s="68">
        <f>IF($N63="","",IF($P63&gt;0,IF(2&lt;=SemanaActual,INDEX('Cronograma R. Financiero'!$Z$5:$Z$1000,$N63),""),IF(INDEX('Cronograma R. Financiero'!$H$5:$H$1000,$N63)="","",INDEX('Cronograma R. Financiero'!$H$5:$H$1000,$N63))))</f>
        <v/>
      </c>
      <c r="H63" s="68">
        <f>IF($N63="","",IF($P63&gt;0,IF(3&lt;=SemanaActual,INDEX('Cronograma R. Financiero'!$AA$5:$AA$1000,$N63),""),IF(INDEX('Cronograma R. Financiero'!$I$5:$I$1000,$N63)="","",INDEX('Cronograma R. Financiero'!$I$5:$I$1000,$N63))))</f>
        <v/>
      </c>
      <c r="I63" s="68">
        <f>IF($N63="","",IF($P63&gt;0,IF(4&lt;=SemanaActual,INDEX('Cronograma R. Financiero'!$AB$5:$AB$1000,$N63),""),IF(INDEX('Cronograma R. Financiero'!$J$5:$J$1000,$N63)="","",INDEX('Cronograma R. Financiero'!$J$5:$J$1000,$N63))))</f>
        <v/>
      </c>
      <c r="J63" s="68">
        <f>IF($N63="","",INDEX('Cronograma R. Financiero'!$K$5:$K$1000,$N63))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R. Financiero'!$M$5:$M$1000,$N63)&amp;"")</f>
        <v/>
      </c>
      <c r="M63" s="71">
        <f>IF($N63="","",INDEX('Cronograma R. Financiero'!$N$5:$N$1000,$N63)&amp;"")</f>
        <v/>
      </c>
      <c r="N63">
        <f>IFERROR(MATCH(ROW()-4,rOrden_RF,0),"")</f>
        <v/>
      </c>
      <c r="O63">
        <f>IF($N63="","",INDEX('Cronograma R. Financiero'!$S$5:$S$1000,$N63))</f>
        <v/>
      </c>
      <c r="P63">
        <f>IF($N63="","",N(INDEX('Cronograma R. Financiero'!$T$5:$T$1000,$N63)))</f>
        <v/>
      </c>
    </row>
    <row r="64">
      <c r="A64" s="62">
        <f>IF($N64="","",INDEX('Cronograma R. Financiero'!$A$5:$A$1000,$N64))</f>
        <v/>
      </c>
      <c r="B64" s="71">
        <f>IF($N64="","",IF($O64="Sub","      ↳  "&amp;INDEX('Cronograma R. Financiero'!$C$5:$C$1000,$N64),INDEX('Cronograma R. Financiero'!$C$5:$C$1000,$N64)&amp;""))</f>
        <v/>
      </c>
      <c r="C64" s="77">
        <f>IF($N64="","",IF(INDEX('Cronograma R. Financiero'!$D$5:$D$1000,$N64)="","",INDEX('Cronograma R. Financiero'!$D$5:$D$1000,$N64)))</f>
        <v/>
      </c>
      <c r="D64" s="77">
        <f>IF($N64="","",IF(INDEX('Cronograma R. Financiero'!$E$5:$E$1000,$N64)="","",INDEX('Cronograma R. Financiero'!$E$5:$E$1000,$N64)))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R. Financiero'!$Y$5:$Y$1000,$N64),""),IF(INDEX('Cronograma R. Financiero'!$G$5:$G$1000,$N64)="","",INDEX('Cronograma R. Financiero'!$G$5:$G$1000,$N64))))</f>
        <v/>
      </c>
      <c r="G64" s="68">
        <f>IF($N64="","",IF($P64&gt;0,IF(2&lt;=SemanaActual,INDEX('Cronograma R. Financiero'!$Z$5:$Z$1000,$N64),""),IF(INDEX('Cronograma R. Financiero'!$H$5:$H$1000,$N64)="","",INDEX('Cronograma R. Financiero'!$H$5:$H$1000,$N64))))</f>
        <v/>
      </c>
      <c r="H64" s="68">
        <f>IF($N64="","",IF($P64&gt;0,IF(3&lt;=SemanaActual,INDEX('Cronograma R. Financiero'!$AA$5:$AA$1000,$N64),""),IF(INDEX('Cronograma R. Financiero'!$I$5:$I$1000,$N64)="","",INDEX('Cronograma R. Financiero'!$I$5:$I$1000,$N64))))</f>
        <v/>
      </c>
      <c r="I64" s="68">
        <f>IF($N64="","",IF($P64&gt;0,IF(4&lt;=SemanaActual,INDEX('Cronograma R. Financiero'!$AB$5:$AB$1000,$N64),""),IF(INDEX('Cronograma R. Financiero'!$J$5:$J$1000,$N64)="","",INDEX('Cronograma R. Financiero'!$J$5:$J$1000,$N64))))</f>
        <v/>
      </c>
      <c r="J64" s="68">
        <f>IF($N64="","",INDEX('Cronograma R. Financiero'!$K$5:$K$1000,$N64))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R. Financiero'!$M$5:$M$1000,$N64)&amp;"")</f>
        <v/>
      </c>
      <c r="M64" s="71">
        <f>IF($N64="","",INDEX('Cronograma R. Financiero'!$N$5:$N$1000,$N64)&amp;"")</f>
        <v/>
      </c>
      <c r="N64">
        <f>IFERROR(MATCH(ROW()-4,rOrden_RF,0),"")</f>
        <v/>
      </c>
      <c r="O64">
        <f>IF($N64="","",INDEX('Cronograma R. Financiero'!$S$5:$S$1000,$N64))</f>
        <v/>
      </c>
      <c r="P64">
        <f>IF($N64="","",N(INDEX('Cronograma R. Financiero'!$T$5:$T$1000,$N64)))</f>
        <v/>
      </c>
    </row>
    <row r="65">
      <c r="A65" s="62">
        <f>IF($N65="","",INDEX('Cronograma R. Financiero'!$A$5:$A$1000,$N65))</f>
        <v/>
      </c>
      <c r="B65" s="71">
        <f>IF($N65="","",IF($O65="Sub","      ↳  "&amp;INDEX('Cronograma R. Financiero'!$C$5:$C$1000,$N65),INDEX('Cronograma R. Financiero'!$C$5:$C$1000,$N65)&amp;""))</f>
        <v/>
      </c>
      <c r="C65" s="77">
        <f>IF($N65="","",IF(INDEX('Cronograma R. Financiero'!$D$5:$D$1000,$N65)="","",INDEX('Cronograma R. Financiero'!$D$5:$D$1000,$N65)))</f>
        <v/>
      </c>
      <c r="D65" s="77">
        <f>IF($N65="","",IF(INDEX('Cronograma R. Financiero'!$E$5:$E$1000,$N65)="","",INDEX('Cronograma R. Financiero'!$E$5:$E$1000,$N65)))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R. Financiero'!$Y$5:$Y$1000,$N65),""),IF(INDEX('Cronograma R. Financiero'!$G$5:$G$1000,$N65)="","",INDEX('Cronograma R. Financiero'!$G$5:$G$1000,$N65))))</f>
        <v/>
      </c>
      <c r="G65" s="68">
        <f>IF($N65="","",IF($P65&gt;0,IF(2&lt;=SemanaActual,INDEX('Cronograma R. Financiero'!$Z$5:$Z$1000,$N65),""),IF(INDEX('Cronograma R. Financiero'!$H$5:$H$1000,$N65)="","",INDEX('Cronograma R. Financiero'!$H$5:$H$1000,$N65))))</f>
        <v/>
      </c>
      <c r="H65" s="68">
        <f>IF($N65="","",IF($P65&gt;0,IF(3&lt;=SemanaActual,INDEX('Cronograma R. Financiero'!$AA$5:$AA$1000,$N65),""),IF(INDEX('Cronograma R. Financiero'!$I$5:$I$1000,$N65)="","",INDEX('Cronograma R. Financiero'!$I$5:$I$1000,$N65))))</f>
        <v/>
      </c>
      <c r="I65" s="68">
        <f>IF($N65="","",IF($P65&gt;0,IF(4&lt;=SemanaActual,INDEX('Cronograma R. Financiero'!$AB$5:$AB$1000,$N65),""),IF(INDEX('Cronograma R. Financiero'!$J$5:$J$1000,$N65)="","",INDEX('Cronograma R. Financiero'!$J$5:$J$1000,$N65))))</f>
        <v/>
      </c>
      <c r="J65" s="68">
        <f>IF($N65="","",INDEX('Cronograma R. Financiero'!$K$5:$K$1000,$N65))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R. Financiero'!$M$5:$M$1000,$N65)&amp;"")</f>
        <v/>
      </c>
      <c r="M65" s="71">
        <f>IF($N65="","",INDEX('Cronograma R. Financiero'!$N$5:$N$1000,$N65)&amp;"")</f>
        <v/>
      </c>
      <c r="N65">
        <f>IFERROR(MATCH(ROW()-4,rOrden_RF,0),"")</f>
        <v/>
      </c>
      <c r="O65">
        <f>IF($N65="","",INDEX('Cronograma R. Financiero'!$S$5:$S$1000,$N65))</f>
        <v/>
      </c>
      <c r="P65">
        <f>IF($N65="","",N(INDEX('Cronograma R. Financiero'!$T$5:$T$1000,$N65)))</f>
        <v/>
      </c>
    </row>
    <row r="66">
      <c r="A66" s="62">
        <f>IF($N66="","",INDEX('Cronograma R. Financiero'!$A$5:$A$1000,$N66))</f>
        <v/>
      </c>
      <c r="B66" s="71">
        <f>IF($N66="","",IF($O66="Sub","      ↳  "&amp;INDEX('Cronograma R. Financiero'!$C$5:$C$1000,$N66),INDEX('Cronograma R. Financiero'!$C$5:$C$1000,$N66)&amp;""))</f>
        <v/>
      </c>
      <c r="C66" s="77">
        <f>IF($N66="","",IF(INDEX('Cronograma R. Financiero'!$D$5:$D$1000,$N66)="","",INDEX('Cronograma R. Financiero'!$D$5:$D$1000,$N66)))</f>
        <v/>
      </c>
      <c r="D66" s="77">
        <f>IF($N66="","",IF(INDEX('Cronograma R. Financiero'!$E$5:$E$1000,$N66)="","",INDEX('Cronograma R. Financiero'!$E$5:$E$1000,$N66)))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R. Financiero'!$Y$5:$Y$1000,$N66),""),IF(INDEX('Cronograma R. Financiero'!$G$5:$G$1000,$N66)="","",INDEX('Cronograma R. Financiero'!$G$5:$G$1000,$N66))))</f>
        <v/>
      </c>
      <c r="G66" s="68">
        <f>IF($N66="","",IF($P66&gt;0,IF(2&lt;=SemanaActual,INDEX('Cronograma R. Financiero'!$Z$5:$Z$1000,$N66),""),IF(INDEX('Cronograma R. Financiero'!$H$5:$H$1000,$N66)="","",INDEX('Cronograma R. Financiero'!$H$5:$H$1000,$N66))))</f>
        <v/>
      </c>
      <c r="H66" s="68">
        <f>IF($N66="","",IF($P66&gt;0,IF(3&lt;=SemanaActual,INDEX('Cronograma R. Financiero'!$AA$5:$AA$1000,$N66),""),IF(INDEX('Cronograma R. Financiero'!$I$5:$I$1000,$N66)="","",INDEX('Cronograma R. Financiero'!$I$5:$I$1000,$N66))))</f>
        <v/>
      </c>
      <c r="I66" s="68">
        <f>IF($N66="","",IF($P66&gt;0,IF(4&lt;=SemanaActual,INDEX('Cronograma R. Financiero'!$AB$5:$AB$1000,$N66),""),IF(INDEX('Cronograma R. Financiero'!$J$5:$J$1000,$N66)="","",INDEX('Cronograma R. Financiero'!$J$5:$J$1000,$N66))))</f>
        <v/>
      </c>
      <c r="J66" s="68">
        <f>IF($N66="","",INDEX('Cronograma R. Financiero'!$K$5:$K$1000,$N66))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R. Financiero'!$M$5:$M$1000,$N66)&amp;"")</f>
        <v/>
      </c>
      <c r="M66" s="71">
        <f>IF($N66="","",INDEX('Cronograma R. Financiero'!$N$5:$N$1000,$N66)&amp;"")</f>
        <v/>
      </c>
      <c r="N66">
        <f>IFERROR(MATCH(ROW()-4,rOrden_RF,0),"")</f>
        <v/>
      </c>
      <c r="O66">
        <f>IF($N66="","",INDEX('Cronograma R. Financiero'!$S$5:$S$1000,$N66))</f>
        <v/>
      </c>
      <c r="P66">
        <f>IF($N66="","",N(INDEX('Cronograma R. Financiero'!$T$5:$T$1000,$N66)))</f>
        <v/>
      </c>
    </row>
    <row r="67">
      <c r="A67" s="62">
        <f>IF($N67="","",INDEX('Cronograma R. Financiero'!$A$5:$A$1000,$N67))</f>
        <v/>
      </c>
      <c r="B67" s="71">
        <f>IF($N67="","",IF($O67="Sub","      ↳  "&amp;INDEX('Cronograma R. Financiero'!$C$5:$C$1000,$N67),INDEX('Cronograma R. Financiero'!$C$5:$C$1000,$N67)&amp;""))</f>
        <v/>
      </c>
      <c r="C67" s="77">
        <f>IF($N67="","",IF(INDEX('Cronograma R. Financiero'!$D$5:$D$1000,$N67)="","",INDEX('Cronograma R. Financiero'!$D$5:$D$1000,$N67)))</f>
        <v/>
      </c>
      <c r="D67" s="77">
        <f>IF($N67="","",IF(INDEX('Cronograma R. Financiero'!$E$5:$E$1000,$N67)="","",INDEX('Cronograma R. Financiero'!$E$5:$E$1000,$N67)))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R. Financiero'!$Y$5:$Y$1000,$N67),""),IF(INDEX('Cronograma R. Financiero'!$G$5:$G$1000,$N67)="","",INDEX('Cronograma R. Financiero'!$G$5:$G$1000,$N67))))</f>
        <v/>
      </c>
      <c r="G67" s="68">
        <f>IF($N67="","",IF($P67&gt;0,IF(2&lt;=SemanaActual,INDEX('Cronograma R. Financiero'!$Z$5:$Z$1000,$N67),""),IF(INDEX('Cronograma R. Financiero'!$H$5:$H$1000,$N67)="","",INDEX('Cronograma R. Financiero'!$H$5:$H$1000,$N67))))</f>
        <v/>
      </c>
      <c r="H67" s="68">
        <f>IF($N67="","",IF($P67&gt;0,IF(3&lt;=SemanaActual,INDEX('Cronograma R. Financiero'!$AA$5:$AA$1000,$N67),""),IF(INDEX('Cronograma R. Financiero'!$I$5:$I$1000,$N67)="","",INDEX('Cronograma R. Financiero'!$I$5:$I$1000,$N67))))</f>
        <v/>
      </c>
      <c r="I67" s="68">
        <f>IF($N67="","",IF($P67&gt;0,IF(4&lt;=SemanaActual,INDEX('Cronograma R. Financiero'!$AB$5:$AB$1000,$N67),""),IF(INDEX('Cronograma R. Financiero'!$J$5:$J$1000,$N67)="","",INDEX('Cronograma R. Financiero'!$J$5:$J$1000,$N67))))</f>
        <v/>
      </c>
      <c r="J67" s="68">
        <f>IF($N67="","",INDEX('Cronograma R. Financiero'!$K$5:$K$1000,$N67))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R. Financiero'!$M$5:$M$1000,$N67)&amp;"")</f>
        <v/>
      </c>
      <c r="M67" s="71">
        <f>IF($N67="","",INDEX('Cronograma R. Financiero'!$N$5:$N$1000,$N67)&amp;"")</f>
        <v/>
      </c>
      <c r="N67">
        <f>IFERROR(MATCH(ROW()-4,rOrden_RF,0),"")</f>
        <v/>
      </c>
      <c r="O67">
        <f>IF($N67="","",INDEX('Cronograma R. Financiero'!$S$5:$S$1000,$N67))</f>
        <v/>
      </c>
      <c r="P67">
        <f>IF($N67="","",N(INDEX('Cronograma R. Financiero'!$T$5:$T$1000,$N67)))</f>
        <v/>
      </c>
    </row>
    <row r="68">
      <c r="A68" s="62">
        <f>IF($N68="","",INDEX('Cronograma R. Financiero'!$A$5:$A$1000,$N68))</f>
        <v/>
      </c>
      <c r="B68" s="71">
        <f>IF($N68="","",IF($O68="Sub","      ↳  "&amp;INDEX('Cronograma R. Financiero'!$C$5:$C$1000,$N68),INDEX('Cronograma R. Financiero'!$C$5:$C$1000,$N68)&amp;""))</f>
        <v/>
      </c>
      <c r="C68" s="77">
        <f>IF($N68="","",IF(INDEX('Cronograma R. Financiero'!$D$5:$D$1000,$N68)="","",INDEX('Cronograma R. Financiero'!$D$5:$D$1000,$N68)))</f>
        <v/>
      </c>
      <c r="D68" s="77">
        <f>IF($N68="","",IF(INDEX('Cronograma R. Financiero'!$E$5:$E$1000,$N68)="","",INDEX('Cronograma R. Financiero'!$E$5:$E$1000,$N68)))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R. Financiero'!$Y$5:$Y$1000,$N68),""),IF(INDEX('Cronograma R. Financiero'!$G$5:$G$1000,$N68)="","",INDEX('Cronograma R. Financiero'!$G$5:$G$1000,$N68))))</f>
        <v/>
      </c>
      <c r="G68" s="68">
        <f>IF($N68="","",IF($P68&gt;0,IF(2&lt;=SemanaActual,INDEX('Cronograma R. Financiero'!$Z$5:$Z$1000,$N68),""),IF(INDEX('Cronograma R. Financiero'!$H$5:$H$1000,$N68)="","",INDEX('Cronograma R. Financiero'!$H$5:$H$1000,$N68))))</f>
        <v/>
      </c>
      <c r="H68" s="68">
        <f>IF($N68="","",IF($P68&gt;0,IF(3&lt;=SemanaActual,INDEX('Cronograma R. Financiero'!$AA$5:$AA$1000,$N68),""),IF(INDEX('Cronograma R. Financiero'!$I$5:$I$1000,$N68)="","",INDEX('Cronograma R. Financiero'!$I$5:$I$1000,$N68))))</f>
        <v/>
      </c>
      <c r="I68" s="68">
        <f>IF($N68="","",IF($P68&gt;0,IF(4&lt;=SemanaActual,INDEX('Cronograma R. Financiero'!$AB$5:$AB$1000,$N68),""),IF(INDEX('Cronograma R. Financiero'!$J$5:$J$1000,$N68)="","",INDEX('Cronograma R. Financiero'!$J$5:$J$1000,$N68))))</f>
        <v/>
      </c>
      <c r="J68" s="68">
        <f>IF($N68="","",INDEX('Cronograma R. Financiero'!$K$5:$K$1000,$N68))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R. Financiero'!$M$5:$M$1000,$N68)&amp;"")</f>
        <v/>
      </c>
      <c r="M68" s="71">
        <f>IF($N68="","",INDEX('Cronograma R. Financiero'!$N$5:$N$1000,$N68)&amp;"")</f>
        <v/>
      </c>
      <c r="N68">
        <f>IFERROR(MATCH(ROW()-4,rOrden_RF,0),"")</f>
        <v/>
      </c>
      <c r="O68">
        <f>IF($N68="","",INDEX('Cronograma R. Financiero'!$S$5:$S$1000,$N68))</f>
        <v/>
      </c>
      <c r="P68">
        <f>IF($N68="","",N(INDEX('Cronograma R. Financiero'!$T$5:$T$1000,$N68)))</f>
        <v/>
      </c>
    </row>
    <row r="69">
      <c r="A69" s="62">
        <f>IF($N69="","",INDEX('Cronograma R. Financiero'!$A$5:$A$1000,$N69))</f>
        <v/>
      </c>
      <c r="B69" s="71">
        <f>IF($N69="","",IF($O69="Sub","      ↳  "&amp;INDEX('Cronograma R. Financiero'!$C$5:$C$1000,$N69),INDEX('Cronograma R. Financiero'!$C$5:$C$1000,$N69)&amp;""))</f>
        <v/>
      </c>
      <c r="C69" s="77">
        <f>IF($N69="","",IF(INDEX('Cronograma R. Financiero'!$D$5:$D$1000,$N69)="","",INDEX('Cronograma R. Financiero'!$D$5:$D$1000,$N69)))</f>
        <v/>
      </c>
      <c r="D69" s="77">
        <f>IF($N69="","",IF(INDEX('Cronograma R. Financiero'!$E$5:$E$1000,$N69)="","",INDEX('Cronograma R. Financiero'!$E$5:$E$1000,$N69)))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R. Financiero'!$Y$5:$Y$1000,$N69),""),IF(INDEX('Cronograma R. Financiero'!$G$5:$G$1000,$N69)="","",INDEX('Cronograma R. Financiero'!$G$5:$G$1000,$N69))))</f>
        <v/>
      </c>
      <c r="G69" s="68">
        <f>IF($N69="","",IF($P69&gt;0,IF(2&lt;=SemanaActual,INDEX('Cronograma R. Financiero'!$Z$5:$Z$1000,$N69),""),IF(INDEX('Cronograma R. Financiero'!$H$5:$H$1000,$N69)="","",INDEX('Cronograma R. Financiero'!$H$5:$H$1000,$N69))))</f>
        <v/>
      </c>
      <c r="H69" s="68">
        <f>IF($N69="","",IF($P69&gt;0,IF(3&lt;=SemanaActual,INDEX('Cronograma R. Financiero'!$AA$5:$AA$1000,$N69),""),IF(INDEX('Cronograma R. Financiero'!$I$5:$I$1000,$N69)="","",INDEX('Cronograma R. Financiero'!$I$5:$I$1000,$N69))))</f>
        <v/>
      </c>
      <c r="I69" s="68">
        <f>IF($N69="","",IF($P69&gt;0,IF(4&lt;=SemanaActual,INDEX('Cronograma R. Financiero'!$AB$5:$AB$1000,$N69),""),IF(INDEX('Cronograma R. Financiero'!$J$5:$J$1000,$N69)="","",INDEX('Cronograma R. Financiero'!$J$5:$J$1000,$N69))))</f>
        <v/>
      </c>
      <c r="J69" s="68">
        <f>IF($N69="","",INDEX('Cronograma R. Financiero'!$K$5:$K$1000,$N69))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R. Financiero'!$M$5:$M$1000,$N69)&amp;"")</f>
        <v/>
      </c>
      <c r="M69" s="71">
        <f>IF($N69="","",INDEX('Cronograma R. Financiero'!$N$5:$N$1000,$N69)&amp;"")</f>
        <v/>
      </c>
      <c r="N69">
        <f>IFERROR(MATCH(ROW()-4,rOrden_RF,0),"")</f>
        <v/>
      </c>
      <c r="O69">
        <f>IF($N69="","",INDEX('Cronograma R. Financiero'!$S$5:$S$1000,$N69))</f>
        <v/>
      </c>
      <c r="P69">
        <f>IF($N69="","",N(INDEX('Cronograma R. Financiero'!$T$5:$T$1000,$N69)))</f>
        <v/>
      </c>
    </row>
    <row r="70">
      <c r="A70" s="62">
        <f>IF($N70="","",INDEX('Cronograma R. Financiero'!$A$5:$A$1000,$N70))</f>
        <v/>
      </c>
      <c r="B70" s="71">
        <f>IF($N70="","",IF($O70="Sub","      ↳  "&amp;INDEX('Cronograma R. Financiero'!$C$5:$C$1000,$N70),INDEX('Cronograma R. Financiero'!$C$5:$C$1000,$N70)&amp;""))</f>
        <v/>
      </c>
      <c r="C70" s="77">
        <f>IF($N70="","",IF(INDEX('Cronograma R. Financiero'!$D$5:$D$1000,$N70)="","",INDEX('Cronograma R. Financiero'!$D$5:$D$1000,$N70)))</f>
        <v/>
      </c>
      <c r="D70" s="77">
        <f>IF($N70="","",IF(INDEX('Cronograma R. Financiero'!$E$5:$E$1000,$N70)="","",INDEX('Cronograma R. Financiero'!$E$5:$E$1000,$N70)))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R. Financiero'!$Y$5:$Y$1000,$N70),""),IF(INDEX('Cronograma R. Financiero'!$G$5:$G$1000,$N70)="","",INDEX('Cronograma R. Financiero'!$G$5:$G$1000,$N70))))</f>
        <v/>
      </c>
      <c r="G70" s="68">
        <f>IF($N70="","",IF($P70&gt;0,IF(2&lt;=SemanaActual,INDEX('Cronograma R. Financiero'!$Z$5:$Z$1000,$N70),""),IF(INDEX('Cronograma R. Financiero'!$H$5:$H$1000,$N70)="","",INDEX('Cronograma R. Financiero'!$H$5:$H$1000,$N70))))</f>
        <v/>
      </c>
      <c r="H70" s="68">
        <f>IF($N70="","",IF($P70&gt;0,IF(3&lt;=SemanaActual,INDEX('Cronograma R. Financiero'!$AA$5:$AA$1000,$N70),""),IF(INDEX('Cronograma R. Financiero'!$I$5:$I$1000,$N70)="","",INDEX('Cronograma R. Financiero'!$I$5:$I$1000,$N70))))</f>
        <v/>
      </c>
      <c r="I70" s="68">
        <f>IF($N70="","",IF($P70&gt;0,IF(4&lt;=SemanaActual,INDEX('Cronograma R. Financiero'!$AB$5:$AB$1000,$N70),""),IF(INDEX('Cronograma R. Financiero'!$J$5:$J$1000,$N70)="","",INDEX('Cronograma R. Financiero'!$J$5:$J$1000,$N70))))</f>
        <v/>
      </c>
      <c r="J70" s="68">
        <f>IF($N70="","",INDEX('Cronograma R. Financiero'!$K$5:$K$1000,$N70))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R. Financiero'!$M$5:$M$1000,$N70)&amp;"")</f>
        <v/>
      </c>
      <c r="M70" s="71">
        <f>IF($N70="","",INDEX('Cronograma R. Financiero'!$N$5:$N$1000,$N70)&amp;"")</f>
        <v/>
      </c>
      <c r="N70">
        <f>IFERROR(MATCH(ROW()-4,rOrden_RF,0),"")</f>
        <v/>
      </c>
      <c r="O70">
        <f>IF($N70="","",INDEX('Cronograma R. Financiero'!$S$5:$S$1000,$N70))</f>
        <v/>
      </c>
      <c r="P70">
        <f>IF($N70="","",N(INDEX('Cronograma R. Financiero'!$T$5:$T$1000,$N70)))</f>
        <v/>
      </c>
    </row>
    <row r="71">
      <c r="A71" s="62">
        <f>IF($N71="","",INDEX('Cronograma R. Financiero'!$A$5:$A$1000,$N71))</f>
        <v/>
      </c>
      <c r="B71" s="71">
        <f>IF($N71="","",IF($O71="Sub","      ↳  "&amp;INDEX('Cronograma R. Financiero'!$C$5:$C$1000,$N71),INDEX('Cronograma R. Financiero'!$C$5:$C$1000,$N71)&amp;""))</f>
        <v/>
      </c>
      <c r="C71" s="77">
        <f>IF($N71="","",IF(INDEX('Cronograma R. Financiero'!$D$5:$D$1000,$N71)="","",INDEX('Cronograma R. Financiero'!$D$5:$D$1000,$N71)))</f>
        <v/>
      </c>
      <c r="D71" s="77">
        <f>IF($N71="","",IF(INDEX('Cronograma R. Financiero'!$E$5:$E$1000,$N71)="","",INDEX('Cronograma R. Financiero'!$E$5:$E$1000,$N71)))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R. Financiero'!$Y$5:$Y$1000,$N71),""),IF(INDEX('Cronograma R. Financiero'!$G$5:$G$1000,$N71)="","",INDEX('Cronograma R. Financiero'!$G$5:$G$1000,$N71))))</f>
        <v/>
      </c>
      <c r="G71" s="68">
        <f>IF($N71="","",IF($P71&gt;0,IF(2&lt;=SemanaActual,INDEX('Cronograma R. Financiero'!$Z$5:$Z$1000,$N71),""),IF(INDEX('Cronograma R. Financiero'!$H$5:$H$1000,$N71)="","",INDEX('Cronograma R. Financiero'!$H$5:$H$1000,$N71))))</f>
        <v/>
      </c>
      <c r="H71" s="68">
        <f>IF($N71="","",IF($P71&gt;0,IF(3&lt;=SemanaActual,INDEX('Cronograma R. Financiero'!$AA$5:$AA$1000,$N71),""),IF(INDEX('Cronograma R. Financiero'!$I$5:$I$1000,$N71)="","",INDEX('Cronograma R. Financiero'!$I$5:$I$1000,$N71))))</f>
        <v/>
      </c>
      <c r="I71" s="68">
        <f>IF($N71="","",IF($P71&gt;0,IF(4&lt;=SemanaActual,INDEX('Cronograma R. Financiero'!$AB$5:$AB$1000,$N71),""),IF(INDEX('Cronograma R. Financiero'!$J$5:$J$1000,$N71)="","",INDEX('Cronograma R. Financiero'!$J$5:$J$1000,$N71))))</f>
        <v/>
      </c>
      <c r="J71" s="68">
        <f>IF($N71="","",INDEX('Cronograma R. Financiero'!$K$5:$K$1000,$N71))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R. Financiero'!$M$5:$M$1000,$N71)&amp;"")</f>
        <v/>
      </c>
      <c r="M71" s="71">
        <f>IF($N71="","",INDEX('Cronograma R. Financiero'!$N$5:$N$1000,$N71)&amp;"")</f>
        <v/>
      </c>
      <c r="N71">
        <f>IFERROR(MATCH(ROW()-4,rOrden_RF,0),"")</f>
        <v/>
      </c>
      <c r="O71">
        <f>IF($N71="","",INDEX('Cronograma R. Financiero'!$S$5:$S$1000,$N71))</f>
        <v/>
      </c>
      <c r="P71">
        <f>IF($N71="","",N(INDEX('Cronograma R. Financiero'!$T$5:$T$1000,$N71)))</f>
        <v/>
      </c>
    </row>
    <row r="72">
      <c r="A72" s="62">
        <f>IF($N72="","",INDEX('Cronograma R. Financiero'!$A$5:$A$1000,$N72))</f>
        <v/>
      </c>
      <c r="B72" s="71">
        <f>IF($N72="","",IF($O72="Sub","      ↳  "&amp;INDEX('Cronograma R. Financiero'!$C$5:$C$1000,$N72),INDEX('Cronograma R. Financiero'!$C$5:$C$1000,$N72)&amp;""))</f>
        <v/>
      </c>
      <c r="C72" s="77">
        <f>IF($N72="","",IF(INDEX('Cronograma R. Financiero'!$D$5:$D$1000,$N72)="","",INDEX('Cronograma R. Financiero'!$D$5:$D$1000,$N72)))</f>
        <v/>
      </c>
      <c r="D72" s="77">
        <f>IF($N72="","",IF(INDEX('Cronograma R. Financiero'!$E$5:$E$1000,$N72)="","",INDEX('Cronograma R. Financiero'!$E$5:$E$1000,$N72)))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R. Financiero'!$Y$5:$Y$1000,$N72),""),IF(INDEX('Cronograma R. Financiero'!$G$5:$G$1000,$N72)="","",INDEX('Cronograma R. Financiero'!$G$5:$G$1000,$N72))))</f>
        <v/>
      </c>
      <c r="G72" s="68">
        <f>IF($N72="","",IF($P72&gt;0,IF(2&lt;=SemanaActual,INDEX('Cronograma R. Financiero'!$Z$5:$Z$1000,$N72),""),IF(INDEX('Cronograma R. Financiero'!$H$5:$H$1000,$N72)="","",INDEX('Cronograma R. Financiero'!$H$5:$H$1000,$N72))))</f>
        <v/>
      </c>
      <c r="H72" s="68">
        <f>IF($N72="","",IF($P72&gt;0,IF(3&lt;=SemanaActual,INDEX('Cronograma R. Financiero'!$AA$5:$AA$1000,$N72),""),IF(INDEX('Cronograma R. Financiero'!$I$5:$I$1000,$N72)="","",INDEX('Cronograma R. Financiero'!$I$5:$I$1000,$N72))))</f>
        <v/>
      </c>
      <c r="I72" s="68">
        <f>IF($N72="","",IF($P72&gt;0,IF(4&lt;=SemanaActual,INDEX('Cronograma R. Financiero'!$AB$5:$AB$1000,$N72),""),IF(INDEX('Cronograma R. Financiero'!$J$5:$J$1000,$N72)="","",INDEX('Cronograma R. Financiero'!$J$5:$J$1000,$N72))))</f>
        <v/>
      </c>
      <c r="J72" s="68">
        <f>IF($N72="","",INDEX('Cronograma R. Financiero'!$K$5:$K$1000,$N72))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R. Financiero'!$M$5:$M$1000,$N72)&amp;"")</f>
        <v/>
      </c>
      <c r="M72" s="71">
        <f>IF($N72="","",INDEX('Cronograma R. Financiero'!$N$5:$N$1000,$N72)&amp;"")</f>
        <v/>
      </c>
      <c r="N72">
        <f>IFERROR(MATCH(ROW()-4,rOrden_RF,0),"")</f>
        <v/>
      </c>
      <c r="O72">
        <f>IF($N72="","",INDEX('Cronograma R. Financiero'!$S$5:$S$1000,$N72))</f>
        <v/>
      </c>
      <c r="P72">
        <f>IF($N72="","",N(INDEX('Cronograma R. Financiero'!$T$5:$T$1000,$N72)))</f>
        <v/>
      </c>
    </row>
    <row r="73">
      <c r="A73" s="62">
        <f>IF($N73="","",INDEX('Cronograma R. Financiero'!$A$5:$A$1000,$N73))</f>
        <v/>
      </c>
      <c r="B73" s="71">
        <f>IF($N73="","",IF($O73="Sub","      ↳  "&amp;INDEX('Cronograma R. Financiero'!$C$5:$C$1000,$N73),INDEX('Cronograma R. Financiero'!$C$5:$C$1000,$N73)&amp;""))</f>
        <v/>
      </c>
      <c r="C73" s="77">
        <f>IF($N73="","",IF(INDEX('Cronograma R. Financiero'!$D$5:$D$1000,$N73)="","",INDEX('Cronograma R. Financiero'!$D$5:$D$1000,$N73)))</f>
        <v/>
      </c>
      <c r="D73" s="77">
        <f>IF($N73="","",IF(INDEX('Cronograma R. Financiero'!$E$5:$E$1000,$N73)="","",INDEX('Cronograma R. Financiero'!$E$5:$E$1000,$N73)))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R. Financiero'!$Y$5:$Y$1000,$N73),""),IF(INDEX('Cronograma R. Financiero'!$G$5:$G$1000,$N73)="","",INDEX('Cronograma R. Financiero'!$G$5:$G$1000,$N73))))</f>
        <v/>
      </c>
      <c r="G73" s="68">
        <f>IF($N73="","",IF($P73&gt;0,IF(2&lt;=SemanaActual,INDEX('Cronograma R. Financiero'!$Z$5:$Z$1000,$N73),""),IF(INDEX('Cronograma R. Financiero'!$H$5:$H$1000,$N73)="","",INDEX('Cronograma R. Financiero'!$H$5:$H$1000,$N73))))</f>
        <v/>
      </c>
      <c r="H73" s="68">
        <f>IF($N73="","",IF($P73&gt;0,IF(3&lt;=SemanaActual,INDEX('Cronograma R. Financiero'!$AA$5:$AA$1000,$N73),""),IF(INDEX('Cronograma R. Financiero'!$I$5:$I$1000,$N73)="","",INDEX('Cronograma R. Financiero'!$I$5:$I$1000,$N73))))</f>
        <v/>
      </c>
      <c r="I73" s="68">
        <f>IF($N73="","",IF($P73&gt;0,IF(4&lt;=SemanaActual,INDEX('Cronograma R. Financiero'!$AB$5:$AB$1000,$N73),""),IF(INDEX('Cronograma R. Financiero'!$J$5:$J$1000,$N73)="","",INDEX('Cronograma R. Financiero'!$J$5:$J$1000,$N73))))</f>
        <v/>
      </c>
      <c r="J73" s="68">
        <f>IF($N73="","",INDEX('Cronograma R. Financiero'!$K$5:$K$1000,$N73))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R. Financiero'!$M$5:$M$1000,$N73)&amp;"")</f>
        <v/>
      </c>
      <c r="M73" s="71">
        <f>IF($N73="","",INDEX('Cronograma R. Financiero'!$N$5:$N$1000,$N73)&amp;"")</f>
        <v/>
      </c>
      <c r="N73">
        <f>IFERROR(MATCH(ROW()-4,rOrden_RF,0),"")</f>
        <v/>
      </c>
      <c r="O73">
        <f>IF($N73="","",INDEX('Cronograma R. Financiero'!$S$5:$S$1000,$N73))</f>
        <v/>
      </c>
      <c r="P73">
        <f>IF($N73="","",N(INDEX('Cronograma R. Financiero'!$T$5:$T$1000,$N73)))</f>
        <v/>
      </c>
    </row>
    <row r="74">
      <c r="A74" s="62">
        <f>IF($N74="","",INDEX('Cronograma R. Financiero'!$A$5:$A$1000,$N74))</f>
        <v/>
      </c>
      <c r="B74" s="71">
        <f>IF($N74="","",IF($O74="Sub","      ↳  "&amp;INDEX('Cronograma R. Financiero'!$C$5:$C$1000,$N74),INDEX('Cronograma R. Financiero'!$C$5:$C$1000,$N74)&amp;""))</f>
        <v/>
      </c>
      <c r="C74" s="77">
        <f>IF($N74="","",IF(INDEX('Cronograma R. Financiero'!$D$5:$D$1000,$N74)="","",INDEX('Cronograma R. Financiero'!$D$5:$D$1000,$N74)))</f>
        <v/>
      </c>
      <c r="D74" s="77">
        <f>IF($N74="","",IF(INDEX('Cronograma R. Financiero'!$E$5:$E$1000,$N74)="","",INDEX('Cronograma R. Financiero'!$E$5:$E$1000,$N74)))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R. Financiero'!$Y$5:$Y$1000,$N74),""),IF(INDEX('Cronograma R. Financiero'!$G$5:$G$1000,$N74)="","",INDEX('Cronograma R. Financiero'!$G$5:$G$1000,$N74))))</f>
        <v/>
      </c>
      <c r="G74" s="68">
        <f>IF($N74="","",IF($P74&gt;0,IF(2&lt;=SemanaActual,INDEX('Cronograma R. Financiero'!$Z$5:$Z$1000,$N74),""),IF(INDEX('Cronograma R. Financiero'!$H$5:$H$1000,$N74)="","",INDEX('Cronograma R. Financiero'!$H$5:$H$1000,$N74))))</f>
        <v/>
      </c>
      <c r="H74" s="68">
        <f>IF($N74="","",IF($P74&gt;0,IF(3&lt;=SemanaActual,INDEX('Cronograma R. Financiero'!$AA$5:$AA$1000,$N74),""),IF(INDEX('Cronograma R. Financiero'!$I$5:$I$1000,$N74)="","",INDEX('Cronograma R. Financiero'!$I$5:$I$1000,$N74))))</f>
        <v/>
      </c>
      <c r="I74" s="68">
        <f>IF($N74="","",IF($P74&gt;0,IF(4&lt;=SemanaActual,INDEX('Cronograma R. Financiero'!$AB$5:$AB$1000,$N74),""),IF(INDEX('Cronograma R. Financiero'!$J$5:$J$1000,$N74)="","",INDEX('Cronograma R. Financiero'!$J$5:$J$1000,$N74))))</f>
        <v/>
      </c>
      <c r="J74" s="68">
        <f>IF($N74="","",INDEX('Cronograma R. Financiero'!$K$5:$K$1000,$N74))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R. Financiero'!$M$5:$M$1000,$N74)&amp;"")</f>
        <v/>
      </c>
      <c r="M74" s="71">
        <f>IF($N74="","",INDEX('Cronograma R. Financiero'!$N$5:$N$1000,$N74)&amp;"")</f>
        <v/>
      </c>
      <c r="N74">
        <f>IFERROR(MATCH(ROW()-4,rOrden_RF,0),"")</f>
        <v/>
      </c>
      <c r="O74">
        <f>IF($N74="","",INDEX('Cronograma R. Financiero'!$S$5:$S$1000,$N74))</f>
        <v/>
      </c>
      <c r="P74">
        <f>IF($N74="","",N(INDEX('Cronograma R. Financiero'!$T$5:$T$1000,$N74)))</f>
        <v/>
      </c>
    </row>
    <row r="75">
      <c r="A75" s="62">
        <f>IF($N75="","",INDEX('Cronograma R. Financiero'!$A$5:$A$1000,$N75))</f>
        <v/>
      </c>
      <c r="B75" s="71">
        <f>IF($N75="","",IF($O75="Sub","      ↳  "&amp;INDEX('Cronograma R. Financiero'!$C$5:$C$1000,$N75),INDEX('Cronograma R. Financiero'!$C$5:$C$1000,$N75)&amp;""))</f>
        <v/>
      </c>
      <c r="C75" s="77">
        <f>IF($N75="","",IF(INDEX('Cronograma R. Financiero'!$D$5:$D$1000,$N75)="","",INDEX('Cronograma R. Financiero'!$D$5:$D$1000,$N75)))</f>
        <v/>
      </c>
      <c r="D75" s="77">
        <f>IF($N75="","",IF(INDEX('Cronograma R. Financiero'!$E$5:$E$1000,$N75)="","",INDEX('Cronograma R. Financiero'!$E$5:$E$1000,$N75)))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R. Financiero'!$Y$5:$Y$1000,$N75),""),IF(INDEX('Cronograma R. Financiero'!$G$5:$G$1000,$N75)="","",INDEX('Cronograma R. Financiero'!$G$5:$G$1000,$N75))))</f>
        <v/>
      </c>
      <c r="G75" s="68">
        <f>IF($N75="","",IF($P75&gt;0,IF(2&lt;=SemanaActual,INDEX('Cronograma R. Financiero'!$Z$5:$Z$1000,$N75),""),IF(INDEX('Cronograma R. Financiero'!$H$5:$H$1000,$N75)="","",INDEX('Cronograma R. Financiero'!$H$5:$H$1000,$N75))))</f>
        <v/>
      </c>
      <c r="H75" s="68">
        <f>IF($N75="","",IF($P75&gt;0,IF(3&lt;=SemanaActual,INDEX('Cronograma R. Financiero'!$AA$5:$AA$1000,$N75),""),IF(INDEX('Cronograma R. Financiero'!$I$5:$I$1000,$N75)="","",INDEX('Cronograma R. Financiero'!$I$5:$I$1000,$N75))))</f>
        <v/>
      </c>
      <c r="I75" s="68">
        <f>IF($N75="","",IF($P75&gt;0,IF(4&lt;=SemanaActual,INDEX('Cronograma R. Financiero'!$AB$5:$AB$1000,$N75),""),IF(INDEX('Cronograma R. Financiero'!$J$5:$J$1000,$N75)="","",INDEX('Cronograma R. Financiero'!$J$5:$J$1000,$N75))))</f>
        <v/>
      </c>
      <c r="J75" s="68">
        <f>IF($N75="","",INDEX('Cronograma R. Financiero'!$K$5:$K$1000,$N75))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R. Financiero'!$M$5:$M$1000,$N75)&amp;"")</f>
        <v/>
      </c>
      <c r="M75" s="71">
        <f>IF($N75="","",INDEX('Cronograma R. Financiero'!$N$5:$N$1000,$N75)&amp;"")</f>
        <v/>
      </c>
      <c r="N75">
        <f>IFERROR(MATCH(ROW()-4,rOrden_RF,0),"")</f>
        <v/>
      </c>
      <c r="O75">
        <f>IF($N75="","",INDEX('Cronograma R. Financiero'!$S$5:$S$1000,$N75))</f>
        <v/>
      </c>
      <c r="P75">
        <f>IF($N75="","",N(INDEX('Cronograma R. Financiero'!$T$5:$T$1000,$N75)))</f>
        <v/>
      </c>
    </row>
    <row r="76">
      <c r="A76" s="62">
        <f>IF($N76="","",INDEX('Cronograma R. Financiero'!$A$5:$A$1000,$N76))</f>
        <v/>
      </c>
      <c r="B76" s="71">
        <f>IF($N76="","",IF($O76="Sub","      ↳  "&amp;INDEX('Cronograma R. Financiero'!$C$5:$C$1000,$N76),INDEX('Cronograma R. Financiero'!$C$5:$C$1000,$N76)&amp;""))</f>
        <v/>
      </c>
      <c r="C76" s="77">
        <f>IF($N76="","",IF(INDEX('Cronograma R. Financiero'!$D$5:$D$1000,$N76)="","",INDEX('Cronograma R. Financiero'!$D$5:$D$1000,$N76)))</f>
        <v/>
      </c>
      <c r="D76" s="77">
        <f>IF($N76="","",IF(INDEX('Cronograma R. Financiero'!$E$5:$E$1000,$N76)="","",INDEX('Cronograma R. Financiero'!$E$5:$E$1000,$N76)))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R. Financiero'!$Y$5:$Y$1000,$N76),""),IF(INDEX('Cronograma R. Financiero'!$G$5:$G$1000,$N76)="","",INDEX('Cronograma R. Financiero'!$G$5:$G$1000,$N76))))</f>
        <v/>
      </c>
      <c r="G76" s="68">
        <f>IF($N76="","",IF($P76&gt;0,IF(2&lt;=SemanaActual,INDEX('Cronograma R. Financiero'!$Z$5:$Z$1000,$N76),""),IF(INDEX('Cronograma R. Financiero'!$H$5:$H$1000,$N76)="","",INDEX('Cronograma R. Financiero'!$H$5:$H$1000,$N76))))</f>
        <v/>
      </c>
      <c r="H76" s="68">
        <f>IF($N76="","",IF($P76&gt;0,IF(3&lt;=SemanaActual,INDEX('Cronograma R. Financiero'!$AA$5:$AA$1000,$N76),""),IF(INDEX('Cronograma R. Financiero'!$I$5:$I$1000,$N76)="","",INDEX('Cronograma R. Financiero'!$I$5:$I$1000,$N76))))</f>
        <v/>
      </c>
      <c r="I76" s="68">
        <f>IF($N76="","",IF($P76&gt;0,IF(4&lt;=SemanaActual,INDEX('Cronograma R. Financiero'!$AB$5:$AB$1000,$N76),""),IF(INDEX('Cronograma R. Financiero'!$J$5:$J$1000,$N76)="","",INDEX('Cronograma R. Financiero'!$J$5:$J$1000,$N76))))</f>
        <v/>
      </c>
      <c r="J76" s="68">
        <f>IF($N76="","",INDEX('Cronograma R. Financiero'!$K$5:$K$1000,$N76))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R. Financiero'!$M$5:$M$1000,$N76)&amp;"")</f>
        <v/>
      </c>
      <c r="M76" s="71">
        <f>IF($N76="","",INDEX('Cronograma R. Financiero'!$N$5:$N$1000,$N76)&amp;"")</f>
        <v/>
      </c>
      <c r="N76">
        <f>IFERROR(MATCH(ROW()-4,rOrden_RF,0),"")</f>
        <v/>
      </c>
      <c r="O76">
        <f>IF($N76="","",INDEX('Cronograma R. Financiero'!$S$5:$S$1000,$N76))</f>
        <v/>
      </c>
      <c r="P76">
        <f>IF($N76="","",N(INDEX('Cronograma R. Financiero'!$T$5:$T$1000,$N76)))</f>
        <v/>
      </c>
    </row>
    <row r="77">
      <c r="A77" s="62">
        <f>IF($N77="","",INDEX('Cronograma R. Financiero'!$A$5:$A$1000,$N77))</f>
        <v/>
      </c>
      <c r="B77" s="71">
        <f>IF($N77="","",IF($O77="Sub","      ↳  "&amp;INDEX('Cronograma R. Financiero'!$C$5:$C$1000,$N77),INDEX('Cronograma R. Financiero'!$C$5:$C$1000,$N77)&amp;""))</f>
        <v/>
      </c>
      <c r="C77" s="77">
        <f>IF($N77="","",IF(INDEX('Cronograma R. Financiero'!$D$5:$D$1000,$N77)="","",INDEX('Cronograma R. Financiero'!$D$5:$D$1000,$N77)))</f>
        <v/>
      </c>
      <c r="D77" s="77">
        <f>IF($N77="","",IF(INDEX('Cronograma R. Financiero'!$E$5:$E$1000,$N77)="","",INDEX('Cronograma R. Financiero'!$E$5:$E$1000,$N77)))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R. Financiero'!$Y$5:$Y$1000,$N77),""),IF(INDEX('Cronograma R. Financiero'!$G$5:$G$1000,$N77)="","",INDEX('Cronograma R. Financiero'!$G$5:$G$1000,$N77))))</f>
        <v/>
      </c>
      <c r="G77" s="68">
        <f>IF($N77="","",IF($P77&gt;0,IF(2&lt;=SemanaActual,INDEX('Cronograma R. Financiero'!$Z$5:$Z$1000,$N77),""),IF(INDEX('Cronograma R. Financiero'!$H$5:$H$1000,$N77)="","",INDEX('Cronograma R. Financiero'!$H$5:$H$1000,$N77))))</f>
        <v/>
      </c>
      <c r="H77" s="68">
        <f>IF($N77="","",IF($P77&gt;0,IF(3&lt;=SemanaActual,INDEX('Cronograma R. Financiero'!$AA$5:$AA$1000,$N77),""),IF(INDEX('Cronograma R. Financiero'!$I$5:$I$1000,$N77)="","",INDEX('Cronograma R. Financiero'!$I$5:$I$1000,$N77))))</f>
        <v/>
      </c>
      <c r="I77" s="68">
        <f>IF($N77="","",IF($P77&gt;0,IF(4&lt;=SemanaActual,INDEX('Cronograma R. Financiero'!$AB$5:$AB$1000,$N77),""),IF(INDEX('Cronograma R. Financiero'!$J$5:$J$1000,$N77)="","",INDEX('Cronograma R. Financiero'!$J$5:$J$1000,$N77))))</f>
        <v/>
      </c>
      <c r="J77" s="68">
        <f>IF($N77="","",INDEX('Cronograma R. Financiero'!$K$5:$K$1000,$N77))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R. Financiero'!$M$5:$M$1000,$N77)&amp;"")</f>
        <v/>
      </c>
      <c r="M77" s="71">
        <f>IF($N77="","",INDEX('Cronograma R. Financiero'!$N$5:$N$1000,$N77)&amp;"")</f>
        <v/>
      </c>
      <c r="N77">
        <f>IFERROR(MATCH(ROW()-4,rOrden_RF,0),"")</f>
        <v/>
      </c>
      <c r="O77">
        <f>IF($N77="","",INDEX('Cronograma R. Financiero'!$S$5:$S$1000,$N77))</f>
        <v/>
      </c>
      <c r="P77">
        <f>IF($N77="","",N(INDEX('Cronograma R. Financiero'!$T$5:$T$1000,$N77)))</f>
        <v/>
      </c>
    </row>
    <row r="78">
      <c r="A78" s="62">
        <f>IF($N78="","",INDEX('Cronograma R. Financiero'!$A$5:$A$1000,$N78))</f>
        <v/>
      </c>
      <c r="B78" s="71">
        <f>IF($N78="","",IF($O78="Sub","      ↳  "&amp;INDEX('Cronograma R. Financiero'!$C$5:$C$1000,$N78),INDEX('Cronograma R. Financiero'!$C$5:$C$1000,$N78)&amp;""))</f>
        <v/>
      </c>
      <c r="C78" s="77">
        <f>IF($N78="","",IF(INDEX('Cronograma R. Financiero'!$D$5:$D$1000,$N78)="","",INDEX('Cronograma R. Financiero'!$D$5:$D$1000,$N78)))</f>
        <v/>
      </c>
      <c r="D78" s="77">
        <f>IF($N78="","",IF(INDEX('Cronograma R. Financiero'!$E$5:$E$1000,$N78)="","",INDEX('Cronograma R. Financiero'!$E$5:$E$1000,$N78)))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R. Financiero'!$Y$5:$Y$1000,$N78),""),IF(INDEX('Cronograma R. Financiero'!$G$5:$G$1000,$N78)="","",INDEX('Cronograma R. Financiero'!$G$5:$G$1000,$N78))))</f>
        <v/>
      </c>
      <c r="G78" s="68">
        <f>IF($N78="","",IF($P78&gt;0,IF(2&lt;=SemanaActual,INDEX('Cronograma R. Financiero'!$Z$5:$Z$1000,$N78),""),IF(INDEX('Cronograma R. Financiero'!$H$5:$H$1000,$N78)="","",INDEX('Cronograma R. Financiero'!$H$5:$H$1000,$N78))))</f>
        <v/>
      </c>
      <c r="H78" s="68">
        <f>IF($N78="","",IF($P78&gt;0,IF(3&lt;=SemanaActual,INDEX('Cronograma R. Financiero'!$AA$5:$AA$1000,$N78),""),IF(INDEX('Cronograma R. Financiero'!$I$5:$I$1000,$N78)="","",INDEX('Cronograma R. Financiero'!$I$5:$I$1000,$N78))))</f>
        <v/>
      </c>
      <c r="I78" s="68">
        <f>IF($N78="","",IF($P78&gt;0,IF(4&lt;=SemanaActual,INDEX('Cronograma R. Financiero'!$AB$5:$AB$1000,$N78),""),IF(INDEX('Cronograma R. Financiero'!$J$5:$J$1000,$N78)="","",INDEX('Cronograma R. Financiero'!$J$5:$J$1000,$N78))))</f>
        <v/>
      </c>
      <c r="J78" s="68">
        <f>IF($N78="","",INDEX('Cronograma R. Financiero'!$K$5:$K$1000,$N78))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R. Financiero'!$M$5:$M$1000,$N78)&amp;"")</f>
        <v/>
      </c>
      <c r="M78" s="71">
        <f>IF($N78="","",INDEX('Cronograma R. Financiero'!$N$5:$N$1000,$N78)&amp;"")</f>
        <v/>
      </c>
      <c r="N78">
        <f>IFERROR(MATCH(ROW()-4,rOrden_RF,0),"")</f>
        <v/>
      </c>
      <c r="O78">
        <f>IF($N78="","",INDEX('Cronograma R. Financiero'!$S$5:$S$1000,$N78))</f>
        <v/>
      </c>
      <c r="P78">
        <f>IF($N78="","",N(INDEX('Cronograma R. Financiero'!$T$5:$T$1000,$N78)))</f>
        <v/>
      </c>
    </row>
    <row r="79">
      <c r="A79" s="62">
        <f>IF($N79="","",INDEX('Cronograma R. Financiero'!$A$5:$A$1000,$N79))</f>
        <v/>
      </c>
      <c r="B79" s="71">
        <f>IF($N79="","",IF($O79="Sub","      ↳  "&amp;INDEX('Cronograma R. Financiero'!$C$5:$C$1000,$N79),INDEX('Cronograma R. Financiero'!$C$5:$C$1000,$N79)&amp;""))</f>
        <v/>
      </c>
      <c r="C79" s="77">
        <f>IF($N79="","",IF(INDEX('Cronograma R. Financiero'!$D$5:$D$1000,$N79)="","",INDEX('Cronograma R. Financiero'!$D$5:$D$1000,$N79)))</f>
        <v/>
      </c>
      <c r="D79" s="77">
        <f>IF($N79="","",IF(INDEX('Cronograma R. Financiero'!$E$5:$E$1000,$N79)="","",INDEX('Cronograma R. Financiero'!$E$5:$E$1000,$N79)))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R. Financiero'!$Y$5:$Y$1000,$N79),""),IF(INDEX('Cronograma R. Financiero'!$G$5:$G$1000,$N79)="","",INDEX('Cronograma R. Financiero'!$G$5:$G$1000,$N79))))</f>
        <v/>
      </c>
      <c r="G79" s="68">
        <f>IF($N79="","",IF($P79&gt;0,IF(2&lt;=SemanaActual,INDEX('Cronograma R. Financiero'!$Z$5:$Z$1000,$N79),""),IF(INDEX('Cronograma R. Financiero'!$H$5:$H$1000,$N79)="","",INDEX('Cronograma R. Financiero'!$H$5:$H$1000,$N79))))</f>
        <v/>
      </c>
      <c r="H79" s="68">
        <f>IF($N79="","",IF($P79&gt;0,IF(3&lt;=SemanaActual,INDEX('Cronograma R. Financiero'!$AA$5:$AA$1000,$N79),""),IF(INDEX('Cronograma R. Financiero'!$I$5:$I$1000,$N79)="","",INDEX('Cronograma R. Financiero'!$I$5:$I$1000,$N79))))</f>
        <v/>
      </c>
      <c r="I79" s="68">
        <f>IF($N79="","",IF($P79&gt;0,IF(4&lt;=SemanaActual,INDEX('Cronograma R. Financiero'!$AB$5:$AB$1000,$N79),""),IF(INDEX('Cronograma R. Financiero'!$J$5:$J$1000,$N79)="","",INDEX('Cronograma R. Financiero'!$J$5:$J$1000,$N79))))</f>
        <v/>
      </c>
      <c r="J79" s="68">
        <f>IF($N79="","",INDEX('Cronograma R. Financiero'!$K$5:$K$1000,$N79))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R. Financiero'!$M$5:$M$1000,$N79)&amp;"")</f>
        <v/>
      </c>
      <c r="M79" s="71">
        <f>IF($N79="","",INDEX('Cronograma R. Financiero'!$N$5:$N$1000,$N79)&amp;"")</f>
        <v/>
      </c>
      <c r="N79">
        <f>IFERROR(MATCH(ROW()-4,rOrden_RF,0),"")</f>
        <v/>
      </c>
      <c r="O79">
        <f>IF($N79="","",INDEX('Cronograma R. Financiero'!$S$5:$S$1000,$N79))</f>
        <v/>
      </c>
      <c r="P79">
        <f>IF($N79="","",N(INDEX('Cronograma R. Financiero'!$T$5:$T$1000,$N79)))</f>
        <v/>
      </c>
    </row>
    <row r="80">
      <c r="A80" s="62">
        <f>IF($N80="","",INDEX('Cronograma R. Financiero'!$A$5:$A$1000,$N80))</f>
        <v/>
      </c>
      <c r="B80" s="71">
        <f>IF($N80="","",IF($O80="Sub","      ↳  "&amp;INDEX('Cronograma R. Financiero'!$C$5:$C$1000,$N80),INDEX('Cronograma R. Financiero'!$C$5:$C$1000,$N80)&amp;""))</f>
        <v/>
      </c>
      <c r="C80" s="77">
        <f>IF($N80="","",IF(INDEX('Cronograma R. Financiero'!$D$5:$D$1000,$N80)="","",INDEX('Cronograma R. Financiero'!$D$5:$D$1000,$N80)))</f>
        <v/>
      </c>
      <c r="D80" s="77">
        <f>IF($N80="","",IF(INDEX('Cronograma R. Financiero'!$E$5:$E$1000,$N80)="","",INDEX('Cronograma R. Financiero'!$E$5:$E$1000,$N80)))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R. Financiero'!$Y$5:$Y$1000,$N80),""),IF(INDEX('Cronograma R. Financiero'!$G$5:$G$1000,$N80)="","",INDEX('Cronograma R. Financiero'!$G$5:$G$1000,$N80))))</f>
        <v/>
      </c>
      <c r="G80" s="68">
        <f>IF($N80="","",IF($P80&gt;0,IF(2&lt;=SemanaActual,INDEX('Cronograma R. Financiero'!$Z$5:$Z$1000,$N80),""),IF(INDEX('Cronograma R. Financiero'!$H$5:$H$1000,$N80)="","",INDEX('Cronograma R. Financiero'!$H$5:$H$1000,$N80))))</f>
        <v/>
      </c>
      <c r="H80" s="68">
        <f>IF($N80="","",IF($P80&gt;0,IF(3&lt;=SemanaActual,INDEX('Cronograma R. Financiero'!$AA$5:$AA$1000,$N80),""),IF(INDEX('Cronograma R. Financiero'!$I$5:$I$1000,$N80)="","",INDEX('Cronograma R. Financiero'!$I$5:$I$1000,$N80))))</f>
        <v/>
      </c>
      <c r="I80" s="68">
        <f>IF($N80="","",IF($P80&gt;0,IF(4&lt;=SemanaActual,INDEX('Cronograma R. Financiero'!$AB$5:$AB$1000,$N80),""),IF(INDEX('Cronograma R. Financiero'!$J$5:$J$1000,$N80)="","",INDEX('Cronograma R. Financiero'!$J$5:$J$1000,$N80))))</f>
        <v/>
      </c>
      <c r="J80" s="68">
        <f>IF($N80="","",INDEX('Cronograma R. Financiero'!$K$5:$K$1000,$N80))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R. Financiero'!$M$5:$M$1000,$N80)&amp;"")</f>
        <v/>
      </c>
      <c r="M80" s="71">
        <f>IF($N80="","",INDEX('Cronograma R. Financiero'!$N$5:$N$1000,$N80)&amp;"")</f>
        <v/>
      </c>
      <c r="N80">
        <f>IFERROR(MATCH(ROW()-4,rOrden_RF,0),"")</f>
        <v/>
      </c>
      <c r="O80">
        <f>IF($N80="","",INDEX('Cronograma R. Financiero'!$S$5:$S$1000,$N80))</f>
        <v/>
      </c>
      <c r="P80">
        <f>IF($N80="","",N(INDEX('Cronograma R. Financiero'!$T$5:$T$1000,$N80)))</f>
        <v/>
      </c>
    </row>
    <row r="81">
      <c r="A81" s="62">
        <f>IF($N81="","",INDEX('Cronograma R. Financiero'!$A$5:$A$1000,$N81))</f>
        <v/>
      </c>
      <c r="B81" s="71">
        <f>IF($N81="","",IF($O81="Sub","      ↳  "&amp;INDEX('Cronograma R. Financiero'!$C$5:$C$1000,$N81),INDEX('Cronograma R. Financiero'!$C$5:$C$1000,$N81)&amp;""))</f>
        <v/>
      </c>
      <c r="C81" s="77">
        <f>IF($N81="","",IF(INDEX('Cronograma R. Financiero'!$D$5:$D$1000,$N81)="","",INDEX('Cronograma R. Financiero'!$D$5:$D$1000,$N81)))</f>
        <v/>
      </c>
      <c r="D81" s="77">
        <f>IF($N81="","",IF(INDEX('Cronograma R. Financiero'!$E$5:$E$1000,$N81)="","",INDEX('Cronograma R. Financiero'!$E$5:$E$1000,$N81)))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R. Financiero'!$Y$5:$Y$1000,$N81),""),IF(INDEX('Cronograma R. Financiero'!$G$5:$G$1000,$N81)="","",INDEX('Cronograma R. Financiero'!$G$5:$G$1000,$N81))))</f>
        <v/>
      </c>
      <c r="G81" s="68">
        <f>IF($N81="","",IF($P81&gt;0,IF(2&lt;=SemanaActual,INDEX('Cronograma R. Financiero'!$Z$5:$Z$1000,$N81),""),IF(INDEX('Cronograma R. Financiero'!$H$5:$H$1000,$N81)="","",INDEX('Cronograma R. Financiero'!$H$5:$H$1000,$N81))))</f>
        <v/>
      </c>
      <c r="H81" s="68">
        <f>IF($N81="","",IF($P81&gt;0,IF(3&lt;=SemanaActual,INDEX('Cronograma R. Financiero'!$AA$5:$AA$1000,$N81),""),IF(INDEX('Cronograma R. Financiero'!$I$5:$I$1000,$N81)="","",INDEX('Cronograma R. Financiero'!$I$5:$I$1000,$N81))))</f>
        <v/>
      </c>
      <c r="I81" s="68">
        <f>IF($N81="","",IF($P81&gt;0,IF(4&lt;=SemanaActual,INDEX('Cronograma R. Financiero'!$AB$5:$AB$1000,$N81),""),IF(INDEX('Cronograma R. Financiero'!$J$5:$J$1000,$N81)="","",INDEX('Cronograma R. Financiero'!$J$5:$J$1000,$N81))))</f>
        <v/>
      </c>
      <c r="J81" s="68">
        <f>IF($N81="","",INDEX('Cronograma R. Financiero'!$K$5:$K$1000,$N81))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R. Financiero'!$M$5:$M$1000,$N81)&amp;"")</f>
        <v/>
      </c>
      <c r="M81" s="71">
        <f>IF($N81="","",INDEX('Cronograma R. Financiero'!$N$5:$N$1000,$N81)&amp;"")</f>
        <v/>
      </c>
      <c r="N81">
        <f>IFERROR(MATCH(ROW()-4,rOrden_RF,0),"")</f>
        <v/>
      </c>
      <c r="O81">
        <f>IF($N81="","",INDEX('Cronograma R. Financiero'!$S$5:$S$1000,$N81))</f>
        <v/>
      </c>
      <c r="P81">
        <f>IF($N81="","",N(INDEX('Cronograma R. Financiero'!$T$5:$T$1000,$N81)))</f>
        <v/>
      </c>
    </row>
    <row r="82">
      <c r="A82" s="62">
        <f>IF($N82="","",INDEX('Cronograma R. Financiero'!$A$5:$A$1000,$N82))</f>
        <v/>
      </c>
      <c r="B82" s="71">
        <f>IF($N82="","",IF($O82="Sub","      ↳  "&amp;INDEX('Cronograma R. Financiero'!$C$5:$C$1000,$N82),INDEX('Cronograma R. Financiero'!$C$5:$C$1000,$N82)&amp;""))</f>
        <v/>
      </c>
      <c r="C82" s="77">
        <f>IF($N82="","",IF(INDEX('Cronograma R. Financiero'!$D$5:$D$1000,$N82)="","",INDEX('Cronograma R. Financiero'!$D$5:$D$1000,$N82)))</f>
        <v/>
      </c>
      <c r="D82" s="77">
        <f>IF($N82="","",IF(INDEX('Cronograma R. Financiero'!$E$5:$E$1000,$N82)="","",INDEX('Cronograma R. Financiero'!$E$5:$E$1000,$N82)))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R. Financiero'!$Y$5:$Y$1000,$N82),""),IF(INDEX('Cronograma R. Financiero'!$G$5:$G$1000,$N82)="","",INDEX('Cronograma R. Financiero'!$G$5:$G$1000,$N82))))</f>
        <v/>
      </c>
      <c r="G82" s="68">
        <f>IF($N82="","",IF($P82&gt;0,IF(2&lt;=SemanaActual,INDEX('Cronograma R. Financiero'!$Z$5:$Z$1000,$N82),""),IF(INDEX('Cronograma R. Financiero'!$H$5:$H$1000,$N82)="","",INDEX('Cronograma R. Financiero'!$H$5:$H$1000,$N82))))</f>
        <v/>
      </c>
      <c r="H82" s="68">
        <f>IF($N82="","",IF($P82&gt;0,IF(3&lt;=SemanaActual,INDEX('Cronograma R. Financiero'!$AA$5:$AA$1000,$N82),""),IF(INDEX('Cronograma R. Financiero'!$I$5:$I$1000,$N82)="","",INDEX('Cronograma R. Financiero'!$I$5:$I$1000,$N82))))</f>
        <v/>
      </c>
      <c r="I82" s="68">
        <f>IF($N82="","",IF($P82&gt;0,IF(4&lt;=SemanaActual,INDEX('Cronograma R. Financiero'!$AB$5:$AB$1000,$N82),""),IF(INDEX('Cronograma R. Financiero'!$J$5:$J$1000,$N82)="","",INDEX('Cronograma R. Financiero'!$J$5:$J$1000,$N82))))</f>
        <v/>
      </c>
      <c r="J82" s="68">
        <f>IF($N82="","",INDEX('Cronograma R. Financiero'!$K$5:$K$1000,$N82))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R. Financiero'!$M$5:$M$1000,$N82)&amp;"")</f>
        <v/>
      </c>
      <c r="M82" s="71">
        <f>IF($N82="","",INDEX('Cronograma R. Financiero'!$N$5:$N$1000,$N82)&amp;"")</f>
        <v/>
      </c>
      <c r="N82">
        <f>IFERROR(MATCH(ROW()-4,rOrden_RF,0),"")</f>
        <v/>
      </c>
      <c r="O82">
        <f>IF($N82="","",INDEX('Cronograma R. Financiero'!$S$5:$S$1000,$N82))</f>
        <v/>
      </c>
      <c r="P82">
        <f>IF($N82="","",N(INDEX('Cronograma R. Financiero'!$T$5:$T$1000,$N82)))</f>
        <v/>
      </c>
    </row>
    <row r="83">
      <c r="A83" s="62">
        <f>IF($N83="","",INDEX('Cronograma R. Financiero'!$A$5:$A$1000,$N83))</f>
        <v/>
      </c>
      <c r="B83" s="71">
        <f>IF($N83="","",IF($O83="Sub","      ↳  "&amp;INDEX('Cronograma R. Financiero'!$C$5:$C$1000,$N83),INDEX('Cronograma R. Financiero'!$C$5:$C$1000,$N83)&amp;""))</f>
        <v/>
      </c>
      <c r="C83" s="77">
        <f>IF($N83="","",IF(INDEX('Cronograma R. Financiero'!$D$5:$D$1000,$N83)="","",INDEX('Cronograma R. Financiero'!$D$5:$D$1000,$N83)))</f>
        <v/>
      </c>
      <c r="D83" s="77">
        <f>IF($N83="","",IF(INDEX('Cronograma R. Financiero'!$E$5:$E$1000,$N83)="","",INDEX('Cronograma R. Financiero'!$E$5:$E$1000,$N83)))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R. Financiero'!$Y$5:$Y$1000,$N83),""),IF(INDEX('Cronograma R. Financiero'!$G$5:$G$1000,$N83)="","",INDEX('Cronograma R. Financiero'!$G$5:$G$1000,$N83))))</f>
        <v/>
      </c>
      <c r="G83" s="68">
        <f>IF($N83="","",IF($P83&gt;0,IF(2&lt;=SemanaActual,INDEX('Cronograma R. Financiero'!$Z$5:$Z$1000,$N83),""),IF(INDEX('Cronograma R. Financiero'!$H$5:$H$1000,$N83)="","",INDEX('Cronograma R. Financiero'!$H$5:$H$1000,$N83))))</f>
        <v/>
      </c>
      <c r="H83" s="68">
        <f>IF($N83="","",IF($P83&gt;0,IF(3&lt;=SemanaActual,INDEX('Cronograma R. Financiero'!$AA$5:$AA$1000,$N83),""),IF(INDEX('Cronograma R. Financiero'!$I$5:$I$1000,$N83)="","",INDEX('Cronograma R. Financiero'!$I$5:$I$1000,$N83))))</f>
        <v/>
      </c>
      <c r="I83" s="68">
        <f>IF($N83="","",IF($P83&gt;0,IF(4&lt;=SemanaActual,INDEX('Cronograma R. Financiero'!$AB$5:$AB$1000,$N83),""),IF(INDEX('Cronograma R. Financiero'!$J$5:$J$1000,$N83)="","",INDEX('Cronograma R. Financiero'!$J$5:$J$1000,$N83))))</f>
        <v/>
      </c>
      <c r="J83" s="68">
        <f>IF($N83="","",INDEX('Cronograma R. Financiero'!$K$5:$K$1000,$N83))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R. Financiero'!$M$5:$M$1000,$N83)&amp;"")</f>
        <v/>
      </c>
      <c r="M83" s="71">
        <f>IF($N83="","",INDEX('Cronograma R. Financiero'!$N$5:$N$1000,$N83)&amp;"")</f>
        <v/>
      </c>
      <c r="N83">
        <f>IFERROR(MATCH(ROW()-4,rOrden_RF,0),"")</f>
        <v/>
      </c>
      <c r="O83">
        <f>IF($N83="","",INDEX('Cronograma R. Financiero'!$S$5:$S$1000,$N83))</f>
        <v/>
      </c>
      <c r="P83">
        <f>IF($N83="","",N(INDEX('Cronograma R. Financiero'!$T$5:$T$1000,$N83)))</f>
        <v/>
      </c>
    </row>
    <row r="84">
      <c r="A84" s="62">
        <f>IF($N84="","",INDEX('Cronograma R. Financiero'!$A$5:$A$1000,$N84))</f>
        <v/>
      </c>
      <c r="B84" s="71">
        <f>IF($N84="","",IF($O84="Sub","      ↳  "&amp;INDEX('Cronograma R. Financiero'!$C$5:$C$1000,$N84),INDEX('Cronograma R. Financiero'!$C$5:$C$1000,$N84)&amp;""))</f>
        <v/>
      </c>
      <c r="C84" s="77">
        <f>IF($N84="","",IF(INDEX('Cronograma R. Financiero'!$D$5:$D$1000,$N84)="","",INDEX('Cronograma R. Financiero'!$D$5:$D$1000,$N84)))</f>
        <v/>
      </c>
      <c r="D84" s="77">
        <f>IF($N84="","",IF(INDEX('Cronograma R. Financiero'!$E$5:$E$1000,$N84)="","",INDEX('Cronograma R. Financiero'!$E$5:$E$1000,$N84)))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R. Financiero'!$Y$5:$Y$1000,$N84),""),IF(INDEX('Cronograma R. Financiero'!$G$5:$G$1000,$N84)="","",INDEX('Cronograma R. Financiero'!$G$5:$G$1000,$N84))))</f>
        <v/>
      </c>
      <c r="G84" s="68">
        <f>IF($N84="","",IF($P84&gt;0,IF(2&lt;=SemanaActual,INDEX('Cronograma R. Financiero'!$Z$5:$Z$1000,$N84),""),IF(INDEX('Cronograma R. Financiero'!$H$5:$H$1000,$N84)="","",INDEX('Cronograma R. Financiero'!$H$5:$H$1000,$N84))))</f>
        <v/>
      </c>
      <c r="H84" s="68">
        <f>IF($N84="","",IF($P84&gt;0,IF(3&lt;=SemanaActual,INDEX('Cronograma R. Financiero'!$AA$5:$AA$1000,$N84),""),IF(INDEX('Cronograma R. Financiero'!$I$5:$I$1000,$N84)="","",INDEX('Cronograma R. Financiero'!$I$5:$I$1000,$N84))))</f>
        <v/>
      </c>
      <c r="I84" s="68">
        <f>IF($N84="","",IF($P84&gt;0,IF(4&lt;=SemanaActual,INDEX('Cronograma R. Financiero'!$AB$5:$AB$1000,$N84),""),IF(INDEX('Cronograma R. Financiero'!$J$5:$J$1000,$N84)="","",INDEX('Cronograma R. Financiero'!$J$5:$J$1000,$N84))))</f>
        <v/>
      </c>
      <c r="J84" s="68">
        <f>IF($N84="","",INDEX('Cronograma R. Financiero'!$K$5:$K$1000,$N84))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R. Financiero'!$M$5:$M$1000,$N84)&amp;"")</f>
        <v/>
      </c>
      <c r="M84" s="71">
        <f>IF($N84="","",INDEX('Cronograma R. Financiero'!$N$5:$N$1000,$N84)&amp;"")</f>
        <v/>
      </c>
      <c r="N84">
        <f>IFERROR(MATCH(ROW()-4,rOrden_RF,0),"")</f>
        <v/>
      </c>
      <c r="O84">
        <f>IF($N84="","",INDEX('Cronograma R. Financiero'!$S$5:$S$1000,$N84))</f>
        <v/>
      </c>
      <c r="P84">
        <f>IF($N84="","",N(INDEX('Cronograma R. Financiero'!$T$5:$T$1000,$N84)))</f>
        <v/>
      </c>
    </row>
    <row r="85">
      <c r="A85" s="62">
        <f>IF($N85="","",INDEX('Cronograma R. Financiero'!$A$5:$A$1000,$N85))</f>
        <v/>
      </c>
      <c r="B85" s="71">
        <f>IF($N85="","",IF($O85="Sub","      ↳  "&amp;INDEX('Cronograma R. Financiero'!$C$5:$C$1000,$N85),INDEX('Cronograma R. Financiero'!$C$5:$C$1000,$N85)&amp;""))</f>
        <v/>
      </c>
      <c r="C85" s="77">
        <f>IF($N85="","",IF(INDEX('Cronograma R. Financiero'!$D$5:$D$1000,$N85)="","",INDEX('Cronograma R. Financiero'!$D$5:$D$1000,$N85)))</f>
        <v/>
      </c>
      <c r="D85" s="77">
        <f>IF($N85="","",IF(INDEX('Cronograma R. Financiero'!$E$5:$E$1000,$N85)="","",INDEX('Cronograma R. Financiero'!$E$5:$E$1000,$N85)))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R. Financiero'!$Y$5:$Y$1000,$N85),""),IF(INDEX('Cronograma R. Financiero'!$G$5:$G$1000,$N85)="","",INDEX('Cronograma R. Financiero'!$G$5:$G$1000,$N85))))</f>
        <v/>
      </c>
      <c r="G85" s="68">
        <f>IF($N85="","",IF($P85&gt;0,IF(2&lt;=SemanaActual,INDEX('Cronograma R. Financiero'!$Z$5:$Z$1000,$N85),""),IF(INDEX('Cronograma R. Financiero'!$H$5:$H$1000,$N85)="","",INDEX('Cronograma R. Financiero'!$H$5:$H$1000,$N85))))</f>
        <v/>
      </c>
      <c r="H85" s="68">
        <f>IF($N85="","",IF($P85&gt;0,IF(3&lt;=SemanaActual,INDEX('Cronograma R. Financiero'!$AA$5:$AA$1000,$N85),""),IF(INDEX('Cronograma R. Financiero'!$I$5:$I$1000,$N85)="","",INDEX('Cronograma R. Financiero'!$I$5:$I$1000,$N85))))</f>
        <v/>
      </c>
      <c r="I85" s="68">
        <f>IF($N85="","",IF($P85&gt;0,IF(4&lt;=SemanaActual,INDEX('Cronograma R. Financiero'!$AB$5:$AB$1000,$N85),""),IF(INDEX('Cronograma R. Financiero'!$J$5:$J$1000,$N85)="","",INDEX('Cronograma R. Financiero'!$J$5:$J$1000,$N85))))</f>
        <v/>
      </c>
      <c r="J85" s="68">
        <f>IF($N85="","",INDEX('Cronograma R. Financiero'!$K$5:$K$1000,$N85))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R. Financiero'!$M$5:$M$1000,$N85)&amp;"")</f>
        <v/>
      </c>
      <c r="M85" s="71">
        <f>IF($N85="","",INDEX('Cronograma R. Financiero'!$N$5:$N$1000,$N85)&amp;"")</f>
        <v/>
      </c>
      <c r="N85">
        <f>IFERROR(MATCH(ROW()-4,rOrden_RF,0),"")</f>
        <v/>
      </c>
      <c r="O85">
        <f>IF($N85="","",INDEX('Cronograma R. Financiero'!$S$5:$S$1000,$N85))</f>
        <v/>
      </c>
      <c r="P85">
        <f>IF($N85="","",N(INDEX('Cronograma R. Financiero'!$T$5:$T$1000,$N85)))</f>
        <v/>
      </c>
    </row>
    <row r="86">
      <c r="A86" s="62">
        <f>IF($N86="","",INDEX('Cronograma R. Financiero'!$A$5:$A$1000,$N86))</f>
        <v/>
      </c>
      <c r="B86" s="71">
        <f>IF($N86="","",IF($O86="Sub","      ↳  "&amp;INDEX('Cronograma R. Financiero'!$C$5:$C$1000,$N86),INDEX('Cronograma R. Financiero'!$C$5:$C$1000,$N86)&amp;""))</f>
        <v/>
      </c>
      <c r="C86" s="77">
        <f>IF($N86="","",IF(INDEX('Cronograma R. Financiero'!$D$5:$D$1000,$N86)="","",INDEX('Cronograma R. Financiero'!$D$5:$D$1000,$N86)))</f>
        <v/>
      </c>
      <c r="D86" s="77">
        <f>IF($N86="","",IF(INDEX('Cronograma R. Financiero'!$E$5:$E$1000,$N86)="","",INDEX('Cronograma R. Financiero'!$E$5:$E$1000,$N86)))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R. Financiero'!$Y$5:$Y$1000,$N86),""),IF(INDEX('Cronograma R. Financiero'!$G$5:$G$1000,$N86)="","",INDEX('Cronograma R. Financiero'!$G$5:$G$1000,$N86))))</f>
        <v/>
      </c>
      <c r="G86" s="68">
        <f>IF($N86="","",IF($P86&gt;0,IF(2&lt;=SemanaActual,INDEX('Cronograma R. Financiero'!$Z$5:$Z$1000,$N86),""),IF(INDEX('Cronograma R. Financiero'!$H$5:$H$1000,$N86)="","",INDEX('Cronograma R. Financiero'!$H$5:$H$1000,$N86))))</f>
        <v/>
      </c>
      <c r="H86" s="68">
        <f>IF($N86="","",IF($P86&gt;0,IF(3&lt;=SemanaActual,INDEX('Cronograma R. Financiero'!$AA$5:$AA$1000,$N86),""),IF(INDEX('Cronograma R. Financiero'!$I$5:$I$1000,$N86)="","",INDEX('Cronograma R. Financiero'!$I$5:$I$1000,$N86))))</f>
        <v/>
      </c>
      <c r="I86" s="68">
        <f>IF($N86="","",IF($P86&gt;0,IF(4&lt;=SemanaActual,INDEX('Cronograma R. Financiero'!$AB$5:$AB$1000,$N86),""),IF(INDEX('Cronograma R. Financiero'!$J$5:$J$1000,$N86)="","",INDEX('Cronograma R. Financiero'!$J$5:$J$1000,$N86))))</f>
        <v/>
      </c>
      <c r="J86" s="68">
        <f>IF($N86="","",INDEX('Cronograma R. Financiero'!$K$5:$K$1000,$N86))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R. Financiero'!$M$5:$M$1000,$N86)&amp;"")</f>
        <v/>
      </c>
      <c r="M86" s="71">
        <f>IF($N86="","",INDEX('Cronograma R. Financiero'!$N$5:$N$1000,$N86)&amp;"")</f>
        <v/>
      </c>
      <c r="N86">
        <f>IFERROR(MATCH(ROW()-4,rOrden_RF,0),"")</f>
        <v/>
      </c>
      <c r="O86">
        <f>IF($N86="","",INDEX('Cronograma R. Financiero'!$S$5:$S$1000,$N86))</f>
        <v/>
      </c>
      <c r="P86">
        <f>IF($N86="","",N(INDEX('Cronograma R. Financiero'!$T$5:$T$1000,$N86)))</f>
        <v/>
      </c>
    </row>
    <row r="87">
      <c r="A87" s="62">
        <f>IF($N87="","",INDEX('Cronograma R. Financiero'!$A$5:$A$1000,$N87))</f>
        <v/>
      </c>
      <c r="B87" s="71">
        <f>IF($N87="","",IF($O87="Sub","      ↳  "&amp;INDEX('Cronograma R. Financiero'!$C$5:$C$1000,$N87),INDEX('Cronograma R. Financiero'!$C$5:$C$1000,$N87)&amp;""))</f>
        <v/>
      </c>
      <c r="C87" s="77">
        <f>IF($N87="","",IF(INDEX('Cronograma R. Financiero'!$D$5:$D$1000,$N87)="","",INDEX('Cronograma R. Financiero'!$D$5:$D$1000,$N87)))</f>
        <v/>
      </c>
      <c r="D87" s="77">
        <f>IF($N87="","",IF(INDEX('Cronograma R. Financiero'!$E$5:$E$1000,$N87)="","",INDEX('Cronograma R. Financiero'!$E$5:$E$1000,$N87)))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R. Financiero'!$Y$5:$Y$1000,$N87),""),IF(INDEX('Cronograma R. Financiero'!$G$5:$G$1000,$N87)="","",INDEX('Cronograma R. Financiero'!$G$5:$G$1000,$N87))))</f>
        <v/>
      </c>
      <c r="G87" s="68">
        <f>IF($N87="","",IF($P87&gt;0,IF(2&lt;=SemanaActual,INDEX('Cronograma R. Financiero'!$Z$5:$Z$1000,$N87),""),IF(INDEX('Cronograma R. Financiero'!$H$5:$H$1000,$N87)="","",INDEX('Cronograma R. Financiero'!$H$5:$H$1000,$N87))))</f>
        <v/>
      </c>
      <c r="H87" s="68">
        <f>IF($N87="","",IF($P87&gt;0,IF(3&lt;=SemanaActual,INDEX('Cronograma R. Financiero'!$AA$5:$AA$1000,$N87),""),IF(INDEX('Cronograma R. Financiero'!$I$5:$I$1000,$N87)="","",INDEX('Cronograma R. Financiero'!$I$5:$I$1000,$N87))))</f>
        <v/>
      </c>
      <c r="I87" s="68">
        <f>IF($N87="","",IF($P87&gt;0,IF(4&lt;=SemanaActual,INDEX('Cronograma R. Financiero'!$AB$5:$AB$1000,$N87),""),IF(INDEX('Cronograma R. Financiero'!$J$5:$J$1000,$N87)="","",INDEX('Cronograma R. Financiero'!$J$5:$J$1000,$N87))))</f>
        <v/>
      </c>
      <c r="J87" s="68">
        <f>IF($N87="","",INDEX('Cronograma R. Financiero'!$K$5:$K$1000,$N87))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R. Financiero'!$M$5:$M$1000,$N87)&amp;"")</f>
        <v/>
      </c>
      <c r="M87" s="71">
        <f>IF($N87="","",INDEX('Cronograma R. Financiero'!$N$5:$N$1000,$N87)&amp;"")</f>
        <v/>
      </c>
      <c r="N87">
        <f>IFERROR(MATCH(ROW()-4,rOrden_RF,0),"")</f>
        <v/>
      </c>
      <c r="O87">
        <f>IF($N87="","",INDEX('Cronograma R. Financiero'!$S$5:$S$1000,$N87))</f>
        <v/>
      </c>
      <c r="P87">
        <f>IF($N87="","",N(INDEX('Cronograma R. Financiero'!$T$5:$T$1000,$N87)))</f>
        <v/>
      </c>
    </row>
    <row r="88">
      <c r="A88" s="62">
        <f>IF($N88="","",INDEX('Cronograma R. Financiero'!$A$5:$A$1000,$N88))</f>
        <v/>
      </c>
      <c r="B88" s="71">
        <f>IF($N88="","",IF($O88="Sub","      ↳  "&amp;INDEX('Cronograma R. Financiero'!$C$5:$C$1000,$N88),INDEX('Cronograma R. Financiero'!$C$5:$C$1000,$N88)&amp;""))</f>
        <v/>
      </c>
      <c r="C88" s="77">
        <f>IF($N88="","",IF(INDEX('Cronograma R. Financiero'!$D$5:$D$1000,$N88)="","",INDEX('Cronograma R. Financiero'!$D$5:$D$1000,$N88)))</f>
        <v/>
      </c>
      <c r="D88" s="77">
        <f>IF($N88="","",IF(INDEX('Cronograma R. Financiero'!$E$5:$E$1000,$N88)="","",INDEX('Cronograma R. Financiero'!$E$5:$E$1000,$N88)))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R. Financiero'!$Y$5:$Y$1000,$N88),""),IF(INDEX('Cronograma R. Financiero'!$G$5:$G$1000,$N88)="","",INDEX('Cronograma R. Financiero'!$G$5:$G$1000,$N88))))</f>
        <v/>
      </c>
      <c r="G88" s="68">
        <f>IF($N88="","",IF($P88&gt;0,IF(2&lt;=SemanaActual,INDEX('Cronograma R. Financiero'!$Z$5:$Z$1000,$N88),""),IF(INDEX('Cronograma R. Financiero'!$H$5:$H$1000,$N88)="","",INDEX('Cronograma R. Financiero'!$H$5:$H$1000,$N88))))</f>
        <v/>
      </c>
      <c r="H88" s="68">
        <f>IF($N88="","",IF($P88&gt;0,IF(3&lt;=SemanaActual,INDEX('Cronograma R. Financiero'!$AA$5:$AA$1000,$N88),""),IF(INDEX('Cronograma R. Financiero'!$I$5:$I$1000,$N88)="","",INDEX('Cronograma R. Financiero'!$I$5:$I$1000,$N88))))</f>
        <v/>
      </c>
      <c r="I88" s="68">
        <f>IF($N88="","",IF($P88&gt;0,IF(4&lt;=SemanaActual,INDEX('Cronograma R. Financiero'!$AB$5:$AB$1000,$N88),""),IF(INDEX('Cronograma R. Financiero'!$J$5:$J$1000,$N88)="","",INDEX('Cronograma R. Financiero'!$J$5:$J$1000,$N88))))</f>
        <v/>
      </c>
      <c r="J88" s="68">
        <f>IF($N88="","",INDEX('Cronograma R. Financiero'!$K$5:$K$1000,$N88))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R. Financiero'!$M$5:$M$1000,$N88)&amp;"")</f>
        <v/>
      </c>
      <c r="M88" s="71">
        <f>IF($N88="","",INDEX('Cronograma R. Financiero'!$N$5:$N$1000,$N88)&amp;"")</f>
        <v/>
      </c>
      <c r="N88">
        <f>IFERROR(MATCH(ROW()-4,rOrden_RF,0),"")</f>
        <v/>
      </c>
      <c r="O88">
        <f>IF($N88="","",INDEX('Cronograma R. Financiero'!$S$5:$S$1000,$N88))</f>
        <v/>
      </c>
      <c r="P88">
        <f>IF($N88="","",N(INDEX('Cronograma R. Financiero'!$T$5:$T$1000,$N88)))</f>
        <v/>
      </c>
    </row>
    <row r="89">
      <c r="A89" s="62">
        <f>IF($N89="","",INDEX('Cronograma R. Financiero'!$A$5:$A$1000,$N89))</f>
        <v/>
      </c>
      <c r="B89" s="71">
        <f>IF($N89="","",IF($O89="Sub","      ↳  "&amp;INDEX('Cronograma R. Financiero'!$C$5:$C$1000,$N89),INDEX('Cronograma R. Financiero'!$C$5:$C$1000,$N89)&amp;""))</f>
        <v/>
      </c>
      <c r="C89" s="77">
        <f>IF($N89="","",IF(INDEX('Cronograma R. Financiero'!$D$5:$D$1000,$N89)="","",INDEX('Cronograma R. Financiero'!$D$5:$D$1000,$N89)))</f>
        <v/>
      </c>
      <c r="D89" s="77">
        <f>IF($N89="","",IF(INDEX('Cronograma R. Financiero'!$E$5:$E$1000,$N89)="","",INDEX('Cronograma R. Financiero'!$E$5:$E$1000,$N89)))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R. Financiero'!$Y$5:$Y$1000,$N89),""),IF(INDEX('Cronograma R. Financiero'!$G$5:$G$1000,$N89)="","",INDEX('Cronograma R. Financiero'!$G$5:$G$1000,$N89))))</f>
        <v/>
      </c>
      <c r="G89" s="68">
        <f>IF($N89="","",IF($P89&gt;0,IF(2&lt;=SemanaActual,INDEX('Cronograma R. Financiero'!$Z$5:$Z$1000,$N89),""),IF(INDEX('Cronograma R. Financiero'!$H$5:$H$1000,$N89)="","",INDEX('Cronograma R. Financiero'!$H$5:$H$1000,$N89))))</f>
        <v/>
      </c>
      <c r="H89" s="68">
        <f>IF($N89="","",IF($P89&gt;0,IF(3&lt;=SemanaActual,INDEX('Cronograma R. Financiero'!$AA$5:$AA$1000,$N89),""),IF(INDEX('Cronograma R. Financiero'!$I$5:$I$1000,$N89)="","",INDEX('Cronograma R. Financiero'!$I$5:$I$1000,$N89))))</f>
        <v/>
      </c>
      <c r="I89" s="68">
        <f>IF($N89="","",IF($P89&gt;0,IF(4&lt;=SemanaActual,INDEX('Cronograma R. Financiero'!$AB$5:$AB$1000,$N89),""),IF(INDEX('Cronograma R. Financiero'!$J$5:$J$1000,$N89)="","",INDEX('Cronograma R. Financiero'!$J$5:$J$1000,$N89))))</f>
        <v/>
      </c>
      <c r="J89" s="68">
        <f>IF($N89="","",INDEX('Cronograma R. Financiero'!$K$5:$K$1000,$N89))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R. Financiero'!$M$5:$M$1000,$N89)&amp;"")</f>
        <v/>
      </c>
      <c r="M89" s="71">
        <f>IF($N89="","",INDEX('Cronograma R. Financiero'!$N$5:$N$1000,$N89)&amp;"")</f>
        <v/>
      </c>
      <c r="N89">
        <f>IFERROR(MATCH(ROW()-4,rOrden_RF,0),"")</f>
        <v/>
      </c>
      <c r="O89">
        <f>IF($N89="","",INDEX('Cronograma R. Financiero'!$S$5:$S$1000,$N89))</f>
        <v/>
      </c>
      <c r="P89">
        <f>IF($N89="","",N(INDEX('Cronograma R. Financiero'!$T$5:$T$1000,$N89)))</f>
        <v/>
      </c>
    </row>
    <row r="90">
      <c r="A90" s="62">
        <f>IF($N90="","",INDEX('Cronograma R. Financiero'!$A$5:$A$1000,$N90))</f>
        <v/>
      </c>
      <c r="B90" s="71">
        <f>IF($N90="","",IF($O90="Sub","      ↳  "&amp;INDEX('Cronograma R. Financiero'!$C$5:$C$1000,$N90),INDEX('Cronograma R. Financiero'!$C$5:$C$1000,$N90)&amp;""))</f>
        <v/>
      </c>
      <c r="C90" s="77">
        <f>IF($N90="","",IF(INDEX('Cronograma R. Financiero'!$D$5:$D$1000,$N90)="","",INDEX('Cronograma R. Financiero'!$D$5:$D$1000,$N90)))</f>
        <v/>
      </c>
      <c r="D90" s="77">
        <f>IF($N90="","",IF(INDEX('Cronograma R. Financiero'!$E$5:$E$1000,$N90)="","",INDEX('Cronograma R. Financiero'!$E$5:$E$1000,$N90)))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R. Financiero'!$Y$5:$Y$1000,$N90),""),IF(INDEX('Cronograma R. Financiero'!$G$5:$G$1000,$N90)="","",INDEX('Cronograma R. Financiero'!$G$5:$G$1000,$N90))))</f>
        <v/>
      </c>
      <c r="G90" s="68">
        <f>IF($N90="","",IF($P90&gt;0,IF(2&lt;=SemanaActual,INDEX('Cronograma R. Financiero'!$Z$5:$Z$1000,$N90),""),IF(INDEX('Cronograma R. Financiero'!$H$5:$H$1000,$N90)="","",INDEX('Cronograma R. Financiero'!$H$5:$H$1000,$N90))))</f>
        <v/>
      </c>
      <c r="H90" s="68">
        <f>IF($N90="","",IF($P90&gt;0,IF(3&lt;=SemanaActual,INDEX('Cronograma R. Financiero'!$AA$5:$AA$1000,$N90),""),IF(INDEX('Cronograma R. Financiero'!$I$5:$I$1000,$N90)="","",INDEX('Cronograma R. Financiero'!$I$5:$I$1000,$N90))))</f>
        <v/>
      </c>
      <c r="I90" s="68">
        <f>IF($N90="","",IF($P90&gt;0,IF(4&lt;=SemanaActual,INDEX('Cronograma R. Financiero'!$AB$5:$AB$1000,$N90),""),IF(INDEX('Cronograma R. Financiero'!$J$5:$J$1000,$N90)="","",INDEX('Cronograma R. Financiero'!$J$5:$J$1000,$N90))))</f>
        <v/>
      </c>
      <c r="J90" s="68">
        <f>IF($N90="","",INDEX('Cronograma R. Financiero'!$K$5:$K$1000,$N90))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R. Financiero'!$M$5:$M$1000,$N90)&amp;"")</f>
        <v/>
      </c>
      <c r="M90" s="71">
        <f>IF($N90="","",INDEX('Cronograma R. Financiero'!$N$5:$N$1000,$N90)&amp;"")</f>
        <v/>
      </c>
      <c r="N90">
        <f>IFERROR(MATCH(ROW()-4,rOrden_RF,0),"")</f>
        <v/>
      </c>
      <c r="O90">
        <f>IF($N90="","",INDEX('Cronograma R. Financiero'!$S$5:$S$1000,$N90))</f>
        <v/>
      </c>
      <c r="P90">
        <f>IF($N90="","",N(INDEX('Cronograma R. Financiero'!$T$5:$T$1000,$N90)))</f>
        <v/>
      </c>
    </row>
    <row r="91">
      <c r="A91" s="62">
        <f>IF($N91="","",INDEX('Cronograma R. Financiero'!$A$5:$A$1000,$N91))</f>
        <v/>
      </c>
      <c r="B91" s="71">
        <f>IF($N91="","",IF($O91="Sub","      ↳  "&amp;INDEX('Cronograma R. Financiero'!$C$5:$C$1000,$N91),INDEX('Cronograma R. Financiero'!$C$5:$C$1000,$N91)&amp;""))</f>
        <v/>
      </c>
      <c r="C91" s="77">
        <f>IF($N91="","",IF(INDEX('Cronograma R. Financiero'!$D$5:$D$1000,$N91)="","",INDEX('Cronograma R. Financiero'!$D$5:$D$1000,$N91)))</f>
        <v/>
      </c>
      <c r="D91" s="77">
        <f>IF($N91="","",IF(INDEX('Cronograma R. Financiero'!$E$5:$E$1000,$N91)="","",INDEX('Cronograma R. Financiero'!$E$5:$E$1000,$N91)))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R. Financiero'!$Y$5:$Y$1000,$N91),""),IF(INDEX('Cronograma R. Financiero'!$G$5:$G$1000,$N91)="","",INDEX('Cronograma R. Financiero'!$G$5:$G$1000,$N91))))</f>
        <v/>
      </c>
      <c r="G91" s="68">
        <f>IF($N91="","",IF($P91&gt;0,IF(2&lt;=SemanaActual,INDEX('Cronograma R. Financiero'!$Z$5:$Z$1000,$N91),""),IF(INDEX('Cronograma R. Financiero'!$H$5:$H$1000,$N91)="","",INDEX('Cronograma R. Financiero'!$H$5:$H$1000,$N91))))</f>
        <v/>
      </c>
      <c r="H91" s="68">
        <f>IF($N91="","",IF($P91&gt;0,IF(3&lt;=SemanaActual,INDEX('Cronograma R. Financiero'!$AA$5:$AA$1000,$N91),""),IF(INDEX('Cronograma R. Financiero'!$I$5:$I$1000,$N91)="","",INDEX('Cronograma R. Financiero'!$I$5:$I$1000,$N91))))</f>
        <v/>
      </c>
      <c r="I91" s="68">
        <f>IF($N91="","",IF($P91&gt;0,IF(4&lt;=SemanaActual,INDEX('Cronograma R. Financiero'!$AB$5:$AB$1000,$N91),""),IF(INDEX('Cronograma R. Financiero'!$J$5:$J$1000,$N91)="","",INDEX('Cronograma R. Financiero'!$J$5:$J$1000,$N91))))</f>
        <v/>
      </c>
      <c r="J91" s="68">
        <f>IF($N91="","",INDEX('Cronograma R. Financiero'!$K$5:$K$1000,$N91))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R. Financiero'!$M$5:$M$1000,$N91)&amp;"")</f>
        <v/>
      </c>
      <c r="M91" s="71">
        <f>IF($N91="","",INDEX('Cronograma R. Financiero'!$N$5:$N$1000,$N91)&amp;"")</f>
        <v/>
      </c>
      <c r="N91">
        <f>IFERROR(MATCH(ROW()-4,rOrden_RF,0),"")</f>
        <v/>
      </c>
      <c r="O91">
        <f>IF($N91="","",INDEX('Cronograma R. Financiero'!$S$5:$S$1000,$N91))</f>
        <v/>
      </c>
      <c r="P91">
        <f>IF($N91="","",N(INDEX('Cronograma R. Financiero'!$T$5:$T$1000,$N91)))</f>
        <v/>
      </c>
    </row>
    <row r="92">
      <c r="A92" s="62">
        <f>IF($N92="","",INDEX('Cronograma R. Financiero'!$A$5:$A$1000,$N92))</f>
        <v/>
      </c>
      <c r="B92" s="71">
        <f>IF($N92="","",IF($O92="Sub","      ↳  "&amp;INDEX('Cronograma R. Financiero'!$C$5:$C$1000,$N92),INDEX('Cronograma R. Financiero'!$C$5:$C$1000,$N92)&amp;""))</f>
        <v/>
      </c>
      <c r="C92" s="77">
        <f>IF($N92="","",IF(INDEX('Cronograma R. Financiero'!$D$5:$D$1000,$N92)="","",INDEX('Cronograma R. Financiero'!$D$5:$D$1000,$N92)))</f>
        <v/>
      </c>
      <c r="D92" s="77">
        <f>IF($N92="","",IF(INDEX('Cronograma R. Financiero'!$E$5:$E$1000,$N92)="","",INDEX('Cronograma R. Financiero'!$E$5:$E$1000,$N92)))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R. Financiero'!$Y$5:$Y$1000,$N92),""),IF(INDEX('Cronograma R. Financiero'!$G$5:$G$1000,$N92)="","",INDEX('Cronograma R. Financiero'!$G$5:$G$1000,$N92))))</f>
        <v/>
      </c>
      <c r="G92" s="68">
        <f>IF($N92="","",IF($P92&gt;0,IF(2&lt;=SemanaActual,INDEX('Cronograma R. Financiero'!$Z$5:$Z$1000,$N92),""),IF(INDEX('Cronograma R. Financiero'!$H$5:$H$1000,$N92)="","",INDEX('Cronograma R. Financiero'!$H$5:$H$1000,$N92))))</f>
        <v/>
      </c>
      <c r="H92" s="68">
        <f>IF($N92="","",IF($P92&gt;0,IF(3&lt;=SemanaActual,INDEX('Cronograma R. Financiero'!$AA$5:$AA$1000,$N92),""),IF(INDEX('Cronograma R. Financiero'!$I$5:$I$1000,$N92)="","",INDEX('Cronograma R. Financiero'!$I$5:$I$1000,$N92))))</f>
        <v/>
      </c>
      <c r="I92" s="68">
        <f>IF($N92="","",IF($P92&gt;0,IF(4&lt;=SemanaActual,INDEX('Cronograma R. Financiero'!$AB$5:$AB$1000,$N92),""),IF(INDEX('Cronograma R. Financiero'!$J$5:$J$1000,$N92)="","",INDEX('Cronograma R. Financiero'!$J$5:$J$1000,$N92))))</f>
        <v/>
      </c>
      <c r="J92" s="68">
        <f>IF($N92="","",INDEX('Cronograma R. Financiero'!$K$5:$K$1000,$N92))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R. Financiero'!$M$5:$M$1000,$N92)&amp;"")</f>
        <v/>
      </c>
      <c r="M92" s="71">
        <f>IF($N92="","",INDEX('Cronograma R. Financiero'!$N$5:$N$1000,$N92)&amp;"")</f>
        <v/>
      </c>
      <c r="N92">
        <f>IFERROR(MATCH(ROW()-4,rOrden_RF,0),"")</f>
        <v/>
      </c>
      <c r="O92">
        <f>IF($N92="","",INDEX('Cronograma R. Financiero'!$S$5:$S$1000,$N92))</f>
        <v/>
      </c>
      <c r="P92">
        <f>IF($N92="","",N(INDEX('Cronograma R. Financiero'!$T$5:$T$1000,$N92)))</f>
        <v/>
      </c>
    </row>
    <row r="93">
      <c r="A93" s="62">
        <f>IF($N93="","",INDEX('Cronograma R. Financiero'!$A$5:$A$1000,$N93))</f>
        <v/>
      </c>
      <c r="B93" s="71">
        <f>IF($N93="","",IF($O93="Sub","      ↳  "&amp;INDEX('Cronograma R. Financiero'!$C$5:$C$1000,$N93),INDEX('Cronograma R. Financiero'!$C$5:$C$1000,$N93)&amp;""))</f>
        <v/>
      </c>
      <c r="C93" s="77">
        <f>IF($N93="","",IF(INDEX('Cronograma R. Financiero'!$D$5:$D$1000,$N93)="","",INDEX('Cronograma R. Financiero'!$D$5:$D$1000,$N93)))</f>
        <v/>
      </c>
      <c r="D93" s="77">
        <f>IF($N93="","",IF(INDEX('Cronograma R. Financiero'!$E$5:$E$1000,$N93)="","",INDEX('Cronograma R. Financiero'!$E$5:$E$1000,$N93)))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R. Financiero'!$Y$5:$Y$1000,$N93),""),IF(INDEX('Cronograma R. Financiero'!$G$5:$G$1000,$N93)="","",INDEX('Cronograma R. Financiero'!$G$5:$G$1000,$N93))))</f>
        <v/>
      </c>
      <c r="G93" s="68">
        <f>IF($N93="","",IF($P93&gt;0,IF(2&lt;=SemanaActual,INDEX('Cronograma R. Financiero'!$Z$5:$Z$1000,$N93),""),IF(INDEX('Cronograma R. Financiero'!$H$5:$H$1000,$N93)="","",INDEX('Cronograma R. Financiero'!$H$5:$H$1000,$N93))))</f>
        <v/>
      </c>
      <c r="H93" s="68">
        <f>IF($N93="","",IF($P93&gt;0,IF(3&lt;=SemanaActual,INDEX('Cronograma R. Financiero'!$AA$5:$AA$1000,$N93),""),IF(INDEX('Cronograma R. Financiero'!$I$5:$I$1000,$N93)="","",INDEX('Cronograma R. Financiero'!$I$5:$I$1000,$N93))))</f>
        <v/>
      </c>
      <c r="I93" s="68">
        <f>IF($N93="","",IF($P93&gt;0,IF(4&lt;=SemanaActual,INDEX('Cronograma R. Financiero'!$AB$5:$AB$1000,$N93),""),IF(INDEX('Cronograma R. Financiero'!$J$5:$J$1000,$N93)="","",INDEX('Cronograma R. Financiero'!$J$5:$J$1000,$N93))))</f>
        <v/>
      </c>
      <c r="J93" s="68">
        <f>IF($N93="","",INDEX('Cronograma R. Financiero'!$K$5:$K$1000,$N93))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R. Financiero'!$M$5:$M$1000,$N93)&amp;"")</f>
        <v/>
      </c>
      <c r="M93" s="71">
        <f>IF($N93="","",INDEX('Cronograma R. Financiero'!$N$5:$N$1000,$N93)&amp;"")</f>
        <v/>
      </c>
      <c r="N93">
        <f>IFERROR(MATCH(ROW()-4,rOrden_RF,0),"")</f>
        <v/>
      </c>
      <c r="O93">
        <f>IF($N93="","",INDEX('Cronograma R. Financiero'!$S$5:$S$1000,$N93))</f>
        <v/>
      </c>
      <c r="P93">
        <f>IF($N93="","",N(INDEX('Cronograma R. Financiero'!$T$5:$T$1000,$N93)))</f>
        <v/>
      </c>
    </row>
    <row r="94">
      <c r="A94" s="62">
        <f>IF($N94="","",INDEX('Cronograma R. Financiero'!$A$5:$A$1000,$N94))</f>
        <v/>
      </c>
      <c r="B94" s="71">
        <f>IF($N94="","",IF($O94="Sub","      ↳  "&amp;INDEX('Cronograma R. Financiero'!$C$5:$C$1000,$N94),INDEX('Cronograma R. Financiero'!$C$5:$C$1000,$N94)&amp;""))</f>
        <v/>
      </c>
      <c r="C94" s="77">
        <f>IF($N94="","",IF(INDEX('Cronograma R. Financiero'!$D$5:$D$1000,$N94)="","",INDEX('Cronograma R. Financiero'!$D$5:$D$1000,$N94)))</f>
        <v/>
      </c>
      <c r="D94" s="77">
        <f>IF($N94="","",IF(INDEX('Cronograma R. Financiero'!$E$5:$E$1000,$N94)="","",INDEX('Cronograma R. Financiero'!$E$5:$E$1000,$N94)))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R. Financiero'!$Y$5:$Y$1000,$N94),""),IF(INDEX('Cronograma R. Financiero'!$G$5:$G$1000,$N94)="","",INDEX('Cronograma R. Financiero'!$G$5:$G$1000,$N94))))</f>
        <v/>
      </c>
      <c r="G94" s="68">
        <f>IF($N94="","",IF($P94&gt;0,IF(2&lt;=SemanaActual,INDEX('Cronograma R. Financiero'!$Z$5:$Z$1000,$N94),""),IF(INDEX('Cronograma R. Financiero'!$H$5:$H$1000,$N94)="","",INDEX('Cronograma R. Financiero'!$H$5:$H$1000,$N94))))</f>
        <v/>
      </c>
      <c r="H94" s="68">
        <f>IF($N94="","",IF($P94&gt;0,IF(3&lt;=SemanaActual,INDEX('Cronograma R. Financiero'!$AA$5:$AA$1000,$N94),""),IF(INDEX('Cronograma R. Financiero'!$I$5:$I$1000,$N94)="","",INDEX('Cronograma R. Financiero'!$I$5:$I$1000,$N94))))</f>
        <v/>
      </c>
      <c r="I94" s="68">
        <f>IF($N94="","",IF($P94&gt;0,IF(4&lt;=SemanaActual,INDEX('Cronograma R. Financiero'!$AB$5:$AB$1000,$N94),""),IF(INDEX('Cronograma R. Financiero'!$J$5:$J$1000,$N94)="","",INDEX('Cronograma R. Financiero'!$J$5:$J$1000,$N94))))</f>
        <v/>
      </c>
      <c r="J94" s="68">
        <f>IF($N94="","",INDEX('Cronograma R. Financiero'!$K$5:$K$1000,$N94))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R. Financiero'!$M$5:$M$1000,$N94)&amp;"")</f>
        <v/>
      </c>
      <c r="M94" s="71">
        <f>IF($N94="","",INDEX('Cronograma R. Financiero'!$N$5:$N$1000,$N94)&amp;"")</f>
        <v/>
      </c>
      <c r="N94">
        <f>IFERROR(MATCH(ROW()-4,rOrden_RF,0),"")</f>
        <v/>
      </c>
      <c r="O94">
        <f>IF($N94="","",INDEX('Cronograma R. Financiero'!$S$5:$S$1000,$N94))</f>
        <v/>
      </c>
      <c r="P94">
        <f>IF($N94="","",N(INDEX('Cronograma R. Financiero'!$T$5:$T$1000,$N94)))</f>
        <v/>
      </c>
    </row>
    <row r="95">
      <c r="A95" s="62">
        <f>IF($N95="","",INDEX('Cronograma R. Financiero'!$A$5:$A$1000,$N95))</f>
        <v/>
      </c>
      <c r="B95" s="71">
        <f>IF($N95="","",IF($O95="Sub","      ↳  "&amp;INDEX('Cronograma R. Financiero'!$C$5:$C$1000,$N95),INDEX('Cronograma R. Financiero'!$C$5:$C$1000,$N95)&amp;""))</f>
        <v/>
      </c>
      <c r="C95" s="77">
        <f>IF($N95="","",IF(INDEX('Cronograma R. Financiero'!$D$5:$D$1000,$N95)="","",INDEX('Cronograma R. Financiero'!$D$5:$D$1000,$N95)))</f>
        <v/>
      </c>
      <c r="D95" s="77">
        <f>IF($N95="","",IF(INDEX('Cronograma R. Financiero'!$E$5:$E$1000,$N95)="","",INDEX('Cronograma R. Financiero'!$E$5:$E$1000,$N95)))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R. Financiero'!$Y$5:$Y$1000,$N95),""),IF(INDEX('Cronograma R. Financiero'!$G$5:$G$1000,$N95)="","",INDEX('Cronograma R. Financiero'!$G$5:$G$1000,$N95))))</f>
        <v/>
      </c>
      <c r="G95" s="68">
        <f>IF($N95="","",IF($P95&gt;0,IF(2&lt;=SemanaActual,INDEX('Cronograma R. Financiero'!$Z$5:$Z$1000,$N95),""),IF(INDEX('Cronograma R. Financiero'!$H$5:$H$1000,$N95)="","",INDEX('Cronograma R. Financiero'!$H$5:$H$1000,$N95))))</f>
        <v/>
      </c>
      <c r="H95" s="68">
        <f>IF($N95="","",IF($P95&gt;0,IF(3&lt;=SemanaActual,INDEX('Cronograma R. Financiero'!$AA$5:$AA$1000,$N95),""),IF(INDEX('Cronograma R. Financiero'!$I$5:$I$1000,$N95)="","",INDEX('Cronograma R. Financiero'!$I$5:$I$1000,$N95))))</f>
        <v/>
      </c>
      <c r="I95" s="68">
        <f>IF($N95="","",IF($P95&gt;0,IF(4&lt;=SemanaActual,INDEX('Cronograma R. Financiero'!$AB$5:$AB$1000,$N95),""),IF(INDEX('Cronograma R. Financiero'!$J$5:$J$1000,$N95)="","",INDEX('Cronograma R. Financiero'!$J$5:$J$1000,$N95))))</f>
        <v/>
      </c>
      <c r="J95" s="68">
        <f>IF($N95="","",INDEX('Cronograma R. Financiero'!$K$5:$K$1000,$N95))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R. Financiero'!$M$5:$M$1000,$N95)&amp;"")</f>
        <v/>
      </c>
      <c r="M95" s="71">
        <f>IF($N95="","",INDEX('Cronograma R. Financiero'!$N$5:$N$1000,$N95)&amp;"")</f>
        <v/>
      </c>
      <c r="N95">
        <f>IFERROR(MATCH(ROW()-4,rOrden_RF,0),"")</f>
        <v/>
      </c>
      <c r="O95">
        <f>IF($N95="","",INDEX('Cronograma R. Financiero'!$S$5:$S$1000,$N95))</f>
        <v/>
      </c>
      <c r="P95">
        <f>IF($N95="","",N(INDEX('Cronograma R. Financiero'!$T$5:$T$1000,$N95)))</f>
        <v/>
      </c>
    </row>
    <row r="96">
      <c r="A96" s="62">
        <f>IF($N96="","",INDEX('Cronograma R. Financiero'!$A$5:$A$1000,$N96))</f>
        <v/>
      </c>
      <c r="B96" s="71">
        <f>IF($N96="","",IF($O96="Sub","      ↳  "&amp;INDEX('Cronograma R. Financiero'!$C$5:$C$1000,$N96),INDEX('Cronograma R. Financiero'!$C$5:$C$1000,$N96)&amp;""))</f>
        <v/>
      </c>
      <c r="C96" s="77">
        <f>IF($N96="","",IF(INDEX('Cronograma R. Financiero'!$D$5:$D$1000,$N96)="","",INDEX('Cronograma R. Financiero'!$D$5:$D$1000,$N96)))</f>
        <v/>
      </c>
      <c r="D96" s="77">
        <f>IF($N96="","",IF(INDEX('Cronograma R. Financiero'!$E$5:$E$1000,$N96)="","",INDEX('Cronograma R. Financiero'!$E$5:$E$1000,$N96)))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R. Financiero'!$Y$5:$Y$1000,$N96),""),IF(INDEX('Cronograma R. Financiero'!$G$5:$G$1000,$N96)="","",INDEX('Cronograma R. Financiero'!$G$5:$G$1000,$N96))))</f>
        <v/>
      </c>
      <c r="G96" s="68">
        <f>IF($N96="","",IF($P96&gt;0,IF(2&lt;=SemanaActual,INDEX('Cronograma R. Financiero'!$Z$5:$Z$1000,$N96),""),IF(INDEX('Cronograma R. Financiero'!$H$5:$H$1000,$N96)="","",INDEX('Cronograma R. Financiero'!$H$5:$H$1000,$N96))))</f>
        <v/>
      </c>
      <c r="H96" s="68">
        <f>IF($N96="","",IF($P96&gt;0,IF(3&lt;=SemanaActual,INDEX('Cronograma R. Financiero'!$AA$5:$AA$1000,$N96),""),IF(INDEX('Cronograma R. Financiero'!$I$5:$I$1000,$N96)="","",INDEX('Cronograma R. Financiero'!$I$5:$I$1000,$N96))))</f>
        <v/>
      </c>
      <c r="I96" s="68">
        <f>IF($N96="","",IF($P96&gt;0,IF(4&lt;=SemanaActual,INDEX('Cronograma R. Financiero'!$AB$5:$AB$1000,$N96),""),IF(INDEX('Cronograma R. Financiero'!$J$5:$J$1000,$N96)="","",INDEX('Cronograma R. Financiero'!$J$5:$J$1000,$N96))))</f>
        <v/>
      </c>
      <c r="J96" s="68">
        <f>IF($N96="","",INDEX('Cronograma R. Financiero'!$K$5:$K$1000,$N96))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R. Financiero'!$M$5:$M$1000,$N96)&amp;"")</f>
        <v/>
      </c>
      <c r="M96" s="71">
        <f>IF($N96="","",INDEX('Cronograma R. Financiero'!$N$5:$N$1000,$N96)&amp;"")</f>
        <v/>
      </c>
      <c r="N96">
        <f>IFERROR(MATCH(ROW()-4,rOrden_RF,0),"")</f>
        <v/>
      </c>
      <c r="O96">
        <f>IF($N96="","",INDEX('Cronograma R. Financiero'!$S$5:$S$1000,$N96))</f>
        <v/>
      </c>
      <c r="P96">
        <f>IF($N96="","",N(INDEX('Cronograma R. Financiero'!$T$5:$T$1000,$N96)))</f>
        <v/>
      </c>
    </row>
    <row r="97">
      <c r="A97" s="62">
        <f>IF($N97="","",INDEX('Cronograma R. Financiero'!$A$5:$A$1000,$N97))</f>
        <v/>
      </c>
      <c r="B97" s="71">
        <f>IF($N97="","",IF($O97="Sub","      ↳  "&amp;INDEX('Cronograma R. Financiero'!$C$5:$C$1000,$N97),INDEX('Cronograma R. Financiero'!$C$5:$C$1000,$N97)&amp;""))</f>
        <v/>
      </c>
      <c r="C97" s="77">
        <f>IF($N97="","",IF(INDEX('Cronograma R. Financiero'!$D$5:$D$1000,$N97)="","",INDEX('Cronograma R. Financiero'!$D$5:$D$1000,$N97)))</f>
        <v/>
      </c>
      <c r="D97" s="77">
        <f>IF($N97="","",IF(INDEX('Cronograma R. Financiero'!$E$5:$E$1000,$N97)="","",INDEX('Cronograma R. Financiero'!$E$5:$E$1000,$N97)))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R. Financiero'!$Y$5:$Y$1000,$N97),""),IF(INDEX('Cronograma R. Financiero'!$G$5:$G$1000,$N97)="","",INDEX('Cronograma R. Financiero'!$G$5:$G$1000,$N97))))</f>
        <v/>
      </c>
      <c r="G97" s="68">
        <f>IF($N97="","",IF($P97&gt;0,IF(2&lt;=SemanaActual,INDEX('Cronograma R. Financiero'!$Z$5:$Z$1000,$N97),""),IF(INDEX('Cronograma R. Financiero'!$H$5:$H$1000,$N97)="","",INDEX('Cronograma R. Financiero'!$H$5:$H$1000,$N97))))</f>
        <v/>
      </c>
      <c r="H97" s="68">
        <f>IF($N97="","",IF($P97&gt;0,IF(3&lt;=SemanaActual,INDEX('Cronograma R. Financiero'!$AA$5:$AA$1000,$N97),""),IF(INDEX('Cronograma R. Financiero'!$I$5:$I$1000,$N97)="","",INDEX('Cronograma R. Financiero'!$I$5:$I$1000,$N97))))</f>
        <v/>
      </c>
      <c r="I97" s="68">
        <f>IF($N97="","",IF($P97&gt;0,IF(4&lt;=SemanaActual,INDEX('Cronograma R. Financiero'!$AB$5:$AB$1000,$N97),""),IF(INDEX('Cronograma R. Financiero'!$J$5:$J$1000,$N97)="","",INDEX('Cronograma R. Financiero'!$J$5:$J$1000,$N97))))</f>
        <v/>
      </c>
      <c r="J97" s="68">
        <f>IF($N97="","",INDEX('Cronograma R. Financiero'!$K$5:$K$1000,$N97))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R. Financiero'!$M$5:$M$1000,$N97)&amp;"")</f>
        <v/>
      </c>
      <c r="M97" s="71">
        <f>IF($N97="","",INDEX('Cronograma R. Financiero'!$N$5:$N$1000,$N97)&amp;"")</f>
        <v/>
      </c>
      <c r="N97">
        <f>IFERROR(MATCH(ROW()-4,rOrden_RF,0),"")</f>
        <v/>
      </c>
      <c r="O97">
        <f>IF($N97="","",INDEX('Cronograma R. Financiero'!$S$5:$S$1000,$N97))</f>
        <v/>
      </c>
      <c r="P97">
        <f>IF($N97="","",N(INDEX('Cronograma R. Financiero'!$T$5:$T$1000,$N97)))</f>
        <v/>
      </c>
    </row>
    <row r="98">
      <c r="A98" s="62">
        <f>IF($N98="","",INDEX('Cronograma R. Financiero'!$A$5:$A$1000,$N98))</f>
        <v/>
      </c>
      <c r="B98" s="71">
        <f>IF($N98="","",IF($O98="Sub","      ↳  "&amp;INDEX('Cronograma R. Financiero'!$C$5:$C$1000,$N98),INDEX('Cronograma R. Financiero'!$C$5:$C$1000,$N98)&amp;""))</f>
        <v/>
      </c>
      <c r="C98" s="77">
        <f>IF($N98="","",IF(INDEX('Cronograma R. Financiero'!$D$5:$D$1000,$N98)="","",INDEX('Cronograma R. Financiero'!$D$5:$D$1000,$N98)))</f>
        <v/>
      </c>
      <c r="D98" s="77">
        <f>IF($N98="","",IF(INDEX('Cronograma R. Financiero'!$E$5:$E$1000,$N98)="","",INDEX('Cronograma R. Financiero'!$E$5:$E$1000,$N98)))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R. Financiero'!$Y$5:$Y$1000,$N98),""),IF(INDEX('Cronograma R. Financiero'!$G$5:$G$1000,$N98)="","",INDEX('Cronograma R. Financiero'!$G$5:$G$1000,$N98))))</f>
        <v/>
      </c>
      <c r="G98" s="68">
        <f>IF($N98="","",IF($P98&gt;0,IF(2&lt;=SemanaActual,INDEX('Cronograma R. Financiero'!$Z$5:$Z$1000,$N98),""),IF(INDEX('Cronograma R. Financiero'!$H$5:$H$1000,$N98)="","",INDEX('Cronograma R. Financiero'!$H$5:$H$1000,$N98))))</f>
        <v/>
      </c>
      <c r="H98" s="68">
        <f>IF($N98="","",IF($P98&gt;0,IF(3&lt;=SemanaActual,INDEX('Cronograma R. Financiero'!$AA$5:$AA$1000,$N98),""),IF(INDEX('Cronograma R. Financiero'!$I$5:$I$1000,$N98)="","",INDEX('Cronograma R. Financiero'!$I$5:$I$1000,$N98))))</f>
        <v/>
      </c>
      <c r="I98" s="68">
        <f>IF($N98="","",IF($P98&gt;0,IF(4&lt;=SemanaActual,INDEX('Cronograma R. Financiero'!$AB$5:$AB$1000,$N98),""),IF(INDEX('Cronograma R. Financiero'!$J$5:$J$1000,$N98)="","",INDEX('Cronograma R. Financiero'!$J$5:$J$1000,$N98))))</f>
        <v/>
      </c>
      <c r="J98" s="68">
        <f>IF($N98="","",INDEX('Cronograma R. Financiero'!$K$5:$K$1000,$N98))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R. Financiero'!$M$5:$M$1000,$N98)&amp;"")</f>
        <v/>
      </c>
      <c r="M98" s="71">
        <f>IF($N98="","",INDEX('Cronograma R. Financiero'!$N$5:$N$1000,$N98)&amp;"")</f>
        <v/>
      </c>
      <c r="N98">
        <f>IFERROR(MATCH(ROW()-4,rOrden_RF,0),"")</f>
        <v/>
      </c>
      <c r="O98">
        <f>IF($N98="","",INDEX('Cronograma R. Financiero'!$S$5:$S$1000,$N98))</f>
        <v/>
      </c>
      <c r="P98">
        <f>IF($N98="","",N(INDEX('Cronograma R. Financiero'!$T$5:$T$1000,$N98)))</f>
        <v/>
      </c>
    </row>
    <row r="99">
      <c r="A99" s="62">
        <f>IF($N99="","",INDEX('Cronograma R. Financiero'!$A$5:$A$1000,$N99))</f>
        <v/>
      </c>
      <c r="B99" s="71">
        <f>IF($N99="","",IF($O99="Sub","      ↳  "&amp;INDEX('Cronograma R. Financiero'!$C$5:$C$1000,$N99),INDEX('Cronograma R. Financiero'!$C$5:$C$1000,$N99)&amp;""))</f>
        <v/>
      </c>
      <c r="C99" s="77">
        <f>IF($N99="","",IF(INDEX('Cronograma R. Financiero'!$D$5:$D$1000,$N99)="","",INDEX('Cronograma R. Financiero'!$D$5:$D$1000,$N99)))</f>
        <v/>
      </c>
      <c r="D99" s="77">
        <f>IF($N99="","",IF(INDEX('Cronograma R. Financiero'!$E$5:$E$1000,$N99)="","",INDEX('Cronograma R. Financiero'!$E$5:$E$1000,$N99)))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R. Financiero'!$Y$5:$Y$1000,$N99),""),IF(INDEX('Cronograma R. Financiero'!$G$5:$G$1000,$N99)="","",INDEX('Cronograma R. Financiero'!$G$5:$G$1000,$N99))))</f>
        <v/>
      </c>
      <c r="G99" s="68">
        <f>IF($N99="","",IF($P99&gt;0,IF(2&lt;=SemanaActual,INDEX('Cronograma R. Financiero'!$Z$5:$Z$1000,$N99),""),IF(INDEX('Cronograma R. Financiero'!$H$5:$H$1000,$N99)="","",INDEX('Cronograma R. Financiero'!$H$5:$H$1000,$N99))))</f>
        <v/>
      </c>
      <c r="H99" s="68">
        <f>IF($N99="","",IF($P99&gt;0,IF(3&lt;=SemanaActual,INDEX('Cronograma R. Financiero'!$AA$5:$AA$1000,$N99),""),IF(INDEX('Cronograma R. Financiero'!$I$5:$I$1000,$N99)="","",INDEX('Cronograma R. Financiero'!$I$5:$I$1000,$N99))))</f>
        <v/>
      </c>
      <c r="I99" s="68">
        <f>IF($N99="","",IF($P99&gt;0,IF(4&lt;=SemanaActual,INDEX('Cronograma R. Financiero'!$AB$5:$AB$1000,$N99),""),IF(INDEX('Cronograma R. Financiero'!$J$5:$J$1000,$N99)="","",INDEX('Cronograma R. Financiero'!$J$5:$J$1000,$N99))))</f>
        <v/>
      </c>
      <c r="J99" s="68">
        <f>IF($N99="","",INDEX('Cronograma R. Financiero'!$K$5:$K$1000,$N99))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R. Financiero'!$M$5:$M$1000,$N99)&amp;"")</f>
        <v/>
      </c>
      <c r="M99" s="71">
        <f>IF($N99="","",INDEX('Cronograma R. Financiero'!$N$5:$N$1000,$N99)&amp;"")</f>
        <v/>
      </c>
      <c r="N99">
        <f>IFERROR(MATCH(ROW()-4,rOrden_RF,0),"")</f>
        <v/>
      </c>
      <c r="O99">
        <f>IF($N99="","",INDEX('Cronograma R. Financiero'!$S$5:$S$1000,$N99))</f>
        <v/>
      </c>
      <c r="P99">
        <f>IF($N99="","",N(INDEX('Cronograma R. Financiero'!$T$5:$T$1000,$N99)))</f>
        <v/>
      </c>
    </row>
    <row r="100">
      <c r="A100" s="62">
        <f>IF($N100="","",INDEX('Cronograma R. Financiero'!$A$5:$A$1000,$N100))</f>
        <v/>
      </c>
      <c r="B100" s="71">
        <f>IF($N100="","",IF($O100="Sub","      ↳  "&amp;INDEX('Cronograma R. Financiero'!$C$5:$C$1000,$N100),INDEX('Cronograma R. Financiero'!$C$5:$C$1000,$N100)&amp;""))</f>
        <v/>
      </c>
      <c r="C100" s="77">
        <f>IF($N100="","",IF(INDEX('Cronograma R. Financiero'!$D$5:$D$1000,$N100)="","",INDEX('Cronograma R. Financiero'!$D$5:$D$1000,$N100)))</f>
        <v/>
      </c>
      <c r="D100" s="77">
        <f>IF($N100="","",IF(INDEX('Cronograma R. Financiero'!$E$5:$E$1000,$N100)="","",INDEX('Cronograma R. Financiero'!$E$5:$E$1000,$N100)))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R. Financiero'!$Y$5:$Y$1000,$N100),""),IF(INDEX('Cronograma R. Financiero'!$G$5:$G$1000,$N100)="","",INDEX('Cronograma R. Financiero'!$G$5:$G$1000,$N100))))</f>
        <v/>
      </c>
      <c r="G100" s="68">
        <f>IF($N100="","",IF($P100&gt;0,IF(2&lt;=SemanaActual,INDEX('Cronograma R. Financiero'!$Z$5:$Z$1000,$N100),""),IF(INDEX('Cronograma R. Financiero'!$H$5:$H$1000,$N100)="","",INDEX('Cronograma R. Financiero'!$H$5:$H$1000,$N100))))</f>
        <v/>
      </c>
      <c r="H100" s="68">
        <f>IF($N100="","",IF($P100&gt;0,IF(3&lt;=SemanaActual,INDEX('Cronograma R. Financiero'!$AA$5:$AA$1000,$N100),""),IF(INDEX('Cronograma R. Financiero'!$I$5:$I$1000,$N100)="","",INDEX('Cronograma R. Financiero'!$I$5:$I$1000,$N100))))</f>
        <v/>
      </c>
      <c r="I100" s="68">
        <f>IF($N100="","",IF($P100&gt;0,IF(4&lt;=SemanaActual,INDEX('Cronograma R. Financiero'!$AB$5:$AB$1000,$N100),""),IF(INDEX('Cronograma R. Financiero'!$J$5:$J$1000,$N100)="","",INDEX('Cronograma R. Financiero'!$J$5:$J$1000,$N100))))</f>
        <v/>
      </c>
      <c r="J100" s="68">
        <f>IF($N100="","",INDEX('Cronograma R. Financiero'!$K$5:$K$1000,$N100))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R. Financiero'!$M$5:$M$1000,$N100)&amp;"")</f>
        <v/>
      </c>
      <c r="M100" s="71">
        <f>IF($N100="","",INDEX('Cronograma R. Financiero'!$N$5:$N$1000,$N100)&amp;"")</f>
        <v/>
      </c>
      <c r="N100">
        <f>IFERROR(MATCH(ROW()-4,rOrden_RF,0),"")</f>
        <v/>
      </c>
      <c r="O100">
        <f>IF($N100="","",INDEX('Cronograma R. Financiero'!$S$5:$S$1000,$N100))</f>
        <v/>
      </c>
      <c r="P100">
        <f>IF($N100="","",N(INDEX('Cronograma R. Financiero'!$T$5:$T$1000,$N100)))</f>
        <v/>
      </c>
    </row>
    <row r="101">
      <c r="A101" s="62">
        <f>IF($N101="","",INDEX('Cronograma R. Financiero'!$A$5:$A$1000,$N101))</f>
        <v/>
      </c>
      <c r="B101" s="71">
        <f>IF($N101="","",IF($O101="Sub","      ↳  "&amp;INDEX('Cronograma R. Financiero'!$C$5:$C$1000,$N101),INDEX('Cronograma R. Financiero'!$C$5:$C$1000,$N101)&amp;""))</f>
        <v/>
      </c>
      <c r="C101" s="77">
        <f>IF($N101="","",IF(INDEX('Cronograma R. Financiero'!$D$5:$D$1000,$N101)="","",INDEX('Cronograma R. Financiero'!$D$5:$D$1000,$N101)))</f>
        <v/>
      </c>
      <c r="D101" s="77">
        <f>IF($N101="","",IF(INDEX('Cronograma R. Financiero'!$E$5:$E$1000,$N101)="","",INDEX('Cronograma R. Financiero'!$E$5:$E$1000,$N101)))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R. Financiero'!$Y$5:$Y$1000,$N101),""),IF(INDEX('Cronograma R. Financiero'!$G$5:$G$1000,$N101)="","",INDEX('Cronograma R. Financiero'!$G$5:$G$1000,$N101))))</f>
        <v/>
      </c>
      <c r="G101" s="68">
        <f>IF($N101="","",IF($P101&gt;0,IF(2&lt;=SemanaActual,INDEX('Cronograma R. Financiero'!$Z$5:$Z$1000,$N101),""),IF(INDEX('Cronograma R. Financiero'!$H$5:$H$1000,$N101)="","",INDEX('Cronograma R. Financiero'!$H$5:$H$1000,$N101))))</f>
        <v/>
      </c>
      <c r="H101" s="68">
        <f>IF($N101="","",IF($P101&gt;0,IF(3&lt;=SemanaActual,INDEX('Cronograma R. Financiero'!$AA$5:$AA$1000,$N101),""),IF(INDEX('Cronograma R. Financiero'!$I$5:$I$1000,$N101)="","",INDEX('Cronograma R. Financiero'!$I$5:$I$1000,$N101))))</f>
        <v/>
      </c>
      <c r="I101" s="68">
        <f>IF($N101="","",IF($P101&gt;0,IF(4&lt;=SemanaActual,INDEX('Cronograma R. Financiero'!$AB$5:$AB$1000,$N101),""),IF(INDEX('Cronograma R. Financiero'!$J$5:$J$1000,$N101)="","",INDEX('Cronograma R. Financiero'!$J$5:$J$1000,$N101))))</f>
        <v/>
      </c>
      <c r="J101" s="68">
        <f>IF($N101="","",INDEX('Cronograma R. Financiero'!$K$5:$K$1000,$N101))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R. Financiero'!$M$5:$M$1000,$N101)&amp;"")</f>
        <v/>
      </c>
      <c r="M101" s="71">
        <f>IF($N101="","",INDEX('Cronograma R. Financiero'!$N$5:$N$1000,$N101)&amp;"")</f>
        <v/>
      </c>
      <c r="N101">
        <f>IFERROR(MATCH(ROW()-4,rOrden_RF,0),"")</f>
        <v/>
      </c>
      <c r="O101">
        <f>IF($N101="","",INDEX('Cronograma R. Financiero'!$S$5:$S$1000,$N101))</f>
        <v/>
      </c>
      <c r="P101">
        <f>IF($N101="","",N(INDEX('Cronograma R. Financiero'!$T$5:$T$1000,$N101)))</f>
        <v/>
      </c>
    </row>
    <row r="102">
      <c r="A102" s="62">
        <f>IF($N102="","",INDEX('Cronograma R. Financiero'!$A$5:$A$1000,$N102))</f>
        <v/>
      </c>
      <c r="B102" s="71">
        <f>IF($N102="","",IF($O102="Sub","      ↳  "&amp;INDEX('Cronograma R. Financiero'!$C$5:$C$1000,$N102),INDEX('Cronograma R. Financiero'!$C$5:$C$1000,$N102)&amp;""))</f>
        <v/>
      </c>
      <c r="C102" s="77">
        <f>IF($N102="","",IF(INDEX('Cronograma R. Financiero'!$D$5:$D$1000,$N102)="","",INDEX('Cronograma R. Financiero'!$D$5:$D$1000,$N102)))</f>
        <v/>
      </c>
      <c r="D102" s="77">
        <f>IF($N102="","",IF(INDEX('Cronograma R. Financiero'!$E$5:$E$1000,$N102)="","",INDEX('Cronograma R. Financiero'!$E$5:$E$1000,$N102)))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R. Financiero'!$Y$5:$Y$1000,$N102),""),IF(INDEX('Cronograma R. Financiero'!$G$5:$G$1000,$N102)="","",INDEX('Cronograma R. Financiero'!$G$5:$G$1000,$N102))))</f>
        <v/>
      </c>
      <c r="G102" s="68">
        <f>IF($N102="","",IF($P102&gt;0,IF(2&lt;=SemanaActual,INDEX('Cronograma R. Financiero'!$Z$5:$Z$1000,$N102),""),IF(INDEX('Cronograma R. Financiero'!$H$5:$H$1000,$N102)="","",INDEX('Cronograma R. Financiero'!$H$5:$H$1000,$N102))))</f>
        <v/>
      </c>
      <c r="H102" s="68">
        <f>IF($N102="","",IF($P102&gt;0,IF(3&lt;=SemanaActual,INDEX('Cronograma R. Financiero'!$AA$5:$AA$1000,$N102),""),IF(INDEX('Cronograma R. Financiero'!$I$5:$I$1000,$N102)="","",INDEX('Cronograma R. Financiero'!$I$5:$I$1000,$N102))))</f>
        <v/>
      </c>
      <c r="I102" s="68">
        <f>IF($N102="","",IF($P102&gt;0,IF(4&lt;=SemanaActual,INDEX('Cronograma R. Financiero'!$AB$5:$AB$1000,$N102),""),IF(INDEX('Cronograma R. Financiero'!$J$5:$J$1000,$N102)="","",INDEX('Cronograma R. Financiero'!$J$5:$J$1000,$N102))))</f>
        <v/>
      </c>
      <c r="J102" s="68">
        <f>IF($N102="","",INDEX('Cronograma R. Financiero'!$K$5:$K$1000,$N102))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R. Financiero'!$M$5:$M$1000,$N102)&amp;"")</f>
        <v/>
      </c>
      <c r="M102" s="71">
        <f>IF($N102="","",INDEX('Cronograma R. Financiero'!$N$5:$N$1000,$N102)&amp;"")</f>
        <v/>
      </c>
      <c r="N102">
        <f>IFERROR(MATCH(ROW()-4,rOrden_RF,0),"")</f>
        <v/>
      </c>
      <c r="O102">
        <f>IF($N102="","",INDEX('Cronograma R. Financiero'!$S$5:$S$1000,$N102))</f>
        <v/>
      </c>
      <c r="P102">
        <f>IF($N102="","",N(INDEX('Cronograma R. Financiero'!$T$5:$T$1000,$N102)))</f>
        <v/>
      </c>
    </row>
    <row r="103">
      <c r="A103" s="62">
        <f>IF($N103="","",INDEX('Cronograma R. Financiero'!$A$5:$A$1000,$N103))</f>
        <v/>
      </c>
      <c r="B103" s="71">
        <f>IF($N103="","",IF($O103="Sub","      ↳  "&amp;INDEX('Cronograma R. Financiero'!$C$5:$C$1000,$N103),INDEX('Cronograma R. Financiero'!$C$5:$C$1000,$N103)&amp;""))</f>
        <v/>
      </c>
      <c r="C103" s="77">
        <f>IF($N103="","",IF(INDEX('Cronograma R. Financiero'!$D$5:$D$1000,$N103)="","",INDEX('Cronograma R. Financiero'!$D$5:$D$1000,$N103)))</f>
        <v/>
      </c>
      <c r="D103" s="77">
        <f>IF($N103="","",IF(INDEX('Cronograma R. Financiero'!$E$5:$E$1000,$N103)="","",INDEX('Cronograma R. Financiero'!$E$5:$E$1000,$N103)))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R. Financiero'!$Y$5:$Y$1000,$N103),""),IF(INDEX('Cronograma R. Financiero'!$G$5:$G$1000,$N103)="","",INDEX('Cronograma R. Financiero'!$G$5:$G$1000,$N103))))</f>
        <v/>
      </c>
      <c r="G103" s="68">
        <f>IF($N103="","",IF($P103&gt;0,IF(2&lt;=SemanaActual,INDEX('Cronograma R. Financiero'!$Z$5:$Z$1000,$N103),""),IF(INDEX('Cronograma R. Financiero'!$H$5:$H$1000,$N103)="","",INDEX('Cronograma R. Financiero'!$H$5:$H$1000,$N103))))</f>
        <v/>
      </c>
      <c r="H103" s="68">
        <f>IF($N103="","",IF($P103&gt;0,IF(3&lt;=SemanaActual,INDEX('Cronograma R. Financiero'!$AA$5:$AA$1000,$N103),""),IF(INDEX('Cronograma R. Financiero'!$I$5:$I$1000,$N103)="","",INDEX('Cronograma R. Financiero'!$I$5:$I$1000,$N103))))</f>
        <v/>
      </c>
      <c r="I103" s="68">
        <f>IF($N103="","",IF($P103&gt;0,IF(4&lt;=SemanaActual,INDEX('Cronograma R. Financiero'!$AB$5:$AB$1000,$N103),""),IF(INDEX('Cronograma R. Financiero'!$J$5:$J$1000,$N103)="","",INDEX('Cronograma R. Financiero'!$J$5:$J$1000,$N103))))</f>
        <v/>
      </c>
      <c r="J103" s="68">
        <f>IF($N103="","",INDEX('Cronograma R. Financiero'!$K$5:$K$1000,$N103))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R. Financiero'!$M$5:$M$1000,$N103)&amp;"")</f>
        <v/>
      </c>
      <c r="M103" s="71">
        <f>IF($N103="","",INDEX('Cronograma R. Financiero'!$N$5:$N$1000,$N103)&amp;"")</f>
        <v/>
      </c>
      <c r="N103">
        <f>IFERROR(MATCH(ROW()-4,rOrden_RF,0),"")</f>
        <v/>
      </c>
      <c r="O103">
        <f>IF($N103="","",INDEX('Cronograma R. Financiero'!$S$5:$S$1000,$N103))</f>
        <v/>
      </c>
      <c r="P103">
        <f>IF($N103="","",N(INDEX('Cronograma R. Financiero'!$T$5:$T$1000,$N103)))</f>
        <v/>
      </c>
    </row>
    <row r="104">
      <c r="A104" s="62">
        <f>IF($N104="","",INDEX('Cronograma R. Financiero'!$A$5:$A$1000,$N104))</f>
        <v/>
      </c>
      <c r="B104" s="71">
        <f>IF($N104="","",IF($O104="Sub","      ↳  "&amp;INDEX('Cronograma R. Financiero'!$C$5:$C$1000,$N104),INDEX('Cronograma R. Financiero'!$C$5:$C$1000,$N104)&amp;""))</f>
        <v/>
      </c>
      <c r="C104" s="77">
        <f>IF($N104="","",IF(INDEX('Cronograma R. Financiero'!$D$5:$D$1000,$N104)="","",INDEX('Cronograma R. Financiero'!$D$5:$D$1000,$N104)))</f>
        <v/>
      </c>
      <c r="D104" s="77">
        <f>IF($N104="","",IF(INDEX('Cronograma R. Financiero'!$E$5:$E$1000,$N104)="","",INDEX('Cronograma R. Financiero'!$E$5:$E$1000,$N104)))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R. Financiero'!$Y$5:$Y$1000,$N104),""),IF(INDEX('Cronograma R. Financiero'!$G$5:$G$1000,$N104)="","",INDEX('Cronograma R. Financiero'!$G$5:$G$1000,$N104))))</f>
        <v/>
      </c>
      <c r="G104" s="68">
        <f>IF($N104="","",IF($P104&gt;0,IF(2&lt;=SemanaActual,INDEX('Cronograma R. Financiero'!$Z$5:$Z$1000,$N104),""),IF(INDEX('Cronograma R. Financiero'!$H$5:$H$1000,$N104)="","",INDEX('Cronograma R. Financiero'!$H$5:$H$1000,$N104))))</f>
        <v/>
      </c>
      <c r="H104" s="68">
        <f>IF($N104="","",IF($P104&gt;0,IF(3&lt;=SemanaActual,INDEX('Cronograma R. Financiero'!$AA$5:$AA$1000,$N104),""),IF(INDEX('Cronograma R. Financiero'!$I$5:$I$1000,$N104)="","",INDEX('Cronograma R. Financiero'!$I$5:$I$1000,$N104))))</f>
        <v/>
      </c>
      <c r="I104" s="68">
        <f>IF($N104="","",IF($P104&gt;0,IF(4&lt;=SemanaActual,INDEX('Cronograma R. Financiero'!$AB$5:$AB$1000,$N104),""),IF(INDEX('Cronograma R. Financiero'!$J$5:$J$1000,$N104)="","",INDEX('Cronograma R. Financiero'!$J$5:$J$1000,$N104))))</f>
        <v/>
      </c>
      <c r="J104" s="68">
        <f>IF($N104="","",INDEX('Cronograma R. Financiero'!$K$5:$K$1000,$N104))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R. Financiero'!$M$5:$M$1000,$N104)&amp;"")</f>
        <v/>
      </c>
      <c r="M104" s="71">
        <f>IF($N104="","",INDEX('Cronograma R. Financiero'!$N$5:$N$1000,$N104)&amp;"")</f>
        <v/>
      </c>
      <c r="N104">
        <f>IFERROR(MATCH(ROW()-4,rOrden_RF,0),"")</f>
        <v/>
      </c>
      <c r="O104">
        <f>IF($N104="","",INDEX('Cronograma R. Financiero'!$S$5:$S$1000,$N104))</f>
        <v/>
      </c>
      <c r="P104">
        <f>IF($N104="","",N(INDEX('Cronograma R. Financiero'!$T$5:$T$1000,$N104)))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2">
      <formula>AND(ISNUMBER($C5),ISNUMBER($D5),$C5&lt;=InicioCiclo+7*(COLUMN(F5)-6)+6,$D5&gt;=InicioCiclo+7*(COLUMN(F5)-6))</formula>
    </cfRule>
  </conditionalFormatting>
  <conditionalFormatting sqref="A5:B104">
    <cfRule type="expression" priority="3" dxfId="21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$L5="Cumplida"</formula>
    </cfRule>
    <cfRule type="expression" priority="11" dxfId="14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G304"/>
  <sheetViews>
    <sheetView showGridLines="0" zoomScale="9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5" customWidth="1" min="2" max="2"/>
    <col width="50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20" customWidth="1" min="13" max="13"/>
    <col width="38" customWidth="1" min="14" max="14"/>
    <col width="46" customWidth="1" min="15" max="15"/>
    <col width="14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</cols>
  <sheetData>
    <row r="1" ht="28" customHeight="1">
      <c r="A1" s="82" t="inlineStr">
        <is>
          <t>Cronograma – Asistente Técnico de Riesgo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  <c r="N1" s="82" t="n"/>
      <c r="O1" s="82" t="n"/>
      <c r="P1" s="82" t="n"/>
    </row>
    <row r="2" ht="44" customHeight="1">
      <c r="A2" s="47" t="inlineStr">
        <is>
          <t>Llene solo las celdas GRIS SUAVE; las AZUL CLARO son automáticas y están bloqueadas. En «Tipo» elija Macroactividad o Subactividad. Escriba cada macroactividad con su peso y, en las filas de ABAJO, sus subactividades (todas las que necesite): se verán con sangría (↳) y el % de la macroactividad se calcula solo con el promedio de sus subactividades. En cada semana escriba el % TOTAL logrado hasta esa semana. Cada mes agregue sus actividades debajo de las anteriores (no borre los meses pasados: quedan como historial).</t>
        </is>
      </c>
      <c r="B2" s="47" t="n"/>
      <c r="C2" s="47" t="n"/>
      <c r="D2" s="47" t="n"/>
      <c r="E2" s="47" t="n"/>
      <c r="F2" s="47" t="n"/>
      <c r="G2" s="47" t="n"/>
      <c r="H2" s="47" t="n"/>
      <c r="I2" s="47" t="n"/>
      <c r="J2" s="47" t="n"/>
      <c r="K2" s="47" t="n"/>
      <c r="L2" s="47" t="n"/>
      <c r="M2" s="47" t="n"/>
      <c r="N2" s="47" t="n"/>
      <c r="O2" s="47" t="n"/>
      <c r="P2" s="47" t="n"/>
    </row>
    <row r="3" ht="20" customHeight="1">
      <c r="A3" s="55" t="inlineStr">
        <is>
          <t>Llenar</t>
        </is>
      </c>
      <c r="B3" s="56" t="inlineStr">
        <is>
          <t>Automático</t>
        </is>
      </c>
      <c r="C3" s="83" t="inlineStr">
        <is>
          <t>Macroactividad (fila resaltada)</t>
        </is>
      </c>
      <c r="D3" s="58" t="inlineStr">
        <is>
          <t>Pesos del mes:</t>
        </is>
      </c>
      <c r="F3" s="59">
        <f>SUMIFS($F$5:$F$1000,$P$5:$P$1000,MesCiclo,$S$5:$S$1000,"Macro")</f>
        <v/>
      </c>
      <c r="G3" s="60">
        <f>IF(COUNTIFS($S$5:$S$1000,"Macro",$P$5:$P$1000,MesCiclo)=0,"",IF(ABS(F3-1)&lt;=0.0001,"✔ 100%","⚠ Debe sumar 100%"))</f>
        <v/>
      </c>
      <c r="H3" s="60" t="n"/>
      <c r="I3" s="58" t="inlineStr">
        <is>
          <t>Plazos del mes:</t>
        </is>
      </c>
      <c r="K3" s="43">
        <f>COUNTIFS($P$5:$P$1000,MesCiclo,$M$5:$M$1000,"Vencida*")&amp;" vencida(s)  ·  "&amp;COUNTIFS($P$5:$P$1000,MesCiclo,$M$5:$M$1000,"Vence*")&amp;" por vencer"</f>
        <v/>
      </c>
      <c r="L3" s="43" t="n"/>
      <c r="M3" s="43" t="n"/>
    </row>
    <row r="4" ht="42" customHeight="1">
      <c r="A4" s="61" t="inlineStr">
        <is>
          <t>N°</t>
        </is>
      </c>
      <c r="B4" s="7" t="inlineStr">
        <is>
          <t>Tipo</t>
        </is>
      </c>
      <c r="C4" s="7" t="inlineStr">
        <is>
          <t>Actividad</t>
        </is>
      </c>
      <c r="D4" s="7" t="inlineStr">
        <is>
          <t>Fecha de inicio</t>
        </is>
      </c>
      <c r="E4" s="7" t="inlineStr">
        <is>
          <t>Fecha límite</t>
        </is>
      </c>
      <c r="F4" s="7" t="inlineStr">
        <is>
          <t>Peso de actividad (%)</t>
        </is>
      </c>
      <c r="G4" s="7" t="inlineStr">
        <is>
          <t>Avance Semana 1 (%)</t>
        </is>
      </c>
      <c r="H4" s="7" t="inlineStr">
        <is>
          <t>Avance Semana 2 (%)</t>
        </is>
      </c>
      <c r="I4" s="7" t="inlineStr">
        <is>
          <t>Avance Semana 3 (%)</t>
        </is>
      </c>
      <c r="J4" s="7" t="inlineStr">
        <is>
          <t>Avance Semana 4 (%)</t>
        </is>
      </c>
      <c r="K4" s="61" t="inlineStr">
        <is>
          <t>% de Avance Total Actual</t>
        </is>
      </c>
      <c r="L4" s="61" t="inlineStr">
        <is>
          <t>Estado</t>
        </is>
      </c>
      <c r="M4" s="61" t="inlineStr">
        <is>
          <t>Alerta de plazo</t>
        </is>
      </c>
      <c r="N4" s="7" t="inlineStr">
        <is>
          <t>Observaciones</t>
        </is>
      </c>
      <c r="O4" s="61" t="inlineStr">
        <is>
          <t>Revisión automática (alertas)</t>
        </is>
      </c>
      <c r="P4" s="61" t="inlineStr">
        <is>
          <t>Mes</t>
        </is>
      </c>
      <c r="Q4" s="61" t="inlineStr">
        <is>
          <t>Orden en el mes (aux)</t>
        </is>
      </c>
      <c r="R4" s="61" t="inlineStr">
        <is>
          <t>Grupo (aux)</t>
        </is>
      </c>
      <c r="S4" s="61" t="inlineStr">
        <is>
          <t>Tipo (aux)</t>
        </is>
      </c>
      <c r="T4" s="61" t="inlineStr">
        <is>
          <t>N subactividades (aux)</t>
        </is>
      </c>
      <c r="U4" s="61" t="inlineStr">
        <is>
          <t>Propio S1 (aux)</t>
        </is>
      </c>
      <c r="V4" s="61" t="inlineStr">
        <is>
          <t>Propio S2 (aux)</t>
        </is>
      </c>
      <c r="W4" s="61" t="inlineStr">
        <is>
          <t>Propio S3 (aux)</t>
        </is>
      </c>
      <c r="X4" s="61" t="inlineStr">
        <is>
          <t>Propio S4 (aux)</t>
        </is>
      </c>
      <c r="Y4" s="61" t="inlineStr">
        <is>
          <t>Efectivo S1 (aux)</t>
        </is>
      </c>
      <c r="Z4" s="61" t="inlineStr">
        <is>
          <t>Efectivo S2 (aux)</t>
        </is>
      </c>
      <c r="AA4" s="61" t="inlineStr">
        <is>
          <t>Efectivo S3 (aux)</t>
        </is>
      </c>
      <c r="AB4" s="61" t="inlineStr">
        <is>
          <t>Efectivo S4 (aux)</t>
        </is>
      </c>
      <c r="AC4" s="61" t="inlineStr">
        <is>
          <t>Ponderado S1 (aux)</t>
        </is>
      </c>
      <c r="AD4" s="61" t="inlineStr">
        <is>
          <t>Ponderado S2 (aux)</t>
        </is>
      </c>
      <c r="AE4" s="61" t="inlineStr">
        <is>
          <t>Ponderado S3 (aux)</t>
        </is>
      </c>
      <c r="AF4" s="61" t="inlineStr">
        <is>
          <t>Ponderado S4 (aux)</t>
        </is>
      </c>
      <c r="AG4" s="61" t="inlineStr">
        <is>
          <t>Suma pesos subactividades (aux)</t>
        </is>
      </c>
    </row>
    <row r="5">
      <c r="A5" s="62">
        <f>IF(NOT((COUNTA($B5:$J5)+COUNTA($N5))&gt;0),"",IF($S5="Macro",COUNTIFS($S$5:$S5,"Macro",$P$5:$P5,$P5),IF(N($R5)=0,"?",COUNTIFS(INDEX($S$5:$S$1000,1):INDEX($S$5:$S$1000,$R5-4),"Macro",INDEX($P$5:$P$1000,1):INDEX($P$5:$P$1000,$R5-4),INDEX($P$5:$P$1000,$R5-4))&amp;"."&amp;COUNTIFS($R$5:$R5,$R5,$S$5:$S5,"Sub"))))</f>
        <v/>
      </c>
      <c r="B5" s="63" t="n"/>
      <c r="C5" s="64" t="n"/>
      <c r="D5" s="65" t="n"/>
      <c r="E5" s="65" t="n"/>
      <c r="F5" s="66" t="n"/>
      <c r="G5" s="67" t="n"/>
      <c r="H5" s="67" t="n"/>
      <c r="I5" s="67" t="n"/>
      <c r="J5" s="67" t="n"/>
      <c r="K5" s="68">
        <f>IF(NOT((COUNTA($B5:$J5)+COUNTA($N5))&gt;0),"",IF(N($T5)&gt;0,$AB5,IFERROR(LOOKUP(2,1/(G5:J5&lt;&gt;""),G5:J5),0)))</f>
        <v/>
      </c>
      <c r="L5" s="62">
        <f>IF(K5="","",IF(K5&gt;=1,"Completado",IF(K5&gt;0,"En curso","Pendiente")))</f>
        <v/>
      </c>
      <c r="M5" s="62">
        <f>IF(NOT((COUNTA($B5:$J5)+COUNTA($N5))&gt;0),"",IF(N($K5)&gt;=1,"Cumplida",IF(NOT(ISNUMBER($E5)),"Sin fecha límite",IF($E5&lt;FechaRef,"Vencida hace "&amp;(FechaRef-$E5)&amp;IF(FechaRef-$E5=1," día"," días"),IF($E5=FechaRef,"Vence hoy",IF($E5-FechaRef&lt;=DiasAlerta,"Vence en "&amp;($E5-FechaRef)&amp;IF($E5-FechaRef=1," día"," días"),"En plazo"))))))</f>
        <v/>
      </c>
      <c r="N5" s="64" t="n"/>
      <c r="O5" s="69">
        <f>IF(NOT((COUNTA($B5:$J5)+COUNTA($N5))&gt;0),"",IF((IF($C5="","Falta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",""))="","✔ OK","⚠ "&amp;LEFT(IF($C5="","Falta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",""),LEN(IF($C5="","Falta el nombre de la actividad"&amp;" · ","")&amp;IF(AND($S5="Sub",N($R5)=0),"Subactividad sin macroactividad arriba"&amp;" · ","")&amp;IF($D5="","Sin fecha de inicio"&amp;" · ","")&amp;IF($E5="","Sin fecha límite"&amp;" · ","")&amp;IF(OR(AND($D5&lt;&gt;"",NOT(ISNUMBER($D5))),AND($E5&lt;&gt;"",NOT(ISNUMBER($E5)))),"Fecha no válida"&amp;" · ","")&amp;IF(AND(ISNUMBER($D5),ISNUMBER($E5),$D5&gt;$E5),"Inicio posterior a fecha límite"&amp;" · ","")&amp;IF(AND($S5="Macro",$F5=""),"Peso vacío"&amp;" · ","")&amp;IF(AND($S5="Macro",$F5&lt;&gt;"",OR(NOT(ISNUMBER($F5)),$F5&lt;=0,$F5&gt;1)),"Peso fuera de rango"&amp;" · ","")&amp;IF(AND($S5="Sub",$F5&lt;&gt;"",OR(NOT(ISNUMBER($F5)),$F5&lt;0,$F5&gt;1)),"Peso fuera de rango"&amp;" · ","")&amp;IF(AND($S5="Sub",$F5="",IFERROR(N(INDEX($AG$5:$AG$1000,$R5-4)),0)&gt;0),"Falta el peso de la subactividad"&amp;" · ","")&amp;IF(AND(N($T5)&gt;0,N($AG5)&gt;0,ABS(N($AG5)-N($F5))&gt;0.0001),"Pesos de sus subactividades suman "&amp;TEXT(N($AG5),"0%")&amp;" (deben sumar "&amp;TEXT(N($F5),"0%")&amp;")"&amp;" · ","")&amp;IF(AND($S5="Macro",ABS(SUMIFS($F$5:$F$1000,$P$5:$P$1000,$P5,$S$5:$S$1000,"Macro")-1)&gt;0.0001),"Pesos del mes suman "&amp;TEXT(SUMIFS($F$5:$F$1000,$P$5:$P$1000,$P5,$S$5:$S$1000,"Macro"),"0%")&amp;" · ","")&amp;IF(AND(N($T5)&gt;0,COUNT($G5:$J5)&gt;0),"Con subactividades: deje vacías las semanas (se calculan solas)"&amp;" · ","")&amp;IF((COUNTIF($G5:$J5,"&gt;1")+COUNTIF($G5:$J5,"&lt;0")+COUNTA($G5:$J5)-COUNT($G5:$J5))&gt;0,"Avance fuera de rango 0-100%"&amp;" · ","")&amp;IF(OR(AND($H5&lt;&gt;"",$H5&lt;$G5),AND($I5&lt;&gt;"",$I5&lt;MAX($G5:$H5)),AND($J5&lt;&gt;"",$J5&lt;MAX($G5:$I5))),"Avance semanal decreciente"&amp;" · ","")&amp;IF(AND(ISNUMBER($E5),$E5&lt;FechaRef,N($K5)&lt;1),"Vencida"&amp;" · ","")&amp;IF(AND(ObsObligatoria="Sí",ISNUMBER($E5),$E5&lt;FechaRef,N($K5)&lt;1,$N5=""),"Vencida sin observación"&amp;" · ",""))-3)))</f>
        <v/>
      </c>
      <c r="P5" s="70">
        <f>IF(NOT((COUNTA($B5:$J5)+COUNTA($N5))&gt;0),"",IF(AND($S5="Sub",N($R5)&gt;0),IF(ISNUMBER(INDEX($D$5:$D$1000,$R5-4)),DATE(YEAR(INDEX($D$5:$D$1000,$R5-4)),MONTH(INDEX($D$5:$D$1000,$R5-4)),1),IF(ISNUMBER(INDEX($E$5:$E$1000,$R5-4)),DATE(YEAR(INDEX($E$5:$E$1000,$R5-4)),MONTH(INDEX($E$5:$E$1000,$R5-4)),1),MesCiclo)),IF(ISNUMBER($D5),DATE(YEAR($D5),MONTH($D5),1),IF(ISNUMBER($E5),DATE(YEAR($E5),MONTH($E5),1),MesCiclo))))</f>
        <v/>
      </c>
      <c r="Q5" s="71">
        <f>IF(OR($P5="",$P5&lt;&gt;MesCiclo),"",COUNTIF($P$5:$P5,MesCiclo))</f>
        <v/>
      </c>
      <c r="R5" s="71">
        <f>IF($S5="","",IF($S5="Macro",ROW(),IFERROR(LOOKUP(2,1/($S$5:$S5="Macro"),ROW($S$5:$S5)),0)))</f>
        <v/>
      </c>
      <c r="S5" s="71">
        <f>IF(NOT((COUNTA($B5:$J5)+COUNTA($N5))&gt;0),"",IF($B5="Subactividad","Sub","Macro"))</f>
        <v/>
      </c>
      <c r="T5" s="71">
        <f>IF($S5="Macro",COUNTIFS($R$5:$R$1000,ROW(),$S$5:$S$1000,"Sub"),"")</f>
        <v/>
      </c>
      <c r="U5" s="71">
        <f>IF($S5="","",IF(ISNUMBER($G5),$G5,0))</f>
        <v/>
      </c>
      <c r="V5" s="71">
        <f>IF($S5="","",IF(ISNUMBER($H5),$H5,$U5))</f>
        <v/>
      </c>
      <c r="W5" s="71">
        <f>IF($S5="","",IF(ISNUMBER($I5),$I5,$V5))</f>
        <v/>
      </c>
      <c r="X5" s="71">
        <f>IF($S5="","",IF(ISNUMBER($J5),$J5,$W5))</f>
        <v/>
      </c>
      <c r="Y5" s="71">
        <f>IF($S5="","",IF(N($T5)&gt;0,IF(N($AG5)&gt;0,SUMIFS($AC$5:$AC$1000,$R$5:$R$1000,ROW(),$S$5:$S$1000,"Sub")/$AG5,AVERAGEIFS($U$5:$U$1000,$R$5:$R$1000,ROW(),$S$5:$S$1000,"Sub")),$U5))</f>
        <v/>
      </c>
      <c r="Z5" s="71">
        <f>IF($S5="","",IF(N($T5)&gt;0,IF(N($AG5)&gt;0,SUMIFS($AD$5:$AD$1000,$R$5:$R$1000,ROW(),$S$5:$S$1000,"Sub")/$AG5,AVERAGEIFS($V$5:$V$1000,$R$5:$R$1000,ROW(),$S$5:$S$1000,"Sub")),$V5))</f>
        <v/>
      </c>
      <c r="AA5" s="71">
        <f>IF($S5="","",IF(N($T5)&gt;0,IF(N($AG5)&gt;0,SUMIFS($AE$5:$AE$1000,$R$5:$R$1000,ROW(),$S$5:$S$1000,"Sub")/$AG5,AVERAGEIFS($W$5:$W$1000,$R$5:$R$1000,ROW(),$S$5:$S$1000,"Sub")),$W5))</f>
        <v/>
      </c>
      <c r="AB5" s="71">
        <f>IF($S5="","",IF(N($T5)&gt;0,IF(N($AG5)&gt;0,SUMIFS($AF$5:$AF$1000,$R$5:$R$1000,ROW(),$S$5:$S$1000,"Sub")/$AG5,AVERAGEIFS($X$5:$X$1000,$R$5:$R$1000,ROW(),$S$5:$S$1000,"Sub")),$X5))</f>
        <v/>
      </c>
      <c r="AC5" s="71">
        <f>IF($S5="Sub",N($F5)*N($U5),"")</f>
        <v/>
      </c>
      <c r="AD5" s="71">
        <f>IF($S5="Sub",N($F5)*N($V5),"")</f>
        <v/>
      </c>
      <c r="AE5" s="71">
        <f>IF($S5="Sub",N($F5)*N($W5),"")</f>
        <v/>
      </c>
      <c r="AF5" s="71">
        <f>IF($S5="Sub",N($F5)*N($X5),"")</f>
        <v/>
      </c>
      <c r="AG5" s="71">
        <f>IF(N($T5)&gt;0,SUMIFS($F$5:$F$1000,$R$5:$R$1000,ROW(),$S$5:$S$1000,"Sub"),"")</f>
        <v/>
      </c>
    </row>
    <row r="6">
      <c r="A6" s="62">
        <f>IF(NOT((COUNTA($B6:$J6)+COUNTA($N6))&gt;0),"",IF($S6="Macro",COUNTIFS($S$5:$S6,"Macro",$P$5:$P6,$P6),IF(N($R6)=0,"?",COUNTIFS(INDEX($S$5:$S$1000,1):INDEX($S$5:$S$1000,$R6-4),"Macro",INDEX($P$5:$P$1000,1):INDEX($P$5:$P$1000,$R6-4),INDEX($P$5:$P$1000,$R6-4))&amp;"."&amp;COUNTIFS($R$5:$R6,$R6,$S$5:$S6,"Sub"))))</f>
        <v/>
      </c>
      <c r="B6" s="63" t="n"/>
      <c r="C6" s="64" t="n"/>
      <c r="D6" s="65" t="n"/>
      <c r="E6" s="65" t="n"/>
      <c r="F6" s="66" t="n"/>
      <c r="G6" s="67" t="n"/>
      <c r="H6" s="67" t="n"/>
      <c r="I6" s="67" t="n"/>
      <c r="J6" s="67" t="n"/>
      <c r="K6" s="68">
        <f>IF(NOT((COUNTA($B6:$J6)+COUNTA($N6))&gt;0),"",IF(N($T6)&gt;0,$AB6,IFERROR(LOOKUP(2,1/(G6:J6&lt;&gt;""),G6:J6),0)))</f>
        <v/>
      </c>
      <c r="L6" s="62">
        <f>IF(K6="","",IF(K6&gt;=1,"Completado",IF(K6&gt;0,"En curso","Pendiente")))</f>
        <v/>
      </c>
      <c r="M6" s="62">
        <f>IF(NOT((COUNTA($B6:$J6)+COUNTA($N6))&gt;0),"",IF(N($K6)&gt;=1,"Cumplida",IF(NOT(ISNUMBER($E6)),"Sin fecha límite",IF($E6&lt;FechaRef,"Vencida hace "&amp;(FechaRef-$E6)&amp;IF(FechaRef-$E6=1," día"," días"),IF($E6=FechaRef,"Vence hoy",IF($E6-FechaRef&lt;=DiasAlerta,"Vence en "&amp;($E6-FechaRef)&amp;IF($E6-FechaRef=1," día"," días"),"En plazo"))))))</f>
        <v/>
      </c>
      <c r="N6" s="64" t="n"/>
      <c r="O6" s="69">
        <f>IF(NOT((COUNTA($B6:$J6)+COUNTA($N6))&gt;0),"",IF((IF($C6="","Falta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",""))="","✔ OK","⚠ "&amp;LEFT(IF($C6="","Falta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",""),LEN(IF($C6="","Falta el nombre de la actividad"&amp;" · ","")&amp;IF(AND($S6="Sub",N($R6)=0),"Subactividad sin macroactividad arriba"&amp;" · ","")&amp;IF($D6="","Sin fecha de inicio"&amp;" · ","")&amp;IF($E6="","Sin fecha límite"&amp;" · ","")&amp;IF(OR(AND($D6&lt;&gt;"",NOT(ISNUMBER($D6))),AND($E6&lt;&gt;"",NOT(ISNUMBER($E6)))),"Fecha no válida"&amp;" · ","")&amp;IF(AND(ISNUMBER($D6),ISNUMBER($E6),$D6&gt;$E6),"Inicio posterior a fecha límite"&amp;" · ","")&amp;IF(AND($S6="Macro",$F6=""),"Peso vacío"&amp;" · ","")&amp;IF(AND($S6="Macro",$F6&lt;&gt;"",OR(NOT(ISNUMBER($F6)),$F6&lt;=0,$F6&gt;1)),"Peso fuera de rango"&amp;" · ","")&amp;IF(AND($S6="Sub",$F6&lt;&gt;"",OR(NOT(ISNUMBER($F6)),$F6&lt;0,$F6&gt;1)),"Peso fuera de rango"&amp;" · ","")&amp;IF(AND($S6="Sub",$F6="",IFERROR(N(INDEX($AG$5:$AG$1000,$R6-4)),0)&gt;0),"Falta el peso de la subactividad"&amp;" · ","")&amp;IF(AND(N($T6)&gt;0,N($AG6)&gt;0,ABS(N($AG6)-N($F6))&gt;0.0001),"Pesos de sus subactividades suman "&amp;TEXT(N($AG6),"0%")&amp;" (deben sumar "&amp;TEXT(N($F6),"0%")&amp;")"&amp;" · ","")&amp;IF(AND($S6="Macro",ABS(SUMIFS($F$5:$F$1000,$P$5:$P$1000,$P6,$S$5:$S$1000,"Macro")-1)&gt;0.0001),"Pesos del mes suman "&amp;TEXT(SUMIFS($F$5:$F$1000,$P$5:$P$1000,$P6,$S$5:$S$1000,"Macro"),"0%")&amp;" · ","")&amp;IF(AND(N($T6)&gt;0,COUNT($G6:$J6)&gt;0),"Con subactividades: deje vacías las semanas (se calculan solas)"&amp;" · ","")&amp;IF((COUNTIF($G6:$J6,"&gt;1")+COUNTIF($G6:$J6,"&lt;0")+COUNTA($G6:$J6)-COUNT($G6:$J6))&gt;0,"Avance fuera de rango 0-100%"&amp;" · ","")&amp;IF(OR(AND($H6&lt;&gt;"",$H6&lt;$G6),AND($I6&lt;&gt;"",$I6&lt;MAX($G6:$H6)),AND($J6&lt;&gt;"",$J6&lt;MAX($G6:$I6))),"Avance semanal decreciente"&amp;" · ","")&amp;IF(AND(ISNUMBER($E6),$E6&lt;FechaRef,N($K6)&lt;1),"Vencida"&amp;" · ","")&amp;IF(AND(ObsObligatoria="Sí",ISNUMBER($E6),$E6&lt;FechaRef,N($K6)&lt;1,$N6=""),"Vencida sin observación"&amp;" · ",""))-3)))</f>
        <v/>
      </c>
      <c r="P6" s="70">
        <f>IF(NOT((COUNTA($B6:$J6)+COUNTA($N6))&gt;0),"",IF(AND($S6="Sub",N($R6)&gt;0),IF(ISNUMBER(INDEX($D$5:$D$1000,$R6-4)),DATE(YEAR(INDEX($D$5:$D$1000,$R6-4)),MONTH(INDEX($D$5:$D$1000,$R6-4)),1),IF(ISNUMBER(INDEX($E$5:$E$1000,$R6-4)),DATE(YEAR(INDEX($E$5:$E$1000,$R6-4)),MONTH(INDEX($E$5:$E$1000,$R6-4)),1),MesCiclo)),IF(ISNUMBER($D6),DATE(YEAR($D6),MONTH($D6),1),IF(ISNUMBER($E6),DATE(YEAR($E6),MONTH($E6),1),MesCiclo))))</f>
        <v/>
      </c>
      <c r="Q6" s="71">
        <f>IF(OR($P6="",$P6&lt;&gt;MesCiclo),"",COUNTIF($P$5:$P6,MesCiclo))</f>
        <v/>
      </c>
      <c r="R6" s="71">
        <f>IF($S6="","",IF($S6="Macro",ROW(),IFERROR(LOOKUP(2,1/($S$5:$S6="Macro"),ROW($S$5:$S6)),0)))</f>
        <v/>
      </c>
      <c r="S6" s="71">
        <f>IF(NOT((COUNTA($B6:$J6)+COUNTA($N6))&gt;0),"",IF($B6="Subactividad","Sub","Macro"))</f>
        <v/>
      </c>
      <c r="T6" s="71">
        <f>IF($S6="Macro",COUNTIFS($R$5:$R$1000,ROW(),$S$5:$S$1000,"Sub"),"")</f>
        <v/>
      </c>
      <c r="U6" s="71">
        <f>IF($S6="","",IF(ISNUMBER($G6),$G6,0))</f>
        <v/>
      </c>
      <c r="V6" s="71">
        <f>IF($S6="","",IF(ISNUMBER($H6),$H6,$U6))</f>
        <v/>
      </c>
      <c r="W6" s="71">
        <f>IF($S6="","",IF(ISNUMBER($I6),$I6,$V6))</f>
        <v/>
      </c>
      <c r="X6" s="71">
        <f>IF($S6="","",IF(ISNUMBER($J6),$J6,$W6))</f>
        <v/>
      </c>
      <c r="Y6" s="71">
        <f>IF($S6="","",IF(N($T6)&gt;0,IF(N($AG6)&gt;0,SUMIFS($AC$5:$AC$1000,$R$5:$R$1000,ROW(),$S$5:$S$1000,"Sub")/$AG6,AVERAGEIFS($U$5:$U$1000,$R$5:$R$1000,ROW(),$S$5:$S$1000,"Sub")),$U6))</f>
        <v/>
      </c>
      <c r="Z6" s="71">
        <f>IF($S6="","",IF(N($T6)&gt;0,IF(N($AG6)&gt;0,SUMIFS($AD$5:$AD$1000,$R$5:$R$1000,ROW(),$S$5:$S$1000,"Sub")/$AG6,AVERAGEIFS($V$5:$V$1000,$R$5:$R$1000,ROW(),$S$5:$S$1000,"Sub")),$V6))</f>
        <v/>
      </c>
      <c r="AA6" s="71">
        <f>IF($S6="","",IF(N($T6)&gt;0,IF(N($AG6)&gt;0,SUMIFS($AE$5:$AE$1000,$R$5:$R$1000,ROW(),$S$5:$S$1000,"Sub")/$AG6,AVERAGEIFS($W$5:$W$1000,$R$5:$R$1000,ROW(),$S$5:$S$1000,"Sub")),$W6))</f>
        <v/>
      </c>
      <c r="AB6" s="71">
        <f>IF($S6="","",IF(N($T6)&gt;0,IF(N($AG6)&gt;0,SUMIFS($AF$5:$AF$1000,$R$5:$R$1000,ROW(),$S$5:$S$1000,"Sub")/$AG6,AVERAGEIFS($X$5:$X$1000,$R$5:$R$1000,ROW(),$S$5:$S$1000,"Sub")),$X6))</f>
        <v/>
      </c>
      <c r="AC6" s="71">
        <f>IF($S6="Sub",N($F6)*N($U6),"")</f>
        <v/>
      </c>
      <c r="AD6" s="71">
        <f>IF($S6="Sub",N($F6)*N($V6),"")</f>
        <v/>
      </c>
      <c r="AE6" s="71">
        <f>IF($S6="Sub",N($F6)*N($W6),"")</f>
        <v/>
      </c>
      <c r="AF6" s="71">
        <f>IF($S6="Sub",N($F6)*N($X6),"")</f>
        <v/>
      </c>
      <c r="AG6" s="71">
        <f>IF(N($T6)&gt;0,SUMIFS($F$5:$F$1000,$R$5:$R$1000,ROW(),$S$5:$S$1000,"Sub"),"")</f>
        <v/>
      </c>
    </row>
    <row r="7">
      <c r="A7" s="62">
        <f>IF(NOT((COUNTA($B7:$J7)+COUNTA($N7))&gt;0),"",IF($S7="Macro",COUNTIFS($S$5:$S7,"Macro",$P$5:$P7,$P7),IF(N($R7)=0,"?",COUNTIFS(INDEX($S$5:$S$1000,1):INDEX($S$5:$S$1000,$R7-4),"Macro",INDEX($P$5:$P$1000,1):INDEX($P$5:$P$1000,$R7-4),INDEX($P$5:$P$1000,$R7-4))&amp;"."&amp;COUNTIFS($R$5:$R7,$R7,$S$5:$S7,"Sub"))))</f>
        <v/>
      </c>
      <c r="B7" s="63" t="n"/>
      <c r="C7" s="64" t="n"/>
      <c r="D7" s="65" t="n"/>
      <c r="E7" s="65" t="n"/>
      <c r="F7" s="66" t="n"/>
      <c r="G7" s="67" t="n"/>
      <c r="H7" s="67" t="n"/>
      <c r="I7" s="67" t="n"/>
      <c r="J7" s="67" t="n"/>
      <c r="K7" s="68">
        <f>IF(NOT((COUNTA($B7:$J7)+COUNTA($N7))&gt;0),"",IF(N($T7)&gt;0,$AB7,IFERROR(LOOKUP(2,1/(G7:J7&lt;&gt;""),G7:J7),0)))</f>
        <v/>
      </c>
      <c r="L7" s="62">
        <f>IF(K7="","",IF(K7&gt;=1,"Completado",IF(K7&gt;0,"En curso","Pendiente")))</f>
        <v/>
      </c>
      <c r="M7" s="62">
        <f>IF(NOT((COUNTA($B7:$J7)+COUNTA($N7))&gt;0),"",IF(N($K7)&gt;=1,"Cumplida",IF(NOT(ISNUMBER($E7)),"Sin fecha límite",IF($E7&lt;FechaRef,"Vencida hace "&amp;(FechaRef-$E7)&amp;IF(FechaRef-$E7=1," día"," días"),IF($E7=FechaRef,"Vence hoy",IF($E7-FechaRef&lt;=DiasAlerta,"Vence en "&amp;($E7-FechaRef)&amp;IF($E7-FechaRef=1," día"," días"),"En plazo"))))))</f>
        <v/>
      </c>
      <c r="N7" s="64" t="n"/>
      <c r="O7" s="69">
        <f>IF(NOT((COUNTA($B7:$J7)+COUNTA($N7))&gt;0),"",IF((IF($C7="","Falta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",""))="","✔ OK","⚠ "&amp;LEFT(IF($C7="","Falta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",""),LEN(IF($C7="","Falta el nombre de la actividad"&amp;" · ","")&amp;IF(AND($S7="Sub",N($R7)=0),"Subactividad sin macroactividad arriba"&amp;" · ","")&amp;IF($D7="","Sin fecha de inicio"&amp;" · ","")&amp;IF($E7="","Sin fecha límite"&amp;" · ","")&amp;IF(OR(AND($D7&lt;&gt;"",NOT(ISNUMBER($D7))),AND($E7&lt;&gt;"",NOT(ISNUMBER($E7)))),"Fecha no válida"&amp;" · ","")&amp;IF(AND(ISNUMBER($D7),ISNUMBER($E7),$D7&gt;$E7),"Inicio posterior a fecha límite"&amp;" · ","")&amp;IF(AND($S7="Macro",$F7=""),"Peso vacío"&amp;" · ","")&amp;IF(AND($S7="Macro",$F7&lt;&gt;"",OR(NOT(ISNUMBER($F7)),$F7&lt;=0,$F7&gt;1)),"Peso fuera de rango"&amp;" · ","")&amp;IF(AND($S7="Sub",$F7&lt;&gt;"",OR(NOT(ISNUMBER($F7)),$F7&lt;0,$F7&gt;1)),"Peso fuera de rango"&amp;" · ","")&amp;IF(AND($S7="Sub",$F7="",IFERROR(N(INDEX($AG$5:$AG$1000,$R7-4)),0)&gt;0),"Falta el peso de la subactividad"&amp;" · ","")&amp;IF(AND(N($T7)&gt;0,N($AG7)&gt;0,ABS(N($AG7)-N($F7))&gt;0.0001),"Pesos de sus subactividades suman "&amp;TEXT(N($AG7),"0%")&amp;" (deben sumar "&amp;TEXT(N($F7),"0%")&amp;")"&amp;" · ","")&amp;IF(AND($S7="Macro",ABS(SUMIFS($F$5:$F$1000,$P$5:$P$1000,$P7,$S$5:$S$1000,"Macro")-1)&gt;0.0001),"Pesos del mes suman "&amp;TEXT(SUMIFS($F$5:$F$1000,$P$5:$P$1000,$P7,$S$5:$S$1000,"Macro"),"0%")&amp;" · ","")&amp;IF(AND(N($T7)&gt;0,COUNT($G7:$J7)&gt;0),"Con subactividades: deje vacías las semanas (se calculan solas)"&amp;" · ","")&amp;IF((COUNTIF($G7:$J7,"&gt;1")+COUNTIF($G7:$J7,"&lt;0")+COUNTA($G7:$J7)-COUNT($G7:$J7))&gt;0,"Avance fuera de rango 0-100%"&amp;" · ","")&amp;IF(OR(AND($H7&lt;&gt;"",$H7&lt;$G7),AND($I7&lt;&gt;"",$I7&lt;MAX($G7:$H7)),AND($J7&lt;&gt;"",$J7&lt;MAX($G7:$I7))),"Avance semanal decreciente"&amp;" · ","")&amp;IF(AND(ISNUMBER($E7),$E7&lt;FechaRef,N($K7)&lt;1),"Vencida"&amp;" · ","")&amp;IF(AND(ObsObligatoria="Sí",ISNUMBER($E7),$E7&lt;FechaRef,N($K7)&lt;1,$N7=""),"Vencida sin observación"&amp;" · ",""))-3)))</f>
        <v/>
      </c>
      <c r="P7" s="70">
        <f>IF(NOT((COUNTA($B7:$J7)+COUNTA($N7))&gt;0),"",IF(AND($S7="Sub",N($R7)&gt;0),IF(ISNUMBER(INDEX($D$5:$D$1000,$R7-4)),DATE(YEAR(INDEX($D$5:$D$1000,$R7-4)),MONTH(INDEX($D$5:$D$1000,$R7-4)),1),IF(ISNUMBER(INDEX($E$5:$E$1000,$R7-4)),DATE(YEAR(INDEX($E$5:$E$1000,$R7-4)),MONTH(INDEX($E$5:$E$1000,$R7-4)),1),MesCiclo)),IF(ISNUMBER($D7),DATE(YEAR($D7),MONTH($D7),1),IF(ISNUMBER($E7),DATE(YEAR($E7),MONTH($E7),1),MesCiclo))))</f>
        <v/>
      </c>
      <c r="Q7" s="71">
        <f>IF(OR($P7="",$P7&lt;&gt;MesCiclo),"",COUNTIF($P$5:$P7,MesCiclo))</f>
        <v/>
      </c>
      <c r="R7" s="71">
        <f>IF($S7="","",IF($S7="Macro",ROW(),IFERROR(LOOKUP(2,1/($S$5:$S7="Macro"),ROW($S$5:$S7)),0)))</f>
        <v/>
      </c>
      <c r="S7" s="71">
        <f>IF(NOT((COUNTA($B7:$J7)+COUNTA($N7))&gt;0),"",IF($B7="Subactividad","Sub","Macro"))</f>
        <v/>
      </c>
      <c r="T7" s="71">
        <f>IF($S7="Macro",COUNTIFS($R$5:$R$1000,ROW(),$S$5:$S$1000,"Sub"),"")</f>
        <v/>
      </c>
      <c r="U7" s="71">
        <f>IF($S7="","",IF(ISNUMBER($G7),$G7,0))</f>
        <v/>
      </c>
      <c r="V7" s="71">
        <f>IF($S7="","",IF(ISNUMBER($H7),$H7,$U7))</f>
        <v/>
      </c>
      <c r="W7" s="71">
        <f>IF($S7="","",IF(ISNUMBER($I7),$I7,$V7))</f>
        <v/>
      </c>
      <c r="X7" s="71">
        <f>IF($S7="","",IF(ISNUMBER($J7),$J7,$W7))</f>
        <v/>
      </c>
      <c r="Y7" s="71">
        <f>IF($S7="","",IF(N($T7)&gt;0,IF(N($AG7)&gt;0,SUMIFS($AC$5:$AC$1000,$R$5:$R$1000,ROW(),$S$5:$S$1000,"Sub")/$AG7,AVERAGEIFS($U$5:$U$1000,$R$5:$R$1000,ROW(),$S$5:$S$1000,"Sub")),$U7))</f>
        <v/>
      </c>
      <c r="Z7" s="71">
        <f>IF($S7="","",IF(N($T7)&gt;0,IF(N($AG7)&gt;0,SUMIFS($AD$5:$AD$1000,$R$5:$R$1000,ROW(),$S$5:$S$1000,"Sub")/$AG7,AVERAGEIFS($V$5:$V$1000,$R$5:$R$1000,ROW(),$S$5:$S$1000,"Sub")),$V7))</f>
        <v/>
      </c>
      <c r="AA7" s="71">
        <f>IF($S7="","",IF(N($T7)&gt;0,IF(N($AG7)&gt;0,SUMIFS($AE$5:$AE$1000,$R$5:$R$1000,ROW(),$S$5:$S$1000,"Sub")/$AG7,AVERAGEIFS($W$5:$W$1000,$R$5:$R$1000,ROW(),$S$5:$S$1000,"Sub")),$W7))</f>
        <v/>
      </c>
      <c r="AB7" s="71">
        <f>IF($S7="","",IF(N($T7)&gt;0,IF(N($AG7)&gt;0,SUMIFS($AF$5:$AF$1000,$R$5:$R$1000,ROW(),$S$5:$S$1000,"Sub")/$AG7,AVERAGEIFS($X$5:$X$1000,$R$5:$R$1000,ROW(),$S$5:$S$1000,"Sub")),$X7))</f>
        <v/>
      </c>
      <c r="AC7" s="71">
        <f>IF($S7="Sub",N($F7)*N($U7),"")</f>
        <v/>
      </c>
      <c r="AD7" s="71">
        <f>IF($S7="Sub",N($F7)*N($V7),"")</f>
        <v/>
      </c>
      <c r="AE7" s="71">
        <f>IF($S7="Sub",N($F7)*N($W7),"")</f>
        <v/>
      </c>
      <c r="AF7" s="71">
        <f>IF($S7="Sub",N($F7)*N($X7),"")</f>
        <v/>
      </c>
      <c r="AG7" s="71">
        <f>IF(N($T7)&gt;0,SUMIFS($F$5:$F$1000,$R$5:$R$1000,ROW(),$S$5:$S$1000,"Sub"),"")</f>
        <v/>
      </c>
    </row>
    <row r="8">
      <c r="A8" s="62">
        <f>IF(NOT((COUNTA($B8:$J8)+COUNTA($N8))&gt;0),"",IF($S8="Macro",COUNTIFS($S$5:$S8,"Macro",$P$5:$P8,$P8),IF(N($R8)=0,"?",COUNTIFS(INDEX($S$5:$S$1000,1):INDEX($S$5:$S$1000,$R8-4),"Macro",INDEX($P$5:$P$1000,1):INDEX($P$5:$P$1000,$R8-4),INDEX($P$5:$P$1000,$R8-4))&amp;"."&amp;COUNTIFS($R$5:$R8,$R8,$S$5:$S8,"Sub"))))</f>
        <v/>
      </c>
      <c r="B8" s="63" t="n"/>
      <c r="C8" s="64" t="n"/>
      <c r="D8" s="65" t="n"/>
      <c r="E8" s="65" t="n"/>
      <c r="F8" s="66" t="n"/>
      <c r="G8" s="67" t="n"/>
      <c r="H8" s="67" t="n"/>
      <c r="I8" s="67" t="n"/>
      <c r="J8" s="67" t="n"/>
      <c r="K8" s="68">
        <f>IF(NOT((COUNTA($B8:$J8)+COUNTA($N8))&gt;0),"",IF(N($T8)&gt;0,$AB8,IFERROR(LOOKUP(2,1/(G8:J8&lt;&gt;""),G8:J8),0)))</f>
        <v/>
      </c>
      <c r="L8" s="62">
        <f>IF(K8="","",IF(K8&gt;=1,"Completado",IF(K8&gt;0,"En curso","Pendiente")))</f>
        <v/>
      </c>
      <c r="M8" s="62">
        <f>IF(NOT((COUNTA($B8:$J8)+COUNTA($N8))&gt;0),"",IF(N($K8)&gt;=1,"Cumplida",IF(NOT(ISNUMBER($E8)),"Sin fecha límite",IF($E8&lt;FechaRef,"Vencida hace "&amp;(FechaRef-$E8)&amp;IF(FechaRef-$E8=1," día"," días"),IF($E8=FechaRef,"Vence hoy",IF($E8-FechaRef&lt;=DiasAlerta,"Vence en "&amp;($E8-FechaRef)&amp;IF($E8-FechaRef=1," día"," días"),"En plazo"))))))</f>
        <v/>
      </c>
      <c r="N8" s="64" t="n"/>
      <c r="O8" s="69">
        <f>IF(NOT((COUNTA($B8:$J8)+COUNTA($N8))&gt;0),"",IF((IF($C8="","Falta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",""))="","✔ OK","⚠ "&amp;LEFT(IF($C8="","Falta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",""),LEN(IF($C8="","Falta el nombre de la actividad"&amp;" · ","")&amp;IF(AND($S8="Sub",N($R8)=0),"Subactividad sin macroactividad arriba"&amp;" · ","")&amp;IF($D8="","Sin fecha de inicio"&amp;" · ","")&amp;IF($E8="","Sin fecha límite"&amp;" · ","")&amp;IF(OR(AND($D8&lt;&gt;"",NOT(ISNUMBER($D8))),AND($E8&lt;&gt;"",NOT(ISNUMBER($E8)))),"Fecha no válida"&amp;" · ","")&amp;IF(AND(ISNUMBER($D8),ISNUMBER($E8),$D8&gt;$E8),"Inicio posterior a fecha límite"&amp;" · ","")&amp;IF(AND($S8="Macro",$F8=""),"Peso vacío"&amp;" · ","")&amp;IF(AND($S8="Macro",$F8&lt;&gt;"",OR(NOT(ISNUMBER($F8)),$F8&lt;=0,$F8&gt;1)),"Peso fuera de rango"&amp;" · ","")&amp;IF(AND($S8="Sub",$F8&lt;&gt;"",OR(NOT(ISNUMBER($F8)),$F8&lt;0,$F8&gt;1)),"Peso fuera de rango"&amp;" · ","")&amp;IF(AND($S8="Sub",$F8="",IFERROR(N(INDEX($AG$5:$AG$1000,$R8-4)),0)&gt;0),"Falta el peso de la subactividad"&amp;" · ","")&amp;IF(AND(N($T8)&gt;0,N($AG8)&gt;0,ABS(N($AG8)-N($F8))&gt;0.0001),"Pesos de sus subactividades suman "&amp;TEXT(N($AG8),"0%")&amp;" (deben sumar "&amp;TEXT(N($F8),"0%")&amp;")"&amp;" · ","")&amp;IF(AND($S8="Macro",ABS(SUMIFS($F$5:$F$1000,$P$5:$P$1000,$P8,$S$5:$S$1000,"Macro")-1)&gt;0.0001),"Pesos del mes suman "&amp;TEXT(SUMIFS($F$5:$F$1000,$P$5:$P$1000,$P8,$S$5:$S$1000,"Macro"),"0%")&amp;" · ","")&amp;IF(AND(N($T8)&gt;0,COUNT($G8:$J8)&gt;0),"Con subactividades: deje vacías las semanas (se calculan solas)"&amp;" · ","")&amp;IF((COUNTIF($G8:$J8,"&gt;1")+COUNTIF($G8:$J8,"&lt;0")+COUNTA($G8:$J8)-COUNT($G8:$J8))&gt;0,"Avance fuera de rango 0-100%"&amp;" · ","")&amp;IF(OR(AND($H8&lt;&gt;"",$H8&lt;$G8),AND($I8&lt;&gt;"",$I8&lt;MAX($G8:$H8)),AND($J8&lt;&gt;"",$J8&lt;MAX($G8:$I8))),"Avance semanal decreciente"&amp;" · ","")&amp;IF(AND(ISNUMBER($E8),$E8&lt;FechaRef,N($K8)&lt;1),"Vencida"&amp;" · ","")&amp;IF(AND(ObsObligatoria="Sí",ISNUMBER($E8),$E8&lt;FechaRef,N($K8)&lt;1,$N8=""),"Vencida sin observación"&amp;" · ",""))-3)))</f>
        <v/>
      </c>
      <c r="P8" s="70">
        <f>IF(NOT((COUNTA($B8:$J8)+COUNTA($N8))&gt;0),"",IF(AND($S8="Sub",N($R8)&gt;0),IF(ISNUMBER(INDEX($D$5:$D$1000,$R8-4)),DATE(YEAR(INDEX($D$5:$D$1000,$R8-4)),MONTH(INDEX($D$5:$D$1000,$R8-4)),1),IF(ISNUMBER(INDEX($E$5:$E$1000,$R8-4)),DATE(YEAR(INDEX($E$5:$E$1000,$R8-4)),MONTH(INDEX($E$5:$E$1000,$R8-4)),1),MesCiclo)),IF(ISNUMBER($D8),DATE(YEAR($D8),MONTH($D8),1),IF(ISNUMBER($E8),DATE(YEAR($E8),MONTH($E8),1),MesCiclo))))</f>
        <v/>
      </c>
      <c r="Q8" s="71">
        <f>IF(OR($P8="",$P8&lt;&gt;MesCiclo),"",COUNTIF($P$5:$P8,MesCiclo))</f>
        <v/>
      </c>
      <c r="R8" s="71">
        <f>IF($S8="","",IF($S8="Macro",ROW(),IFERROR(LOOKUP(2,1/($S$5:$S8="Macro"),ROW($S$5:$S8)),0)))</f>
        <v/>
      </c>
      <c r="S8" s="71">
        <f>IF(NOT((COUNTA($B8:$J8)+COUNTA($N8))&gt;0),"",IF($B8="Subactividad","Sub","Macro"))</f>
        <v/>
      </c>
      <c r="T8" s="71">
        <f>IF($S8="Macro",COUNTIFS($R$5:$R$1000,ROW(),$S$5:$S$1000,"Sub"),"")</f>
        <v/>
      </c>
      <c r="U8" s="71">
        <f>IF($S8="","",IF(ISNUMBER($G8),$G8,0))</f>
        <v/>
      </c>
      <c r="V8" s="71">
        <f>IF($S8="","",IF(ISNUMBER($H8),$H8,$U8))</f>
        <v/>
      </c>
      <c r="W8" s="71">
        <f>IF($S8="","",IF(ISNUMBER($I8),$I8,$V8))</f>
        <v/>
      </c>
      <c r="X8" s="71">
        <f>IF($S8="","",IF(ISNUMBER($J8),$J8,$W8))</f>
        <v/>
      </c>
      <c r="Y8" s="71">
        <f>IF($S8="","",IF(N($T8)&gt;0,IF(N($AG8)&gt;0,SUMIFS($AC$5:$AC$1000,$R$5:$R$1000,ROW(),$S$5:$S$1000,"Sub")/$AG8,AVERAGEIFS($U$5:$U$1000,$R$5:$R$1000,ROW(),$S$5:$S$1000,"Sub")),$U8))</f>
        <v/>
      </c>
      <c r="Z8" s="71">
        <f>IF($S8="","",IF(N($T8)&gt;0,IF(N($AG8)&gt;0,SUMIFS($AD$5:$AD$1000,$R$5:$R$1000,ROW(),$S$5:$S$1000,"Sub")/$AG8,AVERAGEIFS($V$5:$V$1000,$R$5:$R$1000,ROW(),$S$5:$S$1000,"Sub")),$V8))</f>
        <v/>
      </c>
      <c r="AA8" s="71">
        <f>IF($S8="","",IF(N($T8)&gt;0,IF(N($AG8)&gt;0,SUMIFS($AE$5:$AE$1000,$R$5:$R$1000,ROW(),$S$5:$S$1000,"Sub")/$AG8,AVERAGEIFS($W$5:$W$1000,$R$5:$R$1000,ROW(),$S$5:$S$1000,"Sub")),$W8))</f>
        <v/>
      </c>
      <c r="AB8" s="71">
        <f>IF($S8="","",IF(N($T8)&gt;0,IF(N($AG8)&gt;0,SUMIFS($AF$5:$AF$1000,$R$5:$R$1000,ROW(),$S$5:$S$1000,"Sub")/$AG8,AVERAGEIFS($X$5:$X$1000,$R$5:$R$1000,ROW(),$S$5:$S$1000,"Sub")),$X8))</f>
        <v/>
      </c>
      <c r="AC8" s="71">
        <f>IF($S8="Sub",N($F8)*N($U8),"")</f>
        <v/>
      </c>
      <c r="AD8" s="71">
        <f>IF($S8="Sub",N($F8)*N($V8),"")</f>
        <v/>
      </c>
      <c r="AE8" s="71">
        <f>IF($S8="Sub",N($F8)*N($W8),"")</f>
        <v/>
      </c>
      <c r="AF8" s="71">
        <f>IF($S8="Sub",N($F8)*N($X8),"")</f>
        <v/>
      </c>
      <c r="AG8" s="71">
        <f>IF(N($T8)&gt;0,SUMIFS($F$5:$F$1000,$R$5:$R$1000,ROW(),$S$5:$S$1000,"Sub"),"")</f>
        <v/>
      </c>
    </row>
    <row r="9">
      <c r="A9" s="62">
        <f>IF(NOT((COUNTA($B9:$J9)+COUNTA($N9))&gt;0),"",IF($S9="Macro",COUNTIFS($S$5:$S9,"Macro",$P$5:$P9,$P9),IF(N($R9)=0,"?",COUNTIFS(INDEX($S$5:$S$1000,1):INDEX($S$5:$S$1000,$R9-4),"Macro",INDEX($P$5:$P$1000,1):INDEX($P$5:$P$1000,$R9-4),INDEX($P$5:$P$1000,$R9-4))&amp;"."&amp;COUNTIFS($R$5:$R9,$R9,$S$5:$S9,"Sub"))))</f>
        <v/>
      </c>
      <c r="B9" s="63" t="n"/>
      <c r="C9" s="64" t="n"/>
      <c r="D9" s="65" t="n"/>
      <c r="E9" s="65" t="n"/>
      <c r="F9" s="66" t="n"/>
      <c r="G9" s="67" t="n"/>
      <c r="H9" s="67" t="n"/>
      <c r="I9" s="67" t="n"/>
      <c r="J9" s="67" t="n"/>
      <c r="K9" s="68">
        <f>IF(NOT((COUNTA($B9:$J9)+COUNTA($N9))&gt;0),"",IF(N($T9)&gt;0,$AB9,IFERROR(LOOKUP(2,1/(G9:J9&lt;&gt;""),G9:J9),0)))</f>
        <v/>
      </c>
      <c r="L9" s="62">
        <f>IF(K9="","",IF(K9&gt;=1,"Completado",IF(K9&gt;0,"En curso","Pendiente")))</f>
        <v/>
      </c>
      <c r="M9" s="62">
        <f>IF(NOT((COUNTA($B9:$J9)+COUNTA($N9))&gt;0),"",IF(N($K9)&gt;=1,"Cumplida",IF(NOT(ISNUMBER($E9)),"Sin fecha límite",IF($E9&lt;FechaRef,"Vencida hace "&amp;(FechaRef-$E9)&amp;IF(FechaRef-$E9=1," día"," días"),IF($E9=FechaRef,"Vence hoy",IF($E9-FechaRef&lt;=DiasAlerta,"Vence en "&amp;($E9-FechaRef)&amp;IF($E9-FechaRef=1," día"," días"),"En plazo"))))))</f>
        <v/>
      </c>
      <c r="N9" s="64" t="n"/>
      <c r="O9" s="69">
        <f>IF(NOT((COUNTA($B9:$J9)+COUNTA($N9))&gt;0),"",IF((IF($C9="","Falta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",""))="","✔ OK","⚠ "&amp;LEFT(IF($C9="","Falta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",""),LEN(IF($C9="","Falta el nombre de la actividad"&amp;" · ","")&amp;IF(AND($S9="Sub",N($R9)=0),"Subactividad sin macroactividad arriba"&amp;" · ","")&amp;IF($D9="","Sin fecha de inicio"&amp;" · ","")&amp;IF($E9="","Sin fecha límite"&amp;" · ","")&amp;IF(OR(AND($D9&lt;&gt;"",NOT(ISNUMBER($D9))),AND($E9&lt;&gt;"",NOT(ISNUMBER($E9)))),"Fecha no válida"&amp;" · ","")&amp;IF(AND(ISNUMBER($D9),ISNUMBER($E9),$D9&gt;$E9),"Inicio posterior a fecha límite"&amp;" · ","")&amp;IF(AND($S9="Macro",$F9=""),"Peso vacío"&amp;" · ","")&amp;IF(AND($S9="Macro",$F9&lt;&gt;"",OR(NOT(ISNUMBER($F9)),$F9&lt;=0,$F9&gt;1)),"Peso fuera de rango"&amp;" · ","")&amp;IF(AND($S9="Sub",$F9&lt;&gt;"",OR(NOT(ISNUMBER($F9)),$F9&lt;0,$F9&gt;1)),"Peso fuera de rango"&amp;" · ","")&amp;IF(AND($S9="Sub",$F9="",IFERROR(N(INDEX($AG$5:$AG$1000,$R9-4)),0)&gt;0),"Falta el peso de la subactividad"&amp;" · ","")&amp;IF(AND(N($T9)&gt;0,N($AG9)&gt;0,ABS(N($AG9)-N($F9))&gt;0.0001),"Pesos de sus subactividades suman "&amp;TEXT(N($AG9),"0%")&amp;" (deben sumar "&amp;TEXT(N($F9),"0%")&amp;")"&amp;" · ","")&amp;IF(AND($S9="Macro",ABS(SUMIFS($F$5:$F$1000,$P$5:$P$1000,$P9,$S$5:$S$1000,"Macro")-1)&gt;0.0001),"Pesos del mes suman "&amp;TEXT(SUMIFS($F$5:$F$1000,$P$5:$P$1000,$P9,$S$5:$S$1000,"Macro"),"0%")&amp;" · ","")&amp;IF(AND(N($T9)&gt;0,COUNT($G9:$J9)&gt;0),"Con subactividades: deje vacías las semanas (se calculan solas)"&amp;" · ","")&amp;IF((COUNTIF($G9:$J9,"&gt;1")+COUNTIF($G9:$J9,"&lt;0")+COUNTA($G9:$J9)-COUNT($G9:$J9))&gt;0,"Avance fuera de rango 0-100%"&amp;" · ","")&amp;IF(OR(AND($H9&lt;&gt;"",$H9&lt;$G9),AND($I9&lt;&gt;"",$I9&lt;MAX($G9:$H9)),AND($J9&lt;&gt;"",$J9&lt;MAX($G9:$I9))),"Avance semanal decreciente"&amp;" · ","")&amp;IF(AND(ISNUMBER($E9),$E9&lt;FechaRef,N($K9)&lt;1),"Vencida"&amp;" · ","")&amp;IF(AND(ObsObligatoria="Sí",ISNUMBER($E9),$E9&lt;FechaRef,N($K9)&lt;1,$N9=""),"Vencida sin observación"&amp;" · ",""))-3)))</f>
        <v/>
      </c>
      <c r="P9" s="70">
        <f>IF(NOT((COUNTA($B9:$J9)+COUNTA($N9))&gt;0),"",IF(AND($S9="Sub",N($R9)&gt;0),IF(ISNUMBER(INDEX($D$5:$D$1000,$R9-4)),DATE(YEAR(INDEX($D$5:$D$1000,$R9-4)),MONTH(INDEX($D$5:$D$1000,$R9-4)),1),IF(ISNUMBER(INDEX($E$5:$E$1000,$R9-4)),DATE(YEAR(INDEX($E$5:$E$1000,$R9-4)),MONTH(INDEX($E$5:$E$1000,$R9-4)),1),MesCiclo)),IF(ISNUMBER($D9),DATE(YEAR($D9),MONTH($D9),1),IF(ISNUMBER($E9),DATE(YEAR($E9),MONTH($E9),1),MesCiclo))))</f>
        <v/>
      </c>
      <c r="Q9" s="71">
        <f>IF(OR($P9="",$P9&lt;&gt;MesCiclo),"",COUNTIF($P$5:$P9,MesCiclo))</f>
        <v/>
      </c>
      <c r="R9" s="71">
        <f>IF($S9="","",IF($S9="Macro",ROW(),IFERROR(LOOKUP(2,1/($S$5:$S9="Macro"),ROW($S$5:$S9)),0)))</f>
        <v/>
      </c>
      <c r="S9" s="71">
        <f>IF(NOT((COUNTA($B9:$J9)+COUNTA($N9))&gt;0),"",IF($B9="Subactividad","Sub","Macro"))</f>
        <v/>
      </c>
      <c r="T9" s="71">
        <f>IF($S9="Macro",COUNTIFS($R$5:$R$1000,ROW(),$S$5:$S$1000,"Sub"),"")</f>
        <v/>
      </c>
      <c r="U9" s="71">
        <f>IF($S9="","",IF(ISNUMBER($G9),$G9,0))</f>
        <v/>
      </c>
      <c r="V9" s="71">
        <f>IF($S9="","",IF(ISNUMBER($H9),$H9,$U9))</f>
        <v/>
      </c>
      <c r="W9" s="71">
        <f>IF($S9="","",IF(ISNUMBER($I9),$I9,$V9))</f>
        <v/>
      </c>
      <c r="X9" s="71">
        <f>IF($S9="","",IF(ISNUMBER($J9),$J9,$W9))</f>
        <v/>
      </c>
      <c r="Y9" s="71">
        <f>IF($S9="","",IF(N($T9)&gt;0,IF(N($AG9)&gt;0,SUMIFS($AC$5:$AC$1000,$R$5:$R$1000,ROW(),$S$5:$S$1000,"Sub")/$AG9,AVERAGEIFS($U$5:$U$1000,$R$5:$R$1000,ROW(),$S$5:$S$1000,"Sub")),$U9))</f>
        <v/>
      </c>
      <c r="Z9" s="71">
        <f>IF($S9="","",IF(N($T9)&gt;0,IF(N($AG9)&gt;0,SUMIFS($AD$5:$AD$1000,$R$5:$R$1000,ROW(),$S$5:$S$1000,"Sub")/$AG9,AVERAGEIFS($V$5:$V$1000,$R$5:$R$1000,ROW(),$S$5:$S$1000,"Sub")),$V9))</f>
        <v/>
      </c>
      <c r="AA9" s="71">
        <f>IF($S9="","",IF(N($T9)&gt;0,IF(N($AG9)&gt;0,SUMIFS($AE$5:$AE$1000,$R$5:$R$1000,ROW(),$S$5:$S$1000,"Sub")/$AG9,AVERAGEIFS($W$5:$W$1000,$R$5:$R$1000,ROW(),$S$5:$S$1000,"Sub")),$W9))</f>
        <v/>
      </c>
      <c r="AB9" s="71">
        <f>IF($S9="","",IF(N($T9)&gt;0,IF(N($AG9)&gt;0,SUMIFS($AF$5:$AF$1000,$R$5:$R$1000,ROW(),$S$5:$S$1000,"Sub")/$AG9,AVERAGEIFS($X$5:$X$1000,$R$5:$R$1000,ROW(),$S$5:$S$1000,"Sub")),$X9))</f>
        <v/>
      </c>
      <c r="AC9" s="71">
        <f>IF($S9="Sub",N($F9)*N($U9),"")</f>
        <v/>
      </c>
      <c r="AD9" s="71">
        <f>IF($S9="Sub",N($F9)*N($V9),"")</f>
        <v/>
      </c>
      <c r="AE9" s="71">
        <f>IF($S9="Sub",N($F9)*N($W9),"")</f>
        <v/>
      </c>
      <c r="AF9" s="71">
        <f>IF($S9="Sub",N($F9)*N($X9),"")</f>
        <v/>
      </c>
      <c r="AG9" s="71">
        <f>IF(N($T9)&gt;0,SUMIFS($F$5:$F$1000,$R$5:$R$1000,ROW(),$S$5:$S$1000,"Sub"),"")</f>
        <v/>
      </c>
    </row>
    <row r="10">
      <c r="A10" s="62">
        <f>IF(NOT((COUNTA($B10:$J10)+COUNTA($N10))&gt;0),"",IF($S10="Macro",COUNTIFS($S$5:$S10,"Macro",$P$5:$P10,$P10),IF(N($R10)=0,"?",COUNTIFS(INDEX($S$5:$S$1000,1):INDEX($S$5:$S$1000,$R10-4),"Macro",INDEX($P$5:$P$1000,1):INDEX($P$5:$P$1000,$R10-4),INDEX($P$5:$P$1000,$R10-4))&amp;"."&amp;COUNTIFS($R$5:$R10,$R10,$S$5:$S10,"Sub"))))</f>
        <v/>
      </c>
      <c r="B10" s="63" t="n"/>
      <c r="C10" s="64" t="n"/>
      <c r="D10" s="65" t="n"/>
      <c r="E10" s="65" t="n"/>
      <c r="F10" s="66" t="n"/>
      <c r="G10" s="67" t="n"/>
      <c r="H10" s="67" t="n"/>
      <c r="I10" s="67" t="n"/>
      <c r="J10" s="67" t="n"/>
      <c r="K10" s="68">
        <f>IF(NOT((COUNTA($B10:$J10)+COUNTA($N10))&gt;0),"",IF(N($T10)&gt;0,$AB10,IFERROR(LOOKUP(2,1/(G10:J10&lt;&gt;""),G10:J10),0)))</f>
        <v/>
      </c>
      <c r="L10" s="62">
        <f>IF(K10="","",IF(K10&gt;=1,"Completado",IF(K10&gt;0,"En curso","Pendiente")))</f>
        <v/>
      </c>
      <c r="M10" s="62">
        <f>IF(NOT((COUNTA($B10:$J10)+COUNTA($N10))&gt;0),"",IF(N($K10)&gt;=1,"Cumplida",IF(NOT(ISNUMBER($E10)),"Sin fecha límite",IF($E10&lt;FechaRef,"Vencida hace "&amp;(FechaRef-$E10)&amp;IF(FechaRef-$E10=1," día"," días"),IF($E10=FechaRef,"Vence hoy",IF($E10-FechaRef&lt;=DiasAlerta,"Vence en "&amp;($E10-FechaRef)&amp;IF($E10-FechaRef=1," día"," días"),"En plazo"))))))</f>
        <v/>
      </c>
      <c r="N10" s="64" t="n"/>
      <c r="O10" s="69">
        <f>IF(NOT((COUNTA($B10:$J10)+COUNTA($N10))&gt;0),"",IF((IF($C10="","Falta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",""))="","✔ OK","⚠ "&amp;LEFT(IF($C10="","Falta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",""),LEN(IF($C10="","Falta el nombre de la actividad"&amp;" · ","")&amp;IF(AND($S10="Sub",N($R10)=0),"Subactividad sin macroactividad arriba"&amp;" · ","")&amp;IF($D10="","Sin fecha de inicio"&amp;" · ","")&amp;IF($E10="","Sin fecha límite"&amp;" · ","")&amp;IF(OR(AND($D10&lt;&gt;"",NOT(ISNUMBER($D10))),AND($E10&lt;&gt;"",NOT(ISNUMBER($E10)))),"Fecha no válida"&amp;" · ","")&amp;IF(AND(ISNUMBER($D10),ISNUMBER($E10),$D10&gt;$E10),"Inicio posterior a fecha límite"&amp;" · ","")&amp;IF(AND($S10="Macro",$F10=""),"Peso vacío"&amp;" · ","")&amp;IF(AND($S10="Macro",$F10&lt;&gt;"",OR(NOT(ISNUMBER($F10)),$F10&lt;=0,$F10&gt;1)),"Peso fuera de rango"&amp;" · ","")&amp;IF(AND($S10="Sub",$F10&lt;&gt;"",OR(NOT(ISNUMBER($F10)),$F10&lt;0,$F10&gt;1)),"Peso fuera de rango"&amp;" · ","")&amp;IF(AND($S10="Sub",$F10="",IFERROR(N(INDEX($AG$5:$AG$1000,$R10-4)),0)&gt;0),"Falta el peso de la subactividad"&amp;" · ","")&amp;IF(AND(N($T10)&gt;0,N($AG10)&gt;0,ABS(N($AG10)-N($F10))&gt;0.0001),"Pesos de sus subactividades suman "&amp;TEXT(N($AG10),"0%")&amp;" (deben sumar "&amp;TEXT(N($F10),"0%")&amp;")"&amp;" · ","")&amp;IF(AND($S10="Macro",ABS(SUMIFS($F$5:$F$1000,$P$5:$P$1000,$P10,$S$5:$S$1000,"Macro")-1)&gt;0.0001),"Pesos del mes suman "&amp;TEXT(SUMIFS($F$5:$F$1000,$P$5:$P$1000,$P10,$S$5:$S$1000,"Macro"),"0%")&amp;" · ","")&amp;IF(AND(N($T10)&gt;0,COUNT($G10:$J10)&gt;0),"Con subactividades: deje vacías las semanas (se calculan solas)"&amp;" · ","")&amp;IF((COUNTIF($G10:$J10,"&gt;1")+COUNTIF($G10:$J10,"&lt;0")+COUNTA($G10:$J10)-COUNT($G10:$J10))&gt;0,"Avance fuera de rango 0-100%"&amp;" · ","")&amp;IF(OR(AND($H10&lt;&gt;"",$H10&lt;$G10),AND($I10&lt;&gt;"",$I10&lt;MAX($G10:$H10)),AND($J10&lt;&gt;"",$J10&lt;MAX($G10:$I10))),"Avance semanal decreciente"&amp;" · ","")&amp;IF(AND(ISNUMBER($E10),$E10&lt;FechaRef,N($K10)&lt;1),"Vencida"&amp;" · ","")&amp;IF(AND(ObsObligatoria="Sí",ISNUMBER($E10),$E10&lt;FechaRef,N($K10)&lt;1,$N10=""),"Vencida sin observación"&amp;" · ",""))-3)))</f>
        <v/>
      </c>
      <c r="P10" s="70">
        <f>IF(NOT((COUNTA($B10:$J10)+COUNTA($N10))&gt;0),"",IF(AND($S10="Sub",N($R10)&gt;0),IF(ISNUMBER(INDEX($D$5:$D$1000,$R10-4)),DATE(YEAR(INDEX($D$5:$D$1000,$R10-4)),MONTH(INDEX($D$5:$D$1000,$R10-4)),1),IF(ISNUMBER(INDEX($E$5:$E$1000,$R10-4)),DATE(YEAR(INDEX($E$5:$E$1000,$R10-4)),MONTH(INDEX($E$5:$E$1000,$R10-4)),1),MesCiclo)),IF(ISNUMBER($D10),DATE(YEAR($D10),MONTH($D10),1),IF(ISNUMBER($E10),DATE(YEAR($E10),MONTH($E10),1),MesCiclo))))</f>
        <v/>
      </c>
      <c r="Q10" s="71">
        <f>IF(OR($P10="",$P10&lt;&gt;MesCiclo),"",COUNTIF($P$5:$P10,MesCiclo))</f>
        <v/>
      </c>
      <c r="R10" s="71">
        <f>IF($S10="","",IF($S10="Macro",ROW(),IFERROR(LOOKUP(2,1/($S$5:$S10="Macro"),ROW($S$5:$S10)),0)))</f>
        <v/>
      </c>
      <c r="S10" s="71">
        <f>IF(NOT((COUNTA($B10:$J10)+COUNTA($N10))&gt;0),"",IF($B10="Subactividad","Sub","Macro"))</f>
        <v/>
      </c>
      <c r="T10" s="71">
        <f>IF($S10="Macro",COUNTIFS($R$5:$R$1000,ROW(),$S$5:$S$1000,"Sub"),"")</f>
        <v/>
      </c>
      <c r="U10" s="71">
        <f>IF($S10="","",IF(ISNUMBER($G10),$G10,0))</f>
        <v/>
      </c>
      <c r="V10" s="71">
        <f>IF($S10="","",IF(ISNUMBER($H10),$H10,$U10))</f>
        <v/>
      </c>
      <c r="W10" s="71">
        <f>IF($S10="","",IF(ISNUMBER($I10),$I10,$V10))</f>
        <v/>
      </c>
      <c r="X10" s="71">
        <f>IF($S10="","",IF(ISNUMBER($J10),$J10,$W10))</f>
        <v/>
      </c>
      <c r="Y10" s="71">
        <f>IF($S10="","",IF(N($T10)&gt;0,IF(N($AG10)&gt;0,SUMIFS($AC$5:$AC$1000,$R$5:$R$1000,ROW(),$S$5:$S$1000,"Sub")/$AG10,AVERAGEIFS($U$5:$U$1000,$R$5:$R$1000,ROW(),$S$5:$S$1000,"Sub")),$U10))</f>
        <v/>
      </c>
      <c r="Z10" s="71">
        <f>IF($S10="","",IF(N($T10)&gt;0,IF(N($AG10)&gt;0,SUMIFS($AD$5:$AD$1000,$R$5:$R$1000,ROW(),$S$5:$S$1000,"Sub")/$AG10,AVERAGEIFS($V$5:$V$1000,$R$5:$R$1000,ROW(),$S$5:$S$1000,"Sub")),$V10))</f>
        <v/>
      </c>
      <c r="AA10" s="71">
        <f>IF($S10="","",IF(N($T10)&gt;0,IF(N($AG10)&gt;0,SUMIFS($AE$5:$AE$1000,$R$5:$R$1000,ROW(),$S$5:$S$1000,"Sub")/$AG10,AVERAGEIFS($W$5:$W$1000,$R$5:$R$1000,ROW(),$S$5:$S$1000,"Sub")),$W10))</f>
        <v/>
      </c>
      <c r="AB10" s="71">
        <f>IF($S10="","",IF(N($T10)&gt;0,IF(N($AG10)&gt;0,SUMIFS($AF$5:$AF$1000,$R$5:$R$1000,ROW(),$S$5:$S$1000,"Sub")/$AG10,AVERAGEIFS($X$5:$X$1000,$R$5:$R$1000,ROW(),$S$5:$S$1000,"Sub")),$X10))</f>
        <v/>
      </c>
      <c r="AC10" s="71">
        <f>IF($S10="Sub",N($F10)*N($U10),"")</f>
        <v/>
      </c>
      <c r="AD10" s="71">
        <f>IF($S10="Sub",N($F10)*N($V10),"")</f>
        <v/>
      </c>
      <c r="AE10" s="71">
        <f>IF($S10="Sub",N($F10)*N($W10),"")</f>
        <v/>
      </c>
      <c r="AF10" s="71">
        <f>IF($S10="Sub",N($F10)*N($X10),"")</f>
        <v/>
      </c>
      <c r="AG10" s="71">
        <f>IF(N($T10)&gt;0,SUMIFS($F$5:$F$1000,$R$5:$R$1000,ROW(),$S$5:$S$1000,"Sub"),"")</f>
        <v/>
      </c>
    </row>
    <row r="11">
      <c r="A11" s="62">
        <f>IF(NOT((COUNTA($B11:$J11)+COUNTA($N11))&gt;0),"",IF($S11="Macro",COUNTIFS($S$5:$S11,"Macro",$P$5:$P11,$P11),IF(N($R11)=0,"?",COUNTIFS(INDEX($S$5:$S$1000,1):INDEX($S$5:$S$1000,$R11-4),"Macro",INDEX($P$5:$P$1000,1):INDEX($P$5:$P$1000,$R11-4),INDEX($P$5:$P$1000,$R11-4))&amp;"."&amp;COUNTIFS($R$5:$R11,$R11,$S$5:$S11,"Sub"))))</f>
        <v/>
      </c>
      <c r="B11" s="63" t="n"/>
      <c r="C11" s="64" t="n"/>
      <c r="D11" s="65" t="n"/>
      <c r="E11" s="65" t="n"/>
      <c r="F11" s="66" t="n"/>
      <c r="G11" s="67" t="n"/>
      <c r="H11" s="67" t="n"/>
      <c r="I11" s="67" t="n"/>
      <c r="J11" s="67" t="n"/>
      <c r="K11" s="68">
        <f>IF(NOT((COUNTA($B11:$J11)+COUNTA($N11))&gt;0),"",IF(N($T11)&gt;0,$AB11,IFERROR(LOOKUP(2,1/(G11:J11&lt;&gt;""),G11:J11),0)))</f>
        <v/>
      </c>
      <c r="L11" s="62">
        <f>IF(K11="","",IF(K11&gt;=1,"Completado",IF(K11&gt;0,"En curso","Pendiente")))</f>
        <v/>
      </c>
      <c r="M11" s="62">
        <f>IF(NOT((COUNTA($B11:$J11)+COUNTA($N11))&gt;0),"",IF(N($K11)&gt;=1,"Cumplida",IF(NOT(ISNUMBER($E11)),"Sin fecha límite",IF($E11&lt;FechaRef,"Vencida hace "&amp;(FechaRef-$E11)&amp;IF(FechaRef-$E11=1," día"," días"),IF($E11=FechaRef,"Vence hoy",IF($E11-FechaRef&lt;=DiasAlerta,"Vence en "&amp;($E11-FechaRef)&amp;IF($E11-FechaRef=1," día"," días"),"En plazo"))))))</f>
        <v/>
      </c>
      <c r="N11" s="64" t="n"/>
      <c r="O11" s="69">
        <f>IF(NOT((COUNTA($B11:$J11)+COUNTA($N11))&gt;0),"",IF((IF($C11="","Falta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",""))="","✔ OK","⚠ "&amp;LEFT(IF($C11="","Falta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",""),LEN(IF($C11="","Falta el nombre de la actividad"&amp;" · ","")&amp;IF(AND($S11="Sub",N($R11)=0),"Subactividad sin macroactividad arriba"&amp;" · ","")&amp;IF($D11="","Sin fecha de inicio"&amp;" · ","")&amp;IF($E11="","Sin fecha límite"&amp;" · ","")&amp;IF(OR(AND($D11&lt;&gt;"",NOT(ISNUMBER($D11))),AND($E11&lt;&gt;"",NOT(ISNUMBER($E11)))),"Fecha no válida"&amp;" · ","")&amp;IF(AND(ISNUMBER($D11),ISNUMBER($E11),$D11&gt;$E11),"Inicio posterior a fecha límite"&amp;" · ","")&amp;IF(AND($S11="Macro",$F11=""),"Peso vacío"&amp;" · ","")&amp;IF(AND($S11="Macro",$F11&lt;&gt;"",OR(NOT(ISNUMBER($F11)),$F11&lt;=0,$F11&gt;1)),"Peso fuera de rango"&amp;" · ","")&amp;IF(AND($S11="Sub",$F11&lt;&gt;"",OR(NOT(ISNUMBER($F11)),$F11&lt;0,$F11&gt;1)),"Peso fuera de rango"&amp;" · ","")&amp;IF(AND($S11="Sub",$F11="",IFERROR(N(INDEX($AG$5:$AG$1000,$R11-4)),0)&gt;0),"Falta el peso de la subactividad"&amp;" · ","")&amp;IF(AND(N($T11)&gt;0,N($AG11)&gt;0,ABS(N($AG11)-N($F11))&gt;0.0001),"Pesos de sus subactividades suman "&amp;TEXT(N($AG11),"0%")&amp;" (deben sumar "&amp;TEXT(N($F11),"0%")&amp;")"&amp;" · ","")&amp;IF(AND($S11="Macro",ABS(SUMIFS($F$5:$F$1000,$P$5:$P$1000,$P11,$S$5:$S$1000,"Macro")-1)&gt;0.0001),"Pesos del mes suman "&amp;TEXT(SUMIFS($F$5:$F$1000,$P$5:$P$1000,$P11,$S$5:$S$1000,"Macro"),"0%")&amp;" · ","")&amp;IF(AND(N($T11)&gt;0,COUNT($G11:$J11)&gt;0),"Con subactividades: deje vacías las semanas (se calculan solas)"&amp;" · ","")&amp;IF((COUNTIF($G11:$J11,"&gt;1")+COUNTIF($G11:$J11,"&lt;0")+COUNTA($G11:$J11)-COUNT($G11:$J11))&gt;0,"Avance fuera de rango 0-100%"&amp;" · ","")&amp;IF(OR(AND($H11&lt;&gt;"",$H11&lt;$G11),AND($I11&lt;&gt;"",$I11&lt;MAX($G11:$H11)),AND($J11&lt;&gt;"",$J11&lt;MAX($G11:$I11))),"Avance semanal decreciente"&amp;" · ","")&amp;IF(AND(ISNUMBER($E11),$E11&lt;FechaRef,N($K11)&lt;1),"Vencida"&amp;" · ","")&amp;IF(AND(ObsObligatoria="Sí",ISNUMBER($E11),$E11&lt;FechaRef,N($K11)&lt;1,$N11=""),"Vencida sin observación"&amp;" · ",""))-3)))</f>
        <v/>
      </c>
      <c r="P11" s="70">
        <f>IF(NOT((COUNTA($B11:$J11)+COUNTA($N11))&gt;0),"",IF(AND($S11="Sub",N($R11)&gt;0),IF(ISNUMBER(INDEX($D$5:$D$1000,$R11-4)),DATE(YEAR(INDEX($D$5:$D$1000,$R11-4)),MONTH(INDEX($D$5:$D$1000,$R11-4)),1),IF(ISNUMBER(INDEX($E$5:$E$1000,$R11-4)),DATE(YEAR(INDEX($E$5:$E$1000,$R11-4)),MONTH(INDEX($E$5:$E$1000,$R11-4)),1),MesCiclo)),IF(ISNUMBER($D11),DATE(YEAR($D11),MONTH($D11),1),IF(ISNUMBER($E11),DATE(YEAR($E11),MONTH($E11),1),MesCiclo))))</f>
        <v/>
      </c>
      <c r="Q11" s="71">
        <f>IF(OR($P11="",$P11&lt;&gt;MesCiclo),"",COUNTIF($P$5:$P11,MesCiclo))</f>
        <v/>
      </c>
      <c r="R11" s="71">
        <f>IF($S11="","",IF($S11="Macro",ROW(),IFERROR(LOOKUP(2,1/($S$5:$S11="Macro"),ROW($S$5:$S11)),0)))</f>
        <v/>
      </c>
      <c r="S11" s="71">
        <f>IF(NOT((COUNTA($B11:$J11)+COUNTA($N11))&gt;0),"",IF($B11="Subactividad","Sub","Macro"))</f>
        <v/>
      </c>
      <c r="T11" s="71">
        <f>IF($S11="Macro",COUNTIFS($R$5:$R$1000,ROW(),$S$5:$S$1000,"Sub"),"")</f>
        <v/>
      </c>
      <c r="U11" s="71">
        <f>IF($S11="","",IF(ISNUMBER($G11),$G11,0))</f>
        <v/>
      </c>
      <c r="V11" s="71">
        <f>IF($S11="","",IF(ISNUMBER($H11),$H11,$U11))</f>
        <v/>
      </c>
      <c r="W11" s="71">
        <f>IF($S11="","",IF(ISNUMBER($I11),$I11,$V11))</f>
        <v/>
      </c>
      <c r="X11" s="71">
        <f>IF($S11="","",IF(ISNUMBER($J11),$J11,$W11))</f>
        <v/>
      </c>
      <c r="Y11" s="71">
        <f>IF($S11="","",IF(N($T11)&gt;0,IF(N($AG11)&gt;0,SUMIFS($AC$5:$AC$1000,$R$5:$R$1000,ROW(),$S$5:$S$1000,"Sub")/$AG11,AVERAGEIFS($U$5:$U$1000,$R$5:$R$1000,ROW(),$S$5:$S$1000,"Sub")),$U11))</f>
        <v/>
      </c>
      <c r="Z11" s="71">
        <f>IF($S11="","",IF(N($T11)&gt;0,IF(N($AG11)&gt;0,SUMIFS($AD$5:$AD$1000,$R$5:$R$1000,ROW(),$S$5:$S$1000,"Sub")/$AG11,AVERAGEIFS($V$5:$V$1000,$R$5:$R$1000,ROW(),$S$5:$S$1000,"Sub")),$V11))</f>
        <v/>
      </c>
      <c r="AA11" s="71">
        <f>IF($S11="","",IF(N($T11)&gt;0,IF(N($AG11)&gt;0,SUMIFS($AE$5:$AE$1000,$R$5:$R$1000,ROW(),$S$5:$S$1000,"Sub")/$AG11,AVERAGEIFS($W$5:$W$1000,$R$5:$R$1000,ROW(),$S$5:$S$1000,"Sub")),$W11))</f>
        <v/>
      </c>
      <c r="AB11" s="71">
        <f>IF($S11="","",IF(N($T11)&gt;0,IF(N($AG11)&gt;0,SUMIFS($AF$5:$AF$1000,$R$5:$R$1000,ROW(),$S$5:$S$1000,"Sub")/$AG11,AVERAGEIFS($X$5:$X$1000,$R$5:$R$1000,ROW(),$S$5:$S$1000,"Sub")),$X11))</f>
        <v/>
      </c>
      <c r="AC11" s="71">
        <f>IF($S11="Sub",N($F11)*N($U11),"")</f>
        <v/>
      </c>
      <c r="AD11" s="71">
        <f>IF($S11="Sub",N($F11)*N($V11),"")</f>
        <v/>
      </c>
      <c r="AE11" s="71">
        <f>IF($S11="Sub",N($F11)*N($W11),"")</f>
        <v/>
      </c>
      <c r="AF11" s="71">
        <f>IF($S11="Sub",N($F11)*N($X11),"")</f>
        <v/>
      </c>
      <c r="AG11" s="71">
        <f>IF(N($T11)&gt;0,SUMIFS($F$5:$F$1000,$R$5:$R$1000,ROW(),$S$5:$S$1000,"Sub"),"")</f>
        <v/>
      </c>
    </row>
    <row r="12">
      <c r="A12" s="62">
        <f>IF(NOT((COUNTA($B12:$J12)+COUNTA($N12))&gt;0),"",IF($S12="Macro",COUNTIFS($S$5:$S12,"Macro",$P$5:$P12,$P12),IF(N($R12)=0,"?",COUNTIFS(INDEX($S$5:$S$1000,1):INDEX($S$5:$S$1000,$R12-4),"Macro",INDEX($P$5:$P$1000,1):INDEX($P$5:$P$1000,$R12-4),INDEX($P$5:$P$1000,$R12-4))&amp;"."&amp;COUNTIFS($R$5:$R12,$R12,$S$5:$S12,"Sub"))))</f>
        <v/>
      </c>
      <c r="B12" s="63" t="n"/>
      <c r="C12" s="64" t="n"/>
      <c r="D12" s="65" t="n"/>
      <c r="E12" s="65" t="n"/>
      <c r="F12" s="66" t="n"/>
      <c r="G12" s="67" t="n"/>
      <c r="H12" s="67" t="n"/>
      <c r="I12" s="67" t="n"/>
      <c r="J12" s="67" t="n"/>
      <c r="K12" s="68">
        <f>IF(NOT((COUNTA($B12:$J12)+COUNTA($N12))&gt;0),"",IF(N($T12)&gt;0,$AB12,IFERROR(LOOKUP(2,1/(G12:J12&lt;&gt;""),G12:J12),0)))</f>
        <v/>
      </c>
      <c r="L12" s="62">
        <f>IF(K12="","",IF(K12&gt;=1,"Completado",IF(K12&gt;0,"En curso","Pendiente")))</f>
        <v/>
      </c>
      <c r="M12" s="62">
        <f>IF(NOT((COUNTA($B12:$J12)+COUNTA($N12))&gt;0),"",IF(N($K12)&gt;=1,"Cumplida",IF(NOT(ISNUMBER($E12)),"Sin fecha límite",IF($E12&lt;FechaRef,"Vencida hace "&amp;(FechaRef-$E12)&amp;IF(FechaRef-$E12=1," día"," días"),IF($E12=FechaRef,"Vence hoy",IF($E12-FechaRef&lt;=DiasAlerta,"Vence en "&amp;($E12-FechaRef)&amp;IF($E12-FechaRef=1," día"," días"),"En plazo"))))))</f>
        <v/>
      </c>
      <c r="N12" s="64" t="n"/>
      <c r="O12" s="69">
        <f>IF(NOT((COUNTA($B12:$J12)+COUNTA($N12))&gt;0),"",IF((IF($C12="","Falta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",""))="","✔ OK","⚠ "&amp;LEFT(IF($C12="","Falta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",""),LEN(IF($C12="","Falta el nombre de la actividad"&amp;" · ","")&amp;IF(AND($S12="Sub",N($R12)=0),"Subactividad sin macroactividad arriba"&amp;" · ","")&amp;IF($D12="","Sin fecha de inicio"&amp;" · ","")&amp;IF($E12="","Sin fecha límite"&amp;" · ","")&amp;IF(OR(AND($D12&lt;&gt;"",NOT(ISNUMBER($D12))),AND($E12&lt;&gt;"",NOT(ISNUMBER($E12)))),"Fecha no válida"&amp;" · ","")&amp;IF(AND(ISNUMBER($D12),ISNUMBER($E12),$D12&gt;$E12),"Inicio posterior a fecha límite"&amp;" · ","")&amp;IF(AND($S12="Macro",$F12=""),"Peso vacío"&amp;" · ","")&amp;IF(AND($S12="Macro",$F12&lt;&gt;"",OR(NOT(ISNUMBER($F12)),$F12&lt;=0,$F12&gt;1)),"Peso fuera de rango"&amp;" · ","")&amp;IF(AND($S12="Sub",$F12&lt;&gt;"",OR(NOT(ISNUMBER($F12)),$F12&lt;0,$F12&gt;1)),"Peso fuera de rango"&amp;" · ","")&amp;IF(AND($S12="Sub",$F12="",IFERROR(N(INDEX($AG$5:$AG$1000,$R12-4)),0)&gt;0),"Falta el peso de la subactividad"&amp;" · ","")&amp;IF(AND(N($T12)&gt;0,N($AG12)&gt;0,ABS(N($AG12)-N($F12))&gt;0.0001),"Pesos de sus subactividades suman "&amp;TEXT(N($AG12),"0%")&amp;" (deben sumar "&amp;TEXT(N($F12),"0%")&amp;")"&amp;" · ","")&amp;IF(AND($S12="Macro",ABS(SUMIFS($F$5:$F$1000,$P$5:$P$1000,$P12,$S$5:$S$1000,"Macro")-1)&gt;0.0001),"Pesos del mes suman "&amp;TEXT(SUMIFS($F$5:$F$1000,$P$5:$P$1000,$P12,$S$5:$S$1000,"Macro"),"0%")&amp;" · ","")&amp;IF(AND(N($T12)&gt;0,COUNT($G12:$J12)&gt;0),"Con subactividades: deje vacías las semanas (se calculan solas)"&amp;" · ","")&amp;IF((COUNTIF($G12:$J12,"&gt;1")+COUNTIF($G12:$J12,"&lt;0")+COUNTA($G12:$J12)-COUNT($G12:$J12))&gt;0,"Avance fuera de rango 0-100%"&amp;" · ","")&amp;IF(OR(AND($H12&lt;&gt;"",$H12&lt;$G12),AND($I12&lt;&gt;"",$I12&lt;MAX($G12:$H12)),AND($J12&lt;&gt;"",$J12&lt;MAX($G12:$I12))),"Avance semanal decreciente"&amp;" · ","")&amp;IF(AND(ISNUMBER($E12),$E12&lt;FechaRef,N($K12)&lt;1),"Vencida"&amp;" · ","")&amp;IF(AND(ObsObligatoria="Sí",ISNUMBER($E12),$E12&lt;FechaRef,N($K12)&lt;1,$N12=""),"Vencida sin observación"&amp;" · ",""))-3)))</f>
        <v/>
      </c>
      <c r="P12" s="70">
        <f>IF(NOT((COUNTA($B12:$J12)+COUNTA($N12))&gt;0),"",IF(AND($S12="Sub",N($R12)&gt;0),IF(ISNUMBER(INDEX($D$5:$D$1000,$R12-4)),DATE(YEAR(INDEX($D$5:$D$1000,$R12-4)),MONTH(INDEX($D$5:$D$1000,$R12-4)),1),IF(ISNUMBER(INDEX($E$5:$E$1000,$R12-4)),DATE(YEAR(INDEX($E$5:$E$1000,$R12-4)),MONTH(INDEX($E$5:$E$1000,$R12-4)),1),MesCiclo)),IF(ISNUMBER($D12),DATE(YEAR($D12),MONTH($D12),1),IF(ISNUMBER($E12),DATE(YEAR($E12),MONTH($E12),1),MesCiclo))))</f>
        <v/>
      </c>
      <c r="Q12" s="71">
        <f>IF(OR($P12="",$P12&lt;&gt;MesCiclo),"",COUNTIF($P$5:$P12,MesCiclo))</f>
        <v/>
      </c>
      <c r="R12" s="71">
        <f>IF($S12="","",IF($S12="Macro",ROW(),IFERROR(LOOKUP(2,1/($S$5:$S12="Macro"),ROW($S$5:$S12)),0)))</f>
        <v/>
      </c>
      <c r="S12" s="71">
        <f>IF(NOT((COUNTA($B12:$J12)+COUNTA($N12))&gt;0),"",IF($B12="Subactividad","Sub","Macro"))</f>
        <v/>
      </c>
      <c r="T12" s="71">
        <f>IF($S12="Macro",COUNTIFS($R$5:$R$1000,ROW(),$S$5:$S$1000,"Sub"),"")</f>
        <v/>
      </c>
      <c r="U12" s="71">
        <f>IF($S12="","",IF(ISNUMBER($G12),$G12,0))</f>
        <v/>
      </c>
      <c r="V12" s="71">
        <f>IF($S12="","",IF(ISNUMBER($H12),$H12,$U12))</f>
        <v/>
      </c>
      <c r="W12" s="71">
        <f>IF($S12="","",IF(ISNUMBER($I12),$I12,$V12))</f>
        <v/>
      </c>
      <c r="X12" s="71">
        <f>IF($S12="","",IF(ISNUMBER($J12),$J12,$W12))</f>
        <v/>
      </c>
      <c r="Y12" s="71">
        <f>IF($S12="","",IF(N($T12)&gt;0,IF(N($AG12)&gt;0,SUMIFS($AC$5:$AC$1000,$R$5:$R$1000,ROW(),$S$5:$S$1000,"Sub")/$AG12,AVERAGEIFS($U$5:$U$1000,$R$5:$R$1000,ROW(),$S$5:$S$1000,"Sub")),$U12))</f>
        <v/>
      </c>
      <c r="Z12" s="71">
        <f>IF($S12="","",IF(N($T12)&gt;0,IF(N($AG12)&gt;0,SUMIFS($AD$5:$AD$1000,$R$5:$R$1000,ROW(),$S$5:$S$1000,"Sub")/$AG12,AVERAGEIFS($V$5:$V$1000,$R$5:$R$1000,ROW(),$S$5:$S$1000,"Sub")),$V12))</f>
        <v/>
      </c>
      <c r="AA12" s="71">
        <f>IF($S12="","",IF(N($T12)&gt;0,IF(N($AG12)&gt;0,SUMIFS($AE$5:$AE$1000,$R$5:$R$1000,ROW(),$S$5:$S$1000,"Sub")/$AG12,AVERAGEIFS($W$5:$W$1000,$R$5:$R$1000,ROW(),$S$5:$S$1000,"Sub")),$W12))</f>
        <v/>
      </c>
      <c r="AB12" s="71">
        <f>IF($S12="","",IF(N($T12)&gt;0,IF(N($AG12)&gt;0,SUMIFS($AF$5:$AF$1000,$R$5:$R$1000,ROW(),$S$5:$S$1000,"Sub")/$AG12,AVERAGEIFS($X$5:$X$1000,$R$5:$R$1000,ROW(),$S$5:$S$1000,"Sub")),$X12))</f>
        <v/>
      </c>
      <c r="AC12" s="71">
        <f>IF($S12="Sub",N($F12)*N($U12),"")</f>
        <v/>
      </c>
      <c r="AD12" s="71">
        <f>IF($S12="Sub",N($F12)*N($V12),"")</f>
        <v/>
      </c>
      <c r="AE12" s="71">
        <f>IF($S12="Sub",N($F12)*N($W12),"")</f>
        <v/>
      </c>
      <c r="AF12" s="71">
        <f>IF($S12="Sub",N($F12)*N($X12),"")</f>
        <v/>
      </c>
      <c r="AG12" s="71">
        <f>IF(N($T12)&gt;0,SUMIFS($F$5:$F$1000,$R$5:$R$1000,ROW(),$S$5:$S$1000,"Sub"),"")</f>
        <v/>
      </c>
    </row>
    <row r="13">
      <c r="A13" s="62">
        <f>IF(NOT((COUNTA($B13:$J13)+COUNTA($N13))&gt;0),"",IF($S13="Macro",COUNTIFS($S$5:$S13,"Macro",$P$5:$P13,$P13),IF(N($R13)=0,"?",COUNTIFS(INDEX($S$5:$S$1000,1):INDEX($S$5:$S$1000,$R13-4),"Macro",INDEX($P$5:$P$1000,1):INDEX($P$5:$P$1000,$R13-4),INDEX($P$5:$P$1000,$R13-4))&amp;"."&amp;COUNTIFS($R$5:$R13,$R13,$S$5:$S13,"Sub"))))</f>
        <v/>
      </c>
      <c r="B13" s="63" t="n"/>
      <c r="C13" s="64" t="n"/>
      <c r="D13" s="65" t="n"/>
      <c r="E13" s="65" t="n"/>
      <c r="F13" s="66" t="n"/>
      <c r="G13" s="67" t="n"/>
      <c r="H13" s="67" t="n"/>
      <c r="I13" s="67" t="n"/>
      <c r="J13" s="67" t="n"/>
      <c r="K13" s="68">
        <f>IF(NOT((COUNTA($B13:$J13)+COUNTA($N13))&gt;0),"",IF(N($T13)&gt;0,$AB13,IFERROR(LOOKUP(2,1/(G13:J13&lt;&gt;""),G13:J13),0)))</f>
        <v/>
      </c>
      <c r="L13" s="62">
        <f>IF(K13="","",IF(K13&gt;=1,"Completado",IF(K13&gt;0,"En curso","Pendiente")))</f>
        <v/>
      </c>
      <c r="M13" s="62">
        <f>IF(NOT((COUNTA($B13:$J13)+COUNTA($N13))&gt;0),"",IF(N($K13)&gt;=1,"Cumplida",IF(NOT(ISNUMBER($E13)),"Sin fecha límite",IF($E13&lt;FechaRef,"Vencida hace "&amp;(FechaRef-$E13)&amp;IF(FechaRef-$E13=1," día"," días"),IF($E13=FechaRef,"Vence hoy",IF($E13-FechaRef&lt;=DiasAlerta,"Vence en "&amp;($E13-FechaRef)&amp;IF($E13-FechaRef=1," día"," días"),"En plazo"))))))</f>
        <v/>
      </c>
      <c r="N13" s="64" t="n"/>
      <c r="O13" s="69">
        <f>IF(NOT((COUNTA($B13:$J13)+COUNTA($N13))&gt;0),"",IF((IF($C13="","Falta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",""))="","✔ OK","⚠ "&amp;LEFT(IF($C13="","Falta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",""),LEN(IF($C13="","Falta el nombre de la actividad"&amp;" · ","")&amp;IF(AND($S13="Sub",N($R13)=0),"Subactividad sin macroactividad arriba"&amp;" · ","")&amp;IF($D13="","Sin fecha de inicio"&amp;" · ","")&amp;IF($E13="","Sin fecha límite"&amp;" · ","")&amp;IF(OR(AND($D13&lt;&gt;"",NOT(ISNUMBER($D13))),AND($E13&lt;&gt;"",NOT(ISNUMBER($E13)))),"Fecha no válida"&amp;" · ","")&amp;IF(AND(ISNUMBER($D13),ISNUMBER($E13),$D13&gt;$E13),"Inicio posterior a fecha límite"&amp;" · ","")&amp;IF(AND($S13="Macro",$F13=""),"Peso vacío"&amp;" · ","")&amp;IF(AND($S13="Macro",$F13&lt;&gt;"",OR(NOT(ISNUMBER($F13)),$F13&lt;=0,$F13&gt;1)),"Peso fuera de rango"&amp;" · ","")&amp;IF(AND($S13="Sub",$F13&lt;&gt;"",OR(NOT(ISNUMBER($F13)),$F13&lt;0,$F13&gt;1)),"Peso fuera de rango"&amp;" · ","")&amp;IF(AND($S13="Sub",$F13="",IFERROR(N(INDEX($AG$5:$AG$1000,$R13-4)),0)&gt;0),"Falta el peso de la subactividad"&amp;" · ","")&amp;IF(AND(N($T13)&gt;0,N($AG13)&gt;0,ABS(N($AG13)-N($F13))&gt;0.0001),"Pesos de sus subactividades suman "&amp;TEXT(N($AG13),"0%")&amp;" (deben sumar "&amp;TEXT(N($F13),"0%")&amp;")"&amp;" · ","")&amp;IF(AND($S13="Macro",ABS(SUMIFS($F$5:$F$1000,$P$5:$P$1000,$P13,$S$5:$S$1000,"Macro")-1)&gt;0.0001),"Pesos del mes suman "&amp;TEXT(SUMIFS($F$5:$F$1000,$P$5:$P$1000,$P13,$S$5:$S$1000,"Macro"),"0%")&amp;" · ","")&amp;IF(AND(N($T13)&gt;0,COUNT($G13:$J13)&gt;0),"Con subactividades: deje vacías las semanas (se calculan solas)"&amp;" · ","")&amp;IF((COUNTIF($G13:$J13,"&gt;1")+COUNTIF($G13:$J13,"&lt;0")+COUNTA($G13:$J13)-COUNT($G13:$J13))&gt;0,"Avance fuera de rango 0-100%"&amp;" · ","")&amp;IF(OR(AND($H13&lt;&gt;"",$H13&lt;$G13),AND($I13&lt;&gt;"",$I13&lt;MAX($G13:$H13)),AND($J13&lt;&gt;"",$J13&lt;MAX($G13:$I13))),"Avance semanal decreciente"&amp;" · ","")&amp;IF(AND(ISNUMBER($E13),$E13&lt;FechaRef,N($K13)&lt;1),"Vencida"&amp;" · ","")&amp;IF(AND(ObsObligatoria="Sí",ISNUMBER($E13),$E13&lt;FechaRef,N($K13)&lt;1,$N13=""),"Vencida sin observación"&amp;" · ",""))-3)))</f>
        <v/>
      </c>
      <c r="P13" s="70">
        <f>IF(NOT((COUNTA($B13:$J13)+COUNTA($N13))&gt;0),"",IF(AND($S13="Sub",N($R13)&gt;0),IF(ISNUMBER(INDEX($D$5:$D$1000,$R13-4)),DATE(YEAR(INDEX($D$5:$D$1000,$R13-4)),MONTH(INDEX($D$5:$D$1000,$R13-4)),1),IF(ISNUMBER(INDEX($E$5:$E$1000,$R13-4)),DATE(YEAR(INDEX($E$5:$E$1000,$R13-4)),MONTH(INDEX($E$5:$E$1000,$R13-4)),1),MesCiclo)),IF(ISNUMBER($D13),DATE(YEAR($D13),MONTH($D13),1),IF(ISNUMBER($E13),DATE(YEAR($E13),MONTH($E13),1),MesCiclo))))</f>
        <v/>
      </c>
      <c r="Q13" s="71">
        <f>IF(OR($P13="",$P13&lt;&gt;MesCiclo),"",COUNTIF($P$5:$P13,MesCiclo))</f>
        <v/>
      </c>
      <c r="R13" s="71">
        <f>IF($S13="","",IF($S13="Macro",ROW(),IFERROR(LOOKUP(2,1/($S$5:$S13="Macro"),ROW($S$5:$S13)),0)))</f>
        <v/>
      </c>
      <c r="S13" s="71">
        <f>IF(NOT((COUNTA($B13:$J13)+COUNTA($N13))&gt;0),"",IF($B13="Subactividad","Sub","Macro"))</f>
        <v/>
      </c>
      <c r="T13" s="71">
        <f>IF($S13="Macro",COUNTIFS($R$5:$R$1000,ROW(),$S$5:$S$1000,"Sub"),"")</f>
        <v/>
      </c>
      <c r="U13" s="71">
        <f>IF($S13="","",IF(ISNUMBER($G13),$G13,0))</f>
        <v/>
      </c>
      <c r="V13" s="71">
        <f>IF($S13="","",IF(ISNUMBER($H13),$H13,$U13))</f>
        <v/>
      </c>
      <c r="W13" s="71">
        <f>IF($S13="","",IF(ISNUMBER($I13),$I13,$V13))</f>
        <v/>
      </c>
      <c r="X13" s="71">
        <f>IF($S13="","",IF(ISNUMBER($J13),$J13,$W13))</f>
        <v/>
      </c>
      <c r="Y13" s="71">
        <f>IF($S13="","",IF(N($T13)&gt;0,IF(N($AG13)&gt;0,SUMIFS($AC$5:$AC$1000,$R$5:$R$1000,ROW(),$S$5:$S$1000,"Sub")/$AG13,AVERAGEIFS($U$5:$U$1000,$R$5:$R$1000,ROW(),$S$5:$S$1000,"Sub")),$U13))</f>
        <v/>
      </c>
      <c r="Z13" s="71">
        <f>IF($S13="","",IF(N($T13)&gt;0,IF(N($AG13)&gt;0,SUMIFS($AD$5:$AD$1000,$R$5:$R$1000,ROW(),$S$5:$S$1000,"Sub")/$AG13,AVERAGEIFS($V$5:$V$1000,$R$5:$R$1000,ROW(),$S$5:$S$1000,"Sub")),$V13))</f>
        <v/>
      </c>
      <c r="AA13" s="71">
        <f>IF($S13="","",IF(N($T13)&gt;0,IF(N($AG13)&gt;0,SUMIFS($AE$5:$AE$1000,$R$5:$R$1000,ROW(),$S$5:$S$1000,"Sub")/$AG13,AVERAGEIFS($W$5:$W$1000,$R$5:$R$1000,ROW(),$S$5:$S$1000,"Sub")),$W13))</f>
        <v/>
      </c>
      <c r="AB13" s="71">
        <f>IF($S13="","",IF(N($T13)&gt;0,IF(N($AG13)&gt;0,SUMIFS($AF$5:$AF$1000,$R$5:$R$1000,ROW(),$S$5:$S$1000,"Sub")/$AG13,AVERAGEIFS($X$5:$X$1000,$R$5:$R$1000,ROW(),$S$5:$S$1000,"Sub")),$X13))</f>
        <v/>
      </c>
      <c r="AC13" s="71">
        <f>IF($S13="Sub",N($F13)*N($U13),"")</f>
        <v/>
      </c>
      <c r="AD13" s="71">
        <f>IF($S13="Sub",N($F13)*N($V13),"")</f>
        <v/>
      </c>
      <c r="AE13" s="71">
        <f>IF($S13="Sub",N($F13)*N($W13),"")</f>
        <v/>
      </c>
      <c r="AF13" s="71">
        <f>IF($S13="Sub",N($F13)*N($X13),"")</f>
        <v/>
      </c>
      <c r="AG13" s="71">
        <f>IF(N($T13)&gt;0,SUMIFS($F$5:$F$1000,$R$5:$R$1000,ROW(),$S$5:$S$1000,"Sub"),"")</f>
        <v/>
      </c>
    </row>
    <row r="14">
      <c r="A14" s="62">
        <f>IF(NOT((COUNTA($B14:$J14)+COUNTA($N14))&gt;0),"",IF($S14="Macro",COUNTIFS($S$5:$S14,"Macro",$P$5:$P14,$P14),IF(N($R14)=0,"?",COUNTIFS(INDEX($S$5:$S$1000,1):INDEX($S$5:$S$1000,$R14-4),"Macro",INDEX($P$5:$P$1000,1):INDEX($P$5:$P$1000,$R14-4),INDEX($P$5:$P$1000,$R14-4))&amp;"."&amp;COUNTIFS($R$5:$R14,$R14,$S$5:$S14,"Sub"))))</f>
        <v/>
      </c>
      <c r="B14" s="63" t="n"/>
      <c r="C14" s="64" t="n"/>
      <c r="D14" s="65" t="n"/>
      <c r="E14" s="65" t="n"/>
      <c r="F14" s="66" t="n"/>
      <c r="G14" s="67" t="n"/>
      <c r="H14" s="67" t="n"/>
      <c r="I14" s="67" t="n"/>
      <c r="J14" s="67" t="n"/>
      <c r="K14" s="68">
        <f>IF(NOT((COUNTA($B14:$J14)+COUNTA($N14))&gt;0),"",IF(N($T14)&gt;0,$AB14,IFERROR(LOOKUP(2,1/(G14:J14&lt;&gt;""),G14:J14),0)))</f>
        <v/>
      </c>
      <c r="L14" s="62">
        <f>IF(K14="","",IF(K14&gt;=1,"Completado",IF(K14&gt;0,"En curso","Pendiente")))</f>
        <v/>
      </c>
      <c r="M14" s="62">
        <f>IF(NOT((COUNTA($B14:$J14)+COUNTA($N14))&gt;0),"",IF(N($K14)&gt;=1,"Cumplida",IF(NOT(ISNUMBER($E14)),"Sin fecha límite",IF($E14&lt;FechaRef,"Vencida hace "&amp;(FechaRef-$E14)&amp;IF(FechaRef-$E14=1," día"," días"),IF($E14=FechaRef,"Vence hoy",IF($E14-FechaRef&lt;=DiasAlerta,"Vence en "&amp;($E14-FechaRef)&amp;IF($E14-FechaRef=1," día"," días"),"En plazo"))))))</f>
        <v/>
      </c>
      <c r="N14" s="64" t="n"/>
      <c r="O14" s="69">
        <f>IF(NOT((COUNTA($B14:$J14)+COUNTA($N14))&gt;0),"",IF((IF($C14="","Falta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",""))="","✔ OK","⚠ "&amp;LEFT(IF($C14="","Falta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",""),LEN(IF($C14="","Falta el nombre de la actividad"&amp;" · ","")&amp;IF(AND($S14="Sub",N($R14)=0),"Subactividad sin macroactividad arriba"&amp;" · ","")&amp;IF($D14="","Sin fecha de inicio"&amp;" · ","")&amp;IF($E14="","Sin fecha límite"&amp;" · ","")&amp;IF(OR(AND($D14&lt;&gt;"",NOT(ISNUMBER($D14))),AND($E14&lt;&gt;"",NOT(ISNUMBER($E14)))),"Fecha no válida"&amp;" · ","")&amp;IF(AND(ISNUMBER($D14),ISNUMBER($E14),$D14&gt;$E14),"Inicio posterior a fecha límite"&amp;" · ","")&amp;IF(AND($S14="Macro",$F14=""),"Peso vacío"&amp;" · ","")&amp;IF(AND($S14="Macro",$F14&lt;&gt;"",OR(NOT(ISNUMBER($F14)),$F14&lt;=0,$F14&gt;1)),"Peso fuera de rango"&amp;" · ","")&amp;IF(AND($S14="Sub",$F14&lt;&gt;"",OR(NOT(ISNUMBER($F14)),$F14&lt;0,$F14&gt;1)),"Peso fuera de rango"&amp;" · ","")&amp;IF(AND($S14="Sub",$F14="",IFERROR(N(INDEX($AG$5:$AG$1000,$R14-4)),0)&gt;0),"Falta el peso de la subactividad"&amp;" · ","")&amp;IF(AND(N($T14)&gt;0,N($AG14)&gt;0,ABS(N($AG14)-N($F14))&gt;0.0001),"Pesos de sus subactividades suman "&amp;TEXT(N($AG14),"0%")&amp;" (deben sumar "&amp;TEXT(N($F14),"0%")&amp;")"&amp;" · ","")&amp;IF(AND($S14="Macro",ABS(SUMIFS($F$5:$F$1000,$P$5:$P$1000,$P14,$S$5:$S$1000,"Macro")-1)&gt;0.0001),"Pesos del mes suman "&amp;TEXT(SUMIFS($F$5:$F$1000,$P$5:$P$1000,$P14,$S$5:$S$1000,"Macro"),"0%")&amp;" · ","")&amp;IF(AND(N($T14)&gt;0,COUNT($G14:$J14)&gt;0),"Con subactividades: deje vacías las semanas (se calculan solas)"&amp;" · ","")&amp;IF((COUNTIF($G14:$J14,"&gt;1")+COUNTIF($G14:$J14,"&lt;0")+COUNTA($G14:$J14)-COUNT($G14:$J14))&gt;0,"Avance fuera de rango 0-100%"&amp;" · ","")&amp;IF(OR(AND($H14&lt;&gt;"",$H14&lt;$G14),AND($I14&lt;&gt;"",$I14&lt;MAX($G14:$H14)),AND($J14&lt;&gt;"",$J14&lt;MAX($G14:$I14))),"Avance semanal decreciente"&amp;" · ","")&amp;IF(AND(ISNUMBER($E14),$E14&lt;FechaRef,N($K14)&lt;1),"Vencida"&amp;" · ","")&amp;IF(AND(ObsObligatoria="Sí",ISNUMBER($E14),$E14&lt;FechaRef,N($K14)&lt;1,$N14=""),"Vencida sin observación"&amp;" · ",""))-3)))</f>
        <v/>
      </c>
      <c r="P14" s="70">
        <f>IF(NOT((COUNTA($B14:$J14)+COUNTA($N14))&gt;0),"",IF(AND($S14="Sub",N($R14)&gt;0),IF(ISNUMBER(INDEX($D$5:$D$1000,$R14-4)),DATE(YEAR(INDEX($D$5:$D$1000,$R14-4)),MONTH(INDEX($D$5:$D$1000,$R14-4)),1),IF(ISNUMBER(INDEX($E$5:$E$1000,$R14-4)),DATE(YEAR(INDEX($E$5:$E$1000,$R14-4)),MONTH(INDEX($E$5:$E$1000,$R14-4)),1),MesCiclo)),IF(ISNUMBER($D14),DATE(YEAR($D14),MONTH($D14),1),IF(ISNUMBER($E14),DATE(YEAR($E14),MONTH($E14),1),MesCiclo))))</f>
        <v/>
      </c>
      <c r="Q14" s="71">
        <f>IF(OR($P14="",$P14&lt;&gt;MesCiclo),"",COUNTIF($P$5:$P14,MesCiclo))</f>
        <v/>
      </c>
      <c r="R14" s="71">
        <f>IF($S14="","",IF($S14="Macro",ROW(),IFERROR(LOOKUP(2,1/($S$5:$S14="Macro"),ROW($S$5:$S14)),0)))</f>
        <v/>
      </c>
      <c r="S14" s="71">
        <f>IF(NOT((COUNTA($B14:$J14)+COUNTA($N14))&gt;0),"",IF($B14="Subactividad","Sub","Macro"))</f>
        <v/>
      </c>
      <c r="T14" s="71">
        <f>IF($S14="Macro",COUNTIFS($R$5:$R$1000,ROW(),$S$5:$S$1000,"Sub"),"")</f>
        <v/>
      </c>
      <c r="U14" s="71">
        <f>IF($S14="","",IF(ISNUMBER($G14),$G14,0))</f>
        <v/>
      </c>
      <c r="V14" s="71">
        <f>IF($S14="","",IF(ISNUMBER($H14),$H14,$U14))</f>
        <v/>
      </c>
      <c r="W14" s="71">
        <f>IF($S14="","",IF(ISNUMBER($I14),$I14,$V14))</f>
        <v/>
      </c>
      <c r="X14" s="71">
        <f>IF($S14="","",IF(ISNUMBER($J14),$J14,$W14))</f>
        <v/>
      </c>
      <c r="Y14" s="71">
        <f>IF($S14="","",IF(N($T14)&gt;0,IF(N($AG14)&gt;0,SUMIFS($AC$5:$AC$1000,$R$5:$R$1000,ROW(),$S$5:$S$1000,"Sub")/$AG14,AVERAGEIFS($U$5:$U$1000,$R$5:$R$1000,ROW(),$S$5:$S$1000,"Sub")),$U14))</f>
        <v/>
      </c>
      <c r="Z14" s="71">
        <f>IF($S14="","",IF(N($T14)&gt;0,IF(N($AG14)&gt;0,SUMIFS($AD$5:$AD$1000,$R$5:$R$1000,ROW(),$S$5:$S$1000,"Sub")/$AG14,AVERAGEIFS($V$5:$V$1000,$R$5:$R$1000,ROW(),$S$5:$S$1000,"Sub")),$V14))</f>
        <v/>
      </c>
      <c r="AA14" s="71">
        <f>IF($S14="","",IF(N($T14)&gt;0,IF(N($AG14)&gt;0,SUMIFS($AE$5:$AE$1000,$R$5:$R$1000,ROW(),$S$5:$S$1000,"Sub")/$AG14,AVERAGEIFS($W$5:$W$1000,$R$5:$R$1000,ROW(),$S$5:$S$1000,"Sub")),$W14))</f>
        <v/>
      </c>
      <c r="AB14" s="71">
        <f>IF($S14="","",IF(N($T14)&gt;0,IF(N($AG14)&gt;0,SUMIFS($AF$5:$AF$1000,$R$5:$R$1000,ROW(),$S$5:$S$1000,"Sub")/$AG14,AVERAGEIFS($X$5:$X$1000,$R$5:$R$1000,ROW(),$S$5:$S$1000,"Sub")),$X14))</f>
        <v/>
      </c>
      <c r="AC14" s="71">
        <f>IF($S14="Sub",N($F14)*N($U14),"")</f>
        <v/>
      </c>
      <c r="AD14" s="71">
        <f>IF($S14="Sub",N($F14)*N($V14),"")</f>
        <v/>
      </c>
      <c r="AE14" s="71">
        <f>IF($S14="Sub",N($F14)*N($W14),"")</f>
        <v/>
      </c>
      <c r="AF14" s="71">
        <f>IF($S14="Sub",N($F14)*N($X14),"")</f>
        <v/>
      </c>
      <c r="AG14" s="71">
        <f>IF(N($T14)&gt;0,SUMIFS($F$5:$F$1000,$R$5:$R$1000,ROW(),$S$5:$S$1000,"Sub"),"")</f>
        <v/>
      </c>
    </row>
    <row r="15">
      <c r="A15" s="62">
        <f>IF(NOT((COUNTA($B15:$J15)+COUNTA($N15))&gt;0),"",IF($S15="Macro",COUNTIFS($S$5:$S15,"Macro",$P$5:$P15,$P15),IF(N($R15)=0,"?",COUNTIFS(INDEX($S$5:$S$1000,1):INDEX($S$5:$S$1000,$R15-4),"Macro",INDEX($P$5:$P$1000,1):INDEX($P$5:$P$1000,$R15-4),INDEX($P$5:$P$1000,$R15-4))&amp;"."&amp;COUNTIFS($R$5:$R15,$R15,$S$5:$S15,"Sub"))))</f>
        <v/>
      </c>
      <c r="B15" s="63" t="n"/>
      <c r="C15" s="64" t="n"/>
      <c r="D15" s="65" t="n"/>
      <c r="E15" s="65" t="n"/>
      <c r="F15" s="66" t="n"/>
      <c r="G15" s="67" t="n"/>
      <c r="H15" s="67" t="n"/>
      <c r="I15" s="67" t="n"/>
      <c r="J15" s="67" t="n"/>
      <c r="K15" s="68">
        <f>IF(NOT((COUNTA($B15:$J15)+COUNTA($N15))&gt;0),"",IF(N($T15)&gt;0,$AB15,IFERROR(LOOKUP(2,1/(G15:J15&lt;&gt;""),G15:J15),0)))</f>
        <v/>
      </c>
      <c r="L15" s="62">
        <f>IF(K15="","",IF(K15&gt;=1,"Completado",IF(K15&gt;0,"En curso","Pendiente")))</f>
        <v/>
      </c>
      <c r="M15" s="62">
        <f>IF(NOT((COUNTA($B15:$J15)+COUNTA($N15))&gt;0),"",IF(N($K15)&gt;=1,"Cumplida",IF(NOT(ISNUMBER($E15)),"Sin fecha límite",IF($E15&lt;FechaRef,"Vencida hace "&amp;(FechaRef-$E15)&amp;IF(FechaRef-$E15=1," día"," días"),IF($E15=FechaRef,"Vence hoy",IF($E15-FechaRef&lt;=DiasAlerta,"Vence en "&amp;($E15-FechaRef)&amp;IF($E15-FechaRef=1," día"," días"),"En plazo"))))))</f>
        <v/>
      </c>
      <c r="N15" s="64" t="n"/>
      <c r="O15" s="69">
        <f>IF(NOT((COUNTA($B15:$J15)+COUNTA($N15))&gt;0),"",IF((IF($C15="","Falta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",""))="","✔ OK","⚠ "&amp;LEFT(IF($C15="","Falta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",""),LEN(IF($C15="","Falta el nombre de la actividad"&amp;" · ","")&amp;IF(AND($S15="Sub",N($R15)=0),"Subactividad sin macroactividad arriba"&amp;" · ","")&amp;IF($D15="","Sin fecha de inicio"&amp;" · ","")&amp;IF($E15="","Sin fecha límite"&amp;" · ","")&amp;IF(OR(AND($D15&lt;&gt;"",NOT(ISNUMBER($D15))),AND($E15&lt;&gt;"",NOT(ISNUMBER($E15)))),"Fecha no válida"&amp;" · ","")&amp;IF(AND(ISNUMBER($D15),ISNUMBER($E15),$D15&gt;$E15),"Inicio posterior a fecha límite"&amp;" · ","")&amp;IF(AND($S15="Macro",$F15=""),"Peso vacío"&amp;" · ","")&amp;IF(AND($S15="Macro",$F15&lt;&gt;"",OR(NOT(ISNUMBER($F15)),$F15&lt;=0,$F15&gt;1)),"Peso fuera de rango"&amp;" · ","")&amp;IF(AND($S15="Sub",$F15&lt;&gt;"",OR(NOT(ISNUMBER($F15)),$F15&lt;0,$F15&gt;1)),"Peso fuera de rango"&amp;" · ","")&amp;IF(AND($S15="Sub",$F15="",IFERROR(N(INDEX($AG$5:$AG$1000,$R15-4)),0)&gt;0),"Falta el peso de la subactividad"&amp;" · ","")&amp;IF(AND(N($T15)&gt;0,N($AG15)&gt;0,ABS(N($AG15)-N($F15))&gt;0.0001),"Pesos de sus subactividades suman "&amp;TEXT(N($AG15),"0%")&amp;" (deben sumar "&amp;TEXT(N($F15),"0%")&amp;")"&amp;" · ","")&amp;IF(AND($S15="Macro",ABS(SUMIFS($F$5:$F$1000,$P$5:$P$1000,$P15,$S$5:$S$1000,"Macro")-1)&gt;0.0001),"Pesos del mes suman "&amp;TEXT(SUMIFS($F$5:$F$1000,$P$5:$P$1000,$P15,$S$5:$S$1000,"Macro"),"0%")&amp;" · ","")&amp;IF(AND(N($T15)&gt;0,COUNT($G15:$J15)&gt;0),"Con subactividades: deje vacías las semanas (se calculan solas)"&amp;" · ","")&amp;IF((COUNTIF($G15:$J15,"&gt;1")+COUNTIF($G15:$J15,"&lt;0")+COUNTA($G15:$J15)-COUNT($G15:$J15))&gt;0,"Avance fuera de rango 0-100%"&amp;" · ","")&amp;IF(OR(AND($H15&lt;&gt;"",$H15&lt;$G15),AND($I15&lt;&gt;"",$I15&lt;MAX($G15:$H15)),AND($J15&lt;&gt;"",$J15&lt;MAX($G15:$I15))),"Avance semanal decreciente"&amp;" · ","")&amp;IF(AND(ISNUMBER($E15),$E15&lt;FechaRef,N($K15)&lt;1),"Vencida"&amp;" · ","")&amp;IF(AND(ObsObligatoria="Sí",ISNUMBER($E15),$E15&lt;FechaRef,N($K15)&lt;1,$N15=""),"Vencida sin observación"&amp;" · ",""))-3)))</f>
        <v/>
      </c>
      <c r="P15" s="70">
        <f>IF(NOT((COUNTA($B15:$J15)+COUNTA($N15))&gt;0),"",IF(AND($S15="Sub",N($R15)&gt;0),IF(ISNUMBER(INDEX($D$5:$D$1000,$R15-4)),DATE(YEAR(INDEX($D$5:$D$1000,$R15-4)),MONTH(INDEX($D$5:$D$1000,$R15-4)),1),IF(ISNUMBER(INDEX($E$5:$E$1000,$R15-4)),DATE(YEAR(INDEX($E$5:$E$1000,$R15-4)),MONTH(INDEX($E$5:$E$1000,$R15-4)),1),MesCiclo)),IF(ISNUMBER($D15),DATE(YEAR($D15),MONTH($D15),1),IF(ISNUMBER($E15),DATE(YEAR($E15),MONTH($E15),1),MesCiclo))))</f>
        <v/>
      </c>
      <c r="Q15" s="71">
        <f>IF(OR($P15="",$P15&lt;&gt;MesCiclo),"",COUNTIF($P$5:$P15,MesCiclo))</f>
        <v/>
      </c>
      <c r="R15" s="71">
        <f>IF($S15="","",IF($S15="Macro",ROW(),IFERROR(LOOKUP(2,1/($S$5:$S15="Macro"),ROW($S$5:$S15)),0)))</f>
        <v/>
      </c>
      <c r="S15" s="71">
        <f>IF(NOT((COUNTA($B15:$J15)+COUNTA($N15))&gt;0),"",IF($B15="Subactividad","Sub","Macro"))</f>
        <v/>
      </c>
      <c r="T15" s="71">
        <f>IF($S15="Macro",COUNTIFS($R$5:$R$1000,ROW(),$S$5:$S$1000,"Sub"),"")</f>
        <v/>
      </c>
      <c r="U15" s="71">
        <f>IF($S15="","",IF(ISNUMBER($G15),$G15,0))</f>
        <v/>
      </c>
      <c r="V15" s="71">
        <f>IF($S15="","",IF(ISNUMBER($H15),$H15,$U15))</f>
        <v/>
      </c>
      <c r="W15" s="71">
        <f>IF($S15="","",IF(ISNUMBER($I15),$I15,$V15))</f>
        <v/>
      </c>
      <c r="X15" s="71">
        <f>IF($S15="","",IF(ISNUMBER($J15),$J15,$W15))</f>
        <v/>
      </c>
      <c r="Y15" s="71">
        <f>IF($S15="","",IF(N($T15)&gt;0,IF(N($AG15)&gt;0,SUMIFS($AC$5:$AC$1000,$R$5:$R$1000,ROW(),$S$5:$S$1000,"Sub")/$AG15,AVERAGEIFS($U$5:$U$1000,$R$5:$R$1000,ROW(),$S$5:$S$1000,"Sub")),$U15))</f>
        <v/>
      </c>
      <c r="Z15" s="71">
        <f>IF($S15="","",IF(N($T15)&gt;0,IF(N($AG15)&gt;0,SUMIFS($AD$5:$AD$1000,$R$5:$R$1000,ROW(),$S$5:$S$1000,"Sub")/$AG15,AVERAGEIFS($V$5:$V$1000,$R$5:$R$1000,ROW(),$S$5:$S$1000,"Sub")),$V15))</f>
        <v/>
      </c>
      <c r="AA15" s="71">
        <f>IF($S15="","",IF(N($T15)&gt;0,IF(N($AG15)&gt;0,SUMIFS($AE$5:$AE$1000,$R$5:$R$1000,ROW(),$S$5:$S$1000,"Sub")/$AG15,AVERAGEIFS($W$5:$W$1000,$R$5:$R$1000,ROW(),$S$5:$S$1000,"Sub")),$W15))</f>
        <v/>
      </c>
      <c r="AB15" s="71">
        <f>IF($S15="","",IF(N($T15)&gt;0,IF(N($AG15)&gt;0,SUMIFS($AF$5:$AF$1000,$R$5:$R$1000,ROW(),$S$5:$S$1000,"Sub")/$AG15,AVERAGEIFS($X$5:$X$1000,$R$5:$R$1000,ROW(),$S$5:$S$1000,"Sub")),$X15))</f>
        <v/>
      </c>
      <c r="AC15" s="71">
        <f>IF($S15="Sub",N($F15)*N($U15),"")</f>
        <v/>
      </c>
      <c r="AD15" s="71">
        <f>IF($S15="Sub",N($F15)*N($V15),"")</f>
        <v/>
      </c>
      <c r="AE15" s="71">
        <f>IF($S15="Sub",N($F15)*N($W15),"")</f>
        <v/>
      </c>
      <c r="AF15" s="71">
        <f>IF($S15="Sub",N($F15)*N($X15),"")</f>
        <v/>
      </c>
      <c r="AG15" s="71">
        <f>IF(N($T15)&gt;0,SUMIFS($F$5:$F$1000,$R$5:$R$1000,ROW(),$S$5:$S$1000,"Sub"),"")</f>
        <v/>
      </c>
    </row>
    <row r="16">
      <c r="A16" s="62">
        <f>IF(NOT((COUNTA($B16:$J16)+COUNTA($N16))&gt;0),"",IF($S16="Macro",COUNTIFS($S$5:$S16,"Macro",$P$5:$P16,$P16),IF(N($R16)=0,"?",COUNTIFS(INDEX($S$5:$S$1000,1):INDEX($S$5:$S$1000,$R16-4),"Macro",INDEX($P$5:$P$1000,1):INDEX($P$5:$P$1000,$R16-4),INDEX($P$5:$P$1000,$R16-4))&amp;"."&amp;COUNTIFS($R$5:$R16,$R16,$S$5:$S16,"Sub"))))</f>
        <v/>
      </c>
      <c r="B16" s="63" t="n"/>
      <c r="C16" s="64" t="n"/>
      <c r="D16" s="65" t="n"/>
      <c r="E16" s="65" t="n"/>
      <c r="F16" s="66" t="n"/>
      <c r="G16" s="67" t="n"/>
      <c r="H16" s="67" t="n"/>
      <c r="I16" s="67" t="n"/>
      <c r="J16" s="67" t="n"/>
      <c r="K16" s="68">
        <f>IF(NOT((COUNTA($B16:$J16)+COUNTA($N16))&gt;0),"",IF(N($T16)&gt;0,$AB16,IFERROR(LOOKUP(2,1/(G16:J16&lt;&gt;""),G16:J16),0)))</f>
        <v/>
      </c>
      <c r="L16" s="62">
        <f>IF(K16="","",IF(K16&gt;=1,"Completado",IF(K16&gt;0,"En curso","Pendiente")))</f>
        <v/>
      </c>
      <c r="M16" s="62">
        <f>IF(NOT((COUNTA($B16:$J16)+COUNTA($N16))&gt;0),"",IF(N($K16)&gt;=1,"Cumplida",IF(NOT(ISNUMBER($E16)),"Sin fecha límite",IF($E16&lt;FechaRef,"Vencida hace "&amp;(FechaRef-$E16)&amp;IF(FechaRef-$E16=1," día"," días"),IF($E16=FechaRef,"Vence hoy",IF($E16-FechaRef&lt;=DiasAlerta,"Vence en "&amp;($E16-FechaRef)&amp;IF($E16-FechaRef=1," día"," días"),"En plazo"))))))</f>
        <v/>
      </c>
      <c r="N16" s="64" t="n"/>
      <c r="O16" s="69">
        <f>IF(NOT((COUNTA($B16:$J16)+COUNTA($N16))&gt;0),"",IF((IF($C16="","Falta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",""))="","✔ OK","⚠ "&amp;LEFT(IF($C16="","Falta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",""),LEN(IF($C16="","Falta el nombre de la actividad"&amp;" · ","")&amp;IF(AND($S16="Sub",N($R16)=0),"Subactividad sin macroactividad arriba"&amp;" · ","")&amp;IF($D16="","Sin fecha de inicio"&amp;" · ","")&amp;IF($E16="","Sin fecha límite"&amp;" · ","")&amp;IF(OR(AND($D16&lt;&gt;"",NOT(ISNUMBER($D16))),AND($E16&lt;&gt;"",NOT(ISNUMBER($E16)))),"Fecha no válida"&amp;" · ","")&amp;IF(AND(ISNUMBER($D16),ISNUMBER($E16),$D16&gt;$E16),"Inicio posterior a fecha límite"&amp;" · ","")&amp;IF(AND($S16="Macro",$F16=""),"Peso vacío"&amp;" · ","")&amp;IF(AND($S16="Macro",$F16&lt;&gt;"",OR(NOT(ISNUMBER($F16)),$F16&lt;=0,$F16&gt;1)),"Peso fuera de rango"&amp;" · ","")&amp;IF(AND($S16="Sub",$F16&lt;&gt;"",OR(NOT(ISNUMBER($F16)),$F16&lt;0,$F16&gt;1)),"Peso fuera de rango"&amp;" · ","")&amp;IF(AND($S16="Sub",$F16="",IFERROR(N(INDEX($AG$5:$AG$1000,$R16-4)),0)&gt;0),"Falta el peso de la subactividad"&amp;" · ","")&amp;IF(AND(N($T16)&gt;0,N($AG16)&gt;0,ABS(N($AG16)-N($F16))&gt;0.0001),"Pesos de sus subactividades suman "&amp;TEXT(N($AG16),"0%")&amp;" (deben sumar "&amp;TEXT(N($F16),"0%")&amp;")"&amp;" · ","")&amp;IF(AND($S16="Macro",ABS(SUMIFS($F$5:$F$1000,$P$5:$P$1000,$P16,$S$5:$S$1000,"Macro")-1)&gt;0.0001),"Pesos del mes suman "&amp;TEXT(SUMIFS($F$5:$F$1000,$P$5:$P$1000,$P16,$S$5:$S$1000,"Macro"),"0%")&amp;" · ","")&amp;IF(AND(N($T16)&gt;0,COUNT($G16:$J16)&gt;0),"Con subactividades: deje vacías las semanas (se calculan solas)"&amp;" · ","")&amp;IF((COUNTIF($G16:$J16,"&gt;1")+COUNTIF($G16:$J16,"&lt;0")+COUNTA($G16:$J16)-COUNT($G16:$J16))&gt;0,"Avance fuera de rango 0-100%"&amp;" · ","")&amp;IF(OR(AND($H16&lt;&gt;"",$H16&lt;$G16),AND($I16&lt;&gt;"",$I16&lt;MAX($G16:$H16)),AND($J16&lt;&gt;"",$J16&lt;MAX($G16:$I16))),"Avance semanal decreciente"&amp;" · ","")&amp;IF(AND(ISNUMBER($E16),$E16&lt;FechaRef,N($K16)&lt;1),"Vencida"&amp;" · ","")&amp;IF(AND(ObsObligatoria="Sí",ISNUMBER($E16),$E16&lt;FechaRef,N($K16)&lt;1,$N16=""),"Vencida sin observación"&amp;" · ",""))-3)))</f>
        <v/>
      </c>
      <c r="P16" s="70">
        <f>IF(NOT((COUNTA($B16:$J16)+COUNTA($N16))&gt;0),"",IF(AND($S16="Sub",N($R16)&gt;0),IF(ISNUMBER(INDEX($D$5:$D$1000,$R16-4)),DATE(YEAR(INDEX($D$5:$D$1000,$R16-4)),MONTH(INDEX($D$5:$D$1000,$R16-4)),1),IF(ISNUMBER(INDEX($E$5:$E$1000,$R16-4)),DATE(YEAR(INDEX($E$5:$E$1000,$R16-4)),MONTH(INDEX($E$5:$E$1000,$R16-4)),1),MesCiclo)),IF(ISNUMBER($D16),DATE(YEAR($D16),MONTH($D16),1),IF(ISNUMBER($E16),DATE(YEAR($E16),MONTH($E16),1),MesCiclo))))</f>
        <v/>
      </c>
      <c r="Q16" s="71">
        <f>IF(OR($P16="",$P16&lt;&gt;MesCiclo),"",COUNTIF($P$5:$P16,MesCiclo))</f>
        <v/>
      </c>
      <c r="R16" s="71">
        <f>IF($S16="","",IF($S16="Macro",ROW(),IFERROR(LOOKUP(2,1/($S$5:$S16="Macro"),ROW($S$5:$S16)),0)))</f>
        <v/>
      </c>
      <c r="S16" s="71">
        <f>IF(NOT((COUNTA($B16:$J16)+COUNTA($N16))&gt;0),"",IF($B16="Subactividad","Sub","Macro"))</f>
        <v/>
      </c>
      <c r="T16" s="71">
        <f>IF($S16="Macro",COUNTIFS($R$5:$R$1000,ROW(),$S$5:$S$1000,"Sub"),"")</f>
        <v/>
      </c>
      <c r="U16" s="71">
        <f>IF($S16="","",IF(ISNUMBER($G16),$G16,0))</f>
        <v/>
      </c>
      <c r="V16" s="71">
        <f>IF($S16="","",IF(ISNUMBER($H16),$H16,$U16))</f>
        <v/>
      </c>
      <c r="W16" s="71">
        <f>IF($S16="","",IF(ISNUMBER($I16),$I16,$V16))</f>
        <v/>
      </c>
      <c r="X16" s="71">
        <f>IF($S16="","",IF(ISNUMBER($J16),$J16,$W16))</f>
        <v/>
      </c>
      <c r="Y16" s="71">
        <f>IF($S16="","",IF(N($T16)&gt;0,IF(N($AG16)&gt;0,SUMIFS($AC$5:$AC$1000,$R$5:$R$1000,ROW(),$S$5:$S$1000,"Sub")/$AG16,AVERAGEIFS($U$5:$U$1000,$R$5:$R$1000,ROW(),$S$5:$S$1000,"Sub")),$U16))</f>
        <v/>
      </c>
      <c r="Z16" s="71">
        <f>IF($S16="","",IF(N($T16)&gt;0,IF(N($AG16)&gt;0,SUMIFS($AD$5:$AD$1000,$R$5:$R$1000,ROW(),$S$5:$S$1000,"Sub")/$AG16,AVERAGEIFS($V$5:$V$1000,$R$5:$R$1000,ROW(),$S$5:$S$1000,"Sub")),$V16))</f>
        <v/>
      </c>
      <c r="AA16" s="71">
        <f>IF($S16="","",IF(N($T16)&gt;0,IF(N($AG16)&gt;0,SUMIFS($AE$5:$AE$1000,$R$5:$R$1000,ROW(),$S$5:$S$1000,"Sub")/$AG16,AVERAGEIFS($W$5:$W$1000,$R$5:$R$1000,ROW(),$S$5:$S$1000,"Sub")),$W16))</f>
        <v/>
      </c>
      <c r="AB16" s="71">
        <f>IF($S16="","",IF(N($T16)&gt;0,IF(N($AG16)&gt;0,SUMIFS($AF$5:$AF$1000,$R$5:$R$1000,ROW(),$S$5:$S$1000,"Sub")/$AG16,AVERAGEIFS($X$5:$X$1000,$R$5:$R$1000,ROW(),$S$5:$S$1000,"Sub")),$X16))</f>
        <v/>
      </c>
      <c r="AC16" s="71">
        <f>IF($S16="Sub",N($F16)*N($U16),"")</f>
        <v/>
      </c>
      <c r="AD16" s="71">
        <f>IF($S16="Sub",N($F16)*N($V16),"")</f>
        <v/>
      </c>
      <c r="AE16" s="71">
        <f>IF($S16="Sub",N($F16)*N($W16),"")</f>
        <v/>
      </c>
      <c r="AF16" s="71">
        <f>IF($S16="Sub",N($F16)*N($X16),"")</f>
        <v/>
      </c>
      <c r="AG16" s="71">
        <f>IF(N($T16)&gt;0,SUMIFS($F$5:$F$1000,$R$5:$R$1000,ROW(),$S$5:$S$1000,"Sub"),"")</f>
        <v/>
      </c>
    </row>
    <row r="17">
      <c r="A17" s="62">
        <f>IF(NOT((COUNTA($B17:$J17)+COUNTA($N17))&gt;0),"",IF($S17="Macro",COUNTIFS($S$5:$S17,"Macro",$P$5:$P17,$P17),IF(N($R17)=0,"?",COUNTIFS(INDEX($S$5:$S$1000,1):INDEX($S$5:$S$1000,$R17-4),"Macro",INDEX($P$5:$P$1000,1):INDEX($P$5:$P$1000,$R17-4),INDEX($P$5:$P$1000,$R17-4))&amp;"."&amp;COUNTIFS($R$5:$R17,$R17,$S$5:$S17,"Sub"))))</f>
        <v/>
      </c>
      <c r="B17" s="63" t="n"/>
      <c r="C17" s="64" t="n"/>
      <c r="D17" s="65" t="n"/>
      <c r="E17" s="65" t="n"/>
      <c r="F17" s="66" t="n"/>
      <c r="G17" s="67" t="n"/>
      <c r="H17" s="67" t="n"/>
      <c r="I17" s="67" t="n"/>
      <c r="J17" s="67" t="n"/>
      <c r="K17" s="68">
        <f>IF(NOT((COUNTA($B17:$J17)+COUNTA($N17))&gt;0),"",IF(N($T17)&gt;0,$AB17,IFERROR(LOOKUP(2,1/(G17:J17&lt;&gt;""),G17:J17),0)))</f>
        <v/>
      </c>
      <c r="L17" s="62">
        <f>IF(K17="","",IF(K17&gt;=1,"Completado",IF(K17&gt;0,"En curso","Pendiente")))</f>
        <v/>
      </c>
      <c r="M17" s="62">
        <f>IF(NOT((COUNTA($B17:$J17)+COUNTA($N17))&gt;0),"",IF(N($K17)&gt;=1,"Cumplida",IF(NOT(ISNUMBER($E17)),"Sin fecha límite",IF($E17&lt;FechaRef,"Vencida hace "&amp;(FechaRef-$E17)&amp;IF(FechaRef-$E17=1," día"," días"),IF($E17=FechaRef,"Vence hoy",IF($E17-FechaRef&lt;=DiasAlerta,"Vence en "&amp;($E17-FechaRef)&amp;IF($E17-FechaRef=1," día"," días"),"En plazo"))))))</f>
        <v/>
      </c>
      <c r="N17" s="64" t="n"/>
      <c r="O17" s="69">
        <f>IF(NOT((COUNTA($B17:$J17)+COUNTA($N17))&gt;0),"",IF((IF($C17="","Falta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",""))="","✔ OK","⚠ "&amp;LEFT(IF($C17="","Falta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",""),LEN(IF($C17="","Falta el nombre de la actividad"&amp;" · ","")&amp;IF(AND($S17="Sub",N($R17)=0),"Subactividad sin macroactividad arriba"&amp;" · ","")&amp;IF($D17="","Sin fecha de inicio"&amp;" · ","")&amp;IF($E17="","Sin fecha límite"&amp;" · ","")&amp;IF(OR(AND($D17&lt;&gt;"",NOT(ISNUMBER($D17))),AND($E17&lt;&gt;"",NOT(ISNUMBER($E17)))),"Fecha no válida"&amp;" · ","")&amp;IF(AND(ISNUMBER($D17),ISNUMBER($E17),$D17&gt;$E17),"Inicio posterior a fecha límite"&amp;" · ","")&amp;IF(AND($S17="Macro",$F17=""),"Peso vacío"&amp;" · ","")&amp;IF(AND($S17="Macro",$F17&lt;&gt;"",OR(NOT(ISNUMBER($F17)),$F17&lt;=0,$F17&gt;1)),"Peso fuera de rango"&amp;" · ","")&amp;IF(AND($S17="Sub",$F17&lt;&gt;"",OR(NOT(ISNUMBER($F17)),$F17&lt;0,$F17&gt;1)),"Peso fuera de rango"&amp;" · ","")&amp;IF(AND($S17="Sub",$F17="",IFERROR(N(INDEX($AG$5:$AG$1000,$R17-4)),0)&gt;0),"Falta el peso de la subactividad"&amp;" · ","")&amp;IF(AND(N($T17)&gt;0,N($AG17)&gt;0,ABS(N($AG17)-N($F17))&gt;0.0001),"Pesos de sus subactividades suman "&amp;TEXT(N($AG17),"0%")&amp;" (deben sumar "&amp;TEXT(N($F17),"0%")&amp;")"&amp;" · ","")&amp;IF(AND($S17="Macro",ABS(SUMIFS($F$5:$F$1000,$P$5:$P$1000,$P17,$S$5:$S$1000,"Macro")-1)&gt;0.0001),"Pesos del mes suman "&amp;TEXT(SUMIFS($F$5:$F$1000,$P$5:$P$1000,$P17,$S$5:$S$1000,"Macro"),"0%")&amp;" · ","")&amp;IF(AND(N($T17)&gt;0,COUNT($G17:$J17)&gt;0),"Con subactividades: deje vacías las semanas (se calculan solas)"&amp;" · ","")&amp;IF((COUNTIF($G17:$J17,"&gt;1")+COUNTIF($G17:$J17,"&lt;0")+COUNTA($G17:$J17)-COUNT($G17:$J17))&gt;0,"Avance fuera de rango 0-100%"&amp;" · ","")&amp;IF(OR(AND($H17&lt;&gt;"",$H17&lt;$G17),AND($I17&lt;&gt;"",$I17&lt;MAX($G17:$H17)),AND($J17&lt;&gt;"",$J17&lt;MAX($G17:$I17))),"Avance semanal decreciente"&amp;" · ","")&amp;IF(AND(ISNUMBER($E17),$E17&lt;FechaRef,N($K17)&lt;1),"Vencida"&amp;" · ","")&amp;IF(AND(ObsObligatoria="Sí",ISNUMBER($E17),$E17&lt;FechaRef,N($K17)&lt;1,$N17=""),"Vencida sin observación"&amp;" · ",""))-3)))</f>
        <v/>
      </c>
      <c r="P17" s="70">
        <f>IF(NOT((COUNTA($B17:$J17)+COUNTA($N17))&gt;0),"",IF(AND($S17="Sub",N($R17)&gt;0),IF(ISNUMBER(INDEX($D$5:$D$1000,$R17-4)),DATE(YEAR(INDEX($D$5:$D$1000,$R17-4)),MONTH(INDEX($D$5:$D$1000,$R17-4)),1),IF(ISNUMBER(INDEX($E$5:$E$1000,$R17-4)),DATE(YEAR(INDEX($E$5:$E$1000,$R17-4)),MONTH(INDEX($E$5:$E$1000,$R17-4)),1),MesCiclo)),IF(ISNUMBER($D17),DATE(YEAR($D17),MONTH($D17),1),IF(ISNUMBER($E17),DATE(YEAR($E17),MONTH($E17),1),MesCiclo))))</f>
        <v/>
      </c>
      <c r="Q17" s="71">
        <f>IF(OR($P17="",$P17&lt;&gt;MesCiclo),"",COUNTIF($P$5:$P17,MesCiclo))</f>
        <v/>
      </c>
      <c r="R17" s="71">
        <f>IF($S17="","",IF($S17="Macro",ROW(),IFERROR(LOOKUP(2,1/($S$5:$S17="Macro"),ROW($S$5:$S17)),0)))</f>
        <v/>
      </c>
      <c r="S17" s="71">
        <f>IF(NOT((COUNTA($B17:$J17)+COUNTA($N17))&gt;0),"",IF($B17="Subactividad","Sub","Macro"))</f>
        <v/>
      </c>
      <c r="T17" s="71">
        <f>IF($S17="Macro",COUNTIFS($R$5:$R$1000,ROW(),$S$5:$S$1000,"Sub"),"")</f>
        <v/>
      </c>
      <c r="U17" s="71">
        <f>IF($S17="","",IF(ISNUMBER($G17),$G17,0))</f>
        <v/>
      </c>
      <c r="V17" s="71">
        <f>IF($S17="","",IF(ISNUMBER($H17),$H17,$U17))</f>
        <v/>
      </c>
      <c r="W17" s="71">
        <f>IF($S17="","",IF(ISNUMBER($I17),$I17,$V17))</f>
        <v/>
      </c>
      <c r="X17" s="71">
        <f>IF($S17="","",IF(ISNUMBER($J17),$J17,$W17))</f>
        <v/>
      </c>
      <c r="Y17" s="71">
        <f>IF($S17="","",IF(N($T17)&gt;0,IF(N($AG17)&gt;0,SUMIFS($AC$5:$AC$1000,$R$5:$R$1000,ROW(),$S$5:$S$1000,"Sub")/$AG17,AVERAGEIFS($U$5:$U$1000,$R$5:$R$1000,ROW(),$S$5:$S$1000,"Sub")),$U17))</f>
        <v/>
      </c>
      <c r="Z17" s="71">
        <f>IF($S17="","",IF(N($T17)&gt;0,IF(N($AG17)&gt;0,SUMIFS($AD$5:$AD$1000,$R$5:$R$1000,ROW(),$S$5:$S$1000,"Sub")/$AG17,AVERAGEIFS($V$5:$V$1000,$R$5:$R$1000,ROW(),$S$5:$S$1000,"Sub")),$V17))</f>
        <v/>
      </c>
      <c r="AA17" s="71">
        <f>IF($S17="","",IF(N($T17)&gt;0,IF(N($AG17)&gt;0,SUMIFS($AE$5:$AE$1000,$R$5:$R$1000,ROW(),$S$5:$S$1000,"Sub")/$AG17,AVERAGEIFS($W$5:$W$1000,$R$5:$R$1000,ROW(),$S$5:$S$1000,"Sub")),$W17))</f>
        <v/>
      </c>
      <c r="AB17" s="71">
        <f>IF($S17="","",IF(N($T17)&gt;0,IF(N($AG17)&gt;0,SUMIFS($AF$5:$AF$1000,$R$5:$R$1000,ROW(),$S$5:$S$1000,"Sub")/$AG17,AVERAGEIFS($X$5:$X$1000,$R$5:$R$1000,ROW(),$S$5:$S$1000,"Sub")),$X17))</f>
        <v/>
      </c>
      <c r="AC17" s="71">
        <f>IF($S17="Sub",N($F17)*N($U17),"")</f>
        <v/>
      </c>
      <c r="AD17" s="71">
        <f>IF($S17="Sub",N($F17)*N($V17),"")</f>
        <v/>
      </c>
      <c r="AE17" s="71">
        <f>IF($S17="Sub",N($F17)*N($W17),"")</f>
        <v/>
      </c>
      <c r="AF17" s="71">
        <f>IF($S17="Sub",N($F17)*N($X17),"")</f>
        <v/>
      </c>
      <c r="AG17" s="71">
        <f>IF(N($T17)&gt;0,SUMIFS($F$5:$F$1000,$R$5:$R$1000,ROW(),$S$5:$S$1000,"Sub"),"")</f>
        <v/>
      </c>
    </row>
    <row r="18">
      <c r="A18" s="62">
        <f>IF(NOT((COUNTA($B18:$J18)+COUNTA($N18))&gt;0),"",IF($S18="Macro",COUNTIFS($S$5:$S18,"Macro",$P$5:$P18,$P18),IF(N($R18)=0,"?",COUNTIFS(INDEX($S$5:$S$1000,1):INDEX($S$5:$S$1000,$R18-4),"Macro",INDEX($P$5:$P$1000,1):INDEX($P$5:$P$1000,$R18-4),INDEX($P$5:$P$1000,$R18-4))&amp;"."&amp;COUNTIFS($R$5:$R18,$R18,$S$5:$S18,"Sub"))))</f>
        <v/>
      </c>
      <c r="B18" s="63" t="n"/>
      <c r="C18" s="64" t="n"/>
      <c r="D18" s="65" t="n"/>
      <c r="E18" s="65" t="n"/>
      <c r="F18" s="66" t="n"/>
      <c r="G18" s="67" t="n"/>
      <c r="H18" s="67" t="n"/>
      <c r="I18" s="67" t="n"/>
      <c r="J18" s="67" t="n"/>
      <c r="K18" s="68">
        <f>IF(NOT((COUNTA($B18:$J18)+COUNTA($N18))&gt;0),"",IF(N($T18)&gt;0,$AB18,IFERROR(LOOKUP(2,1/(G18:J18&lt;&gt;""),G18:J18),0)))</f>
        <v/>
      </c>
      <c r="L18" s="62">
        <f>IF(K18="","",IF(K18&gt;=1,"Completado",IF(K18&gt;0,"En curso","Pendiente")))</f>
        <v/>
      </c>
      <c r="M18" s="62">
        <f>IF(NOT((COUNTA($B18:$J18)+COUNTA($N18))&gt;0),"",IF(N($K18)&gt;=1,"Cumplida",IF(NOT(ISNUMBER($E18)),"Sin fecha límite",IF($E18&lt;FechaRef,"Vencida hace "&amp;(FechaRef-$E18)&amp;IF(FechaRef-$E18=1," día"," días"),IF($E18=FechaRef,"Vence hoy",IF($E18-FechaRef&lt;=DiasAlerta,"Vence en "&amp;($E18-FechaRef)&amp;IF($E18-FechaRef=1," día"," días"),"En plazo"))))))</f>
        <v/>
      </c>
      <c r="N18" s="64" t="n"/>
      <c r="O18" s="69">
        <f>IF(NOT((COUNTA($B18:$J18)+COUNTA($N18))&gt;0),"",IF((IF($C18="","Falta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",""))="","✔ OK","⚠ "&amp;LEFT(IF($C18="","Falta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",""),LEN(IF($C18="","Falta el nombre de la actividad"&amp;" · ","")&amp;IF(AND($S18="Sub",N($R18)=0),"Subactividad sin macroactividad arriba"&amp;" · ","")&amp;IF($D18="","Sin fecha de inicio"&amp;" · ","")&amp;IF($E18="","Sin fecha límite"&amp;" · ","")&amp;IF(OR(AND($D18&lt;&gt;"",NOT(ISNUMBER($D18))),AND($E18&lt;&gt;"",NOT(ISNUMBER($E18)))),"Fecha no válida"&amp;" · ","")&amp;IF(AND(ISNUMBER($D18),ISNUMBER($E18),$D18&gt;$E18),"Inicio posterior a fecha límite"&amp;" · ","")&amp;IF(AND($S18="Macro",$F18=""),"Peso vacío"&amp;" · ","")&amp;IF(AND($S18="Macro",$F18&lt;&gt;"",OR(NOT(ISNUMBER($F18)),$F18&lt;=0,$F18&gt;1)),"Peso fuera de rango"&amp;" · ","")&amp;IF(AND($S18="Sub",$F18&lt;&gt;"",OR(NOT(ISNUMBER($F18)),$F18&lt;0,$F18&gt;1)),"Peso fuera de rango"&amp;" · ","")&amp;IF(AND($S18="Sub",$F18="",IFERROR(N(INDEX($AG$5:$AG$1000,$R18-4)),0)&gt;0),"Falta el peso de la subactividad"&amp;" · ","")&amp;IF(AND(N($T18)&gt;0,N($AG18)&gt;0,ABS(N($AG18)-N($F18))&gt;0.0001),"Pesos de sus subactividades suman "&amp;TEXT(N($AG18),"0%")&amp;" (deben sumar "&amp;TEXT(N($F18),"0%")&amp;")"&amp;" · ","")&amp;IF(AND($S18="Macro",ABS(SUMIFS($F$5:$F$1000,$P$5:$P$1000,$P18,$S$5:$S$1000,"Macro")-1)&gt;0.0001),"Pesos del mes suman "&amp;TEXT(SUMIFS($F$5:$F$1000,$P$5:$P$1000,$P18,$S$5:$S$1000,"Macro"),"0%")&amp;" · ","")&amp;IF(AND(N($T18)&gt;0,COUNT($G18:$J18)&gt;0),"Con subactividades: deje vacías las semanas (se calculan solas)"&amp;" · ","")&amp;IF((COUNTIF($G18:$J18,"&gt;1")+COUNTIF($G18:$J18,"&lt;0")+COUNTA($G18:$J18)-COUNT($G18:$J18))&gt;0,"Avance fuera de rango 0-100%"&amp;" · ","")&amp;IF(OR(AND($H18&lt;&gt;"",$H18&lt;$G18),AND($I18&lt;&gt;"",$I18&lt;MAX($G18:$H18)),AND($J18&lt;&gt;"",$J18&lt;MAX($G18:$I18))),"Avance semanal decreciente"&amp;" · ","")&amp;IF(AND(ISNUMBER($E18),$E18&lt;FechaRef,N($K18)&lt;1),"Vencida"&amp;" · ","")&amp;IF(AND(ObsObligatoria="Sí",ISNUMBER($E18),$E18&lt;FechaRef,N($K18)&lt;1,$N18=""),"Vencida sin observación"&amp;" · ",""))-3)))</f>
        <v/>
      </c>
      <c r="P18" s="70">
        <f>IF(NOT((COUNTA($B18:$J18)+COUNTA($N18))&gt;0),"",IF(AND($S18="Sub",N($R18)&gt;0),IF(ISNUMBER(INDEX($D$5:$D$1000,$R18-4)),DATE(YEAR(INDEX($D$5:$D$1000,$R18-4)),MONTH(INDEX($D$5:$D$1000,$R18-4)),1),IF(ISNUMBER(INDEX($E$5:$E$1000,$R18-4)),DATE(YEAR(INDEX($E$5:$E$1000,$R18-4)),MONTH(INDEX($E$5:$E$1000,$R18-4)),1),MesCiclo)),IF(ISNUMBER($D18),DATE(YEAR($D18),MONTH($D18),1),IF(ISNUMBER($E18),DATE(YEAR($E18),MONTH($E18),1),MesCiclo))))</f>
        <v/>
      </c>
      <c r="Q18" s="71">
        <f>IF(OR($P18="",$P18&lt;&gt;MesCiclo),"",COUNTIF($P$5:$P18,MesCiclo))</f>
        <v/>
      </c>
      <c r="R18" s="71">
        <f>IF($S18="","",IF($S18="Macro",ROW(),IFERROR(LOOKUP(2,1/($S$5:$S18="Macro"),ROW($S$5:$S18)),0)))</f>
        <v/>
      </c>
      <c r="S18" s="71">
        <f>IF(NOT((COUNTA($B18:$J18)+COUNTA($N18))&gt;0),"",IF($B18="Subactividad","Sub","Macro"))</f>
        <v/>
      </c>
      <c r="T18" s="71">
        <f>IF($S18="Macro",COUNTIFS($R$5:$R$1000,ROW(),$S$5:$S$1000,"Sub"),"")</f>
        <v/>
      </c>
      <c r="U18" s="71">
        <f>IF($S18="","",IF(ISNUMBER($G18),$G18,0))</f>
        <v/>
      </c>
      <c r="V18" s="71">
        <f>IF($S18="","",IF(ISNUMBER($H18),$H18,$U18))</f>
        <v/>
      </c>
      <c r="W18" s="71">
        <f>IF($S18="","",IF(ISNUMBER($I18),$I18,$V18))</f>
        <v/>
      </c>
      <c r="X18" s="71">
        <f>IF($S18="","",IF(ISNUMBER($J18),$J18,$W18))</f>
        <v/>
      </c>
      <c r="Y18" s="71">
        <f>IF($S18="","",IF(N($T18)&gt;0,IF(N($AG18)&gt;0,SUMIFS($AC$5:$AC$1000,$R$5:$R$1000,ROW(),$S$5:$S$1000,"Sub")/$AG18,AVERAGEIFS($U$5:$U$1000,$R$5:$R$1000,ROW(),$S$5:$S$1000,"Sub")),$U18))</f>
        <v/>
      </c>
      <c r="Z18" s="71">
        <f>IF($S18="","",IF(N($T18)&gt;0,IF(N($AG18)&gt;0,SUMIFS($AD$5:$AD$1000,$R$5:$R$1000,ROW(),$S$5:$S$1000,"Sub")/$AG18,AVERAGEIFS($V$5:$V$1000,$R$5:$R$1000,ROW(),$S$5:$S$1000,"Sub")),$V18))</f>
        <v/>
      </c>
      <c r="AA18" s="71">
        <f>IF($S18="","",IF(N($T18)&gt;0,IF(N($AG18)&gt;0,SUMIFS($AE$5:$AE$1000,$R$5:$R$1000,ROW(),$S$5:$S$1000,"Sub")/$AG18,AVERAGEIFS($W$5:$W$1000,$R$5:$R$1000,ROW(),$S$5:$S$1000,"Sub")),$W18))</f>
        <v/>
      </c>
      <c r="AB18" s="71">
        <f>IF($S18="","",IF(N($T18)&gt;0,IF(N($AG18)&gt;0,SUMIFS($AF$5:$AF$1000,$R$5:$R$1000,ROW(),$S$5:$S$1000,"Sub")/$AG18,AVERAGEIFS($X$5:$X$1000,$R$5:$R$1000,ROW(),$S$5:$S$1000,"Sub")),$X18))</f>
        <v/>
      </c>
      <c r="AC18" s="71">
        <f>IF($S18="Sub",N($F18)*N($U18),"")</f>
        <v/>
      </c>
      <c r="AD18" s="71">
        <f>IF($S18="Sub",N($F18)*N($V18),"")</f>
        <v/>
      </c>
      <c r="AE18" s="71">
        <f>IF($S18="Sub",N($F18)*N($W18),"")</f>
        <v/>
      </c>
      <c r="AF18" s="71">
        <f>IF($S18="Sub",N($F18)*N($X18),"")</f>
        <v/>
      </c>
      <c r="AG18" s="71">
        <f>IF(N($T18)&gt;0,SUMIFS($F$5:$F$1000,$R$5:$R$1000,ROW(),$S$5:$S$1000,"Sub"),"")</f>
        <v/>
      </c>
    </row>
    <row r="19">
      <c r="A19" s="62">
        <f>IF(NOT((COUNTA($B19:$J19)+COUNTA($N19))&gt;0),"",IF($S19="Macro",COUNTIFS($S$5:$S19,"Macro",$P$5:$P19,$P19),IF(N($R19)=0,"?",COUNTIFS(INDEX($S$5:$S$1000,1):INDEX($S$5:$S$1000,$R19-4),"Macro",INDEX($P$5:$P$1000,1):INDEX($P$5:$P$1000,$R19-4),INDEX($P$5:$P$1000,$R19-4))&amp;"."&amp;COUNTIFS($R$5:$R19,$R19,$S$5:$S19,"Sub"))))</f>
        <v/>
      </c>
      <c r="B19" s="63" t="n"/>
      <c r="C19" s="64" t="n"/>
      <c r="D19" s="65" t="n"/>
      <c r="E19" s="65" t="n"/>
      <c r="F19" s="66" t="n"/>
      <c r="G19" s="67" t="n"/>
      <c r="H19" s="67" t="n"/>
      <c r="I19" s="67" t="n"/>
      <c r="J19" s="67" t="n"/>
      <c r="K19" s="68">
        <f>IF(NOT((COUNTA($B19:$J19)+COUNTA($N19))&gt;0),"",IF(N($T19)&gt;0,$AB19,IFERROR(LOOKUP(2,1/(G19:J19&lt;&gt;""),G19:J19),0)))</f>
        <v/>
      </c>
      <c r="L19" s="62">
        <f>IF(K19="","",IF(K19&gt;=1,"Completado",IF(K19&gt;0,"En curso","Pendiente")))</f>
        <v/>
      </c>
      <c r="M19" s="62">
        <f>IF(NOT((COUNTA($B19:$J19)+COUNTA($N19))&gt;0),"",IF(N($K19)&gt;=1,"Cumplida",IF(NOT(ISNUMBER($E19)),"Sin fecha límite",IF($E19&lt;FechaRef,"Vencida hace "&amp;(FechaRef-$E19)&amp;IF(FechaRef-$E19=1," día"," días"),IF($E19=FechaRef,"Vence hoy",IF($E19-FechaRef&lt;=DiasAlerta,"Vence en "&amp;($E19-FechaRef)&amp;IF($E19-FechaRef=1," día"," días"),"En plazo"))))))</f>
        <v/>
      </c>
      <c r="N19" s="64" t="n"/>
      <c r="O19" s="69">
        <f>IF(NOT((COUNTA($B19:$J19)+COUNTA($N19))&gt;0),"",IF((IF($C19="","Falta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",""))="","✔ OK","⚠ "&amp;LEFT(IF($C19="","Falta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",""),LEN(IF($C19="","Falta el nombre de la actividad"&amp;" · ","")&amp;IF(AND($S19="Sub",N($R19)=0),"Subactividad sin macroactividad arriba"&amp;" · ","")&amp;IF($D19="","Sin fecha de inicio"&amp;" · ","")&amp;IF($E19="","Sin fecha límite"&amp;" · ","")&amp;IF(OR(AND($D19&lt;&gt;"",NOT(ISNUMBER($D19))),AND($E19&lt;&gt;"",NOT(ISNUMBER($E19)))),"Fecha no válida"&amp;" · ","")&amp;IF(AND(ISNUMBER($D19),ISNUMBER($E19),$D19&gt;$E19),"Inicio posterior a fecha límite"&amp;" · ","")&amp;IF(AND($S19="Macro",$F19=""),"Peso vacío"&amp;" · ","")&amp;IF(AND($S19="Macro",$F19&lt;&gt;"",OR(NOT(ISNUMBER($F19)),$F19&lt;=0,$F19&gt;1)),"Peso fuera de rango"&amp;" · ","")&amp;IF(AND($S19="Sub",$F19&lt;&gt;"",OR(NOT(ISNUMBER($F19)),$F19&lt;0,$F19&gt;1)),"Peso fuera de rango"&amp;" · ","")&amp;IF(AND($S19="Sub",$F19="",IFERROR(N(INDEX($AG$5:$AG$1000,$R19-4)),0)&gt;0),"Falta el peso de la subactividad"&amp;" · ","")&amp;IF(AND(N($T19)&gt;0,N($AG19)&gt;0,ABS(N($AG19)-N($F19))&gt;0.0001),"Pesos de sus subactividades suman "&amp;TEXT(N($AG19),"0%")&amp;" (deben sumar "&amp;TEXT(N($F19),"0%")&amp;")"&amp;" · ","")&amp;IF(AND($S19="Macro",ABS(SUMIFS($F$5:$F$1000,$P$5:$P$1000,$P19,$S$5:$S$1000,"Macro")-1)&gt;0.0001),"Pesos del mes suman "&amp;TEXT(SUMIFS($F$5:$F$1000,$P$5:$P$1000,$P19,$S$5:$S$1000,"Macro"),"0%")&amp;" · ","")&amp;IF(AND(N($T19)&gt;0,COUNT($G19:$J19)&gt;0),"Con subactividades: deje vacías las semanas (se calculan solas)"&amp;" · ","")&amp;IF((COUNTIF($G19:$J19,"&gt;1")+COUNTIF($G19:$J19,"&lt;0")+COUNTA($G19:$J19)-COUNT($G19:$J19))&gt;0,"Avance fuera de rango 0-100%"&amp;" · ","")&amp;IF(OR(AND($H19&lt;&gt;"",$H19&lt;$G19),AND($I19&lt;&gt;"",$I19&lt;MAX($G19:$H19)),AND($J19&lt;&gt;"",$J19&lt;MAX($G19:$I19))),"Avance semanal decreciente"&amp;" · ","")&amp;IF(AND(ISNUMBER($E19),$E19&lt;FechaRef,N($K19)&lt;1),"Vencida"&amp;" · ","")&amp;IF(AND(ObsObligatoria="Sí",ISNUMBER($E19),$E19&lt;FechaRef,N($K19)&lt;1,$N19=""),"Vencida sin observación"&amp;" · ",""))-3)))</f>
        <v/>
      </c>
      <c r="P19" s="70">
        <f>IF(NOT((COUNTA($B19:$J19)+COUNTA($N19))&gt;0),"",IF(AND($S19="Sub",N($R19)&gt;0),IF(ISNUMBER(INDEX($D$5:$D$1000,$R19-4)),DATE(YEAR(INDEX($D$5:$D$1000,$R19-4)),MONTH(INDEX($D$5:$D$1000,$R19-4)),1),IF(ISNUMBER(INDEX($E$5:$E$1000,$R19-4)),DATE(YEAR(INDEX($E$5:$E$1000,$R19-4)),MONTH(INDEX($E$5:$E$1000,$R19-4)),1),MesCiclo)),IF(ISNUMBER($D19),DATE(YEAR($D19),MONTH($D19),1),IF(ISNUMBER($E19),DATE(YEAR($E19),MONTH($E19),1),MesCiclo))))</f>
        <v/>
      </c>
      <c r="Q19" s="71">
        <f>IF(OR($P19="",$P19&lt;&gt;MesCiclo),"",COUNTIF($P$5:$P19,MesCiclo))</f>
        <v/>
      </c>
      <c r="R19" s="71">
        <f>IF($S19="","",IF($S19="Macro",ROW(),IFERROR(LOOKUP(2,1/($S$5:$S19="Macro"),ROW($S$5:$S19)),0)))</f>
        <v/>
      </c>
      <c r="S19" s="71">
        <f>IF(NOT((COUNTA($B19:$J19)+COUNTA($N19))&gt;0),"",IF($B19="Subactividad","Sub","Macro"))</f>
        <v/>
      </c>
      <c r="T19" s="71">
        <f>IF($S19="Macro",COUNTIFS($R$5:$R$1000,ROW(),$S$5:$S$1000,"Sub"),"")</f>
        <v/>
      </c>
      <c r="U19" s="71">
        <f>IF($S19="","",IF(ISNUMBER($G19),$G19,0))</f>
        <v/>
      </c>
      <c r="V19" s="71">
        <f>IF($S19="","",IF(ISNUMBER($H19),$H19,$U19))</f>
        <v/>
      </c>
      <c r="W19" s="71">
        <f>IF($S19="","",IF(ISNUMBER($I19),$I19,$V19))</f>
        <v/>
      </c>
      <c r="X19" s="71">
        <f>IF($S19="","",IF(ISNUMBER($J19),$J19,$W19))</f>
        <v/>
      </c>
      <c r="Y19" s="71">
        <f>IF($S19="","",IF(N($T19)&gt;0,IF(N($AG19)&gt;0,SUMIFS($AC$5:$AC$1000,$R$5:$R$1000,ROW(),$S$5:$S$1000,"Sub")/$AG19,AVERAGEIFS($U$5:$U$1000,$R$5:$R$1000,ROW(),$S$5:$S$1000,"Sub")),$U19))</f>
        <v/>
      </c>
      <c r="Z19" s="71">
        <f>IF($S19="","",IF(N($T19)&gt;0,IF(N($AG19)&gt;0,SUMIFS($AD$5:$AD$1000,$R$5:$R$1000,ROW(),$S$5:$S$1000,"Sub")/$AG19,AVERAGEIFS($V$5:$V$1000,$R$5:$R$1000,ROW(),$S$5:$S$1000,"Sub")),$V19))</f>
        <v/>
      </c>
      <c r="AA19" s="71">
        <f>IF($S19="","",IF(N($T19)&gt;0,IF(N($AG19)&gt;0,SUMIFS($AE$5:$AE$1000,$R$5:$R$1000,ROW(),$S$5:$S$1000,"Sub")/$AG19,AVERAGEIFS($W$5:$W$1000,$R$5:$R$1000,ROW(),$S$5:$S$1000,"Sub")),$W19))</f>
        <v/>
      </c>
      <c r="AB19" s="71">
        <f>IF($S19="","",IF(N($T19)&gt;0,IF(N($AG19)&gt;0,SUMIFS($AF$5:$AF$1000,$R$5:$R$1000,ROW(),$S$5:$S$1000,"Sub")/$AG19,AVERAGEIFS($X$5:$X$1000,$R$5:$R$1000,ROW(),$S$5:$S$1000,"Sub")),$X19))</f>
        <v/>
      </c>
      <c r="AC19" s="71">
        <f>IF($S19="Sub",N($F19)*N($U19),"")</f>
        <v/>
      </c>
      <c r="AD19" s="71">
        <f>IF($S19="Sub",N($F19)*N($V19),"")</f>
        <v/>
      </c>
      <c r="AE19" s="71">
        <f>IF($S19="Sub",N($F19)*N($W19),"")</f>
        <v/>
      </c>
      <c r="AF19" s="71">
        <f>IF($S19="Sub",N($F19)*N($X19),"")</f>
        <v/>
      </c>
      <c r="AG19" s="71">
        <f>IF(N($T19)&gt;0,SUMIFS($F$5:$F$1000,$R$5:$R$1000,ROW(),$S$5:$S$1000,"Sub"),"")</f>
        <v/>
      </c>
    </row>
    <row r="20">
      <c r="A20" s="62">
        <f>IF(NOT((COUNTA($B20:$J20)+COUNTA($N20))&gt;0),"",IF($S20="Macro",COUNTIFS($S$5:$S20,"Macro",$P$5:$P20,$P20),IF(N($R20)=0,"?",COUNTIFS(INDEX($S$5:$S$1000,1):INDEX($S$5:$S$1000,$R20-4),"Macro",INDEX($P$5:$P$1000,1):INDEX($P$5:$P$1000,$R20-4),INDEX($P$5:$P$1000,$R20-4))&amp;"."&amp;COUNTIFS($R$5:$R20,$R20,$S$5:$S20,"Sub"))))</f>
        <v/>
      </c>
      <c r="B20" s="63" t="n"/>
      <c r="C20" s="64" t="n"/>
      <c r="D20" s="65" t="n"/>
      <c r="E20" s="65" t="n"/>
      <c r="F20" s="66" t="n"/>
      <c r="G20" s="67" t="n"/>
      <c r="H20" s="67" t="n"/>
      <c r="I20" s="67" t="n"/>
      <c r="J20" s="67" t="n"/>
      <c r="K20" s="68">
        <f>IF(NOT((COUNTA($B20:$J20)+COUNTA($N20))&gt;0),"",IF(N($T20)&gt;0,$AB20,IFERROR(LOOKUP(2,1/(G20:J20&lt;&gt;""),G20:J20),0)))</f>
        <v/>
      </c>
      <c r="L20" s="62">
        <f>IF(K20="","",IF(K20&gt;=1,"Completado",IF(K20&gt;0,"En curso","Pendiente")))</f>
        <v/>
      </c>
      <c r="M20" s="62">
        <f>IF(NOT((COUNTA($B20:$J20)+COUNTA($N20))&gt;0),"",IF(N($K20)&gt;=1,"Cumplida",IF(NOT(ISNUMBER($E20)),"Sin fecha límite",IF($E20&lt;FechaRef,"Vencida hace "&amp;(FechaRef-$E20)&amp;IF(FechaRef-$E20=1," día"," días"),IF($E20=FechaRef,"Vence hoy",IF($E20-FechaRef&lt;=DiasAlerta,"Vence en "&amp;($E20-FechaRef)&amp;IF($E20-FechaRef=1," día"," días"),"En plazo"))))))</f>
        <v/>
      </c>
      <c r="N20" s="64" t="n"/>
      <c r="O20" s="69">
        <f>IF(NOT((COUNTA($B20:$J20)+COUNTA($N20))&gt;0),"",IF((IF($C20="","Falta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",""))="","✔ OK","⚠ "&amp;LEFT(IF($C20="","Falta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",""),LEN(IF($C20="","Falta el nombre de la actividad"&amp;" · ","")&amp;IF(AND($S20="Sub",N($R20)=0),"Subactividad sin macroactividad arriba"&amp;" · ","")&amp;IF($D20="","Sin fecha de inicio"&amp;" · ","")&amp;IF($E20="","Sin fecha límite"&amp;" · ","")&amp;IF(OR(AND($D20&lt;&gt;"",NOT(ISNUMBER($D20))),AND($E20&lt;&gt;"",NOT(ISNUMBER($E20)))),"Fecha no válida"&amp;" · ","")&amp;IF(AND(ISNUMBER($D20),ISNUMBER($E20),$D20&gt;$E20),"Inicio posterior a fecha límite"&amp;" · ","")&amp;IF(AND($S20="Macro",$F20=""),"Peso vacío"&amp;" · ","")&amp;IF(AND($S20="Macro",$F20&lt;&gt;"",OR(NOT(ISNUMBER($F20)),$F20&lt;=0,$F20&gt;1)),"Peso fuera de rango"&amp;" · ","")&amp;IF(AND($S20="Sub",$F20&lt;&gt;"",OR(NOT(ISNUMBER($F20)),$F20&lt;0,$F20&gt;1)),"Peso fuera de rango"&amp;" · ","")&amp;IF(AND($S20="Sub",$F20="",IFERROR(N(INDEX($AG$5:$AG$1000,$R20-4)),0)&gt;0),"Falta el peso de la subactividad"&amp;" · ","")&amp;IF(AND(N($T20)&gt;0,N($AG20)&gt;0,ABS(N($AG20)-N($F20))&gt;0.0001),"Pesos de sus subactividades suman "&amp;TEXT(N($AG20),"0%")&amp;" (deben sumar "&amp;TEXT(N($F20),"0%")&amp;")"&amp;" · ","")&amp;IF(AND($S20="Macro",ABS(SUMIFS($F$5:$F$1000,$P$5:$P$1000,$P20,$S$5:$S$1000,"Macro")-1)&gt;0.0001),"Pesos del mes suman "&amp;TEXT(SUMIFS($F$5:$F$1000,$P$5:$P$1000,$P20,$S$5:$S$1000,"Macro"),"0%")&amp;" · ","")&amp;IF(AND(N($T20)&gt;0,COUNT($G20:$J20)&gt;0),"Con subactividades: deje vacías las semanas (se calculan solas)"&amp;" · ","")&amp;IF((COUNTIF($G20:$J20,"&gt;1")+COUNTIF($G20:$J20,"&lt;0")+COUNTA($G20:$J20)-COUNT($G20:$J20))&gt;0,"Avance fuera de rango 0-100%"&amp;" · ","")&amp;IF(OR(AND($H20&lt;&gt;"",$H20&lt;$G20),AND($I20&lt;&gt;"",$I20&lt;MAX($G20:$H20)),AND($J20&lt;&gt;"",$J20&lt;MAX($G20:$I20))),"Avance semanal decreciente"&amp;" · ","")&amp;IF(AND(ISNUMBER($E20),$E20&lt;FechaRef,N($K20)&lt;1),"Vencida"&amp;" · ","")&amp;IF(AND(ObsObligatoria="Sí",ISNUMBER($E20),$E20&lt;FechaRef,N($K20)&lt;1,$N20=""),"Vencida sin observación"&amp;" · ",""))-3)))</f>
        <v/>
      </c>
      <c r="P20" s="70">
        <f>IF(NOT((COUNTA($B20:$J20)+COUNTA($N20))&gt;0),"",IF(AND($S20="Sub",N($R20)&gt;0),IF(ISNUMBER(INDEX($D$5:$D$1000,$R20-4)),DATE(YEAR(INDEX($D$5:$D$1000,$R20-4)),MONTH(INDEX($D$5:$D$1000,$R20-4)),1),IF(ISNUMBER(INDEX($E$5:$E$1000,$R20-4)),DATE(YEAR(INDEX($E$5:$E$1000,$R20-4)),MONTH(INDEX($E$5:$E$1000,$R20-4)),1),MesCiclo)),IF(ISNUMBER($D20),DATE(YEAR($D20),MONTH($D20),1),IF(ISNUMBER($E20),DATE(YEAR($E20),MONTH($E20),1),MesCiclo))))</f>
        <v/>
      </c>
      <c r="Q20" s="71">
        <f>IF(OR($P20="",$P20&lt;&gt;MesCiclo),"",COUNTIF($P$5:$P20,MesCiclo))</f>
        <v/>
      </c>
      <c r="R20" s="71">
        <f>IF($S20="","",IF($S20="Macro",ROW(),IFERROR(LOOKUP(2,1/($S$5:$S20="Macro"),ROW($S$5:$S20)),0)))</f>
        <v/>
      </c>
      <c r="S20" s="71">
        <f>IF(NOT((COUNTA($B20:$J20)+COUNTA($N20))&gt;0),"",IF($B20="Subactividad","Sub","Macro"))</f>
        <v/>
      </c>
      <c r="T20" s="71">
        <f>IF($S20="Macro",COUNTIFS($R$5:$R$1000,ROW(),$S$5:$S$1000,"Sub"),"")</f>
        <v/>
      </c>
      <c r="U20" s="71">
        <f>IF($S20="","",IF(ISNUMBER($G20),$G20,0))</f>
        <v/>
      </c>
      <c r="V20" s="71">
        <f>IF($S20="","",IF(ISNUMBER($H20),$H20,$U20))</f>
        <v/>
      </c>
      <c r="W20" s="71">
        <f>IF($S20="","",IF(ISNUMBER($I20),$I20,$V20))</f>
        <v/>
      </c>
      <c r="X20" s="71">
        <f>IF($S20="","",IF(ISNUMBER($J20),$J20,$W20))</f>
        <v/>
      </c>
      <c r="Y20" s="71">
        <f>IF($S20="","",IF(N($T20)&gt;0,IF(N($AG20)&gt;0,SUMIFS($AC$5:$AC$1000,$R$5:$R$1000,ROW(),$S$5:$S$1000,"Sub")/$AG20,AVERAGEIFS($U$5:$U$1000,$R$5:$R$1000,ROW(),$S$5:$S$1000,"Sub")),$U20))</f>
        <v/>
      </c>
      <c r="Z20" s="71">
        <f>IF($S20="","",IF(N($T20)&gt;0,IF(N($AG20)&gt;0,SUMIFS($AD$5:$AD$1000,$R$5:$R$1000,ROW(),$S$5:$S$1000,"Sub")/$AG20,AVERAGEIFS($V$5:$V$1000,$R$5:$R$1000,ROW(),$S$5:$S$1000,"Sub")),$V20))</f>
        <v/>
      </c>
      <c r="AA20" s="71">
        <f>IF($S20="","",IF(N($T20)&gt;0,IF(N($AG20)&gt;0,SUMIFS($AE$5:$AE$1000,$R$5:$R$1000,ROW(),$S$5:$S$1000,"Sub")/$AG20,AVERAGEIFS($W$5:$W$1000,$R$5:$R$1000,ROW(),$S$5:$S$1000,"Sub")),$W20))</f>
        <v/>
      </c>
      <c r="AB20" s="71">
        <f>IF($S20="","",IF(N($T20)&gt;0,IF(N($AG20)&gt;0,SUMIFS($AF$5:$AF$1000,$R$5:$R$1000,ROW(),$S$5:$S$1000,"Sub")/$AG20,AVERAGEIFS($X$5:$X$1000,$R$5:$R$1000,ROW(),$S$5:$S$1000,"Sub")),$X20))</f>
        <v/>
      </c>
      <c r="AC20" s="71">
        <f>IF($S20="Sub",N($F20)*N($U20),"")</f>
        <v/>
      </c>
      <c r="AD20" s="71">
        <f>IF($S20="Sub",N($F20)*N($V20),"")</f>
        <v/>
      </c>
      <c r="AE20" s="71">
        <f>IF($S20="Sub",N($F20)*N($W20),"")</f>
        <v/>
      </c>
      <c r="AF20" s="71">
        <f>IF($S20="Sub",N($F20)*N($X20),"")</f>
        <v/>
      </c>
      <c r="AG20" s="71">
        <f>IF(N($T20)&gt;0,SUMIFS($F$5:$F$1000,$R$5:$R$1000,ROW(),$S$5:$S$1000,"Sub"),"")</f>
        <v/>
      </c>
    </row>
    <row r="21">
      <c r="A21" s="62">
        <f>IF(NOT((COUNTA($B21:$J21)+COUNTA($N21))&gt;0),"",IF($S21="Macro",COUNTIFS($S$5:$S21,"Macro",$P$5:$P21,$P21),IF(N($R21)=0,"?",COUNTIFS(INDEX($S$5:$S$1000,1):INDEX($S$5:$S$1000,$R21-4),"Macro",INDEX($P$5:$P$1000,1):INDEX($P$5:$P$1000,$R21-4),INDEX($P$5:$P$1000,$R21-4))&amp;"."&amp;COUNTIFS($R$5:$R21,$R21,$S$5:$S21,"Sub"))))</f>
        <v/>
      </c>
      <c r="B21" s="63" t="n"/>
      <c r="C21" s="64" t="n"/>
      <c r="D21" s="65" t="n"/>
      <c r="E21" s="65" t="n"/>
      <c r="F21" s="66" t="n"/>
      <c r="G21" s="67" t="n"/>
      <c r="H21" s="67" t="n"/>
      <c r="I21" s="67" t="n"/>
      <c r="J21" s="67" t="n"/>
      <c r="K21" s="68">
        <f>IF(NOT((COUNTA($B21:$J21)+COUNTA($N21))&gt;0),"",IF(N($T21)&gt;0,$AB21,IFERROR(LOOKUP(2,1/(G21:J21&lt;&gt;""),G21:J21),0)))</f>
        <v/>
      </c>
      <c r="L21" s="62">
        <f>IF(K21="","",IF(K21&gt;=1,"Completado",IF(K21&gt;0,"En curso","Pendiente")))</f>
        <v/>
      </c>
      <c r="M21" s="62">
        <f>IF(NOT((COUNTA($B21:$J21)+COUNTA($N21))&gt;0),"",IF(N($K21)&gt;=1,"Cumplida",IF(NOT(ISNUMBER($E21)),"Sin fecha límite",IF($E21&lt;FechaRef,"Vencida hace "&amp;(FechaRef-$E21)&amp;IF(FechaRef-$E21=1," día"," días"),IF($E21=FechaRef,"Vence hoy",IF($E21-FechaRef&lt;=DiasAlerta,"Vence en "&amp;($E21-FechaRef)&amp;IF($E21-FechaRef=1," día"," días"),"En plazo"))))))</f>
        <v/>
      </c>
      <c r="N21" s="64" t="n"/>
      <c r="O21" s="69">
        <f>IF(NOT((COUNTA($B21:$J21)+COUNTA($N21))&gt;0),"",IF((IF($C21="","Falta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",""))="","✔ OK","⚠ "&amp;LEFT(IF($C21="","Falta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",""),LEN(IF($C21="","Falta el nombre de la actividad"&amp;" · ","")&amp;IF(AND($S21="Sub",N($R21)=0),"Subactividad sin macroactividad arriba"&amp;" · ","")&amp;IF($D21="","Sin fecha de inicio"&amp;" · ","")&amp;IF($E21="","Sin fecha límite"&amp;" · ","")&amp;IF(OR(AND($D21&lt;&gt;"",NOT(ISNUMBER($D21))),AND($E21&lt;&gt;"",NOT(ISNUMBER($E21)))),"Fecha no válida"&amp;" · ","")&amp;IF(AND(ISNUMBER($D21),ISNUMBER($E21),$D21&gt;$E21),"Inicio posterior a fecha límite"&amp;" · ","")&amp;IF(AND($S21="Macro",$F21=""),"Peso vacío"&amp;" · ","")&amp;IF(AND($S21="Macro",$F21&lt;&gt;"",OR(NOT(ISNUMBER($F21)),$F21&lt;=0,$F21&gt;1)),"Peso fuera de rango"&amp;" · ","")&amp;IF(AND($S21="Sub",$F21&lt;&gt;"",OR(NOT(ISNUMBER($F21)),$F21&lt;0,$F21&gt;1)),"Peso fuera de rango"&amp;" · ","")&amp;IF(AND($S21="Sub",$F21="",IFERROR(N(INDEX($AG$5:$AG$1000,$R21-4)),0)&gt;0),"Falta el peso de la subactividad"&amp;" · ","")&amp;IF(AND(N($T21)&gt;0,N($AG21)&gt;0,ABS(N($AG21)-N($F21))&gt;0.0001),"Pesos de sus subactividades suman "&amp;TEXT(N($AG21),"0%")&amp;" (deben sumar "&amp;TEXT(N($F21),"0%")&amp;")"&amp;" · ","")&amp;IF(AND($S21="Macro",ABS(SUMIFS($F$5:$F$1000,$P$5:$P$1000,$P21,$S$5:$S$1000,"Macro")-1)&gt;0.0001),"Pesos del mes suman "&amp;TEXT(SUMIFS($F$5:$F$1000,$P$5:$P$1000,$P21,$S$5:$S$1000,"Macro"),"0%")&amp;" · ","")&amp;IF(AND(N($T21)&gt;0,COUNT($G21:$J21)&gt;0),"Con subactividades: deje vacías las semanas (se calculan solas)"&amp;" · ","")&amp;IF((COUNTIF($G21:$J21,"&gt;1")+COUNTIF($G21:$J21,"&lt;0")+COUNTA($G21:$J21)-COUNT($G21:$J21))&gt;0,"Avance fuera de rango 0-100%"&amp;" · ","")&amp;IF(OR(AND($H21&lt;&gt;"",$H21&lt;$G21),AND($I21&lt;&gt;"",$I21&lt;MAX($G21:$H21)),AND($J21&lt;&gt;"",$J21&lt;MAX($G21:$I21))),"Avance semanal decreciente"&amp;" · ","")&amp;IF(AND(ISNUMBER($E21),$E21&lt;FechaRef,N($K21)&lt;1),"Vencida"&amp;" · ","")&amp;IF(AND(ObsObligatoria="Sí",ISNUMBER($E21),$E21&lt;FechaRef,N($K21)&lt;1,$N21=""),"Vencida sin observación"&amp;" · ",""))-3)))</f>
        <v/>
      </c>
      <c r="P21" s="70">
        <f>IF(NOT((COUNTA($B21:$J21)+COUNTA($N21))&gt;0),"",IF(AND($S21="Sub",N($R21)&gt;0),IF(ISNUMBER(INDEX($D$5:$D$1000,$R21-4)),DATE(YEAR(INDEX($D$5:$D$1000,$R21-4)),MONTH(INDEX($D$5:$D$1000,$R21-4)),1),IF(ISNUMBER(INDEX($E$5:$E$1000,$R21-4)),DATE(YEAR(INDEX($E$5:$E$1000,$R21-4)),MONTH(INDEX($E$5:$E$1000,$R21-4)),1),MesCiclo)),IF(ISNUMBER($D21),DATE(YEAR($D21),MONTH($D21),1),IF(ISNUMBER($E21),DATE(YEAR($E21),MONTH($E21),1),MesCiclo))))</f>
        <v/>
      </c>
      <c r="Q21" s="71">
        <f>IF(OR($P21="",$P21&lt;&gt;MesCiclo),"",COUNTIF($P$5:$P21,MesCiclo))</f>
        <v/>
      </c>
      <c r="R21" s="71">
        <f>IF($S21="","",IF($S21="Macro",ROW(),IFERROR(LOOKUP(2,1/($S$5:$S21="Macro"),ROW($S$5:$S21)),0)))</f>
        <v/>
      </c>
      <c r="S21" s="71">
        <f>IF(NOT((COUNTA($B21:$J21)+COUNTA($N21))&gt;0),"",IF($B21="Subactividad","Sub","Macro"))</f>
        <v/>
      </c>
      <c r="T21" s="71">
        <f>IF($S21="Macro",COUNTIFS($R$5:$R$1000,ROW(),$S$5:$S$1000,"Sub"),"")</f>
        <v/>
      </c>
      <c r="U21" s="71">
        <f>IF($S21="","",IF(ISNUMBER($G21),$G21,0))</f>
        <v/>
      </c>
      <c r="V21" s="71">
        <f>IF($S21="","",IF(ISNUMBER($H21),$H21,$U21))</f>
        <v/>
      </c>
      <c r="W21" s="71">
        <f>IF($S21="","",IF(ISNUMBER($I21),$I21,$V21))</f>
        <v/>
      </c>
      <c r="X21" s="71">
        <f>IF($S21="","",IF(ISNUMBER($J21),$J21,$W21))</f>
        <v/>
      </c>
      <c r="Y21" s="71">
        <f>IF($S21="","",IF(N($T21)&gt;0,IF(N($AG21)&gt;0,SUMIFS($AC$5:$AC$1000,$R$5:$R$1000,ROW(),$S$5:$S$1000,"Sub")/$AG21,AVERAGEIFS($U$5:$U$1000,$R$5:$R$1000,ROW(),$S$5:$S$1000,"Sub")),$U21))</f>
        <v/>
      </c>
      <c r="Z21" s="71">
        <f>IF($S21="","",IF(N($T21)&gt;0,IF(N($AG21)&gt;0,SUMIFS($AD$5:$AD$1000,$R$5:$R$1000,ROW(),$S$5:$S$1000,"Sub")/$AG21,AVERAGEIFS($V$5:$V$1000,$R$5:$R$1000,ROW(),$S$5:$S$1000,"Sub")),$V21))</f>
        <v/>
      </c>
      <c r="AA21" s="71">
        <f>IF($S21="","",IF(N($T21)&gt;0,IF(N($AG21)&gt;0,SUMIFS($AE$5:$AE$1000,$R$5:$R$1000,ROW(),$S$5:$S$1000,"Sub")/$AG21,AVERAGEIFS($W$5:$W$1000,$R$5:$R$1000,ROW(),$S$5:$S$1000,"Sub")),$W21))</f>
        <v/>
      </c>
      <c r="AB21" s="71">
        <f>IF($S21="","",IF(N($T21)&gt;0,IF(N($AG21)&gt;0,SUMIFS($AF$5:$AF$1000,$R$5:$R$1000,ROW(),$S$5:$S$1000,"Sub")/$AG21,AVERAGEIFS($X$5:$X$1000,$R$5:$R$1000,ROW(),$S$5:$S$1000,"Sub")),$X21))</f>
        <v/>
      </c>
      <c r="AC21" s="71">
        <f>IF($S21="Sub",N($F21)*N($U21),"")</f>
        <v/>
      </c>
      <c r="AD21" s="71">
        <f>IF($S21="Sub",N($F21)*N($V21),"")</f>
        <v/>
      </c>
      <c r="AE21" s="71">
        <f>IF($S21="Sub",N($F21)*N($W21),"")</f>
        <v/>
      </c>
      <c r="AF21" s="71">
        <f>IF($S21="Sub",N($F21)*N($X21),"")</f>
        <v/>
      </c>
      <c r="AG21" s="71">
        <f>IF(N($T21)&gt;0,SUMIFS($F$5:$F$1000,$R$5:$R$1000,ROW(),$S$5:$S$1000,"Sub"),"")</f>
        <v/>
      </c>
    </row>
    <row r="22">
      <c r="A22" s="62">
        <f>IF(NOT((COUNTA($B22:$J22)+COUNTA($N22))&gt;0),"",IF($S22="Macro",COUNTIFS($S$5:$S22,"Macro",$P$5:$P22,$P22),IF(N($R22)=0,"?",COUNTIFS(INDEX($S$5:$S$1000,1):INDEX($S$5:$S$1000,$R22-4),"Macro",INDEX($P$5:$P$1000,1):INDEX($P$5:$P$1000,$R22-4),INDEX($P$5:$P$1000,$R22-4))&amp;"."&amp;COUNTIFS($R$5:$R22,$R22,$S$5:$S22,"Sub"))))</f>
        <v/>
      </c>
      <c r="B22" s="63" t="n"/>
      <c r="C22" s="64" t="n"/>
      <c r="D22" s="65" t="n"/>
      <c r="E22" s="65" t="n"/>
      <c r="F22" s="66" t="n"/>
      <c r="G22" s="67" t="n"/>
      <c r="H22" s="67" t="n"/>
      <c r="I22" s="67" t="n"/>
      <c r="J22" s="67" t="n"/>
      <c r="K22" s="68">
        <f>IF(NOT((COUNTA($B22:$J22)+COUNTA($N22))&gt;0),"",IF(N($T22)&gt;0,$AB22,IFERROR(LOOKUP(2,1/(G22:J22&lt;&gt;""),G22:J22),0)))</f>
        <v/>
      </c>
      <c r="L22" s="62">
        <f>IF(K22="","",IF(K22&gt;=1,"Completado",IF(K22&gt;0,"En curso","Pendiente")))</f>
        <v/>
      </c>
      <c r="M22" s="62">
        <f>IF(NOT((COUNTA($B22:$J22)+COUNTA($N22))&gt;0),"",IF(N($K22)&gt;=1,"Cumplida",IF(NOT(ISNUMBER($E22)),"Sin fecha límite",IF($E22&lt;FechaRef,"Vencida hace "&amp;(FechaRef-$E22)&amp;IF(FechaRef-$E22=1," día"," días"),IF($E22=FechaRef,"Vence hoy",IF($E22-FechaRef&lt;=DiasAlerta,"Vence en "&amp;($E22-FechaRef)&amp;IF($E22-FechaRef=1," día"," días"),"En plazo"))))))</f>
        <v/>
      </c>
      <c r="N22" s="64" t="n"/>
      <c r="O22" s="69">
        <f>IF(NOT((COUNTA($B22:$J22)+COUNTA($N22))&gt;0),"",IF((IF($C22="","Falta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",""))="","✔ OK","⚠ "&amp;LEFT(IF($C22="","Falta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",""),LEN(IF($C22="","Falta el nombre de la actividad"&amp;" · ","")&amp;IF(AND($S22="Sub",N($R22)=0),"Subactividad sin macroactividad arriba"&amp;" · ","")&amp;IF($D22="","Sin fecha de inicio"&amp;" · ","")&amp;IF($E22="","Sin fecha límite"&amp;" · ","")&amp;IF(OR(AND($D22&lt;&gt;"",NOT(ISNUMBER($D22))),AND($E22&lt;&gt;"",NOT(ISNUMBER($E22)))),"Fecha no válida"&amp;" · ","")&amp;IF(AND(ISNUMBER($D22),ISNUMBER($E22),$D22&gt;$E22),"Inicio posterior a fecha límite"&amp;" · ","")&amp;IF(AND($S22="Macro",$F22=""),"Peso vacío"&amp;" · ","")&amp;IF(AND($S22="Macro",$F22&lt;&gt;"",OR(NOT(ISNUMBER($F22)),$F22&lt;=0,$F22&gt;1)),"Peso fuera de rango"&amp;" · ","")&amp;IF(AND($S22="Sub",$F22&lt;&gt;"",OR(NOT(ISNUMBER($F22)),$F22&lt;0,$F22&gt;1)),"Peso fuera de rango"&amp;" · ","")&amp;IF(AND($S22="Sub",$F22="",IFERROR(N(INDEX($AG$5:$AG$1000,$R22-4)),0)&gt;0),"Falta el peso de la subactividad"&amp;" · ","")&amp;IF(AND(N($T22)&gt;0,N($AG22)&gt;0,ABS(N($AG22)-N($F22))&gt;0.0001),"Pesos de sus subactividades suman "&amp;TEXT(N($AG22),"0%")&amp;" (deben sumar "&amp;TEXT(N($F22),"0%")&amp;")"&amp;" · ","")&amp;IF(AND($S22="Macro",ABS(SUMIFS($F$5:$F$1000,$P$5:$P$1000,$P22,$S$5:$S$1000,"Macro")-1)&gt;0.0001),"Pesos del mes suman "&amp;TEXT(SUMIFS($F$5:$F$1000,$P$5:$P$1000,$P22,$S$5:$S$1000,"Macro"),"0%")&amp;" · ","")&amp;IF(AND(N($T22)&gt;0,COUNT($G22:$J22)&gt;0),"Con subactividades: deje vacías las semanas (se calculan solas)"&amp;" · ","")&amp;IF((COUNTIF($G22:$J22,"&gt;1")+COUNTIF($G22:$J22,"&lt;0")+COUNTA($G22:$J22)-COUNT($G22:$J22))&gt;0,"Avance fuera de rango 0-100%"&amp;" · ","")&amp;IF(OR(AND($H22&lt;&gt;"",$H22&lt;$G22),AND($I22&lt;&gt;"",$I22&lt;MAX($G22:$H22)),AND($J22&lt;&gt;"",$J22&lt;MAX($G22:$I22))),"Avance semanal decreciente"&amp;" · ","")&amp;IF(AND(ISNUMBER($E22),$E22&lt;FechaRef,N($K22)&lt;1),"Vencida"&amp;" · ","")&amp;IF(AND(ObsObligatoria="Sí",ISNUMBER($E22),$E22&lt;FechaRef,N($K22)&lt;1,$N22=""),"Vencida sin observación"&amp;" · ",""))-3)))</f>
        <v/>
      </c>
      <c r="P22" s="70">
        <f>IF(NOT((COUNTA($B22:$J22)+COUNTA($N22))&gt;0),"",IF(AND($S22="Sub",N($R22)&gt;0),IF(ISNUMBER(INDEX($D$5:$D$1000,$R22-4)),DATE(YEAR(INDEX($D$5:$D$1000,$R22-4)),MONTH(INDEX($D$5:$D$1000,$R22-4)),1),IF(ISNUMBER(INDEX($E$5:$E$1000,$R22-4)),DATE(YEAR(INDEX($E$5:$E$1000,$R22-4)),MONTH(INDEX($E$5:$E$1000,$R22-4)),1),MesCiclo)),IF(ISNUMBER($D22),DATE(YEAR($D22),MONTH($D22),1),IF(ISNUMBER($E22),DATE(YEAR($E22),MONTH($E22),1),MesCiclo))))</f>
        <v/>
      </c>
      <c r="Q22" s="71">
        <f>IF(OR($P22="",$P22&lt;&gt;MesCiclo),"",COUNTIF($P$5:$P22,MesCiclo))</f>
        <v/>
      </c>
      <c r="R22" s="71">
        <f>IF($S22="","",IF($S22="Macro",ROW(),IFERROR(LOOKUP(2,1/($S$5:$S22="Macro"),ROW($S$5:$S22)),0)))</f>
        <v/>
      </c>
      <c r="S22" s="71">
        <f>IF(NOT((COUNTA($B22:$J22)+COUNTA($N22))&gt;0),"",IF($B22="Subactividad","Sub","Macro"))</f>
        <v/>
      </c>
      <c r="T22" s="71">
        <f>IF($S22="Macro",COUNTIFS($R$5:$R$1000,ROW(),$S$5:$S$1000,"Sub"),"")</f>
        <v/>
      </c>
      <c r="U22" s="71">
        <f>IF($S22="","",IF(ISNUMBER($G22),$G22,0))</f>
        <v/>
      </c>
      <c r="V22" s="71">
        <f>IF($S22="","",IF(ISNUMBER($H22),$H22,$U22))</f>
        <v/>
      </c>
      <c r="W22" s="71">
        <f>IF($S22="","",IF(ISNUMBER($I22),$I22,$V22))</f>
        <v/>
      </c>
      <c r="X22" s="71">
        <f>IF($S22="","",IF(ISNUMBER($J22),$J22,$W22))</f>
        <v/>
      </c>
      <c r="Y22" s="71">
        <f>IF($S22="","",IF(N($T22)&gt;0,IF(N($AG22)&gt;0,SUMIFS($AC$5:$AC$1000,$R$5:$R$1000,ROW(),$S$5:$S$1000,"Sub")/$AG22,AVERAGEIFS($U$5:$U$1000,$R$5:$R$1000,ROW(),$S$5:$S$1000,"Sub")),$U22))</f>
        <v/>
      </c>
      <c r="Z22" s="71">
        <f>IF($S22="","",IF(N($T22)&gt;0,IF(N($AG22)&gt;0,SUMIFS($AD$5:$AD$1000,$R$5:$R$1000,ROW(),$S$5:$S$1000,"Sub")/$AG22,AVERAGEIFS($V$5:$V$1000,$R$5:$R$1000,ROW(),$S$5:$S$1000,"Sub")),$V22))</f>
        <v/>
      </c>
      <c r="AA22" s="71">
        <f>IF($S22="","",IF(N($T22)&gt;0,IF(N($AG22)&gt;0,SUMIFS($AE$5:$AE$1000,$R$5:$R$1000,ROW(),$S$5:$S$1000,"Sub")/$AG22,AVERAGEIFS($W$5:$W$1000,$R$5:$R$1000,ROW(),$S$5:$S$1000,"Sub")),$W22))</f>
        <v/>
      </c>
      <c r="AB22" s="71">
        <f>IF($S22="","",IF(N($T22)&gt;0,IF(N($AG22)&gt;0,SUMIFS($AF$5:$AF$1000,$R$5:$R$1000,ROW(),$S$5:$S$1000,"Sub")/$AG22,AVERAGEIFS($X$5:$X$1000,$R$5:$R$1000,ROW(),$S$5:$S$1000,"Sub")),$X22))</f>
        <v/>
      </c>
      <c r="AC22" s="71">
        <f>IF($S22="Sub",N($F22)*N($U22),"")</f>
        <v/>
      </c>
      <c r="AD22" s="71">
        <f>IF($S22="Sub",N($F22)*N($V22),"")</f>
        <v/>
      </c>
      <c r="AE22" s="71">
        <f>IF($S22="Sub",N($F22)*N($W22),"")</f>
        <v/>
      </c>
      <c r="AF22" s="71">
        <f>IF($S22="Sub",N($F22)*N($X22),"")</f>
        <v/>
      </c>
      <c r="AG22" s="71">
        <f>IF(N($T22)&gt;0,SUMIFS($F$5:$F$1000,$R$5:$R$1000,ROW(),$S$5:$S$1000,"Sub"),"")</f>
        <v/>
      </c>
    </row>
    <row r="23">
      <c r="A23" s="62">
        <f>IF(NOT((COUNTA($B23:$J23)+COUNTA($N23))&gt;0),"",IF($S23="Macro",COUNTIFS($S$5:$S23,"Macro",$P$5:$P23,$P23),IF(N($R23)=0,"?",COUNTIFS(INDEX($S$5:$S$1000,1):INDEX($S$5:$S$1000,$R23-4),"Macro",INDEX($P$5:$P$1000,1):INDEX($P$5:$P$1000,$R23-4),INDEX($P$5:$P$1000,$R23-4))&amp;"."&amp;COUNTIFS($R$5:$R23,$R23,$S$5:$S23,"Sub"))))</f>
        <v/>
      </c>
      <c r="B23" s="63" t="n"/>
      <c r="C23" s="64" t="n"/>
      <c r="D23" s="65" t="n"/>
      <c r="E23" s="65" t="n"/>
      <c r="F23" s="66" t="n"/>
      <c r="G23" s="67" t="n"/>
      <c r="H23" s="67" t="n"/>
      <c r="I23" s="67" t="n"/>
      <c r="J23" s="67" t="n"/>
      <c r="K23" s="68">
        <f>IF(NOT((COUNTA($B23:$J23)+COUNTA($N23))&gt;0),"",IF(N($T23)&gt;0,$AB23,IFERROR(LOOKUP(2,1/(G23:J23&lt;&gt;""),G23:J23),0)))</f>
        <v/>
      </c>
      <c r="L23" s="62">
        <f>IF(K23="","",IF(K23&gt;=1,"Completado",IF(K23&gt;0,"En curso","Pendiente")))</f>
        <v/>
      </c>
      <c r="M23" s="62">
        <f>IF(NOT((COUNTA($B23:$J23)+COUNTA($N23))&gt;0),"",IF(N($K23)&gt;=1,"Cumplida",IF(NOT(ISNUMBER($E23)),"Sin fecha límite",IF($E23&lt;FechaRef,"Vencida hace "&amp;(FechaRef-$E23)&amp;IF(FechaRef-$E23=1," día"," días"),IF($E23=FechaRef,"Vence hoy",IF($E23-FechaRef&lt;=DiasAlerta,"Vence en "&amp;($E23-FechaRef)&amp;IF($E23-FechaRef=1," día"," días"),"En plazo"))))))</f>
        <v/>
      </c>
      <c r="N23" s="64" t="n"/>
      <c r="O23" s="69">
        <f>IF(NOT((COUNTA($B23:$J23)+COUNTA($N23))&gt;0),"",IF((IF($C23="","Falta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",""))="","✔ OK","⚠ "&amp;LEFT(IF($C23="","Falta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",""),LEN(IF($C23="","Falta el nombre de la actividad"&amp;" · ","")&amp;IF(AND($S23="Sub",N($R23)=0),"Subactividad sin macroactividad arriba"&amp;" · ","")&amp;IF($D23="","Sin fecha de inicio"&amp;" · ","")&amp;IF($E23="","Sin fecha límite"&amp;" · ","")&amp;IF(OR(AND($D23&lt;&gt;"",NOT(ISNUMBER($D23))),AND($E23&lt;&gt;"",NOT(ISNUMBER($E23)))),"Fecha no válida"&amp;" · ","")&amp;IF(AND(ISNUMBER($D23),ISNUMBER($E23),$D23&gt;$E23),"Inicio posterior a fecha límite"&amp;" · ","")&amp;IF(AND($S23="Macro",$F23=""),"Peso vacío"&amp;" · ","")&amp;IF(AND($S23="Macro",$F23&lt;&gt;"",OR(NOT(ISNUMBER($F23)),$F23&lt;=0,$F23&gt;1)),"Peso fuera de rango"&amp;" · ","")&amp;IF(AND($S23="Sub",$F23&lt;&gt;"",OR(NOT(ISNUMBER($F23)),$F23&lt;0,$F23&gt;1)),"Peso fuera de rango"&amp;" · ","")&amp;IF(AND($S23="Sub",$F23="",IFERROR(N(INDEX($AG$5:$AG$1000,$R23-4)),0)&gt;0),"Falta el peso de la subactividad"&amp;" · ","")&amp;IF(AND(N($T23)&gt;0,N($AG23)&gt;0,ABS(N($AG23)-N($F23))&gt;0.0001),"Pesos de sus subactividades suman "&amp;TEXT(N($AG23),"0%")&amp;" (deben sumar "&amp;TEXT(N($F23),"0%")&amp;")"&amp;" · ","")&amp;IF(AND($S23="Macro",ABS(SUMIFS($F$5:$F$1000,$P$5:$P$1000,$P23,$S$5:$S$1000,"Macro")-1)&gt;0.0001),"Pesos del mes suman "&amp;TEXT(SUMIFS($F$5:$F$1000,$P$5:$P$1000,$P23,$S$5:$S$1000,"Macro"),"0%")&amp;" · ","")&amp;IF(AND(N($T23)&gt;0,COUNT($G23:$J23)&gt;0),"Con subactividades: deje vacías las semanas (se calculan solas)"&amp;" · ","")&amp;IF((COUNTIF($G23:$J23,"&gt;1")+COUNTIF($G23:$J23,"&lt;0")+COUNTA($G23:$J23)-COUNT($G23:$J23))&gt;0,"Avance fuera de rango 0-100%"&amp;" · ","")&amp;IF(OR(AND($H23&lt;&gt;"",$H23&lt;$G23),AND($I23&lt;&gt;"",$I23&lt;MAX($G23:$H23)),AND($J23&lt;&gt;"",$J23&lt;MAX($G23:$I23))),"Avance semanal decreciente"&amp;" · ","")&amp;IF(AND(ISNUMBER($E23),$E23&lt;FechaRef,N($K23)&lt;1),"Vencida"&amp;" · ","")&amp;IF(AND(ObsObligatoria="Sí",ISNUMBER($E23),$E23&lt;FechaRef,N($K23)&lt;1,$N23=""),"Vencida sin observación"&amp;" · ",""))-3)))</f>
        <v/>
      </c>
      <c r="P23" s="70">
        <f>IF(NOT((COUNTA($B23:$J23)+COUNTA($N23))&gt;0),"",IF(AND($S23="Sub",N($R23)&gt;0),IF(ISNUMBER(INDEX($D$5:$D$1000,$R23-4)),DATE(YEAR(INDEX($D$5:$D$1000,$R23-4)),MONTH(INDEX($D$5:$D$1000,$R23-4)),1),IF(ISNUMBER(INDEX($E$5:$E$1000,$R23-4)),DATE(YEAR(INDEX($E$5:$E$1000,$R23-4)),MONTH(INDEX($E$5:$E$1000,$R23-4)),1),MesCiclo)),IF(ISNUMBER($D23),DATE(YEAR($D23),MONTH($D23),1),IF(ISNUMBER($E23),DATE(YEAR($E23),MONTH($E23),1),MesCiclo))))</f>
        <v/>
      </c>
      <c r="Q23" s="71">
        <f>IF(OR($P23="",$P23&lt;&gt;MesCiclo),"",COUNTIF($P$5:$P23,MesCiclo))</f>
        <v/>
      </c>
      <c r="R23" s="71">
        <f>IF($S23="","",IF($S23="Macro",ROW(),IFERROR(LOOKUP(2,1/($S$5:$S23="Macro"),ROW($S$5:$S23)),0)))</f>
        <v/>
      </c>
      <c r="S23" s="71">
        <f>IF(NOT((COUNTA($B23:$J23)+COUNTA($N23))&gt;0),"",IF($B23="Subactividad","Sub","Macro"))</f>
        <v/>
      </c>
      <c r="T23" s="71">
        <f>IF($S23="Macro",COUNTIFS($R$5:$R$1000,ROW(),$S$5:$S$1000,"Sub"),"")</f>
        <v/>
      </c>
      <c r="U23" s="71">
        <f>IF($S23="","",IF(ISNUMBER($G23),$G23,0))</f>
        <v/>
      </c>
      <c r="V23" s="71">
        <f>IF($S23="","",IF(ISNUMBER($H23),$H23,$U23))</f>
        <v/>
      </c>
      <c r="W23" s="71">
        <f>IF($S23="","",IF(ISNUMBER($I23),$I23,$V23))</f>
        <v/>
      </c>
      <c r="X23" s="71">
        <f>IF($S23="","",IF(ISNUMBER($J23),$J23,$W23))</f>
        <v/>
      </c>
      <c r="Y23" s="71">
        <f>IF($S23="","",IF(N($T23)&gt;0,IF(N($AG23)&gt;0,SUMIFS($AC$5:$AC$1000,$R$5:$R$1000,ROW(),$S$5:$S$1000,"Sub")/$AG23,AVERAGEIFS($U$5:$U$1000,$R$5:$R$1000,ROW(),$S$5:$S$1000,"Sub")),$U23))</f>
        <v/>
      </c>
      <c r="Z23" s="71">
        <f>IF($S23="","",IF(N($T23)&gt;0,IF(N($AG23)&gt;0,SUMIFS($AD$5:$AD$1000,$R$5:$R$1000,ROW(),$S$5:$S$1000,"Sub")/$AG23,AVERAGEIFS($V$5:$V$1000,$R$5:$R$1000,ROW(),$S$5:$S$1000,"Sub")),$V23))</f>
        <v/>
      </c>
      <c r="AA23" s="71">
        <f>IF($S23="","",IF(N($T23)&gt;0,IF(N($AG23)&gt;0,SUMIFS($AE$5:$AE$1000,$R$5:$R$1000,ROW(),$S$5:$S$1000,"Sub")/$AG23,AVERAGEIFS($W$5:$W$1000,$R$5:$R$1000,ROW(),$S$5:$S$1000,"Sub")),$W23))</f>
        <v/>
      </c>
      <c r="AB23" s="71">
        <f>IF($S23="","",IF(N($T23)&gt;0,IF(N($AG23)&gt;0,SUMIFS($AF$5:$AF$1000,$R$5:$R$1000,ROW(),$S$5:$S$1000,"Sub")/$AG23,AVERAGEIFS($X$5:$X$1000,$R$5:$R$1000,ROW(),$S$5:$S$1000,"Sub")),$X23))</f>
        <v/>
      </c>
      <c r="AC23" s="71">
        <f>IF($S23="Sub",N($F23)*N($U23),"")</f>
        <v/>
      </c>
      <c r="AD23" s="71">
        <f>IF($S23="Sub",N($F23)*N($V23),"")</f>
        <v/>
      </c>
      <c r="AE23" s="71">
        <f>IF($S23="Sub",N($F23)*N($W23),"")</f>
        <v/>
      </c>
      <c r="AF23" s="71">
        <f>IF($S23="Sub",N($F23)*N($X23),"")</f>
        <v/>
      </c>
      <c r="AG23" s="71">
        <f>IF(N($T23)&gt;0,SUMIFS($F$5:$F$1000,$R$5:$R$1000,ROW(),$S$5:$S$1000,"Sub"),"")</f>
        <v/>
      </c>
    </row>
    <row r="24">
      <c r="A24" s="62">
        <f>IF(NOT((COUNTA($B24:$J24)+COUNTA($N24))&gt;0),"",IF($S24="Macro",COUNTIFS($S$5:$S24,"Macro",$P$5:$P24,$P24),IF(N($R24)=0,"?",COUNTIFS(INDEX($S$5:$S$1000,1):INDEX($S$5:$S$1000,$R24-4),"Macro",INDEX($P$5:$P$1000,1):INDEX($P$5:$P$1000,$R24-4),INDEX($P$5:$P$1000,$R24-4))&amp;"."&amp;COUNTIFS($R$5:$R24,$R24,$S$5:$S24,"Sub"))))</f>
        <v/>
      </c>
      <c r="B24" s="63" t="n"/>
      <c r="C24" s="64" t="n"/>
      <c r="D24" s="65" t="n"/>
      <c r="E24" s="65" t="n"/>
      <c r="F24" s="66" t="n"/>
      <c r="G24" s="67" t="n"/>
      <c r="H24" s="67" t="n"/>
      <c r="I24" s="67" t="n"/>
      <c r="J24" s="67" t="n"/>
      <c r="K24" s="68">
        <f>IF(NOT((COUNTA($B24:$J24)+COUNTA($N24))&gt;0),"",IF(N($T24)&gt;0,$AB24,IFERROR(LOOKUP(2,1/(G24:J24&lt;&gt;""),G24:J24),0)))</f>
        <v/>
      </c>
      <c r="L24" s="62">
        <f>IF(K24="","",IF(K24&gt;=1,"Completado",IF(K24&gt;0,"En curso","Pendiente")))</f>
        <v/>
      </c>
      <c r="M24" s="62">
        <f>IF(NOT((COUNTA($B24:$J24)+COUNTA($N24))&gt;0),"",IF(N($K24)&gt;=1,"Cumplida",IF(NOT(ISNUMBER($E24)),"Sin fecha límite",IF($E24&lt;FechaRef,"Vencida hace "&amp;(FechaRef-$E24)&amp;IF(FechaRef-$E24=1," día"," días"),IF($E24=FechaRef,"Vence hoy",IF($E24-FechaRef&lt;=DiasAlerta,"Vence en "&amp;($E24-FechaRef)&amp;IF($E24-FechaRef=1," día"," días"),"En plazo"))))))</f>
        <v/>
      </c>
      <c r="N24" s="64" t="n"/>
      <c r="O24" s="69">
        <f>IF(NOT((COUNTA($B24:$J24)+COUNTA($N24))&gt;0),"",IF((IF($C24="","Falta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",""))="","✔ OK","⚠ "&amp;LEFT(IF($C24="","Falta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",""),LEN(IF($C24="","Falta el nombre de la actividad"&amp;" · ","")&amp;IF(AND($S24="Sub",N($R24)=0),"Subactividad sin macroactividad arriba"&amp;" · ","")&amp;IF($D24="","Sin fecha de inicio"&amp;" · ","")&amp;IF($E24="","Sin fecha límite"&amp;" · ","")&amp;IF(OR(AND($D24&lt;&gt;"",NOT(ISNUMBER($D24))),AND($E24&lt;&gt;"",NOT(ISNUMBER($E24)))),"Fecha no válida"&amp;" · ","")&amp;IF(AND(ISNUMBER($D24),ISNUMBER($E24),$D24&gt;$E24),"Inicio posterior a fecha límite"&amp;" · ","")&amp;IF(AND($S24="Macro",$F24=""),"Peso vacío"&amp;" · ","")&amp;IF(AND($S24="Macro",$F24&lt;&gt;"",OR(NOT(ISNUMBER($F24)),$F24&lt;=0,$F24&gt;1)),"Peso fuera de rango"&amp;" · ","")&amp;IF(AND($S24="Sub",$F24&lt;&gt;"",OR(NOT(ISNUMBER($F24)),$F24&lt;0,$F24&gt;1)),"Peso fuera de rango"&amp;" · ","")&amp;IF(AND($S24="Sub",$F24="",IFERROR(N(INDEX($AG$5:$AG$1000,$R24-4)),0)&gt;0),"Falta el peso de la subactividad"&amp;" · ","")&amp;IF(AND(N($T24)&gt;0,N($AG24)&gt;0,ABS(N($AG24)-N($F24))&gt;0.0001),"Pesos de sus subactividades suman "&amp;TEXT(N($AG24),"0%")&amp;" (deben sumar "&amp;TEXT(N($F24),"0%")&amp;")"&amp;" · ","")&amp;IF(AND($S24="Macro",ABS(SUMIFS($F$5:$F$1000,$P$5:$P$1000,$P24,$S$5:$S$1000,"Macro")-1)&gt;0.0001),"Pesos del mes suman "&amp;TEXT(SUMIFS($F$5:$F$1000,$P$5:$P$1000,$P24,$S$5:$S$1000,"Macro"),"0%")&amp;" · ","")&amp;IF(AND(N($T24)&gt;0,COUNT($G24:$J24)&gt;0),"Con subactividades: deje vacías las semanas (se calculan solas)"&amp;" · ","")&amp;IF((COUNTIF($G24:$J24,"&gt;1")+COUNTIF($G24:$J24,"&lt;0")+COUNTA($G24:$J24)-COUNT($G24:$J24))&gt;0,"Avance fuera de rango 0-100%"&amp;" · ","")&amp;IF(OR(AND($H24&lt;&gt;"",$H24&lt;$G24),AND($I24&lt;&gt;"",$I24&lt;MAX($G24:$H24)),AND($J24&lt;&gt;"",$J24&lt;MAX($G24:$I24))),"Avance semanal decreciente"&amp;" · ","")&amp;IF(AND(ISNUMBER($E24),$E24&lt;FechaRef,N($K24)&lt;1),"Vencida"&amp;" · ","")&amp;IF(AND(ObsObligatoria="Sí",ISNUMBER($E24),$E24&lt;FechaRef,N($K24)&lt;1,$N24=""),"Vencida sin observación"&amp;" · ",""))-3)))</f>
        <v/>
      </c>
      <c r="P24" s="70">
        <f>IF(NOT((COUNTA($B24:$J24)+COUNTA($N24))&gt;0),"",IF(AND($S24="Sub",N($R24)&gt;0),IF(ISNUMBER(INDEX($D$5:$D$1000,$R24-4)),DATE(YEAR(INDEX($D$5:$D$1000,$R24-4)),MONTH(INDEX($D$5:$D$1000,$R24-4)),1),IF(ISNUMBER(INDEX($E$5:$E$1000,$R24-4)),DATE(YEAR(INDEX($E$5:$E$1000,$R24-4)),MONTH(INDEX($E$5:$E$1000,$R24-4)),1),MesCiclo)),IF(ISNUMBER($D24),DATE(YEAR($D24),MONTH($D24),1),IF(ISNUMBER($E24),DATE(YEAR($E24),MONTH($E24),1),MesCiclo))))</f>
        <v/>
      </c>
      <c r="Q24" s="71">
        <f>IF(OR($P24="",$P24&lt;&gt;MesCiclo),"",COUNTIF($P$5:$P24,MesCiclo))</f>
        <v/>
      </c>
      <c r="R24" s="71">
        <f>IF($S24="","",IF($S24="Macro",ROW(),IFERROR(LOOKUP(2,1/($S$5:$S24="Macro"),ROW($S$5:$S24)),0)))</f>
        <v/>
      </c>
      <c r="S24" s="71">
        <f>IF(NOT((COUNTA($B24:$J24)+COUNTA($N24))&gt;0),"",IF($B24="Subactividad","Sub","Macro"))</f>
        <v/>
      </c>
      <c r="T24" s="71">
        <f>IF($S24="Macro",COUNTIFS($R$5:$R$1000,ROW(),$S$5:$S$1000,"Sub"),"")</f>
        <v/>
      </c>
      <c r="U24" s="71">
        <f>IF($S24="","",IF(ISNUMBER($G24),$G24,0))</f>
        <v/>
      </c>
      <c r="V24" s="71">
        <f>IF($S24="","",IF(ISNUMBER($H24),$H24,$U24))</f>
        <v/>
      </c>
      <c r="W24" s="71">
        <f>IF($S24="","",IF(ISNUMBER($I24),$I24,$V24))</f>
        <v/>
      </c>
      <c r="X24" s="71">
        <f>IF($S24="","",IF(ISNUMBER($J24),$J24,$W24))</f>
        <v/>
      </c>
      <c r="Y24" s="71">
        <f>IF($S24="","",IF(N($T24)&gt;0,IF(N($AG24)&gt;0,SUMIFS($AC$5:$AC$1000,$R$5:$R$1000,ROW(),$S$5:$S$1000,"Sub")/$AG24,AVERAGEIFS($U$5:$U$1000,$R$5:$R$1000,ROW(),$S$5:$S$1000,"Sub")),$U24))</f>
        <v/>
      </c>
      <c r="Z24" s="71">
        <f>IF($S24="","",IF(N($T24)&gt;0,IF(N($AG24)&gt;0,SUMIFS($AD$5:$AD$1000,$R$5:$R$1000,ROW(),$S$5:$S$1000,"Sub")/$AG24,AVERAGEIFS($V$5:$V$1000,$R$5:$R$1000,ROW(),$S$5:$S$1000,"Sub")),$V24))</f>
        <v/>
      </c>
      <c r="AA24" s="71">
        <f>IF($S24="","",IF(N($T24)&gt;0,IF(N($AG24)&gt;0,SUMIFS($AE$5:$AE$1000,$R$5:$R$1000,ROW(),$S$5:$S$1000,"Sub")/$AG24,AVERAGEIFS($W$5:$W$1000,$R$5:$R$1000,ROW(),$S$5:$S$1000,"Sub")),$W24))</f>
        <v/>
      </c>
      <c r="AB24" s="71">
        <f>IF($S24="","",IF(N($T24)&gt;0,IF(N($AG24)&gt;0,SUMIFS($AF$5:$AF$1000,$R$5:$R$1000,ROW(),$S$5:$S$1000,"Sub")/$AG24,AVERAGEIFS($X$5:$X$1000,$R$5:$R$1000,ROW(),$S$5:$S$1000,"Sub")),$X24))</f>
        <v/>
      </c>
      <c r="AC24" s="71">
        <f>IF($S24="Sub",N($F24)*N($U24),"")</f>
        <v/>
      </c>
      <c r="AD24" s="71">
        <f>IF($S24="Sub",N($F24)*N($V24),"")</f>
        <v/>
      </c>
      <c r="AE24" s="71">
        <f>IF($S24="Sub",N($F24)*N($W24),"")</f>
        <v/>
      </c>
      <c r="AF24" s="71">
        <f>IF($S24="Sub",N($F24)*N($X24),"")</f>
        <v/>
      </c>
      <c r="AG24" s="71">
        <f>IF(N($T24)&gt;0,SUMIFS($F$5:$F$1000,$R$5:$R$1000,ROW(),$S$5:$S$1000,"Sub"),"")</f>
        <v/>
      </c>
    </row>
    <row r="25">
      <c r="A25" s="62">
        <f>IF(NOT((COUNTA($B25:$J25)+COUNTA($N25))&gt;0),"",IF($S25="Macro",COUNTIFS($S$5:$S25,"Macro",$P$5:$P25,$P25),IF(N($R25)=0,"?",COUNTIFS(INDEX($S$5:$S$1000,1):INDEX($S$5:$S$1000,$R25-4),"Macro",INDEX($P$5:$P$1000,1):INDEX($P$5:$P$1000,$R25-4),INDEX($P$5:$P$1000,$R25-4))&amp;"."&amp;COUNTIFS($R$5:$R25,$R25,$S$5:$S25,"Sub"))))</f>
        <v/>
      </c>
      <c r="B25" s="63" t="n"/>
      <c r="C25" s="64" t="n"/>
      <c r="D25" s="65" t="n"/>
      <c r="E25" s="65" t="n"/>
      <c r="F25" s="66" t="n"/>
      <c r="G25" s="67" t="n"/>
      <c r="H25" s="67" t="n"/>
      <c r="I25" s="67" t="n"/>
      <c r="J25" s="67" t="n"/>
      <c r="K25" s="68">
        <f>IF(NOT((COUNTA($B25:$J25)+COUNTA($N25))&gt;0),"",IF(N($T25)&gt;0,$AB25,IFERROR(LOOKUP(2,1/(G25:J25&lt;&gt;""),G25:J25),0)))</f>
        <v/>
      </c>
      <c r="L25" s="62">
        <f>IF(K25="","",IF(K25&gt;=1,"Completado",IF(K25&gt;0,"En curso","Pendiente")))</f>
        <v/>
      </c>
      <c r="M25" s="62">
        <f>IF(NOT((COUNTA($B25:$J25)+COUNTA($N25))&gt;0),"",IF(N($K25)&gt;=1,"Cumplida",IF(NOT(ISNUMBER($E25)),"Sin fecha límite",IF($E25&lt;FechaRef,"Vencida hace "&amp;(FechaRef-$E25)&amp;IF(FechaRef-$E25=1," día"," días"),IF($E25=FechaRef,"Vence hoy",IF($E25-FechaRef&lt;=DiasAlerta,"Vence en "&amp;($E25-FechaRef)&amp;IF($E25-FechaRef=1," día"," días"),"En plazo"))))))</f>
        <v/>
      </c>
      <c r="N25" s="64" t="n"/>
      <c r="O25" s="69">
        <f>IF(NOT((COUNTA($B25:$J25)+COUNTA($N25))&gt;0),"",IF((IF($C25="","Falta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",""))="","✔ OK","⚠ "&amp;LEFT(IF($C25="","Falta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",""),LEN(IF($C25="","Falta el nombre de la actividad"&amp;" · ","")&amp;IF(AND($S25="Sub",N($R25)=0),"Subactividad sin macroactividad arriba"&amp;" · ","")&amp;IF($D25="","Sin fecha de inicio"&amp;" · ","")&amp;IF($E25="","Sin fecha límite"&amp;" · ","")&amp;IF(OR(AND($D25&lt;&gt;"",NOT(ISNUMBER($D25))),AND($E25&lt;&gt;"",NOT(ISNUMBER($E25)))),"Fecha no válida"&amp;" · ","")&amp;IF(AND(ISNUMBER($D25),ISNUMBER($E25),$D25&gt;$E25),"Inicio posterior a fecha límite"&amp;" · ","")&amp;IF(AND($S25="Macro",$F25=""),"Peso vacío"&amp;" · ","")&amp;IF(AND($S25="Macro",$F25&lt;&gt;"",OR(NOT(ISNUMBER($F25)),$F25&lt;=0,$F25&gt;1)),"Peso fuera de rango"&amp;" · ","")&amp;IF(AND($S25="Sub",$F25&lt;&gt;"",OR(NOT(ISNUMBER($F25)),$F25&lt;0,$F25&gt;1)),"Peso fuera de rango"&amp;" · ","")&amp;IF(AND($S25="Sub",$F25="",IFERROR(N(INDEX($AG$5:$AG$1000,$R25-4)),0)&gt;0),"Falta el peso de la subactividad"&amp;" · ","")&amp;IF(AND(N($T25)&gt;0,N($AG25)&gt;0,ABS(N($AG25)-N($F25))&gt;0.0001),"Pesos de sus subactividades suman "&amp;TEXT(N($AG25),"0%")&amp;" (deben sumar "&amp;TEXT(N($F25),"0%")&amp;")"&amp;" · ","")&amp;IF(AND($S25="Macro",ABS(SUMIFS($F$5:$F$1000,$P$5:$P$1000,$P25,$S$5:$S$1000,"Macro")-1)&gt;0.0001),"Pesos del mes suman "&amp;TEXT(SUMIFS($F$5:$F$1000,$P$5:$P$1000,$P25,$S$5:$S$1000,"Macro"),"0%")&amp;" · ","")&amp;IF(AND(N($T25)&gt;0,COUNT($G25:$J25)&gt;0),"Con subactividades: deje vacías las semanas (se calculan solas)"&amp;" · ","")&amp;IF((COUNTIF($G25:$J25,"&gt;1")+COUNTIF($G25:$J25,"&lt;0")+COUNTA($G25:$J25)-COUNT($G25:$J25))&gt;0,"Avance fuera de rango 0-100%"&amp;" · ","")&amp;IF(OR(AND($H25&lt;&gt;"",$H25&lt;$G25),AND($I25&lt;&gt;"",$I25&lt;MAX($G25:$H25)),AND($J25&lt;&gt;"",$J25&lt;MAX($G25:$I25))),"Avance semanal decreciente"&amp;" · ","")&amp;IF(AND(ISNUMBER($E25),$E25&lt;FechaRef,N($K25)&lt;1),"Vencida"&amp;" · ","")&amp;IF(AND(ObsObligatoria="Sí",ISNUMBER($E25),$E25&lt;FechaRef,N($K25)&lt;1,$N25=""),"Vencida sin observación"&amp;" · ",""))-3)))</f>
        <v/>
      </c>
      <c r="P25" s="70">
        <f>IF(NOT((COUNTA($B25:$J25)+COUNTA($N25))&gt;0),"",IF(AND($S25="Sub",N($R25)&gt;0),IF(ISNUMBER(INDEX($D$5:$D$1000,$R25-4)),DATE(YEAR(INDEX($D$5:$D$1000,$R25-4)),MONTH(INDEX($D$5:$D$1000,$R25-4)),1),IF(ISNUMBER(INDEX($E$5:$E$1000,$R25-4)),DATE(YEAR(INDEX($E$5:$E$1000,$R25-4)),MONTH(INDEX($E$5:$E$1000,$R25-4)),1),MesCiclo)),IF(ISNUMBER($D25),DATE(YEAR($D25),MONTH($D25),1),IF(ISNUMBER($E25),DATE(YEAR($E25),MONTH($E25),1),MesCiclo))))</f>
        <v/>
      </c>
      <c r="Q25" s="71">
        <f>IF(OR($P25="",$P25&lt;&gt;MesCiclo),"",COUNTIF($P$5:$P25,MesCiclo))</f>
        <v/>
      </c>
      <c r="R25" s="71">
        <f>IF($S25="","",IF($S25="Macro",ROW(),IFERROR(LOOKUP(2,1/($S$5:$S25="Macro"),ROW($S$5:$S25)),0)))</f>
        <v/>
      </c>
      <c r="S25" s="71">
        <f>IF(NOT((COUNTA($B25:$J25)+COUNTA($N25))&gt;0),"",IF($B25="Subactividad","Sub","Macro"))</f>
        <v/>
      </c>
      <c r="T25" s="71">
        <f>IF($S25="Macro",COUNTIFS($R$5:$R$1000,ROW(),$S$5:$S$1000,"Sub"),"")</f>
        <v/>
      </c>
      <c r="U25" s="71">
        <f>IF($S25="","",IF(ISNUMBER($G25),$G25,0))</f>
        <v/>
      </c>
      <c r="V25" s="71">
        <f>IF($S25="","",IF(ISNUMBER($H25),$H25,$U25))</f>
        <v/>
      </c>
      <c r="W25" s="71">
        <f>IF($S25="","",IF(ISNUMBER($I25),$I25,$V25))</f>
        <v/>
      </c>
      <c r="X25" s="71">
        <f>IF($S25="","",IF(ISNUMBER($J25),$J25,$W25))</f>
        <v/>
      </c>
      <c r="Y25" s="71">
        <f>IF($S25="","",IF(N($T25)&gt;0,IF(N($AG25)&gt;0,SUMIFS($AC$5:$AC$1000,$R$5:$R$1000,ROW(),$S$5:$S$1000,"Sub")/$AG25,AVERAGEIFS($U$5:$U$1000,$R$5:$R$1000,ROW(),$S$5:$S$1000,"Sub")),$U25))</f>
        <v/>
      </c>
      <c r="Z25" s="71">
        <f>IF($S25="","",IF(N($T25)&gt;0,IF(N($AG25)&gt;0,SUMIFS($AD$5:$AD$1000,$R$5:$R$1000,ROW(),$S$5:$S$1000,"Sub")/$AG25,AVERAGEIFS($V$5:$V$1000,$R$5:$R$1000,ROW(),$S$5:$S$1000,"Sub")),$V25))</f>
        <v/>
      </c>
      <c r="AA25" s="71">
        <f>IF($S25="","",IF(N($T25)&gt;0,IF(N($AG25)&gt;0,SUMIFS($AE$5:$AE$1000,$R$5:$R$1000,ROW(),$S$5:$S$1000,"Sub")/$AG25,AVERAGEIFS($W$5:$W$1000,$R$5:$R$1000,ROW(),$S$5:$S$1000,"Sub")),$W25))</f>
        <v/>
      </c>
      <c r="AB25" s="71">
        <f>IF($S25="","",IF(N($T25)&gt;0,IF(N($AG25)&gt;0,SUMIFS($AF$5:$AF$1000,$R$5:$R$1000,ROW(),$S$5:$S$1000,"Sub")/$AG25,AVERAGEIFS($X$5:$X$1000,$R$5:$R$1000,ROW(),$S$5:$S$1000,"Sub")),$X25))</f>
        <v/>
      </c>
      <c r="AC25" s="71">
        <f>IF($S25="Sub",N($F25)*N($U25),"")</f>
        <v/>
      </c>
      <c r="AD25" s="71">
        <f>IF($S25="Sub",N($F25)*N($V25),"")</f>
        <v/>
      </c>
      <c r="AE25" s="71">
        <f>IF($S25="Sub",N($F25)*N($W25),"")</f>
        <v/>
      </c>
      <c r="AF25" s="71">
        <f>IF($S25="Sub",N($F25)*N($X25),"")</f>
        <v/>
      </c>
      <c r="AG25" s="71">
        <f>IF(N($T25)&gt;0,SUMIFS($F$5:$F$1000,$R$5:$R$1000,ROW(),$S$5:$S$1000,"Sub"),"")</f>
        <v/>
      </c>
    </row>
    <row r="26">
      <c r="A26" s="62">
        <f>IF(NOT((COUNTA($B26:$J26)+COUNTA($N26))&gt;0),"",IF($S26="Macro",COUNTIFS($S$5:$S26,"Macro",$P$5:$P26,$P26),IF(N($R26)=0,"?",COUNTIFS(INDEX($S$5:$S$1000,1):INDEX($S$5:$S$1000,$R26-4),"Macro",INDEX($P$5:$P$1000,1):INDEX($P$5:$P$1000,$R26-4),INDEX($P$5:$P$1000,$R26-4))&amp;"."&amp;COUNTIFS($R$5:$R26,$R26,$S$5:$S26,"Sub"))))</f>
        <v/>
      </c>
      <c r="B26" s="63" t="n"/>
      <c r="C26" s="64" t="n"/>
      <c r="D26" s="65" t="n"/>
      <c r="E26" s="65" t="n"/>
      <c r="F26" s="66" t="n"/>
      <c r="G26" s="67" t="n"/>
      <c r="H26" s="67" t="n"/>
      <c r="I26" s="67" t="n"/>
      <c r="J26" s="67" t="n"/>
      <c r="K26" s="68">
        <f>IF(NOT((COUNTA($B26:$J26)+COUNTA($N26))&gt;0),"",IF(N($T26)&gt;0,$AB26,IFERROR(LOOKUP(2,1/(G26:J26&lt;&gt;""),G26:J26),0)))</f>
        <v/>
      </c>
      <c r="L26" s="62">
        <f>IF(K26="","",IF(K26&gt;=1,"Completado",IF(K26&gt;0,"En curso","Pendiente")))</f>
        <v/>
      </c>
      <c r="M26" s="62">
        <f>IF(NOT((COUNTA($B26:$J26)+COUNTA($N26))&gt;0),"",IF(N($K26)&gt;=1,"Cumplida",IF(NOT(ISNUMBER($E26)),"Sin fecha límite",IF($E26&lt;FechaRef,"Vencida hace "&amp;(FechaRef-$E26)&amp;IF(FechaRef-$E26=1," día"," días"),IF($E26=FechaRef,"Vence hoy",IF($E26-FechaRef&lt;=DiasAlerta,"Vence en "&amp;($E26-FechaRef)&amp;IF($E26-FechaRef=1," día"," días"),"En plazo"))))))</f>
        <v/>
      </c>
      <c r="N26" s="64" t="n"/>
      <c r="O26" s="69">
        <f>IF(NOT((COUNTA($B26:$J26)+COUNTA($N26))&gt;0),"",IF((IF($C26="","Falta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",""))="","✔ OK","⚠ "&amp;LEFT(IF($C26="","Falta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",""),LEN(IF($C26="","Falta el nombre de la actividad"&amp;" · ","")&amp;IF(AND($S26="Sub",N($R26)=0),"Subactividad sin macroactividad arriba"&amp;" · ","")&amp;IF($D26="","Sin fecha de inicio"&amp;" · ","")&amp;IF($E26="","Sin fecha límite"&amp;" · ","")&amp;IF(OR(AND($D26&lt;&gt;"",NOT(ISNUMBER($D26))),AND($E26&lt;&gt;"",NOT(ISNUMBER($E26)))),"Fecha no válida"&amp;" · ","")&amp;IF(AND(ISNUMBER($D26),ISNUMBER($E26),$D26&gt;$E26),"Inicio posterior a fecha límite"&amp;" · ","")&amp;IF(AND($S26="Macro",$F26=""),"Peso vacío"&amp;" · ","")&amp;IF(AND($S26="Macro",$F26&lt;&gt;"",OR(NOT(ISNUMBER($F26)),$F26&lt;=0,$F26&gt;1)),"Peso fuera de rango"&amp;" · ","")&amp;IF(AND($S26="Sub",$F26&lt;&gt;"",OR(NOT(ISNUMBER($F26)),$F26&lt;0,$F26&gt;1)),"Peso fuera de rango"&amp;" · ","")&amp;IF(AND($S26="Sub",$F26="",IFERROR(N(INDEX($AG$5:$AG$1000,$R26-4)),0)&gt;0),"Falta el peso de la subactividad"&amp;" · ","")&amp;IF(AND(N($T26)&gt;0,N($AG26)&gt;0,ABS(N($AG26)-N($F26))&gt;0.0001),"Pesos de sus subactividades suman "&amp;TEXT(N($AG26),"0%")&amp;" (deben sumar "&amp;TEXT(N($F26),"0%")&amp;")"&amp;" · ","")&amp;IF(AND($S26="Macro",ABS(SUMIFS($F$5:$F$1000,$P$5:$P$1000,$P26,$S$5:$S$1000,"Macro")-1)&gt;0.0001),"Pesos del mes suman "&amp;TEXT(SUMIFS($F$5:$F$1000,$P$5:$P$1000,$P26,$S$5:$S$1000,"Macro"),"0%")&amp;" · ","")&amp;IF(AND(N($T26)&gt;0,COUNT($G26:$J26)&gt;0),"Con subactividades: deje vacías las semanas (se calculan solas)"&amp;" · ","")&amp;IF((COUNTIF($G26:$J26,"&gt;1")+COUNTIF($G26:$J26,"&lt;0")+COUNTA($G26:$J26)-COUNT($G26:$J26))&gt;0,"Avance fuera de rango 0-100%"&amp;" · ","")&amp;IF(OR(AND($H26&lt;&gt;"",$H26&lt;$G26),AND($I26&lt;&gt;"",$I26&lt;MAX($G26:$H26)),AND($J26&lt;&gt;"",$J26&lt;MAX($G26:$I26))),"Avance semanal decreciente"&amp;" · ","")&amp;IF(AND(ISNUMBER($E26),$E26&lt;FechaRef,N($K26)&lt;1),"Vencida"&amp;" · ","")&amp;IF(AND(ObsObligatoria="Sí",ISNUMBER($E26),$E26&lt;FechaRef,N($K26)&lt;1,$N26=""),"Vencida sin observación"&amp;" · ",""))-3)))</f>
        <v/>
      </c>
      <c r="P26" s="70">
        <f>IF(NOT((COUNTA($B26:$J26)+COUNTA($N26))&gt;0),"",IF(AND($S26="Sub",N($R26)&gt;0),IF(ISNUMBER(INDEX($D$5:$D$1000,$R26-4)),DATE(YEAR(INDEX($D$5:$D$1000,$R26-4)),MONTH(INDEX($D$5:$D$1000,$R26-4)),1),IF(ISNUMBER(INDEX($E$5:$E$1000,$R26-4)),DATE(YEAR(INDEX($E$5:$E$1000,$R26-4)),MONTH(INDEX($E$5:$E$1000,$R26-4)),1),MesCiclo)),IF(ISNUMBER($D26),DATE(YEAR($D26),MONTH($D26),1),IF(ISNUMBER($E26),DATE(YEAR($E26),MONTH($E26),1),MesCiclo))))</f>
        <v/>
      </c>
      <c r="Q26" s="71">
        <f>IF(OR($P26="",$P26&lt;&gt;MesCiclo),"",COUNTIF($P$5:$P26,MesCiclo))</f>
        <v/>
      </c>
      <c r="R26" s="71">
        <f>IF($S26="","",IF($S26="Macro",ROW(),IFERROR(LOOKUP(2,1/($S$5:$S26="Macro"),ROW($S$5:$S26)),0)))</f>
        <v/>
      </c>
      <c r="S26" s="71">
        <f>IF(NOT((COUNTA($B26:$J26)+COUNTA($N26))&gt;0),"",IF($B26="Subactividad","Sub","Macro"))</f>
        <v/>
      </c>
      <c r="T26" s="71">
        <f>IF($S26="Macro",COUNTIFS($R$5:$R$1000,ROW(),$S$5:$S$1000,"Sub"),"")</f>
        <v/>
      </c>
      <c r="U26" s="71">
        <f>IF($S26="","",IF(ISNUMBER($G26),$G26,0))</f>
        <v/>
      </c>
      <c r="V26" s="71">
        <f>IF($S26="","",IF(ISNUMBER($H26),$H26,$U26))</f>
        <v/>
      </c>
      <c r="W26" s="71">
        <f>IF($S26="","",IF(ISNUMBER($I26),$I26,$V26))</f>
        <v/>
      </c>
      <c r="X26" s="71">
        <f>IF($S26="","",IF(ISNUMBER($J26),$J26,$W26))</f>
        <v/>
      </c>
      <c r="Y26" s="71">
        <f>IF($S26="","",IF(N($T26)&gt;0,IF(N($AG26)&gt;0,SUMIFS($AC$5:$AC$1000,$R$5:$R$1000,ROW(),$S$5:$S$1000,"Sub")/$AG26,AVERAGEIFS($U$5:$U$1000,$R$5:$R$1000,ROW(),$S$5:$S$1000,"Sub")),$U26))</f>
        <v/>
      </c>
      <c r="Z26" s="71">
        <f>IF($S26="","",IF(N($T26)&gt;0,IF(N($AG26)&gt;0,SUMIFS($AD$5:$AD$1000,$R$5:$R$1000,ROW(),$S$5:$S$1000,"Sub")/$AG26,AVERAGEIFS($V$5:$V$1000,$R$5:$R$1000,ROW(),$S$5:$S$1000,"Sub")),$V26))</f>
        <v/>
      </c>
      <c r="AA26" s="71">
        <f>IF($S26="","",IF(N($T26)&gt;0,IF(N($AG26)&gt;0,SUMIFS($AE$5:$AE$1000,$R$5:$R$1000,ROW(),$S$5:$S$1000,"Sub")/$AG26,AVERAGEIFS($W$5:$W$1000,$R$5:$R$1000,ROW(),$S$5:$S$1000,"Sub")),$W26))</f>
        <v/>
      </c>
      <c r="AB26" s="71">
        <f>IF($S26="","",IF(N($T26)&gt;0,IF(N($AG26)&gt;0,SUMIFS($AF$5:$AF$1000,$R$5:$R$1000,ROW(),$S$5:$S$1000,"Sub")/$AG26,AVERAGEIFS($X$5:$X$1000,$R$5:$R$1000,ROW(),$S$5:$S$1000,"Sub")),$X26))</f>
        <v/>
      </c>
      <c r="AC26" s="71">
        <f>IF($S26="Sub",N($F26)*N($U26),"")</f>
        <v/>
      </c>
      <c r="AD26" s="71">
        <f>IF($S26="Sub",N($F26)*N($V26),"")</f>
        <v/>
      </c>
      <c r="AE26" s="71">
        <f>IF($S26="Sub",N($F26)*N($W26),"")</f>
        <v/>
      </c>
      <c r="AF26" s="71">
        <f>IF($S26="Sub",N($F26)*N($X26),"")</f>
        <v/>
      </c>
      <c r="AG26" s="71">
        <f>IF(N($T26)&gt;0,SUMIFS($F$5:$F$1000,$R$5:$R$1000,ROW(),$S$5:$S$1000,"Sub"),"")</f>
        <v/>
      </c>
    </row>
    <row r="27">
      <c r="A27" s="62">
        <f>IF(NOT((COUNTA($B27:$J27)+COUNTA($N27))&gt;0),"",IF($S27="Macro",COUNTIFS($S$5:$S27,"Macro",$P$5:$P27,$P27),IF(N($R27)=0,"?",COUNTIFS(INDEX($S$5:$S$1000,1):INDEX($S$5:$S$1000,$R27-4),"Macro",INDEX($P$5:$P$1000,1):INDEX($P$5:$P$1000,$R27-4),INDEX($P$5:$P$1000,$R27-4))&amp;"."&amp;COUNTIFS($R$5:$R27,$R27,$S$5:$S27,"Sub"))))</f>
        <v/>
      </c>
      <c r="B27" s="63" t="n"/>
      <c r="C27" s="64" t="n"/>
      <c r="D27" s="65" t="n"/>
      <c r="E27" s="65" t="n"/>
      <c r="F27" s="66" t="n"/>
      <c r="G27" s="67" t="n"/>
      <c r="H27" s="67" t="n"/>
      <c r="I27" s="67" t="n"/>
      <c r="J27" s="67" t="n"/>
      <c r="K27" s="68">
        <f>IF(NOT((COUNTA($B27:$J27)+COUNTA($N27))&gt;0),"",IF(N($T27)&gt;0,$AB27,IFERROR(LOOKUP(2,1/(G27:J27&lt;&gt;""),G27:J27),0)))</f>
        <v/>
      </c>
      <c r="L27" s="62">
        <f>IF(K27="","",IF(K27&gt;=1,"Completado",IF(K27&gt;0,"En curso","Pendiente")))</f>
        <v/>
      </c>
      <c r="M27" s="62">
        <f>IF(NOT((COUNTA($B27:$J27)+COUNTA($N27))&gt;0),"",IF(N($K27)&gt;=1,"Cumplida",IF(NOT(ISNUMBER($E27)),"Sin fecha límite",IF($E27&lt;FechaRef,"Vencida hace "&amp;(FechaRef-$E27)&amp;IF(FechaRef-$E27=1," día"," días"),IF($E27=FechaRef,"Vence hoy",IF($E27-FechaRef&lt;=DiasAlerta,"Vence en "&amp;($E27-FechaRef)&amp;IF($E27-FechaRef=1," día"," días"),"En plazo"))))))</f>
        <v/>
      </c>
      <c r="N27" s="64" t="n"/>
      <c r="O27" s="69">
        <f>IF(NOT((COUNTA($B27:$J27)+COUNTA($N27))&gt;0),"",IF((IF($C27="","Falta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",""))="","✔ OK","⚠ "&amp;LEFT(IF($C27="","Falta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",""),LEN(IF($C27="","Falta el nombre de la actividad"&amp;" · ","")&amp;IF(AND($S27="Sub",N($R27)=0),"Subactividad sin macroactividad arriba"&amp;" · ","")&amp;IF($D27="","Sin fecha de inicio"&amp;" · ","")&amp;IF($E27="","Sin fecha límite"&amp;" · ","")&amp;IF(OR(AND($D27&lt;&gt;"",NOT(ISNUMBER($D27))),AND($E27&lt;&gt;"",NOT(ISNUMBER($E27)))),"Fecha no válida"&amp;" · ","")&amp;IF(AND(ISNUMBER($D27),ISNUMBER($E27),$D27&gt;$E27),"Inicio posterior a fecha límite"&amp;" · ","")&amp;IF(AND($S27="Macro",$F27=""),"Peso vacío"&amp;" · ","")&amp;IF(AND($S27="Macro",$F27&lt;&gt;"",OR(NOT(ISNUMBER($F27)),$F27&lt;=0,$F27&gt;1)),"Peso fuera de rango"&amp;" · ","")&amp;IF(AND($S27="Sub",$F27&lt;&gt;"",OR(NOT(ISNUMBER($F27)),$F27&lt;0,$F27&gt;1)),"Peso fuera de rango"&amp;" · ","")&amp;IF(AND($S27="Sub",$F27="",IFERROR(N(INDEX($AG$5:$AG$1000,$R27-4)),0)&gt;0),"Falta el peso de la subactividad"&amp;" · ","")&amp;IF(AND(N($T27)&gt;0,N($AG27)&gt;0,ABS(N($AG27)-N($F27))&gt;0.0001),"Pesos de sus subactividades suman "&amp;TEXT(N($AG27),"0%")&amp;" (deben sumar "&amp;TEXT(N($F27),"0%")&amp;")"&amp;" · ","")&amp;IF(AND($S27="Macro",ABS(SUMIFS($F$5:$F$1000,$P$5:$P$1000,$P27,$S$5:$S$1000,"Macro")-1)&gt;0.0001),"Pesos del mes suman "&amp;TEXT(SUMIFS($F$5:$F$1000,$P$5:$P$1000,$P27,$S$5:$S$1000,"Macro"),"0%")&amp;" · ","")&amp;IF(AND(N($T27)&gt;0,COUNT($G27:$J27)&gt;0),"Con subactividades: deje vacías las semanas (se calculan solas)"&amp;" · ","")&amp;IF((COUNTIF($G27:$J27,"&gt;1")+COUNTIF($G27:$J27,"&lt;0")+COUNTA($G27:$J27)-COUNT($G27:$J27))&gt;0,"Avance fuera de rango 0-100%"&amp;" · ","")&amp;IF(OR(AND($H27&lt;&gt;"",$H27&lt;$G27),AND($I27&lt;&gt;"",$I27&lt;MAX($G27:$H27)),AND($J27&lt;&gt;"",$J27&lt;MAX($G27:$I27))),"Avance semanal decreciente"&amp;" · ","")&amp;IF(AND(ISNUMBER($E27),$E27&lt;FechaRef,N($K27)&lt;1),"Vencida"&amp;" · ","")&amp;IF(AND(ObsObligatoria="Sí",ISNUMBER($E27),$E27&lt;FechaRef,N($K27)&lt;1,$N27=""),"Vencida sin observación"&amp;" · ",""))-3)))</f>
        <v/>
      </c>
      <c r="P27" s="70">
        <f>IF(NOT((COUNTA($B27:$J27)+COUNTA($N27))&gt;0),"",IF(AND($S27="Sub",N($R27)&gt;0),IF(ISNUMBER(INDEX($D$5:$D$1000,$R27-4)),DATE(YEAR(INDEX($D$5:$D$1000,$R27-4)),MONTH(INDEX($D$5:$D$1000,$R27-4)),1),IF(ISNUMBER(INDEX($E$5:$E$1000,$R27-4)),DATE(YEAR(INDEX($E$5:$E$1000,$R27-4)),MONTH(INDEX($E$5:$E$1000,$R27-4)),1),MesCiclo)),IF(ISNUMBER($D27),DATE(YEAR($D27),MONTH($D27),1),IF(ISNUMBER($E27),DATE(YEAR($E27),MONTH($E27),1),MesCiclo))))</f>
        <v/>
      </c>
      <c r="Q27" s="71">
        <f>IF(OR($P27="",$P27&lt;&gt;MesCiclo),"",COUNTIF($P$5:$P27,MesCiclo))</f>
        <v/>
      </c>
      <c r="R27" s="71">
        <f>IF($S27="","",IF($S27="Macro",ROW(),IFERROR(LOOKUP(2,1/($S$5:$S27="Macro"),ROW($S$5:$S27)),0)))</f>
        <v/>
      </c>
      <c r="S27" s="71">
        <f>IF(NOT((COUNTA($B27:$J27)+COUNTA($N27))&gt;0),"",IF($B27="Subactividad","Sub","Macro"))</f>
        <v/>
      </c>
      <c r="T27" s="71">
        <f>IF($S27="Macro",COUNTIFS($R$5:$R$1000,ROW(),$S$5:$S$1000,"Sub"),"")</f>
        <v/>
      </c>
      <c r="U27" s="71">
        <f>IF($S27="","",IF(ISNUMBER($G27),$G27,0))</f>
        <v/>
      </c>
      <c r="V27" s="71">
        <f>IF($S27="","",IF(ISNUMBER($H27),$H27,$U27))</f>
        <v/>
      </c>
      <c r="W27" s="71">
        <f>IF($S27="","",IF(ISNUMBER($I27),$I27,$V27))</f>
        <v/>
      </c>
      <c r="X27" s="71">
        <f>IF($S27="","",IF(ISNUMBER($J27),$J27,$W27))</f>
        <v/>
      </c>
      <c r="Y27" s="71">
        <f>IF($S27="","",IF(N($T27)&gt;0,IF(N($AG27)&gt;0,SUMIFS($AC$5:$AC$1000,$R$5:$R$1000,ROW(),$S$5:$S$1000,"Sub")/$AG27,AVERAGEIFS($U$5:$U$1000,$R$5:$R$1000,ROW(),$S$5:$S$1000,"Sub")),$U27))</f>
        <v/>
      </c>
      <c r="Z27" s="71">
        <f>IF($S27="","",IF(N($T27)&gt;0,IF(N($AG27)&gt;0,SUMIFS($AD$5:$AD$1000,$R$5:$R$1000,ROW(),$S$5:$S$1000,"Sub")/$AG27,AVERAGEIFS($V$5:$V$1000,$R$5:$R$1000,ROW(),$S$5:$S$1000,"Sub")),$V27))</f>
        <v/>
      </c>
      <c r="AA27" s="71">
        <f>IF($S27="","",IF(N($T27)&gt;0,IF(N($AG27)&gt;0,SUMIFS($AE$5:$AE$1000,$R$5:$R$1000,ROW(),$S$5:$S$1000,"Sub")/$AG27,AVERAGEIFS($W$5:$W$1000,$R$5:$R$1000,ROW(),$S$5:$S$1000,"Sub")),$W27))</f>
        <v/>
      </c>
      <c r="AB27" s="71">
        <f>IF($S27="","",IF(N($T27)&gt;0,IF(N($AG27)&gt;0,SUMIFS($AF$5:$AF$1000,$R$5:$R$1000,ROW(),$S$5:$S$1000,"Sub")/$AG27,AVERAGEIFS($X$5:$X$1000,$R$5:$R$1000,ROW(),$S$5:$S$1000,"Sub")),$X27))</f>
        <v/>
      </c>
      <c r="AC27" s="71">
        <f>IF($S27="Sub",N($F27)*N($U27),"")</f>
        <v/>
      </c>
      <c r="AD27" s="71">
        <f>IF($S27="Sub",N($F27)*N($V27),"")</f>
        <v/>
      </c>
      <c r="AE27" s="71">
        <f>IF($S27="Sub",N($F27)*N($W27),"")</f>
        <v/>
      </c>
      <c r="AF27" s="71">
        <f>IF($S27="Sub",N($F27)*N($X27),"")</f>
        <v/>
      </c>
      <c r="AG27" s="71">
        <f>IF(N($T27)&gt;0,SUMIFS($F$5:$F$1000,$R$5:$R$1000,ROW(),$S$5:$S$1000,"Sub"),"")</f>
        <v/>
      </c>
    </row>
    <row r="28">
      <c r="A28" s="62">
        <f>IF(NOT((COUNTA($B28:$J28)+COUNTA($N28))&gt;0),"",IF($S28="Macro",COUNTIFS($S$5:$S28,"Macro",$P$5:$P28,$P28),IF(N($R28)=0,"?",COUNTIFS(INDEX($S$5:$S$1000,1):INDEX($S$5:$S$1000,$R28-4),"Macro",INDEX($P$5:$P$1000,1):INDEX($P$5:$P$1000,$R28-4),INDEX($P$5:$P$1000,$R28-4))&amp;"."&amp;COUNTIFS($R$5:$R28,$R28,$S$5:$S28,"Sub"))))</f>
        <v/>
      </c>
      <c r="B28" s="63" t="n"/>
      <c r="C28" s="64" t="n"/>
      <c r="D28" s="65" t="n"/>
      <c r="E28" s="65" t="n"/>
      <c r="F28" s="66" t="n"/>
      <c r="G28" s="67" t="n"/>
      <c r="H28" s="67" t="n"/>
      <c r="I28" s="67" t="n"/>
      <c r="J28" s="67" t="n"/>
      <c r="K28" s="68">
        <f>IF(NOT((COUNTA($B28:$J28)+COUNTA($N28))&gt;0),"",IF(N($T28)&gt;0,$AB28,IFERROR(LOOKUP(2,1/(G28:J28&lt;&gt;""),G28:J28),0)))</f>
        <v/>
      </c>
      <c r="L28" s="62">
        <f>IF(K28="","",IF(K28&gt;=1,"Completado",IF(K28&gt;0,"En curso","Pendiente")))</f>
        <v/>
      </c>
      <c r="M28" s="62">
        <f>IF(NOT((COUNTA($B28:$J28)+COUNTA($N28))&gt;0),"",IF(N($K28)&gt;=1,"Cumplida",IF(NOT(ISNUMBER($E28)),"Sin fecha límite",IF($E28&lt;FechaRef,"Vencida hace "&amp;(FechaRef-$E28)&amp;IF(FechaRef-$E28=1," día"," días"),IF($E28=FechaRef,"Vence hoy",IF($E28-FechaRef&lt;=DiasAlerta,"Vence en "&amp;($E28-FechaRef)&amp;IF($E28-FechaRef=1," día"," días"),"En plazo"))))))</f>
        <v/>
      </c>
      <c r="N28" s="64" t="n"/>
      <c r="O28" s="69">
        <f>IF(NOT((COUNTA($B28:$J28)+COUNTA($N28))&gt;0),"",IF((IF($C28="","Falta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",""))="","✔ OK","⚠ "&amp;LEFT(IF($C28="","Falta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",""),LEN(IF($C28="","Falta el nombre de la actividad"&amp;" · ","")&amp;IF(AND($S28="Sub",N($R28)=0),"Subactividad sin macroactividad arriba"&amp;" · ","")&amp;IF($D28="","Sin fecha de inicio"&amp;" · ","")&amp;IF($E28="","Sin fecha límite"&amp;" · ","")&amp;IF(OR(AND($D28&lt;&gt;"",NOT(ISNUMBER($D28))),AND($E28&lt;&gt;"",NOT(ISNUMBER($E28)))),"Fecha no válida"&amp;" · ","")&amp;IF(AND(ISNUMBER($D28),ISNUMBER($E28),$D28&gt;$E28),"Inicio posterior a fecha límite"&amp;" · ","")&amp;IF(AND($S28="Macro",$F28=""),"Peso vacío"&amp;" · ","")&amp;IF(AND($S28="Macro",$F28&lt;&gt;"",OR(NOT(ISNUMBER($F28)),$F28&lt;=0,$F28&gt;1)),"Peso fuera de rango"&amp;" · ","")&amp;IF(AND($S28="Sub",$F28&lt;&gt;"",OR(NOT(ISNUMBER($F28)),$F28&lt;0,$F28&gt;1)),"Peso fuera de rango"&amp;" · ","")&amp;IF(AND($S28="Sub",$F28="",IFERROR(N(INDEX($AG$5:$AG$1000,$R28-4)),0)&gt;0),"Falta el peso de la subactividad"&amp;" · ","")&amp;IF(AND(N($T28)&gt;0,N($AG28)&gt;0,ABS(N($AG28)-N($F28))&gt;0.0001),"Pesos de sus subactividades suman "&amp;TEXT(N($AG28),"0%")&amp;" (deben sumar "&amp;TEXT(N($F28),"0%")&amp;")"&amp;" · ","")&amp;IF(AND($S28="Macro",ABS(SUMIFS($F$5:$F$1000,$P$5:$P$1000,$P28,$S$5:$S$1000,"Macro")-1)&gt;0.0001),"Pesos del mes suman "&amp;TEXT(SUMIFS($F$5:$F$1000,$P$5:$P$1000,$P28,$S$5:$S$1000,"Macro"),"0%")&amp;" · ","")&amp;IF(AND(N($T28)&gt;0,COUNT($G28:$J28)&gt;0),"Con subactividades: deje vacías las semanas (se calculan solas)"&amp;" · ","")&amp;IF((COUNTIF($G28:$J28,"&gt;1")+COUNTIF($G28:$J28,"&lt;0")+COUNTA($G28:$J28)-COUNT($G28:$J28))&gt;0,"Avance fuera de rango 0-100%"&amp;" · ","")&amp;IF(OR(AND($H28&lt;&gt;"",$H28&lt;$G28),AND($I28&lt;&gt;"",$I28&lt;MAX($G28:$H28)),AND($J28&lt;&gt;"",$J28&lt;MAX($G28:$I28))),"Avance semanal decreciente"&amp;" · ","")&amp;IF(AND(ISNUMBER($E28),$E28&lt;FechaRef,N($K28)&lt;1),"Vencida"&amp;" · ","")&amp;IF(AND(ObsObligatoria="Sí",ISNUMBER($E28),$E28&lt;FechaRef,N($K28)&lt;1,$N28=""),"Vencida sin observación"&amp;" · ",""))-3)))</f>
        <v/>
      </c>
      <c r="P28" s="70">
        <f>IF(NOT((COUNTA($B28:$J28)+COUNTA($N28))&gt;0),"",IF(AND($S28="Sub",N($R28)&gt;0),IF(ISNUMBER(INDEX($D$5:$D$1000,$R28-4)),DATE(YEAR(INDEX($D$5:$D$1000,$R28-4)),MONTH(INDEX($D$5:$D$1000,$R28-4)),1),IF(ISNUMBER(INDEX($E$5:$E$1000,$R28-4)),DATE(YEAR(INDEX($E$5:$E$1000,$R28-4)),MONTH(INDEX($E$5:$E$1000,$R28-4)),1),MesCiclo)),IF(ISNUMBER($D28),DATE(YEAR($D28),MONTH($D28),1),IF(ISNUMBER($E28),DATE(YEAR($E28),MONTH($E28),1),MesCiclo))))</f>
        <v/>
      </c>
      <c r="Q28" s="71">
        <f>IF(OR($P28="",$P28&lt;&gt;MesCiclo),"",COUNTIF($P$5:$P28,MesCiclo))</f>
        <v/>
      </c>
      <c r="R28" s="71">
        <f>IF($S28="","",IF($S28="Macro",ROW(),IFERROR(LOOKUP(2,1/($S$5:$S28="Macro"),ROW($S$5:$S28)),0)))</f>
        <v/>
      </c>
      <c r="S28" s="71">
        <f>IF(NOT((COUNTA($B28:$J28)+COUNTA($N28))&gt;0),"",IF($B28="Subactividad","Sub","Macro"))</f>
        <v/>
      </c>
      <c r="T28" s="71">
        <f>IF($S28="Macro",COUNTIFS($R$5:$R$1000,ROW(),$S$5:$S$1000,"Sub"),"")</f>
        <v/>
      </c>
      <c r="U28" s="71">
        <f>IF($S28="","",IF(ISNUMBER($G28),$G28,0))</f>
        <v/>
      </c>
      <c r="V28" s="71">
        <f>IF($S28="","",IF(ISNUMBER($H28),$H28,$U28))</f>
        <v/>
      </c>
      <c r="W28" s="71">
        <f>IF($S28="","",IF(ISNUMBER($I28),$I28,$V28))</f>
        <v/>
      </c>
      <c r="X28" s="71">
        <f>IF($S28="","",IF(ISNUMBER($J28),$J28,$W28))</f>
        <v/>
      </c>
      <c r="Y28" s="71">
        <f>IF($S28="","",IF(N($T28)&gt;0,IF(N($AG28)&gt;0,SUMIFS($AC$5:$AC$1000,$R$5:$R$1000,ROW(),$S$5:$S$1000,"Sub")/$AG28,AVERAGEIFS($U$5:$U$1000,$R$5:$R$1000,ROW(),$S$5:$S$1000,"Sub")),$U28))</f>
        <v/>
      </c>
      <c r="Z28" s="71">
        <f>IF($S28="","",IF(N($T28)&gt;0,IF(N($AG28)&gt;0,SUMIFS($AD$5:$AD$1000,$R$5:$R$1000,ROW(),$S$5:$S$1000,"Sub")/$AG28,AVERAGEIFS($V$5:$V$1000,$R$5:$R$1000,ROW(),$S$5:$S$1000,"Sub")),$V28))</f>
        <v/>
      </c>
      <c r="AA28" s="71">
        <f>IF($S28="","",IF(N($T28)&gt;0,IF(N($AG28)&gt;0,SUMIFS($AE$5:$AE$1000,$R$5:$R$1000,ROW(),$S$5:$S$1000,"Sub")/$AG28,AVERAGEIFS($W$5:$W$1000,$R$5:$R$1000,ROW(),$S$5:$S$1000,"Sub")),$W28))</f>
        <v/>
      </c>
      <c r="AB28" s="71">
        <f>IF($S28="","",IF(N($T28)&gt;0,IF(N($AG28)&gt;0,SUMIFS($AF$5:$AF$1000,$R$5:$R$1000,ROW(),$S$5:$S$1000,"Sub")/$AG28,AVERAGEIFS($X$5:$X$1000,$R$5:$R$1000,ROW(),$S$5:$S$1000,"Sub")),$X28))</f>
        <v/>
      </c>
      <c r="AC28" s="71">
        <f>IF($S28="Sub",N($F28)*N($U28),"")</f>
        <v/>
      </c>
      <c r="AD28" s="71">
        <f>IF($S28="Sub",N($F28)*N($V28),"")</f>
        <v/>
      </c>
      <c r="AE28" s="71">
        <f>IF($S28="Sub",N($F28)*N($W28),"")</f>
        <v/>
      </c>
      <c r="AF28" s="71">
        <f>IF($S28="Sub",N($F28)*N($X28),"")</f>
        <v/>
      </c>
      <c r="AG28" s="71">
        <f>IF(N($T28)&gt;0,SUMIFS($F$5:$F$1000,$R$5:$R$1000,ROW(),$S$5:$S$1000,"Sub"),"")</f>
        <v/>
      </c>
    </row>
    <row r="29">
      <c r="A29" s="62">
        <f>IF(NOT((COUNTA($B29:$J29)+COUNTA($N29))&gt;0),"",IF($S29="Macro",COUNTIFS($S$5:$S29,"Macro",$P$5:$P29,$P29),IF(N($R29)=0,"?",COUNTIFS(INDEX($S$5:$S$1000,1):INDEX($S$5:$S$1000,$R29-4),"Macro",INDEX($P$5:$P$1000,1):INDEX($P$5:$P$1000,$R29-4),INDEX($P$5:$P$1000,$R29-4))&amp;"."&amp;COUNTIFS($R$5:$R29,$R29,$S$5:$S29,"Sub"))))</f>
        <v/>
      </c>
      <c r="B29" s="63" t="n"/>
      <c r="C29" s="64" t="n"/>
      <c r="D29" s="65" t="n"/>
      <c r="E29" s="65" t="n"/>
      <c r="F29" s="66" t="n"/>
      <c r="G29" s="67" t="n"/>
      <c r="H29" s="67" t="n"/>
      <c r="I29" s="67" t="n"/>
      <c r="J29" s="67" t="n"/>
      <c r="K29" s="68">
        <f>IF(NOT((COUNTA($B29:$J29)+COUNTA($N29))&gt;0),"",IF(N($T29)&gt;0,$AB29,IFERROR(LOOKUP(2,1/(G29:J29&lt;&gt;""),G29:J29),0)))</f>
        <v/>
      </c>
      <c r="L29" s="62">
        <f>IF(K29="","",IF(K29&gt;=1,"Completado",IF(K29&gt;0,"En curso","Pendiente")))</f>
        <v/>
      </c>
      <c r="M29" s="62">
        <f>IF(NOT((COUNTA($B29:$J29)+COUNTA($N29))&gt;0),"",IF(N($K29)&gt;=1,"Cumplida",IF(NOT(ISNUMBER($E29)),"Sin fecha límite",IF($E29&lt;FechaRef,"Vencida hace "&amp;(FechaRef-$E29)&amp;IF(FechaRef-$E29=1," día"," días"),IF($E29=FechaRef,"Vence hoy",IF($E29-FechaRef&lt;=DiasAlerta,"Vence en "&amp;($E29-FechaRef)&amp;IF($E29-FechaRef=1," día"," días"),"En plazo"))))))</f>
        <v/>
      </c>
      <c r="N29" s="64" t="n"/>
      <c r="O29" s="69">
        <f>IF(NOT((COUNTA($B29:$J29)+COUNTA($N29))&gt;0),"",IF((IF($C29="","Falta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",""))="","✔ OK","⚠ "&amp;LEFT(IF($C29="","Falta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",""),LEN(IF($C29="","Falta el nombre de la actividad"&amp;" · ","")&amp;IF(AND($S29="Sub",N($R29)=0),"Subactividad sin macroactividad arriba"&amp;" · ","")&amp;IF($D29="","Sin fecha de inicio"&amp;" · ","")&amp;IF($E29="","Sin fecha límite"&amp;" · ","")&amp;IF(OR(AND($D29&lt;&gt;"",NOT(ISNUMBER($D29))),AND($E29&lt;&gt;"",NOT(ISNUMBER($E29)))),"Fecha no válida"&amp;" · ","")&amp;IF(AND(ISNUMBER($D29),ISNUMBER($E29),$D29&gt;$E29),"Inicio posterior a fecha límite"&amp;" · ","")&amp;IF(AND($S29="Macro",$F29=""),"Peso vacío"&amp;" · ","")&amp;IF(AND($S29="Macro",$F29&lt;&gt;"",OR(NOT(ISNUMBER($F29)),$F29&lt;=0,$F29&gt;1)),"Peso fuera de rango"&amp;" · ","")&amp;IF(AND($S29="Sub",$F29&lt;&gt;"",OR(NOT(ISNUMBER($F29)),$F29&lt;0,$F29&gt;1)),"Peso fuera de rango"&amp;" · ","")&amp;IF(AND($S29="Sub",$F29="",IFERROR(N(INDEX($AG$5:$AG$1000,$R29-4)),0)&gt;0),"Falta el peso de la subactividad"&amp;" · ","")&amp;IF(AND(N($T29)&gt;0,N($AG29)&gt;0,ABS(N($AG29)-N($F29))&gt;0.0001),"Pesos de sus subactividades suman "&amp;TEXT(N($AG29),"0%")&amp;" (deben sumar "&amp;TEXT(N($F29),"0%")&amp;")"&amp;" · ","")&amp;IF(AND($S29="Macro",ABS(SUMIFS($F$5:$F$1000,$P$5:$P$1000,$P29,$S$5:$S$1000,"Macro")-1)&gt;0.0001),"Pesos del mes suman "&amp;TEXT(SUMIFS($F$5:$F$1000,$P$5:$P$1000,$P29,$S$5:$S$1000,"Macro"),"0%")&amp;" · ","")&amp;IF(AND(N($T29)&gt;0,COUNT($G29:$J29)&gt;0),"Con subactividades: deje vacías las semanas (se calculan solas)"&amp;" · ","")&amp;IF((COUNTIF($G29:$J29,"&gt;1")+COUNTIF($G29:$J29,"&lt;0")+COUNTA($G29:$J29)-COUNT($G29:$J29))&gt;0,"Avance fuera de rango 0-100%"&amp;" · ","")&amp;IF(OR(AND($H29&lt;&gt;"",$H29&lt;$G29),AND($I29&lt;&gt;"",$I29&lt;MAX($G29:$H29)),AND($J29&lt;&gt;"",$J29&lt;MAX($G29:$I29))),"Avance semanal decreciente"&amp;" · ","")&amp;IF(AND(ISNUMBER($E29),$E29&lt;FechaRef,N($K29)&lt;1),"Vencida"&amp;" · ","")&amp;IF(AND(ObsObligatoria="Sí",ISNUMBER($E29),$E29&lt;FechaRef,N($K29)&lt;1,$N29=""),"Vencida sin observación"&amp;" · ",""))-3)))</f>
        <v/>
      </c>
      <c r="P29" s="70">
        <f>IF(NOT((COUNTA($B29:$J29)+COUNTA($N29))&gt;0),"",IF(AND($S29="Sub",N($R29)&gt;0),IF(ISNUMBER(INDEX($D$5:$D$1000,$R29-4)),DATE(YEAR(INDEX($D$5:$D$1000,$R29-4)),MONTH(INDEX($D$5:$D$1000,$R29-4)),1),IF(ISNUMBER(INDEX($E$5:$E$1000,$R29-4)),DATE(YEAR(INDEX($E$5:$E$1000,$R29-4)),MONTH(INDEX($E$5:$E$1000,$R29-4)),1),MesCiclo)),IF(ISNUMBER($D29),DATE(YEAR($D29),MONTH($D29),1),IF(ISNUMBER($E29),DATE(YEAR($E29),MONTH($E29),1),MesCiclo))))</f>
        <v/>
      </c>
      <c r="Q29" s="71">
        <f>IF(OR($P29="",$P29&lt;&gt;MesCiclo),"",COUNTIF($P$5:$P29,MesCiclo))</f>
        <v/>
      </c>
      <c r="R29" s="71">
        <f>IF($S29="","",IF($S29="Macro",ROW(),IFERROR(LOOKUP(2,1/($S$5:$S29="Macro"),ROW($S$5:$S29)),0)))</f>
        <v/>
      </c>
      <c r="S29" s="71">
        <f>IF(NOT((COUNTA($B29:$J29)+COUNTA($N29))&gt;0),"",IF($B29="Subactividad","Sub","Macro"))</f>
        <v/>
      </c>
      <c r="T29" s="71">
        <f>IF($S29="Macro",COUNTIFS($R$5:$R$1000,ROW(),$S$5:$S$1000,"Sub"),"")</f>
        <v/>
      </c>
      <c r="U29" s="71">
        <f>IF($S29="","",IF(ISNUMBER($G29),$G29,0))</f>
        <v/>
      </c>
      <c r="V29" s="71">
        <f>IF($S29="","",IF(ISNUMBER($H29),$H29,$U29))</f>
        <v/>
      </c>
      <c r="W29" s="71">
        <f>IF($S29="","",IF(ISNUMBER($I29),$I29,$V29))</f>
        <v/>
      </c>
      <c r="X29" s="71">
        <f>IF($S29="","",IF(ISNUMBER($J29),$J29,$W29))</f>
        <v/>
      </c>
      <c r="Y29" s="71">
        <f>IF($S29="","",IF(N($T29)&gt;0,IF(N($AG29)&gt;0,SUMIFS($AC$5:$AC$1000,$R$5:$R$1000,ROW(),$S$5:$S$1000,"Sub")/$AG29,AVERAGEIFS($U$5:$U$1000,$R$5:$R$1000,ROW(),$S$5:$S$1000,"Sub")),$U29))</f>
        <v/>
      </c>
      <c r="Z29" s="71">
        <f>IF($S29="","",IF(N($T29)&gt;0,IF(N($AG29)&gt;0,SUMIFS($AD$5:$AD$1000,$R$5:$R$1000,ROW(),$S$5:$S$1000,"Sub")/$AG29,AVERAGEIFS($V$5:$V$1000,$R$5:$R$1000,ROW(),$S$5:$S$1000,"Sub")),$V29))</f>
        <v/>
      </c>
      <c r="AA29" s="71">
        <f>IF($S29="","",IF(N($T29)&gt;0,IF(N($AG29)&gt;0,SUMIFS($AE$5:$AE$1000,$R$5:$R$1000,ROW(),$S$5:$S$1000,"Sub")/$AG29,AVERAGEIFS($W$5:$W$1000,$R$5:$R$1000,ROW(),$S$5:$S$1000,"Sub")),$W29))</f>
        <v/>
      </c>
      <c r="AB29" s="71">
        <f>IF($S29="","",IF(N($T29)&gt;0,IF(N($AG29)&gt;0,SUMIFS($AF$5:$AF$1000,$R$5:$R$1000,ROW(),$S$5:$S$1000,"Sub")/$AG29,AVERAGEIFS($X$5:$X$1000,$R$5:$R$1000,ROW(),$S$5:$S$1000,"Sub")),$X29))</f>
        <v/>
      </c>
      <c r="AC29" s="71">
        <f>IF($S29="Sub",N($F29)*N($U29),"")</f>
        <v/>
      </c>
      <c r="AD29" s="71">
        <f>IF($S29="Sub",N($F29)*N($V29),"")</f>
        <v/>
      </c>
      <c r="AE29" s="71">
        <f>IF($S29="Sub",N($F29)*N($W29),"")</f>
        <v/>
      </c>
      <c r="AF29" s="71">
        <f>IF($S29="Sub",N($F29)*N($X29),"")</f>
        <v/>
      </c>
      <c r="AG29" s="71">
        <f>IF(N($T29)&gt;0,SUMIFS($F$5:$F$1000,$R$5:$R$1000,ROW(),$S$5:$S$1000,"Sub"),"")</f>
        <v/>
      </c>
    </row>
    <row r="30">
      <c r="A30" s="62">
        <f>IF(NOT((COUNTA($B30:$J30)+COUNTA($N30))&gt;0),"",IF($S30="Macro",COUNTIFS($S$5:$S30,"Macro",$P$5:$P30,$P30),IF(N($R30)=0,"?",COUNTIFS(INDEX($S$5:$S$1000,1):INDEX($S$5:$S$1000,$R30-4),"Macro",INDEX($P$5:$P$1000,1):INDEX($P$5:$P$1000,$R30-4),INDEX($P$5:$P$1000,$R30-4))&amp;"."&amp;COUNTIFS($R$5:$R30,$R30,$S$5:$S30,"Sub"))))</f>
        <v/>
      </c>
      <c r="B30" s="63" t="n"/>
      <c r="C30" s="64" t="n"/>
      <c r="D30" s="65" t="n"/>
      <c r="E30" s="65" t="n"/>
      <c r="F30" s="66" t="n"/>
      <c r="G30" s="67" t="n"/>
      <c r="H30" s="67" t="n"/>
      <c r="I30" s="67" t="n"/>
      <c r="J30" s="67" t="n"/>
      <c r="K30" s="68">
        <f>IF(NOT((COUNTA($B30:$J30)+COUNTA($N30))&gt;0),"",IF(N($T30)&gt;0,$AB30,IFERROR(LOOKUP(2,1/(G30:J30&lt;&gt;""),G30:J30),0)))</f>
        <v/>
      </c>
      <c r="L30" s="62">
        <f>IF(K30="","",IF(K30&gt;=1,"Completado",IF(K30&gt;0,"En curso","Pendiente")))</f>
        <v/>
      </c>
      <c r="M30" s="62">
        <f>IF(NOT((COUNTA($B30:$J30)+COUNTA($N30))&gt;0),"",IF(N($K30)&gt;=1,"Cumplida",IF(NOT(ISNUMBER($E30)),"Sin fecha límite",IF($E30&lt;FechaRef,"Vencida hace "&amp;(FechaRef-$E30)&amp;IF(FechaRef-$E30=1," día"," días"),IF($E30=FechaRef,"Vence hoy",IF($E30-FechaRef&lt;=DiasAlerta,"Vence en "&amp;($E30-FechaRef)&amp;IF($E30-FechaRef=1," día"," días"),"En plazo"))))))</f>
        <v/>
      </c>
      <c r="N30" s="64" t="n"/>
      <c r="O30" s="69">
        <f>IF(NOT((COUNTA($B30:$J30)+COUNTA($N30))&gt;0),"",IF((IF($C30="","Falta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",""))="","✔ OK","⚠ "&amp;LEFT(IF($C30="","Falta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",""),LEN(IF($C30="","Falta el nombre de la actividad"&amp;" · ","")&amp;IF(AND($S30="Sub",N($R30)=0),"Subactividad sin macroactividad arriba"&amp;" · ","")&amp;IF($D30="","Sin fecha de inicio"&amp;" · ","")&amp;IF($E30="","Sin fecha límite"&amp;" · ","")&amp;IF(OR(AND($D30&lt;&gt;"",NOT(ISNUMBER($D30))),AND($E30&lt;&gt;"",NOT(ISNUMBER($E30)))),"Fecha no válida"&amp;" · ","")&amp;IF(AND(ISNUMBER($D30),ISNUMBER($E30),$D30&gt;$E30),"Inicio posterior a fecha límite"&amp;" · ","")&amp;IF(AND($S30="Macro",$F30=""),"Peso vacío"&amp;" · ","")&amp;IF(AND($S30="Macro",$F30&lt;&gt;"",OR(NOT(ISNUMBER($F30)),$F30&lt;=0,$F30&gt;1)),"Peso fuera de rango"&amp;" · ","")&amp;IF(AND($S30="Sub",$F30&lt;&gt;"",OR(NOT(ISNUMBER($F30)),$F30&lt;0,$F30&gt;1)),"Peso fuera de rango"&amp;" · ","")&amp;IF(AND($S30="Sub",$F30="",IFERROR(N(INDEX($AG$5:$AG$1000,$R30-4)),0)&gt;0),"Falta el peso de la subactividad"&amp;" · ","")&amp;IF(AND(N($T30)&gt;0,N($AG30)&gt;0,ABS(N($AG30)-N($F30))&gt;0.0001),"Pesos de sus subactividades suman "&amp;TEXT(N($AG30),"0%")&amp;" (deben sumar "&amp;TEXT(N($F30),"0%")&amp;")"&amp;" · ","")&amp;IF(AND($S30="Macro",ABS(SUMIFS($F$5:$F$1000,$P$5:$P$1000,$P30,$S$5:$S$1000,"Macro")-1)&gt;0.0001),"Pesos del mes suman "&amp;TEXT(SUMIFS($F$5:$F$1000,$P$5:$P$1000,$P30,$S$5:$S$1000,"Macro"),"0%")&amp;" · ","")&amp;IF(AND(N($T30)&gt;0,COUNT($G30:$J30)&gt;0),"Con subactividades: deje vacías las semanas (se calculan solas)"&amp;" · ","")&amp;IF((COUNTIF($G30:$J30,"&gt;1")+COUNTIF($G30:$J30,"&lt;0")+COUNTA($G30:$J30)-COUNT($G30:$J30))&gt;0,"Avance fuera de rango 0-100%"&amp;" · ","")&amp;IF(OR(AND($H30&lt;&gt;"",$H30&lt;$G30),AND($I30&lt;&gt;"",$I30&lt;MAX($G30:$H30)),AND($J30&lt;&gt;"",$J30&lt;MAX($G30:$I30))),"Avance semanal decreciente"&amp;" · ","")&amp;IF(AND(ISNUMBER($E30),$E30&lt;FechaRef,N($K30)&lt;1),"Vencida"&amp;" · ","")&amp;IF(AND(ObsObligatoria="Sí",ISNUMBER($E30),$E30&lt;FechaRef,N($K30)&lt;1,$N30=""),"Vencida sin observación"&amp;" · ",""))-3)))</f>
        <v/>
      </c>
      <c r="P30" s="70">
        <f>IF(NOT((COUNTA($B30:$J30)+COUNTA($N30))&gt;0),"",IF(AND($S30="Sub",N($R30)&gt;0),IF(ISNUMBER(INDEX($D$5:$D$1000,$R30-4)),DATE(YEAR(INDEX($D$5:$D$1000,$R30-4)),MONTH(INDEX($D$5:$D$1000,$R30-4)),1),IF(ISNUMBER(INDEX($E$5:$E$1000,$R30-4)),DATE(YEAR(INDEX($E$5:$E$1000,$R30-4)),MONTH(INDEX($E$5:$E$1000,$R30-4)),1),MesCiclo)),IF(ISNUMBER($D30),DATE(YEAR($D30),MONTH($D30),1),IF(ISNUMBER($E30),DATE(YEAR($E30),MONTH($E30),1),MesCiclo))))</f>
        <v/>
      </c>
      <c r="Q30" s="71">
        <f>IF(OR($P30="",$P30&lt;&gt;MesCiclo),"",COUNTIF($P$5:$P30,MesCiclo))</f>
        <v/>
      </c>
      <c r="R30" s="71">
        <f>IF($S30="","",IF($S30="Macro",ROW(),IFERROR(LOOKUP(2,1/($S$5:$S30="Macro"),ROW($S$5:$S30)),0)))</f>
        <v/>
      </c>
      <c r="S30" s="71">
        <f>IF(NOT((COUNTA($B30:$J30)+COUNTA($N30))&gt;0),"",IF($B30="Subactividad","Sub","Macro"))</f>
        <v/>
      </c>
      <c r="T30" s="71">
        <f>IF($S30="Macro",COUNTIFS($R$5:$R$1000,ROW(),$S$5:$S$1000,"Sub"),"")</f>
        <v/>
      </c>
      <c r="U30" s="71">
        <f>IF($S30="","",IF(ISNUMBER($G30),$G30,0))</f>
        <v/>
      </c>
      <c r="V30" s="71">
        <f>IF($S30="","",IF(ISNUMBER($H30),$H30,$U30))</f>
        <v/>
      </c>
      <c r="W30" s="71">
        <f>IF($S30="","",IF(ISNUMBER($I30),$I30,$V30))</f>
        <v/>
      </c>
      <c r="X30" s="71">
        <f>IF($S30="","",IF(ISNUMBER($J30),$J30,$W30))</f>
        <v/>
      </c>
      <c r="Y30" s="71">
        <f>IF($S30="","",IF(N($T30)&gt;0,IF(N($AG30)&gt;0,SUMIFS($AC$5:$AC$1000,$R$5:$R$1000,ROW(),$S$5:$S$1000,"Sub")/$AG30,AVERAGEIFS($U$5:$U$1000,$R$5:$R$1000,ROW(),$S$5:$S$1000,"Sub")),$U30))</f>
        <v/>
      </c>
      <c r="Z30" s="71">
        <f>IF($S30="","",IF(N($T30)&gt;0,IF(N($AG30)&gt;0,SUMIFS($AD$5:$AD$1000,$R$5:$R$1000,ROW(),$S$5:$S$1000,"Sub")/$AG30,AVERAGEIFS($V$5:$V$1000,$R$5:$R$1000,ROW(),$S$5:$S$1000,"Sub")),$V30))</f>
        <v/>
      </c>
      <c r="AA30" s="71">
        <f>IF($S30="","",IF(N($T30)&gt;0,IF(N($AG30)&gt;0,SUMIFS($AE$5:$AE$1000,$R$5:$R$1000,ROW(),$S$5:$S$1000,"Sub")/$AG30,AVERAGEIFS($W$5:$W$1000,$R$5:$R$1000,ROW(),$S$5:$S$1000,"Sub")),$W30))</f>
        <v/>
      </c>
      <c r="AB30" s="71">
        <f>IF($S30="","",IF(N($T30)&gt;0,IF(N($AG30)&gt;0,SUMIFS($AF$5:$AF$1000,$R$5:$R$1000,ROW(),$S$5:$S$1000,"Sub")/$AG30,AVERAGEIFS($X$5:$X$1000,$R$5:$R$1000,ROW(),$S$5:$S$1000,"Sub")),$X30))</f>
        <v/>
      </c>
      <c r="AC30" s="71">
        <f>IF($S30="Sub",N($F30)*N($U30),"")</f>
        <v/>
      </c>
      <c r="AD30" s="71">
        <f>IF($S30="Sub",N($F30)*N($V30),"")</f>
        <v/>
      </c>
      <c r="AE30" s="71">
        <f>IF($S30="Sub",N($F30)*N($W30),"")</f>
        <v/>
      </c>
      <c r="AF30" s="71">
        <f>IF($S30="Sub",N($F30)*N($X30),"")</f>
        <v/>
      </c>
      <c r="AG30" s="71">
        <f>IF(N($T30)&gt;0,SUMIFS($F$5:$F$1000,$R$5:$R$1000,ROW(),$S$5:$S$1000,"Sub"),"")</f>
        <v/>
      </c>
    </row>
    <row r="31">
      <c r="A31" s="62">
        <f>IF(NOT((COUNTA($B31:$J31)+COUNTA($N31))&gt;0),"",IF($S31="Macro",COUNTIFS($S$5:$S31,"Macro",$P$5:$P31,$P31),IF(N($R31)=0,"?",COUNTIFS(INDEX($S$5:$S$1000,1):INDEX($S$5:$S$1000,$R31-4),"Macro",INDEX($P$5:$P$1000,1):INDEX($P$5:$P$1000,$R31-4),INDEX($P$5:$P$1000,$R31-4))&amp;"."&amp;COUNTIFS($R$5:$R31,$R31,$S$5:$S31,"Sub"))))</f>
        <v/>
      </c>
      <c r="B31" s="63" t="n"/>
      <c r="C31" s="64" t="n"/>
      <c r="D31" s="65" t="n"/>
      <c r="E31" s="65" t="n"/>
      <c r="F31" s="66" t="n"/>
      <c r="G31" s="67" t="n"/>
      <c r="H31" s="67" t="n"/>
      <c r="I31" s="67" t="n"/>
      <c r="J31" s="67" t="n"/>
      <c r="K31" s="68">
        <f>IF(NOT((COUNTA($B31:$J31)+COUNTA($N31))&gt;0),"",IF(N($T31)&gt;0,$AB31,IFERROR(LOOKUP(2,1/(G31:J31&lt;&gt;""),G31:J31),0)))</f>
        <v/>
      </c>
      <c r="L31" s="62">
        <f>IF(K31="","",IF(K31&gt;=1,"Completado",IF(K31&gt;0,"En curso","Pendiente")))</f>
        <v/>
      </c>
      <c r="M31" s="62">
        <f>IF(NOT((COUNTA($B31:$J31)+COUNTA($N31))&gt;0),"",IF(N($K31)&gt;=1,"Cumplida",IF(NOT(ISNUMBER($E31)),"Sin fecha límite",IF($E31&lt;FechaRef,"Vencida hace "&amp;(FechaRef-$E31)&amp;IF(FechaRef-$E31=1," día"," días"),IF($E31=FechaRef,"Vence hoy",IF($E31-FechaRef&lt;=DiasAlerta,"Vence en "&amp;($E31-FechaRef)&amp;IF($E31-FechaRef=1," día"," días"),"En plazo"))))))</f>
        <v/>
      </c>
      <c r="N31" s="64" t="n"/>
      <c r="O31" s="69">
        <f>IF(NOT((COUNTA($B31:$J31)+COUNTA($N31))&gt;0),"",IF((IF($C31="","Falta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",""))="","✔ OK","⚠ "&amp;LEFT(IF($C31="","Falta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",""),LEN(IF($C31="","Falta el nombre de la actividad"&amp;" · ","")&amp;IF(AND($S31="Sub",N($R31)=0),"Subactividad sin macroactividad arriba"&amp;" · ","")&amp;IF($D31="","Sin fecha de inicio"&amp;" · ","")&amp;IF($E31="","Sin fecha límite"&amp;" · ","")&amp;IF(OR(AND($D31&lt;&gt;"",NOT(ISNUMBER($D31))),AND($E31&lt;&gt;"",NOT(ISNUMBER($E31)))),"Fecha no válida"&amp;" · ","")&amp;IF(AND(ISNUMBER($D31),ISNUMBER($E31),$D31&gt;$E31),"Inicio posterior a fecha límite"&amp;" · ","")&amp;IF(AND($S31="Macro",$F31=""),"Peso vacío"&amp;" · ","")&amp;IF(AND($S31="Macro",$F31&lt;&gt;"",OR(NOT(ISNUMBER($F31)),$F31&lt;=0,$F31&gt;1)),"Peso fuera de rango"&amp;" · ","")&amp;IF(AND($S31="Sub",$F31&lt;&gt;"",OR(NOT(ISNUMBER($F31)),$F31&lt;0,$F31&gt;1)),"Peso fuera de rango"&amp;" · ","")&amp;IF(AND($S31="Sub",$F31="",IFERROR(N(INDEX($AG$5:$AG$1000,$R31-4)),0)&gt;0),"Falta el peso de la subactividad"&amp;" · ","")&amp;IF(AND(N($T31)&gt;0,N($AG31)&gt;0,ABS(N($AG31)-N($F31))&gt;0.0001),"Pesos de sus subactividades suman "&amp;TEXT(N($AG31),"0%")&amp;" (deben sumar "&amp;TEXT(N($F31),"0%")&amp;")"&amp;" · ","")&amp;IF(AND($S31="Macro",ABS(SUMIFS($F$5:$F$1000,$P$5:$P$1000,$P31,$S$5:$S$1000,"Macro")-1)&gt;0.0001),"Pesos del mes suman "&amp;TEXT(SUMIFS($F$5:$F$1000,$P$5:$P$1000,$P31,$S$5:$S$1000,"Macro"),"0%")&amp;" · ","")&amp;IF(AND(N($T31)&gt;0,COUNT($G31:$J31)&gt;0),"Con subactividades: deje vacías las semanas (se calculan solas)"&amp;" · ","")&amp;IF((COUNTIF($G31:$J31,"&gt;1")+COUNTIF($G31:$J31,"&lt;0")+COUNTA($G31:$J31)-COUNT($G31:$J31))&gt;0,"Avance fuera de rango 0-100%"&amp;" · ","")&amp;IF(OR(AND($H31&lt;&gt;"",$H31&lt;$G31),AND($I31&lt;&gt;"",$I31&lt;MAX($G31:$H31)),AND($J31&lt;&gt;"",$J31&lt;MAX($G31:$I31))),"Avance semanal decreciente"&amp;" · ","")&amp;IF(AND(ISNUMBER($E31),$E31&lt;FechaRef,N($K31)&lt;1),"Vencida"&amp;" · ","")&amp;IF(AND(ObsObligatoria="Sí",ISNUMBER($E31),$E31&lt;FechaRef,N($K31)&lt;1,$N31=""),"Vencida sin observación"&amp;" · ",""))-3)))</f>
        <v/>
      </c>
      <c r="P31" s="70">
        <f>IF(NOT((COUNTA($B31:$J31)+COUNTA($N31))&gt;0),"",IF(AND($S31="Sub",N($R31)&gt;0),IF(ISNUMBER(INDEX($D$5:$D$1000,$R31-4)),DATE(YEAR(INDEX($D$5:$D$1000,$R31-4)),MONTH(INDEX($D$5:$D$1000,$R31-4)),1),IF(ISNUMBER(INDEX($E$5:$E$1000,$R31-4)),DATE(YEAR(INDEX($E$5:$E$1000,$R31-4)),MONTH(INDEX($E$5:$E$1000,$R31-4)),1),MesCiclo)),IF(ISNUMBER($D31),DATE(YEAR($D31),MONTH($D31),1),IF(ISNUMBER($E31),DATE(YEAR($E31),MONTH($E31),1),MesCiclo))))</f>
        <v/>
      </c>
      <c r="Q31" s="71">
        <f>IF(OR($P31="",$P31&lt;&gt;MesCiclo),"",COUNTIF($P$5:$P31,MesCiclo))</f>
        <v/>
      </c>
      <c r="R31" s="71">
        <f>IF($S31="","",IF($S31="Macro",ROW(),IFERROR(LOOKUP(2,1/($S$5:$S31="Macro"),ROW($S$5:$S31)),0)))</f>
        <v/>
      </c>
      <c r="S31" s="71">
        <f>IF(NOT((COUNTA($B31:$J31)+COUNTA($N31))&gt;0),"",IF($B31="Subactividad","Sub","Macro"))</f>
        <v/>
      </c>
      <c r="T31" s="71">
        <f>IF($S31="Macro",COUNTIFS($R$5:$R$1000,ROW(),$S$5:$S$1000,"Sub"),"")</f>
        <v/>
      </c>
      <c r="U31" s="71">
        <f>IF($S31="","",IF(ISNUMBER($G31),$G31,0))</f>
        <v/>
      </c>
      <c r="V31" s="71">
        <f>IF($S31="","",IF(ISNUMBER($H31),$H31,$U31))</f>
        <v/>
      </c>
      <c r="W31" s="71">
        <f>IF($S31="","",IF(ISNUMBER($I31),$I31,$V31))</f>
        <v/>
      </c>
      <c r="X31" s="71">
        <f>IF($S31="","",IF(ISNUMBER($J31),$J31,$W31))</f>
        <v/>
      </c>
      <c r="Y31" s="71">
        <f>IF($S31="","",IF(N($T31)&gt;0,IF(N($AG31)&gt;0,SUMIFS($AC$5:$AC$1000,$R$5:$R$1000,ROW(),$S$5:$S$1000,"Sub")/$AG31,AVERAGEIFS($U$5:$U$1000,$R$5:$R$1000,ROW(),$S$5:$S$1000,"Sub")),$U31))</f>
        <v/>
      </c>
      <c r="Z31" s="71">
        <f>IF($S31="","",IF(N($T31)&gt;0,IF(N($AG31)&gt;0,SUMIFS($AD$5:$AD$1000,$R$5:$R$1000,ROW(),$S$5:$S$1000,"Sub")/$AG31,AVERAGEIFS($V$5:$V$1000,$R$5:$R$1000,ROW(),$S$5:$S$1000,"Sub")),$V31))</f>
        <v/>
      </c>
      <c r="AA31" s="71">
        <f>IF($S31="","",IF(N($T31)&gt;0,IF(N($AG31)&gt;0,SUMIFS($AE$5:$AE$1000,$R$5:$R$1000,ROW(),$S$5:$S$1000,"Sub")/$AG31,AVERAGEIFS($W$5:$W$1000,$R$5:$R$1000,ROW(),$S$5:$S$1000,"Sub")),$W31))</f>
        <v/>
      </c>
      <c r="AB31" s="71">
        <f>IF($S31="","",IF(N($T31)&gt;0,IF(N($AG31)&gt;0,SUMIFS($AF$5:$AF$1000,$R$5:$R$1000,ROW(),$S$5:$S$1000,"Sub")/$AG31,AVERAGEIFS($X$5:$X$1000,$R$5:$R$1000,ROW(),$S$5:$S$1000,"Sub")),$X31))</f>
        <v/>
      </c>
      <c r="AC31" s="71">
        <f>IF($S31="Sub",N($F31)*N($U31),"")</f>
        <v/>
      </c>
      <c r="AD31" s="71">
        <f>IF($S31="Sub",N($F31)*N($V31),"")</f>
        <v/>
      </c>
      <c r="AE31" s="71">
        <f>IF($S31="Sub",N($F31)*N($W31),"")</f>
        <v/>
      </c>
      <c r="AF31" s="71">
        <f>IF($S31="Sub",N($F31)*N($X31),"")</f>
        <v/>
      </c>
      <c r="AG31" s="71">
        <f>IF(N($T31)&gt;0,SUMIFS($F$5:$F$1000,$R$5:$R$1000,ROW(),$S$5:$S$1000,"Sub"),"")</f>
        <v/>
      </c>
    </row>
    <row r="32">
      <c r="A32" s="62">
        <f>IF(NOT((COUNTA($B32:$J32)+COUNTA($N32))&gt;0),"",IF($S32="Macro",COUNTIFS($S$5:$S32,"Macro",$P$5:$P32,$P32),IF(N($R32)=0,"?",COUNTIFS(INDEX($S$5:$S$1000,1):INDEX($S$5:$S$1000,$R32-4),"Macro",INDEX($P$5:$P$1000,1):INDEX($P$5:$P$1000,$R32-4),INDEX($P$5:$P$1000,$R32-4))&amp;"."&amp;COUNTIFS($R$5:$R32,$R32,$S$5:$S32,"Sub"))))</f>
        <v/>
      </c>
      <c r="B32" s="63" t="n"/>
      <c r="C32" s="64" t="n"/>
      <c r="D32" s="65" t="n"/>
      <c r="E32" s="65" t="n"/>
      <c r="F32" s="66" t="n"/>
      <c r="G32" s="67" t="n"/>
      <c r="H32" s="67" t="n"/>
      <c r="I32" s="67" t="n"/>
      <c r="J32" s="67" t="n"/>
      <c r="K32" s="68">
        <f>IF(NOT((COUNTA($B32:$J32)+COUNTA($N32))&gt;0),"",IF(N($T32)&gt;0,$AB32,IFERROR(LOOKUP(2,1/(G32:J32&lt;&gt;""),G32:J32),0)))</f>
        <v/>
      </c>
      <c r="L32" s="62">
        <f>IF(K32="","",IF(K32&gt;=1,"Completado",IF(K32&gt;0,"En curso","Pendiente")))</f>
        <v/>
      </c>
      <c r="M32" s="62">
        <f>IF(NOT((COUNTA($B32:$J32)+COUNTA($N32))&gt;0),"",IF(N($K32)&gt;=1,"Cumplida",IF(NOT(ISNUMBER($E32)),"Sin fecha límite",IF($E32&lt;FechaRef,"Vencida hace "&amp;(FechaRef-$E32)&amp;IF(FechaRef-$E32=1," día"," días"),IF($E32=FechaRef,"Vence hoy",IF($E32-FechaRef&lt;=DiasAlerta,"Vence en "&amp;($E32-FechaRef)&amp;IF($E32-FechaRef=1," día"," días"),"En plazo"))))))</f>
        <v/>
      </c>
      <c r="N32" s="64" t="n"/>
      <c r="O32" s="69">
        <f>IF(NOT((COUNTA($B32:$J32)+COUNTA($N32))&gt;0),"",IF((IF($C32="","Falta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",""))="","✔ OK","⚠ "&amp;LEFT(IF($C32="","Falta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",""),LEN(IF($C32="","Falta el nombre de la actividad"&amp;" · ","")&amp;IF(AND($S32="Sub",N($R32)=0),"Subactividad sin macroactividad arriba"&amp;" · ","")&amp;IF($D32="","Sin fecha de inicio"&amp;" · ","")&amp;IF($E32="","Sin fecha límite"&amp;" · ","")&amp;IF(OR(AND($D32&lt;&gt;"",NOT(ISNUMBER($D32))),AND($E32&lt;&gt;"",NOT(ISNUMBER($E32)))),"Fecha no válida"&amp;" · ","")&amp;IF(AND(ISNUMBER($D32),ISNUMBER($E32),$D32&gt;$E32),"Inicio posterior a fecha límite"&amp;" · ","")&amp;IF(AND($S32="Macro",$F32=""),"Peso vacío"&amp;" · ","")&amp;IF(AND($S32="Macro",$F32&lt;&gt;"",OR(NOT(ISNUMBER($F32)),$F32&lt;=0,$F32&gt;1)),"Peso fuera de rango"&amp;" · ","")&amp;IF(AND($S32="Sub",$F32&lt;&gt;"",OR(NOT(ISNUMBER($F32)),$F32&lt;0,$F32&gt;1)),"Peso fuera de rango"&amp;" · ","")&amp;IF(AND($S32="Sub",$F32="",IFERROR(N(INDEX($AG$5:$AG$1000,$R32-4)),0)&gt;0),"Falta el peso de la subactividad"&amp;" · ","")&amp;IF(AND(N($T32)&gt;0,N($AG32)&gt;0,ABS(N($AG32)-N($F32))&gt;0.0001),"Pesos de sus subactividades suman "&amp;TEXT(N($AG32),"0%")&amp;" (deben sumar "&amp;TEXT(N($F32),"0%")&amp;")"&amp;" · ","")&amp;IF(AND($S32="Macro",ABS(SUMIFS($F$5:$F$1000,$P$5:$P$1000,$P32,$S$5:$S$1000,"Macro")-1)&gt;0.0001),"Pesos del mes suman "&amp;TEXT(SUMIFS($F$5:$F$1000,$P$5:$P$1000,$P32,$S$5:$S$1000,"Macro"),"0%")&amp;" · ","")&amp;IF(AND(N($T32)&gt;0,COUNT($G32:$J32)&gt;0),"Con subactividades: deje vacías las semanas (se calculan solas)"&amp;" · ","")&amp;IF((COUNTIF($G32:$J32,"&gt;1")+COUNTIF($G32:$J32,"&lt;0")+COUNTA($G32:$J32)-COUNT($G32:$J32))&gt;0,"Avance fuera de rango 0-100%"&amp;" · ","")&amp;IF(OR(AND($H32&lt;&gt;"",$H32&lt;$G32),AND($I32&lt;&gt;"",$I32&lt;MAX($G32:$H32)),AND($J32&lt;&gt;"",$J32&lt;MAX($G32:$I32))),"Avance semanal decreciente"&amp;" · ","")&amp;IF(AND(ISNUMBER($E32),$E32&lt;FechaRef,N($K32)&lt;1),"Vencida"&amp;" · ","")&amp;IF(AND(ObsObligatoria="Sí",ISNUMBER($E32),$E32&lt;FechaRef,N($K32)&lt;1,$N32=""),"Vencida sin observación"&amp;" · ",""))-3)))</f>
        <v/>
      </c>
      <c r="P32" s="70">
        <f>IF(NOT((COUNTA($B32:$J32)+COUNTA($N32))&gt;0),"",IF(AND($S32="Sub",N($R32)&gt;0),IF(ISNUMBER(INDEX($D$5:$D$1000,$R32-4)),DATE(YEAR(INDEX($D$5:$D$1000,$R32-4)),MONTH(INDEX($D$5:$D$1000,$R32-4)),1),IF(ISNUMBER(INDEX($E$5:$E$1000,$R32-4)),DATE(YEAR(INDEX($E$5:$E$1000,$R32-4)),MONTH(INDEX($E$5:$E$1000,$R32-4)),1),MesCiclo)),IF(ISNUMBER($D32),DATE(YEAR($D32),MONTH($D32),1),IF(ISNUMBER($E32),DATE(YEAR($E32),MONTH($E32),1),MesCiclo))))</f>
        <v/>
      </c>
      <c r="Q32" s="71">
        <f>IF(OR($P32="",$P32&lt;&gt;MesCiclo),"",COUNTIF($P$5:$P32,MesCiclo))</f>
        <v/>
      </c>
      <c r="R32" s="71">
        <f>IF($S32="","",IF($S32="Macro",ROW(),IFERROR(LOOKUP(2,1/($S$5:$S32="Macro"),ROW($S$5:$S32)),0)))</f>
        <v/>
      </c>
      <c r="S32" s="71">
        <f>IF(NOT((COUNTA($B32:$J32)+COUNTA($N32))&gt;0),"",IF($B32="Subactividad","Sub","Macro"))</f>
        <v/>
      </c>
      <c r="T32" s="71">
        <f>IF($S32="Macro",COUNTIFS($R$5:$R$1000,ROW(),$S$5:$S$1000,"Sub"),"")</f>
        <v/>
      </c>
      <c r="U32" s="71">
        <f>IF($S32="","",IF(ISNUMBER($G32),$G32,0))</f>
        <v/>
      </c>
      <c r="V32" s="71">
        <f>IF($S32="","",IF(ISNUMBER($H32),$H32,$U32))</f>
        <v/>
      </c>
      <c r="W32" s="71">
        <f>IF($S32="","",IF(ISNUMBER($I32),$I32,$V32))</f>
        <v/>
      </c>
      <c r="X32" s="71">
        <f>IF($S32="","",IF(ISNUMBER($J32),$J32,$W32))</f>
        <v/>
      </c>
      <c r="Y32" s="71">
        <f>IF($S32="","",IF(N($T32)&gt;0,IF(N($AG32)&gt;0,SUMIFS($AC$5:$AC$1000,$R$5:$R$1000,ROW(),$S$5:$S$1000,"Sub")/$AG32,AVERAGEIFS($U$5:$U$1000,$R$5:$R$1000,ROW(),$S$5:$S$1000,"Sub")),$U32))</f>
        <v/>
      </c>
      <c r="Z32" s="71">
        <f>IF($S32="","",IF(N($T32)&gt;0,IF(N($AG32)&gt;0,SUMIFS($AD$5:$AD$1000,$R$5:$R$1000,ROW(),$S$5:$S$1000,"Sub")/$AG32,AVERAGEIFS($V$5:$V$1000,$R$5:$R$1000,ROW(),$S$5:$S$1000,"Sub")),$V32))</f>
        <v/>
      </c>
      <c r="AA32" s="71">
        <f>IF($S32="","",IF(N($T32)&gt;0,IF(N($AG32)&gt;0,SUMIFS($AE$5:$AE$1000,$R$5:$R$1000,ROW(),$S$5:$S$1000,"Sub")/$AG32,AVERAGEIFS($W$5:$W$1000,$R$5:$R$1000,ROW(),$S$5:$S$1000,"Sub")),$W32))</f>
        <v/>
      </c>
      <c r="AB32" s="71">
        <f>IF($S32="","",IF(N($T32)&gt;0,IF(N($AG32)&gt;0,SUMIFS($AF$5:$AF$1000,$R$5:$R$1000,ROW(),$S$5:$S$1000,"Sub")/$AG32,AVERAGEIFS($X$5:$X$1000,$R$5:$R$1000,ROW(),$S$5:$S$1000,"Sub")),$X32))</f>
        <v/>
      </c>
      <c r="AC32" s="71">
        <f>IF($S32="Sub",N($F32)*N($U32),"")</f>
        <v/>
      </c>
      <c r="AD32" s="71">
        <f>IF($S32="Sub",N($F32)*N($V32),"")</f>
        <v/>
      </c>
      <c r="AE32" s="71">
        <f>IF($S32="Sub",N($F32)*N($W32),"")</f>
        <v/>
      </c>
      <c r="AF32" s="71">
        <f>IF($S32="Sub",N($F32)*N($X32),"")</f>
        <v/>
      </c>
      <c r="AG32" s="71">
        <f>IF(N($T32)&gt;0,SUMIFS($F$5:$F$1000,$R$5:$R$1000,ROW(),$S$5:$S$1000,"Sub"),"")</f>
        <v/>
      </c>
    </row>
    <row r="33">
      <c r="A33" s="62">
        <f>IF(NOT((COUNTA($B33:$J33)+COUNTA($N33))&gt;0),"",IF($S33="Macro",COUNTIFS($S$5:$S33,"Macro",$P$5:$P33,$P33),IF(N($R33)=0,"?",COUNTIFS(INDEX($S$5:$S$1000,1):INDEX($S$5:$S$1000,$R33-4),"Macro",INDEX($P$5:$P$1000,1):INDEX($P$5:$P$1000,$R33-4),INDEX($P$5:$P$1000,$R33-4))&amp;"."&amp;COUNTIFS($R$5:$R33,$R33,$S$5:$S33,"Sub"))))</f>
        <v/>
      </c>
      <c r="B33" s="63" t="n"/>
      <c r="C33" s="64" t="n"/>
      <c r="D33" s="65" t="n"/>
      <c r="E33" s="65" t="n"/>
      <c r="F33" s="66" t="n"/>
      <c r="G33" s="67" t="n"/>
      <c r="H33" s="67" t="n"/>
      <c r="I33" s="67" t="n"/>
      <c r="J33" s="67" t="n"/>
      <c r="K33" s="68">
        <f>IF(NOT((COUNTA($B33:$J33)+COUNTA($N33))&gt;0),"",IF(N($T33)&gt;0,$AB33,IFERROR(LOOKUP(2,1/(G33:J33&lt;&gt;""),G33:J33),0)))</f>
        <v/>
      </c>
      <c r="L33" s="62">
        <f>IF(K33="","",IF(K33&gt;=1,"Completado",IF(K33&gt;0,"En curso","Pendiente")))</f>
        <v/>
      </c>
      <c r="M33" s="62">
        <f>IF(NOT((COUNTA($B33:$J33)+COUNTA($N33))&gt;0),"",IF(N($K33)&gt;=1,"Cumplida",IF(NOT(ISNUMBER($E33)),"Sin fecha límite",IF($E33&lt;FechaRef,"Vencida hace "&amp;(FechaRef-$E33)&amp;IF(FechaRef-$E33=1," día"," días"),IF($E33=FechaRef,"Vence hoy",IF($E33-FechaRef&lt;=DiasAlerta,"Vence en "&amp;($E33-FechaRef)&amp;IF($E33-FechaRef=1," día"," días"),"En plazo"))))))</f>
        <v/>
      </c>
      <c r="N33" s="64" t="n"/>
      <c r="O33" s="69">
        <f>IF(NOT((COUNTA($B33:$J33)+COUNTA($N33))&gt;0),"",IF((IF($C33="","Falta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",""))="","✔ OK","⚠ "&amp;LEFT(IF($C33="","Falta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",""),LEN(IF($C33="","Falta el nombre de la actividad"&amp;" · ","")&amp;IF(AND($S33="Sub",N($R33)=0),"Subactividad sin macroactividad arriba"&amp;" · ","")&amp;IF($D33="","Sin fecha de inicio"&amp;" · ","")&amp;IF($E33="","Sin fecha límite"&amp;" · ","")&amp;IF(OR(AND($D33&lt;&gt;"",NOT(ISNUMBER($D33))),AND($E33&lt;&gt;"",NOT(ISNUMBER($E33)))),"Fecha no válida"&amp;" · ","")&amp;IF(AND(ISNUMBER($D33),ISNUMBER($E33),$D33&gt;$E33),"Inicio posterior a fecha límite"&amp;" · ","")&amp;IF(AND($S33="Macro",$F33=""),"Peso vacío"&amp;" · ","")&amp;IF(AND($S33="Macro",$F33&lt;&gt;"",OR(NOT(ISNUMBER($F33)),$F33&lt;=0,$F33&gt;1)),"Peso fuera de rango"&amp;" · ","")&amp;IF(AND($S33="Sub",$F33&lt;&gt;"",OR(NOT(ISNUMBER($F33)),$F33&lt;0,$F33&gt;1)),"Peso fuera de rango"&amp;" · ","")&amp;IF(AND($S33="Sub",$F33="",IFERROR(N(INDEX($AG$5:$AG$1000,$R33-4)),0)&gt;0),"Falta el peso de la subactividad"&amp;" · ","")&amp;IF(AND(N($T33)&gt;0,N($AG33)&gt;0,ABS(N($AG33)-N($F33))&gt;0.0001),"Pesos de sus subactividades suman "&amp;TEXT(N($AG33),"0%")&amp;" (deben sumar "&amp;TEXT(N($F33),"0%")&amp;")"&amp;" · ","")&amp;IF(AND($S33="Macro",ABS(SUMIFS($F$5:$F$1000,$P$5:$P$1000,$P33,$S$5:$S$1000,"Macro")-1)&gt;0.0001),"Pesos del mes suman "&amp;TEXT(SUMIFS($F$5:$F$1000,$P$5:$P$1000,$P33,$S$5:$S$1000,"Macro"),"0%")&amp;" · ","")&amp;IF(AND(N($T33)&gt;0,COUNT($G33:$J33)&gt;0),"Con subactividades: deje vacías las semanas (se calculan solas)"&amp;" · ","")&amp;IF((COUNTIF($G33:$J33,"&gt;1")+COUNTIF($G33:$J33,"&lt;0")+COUNTA($G33:$J33)-COUNT($G33:$J33))&gt;0,"Avance fuera de rango 0-100%"&amp;" · ","")&amp;IF(OR(AND($H33&lt;&gt;"",$H33&lt;$G33),AND($I33&lt;&gt;"",$I33&lt;MAX($G33:$H33)),AND($J33&lt;&gt;"",$J33&lt;MAX($G33:$I33))),"Avance semanal decreciente"&amp;" · ","")&amp;IF(AND(ISNUMBER($E33),$E33&lt;FechaRef,N($K33)&lt;1),"Vencida"&amp;" · ","")&amp;IF(AND(ObsObligatoria="Sí",ISNUMBER($E33),$E33&lt;FechaRef,N($K33)&lt;1,$N33=""),"Vencida sin observación"&amp;" · ",""))-3)))</f>
        <v/>
      </c>
      <c r="P33" s="70">
        <f>IF(NOT((COUNTA($B33:$J33)+COUNTA($N33))&gt;0),"",IF(AND($S33="Sub",N($R33)&gt;0),IF(ISNUMBER(INDEX($D$5:$D$1000,$R33-4)),DATE(YEAR(INDEX($D$5:$D$1000,$R33-4)),MONTH(INDEX($D$5:$D$1000,$R33-4)),1),IF(ISNUMBER(INDEX($E$5:$E$1000,$R33-4)),DATE(YEAR(INDEX($E$5:$E$1000,$R33-4)),MONTH(INDEX($E$5:$E$1000,$R33-4)),1),MesCiclo)),IF(ISNUMBER($D33),DATE(YEAR($D33),MONTH($D33),1),IF(ISNUMBER($E33),DATE(YEAR($E33),MONTH($E33),1),MesCiclo))))</f>
        <v/>
      </c>
      <c r="Q33" s="71">
        <f>IF(OR($P33="",$P33&lt;&gt;MesCiclo),"",COUNTIF($P$5:$P33,MesCiclo))</f>
        <v/>
      </c>
      <c r="R33" s="71">
        <f>IF($S33="","",IF($S33="Macro",ROW(),IFERROR(LOOKUP(2,1/($S$5:$S33="Macro"),ROW($S$5:$S33)),0)))</f>
        <v/>
      </c>
      <c r="S33" s="71">
        <f>IF(NOT((COUNTA($B33:$J33)+COUNTA($N33))&gt;0),"",IF($B33="Subactividad","Sub","Macro"))</f>
        <v/>
      </c>
      <c r="T33" s="71">
        <f>IF($S33="Macro",COUNTIFS($R$5:$R$1000,ROW(),$S$5:$S$1000,"Sub"),"")</f>
        <v/>
      </c>
      <c r="U33" s="71">
        <f>IF($S33="","",IF(ISNUMBER($G33),$G33,0))</f>
        <v/>
      </c>
      <c r="V33" s="71">
        <f>IF($S33="","",IF(ISNUMBER($H33),$H33,$U33))</f>
        <v/>
      </c>
      <c r="W33" s="71">
        <f>IF($S33="","",IF(ISNUMBER($I33),$I33,$V33))</f>
        <v/>
      </c>
      <c r="X33" s="71">
        <f>IF($S33="","",IF(ISNUMBER($J33),$J33,$W33))</f>
        <v/>
      </c>
      <c r="Y33" s="71">
        <f>IF($S33="","",IF(N($T33)&gt;0,IF(N($AG33)&gt;0,SUMIFS($AC$5:$AC$1000,$R$5:$R$1000,ROW(),$S$5:$S$1000,"Sub")/$AG33,AVERAGEIFS($U$5:$U$1000,$R$5:$R$1000,ROW(),$S$5:$S$1000,"Sub")),$U33))</f>
        <v/>
      </c>
      <c r="Z33" s="71">
        <f>IF($S33="","",IF(N($T33)&gt;0,IF(N($AG33)&gt;0,SUMIFS($AD$5:$AD$1000,$R$5:$R$1000,ROW(),$S$5:$S$1000,"Sub")/$AG33,AVERAGEIFS($V$5:$V$1000,$R$5:$R$1000,ROW(),$S$5:$S$1000,"Sub")),$V33))</f>
        <v/>
      </c>
      <c r="AA33" s="71">
        <f>IF($S33="","",IF(N($T33)&gt;0,IF(N($AG33)&gt;0,SUMIFS($AE$5:$AE$1000,$R$5:$R$1000,ROW(),$S$5:$S$1000,"Sub")/$AG33,AVERAGEIFS($W$5:$W$1000,$R$5:$R$1000,ROW(),$S$5:$S$1000,"Sub")),$W33))</f>
        <v/>
      </c>
      <c r="AB33" s="71">
        <f>IF($S33="","",IF(N($T33)&gt;0,IF(N($AG33)&gt;0,SUMIFS($AF$5:$AF$1000,$R$5:$R$1000,ROW(),$S$5:$S$1000,"Sub")/$AG33,AVERAGEIFS($X$5:$X$1000,$R$5:$R$1000,ROW(),$S$5:$S$1000,"Sub")),$X33))</f>
        <v/>
      </c>
      <c r="AC33" s="71">
        <f>IF($S33="Sub",N($F33)*N($U33),"")</f>
        <v/>
      </c>
      <c r="AD33" s="71">
        <f>IF($S33="Sub",N($F33)*N($V33),"")</f>
        <v/>
      </c>
      <c r="AE33" s="71">
        <f>IF($S33="Sub",N($F33)*N($W33),"")</f>
        <v/>
      </c>
      <c r="AF33" s="71">
        <f>IF($S33="Sub",N($F33)*N($X33),"")</f>
        <v/>
      </c>
      <c r="AG33" s="71">
        <f>IF(N($T33)&gt;0,SUMIFS($F$5:$F$1000,$R$5:$R$1000,ROW(),$S$5:$S$1000,"Sub"),"")</f>
        <v/>
      </c>
    </row>
    <row r="34">
      <c r="A34" s="62">
        <f>IF(NOT((COUNTA($B34:$J34)+COUNTA($N34))&gt;0),"",IF($S34="Macro",COUNTIFS($S$5:$S34,"Macro",$P$5:$P34,$P34),IF(N($R34)=0,"?",COUNTIFS(INDEX($S$5:$S$1000,1):INDEX($S$5:$S$1000,$R34-4),"Macro",INDEX($P$5:$P$1000,1):INDEX($P$5:$P$1000,$R34-4),INDEX($P$5:$P$1000,$R34-4))&amp;"."&amp;COUNTIFS($R$5:$R34,$R34,$S$5:$S34,"Sub"))))</f>
        <v/>
      </c>
      <c r="B34" s="63" t="n"/>
      <c r="C34" s="64" t="n"/>
      <c r="D34" s="65" t="n"/>
      <c r="E34" s="65" t="n"/>
      <c r="F34" s="66" t="n"/>
      <c r="G34" s="67" t="n"/>
      <c r="H34" s="67" t="n"/>
      <c r="I34" s="67" t="n"/>
      <c r="J34" s="67" t="n"/>
      <c r="K34" s="68">
        <f>IF(NOT((COUNTA($B34:$J34)+COUNTA($N34))&gt;0),"",IF(N($T34)&gt;0,$AB34,IFERROR(LOOKUP(2,1/(G34:J34&lt;&gt;""),G34:J34),0)))</f>
        <v/>
      </c>
      <c r="L34" s="62">
        <f>IF(K34="","",IF(K34&gt;=1,"Completado",IF(K34&gt;0,"En curso","Pendiente")))</f>
        <v/>
      </c>
      <c r="M34" s="62">
        <f>IF(NOT((COUNTA($B34:$J34)+COUNTA($N34))&gt;0),"",IF(N($K34)&gt;=1,"Cumplida",IF(NOT(ISNUMBER($E34)),"Sin fecha límite",IF($E34&lt;FechaRef,"Vencida hace "&amp;(FechaRef-$E34)&amp;IF(FechaRef-$E34=1," día"," días"),IF($E34=FechaRef,"Vence hoy",IF($E34-FechaRef&lt;=DiasAlerta,"Vence en "&amp;($E34-FechaRef)&amp;IF($E34-FechaRef=1," día"," días"),"En plazo"))))))</f>
        <v/>
      </c>
      <c r="N34" s="64" t="n"/>
      <c r="O34" s="69">
        <f>IF(NOT((COUNTA($B34:$J34)+COUNTA($N34))&gt;0),"",IF((IF($C34="","Falta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",""))="","✔ OK","⚠ "&amp;LEFT(IF($C34="","Falta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",""),LEN(IF($C34="","Falta el nombre de la actividad"&amp;" · ","")&amp;IF(AND($S34="Sub",N($R34)=0),"Subactividad sin macroactividad arriba"&amp;" · ","")&amp;IF($D34="","Sin fecha de inicio"&amp;" · ","")&amp;IF($E34="","Sin fecha límite"&amp;" · ","")&amp;IF(OR(AND($D34&lt;&gt;"",NOT(ISNUMBER($D34))),AND($E34&lt;&gt;"",NOT(ISNUMBER($E34)))),"Fecha no válida"&amp;" · ","")&amp;IF(AND(ISNUMBER($D34),ISNUMBER($E34),$D34&gt;$E34),"Inicio posterior a fecha límite"&amp;" · ","")&amp;IF(AND($S34="Macro",$F34=""),"Peso vacío"&amp;" · ","")&amp;IF(AND($S34="Macro",$F34&lt;&gt;"",OR(NOT(ISNUMBER($F34)),$F34&lt;=0,$F34&gt;1)),"Peso fuera de rango"&amp;" · ","")&amp;IF(AND($S34="Sub",$F34&lt;&gt;"",OR(NOT(ISNUMBER($F34)),$F34&lt;0,$F34&gt;1)),"Peso fuera de rango"&amp;" · ","")&amp;IF(AND($S34="Sub",$F34="",IFERROR(N(INDEX($AG$5:$AG$1000,$R34-4)),0)&gt;0),"Falta el peso de la subactividad"&amp;" · ","")&amp;IF(AND(N($T34)&gt;0,N($AG34)&gt;0,ABS(N($AG34)-N($F34))&gt;0.0001),"Pesos de sus subactividades suman "&amp;TEXT(N($AG34),"0%")&amp;" (deben sumar "&amp;TEXT(N($F34),"0%")&amp;")"&amp;" · ","")&amp;IF(AND($S34="Macro",ABS(SUMIFS($F$5:$F$1000,$P$5:$P$1000,$P34,$S$5:$S$1000,"Macro")-1)&gt;0.0001),"Pesos del mes suman "&amp;TEXT(SUMIFS($F$5:$F$1000,$P$5:$P$1000,$P34,$S$5:$S$1000,"Macro"),"0%")&amp;" · ","")&amp;IF(AND(N($T34)&gt;0,COUNT($G34:$J34)&gt;0),"Con subactividades: deje vacías las semanas (se calculan solas)"&amp;" · ","")&amp;IF((COUNTIF($G34:$J34,"&gt;1")+COUNTIF($G34:$J34,"&lt;0")+COUNTA($G34:$J34)-COUNT($G34:$J34))&gt;0,"Avance fuera de rango 0-100%"&amp;" · ","")&amp;IF(OR(AND($H34&lt;&gt;"",$H34&lt;$G34),AND($I34&lt;&gt;"",$I34&lt;MAX($G34:$H34)),AND($J34&lt;&gt;"",$J34&lt;MAX($G34:$I34))),"Avance semanal decreciente"&amp;" · ","")&amp;IF(AND(ISNUMBER($E34),$E34&lt;FechaRef,N($K34)&lt;1),"Vencida"&amp;" · ","")&amp;IF(AND(ObsObligatoria="Sí",ISNUMBER($E34),$E34&lt;FechaRef,N($K34)&lt;1,$N34=""),"Vencida sin observación"&amp;" · ",""))-3)))</f>
        <v/>
      </c>
      <c r="P34" s="70">
        <f>IF(NOT((COUNTA($B34:$J34)+COUNTA($N34))&gt;0),"",IF(AND($S34="Sub",N($R34)&gt;0),IF(ISNUMBER(INDEX($D$5:$D$1000,$R34-4)),DATE(YEAR(INDEX($D$5:$D$1000,$R34-4)),MONTH(INDEX($D$5:$D$1000,$R34-4)),1),IF(ISNUMBER(INDEX($E$5:$E$1000,$R34-4)),DATE(YEAR(INDEX($E$5:$E$1000,$R34-4)),MONTH(INDEX($E$5:$E$1000,$R34-4)),1),MesCiclo)),IF(ISNUMBER($D34),DATE(YEAR($D34),MONTH($D34),1),IF(ISNUMBER($E34),DATE(YEAR($E34),MONTH($E34),1),MesCiclo))))</f>
        <v/>
      </c>
      <c r="Q34" s="71">
        <f>IF(OR($P34="",$P34&lt;&gt;MesCiclo),"",COUNTIF($P$5:$P34,MesCiclo))</f>
        <v/>
      </c>
      <c r="R34" s="71">
        <f>IF($S34="","",IF($S34="Macro",ROW(),IFERROR(LOOKUP(2,1/($S$5:$S34="Macro"),ROW($S$5:$S34)),0)))</f>
        <v/>
      </c>
      <c r="S34" s="71">
        <f>IF(NOT((COUNTA($B34:$J34)+COUNTA($N34))&gt;0),"",IF($B34="Subactividad","Sub","Macro"))</f>
        <v/>
      </c>
      <c r="T34" s="71">
        <f>IF($S34="Macro",COUNTIFS($R$5:$R$1000,ROW(),$S$5:$S$1000,"Sub"),"")</f>
        <v/>
      </c>
      <c r="U34" s="71">
        <f>IF($S34="","",IF(ISNUMBER($G34),$G34,0))</f>
        <v/>
      </c>
      <c r="V34" s="71">
        <f>IF($S34="","",IF(ISNUMBER($H34),$H34,$U34))</f>
        <v/>
      </c>
      <c r="W34" s="71">
        <f>IF($S34="","",IF(ISNUMBER($I34),$I34,$V34))</f>
        <v/>
      </c>
      <c r="X34" s="71">
        <f>IF($S34="","",IF(ISNUMBER($J34),$J34,$W34))</f>
        <v/>
      </c>
      <c r="Y34" s="71">
        <f>IF($S34="","",IF(N($T34)&gt;0,IF(N($AG34)&gt;0,SUMIFS($AC$5:$AC$1000,$R$5:$R$1000,ROW(),$S$5:$S$1000,"Sub")/$AG34,AVERAGEIFS($U$5:$U$1000,$R$5:$R$1000,ROW(),$S$5:$S$1000,"Sub")),$U34))</f>
        <v/>
      </c>
      <c r="Z34" s="71">
        <f>IF($S34="","",IF(N($T34)&gt;0,IF(N($AG34)&gt;0,SUMIFS($AD$5:$AD$1000,$R$5:$R$1000,ROW(),$S$5:$S$1000,"Sub")/$AG34,AVERAGEIFS($V$5:$V$1000,$R$5:$R$1000,ROW(),$S$5:$S$1000,"Sub")),$V34))</f>
        <v/>
      </c>
      <c r="AA34" s="71">
        <f>IF($S34="","",IF(N($T34)&gt;0,IF(N($AG34)&gt;0,SUMIFS($AE$5:$AE$1000,$R$5:$R$1000,ROW(),$S$5:$S$1000,"Sub")/$AG34,AVERAGEIFS($W$5:$W$1000,$R$5:$R$1000,ROW(),$S$5:$S$1000,"Sub")),$W34))</f>
        <v/>
      </c>
      <c r="AB34" s="71">
        <f>IF($S34="","",IF(N($T34)&gt;0,IF(N($AG34)&gt;0,SUMIFS($AF$5:$AF$1000,$R$5:$R$1000,ROW(),$S$5:$S$1000,"Sub")/$AG34,AVERAGEIFS($X$5:$X$1000,$R$5:$R$1000,ROW(),$S$5:$S$1000,"Sub")),$X34))</f>
        <v/>
      </c>
      <c r="AC34" s="71">
        <f>IF($S34="Sub",N($F34)*N($U34),"")</f>
        <v/>
      </c>
      <c r="AD34" s="71">
        <f>IF($S34="Sub",N($F34)*N($V34),"")</f>
        <v/>
      </c>
      <c r="AE34" s="71">
        <f>IF($S34="Sub",N($F34)*N($W34),"")</f>
        <v/>
      </c>
      <c r="AF34" s="71">
        <f>IF($S34="Sub",N($F34)*N($X34),"")</f>
        <v/>
      </c>
      <c r="AG34" s="71">
        <f>IF(N($T34)&gt;0,SUMIFS($F$5:$F$1000,$R$5:$R$1000,ROW(),$S$5:$S$1000,"Sub"),"")</f>
        <v/>
      </c>
    </row>
    <row r="35">
      <c r="A35" s="62">
        <f>IF(NOT((COUNTA($B35:$J35)+COUNTA($N35))&gt;0),"",IF($S35="Macro",COUNTIFS($S$5:$S35,"Macro",$P$5:$P35,$P35),IF(N($R35)=0,"?",COUNTIFS(INDEX($S$5:$S$1000,1):INDEX($S$5:$S$1000,$R35-4),"Macro",INDEX($P$5:$P$1000,1):INDEX($P$5:$P$1000,$R35-4),INDEX($P$5:$P$1000,$R35-4))&amp;"."&amp;COUNTIFS($R$5:$R35,$R35,$S$5:$S35,"Sub"))))</f>
        <v/>
      </c>
      <c r="B35" s="63" t="n"/>
      <c r="C35" s="64" t="n"/>
      <c r="D35" s="65" t="n"/>
      <c r="E35" s="65" t="n"/>
      <c r="F35" s="66" t="n"/>
      <c r="G35" s="67" t="n"/>
      <c r="H35" s="67" t="n"/>
      <c r="I35" s="67" t="n"/>
      <c r="J35" s="67" t="n"/>
      <c r="K35" s="68">
        <f>IF(NOT((COUNTA($B35:$J35)+COUNTA($N35))&gt;0),"",IF(N($T35)&gt;0,$AB35,IFERROR(LOOKUP(2,1/(G35:J35&lt;&gt;""),G35:J35),0)))</f>
        <v/>
      </c>
      <c r="L35" s="62">
        <f>IF(K35="","",IF(K35&gt;=1,"Completado",IF(K35&gt;0,"En curso","Pendiente")))</f>
        <v/>
      </c>
      <c r="M35" s="62">
        <f>IF(NOT((COUNTA($B35:$J35)+COUNTA($N35))&gt;0),"",IF(N($K35)&gt;=1,"Cumplida",IF(NOT(ISNUMBER($E35)),"Sin fecha límite",IF($E35&lt;FechaRef,"Vencida hace "&amp;(FechaRef-$E35)&amp;IF(FechaRef-$E35=1," día"," días"),IF($E35=FechaRef,"Vence hoy",IF($E35-FechaRef&lt;=DiasAlerta,"Vence en "&amp;($E35-FechaRef)&amp;IF($E35-FechaRef=1," día"," días"),"En plazo"))))))</f>
        <v/>
      </c>
      <c r="N35" s="64" t="n"/>
      <c r="O35" s="69">
        <f>IF(NOT((COUNTA($B35:$J35)+COUNTA($N35))&gt;0),"",IF((IF($C35="","Falta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",""))="","✔ OK","⚠ "&amp;LEFT(IF($C35="","Falta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",""),LEN(IF($C35="","Falta el nombre de la actividad"&amp;" · ","")&amp;IF(AND($S35="Sub",N($R35)=0),"Subactividad sin macroactividad arriba"&amp;" · ","")&amp;IF($D35="","Sin fecha de inicio"&amp;" · ","")&amp;IF($E35="","Sin fecha límite"&amp;" · ","")&amp;IF(OR(AND($D35&lt;&gt;"",NOT(ISNUMBER($D35))),AND($E35&lt;&gt;"",NOT(ISNUMBER($E35)))),"Fecha no válida"&amp;" · ","")&amp;IF(AND(ISNUMBER($D35),ISNUMBER($E35),$D35&gt;$E35),"Inicio posterior a fecha límite"&amp;" · ","")&amp;IF(AND($S35="Macro",$F35=""),"Peso vacío"&amp;" · ","")&amp;IF(AND($S35="Macro",$F35&lt;&gt;"",OR(NOT(ISNUMBER($F35)),$F35&lt;=0,$F35&gt;1)),"Peso fuera de rango"&amp;" · ","")&amp;IF(AND($S35="Sub",$F35&lt;&gt;"",OR(NOT(ISNUMBER($F35)),$F35&lt;0,$F35&gt;1)),"Peso fuera de rango"&amp;" · ","")&amp;IF(AND($S35="Sub",$F35="",IFERROR(N(INDEX($AG$5:$AG$1000,$R35-4)),0)&gt;0),"Falta el peso de la subactividad"&amp;" · ","")&amp;IF(AND(N($T35)&gt;0,N($AG35)&gt;0,ABS(N($AG35)-N($F35))&gt;0.0001),"Pesos de sus subactividades suman "&amp;TEXT(N($AG35),"0%")&amp;" (deben sumar "&amp;TEXT(N($F35),"0%")&amp;")"&amp;" · ","")&amp;IF(AND($S35="Macro",ABS(SUMIFS($F$5:$F$1000,$P$5:$P$1000,$P35,$S$5:$S$1000,"Macro")-1)&gt;0.0001),"Pesos del mes suman "&amp;TEXT(SUMIFS($F$5:$F$1000,$P$5:$P$1000,$P35,$S$5:$S$1000,"Macro"),"0%")&amp;" · ","")&amp;IF(AND(N($T35)&gt;0,COUNT($G35:$J35)&gt;0),"Con subactividades: deje vacías las semanas (se calculan solas)"&amp;" · ","")&amp;IF((COUNTIF($G35:$J35,"&gt;1")+COUNTIF($G35:$J35,"&lt;0")+COUNTA($G35:$J35)-COUNT($G35:$J35))&gt;0,"Avance fuera de rango 0-100%"&amp;" · ","")&amp;IF(OR(AND($H35&lt;&gt;"",$H35&lt;$G35),AND($I35&lt;&gt;"",$I35&lt;MAX($G35:$H35)),AND($J35&lt;&gt;"",$J35&lt;MAX($G35:$I35))),"Avance semanal decreciente"&amp;" · ","")&amp;IF(AND(ISNUMBER($E35),$E35&lt;FechaRef,N($K35)&lt;1),"Vencida"&amp;" · ","")&amp;IF(AND(ObsObligatoria="Sí",ISNUMBER($E35),$E35&lt;FechaRef,N($K35)&lt;1,$N35=""),"Vencida sin observación"&amp;" · ",""))-3)))</f>
        <v/>
      </c>
      <c r="P35" s="70">
        <f>IF(NOT((COUNTA($B35:$J35)+COUNTA($N35))&gt;0),"",IF(AND($S35="Sub",N($R35)&gt;0),IF(ISNUMBER(INDEX($D$5:$D$1000,$R35-4)),DATE(YEAR(INDEX($D$5:$D$1000,$R35-4)),MONTH(INDEX($D$5:$D$1000,$R35-4)),1),IF(ISNUMBER(INDEX($E$5:$E$1000,$R35-4)),DATE(YEAR(INDEX($E$5:$E$1000,$R35-4)),MONTH(INDEX($E$5:$E$1000,$R35-4)),1),MesCiclo)),IF(ISNUMBER($D35),DATE(YEAR($D35),MONTH($D35),1),IF(ISNUMBER($E35),DATE(YEAR($E35),MONTH($E35),1),MesCiclo))))</f>
        <v/>
      </c>
      <c r="Q35" s="71">
        <f>IF(OR($P35="",$P35&lt;&gt;MesCiclo),"",COUNTIF($P$5:$P35,MesCiclo))</f>
        <v/>
      </c>
      <c r="R35" s="71">
        <f>IF($S35="","",IF($S35="Macro",ROW(),IFERROR(LOOKUP(2,1/($S$5:$S35="Macro"),ROW($S$5:$S35)),0)))</f>
        <v/>
      </c>
      <c r="S35" s="71">
        <f>IF(NOT((COUNTA($B35:$J35)+COUNTA($N35))&gt;0),"",IF($B35="Subactividad","Sub","Macro"))</f>
        <v/>
      </c>
      <c r="T35" s="71">
        <f>IF($S35="Macro",COUNTIFS($R$5:$R$1000,ROW(),$S$5:$S$1000,"Sub"),"")</f>
        <v/>
      </c>
      <c r="U35" s="71">
        <f>IF($S35="","",IF(ISNUMBER($G35),$G35,0))</f>
        <v/>
      </c>
      <c r="V35" s="71">
        <f>IF($S35="","",IF(ISNUMBER($H35),$H35,$U35))</f>
        <v/>
      </c>
      <c r="W35" s="71">
        <f>IF($S35="","",IF(ISNUMBER($I35),$I35,$V35))</f>
        <v/>
      </c>
      <c r="X35" s="71">
        <f>IF($S35="","",IF(ISNUMBER($J35),$J35,$W35))</f>
        <v/>
      </c>
      <c r="Y35" s="71">
        <f>IF($S35="","",IF(N($T35)&gt;0,IF(N($AG35)&gt;0,SUMIFS($AC$5:$AC$1000,$R$5:$R$1000,ROW(),$S$5:$S$1000,"Sub")/$AG35,AVERAGEIFS($U$5:$U$1000,$R$5:$R$1000,ROW(),$S$5:$S$1000,"Sub")),$U35))</f>
        <v/>
      </c>
      <c r="Z35" s="71">
        <f>IF($S35="","",IF(N($T35)&gt;0,IF(N($AG35)&gt;0,SUMIFS($AD$5:$AD$1000,$R$5:$R$1000,ROW(),$S$5:$S$1000,"Sub")/$AG35,AVERAGEIFS($V$5:$V$1000,$R$5:$R$1000,ROW(),$S$5:$S$1000,"Sub")),$V35))</f>
        <v/>
      </c>
      <c r="AA35" s="71">
        <f>IF($S35="","",IF(N($T35)&gt;0,IF(N($AG35)&gt;0,SUMIFS($AE$5:$AE$1000,$R$5:$R$1000,ROW(),$S$5:$S$1000,"Sub")/$AG35,AVERAGEIFS($W$5:$W$1000,$R$5:$R$1000,ROW(),$S$5:$S$1000,"Sub")),$W35))</f>
        <v/>
      </c>
      <c r="AB35" s="71">
        <f>IF($S35="","",IF(N($T35)&gt;0,IF(N($AG35)&gt;0,SUMIFS($AF$5:$AF$1000,$R$5:$R$1000,ROW(),$S$5:$S$1000,"Sub")/$AG35,AVERAGEIFS($X$5:$X$1000,$R$5:$R$1000,ROW(),$S$5:$S$1000,"Sub")),$X35))</f>
        <v/>
      </c>
      <c r="AC35" s="71">
        <f>IF($S35="Sub",N($F35)*N($U35),"")</f>
        <v/>
      </c>
      <c r="AD35" s="71">
        <f>IF($S35="Sub",N($F35)*N($V35),"")</f>
        <v/>
      </c>
      <c r="AE35" s="71">
        <f>IF($S35="Sub",N($F35)*N($W35),"")</f>
        <v/>
      </c>
      <c r="AF35" s="71">
        <f>IF($S35="Sub",N($F35)*N($X35),"")</f>
        <v/>
      </c>
      <c r="AG35" s="71">
        <f>IF(N($T35)&gt;0,SUMIFS($F$5:$F$1000,$R$5:$R$1000,ROW(),$S$5:$S$1000,"Sub"),"")</f>
        <v/>
      </c>
    </row>
    <row r="36">
      <c r="A36" s="62">
        <f>IF(NOT((COUNTA($B36:$J36)+COUNTA($N36))&gt;0),"",IF($S36="Macro",COUNTIFS($S$5:$S36,"Macro",$P$5:$P36,$P36),IF(N($R36)=0,"?",COUNTIFS(INDEX($S$5:$S$1000,1):INDEX($S$5:$S$1000,$R36-4),"Macro",INDEX($P$5:$P$1000,1):INDEX($P$5:$P$1000,$R36-4),INDEX($P$5:$P$1000,$R36-4))&amp;"."&amp;COUNTIFS($R$5:$R36,$R36,$S$5:$S36,"Sub"))))</f>
        <v/>
      </c>
      <c r="B36" s="63" t="n"/>
      <c r="C36" s="64" t="n"/>
      <c r="D36" s="65" t="n"/>
      <c r="E36" s="65" t="n"/>
      <c r="F36" s="66" t="n"/>
      <c r="G36" s="67" t="n"/>
      <c r="H36" s="67" t="n"/>
      <c r="I36" s="67" t="n"/>
      <c r="J36" s="67" t="n"/>
      <c r="K36" s="68">
        <f>IF(NOT((COUNTA($B36:$J36)+COUNTA($N36))&gt;0),"",IF(N($T36)&gt;0,$AB36,IFERROR(LOOKUP(2,1/(G36:J36&lt;&gt;""),G36:J36),0)))</f>
        <v/>
      </c>
      <c r="L36" s="62">
        <f>IF(K36="","",IF(K36&gt;=1,"Completado",IF(K36&gt;0,"En curso","Pendiente")))</f>
        <v/>
      </c>
      <c r="M36" s="62">
        <f>IF(NOT((COUNTA($B36:$J36)+COUNTA($N36))&gt;0),"",IF(N($K36)&gt;=1,"Cumplida",IF(NOT(ISNUMBER($E36)),"Sin fecha límite",IF($E36&lt;FechaRef,"Vencida hace "&amp;(FechaRef-$E36)&amp;IF(FechaRef-$E36=1," día"," días"),IF($E36=FechaRef,"Vence hoy",IF($E36-FechaRef&lt;=DiasAlerta,"Vence en "&amp;($E36-FechaRef)&amp;IF($E36-FechaRef=1," día"," días"),"En plazo"))))))</f>
        <v/>
      </c>
      <c r="N36" s="64" t="n"/>
      <c r="O36" s="69">
        <f>IF(NOT((COUNTA($B36:$J36)+COUNTA($N36))&gt;0),"",IF((IF($C36="","Falta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",""))="","✔ OK","⚠ "&amp;LEFT(IF($C36="","Falta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",""),LEN(IF($C36="","Falta el nombre de la actividad"&amp;" · ","")&amp;IF(AND($S36="Sub",N($R36)=0),"Subactividad sin macroactividad arriba"&amp;" · ","")&amp;IF($D36="","Sin fecha de inicio"&amp;" · ","")&amp;IF($E36="","Sin fecha límite"&amp;" · ","")&amp;IF(OR(AND($D36&lt;&gt;"",NOT(ISNUMBER($D36))),AND($E36&lt;&gt;"",NOT(ISNUMBER($E36)))),"Fecha no válida"&amp;" · ","")&amp;IF(AND(ISNUMBER($D36),ISNUMBER($E36),$D36&gt;$E36),"Inicio posterior a fecha límite"&amp;" · ","")&amp;IF(AND($S36="Macro",$F36=""),"Peso vacío"&amp;" · ","")&amp;IF(AND($S36="Macro",$F36&lt;&gt;"",OR(NOT(ISNUMBER($F36)),$F36&lt;=0,$F36&gt;1)),"Peso fuera de rango"&amp;" · ","")&amp;IF(AND($S36="Sub",$F36&lt;&gt;"",OR(NOT(ISNUMBER($F36)),$F36&lt;0,$F36&gt;1)),"Peso fuera de rango"&amp;" · ","")&amp;IF(AND($S36="Sub",$F36="",IFERROR(N(INDEX($AG$5:$AG$1000,$R36-4)),0)&gt;0),"Falta el peso de la subactividad"&amp;" · ","")&amp;IF(AND(N($T36)&gt;0,N($AG36)&gt;0,ABS(N($AG36)-N($F36))&gt;0.0001),"Pesos de sus subactividades suman "&amp;TEXT(N($AG36),"0%")&amp;" (deben sumar "&amp;TEXT(N($F36),"0%")&amp;")"&amp;" · ","")&amp;IF(AND($S36="Macro",ABS(SUMIFS($F$5:$F$1000,$P$5:$P$1000,$P36,$S$5:$S$1000,"Macro")-1)&gt;0.0001),"Pesos del mes suman "&amp;TEXT(SUMIFS($F$5:$F$1000,$P$5:$P$1000,$P36,$S$5:$S$1000,"Macro"),"0%")&amp;" · ","")&amp;IF(AND(N($T36)&gt;0,COUNT($G36:$J36)&gt;0),"Con subactividades: deje vacías las semanas (se calculan solas)"&amp;" · ","")&amp;IF((COUNTIF($G36:$J36,"&gt;1")+COUNTIF($G36:$J36,"&lt;0")+COUNTA($G36:$J36)-COUNT($G36:$J36))&gt;0,"Avance fuera de rango 0-100%"&amp;" · ","")&amp;IF(OR(AND($H36&lt;&gt;"",$H36&lt;$G36),AND($I36&lt;&gt;"",$I36&lt;MAX($G36:$H36)),AND($J36&lt;&gt;"",$J36&lt;MAX($G36:$I36))),"Avance semanal decreciente"&amp;" · ","")&amp;IF(AND(ISNUMBER($E36),$E36&lt;FechaRef,N($K36)&lt;1),"Vencida"&amp;" · ","")&amp;IF(AND(ObsObligatoria="Sí",ISNUMBER($E36),$E36&lt;FechaRef,N($K36)&lt;1,$N36=""),"Vencida sin observación"&amp;" · ",""))-3)))</f>
        <v/>
      </c>
      <c r="P36" s="70">
        <f>IF(NOT((COUNTA($B36:$J36)+COUNTA($N36))&gt;0),"",IF(AND($S36="Sub",N($R36)&gt;0),IF(ISNUMBER(INDEX($D$5:$D$1000,$R36-4)),DATE(YEAR(INDEX($D$5:$D$1000,$R36-4)),MONTH(INDEX($D$5:$D$1000,$R36-4)),1),IF(ISNUMBER(INDEX($E$5:$E$1000,$R36-4)),DATE(YEAR(INDEX($E$5:$E$1000,$R36-4)),MONTH(INDEX($E$5:$E$1000,$R36-4)),1),MesCiclo)),IF(ISNUMBER($D36),DATE(YEAR($D36),MONTH($D36),1),IF(ISNUMBER($E36),DATE(YEAR($E36),MONTH($E36),1),MesCiclo))))</f>
        <v/>
      </c>
      <c r="Q36" s="71">
        <f>IF(OR($P36="",$P36&lt;&gt;MesCiclo),"",COUNTIF($P$5:$P36,MesCiclo))</f>
        <v/>
      </c>
      <c r="R36" s="71">
        <f>IF($S36="","",IF($S36="Macro",ROW(),IFERROR(LOOKUP(2,1/($S$5:$S36="Macro"),ROW($S$5:$S36)),0)))</f>
        <v/>
      </c>
      <c r="S36" s="71">
        <f>IF(NOT((COUNTA($B36:$J36)+COUNTA($N36))&gt;0),"",IF($B36="Subactividad","Sub","Macro"))</f>
        <v/>
      </c>
      <c r="T36" s="71">
        <f>IF($S36="Macro",COUNTIFS($R$5:$R$1000,ROW(),$S$5:$S$1000,"Sub"),"")</f>
        <v/>
      </c>
      <c r="U36" s="71">
        <f>IF($S36="","",IF(ISNUMBER($G36),$G36,0))</f>
        <v/>
      </c>
      <c r="V36" s="71">
        <f>IF($S36="","",IF(ISNUMBER($H36),$H36,$U36))</f>
        <v/>
      </c>
      <c r="W36" s="71">
        <f>IF($S36="","",IF(ISNUMBER($I36),$I36,$V36))</f>
        <v/>
      </c>
      <c r="X36" s="71">
        <f>IF($S36="","",IF(ISNUMBER($J36),$J36,$W36))</f>
        <v/>
      </c>
      <c r="Y36" s="71">
        <f>IF($S36="","",IF(N($T36)&gt;0,IF(N($AG36)&gt;0,SUMIFS($AC$5:$AC$1000,$R$5:$R$1000,ROW(),$S$5:$S$1000,"Sub")/$AG36,AVERAGEIFS($U$5:$U$1000,$R$5:$R$1000,ROW(),$S$5:$S$1000,"Sub")),$U36))</f>
        <v/>
      </c>
      <c r="Z36" s="71">
        <f>IF($S36="","",IF(N($T36)&gt;0,IF(N($AG36)&gt;0,SUMIFS($AD$5:$AD$1000,$R$5:$R$1000,ROW(),$S$5:$S$1000,"Sub")/$AG36,AVERAGEIFS($V$5:$V$1000,$R$5:$R$1000,ROW(),$S$5:$S$1000,"Sub")),$V36))</f>
        <v/>
      </c>
      <c r="AA36" s="71">
        <f>IF($S36="","",IF(N($T36)&gt;0,IF(N($AG36)&gt;0,SUMIFS($AE$5:$AE$1000,$R$5:$R$1000,ROW(),$S$5:$S$1000,"Sub")/$AG36,AVERAGEIFS($W$5:$W$1000,$R$5:$R$1000,ROW(),$S$5:$S$1000,"Sub")),$W36))</f>
        <v/>
      </c>
      <c r="AB36" s="71">
        <f>IF($S36="","",IF(N($T36)&gt;0,IF(N($AG36)&gt;0,SUMIFS($AF$5:$AF$1000,$R$5:$R$1000,ROW(),$S$5:$S$1000,"Sub")/$AG36,AVERAGEIFS($X$5:$X$1000,$R$5:$R$1000,ROW(),$S$5:$S$1000,"Sub")),$X36))</f>
        <v/>
      </c>
      <c r="AC36" s="71">
        <f>IF($S36="Sub",N($F36)*N($U36),"")</f>
        <v/>
      </c>
      <c r="AD36" s="71">
        <f>IF($S36="Sub",N($F36)*N($V36),"")</f>
        <v/>
      </c>
      <c r="AE36" s="71">
        <f>IF($S36="Sub",N($F36)*N($W36),"")</f>
        <v/>
      </c>
      <c r="AF36" s="71">
        <f>IF($S36="Sub",N($F36)*N($X36),"")</f>
        <v/>
      </c>
      <c r="AG36" s="71">
        <f>IF(N($T36)&gt;0,SUMIFS($F$5:$F$1000,$R$5:$R$1000,ROW(),$S$5:$S$1000,"Sub"),"")</f>
        <v/>
      </c>
    </row>
    <row r="37">
      <c r="A37" s="62">
        <f>IF(NOT((COUNTA($B37:$J37)+COUNTA($N37))&gt;0),"",IF($S37="Macro",COUNTIFS($S$5:$S37,"Macro",$P$5:$P37,$P37),IF(N($R37)=0,"?",COUNTIFS(INDEX($S$5:$S$1000,1):INDEX($S$5:$S$1000,$R37-4),"Macro",INDEX($P$5:$P$1000,1):INDEX($P$5:$P$1000,$R37-4),INDEX($P$5:$P$1000,$R37-4))&amp;"."&amp;COUNTIFS($R$5:$R37,$R37,$S$5:$S37,"Sub"))))</f>
        <v/>
      </c>
      <c r="B37" s="63" t="n"/>
      <c r="C37" s="64" t="n"/>
      <c r="D37" s="65" t="n"/>
      <c r="E37" s="65" t="n"/>
      <c r="F37" s="66" t="n"/>
      <c r="G37" s="67" t="n"/>
      <c r="H37" s="67" t="n"/>
      <c r="I37" s="67" t="n"/>
      <c r="J37" s="67" t="n"/>
      <c r="K37" s="68">
        <f>IF(NOT((COUNTA($B37:$J37)+COUNTA($N37))&gt;0),"",IF(N($T37)&gt;0,$AB37,IFERROR(LOOKUP(2,1/(G37:J37&lt;&gt;""),G37:J37),0)))</f>
        <v/>
      </c>
      <c r="L37" s="62">
        <f>IF(K37="","",IF(K37&gt;=1,"Completado",IF(K37&gt;0,"En curso","Pendiente")))</f>
        <v/>
      </c>
      <c r="M37" s="62">
        <f>IF(NOT((COUNTA($B37:$J37)+COUNTA($N37))&gt;0),"",IF(N($K37)&gt;=1,"Cumplida",IF(NOT(ISNUMBER($E37)),"Sin fecha límite",IF($E37&lt;FechaRef,"Vencida hace "&amp;(FechaRef-$E37)&amp;IF(FechaRef-$E37=1," día"," días"),IF($E37=FechaRef,"Vence hoy",IF($E37-FechaRef&lt;=DiasAlerta,"Vence en "&amp;($E37-FechaRef)&amp;IF($E37-FechaRef=1," día"," días"),"En plazo"))))))</f>
        <v/>
      </c>
      <c r="N37" s="64" t="n"/>
      <c r="O37" s="69">
        <f>IF(NOT((COUNTA($B37:$J37)+COUNTA($N37))&gt;0),"",IF((IF($C37="","Falta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",""))="","✔ OK","⚠ "&amp;LEFT(IF($C37="","Falta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",""),LEN(IF($C37="","Falta el nombre de la actividad"&amp;" · ","")&amp;IF(AND($S37="Sub",N($R37)=0),"Subactividad sin macroactividad arriba"&amp;" · ","")&amp;IF($D37="","Sin fecha de inicio"&amp;" · ","")&amp;IF($E37="","Sin fecha límite"&amp;" · ","")&amp;IF(OR(AND($D37&lt;&gt;"",NOT(ISNUMBER($D37))),AND($E37&lt;&gt;"",NOT(ISNUMBER($E37)))),"Fecha no válida"&amp;" · ","")&amp;IF(AND(ISNUMBER($D37),ISNUMBER($E37),$D37&gt;$E37),"Inicio posterior a fecha límite"&amp;" · ","")&amp;IF(AND($S37="Macro",$F37=""),"Peso vacío"&amp;" · ","")&amp;IF(AND($S37="Macro",$F37&lt;&gt;"",OR(NOT(ISNUMBER($F37)),$F37&lt;=0,$F37&gt;1)),"Peso fuera de rango"&amp;" · ","")&amp;IF(AND($S37="Sub",$F37&lt;&gt;"",OR(NOT(ISNUMBER($F37)),$F37&lt;0,$F37&gt;1)),"Peso fuera de rango"&amp;" · ","")&amp;IF(AND($S37="Sub",$F37="",IFERROR(N(INDEX($AG$5:$AG$1000,$R37-4)),0)&gt;0),"Falta el peso de la subactividad"&amp;" · ","")&amp;IF(AND(N($T37)&gt;0,N($AG37)&gt;0,ABS(N($AG37)-N($F37))&gt;0.0001),"Pesos de sus subactividades suman "&amp;TEXT(N($AG37),"0%")&amp;" (deben sumar "&amp;TEXT(N($F37),"0%")&amp;")"&amp;" · ","")&amp;IF(AND($S37="Macro",ABS(SUMIFS($F$5:$F$1000,$P$5:$P$1000,$P37,$S$5:$S$1000,"Macro")-1)&gt;0.0001),"Pesos del mes suman "&amp;TEXT(SUMIFS($F$5:$F$1000,$P$5:$P$1000,$P37,$S$5:$S$1000,"Macro"),"0%")&amp;" · ","")&amp;IF(AND(N($T37)&gt;0,COUNT($G37:$J37)&gt;0),"Con subactividades: deje vacías las semanas (se calculan solas)"&amp;" · ","")&amp;IF((COUNTIF($G37:$J37,"&gt;1")+COUNTIF($G37:$J37,"&lt;0")+COUNTA($G37:$J37)-COUNT($G37:$J37))&gt;0,"Avance fuera de rango 0-100%"&amp;" · ","")&amp;IF(OR(AND($H37&lt;&gt;"",$H37&lt;$G37),AND($I37&lt;&gt;"",$I37&lt;MAX($G37:$H37)),AND($J37&lt;&gt;"",$J37&lt;MAX($G37:$I37))),"Avance semanal decreciente"&amp;" · ","")&amp;IF(AND(ISNUMBER($E37),$E37&lt;FechaRef,N($K37)&lt;1),"Vencida"&amp;" · ","")&amp;IF(AND(ObsObligatoria="Sí",ISNUMBER($E37),$E37&lt;FechaRef,N($K37)&lt;1,$N37=""),"Vencida sin observación"&amp;" · ",""))-3)))</f>
        <v/>
      </c>
      <c r="P37" s="70">
        <f>IF(NOT((COUNTA($B37:$J37)+COUNTA($N37))&gt;0),"",IF(AND($S37="Sub",N($R37)&gt;0),IF(ISNUMBER(INDEX($D$5:$D$1000,$R37-4)),DATE(YEAR(INDEX($D$5:$D$1000,$R37-4)),MONTH(INDEX($D$5:$D$1000,$R37-4)),1),IF(ISNUMBER(INDEX($E$5:$E$1000,$R37-4)),DATE(YEAR(INDEX($E$5:$E$1000,$R37-4)),MONTH(INDEX($E$5:$E$1000,$R37-4)),1),MesCiclo)),IF(ISNUMBER($D37),DATE(YEAR($D37),MONTH($D37),1),IF(ISNUMBER($E37),DATE(YEAR($E37),MONTH($E37),1),MesCiclo))))</f>
        <v/>
      </c>
      <c r="Q37" s="71">
        <f>IF(OR($P37="",$P37&lt;&gt;MesCiclo),"",COUNTIF($P$5:$P37,MesCiclo))</f>
        <v/>
      </c>
      <c r="R37" s="71">
        <f>IF($S37="","",IF($S37="Macro",ROW(),IFERROR(LOOKUP(2,1/($S$5:$S37="Macro"),ROW($S$5:$S37)),0)))</f>
        <v/>
      </c>
      <c r="S37" s="71">
        <f>IF(NOT((COUNTA($B37:$J37)+COUNTA($N37))&gt;0),"",IF($B37="Subactividad","Sub","Macro"))</f>
        <v/>
      </c>
      <c r="T37" s="71">
        <f>IF($S37="Macro",COUNTIFS($R$5:$R$1000,ROW(),$S$5:$S$1000,"Sub"),"")</f>
        <v/>
      </c>
      <c r="U37" s="71">
        <f>IF($S37="","",IF(ISNUMBER($G37),$G37,0))</f>
        <v/>
      </c>
      <c r="V37" s="71">
        <f>IF($S37="","",IF(ISNUMBER($H37),$H37,$U37))</f>
        <v/>
      </c>
      <c r="W37" s="71">
        <f>IF($S37="","",IF(ISNUMBER($I37),$I37,$V37))</f>
        <v/>
      </c>
      <c r="X37" s="71">
        <f>IF($S37="","",IF(ISNUMBER($J37),$J37,$W37))</f>
        <v/>
      </c>
      <c r="Y37" s="71">
        <f>IF($S37="","",IF(N($T37)&gt;0,IF(N($AG37)&gt;0,SUMIFS($AC$5:$AC$1000,$R$5:$R$1000,ROW(),$S$5:$S$1000,"Sub")/$AG37,AVERAGEIFS($U$5:$U$1000,$R$5:$R$1000,ROW(),$S$5:$S$1000,"Sub")),$U37))</f>
        <v/>
      </c>
      <c r="Z37" s="71">
        <f>IF($S37="","",IF(N($T37)&gt;0,IF(N($AG37)&gt;0,SUMIFS($AD$5:$AD$1000,$R$5:$R$1000,ROW(),$S$5:$S$1000,"Sub")/$AG37,AVERAGEIFS($V$5:$V$1000,$R$5:$R$1000,ROW(),$S$5:$S$1000,"Sub")),$V37))</f>
        <v/>
      </c>
      <c r="AA37" s="71">
        <f>IF($S37="","",IF(N($T37)&gt;0,IF(N($AG37)&gt;0,SUMIFS($AE$5:$AE$1000,$R$5:$R$1000,ROW(),$S$5:$S$1000,"Sub")/$AG37,AVERAGEIFS($W$5:$W$1000,$R$5:$R$1000,ROW(),$S$5:$S$1000,"Sub")),$W37))</f>
        <v/>
      </c>
      <c r="AB37" s="71">
        <f>IF($S37="","",IF(N($T37)&gt;0,IF(N($AG37)&gt;0,SUMIFS($AF$5:$AF$1000,$R$5:$R$1000,ROW(),$S$5:$S$1000,"Sub")/$AG37,AVERAGEIFS($X$5:$X$1000,$R$5:$R$1000,ROW(),$S$5:$S$1000,"Sub")),$X37))</f>
        <v/>
      </c>
      <c r="AC37" s="71">
        <f>IF($S37="Sub",N($F37)*N($U37),"")</f>
        <v/>
      </c>
      <c r="AD37" s="71">
        <f>IF($S37="Sub",N($F37)*N($V37),"")</f>
        <v/>
      </c>
      <c r="AE37" s="71">
        <f>IF($S37="Sub",N($F37)*N($W37),"")</f>
        <v/>
      </c>
      <c r="AF37" s="71">
        <f>IF($S37="Sub",N($F37)*N($X37),"")</f>
        <v/>
      </c>
      <c r="AG37" s="71">
        <f>IF(N($T37)&gt;0,SUMIFS($F$5:$F$1000,$R$5:$R$1000,ROW(),$S$5:$S$1000,"Sub"),"")</f>
        <v/>
      </c>
    </row>
    <row r="38">
      <c r="A38" s="62">
        <f>IF(NOT((COUNTA($B38:$J38)+COUNTA($N38))&gt;0),"",IF($S38="Macro",COUNTIFS($S$5:$S38,"Macro",$P$5:$P38,$P38),IF(N($R38)=0,"?",COUNTIFS(INDEX($S$5:$S$1000,1):INDEX($S$5:$S$1000,$R38-4),"Macro",INDEX($P$5:$P$1000,1):INDEX($P$5:$P$1000,$R38-4),INDEX($P$5:$P$1000,$R38-4))&amp;"."&amp;COUNTIFS($R$5:$R38,$R38,$S$5:$S38,"Sub"))))</f>
        <v/>
      </c>
      <c r="B38" s="63" t="n"/>
      <c r="C38" s="64" t="n"/>
      <c r="D38" s="65" t="n"/>
      <c r="E38" s="65" t="n"/>
      <c r="F38" s="66" t="n"/>
      <c r="G38" s="67" t="n"/>
      <c r="H38" s="67" t="n"/>
      <c r="I38" s="67" t="n"/>
      <c r="J38" s="67" t="n"/>
      <c r="K38" s="68">
        <f>IF(NOT((COUNTA($B38:$J38)+COUNTA($N38))&gt;0),"",IF(N($T38)&gt;0,$AB38,IFERROR(LOOKUP(2,1/(G38:J38&lt;&gt;""),G38:J38),0)))</f>
        <v/>
      </c>
      <c r="L38" s="62">
        <f>IF(K38="","",IF(K38&gt;=1,"Completado",IF(K38&gt;0,"En curso","Pendiente")))</f>
        <v/>
      </c>
      <c r="M38" s="62">
        <f>IF(NOT((COUNTA($B38:$J38)+COUNTA($N38))&gt;0),"",IF(N($K38)&gt;=1,"Cumplida",IF(NOT(ISNUMBER($E38)),"Sin fecha límite",IF($E38&lt;FechaRef,"Vencida hace "&amp;(FechaRef-$E38)&amp;IF(FechaRef-$E38=1," día"," días"),IF($E38=FechaRef,"Vence hoy",IF($E38-FechaRef&lt;=DiasAlerta,"Vence en "&amp;($E38-FechaRef)&amp;IF($E38-FechaRef=1," día"," días"),"En plazo"))))))</f>
        <v/>
      </c>
      <c r="N38" s="64" t="n"/>
      <c r="O38" s="69">
        <f>IF(NOT((COUNTA($B38:$J38)+COUNTA($N38))&gt;0),"",IF((IF($C38="","Falta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",""))="","✔ OK","⚠ "&amp;LEFT(IF($C38="","Falta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",""),LEN(IF($C38="","Falta el nombre de la actividad"&amp;" · ","")&amp;IF(AND($S38="Sub",N($R38)=0),"Subactividad sin macroactividad arriba"&amp;" · ","")&amp;IF($D38="","Sin fecha de inicio"&amp;" · ","")&amp;IF($E38="","Sin fecha límite"&amp;" · ","")&amp;IF(OR(AND($D38&lt;&gt;"",NOT(ISNUMBER($D38))),AND($E38&lt;&gt;"",NOT(ISNUMBER($E38)))),"Fecha no válida"&amp;" · ","")&amp;IF(AND(ISNUMBER($D38),ISNUMBER($E38),$D38&gt;$E38),"Inicio posterior a fecha límite"&amp;" · ","")&amp;IF(AND($S38="Macro",$F38=""),"Peso vacío"&amp;" · ","")&amp;IF(AND($S38="Macro",$F38&lt;&gt;"",OR(NOT(ISNUMBER($F38)),$F38&lt;=0,$F38&gt;1)),"Peso fuera de rango"&amp;" · ","")&amp;IF(AND($S38="Sub",$F38&lt;&gt;"",OR(NOT(ISNUMBER($F38)),$F38&lt;0,$F38&gt;1)),"Peso fuera de rango"&amp;" · ","")&amp;IF(AND($S38="Sub",$F38="",IFERROR(N(INDEX($AG$5:$AG$1000,$R38-4)),0)&gt;0),"Falta el peso de la subactividad"&amp;" · ","")&amp;IF(AND(N($T38)&gt;0,N($AG38)&gt;0,ABS(N($AG38)-N($F38))&gt;0.0001),"Pesos de sus subactividades suman "&amp;TEXT(N($AG38),"0%")&amp;" (deben sumar "&amp;TEXT(N($F38),"0%")&amp;")"&amp;" · ","")&amp;IF(AND($S38="Macro",ABS(SUMIFS($F$5:$F$1000,$P$5:$P$1000,$P38,$S$5:$S$1000,"Macro")-1)&gt;0.0001),"Pesos del mes suman "&amp;TEXT(SUMIFS($F$5:$F$1000,$P$5:$P$1000,$P38,$S$5:$S$1000,"Macro"),"0%")&amp;" · ","")&amp;IF(AND(N($T38)&gt;0,COUNT($G38:$J38)&gt;0),"Con subactividades: deje vacías las semanas (se calculan solas)"&amp;" · ","")&amp;IF((COUNTIF($G38:$J38,"&gt;1")+COUNTIF($G38:$J38,"&lt;0")+COUNTA($G38:$J38)-COUNT($G38:$J38))&gt;0,"Avance fuera de rango 0-100%"&amp;" · ","")&amp;IF(OR(AND($H38&lt;&gt;"",$H38&lt;$G38),AND($I38&lt;&gt;"",$I38&lt;MAX($G38:$H38)),AND($J38&lt;&gt;"",$J38&lt;MAX($G38:$I38))),"Avance semanal decreciente"&amp;" · ","")&amp;IF(AND(ISNUMBER($E38),$E38&lt;FechaRef,N($K38)&lt;1),"Vencida"&amp;" · ","")&amp;IF(AND(ObsObligatoria="Sí",ISNUMBER($E38),$E38&lt;FechaRef,N($K38)&lt;1,$N38=""),"Vencida sin observación"&amp;" · ",""))-3)))</f>
        <v/>
      </c>
      <c r="P38" s="70">
        <f>IF(NOT((COUNTA($B38:$J38)+COUNTA($N38))&gt;0),"",IF(AND($S38="Sub",N($R38)&gt;0),IF(ISNUMBER(INDEX($D$5:$D$1000,$R38-4)),DATE(YEAR(INDEX($D$5:$D$1000,$R38-4)),MONTH(INDEX($D$5:$D$1000,$R38-4)),1),IF(ISNUMBER(INDEX($E$5:$E$1000,$R38-4)),DATE(YEAR(INDEX($E$5:$E$1000,$R38-4)),MONTH(INDEX($E$5:$E$1000,$R38-4)),1),MesCiclo)),IF(ISNUMBER($D38),DATE(YEAR($D38),MONTH($D38),1),IF(ISNUMBER($E38),DATE(YEAR($E38),MONTH($E38),1),MesCiclo))))</f>
        <v/>
      </c>
      <c r="Q38" s="71">
        <f>IF(OR($P38="",$P38&lt;&gt;MesCiclo),"",COUNTIF($P$5:$P38,MesCiclo))</f>
        <v/>
      </c>
      <c r="R38" s="71">
        <f>IF($S38="","",IF($S38="Macro",ROW(),IFERROR(LOOKUP(2,1/($S$5:$S38="Macro"),ROW($S$5:$S38)),0)))</f>
        <v/>
      </c>
      <c r="S38" s="71">
        <f>IF(NOT((COUNTA($B38:$J38)+COUNTA($N38))&gt;0),"",IF($B38="Subactividad","Sub","Macro"))</f>
        <v/>
      </c>
      <c r="T38" s="71">
        <f>IF($S38="Macro",COUNTIFS($R$5:$R$1000,ROW(),$S$5:$S$1000,"Sub"),"")</f>
        <v/>
      </c>
      <c r="U38" s="71">
        <f>IF($S38="","",IF(ISNUMBER($G38),$G38,0))</f>
        <v/>
      </c>
      <c r="V38" s="71">
        <f>IF($S38="","",IF(ISNUMBER($H38),$H38,$U38))</f>
        <v/>
      </c>
      <c r="W38" s="71">
        <f>IF($S38="","",IF(ISNUMBER($I38),$I38,$V38))</f>
        <v/>
      </c>
      <c r="X38" s="71">
        <f>IF($S38="","",IF(ISNUMBER($J38),$J38,$W38))</f>
        <v/>
      </c>
      <c r="Y38" s="71">
        <f>IF($S38="","",IF(N($T38)&gt;0,IF(N($AG38)&gt;0,SUMIFS($AC$5:$AC$1000,$R$5:$R$1000,ROW(),$S$5:$S$1000,"Sub")/$AG38,AVERAGEIFS($U$5:$U$1000,$R$5:$R$1000,ROW(),$S$5:$S$1000,"Sub")),$U38))</f>
        <v/>
      </c>
      <c r="Z38" s="71">
        <f>IF($S38="","",IF(N($T38)&gt;0,IF(N($AG38)&gt;0,SUMIFS($AD$5:$AD$1000,$R$5:$R$1000,ROW(),$S$5:$S$1000,"Sub")/$AG38,AVERAGEIFS($V$5:$V$1000,$R$5:$R$1000,ROW(),$S$5:$S$1000,"Sub")),$V38))</f>
        <v/>
      </c>
      <c r="AA38" s="71">
        <f>IF($S38="","",IF(N($T38)&gt;0,IF(N($AG38)&gt;0,SUMIFS($AE$5:$AE$1000,$R$5:$R$1000,ROW(),$S$5:$S$1000,"Sub")/$AG38,AVERAGEIFS($W$5:$W$1000,$R$5:$R$1000,ROW(),$S$5:$S$1000,"Sub")),$W38))</f>
        <v/>
      </c>
      <c r="AB38" s="71">
        <f>IF($S38="","",IF(N($T38)&gt;0,IF(N($AG38)&gt;0,SUMIFS($AF$5:$AF$1000,$R$5:$R$1000,ROW(),$S$5:$S$1000,"Sub")/$AG38,AVERAGEIFS($X$5:$X$1000,$R$5:$R$1000,ROW(),$S$5:$S$1000,"Sub")),$X38))</f>
        <v/>
      </c>
      <c r="AC38" s="71">
        <f>IF($S38="Sub",N($F38)*N($U38),"")</f>
        <v/>
      </c>
      <c r="AD38" s="71">
        <f>IF($S38="Sub",N($F38)*N($V38),"")</f>
        <v/>
      </c>
      <c r="AE38" s="71">
        <f>IF($S38="Sub",N($F38)*N($W38),"")</f>
        <v/>
      </c>
      <c r="AF38" s="71">
        <f>IF($S38="Sub",N($F38)*N($X38),"")</f>
        <v/>
      </c>
      <c r="AG38" s="71">
        <f>IF(N($T38)&gt;0,SUMIFS($F$5:$F$1000,$R$5:$R$1000,ROW(),$S$5:$S$1000,"Sub"),"")</f>
        <v/>
      </c>
    </row>
    <row r="39">
      <c r="A39" s="62">
        <f>IF(NOT((COUNTA($B39:$J39)+COUNTA($N39))&gt;0),"",IF($S39="Macro",COUNTIFS($S$5:$S39,"Macro",$P$5:$P39,$P39),IF(N($R39)=0,"?",COUNTIFS(INDEX($S$5:$S$1000,1):INDEX($S$5:$S$1000,$R39-4),"Macro",INDEX($P$5:$P$1000,1):INDEX($P$5:$P$1000,$R39-4),INDEX($P$5:$P$1000,$R39-4))&amp;"."&amp;COUNTIFS($R$5:$R39,$R39,$S$5:$S39,"Sub"))))</f>
        <v/>
      </c>
      <c r="B39" s="63" t="n"/>
      <c r="C39" s="64" t="n"/>
      <c r="D39" s="65" t="n"/>
      <c r="E39" s="65" t="n"/>
      <c r="F39" s="66" t="n"/>
      <c r="G39" s="67" t="n"/>
      <c r="H39" s="67" t="n"/>
      <c r="I39" s="67" t="n"/>
      <c r="J39" s="67" t="n"/>
      <c r="K39" s="68">
        <f>IF(NOT((COUNTA($B39:$J39)+COUNTA($N39))&gt;0),"",IF(N($T39)&gt;0,$AB39,IFERROR(LOOKUP(2,1/(G39:J39&lt;&gt;""),G39:J39),0)))</f>
        <v/>
      </c>
      <c r="L39" s="62">
        <f>IF(K39="","",IF(K39&gt;=1,"Completado",IF(K39&gt;0,"En curso","Pendiente")))</f>
        <v/>
      </c>
      <c r="M39" s="62">
        <f>IF(NOT((COUNTA($B39:$J39)+COUNTA($N39))&gt;0),"",IF(N($K39)&gt;=1,"Cumplida",IF(NOT(ISNUMBER($E39)),"Sin fecha límite",IF($E39&lt;FechaRef,"Vencida hace "&amp;(FechaRef-$E39)&amp;IF(FechaRef-$E39=1," día"," días"),IF($E39=FechaRef,"Vence hoy",IF($E39-FechaRef&lt;=DiasAlerta,"Vence en "&amp;($E39-FechaRef)&amp;IF($E39-FechaRef=1," día"," días"),"En plazo"))))))</f>
        <v/>
      </c>
      <c r="N39" s="64" t="n"/>
      <c r="O39" s="69">
        <f>IF(NOT((COUNTA($B39:$J39)+COUNTA($N39))&gt;0),"",IF((IF($C39="","Falta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",""))="","✔ OK","⚠ "&amp;LEFT(IF($C39="","Falta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",""),LEN(IF($C39="","Falta el nombre de la actividad"&amp;" · ","")&amp;IF(AND($S39="Sub",N($R39)=0),"Subactividad sin macroactividad arriba"&amp;" · ","")&amp;IF($D39="","Sin fecha de inicio"&amp;" · ","")&amp;IF($E39="","Sin fecha límite"&amp;" · ","")&amp;IF(OR(AND($D39&lt;&gt;"",NOT(ISNUMBER($D39))),AND($E39&lt;&gt;"",NOT(ISNUMBER($E39)))),"Fecha no válida"&amp;" · ","")&amp;IF(AND(ISNUMBER($D39),ISNUMBER($E39),$D39&gt;$E39),"Inicio posterior a fecha límite"&amp;" · ","")&amp;IF(AND($S39="Macro",$F39=""),"Peso vacío"&amp;" · ","")&amp;IF(AND($S39="Macro",$F39&lt;&gt;"",OR(NOT(ISNUMBER($F39)),$F39&lt;=0,$F39&gt;1)),"Peso fuera de rango"&amp;" · ","")&amp;IF(AND($S39="Sub",$F39&lt;&gt;"",OR(NOT(ISNUMBER($F39)),$F39&lt;0,$F39&gt;1)),"Peso fuera de rango"&amp;" · ","")&amp;IF(AND($S39="Sub",$F39="",IFERROR(N(INDEX($AG$5:$AG$1000,$R39-4)),0)&gt;0),"Falta el peso de la subactividad"&amp;" · ","")&amp;IF(AND(N($T39)&gt;0,N($AG39)&gt;0,ABS(N($AG39)-N($F39))&gt;0.0001),"Pesos de sus subactividades suman "&amp;TEXT(N($AG39),"0%")&amp;" (deben sumar "&amp;TEXT(N($F39),"0%")&amp;")"&amp;" · ","")&amp;IF(AND($S39="Macro",ABS(SUMIFS($F$5:$F$1000,$P$5:$P$1000,$P39,$S$5:$S$1000,"Macro")-1)&gt;0.0001),"Pesos del mes suman "&amp;TEXT(SUMIFS($F$5:$F$1000,$P$5:$P$1000,$P39,$S$5:$S$1000,"Macro"),"0%")&amp;" · ","")&amp;IF(AND(N($T39)&gt;0,COUNT($G39:$J39)&gt;0),"Con subactividades: deje vacías las semanas (se calculan solas)"&amp;" · ","")&amp;IF((COUNTIF($G39:$J39,"&gt;1")+COUNTIF($G39:$J39,"&lt;0")+COUNTA($G39:$J39)-COUNT($G39:$J39))&gt;0,"Avance fuera de rango 0-100%"&amp;" · ","")&amp;IF(OR(AND($H39&lt;&gt;"",$H39&lt;$G39),AND($I39&lt;&gt;"",$I39&lt;MAX($G39:$H39)),AND($J39&lt;&gt;"",$J39&lt;MAX($G39:$I39))),"Avance semanal decreciente"&amp;" · ","")&amp;IF(AND(ISNUMBER($E39),$E39&lt;FechaRef,N($K39)&lt;1),"Vencida"&amp;" · ","")&amp;IF(AND(ObsObligatoria="Sí",ISNUMBER($E39),$E39&lt;FechaRef,N($K39)&lt;1,$N39=""),"Vencida sin observación"&amp;" · ",""))-3)))</f>
        <v/>
      </c>
      <c r="P39" s="70">
        <f>IF(NOT((COUNTA($B39:$J39)+COUNTA($N39))&gt;0),"",IF(AND($S39="Sub",N($R39)&gt;0),IF(ISNUMBER(INDEX($D$5:$D$1000,$R39-4)),DATE(YEAR(INDEX($D$5:$D$1000,$R39-4)),MONTH(INDEX($D$5:$D$1000,$R39-4)),1),IF(ISNUMBER(INDEX($E$5:$E$1000,$R39-4)),DATE(YEAR(INDEX($E$5:$E$1000,$R39-4)),MONTH(INDEX($E$5:$E$1000,$R39-4)),1),MesCiclo)),IF(ISNUMBER($D39),DATE(YEAR($D39),MONTH($D39),1),IF(ISNUMBER($E39),DATE(YEAR($E39),MONTH($E39),1),MesCiclo))))</f>
        <v/>
      </c>
      <c r="Q39" s="71">
        <f>IF(OR($P39="",$P39&lt;&gt;MesCiclo),"",COUNTIF($P$5:$P39,MesCiclo))</f>
        <v/>
      </c>
      <c r="R39" s="71">
        <f>IF($S39="","",IF($S39="Macro",ROW(),IFERROR(LOOKUP(2,1/($S$5:$S39="Macro"),ROW($S$5:$S39)),0)))</f>
        <v/>
      </c>
      <c r="S39" s="71">
        <f>IF(NOT((COUNTA($B39:$J39)+COUNTA($N39))&gt;0),"",IF($B39="Subactividad","Sub","Macro"))</f>
        <v/>
      </c>
      <c r="T39" s="71">
        <f>IF($S39="Macro",COUNTIFS($R$5:$R$1000,ROW(),$S$5:$S$1000,"Sub"),"")</f>
        <v/>
      </c>
      <c r="U39" s="71">
        <f>IF($S39="","",IF(ISNUMBER($G39),$G39,0))</f>
        <v/>
      </c>
      <c r="V39" s="71">
        <f>IF($S39="","",IF(ISNUMBER($H39),$H39,$U39))</f>
        <v/>
      </c>
      <c r="W39" s="71">
        <f>IF($S39="","",IF(ISNUMBER($I39),$I39,$V39))</f>
        <v/>
      </c>
      <c r="X39" s="71">
        <f>IF($S39="","",IF(ISNUMBER($J39),$J39,$W39))</f>
        <v/>
      </c>
      <c r="Y39" s="71">
        <f>IF($S39="","",IF(N($T39)&gt;0,IF(N($AG39)&gt;0,SUMIFS($AC$5:$AC$1000,$R$5:$R$1000,ROW(),$S$5:$S$1000,"Sub")/$AG39,AVERAGEIFS($U$5:$U$1000,$R$5:$R$1000,ROW(),$S$5:$S$1000,"Sub")),$U39))</f>
        <v/>
      </c>
      <c r="Z39" s="71">
        <f>IF($S39="","",IF(N($T39)&gt;0,IF(N($AG39)&gt;0,SUMIFS($AD$5:$AD$1000,$R$5:$R$1000,ROW(),$S$5:$S$1000,"Sub")/$AG39,AVERAGEIFS($V$5:$V$1000,$R$5:$R$1000,ROW(),$S$5:$S$1000,"Sub")),$V39))</f>
        <v/>
      </c>
      <c r="AA39" s="71">
        <f>IF($S39="","",IF(N($T39)&gt;0,IF(N($AG39)&gt;0,SUMIFS($AE$5:$AE$1000,$R$5:$R$1000,ROW(),$S$5:$S$1000,"Sub")/$AG39,AVERAGEIFS($W$5:$W$1000,$R$5:$R$1000,ROW(),$S$5:$S$1000,"Sub")),$W39))</f>
        <v/>
      </c>
      <c r="AB39" s="71">
        <f>IF($S39="","",IF(N($T39)&gt;0,IF(N($AG39)&gt;0,SUMIFS($AF$5:$AF$1000,$R$5:$R$1000,ROW(),$S$5:$S$1000,"Sub")/$AG39,AVERAGEIFS($X$5:$X$1000,$R$5:$R$1000,ROW(),$S$5:$S$1000,"Sub")),$X39))</f>
        <v/>
      </c>
      <c r="AC39" s="71">
        <f>IF($S39="Sub",N($F39)*N($U39),"")</f>
        <v/>
      </c>
      <c r="AD39" s="71">
        <f>IF($S39="Sub",N($F39)*N($V39),"")</f>
        <v/>
      </c>
      <c r="AE39" s="71">
        <f>IF($S39="Sub",N($F39)*N($W39),"")</f>
        <v/>
      </c>
      <c r="AF39" s="71">
        <f>IF($S39="Sub",N($F39)*N($X39),"")</f>
        <v/>
      </c>
      <c r="AG39" s="71">
        <f>IF(N($T39)&gt;0,SUMIFS($F$5:$F$1000,$R$5:$R$1000,ROW(),$S$5:$S$1000,"Sub"),"")</f>
        <v/>
      </c>
    </row>
    <row r="40">
      <c r="A40" s="62">
        <f>IF(NOT((COUNTA($B40:$J40)+COUNTA($N40))&gt;0),"",IF($S40="Macro",COUNTIFS($S$5:$S40,"Macro",$P$5:$P40,$P40),IF(N($R40)=0,"?",COUNTIFS(INDEX($S$5:$S$1000,1):INDEX($S$5:$S$1000,$R40-4),"Macro",INDEX($P$5:$P$1000,1):INDEX($P$5:$P$1000,$R40-4),INDEX($P$5:$P$1000,$R40-4))&amp;"."&amp;COUNTIFS($R$5:$R40,$R40,$S$5:$S40,"Sub"))))</f>
        <v/>
      </c>
      <c r="B40" s="63" t="n"/>
      <c r="C40" s="64" t="n"/>
      <c r="D40" s="65" t="n"/>
      <c r="E40" s="65" t="n"/>
      <c r="F40" s="66" t="n"/>
      <c r="G40" s="67" t="n"/>
      <c r="H40" s="67" t="n"/>
      <c r="I40" s="67" t="n"/>
      <c r="J40" s="67" t="n"/>
      <c r="K40" s="68">
        <f>IF(NOT((COUNTA($B40:$J40)+COUNTA($N40))&gt;0),"",IF(N($T40)&gt;0,$AB40,IFERROR(LOOKUP(2,1/(G40:J40&lt;&gt;""),G40:J40),0)))</f>
        <v/>
      </c>
      <c r="L40" s="62">
        <f>IF(K40="","",IF(K40&gt;=1,"Completado",IF(K40&gt;0,"En curso","Pendiente")))</f>
        <v/>
      </c>
      <c r="M40" s="62">
        <f>IF(NOT((COUNTA($B40:$J40)+COUNTA($N40))&gt;0),"",IF(N($K40)&gt;=1,"Cumplida",IF(NOT(ISNUMBER($E40)),"Sin fecha límite",IF($E40&lt;FechaRef,"Vencida hace "&amp;(FechaRef-$E40)&amp;IF(FechaRef-$E40=1," día"," días"),IF($E40=FechaRef,"Vence hoy",IF($E40-FechaRef&lt;=DiasAlerta,"Vence en "&amp;($E40-FechaRef)&amp;IF($E40-FechaRef=1," día"," días"),"En plazo"))))))</f>
        <v/>
      </c>
      <c r="N40" s="64" t="n"/>
      <c r="O40" s="69">
        <f>IF(NOT((COUNTA($B40:$J40)+COUNTA($N40))&gt;0),"",IF((IF($C40="","Falta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",""))="","✔ OK","⚠ "&amp;LEFT(IF($C40="","Falta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",""),LEN(IF($C40="","Falta el nombre de la actividad"&amp;" · ","")&amp;IF(AND($S40="Sub",N($R40)=0),"Subactividad sin macroactividad arriba"&amp;" · ","")&amp;IF($D40="","Sin fecha de inicio"&amp;" · ","")&amp;IF($E40="","Sin fecha límite"&amp;" · ","")&amp;IF(OR(AND($D40&lt;&gt;"",NOT(ISNUMBER($D40))),AND($E40&lt;&gt;"",NOT(ISNUMBER($E40)))),"Fecha no válida"&amp;" · ","")&amp;IF(AND(ISNUMBER($D40),ISNUMBER($E40),$D40&gt;$E40),"Inicio posterior a fecha límite"&amp;" · ","")&amp;IF(AND($S40="Macro",$F40=""),"Peso vacío"&amp;" · ","")&amp;IF(AND($S40="Macro",$F40&lt;&gt;"",OR(NOT(ISNUMBER($F40)),$F40&lt;=0,$F40&gt;1)),"Peso fuera de rango"&amp;" · ","")&amp;IF(AND($S40="Sub",$F40&lt;&gt;"",OR(NOT(ISNUMBER($F40)),$F40&lt;0,$F40&gt;1)),"Peso fuera de rango"&amp;" · ","")&amp;IF(AND($S40="Sub",$F40="",IFERROR(N(INDEX($AG$5:$AG$1000,$R40-4)),0)&gt;0),"Falta el peso de la subactividad"&amp;" · ","")&amp;IF(AND(N($T40)&gt;0,N($AG40)&gt;0,ABS(N($AG40)-N($F40))&gt;0.0001),"Pesos de sus subactividades suman "&amp;TEXT(N($AG40),"0%")&amp;" (deben sumar "&amp;TEXT(N($F40),"0%")&amp;")"&amp;" · ","")&amp;IF(AND($S40="Macro",ABS(SUMIFS($F$5:$F$1000,$P$5:$P$1000,$P40,$S$5:$S$1000,"Macro")-1)&gt;0.0001),"Pesos del mes suman "&amp;TEXT(SUMIFS($F$5:$F$1000,$P$5:$P$1000,$P40,$S$5:$S$1000,"Macro"),"0%")&amp;" · ","")&amp;IF(AND(N($T40)&gt;0,COUNT($G40:$J40)&gt;0),"Con subactividades: deje vacías las semanas (se calculan solas)"&amp;" · ","")&amp;IF((COUNTIF($G40:$J40,"&gt;1")+COUNTIF($G40:$J40,"&lt;0")+COUNTA($G40:$J40)-COUNT($G40:$J40))&gt;0,"Avance fuera de rango 0-100%"&amp;" · ","")&amp;IF(OR(AND($H40&lt;&gt;"",$H40&lt;$G40),AND($I40&lt;&gt;"",$I40&lt;MAX($G40:$H40)),AND($J40&lt;&gt;"",$J40&lt;MAX($G40:$I40))),"Avance semanal decreciente"&amp;" · ","")&amp;IF(AND(ISNUMBER($E40),$E40&lt;FechaRef,N($K40)&lt;1),"Vencida"&amp;" · ","")&amp;IF(AND(ObsObligatoria="Sí",ISNUMBER($E40),$E40&lt;FechaRef,N($K40)&lt;1,$N40=""),"Vencida sin observación"&amp;" · ",""))-3)))</f>
        <v/>
      </c>
      <c r="P40" s="70">
        <f>IF(NOT((COUNTA($B40:$J40)+COUNTA($N40))&gt;0),"",IF(AND($S40="Sub",N($R40)&gt;0),IF(ISNUMBER(INDEX($D$5:$D$1000,$R40-4)),DATE(YEAR(INDEX($D$5:$D$1000,$R40-4)),MONTH(INDEX($D$5:$D$1000,$R40-4)),1),IF(ISNUMBER(INDEX($E$5:$E$1000,$R40-4)),DATE(YEAR(INDEX($E$5:$E$1000,$R40-4)),MONTH(INDEX($E$5:$E$1000,$R40-4)),1),MesCiclo)),IF(ISNUMBER($D40),DATE(YEAR($D40),MONTH($D40),1),IF(ISNUMBER($E40),DATE(YEAR($E40),MONTH($E40),1),MesCiclo))))</f>
        <v/>
      </c>
      <c r="Q40" s="71">
        <f>IF(OR($P40="",$P40&lt;&gt;MesCiclo),"",COUNTIF($P$5:$P40,MesCiclo))</f>
        <v/>
      </c>
      <c r="R40" s="71">
        <f>IF($S40="","",IF($S40="Macro",ROW(),IFERROR(LOOKUP(2,1/($S$5:$S40="Macro"),ROW($S$5:$S40)),0)))</f>
        <v/>
      </c>
      <c r="S40" s="71">
        <f>IF(NOT((COUNTA($B40:$J40)+COUNTA($N40))&gt;0),"",IF($B40="Subactividad","Sub","Macro"))</f>
        <v/>
      </c>
      <c r="T40" s="71">
        <f>IF($S40="Macro",COUNTIFS($R$5:$R$1000,ROW(),$S$5:$S$1000,"Sub"),"")</f>
        <v/>
      </c>
      <c r="U40" s="71">
        <f>IF($S40="","",IF(ISNUMBER($G40),$G40,0))</f>
        <v/>
      </c>
      <c r="V40" s="71">
        <f>IF($S40="","",IF(ISNUMBER($H40),$H40,$U40))</f>
        <v/>
      </c>
      <c r="W40" s="71">
        <f>IF($S40="","",IF(ISNUMBER($I40),$I40,$V40))</f>
        <v/>
      </c>
      <c r="X40" s="71">
        <f>IF($S40="","",IF(ISNUMBER($J40),$J40,$W40))</f>
        <v/>
      </c>
      <c r="Y40" s="71">
        <f>IF($S40="","",IF(N($T40)&gt;0,IF(N($AG40)&gt;0,SUMIFS($AC$5:$AC$1000,$R$5:$R$1000,ROW(),$S$5:$S$1000,"Sub")/$AG40,AVERAGEIFS($U$5:$U$1000,$R$5:$R$1000,ROW(),$S$5:$S$1000,"Sub")),$U40))</f>
        <v/>
      </c>
      <c r="Z40" s="71">
        <f>IF($S40="","",IF(N($T40)&gt;0,IF(N($AG40)&gt;0,SUMIFS($AD$5:$AD$1000,$R$5:$R$1000,ROW(),$S$5:$S$1000,"Sub")/$AG40,AVERAGEIFS($V$5:$V$1000,$R$5:$R$1000,ROW(),$S$5:$S$1000,"Sub")),$V40))</f>
        <v/>
      </c>
      <c r="AA40" s="71">
        <f>IF($S40="","",IF(N($T40)&gt;0,IF(N($AG40)&gt;0,SUMIFS($AE$5:$AE$1000,$R$5:$R$1000,ROW(),$S$5:$S$1000,"Sub")/$AG40,AVERAGEIFS($W$5:$W$1000,$R$5:$R$1000,ROW(),$S$5:$S$1000,"Sub")),$W40))</f>
        <v/>
      </c>
      <c r="AB40" s="71">
        <f>IF($S40="","",IF(N($T40)&gt;0,IF(N($AG40)&gt;0,SUMIFS($AF$5:$AF$1000,$R$5:$R$1000,ROW(),$S$5:$S$1000,"Sub")/$AG40,AVERAGEIFS($X$5:$X$1000,$R$5:$R$1000,ROW(),$S$5:$S$1000,"Sub")),$X40))</f>
        <v/>
      </c>
      <c r="AC40" s="71">
        <f>IF($S40="Sub",N($F40)*N($U40),"")</f>
        <v/>
      </c>
      <c r="AD40" s="71">
        <f>IF($S40="Sub",N($F40)*N($V40),"")</f>
        <v/>
      </c>
      <c r="AE40" s="71">
        <f>IF($S40="Sub",N($F40)*N($W40),"")</f>
        <v/>
      </c>
      <c r="AF40" s="71">
        <f>IF($S40="Sub",N($F40)*N($X40),"")</f>
        <v/>
      </c>
      <c r="AG40" s="71">
        <f>IF(N($T40)&gt;0,SUMIFS($F$5:$F$1000,$R$5:$R$1000,ROW(),$S$5:$S$1000,"Sub"),"")</f>
        <v/>
      </c>
    </row>
    <row r="41">
      <c r="A41" s="62">
        <f>IF(NOT((COUNTA($B41:$J41)+COUNTA($N41))&gt;0),"",IF($S41="Macro",COUNTIFS($S$5:$S41,"Macro",$P$5:$P41,$P41),IF(N($R41)=0,"?",COUNTIFS(INDEX($S$5:$S$1000,1):INDEX($S$5:$S$1000,$R41-4),"Macro",INDEX($P$5:$P$1000,1):INDEX($P$5:$P$1000,$R41-4),INDEX($P$5:$P$1000,$R41-4))&amp;"."&amp;COUNTIFS($R$5:$R41,$R41,$S$5:$S41,"Sub"))))</f>
        <v/>
      </c>
      <c r="B41" s="63" t="n"/>
      <c r="C41" s="64" t="n"/>
      <c r="D41" s="65" t="n"/>
      <c r="E41" s="65" t="n"/>
      <c r="F41" s="66" t="n"/>
      <c r="G41" s="67" t="n"/>
      <c r="H41" s="67" t="n"/>
      <c r="I41" s="67" t="n"/>
      <c r="J41" s="67" t="n"/>
      <c r="K41" s="68">
        <f>IF(NOT((COUNTA($B41:$J41)+COUNTA($N41))&gt;0),"",IF(N($T41)&gt;0,$AB41,IFERROR(LOOKUP(2,1/(G41:J41&lt;&gt;""),G41:J41),0)))</f>
        <v/>
      </c>
      <c r="L41" s="62">
        <f>IF(K41="","",IF(K41&gt;=1,"Completado",IF(K41&gt;0,"En curso","Pendiente")))</f>
        <v/>
      </c>
      <c r="M41" s="62">
        <f>IF(NOT((COUNTA($B41:$J41)+COUNTA($N41))&gt;0),"",IF(N($K41)&gt;=1,"Cumplida",IF(NOT(ISNUMBER($E41)),"Sin fecha límite",IF($E41&lt;FechaRef,"Vencida hace "&amp;(FechaRef-$E41)&amp;IF(FechaRef-$E41=1," día"," días"),IF($E41=FechaRef,"Vence hoy",IF($E41-FechaRef&lt;=DiasAlerta,"Vence en "&amp;($E41-FechaRef)&amp;IF($E41-FechaRef=1," día"," días"),"En plazo"))))))</f>
        <v/>
      </c>
      <c r="N41" s="64" t="n"/>
      <c r="O41" s="69">
        <f>IF(NOT((COUNTA($B41:$J41)+COUNTA($N41))&gt;0),"",IF((IF($C41="","Falta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",""))="","✔ OK","⚠ "&amp;LEFT(IF($C41="","Falta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",""),LEN(IF($C41="","Falta el nombre de la actividad"&amp;" · ","")&amp;IF(AND($S41="Sub",N($R41)=0),"Subactividad sin macroactividad arriba"&amp;" · ","")&amp;IF($D41="","Sin fecha de inicio"&amp;" · ","")&amp;IF($E41="","Sin fecha límite"&amp;" · ","")&amp;IF(OR(AND($D41&lt;&gt;"",NOT(ISNUMBER($D41))),AND($E41&lt;&gt;"",NOT(ISNUMBER($E41)))),"Fecha no válida"&amp;" · ","")&amp;IF(AND(ISNUMBER($D41),ISNUMBER($E41),$D41&gt;$E41),"Inicio posterior a fecha límite"&amp;" · ","")&amp;IF(AND($S41="Macro",$F41=""),"Peso vacío"&amp;" · ","")&amp;IF(AND($S41="Macro",$F41&lt;&gt;"",OR(NOT(ISNUMBER($F41)),$F41&lt;=0,$F41&gt;1)),"Peso fuera de rango"&amp;" · ","")&amp;IF(AND($S41="Sub",$F41&lt;&gt;"",OR(NOT(ISNUMBER($F41)),$F41&lt;0,$F41&gt;1)),"Peso fuera de rango"&amp;" · ","")&amp;IF(AND($S41="Sub",$F41="",IFERROR(N(INDEX($AG$5:$AG$1000,$R41-4)),0)&gt;0),"Falta el peso de la subactividad"&amp;" · ","")&amp;IF(AND(N($T41)&gt;0,N($AG41)&gt;0,ABS(N($AG41)-N($F41))&gt;0.0001),"Pesos de sus subactividades suman "&amp;TEXT(N($AG41),"0%")&amp;" (deben sumar "&amp;TEXT(N($F41),"0%")&amp;")"&amp;" · ","")&amp;IF(AND($S41="Macro",ABS(SUMIFS($F$5:$F$1000,$P$5:$P$1000,$P41,$S$5:$S$1000,"Macro")-1)&gt;0.0001),"Pesos del mes suman "&amp;TEXT(SUMIFS($F$5:$F$1000,$P$5:$P$1000,$P41,$S$5:$S$1000,"Macro"),"0%")&amp;" · ","")&amp;IF(AND(N($T41)&gt;0,COUNT($G41:$J41)&gt;0),"Con subactividades: deje vacías las semanas (se calculan solas)"&amp;" · ","")&amp;IF((COUNTIF($G41:$J41,"&gt;1")+COUNTIF($G41:$J41,"&lt;0")+COUNTA($G41:$J41)-COUNT($G41:$J41))&gt;0,"Avance fuera de rango 0-100%"&amp;" · ","")&amp;IF(OR(AND($H41&lt;&gt;"",$H41&lt;$G41),AND($I41&lt;&gt;"",$I41&lt;MAX($G41:$H41)),AND($J41&lt;&gt;"",$J41&lt;MAX($G41:$I41))),"Avance semanal decreciente"&amp;" · ","")&amp;IF(AND(ISNUMBER($E41),$E41&lt;FechaRef,N($K41)&lt;1),"Vencida"&amp;" · ","")&amp;IF(AND(ObsObligatoria="Sí",ISNUMBER($E41),$E41&lt;FechaRef,N($K41)&lt;1,$N41=""),"Vencida sin observación"&amp;" · ",""))-3)))</f>
        <v/>
      </c>
      <c r="P41" s="70">
        <f>IF(NOT((COUNTA($B41:$J41)+COUNTA($N41))&gt;0),"",IF(AND($S41="Sub",N($R41)&gt;0),IF(ISNUMBER(INDEX($D$5:$D$1000,$R41-4)),DATE(YEAR(INDEX($D$5:$D$1000,$R41-4)),MONTH(INDEX($D$5:$D$1000,$R41-4)),1),IF(ISNUMBER(INDEX($E$5:$E$1000,$R41-4)),DATE(YEAR(INDEX($E$5:$E$1000,$R41-4)),MONTH(INDEX($E$5:$E$1000,$R41-4)),1),MesCiclo)),IF(ISNUMBER($D41),DATE(YEAR($D41),MONTH($D41),1),IF(ISNUMBER($E41),DATE(YEAR($E41),MONTH($E41),1),MesCiclo))))</f>
        <v/>
      </c>
      <c r="Q41" s="71">
        <f>IF(OR($P41="",$P41&lt;&gt;MesCiclo),"",COUNTIF($P$5:$P41,MesCiclo))</f>
        <v/>
      </c>
      <c r="R41" s="71">
        <f>IF($S41="","",IF($S41="Macro",ROW(),IFERROR(LOOKUP(2,1/($S$5:$S41="Macro"),ROW($S$5:$S41)),0)))</f>
        <v/>
      </c>
      <c r="S41" s="71">
        <f>IF(NOT((COUNTA($B41:$J41)+COUNTA($N41))&gt;0),"",IF($B41="Subactividad","Sub","Macro"))</f>
        <v/>
      </c>
      <c r="T41" s="71">
        <f>IF($S41="Macro",COUNTIFS($R$5:$R$1000,ROW(),$S$5:$S$1000,"Sub"),"")</f>
        <v/>
      </c>
      <c r="U41" s="71">
        <f>IF($S41="","",IF(ISNUMBER($G41),$G41,0))</f>
        <v/>
      </c>
      <c r="V41" s="71">
        <f>IF($S41="","",IF(ISNUMBER($H41),$H41,$U41))</f>
        <v/>
      </c>
      <c r="W41" s="71">
        <f>IF($S41="","",IF(ISNUMBER($I41),$I41,$V41))</f>
        <v/>
      </c>
      <c r="X41" s="71">
        <f>IF($S41="","",IF(ISNUMBER($J41),$J41,$W41))</f>
        <v/>
      </c>
      <c r="Y41" s="71">
        <f>IF($S41="","",IF(N($T41)&gt;0,IF(N($AG41)&gt;0,SUMIFS($AC$5:$AC$1000,$R$5:$R$1000,ROW(),$S$5:$S$1000,"Sub")/$AG41,AVERAGEIFS($U$5:$U$1000,$R$5:$R$1000,ROW(),$S$5:$S$1000,"Sub")),$U41))</f>
        <v/>
      </c>
      <c r="Z41" s="71">
        <f>IF($S41="","",IF(N($T41)&gt;0,IF(N($AG41)&gt;0,SUMIFS($AD$5:$AD$1000,$R$5:$R$1000,ROW(),$S$5:$S$1000,"Sub")/$AG41,AVERAGEIFS($V$5:$V$1000,$R$5:$R$1000,ROW(),$S$5:$S$1000,"Sub")),$V41))</f>
        <v/>
      </c>
      <c r="AA41" s="71">
        <f>IF($S41="","",IF(N($T41)&gt;0,IF(N($AG41)&gt;0,SUMIFS($AE$5:$AE$1000,$R$5:$R$1000,ROW(),$S$5:$S$1000,"Sub")/$AG41,AVERAGEIFS($W$5:$W$1000,$R$5:$R$1000,ROW(),$S$5:$S$1000,"Sub")),$W41))</f>
        <v/>
      </c>
      <c r="AB41" s="71">
        <f>IF($S41="","",IF(N($T41)&gt;0,IF(N($AG41)&gt;0,SUMIFS($AF$5:$AF$1000,$R$5:$R$1000,ROW(),$S$5:$S$1000,"Sub")/$AG41,AVERAGEIFS($X$5:$X$1000,$R$5:$R$1000,ROW(),$S$5:$S$1000,"Sub")),$X41))</f>
        <v/>
      </c>
      <c r="AC41" s="71">
        <f>IF($S41="Sub",N($F41)*N($U41),"")</f>
        <v/>
      </c>
      <c r="AD41" s="71">
        <f>IF($S41="Sub",N($F41)*N($V41),"")</f>
        <v/>
      </c>
      <c r="AE41" s="71">
        <f>IF($S41="Sub",N($F41)*N($W41),"")</f>
        <v/>
      </c>
      <c r="AF41" s="71">
        <f>IF($S41="Sub",N($F41)*N($X41),"")</f>
        <v/>
      </c>
      <c r="AG41" s="71">
        <f>IF(N($T41)&gt;0,SUMIFS($F$5:$F$1000,$R$5:$R$1000,ROW(),$S$5:$S$1000,"Sub"),"")</f>
        <v/>
      </c>
    </row>
    <row r="42">
      <c r="A42" s="62">
        <f>IF(NOT((COUNTA($B42:$J42)+COUNTA($N42))&gt;0),"",IF($S42="Macro",COUNTIFS($S$5:$S42,"Macro",$P$5:$P42,$P42),IF(N($R42)=0,"?",COUNTIFS(INDEX($S$5:$S$1000,1):INDEX($S$5:$S$1000,$R42-4),"Macro",INDEX($P$5:$P$1000,1):INDEX($P$5:$P$1000,$R42-4),INDEX($P$5:$P$1000,$R42-4))&amp;"."&amp;COUNTIFS($R$5:$R42,$R42,$S$5:$S42,"Sub"))))</f>
        <v/>
      </c>
      <c r="B42" s="63" t="n"/>
      <c r="C42" s="64" t="n"/>
      <c r="D42" s="65" t="n"/>
      <c r="E42" s="65" t="n"/>
      <c r="F42" s="66" t="n"/>
      <c r="G42" s="67" t="n"/>
      <c r="H42" s="67" t="n"/>
      <c r="I42" s="67" t="n"/>
      <c r="J42" s="67" t="n"/>
      <c r="K42" s="68">
        <f>IF(NOT((COUNTA($B42:$J42)+COUNTA($N42))&gt;0),"",IF(N($T42)&gt;0,$AB42,IFERROR(LOOKUP(2,1/(G42:J42&lt;&gt;""),G42:J42),0)))</f>
        <v/>
      </c>
      <c r="L42" s="62">
        <f>IF(K42="","",IF(K42&gt;=1,"Completado",IF(K42&gt;0,"En curso","Pendiente")))</f>
        <v/>
      </c>
      <c r="M42" s="62">
        <f>IF(NOT((COUNTA($B42:$J42)+COUNTA($N42))&gt;0),"",IF(N($K42)&gt;=1,"Cumplida",IF(NOT(ISNUMBER($E42)),"Sin fecha límite",IF($E42&lt;FechaRef,"Vencida hace "&amp;(FechaRef-$E42)&amp;IF(FechaRef-$E42=1," día"," días"),IF($E42=FechaRef,"Vence hoy",IF($E42-FechaRef&lt;=DiasAlerta,"Vence en "&amp;($E42-FechaRef)&amp;IF($E42-FechaRef=1," día"," días"),"En plazo"))))))</f>
        <v/>
      </c>
      <c r="N42" s="64" t="n"/>
      <c r="O42" s="69">
        <f>IF(NOT((COUNTA($B42:$J42)+COUNTA($N42))&gt;0),"",IF((IF($C42="","Falta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",""))="","✔ OK","⚠ "&amp;LEFT(IF($C42="","Falta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",""),LEN(IF($C42="","Falta el nombre de la actividad"&amp;" · ","")&amp;IF(AND($S42="Sub",N($R42)=0),"Subactividad sin macroactividad arriba"&amp;" · ","")&amp;IF($D42="","Sin fecha de inicio"&amp;" · ","")&amp;IF($E42="","Sin fecha límite"&amp;" · ","")&amp;IF(OR(AND($D42&lt;&gt;"",NOT(ISNUMBER($D42))),AND($E42&lt;&gt;"",NOT(ISNUMBER($E42)))),"Fecha no válida"&amp;" · ","")&amp;IF(AND(ISNUMBER($D42),ISNUMBER($E42),$D42&gt;$E42),"Inicio posterior a fecha límite"&amp;" · ","")&amp;IF(AND($S42="Macro",$F42=""),"Peso vacío"&amp;" · ","")&amp;IF(AND($S42="Macro",$F42&lt;&gt;"",OR(NOT(ISNUMBER($F42)),$F42&lt;=0,$F42&gt;1)),"Peso fuera de rango"&amp;" · ","")&amp;IF(AND($S42="Sub",$F42&lt;&gt;"",OR(NOT(ISNUMBER($F42)),$F42&lt;0,$F42&gt;1)),"Peso fuera de rango"&amp;" · ","")&amp;IF(AND($S42="Sub",$F42="",IFERROR(N(INDEX($AG$5:$AG$1000,$R42-4)),0)&gt;0),"Falta el peso de la subactividad"&amp;" · ","")&amp;IF(AND(N($T42)&gt;0,N($AG42)&gt;0,ABS(N($AG42)-N($F42))&gt;0.0001),"Pesos de sus subactividades suman "&amp;TEXT(N($AG42),"0%")&amp;" (deben sumar "&amp;TEXT(N($F42),"0%")&amp;")"&amp;" · ","")&amp;IF(AND($S42="Macro",ABS(SUMIFS($F$5:$F$1000,$P$5:$P$1000,$P42,$S$5:$S$1000,"Macro")-1)&gt;0.0001),"Pesos del mes suman "&amp;TEXT(SUMIFS($F$5:$F$1000,$P$5:$P$1000,$P42,$S$5:$S$1000,"Macro"),"0%")&amp;" · ","")&amp;IF(AND(N($T42)&gt;0,COUNT($G42:$J42)&gt;0),"Con subactividades: deje vacías las semanas (se calculan solas)"&amp;" · ","")&amp;IF((COUNTIF($G42:$J42,"&gt;1")+COUNTIF($G42:$J42,"&lt;0")+COUNTA($G42:$J42)-COUNT($G42:$J42))&gt;0,"Avance fuera de rango 0-100%"&amp;" · ","")&amp;IF(OR(AND($H42&lt;&gt;"",$H42&lt;$G42),AND($I42&lt;&gt;"",$I42&lt;MAX($G42:$H42)),AND($J42&lt;&gt;"",$J42&lt;MAX($G42:$I42))),"Avance semanal decreciente"&amp;" · ","")&amp;IF(AND(ISNUMBER($E42),$E42&lt;FechaRef,N($K42)&lt;1),"Vencida"&amp;" · ","")&amp;IF(AND(ObsObligatoria="Sí",ISNUMBER($E42),$E42&lt;FechaRef,N($K42)&lt;1,$N42=""),"Vencida sin observación"&amp;" · ",""))-3)))</f>
        <v/>
      </c>
      <c r="P42" s="70">
        <f>IF(NOT((COUNTA($B42:$J42)+COUNTA($N42))&gt;0),"",IF(AND($S42="Sub",N($R42)&gt;0),IF(ISNUMBER(INDEX($D$5:$D$1000,$R42-4)),DATE(YEAR(INDEX($D$5:$D$1000,$R42-4)),MONTH(INDEX($D$5:$D$1000,$R42-4)),1),IF(ISNUMBER(INDEX($E$5:$E$1000,$R42-4)),DATE(YEAR(INDEX($E$5:$E$1000,$R42-4)),MONTH(INDEX($E$5:$E$1000,$R42-4)),1),MesCiclo)),IF(ISNUMBER($D42),DATE(YEAR($D42),MONTH($D42),1),IF(ISNUMBER($E42),DATE(YEAR($E42),MONTH($E42),1),MesCiclo))))</f>
        <v/>
      </c>
      <c r="Q42" s="71">
        <f>IF(OR($P42="",$P42&lt;&gt;MesCiclo),"",COUNTIF($P$5:$P42,MesCiclo))</f>
        <v/>
      </c>
      <c r="R42" s="71">
        <f>IF($S42="","",IF($S42="Macro",ROW(),IFERROR(LOOKUP(2,1/($S$5:$S42="Macro"),ROW($S$5:$S42)),0)))</f>
        <v/>
      </c>
      <c r="S42" s="71">
        <f>IF(NOT((COUNTA($B42:$J42)+COUNTA($N42))&gt;0),"",IF($B42="Subactividad","Sub","Macro"))</f>
        <v/>
      </c>
      <c r="T42" s="71">
        <f>IF($S42="Macro",COUNTIFS($R$5:$R$1000,ROW(),$S$5:$S$1000,"Sub"),"")</f>
        <v/>
      </c>
      <c r="U42" s="71">
        <f>IF($S42="","",IF(ISNUMBER($G42),$G42,0))</f>
        <v/>
      </c>
      <c r="V42" s="71">
        <f>IF($S42="","",IF(ISNUMBER($H42),$H42,$U42))</f>
        <v/>
      </c>
      <c r="W42" s="71">
        <f>IF($S42="","",IF(ISNUMBER($I42),$I42,$V42))</f>
        <v/>
      </c>
      <c r="X42" s="71">
        <f>IF($S42="","",IF(ISNUMBER($J42),$J42,$W42))</f>
        <v/>
      </c>
      <c r="Y42" s="71">
        <f>IF($S42="","",IF(N($T42)&gt;0,IF(N($AG42)&gt;0,SUMIFS($AC$5:$AC$1000,$R$5:$R$1000,ROW(),$S$5:$S$1000,"Sub")/$AG42,AVERAGEIFS($U$5:$U$1000,$R$5:$R$1000,ROW(),$S$5:$S$1000,"Sub")),$U42))</f>
        <v/>
      </c>
      <c r="Z42" s="71">
        <f>IF($S42="","",IF(N($T42)&gt;0,IF(N($AG42)&gt;0,SUMIFS($AD$5:$AD$1000,$R$5:$R$1000,ROW(),$S$5:$S$1000,"Sub")/$AG42,AVERAGEIFS($V$5:$V$1000,$R$5:$R$1000,ROW(),$S$5:$S$1000,"Sub")),$V42))</f>
        <v/>
      </c>
      <c r="AA42" s="71">
        <f>IF($S42="","",IF(N($T42)&gt;0,IF(N($AG42)&gt;0,SUMIFS($AE$5:$AE$1000,$R$5:$R$1000,ROW(),$S$5:$S$1000,"Sub")/$AG42,AVERAGEIFS($W$5:$W$1000,$R$5:$R$1000,ROW(),$S$5:$S$1000,"Sub")),$W42))</f>
        <v/>
      </c>
      <c r="AB42" s="71">
        <f>IF($S42="","",IF(N($T42)&gt;0,IF(N($AG42)&gt;0,SUMIFS($AF$5:$AF$1000,$R$5:$R$1000,ROW(),$S$5:$S$1000,"Sub")/$AG42,AVERAGEIFS($X$5:$X$1000,$R$5:$R$1000,ROW(),$S$5:$S$1000,"Sub")),$X42))</f>
        <v/>
      </c>
      <c r="AC42" s="71">
        <f>IF($S42="Sub",N($F42)*N($U42),"")</f>
        <v/>
      </c>
      <c r="AD42" s="71">
        <f>IF($S42="Sub",N($F42)*N($V42),"")</f>
        <v/>
      </c>
      <c r="AE42" s="71">
        <f>IF($S42="Sub",N($F42)*N($W42),"")</f>
        <v/>
      </c>
      <c r="AF42" s="71">
        <f>IF($S42="Sub",N($F42)*N($X42),"")</f>
        <v/>
      </c>
      <c r="AG42" s="71">
        <f>IF(N($T42)&gt;0,SUMIFS($F$5:$F$1000,$R$5:$R$1000,ROW(),$S$5:$S$1000,"Sub"),"")</f>
        <v/>
      </c>
    </row>
    <row r="43">
      <c r="A43" s="62">
        <f>IF(NOT((COUNTA($B43:$J43)+COUNTA($N43))&gt;0),"",IF($S43="Macro",COUNTIFS($S$5:$S43,"Macro",$P$5:$P43,$P43),IF(N($R43)=0,"?",COUNTIFS(INDEX($S$5:$S$1000,1):INDEX($S$5:$S$1000,$R43-4),"Macro",INDEX($P$5:$P$1000,1):INDEX($P$5:$P$1000,$R43-4),INDEX($P$5:$P$1000,$R43-4))&amp;"."&amp;COUNTIFS($R$5:$R43,$R43,$S$5:$S43,"Sub"))))</f>
        <v/>
      </c>
      <c r="B43" s="63" t="n"/>
      <c r="C43" s="64" t="n"/>
      <c r="D43" s="65" t="n"/>
      <c r="E43" s="65" t="n"/>
      <c r="F43" s="66" t="n"/>
      <c r="G43" s="67" t="n"/>
      <c r="H43" s="67" t="n"/>
      <c r="I43" s="67" t="n"/>
      <c r="J43" s="67" t="n"/>
      <c r="K43" s="68">
        <f>IF(NOT((COUNTA($B43:$J43)+COUNTA($N43))&gt;0),"",IF(N($T43)&gt;0,$AB43,IFERROR(LOOKUP(2,1/(G43:J43&lt;&gt;""),G43:J43),0)))</f>
        <v/>
      </c>
      <c r="L43" s="62">
        <f>IF(K43="","",IF(K43&gt;=1,"Completado",IF(K43&gt;0,"En curso","Pendiente")))</f>
        <v/>
      </c>
      <c r="M43" s="62">
        <f>IF(NOT((COUNTA($B43:$J43)+COUNTA($N43))&gt;0),"",IF(N($K43)&gt;=1,"Cumplida",IF(NOT(ISNUMBER($E43)),"Sin fecha límite",IF($E43&lt;FechaRef,"Vencida hace "&amp;(FechaRef-$E43)&amp;IF(FechaRef-$E43=1," día"," días"),IF($E43=FechaRef,"Vence hoy",IF($E43-FechaRef&lt;=DiasAlerta,"Vence en "&amp;($E43-FechaRef)&amp;IF($E43-FechaRef=1," día"," días"),"En plazo"))))))</f>
        <v/>
      </c>
      <c r="N43" s="64" t="n"/>
      <c r="O43" s="69">
        <f>IF(NOT((COUNTA($B43:$J43)+COUNTA($N43))&gt;0),"",IF((IF($C43="","Falta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",""))="","✔ OK","⚠ "&amp;LEFT(IF($C43="","Falta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",""),LEN(IF($C43="","Falta el nombre de la actividad"&amp;" · ","")&amp;IF(AND($S43="Sub",N($R43)=0),"Subactividad sin macroactividad arriba"&amp;" · ","")&amp;IF($D43="","Sin fecha de inicio"&amp;" · ","")&amp;IF($E43="","Sin fecha límite"&amp;" · ","")&amp;IF(OR(AND($D43&lt;&gt;"",NOT(ISNUMBER($D43))),AND($E43&lt;&gt;"",NOT(ISNUMBER($E43)))),"Fecha no válida"&amp;" · ","")&amp;IF(AND(ISNUMBER($D43),ISNUMBER($E43),$D43&gt;$E43),"Inicio posterior a fecha límite"&amp;" · ","")&amp;IF(AND($S43="Macro",$F43=""),"Peso vacío"&amp;" · ","")&amp;IF(AND($S43="Macro",$F43&lt;&gt;"",OR(NOT(ISNUMBER($F43)),$F43&lt;=0,$F43&gt;1)),"Peso fuera de rango"&amp;" · ","")&amp;IF(AND($S43="Sub",$F43&lt;&gt;"",OR(NOT(ISNUMBER($F43)),$F43&lt;0,$F43&gt;1)),"Peso fuera de rango"&amp;" · ","")&amp;IF(AND($S43="Sub",$F43="",IFERROR(N(INDEX($AG$5:$AG$1000,$R43-4)),0)&gt;0),"Falta el peso de la subactividad"&amp;" · ","")&amp;IF(AND(N($T43)&gt;0,N($AG43)&gt;0,ABS(N($AG43)-N($F43))&gt;0.0001),"Pesos de sus subactividades suman "&amp;TEXT(N($AG43),"0%")&amp;" (deben sumar "&amp;TEXT(N($F43),"0%")&amp;")"&amp;" · ","")&amp;IF(AND($S43="Macro",ABS(SUMIFS($F$5:$F$1000,$P$5:$P$1000,$P43,$S$5:$S$1000,"Macro")-1)&gt;0.0001),"Pesos del mes suman "&amp;TEXT(SUMIFS($F$5:$F$1000,$P$5:$P$1000,$P43,$S$5:$S$1000,"Macro"),"0%")&amp;" · ","")&amp;IF(AND(N($T43)&gt;0,COUNT($G43:$J43)&gt;0),"Con subactividades: deje vacías las semanas (se calculan solas)"&amp;" · ","")&amp;IF((COUNTIF($G43:$J43,"&gt;1")+COUNTIF($G43:$J43,"&lt;0")+COUNTA($G43:$J43)-COUNT($G43:$J43))&gt;0,"Avance fuera de rango 0-100%"&amp;" · ","")&amp;IF(OR(AND($H43&lt;&gt;"",$H43&lt;$G43),AND($I43&lt;&gt;"",$I43&lt;MAX($G43:$H43)),AND($J43&lt;&gt;"",$J43&lt;MAX($G43:$I43))),"Avance semanal decreciente"&amp;" · ","")&amp;IF(AND(ISNUMBER($E43),$E43&lt;FechaRef,N($K43)&lt;1),"Vencida"&amp;" · ","")&amp;IF(AND(ObsObligatoria="Sí",ISNUMBER($E43),$E43&lt;FechaRef,N($K43)&lt;1,$N43=""),"Vencida sin observación"&amp;" · ",""))-3)))</f>
        <v/>
      </c>
      <c r="P43" s="70">
        <f>IF(NOT((COUNTA($B43:$J43)+COUNTA($N43))&gt;0),"",IF(AND($S43="Sub",N($R43)&gt;0),IF(ISNUMBER(INDEX($D$5:$D$1000,$R43-4)),DATE(YEAR(INDEX($D$5:$D$1000,$R43-4)),MONTH(INDEX($D$5:$D$1000,$R43-4)),1),IF(ISNUMBER(INDEX($E$5:$E$1000,$R43-4)),DATE(YEAR(INDEX($E$5:$E$1000,$R43-4)),MONTH(INDEX($E$5:$E$1000,$R43-4)),1),MesCiclo)),IF(ISNUMBER($D43),DATE(YEAR($D43),MONTH($D43),1),IF(ISNUMBER($E43),DATE(YEAR($E43),MONTH($E43),1),MesCiclo))))</f>
        <v/>
      </c>
      <c r="Q43" s="71">
        <f>IF(OR($P43="",$P43&lt;&gt;MesCiclo),"",COUNTIF($P$5:$P43,MesCiclo))</f>
        <v/>
      </c>
      <c r="R43" s="71">
        <f>IF($S43="","",IF($S43="Macro",ROW(),IFERROR(LOOKUP(2,1/($S$5:$S43="Macro"),ROW($S$5:$S43)),0)))</f>
        <v/>
      </c>
      <c r="S43" s="71">
        <f>IF(NOT((COUNTA($B43:$J43)+COUNTA($N43))&gt;0),"",IF($B43="Subactividad","Sub","Macro"))</f>
        <v/>
      </c>
      <c r="T43" s="71">
        <f>IF($S43="Macro",COUNTIFS($R$5:$R$1000,ROW(),$S$5:$S$1000,"Sub"),"")</f>
        <v/>
      </c>
      <c r="U43" s="71">
        <f>IF($S43="","",IF(ISNUMBER($G43),$G43,0))</f>
        <v/>
      </c>
      <c r="V43" s="71">
        <f>IF($S43="","",IF(ISNUMBER($H43),$H43,$U43))</f>
        <v/>
      </c>
      <c r="W43" s="71">
        <f>IF($S43="","",IF(ISNUMBER($I43),$I43,$V43))</f>
        <v/>
      </c>
      <c r="X43" s="71">
        <f>IF($S43="","",IF(ISNUMBER($J43),$J43,$W43))</f>
        <v/>
      </c>
      <c r="Y43" s="71">
        <f>IF($S43="","",IF(N($T43)&gt;0,IF(N($AG43)&gt;0,SUMIFS($AC$5:$AC$1000,$R$5:$R$1000,ROW(),$S$5:$S$1000,"Sub")/$AG43,AVERAGEIFS($U$5:$U$1000,$R$5:$R$1000,ROW(),$S$5:$S$1000,"Sub")),$U43))</f>
        <v/>
      </c>
      <c r="Z43" s="71">
        <f>IF($S43="","",IF(N($T43)&gt;0,IF(N($AG43)&gt;0,SUMIFS($AD$5:$AD$1000,$R$5:$R$1000,ROW(),$S$5:$S$1000,"Sub")/$AG43,AVERAGEIFS($V$5:$V$1000,$R$5:$R$1000,ROW(),$S$5:$S$1000,"Sub")),$V43))</f>
        <v/>
      </c>
      <c r="AA43" s="71">
        <f>IF($S43="","",IF(N($T43)&gt;0,IF(N($AG43)&gt;0,SUMIFS($AE$5:$AE$1000,$R$5:$R$1000,ROW(),$S$5:$S$1000,"Sub")/$AG43,AVERAGEIFS($W$5:$W$1000,$R$5:$R$1000,ROW(),$S$5:$S$1000,"Sub")),$W43))</f>
        <v/>
      </c>
      <c r="AB43" s="71">
        <f>IF($S43="","",IF(N($T43)&gt;0,IF(N($AG43)&gt;0,SUMIFS($AF$5:$AF$1000,$R$5:$R$1000,ROW(),$S$5:$S$1000,"Sub")/$AG43,AVERAGEIFS($X$5:$X$1000,$R$5:$R$1000,ROW(),$S$5:$S$1000,"Sub")),$X43))</f>
        <v/>
      </c>
      <c r="AC43" s="71">
        <f>IF($S43="Sub",N($F43)*N($U43),"")</f>
        <v/>
      </c>
      <c r="AD43" s="71">
        <f>IF($S43="Sub",N($F43)*N($V43),"")</f>
        <v/>
      </c>
      <c r="AE43" s="71">
        <f>IF($S43="Sub",N($F43)*N($W43),"")</f>
        <v/>
      </c>
      <c r="AF43" s="71">
        <f>IF($S43="Sub",N($F43)*N($X43),"")</f>
        <v/>
      </c>
      <c r="AG43" s="71">
        <f>IF(N($T43)&gt;0,SUMIFS($F$5:$F$1000,$R$5:$R$1000,ROW(),$S$5:$S$1000,"Sub"),"")</f>
        <v/>
      </c>
    </row>
    <row r="44">
      <c r="A44" s="62">
        <f>IF(NOT((COUNTA($B44:$J44)+COUNTA($N44))&gt;0),"",IF($S44="Macro",COUNTIFS($S$5:$S44,"Macro",$P$5:$P44,$P44),IF(N($R44)=0,"?",COUNTIFS(INDEX($S$5:$S$1000,1):INDEX($S$5:$S$1000,$R44-4),"Macro",INDEX($P$5:$P$1000,1):INDEX($P$5:$P$1000,$R44-4),INDEX($P$5:$P$1000,$R44-4))&amp;"."&amp;COUNTIFS($R$5:$R44,$R44,$S$5:$S44,"Sub"))))</f>
        <v/>
      </c>
      <c r="B44" s="63" t="n"/>
      <c r="C44" s="64" t="n"/>
      <c r="D44" s="65" t="n"/>
      <c r="E44" s="65" t="n"/>
      <c r="F44" s="66" t="n"/>
      <c r="G44" s="67" t="n"/>
      <c r="H44" s="67" t="n"/>
      <c r="I44" s="67" t="n"/>
      <c r="J44" s="67" t="n"/>
      <c r="K44" s="68">
        <f>IF(NOT((COUNTA($B44:$J44)+COUNTA($N44))&gt;0),"",IF(N($T44)&gt;0,$AB44,IFERROR(LOOKUP(2,1/(G44:J44&lt;&gt;""),G44:J44),0)))</f>
        <v/>
      </c>
      <c r="L44" s="62">
        <f>IF(K44="","",IF(K44&gt;=1,"Completado",IF(K44&gt;0,"En curso","Pendiente")))</f>
        <v/>
      </c>
      <c r="M44" s="62">
        <f>IF(NOT((COUNTA($B44:$J44)+COUNTA($N44))&gt;0),"",IF(N($K44)&gt;=1,"Cumplida",IF(NOT(ISNUMBER($E44)),"Sin fecha límite",IF($E44&lt;FechaRef,"Vencida hace "&amp;(FechaRef-$E44)&amp;IF(FechaRef-$E44=1," día"," días"),IF($E44=FechaRef,"Vence hoy",IF($E44-FechaRef&lt;=DiasAlerta,"Vence en "&amp;($E44-FechaRef)&amp;IF($E44-FechaRef=1," día"," días"),"En plazo"))))))</f>
        <v/>
      </c>
      <c r="N44" s="64" t="n"/>
      <c r="O44" s="69">
        <f>IF(NOT((COUNTA($B44:$J44)+COUNTA($N44))&gt;0),"",IF((IF($C44="","Falta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",""))="","✔ OK","⚠ "&amp;LEFT(IF($C44="","Falta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",""),LEN(IF($C44="","Falta el nombre de la actividad"&amp;" · ","")&amp;IF(AND($S44="Sub",N($R44)=0),"Subactividad sin macroactividad arriba"&amp;" · ","")&amp;IF($D44="","Sin fecha de inicio"&amp;" · ","")&amp;IF($E44="","Sin fecha límite"&amp;" · ","")&amp;IF(OR(AND($D44&lt;&gt;"",NOT(ISNUMBER($D44))),AND($E44&lt;&gt;"",NOT(ISNUMBER($E44)))),"Fecha no válida"&amp;" · ","")&amp;IF(AND(ISNUMBER($D44),ISNUMBER($E44),$D44&gt;$E44),"Inicio posterior a fecha límite"&amp;" · ","")&amp;IF(AND($S44="Macro",$F44=""),"Peso vacío"&amp;" · ","")&amp;IF(AND($S44="Macro",$F44&lt;&gt;"",OR(NOT(ISNUMBER($F44)),$F44&lt;=0,$F44&gt;1)),"Peso fuera de rango"&amp;" · ","")&amp;IF(AND($S44="Sub",$F44&lt;&gt;"",OR(NOT(ISNUMBER($F44)),$F44&lt;0,$F44&gt;1)),"Peso fuera de rango"&amp;" · ","")&amp;IF(AND($S44="Sub",$F44="",IFERROR(N(INDEX($AG$5:$AG$1000,$R44-4)),0)&gt;0),"Falta el peso de la subactividad"&amp;" · ","")&amp;IF(AND(N($T44)&gt;0,N($AG44)&gt;0,ABS(N($AG44)-N($F44))&gt;0.0001),"Pesos de sus subactividades suman "&amp;TEXT(N($AG44),"0%")&amp;" (deben sumar "&amp;TEXT(N($F44),"0%")&amp;")"&amp;" · ","")&amp;IF(AND($S44="Macro",ABS(SUMIFS($F$5:$F$1000,$P$5:$P$1000,$P44,$S$5:$S$1000,"Macro")-1)&gt;0.0001),"Pesos del mes suman "&amp;TEXT(SUMIFS($F$5:$F$1000,$P$5:$P$1000,$P44,$S$5:$S$1000,"Macro"),"0%")&amp;" · ","")&amp;IF(AND(N($T44)&gt;0,COUNT($G44:$J44)&gt;0),"Con subactividades: deje vacías las semanas (se calculan solas)"&amp;" · ","")&amp;IF((COUNTIF($G44:$J44,"&gt;1")+COUNTIF($G44:$J44,"&lt;0")+COUNTA($G44:$J44)-COUNT($G44:$J44))&gt;0,"Avance fuera de rango 0-100%"&amp;" · ","")&amp;IF(OR(AND($H44&lt;&gt;"",$H44&lt;$G44),AND($I44&lt;&gt;"",$I44&lt;MAX($G44:$H44)),AND($J44&lt;&gt;"",$J44&lt;MAX($G44:$I44))),"Avance semanal decreciente"&amp;" · ","")&amp;IF(AND(ISNUMBER($E44),$E44&lt;FechaRef,N($K44)&lt;1),"Vencida"&amp;" · ","")&amp;IF(AND(ObsObligatoria="Sí",ISNUMBER($E44),$E44&lt;FechaRef,N($K44)&lt;1,$N44=""),"Vencida sin observación"&amp;" · ",""))-3)))</f>
        <v/>
      </c>
      <c r="P44" s="70">
        <f>IF(NOT((COUNTA($B44:$J44)+COUNTA($N44))&gt;0),"",IF(AND($S44="Sub",N($R44)&gt;0),IF(ISNUMBER(INDEX($D$5:$D$1000,$R44-4)),DATE(YEAR(INDEX($D$5:$D$1000,$R44-4)),MONTH(INDEX($D$5:$D$1000,$R44-4)),1),IF(ISNUMBER(INDEX($E$5:$E$1000,$R44-4)),DATE(YEAR(INDEX($E$5:$E$1000,$R44-4)),MONTH(INDEX($E$5:$E$1000,$R44-4)),1),MesCiclo)),IF(ISNUMBER($D44),DATE(YEAR($D44),MONTH($D44),1),IF(ISNUMBER($E44),DATE(YEAR($E44),MONTH($E44),1),MesCiclo))))</f>
        <v/>
      </c>
      <c r="Q44" s="71">
        <f>IF(OR($P44="",$P44&lt;&gt;MesCiclo),"",COUNTIF($P$5:$P44,MesCiclo))</f>
        <v/>
      </c>
      <c r="R44" s="71">
        <f>IF($S44="","",IF($S44="Macro",ROW(),IFERROR(LOOKUP(2,1/($S$5:$S44="Macro"),ROW($S$5:$S44)),0)))</f>
        <v/>
      </c>
      <c r="S44" s="71">
        <f>IF(NOT((COUNTA($B44:$J44)+COUNTA($N44))&gt;0),"",IF($B44="Subactividad","Sub","Macro"))</f>
        <v/>
      </c>
      <c r="T44" s="71">
        <f>IF($S44="Macro",COUNTIFS($R$5:$R$1000,ROW(),$S$5:$S$1000,"Sub"),"")</f>
        <v/>
      </c>
      <c r="U44" s="71">
        <f>IF($S44="","",IF(ISNUMBER($G44),$G44,0))</f>
        <v/>
      </c>
      <c r="V44" s="71">
        <f>IF($S44="","",IF(ISNUMBER($H44),$H44,$U44))</f>
        <v/>
      </c>
      <c r="W44" s="71">
        <f>IF($S44="","",IF(ISNUMBER($I44),$I44,$V44))</f>
        <v/>
      </c>
      <c r="X44" s="71">
        <f>IF($S44="","",IF(ISNUMBER($J44),$J44,$W44))</f>
        <v/>
      </c>
      <c r="Y44" s="71">
        <f>IF($S44="","",IF(N($T44)&gt;0,IF(N($AG44)&gt;0,SUMIFS($AC$5:$AC$1000,$R$5:$R$1000,ROW(),$S$5:$S$1000,"Sub")/$AG44,AVERAGEIFS($U$5:$U$1000,$R$5:$R$1000,ROW(),$S$5:$S$1000,"Sub")),$U44))</f>
        <v/>
      </c>
      <c r="Z44" s="71">
        <f>IF($S44="","",IF(N($T44)&gt;0,IF(N($AG44)&gt;0,SUMIFS($AD$5:$AD$1000,$R$5:$R$1000,ROW(),$S$5:$S$1000,"Sub")/$AG44,AVERAGEIFS($V$5:$V$1000,$R$5:$R$1000,ROW(),$S$5:$S$1000,"Sub")),$V44))</f>
        <v/>
      </c>
      <c r="AA44" s="71">
        <f>IF($S44="","",IF(N($T44)&gt;0,IF(N($AG44)&gt;0,SUMIFS($AE$5:$AE$1000,$R$5:$R$1000,ROW(),$S$5:$S$1000,"Sub")/$AG44,AVERAGEIFS($W$5:$W$1000,$R$5:$R$1000,ROW(),$S$5:$S$1000,"Sub")),$W44))</f>
        <v/>
      </c>
      <c r="AB44" s="71">
        <f>IF($S44="","",IF(N($T44)&gt;0,IF(N($AG44)&gt;0,SUMIFS($AF$5:$AF$1000,$R$5:$R$1000,ROW(),$S$5:$S$1000,"Sub")/$AG44,AVERAGEIFS($X$5:$X$1000,$R$5:$R$1000,ROW(),$S$5:$S$1000,"Sub")),$X44))</f>
        <v/>
      </c>
      <c r="AC44" s="71">
        <f>IF($S44="Sub",N($F44)*N($U44),"")</f>
        <v/>
      </c>
      <c r="AD44" s="71">
        <f>IF($S44="Sub",N($F44)*N($V44),"")</f>
        <v/>
      </c>
      <c r="AE44" s="71">
        <f>IF($S44="Sub",N($F44)*N($W44),"")</f>
        <v/>
      </c>
      <c r="AF44" s="71">
        <f>IF($S44="Sub",N($F44)*N($X44),"")</f>
        <v/>
      </c>
      <c r="AG44" s="71">
        <f>IF(N($T44)&gt;0,SUMIFS($F$5:$F$1000,$R$5:$R$1000,ROW(),$S$5:$S$1000,"Sub"),"")</f>
        <v/>
      </c>
    </row>
    <row r="45">
      <c r="A45" s="62">
        <f>IF(NOT((COUNTA($B45:$J45)+COUNTA($N45))&gt;0),"",IF($S45="Macro",COUNTIFS($S$5:$S45,"Macro",$P$5:$P45,$P45),IF(N($R45)=0,"?",COUNTIFS(INDEX($S$5:$S$1000,1):INDEX($S$5:$S$1000,$R45-4),"Macro",INDEX($P$5:$P$1000,1):INDEX($P$5:$P$1000,$R45-4),INDEX($P$5:$P$1000,$R45-4))&amp;"."&amp;COUNTIFS($R$5:$R45,$R45,$S$5:$S45,"Sub"))))</f>
        <v/>
      </c>
      <c r="B45" s="63" t="n"/>
      <c r="C45" s="64" t="n"/>
      <c r="D45" s="65" t="n"/>
      <c r="E45" s="65" t="n"/>
      <c r="F45" s="66" t="n"/>
      <c r="G45" s="67" t="n"/>
      <c r="H45" s="67" t="n"/>
      <c r="I45" s="67" t="n"/>
      <c r="J45" s="67" t="n"/>
      <c r="K45" s="68">
        <f>IF(NOT((COUNTA($B45:$J45)+COUNTA($N45))&gt;0),"",IF(N($T45)&gt;0,$AB45,IFERROR(LOOKUP(2,1/(G45:J45&lt;&gt;""),G45:J45),0)))</f>
        <v/>
      </c>
      <c r="L45" s="62">
        <f>IF(K45="","",IF(K45&gt;=1,"Completado",IF(K45&gt;0,"En curso","Pendiente")))</f>
        <v/>
      </c>
      <c r="M45" s="62">
        <f>IF(NOT((COUNTA($B45:$J45)+COUNTA($N45))&gt;0),"",IF(N($K45)&gt;=1,"Cumplida",IF(NOT(ISNUMBER($E45)),"Sin fecha límite",IF($E45&lt;FechaRef,"Vencida hace "&amp;(FechaRef-$E45)&amp;IF(FechaRef-$E45=1," día"," días"),IF($E45=FechaRef,"Vence hoy",IF($E45-FechaRef&lt;=DiasAlerta,"Vence en "&amp;($E45-FechaRef)&amp;IF($E45-FechaRef=1," día"," días"),"En plazo"))))))</f>
        <v/>
      </c>
      <c r="N45" s="64" t="n"/>
      <c r="O45" s="69">
        <f>IF(NOT((COUNTA($B45:$J45)+COUNTA($N45))&gt;0),"",IF((IF($C45="","Falta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",""))="","✔ OK","⚠ "&amp;LEFT(IF($C45="","Falta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",""),LEN(IF($C45="","Falta el nombre de la actividad"&amp;" · ","")&amp;IF(AND($S45="Sub",N($R45)=0),"Subactividad sin macroactividad arriba"&amp;" · ","")&amp;IF($D45="","Sin fecha de inicio"&amp;" · ","")&amp;IF($E45="","Sin fecha límite"&amp;" · ","")&amp;IF(OR(AND($D45&lt;&gt;"",NOT(ISNUMBER($D45))),AND($E45&lt;&gt;"",NOT(ISNUMBER($E45)))),"Fecha no válida"&amp;" · ","")&amp;IF(AND(ISNUMBER($D45),ISNUMBER($E45),$D45&gt;$E45),"Inicio posterior a fecha límite"&amp;" · ","")&amp;IF(AND($S45="Macro",$F45=""),"Peso vacío"&amp;" · ","")&amp;IF(AND($S45="Macro",$F45&lt;&gt;"",OR(NOT(ISNUMBER($F45)),$F45&lt;=0,$F45&gt;1)),"Peso fuera de rango"&amp;" · ","")&amp;IF(AND($S45="Sub",$F45&lt;&gt;"",OR(NOT(ISNUMBER($F45)),$F45&lt;0,$F45&gt;1)),"Peso fuera de rango"&amp;" · ","")&amp;IF(AND($S45="Sub",$F45="",IFERROR(N(INDEX($AG$5:$AG$1000,$R45-4)),0)&gt;0),"Falta el peso de la subactividad"&amp;" · ","")&amp;IF(AND(N($T45)&gt;0,N($AG45)&gt;0,ABS(N($AG45)-N($F45))&gt;0.0001),"Pesos de sus subactividades suman "&amp;TEXT(N($AG45),"0%")&amp;" (deben sumar "&amp;TEXT(N($F45),"0%")&amp;")"&amp;" · ","")&amp;IF(AND($S45="Macro",ABS(SUMIFS($F$5:$F$1000,$P$5:$P$1000,$P45,$S$5:$S$1000,"Macro")-1)&gt;0.0001),"Pesos del mes suman "&amp;TEXT(SUMIFS($F$5:$F$1000,$P$5:$P$1000,$P45,$S$5:$S$1000,"Macro"),"0%")&amp;" · ","")&amp;IF(AND(N($T45)&gt;0,COUNT($G45:$J45)&gt;0),"Con subactividades: deje vacías las semanas (se calculan solas)"&amp;" · ","")&amp;IF((COUNTIF($G45:$J45,"&gt;1")+COUNTIF($G45:$J45,"&lt;0")+COUNTA($G45:$J45)-COUNT($G45:$J45))&gt;0,"Avance fuera de rango 0-100%"&amp;" · ","")&amp;IF(OR(AND($H45&lt;&gt;"",$H45&lt;$G45),AND($I45&lt;&gt;"",$I45&lt;MAX($G45:$H45)),AND($J45&lt;&gt;"",$J45&lt;MAX($G45:$I45))),"Avance semanal decreciente"&amp;" · ","")&amp;IF(AND(ISNUMBER($E45),$E45&lt;FechaRef,N($K45)&lt;1),"Vencida"&amp;" · ","")&amp;IF(AND(ObsObligatoria="Sí",ISNUMBER($E45),$E45&lt;FechaRef,N($K45)&lt;1,$N45=""),"Vencida sin observación"&amp;" · ",""))-3)))</f>
        <v/>
      </c>
      <c r="P45" s="70">
        <f>IF(NOT((COUNTA($B45:$J45)+COUNTA($N45))&gt;0),"",IF(AND($S45="Sub",N($R45)&gt;0),IF(ISNUMBER(INDEX($D$5:$D$1000,$R45-4)),DATE(YEAR(INDEX($D$5:$D$1000,$R45-4)),MONTH(INDEX($D$5:$D$1000,$R45-4)),1),IF(ISNUMBER(INDEX($E$5:$E$1000,$R45-4)),DATE(YEAR(INDEX($E$5:$E$1000,$R45-4)),MONTH(INDEX($E$5:$E$1000,$R45-4)),1),MesCiclo)),IF(ISNUMBER($D45),DATE(YEAR($D45),MONTH($D45),1),IF(ISNUMBER($E45),DATE(YEAR($E45),MONTH($E45),1),MesCiclo))))</f>
        <v/>
      </c>
      <c r="Q45" s="71">
        <f>IF(OR($P45="",$P45&lt;&gt;MesCiclo),"",COUNTIF($P$5:$P45,MesCiclo))</f>
        <v/>
      </c>
      <c r="R45" s="71">
        <f>IF($S45="","",IF($S45="Macro",ROW(),IFERROR(LOOKUP(2,1/($S$5:$S45="Macro"),ROW($S$5:$S45)),0)))</f>
        <v/>
      </c>
      <c r="S45" s="71">
        <f>IF(NOT((COUNTA($B45:$J45)+COUNTA($N45))&gt;0),"",IF($B45="Subactividad","Sub","Macro"))</f>
        <v/>
      </c>
      <c r="T45" s="71">
        <f>IF($S45="Macro",COUNTIFS($R$5:$R$1000,ROW(),$S$5:$S$1000,"Sub"),"")</f>
        <v/>
      </c>
      <c r="U45" s="71">
        <f>IF($S45="","",IF(ISNUMBER($G45),$G45,0))</f>
        <v/>
      </c>
      <c r="V45" s="71">
        <f>IF($S45="","",IF(ISNUMBER($H45),$H45,$U45))</f>
        <v/>
      </c>
      <c r="W45" s="71">
        <f>IF($S45="","",IF(ISNUMBER($I45),$I45,$V45))</f>
        <v/>
      </c>
      <c r="X45" s="71">
        <f>IF($S45="","",IF(ISNUMBER($J45),$J45,$W45))</f>
        <v/>
      </c>
      <c r="Y45" s="71">
        <f>IF($S45="","",IF(N($T45)&gt;0,IF(N($AG45)&gt;0,SUMIFS($AC$5:$AC$1000,$R$5:$R$1000,ROW(),$S$5:$S$1000,"Sub")/$AG45,AVERAGEIFS($U$5:$U$1000,$R$5:$R$1000,ROW(),$S$5:$S$1000,"Sub")),$U45))</f>
        <v/>
      </c>
      <c r="Z45" s="71">
        <f>IF($S45="","",IF(N($T45)&gt;0,IF(N($AG45)&gt;0,SUMIFS($AD$5:$AD$1000,$R$5:$R$1000,ROW(),$S$5:$S$1000,"Sub")/$AG45,AVERAGEIFS($V$5:$V$1000,$R$5:$R$1000,ROW(),$S$5:$S$1000,"Sub")),$V45))</f>
        <v/>
      </c>
      <c r="AA45" s="71">
        <f>IF($S45="","",IF(N($T45)&gt;0,IF(N($AG45)&gt;0,SUMIFS($AE$5:$AE$1000,$R$5:$R$1000,ROW(),$S$5:$S$1000,"Sub")/$AG45,AVERAGEIFS($W$5:$W$1000,$R$5:$R$1000,ROW(),$S$5:$S$1000,"Sub")),$W45))</f>
        <v/>
      </c>
      <c r="AB45" s="71">
        <f>IF($S45="","",IF(N($T45)&gt;0,IF(N($AG45)&gt;0,SUMIFS($AF$5:$AF$1000,$R$5:$R$1000,ROW(),$S$5:$S$1000,"Sub")/$AG45,AVERAGEIFS($X$5:$X$1000,$R$5:$R$1000,ROW(),$S$5:$S$1000,"Sub")),$X45))</f>
        <v/>
      </c>
      <c r="AC45" s="71">
        <f>IF($S45="Sub",N($F45)*N($U45),"")</f>
        <v/>
      </c>
      <c r="AD45" s="71">
        <f>IF($S45="Sub",N($F45)*N($V45),"")</f>
        <v/>
      </c>
      <c r="AE45" s="71">
        <f>IF($S45="Sub",N($F45)*N($W45),"")</f>
        <v/>
      </c>
      <c r="AF45" s="71">
        <f>IF($S45="Sub",N($F45)*N($X45),"")</f>
        <v/>
      </c>
      <c r="AG45" s="71">
        <f>IF(N($T45)&gt;0,SUMIFS($F$5:$F$1000,$R$5:$R$1000,ROW(),$S$5:$S$1000,"Sub"),"")</f>
        <v/>
      </c>
    </row>
    <row r="46">
      <c r="A46" s="62">
        <f>IF(NOT((COUNTA($B46:$J46)+COUNTA($N46))&gt;0),"",IF($S46="Macro",COUNTIFS($S$5:$S46,"Macro",$P$5:$P46,$P46),IF(N($R46)=0,"?",COUNTIFS(INDEX($S$5:$S$1000,1):INDEX($S$5:$S$1000,$R46-4),"Macro",INDEX($P$5:$P$1000,1):INDEX($P$5:$P$1000,$R46-4),INDEX($P$5:$P$1000,$R46-4))&amp;"."&amp;COUNTIFS($R$5:$R46,$R46,$S$5:$S46,"Sub"))))</f>
        <v/>
      </c>
      <c r="B46" s="63" t="n"/>
      <c r="C46" s="64" t="n"/>
      <c r="D46" s="65" t="n"/>
      <c r="E46" s="65" t="n"/>
      <c r="F46" s="66" t="n"/>
      <c r="G46" s="67" t="n"/>
      <c r="H46" s="67" t="n"/>
      <c r="I46" s="67" t="n"/>
      <c r="J46" s="67" t="n"/>
      <c r="K46" s="68">
        <f>IF(NOT((COUNTA($B46:$J46)+COUNTA($N46))&gt;0),"",IF(N($T46)&gt;0,$AB46,IFERROR(LOOKUP(2,1/(G46:J46&lt;&gt;""),G46:J46),0)))</f>
        <v/>
      </c>
      <c r="L46" s="62">
        <f>IF(K46="","",IF(K46&gt;=1,"Completado",IF(K46&gt;0,"En curso","Pendiente")))</f>
        <v/>
      </c>
      <c r="M46" s="62">
        <f>IF(NOT((COUNTA($B46:$J46)+COUNTA($N46))&gt;0),"",IF(N($K46)&gt;=1,"Cumplida",IF(NOT(ISNUMBER($E46)),"Sin fecha límite",IF($E46&lt;FechaRef,"Vencida hace "&amp;(FechaRef-$E46)&amp;IF(FechaRef-$E46=1," día"," días"),IF($E46=FechaRef,"Vence hoy",IF($E46-FechaRef&lt;=DiasAlerta,"Vence en "&amp;($E46-FechaRef)&amp;IF($E46-FechaRef=1," día"," días"),"En plazo"))))))</f>
        <v/>
      </c>
      <c r="N46" s="64" t="n"/>
      <c r="O46" s="69">
        <f>IF(NOT((COUNTA($B46:$J46)+COUNTA($N46))&gt;0),"",IF((IF($C46="","Falta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",""))="","✔ OK","⚠ "&amp;LEFT(IF($C46="","Falta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",""),LEN(IF($C46="","Falta el nombre de la actividad"&amp;" · ","")&amp;IF(AND($S46="Sub",N($R46)=0),"Subactividad sin macroactividad arriba"&amp;" · ","")&amp;IF($D46="","Sin fecha de inicio"&amp;" · ","")&amp;IF($E46="","Sin fecha límite"&amp;" · ","")&amp;IF(OR(AND($D46&lt;&gt;"",NOT(ISNUMBER($D46))),AND($E46&lt;&gt;"",NOT(ISNUMBER($E46)))),"Fecha no válida"&amp;" · ","")&amp;IF(AND(ISNUMBER($D46),ISNUMBER($E46),$D46&gt;$E46),"Inicio posterior a fecha límite"&amp;" · ","")&amp;IF(AND($S46="Macro",$F46=""),"Peso vacío"&amp;" · ","")&amp;IF(AND($S46="Macro",$F46&lt;&gt;"",OR(NOT(ISNUMBER($F46)),$F46&lt;=0,$F46&gt;1)),"Peso fuera de rango"&amp;" · ","")&amp;IF(AND($S46="Sub",$F46&lt;&gt;"",OR(NOT(ISNUMBER($F46)),$F46&lt;0,$F46&gt;1)),"Peso fuera de rango"&amp;" · ","")&amp;IF(AND($S46="Sub",$F46="",IFERROR(N(INDEX($AG$5:$AG$1000,$R46-4)),0)&gt;0),"Falta el peso de la subactividad"&amp;" · ","")&amp;IF(AND(N($T46)&gt;0,N($AG46)&gt;0,ABS(N($AG46)-N($F46))&gt;0.0001),"Pesos de sus subactividades suman "&amp;TEXT(N($AG46),"0%")&amp;" (deben sumar "&amp;TEXT(N($F46),"0%")&amp;")"&amp;" · ","")&amp;IF(AND($S46="Macro",ABS(SUMIFS($F$5:$F$1000,$P$5:$P$1000,$P46,$S$5:$S$1000,"Macro")-1)&gt;0.0001),"Pesos del mes suman "&amp;TEXT(SUMIFS($F$5:$F$1000,$P$5:$P$1000,$P46,$S$5:$S$1000,"Macro"),"0%")&amp;" · ","")&amp;IF(AND(N($T46)&gt;0,COUNT($G46:$J46)&gt;0),"Con subactividades: deje vacías las semanas (se calculan solas)"&amp;" · ","")&amp;IF((COUNTIF($G46:$J46,"&gt;1")+COUNTIF($G46:$J46,"&lt;0")+COUNTA($G46:$J46)-COUNT($G46:$J46))&gt;0,"Avance fuera de rango 0-100%"&amp;" · ","")&amp;IF(OR(AND($H46&lt;&gt;"",$H46&lt;$G46),AND($I46&lt;&gt;"",$I46&lt;MAX($G46:$H46)),AND($J46&lt;&gt;"",$J46&lt;MAX($G46:$I46))),"Avance semanal decreciente"&amp;" · ","")&amp;IF(AND(ISNUMBER($E46),$E46&lt;FechaRef,N($K46)&lt;1),"Vencida"&amp;" · ","")&amp;IF(AND(ObsObligatoria="Sí",ISNUMBER($E46),$E46&lt;FechaRef,N($K46)&lt;1,$N46=""),"Vencida sin observación"&amp;" · ",""))-3)))</f>
        <v/>
      </c>
      <c r="P46" s="70">
        <f>IF(NOT((COUNTA($B46:$J46)+COUNTA($N46))&gt;0),"",IF(AND($S46="Sub",N($R46)&gt;0),IF(ISNUMBER(INDEX($D$5:$D$1000,$R46-4)),DATE(YEAR(INDEX($D$5:$D$1000,$R46-4)),MONTH(INDEX($D$5:$D$1000,$R46-4)),1),IF(ISNUMBER(INDEX($E$5:$E$1000,$R46-4)),DATE(YEAR(INDEX($E$5:$E$1000,$R46-4)),MONTH(INDEX($E$5:$E$1000,$R46-4)),1),MesCiclo)),IF(ISNUMBER($D46),DATE(YEAR($D46),MONTH($D46),1),IF(ISNUMBER($E46),DATE(YEAR($E46),MONTH($E46),1),MesCiclo))))</f>
        <v/>
      </c>
      <c r="Q46" s="71">
        <f>IF(OR($P46="",$P46&lt;&gt;MesCiclo),"",COUNTIF($P$5:$P46,MesCiclo))</f>
        <v/>
      </c>
      <c r="R46" s="71">
        <f>IF($S46="","",IF($S46="Macro",ROW(),IFERROR(LOOKUP(2,1/($S$5:$S46="Macro"),ROW($S$5:$S46)),0)))</f>
        <v/>
      </c>
      <c r="S46" s="71">
        <f>IF(NOT((COUNTA($B46:$J46)+COUNTA($N46))&gt;0),"",IF($B46="Subactividad","Sub","Macro"))</f>
        <v/>
      </c>
      <c r="T46" s="71">
        <f>IF($S46="Macro",COUNTIFS($R$5:$R$1000,ROW(),$S$5:$S$1000,"Sub"),"")</f>
        <v/>
      </c>
      <c r="U46" s="71">
        <f>IF($S46="","",IF(ISNUMBER($G46),$G46,0))</f>
        <v/>
      </c>
      <c r="V46" s="71">
        <f>IF($S46="","",IF(ISNUMBER($H46),$H46,$U46))</f>
        <v/>
      </c>
      <c r="W46" s="71">
        <f>IF($S46="","",IF(ISNUMBER($I46),$I46,$V46))</f>
        <v/>
      </c>
      <c r="X46" s="71">
        <f>IF($S46="","",IF(ISNUMBER($J46),$J46,$W46))</f>
        <v/>
      </c>
      <c r="Y46" s="71">
        <f>IF($S46="","",IF(N($T46)&gt;0,IF(N($AG46)&gt;0,SUMIFS($AC$5:$AC$1000,$R$5:$R$1000,ROW(),$S$5:$S$1000,"Sub")/$AG46,AVERAGEIFS($U$5:$U$1000,$R$5:$R$1000,ROW(),$S$5:$S$1000,"Sub")),$U46))</f>
        <v/>
      </c>
      <c r="Z46" s="71">
        <f>IF($S46="","",IF(N($T46)&gt;0,IF(N($AG46)&gt;0,SUMIFS($AD$5:$AD$1000,$R$5:$R$1000,ROW(),$S$5:$S$1000,"Sub")/$AG46,AVERAGEIFS($V$5:$V$1000,$R$5:$R$1000,ROW(),$S$5:$S$1000,"Sub")),$V46))</f>
        <v/>
      </c>
      <c r="AA46" s="71">
        <f>IF($S46="","",IF(N($T46)&gt;0,IF(N($AG46)&gt;0,SUMIFS($AE$5:$AE$1000,$R$5:$R$1000,ROW(),$S$5:$S$1000,"Sub")/$AG46,AVERAGEIFS($W$5:$W$1000,$R$5:$R$1000,ROW(),$S$5:$S$1000,"Sub")),$W46))</f>
        <v/>
      </c>
      <c r="AB46" s="71">
        <f>IF($S46="","",IF(N($T46)&gt;0,IF(N($AG46)&gt;0,SUMIFS($AF$5:$AF$1000,$R$5:$R$1000,ROW(),$S$5:$S$1000,"Sub")/$AG46,AVERAGEIFS($X$5:$X$1000,$R$5:$R$1000,ROW(),$S$5:$S$1000,"Sub")),$X46))</f>
        <v/>
      </c>
      <c r="AC46" s="71">
        <f>IF($S46="Sub",N($F46)*N($U46),"")</f>
        <v/>
      </c>
      <c r="AD46" s="71">
        <f>IF($S46="Sub",N($F46)*N($V46),"")</f>
        <v/>
      </c>
      <c r="AE46" s="71">
        <f>IF($S46="Sub",N($F46)*N($W46),"")</f>
        <v/>
      </c>
      <c r="AF46" s="71">
        <f>IF($S46="Sub",N($F46)*N($X46),"")</f>
        <v/>
      </c>
      <c r="AG46" s="71">
        <f>IF(N($T46)&gt;0,SUMIFS($F$5:$F$1000,$R$5:$R$1000,ROW(),$S$5:$S$1000,"Sub"),"")</f>
        <v/>
      </c>
    </row>
    <row r="47">
      <c r="A47" s="62">
        <f>IF(NOT((COUNTA($B47:$J47)+COUNTA($N47))&gt;0),"",IF($S47="Macro",COUNTIFS($S$5:$S47,"Macro",$P$5:$P47,$P47),IF(N($R47)=0,"?",COUNTIFS(INDEX($S$5:$S$1000,1):INDEX($S$5:$S$1000,$R47-4),"Macro",INDEX($P$5:$P$1000,1):INDEX($P$5:$P$1000,$R47-4),INDEX($P$5:$P$1000,$R47-4))&amp;"."&amp;COUNTIFS($R$5:$R47,$R47,$S$5:$S47,"Sub"))))</f>
        <v/>
      </c>
      <c r="B47" s="63" t="n"/>
      <c r="C47" s="64" t="n"/>
      <c r="D47" s="65" t="n"/>
      <c r="E47" s="65" t="n"/>
      <c r="F47" s="66" t="n"/>
      <c r="G47" s="67" t="n"/>
      <c r="H47" s="67" t="n"/>
      <c r="I47" s="67" t="n"/>
      <c r="J47" s="67" t="n"/>
      <c r="K47" s="68">
        <f>IF(NOT((COUNTA($B47:$J47)+COUNTA($N47))&gt;0),"",IF(N($T47)&gt;0,$AB47,IFERROR(LOOKUP(2,1/(G47:J47&lt;&gt;""),G47:J47),0)))</f>
        <v/>
      </c>
      <c r="L47" s="62">
        <f>IF(K47="","",IF(K47&gt;=1,"Completado",IF(K47&gt;0,"En curso","Pendiente")))</f>
        <v/>
      </c>
      <c r="M47" s="62">
        <f>IF(NOT((COUNTA($B47:$J47)+COUNTA($N47))&gt;0),"",IF(N($K47)&gt;=1,"Cumplida",IF(NOT(ISNUMBER($E47)),"Sin fecha límite",IF($E47&lt;FechaRef,"Vencida hace "&amp;(FechaRef-$E47)&amp;IF(FechaRef-$E47=1," día"," días"),IF($E47=FechaRef,"Vence hoy",IF($E47-FechaRef&lt;=DiasAlerta,"Vence en "&amp;($E47-FechaRef)&amp;IF($E47-FechaRef=1," día"," días"),"En plazo"))))))</f>
        <v/>
      </c>
      <c r="N47" s="64" t="n"/>
      <c r="O47" s="69">
        <f>IF(NOT((COUNTA($B47:$J47)+COUNTA($N47))&gt;0),"",IF((IF($C47="","Falta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",""))="","✔ OK","⚠ "&amp;LEFT(IF($C47="","Falta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",""),LEN(IF($C47="","Falta el nombre de la actividad"&amp;" · ","")&amp;IF(AND($S47="Sub",N($R47)=0),"Subactividad sin macroactividad arriba"&amp;" · ","")&amp;IF($D47="","Sin fecha de inicio"&amp;" · ","")&amp;IF($E47="","Sin fecha límite"&amp;" · ","")&amp;IF(OR(AND($D47&lt;&gt;"",NOT(ISNUMBER($D47))),AND($E47&lt;&gt;"",NOT(ISNUMBER($E47)))),"Fecha no válida"&amp;" · ","")&amp;IF(AND(ISNUMBER($D47),ISNUMBER($E47),$D47&gt;$E47),"Inicio posterior a fecha límite"&amp;" · ","")&amp;IF(AND($S47="Macro",$F47=""),"Peso vacío"&amp;" · ","")&amp;IF(AND($S47="Macro",$F47&lt;&gt;"",OR(NOT(ISNUMBER($F47)),$F47&lt;=0,$F47&gt;1)),"Peso fuera de rango"&amp;" · ","")&amp;IF(AND($S47="Sub",$F47&lt;&gt;"",OR(NOT(ISNUMBER($F47)),$F47&lt;0,$F47&gt;1)),"Peso fuera de rango"&amp;" · ","")&amp;IF(AND($S47="Sub",$F47="",IFERROR(N(INDEX($AG$5:$AG$1000,$R47-4)),0)&gt;0),"Falta el peso de la subactividad"&amp;" · ","")&amp;IF(AND(N($T47)&gt;0,N($AG47)&gt;0,ABS(N($AG47)-N($F47))&gt;0.0001),"Pesos de sus subactividades suman "&amp;TEXT(N($AG47),"0%")&amp;" (deben sumar "&amp;TEXT(N($F47),"0%")&amp;")"&amp;" · ","")&amp;IF(AND($S47="Macro",ABS(SUMIFS($F$5:$F$1000,$P$5:$P$1000,$P47,$S$5:$S$1000,"Macro")-1)&gt;0.0001),"Pesos del mes suman "&amp;TEXT(SUMIFS($F$5:$F$1000,$P$5:$P$1000,$P47,$S$5:$S$1000,"Macro"),"0%")&amp;" · ","")&amp;IF(AND(N($T47)&gt;0,COUNT($G47:$J47)&gt;0),"Con subactividades: deje vacías las semanas (se calculan solas)"&amp;" · ","")&amp;IF((COUNTIF($G47:$J47,"&gt;1")+COUNTIF($G47:$J47,"&lt;0")+COUNTA($G47:$J47)-COUNT($G47:$J47))&gt;0,"Avance fuera de rango 0-100%"&amp;" · ","")&amp;IF(OR(AND($H47&lt;&gt;"",$H47&lt;$G47),AND($I47&lt;&gt;"",$I47&lt;MAX($G47:$H47)),AND($J47&lt;&gt;"",$J47&lt;MAX($G47:$I47))),"Avance semanal decreciente"&amp;" · ","")&amp;IF(AND(ISNUMBER($E47),$E47&lt;FechaRef,N($K47)&lt;1),"Vencida"&amp;" · ","")&amp;IF(AND(ObsObligatoria="Sí",ISNUMBER($E47),$E47&lt;FechaRef,N($K47)&lt;1,$N47=""),"Vencida sin observación"&amp;" · ",""))-3)))</f>
        <v/>
      </c>
      <c r="P47" s="70">
        <f>IF(NOT((COUNTA($B47:$J47)+COUNTA($N47))&gt;0),"",IF(AND($S47="Sub",N($R47)&gt;0),IF(ISNUMBER(INDEX($D$5:$D$1000,$R47-4)),DATE(YEAR(INDEX($D$5:$D$1000,$R47-4)),MONTH(INDEX($D$5:$D$1000,$R47-4)),1),IF(ISNUMBER(INDEX($E$5:$E$1000,$R47-4)),DATE(YEAR(INDEX($E$5:$E$1000,$R47-4)),MONTH(INDEX($E$5:$E$1000,$R47-4)),1),MesCiclo)),IF(ISNUMBER($D47),DATE(YEAR($D47),MONTH($D47),1),IF(ISNUMBER($E47),DATE(YEAR($E47),MONTH($E47),1),MesCiclo))))</f>
        <v/>
      </c>
      <c r="Q47" s="71">
        <f>IF(OR($P47="",$P47&lt;&gt;MesCiclo),"",COUNTIF($P$5:$P47,MesCiclo))</f>
        <v/>
      </c>
      <c r="R47" s="71">
        <f>IF($S47="","",IF($S47="Macro",ROW(),IFERROR(LOOKUP(2,1/($S$5:$S47="Macro"),ROW($S$5:$S47)),0)))</f>
        <v/>
      </c>
      <c r="S47" s="71">
        <f>IF(NOT((COUNTA($B47:$J47)+COUNTA($N47))&gt;0),"",IF($B47="Subactividad","Sub","Macro"))</f>
        <v/>
      </c>
      <c r="T47" s="71">
        <f>IF($S47="Macro",COUNTIFS($R$5:$R$1000,ROW(),$S$5:$S$1000,"Sub"),"")</f>
        <v/>
      </c>
      <c r="U47" s="71">
        <f>IF($S47="","",IF(ISNUMBER($G47),$G47,0))</f>
        <v/>
      </c>
      <c r="V47" s="71">
        <f>IF($S47="","",IF(ISNUMBER($H47),$H47,$U47))</f>
        <v/>
      </c>
      <c r="W47" s="71">
        <f>IF($S47="","",IF(ISNUMBER($I47),$I47,$V47))</f>
        <v/>
      </c>
      <c r="X47" s="71">
        <f>IF($S47="","",IF(ISNUMBER($J47),$J47,$W47))</f>
        <v/>
      </c>
      <c r="Y47" s="71">
        <f>IF($S47="","",IF(N($T47)&gt;0,IF(N($AG47)&gt;0,SUMIFS($AC$5:$AC$1000,$R$5:$R$1000,ROW(),$S$5:$S$1000,"Sub")/$AG47,AVERAGEIFS($U$5:$U$1000,$R$5:$R$1000,ROW(),$S$5:$S$1000,"Sub")),$U47))</f>
        <v/>
      </c>
      <c r="Z47" s="71">
        <f>IF($S47="","",IF(N($T47)&gt;0,IF(N($AG47)&gt;0,SUMIFS($AD$5:$AD$1000,$R$5:$R$1000,ROW(),$S$5:$S$1000,"Sub")/$AG47,AVERAGEIFS($V$5:$V$1000,$R$5:$R$1000,ROW(),$S$5:$S$1000,"Sub")),$V47))</f>
        <v/>
      </c>
      <c r="AA47" s="71">
        <f>IF($S47="","",IF(N($T47)&gt;0,IF(N($AG47)&gt;0,SUMIFS($AE$5:$AE$1000,$R$5:$R$1000,ROW(),$S$5:$S$1000,"Sub")/$AG47,AVERAGEIFS($W$5:$W$1000,$R$5:$R$1000,ROW(),$S$5:$S$1000,"Sub")),$W47))</f>
        <v/>
      </c>
      <c r="AB47" s="71">
        <f>IF($S47="","",IF(N($T47)&gt;0,IF(N($AG47)&gt;0,SUMIFS($AF$5:$AF$1000,$R$5:$R$1000,ROW(),$S$5:$S$1000,"Sub")/$AG47,AVERAGEIFS($X$5:$X$1000,$R$5:$R$1000,ROW(),$S$5:$S$1000,"Sub")),$X47))</f>
        <v/>
      </c>
      <c r="AC47" s="71">
        <f>IF($S47="Sub",N($F47)*N($U47),"")</f>
        <v/>
      </c>
      <c r="AD47" s="71">
        <f>IF($S47="Sub",N($F47)*N($V47),"")</f>
        <v/>
      </c>
      <c r="AE47" s="71">
        <f>IF($S47="Sub",N($F47)*N($W47),"")</f>
        <v/>
      </c>
      <c r="AF47" s="71">
        <f>IF($S47="Sub",N($F47)*N($X47),"")</f>
        <v/>
      </c>
      <c r="AG47" s="71">
        <f>IF(N($T47)&gt;0,SUMIFS($F$5:$F$1000,$R$5:$R$1000,ROW(),$S$5:$S$1000,"Sub"),"")</f>
        <v/>
      </c>
    </row>
    <row r="48">
      <c r="A48" s="62">
        <f>IF(NOT((COUNTA($B48:$J48)+COUNTA($N48))&gt;0),"",IF($S48="Macro",COUNTIFS($S$5:$S48,"Macro",$P$5:$P48,$P48),IF(N($R48)=0,"?",COUNTIFS(INDEX($S$5:$S$1000,1):INDEX($S$5:$S$1000,$R48-4),"Macro",INDEX($P$5:$P$1000,1):INDEX($P$5:$P$1000,$R48-4),INDEX($P$5:$P$1000,$R48-4))&amp;"."&amp;COUNTIFS($R$5:$R48,$R48,$S$5:$S48,"Sub"))))</f>
        <v/>
      </c>
      <c r="B48" s="63" t="n"/>
      <c r="C48" s="64" t="n"/>
      <c r="D48" s="65" t="n"/>
      <c r="E48" s="65" t="n"/>
      <c r="F48" s="66" t="n"/>
      <c r="G48" s="67" t="n"/>
      <c r="H48" s="67" t="n"/>
      <c r="I48" s="67" t="n"/>
      <c r="J48" s="67" t="n"/>
      <c r="K48" s="68">
        <f>IF(NOT((COUNTA($B48:$J48)+COUNTA($N48))&gt;0),"",IF(N($T48)&gt;0,$AB48,IFERROR(LOOKUP(2,1/(G48:J48&lt;&gt;""),G48:J48),0)))</f>
        <v/>
      </c>
      <c r="L48" s="62">
        <f>IF(K48="","",IF(K48&gt;=1,"Completado",IF(K48&gt;0,"En curso","Pendiente")))</f>
        <v/>
      </c>
      <c r="M48" s="62">
        <f>IF(NOT((COUNTA($B48:$J48)+COUNTA($N48))&gt;0),"",IF(N($K48)&gt;=1,"Cumplida",IF(NOT(ISNUMBER($E48)),"Sin fecha límite",IF($E48&lt;FechaRef,"Vencida hace "&amp;(FechaRef-$E48)&amp;IF(FechaRef-$E48=1," día"," días"),IF($E48=FechaRef,"Vence hoy",IF($E48-FechaRef&lt;=DiasAlerta,"Vence en "&amp;($E48-FechaRef)&amp;IF($E48-FechaRef=1," día"," días"),"En plazo"))))))</f>
        <v/>
      </c>
      <c r="N48" s="64" t="n"/>
      <c r="O48" s="69">
        <f>IF(NOT((COUNTA($B48:$J48)+COUNTA($N48))&gt;0),"",IF((IF($C48="","Falta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",""))="","✔ OK","⚠ "&amp;LEFT(IF($C48="","Falta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",""),LEN(IF($C48="","Falta el nombre de la actividad"&amp;" · ","")&amp;IF(AND($S48="Sub",N($R48)=0),"Subactividad sin macroactividad arriba"&amp;" · ","")&amp;IF($D48="","Sin fecha de inicio"&amp;" · ","")&amp;IF($E48="","Sin fecha límite"&amp;" · ","")&amp;IF(OR(AND($D48&lt;&gt;"",NOT(ISNUMBER($D48))),AND($E48&lt;&gt;"",NOT(ISNUMBER($E48)))),"Fecha no válida"&amp;" · ","")&amp;IF(AND(ISNUMBER($D48),ISNUMBER($E48),$D48&gt;$E48),"Inicio posterior a fecha límite"&amp;" · ","")&amp;IF(AND($S48="Macro",$F48=""),"Peso vacío"&amp;" · ","")&amp;IF(AND($S48="Macro",$F48&lt;&gt;"",OR(NOT(ISNUMBER($F48)),$F48&lt;=0,$F48&gt;1)),"Peso fuera de rango"&amp;" · ","")&amp;IF(AND($S48="Sub",$F48&lt;&gt;"",OR(NOT(ISNUMBER($F48)),$F48&lt;0,$F48&gt;1)),"Peso fuera de rango"&amp;" · ","")&amp;IF(AND($S48="Sub",$F48="",IFERROR(N(INDEX($AG$5:$AG$1000,$R48-4)),0)&gt;0),"Falta el peso de la subactividad"&amp;" · ","")&amp;IF(AND(N($T48)&gt;0,N($AG48)&gt;0,ABS(N($AG48)-N($F48))&gt;0.0001),"Pesos de sus subactividades suman "&amp;TEXT(N($AG48),"0%")&amp;" (deben sumar "&amp;TEXT(N($F48),"0%")&amp;")"&amp;" · ","")&amp;IF(AND($S48="Macro",ABS(SUMIFS($F$5:$F$1000,$P$5:$P$1000,$P48,$S$5:$S$1000,"Macro")-1)&gt;0.0001),"Pesos del mes suman "&amp;TEXT(SUMIFS($F$5:$F$1000,$P$5:$P$1000,$P48,$S$5:$S$1000,"Macro"),"0%")&amp;" · ","")&amp;IF(AND(N($T48)&gt;0,COUNT($G48:$J48)&gt;0),"Con subactividades: deje vacías las semanas (se calculan solas)"&amp;" · ","")&amp;IF((COUNTIF($G48:$J48,"&gt;1")+COUNTIF($G48:$J48,"&lt;0")+COUNTA($G48:$J48)-COUNT($G48:$J48))&gt;0,"Avance fuera de rango 0-100%"&amp;" · ","")&amp;IF(OR(AND($H48&lt;&gt;"",$H48&lt;$G48),AND($I48&lt;&gt;"",$I48&lt;MAX($G48:$H48)),AND($J48&lt;&gt;"",$J48&lt;MAX($G48:$I48))),"Avance semanal decreciente"&amp;" · ","")&amp;IF(AND(ISNUMBER($E48),$E48&lt;FechaRef,N($K48)&lt;1),"Vencida"&amp;" · ","")&amp;IF(AND(ObsObligatoria="Sí",ISNUMBER($E48),$E48&lt;FechaRef,N($K48)&lt;1,$N48=""),"Vencida sin observación"&amp;" · ",""))-3)))</f>
        <v/>
      </c>
      <c r="P48" s="70">
        <f>IF(NOT((COUNTA($B48:$J48)+COUNTA($N48))&gt;0),"",IF(AND($S48="Sub",N($R48)&gt;0),IF(ISNUMBER(INDEX($D$5:$D$1000,$R48-4)),DATE(YEAR(INDEX($D$5:$D$1000,$R48-4)),MONTH(INDEX($D$5:$D$1000,$R48-4)),1),IF(ISNUMBER(INDEX($E$5:$E$1000,$R48-4)),DATE(YEAR(INDEX($E$5:$E$1000,$R48-4)),MONTH(INDEX($E$5:$E$1000,$R48-4)),1),MesCiclo)),IF(ISNUMBER($D48),DATE(YEAR($D48),MONTH($D48),1),IF(ISNUMBER($E48),DATE(YEAR($E48),MONTH($E48),1),MesCiclo))))</f>
        <v/>
      </c>
      <c r="Q48" s="71">
        <f>IF(OR($P48="",$P48&lt;&gt;MesCiclo),"",COUNTIF($P$5:$P48,MesCiclo))</f>
        <v/>
      </c>
      <c r="R48" s="71">
        <f>IF($S48="","",IF($S48="Macro",ROW(),IFERROR(LOOKUP(2,1/($S$5:$S48="Macro"),ROW($S$5:$S48)),0)))</f>
        <v/>
      </c>
      <c r="S48" s="71">
        <f>IF(NOT((COUNTA($B48:$J48)+COUNTA($N48))&gt;0),"",IF($B48="Subactividad","Sub","Macro"))</f>
        <v/>
      </c>
      <c r="T48" s="71">
        <f>IF($S48="Macro",COUNTIFS($R$5:$R$1000,ROW(),$S$5:$S$1000,"Sub"),"")</f>
        <v/>
      </c>
      <c r="U48" s="71">
        <f>IF($S48="","",IF(ISNUMBER($G48),$G48,0))</f>
        <v/>
      </c>
      <c r="V48" s="71">
        <f>IF($S48="","",IF(ISNUMBER($H48),$H48,$U48))</f>
        <v/>
      </c>
      <c r="W48" s="71">
        <f>IF($S48="","",IF(ISNUMBER($I48),$I48,$V48))</f>
        <v/>
      </c>
      <c r="X48" s="71">
        <f>IF($S48="","",IF(ISNUMBER($J48),$J48,$W48))</f>
        <v/>
      </c>
      <c r="Y48" s="71">
        <f>IF($S48="","",IF(N($T48)&gt;0,IF(N($AG48)&gt;0,SUMIFS($AC$5:$AC$1000,$R$5:$R$1000,ROW(),$S$5:$S$1000,"Sub")/$AG48,AVERAGEIFS($U$5:$U$1000,$R$5:$R$1000,ROW(),$S$5:$S$1000,"Sub")),$U48))</f>
        <v/>
      </c>
      <c r="Z48" s="71">
        <f>IF($S48="","",IF(N($T48)&gt;0,IF(N($AG48)&gt;0,SUMIFS($AD$5:$AD$1000,$R$5:$R$1000,ROW(),$S$5:$S$1000,"Sub")/$AG48,AVERAGEIFS($V$5:$V$1000,$R$5:$R$1000,ROW(),$S$5:$S$1000,"Sub")),$V48))</f>
        <v/>
      </c>
      <c r="AA48" s="71">
        <f>IF($S48="","",IF(N($T48)&gt;0,IF(N($AG48)&gt;0,SUMIFS($AE$5:$AE$1000,$R$5:$R$1000,ROW(),$S$5:$S$1000,"Sub")/$AG48,AVERAGEIFS($W$5:$W$1000,$R$5:$R$1000,ROW(),$S$5:$S$1000,"Sub")),$W48))</f>
        <v/>
      </c>
      <c r="AB48" s="71">
        <f>IF($S48="","",IF(N($T48)&gt;0,IF(N($AG48)&gt;0,SUMIFS($AF$5:$AF$1000,$R$5:$R$1000,ROW(),$S$5:$S$1000,"Sub")/$AG48,AVERAGEIFS($X$5:$X$1000,$R$5:$R$1000,ROW(),$S$5:$S$1000,"Sub")),$X48))</f>
        <v/>
      </c>
      <c r="AC48" s="71">
        <f>IF($S48="Sub",N($F48)*N($U48),"")</f>
        <v/>
      </c>
      <c r="AD48" s="71">
        <f>IF($S48="Sub",N($F48)*N($V48),"")</f>
        <v/>
      </c>
      <c r="AE48" s="71">
        <f>IF($S48="Sub",N($F48)*N($W48),"")</f>
        <v/>
      </c>
      <c r="AF48" s="71">
        <f>IF($S48="Sub",N($F48)*N($X48),"")</f>
        <v/>
      </c>
      <c r="AG48" s="71">
        <f>IF(N($T48)&gt;0,SUMIFS($F$5:$F$1000,$R$5:$R$1000,ROW(),$S$5:$S$1000,"Sub"),"")</f>
        <v/>
      </c>
    </row>
    <row r="49">
      <c r="A49" s="62">
        <f>IF(NOT((COUNTA($B49:$J49)+COUNTA($N49))&gt;0),"",IF($S49="Macro",COUNTIFS($S$5:$S49,"Macro",$P$5:$P49,$P49),IF(N($R49)=0,"?",COUNTIFS(INDEX($S$5:$S$1000,1):INDEX($S$5:$S$1000,$R49-4),"Macro",INDEX($P$5:$P$1000,1):INDEX($P$5:$P$1000,$R49-4),INDEX($P$5:$P$1000,$R49-4))&amp;"."&amp;COUNTIFS($R$5:$R49,$R49,$S$5:$S49,"Sub"))))</f>
        <v/>
      </c>
      <c r="B49" s="63" t="n"/>
      <c r="C49" s="64" t="n"/>
      <c r="D49" s="65" t="n"/>
      <c r="E49" s="65" t="n"/>
      <c r="F49" s="66" t="n"/>
      <c r="G49" s="67" t="n"/>
      <c r="H49" s="67" t="n"/>
      <c r="I49" s="67" t="n"/>
      <c r="J49" s="67" t="n"/>
      <c r="K49" s="68">
        <f>IF(NOT((COUNTA($B49:$J49)+COUNTA($N49))&gt;0),"",IF(N($T49)&gt;0,$AB49,IFERROR(LOOKUP(2,1/(G49:J49&lt;&gt;""),G49:J49),0)))</f>
        <v/>
      </c>
      <c r="L49" s="62">
        <f>IF(K49="","",IF(K49&gt;=1,"Completado",IF(K49&gt;0,"En curso","Pendiente")))</f>
        <v/>
      </c>
      <c r="M49" s="62">
        <f>IF(NOT((COUNTA($B49:$J49)+COUNTA($N49))&gt;0),"",IF(N($K49)&gt;=1,"Cumplida",IF(NOT(ISNUMBER($E49)),"Sin fecha límite",IF($E49&lt;FechaRef,"Vencida hace "&amp;(FechaRef-$E49)&amp;IF(FechaRef-$E49=1," día"," días"),IF($E49=FechaRef,"Vence hoy",IF($E49-FechaRef&lt;=DiasAlerta,"Vence en "&amp;($E49-FechaRef)&amp;IF($E49-FechaRef=1," día"," días"),"En plazo"))))))</f>
        <v/>
      </c>
      <c r="N49" s="64" t="n"/>
      <c r="O49" s="69">
        <f>IF(NOT((COUNTA($B49:$J49)+COUNTA($N49))&gt;0),"",IF((IF($C49="","Falta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",""))="","✔ OK","⚠ "&amp;LEFT(IF($C49="","Falta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",""),LEN(IF($C49="","Falta el nombre de la actividad"&amp;" · ","")&amp;IF(AND($S49="Sub",N($R49)=0),"Subactividad sin macroactividad arriba"&amp;" · ","")&amp;IF($D49="","Sin fecha de inicio"&amp;" · ","")&amp;IF($E49="","Sin fecha límite"&amp;" · ","")&amp;IF(OR(AND($D49&lt;&gt;"",NOT(ISNUMBER($D49))),AND($E49&lt;&gt;"",NOT(ISNUMBER($E49)))),"Fecha no válida"&amp;" · ","")&amp;IF(AND(ISNUMBER($D49),ISNUMBER($E49),$D49&gt;$E49),"Inicio posterior a fecha límite"&amp;" · ","")&amp;IF(AND($S49="Macro",$F49=""),"Peso vacío"&amp;" · ","")&amp;IF(AND($S49="Macro",$F49&lt;&gt;"",OR(NOT(ISNUMBER($F49)),$F49&lt;=0,$F49&gt;1)),"Peso fuera de rango"&amp;" · ","")&amp;IF(AND($S49="Sub",$F49&lt;&gt;"",OR(NOT(ISNUMBER($F49)),$F49&lt;0,$F49&gt;1)),"Peso fuera de rango"&amp;" · ","")&amp;IF(AND($S49="Sub",$F49="",IFERROR(N(INDEX($AG$5:$AG$1000,$R49-4)),0)&gt;0),"Falta el peso de la subactividad"&amp;" · ","")&amp;IF(AND(N($T49)&gt;0,N($AG49)&gt;0,ABS(N($AG49)-N($F49))&gt;0.0001),"Pesos de sus subactividades suman "&amp;TEXT(N($AG49),"0%")&amp;" (deben sumar "&amp;TEXT(N($F49),"0%")&amp;")"&amp;" · ","")&amp;IF(AND($S49="Macro",ABS(SUMIFS($F$5:$F$1000,$P$5:$P$1000,$P49,$S$5:$S$1000,"Macro")-1)&gt;0.0001),"Pesos del mes suman "&amp;TEXT(SUMIFS($F$5:$F$1000,$P$5:$P$1000,$P49,$S$5:$S$1000,"Macro"),"0%")&amp;" · ","")&amp;IF(AND(N($T49)&gt;0,COUNT($G49:$J49)&gt;0),"Con subactividades: deje vacías las semanas (se calculan solas)"&amp;" · ","")&amp;IF((COUNTIF($G49:$J49,"&gt;1")+COUNTIF($G49:$J49,"&lt;0")+COUNTA($G49:$J49)-COUNT($G49:$J49))&gt;0,"Avance fuera de rango 0-100%"&amp;" · ","")&amp;IF(OR(AND($H49&lt;&gt;"",$H49&lt;$G49),AND($I49&lt;&gt;"",$I49&lt;MAX($G49:$H49)),AND($J49&lt;&gt;"",$J49&lt;MAX($G49:$I49))),"Avance semanal decreciente"&amp;" · ","")&amp;IF(AND(ISNUMBER($E49),$E49&lt;FechaRef,N($K49)&lt;1),"Vencida"&amp;" · ","")&amp;IF(AND(ObsObligatoria="Sí",ISNUMBER($E49),$E49&lt;FechaRef,N($K49)&lt;1,$N49=""),"Vencida sin observación"&amp;" · ",""))-3)))</f>
        <v/>
      </c>
      <c r="P49" s="70">
        <f>IF(NOT((COUNTA($B49:$J49)+COUNTA($N49))&gt;0),"",IF(AND($S49="Sub",N($R49)&gt;0),IF(ISNUMBER(INDEX($D$5:$D$1000,$R49-4)),DATE(YEAR(INDEX($D$5:$D$1000,$R49-4)),MONTH(INDEX($D$5:$D$1000,$R49-4)),1),IF(ISNUMBER(INDEX($E$5:$E$1000,$R49-4)),DATE(YEAR(INDEX($E$5:$E$1000,$R49-4)),MONTH(INDEX($E$5:$E$1000,$R49-4)),1),MesCiclo)),IF(ISNUMBER($D49),DATE(YEAR($D49),MONTH($D49),1),IF(ISNUMBER($E49),DATE(YEAR($E49),MONTH($E49),1),MesCiclo))))</f>
        <v/>
      </c>
      <c r="Q49" s="71">
        <f>IF(OR($P49="",$P49&lt;&gt;MesCiclo),"",COUNTIF($P$5:$P49,MesCiclo))</f>
        <v/>
      </c>
      <c r="R49" s="71">
        <f>IF($S49="","",IF($S49="Macro",ROW(),IFERROR(LOOKUP(2,1/($S$5:$S49="Macro"),ROW($S$5:$S49)),0)))</f>
        <v/>
      </c>
      <c r="S49" s="71">
        <f>IF(NOT((COUNTA($B49:$J49)+COUNTA($N49))&gt;0),"",IF($B49="Subactividad","Sub","Macro"))</f>
        <v/>
      </c>
      <c r="T49" s="71">
        <f>IF($S49="Macro",COUNTIFS($R$5:$R$1000,ROW(),$S$5:$S$1000,"Sub"),"")</f>
        <v/>
      </c>
      <c r="U49" s="71">
        <f>IF($S49="","",IF(ISNUMBER($G49),$G49,0))</f>
        <v/>
      </c>
      <c r="V49" s="71">
        <f>IF($S49="","",IF(ISNUMBER($H49),$H49,$U49))</f>
        <v/>
      </c>
      <c r="W49" s="71">
        <f>IF($S49="","",IF(ISNUMBER($I49),$I49,$V49))</f>
        <v/>
      </c>
      <c r="X49" s="71">
        <f>IF($S49="","",IF(ISNUMBER($J49),$J49,$W49))</f>
        <v/>
      </c>
      <c r="Y49" s="71">
        <f>IF($S49="","",IF(N($T49)&gt;0,IF(N($AG49)&gt;0,SUMIFS($AC$5:$AC$1000,$R$5:$R$1000,ROW(),$S$5:$S$1000,"Sub")/$AG49,AVERAGEIFS($U$5:$U$1000,$R$5:$R$1000,ROW(),$S$5:$S$1000,"Sub")),$U49))</f>
        <v/>
      </c>
      <c r="Z49" s="71">
        <f>IF($S49="","",IF(N($T49)&gt;0,IF(N($AG49)&gt;0,SUMIFS($AD$5:$AD$1000,$R$5:$R$1000,ROW(),$S$5:$S$1000,"Sub")/$AG49,AVERAGEIFS($V$5:$V$1000,$R$5:$R$1000,ROW(),$S$5:$S$1000,"Sub")),$V49))</f>
        <v/>
      </c>
      <c r="AA49" s="71">
        <f>IF($S49="","",IF(N($T49)&gt;0,IF(N($AG49)&gt;0,SUMIFS($AE$5:$AE$1000,$R$5:$R$1000,ROW(),$S$5:$S$1000,"Sub")/$AG49,AVERAGEIFS($W$5:$W$1000,$R$5:$R$1000,ROW(),$S$5:$S$1000,"Sub")),$W49))</f>
        <v/>
      </c>
      <c r="AB49" s="71">
        <f>IF($S49="","",IF(N($T49)&gt;0,IF(N($AG49)&gt;0,SUMIFS($AF$5:$AF$1000,$R$5:$R$1000,ROW(),$S$5:$S$1000,"Sub")/$AG49,AVERAGEIFS($X$5:$X$1000,$R$5:$R$1000,ROW(),$S$5:$S$1000,"Sub")),$X49))</f>
        <v/>
      </c>
      <c r="AC49" s="71">
        <f>IF($S49="Sub",N($F49)*N($U49),"")</f>
        <v/>
      </c>
      <c r="AD49" s="71">
        <f>IF($S49="Sub",N($F49)*N($V49),"")</f>
        <v/>
      </c>
      <c r="AE49" s="71">
        <f>IF($S49="Sub",N($F49)*N($W49),"")</f>
        <v/>
      </c>
      <c r="AF49" s="71">
        <f>IF($S49="Sub",N($F49)*N($X49),"")</f>
        <v/>
      </c>
      <c r="AG49" s="71">
        <f>IF(N($T49)&gt;0,SUMIFS($F$5:$F$1000,$R$5:$R$1000,ROW(),$S$5:$S$1000,"Sub"),"")</f>
        <v/>
      </c>
    </row>
    <row r="50">
      <c r="A50" s="62">
        <f>IF(NOT((COUNTA($B50:$J50)+COUNTA($N50))&gt;0),"",IF($S50="Macro",COUNTIFS($S$5:$S50,"Macro",$P$5:$P50,$P50),IF(N($R50)=0,"?",COUNTIFS(INDEX($S$5:$S$1000,1):INDEX($S$5:$S$1000,$R50-4),"Macro",INDEX($P$5:$P$1000,1):INDEX($P$5:$P$1000,$R50-4),INDEX($P$5:$P$1000,$R50-4))&amp;"."&amp;COUNTIFS($R$5:$R50,$R50,$S$5:$S50,"Sub"))))</f>
        <v/>
      </c>
      <c r="B50" s="63" t="n"/>
      <c r="C50" s="64" t="n"/>
      <c r="D50" s="65" t="n"/>
      <c r="E50" s="65" t="n"/>
      <c r="F50" s="66" t="n"/>
      <c r="G50" s="67" t="n"/>
      <c r="H50" s="67" t="n"/>
      <c r="I50" s="67" t="n"/>
      <c r="J50" s="67" t="n"/>
      <c r="K50" s="68">
        <f>IF(NOT((COUNTA($B50:$J50)+COUNTA($N50))&gt;0),"",IF(N($T50)&gt;0,$AB50,IFERROR(LOOKUP(2,1/(G50:J50&lt;&gt;""),G50:J50),0)))</f>
        <v/>
      </c>
      <c r="L50" s="62">
        <f>IF(K50="","",IF(K50&gt;=1,"Completado",IF(K50&gt;0,"En curso","Pendiente")))</f>
        <v/>
      </c>
      <c r="M50" s="62">
        <f>IF(NOT((COUNTA($B50:$J50)+COUNTA($N50))&gt;0),"",IF(N($K50)&gt;=1,"Cumplida",IF(NOT(ISNUMBER($E50)),"Sin fecha límite",IF($E50&lt;FechaRef,"Vencida hace "&amp;(FechaRef-$E50)&amp;IF(FechaRef-$E50=1," día"," días"),IF($E50=FechaRef,"Vence hoy",IF($E50-FechaRef&lt;=DiasAlerta,"Vence en "&amp;($E50-FechaRef)&amp;IF($E50-FechaRef=1," día"," días"),"En plazo"))))))</f>
        <v/>
      </c>
      <c r="N50" s="64" t="n"/>
      <c r="O50" s="69">
        <f>IF(NOT((COUNTA($B50:$J50)+COUNTA($N50))&gt;0),"",IF((IF($C50="","Falta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",""))="","✔ OK","⚠ "&amp;LEFT(IF($C50="","Falta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",""),LEN(IF($C50="","Falta el nombre de la actividad"&amp;" · ","")&amp;IF(AND($S50="Sub",N($R50)=0),"Subactividad sin macroactividad arriba"&amp;" · ","")&amp;IF($D50="","Sin fecha de inicio"&amp;" · ","")&amp;IF($E50="","Sin fecha límite"&amp;" · ","")&amp;IF(OR(AND($D50&lt;&gt;"",NOT(ISNUMBER($D50))),AND($E50&lt;&gt;"",NOT(ISNUMBER($E50)))),"Fecha no válida"&amp;" · ","")&amp;IF(AND(ISNUMBER($D50),ISNUMBER($E50),$D50&gt;$E50),"Inicio posterior a fecha límite"&amp;" · ","")&amp;IF(AND($S50="Macro",$F50=""),"Peso vacío"&amp;" · ","")&amp;IF(AND($S50="Macro",$F50&lt;&gt;"",OR(NOT(ISNUMBER($F50)),$F50&lt;=0,$F50&gt;1)),"Peso fuera de rango"&amp;" · ","")&amp;IF(AND($S50="Sub",$F50&lt;&gt;"",OR(NOT(ISNUMBER($F50)),$F50&lt;0,$F50&gt;1)),"Peso fuera de rango"&amp;" · ","")&amp;IF(AND($S50="Sub",$F50="",IFERROR(N(INDEX($AG$5:$AG$1000,$R50-4)),0)&gt;0),"Falta el peso de la subactividad"&amp;" · ","")&amp;IF(AND(N($T50)&gt;0,N($AG50)&gt;0,ABS(N($AG50)-N($F50))&gt;0.0001),"Pesos de sus subactividades suman "&amp;TEXT(N($AG50),"0%")&amp;" (deben sumar "&amp;TEXT(N($F50),"0%")&amp;")"&amp;" · ","")&amp;IF(AND($S50="Macro",ABS(SUMIFS($F$5:$F$1000,$P$5:$P$1000,$P50,$S$5:$S$1000,"Macro")-1)&gt;0.0001),"Pesos del mes suman "&amp;TEXT(SUMIFS($F$5:$F$1000,$P$5:$P$1000,$P50,$S$5:$S$1000,"Macro"),"0%")&amp;" · ","")&amp;IF(AND(N($T50)&gt;0,COUNT($G50:$J50)&gt;0),"Con subactividades: deje vacías las semanas (se calculan solas)"&amp;" · ","")&amp;IF((COUNTIF($G50:$J50,"&gt;1")+COUNTIF($G50:$J50,"&lt;0")+COUNTA($G50:$J50)-COUNT($G50:$J50))&gt;0,"Avance fuera de rango 0-100%"&amp;" · ","")&amp;IF(OR(AND($H50&lt;&gt;"",$H50&lt;$G50),AND($I50&lt;&gt;"",$I50&lt;MAX($G50:$H50)),AND($J50&lt;&gt;"",$J50&lt;MAX($G50:$I50))),"Avance semanal decreciente"&amp;" · ","")&amp;IF(AND(ISNUMBER($E50),$E50&lt;FechaRef,N($K50)&lt;1),"Vencida"&amp;" · ","")&amp;IF(AND(ObsObligatoria="Sí",ISNUMBER($E50),$E50&lt;FechaRef,N($K50)&lt;1,$N50=""),"Vencida sin observación"&amp;" · ",""))-3)))</f>
        <v/>
      </c>
      <c r="P50" s="70">
        <f>IF(NOT((COUNTA($B50:$J50)+COUNTA($N50))&gt;0),"",IF(AND($S50="Sub",N($R50)&gt;0),IF(ISNUMBER(INDEX($D$5:$D$1000,$R50-4)),DATE(YEAR(INDEX($D$5:$D$1000,$R50-4)),MONTH(INDEX($D$5:$D$1000,$R50-4)),1),IF(ISNUMBER(INDEX($E$5:$E$1000,$R50-4)),DATE(YEAR(INDEX($E$5:$E$1000,$R50-4)),MONTH(INDEX($E$5:$E$1000,$R50-4)),1),MesCiclo)),IF(ISNUMBER($D50),DATE(YEAR($D50),MONTH($D50),1),IF(ISNUMBER($E50),DATE(YEAR($E50),MONTH($E50),1),MesCiclo))))</f>
        <v/>
      </c>
      <c r="Q50" s="71">
        <f>IF(OR($P50="",$P50&lt;&gt;MesCiclo),"",COUNTIF($P$5:$P50,MesCiclo))</f>
        <v/>
      </c>
      <c r="R50" s="71">
        <f>IF($S50="","",IF($S50="Macro",ROW(),IFERROR(LOOKUP(2,1/($S$5:$S50="Macro"),ROW($S$5:$S50)),0)))</f>
        <v/>
      </c>
      <c r="S50" s="71">
        <f>IF(NOT((COUNTA($B50:$J50)+COUNTA($N50))&gt;0),"",IF($B50="Subactividad","Sub","Macro"))</f>
        <v/>
      </c>
      <c r="T50" s="71">
        <f>IF($S50="Macro",COUNTIFS($R$5:$R$1000,ROW(),$S$5:$S$1000,"Sub"),"")</f>
        <v/>
      </c>
      <c r="U50" s="71">
        <f>IF($S50="","",IF(ISNUMBER($G50),$G50,0))</f>
        <v/>
      </c>
      <c r="V50" s="71">
        <f>IF($S50="","",IF(ISNUMBER($H50),$H50,$U50))</f>
        <v/>
      </c>
      <c r="W50" s="71">
        <f>IF($S50="","",IF(ISNUMBER($I50),$I50,$V50))</f>
        <v/>
      </c>
      <c r="X50" s="71">
        <f>IF($S50="","",IF(ISNUMBER($J50),$J50,$W50))</f>
        <v/>
      </c>
      <c r="Y50" s="71">
        <f>IF($S50="","",IF(N($T50)&gt;0,IF(N($AG50)&gt;0,SUMIFS($AC$5:$AC$1000,$R$5:$R$1000,ROW(),$S$5:$S$1000,"Sub")/$AG50,AVERAGEIFS($U$5:$U$1000,$R$5:$R$1000,ROW(),$S$5:$S$1000,"Sub")),$U50))</f>
        <v/>
      </c>
      <c r="Z50" s="71">
        <f>IF($S50="","",IF(N($T50)&gt;0,IF(N($AG50)&gt;0,SUMIFS($AD$5:$AD$1000,$R$5:$R$1000,ROW(),$S$5:$S$1000,"Sub")/$AG50,AVERAGEIFS($V$5:$V$1000,$R$5:$R$1000,ROW(),$S$5:$S$1000,"Sub")),$V50))</f>
        <v/>
      </c>
      <c r="AA50" s="71">
        <f>IF($S50="","",IF(N($T50)&gt;0,IF(N($AG50)&gt;0,SUMIFS($AE$5:$AE$1000,$R$5:$R$1000,ROW(),$S$5:$S$1000,"Sub")/$AG50,AVERAGEIFS($W$5:$W$1000,$R$5:$R$1000,ROW(),$S$5:$S$1000,"Sub")),$W50))</f>
        <v/>
      </c>
      <c r="AB50" s="71">
        <f>IF($S50="","",IF(N($T50)&gt;0,IF(N($AG50)&gt;0,SUMIFS($AF$5:$AF$1000,$R$5:$R$1000,ROW(),$S$5:$S$1000,"Sub")/$AG50,AVERAGEIFS($X$5:$X$1000,$R$5:$R$1000,ROW(),$S$5:$S$1000,"Sub")),$X50))</f>
        <v/>
      </c>
      <c r="AC50" s="71">
        <f>IF($S50="Sub",N($F50)*N($U50),"")</f>
        <v/>
      </c>
      <c r="AD50" s="71">
        <f>IF($S50="Sub",N($F50)*N($V50),"")</f>
        <v/>
      </c>
      <c r="AE50" s="71">
        <f>IF($S50="Sub",N($F50)*N($W50),"")</f>
        <v/>
      </c>
      <c r="AF50" s="71">
        <f>IF($S50="Sub",N($F50)*N($X50),"")</f>
        <v/>
      </c>
      <c r="AG50" s="71">
        <f>IF(N($T50)&gt;0,SUMIFS($F$5:$F$1000,$R$5:$R$1000,ROW(),$S$5:$S$1000,"Sub"),"")</f>
        <v/>
      </c>
    </row>
    <row r="51">
      <c r="A51" s="62">
        <f>IF(NOT((COUNTA($B51:$J51)+COUNTA($N51))&gt;0),"",IF($S51="Macro",COUNTIFS($S$5:$S51,"Macro",$P$5:$P51,$P51),IF(N($R51)=0,"?",COUNTIFS(INDEX($S$5:$S$1000,1):INDEX($S$5:$S$1000,$R51-4),"Macro",INDEX($P$5:$P$1000,1):INDEX($P$5:$P$1000,$R51-4),INDEX($P$5:$P$1000,$R51-4))&amp;"."&amp;COUNTIFS($R$5:$R51,$R51,$S$5:$S51,"Sub"))))</f>
        <v/>
      </c>
      <c r="B51" s="63" t="n"/>
      <c r="C51" s="64" t="n"/>
      <c r="D51" s="65" t="n"/>
      <c r="E51" s="65" t="n"/>
      <c r="F51" s="66" t="n"/>
      <c r="G51" s="67" t="n"/>
      <c r="H51" s="67" t="n"/>
      <c r="I51" s="67" t="n"/>
      <c r="J51" s="67" t="n"/>
      <c r="K51" s="68">
        <f>IF(NOT((COUNTA($B51:$J51)+COUNTA($N51))&gt;0),"",IF(N($T51)&gt;0,$AB51,IFERROR(LOOKUP(2,1/(G51:J51&lt;&gt;""),G51:J51),0)))</f>
        <v/>
      </c>
      <c r="L51" s="62">
        <f>IF(K51="","",IF(K51&gt;=1,"Completado",IF(K51&gt;0,"En curso","Pendiente")))</f>
        <v/>
      </c>
      <c r="M51" s="62">
        <f>IF(NOT((COUNTA($B51:$J51)+COUNTA($N51))&gt;0),"",IF(N($K51)&gt;=1,"Cumplida",IF(NOT(ISNUMBER($E51)),"Sin fecha límite",IF($E51&lt;FechaRef,"Vencida hace "&amp;(FechaRef-$E51)&amp;IF(FechaRef-$E51=1," día"," días"),IF($E51=FechaRef,"Vence hoy",IF($E51-FechaRef&lt;=DiasAlerta,"Vence en "&amp;($E51-FechaRef)&amp;IF($E51-FechaRef=1," día"," días"),"En plazo"))))))</f>
        <v/>
      </c>
      <c r="N51" s="64" t="n"/>
      <c r="O51" s="69">
        <f>IF(NOT((COUNTA($B51:$J51)+COUNTA($N51))&gt;0),"",IF((IF($C51="","Falta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",""))="","✔ OK","⚠ "&amp;LEFT(IF($C51="","Falta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",""),LEN(IF($C51="","Falta el nombre de la actividad"&amp;" · ","")&amp;IF(AND($S51="Sub",N($R51)=0),"Subactividad sin macroactividad arriba"&amp;" · ","")&amp;IF($D51="","Sin fecha de inicio"&amp;" · ","")&amp;IF($E51="","Sin fecha límite"&amp;" · ","")&amp;IF(OR(AND($D51&lt;&gt;"",NOT(ISNUMBER($D51))),AND($E51&lt;&gt;"",NOT(ISNUMBER($E51)))),"Fecha no válida"&amp;" · ","")&amp;IF(AND(ISNUMBER($D51),ISNUMBER($E51),$D51&gt;$E51),"Inicio posterior a fecha límite"&amp;" · ","")&amp;IF(AND($S51="Macro",$F51=""),"Peso vacío"&amp;" · ","")&amp;IF(AND($S51="Macro",$F51&lt;&gt;"",OR(NOT(ISNUMBER($F51)),$F51&lt;=0,$F51&gt;1)),"Peso fuera de rango"&amp;" · ","")&amp;IF(AND($S51="Sub",$F51&lt;&gt;"",OR(NOT(ISNUMBER($F51)),$F51&lt;0,$F51&gt;1)),"Peso fuera de rango"&amp;" · ","")&amp;IF(AND($S51="Sub",$F51="",IFERROR(N(INDEX($AG$5:$AG$1000,$R51-4)),0)&gt;0),"Falta el peso de la subactividad"&amp;" · ","")&amp;IF(AND(N($T51)&gt;0,N($AG51)&gt;0,ABS(N($AG51)-N($F51))&gt;0.0001),"Pesos de sus subactividades suman "&amp;TEXT(N($AG51),"0%")&amp;" (deben sumar "&amp;TEXT(N($F51),"0%")&amp;")"&amp;" · ","")&amp;IF(AND($S51="Macro",ABS(SUMIFS($F$5:$F$1000,$P$5:$P$1000,$P51,$S$5:$S$1000,"Macro")-1)&gt;0.0001),"Pesos del mes suman "&amp;TEXT(SUMIFS($F$5:$F$1000,$P$5:$P$1000,$P51,$S$5:$S$1000,"Macro"),"0%")&amp;" · ","")&amp;IF(AND(N($T51)&gt;0,COUNT($G51:$J51)&gt;0),"Con subactividades: deje vacías las semanas (se calculan solas)"&amp;" · ","")&amp;IF((COUNTIF($G51:$J51,"&gt;1")+COUNTIF($G51:$J51,"&lt;0")+COUNTA($G51:$J51)-COUNT($G51:$J51))&gt;0,"Avance fuera de rango 0-100%"&amp;" · ","")&amp;IF(OR(AND($H51&lt;&gt;"",$H51&lt;$G51),AND($I51&lt;&gt;"",$I51&lt;MAX($G51:$H51)),AND($J51&lt;&gt;"",$J51&lt;MAX($G51:$I51))),"Avance semanal decreciente"&amp;" · ","")&amp;IF(AND(ISNUMBER($E51),$E51&lt;FechaRef,N($K51)&lt;1),"Vencida"&amp;" · ","")&amp;IF(AND(ObsObligatoria="Sí",ISNUMBER($E51),$E51&lt;FechaRef,N($K51)&lt;1,$N51=""),"Vencida sin observación"&amp;" · ",""))-3)))</f>
        <v/>
      </c>
      <c r="P51" s="70">
        <f>IF(NOT((COUNTA($B51:$J51)+COUNTA($N51))&gt;0),"",IF(AND($S51="Sub",N($R51)&gt;0),IF(ISNUMBER(INDEX($D$5:$D$1000,$R51-4)),DATE(YEAR(INDEX($D$5:$D$1000,$R51-4)),MONTH(INDEX($D$5:$D$1000,$R51-4)),1),IF(ISNUMBER(INDEX($E$5:$E$1000,$R51-4)),DATE(YEAR(INDEX($E$5:$E$1000,$R51-4)),MONTH(INDEX($E$5:$E$1000,$R51-4)),1),MesCiclo)),IF(ISNUMBER($D51),DATE(YEAR($D51),MONTH($D51),1),IF(ISNUMBER($E51),DATE(YEAR($E51),MONTH($E51),1),MesCiclo))))</f>
        <v/>
      </c>
      <c r="Q51" s="71">
        <f>IF(OR($P51="",$P51&lt;&gt;MesCiclo),"",COUNTIF($P$5:$P51,MesCiclo))</f>
        <v/>
      </c>
      <c r="R51" s="71">
        <f>IF($S51="","",IF($S51="Macro",ROW(),IFERROR(LOOKUP(2,1/($S$5:$S51="Macro"),ROW($S$5:$S51)),0)))</f>
        <v/>
      </c>
      <c r="S51" s="71">
        <f>IF(NOT((COUNTA($B51:$J51)+COUNTA($N51))&gt;0),"",IF($B51="Subactividad","Sub","Macro"))</f>
        <v/>
      </c>
      <c r="T51" s="71">
        <f>IF($S51="Macro",COUNTIFS($R$5:$R$1000,ROW(),$S$5:$S$1000,"Sub"),"")</f>
        <v/>
      </c>
      <c r="U51" s="71">
        <f>IF($S51="","",IF(ISNUMBER($G51),$G51,0))</f>
        <v/>
      </c>
      <c r="V51" s="71">
        <f>IF($S51="","",IF(ISNUMBER($H51),$H51,$U51))</f>
        <v/>
      </c>
      <c r="W51" s="71">
        <f>IF($S51="","",IF(ISNUMBER($I51),$I51,$V51))</f>
        <v/>
      </c>
      <c r="X51" s="71">
        <f>IF($S51="","",IF(ISNUMBER($J51),$J51,$W51))</f>
        <v/>
      </c>
      <c r="Y51" s="71">
        <f>IF($S51="","",IF(N($T51)&gt;0,IF(N($AG51)&gt;0,SUMIFS($AC$5:$AC$1000,$R$5:$R$1000,ROW(),$S$5:$S$1000,"Sub")/$AG51,AVERAGEIFS($U$5:$U$1000,$R$5:$R$1000,ROW(),$S$5:$S$1000,"Sub")),$U51))</f>
        <v/>
      </c>
      <c r="Z51" s="71">
        <f>IF($S51="","",IF(N($T51)&gt;0,IF(N($AG51)&gt;0,SUMIFS($AD$5:$AD$1000,$R$5:$R$1000,ROW(),$S$5:$S$1000,"Sub")/$AG51,AVERAGEIFS($V$5:$V$1000,$R$5:$R$1000,ROW(),$S$5:$S$1000,"Sub")),$V51))</f>
        <v/>
      </c>
      <c r="AA51" s="71">
        <f>IF($S51="","",IF(N($T51)&gt;0,IF(N($AG51)&gt;0,SUMIFS($AE$5:$AE$1000,$R$5:$R$1000,ROW(),$S$5:$S$1000,"Sub")/$AG51,AVERAGEIFS($W$5:$W$1000,$R$5:$R$1000,ROW(),$S$5:$S$1000,"Sub")),$W51))</f>
        <v/>
      </c>
      <c r="AB51" s="71">
        <f>IF($S51="","",IF(N($T51)&gt;0,IF(N($AG51)&gt;0,SUMIFS($AF$5:$AF$1000,$R$5:$R$1000,ROW(),$S$5:$S$1000,"Sub")/$AG51,AVERAGEIFS($X$5:$X$1000,$R$5:$R$1000,ROW(),$S$5:$S$1000,"Sub")),$X51))</f>
        <v/>
      </c>
      <c r="AC51" s="71">
        <f>IF($S51="Sub",N($F51)*N($U51),"")</f>
        <v/>
      </c>
      <c r="AD51" s="71">
        <f>IF($S51="Sub",N($F51)*N($V51),"")</f>
        <v/>
      </c>
      <c r="AE51" s="71">
        <f>IF($S51="Sub",N($F51)*N($W51),"")</f>
        <v/>
      </c>
      <c r="AF51" s="71">
        <f>IF($S51="Sub",N($F51)*N($X51),"")</f>
        <v/>
      </c>
      <c r="AG51" s="71">
        <f>IF(N($T51)&gt;0,SUMIFS($F$5:$F$1000,$R$5:$R$1000,ROW(),$S$5:$S$1000,"Sub"),"")</f>
        <v/>
      </c>
    </row>
    <row r="52">
      <c r="A52" s="62">
        <f>IF(NOT((COUNTA($B52:$J52)+COUNTA($N52))&gt;0),"",IF($S52="Macro",COUNTIFS($S$5:$S52,"Macro",$P$5:$P52,$P52),IF(N($R52)=0,"?",COUNTIFS(INDEX($S$5:$S$1000,1):INDEX($S$5:$S$1000,$R52-4),"Macro",INDEX($P$5:$P$1000,1):INDEX($P$5:$P$1000,$R52-4),INDEX($P$5:$P$1000,$R52-4))&amp;"."&amp;COUNTIFS($R$5:$R52,$R52,$S$5:$S52,"Sub"))))</f>
        <v/>
      </c>
      <c r="B52" s="63" t="n"/>
      <c r="C52" s="64" t="n"/>
      <c r="D52" s="65" t="n"/>
      <c r="E52" s="65" t="n"/>
      <c r="F52" s="66" t="n"/>
      <c r="G52" s="67" t="n"/>
      <c r="H52" s="67" t="n"/>
      <c r="I52" s="67" t="n"/>
      <c r="J52" s="67" t="n"/>
      <c r="K52" s="68">
        <f>IF(NOT((COUNTA($B52:$J52)+COUNTA($N52))&gt;0),"",IF(N($T52)&gt;0,$AB52,IFERROR(LOOKUP(2,1/(G52:J52&lt;&gt;""),G52:J52),0)))</f>
        <v/>
      </c>
      <c r="L52" s="62">
        <f>IF(K52="","",IF(K52&gt;=1,"Completado",IF(K52&gt;0,"En curso","Pendiente")))</f>
        <v/>
      </c>
      <c r="M52" s="62">
        <f>IF(NOT((COUNTA($B52:$J52)+COUNTA($N52))&gt;0),"",IF(N($K52)&gt;=1,"Cumplida",IF(NOT(ISNUMBER($E52)),"Sin fecha límite",IF($E52&lt;FechaRef,"Vencida hace "&amp;(FechaRef-$E52)&amp;IF(FechaRef-$E52=1," día"," días"),IF($E52=FechaRef,"Vence hoy",IF($E52-FechaRef&lt;=DiasAlerta,"Vence en "&amp;($E52-FechaRef)&amp;IF($E52-FechaRef=1," día"," días"),"En plazo"))))))</f>
        <v/>
      </c>
      <c r="N52" s="64" t="n"/>
      <c r="O52" s="69">
        <f>IF(NOT((COUNTA($B52:$J52)+COUNTA($N52))&gt;0),"",IF((IF($C52="","Falta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",""))="","✔ OK","⚠ "&amp;LEFT(IF($C52="","Falta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",""),LEN(IF($C52="","Falta el nombre de la actividad"&amp;" · ","")&amp;IF(AND($S52="Sub",N($R52)=0),"Subactividad sin macroactividad arriba"&amp;" · ","")&amp;IF($D52="","Sin fecha de inicio"&amp;" · ","")&amp;IF($E52="","Sin fecha límite"&amp;" · ","")&amp;IF(OR(AND($D52&lt;&gt;"",NOT(ISNUMBER($D52))),AND($E52&lt;&gt;"",NOT(ISNUMBER($E52)))),"Fecha no válida"&amp;" · ","")&amp;IF(AND(ISNUMBER($D52),ISNUMBER($E52),$D52&gt;$E52),"Inicio posterior a fecha límite"&amp;" · ","")&amp;IF(AND($S52="Macro",$F52=""),"Peso vacío"&amp;" · ","")&amp;IF(AND($S52="Macro",$F52&lt;&gt;"",OR(NOT(ISNUMBER($F52)),$F52&lt;=0,$F52&gt;1)),"Peso fuera de rango"&amp;" · ","")&amp;IF(AND($S52="Sub",$F52&lt;&gt;"",OR(NOT(ISNUMBER($F52)),$F52&lt;0,$F52&gt;1)),"Peso fuera de rango"&amp;" · ","")&amp;IF(AND($S52="Sub",$F52="",IFERROR(N(INDEX($AG$5:$AG$1000,$R52-4)),0)&gt;0),"Falta el peso de la subactividad"&amp;" · ","")&amp;IF(AND(N($T52)&gt;0,N($AG52)&gt;0,ABS(N($AG52)-N($F52))&gt;0.0001),"Pesos de sus subactividades suman "&amp;TEXT(N($AG52),"0%")&amp;" (deben sumar "&amp;TEXT(N($F52),"0%")&amp;")"&amp;" · ","")&amp;IF(AND($S52="Macro",ABS(SUMIFS($F$5:$F$1000,$P$5:$P$1000,$P52,$S$5:$S$1000,"Macro")-1)&gt;0.0001),"Pesos del mes suman "&amp;TEXT(SUMIFS($F$5:$F$1000,$P$5:$P$1000,$P52,$S$5:$S$1000,"Macro"),"0%")&amp;" · ","")&amp;IF(AND(N($T52)&gt;0,COUNT($G52:$J52)&gt;0),"Con subactividades: deje vacías las semanas (se calculan solas)"&amp;" · ","")&amp;IF((COUNTIF($G52:$J52,"&gt;1")+COUNTIF($G52:$J52,"&lt;0")+COUNTA($G52:$J52)-COUNT($G52:$J52))&gt;0,"Avance fuera de rango 0-100%"&amp;" · ","")&amp;IF(OR(AND($H52&lt;&gt;"",$H52&lt;$G52),AND($I52&lt;&gt;"",$I52&lt;MAX($G52:$H52)),AND($J52&lt;&gt;"",$J52&lt;MAX($G52:$I52))),"Avance semanal decreciente"&amp;" · ","")&amp;IF(AND(ISNUMBER($E52),$E52&lt;FechaRef,N($K52)&lt;1),"Vencida"&amp;" · ","")&amp;IF(AND(ObsObligatoria="Sí",ISNUMBER($E52),$E52&lt;FechaRef,N($K52)&lt;1,$N52=""),"Vencida sin observación"&amp;" · ",""))-3)))</f>
        <v/>
      </c>
      <c r="P52" s="70">
        <f>IF(NOT((COUNTA($B52:$J52)+COUNTA($N52))&gt;0),"",IF(AND($S52="Sub",N($R52)&gt;0),IF(ISNUMBER(INDEX($D$5:$D$1000,$R52-4)),DATE(YEAR(INDEX($D$5:$D$1000,$R52-4)),MONTH(INDEX($D$5:$D$1000,$R52-4)),1),IF(ISNUMBER(INDEX($E$5:$E$1000,$R52-4)),DATE(YEAR(INDEX($E$5:$E$1000,$R52-4)),MONTH(INDEX($E$5:$E$1000,$R52-4)),1),MesCiclo)),IF(ISNUMBER($D52),DATE(YEAR($D52),MONTH($D52),1),IF(ISNUMBER($E52),DATE(YEAR($E52),MONTH($E52),1),MesCiclo))))</f>
        <v/>
      </c>
      <c r="Q52" s="71">
        <f>IF(OR($P52="",$P52&lt;&gt;MesCiclo),"",COUNTIF($P$5:$P52,MesCiclo))</f>
        <v/>
      </c>
      <c r="R52" s="71">
        <f>IF($S52="","",IF($S52="Macro",ROW(),IFERROR(LOOKUP(2,1/($S$5:$S52="Macro"),ROW($S$5:$S52)),0)))</f>
        <v/>
      </c>
      <c r="S52" s="71">
        <f>IF(NOT((COUNTA($B52:$J52)+COUNTA($N52))&gt;0),"",IF($B52="Subactividad","Sub","Macro"))</f>
        <v/>
      </c>
      <c r="T52" s="71">
        <f>IF($S52="Macro",COUNTIFS($R$5:$R$1000,ROW(),$S$5:$S$1000,"Sub"),"")</f>
        <v/>
      </c>
      <c r="U52" s="71">
        <f>IF($S52="","",IF(ISNUMBER($G52),$G52,0))</f>
        <v/>
      </c>
      <c r="V52" s="71">
        <f>IF($S52="","",IF(ISNUMBER($H52),$H52,$U52))</f>
        <v/>
      </c>
      <c r="W52" s="71">
        <f>IF($S52="","",IF(ISNUMBER($I52),$I52,$V52))</f>
        <v/>
      </c>
      <c r="X52" s="71">
        <f>IF($S52="","",IF(ISNUMBER($J52),$J52,$W52))</f>
        <v/>
      </c>
      <c r="Y52" s="71">
        <f>IF($S52="","",IF(N($T52)&gt;0,IF(N($AG52)&gt;0,SUMIFS($AC$5:$AC$1000,$R$5:$R$1000,ROW(),$S$5:$S$1000,"Sub")/$AG52,AVERAGEIFS($U$5:$U$1000,$R$5:$R$1000,ROW(),$S$5:$S$1000,"Sub")),$U52))</f>
        <v/>
      </c>
      <c r="Z52" s="71">
        <f>IF($S52="","",IF(N($T52)&gt;0,IF(N($AG52)&gt;0,SUMIFS($AD$5:$AD$1000,$R$5:$R$1000,ROW(),$S$5:$S$1000,"Sub")/$AG52,AVERAGEIFS($V$5:$V$1000,$R$5:$R$1000,ROW(),$S$5:$S$1000,"Sub")),$V52))</f>
        <v/>
      </c>
      <c r="AA52" s="71">
        <f>IF($S52="","",IF(N($T52)&gt;0,IF(N($AG52)&gt;0,SUMIFS($AE$5:$AE$1000,$R$5:$R$1000,ROW(),$S$5:$S$1000,"Sub")/$AG52,AVERAGEIFS($W$5:$W$1000,$R$5:$R$1000,ROW(),$S$5:$S$1000,"Sub")),$W52))</f>
        <v/>
      </c>
      <c r="AB52" s="71">
        <f>IF($S52="","",IF(N($T52)&gt;0,IF(N($AG52)&gt;0,SUMIFS($AF$5:$AF$1000,$R$5:$R$1000,ROW(),$S$5:$S$1000,"Sub")/$AG52,AVERAGEIFS($X$5:$X$1000,$R$5:$R$1000,ROW(),$S$5:$S$1000,"Sub")),$X52))</f>
        <v/>
      </c>
      <c r="AC52" s="71">
        <f>IF($S52="Sub",N($F52)*N($U52),"")</f>
        <v/>
      </c>
      <c r="AD52" s="71">
        <f>IF($S52="Sub",N($F52)*N($V52),"")</f>
        <v/>
      </c>
      <c r="AE52" s="71">
        <f>IF($S52="Sub",N($F52)*N($W52),"")</f>
        <v/>
      </c>
      <c r="AF52" s="71">
        <f>IF($S52="Sub",N($F52)*N($X52),"")</f>
        <v/>
      </c>
      <c r="AG52" s="71">
        <f>IF(N($T52)&gt;0,SUMIFS($F$5:$F$1000,$R$5:$R$1000,ROW(),$S$5:$S$1000,"Sub"),"")</f>
        <v/>
      </c>
    </row>
    <row r="53">
      <c r="A53" s="62">
        <f>IF(NOT((COUNTA($B53:$J53)+COUNTA($N53))&gt;0),"",IF($S53="Macro",COUNTIFS($S$5:$S53,"Macro",$P$5:$P53,$P53),IF(N($R53)=0,"?",COUNTIFS(INDEX($S$5:$S$1000,1):INDEX($S$5:$S$1000,$R53-4),"Macro",INDEX($P$5:$P$1000,1):INDEX($P$5:$P$1000,$R53-4),INDEX($P$5:$P$1000,$R53-4))&amp;"."&amp;COUNTIFS($R$5:$R53,$R53,$S$5:$S53,"Sub"))))</f>
        <v/>
      </c>
      <c r="B53" s="63" t="n"/>
      <c r="C53" s="64" t="n"/>
      <c r="D53" s="65" t="n"/>
      <c r="E53" s="65" t="n"/>
      <c r="F53" s="66" t="n"/>
      <c r="G53" s="67" t="n"/>
      <c r="H53" s="67" t="n"/>
      <c r="I53" s="67" t="n"/>
      <c r="J53" s="67" t="n"/>
      <c r="K53" s="68">
        <f>IF(NOT((COUNTA($B53:$J53)+COUNTA($N53))&gt;0),"",IF(N($T53)&gt;0,$AB53,IFERROR(LOOKUP(2,1/(G53:J53&lt;&gt;""),G53:J53),0)))</f>
        <v/>
      </c>
      <c r="L53" s="62">
        <f>IF(K53="","",IF(K53&gt;=1,"Completado",IF(K53&gt;0,"En curso","Pendiente")))</f>
        <v/>
      </c>
      <c r="M53" s="62">
        <f>IF(NOT((COUNTA($B53:$J53)+COUNTA($N53))&gt;0),"",IF(N($K53)&gt;=1,"Cumplida",IF(NOT(ISNUMBER($E53)),"Sin fecha límite",IF($E53&lt;FechaRef,"Vencida hace "&amp;(FechaRef-$E53)&amp;IF(FechaRef-$E53=1," día"," días"),IF($E53=FechaRef,"Vence hoy",IF($E53-FechaRef&lt;=DiasAlerta,"Vence en "&amp;($E53-FechaRef)&amp;IF($E53-FechaRef=1," día"," días"),"En plazo"))))))</f>
        <v/>
      </c>
      <c r="N53" s="64" t="n"/>
      <c r="O53" s="69">
        <f>IF(NOT((COUNTA($B53:$J53)+COUNTA($N53))&gt;0),"",IF((IF($C53="","Falta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",""))="","✔ OK","⚠ "&amp;LEFT(IF($C53="","Falta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",""),LEN(IF($C53="","Falta el nombre de la actividad"&amp;" · ","")&amp;IF(AND($S53="Sub",N($R53)=0),"Subactividad sin macroactividad arriba"&amp;" · ","")&amp;IF($D53="","Sin fecha de inicio"&amp;" · ","")&amp;IF($E53="","Sin fecha límite"&amp;" · ","")&amp;IF(OR(AND($D53&lt;&gt;"",NOT(ISNUMBER($D53))),AND($E53&lt;&gt;"",NOT(ISNUMBER($E53)))),"Fecha no válida"&amp;" · ","")&amp;IF(AND(ISNUMBER($D53),ISNUMBER($E53),$D53&gt;$E53),"Inicio posterior a fecha límite"&amp;" · ","")&amp;IF(AND($S53="Macro",$F53=""),"Peso vacío"&amp;" · ","")&amp;IF(AND($S53="Macro",$F53&lt;&gt;"",OR(NOT(ISNUMBER($F53)),$F53&lt;=0,$F53&gt;1)),"Peso fuera de rango"&amp;" · ","")&amp;IF(AND($S53="Sub",$F53&lt;&gt;"",OR(NOT(ISNUMBER($F53)),$F53&lt;0,$F53&gt;1)),"Peso fuera de rango"&amp;" · ","")&amp;IF(AND($S53="Sub",$F53="",IFERROR(N(INDEX($AG$5:$AG$1000,$R53-4)),0)&gt;0),"Falta el peso de la subactividad"&amp;" · ","")&amp;IF(AND(N($T53)&gt;0,N($AG53)&gt;0,ABS(N($AG53)-N($F53))&gt;0.0001),"Pesos de sus subactividades suman "&amp;TEXT(N($AG53),"0%")&amp;" (deben sumar "&amp;TEXT(N($F53),"0%")&amp;")"&amp;" · ","")&amp;IF(AND($S53="Macro",ABS(SUMIFS($F$5:$F$1000,$P$5:$P$1000,$P53,$S$5:$S$1000,"Macro")-1)&gt;0.0001),"Pesos del mes suman "&amp;TEXT(SUMIFS($F$5:$F$1000,$P$5:$P$1000,$P53,$S$5:$S$1000,"Macro"),"0%")&amp;" · ","")&amp;IF(AND(N($T53)&gt;0,COUNT($G53:$J53)&gt;0),"Con subactividades: deje vacías las semanas (se calculan solas)"&amp;" · ","")&amp;IF((COUNTIF($G53:$J53,"&gt;1")+COUNTIF($G53:$J53,"&lt;0")+COUNTA($G53:$J53)-COUNT($G53:$J53))&gt;0,"Avance fuera de rango 0-100%"&amp;" · ","")&amp;IF(OR(AND($H53&lt;&gt;"",$H53&lt;$G53),AND($I53&lt;&gt;"",$I53&lt;MAX($G53:$H53)),AND($J53&lt;&gt;"",$J53&lt;MAX($G53:$I53))),"Avance semanal decreciente"&amp;" · ","")&amp;IF(AND(ISNUMBER($E53),$E53&lt;FechaRef,N($K53)&lt;1),"Vencida"&amp;" · ","")&amp;IF(AND(ObsObligatoria="Sí",ISNUMBER($E53),$E53&lt;FechaRef,N($K53)&lt;1,$N53=""),"Vencida sin observación"&amp;" · ",""))-3)))</f>
        <v/>
      </c>
      <c r="P53" s="70">
        <f>IF(NOT((COUNTA($B53:$J53)+COUNTA($N53))&gt;0),"",IF(AND($S53="Sub",N($R53)&gt;0),IF(ISNUMBER(INDEX($D$5:$D$1000,$R53-4)),DATE(YEAR(INDEX($D$5:$D$1000,$R53-4)),MONTH(INDEX($D$5:$D$1000,$R53-4)),1),IF(ISNUMBER(INDEX($E$5:$E$1000,$R53-4)),DATE(YEAR(INDEX($E$5:$E$1000,$R53-4)),MONTH(INDEX($E$5:$E$1000,$R53-4)),1),MesCiclo)),IF(ISNUMBER($D53),DATE(YEAR($D53),MONTH($D53),1),IF(ISNUMBER($E53),DATE(YEAR($E53),MONTH($E53),1),MesCiclo))))</f>
        <v/>
      </c>
      <c r="Q53" s="71">
        <f>IF(OR($P53="",$P53&lt;&gt;MesCiclo),"",COUNTIF($P$5:$P53,MesCiclo))</f>
        <v/>
      </c>
      <c r="R53" s="71">
        <f>IF($S53="","",IF($S53="Macro",ROW(),IFERROR(LOOKUP(2,1/($S$5:$S53="Macro"),ROW($S$5:$S53)),0)))</f>
        <v/>
      </c>
      <c r="S53" s="71">
        <f>IF(NOT((COUNTA($B53:$J53)+COUNTA($N53))&gt;0),"",IF($B53="Subactividad","Sub","Macro"))</f>
        <v/>
      </c>
      <c r="T53" s="71">
        <f>IF($S53="Macro",COUNTIFS($R$5:$R$1000,ROW(),$S$5:$S$1000,"Sub"),"")</f>
        <v/>
      </c>
      <c r="U53" s="71">
        <f>IF($S53="","",IF(ISNUMBER($G53),$G53,0))</f>
        <v/>
      </c>
      <c r="V53" s="71">
        <f>IF($S53="","",IF(ISNUMBER($H53),$H53,$U53))</f>
        <v/>
      </c>
      <c r="W53" s="71">
        <f>IF($S53="","",IF(ISNUMBER($I53),$I53,$V53))</f>
        <v/>
      </c>
      <c r="X53" s="71">
        <f>IF($S53="","",IF(ISNUMBER($J53),$J53,$W53))</f>
        <v/>
      </c>
      <c r="Y53" s="71">
        <f>IF($S53="","",IF(N($T53)&gt;0,IF(N($AG53)&gt;0,SUMIFS($AC$5:$AC$1000,$R$5:$R$1000,ROW(),$S$5:$S$1000,"Sub")/$AG53,AVERAGEIFS($U$5:$U$1000,$R$5:$R$1000,ROW(),$S$5:$S$1000,"Sub")),$U53))</f>
        <v/>
      </c>
      <c r="Z53" s="71">
        <f>IF($S53="","",IF(N($T53)&gt;0,IF(N($AG53)&gt;0,SUMIFS($AD$5:$AD$1000,$R$5:$R$1000,ROW(),$S$5:$S$1000,"Sub")/$AG53,AVERAGEIFS($V$5:$V$1000,$R$5:$R$1000,ROW(),$S$5:$S$1000,"Sub")),$V53))</f>
        <v/>
      </c>
      <c r="AA53" s="71">
        <f>IF($S53="","",IF(N($T53)&gt;0,IF(N($AG53)&gt;0,SUMIFS($AE$5:$AE$1000,$R$5:$R$1000,ROW(),$S$5:$S$1000,"Sub")/$AG53,AVERAGEIFS($W$5:$W$1000,$R$5:$R$1000,ROW(),$S$5:$S$1000,"Sub")),$W53))</f>
        <v/>
      </c>
      <c r="AB53" s="71">
        <f>IF($S53="","",IF(N($T53)&gt;0,IF(N($AG53)&gt;0,SUMIFS($AF$5:$AF$1000,$R$5:$R$1000,ROW(),$S$5:$S$1000,"Sub")/$AG53,AVERAGEIFS($X$5:$X$1000,$R$5:$R$1000,ROW(),$S$5:$S$1000,"Sub")),$X53))</f>
        <v/>
      </c>
      <c r="AC53" s="71">
        <f>IF($S53="Sub",N($F53)*N($U53),"")</f>
        <v/>
      </c>
      <c r="AD53" s="71">
        <f>IF($S53="Sub",N($F53)*N($V53),"")</f>
        <v/>
      </c>
      <c r="AE53" s="71">
        <f>IF($S53="Sub",N($F53)*N($W53),"")</f>
        <v/>
      </c>
      <c r="AF53" s="71">
        <f>IF($S53="Sub",N($F53)*N($X53),"")</f>
        <v/>
      </c>
      <c r="AG53" s="71">
        <f>IF(N($T53)&gt;0,SUMIFS($F$5:$F$1000,$R$5:$R$1000,ROW(),$S$5:$S$1000,"Sub"),"")</f>
        <v/>
      </c>
    </row>
    <row r="54">
      <c r="A54" s="62">
        <f>IF(NOT((COUNTA($B54:$J54)+COUNTA($N54))&gt;0),"",IF($S54="Macro",COUNTIFS($S$5:$S54,"Macro",$P$5:$P54,$P54),IF(N($R54)=0,"?",COUNTIFS(INDEX($S$5:$S$1000,1):INDEX($S$5:$S$1000,$R54-4),"Macro",INDEX($P$5:$P$1000,1):INDEX($P$5:$P$1000,$R54-4),INDEX($P$5:$P$1000,$R54-4))&amp;"."&amp;COUNTIFS($R$5:$R54,$R54,$S$5:$S54,"Sub"))))</f>
        <v/>
      </c>
      <c r="B54" s="63" t="n"/>
      <c r="C54" s="64" t="n"/>
      <c r="D54" s="65" t="n"/>
      <c r="E54" s="65" t="n"/>
      <c r="F54" s="66" t="n"/>
      <c r="G54" s="67" t="n"/>
      <c r="H54" s="67" t="n"/>
      <c r="I54" s="67" t="n"/>
      <c r="J54" s="67" t="n"/>
      <c r="K54" s="68">
        <f>IF(NOT((COUNTA($B54:$J54)+COUNTA($N54))&gt;0),"",IF(N($T54)&gt;0,$AB54,IFERROR(LOOKUP(2,1/(G54:J54&lt;&gt;""),G54:J54),0)))</f>
        <v/>
      </c>
      <c r="L54" s="62">
        <f>IF(K54="","",IF(K54&gt;=1,"Completado",IF(K54&gt;0,"En curso","Pendiente")))</f>
        <v/>
      </c>
      <c r="M54" s="62">
        <f>IF(NOT((COUNTA($B54:$J54)+COUNTA($N54))&gt;0),"",IF(N($K54)&gt;=1,"Cumplida",IF(NOT(ISNUMBER($E54)),"Sin fecha límite",IF($E54&lt;FechaRef,"Vencida hace "&amp;(FechaRef-$E54)&amp;IF(FechaRef-$E54=1," día"," días"),IF($E54=FechaRef,"Vence hoy",IF($E54-FechaRef&lt;=DiasAlerta,"Vence en "&amp;($E54-FechaRef)&amp;IF($E54-FechaRef=1," día"," días"),"En plazo"))))))</f>
        <v/>
      </c>
      <c r="N54" s="64" t="n"/>
      <c r="O54" s="69">
        <f>IF(NOT((COUNTA($B54:$J54)+COUNTA($N54))&gt;0),"",IF((IF($C54="","Falta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",""))="","✔ OK","⚠ "&amp;LEFT(IF($C54="","Falta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",""),LEN(IF($C54="","Falta el nombre de la actividad"&amp;" · ","")&amp;IF(AND($S54="Sub",N($R54)=0),"Subactividad sin macroactividad arriba"&amp;" · ","")&amp;IF($D54="","Sin fecha de inicio"&amp;" · ","")&amp;IF($E54="","Sin fecha límite"&amp;" · ","")&amp;IF(OR(AND($D54&lt;&gt;"",NOT(ISNUMBER($D54))),AND($E54&lt;&gt;"",NOT(ISNUMBER($E54)))),"Fecha no válida"&amp;" · ","")&amp;IF(AND(ISNUMBER($D54),ISNUMBER($E54),$D54&gt;$E54),"Inicio posterior a fecha límite"&amp;" · ","")&amp;IF(AND($S54="Macro",$F54=""),"Peso vacío"&amp;" · ","")&amp;IF(AND($S54="Macro",$F54&lt;&gt;"",OR(NOT(ISNUMBER($F54)),$F54&lt;=0,$F54&gt;1)),"Peso fuera de rango"&amp;" · ","")&amp;IF(AND($S54="Sub",$F54&lt;&gt;"",OR(NOT(ISNUMBER($F54)),$F54&lt;0,$F54&gt;1)),"Peso fuera de rango"&amp;" · ","")&amp;IF(AND($S54="Sub",$F54="",IFERROR(N(INDEX($AG$5:$AG$1000,$R54-4)),0)&gt;0),"Falta el peso de la subactividad"&amp;" · ","")&amp;IF(AND(N($T54)&gt;0,N($AG54)&gt;0,ABS(N($AG54)-N($F54))&gt;0.0001),"Pesos de sus subactividades suman "&amp;TEXT(N($AG54),"0%")&amp;" (deben sumar "&amp;TEXT(N($F54),"0%")&amp;")"&amp;" · ","")&amp;IF(AND($S54="Macro",ABS(SUMIFS($F$5:$F$1000,$P$5:$P$1000,$P54,$S$5:$S$1000,"Macro")-1)&gt;0.0001),"Pesos del mes suman "&amp;TEXT(SUMIFS($F$5:$F$1000,$P$5:$P$1000,$P54,$S$5:$S$1000,"Macro"),"0%")&amp;" · ","")&amp;IF(AND(N($T54)&gt;0,COUNT($G54:$J54)&gt;0),"Con subactividades: deje vacías las semanas (se calculan solas)"&amp;" · ","")&amp;IF((COUNTIF($G54:$J54,"&gt;1")+COUNTIF($G54:$J54,"&lt;0")+COUNTA($G54:$J54)-COUNT($G54:$J54))&gt;0,"Avance fuera de rango 0-100%"&amp;" · ","")&amp;IF(OR(AND($H54&lt;&gt;"",$H54&lt;$G54),AND($I54&lt;&gt;"",$I54&lt;MAX($G54:$H54)),AND($J54&lt;&gt;"",$J54&lt;MAX($G54:$I54))),"Avance semanal decreciente"&amp;" · ","")&amp;IF(AND(ISNUMBER($E54),$E54&lt;FechaRef,N($K54)&lt;1),"Vencida"&amp;" · ","")&amp;IF(AND(ObsObligatoria="Sí",ISNUMBER($E54),$E54&lt;FechaRef,N($K54)&lt;1,$N54=""),"Vencida sin observación"&amp;" · ",""))-3)))</f>
        <v/>
      </c>
      <c r="P54" s="70">
        <f>IF(NOT((COUNTA($B54:$J54)+COUNTA($N54))&gt;0),"",IF(AND($S54="Sub",N($R54)&gt;0),IF(ISNUMBER(INDEX($D$5:$D$1000,$R54-4)),DATE(YEAR(INDEX($D$5:$D$1000,$R54-4)),MONTH(INDEX($D$5:$D$1000,$R54-4)),1),IF(ISNUMBER(INDEX($E$5:$E$1000,$R54-4)),DATE(YEAR(INDEX($E$5:$E$1000,$R54-4)),MONTH(INDEX($E$5:$E$1000,$R54-4)),1),MesCiclo)),IF(ISNUMBER($D54),DATE(YEAR($D54),MONTH($D54),1),IF(ISNUMBER($E54),DATE(YEAR($E54),MONTH($E54),1),MesCiclo))))</f>
        <v/>
      </c>
      <c r="Q54" s="71">
        <f>IF(OR($P54="",$P54&lt;&gt;MesCiclo),"",COUNTIF($P$5:$P54,MesCiclo))</f>
        <v/>
      </c>
      <c r="R54" s="71">
        <f>IF($S54="","",IF($S54="Macro",ROW(),IFERROR(LOOKUP(2,1/($S$5:$S54="Macro"),ROW($S$5:$S54)),0)))</f>
        <v/>
      </c>
      <c r="S54" s="71">
        <f>IF(NOT((COUNTA($B54:$J54)+COUNTA($N54))&gt;0),"",IF($B54="Subactividad","Sub","Macro"))</f>
        <v/>
      </c>
      <c r="T54" s="71">
        <f>IF($S54="Macro",COUNTIFS($R$5:$R$1000,ROW(),$S$5:$S$1000,"Sub"),"")</f>
        <v/>
      </c>
      <c r="U54" s="71">
        <f>IF($S54="","",IF(ISNUMBER($G54),$G54,0))</f>
        <v/>
      </c>
      <c r="V54" s="71">
        <f>IF($S54="","",IF(ISNUMBER($H54),$H54,$U54))</f>
        <v/>
      </c>
      <c r="W54" s="71">
        <f>IF($S54="","",IF(ISNUMBER($I54),$I54,$V54))</f>
        <v/>
      </c>
      <c r="X54" s="71">
        <f>IF($S54="","",IF(ISNUMBER($J54),$J54,$W54))</f>
        <v/>
      </c>
      <c r="Y54" s="71">
        <f>IF($S54="","",IF(N($T54)&gt;0,IF(N($AG54)&gt;0,SUMIFS($AC$5:$AC$1000,$R$5:$R$1000,ROW(),$S$5:$S$1000,"Sub")/$AG54,AVERAGEIFS($U$5:$U$1000,$R$5:$R$1000,ROW(),$S$5:$S$1000,"Sub")),$U54))</f>
        <v/>
      </c>
      <c r="Z54" s="71">
        <f>IF($S54="","",IF(N($T54)&gt;0,IF(N($AG54)&gt;0,SUMIFS($AD$5:$AD$1000,$R$5:$R$1000,ROW(),$S$5:$S$1000,"Sub")/$AG54,AVERAGEIFS($V$5:$V$1000,$R$5:$R$1000,ROW(),$S$5:$S$1000,"Sub")),$V54))</f>
        <v/>
      </c>
      <c r="AA54" s="71">
        <f>IF($S54="","",IF(N($T54)&gt;0,IF(N($AG54)&gt;0,SUMIFS($AE$5:$AE$1000,$R$5:$R$1000,ROW(),$S$5:$S$1000,"Sub")/$AG54,AVERAGEIFS($W$5:$W$1000,$R$5:$R$1000,ROW(),$S$5:$S$1000,"Sub")),$W54))</f>
        <v/>
      </c>
      <c r="AB54" s="71">
        <f>IF($S54="","",IF(N($T54)&gt;0,IF(N($AG54)&gt;0,SUMIFS($AF$5:$AF$1000,$R$5:$R$1000,ROW(),$S$5:$S$1000,"Sub")/$AG54,AVERAGEIFS($X$5:$X$1000,$R$5:$R$1000,ROW(),$S$5:$S$1000,"Sub")),$X54))</f>
        <v/>
      </c>
      <c r="AC54" s="71">
        <f>IF($S54="Sub",N($F54)*N($U54),"")</f>
        <v/>
      </c>
      <c r="AD54" s="71">
        <f>IF($S54="Sub",N($F54)*N($V54),"")</f>
        <v/>
      </c>
      <c r="AE54" s="71">
        <f>IF($S54="Sub",N($F54)*N($W54),"")</f>
        <v/>
      </c>
      <c r="AF54" s="71">
        <f>IF($S54="Sub",N($F54)*N($X54),"")</f>
        <v/>
      </c>
      <c r="AG54" s="71">
        <f>IF(N($T54)&gt;0,SUMIFS($F$5:$F$1000,$R$5:$R$1000,ROW(),$S$5:$S$1000,"Sub"),"")</f>
        <v/>
      </c>
    </row>
    <row r="55">
      <c r="A55" s="62">
        <f>IF(NOT((COUNTA($B55:$J55)+COUNTA($N55))&gt;0),"",IF($S55="Macro",COUNTIFS($S$5:$S55,"Macro",$P$5:$P55,$P55),IF(N($R55)=0,"?",COUNTIFS(INDEX($S$5:$S$1000,1):INDEX($S$5:$S$1000,$R55-4),"Macro",INDEX($P$5:$P$1000,1):INDEX($P$5:$P$1000,$R55-4),INDEX($P$5:$P$1000,$R55-4))&amp;"."&amp;COUNTIFS($R$5:$R55,$R55,$S$5:$S55,"Sub"))))</f>
        <v/>
      </c>
      <c r="B55" s="63" t="n"/>
      <c r="C55" s="64" t="n"/>
      <c r="D55" s="65" t="n"/>
      <c r="E55" s="65" t="n"/>
      <c r="F55" s="66" t="n"/>
      <c r="G55" s="67" t="n"/>
      <c r="H55" s="67" t="n"/>
      <c r="I55" s="67" t="n"/>
      <c r="J55" s="67" t="n"/>
      <c r="K55" s="68">
        <f>IF(NOT((COUNTA($B55:$J55)+COUNTA($N55))&gt;0),"",IF(N($T55)&gt;0,$AB55,IFERROR(LOOKUP(2,1/(G55:J55&lt;&gt;""),G55:J55),0)))</f>
        <v/>
      </c>
      <c r="L55" s="62">
        <f>IF(K55="","",IF(K55&gt;=1,"Completado",IF(K55&gt;0,"En curso","Pendiente")))</f>
        <v/>
      </c>
      <c r="M55" s="62">
        <f>IF(NOT((COUNTA($B55:$J55)+COUNTA($N55))&gt;0),"",IF(N($K55)&gt;=1,"Cumplida",IF(NOT(ISNUMBER($E55)),"Sin fecha límite",IF($E55&lt;FechaRef,"Vencida hace "&amp;(FechaRef-$E55)&amp;IF(FechaRef-$E55=1," día"," días"),IF($E55=FechaRef,"Vence hoy",IF($E55-FechaRef&lt;=DiasAlerta,"Vence en "&amp;($E55-FechaRef)&amp;IF($E55-FechaRef=1," día"," días"),"En plazo"))))))</f>
        <v/>
      </c>
      <c r="N55" s="64" t="n"/>
      <c r="O55" s="69">
        <f>IF(NOT((COUNTA($B55:$J55)+COUNTA($N55))&gt;0),"",IF((IF($C55="","Falta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",""))="","✔ OK","⚠ "&amp;LEFT(IF($C55="","Falta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",""),LEN(IF($C55="","Falta el nombre de la actividad"&amp;" · ","")&amp;IF(AND($S55="Sub",N($R55)=0),"Subactividad sin macroactividad arriba"&amp;" · ","")&amp;IF($D55="","Sin fecha de inicio"&amp;" · ","")&amp;IF($E55="","Sin fecha límite"&amp;" · ","")&amp;IF(OR(AND($D55&lt;&gt;"",NOT(ISNUMBER($D55))),AND($E55&lt;&gt;"",NOT(ISNUMBER($E55)))),"Fecha no válida"&amp;" · ","")&amp;IF(AND(ISNUMBER($D55),ISNUMBER($E55),$D55&gt;$E55),"Inicio posterior a fecha límite"&amp;" · ","")&amp;IF(AND($S55="Macro",$F55=""),"Peso vacío"&amp;" · ","")&amp;IF(AND($S55="Macro",$F55&lt;&gt;"",OR(NOT(ISNUMBER($F55)),$F55&lt;=0,$F55&gt;1)),"Peso fuera de rango"&amp;" · ","")&amp;IF(AND($S55="Sub",$F55&lt;&gt;"",OR(NOT(ISNUMBER($F55)),$F55&lt;0,$F55&gt;1)),"Peso fuera de rango"&amp;" · ","")&amp;IF(AND($S55="Sub",$F55="",IFERROR(N(INDEX($AG$5:$AG$1000,$R55-4)),0)&gt;0),"Falta el peso de la subactividad"&amp;" · ","")&amp;IF(AND(N($T55)&gt;0,N($AG55)&gt;0,ABS(N($AG55)-N($F55))&gt;0.0001),"Pesos de sus subactividades suman "&amp;TEXT(N($AG55),"0%")&amp;" (deben sumar "&amp;TEXT(N($F55),"0%")&amp;")"&amp;" · ","")&amp;IF(AND($S55="Macro",ABS(SUMIFS($F$5:$F$1000,$P$5:$P$1000,$P55,$S$5:$S$1000,"Macro")-1)&gt;0.0001),"Pesos del mes suman "&amp;TEXT(SUMIFS($F$5:$F$1000,$P$5:$P$1000,$P55,$S$5:$S$1000,"Macro"),"0%")&amp;" · ","")&amp;IF(AND(N($T55)&gt;0,COUNT($G55:$J55)&gt;0),"Con subactividades: deje vacías las semanas (se calculan solas)"&amp;" · ","")&amp;IF((COUNTIF($G55:$J55,"&gt;1")+COUNTIF($G55:$J55,"&lt;0")+COUNTA($G55:$J55)-COUNT($G55:$J55))&gt;0,"Avance fuera de rango 0-100%"&amp;" · ","")&amp;IF(OR(AND($H55&lt;&gt;"",$H55&lt;$G55),AND($I55&lt;&gt;"",$I55&lt;MAX($G55:$H55)),AND($J55&lt;&gt;"",$J55&lt;MAX($G55:$I55))),"Avance semanal decreciente"&amp;" · ","")&amp;IF(AND(ISNUMBER($E55),$E55&lt;FechaRef,N($K55)&lt;1),"Vencida"&amp;" · ","")&amp;IF(AND(ObsObligatoria="Sí",ISNUMBER($E55),$E55&lt;FechaRef,N($K55)&lt;1,$N55=""),"Vencida sin observación"&amp;" · ",""))-3)))</f>
        <v/>
      </c>
      <c r="P55" s="70">
        <f>IF(NOT((COUNTA($B55:$J55)+COUNTA($N55))&gt;0),"",IF(AND($S55="Sub",N($R55)&gt;0),IF(ISNUMBER(INDEX($D$5:$D$1000,$R55-4)),DATE(YEAR(INDEX($D$5:$D$1000,$R55-4)),MONTH(INDEX($D$5:$D$1000,$R55-4)),1),IF(ISNUMBER(INDEX($E$5:$E$1000,$R55-4)),DATE(YEAR(INDEX($E$5:$E$1000,$R55-4)),MONTH(INDEX($E$5:$E$1000,$R55-4)),1),MesCiclo)),IF(ISNUMBER($D55),DATE(YEAR($D55),MONTH($D55),1),IF(ISNUMBER($E55),DATE(YEAR($E55),MONTH($E55),1),MesCiclo))))</f>
        <v/>
      </c>
      <c r="Q55" s="71">
        <f>IF(OR($P55="",$P55&lt;&gt;MesCiclo),"",COUNTIF($P$5:$P55,MesCiclo))</f>
        <v/>
      </c>
      <c r="R55" s="71">
        <f>IF($S55="","",IF($S55="Macro",ROW(),IFERROR(LOOKUP(2,1/($S$5:$S55="Macro"),ROW($S$5:$S55)),0)))</f>
        <v/>
      </c>
      <c r="S55" s="71">
        <f>IF(NOT((COUNTA($B55:$J55)+COUNTA($N55))&gt;0),"",IF($B55="Subactividad","Sub","Macro"))</f>
        <v/>
      </c>
      <c r="T55" s="71">
        <f>IF($S55="Macro",COUNTIFS($R$5:$R$1000,ROW(),$S$5:$S$1000,"Sub"),"")</f>
        <v/>
      </c>
      <c r="U55" s="71">
        <f>IF($S55="","",IF(ISNUMBER($G55),$G55,0))</f>
        <v/>
      </c>
      <c r="V55" s="71">
        <f>IF($S55="","",IF(ISNUMBER($H55),$H55,$U55))</f>
        <v/>
      </c>
      <c r="W55" s="71">
        <f>IF($S55="","",IF(ISNUMBER($I55),$I55,$V55))</f>
        <v/>
      </c>
      <c r="X55" s="71">
        <f>IF($S55="","",IF(ISNUMBER($J55),$J55,$W55))</f>
        <v/>
      </c>
      <c r="Y55" s="71">
        <f>IF($S55="","",IF(N($T55)&gt;0,IF(N($AG55)&gt;0,SUMIFS($AC$5:$AC$1000,$R$5:$R$1000,ROW(),$S$5:$S$1000,"Sub")/$AG55,AVERAGEIFS($U$5:$U$1000,$R$5:$R$1000,ROW(),$S$5:$S$1000,"Sub")),$U55))</f>
        <v/>
      </c>
      <c r="Z55" s="71">
        <f>IF($S55="","",IF(N($T55)&gt;0,IF(N($AG55)&gt;0,SUMIFS($AD$5:$AD$1000,$R$5:$R$1000,ROW(),$S$5:$S$1000,"Sub")/$AG55,AVERAGEIFS($V$5:$V$1000,$R$5:$R$1000,ROW(),$S$5:$S$1000,"Sub")),$V55))</f>
        <v/>
      </c>
      <c r="AA55" s="71">
        <f>IF($S55="","",IF(N($T55)&gt;0,IF(N($AG55)&gt;0,SUMIFS($AE$5:$AE$1000,$R$5:$R$1000,ROW(),$S$5:$S$1000,"Sub")/$AG55,AVERAGEIFS($W$5:$W$1000,$R$5:$R$1000,ROW(),$S$5:$S$1000,"Sub")),$W55))</f>
        <v/>
      </c>
      <c r="AB55" s="71">
        <f>IF($S55="","",IF(N($T55)&gt;0,IF(N($AG55)&gt;0,SUMIFS($AF$5:$AF$1000,$R$5:$R$1000,ROW(),$S$5:$S$1000,"Sub")/$AG55,AVERAGEIFS($X$5:$X$1000,$R$5:$R$1000,ROW(),$S$5:$S$1000,"Sub")),$X55))</f>
        <v/>
      </c>
      <c r="AC55" s="71">
        <f>IF($S55="Sub",N($F55)*N($U55),"")</f>
        <v/>
      </c>
      <c r="AD55" s="71">
        <f>IF($S55="Sub",N($F55)*N($V55),"")</f>
        <v/>
      </c>
      <c r="AE55" s="71">
        <f>IF($S55="Sub",N($F55)*N($W55),"")</f>
        <v/>
      </c>
      <c r="AF55" s="71">
        <f>IF($S55="Sub",N($F55)*N($X55),"")</f>
        <v/>
      </c>
      <c r="AG55" s="71">
        <f>IF(N($T55)&gt;0,SUMIFS($F$5:$F$1000,$R$5:$R$1000,ROW(),$S$5:$S$1000,"Sub"),"")</f>
        <v/>
      </c>
    </row>
    <row r="56">
      <c r="A56" s="62">
        <f>IF(NOT((COUNTA($B56:$J56)+COUNTA($N56))&gt;0),"",IF($S56="Macro",COUNTIFS($S$5:$S56,"Macro",$P$5:$P56,$P56),IF(N($R56)=0,"?",COUNTIFS(INDEX($S$5:$S$1000,1):INDEX($S$5:$S$1000,$R56-4),"Macro",INDEX($P$5:$P$1000,1):INDEX($P$5:$P$1000,$R56-4),INDEX($P$5:$P$1000,$R56-4))&amp;"."&amp;COUNTIFS($R$5:$R56,$R56,$S$5:$S56,"Sub"))))</f>
        <v/>
      </c>
      <c r="B56" s="63" t="n"/>
      <c r="C56" s="64" t="n"/>
      <c r="D56" s="65" t="n"/>
      <c r="E56" s="65" t="n"/>
      <c r="F56" s="66" t="n"/>
      <c r="G56" s="67" t="n"/>
      <c r="H56" s="67" t="n"/>
      <c r="I56" s="67" t="n"/>
      <c r="J56" s="67" t="n"/>
      <c r="K56" s="68">
        <f>IF(NOT((COUNTA($B56:$J56)+COUNTA($N56))&gt;0),"",IF(N($T56)&gt;0,$AB56,IFERROR(LOOKUP(2,1/(G56:J56&lt;&gt;""),G56:J56),0)))</f>
        <v/>
      </c>
      <c r="L56" s="62">
        <f>IF(K56="","",IF(K56&gt;=1,"Completado",IF(K56&gt;0,"En curso","Pendiente")))</f>
        <v/>
      </c>
      <c r="M56" s="62">
        <f>IF(NOT((COUNTA($B56:$J56)+COUNTA($N56))&gt;0),"",IF(N($K56)&gt;=1,"Cumplida",IF(NOT(ISNUMBER($E56)),"Sin fecha límite",IF($E56&lt;FechaRef,"Vencida hace "&amp;(FechaRef-$E56)&amp;IF(FechaRef-$E56=1," día"," días"),IF($E56=FechaRef,"Vence hoy",IF($E56-FechaRef&lt;=DiasAlerta,"Vence en "&amp;($E56-FechaRef)&amp;IF($E56-FechaRef=1," día"," días"),"En plazo"))))))</f>
        <v/>
      </c>
      <c r="N56" s="64" t="n"/>
      <c r="O56" s="69">
        <f>IF(NOT((COUNTA($B56:$J56)+COUNTA($N56))&gt;0),"",IF((IF($C56="","Falta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",""))="","✔ OK","⚠ "&amp;LEFT(IF($C56="","Falta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",""),LEN(IF($C56="","Falta el nombre de la actividad"&amp;" · ","")&amp;IF(AND($S56="Sub",N($R56)=0),"Subactividad sin macroactividad arriba"&amp;" · ","")&amp;IF($D56="","Sin fecha de inicio"&amp;" · ","")&amp;IF($E56="","Sin fecha límite"&amp;" · ","")&amp;IF(OR(AND($D56&lt;&gt;"",NOT(ISNUMBER($D56))),AND($E56&lt;&gt;"",NOT(ISNUMBER($E56)))),"Fecha no válida"&amp;" · ","")&amp;IF(AND(ISNUMBER($D56),ISNUMBER($E56),$D56&gt;$E56),"Inicio posterior a fecha límite"&amp;" · ","")&amp;IF(AND($S56="Macro",$F56=""),"Peso vacío"&amp;" · ","")&amp;IF(AND($S56="Macro",$F56&lt;&gt;"",OR(NOT(ISNUMBER($F56)),$F56&lt;=0,$F56&gt;1)),"Peso fuera de rango"&amp;" · ","")&amp;IF(AND($S56="Sub",$F56&lt;&gt;"",OR(NOT(ISNUMBER($F56)),$F56&lt;0,$F56&gt;1)),"Peso fuera de rango"&amp;" · ","")&amp;IF(AND($S56="Sub",$F56="",IFERROR(N(INDEX($AG$5:$AG$1000,$R56-4)),0)&gt;0),"Falta el peso de la subactividad"&amp;" · ","")&amp;IF(AND(N($T56)&gt;0,N($AG56)&gt;0,ABS(N($AG56)-N($F56))&gt;0.0001),"Pesos de sus subactividades suman "&amp;TEXT(N($AG56),"0%")&amp;" (deben sumar "&amp;TEXT(N($F56),"0%")&amp;")"&amp;" · ","")&amp;IF(AND($S56="Macro",ABS(SUMIFS($F$5:$F$1000,$P$5:$P$1000,$P56,$S$5:$S$1000,"Macro")-1)&gt;0.0001),"Pesos del mes suman "&amp;TEXT(SUMIFS($F$5:$F$1000,$P$5:$P$1000,$P56,$S$5:$S$1000,"Macro"),"0%")&amp;" · ","")&amp;IF(AND(N($T56)&gt;0,COUNT($G56:$J56)&gt;0),"Con subactividades: deje vacías las semanas (se calculan solas)"&amp;" · ","")&amp;IF((COUNTIF($G56:$J56,"&gt;1")+COUNTIF($G56:$J56,"&lt;0")+COUNTA($G56:$J56)-COUNT($G56:$J56))&gt;0,"Avance fuera de rango 0-100%"&amp;" · ","")&amp;IF(OR(AND($H56&lt;&gt;"",$H56&lt;$G56),AND($I56&lt;&gt;"",$I56&lt;MAX($G56:$H56)),AND($J56&lt;&gt;"",$J56&lt;MAX($G56:$I56))),"Avance semanal decreciente"&amp;" · ","")&amp;IF(AND(ISNUMBER($E56),$E56&lt;FechaRef,N($K56)&lt;1),"Vencida"&amp;" · ","")&amp;IF(AND(ObsObligatoria="Sí",ISNUMBER($E56),$E56&lt;FechaRef,N($K56)&lt;1,$N56=""),"Vencida sin observación"&amp;" · ",""))-3)))</f>
        <v/>
      </c>
      <c r="P56" s="70">
        <f>IF(NOT((COUNTA($B56:$J56)+COUNTA($N56))&gt;0),"",IF(AND($S56="Sub",N($R56)&gt;0),IF(ISNUMBER(INDEX($D$5:$D$1000,$R56-4)),DATE(YEAR(INDEX($D$5:$D$1000,$R56-4)),MONTH(INDEX($D$5:$D$1000,$R56-4)),1),IF(ISNUMBER(INDEX($E$5:$E$1000,$R56-4)),DATE(YEAR(INDEX($E$5:$E$1000,$R56-4)),MONTH(INDEX($E$5:$E$1000,$R56-4)),1),MesCiclo)),IF(ISNUMBER($D56),DATE(YEAR($D56),MONTH($D56),1),IF(ISNUMBER($E56),DATE(YEAR($E56),MONTH($E56),1),MesCiclo))))</f>
        <v/>
      </c>
      <c r="Q56" s="71">
        <f>IF(OR($P56="",$P56&lt;&gt;MesCiclo),"",COUNTIF($P$5:$P56,MesCiclo))</f>
        <v/>
      </c>
      <c r="R56" s="71">
        <f>IF($S56="","",IF($S56="Macro",ROW(),IFERROR(LOOKUP(2,1/($S$5:$S56="Macro"),ROW($S$5:$S56)),0)))</f>
        <v/>
      </c>
      <c r="S56" s="71">
        <f>IF(NOT((COUNTA($B56:$J56)+COUNTA($N56))&gt;0),"",IF($B56="Subactividad","Sub","Macro"))</f>
        <v/>
      </c>
      <c r="T56" s="71">
        <f>IF($S56="Macro",COUNTIFS($R$5:$R$1000,ROW(),$S$5:$S$1000,"Sub"),"")</f>
        <v/>
      </c>
      <c r="U56" s="71">
        <f>IF($S56="","",IF(ISNUMBER($G56),$G56,0))</f>
        <v/>
      </c>
      <c r="V56" s="71">
        <f>IF($S56="","",IF(ISNUMBER($H56),$H56,$U56))</f>
        <v/>
      </c>
      <c r="W56" s="71">
        <f>IF($S56="","",IF(ISNUMBER($I56),$I56,$V56))</f>
        <v/>
      </c>
      <c r="X56" s="71">
        <f>IF($S56="","",IF(ISNUMBER($J56),$J56,$W56))</f>
        <v/>
      </c>
      <c r="Y56" s="71">
        <f>IF($S56="","",IF(N($T56)&gt;0,IF(N($AG56)&gt;0,SUMIFS($AC$5:$AC$1000,$R$5:$R$1000,ROW(),$S$5:$S$1000,"Sub")/$AG56,AVERAGEIFS($U$5:$U$1000,$R$5:$R$1000,ROW(),$S$5:$S$1000,"Sub")),$U56))</f>
        <v/>
      </c>
      <c r="Z56" s="71">
        <f>IF($S56="","",IF(N($T56)&gt;0,IF(N($AG56)&gt;0,SUMIFS($AD$5:$AD$1000,$R$5:$R$1000,ROW(),$S$5:$S$1000,"Sub")/$AG56,AVERAGEIFS($V$5:$V$1000,$R$5:$R$1000,ROW(),$S$5:$S$1000,"Sub")),$V56))</f>
        <v/>
      </c>
      <c r="AA56" s="71">
        <f>IF($S56="","",IF(N($T56)&gt;0,IF(N($AG56)&gt;0,SUMIFS($AE$5:$AE$1000,$R$5:$R$1000,ROW(),$S$5:$S$1000,"Sub")/$AG56,AVERAGEIFS($W$5:$W$1000,$R$5:$R$1000,ROW(),$S$5:$S$1000,"Sub")),$W56))</f>
        <v/>
      </c>
      <c r="AB56" s="71">
        <f>IF($S56="","",IF(N($T56)&gt;0,IF(N($AG56)&gt;0,SUMIFS($AF$5:$AF$1000,$R$5:$R$1000,ROW(),$S$5:$S$1000,"Sub")/$AG56,AVERAGEIFS($X$5:$X$1000,$R$5:$R$1000,ROW(),$S$5:$S$1000,"Sub")),$X56))</f>
        <v/>
      </c>
      <c r="AC56" s="71">
        <f>IF($S56="Sub",N($F56)*N($U56),"")</f>
        <v/>
      </c>
      <c r="AD56" s="71">
        <f>IF($S56="Sub",N($F56)*N($V56),"")</f>
        <v/>
      </c>
      <c r="AE56" s="71">
        <f>IF($S56="Sub",N($F56)*N($W56),"")</f>
        <v/>
      </c>
      <c r="AF56" s="71">
        <f>IF($S56="Sub",N($F56)*N($X56),"")</f>
        <v/>
      </c>
      <c r="AG56" s="71">
        <f>IF(N($T56)&gt;0,SUMIFS($F$5:$F$1000,$R$5:$R$1000,ROW(),$S$5:$S$1000,"Sub"),"")</f>
        <v/>
      </c>
    </row>
    <row r="57">
      <c r="A57" s="62">
        <f>IF(NOT((COUNTA($B57:$J57)+COUNTA($N57))&gt;0),"",IF($S57="Macro",COUNTIFS($S$5:$S57,"Macro",$P$5:$P57,$P57),IF(N($R57)=0,"?",COUNTIFS(INDEX($S$5:$S$1000,1):INDEX($S$5:$S$1000,$R57-4),"Macro",INDEX($P$5:$P$1000,1):INDEX($P$5:$P$1000,$R57-4),INDEX($P$5:$P$1000,$R57-4))&amp;"."&amp;COUNTIFS($R$5:$R57,$R57,$S$5:$S57,"Sub"))))</f>
        <v/>
      </c>
      <c r="B57" s="63" t="n"/>
      <c r="C57" s="64" t="n"/>
      <c r="D57" s="65" t="n"/>
      <c r="E57" s="65" t="n"/>
      <c r="F57" s="66" t="n"/>
      <c r="G57" s="67" t="n"/>
      <c r="H57" s="67" t="n"/>
      <c r="I57" s="67" t="n"/>
      <c r="J57" s="67" t="n"/>
      <c r="K57" s="68">
        <f>IF(NOT((COUNTA($B57:$J57)+COUNTA($N57))&gt;0),"",IF(N($T57)&gt;0,$AB57,IFERROR(LOOKUP(2,1/(G57:J57&lt;&gt;""),G57:J57),0)))</f>
        <v/>
      </c>
      <c r="L57" s="62">
        <f>IF(K57="","",IF(K57&gt;=1,"Completado",IF(K57&gt;0,"En curso","Pendiente")))</f>
        <v/>
      </c>
      <c r="M57" s="62">
        <f>IF(NOT((COUNTA($B57:$J57)+COUNTA($N57))&gt;0),"",IF(N($K57)&gt;=1,"Cumplida",IF(NOT(ISNUMBER($E57)),"Sin fecha límite",IF($E57&lt;FechaRef,"Vencida hace "&amp;(FechaRef-$E57)&amp;IF(FechaRef-$E57=1," día"," días"),IF($E57=FechaRef,"Vence hoy",IF($E57-FechaRef&lt;=DiasAlerta,"Vence en "&amp;($E57-FechaRef)&amp;IF($E57-FechaRef=1," día"," días"),"En plazo"))))))</f>
        <v/>
      </c>
      <c r="N57" s="64" t="n"/>
      <c r="O57" s="69">
        <f>IF(NOT((COUNTA($B57:$J57)+COUNTA($N57))&gt;0),"",IF((IF($C57="","Falta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",""))="","✔ OK","⚠ "&amp;LEFT(IF($C57="","Falta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",""),LEN(IF($C57="","Falta el nombre de la actividad"&amp;" · ","")&amp;IF(AND($S57="Sub",N($R57)=0),"Subactividad sin macroactividad arriba"&amp;" · ","")&amp;IF($D57="","Sin fecha de inicio"&amp;" · ","")&amp;IF($E57="","Sin fecha límite"&amp;" · ","")&amp;IF(OR(AND($D57&lt;&gt;"",NOT(ISNUMBER($D57))),AND($E57&lt;&gt;"",NOT(ISNUMBER($E57)))),"Fecha no válida"&amp;" · ","")&amp;IF(AND(ISNUMBER($D57),ISNUMBER($E57),$D57&gt;$E57),"Inicio posterior a fecha límite"&amp;" · ","")&amp;IF(AND($S57="Macro",$F57=""),"Peso vacío"&amp;" · ","")&amp;IF(AND($S57="Macro",$F57&lt;&gt;"",OR(NOT(ISNUMBER($F57)),$F57&lt;=0,$F57&gt;1)),"Peso fuera de rango"&amp;" · ","")&amp;IF(AND($S57="Sub",$F57&lt;&gt;"",OR(NOT(ISNUMBER($F57)),$F57&lt;0,$F57&gt;1)),"Peso fuera de rango"&amp;" · ","")&amp;IF(AND($S57="Sub",$F57="",IFERROR(N(INDEX($AG$5:$AG$1000,$R57-4)),0)&gt;0),"Falta el peso de la subactividad"&amp;" · ","")&amp;IF(AND(N($T57)&gt;0,N($AG57)&gt;0,ABS(N($AG57)-N($F57))&gt;0.0001),"Pesos de sus subactividades suman "&amp;TEXT(N($AG57),"0%")&amp;" (deben sumar "&amp;TEXT(N($F57),"0%")&amp;")"&amp;" · ","")&amp;IF(AND($S57="Macro",ABS(SUMIFS($F$5:$F$1000,$P$5:$P$1000,$P57,$S$5:$S$1000,"Macro")-1)&gt;0.0001),"Pesos del mes suman "&amp;TEXT(SUMIFS($F$5:$F$1000,$P$5:$P$1000,$P57,$S$5:$S$1000,"Macro"),"0%")&amp;" · ","")&amp;IF(AND(N($T57)&gt;0,COUNT($G57:$J57)&gt;0),"Con subactividades: deje vacías las semanas (se calculan solas)"&amp;" · ","")&amp;IF((COUNTIF($G57:$J57,"&gt;1")+COUNTIF($G57:$J57,"&lt;0")+COUNTA($G57:$J57)-COUNT($G57:$J57))&gt;0,"Avance fuera de rango 0-100%"&amp;" · ","")&amp;IF(OR(AND($H57&lt;&gt;"",$H57&lt;$G57),AND($I57&lt;&gt;"",$I57&lt;MAX($G57:$H57)),AND($J57&lt;&gt;"",$J57&lt;MAX($G57:$I57))),"Avance semanal decreciente"&amp;" · ","")&amp;IF(AND(ISNUMBER($E57),$E57&lt;FechaRef,N($K57)&lt;1),"Vencida"&amp;" · ","")&amp;IF(AND(ObsObligatoria="Sí",ISNUMBER($E57),$E57&lt;FechaRef,N($K57)&lt;1,$N57=""),"Vencida sin observación"&amp;" · ",""))-3)))</f>
        <v/>
      </c>
      <c r="P57" s="70">
        <f>IF(NOT((COUNTA($B57:$J57)+COUNTA($N57))&gt;0),"",IF(AND($S57="Sub",N($R57)&gt;0),IF(ISNUMBER(INDEX($D$5:$D$1000,$R57-4)),DATE(YEAR(INDEX($D$5:$D$1000,$R57-4)),MONTH(INDEX($D$5:$D$1000,$R57-4)),1),IF(ISNUMBER(INDEX($E$5:$E$1000,$R57-4)),DATE(YEAR(INDEX($E$5:$E$1000,$R57-4)),MONTH(INDEX($E$5:$E$1000,$R57-4)),1),MesCiclo)),IF(ISNUMBER($D57),DATE(YEAR($D57),MONTH($D57),1),IF(ISNUMBER($E57),DATE(YEAR($E57),MONTH($E57),1),MesCiclo))))</f>
        <v/>
      </c>
      <c r="Q57" s="71">
        <f>IF(OR($P57="",$P57&lt;&gt;MesCiclo),"",COUNTIF($P$5:$P57,MesCiclo))</f>
        <v/>
      </c>
      <c r="R57" s="71">
        <f>IF($S57="","",IF($S57="Macro",ROW(),IFERROR(LOOKUP(2,1/($S$5:$S57="Macro"),ROW($S$5:$S57)),0)))</f>
        <v/>
      </c>
      <c r="S57" s="71">
        <f>IF(NOT((COUNTA($B57:$J57)+COUNTA($N57))&gt;0),"",IF($B57="Subactividad","Sub","Macro"))</f>
        <v/>
      </c>
      <c r="T57" s="71">
        <f>IF($S57="Macro",COUNTIFS($R$5:$R$1000,ROW(),$S$5:$S$1000,"Sub"),"")</f>
        <v/>
      </c>
      <c r="U57" s="71">
        <f>IF($S57="","",IF(ISNUMBER($G57),$G57,0))</f>
        <v/>
      </c>
      <c r="V57" s="71">
        <f>IF($S57="","",IF(ISNUMBER($H57),$H57,$U57))</f>
        <v/>
      </c>
      <c r="W57" s="71">
        <f>IF($S57="","",IF(ISNUMBER($I57),$I57,$V57))</f>
        <v/>
      </c>
      <c r="X57" s="71">
        <f>IF($S57="","",IF(ISNUMBER($J57),$J57,$W57))</f>
        <v/>
      </c>
      <c r="Y57" s="71">
        <f>IF($S57="","",IF(N($T57)&gt;0,IF(N($AG57)&gt;0,SUMIFS($AC$5:$AC$1000,$R$5:$R$1000,ROW(),$S$5:$S$1000,"Sub")/$AG57,AVERAGEIFS($U$5:$U$1000,$R$5:$R$1000,ROW(),$S$5:$S$1000,"Sub")),$U57))</f>
        <v/>
      </c>
      <c r="Z57" s="71">
        <f>IF($S57="","",IF(N($T57)&gt;0,IF(N($AG57)&gt;0,SUMIFS($AD$5:$AD$1000,$R$5:$R$1000,ROW(),$S$5:$S$1000,"Sub")/$AG57,AVERAGEIFS($V$5:$V$1000,$R$5:$R$1000,ROW(),$S$5:$S$1000,"Sub")),$V57))</f>
        <v/>
      </c>
      <c r="AA57" s="71">
        <f>IF($S57="","",IF(N($T57)&gt;0,IF(N($AG57)&gt;0,SUMIFS($AE$5:$AE$1000,$R$5:$R$1000,ROW(),$S$5:$S$1000,"Sub")/$AG57,AVERAGEIFS($W$5:$W$1000,$R$5:$R$1000,ROW(),$S$5:$S$1000,"Sub")),$W57))</f>
        <v/>
      </c>
      <c r="AB57" s="71">
        <f>IF($S57="","",IF(N($T57)&gt;0,IF(N($AG57)&gt;0,SUMIFS($AF$5:$AF$1000,$R$5:$R$1000,ROW(),$S$5:$S$1000,"Sub")/$AG57,AVERAGEIFS($X$5:$X$1000,$R$5:$R$1000,ROW(),$S$5:$S$1000,"Sub")),$X57))</f>
        <v/>
      </c>
      <c r="AC57" s="71">
        <f>IF($S57="Sub",N($F57)*N($U57),"")</f>
        <v/>
      </c>
      <c r="AD57" s="71">
        <f>IF($S57="Sub",N($F57)*N($V57),"")</f>
        <v/>
      </c>
      <c r="AE57" s="71">
        <f>IF($S57="Sub",N($F57)*N($W57),"")</f>
        <v/>
      </c>
      <c r="AF57" s="71">
        <f>IF($S57="Sub",N($F57)*N($X57),"")</f>
        <v/>
      </c>
      <c r="AG57" s="71">
        <f>IF(N($T57)&gt;0,SUMIFS($F$5:$F$1000,$R$5:$R$1000,ROW(),$S$5:$S$1000,"Sub"),"")</f>
        <v/>
      </c>
    </row>
    <row r="58">
      <c r="A58" s="62">
        <f>IF(NOT((COUNTA($B58:$J58)+COUNTA($N58))&gt;0),"",IF($S58="Macro",COUNTIFS($S$5:$S58,"Macro",$P$5:$P58,$P58),IF(N($R58)=0,"?",COUNTIFS(INDEX($S$5:$S$1000,1):INDEX($S$5:$S$1000,$R58-4),"Macro",INDEX($P$5:$P$1000,1):INDEX($P$5:$P$1000,$R58-4),INDEX($P$5:$P$1000,$R58-4))&amp;"."&amp;COUNTIFS($R$5:$R58,$R58,$S$5:$S58,"Sub"))))</f>
        <v/>
      </c>
      <c r="B58" s="63" t="n"/>
      <c r="C58" s="64" t="n"/>
      <c r="D58" s="65" t="n"/>
      <c r="E58" s="65" t="n"/>
      <c r="F58" s="66" t="n"/>
      <c r="G58" s="67" t="n"/>
      <c r="H58" s="67" t="n"/>
      <c r="I58" s="67" t="n"/>
      <c r="J58" s="67" t="n"/>
      <c r="K58" s="68">
        <f>IF(NOT((COUNTA($B58:$J58)+COUNTA($N58))&gt;0),"",IF(N($T58)&gt;0,$AB58,IFERROR(LOOKUP(2,1/(G58:J58&lt;&gt;""),G58:J58),0)))</f>
        <v/>
      </c>
      <c r="L58" s="62">
        <f>IF(K58="","",IF(K58&gt;=1,"Completado",IF(K58&gt;0,"En curso","Pendiente")))</f>
        <v/>
      </c>
      <c r="M58" s="62">
        <f>IF(NOT((COUNTA($B58:$J58)+COUNTA($N58))&gt;0),"",IF(N($K58)&gt;=1,"Cumplida",IF(NOT(ISNUMBER($E58)),"Sin fecha límite",IF($E58&lt;FechaRef,"Vencida hace "&amp;(FechaRef-$E58)&amp;IF(FechaRef-$E58=1," día"," días"),IF($E58=FechaRef,"Vence hoy",IF($E58-FechaRef&lt;=DiasAlerta,"Vence en "&amp;($E58-FechaRef)&amp;IF($E58-FechaRef=1," día"," días"),"En plazo"))))))</f>
        <v/>
      </c>
      <c r="N58" s="64" t="n"/>
      <c r="O58" s="69">
        <f>IF(NOT((COUNTA($B58:$J58)+COUNTA($N58))&gt;0),"",IF((IF($C58="","Falta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",""))="","✔ OK","⚠ "&amp;LEFT(IF($C58="","Falta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",""),LEN(IF($C58="","Falta el nombre de la actividad"&amp;" · ","")&amp;IF(AND($S58="Sub",N($R58)=0),"Subactividad sin macroactividad arriba"&amp;" · ","")&amp;IF($D58="","Sin fecha de inicio"&amp;" · ","")&amp;IF($E58="","Sin fecha límite"&amp;" · ","")&amp;IF(OR(AND($D58&lt;&gt;"",NOT(ISNUMBER($D58))),AND($E58&lt;&gt;"",NOT(ISNUMBER($E58)))),"Fecha no válida"&amp;" · ","")&amp;IF(AND(ISNUMBER($D58),ISNUMBER($E58),$D58&gt;$E58),"Inicio posterior a fecha límite"&amp;" · ","")&amp;IF(AND($S58="Macro",$F58=""),"Peso vacío"&amp;" · ","")&amp;IF(AND($S58="Macro",$F58&lt;&gt;"",OR(NOT(ISNUMBER($F58)),$F58&lt;=0,$F58&gt;1)),"Peso fuera de rango"&amp;" · ","")&amp;IF(AND($S58="Sub",$F58&lt;&gt;"",OR(NOT(ISNUMBER($F58)),$F58&lt;0,$F58&gt;1)),"Peso fuera de rango"&amp;" · ","")&amp;IF(AND($S58="Sub",$F58="",IFERROR(N(INDEX($AG$5:$AG$1000,$R58-4)),0)&gt;0),"Falta el peso de la subactividad"&amp;" · ","")&amp;IF(AND(N($T58)&gt;0,N($AG58)&gt;0,ABS(N($AG58)-N($F58))&gt;0.0001),"Pesos de sus subactividades suman "&amp;TEXT(N($AG58),"0%")&amp;" (deben sumar "&amp;TEXT(N($F58),"0%")&amp;")"&amp;" · ","")&amp;IF(AND($S58="Macro",ABS(SUMIFS($F$5:$F$1000,$P$5:$P$1000,$P58,$S$5:$S$1000,"Macro")-1)&gt;0.0001),"Pesos del mes suman "&amp;TEXT(SUMIFS($F$5:$F$1000,$P$5:$P$1000,$P58,$S$5:$S$1000,"Macro"),"0%")&amp;" · ","")&amp;IF(AND(N($T58)&gt;0,COUNT($G58:$J58)&gt;0),"Con subactividades: deje vacías las semanas (se calculan solas)"&amp;" · ","")&amp;IF((COUNTIF($G58:$J58,"&gt;1")+COUNTIF($G58:$J58,"&lt;0")+COUNTA($G58:$J58)-COUNT($G58:$J58))&gt;0,"Avance fuera de rango 0-100%"&amp;" · ","")&amp;IF(OR(AND($H58&lt;&gt;"",$H58&lt;$G58),AND($I58&lt;&gt;"",$I58&lt;MAX($G58:$H58)),AND($J58&lt;&gt;"",$J58&lt;MAX($G58:$I58))),"Avance semanal decreciente"&amp;" · ","")&amp;IF(AND(ISNUMBER($E58),$E58&lt;FechaRef,N($K58)&lt;1),"Vencida"&amp;" · ","")&amp;IF(AND(ObsObligatoria="Sí",ISNUMBER($E58),$E58&lt;FechaRef,N($K58)&lt;1,$N58=""),"Vencida sin observación"&amp;" · ",""))-3)))</f>
        <v/>
      </c>
      <c r="P58" s="70">
        <f>IF(NOT((COUNTA($B58:$J58)+COUNTA($N58))&gt;0),"",IF(AND($S58="Sub",N($R58)&gt;0),IF(ISNUMBER(INDEX($D$5:$D$1000,$R58-4)),DATE(YEAR(INDEX($D$5:$D$1000,$R58-4)),MONTH(INDEX($D$5:$D$1000,$R58-4)),1),IF(ISNUMBER(INDEX($E$5:$E$1000,$R58-4)),DATE(YEAR(INDEX($E$5:$E$1000,$R58-4)),MONTH(INDEX($E$5:$E$1000,$R58-4)),1),MesCiclo)),IF(ISNUMBER($D58),DATE(YEAR($D58),MONTH($D58),1),IF(ISNUMBER($E58),DATE(YEAR($E58),MONTH($E58),1),MesCiclo))))</f>
        <v/>
      </c>
      <c r="Q58" s="71">
        <f>IF(OR($P58="",$P58&lt;&gt;MesCiclo),"",COUNTIF($P$5:$P58,MesCiclo))</f>
        <v/>
      </c>
      <c r="R58" s="71">
        <f>IF($S58="","",IF($S58="Macro",ROW(),IFERROR(LOOKUP(2,1/($S$5:$S58="Macro"),ROW($S$5:$S58)),0)))</f>
        <v/>
      </c>
      <c r="S58" s="71">
        <f>IF(NOT((COUNTA($B58:$J58)+COUNTA($N58))&gt;0),"",IF($B58="Subactividad","Sub","Macro"))</f>
        <v/>
      </c>
      <c r="T58" s="71">
        <f>IF($S58="Macro",COUNTIFS($R$5:$R$1000,ROW(),$S$5:$S$1000,"Sub"),"")</f>
        <v/>
      </c>
      <c r="U58" s="71">
        <f>IF($S58="","",IF(ISNUMBER($G58),$G58,0))</f>
        <v/>
      </c>
      <c r="V58" s="71">
        <f>IF($S58="","",IF(ISNUMBER($H58),$H58,$U58))</f>
        <v/>
      </c>
      <c r="W58" s="71">
        <f>IF($S58="","",IF(ISNUMBER($I58),$I58,$V58))</f>
        <v/>
      </c>
      <c r="X58" s="71">
        <f>IF($S58="","",IF(ISNUMBER($J58),$J58,$W58))</f>
        <v/>
      </c>
      <c r="Y58" s="71">
        <f>IF($S58="","",IF(N($T58)&gt;0,IF(N($AG58)&gt;0,SUMIFS($AC$5:$AC$1000,$R$5:$R$1000,ROW(),$S$5:$S$1000,"Sub")/$AG58,AVERAGEIFS($U$5:$U$1000,$R$5:$R$1000,ROW(),$S$5:$S$1000,"Sub")),$U58))</f>
        <v/>
      </c>
      <c r="Z58" s="71">
        <f>IF($S58="","",IF(N($T58)&gt;0,IF(N($AG58)&gt;0,SUMIFS($AD$5:$AD$1000,$R$5:$R$1000,ROW(),$S$5:$S$1000,"Sub")/$AG58,AVERAGEIFS($V$5:$V$1000,$R$5:$R$1000,ROW(),$S$5:$S$1000,"Sub")),$V58))</f>
        <v/>
      </c>
      <c r="AA58" s="71">
        <f>IF($S58="","",IF(N($T58)&gt;0,IF(N($AG58)&gt;0,SUMIFS($AE$5:$AE$1000,$R$5:$R$1000,ROW(),$S$5:$S$1000,"Sub")/$AG58,AVERAGEIFS($W$5:$W$1000,$R$5:$R$1000,ROW(),$S$5:$S$1000,"Sub")),$W58))</f>
        <v/>
      </c>
      <c r="AB58" s="71">
        <f>IF($S58="","",IF(N($T58)&gt;0,IF(N($AG58)&gt;0,SUMIFS($AF$5:$AF$1000,$R$5:$R$1000,ROW(),$S$5:$S$1000,"Sub")/$AG58,AVERAGEIFS($X$5:$X$1000,$R$5:$R$1000,ROW(),$S$5:$S$1000,"Sub")),$X58))</f>
        <v/>
      </c>
      <c r="AC58" s="71">
        <f>IF($S58="Sub",N($F58)*N($U58),"")</f>
        <v/>
      </c>
      <c r="AD58" s="71">
        <f>IF($S58="Sub",N($F58)*N($V58),"")</f>
        <v/>
      </c>
      <c r="AE58" s="71">
        <f>IF($S58="Sub",N($F58)*N($W58),"")</f>
        <v/>
      </c>
      <c r="AF58" s="71">
        <f>IF($S58="Sub",N($F58)*N($X58),"")</f>
        <v/>
      </c>
      <c r="AG58" s="71">
        <f>IF(N($T58)&gt;0,SUMIFS($F$5:$F$1000,$R$5:$R$1000,ROW(),$S$5:$S$1000,"Sub"),"")</f>
        <v/>
      </c>
    </row>
    <row r="59">
      <c r="A59" s="62">
        <f>IF(NOT((COUNTA($B59:$J59)+COUNTA($N59))&gt;0),"",IF($S59="Macro",COUNTIFS($S$5:$S59,"Macro",$P$5:$P59,$P59),IF(N($R59)=0,"?",COUNTIFS(INDEX($S$5:$S$1000,1):INDEX($S$5:$S$1000,$R59-4),"Macro",INDEX($P$5:$P$1000,1):INDEX($P$5:$P$1000,$R59-4),INDEX($P$5:$P$1000,$R59-4))&amp;"."&amp;COUNTIFS($R$5:$R59,$R59,$S$5:$S59,"Sub"))))</f>
        <v/>
      </c>
      <c r="B59" s="63" t="n"/>
      <c r="C59" s="64" t="n"/>
      <c r="D59" s="65" t="n"/>
      <c r="E59" s="65" t="n"/>
      <c r="F59" s="66" t="n"/>
      <c r="G59" s="67" t="n"/>
      <c r="H59" s="67" t="n"/>
      <c r="I59" s="67" t="n"/>
      <c r="J59" s="67" t="n"/>
      <c r="K59" s="68">
        <f>IF(NOT((COUNTA($B59:$J59)+COUNTA($N59))&gt;0),"",IF(N($T59)&gt;0,$AB59,IFERROR(LOOKUP(2,1/(G59:J59&lt;&gt;""),G59:J59),0)))</f>
        <v/>
      </c>
      <c r="L59" s="62">
        <f>IF(K59="","",IF(K59&gt;=1,"Completado",IF(K59&gt;0,"En curso","Pendiente")))</f>
        <v/>
      </c>
      <c r="M59" s="62">
        <f>IF(NOT((COUNTA($B59:$J59)+COUNTA($N59))&gt;0),"",IF(N($K59)&gt;=1,"Cumplida",IF(NOT(ISNUMBER($E59)),"Sin fecha límite",IF($E59&lt;FechaRef,"Vencida hace "&amp;(FechaRef-$E59)&amp;IF(FechaRef-$E59=1," día"," días"),IF($E59=FechaRef,"Vence hoy",IF($E59-FechaRef&lt;=DiasAlerta,"Vence en "&amp;($E59-FechaRef)&amp;IF($E59-FechaRef=1," día"," días"),"En plazo"))))))</f>
        <v/>
      </c>
      <c r="N59" s="64" t="n"/>
      <c r="O59" s="69">
        <f>IF(NOT((COUNTA($B59:$J59)+COUNTA($N59))&gt;0),"",IF((IF($C59="","Falta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",""))="","✔ OK","⚠ "&amp;LEFT(IF($C59="","Falta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",""),LEN(IF($C59="","Falta el nombre de la actividad"&amp;" · ","")&amp;IF(AND($S59="Sub",N($R59)=0),"Subactividad sin macroactividad arriba"&amp;" · ","")&amp;IF($D59="","Sin fecha de inicio"&amp;" · ","")&amp;IF($E59="","Sin fecha límite"&amp;" · ","")&amp;IF(OR(AND($D59&lt;&gt;"",NOT(ISNUMBER($D59))),AND($E59&lt;&gt;"",NOT(ISNUMBER($E59)))),"Fecha no válida"&amp;" · ","")&amp;IF(AND(ISNUMBER($D59),ISNUMBER($E59),$D59&gt;$E59),"Inicio posterior a fecha límite"&amp;" · ","")&amp;IF(AND($S59="Macro",$F59=""),"Peso vacío"&amp;" · ","")&amp;IF(AND($S59="Macro",$F59&lt;&gt;"",OR(NOT(ISNUMBER($F59)),$F59&lt;=0,$F59&gt;1)),"Peso fuera de rango"&amp;" · ","")&amp;IF(AND($S59="Sub",$F59&lt;&gt;"",OR(NOT(ISNUMBER($F59)),$F59&lt;0,$F59&gt;1)),"Peso fuera de rango"&amp;" · ","")&amp;IF(AND($S59="Sub",$F59="",IFERROR(N(INDEX($AG$5:$AG$1000,$R59-4)),0)&gt;0),"Falta el peso de la subactividad"&amp;" · ","")&amp;IF(AND(N($T59)&gt;0,N($AG59)&gt;0,ABS(N($AG59)-N($F59))&gt;0.0001),"Pesos de sus subactividades suman "&amp;TEXT(N($AG59),"0%")&amp;" (deben sumar "&amp;TEXT(N($F59),"0%")&amp;")"&amp;" · ","")&amp;IF(AND($S59="Macro",ABS(SUMIFS($F$5:$F$1000,$P$5:$P$1000,$P59,$S$5:$S$1000,"Macro")-1)&gt;0.0001),"Pesos del mes suman "&amp;TEXT(SUMIFS($F$5:$F$1000,$P$5:$P$1000,$P59,$S$5:$S$1000,"Macro"),"0%")&amp;" · ","")&amp;IF(AND(N($T59)&gt;0,COUNT($G59:$J59)&gt;0),"Con subactividades: deje vacías las semanas (se calculan solas)"&amp;" · ","")&amp;IF((COUNTIF($G59:$J59,"&gt;1")+COUNTIF($G59:$J59,"&lt;0")+COUNTA($G59:$J59)-COUNT($G59:$J59))&gt;0,"Avance fuera de rango 0-100%"&amp;" · ","")&amp;IF(OR(AND($H59&lt;&gt;"",$H59&lt;$G59),AND($I59&lt;&gt;"",$I59&lt;MAX($G59:$H59)),AND($J59&lt;&gt;"",$J59&lt;MAX($G59:$I59))),"Avance semanal decreciente"&amp;" · ","")&amp;IF(AND(ISNUMBER($E59),$E59&lt;FechaRef,N($K59)&lt;1),"Vencida"&amp;" · ","")&amp;IF(AND(ObsObligatoria="Sí",ISNUMBER($E59),$E59&lt;FechaRef,N($K59)&lt;1,$N59=""),"Vencida sin observación"&amp;" · ",""))-3)))</f>
        <v/>
      </c>
      <c r="P59" s="70">
        <f>IF(NOT((COUNTA($B59:$J59)+COUNTA($N59))&gt;0),"",IF(AND($S59="Sub",N($R59)&gt;0),IF(ISNUMBER(INDEX($D$5:$D$1000,$R59-4)),DATE(YEAR(INDEX($D$5:$D$1000,$R59-4)),MONTH(INDEX($D$5:$D$1000,$R59-4)),1),IF(ISNUMBER(INDEX($E$5:$E$1000,$R59-4)),DATE(YEAR(INDEX($E$5:$E$1000,$R59-4)),MONTH(INDEX($E$5:$E$1000,$R59-4)),1),MesCiclo)),IF(ISNUMBER($D59),DATE(YEAR($D59),MONTH($D59),1),IF(ISNUMBER($E59),DATE(YEAR($E59),MONTH($E59),1),MesCiclo))))</f>
        <v/>
      </c>
      <c r="Q59" s="71">
        <f>IF(OR($P59="",$P59&lt;&gt;MesCiclo),"",COUNTIF($P$5:$P59,MesCiclo))</f>
        <v/>
      </c>
      <c r="R59" s="71">
        <f>IF($S59="","",IF($S59="Macro",ROW(),IFERROR(LOOKUP(2,1/($S$5:$S59="Macro"),ROW($S$5:$S59)),0)))</f>
        <v/>
      </c>
      <c r="S59" s="71">
        <f>IF(NOT((COUNTA($B59:$J59)+COUNTA($N59))&gt;0),"",IF($B59="Subactividad","Sub","Macro"))</f>
        <v/>
      </c>
      <c r="T59" s="71">
        <f>IF($S59="Macro",COUNTIFS($R$5:$R$1000,ROW(),$S$5:$S$1000,"Sub"),"")</f>
        <v/>
      </c>
      <c r="U59" s="71">
        <f>IF($S59="","",IF(ISNUMBER($G59),$G59,0))</f>
        <v/>
      </c>
      <c r="V59" s="71">
        <f>IF($S59="","",IF(ISNUMBER($H59),$H59,$U59))</f>
        <v/>
      </c>
      <c r="W59" s="71">
        <f>IF($S59="","",IF(ISNUMBER($I59),$I59,$V59))</f>
        <v/>
      </c>
      <c r="X59" s="71">
        <f>IF($S59="","",IF(ISNUMBER($J59),$J59,$W59))</f>
        <v/>
      </c>
      <c r="Y59" s="71">
        <f>IF($S59="","",IF(N($T59)&gt;0,IF(N($AG59)&gt;0,SUMIFS($AC$5:$AC$1000,$R$5:$R$1000,ROW(),$S$5:$S$1000,"Sub")/$AG59,AVERAGEIFS($U$5:$U$1000,$R$5:$R$1000,ROW(),$S$5:$S$1000,"Sub")),$U59))</f>
        <v/>
      </c>
      <c r="Z59" s="71">
        <f>IF($S59="","",IF(N($T59)&gt;0,IF(N($AG59)&gt;0,SUMIFS($AD$5:$AD$1000,$R$5:$R$1000,ROW(),$S$5:$S$1000,"Sub")/$AG59,AVERAGEIFS($V$5:$V$1000,$R$5:$R$1000,ROW(),$S$5:$S$1000,"Sub")),$V59))</f>
        <v/>
      </c>
      <c r="AA59" s="71">
        <f>IF($S59="","",IF(N($T59)&gt;0,IF(N($AG59)&gt;0,SUMIFS($AE$5:$AE$1000,$R$5:$R$1000,ROW(),$S$5:$S$1000,"Sub")/$AG59,AVERAGEIFS($W$5:$W$1000,$R$5:$R$1000,ROW(),$S$5:$S$1000,"Sub")),$W59))</f>
        <v/>
      </c>
      <c r="AB59" s="71">
        <f>IF($S59="","",IF(N($T59)&gt;0,IF(N($AG59)&gt;0,SUMIFS($AF$5:$AF$1000,$R$5:$R$1000,ROW(),$S$5:$S$1000,"Sub")/$AG59,AVERAGEIFS($X$5:$X$1000,$R$5:$R$1000,ROW(),$S$5:$S$1000,"Sub")),$X59))</f>
        <v/>
      </c>
      <c r="AC59" s="71">
        <f>IF($S59="Sub",N($F59)*N($U59),"")</f>
        <v/>
      </c>
      <c r="AD59" s="71">
        <f>IF($S59="Sub",N($F59)*N($V59),"")</f>
        <v/>
      </c>
      <c r="AE59" s="71">
        <f>IF($S59="Sub",N($F59)*N($W59),"")</f>
        <v/>
      </c>
      <c r="AF59" s="71">
        <f>IF($S59="Sub",N($F59)*N($X59),"")</f>
        <v/>
      </c>
      <c r="AG59" s="71">
        <f>IF(N($T59)&gt;0,SUMIFS($F$5:$F$1000,$R$5:$R$1000,ROW(),$S$5:$S$1000,"Sub"),"")</f>
        <v/>
      </c>
    </row>
    <row r="60">
      <c r="A60" s="62">
        <f>IF(NOT((COUNTA($B60:$J60)+COUNTA($N60))&gt;0),"",IF($S60="Macro",COUNTIFS($S$5:$S60,"Macro",$P$5:$P60,$P60),IF(N($R60)=0,"?",COUNTIFS(INDEX($S$5:$S$1000,1):INDEX($S$5:$S$1000,$R60-4),"Macro",INDEX($P$5:$P$1000,1):INDEX($P$5:$P$1000,$R60-4),INDEX($P$5:$P$1000,$R60-4))&amp;"."&amp;COUNTIFS($R$5:$R60,$R60,$S$5:$S60,"Sub"))))</f>
        <v/>
      </c>
      <c r="B60" s="63" t="n"/>
      <c r="C60" s="64" t="n"/>
      <c r="D60" s="65" t="n"/>
      <c r="E60" s="65" t="n"/>
      <c r="F60" s="66" t="n"/>
      <c r="G60" s="67" t="n"/>
      <c r="H60" s="67" t="n"/>
      <c r="I60" s="67" t="n"/>
      <c r="J60" s="67" t="n"/>
      <c r="K60" s="68">
        <f>IF(NOT((COUNTA($B60:$J60)+COUNTA($N60))&gt;0),"",IF(N($T60)&gt;0,$AB60,IFERROR(LOOKUP(2,1/(G60:J60&lt;&gt;""),G60:J60),0)))</f>
        <v/>
      </c>
      <c r="L60" s="62">
        <f>IF(K60="","",IF(K60&gt;=1,"Completado",IF(K60&gt;0,"En curso","Pendiente")))</f>
        <v/>
      </c>
      <c r="M60" s="62">
        <f>IF(NOT((COUNTA($B60:$J60)+COUNTA($N60))&gt;0),"",IF(N($K60)&gt;=1,"Cumplida",IF(NOT(ISNUMBER($E60)),"Sin fecha límite",IF($E60&lt;FechaRef,"Vencida hace "&amp;(FechaRef-$E60)&amp;IF(FechaRef-$E60=1," día"," días"),IF($E60=FechaRef,"Vence hoy",IF($E60-FechaRef&lt;=DiasAlerta,"Vence en "&amp;($E60-FechaRef)&amp;IF($E60-FechaRef=1," día"," días"),"En plazo"))))))</f>
        <v/>
      </c>
      <c r="N60" s="64" t="n"/>
      <c r="O60" s="69">
        <f>IF(NOT((COUNTA($B60:$J60)+COUNTA($N60))&gt;0),"",IF((IF($C60="","Falta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",""))="","✔ OK","⚠ "&amp;LEFT(IF($C60="","Falta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",""),LEN(IF($C60="","Falta el nombre de la actividad"&amp;" · ","")&amp;IF(AND($S60="Sub",N($R60)=0),"Subactividad sin macroactividad arriba"&amp;" · ","")&amp;IF($D60="","Sin fecha de inicio"&amp;" · ","")&amp;IF($E60="","Sin fecha límite"&amp;" · ","")&amp;IF(OR(AND($D60&lt;&gt;"",NOT(ISNUMBER($D60))),AND($E60&lt;&gt;"",NOT(ISNUMBER($E60)))),"Fecha no válida"&amp;" · ","")&amp;IF(AND(ISNUMBER($D60),ISNUMBER($E60),$D60&gt;$E60),"Inicio posterior a fecha límite"&amp;" · ","")&amp;IF(AND($S60="Macro",$F60=""),"Peso vacío"&amp;" · ","")&amp;IF(AND($S60="Macro",$F60&lt;&gt;"",OR(NOT(ISNUMBER($F60)),$F60&lt;=0,$F60&gt;1)),"Peso fuera de rango"&amp;" · ","")&amp;IF(AND($S60="Sub",$F60&lt;&gt;"",OR(NOT(ISNUMBER($F60)),$F60&lt;0,$F60&gt;1)),"Peso fuera de rango"&amp;" · ","")&amp;IF(AND($S60="Sub",$F60="",IFERROR(N(INDEX($AG$5:$AG$1000,$R60-4)),0)&gt;0),"Falta el peso de la subactividad"&amp;" · ","")&amp;IF(AND(N($T60)&gt;0,N($AG60)&gt;0,ABS(N($AG60)-N($F60))&gt;0.0001),"Pesos de sus subactividades suman "&amp;TEXT(N($AG60),"0%")&amp;" (deben sumar "&amp;TEXT(N($F60),"0%")&amp;")"&amp;" · ","")&amp;IF(AND($S60="Macro",ABS(SUMIFS($F$5:$F$1000,$P$5:$P$1000,$P60,$S$5:$S$1000,"Macro")-1)&gt;0.0001),"Pesos del mes suman "&amp;TEXT(SUMIFS($F$5:$F$1000,$P$5:$P$1000,$P60,$S$5:$S$1000,"Macro"),"0%")&amp;" · ","")&amp;IF(AND(N($T60)&gt;0,COUNT($G60:$J60)&gt;0),"Con subactividades: deje vacías las semanas (se calculan solas)"&amp;" · ","")&amp;IF((COUNTIF($G60:$J60,"&gt;1")+COUNTIF($G60:$J60,"&lt;0")+COUNTA($G60:$J60)-COUNT($G60:$J60))&gt;0,"Avance fuera de rango 0-100%"&amp;" · ","")&amp;IF(OR(AND($H60&lt;&gt;"",$H60&lt;$G60),AND($I60&lt;&gt;"",$I60&lt;MAX($G60:$H60)),AND($J60&lt;&gt;"",$J60&lt;MAX($G60:$I60))),"Avance semanal decreciente"&amp;" · ","")&amp;IF(AND(ISNUMBER($E60),$E60&lt;FechaRef,N($K60)&lt;1),"Vencida"&amp;" · ","")&amp;IF(AND(ObsObligatoria="Sí",ISNUMBER($E60),$E60&lt;FechaRef,N($K60)&lt;1,$N60=""),"Vencida sin observación"&amp;" · ",""))-3)))</f>
        <v/>
      </c>
      <c r="P60" s="70">
        <f>IF(NOT((COUNTA($B60:$J60)+COUNTA($N60))&gt;0),"",IF(AND($S60="Sub",N($R60)&gt;0),IF(ISNUMBER(INDEX($D$5:$D$1000,$R60-4)),DATE(YEAR(INDEX($D$5:$D$1000,$R60-4)),MONTH(INDEX($D$5:$D$1000,$R60-4)),1),IF(ISNUMBER(INDEX($E$5:$E$1000,$R60-4)),DATE(YEAR(INDEX($E$5:$E$1000,$R60-4)),MONTH(INDEX($E$5:$E$1000,$R60-4)),1),MesCiclo)),IF(ISNUMBER($D60),DATE(YEAR($D60),MONTH($D60),1),IF(ISNUMBER($E60),DATE(YEAR($E60),MONTH($E60),1),MesCiclo))))</f>
        <v/>
      </c>
      <c r="Q60" s="71">
        <f>IF(OR($P60="",$P60&lt;&gt;MesCiclo),"",COUNTIF($P$5:$P60,MesCiclo))</f>
        <v/>
      </c>
      <c r="R60" s="71">
        <f>IF($S60="","",IF($S60="Macro",ROW(),IFERROR(LOOKUP(2,1/($S$5:$S60="Macro"),ROW($S$5:$S60)),0)))</f>
        <v/>
      </c>
      <c r="S60" s="71">
        <f>IF(NOT((COUNTA($B60:$J60)+COUNTA($N60))&gt;0),"",IF($B60="Subactividad","Sub","Macro"))</f>
        <v/>
      </c>
      <c r="T60" s="71">
        <f>IF($S60="Macro",COUNTIFS($R$5:$R$1000,ROW(),$S$5:$S$1000,"Sub"),"")</f>
        <v/>
      </c>
      <c r="U60" s="71">
        <f>IF($S60="","",IF(ISNUMBER($G60),$G60,0))</f>
        <v/>
      </c>
      <c r="V60" s="71">
        <f>IF($S60="","",IF(ISNUMBER($H60),$H60,$U60))</f>
        <v/>
      </c>
      <c r="W60" s="71">
        <f>IF($S60="","",IF(ISNUMBER($I60),$I60,$V60))</f>
        <v/>
      </c>
      <c r="X60" s="71">
        <f>IF($S60="","",IF(ISNUMBER($J60),$J60,$W60))</f>
        <v/>
      </c>
      <c r="Y60" s="71">
        <f>IF($S60="","",IF(N($T60)&gt;0,IF(N($AG60)&gt;0,SUMIFS($AC$5:$AC$1000,$R$5:$R$1000,ROW(),$S$5:$S$1000,"Sub")/$AG60,AVERAGEIFS($U$5:$U$1000,$R$5:$R$1000,ROW(),$S$5:$S$1000,"Sub")),$U60))</f>
        <v/>
      </c>
      <c r="Z60" s="71">
        <f>IF($S60="","",IF(N($T60)&gt;0,IF(N($AG60)&gt;0,SUMIFS($AD$5:$AD$1000,$R$5:$R$1000,ROW(),$S$5:$S$1000,"Sub")/$AG60,AVERAGEIFS($V$5:$V$1000,$R$5:$R$1000,ROW(),$S$5:$S$1000,"Sub")),$V60))</f>
        <v/>
      </c>
      <c r="AA60" s="71">
        <f>IF($S60="","",IF(N($T60)&gt;0,IF(N($AG60)&gt;0,SUMIFS($AE$5:$AE$1000,$R$5:$R$1000,ROW(),$S$5:$S$1000,"Sub")/$AG60,AVERAGEIFS($W$5:$W$1000,$R$5:$R$1000,ROW(),$S$5:$S$1000,"Sub")),$W60))</f>
        <v/>
      </c>
      <c r="AB60" s="71">
        <f>IF($S60="","",IF(N($T60)&gt;0,IF(N($AG60)&gt;0,SUMIFS($AF$5:$AF$1000,$R$5:$R$1000,ROW(),$S$5:$S$1000,"Sub")/$AG60,AVERAGEIFS($X$5:$X$1000,$R$5:$R$1000,ROW(),$S$5:$S$1000,"Sub")),$X60))</f>
        <v/>
      </c>
      <c r="AC60" s="71">
        <f>IF($S60="Sub",N($F60)*N($U60),"")</f>
        <v/>
      </c>
      <c r="AD60" s="71">
        <f>IF($S60="Sub",N($F60)*N($V60),"")</f>
        <v/>
      </c>
      <c r="AE60" s="71">
        <f>IF($S60="Sub",N($F60)*N($W60),"")</f>
        <v/>
      </c>
      <c r="AF60" s="71">
        <f>IF($S60="Sub",N($F60)*N($X60),"")</f>
        <v/>
      </c>
      <c r="AG60" s="71">
        <f>IF(N($T60)&gt;0,SUMIFS($F$5:$F$1000,$R$5:$R$1000,ROW(),$S$5:$S$1000,"Sub"),"")</f>
        <v/>
      </c>
    </row>
    <row r="61">
      <c r="A61" s="62">
        <f>IF(NOT((COUNTA($B61:$J61)+COUNTA($N61))&gt;0),"",IF($S61="Macro",COUNTIFS($S$5:$S61,"Macro",$P$5:$P61,$P61),IF(N($R61)=0,"?",COUNTIFS(INDEX($S$5:$S$1000,1):INDEX($S$5:$S$1000,$R61-4),"Macro",INDEX($P$5:$P$1000,1):INDEX($P$5:$P$1000,$R61-4),INDEX($P$5:$P$1000,$R61-4))&amp;"."&amp;COUNTIFS($R$5:$R61,$R61,$S$5:$S61,"Sub"))))</f>
        <v/>
      </c>
      <c r="B61" s="63" t="n"/>
      <c r="C61" s="64" t="n"/>
      <c r="D61" s="65" t="n"/>
      <c r="E61" s="65" t="n"/>
      <c r="F61" s="66" t="n"/>
      <c r="G61" s="67" t="n"/>
      <c r="H61" s="67" t="n"/>
      <c r="I61" s="67" t="n"/>
      <c r="J61" s="67" t="n"/>
      <c r="K61" s="68">
        <f>IF(NOT((COUNTA($B61:$J61)+COUNTA($N61))&gt;0),"",IF(N($T61)&gt;0,$AB61,IFERROR(LOOKUP(2,1/(G61:J61&lt;&gt;""),G61:J61),0)))</f>
        <v/>
      </c>
      <c r="L61" s="62">
        <f>IF(K61="","",IF(K61&gt;=1,"Completado",IF(K61&gt;0,"En curso","Pendiente")))</f>
        <v/>
      </c>
      <c r="M61" s="62">
        <f>IF(NOT((COUNTA($B61:$J61)+COUNTA($N61))&gt;0),"",IF(N($K61)&gt;=1,"Cumplida",IF(NOT(ISNUMBER($E61)),"Sin fecha límite",IF($E61&lt;FechaRef,"Vencida hace "&amp;(FechaRef-$E61)&amp;IF(FechaRef-$E61=1," día"," días"),IF($E61=FechaRef,"Vence hoy",IF($E61-FechaRef&lt;=DiasAlerta,"Vence en "&amp;($E61-FechaRef)&amp;IF($E61-FechaRef=1," día"," días"),"En plazo"))))))</f>
        <v/>
      </c>
      <c r="N61" s="64" t="n"/>
      <c r="O61" s="69">
        <f>IF(NOT((COUNTA($B61:$J61)+COUNTA($N61))&gt;0),"",IF((IF($C61="","Falta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",""))="","✔ OK","⚠ "&amp;LEFT(IF($C61="","Falta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",""),LEN(IF($C61="","Falta el nombre de la actividad"&amp;" · ","")&amp;IF(AND($S61="Sub",N($R61)=0),"Subactividad sin macroactividad arriba"&amp;" · ","")&amp;IF($D61="","Sin fecha de inicio"&amp;" · ","")&amp;IF($E61="","Sin fecha límite"&amp;" · ","")&amp;IF(OR(AND($D61&lt;&gt;"",NOT(ISNUMBER($D61))),AND($E61&lt;&gt;"",NOT(ISNUMBER($E61)))),"Fecha no válida"&amp;" · ","")&amp;IF(AND(ISNUMBER($D61),ISNUMBER($E61),$D61&gt;$E61),"Inicio posterior a fecha límite"&amp;" · ","")&amp;IF(AND($S61="Macro",$F61=""),"Peso vacío"&amp;" · ","")&amp;IF(AND($S61="Macro",$F61&lt;&gt;"",OR(NOT(ISNUMBER($F61)),$F61&lt;=0,$F61&gt;1)),"Peso fuera de rango"&amp;" · ","")&amp;IF(AND($S61="Sub",$F61&lt;&gt;"",OR(NOT(ISNUMBER($F61)),$F61&lt;0,$F61&gt;1)),"Peso fuera de rango"&amp;" · ","")&amp;IF(AND($S61="Sub",$F61="",IFERROR(N(INDEX($AG$5:$AG$1000,$R61-4)),0)&gt;0),"Falta el peso de la subactividad"&amp;" · ","")&amp;IF(AND(N($T61)&gt;0,N($AG61)&gt;0,ABS(N($AG61)-N($F61))&gt;0.0001),"Pesos de sus subactividades suman "&amp;TEXT(N($AG61),"0%")&amp;" (deben sumar "&amp;TEXT(N($F61),"0%")&amp;")"&amp;" · ","")&amp;IF(AND($S61="Macro",ABS(SUMIFS($F$5:$F$1000,$P$5:$P$1000,$P61,$S$5:$S$1000,"Macro")-1)&gt;0.0001),"Pesos del mes suman "&amp;TEXT(SUMIFS($F$5:$F$1000,$P$5:$P$1000,$P61,$S$5:$S$1000,"Macro"),"0%")&amp;" · ","")&amp;IF(AND(N($T61)&gt;0,COUNT($G61:$J61)&gt;0),"Con subactividades: deje vacías las semanas (se calculan solas)"&amp;" · ","")&amp;IF((COUNTIF($G61:$J61,"&gt;1")+COUNTIF($G61:$J61,"&lt;0")+COUNTA($G61:$J61)-COUNT($G61:$J61))&gt;0,"Avance fuera de rango 0-100%"&amp;" · ","")&amp;IF(OR(AND($H61&lt;&gt;"",$H61&lt;$G61),AND($I61&lt;&gt;"",$I61&lt;MAX($G61:$H61)),AND($J61&lt;&gt;"",$J61&lt;MAX($G61:$I61))),"Avance semanal decreciente"&amp;" · ","")&amp;IF(AND(ISNUMBER($E61),$E61&lt;FechaRef,N($K61)&lt;1),"Vencida"&amp;" · ","")&amp;IF(AND(ObsObligatoria="Sí",ISNUMBER($E61),$E61&lt;FechaRef,N($K61)&lt;1,$N61=""),"Vencida sin observación"&amp;" · ",""))-3)))</f>
        <v/>
      </c>
      <c r="P61" s="70">
        <f>IF(NOT((COUNTA($B61:$J61)+COUNTA($N61))&gt;0),"",IF(AND($S61="Sub",N($R61)&gt;0),IF(ISNUMBER(INDEX($D$5:$D$1000,$R61-4)),DATE(YEAR(INDEX($D$5:$D$1000,$R61-4)),MONTH(INDEX($D$5:$D$1000,$R61-4)),1),IF(ISNUMBER(INDEX($E$5:$E$1000,$R61-4)),DATE(YEAR(INDEX($E$5:$E$1000,$R61-4)),MONTH(INDEX($E$5:$E$1000,$R61-4)),1),MesCiclo)),IF(ISNUMBER($D61),DATE(YEAR($D61),MONTH($D61),1),IF(ISNUMBER($E61),DATE(YEAR($E61),MONTH($E61),1),MesCiclo))))</f>
        <v/>
      </c>
      <c r="Q61" s="71">
        <f>IF(OR($P61="",$P61&lt;&gt;MesCiclo),"",COUNTIF($P$5:$P61,MesCiclo))</f>
        <v/>
      </c>
      <c r="R61" s="71">
        <f>IF($S61="","",IF($S61="Macro",ROW(),IFERROR(LOOKUP(2,1/($S$5:$S61="Macro"),ROW($S$5:$S61)),0)))</f>
        <v/>
      </c>
      <c r="S61" s="71">
        <f>IF(NOT((COUNTA($B61:$J61)+COUNTA($N61))&gt;0),"",IF($B61="Subactividad","Sub","Macro"))</f>
        <v/>
      </c>
      <c r="T61" s="71">
        <f>IF($S61="Macro",COUNTIFS($R$5:$R$1000,ROW(),$S$5:$S$1000,"Sub"),"")</f>
        <v/>
      </c>
      <c r="U61" s="71">
        <f>IF($S61="","",IF(ISNUMBER($G61),$G61,0))</f>
        <v/>
      </c>
      <c r="V61" s="71">
        <f>IF($S61="","",IF(ISNUMBER($H61),$H61,$U61))</f>
        <v/>
      </c>
      <c r="W61" s="71">
        <f>IF($S61="","",IF(ISNUMBER($I61),$I61,$V61))</f>
        <v/>
      </c>
      <c r="X61" s="71">
        <f>IF($S61="","",IF(ISNUMBER($J61),$J61,$W61))</f>
        <v/>
      </c>
      <c r="Y61" s="71">
        <f>IF($S61="","",IF(N($T61)&gt;0,IF(N($AG61)&gt;0,SUMIFS($AC$5:$AC$1000,$R$5:$R$1000,ROW(),$S$5:$S$1000,"Sub")/$AG61,AVERAGEIFS($U$5:$U$1000,$R$5:$R$1000,ROW(),$S$5:$S$1000,"Sub")),$U61))</f>
        <v/>
      </c>
      <c r="Z61" s="71">
        <f>IF($S61="","",IF(N($T61)&gt;0,IF(N($AG61)&gt;0,SUMIFS($AD$5:$AD$1000,$R$5:$R$1000,ROW(),$S$5:$S$1000,"Sub")/$AG61,AVERAGEIFS($V$5:$V$1000,$R$5:$R$1000,ROW(),$S$5:$S$1000,"Sub")),$V61))</f>
        <v/>
      </c>
      <c r="AA61" s="71">
        <f>IF($S61="","",IF(N($T61)&gt;0,IF(N($AG61)&gt;0,SUMIFS($AE$5:$AE$1000,$R$5:$R$1000,ROW(),$S$5:$S$1000,"Sub")/$AG61,AVERAGEIFS($W$5:$W$1000,$R$5:$R$1000,ROW(),$S$5:$S$1000,"Sub")),$W61))</f>
        <v/>
      </c>
      <c r="AB61" s="71">
        <f>IF($S61="","",IF(N($T61)&gt;0,IF(N($AG61)&gt;0,SUMIFS($AF$5:$AF$1000,$R$5:$R$1000,ROW(),$S$5:$S$1000,"Sub")/$AG61,AVERAGEIFS($X$5:$X$1000,$R$5:$R$1000,ROW(),$S$5:$S$1000,"Sub")),$X61))</f>
        <v/>
      </c>
      <c r="AC61" s="71">
        <f>IF($S61="Sub",N($F61)*N($U61),"")</f>
        <v/>
      </c>
      <c r="AD61" s="71">
        <f>IF($S61="Sub",N($F61)*N($V61),"")</f>
        <v/>
      </c>
      <c r="AE61" s="71">
        <f>IF($S61="Sub",N($F61)*N($W61),"")</f>
        <v/>
      </c>
      <c r="AF61" s="71">
        <f>IF($S61="Sub",N($F61)*N($X61),"")</f>
        <v/>
      </c>
      <c r="AG61" s="71">
        <f>IF(N($T61)&gt;0,SUMIFS($F$5:$F$1000,$R$5:$R$1000,ROW(),$S$5:$S$1000,"Sub"),"")</f>
        <v/>
      </c>
    </row>
    <row r="62">
      <c r="A62" s="62">
        <f>IF(NOT((COUNTA($B62:$J62)+COUNTA($N62))&gt;0),"",IF($S62="Macro",COUNTIFS($S$5:$S62,"Macro",$P$5:$P62,$P62),IF(N($R62)=0,"?",COUNTIFS(INDEX($S$5:$S$1000,1):INDEX($S$5:$S$1000,$R62-4),"Macro",INDEX($P$5:$P$1000,1):INDEX($P$5:$P$1000,$R62-4),INDEX($P$5:$P$1000,$R62-4))&amp;"."&amp;COUNTIFS($R$5:$R62,$R62,$S$5:$S62,"Sub"))))</f>
        <v/>
      </c>
      <c r="B62" s="63" t="n"/>
      <c r="C62" s="64" t="n"/>
      <c r="D62" s="65" t="n"/>
      <c r="E62" s="65" t="n"/>
      <c r="F62" s="66" t="n"/>
      <c r="G62" s="67" t="n"/>
      <c r="H62" s="67" t="n"/>
      <c r="I62" s="67" t="n"/>
      <c r="J62" s="67" t="n"/>
      <c r="K62" s="68">
        <f>IF(NOT((COUNTA($B62:$J62)+COUNTA($N62))&gt;0),"",IF(N($T62)&gt;0,$AB62,IFERROR(LOOKUP(2,1/(G62:J62&lt;&gt;""),G62:J62),0)))</f>
        <v/>
      </c>
      <c r="L62" s="62">
        <f>IF(K62="","",IF(K62&gt;=1,"Completado",IF(K62&gt;0,"En curso","Pendiente")))</f>
        <v/>
      </c>
      <c r="M62" s="62">
        <f>IF(NOT((COUNTA($B62:$J62)+COUNTA($N62))&gt;0),"",IF(N($K62)&gt;=1,"Cumplida",IF(NOT(ISNUMBER($E62)),"Sin fecha límite",IF($E62&lt;FechaRef,"Vencida hace "&amp;(FechaRef-$E62)&amp;IF(FechaRef-$E62=1," día"," días"),IF($E62=FechaRef,"Vence hoy",IF($E62-FechaRef&lt;=DiasAlerta,"Vence en "&amp;($E62-FechaRef)&amp;IF($E62-FechaRef=1," día"," días"),"En plazo"))))))</f>
        <v/>
      </c>
      <c r="N62" s="64" t="n"/>
      <c r="O62" s="69">
        <f>IF(NOT((COUNTA($B62:$J62)+COUNTA($N62))&gt;0),"",IF((IF($C62="","Falta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",""))="","✔ OK","⚠ "&amp;LEFT(IF($C62="","Falta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",""),LEN(IF($C62="","Falta el nombre de la actividad"&amp;" · ","")&amp;IF(AND($S62="Sub",N($R62)=0),"Subactividad sin macroactividad arriba"&amp;" · ","")&amp;IF($D62="","Sin fecha de inicio"&amp;" · ","")&amp;IF($E62="","Sin fecha límite"&amp;" · ","")&amp;IF(OR(AND($D62&lt;&gt;"",NOT(ISNUMBER($D62))),AND($E62&lt;&gt;"",NOT(ISNUMBER($E62)))),"Fecha no válida"&amp;" · ","")&amp;IF(AND(ISNUMBER($D62),ISNUMBER($E62),$D62&gt;$E62),"Inicio posterior a fecha límite"&amp;" · ","")&amp;IF(AND($S62="Macro",$F62=""),"Peso vacío"&amp;" · ","")&amp;IF(AND($S62="Macro",$F62&lt;&gt;"",OR(NOT(ISNUMBER($F62)),$F62&lt;=0,$F62&gt;1)),"Peso fuera de rango"&amp;" · ","")&amp;IF(AND($S62="Sub",$F62&lt;&gt;"",OR(NOT(ISNUMBER($F62)),$F62&lt;0,$F62&gt;1)),"Peso fuera de rango"&amp;" · ","")&amp;IF(AND($S62="Sub",$F62="",IFERROR(N(INDEX($AG$5:$AG$1000,$R62-4)),0)&gt;0),"Falta el peso de la subactividad"&amp;" · ","")&amp;IF(AND(N($T62)&gt;0,N($AG62)&gt;0,ABS(N($AG62)-N($F62))&gt;0.0001),"Pesos de sus subactividades suman "&amp;TEXT(N($AG62),"0%")&amp;" (deben sumar "&amp;TEXT(N($F62),"0%")&amp;")"&amp;" · ","")&amp;IF(AND($S62="Macro",ABS(SUMIFS($F$5:$F$1000,$P$5:$P$1000,$P62,$S$5:$S$1000,"Macro")-1)&gt;0.0001),"Pesos del mes suman "&amp;TEXT(SUMIFS($F$5:$F$1000,$P$5:$P$1000,$P62,$S$5:$S$1000,"Macro"),"0%")&amp;" · ","")&amp;IF(AND(N($T62)&gt;0,COUNT($G62:$J62)&gt;0),"Con subactividades: deje vacías las semanas (se calculan solas)"&amp;" · ","")&amp;IF((COUNTIF($G62:$J62,"&gt;1")+COUNTIF($G62:$J62,"&lt;0")+COUNTA($G62:$J62)-COUNT($G62:$J62))&gt;0,"Avance fuera de rango 0-100%"&amp;" · ","")&amp;IF(OR(AND($H62&lt;&gt;"",$H62&lt;$G62),AND($I62&lt;&gt;"",$I62&lt;MAX($G62:$H62)),AND($J62&lt;&gt;"",$J62&lt;MAX($G62:$I62))),"Avance semanal decreciente"&amp;" · ","")&amp;IF(AND(ISNUMBER($E62),$E62&lt;FechaRef,N($K62)&lt;1),"Vencida"&amp;" · ","")&amp;IF(AND(ObsObligatoria="Sí",ISNUMBER($E62),$E62&lt;FechaRef,N($K62)&lt;1,$N62=""),"Vencida sin observación"&amp;" · ",""))-3)))</f>
        <v/>
      </c>
      <c r="P62" s="70">
        <f>IF(NOT((COUNTA($B62:$J62)+COUNTA($N62))&gt;0),"",IF(AND($S62="Sub",N($R62)&gt;0),IF(ISNUMBER(INDEX($D$5:$D$1000,$R62-4)),DATE(YEAR(INDEX($D$5:$D$1000,$R62-4)),MONTH(INDEX($D$5:$D$1000,$R62-4)),1),IF(ISNUMBER(INDEX($E$5:$E$1000,$R62-4)),DATE(YEAR(INDEX($E$5:$E$1000,$R62-4)),MONTH(INDEX($E$5:$E$1000,$R62-4)),1),MesCiclo)),IF(ISNUMBER($D62),DATE(YEAR($D62),MONTH($D62),1),IF(ISNUMBER($E62),DATE(YEAR($E62),MONTH($E62),1),MesCiclo))))</f>
        <v/>
      </c>
      <c r="Q62" s="71">
        <f>IF(OR($P62="",$P62&lt;&gt;MesCiclo),"",COUNTIF($P$5:$P62,MesCiclo))</f>
        <v/>
      </c>
      <c r="R62" s="71">
        <f>IF($S62="","",IF($S62="Macro",ROW(),IFERROR(LOOKUP(2,1/($S$5:$S62="Macro"),ROW($S$5:$S62)),0)))</f>
        <v/>
      </c>
      <c r="S62" s="71">
        <f>IF(NOT((COUNTA($B62:$J62)+COUNTA($N62))&gt;0),"",IF($B62="Subactividad","Sub","Macro"))</f>
        <v/>
      </c>
      <c r="T62" s="71">
        <f>IF($S62="Macro",COUNTIFS($R$5:$R$1000,ROW(),$S$5:$S$1000,"Sub"),"")</f>
        <v/>
      </c>
      <c r="U62" s="71">
        <f>IF($S62="","",IF(ISNUMBER($G62),$G62,0))</f>
        <v/>
      </c>
      <c r="V62" s="71">
        <f>IF($S62="","",IF(ISNUMBER($H62),$H62,$U62))</f>
        <v/>
      </c>
      <c r="W62" s="71">
        <f>IF($S62="","",IF(ISNUMBER($I62),$I62,$V62))</f>
        <v/>
      </c>
      <c r="X62" s="71">
        <f>IF($S62="","",IF(ISNUMBER($J62),$J62,$W62))</f>
        <v/>
      </c>
      <c r="Y62" s="71">
        <f>IF($S62="","",IF(N($T62)&gt;0,IF(N($AG62)&gt;0,SUMIFS($AC$5:$AC$1000,$R$5:$R$1000,ROW(),$S$5:$S$1000,"Sub")/$AG62,AVERAGEIFS($U$5:$U$1000,$R$5:$R$1000,ROW(),$S$5:$S$1000,"Sub")),$U62))</f>
        <v/>
      </c>
      <c r="Z62" s="71">
        <f>IF($S62="","",IF(N($T62)&gt;0,IF(N($AG62)&gt;0,SUMIFS($AD$5:$AD$1000,$R$5:$R$1000,ROW(),$S$5:$S$1000,"Sub")/$AG62,AVERAGEIFS($V$5:$V$1000,$R$5:$R$1000,ROW(),$S$5:$S$1000,"Sub")),$V62))</f>
        <v/>
      </c>
      <c r="AA62" s="71">
        <f>IF($S62="","",IF(N($T62)&gt;0,IF(N($AG62)&gt;0,SUMIFS($AE$5:$AE$1000,$R$5:$R$1000,ROW(),$S$5:$S$1000,"Sub")/$AG62,AVERAGEIFS($W$5:$W$1000,$R$5:$R$1000,ROW(),$S$5:$S$1000,"Sub")),$W62))</f>
        <v/>
      </c>
      <c r="AB62" s="71">
        <f>IF($S62="","",IF(N($T62)&gt;0,IF(N($AG62)&gt;0,SUMIFS($AF$5:$AF$1000,$R$5:$R$1000,ROW(),$S$5:$S$1000,"Sub")/$AG62,AVERAGEIFS($X$5:$X$1000,$R$5:$R$1000,ROW(),$S$5:$S$1000,"Sub")),$X62))</f>
        <v/>
      </c>
      <c r="AC62" s="71">
        <f>IF($S62="Sub",N($F62)*N($U62),"")</f>
        <v/>
      </c>
      <c r="AD62" s="71">
        <f>IF($S62="Sub",N($F62)*N($V62),"")</f>
        <v/>
      </c>
      <c r="AE62" s="71">
        <f>IF($S62="Sub",N($F62)*N($W62),"")</f>
        <v/>
      </c>
      <c r="AF62" s="71">
        <f>IF($S62="Sub",N($F62)*N($X62),"")</f>
        <v/>
      </c>
      <c r="AG62" s="71">
        <f>IF(N($T62)&gt;0,SUMIFS($F$5:$F$1000,$R$5:$R$1000,ROW(),$S$5:$S$1000,"Sub"),"")</f>
        <v/>
      </c>
    </row>
    <row r="63">
      <c r="A63" s="62">
        <f>IF(NOT((COUNTA($B63:$J63)+COUNTA($N63))&gt;0),"",IF($S63="Macro",COUNTIFS($S$5:$S63,"Macro",$P$5:$P63,$P63),IF(N($R63)=0,"?",COUNTIFS(INDEX($S$5:$S$1000,1):INDEX($S$5:$S$1000,$R63-4),"Macro",INDEX($P$5:$P$1000,1):INDEX($P$5:$P$1000,$R63-4),INDEX($P$5:$P$1000,$R63-4))&amp;"."&amp;COUNTIFS($R$5:$R63,$R63,$S$5:$S63,"Sub"))))</f>
        <v/>
      </c>
      <c r="B63" s="63" t="n"/>
      <c r="C63" s="64" t="n"/>
      <c r="D63" s="65" t="n"/>
      <c r="E63" s="65" t="n"/>
      <c r="F63" s="66" t="n"/>
      <c r="G63" s="67" t="n"/>
      <c r="H63" s="67" t="n"/>
      <c r="I63" s="67" t="n"/>
      <c r="J63" s="67" t="n"/>
      <c r="K63" s="68">
        <f>IF(NOT((COUNTA($B63:$J63)+COUNTA($N63))&gt;0),"",IF(N($T63)&gt;0,$AB63,IFERROR(LOOKUP(2,1/(G63:J63&lt;&gt;""),G63:J63),0)))</f>
        <v/>
      </c>
      <c r="L63" s="62">
        <f>IF(K63="","",IF(K63&gt;=1,"Completado",IF(K63&gt;0,"En curso","Pendiente")))</f>
        <v/>
      </c>
      <c r="M63" s="62">
        <f>IF(NOT((COUNTA($B63:$J63)+COUNTA($N63))&gt;0),"",IF(N($K63)&gt;=1,"Cumplida",IF(NOT(ISNUMBER($E63)),"Sin fecha límite",IF($E63&lt;FechaRef,"Vencida hace "&amp;(FechaRef-$E63)&amp;IF(FechaRef-$E63=1," día"," días"),IF($E63=FechaRef,"Vence hoy",IF($E63-FechaRef&lt;=DiasAlerta,"Vence en "&amp;($E63-FechaRef)&amp;IF($E63-FechaRef=1," día"," días"),"En plazo"))))))</f>
        <v/>
      </c>
      <c r="N63" s="64" t="n"/>
      <c r="O63" s="69">
        <f>IF(NOT((COUNTA($B63:$J63)+COUNTA($N63))&gt;0),"",IF((IF($C63="","Falta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",""))="","✔ OK","⚠ "&amp;LEFT(IF($C63="","Falta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",""),LEN(IF($C63="","Falta el nombre de la actividad"&amp;" · ","")&amp;IF(AND($S63="Sub",N($R63)=0),"Subactividad sin macroactividad arriba"&amp;" · ","")&amp;IF($D63="","Sin fecha de inicio"&amp;" · ","")&amp;IF($E63="","Sin fecha límite"&amp;" · ","")&amp;IF(OR(AND($D63&lt;&gt;"",NOT(ISNUMBER($D63))),AND($E63&lt;&gt;"",NOT(ISNUMBER($E63)))),"Fecha no válida"&amp;" · ","")&amp;IF(AND(ISNUMBER($D63),ISNUMBER($E63),$D63&gt;$E63),"Inicio posterior a fecha límite"&amp;" · ","")&amp;IF(AND($S63="Macro",$F63=""),"Peso vacío"&amp;" · ","")&amp;IF(AND($S63="Macro",$F63&lt;&gt;"",OR(NOT(ISNUMBER($F63)),$F63&lt;=0,$F63&gt;1)),"Peso fuera de rango"&amp;" · ","")&amp;IF(AND($S63="Sub",$F63&lt;&gt;"",OR(NOT(ISNUMBER($F63)),$F63&lt;0,$F63&gt;1)),"Peso fuera de rango"&amp;" · ","")&amp;IF(AND($S63="Sub",$F63="",IFERROR(N(INDEX($AG$5:$AG$1000,$R63-4)),0)&gt;0),"Falta el peso de la subactividad"&amp;" · ","")&amp;IF(AND(N($T63)&gt;0,N($AG63)&gt;0,ABS(N($AG63)-N($F63))&gt;0.0001),"Pesos de sus subactividades suman "&amp;TEXT(N($AG63),"0%")&amp;" (deben sumar "&amp;TEXT(N($F63),"0%")&amp;")"&amp;" · ","")&amp;IF(AND($S63="Macro",ABS(SUMIFS($F$5:$F$1000,$P$5:$P$1000,$P63,$S$5:$S$1000,"Macro")-1)&gt;0.0001),"Pesos del mes suman "&amp;TEXT(SUMIFS($F$5:$F$1000,$P$5:$P$1000,$P63,$S$5:$S$1000,"Macro"),"0%")&amp;" · ","")&amp;IF(AND(N($T63)&gt;0,COUNT($G63:$J63)&gt;0),"Con subactividades: deje vacías las semanas (se calculan solas)"&amp;" · ","")&amp;IF((COUNTIF($G63:$J63,"&gt;1")+COUNTIF($G63:$J63,"&lt;0")+COUNTA($G63:$J63)-COUNT($G63:$J63))&gt;0,"Avance fuera de rango 0-100%"&amp;" · ","")&amp;IF(OR(AND($H63&lt;&gt;"",$H63&lt;$G63),AND($I63&lt;&gt;"",$I63&lt;MAX($G63:$H63)),AND($J63&lt;&gt;"",$J63&lt;MAX($G63:$I63))),"Avance semanal decreciente"&amp;" · ","")&amp;IF(AND(ISNUMBER($E63),$E63&lt;FechaRef,N($K63)&lt;1),"Vencida"&amp;" · ","")&amp;IF(AND(ObsObligatoria="Sí",ISNUMBER($E63),$E63&lt;FechaRef,N($K63)&lt;1,$N63=""),"Vencida sin observación"&amp;" · ",""))-3)))</f>
        <v/>
      </c>
      <c r="P63" s="70">
        <f>IF(NOT((COUNTA($B63:$J63)+COUNTA($N63))&gt;0),"",IF(AND($S63="Sub",N($R63)&gt;0),IF(ISNUMBER(INDEX($D$5:$D$1000,$R63-4)),DATE(YEAR(INDEX($D$5:$D$1000,$R63-4)),MONTH(INDEX($D$5:$D$1000,$R63-4)),1),IF(ISNUMBER(INDEX($E$5:$E$1000,$R63-4)),DATE(YEAR(INDEX($E$5:$E$1000,$R63-4)),MONTH(INDEX($E$5:$E$1000,$R63-4)),1),MesCiclo)),IF(ISNUMBER($D63),DATE(YEAR($D63),MONTH($D63),1),IF(ISNUMBER($E63),DATE(YEAR($E63),MONTH($E63),1),MesCiclo))))</f>
        <v/>
      </c>
      <c r="Q63" s="71">
        <f>IF(OR($P63="",$P63&lt;&gt;MesCiclo),"",COUNTIF($P$5:$P63,MesCiclo))</f>
        <v/>
      </c>
      <c r="R63" s="71">
        <f>IF($S63="","",IF($S63="Macro",ROW(),IFERROR(LOOKUP(2,1/($S$5:$S63="Macro"),ROW($S$5:$S63)),0)))</f>
        <v/>
      </c>
      <c r="S63" s="71">
        <f>IF(NOT((COUNTA($B63:$J63)+COUNTA($N63))&gt;0),"",IF($B63="Subactividad","Sub","Macro"))</f>
        <v/>
      </c>
      <c r="T63" s="71">
        <f>IF($S63="Macro",COUNTIFS($R$5:$R$1000,ROW(),$S$5:$S$1000,"Sub"),"")</f>
        <v/>
      </c>
      <c r="U63" s="71">
        <f>IF($S63="","",IF(ISNUMBER($G63),$G63,0))</f>
        <v/>
      </c>
      <c r="V63" s="71">
        <f>IF($S63="","",IF(ISNUMBER($H63),$H63,$U63))</f>
        <v/>
      </c>
      <c r="W63" s="71">
        <f>IF($S63="","",IF(ISNUMBER($I63),$I63,$V63))</f>
        <v/>
      </c>
      <c r="X63" s="71">
        <f>IF($S63="","",IF(ISNUMBER($J63),$J63,$W63))</f>
        <v/>
      </c>
      <c r="Y63" s="71">
        <f>IF($S63="","",IF(N($T63)&gt;0,IF(N($AG63)&gt;0,SUMIFS($AC$5:$AC$1000,$R$5:$R$1000,ROW(),$S$5:$S$1000,"Sub")/$AG63,AVERAGEIFS($U$5:$U$1000,$R$5:$R$1000,ROW(),$S$5:$S$1000,"Sub")),$U63))</f>
        <v/>
      </c>
      <c r="Z63" s="71">
        <f>IF($S63="","",IF(N($T63)&gt;0,IF(N($AG63)&gt;0,SUMIFS($AD$5:$AD$1000,$R$5:$R$1000,ROW(),$S$5:$S$1000,"Sub")/$AG63,AVERAGEIFS($V$5:$V$1000,$R$5:$R$1000,ROW(),$S$5:$S$1000,"Sub")),$V63))</f>
        <v/>
      </c>
      <c r="AA63" s="71">
        <f>IF($S63="","",IF(N($T63)&gt;0,IF(N($AG63)&gt;0,SUMIFS($AE$5:$AE$1000,$R$5:$R$1000,ROW(),$S$5:$S$1000,"Sub")/$AG63,AVERAGEIFS($W$5:$W$1000,$R$5:$R$1000,ROW(),$S$5:$S$1000,"Sub")),$W63))</f>
        <v/>
      </c>
      <c r="AB63" s="71">
        <f>IF($S63="","",IF(N($T63)&gt;0,IF(N($AG63)&gt;0,SUMIFS($AF$5:$AF$1000,$R$5:$R$1000,ROW(),$S$5:$S$1000,"Sub")/$AG63,AVERAGEIFS($X$5:$X$1000,$R$5:$R$1000,ROW(),$S$5:$S$1000,"Sub")),$X63))</f>
        <v/>
      </c>
      <c r="AC63" s="71">
        <f>IF($S63="Sub",N($F63)*N($U63),"")</f>
        <v/>
      </c>
      <c r="AD63" s="71">
        <f>IF($S63="Sub",N($F63)*N($V63),"")</f>
        <v/>
      </c>
      <c r="AE63" s="71">
        <f>IF($S63="Sub",N($F63)*N($W63),"")</f>
        <v/>
      </c>
      <c r="AF63" s="71">
        <f>IF($S63="Sub",N($F63)*N($X63),"")</f>
        <v/>
      </c>
      <c r="AG63" s="71">
        <f>IF(N($T63)&gt;0,SUMIFS($F$5:$F$1000,$R$5:$R$1000,ROW(),$S$5:$S$1000,"Sub"),"")</f>
        <v/>
      </c>
    </row>
    <row r="64">
      <c r="A64" s="62">
        <f>IF(NOT((COUNTA($B64:$J64)+COUNTA($N64))&gt;0),"",IF($S64="Macro",COUNTIFS($S$5:$S64,"Macro",$P$5:$P64,$P64),IF(N($R64)=0,"?",COUNTIFS(INDEX($S$5:$S$1000,1):INDEX($S$5:$S$1000,$R64-4),"Macro",INDEX($P$5:$P$1000,1):INDEX($P$5:$P$1000,$R64-4),INDEX($P$5:$P$1000,$R64-4))&amp;"."&amp;COUNTIFS($R$5:$R64,$R64,$S$5:$S64,"Sub"))))</f>
        <v/>
      </c>
      <c r="B64" s="63" t="n"/>
      <c r="C64" s="64" t="n"/>
      <c r="D64" s="65" t="n"/>
      <c r="E64" s="65" t="n"/>
      <c r="F64" s="66" t="n"/>
      <c r="G64" s="67" t="n"/>
      <c r="H64" s="67" t="n"/>
      <c r="I64" s="67" t="n"/>
      <c r="J64" s="67" t="n"/>
      <c r="K64" s="68">
        <f>IF(NOT((COUNTA($B64:$J64)+COUNTA($N64))&gt;0),"",IF(N($T64)&gt;0,$AB64,IFERROR(LOOKUP(2,1/(G64:J64&lt;&gt;""),G64:J64),0)))</f>
        <v/>
      </c>
      <c r="L64" s="62">
        <f>IF(K64="","",IF(K64&gt;=1,"Completado",IF(K64&gt;0,"En curso","Pendiente")))</f>
        <v/>
      </c>
      <c r="M64" s="62">
        <f>IF(NOT((COUNTA($B64:$J64)+COUNTA($N64))&gt;0),"",IF(N($K64)&gt;=1,"Cumplida",IF(NOT(ISNUMBER($E64)),"Sin fecha límite",IF($E64&lt;FechaRef,"Vencida hace "&amp;(FechaRef-$E64)&amp;IF(FechaRef-$E64=1," día"," días"),IF($E64=FechaRef,"Vence hoy",IF($E64-FechaRef&lt;=DiasAlerta,"Vence en "&amp;($E64-FechaRef)&amp;IF($E64-FechaRef=1," día"," días"),"En plazo"))))))</f>
        <v/>
      </c>
      <c r="N64" s="64" t="n"/>
      <c r="O64" s="69">
        <f>IF(NOT((COUNTA($B64:$J64)+COUNTA($N64))&gt;0),"",IF((IF($C64="","Falta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",""))="","✔ OK","⚠ "&amp;LEFT(IF($C64="","Falta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",""),LEN(IF($C64="","Falta el nombre de la actividad"&amp;" · ","")&amp;IF(AND($S64="Sub",N($R64)=0),"Subactividad sin macroactividad arriba"&amp;" · ","")&amp;IF($D64="","Sin fecha de inicio"&amp;" · ","")&amp;IF($E64="","Sin fecha límite"&amp;" · ","")&amp;IF(OR(AND($D64&lt;&gt;"",NOT(ISNUMBER($D64))),AND($E64&lt;&gt;"",NOT(ISNUMBER($E64)))),"Fecha no válida"&amp;" · ","")&amp;IF(AND(ISNUMBER($D64),ISNUMBER($E64),$D64&gt;$E64),"Inicio posterior a fecha límite"&amp;" · ","")&amp;IF(AND($S64="Macro",$F64=""),"Peso vacío"&amp;" · ","")&amp;IF(AND($S64="Macro",$F64&lt;&gt;"",OR(NOT(ISNUMBER($F64)),$F64&lt;=0,$F64&gt;1)),"Peso fuera de rango"&amp;" · ","")&amp;IF(AND($S64="Sub",$F64&lt;&gt;"",OR(NOT(ISNUMBER($F64)),$F64&lt;0,$F64&gt;1)),"Peso fuera de rango"&amp;" · ","")&amp;IF(AND($S64="Sub",$F64="",IFERROR(N(INDEX($AG$5:$AG$1000,$R64-4)),0)&gt;0),"Falta el peso de la subactividad"&amp;" · ","")&amp;IF(AND(N($T64)&gt;0,N($AG64)&gt;0,ABS(N($AG64)-N($F64))&gt;0.0001),"Pesos de sus subactividades suman "&amp;TEXT(N($AG64),"0%")&amp;" (deben sumar "&amp;TEXT(N($F64),"0%")&amp;")"&amp;" · ","")&amp;IF(AND($S64="Macro",ABS(SUMIFS($F$5:$F$1000,$P$5:$P$1000,$P64,$S$5:$S$1000,"Macro")-1)&gt;0.0001),"Pesos del mes suman "&amp;TEXT(SUMIFS($F$5:$F$1000,$P$5:$P$1000,$P64,$S$5:$S$1000,"Macro"),"0%")&amp;" · ","")&amp;IF(AND(N($T64)&gt;0,COUNT($G64:$J64)&gt;0),"Con subactividades: deje vacías las semanas (se calculan solas)"&amp;" · ","")&amp;IF((COUNTIF($G64:$J64,"&gt;1")+COUNTIF($G64:$J64,"&lt;0")+COUNTA($G64:$J64)-COUNT($G64:$J64))&gt;0,"Avance fuera de rango 0-100%"&amp;" · ","")&amp;IF(OR(AND($H64&lt;&gt;"",$H64&lt;$G64),AND($I64&lt;&gt;"",$I64&lt;MAX($G64:$H64)),AND($J64&lt;&gt;"",$J64&lt;MAX($G64:$I64))),"Avance semanal decreciente"&amp;" · ","")&amp;IF(AND(ISNUMBER($E64),$E64&lt;FechaRef,N($K64)&lt;1),"Vencida"&amp;" · ","")&amp;IF(AND(ObsObligatoria="Sí",ISNUMBER($E64),$E64&lt;FechaRef,N($K64)&lt;1,$N64=""),"Vencida sin observación"&amp;" · ",""))-3)))</f>
        <v/>
      </c>
      <c r="P64" s="70">
        <f>IF(NOT((COUNTA($B64:$J64)+COUNTA($N64))&gt;0),"",IF(AND($S64="Sub",N($R64)&gt;0),IF(ISNUMBER(INDEX($D$5:$D$1000,$R64-4)),DATE(YEAR(INDEX($D$5:$D$1000,$R64-4)),MONTH(INDEX($D$5:$D$1000,$R64-4)),1),IF(ISNUMBER(INDEX($E$5:$E$1000,$R64-4)),DATE(YEAR(INDEX($E$5:$E$1000,$R64-4)),MONTH(INDEX($E$5:$E$1000,$R64-4)),1),MesCiclo)),IF(ISNUMBER($D64),DATE(YEAR($D64),MONTH($D64),1),IF(ISNUMBER($E64),DATE(YEAR($E64),MONTH($E64),1),MesCiclo))))</f>
        <v/>
      </c>
      <c r="Q64" s="71">
        <f>IF(OR($P64="",$P64&lt;&gt;MesCiclo),"",COUNTIF($P$5:$P64,MesCiclo))</f>
        <v/>
      </c>
      <c r="R64" s="71">
        <f>IF($S64="","",IF($S64="Macro",ROW(),IFERROR(LOOKUP(2,1/($S$5:$S64="Macro"),ROW($S$5:$S64)),0)))</f>
        <v/>
      </c>
      <c r="S64" s="71">
        <f>IF(NOT((COUNTA($B64:$J64)+COUNTA($N64))&gt;0),"",IF($B64="Subactividad","Sub","Macro"))</f>
        <v/>
      </c>
      <c r="T64" s="71">
        <f>IF($S64="Macro",COUNTIFS($R$5:$R$1000,ROW(),$S$5:$S$1000,"Sub"),"")</f>
        <v/>
      </c>
      <c r="U64" s="71">
        <f>IF($S64="","",IF(ISNUMBER($G64),$G64,0))</f>
        <v/>
      </c>
      <c r="V64" s="71">
        <f>IF($S64="","",IF(ISNUMBER($H64),$H64,$U64))</f>
        <v/>
      </c>
      <c r="W64" s="71">
        <f>IF($S64="","",IF(ISNUMBER($I64),$I64,$V64))</f>
        <v/>
      </c>
      <c r="X64" s="71">
        <f>IF($S64="","",IF(ISNUMBER($J64),$J64,$W64))</f>
        <v/>
      </c>
      <c r="Y64" s="71">
        <f>IF($S64="","",IF(N($T64)&gt;0,IF(N($AG64)&gt;0,SUMIFS($AC$5:$AC$1000,$R$5:$R$1000,ROW(),$S$5:$S$1000,"Sub")/$AG64,AVERAGEIFS($U$5:$U$1000,$R$5:$R$1000,ROW(),$S$5:$S$1000,"Sub")),$U64))</f>
        <v/>
      </c>
      <c r="Z64" s="71">
        <f>IF($S64="","",IF(N($T64)&gt;0,IF(N($AG64)&gt;0,SUMIFS($AD$5:$AD$1000,$R$5:$R$1000,ROW(),$S$5:$S$1000,"Sub")/$AG64,AVERAGEIFS($V$5:$V$1000,$R$5:$R$1000,ROW(),$S$5:$S$1000,"Sub")),$V64))</f>
        <v/>
      </c>
      <c r="AA64" s="71">
        <f>IF($S64="","",IF(N($T64)&gt;0,IF(N($AG64)&gt;0,SUMIFS($AE$5:$AE$1000,$R$5:$R$1000,ROW(),$S$5:$S$1000,"Sub")/$AG64,AVERAGEIFS($W$5:$W$1000,$R$5:$R$1000,ROW(),$S$5:$S$1000,"Sub")),$W64))</f>
        <v/>
      </c>
      <c r="AB64" s="71">
        <f>IF($S64="","",IF(N($T64)&gt;0,IF(N($AG64)&gt;0,SUMIFS($AF$5:$AF$1000,$R$5:$R$1000,ROW(),$S$5:$S$1000,"Sub")/$AG64,AVERAGEIFS($X$5:$X$1000,$R$5:$R$1000,ROW(),$S$5:$S$1000,"Sub")),$X64))</f>
        <v/>
      </c>
      <c r="AC64" s="71">
        <f>IF($S64="Sub",N($F64)*N($U64),"")</f>
        <v/>
      </c>
      <c r="AD64" s="71">
        <f>IF($S64="Sub",N($F64)*N($V64),"")</f>
        <v/>
      </c>
      <c r="AE64" s="71">
        <f>IF($S64="Sub",N($F64)*N($W64),"")</f>
        <v/>
      </c>
      <c r="AF64" s="71">
        <f>IF($S64="Sub",N($F64)*N($X64),"")</f>
        <v/>
      </c>
      <c r="AG64" s="71">
        <f>IF(N($T64)&gt;0,SUMIFS($F$5:$F$1000,$R$5:$R$1000,ROW(),$S$5:$S$1000,"Sub"),"")</f>
        <v/>
      </c>
    </row>
    <row r="65">
      <c r="A65" s="62">
        <f>IF(NOT((COUNTA($B65:$J65)+COUNTA($N65))&gt;0),"",IF($S65="Macro",COUNTIFS($S$5:$S65,"Macro",$P$5:$P65,$P65),IF(N($R65)=0,"?",COUNTIFS(INDEX($S$5:$S$1000,1):INDEX($S$5:$S$1000,$R65-4),"Macro",INDEX($P$5:$P$1000,1):INDEX($P$5:$P$1000,$R65-4),INDEX($P$5:$P$1000,$R65-4))&amp;"."&amp;COUNTIFS($R$5:$R65,$R65,$S$5:$S65,"Sub"))))</f>
        <v/>
      </c>
      <c r="B65" s="63" t="n"/>
      <c r="C65" s="64" t="n"/>
      <c r="D65" s="65" t="n"/>
      <c r="E65" s="65" t="n"/>
      <c r="F65" s="66" t="n"/>
      <c r="G65" s="67" t="n"/>
      <c r="H65" s="67" t="n"/>
      <c r="I65" s="67" t="n"/>
      <c r="J65" s="67" t="n"/>
      <c r="K65" s="68">
        <f>IF(NOT((COUNTA($B65:$J65)+COUNTA($N65))&gt;0),"",IF(N($T65)&gt;0,$AB65,IFERROR(LOOKUP(2,1/(G65:J65&lt;&gt;""),G65:J65),0)))</f>
        <v/>
      </c>
      <c r="L65" s="62">
        <f>IF(K65="","",IF(K65&gt;=1,"Completado",IF(K65&gt;0,"En curso","Pendiente")))</f>
        <v/>
      </c>
      <c r="M65" s="62">
        <f>IF(NOT((COUNTA($B65:$J65)+COUNTA($N65))&gt;0),"",IF(N($K65)&gt;=1,"Cumplida",IF(NOT(ISNUMBER($E65)),"Sin fecha límite",IF($E65&lt;FechaRef,"Vencida hace "&amp;(FechaRef-$E65)&amp;IF(FechaRef-$E65=1," día"," días"),IF($E65=FechaRef,"Vence hoy",IF($E65-FechaRef&lt;=DiasAlerta,"Vence en "&amp;($E65-FechaRef)&amp;IF($E65-FechaRef=1," día"," días"),"En plazo"))))))</f>
        <v/>
      </c>
      <c r="N65" s="64" t="n"/>
      <c r="O65" s="69">
        <f>IF(NOT((COUNTA($B65:$J65)+COUNTA($N65))&gt;0),"",IF((IF($C65="","Falta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",""))="","✔ OK","⚠ "&amp;LEFT(IF($C65="","Falta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",""),LEN(IF($C65="","Falta el nombre de la actividad"&amp;" · ","")&amp;IF(AND($S65="Sub",N($R65)=0),"Subactividad sin macroactividad arriba"&amp;" · ","")&amp;IF($D65="","Sin fecha de inicio"&amp;" · ","")&amp;IF($E65="","Sin fecha límite"&amp;" · ","")&amp;IF(OR(AND($D65&lt;&gt;"",NOT(ISNUMBER($D65))),AND($E65&lt;&gt;"",NOT(ISNUMBER($E65)))),"Fecha no válida"&amp;" · ","")&amp;IF(AND(ISNUMBER($D65),ISNUMBER($E65),$D65&gt;$E65),"Inicio posterior a fecha límite"&amp;" · ","")&amp;IF(AND($S65="Macro",$F65=""),"Peso vacío"&amp;" · ","")&amp;IF(AND($S65="Macro",$F65&lt;&gt;"",OR(NOT(ISNUMBER($F65)),$F65&lt;=0,$F65&gt;1)),"Peso fuera de rango"&amp;" · ","")&amp;IF(AND($S65="Sub",$F65&lt;&gt;"",OR(NOT(ISNUMBER($F65)),$F65&lt;0,$F65&gt;1)),"Peso fuera de rango"&amp;" · ","")&amp;IF(AND($S65="Sub",$F65="",IFERROR(N(INDEX($AG$5:$AG$1000,$R65-4)),0)&gt;0),"Falta el peso de la subactividad"&amp;" · ","")&amp;IF(AND(N($T65)&gt;0,N($AG65)&gt;0,ABS(N($AG65)-N($F65))&gt;0.0001),"Pesos de sus subactividades suman "&amp;TEXT(N($AG65),"0%")&amp;" (deben sumar "&amp;TEXT(N($F65),"0%")&amp;")"&amp;" · ","")&amp;IF(AND($S65="Macro",ABS(SUMIFS($F$5:$F$1000,$P$5:$P$1000,$P65,$S$5:$S$1000,"Macro")-1)&gt;0.0001),"Pesos del mes suman "&amp;TEXT(SUMIFS($F$5:$F$1000,$P$5:$P$1000,$P65,$S$5:$S$1000,"Macro"),"0%")&amp;" · ","")&amp;IF(AND(N($T65)&gt;0,COUNT($G65:$J65)&gt;0),"Con subactividades: deje vacías las semanas (se calculan solas)"&amp;" · ","")&amp;IF((COUNTIF($G65:$J65,"&gt;1")+COUNTIF($G65:$J65,"&lt;0")+COUNTA($G65:$J65)-COUNT($G65:$J65))&gt;0,"Avance fuera de rango 0-100%"&amp;" · ","")&amp;IF(OR(AND($H65&lt;&gt;"",$H65&lt;$G65),AND($I65&lt;&gt;"",$I65&lt;MAX($G65:$H65)),AND($J65&lt;&gt;"",$J65&lt;MAX($G65:$I65))),"Avance semanal decreciente"&amp;" · ","")&amp;IF(AND(ISNUMBER($E65),$E65&lt;FechaRef,N($K65)&lt;1),"Vencida"&amp;" · ","")&amp;IF(AND(ObsObligatoria="Sí",ISNUMBER($E65),$E65&lt;FechaRef,N($K65)&lt;1,$N65=""),"Vencida sin observación"&amp;" · ",""))-3)))</f>
        <v/>
      </c>
      <c r="P65" s="70">
        <f>IF(NOT((COUNTA($B65:$J65)+COUNTA($N65))&gt;0),"",IF(AND($S65="Sub",N($R65)&gt;0),IF(ISNUMBER(INDEX($D$5:$D$1000,$R65-4)),DATE(YEAR(INDEX($D$5:$D$1000,$R65-4)),MONTH(INDEX($D$5:$D$1000,$R65-4)),1),IF(ISNUMBER(INDEX($E$5:$E$1000,$R65-4)),DATE(YEAR(INDEX($E$5:$E$1000,$R65-4)),MONTH(INDEX($E$5:$E$1000,$R65-4)),1),MesCiclo)),IF(ISNUMBER($D65),DATE(YEAR($D65),MONTH($D65),1),IF(ISNUMBER($E65),DATE(YEAR($E65),MONTH($E65),1),MesCiclo))))</f>
        <v/>
      </c>
      <c r="Q65" s="71">
        <f>IF(OR($P65="",$P65&lt;&gt;MesCiclo),"",COUNTIF($P$5:$P65,MesCiclo))</f>
        <v/>
      </c>
      <c r="R65" s="71">
        <f>IF($S65="","",IF($S65="Macro",ROW(),IFERROR(LOOKUP(2,1/($S$5:$S65="Macro"),ROW($S$5:$S65)),0)))</f>
        <v/>
      </c>
      <c r="S65" s="71">
        <f>IF(NOT((COUNTA($B65:$J65)+COUNTA($N65))&gt;0),"",IF($B65="Subactividad","Sub","Macro"))</f>
        <v/>
      </c>
      <c r="T65" s="71">
        <f>IF($S65="Macro",COUNTIFS($R$5:$R$1000,ROW(),$S$5:$S$1000,"Sub"),"")</f>
        <v/>
      </c>
      <c r="U65" s="71">
        <f>IF($S65="","",IF(ISNUMBER($G65),$G65,0))</f>
        <v/>
      </c>
      <c r="V65" s="71">
        <f>IF($S65="","",IF(ISNUMBER($H65),$H65,$U65))</f>
        <v/>
      </c>
      <c r="W65" s="71">
        <f>IF($S65="","",IF(ISNUMBER($I65),$I65,$V65))</f>
        <v/>
      </c>
      <c r="X65" s="71">
        <f>IF($S65="","",IF(ISNUMBER($J65),$J65,$W65))</f>
        <v/>
      </c>
      <c r="Y65" s="71">
        <f>IF($S65="","",IF(N($T65)&gt;0,IF(N($AG65)&gt;0,SUMIFS($AC$5:$AC$1000,$R$5:$R$1000,ROW(),$S$5:$S$1000,"Sub")/$AG65,AVERAGEIFS($U$5:$U$1000,$R$5:$R$1000,ROW(),$S$5:$S$1000,"Sub")),$U65))</f>
        <v/>
      </c>
      <c r="Z65" s="71">
        <f>IF($S65="","",IF(N($T65)&gt;0,IF(N($AG65)&gt;0,SUMIFS($AD$5:$AD$1000,$R$5:$R$1000,ROW(),$S$5:$S$1000,"Sub")/$AG65,AVERAGEIFS($V$5:$V$1000,$R$5:$R$1000,ROW(),$S$5:$S$1000,"Sub")),$V65))</f>
        <v/>
      </c>
      <c r="AA65" s="71">
        <f>IF($S65="","",IF(N($T65)&gt;0,IF(N($AG65)&gt;0,SUMIFS($AE$5:$AE$1000,$R$5:$R$1000,ROW(),$S$5:$S$1000,"Sub")/$AG65,AVERAGEIFS($W$5:$W$1000,$R$5:$R$1000,ROW(),$S$5:$S$1000,"Sub")),$W65))</f>
        <v/>
      </c>
      <c r="AB65" s="71">
        <f>IF($S65="","",IF(N($T65)&gt;0,IF(N($AG65)&gt;0,SUMIFS($AF$5:$AF$1000,$R$5:$R$1000,ROW(),$S$5:$S$1000,"Sub")/$AG65,AVERAGEIFS($X$5:$X$1000,$R$5:$R$1000,ROW(),$S$5:$S$1000,"Sub")),$X65))</f>
        <v/>
      </c>
      <c r="AC65" s="71">
        <f>IF($S65="Sub",N($F65)*N($U65),"")</f>
        <v/>
      </c>
      <c r="AD65" s="71">
        <f>IF($S65="Sub",N($F65)*N($V65),"")</f>
        <v/>
      </c>
      <c r="AE65" s="71">
        <f>IF($S65="Sub",N($F65)*N($W65),"")</f>
        <v/>
      </c>
      <c r="AF65" s="71">
        <f>IF($S65="Sub",N($F65)*N($X65),"")</f>
        <v/>
      </c>
      <c r="AG65" s="71">
        <f>IF(N($T65)&gt;0,SUMIFS($F$5:$F$1000,$R$5:$R$1000,ROW(),$S$5:$S$1000,"Sub"),"")</f>
        <v/>
      </c>
    </row>
    <row r="66">
      <c r="A66" s="62">
        <f>IF(NOT((COUNTA($B66:$J66)+COUNTA($N66))&gt;0),"",IF($S66="Macro",COUNTIFS($S$5:$S66,"Macro",$P$5:$P66,$P66),IF(N($R66)=0,"?",COUNTIFS(INDEX($S$5:$S$1000,1):INDEX($S$5:$S$1000,$R66-4),"Macro",INDEX($P$5:$P$1000,1):INDEX($P$5:$P$1000,$R66-4),INDEX($P$5:$P$1000,$R66-4))&amp;"."&amp;COUNTIFS($R$5:$R66,$R66,$S$5:$S66,"Sub"))))</f>
        <v/>
      </c>
      <c r="B66" s="63" t="n"/>
      <c r="C66" s="64" t="n"/>
      <c r="D66" s="65" t="n"/>
      <c r="E66" s="65" t="n"/>
      <c r="F66" s="66" t="n"/>
      <c r="G66" s="67" t="n"/>
      <c r="H66" s="67" t="n"/>
      <c r="I66" s="67" t="n"/>
      <c r="J66" s="67" t="n"/>
      <c r="K66" s="68">
        <f>IF(NOT((COUNTA($B66:$J66)+COUNTA($N66))&gt;0),"",IF(N($T66)&gt;0,$AB66,IFERROR(LOOKUP(2,1/(G66:J66&lt;&gt;""),G66:J66),0)))</f>
        <v/>
      </c>
      <c r="L66" s="62">
        <f>IF(K66="","",IF(K66&gt;=1,"Completado",IF(K66&gt;0,"En curso","Pendiente")))</f>
        <v/>
      </c>
      <c r="M66" s="62">
        <f>IF(NOT((COUNTA($B66:$J66)+COUNTA($N66))&gt;0),"",IF(N($K66)&gt;=1,"Cumplida",IF(NOT(ISNUMBER($E66)),"Sin fecha límite",IF($E66&lt;FechaRef,"Vencida hace "&amp;(FechaRef-$E66)&amp;IF(FechaRef-$E66=1," día"," días"),IF($E66=FechaRef,"Vence hoy",IF($E66-FechaRef&lt;=DiasAlerta,"Vence en "&amp;($E66-FechaRef)&amp;IF($E66-FechaRef=1," día"," días"),"En plazo"))))))</f>
        <v/>
      </c>
      <c r="N66" s="64" t="n"/>
      <c r="O66" s="69">
        <f>IF(NOT((COUNTA($B66:$J66)+COUNTA($N66))&gt;0),"",IF((IF($C66="","Falta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",""))="","✔ OK","⚠ "&amp;LEFT(IF($C66="","Falta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",""),LEN(IF($C66="","Falta el nombre de la actividad"&amp;" · ","")&amp;IF(AND($S66="Sub",N($R66)=0),"Subactividad sin macroactividad arriba"&amp;" · ","")&amp;IF($D66="","Sin fecha de inicio"&amp;" · ","")&amp;IF($E66="","Sin fecha límite"&amp;" · ","")&amp;IF(OR(AND($D66&lt;&gt;"",NOT(ISNUMBER($D66))),AND($E66&lt;&gt;"",NOT(ISNUMBER($E66)))),"Fecha no válida"&amp;" · ","")&amp;IF(AND(ISNUMBER($D66),ISNUMBER($E66),$D66&gt;$E66),"Inicio posterior a fecha límite"&amp;" · ","")&amp;IF(AND($S66="Macro",$F66=""),"Peso vacío"&amp;" · ","")&amp;IF(AND($S66="Macro",$F66&lt;&gt;"",OR(NOT(ISNUMBER($F66)),$F66&lt;=0,$F66&gt;1)),"Peso fuera de rango"&amp;" · ","")&amp;IF(AND($S66="Sub",$F66&lt;&gt;"",OR(NOT(ISNUMBER($F66)),$F66&lt;0,$F66&gt;1)),"Peso fuera de rango"&amp;" · ","")&amp;IF(AND($S66="Sub",$F66="",IFERROR(N(INDEX($AG$5:$AG$1000,$R66-4)),0)&gt;0),"Falta el peso de la subactividad"&amp;" · ","")&amp;IF(AND(N($T66)&gt;0,N($AG66)&gt;0,ABS(N($AG66)-N($F66))&gt;0.0001),"Pesos de sus subactividades suman "&amp;TEXT(N($AG66),"0%")&amp;" (deben sumar "&amp;TEXT(N($F66),"0%")&amp;")"&amp;" · ","")&amp;IF(AND($S66="Macro",ABS(SUMIFS($F$5:$F$1000,$P$5:$P$1000,$P66,$S$5:$S$1000,"Macro")-1)&gt;0.0001),"Pesos del mes suman "&amp;TEXT(SUMIFS($F$5:$F$1000,$P$5:$P$1000,$P66,$S$5:$S$1000,"Macro"),"0%")&amp;" · ","")&amp;IF(AND(N($T66)&gt;0,COUNT($G66:$J66)&gt;0),"Con subactividades: deje vacías las semanas (se calculan solas)"&amp;" · ","")&amp;IF((COUNTIF($G66:$J66,"&gt;1")+COUNTIF($G66:$J66,"&lt;0")+COUNTA($G66:$J66)-COUNT($G66:$J66))&gt;0,"Avance fuera de rango 0-100%"&amp;" · ","")&amp;IF(OR(AND($H66&lt;&gt;"",$H66&lt;$G66),AND($I66&lt;&gt;"",$I66&lt;MAX($G66:$H66)),AND($J66&lt;&gt;"",$J66&lt;MAX($G66:$I66))),"Avance semanal decreciente"&amp;" · ","")&amp;IF(AND(ISNUMBER($E66),$E66&lt;FechaRef,N($K66)&lt;1),"Vencida"&amp;" · ","")&amp;IF(AND(ObsObligatoria="Sí",ISNUMBER($E66),$E66&lt;FechaRef,N($K66)&lt;1,$N66=""),"Vencida sin observación"&amp;" · ",""))-3)))</f>
        <v/>
      </c>
      <c r="P66" s="70">
        <f>IF(NOT((COUNTA($B66:$J66)+COUNTA($N66))&gt;0),"",IF(AND($S66="Sub",N($R66)&gt;0),IF(ISNUMBER(INDEX($D$5:$D$1000,$R66-4)),DATE(YEAR(INDEX($D$5:$D$1000,$R66-4)),MONTH(INDEX($D$5:$D$1000,$R66-4)),1),IF(ISNUMBER(INDEX($E$5:$E$1000,$R66-4)),DATE(YEAR(INDEX($E$5:$E$1000,$R66-4)),MONTH(INDEX($E$5:$E$1000,$R66-4)),1),MesCiclo)),IF(ISNUMBER($D66),DATE(YEAR($D66),MONTH($D66),1),IF(ISNUMBER($E66),DATE(YEAR($E66),MONTH($E66),1),MesCiclo))))</f>
        <v/>
      </c>
      <c r="Q66" s="71">
        <f>IF(OR($P66="",$P66&lt;&gt;MesCiclo),"",COUNTIF($P$5:$P66,MesCiclo))</f>
        <v/>
      </c>
      <c r="R66" s="71">
        <f>IF($S66="","",IF($S66="Macro",ROW(),IFERROR(LOOKUP(2,1/($S$5:$S66="Macro"),ROW($S$5:$S66)),0)))</f>
        <v/>
      </c>
      <c r="S66" s="71">
        <f>IF(NOT((COUNTA($B66:$J66)+COUNTA($N66))&gt;0),"",IF($B66="Subactividad","Sub","Macro"))</f>
        <v/>
      </c>
      <c r="T66" s="71">
        <f>IF($S66="Macro",COUNTIFS($R$5:$R$1000,ROW(),$S$5:$S$1000,"Sub"),"")</f>
        <v/>
      </c>
      <c r="U66" s="71">
        <f>IF($S66="","",IF(ISNUMBER($G66),$G66,0))</f>
        <v/>
      </c>
      <c r="V66" s="71">
        <f>IF($S66="","",IF(ISNUMBER($H66),$H66,$U66))</f>
        <v/>
      </c>
      <c r="W66" s="71">
        <f>IF($S66="","",IF(ISNUMBER($I66),$I66,$V66))</f>
        <v/>
      </c>
      <c r="X66" s="71">
        <f>IF($S66="","",IF(ISNUMBER($J66),$J66,$W66))</f>
        <v/>
      </c>
      <c r="Y66" s="71">
        <f>IF($S66="","",IF(N($T66)&gt;0,IF(N($AG66)&gt;0,SUMIFS($AC$5:$AC$1000,$R$5:$R$1000,ROW(),$S$5:$S$1000,"Sub")/$AG66,AVERAGEIFS($U$5:$U$1000,$R$5:$R$1000,ROW(),$S$5:$S$1000,"Sub")),$U66))</f>
        <v/>
      </c>
      <c r="Z66" s="71">
        <f>IF($S66="","",IF(N($T66)&gt;0,IF(N($AG66)&gt;0,SUMIFS($AD$5:$AD$1000,$R$5:$R$1000,ROW(),$S$5:$S$1000,"Sub")/$AG66,AVERAGEIFS($V$5:$V$1000,$R$5:$R$1000,ROW(),$S$5:$S$1000,"Sub")),$V66))</f>
        <v/>
      </c>
      <c r="AA66" s="71">
        <f>IF($S66="","",IF(N($T66)&gt;0,IF(N($AG66)&gt;0,SUMIFS($AE$5:$AE$1000,$R$5:$R$1000,ROW(),$S$5:$S$1000,"Sub")/$AG66,AVERAGEIFS($W$5:$W$1000,$R$5:$R$1000,ROW(),$S$5:$S$1000,"Sub")),$W66))</f>
        <v/>
      </c>
      <c r="AB66" s="71">
        <f>IF($S66="","",IF(N($T66)&gt;0,IF(N($AG66)&gt;0,SUMIFS($AF$5:$AF$1000,$R$5:$R$1000,ROW(),$S$5:$S$1000,"Sub")/$AG66,AVERAGEIFS($X$5:$X$1000,$R$5:$R$1000,ROW(),$S$5:$S$1000,"Sub")),$X66))</f>
        <v/>
      </c>
      <c r="AC66" s="71">
        <f>IF($S66="Sub",N($F66)*N($U66),"")</f>
        <v/>
      </c>
      <c r="AD66" s="71">
        <f>IF($S66="Sub",N($F66)*N($V66),"")</f>
        <v/>
      </c>
      <c r="AE66" s="71">
        <f>IF($S66="Sub",N($F66)*N($W66),"")</f>
        <v/>
      </c>
      <c r="AF66" s="71">
        <f>IF($S66="Sub",N($F66)*N($X66),"")</f>
        <v/>
      </c>
      <c r="AG66" s="71">
        <f>IF(N($T66)&gt;0,SUMIFS($F$5:$F$1000,$R$5:$R$1000,ROW(),$S$5:$S$1000,"Sub"),"")</f>
        <v/>
      </c>
    </row>
    <row r="67">
      <c r="A67" s="62">
        <f>IF(NOT((COUNTA($B67:$J67)+COUNTA($N67))&gt;0),"",IF($S67="Macro",COUNTIFS($S$5:$S67,"Macro",$P$5:$P67,$P67),IF(N($R67)=0,"?",COUNTIFS(INDEX($S$5:$S$1000,1):INDEX($S$5:$S$1000,$R67-4),"Macro",INDEX($P$5:$P$1000,1):INDEX($P$5:$P$1000,$R67-4),INDEX($P$5:$P$1000,$R67-4))&amp;"."&amp;COUNTIFS($R$5:$R67,$R67,$S$5:$S67,"Sub"))))</f>
        <v/>
      </c>
      <c r="B67" s="63" t="n"/>
      <c r="C67" s="64" t="n"/>
      <c r="D67" s="65" t="n"/>
      <c r="E67" s="65" t="n"/>
      <c r="F67" s="66" t="n"/>
      <c r="G67" s="67" t="n"/>
      <c r="H67" s="67" t="n"/>
      <c r="I67" s="67" t="n"/>
      <c r="J67" s="67" t="n"/>
      <c r="K67" s="68">
        <f>IF(NOT((COUNTA($B67:$J67)+COUNTA($N67))&gt;0),"",IF(N($T67)&gt;0,$AB67,IFERROR(LOOKUP(2,1/(G67:J67&lt;&gt;""),G67:J67),0)))</f>
        <v/>
      </c>
      <c r="L67" s="62">
        <f>IF(K67="","",IF(K67&gt;=1,"Completado",IF(K67&gt;0,"En curso","Pendiente")))</f>
        <v/>
      </c>
      <c r="M67" s="62">
        <f>IF(NOT((COUNTA($B67:$J67)+COUNTA($N67))&gt;0),"",IF(N($K67)&gt;=1,"Cumplida",IF(NOT(ISNUMBER($E67)),"Sin fecha límite",IF($E67&lt;FechaRef,"Vencida hace "&amp;(FechaRef-$E67)&amp;IF(FechaRef-$E67=1," día"," días"),IF($E67=FechaRef,"Vence hoy",IF($E67-FechaRef&lt;=DiasAlerta,"Vence en "&amp;($E67-FechaRef)&amp;IF($E67-FechaRef=1," día"," días"),"En plazo"))))))</f>
        <v/>
      </c>
      <c r="N67" s="64" t="n"/>
      <c r="O67" s="69">
        <f>IF(NOT((COUNTA($B67:$J67)+COUNTA($N67))&gt;0),"",IF((IF($C67="","Falta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",""))="","✔ OK","⚠ "&amp;LEFT(IF($C67="","Falta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",""),LEN(IF($C67="","Falta el nombre de la actividad"&amp;" · ","")&amp;IF(AND($S67="Sub",N($R67)=0),"Subactividad sin macroactividad arriba"&amp;" · ","")&amp;IF($D67="","Sin fecha de inicio"&amp;" · ","")&amp;IF($E67="","Sin fecha límite"&amp;" · ","")&amp;IF(OR(AND($D67&lt;&gt;"",NOT(ISNUMBER($D67))),AND($E67&lt;&gt;"",NOT(ISNUMBER($E67)))),"Fecha no válida"&amp;" · ","")&amp;IF(AND(ISNUMBER($D67),ISNUMBER($E67),$D67&gt;$E67),"Inicio posterior a fecha límite"&amp;" · ","")&amp;IF(AND($S67="Macro",$F67=""),"Peso vacío"&amp;" · ","")&amp;IF(AND($S67="Macro",$F67&lt;&gt;"",OR(NOT(ISNUMBER($F67)),$F67&lt;=0,$F67&gt;1)),"Peso fuera de rango"&amp;" · ","")&amp;IF(AND($S67="Sub",$F67&lt;&gt;"",OR(NOT(ISNUMBER($F67)),$F67&lt;0,$F67&gt;1)),"Peso fuera de rango"&amp;" · ","")&amp;IF(AND($S67="Sub",$F67="",IFERROR(N(INDEX($AG$5:$AG$1000,$R67-4)),0)&gt;0),"Falta el peso de la subactividad"&amp;" · ","")&amp;IF(AND(N($T67)&gt;0,N($AG67)&gt;0,ABS(N($AG67)-N($F67))&gt;0.0001),"Pesos de sus subactividades suman "&amp;TEXT(N($AG67),"0%")&amp;" (deben sumar "&amp;TEXT(N($F67),"0%")&amp;")"&amp;" · ","")&amp;IF(AND($S67="Macro",ABS(SUMIFS($F$5:$F$1000,$P$5:$P$1000,$P67,$S$5:$S$1000,"Macro")-1)&gt;0.0001),"Pesos del mes suman "&amp;TEXT(SUMIFS($F$5:$F$1000,$P$5:$P$1000,$P67,$S$5:$S$1000,"Macro"),"0%")&amp;" · ","")&amp;IF(AND(N($T67)&gt;0,COUNT($G67:$J67)&gt;0),"Con subactividades: deje vacías las semanas (se calculan solas)"&amp;" · ","")&amp;IF((COUNTIF($G67:$J67,"&gt;1")+COUNTIF($G67:$J67,"&lt;0")+COUNTA($G67:$J67)-COUNT($G67:$J67))&gt;0,"Avance fuera de rango 0-100%"&amp;" · ","")&amp;IF(OR(AND($H67&lt;&gt;"",$H67&lt;$G67),AND($I67&lt;&gt;"",$I67&lt;MAX($G67:$H67)),AND($J67&lt;&gt;"",$J67&lt;MAX($G67:$I67))),"Avance semanal decreciente"&amp;" · ","")&amp;IF(AND(ISNUMBER($E67),$E67&lt;FechaRef,N($K67)&lt;1),"Vencida"&amp;" · ","")&amp;IF(AND(ObsObligatoria="Sí",ISNUMBER($E67),$E67&lt;FechaRef,N($K67)&lt;1,$N67=""),"Vencida sin observación"&amp;" · ",""))-3)))</f>
        <v/>
      </c>
      <c r="P67" s="70">
        <f>IF(NOT((COUNTA($B67:$J67)+COUNTA($N67))&gt;0),"",IF(AND($S67="Sub",N($R67)&gt;0),IF(ISNUMBER(INDEX($D$5:$D$1000,$R67-4)),DATE(YEAR(INDEX($D$5:$D$1000,$R67-4)),MONTH(INDEX($D$5:$D$1000,$R67-4)),1),IF(ISNUMBER(INDEX($E$5:$E$1000,$R67-4)),DATE(YEAR(INDEX($E$5:$E$1000,$R67-4)),MONTH(INDEX($E$5:$E$1000,$R67-4)),1),MesCiclo)),IF(ISNUMBER($D67),DATE(YEAR($D67),MONTH($D67),1),IF(ISNUMBER($E67),DATE(YEAR($E67),MONTH($E67),1),MesCiclo))))</f>
        <v/>
      </c>
      <c r="Q67" s="71">
        <f>IF(OR($P67="",$P67&lt;&gt;MesCiclo),"",COUNTIF($P$5:$P67,MesCiclo))</f>
        <v/>
      </c>
      <c r="R67" s="71">
        <f>IF($S67="","",IF($S67="Macro",ROW(),IFERROR(LOOKUP(2,1/($S$5:$S67="Macro"),ROW($S$5:$S67)),0)))</f>
        <v/>
      </c>
      <c r="S67" s="71">
        <f>IF(NOT((COUNTA($B67:$J67)+COUNTA($N67))&gt;0),"",IF($B67="Subactividad","Sub","Macro"))</f>
        <v/>
      </c>
      <c r="T67" s="71">
        <f>IF($S67="Macro",COUNTIFS($R$5:$R$1000,ROW(),$S$5:$S$1000,"Sub"),"")</f>
        <v/>
      </c>
      <c r="U67" s="71">
        <f>IF($S67="","",IF(ISNUMBER($G67),$G67,0))</f>
        <v/>
      </c>
      <c r="V67" s="71">
        <f>IF($S67="","",IF(ISNUMBER($H67),$H67,$U67))</f>
        <v/>
      </c>
      <c r="W67" s="71">
        <f>IF($S67="","",IF(ISNUMBER($I67),$I67,$V67))</f>
        <v/>
      </c>
      <c r="X67" s="71">
        <f>IF($S67="","",IF(ISNUMBER($J67),$J67,$W67))</f>
        <v/>
      </c>
      <c r="Y67" s="71">
        <f>IF($S67="","",IF(N($T67)&gt;0,IF(N($AG67)&gt;0,SUMIFS($AC$5:$AC$1000,$R$5:$R$1000,ROW(),$S$5:$S$1000,"Sub")/$AG67,AVERAGEIFS($U$5:$U$1000,$R$5:$R$1000,ROW(),$S$5:$S$1000,"Sub")),$U67))</f>
        <v/>
      </c>
      <c r="Z67" s="71">
        <f>IF($S67="","",IF(N($T67)&gt;0,IF(N($AG67)&gt;0,SUMIFS($AD$5:$AD$1000,$R$5:$R$1000,ROW(),$S$5:$S$1000,"Sub")/$AG67,AVERAGEIFS($V$5:$V$1000,$R$5:$R$1000,ROW(),$S$5:$S$1000,"Sub")),$V67))</f>
        <v/>
      </c>
      <c r="AA67" s="71">
        <f>IF($S67="","",IF(N($T67)&gt;0,IF(N($AG67)&gt;0,SUMIFS($AE$5:$AE$1000,$R$5:$R$1000,ROW(),$S$5:$S$1000,"Sub")/$AG67,AVERAGEIFS($W$5:$W$1000,$R$5:$R$1000,ROW(),$S$5:$S$1000,"Sub")),$W67))</f>
        <v/>
      </c>
      <c r="AB67" s="71">
        <f>IF($S67="","",IF(N($T67)&gt;0,IF(N($AG67)&gt;0,SUMIFS($AF$5:$AF$1000,$R$5:$R$1000,ROW(),$S$5:$S$1000,"Sub")/$AG67,AVERAGEIFS($X$5:$X$1000,$R$5:$R$1000,ROW(),$S$5:$S$1000,"Sub")),$X67))</f>
        <v/>
      </c>
      <c r="AC67" s="71">
        <f>IF($S67="Sub",N($F67)*N($U67),"")</f>
        <v/>
      </c>
      <c r="AD67" s="71">
        <f>IF($S67="Sub",N($F67)*N($V67),"")</f>
        <v/>
      </c>
      <c r="AE67" s="71">
        <f>IF($S67="Sub",N($F67)*N($W67),"")</f>
        <v/>
      </c>
      <c r="AF67" s="71">
        <f>IF($S67="Sub",N($F67)*N($X67),"")</f>
        <v/>
      </c>
      <c r="AG67" s="71">
        <f>IF(N($T67)&gt;0,SUMIFS($F$5:$F$1000,$R$5:$R$1000,ROW(),$S$5:$S$1000,"Sub"),"")</f>
        <v/>
      </c>
    </row>
    <row r="68">
      <c r="A68" s="62">
        <f>IF(NOT((COUNTA($B68:$J68)+COUNTA($N68))&gt;0),"",IF($S68="Macro",COUNTIFS($S$5:$S68,"Macro",$P$5:$P68,$P68),IF(N($R68)=0,"?",COUNTIFS(INDEX($S$5:$S$1000,1):INDEX($S$5:$S$1000,$R68-4),"Macro",INDEX($P$5:$P$1000,1):INDEX($P$5:$P$1000,$R68-4),INDEX($P$5:$P$1000,$R68-4))&amp;"."&amp;COUNTIFS($R$5:$R68,$R68,$S$5:$S68,"Sub"))))</f>
        <v/>
      </c>
      <c r="B68" s="63" t="n"/>
      <c r="C68" s="64" t="n"/>
      <c r="D68" s="65" t="n"/>
      <c r="E68" s="65" t="n"/>
      <c r="F68" s="66" t="n"/>
      <c r="G68" s="67" t="n"/>
      <c r="H68" s="67" t="n"/>
      <c r="I68" s="67" t="n"/>
      <c r="J68" s="67" t="n"/>
      <c r="K68" s="68">
        <f>IF(NOT((COUNTA($B68:$J68)+COUNTA($N68))&gt;0),"",IF(N($T68)&gt;0,$AB68,IFERROR(LOOKUP(2,1/(G68:J68&lt;&gt;""),G68:J68),0)))</f>
        <v/>
      </c>
      <c r="L68" s="62">
        <f>IF(K68="","",IF(K68&gt;=1,"Completado",IF(K68&gt;0,"En curso","Pendiente")))</f>
        <v/>
      </c>
      <c r="M68" s="62">
        <f>IF(NOT((COUNTA($B68:$J68)+COUNTA($N68))&gt;0),"",IF(N($K68)&gt;=1,"Cumplida",IF(NOT(ISNUMBER($E68)),"Sin fecha límite",IF($E68&lt;FechaRef,"Vencida hace "&amp;(FechaRef-$E68)&amp;IF(FechaRef-$E68=1," día"," días"),IF($E68=FechaRef,"Vence hoy",IF($E68-FechaRef&lt;=DiasAlerta,"Vence en "&amp;($E68-FechaRef)&amp;IF($E68-FechaRef=1," día"," días"),"En plazo"))))))</f>
        <v/>
      </c>
      <c r="N68" s="64" t="n"/>
      <c r="O68" s="69">
        <f>IF(NOT((COUNTA($B68:$J68)+COUNTA($N68))&gt;0),"",IF((IF($C68="","Falta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",""))="","✔ OK","⚠ "&amp;LEFT(IF($C68="","Falta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",""),LEN(IF($C68="","Falta el nombre de la actividad"&amp;" · ","")&amp;IF(AND($S68="Sub",N($R68)=0),"Subactividad sin macroactividad arriba"&amp;" · ","")&amp;IF($D68="","Sin fecha de inicio"&amp;" · ","")&amp;IF($E68="","Sin fecha límite"&amp;" · ","")&amp;IF(OR(AND($D68&lt;&gt;"",NOT(ISNUMBER($D68))),AND($E68&lt;&gt;"",NOT(ISNUMBER($E68)))),"Fecha no válida"&amp;" · ","")&amp;IF(AND(ISNUMBER($D68),ISNUMBER($E68),$D68&gt;$E68),"Inicio posterior a fecha límite"&amp;" · ","")&amp;IF(AND($S68="Macro",$F68=""),"Peso vacío"&amp;" · ","")&amp;IF(AND($S68="Macro",$F68&lt;&gt;"",OR(NOT(ISNUMBER($F68)),$F68&lt;=0,$F68&gt;1)),"Peso fuera de rango"&amp;" · ","")&amp;IF(AND($S68="Sub",$F68&lt;&gt;"",OR(NOT(ISNUMBER($F68)),$F68&lt;0,$F68&gt;1)),"Peso fuera de rango"&amp;" · ","")&amp;IF(AND($S68="Sub",$F68="",IFERROR(N(INDEX($AG$5:$AG$1000,$R68-4)),0)&gt;0),"Falta el peso de la subactividad"&amp;" · ","")&amp;IF(AND(N($T68)&gt;0,N($AG68)&gt;0,ABS(N($AG68)-N($F68))&gt;0.0001),"Pesos de sus subactividades suman "&amp;TEXT(N($AG68),"0%")&amp;" (deben sumar "&amp;TEXT(N($F68),"0%")&amp;")"&amp;" · ","")&amp;IF(AND($S68="Macro",ABS(SUMIFS($F$5:$F$1000,$P$5:$P$1000,$P68,$S$5:$S$1000,"Macro")-1)&gt;0.0001),"Pesos del mes suman "&amp;TEXT(SUMIFS($F$5:$F$1000,$P$5:$P$1000,$P68,$S$5:$S$1000,"Macro"),"0%")&amp;" · ","")&amp;IF(AND(N($T68)&gt;0,COUNT($G68:$J68)&gt;0),"Con subactividades: deje vacías las semanas (se calculan solas)"&amp;" · ","")&amp;IF((COUNTIF($G68:$J68,"&gt;1")+COUNTIF($G68:$J68,"&lt;0")+COUNTA($G68:$J68)-COUNT($G68:$J68))&gt;0,"Avance fuera de rango 0-100%"&amp;" · ","")&amp;IF(OR(AND($H68&lt;&gt;"",$H68&lt;$G68),AND($I68&lt;&gt;"",$I68&lt;MAX($G68:$H68)),AND($J68&lt;&gt;"",$J68&lt;MAX($G68:$I68))),"Avance semanal decreciente"&amp;" · ","")&amp;IF(AND(ISNUMBER($E68),$E68&lt;FechaRef,N($K68)&lt;1),"Vencida"&amp;" · ","")&amp;IF(AND(ObsObligatoria="Sí",ISNUMBER($E68),$E68&lt;FechaRef,N($K68)&lt;1,$N68=""),"Vencida sin observación"&amp;" · ",""))-3)))</f>
        <v/>
      </c>
      <c r="P68" s="70">
        <f>IF(NOT((COUNTA($B68:$J68)+COUNTA($N68))&gt;0),"",IF(AND($S68="Sub",N($R68)&gt;0),IF(ISNUMBER(INDEX($D$5:$D$1000,$R68-4)),DATE(YEAR(INDEX($D$5:$D$1000,$R68-4)),MONTH(INDEX($D$5:$D$1000,$R68-4)),1),IF(ISNUMBER(INDEX($E$5:$E$1000,$R68-4)),DATE(YEAR(INDEX($E$5:$E$1000,$R68-4)),MONTH(INDEX($E$5:$E$1000,$R68-4)),1),MesCiclo)),IF(ISNUMBER($D68),DATE(YEAR($D68),MONTH($D68),1),IF(ISNUMBER($E68),DATE(YEAR($E68),MONTH($E68),1),MesCiclo))))</f>
        <v/>
      </c>
      <c r="Q68" s="71">
        <f>IF(OR($P68="",$P68&lt;&gt;MesCiclo),"",COUNTIF($P$5:$P68,MesCiclo))</f>
        <v/>
      </c>
      <c r="R68" s="71">
        <f>IF($S68="","",IF($S68="Macro",ROW(),IFERROR(LOOKUP(2,1/($S$5:$S68="Macro"),ROW($S$5:$S68)),0)))</f>
        <v/>
      </c>
      <c r="S68" s="71">
        <f>IF(NOT((COUNTA($B68:$J68)+COUNTA($N68))&gt;0),"",IF($B68="Subactividad","Sub","Macro"))</f>
        <v/>
      </c>
      <c r="T68" s="71">
        <f>IF($S68="Macro",COUNTIFS($R$5:$R$1000,ROW(),$S$5:$S$1000,"Sub"),"")</f>
        <v/>
      </c>
      <c r="U68" s="71">
        <f>IF($S68="","",IF(ISNUMBER($G68),$G68,0))</f>
        <v/>
      </c>
      <c r="V68" s="71">
        <f>IF($S68="","",IF(ISNUMBER($H68),$H68,$U68))</f>
        <v/>
      </c>
      <c r="W68" s="71">
        <f>IF($S68="","",IF(ISNUMBER($I68),$I68,$V68))</f>
        <v/>
      </c>
      <c r="X68" s="71">
        <f>IF($S68="","",IF(ISNUMBER($J68),$J68,$W68))</f>
        <v/>
      </c>
      <c r="Y68" s="71">
        <f>IF($S68="","",IF(N($T68)&gt;0,IF(N($AG68)&gt;0,SUMIFS($AC$5:$AC$1000,$R$5:$R$1000,ROW(),$S$5:$S$1000,"Sub")/$AG68,AVERAGEIFS($U$5:$U$1000,$R$5:$R$1000,ROW(),$S$5:$S$1000,"Sub")),$U68))</f>
        <v/>
      </c>
      <c r="Z68" s="71">
        <f>IF($S68="","",IF(N($T68)&gt;0,IF(N($AG68)&gt;0,SUMIFS($AD$5:$AD$1000,$R$5:$R$1000,ROW(),$S$5:$S$1000,"Sub")/$AG68,AVERAGEIFS($V$5:$V$1000,$R$5:$R$1000,ROW(),$S$5:$S$1000,"Sub")),$V68))</f>
        <v/>
      </c>
      <c r="AA68" s="71">
        <f>IF($S68="","",IF(N($T68)&gt;0,IF(N($AG68)&gt;0,SUMIFS($AE$5:$AE$1000,$R$5:$R$1000,ROW(),$S$5:$S$1000,"Sub")/$AG68,AVERAGEIFS($W$5:$W$1000,$R$5:$R$1000,ROW(),$S$5:$S$1000,"Sub")),$W68))</f>
        <v/>
      </c>
      <c r="AB68" s="71">
        <f>IF($S68="","",IF(N($T68)&gt;0,IF(N($AG68)&gt;0,SUMIFS($AF$5:$AF$1000,$R$5:$R$1000,ROW(),$S$5:$S$1000,"Sub")/$AG68,AVERAGEIFS($X$5:$X$1000,$R$5:$R$1000,ROW(),$S$5:$S$1000,"Sub")),$X68))</f>
        <v/>
      </c>
      <c r="AC68" s="71">
        <f>IF($S68="Sub",N($F68)*N($U68),"")</f>
        <v/>
      </c>
      <c r="AD68" s="71">
        <f>IF($S68="Sub",N($F68)*N($V68),"")</f>
        <v/>
      </c>
      <c r="AE68" s="71">
        <f>IF($S68="Sub",N($F68)*N($W68),"")</f>
        <v/>
      </c>
      <c r="AF68" s="71">
        <f>IF($S68="Sub",N($F68)*N($X68),"")</f>
        <v/>
      </c>
      <c r="AG68" s="71">
        <f>IF(N($T68)&gt;0,SUMIFS($F$5:$F$1000,$R$5:$R$1000,ROW(),$S$5:$S$1000,"Sub"),"")</f>
        <v/>
      </c>
    </row>
    <row r="69">
      <c r="A69" s="62">
        <f>IF(NOT((COUNTA($B69:$J69)+COUNTA($N69))&gt;0),"",IF($S69="Macro",COUNTIFS($S$5:$S69,"Macro",$P$5:$P69,$P69),IF(N($R69)=0,"?",COUNTIFS(INDEX($S$5:$S$1000,1):INDEX($S$5:$S$1000,$R69-4),"Macro",INDEX($P$5:$P$1000,1):INDEX($P$5:$P$1000,$R69-4),INDEX($P$5:$P$1000,$R69-4))&amp;"."&amp;COUNTIFS($R$5:$R69,$R69,$S$5:$S69,"Sub"))))</f>
        <v/>
      </c>
      <c r="B69" s="63" t="n"/>
      <c r="C69" s="64" t="n"/>
      <c r="D69" s="65" t="n"/>
      <c r="E69" s="65" t="n"/>
      <c r="F69" s="66" t="n"/>
      <c r="G69" s="67" t="n"/>
      <c r="H69" s="67" t="n"/>
      <c r="I69" s="67" t="n"/>
      <c r="J69" s="67" t="n"/>
      <c r="K69" s="68">
        <f>IF(NOT((COUNTA($B69:$J69)+COUNTA($N69))&gt;0),"",IF(N($T69)&gt;0,$AB69,IFERROR(LOOKUP(2,1/(G69:J69&lt;&gt;""),G69:J69),0)))</f>
        <v/>
      </c>
      <c r="L69" s="62">
        <f>IF(K69="","",IF(K69&gt;=1,"Completado",IF(K69&gt;0,"En curso","Pendiente")))</f>
        <v/>
      </c>
      <c r="M69" s="62">
        <f>IF(NOT((COUNTA($B69:$J69)+COUNTA($N69))&gt;0),"",IF(N($K69)&gt;=1,"Cumplida",IF(NOT(ISNUMBER($E69)),"Sin fecha límite",IF($E69&lt;FechaRef,"Vencida hace "&amp;(FechaRef-$E69)&amp;IF(FechaRef-$E69=1," día"," días"),IF($E69=FechaRef,"Vence hoy",IF($E69-FechaRef&lt;=DiasAlerta,"Vence en "&amp;($E69-FechaRef)&amp;IF($E69-FechaRef=1," día"," días"),"En plazo"))))))</f>
        <v/>
      </c>
      <c r="N69" s="64" t="n"/>
      <c r="O69" s="69">
        <f>IF(NOT((COUNTA($B69:$J69)+COUNTA($N69))&gt;0),"",IF((IF($C69="","Falta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",""))="","✔ OK","⚠ "&amp;LEFT(IF($C69="","Falta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",""),LEN(IF($C69="","Falta el nombre de la actividad"&amp;" · ","")&amp;IF(AND($S69="Sub",N($R69)=0),"Subactividad sin macroactividad arriba"&amp;" · ","")&amp;IF($D69="","Sin fecha de inicio"&amp;" · ","")&amp;IF($E69="","Sin fecha límite"&amp;" · ","")&amp;IF(OR(AND($D69&lt;&gt;"",NOT(ISNUMBER($D69))),AND($E69&lt;&gt;"",NOT(ISNUMBER($E69)))),"Fecha no válida"&amp;" · ","")&amp;IF(AND(ISNUMBER($D69),ISNUMBER($E69),$D69&gt;$E69),"Inicio posterior a fecha límite"&amp;" · ","")&amp;IF(AND($S69="Macro",$F69=""),"Peso vacío"&amp;" · ","")&amp;IF(AND($S69="Macro",$F69&lt;&gt;"",OR(NOT(ISNUMBER($F69)),$F69&lt;=0,$F69&gt;1)),"Peso fuera de rango"&amp;" · ","")&amp;IF(AND($S69="Sub",$F69&lt;&gt;"",OR(NOT(ISNUMBER($F69)),$F69&lt;0,$F69&gt;1)),"Peso fuera de rango"&amp;" · ","")&amp;IF(AND($S69="Sub",$F69="",IFERROR(N(INDEX($AG$5:$AG$1000,$R69-4)),0)&gt;0),"Falta el peso de la subactividad"&amp;" · ","")&amp;IF(AND(N($T69)&gt;0,N($AG69)&gt;0,ABS(N($AG69)-N($F69))&gt;0.0001),"Pesos de sus subactividades suman "&amp;TEXT(N($AG69),"0%")&amp;" (deben sumar "&amp;TEXT(N($F69),"0%")&amp;")"&amp;" · ","")&amp;IF(AND($S69="Macro",ABS(SUMIFS($F$5:$F$1000,$P$5:$P$1000,$P69,$S$5:$S$1000,"Macro")-1)&gt;0.0001),"Pesos del mes suman "&amp;TEXT(SUMIFS($F$5:$F$1000,$P$5:$P$1000,$P69,$S$5:$S$1000,"Macro"),"0%")&amp;" · ","")&amp;IF(AND(N($T69)&gt;0,COUNT($G69:$J69)&gt;0),"Con subactividades: deje vacías las semanas (se calculan solas)"&amp;" · ","")&amp;IF((COUNTIF($G69:$J69,"&gt;1")+COUNTIF($G69:$J69,"&lt;0")+COUNTA($G69:$J69)-COUNT($G69:$J69))&gt;0,"Avance fuera de rango 0-100%"&amp;" · ","")&amp;IF(OR(AND($H69&lt;&gt;"",$H69&lt;$G69),AND($I69&lt;&gt;"",$I69&lt;MAX($G69:$H69)),AND($J69&lt;&gt;"",$J69&lt;MAX($G69:$I69))),"Avance semanal decreciente"&amp;" · ","")&amp;IF(AND(ISNUMBER($E69),$E69&lt;FechaRef,N($K69)&lt;1),"Vencida"&amp;" · ","")&amp;IF(AND(ObsObligatoria="Sí",ISNUMBER($E69),$E69&lt;FechaRef,N($K69)&lt;1,$N69=""),"Vencida sin observación"&amp;" · ",""))-3)))</f>
        <v/>
      </c>
      <c r="P69" s="70">
        <f>IF(NOT((COUNTA($B69:$J69)+COUNTA($N69))&gt;0),"",IF(AND($S69="Sub",N($R69)&gt;0),IF(ISNUMBER(INDEX($D$5:$D$1000,$R69-4)),DATE(YEAR(INDEX($D$5:$D$1000,$R69-4)),MONTH(INDEX($D$5:$D$1000,$R69-4)),1),IF(ISNUMBER(INDEX($E$5:$E$1000,$R69-4)),DATE(YEAR(INDEX($E$5:$E$1000,$R69-4)),MONTH(INDEX($E$5:$E$1000,$R69-4)),1),MesCiclo)),IF(ISNUMBER($D69),DATE(YEAR($D69),MONTH($D69),1),IF(ISNUMBER($E69),DATE(YEAR($E69),MONTH($E69),1),MesCiclo))))</f>
        <v/>
      </c>
      <c r="Q69" s="71">
        <f>IF(OR($P69="",$P69&lt;&gt;MesCiclo),"",COUNTIF($P$5:$P69,MesCiclo))</f>
        <v/>
      </c>
      <c r="R69" s="71">
        <f>IF($S69="","",IF($S69="Macro",ROW(),IFERROR(LOOKUP(2,1/($S$5:$S69="Macro"),ROW($S$5:$S69)),0)))</f>
        <v/>
      </c>
      <c r="S69" s="71">
        <f>IF(NOT((COUNTA($B69:$J69)+COUNTA($N69))&gt;0),"",IF($B69="Subactividad","Sub","Macro"))</f>
        <v/>
      </c>
      <c r="T69" s="71">
        <f>IF($S69="Macro",COUNTIFS($R$5:$R$1000,ROW(),$S$5:$S$1000,"Sub"),"")</f>
        <v/>
      </c>
      <c r="U69" s="71">
        <f>IF($S69="","",IF(ISNUMBER($G69),$G69,0))</f>
        <v/>
      </c>
      <c r="V69" s="71">
        <f>IF($S69="","",IF(ISNUMBER($H69),$H69,$U69))</f>
        <v/>
      </c>
      <c r="W69" s="71">
        <f>IF($S69="","",IF(ISNUMBER($I69),$I69,$V69))</f>
        <v/>
      </c>
      <c r="X69" s="71">
        <f>IF($S69="","",IF(ISNUMBER($J69),$J69,$W69))</f>
        <v/>
      </c>
      <c r="Y69" s="71">
        <f>IF($S69="","",IF(N($T69)&gt;0,IF(N($AG69)&gt;0,SUMIFS($AC$5:$AC$1000,$R$5:$R$1000,ROW(),$S$5:$S$1000,"Sub")/$AG69,AVERAGEIFS($U$5:$U$1000,$R$5:$R$1000,ROW(),$S$5:$S$1000,"Sub")),$U69))</f>
        <v/>
      </c>
      <c r="Z69" s="71">
        <f>IF($S69="","",IF(N($T69)&gt;0,IF(N($AG69)&gt;0,SUMIFS($AD$5:$AD$1000,$R$5:$R$1000,ROW(),$S$5:$S$1000,"Sub")/$AG69,AVERAGEIFS($V$5:$V$1000,$R$5:$R$1000,ROW(),$S$5:$S$1000,"Sub")),$V69))</f>
        <v/>
      </c>
      <c r="AA69" s="71">
        <f>IF($S69="","",IF(N($T69)&gt;0,IF(N($AG69)&gt;0,SUMIFS($AE$5:$AE$1000,$R$5:$R$1000,ROW(),$S$5:$S$1000,"Sub")/$AG69,AVERAGEIFS($W$5:$W$1000,$R$5:$R$1000,ROW(),$S$5:$S$1000,"Sub")),$W69))</f>
        <v/>
      </c>
      <c r="AB69" s="71">
        <f>IF($S69="","",IF(N($T69)&gt;0,IF(N($AG69)&gt;0,SUMIFS($AF$5:$AF$1000,$R$5:$R$1000,ROW(),$S$5:$S$1000,"Sub")/$AG69,AVERAGEIFS($X$5:$X$1000,$R$5:$R$1000,ROW(),$S$5:$S$1000,"Sub")),$X69))</f>
        <v/>
      </c>
      <c r="AC69" s="71">
        <f>IF($S69="Sub",N($F69)*N($U69),"")</f>
        <v/>
      </c>
      <c r="AD69" s="71">
        <f>IF($S69="Sub",N($F69)*N($V69),"")</f>
        <v/>
      </c>
      <c r="AE69" s="71">
        <f>IF($S69="Sub",N($F69)*N($W69),"")</f>
        <v/>
      </c>
      <c r="AF69" s="71">
        <f>IF($S69="Sub",N($F69)*N($X69),"")</f>
        <v/>
      </c>
      <c r="AG69" s="71">
        <f>IF(N($T69)&gt;0,SUMIFS($F$5:$F$1000,$R$5:$R$1000,ROW(),$S$5:$S$1000,"Sub"),"")</f>
        <v/>
      </c>
    </row>
    <row r="70">
      <c r="A70" s="62">
        <f>IF(NOT((COUNTA($B70:$J70)+COUNTA($N70))&gt;0),"",IF($S70="Macro",COUNTIFS($S$5:$S70,"Macro",$P$5:$P70,$P70),IF(N($R70)=0,"?",COUNTIFS(INDEX($S$5:$S$1000,1):INDEX($S$5:$S$1000,$R70-4),"Macro",INDEX($P$5:$P$1000,1):INDEX($P$5:$P$1000,$R70-4),INDEX($P$5:$P$1000,$R70-4))&amp;"."&amp;COUNTIFS($R$5:$R70,$R70,$S$5:$S70,"Sub"))))</f>
        <v/>
      </c>
      <c r="B70" s="63" t="n"/>
      <c r="C70" s="64" t="n"/>
      <c r="D70" s="65" t="n"/>
      <c r="E70" s="65" t="n"/>
      <c r="F70" s="66" t="n"/>
      <c r="G70" s="67" t="n"/>
      <c r="H70" s="67" t="n"/>
      <c r="I70" s="67" t="n"/>
      <c r="J70" s="67" t="n"/>
      <c r="K70" s="68">
        <f>IF(NOT((COUNTA($B70:$J70)+COUNTA($N70))&gt;0),"",IF(N($T70)&gt;0,$AB70,IFERROR(LOOKUP(2,1/(G70:J70&lt;&gt;""),G70:J70),0)))</f>
        <v/>
      </c>
      <c r="L70" s="62">
        <f>IF(K70="","",IF(K70&gt;=1,"Completado",IF(K70&gt;0,"En curso","Pendiente")))</f>
        <v/>
      </c>
      <c r="M70" s="62">
        <f>IF(NOT((COUNTA($B70:$J70)+COUNTA($N70))&gt;0),"",IF(N($K70)&gt;=1,"Cumplida",IF(NOT(ISNUMBER($E70)),"Sin fecha límite",IF($E70&lt;FechaRef,"Vencida hace "&amp;(FechaRef-$E70)&amp;IF(FechaRef-$E70=1," día"," días"),IF($E70=FechaRef,"Vence hoy",IF($E70-FechaRef&lt;=DiasAlerta,"Vence en "&amp;($E70-FechaRef)&amp;IF($E70-FechaRef=1," día"," días"),"En plazo"))))))</f>
        <v/>
      </c>
      <c r="N70" s="64" t="n"/>
      <c r="O70" s="69">
        <f>IF(NOT((COUNTA($B70:$J70)+COUNTA($N70))&gt;0),"",IF((IF($C70="","Falta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",""))="","✔ OK","⚠ "&amp;LEFT(IF($C70="","Falta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",""),LEN(IF($C70="","Falta el nombre de la actividad"&amp;" · ","")&amp;IF(AND($S70="Sub",N($R70)=0),"Subactividad sin macroactividad arriba"&amp;" · ","")&amp;IF($D70="","Sin fecha de inicio"&amp;" · ","")&amp;IF($E70="","Sin fecha límite"&amp;" · ","")&amp;IF(OR(AND($D70&lt;&gt;"",NOT(ISNUMBER($D70))),AND($E70&lt;&gt;"",NOT(ISNUMBER($E70)))),"Fecha no válida"&amp;" · ","")&amp;IF(AND(ISNUMBER($D70),ISNUMBER($E70),$D70&gt;$E70),"Inicio posterior a fecha límite"&amp;" · ","")&amp;IF(AND($S70="Macro",$F70=""),"Peso vacío"&amp;" · ","")&amp;IF(AND($S70="Macro",$F70&lt;&gt;"",OR(NOT(ISNUMBER($F70)),$F70&lt;=0,$F70&gt;1)),"Peso fuera de rango"&amp;" · ","")&amp;IF(AND($S70="Sub",$F70&lt;&gt;"",OR(NOT(ISNUMBER($F70)),$F70&lt;0,$F70&gt;1)),"Peso fuera de rango"&amp;" · ","")&amp;IF(AND($S70="Sub",$F70="",IFERROR(N(INDEX($AG$5:$AG$1000,$R70-4)),0)&gt;0),"Falta el peso de la subactividad"&amp;" · ","")&amp;IF(AND(N($T70)&gt;0,N($AG70)&gt;0,ABS(N($AG70)-N($F70))&gt;0.0001),"Pesos de sus subactividades suman "&amp;TEXT(N($AG70),"0%")&amp;" (deben sumar "&amp;TEXT(N($F70),"0%")&amp;")"&amp;" · ","")&amp;IF(AND($S70="Macro",ABS(SUMIFS($F$5:$F$1000,$P$5:$P$1000,$P70,$S$5:$S$1000,"Macro")-1)&gt;0.0001),"Pesos del mes suman "&amp;TEXT(SUMIFS($F$5:$F$1000,$P$5:$P$1000,$P70,$S$5:$S$1000,"Macro"),"0%")&amp;" · ","")&amp;IF(AND(N($T70)&gt;0,COUNT($G70:$J70)&gt;0),"Con subactividades: deje vacías las semanas (se calculan solas)"&amp;" · ","")&amp;IF((COUNTIF($G70:$J70,"&gt;1")+COUNTIF($G70:$J70,"&lt;0")+COUNTA($G70:$J70)-COUNT($G70:$J70))&gt;0,"Avance fuera de rango 0-100%"&amp;" · ","")&amp;IF(OR(AND($H70&lt;&gt;"",$H70&lt;$G70),AND($I70&lt;&gt;"",$I70&lt;MAX($G70:$H70)),AND($J70&lt;&gt;"",$J70&lt;MAX($G70:$I70))),"Avance semanal decreciente"&amp;" · ","")&amp;IF(AND(ISNUMBER($E70),$E70&lt;FechaRef,N($K70)&lt;1),"Vencida"&amp;" · ","")&amp;IF(AND(ObsObligatoria="Sí",ISNUMBER($E70),$E70&lt;FechaRef,N($K70)&lt;1,$N70=""),"Vencida sin observación"&amp;" · ",""))-3)))</f>
        <v/>
      </c>
      <c r="P70" s="70">
        <f>IF(NOT((COUNTA($B70:$J70)+COUNTA($N70))&gt;0),"",IF(AND($S70="Sub",N($R70)&gt;0),IF(ISNUMBER(INDEX($D$5:$D$1000,$R70-4)),DATE(YEAR(INDEX($D$5:$D$1000,$R70-4)),MONTH(INDEX($D$5:$D$1000,$R70-4)),1),IF(ISNUMBER(INDEX($E$5:$E$1000,$R70-4)),DATE(YEAR(INDEX($E$5:$E$1000,$R70-4)),MONTH(INDEX($E$5:$E$1000,$R70-4)),1),MesCiclo)),IF(ISNUMBER($D70),DATE(YEAR($D70),MONTH($D70),1),IF(ISNUMBER($E70),DATE(YEAR($E70),MONTH($E70),1),MesCiclo))))</f>
        <v/>
      </c>
      <c r="Q70" s="71">
        <f>IF(OR($P70="",$P70&lt;&gt;MesCiclo),"",COUNTIF($P$5:$P70,MesCiclo))</f>
        <v/>
      </c>
      <c r="R70" s="71">
        <f>IF($S70="","",IF($S70="Macro",ROW(),IFERROR(LOOKUP(2,1/($S$5:$S70="Macro"),ROW($S$5:$S70)),0)))</f>
        <v/>
      </c>
      <c r="S70" s="71">
        <f>IF(NOT((COUNTA($B70:$J70)+COUNTA($N70))&gt;0),"",IF($B70="Subactividad","Sub","Macro"))</f>
        <v/>
      </c>
      <c r="T70" s="71">
        <f>IF($S70="Macro",COUNTIFS($R$5:$R$1000,ROW(),$S$5:$S$1000,"Sub"),"")</f>
        <v/>
      </c>
      <c r="U70" s="71">
        <f>IF($S70="","",IF(ISNUMBER($G70),$G70,0))</f>
        <v/>
      </c>
      <c r="V70" s="71">
        <f>IF($S70="","",IF(ISNUMBER($H70),$H70,$U70))</f>
        <v/>
      </c>
      <c r="W70" s="71">
        <f>IF($S70="","",IF(ISNUMBER($I70),$I70,$V70))</f>
        <v/>
      </c>
      <c r="X70" s="71">
        <f>IF($S70="","",IF(ISNUMBER($J70),$J70,$W70))</f>
        <v/>
      </c>
      <c r="Y70" s="71">
        <f>IF($S70="","",IF(N($T70)&gt;0,IF(N($AG70)&gt;0,SUMIFS($AC$5:$AC$1000,$R$5:$R$1000,ROW(),$S$5:$S$1000,"Sub")/$AG70,AVERAGEIFS($U$5:$U$1000,$R$5:$R$1000,ROW(),$S$5:$S$1000,"Sub")),$U70))</f>
        <v/>
      </c>
      <c r="Z70" s="71">
        <f>IF($S70="","",IF(N($T70)&gt;0,IF(N($AG70)&gt;0,SUMIFS($AD$5:$AD$1000,$R$5:$R$1000,ROW(),$S$5:$S$1000,"Sub")/$AG70,AVERAGEIFS($V$5:$V$1000,$R$5:$R$1000,ROW(),$S$5:$S$1000,"Sub")),$V70))</f>
        <v/>
      </c>
      <c r="AA70" s="71">
        <f>IF($S70="","",IF(N($T70)&gt;0,IF(N($AG70)&gt;0,SUMIFS($AE$5:$AE$1000,$R$5:$R$1000,ROW(),$S$5:$S$1000,"Sub")/$AG70,AVERAGEIFS($W$5:$W$1000,$R$5:$R$1000,ROW(),$S$5:$S$1000,"Sub")),$W70))</f>
        <v/>
      </c>
      <c r="AB70" s="71">
        <f>IF($S70="","",IF(N($T70)&gt;0,IF(N($AG70)&gt;0,SUMIFS($AF$5:$AF$1000,$R$5:$R$1000,ROW(),$S$5:$S$1000,"Sub")/$AG70,AVERAGEIFS($X$5:$X$1000,$R$5:$R$1000,ROW(),$S$5:$S$1000,"Sub")),$X70))</f>
        <v/>
      </c>
      <c r="AC70" s="71">
        <f>IF($S70="Sub",N($F70)*N($U70),"")</f>
        <v/>
      </c>
      <c r="AD70" s="71">
        <f>IF($S70="Sub",N($F70)*N($V70),"")</f>
        <v/>
      </c>
      <c r="AE70" s="71">
        <f>IF($S70="Sub",N($F70)*N($W70),"")</f>
        <v/>
      </c>
      <c r="AF70" s="71">
        <f>IF($S70="Sub",N($F70)*N($X70),"")</f>
        <v/>
      </c>
      <c r="AG70" s="71">
        <f>IF(N($T70)&gt;0,SUMIFS($F$5:$F$1000,$R$5:$R$1000,ROW(),$S$5:$S$1000,"Sub"),"")</f>
        <v/>
      </c>
    </row>
    <row r="71">
      <c r="A71" s="62">
        <f>IF(NOT((COUNTA($B71:$J71)+COUNTA($N71))&gt;0),"",IF($S71="Macro",COUNTIFS($S$5:$S71,"Macro",$P$5:$P71,$P71),IF(N($R71)=0,"?",COUNTIFS(INDEX($S$5:$S$1000,1):INDEX($S$5:$S$1000,$R71-4),"Macro",INDEX($P$5:$P$1000,1):INDEX($P$5:$P$1000,$R71-4),INDEX($P$5:$P$1000,$R71-4))&amp;"."&amp;COUNTIFS($R$5:$R71,$R71,$S$5:$S71,"Sub"))))</f>
        <v/>
      </c>
      <c r="B71" s="63" t="n"/>
      <c r="C71" s="64" t="n"/>
      <c r="D71" s="65" t="n"/>
      <c r="E71" s="65" t="n"/>
      <c r="F71" s="66" t="n"/>
      <c r="G71" s="67" t="n"/>
      <c r="H71" s="67" t="n"/>
      <c r="I71" s="67" t="n"/>
      <c r="J71" s="67" t="n"/>
      <c r="K71" s="68">
        <f>IF(NOT((COUNTA($B71:$J71)+COUNTA($N71))&gt;0),"",IF(N($T71)&gt;0,$AB71,IFERROR(LOOKUP(2,1/(G71:J71&lt;&gt;""),G71:J71),0)))</f>
        <v/>
      </c>
      <c r="L71" s="62">
        <f>IF(K71="","",IF(K71&gt;=1,"Completado",IF(K71&gt;0,"En curso","Pendiente")))</f>
        <v/>
      </c>
      <c r="M71" s="62">
        <f>IF(NOT((COUNTA($B71:$J71)+COUNTA($N71))&gt;0),"",IF(N($K71)&gt;=1,"Cumplida",IF(NOT(ISNUMBER($E71)),"Sin fecha límite",IF($E71&lt;FechaRef,"Vencida hace "&amp;(FechaRef-$E71)&amp;IF(FechaRef-$E71=1," día"," días"),IF($E71=FechaRef,"Vence hoy",IF($E71-FechaRef&lt;=DiasAlerta,"Vence en "&amp;($E71-FechaRef)&amp;IF($E71-FechaRef=1," día"," días"),"En plazo"))))))</f>
        <v/>
      </c>
      <c r="N71" s="64" t="n"/>
      <c r="O71" s="69">
        <f>IF(NOT((COUNTA($B71:$J71)+COUNTA($N71))&gt;0),"",IF((IF($C71="","Falta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",""))="","✔ OK","⚠ "&amp;LEFT(IF($C71="","Falta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",""),LEN(IF($C71="","Falta el nombre de la actividad"&amp;" · ","")&amp;IF(AND($S71="Sub",N($R71)=0),"Subactividad sin macroactividad arriba"&amp;" · ","")&amp;IF($D71="","Sin fecha de inicio"&amp;" · ","")&amp;IF($E71="","Sin fecha límite"&amp;" · ","")&amp;IF(OR(AND($D71&lt;&gt;"",NOT(ISNUMBER($D71))),AND($E71&lt;&gt;"",NOT(ISNUMBER($E71)))),"Fecha no válida"&amp;" · ","")&amp;IF(AND(ISNUMBER($D71),ISNUMBER($E71),$D71&gt;$E71),"Inicio posterior a fecha límite"&amp;" · ","")&amp;IF(AND($S71="Macro",$F71=""),"Peso vacío"&amp;" · ","")&amp;IF(AND($S71="Macro",$F71&lt;&gt;"",OR(NOT(ISNUMBER($F71)),$F71&lt;=0,$F71&gt;1)),"Peso fuera de rango"&amp;" · ","")&amp;IF(AND($S71="Sub",$F71&lt;&gt;"",OR(NOT(ISNUMBER($F71)),$F71&lt;0,$F71&gt;1)),"Peso fuera de rango"&amp;" · ","")&amp;IF(AND($S71="Sub",$F71="",IFERROR(N(INDEX($AG$5:$AG$1000,$R71-4)),0)&gt;0),"Falta el peso de la subactividad"&amp;" · ","")&amp;IF(AND(N($T71)&gt;0,N($AG71)&gt;0,ABS(N($AG71)-N($F71))&gt;0.0001),"Pesos de sus subactividades suman "&amp;TEXT(N($AG71),"0%")&amp;" (deben sumar "&amp;TEXT(N($F71),"0%")&amp;")"&amp;" · ","")&amp;IF(AND($S71="Macro",ABS(SUMIFS($F$5:$F$1000,$P$5:$P$1000,$P71,$S$5:$S$1000,"Macro")-1)&gt;0.0001),"Pesos del mes suman "&amp;TEXT(SUMIFS($F$5:$F$1000,$P$5:$P$1000,$P71,$S$5:$S$1000,"Macro"),"0%")&amp;" · ","")&amp;IF(AND(N($T71)&gt;0,COUNT($G71:$J71)&gt;0),"Con subactividades: deje vacías las semanas (se calculan solas)"&amp;" · ","")&amp;IF((COUNTIF($G71:$J71,"&gt;1")+COUNTIF($G71:$J71,"&lt;0")+COUNTA($G71:$J71)-COUNT($G71:$J71))&gt;0,"Avance fuera de rango 0-100%"&amp;" · ","")&amp;IF(OR(AND($H71&lt;&gt;"",$H71&lt;$G71),AND($I71&lt;&gt;"",$I71&lt;MAX($G71:$H71)),AND($J71&lt;&gt;"",$J71&lt;MAX($G71:$I71))),"Avance semanal decreciente"&amp;" · ","")&amp;IF(AND(ISNUMBER($E71),$E71&lt;FechaRef,N($K71)&lt;1),"Vencida"&amp;" · ","")&amp;IF(AND(ObsObligatoria="Sí",ISNUMBER($E71),$E71&lt;FechaRef,N($K71)&lt;1,$N71=""),"Vencida sin observación"&amp;" · ",""))-3)))</f>
        <v/>
      </c>
      <c r="P71" s="70">
        <f>IF(NOT((COUNTA($B71:$J71)+COUNTA($N71))&gt;0),"",IF(AND($S71="Sub",N($R71)&gt;0),IF(ISNUMBER(INDEX($D$5:$D$1000,$R71-4)),DATE(YEAR(INDEX($D$5:$D$1000,$R71-4)),MONTH(INDEX($D$5:$D$1000,$R71-4)),1),IF(ISNUMBER(INDEX($E$5:$E$1000,$R71-4)),DATE(YEAR(INDEX($E$5:$E$1000,$R71-4)),MONTH(INDEX($E$5:$E$1000,$R71-4)),1),MesCiclo)),IF(ISNUMBER($D71),DATE(YEAR($D71),MONTH($D71),1),IF(ISNUMBER($E71),DATE(YEAR($E71),MONTH($E71),1),MesCiclo))))</f>
        <v/>
      </c>
      <c r="Q71" s="71">
        <f>IF(OR($P71="",$P71&lt;&gt;MesCiclo),"",COUNTIF($P$5:$P71,MesCiclo))</f>
        <v/>
      </c>
      <c r="R71" s="71">
        <f>IF($S71="","",IF($S71="Macro",ROW(),IFERROR(LOOKUP(2,1/($S$5:$S71="Macro"),ROW($S$5:$S71)),0)))</f>
        <v/>
      </c>
      <c r="S71" s="71">
        <f>IF(NOT((COUNTA($B71:$J71)+COUNTA($N71))&gt;0),"",IF($B71="Subactividad","Sub","Macro"))</f>
        <v/>
      </c>
      <c r="T71" s="71">
        <f>IF($S71="Macro",COUNTIFS($R$5:$R$1000,ROW(),$S$5:$S$1000,"Sub"),"")</f>
        <v/>
      </c>
      <c r="U71" s="71">
        <f>IF($S71="","",IF(ISNUMBER($G71),$G71,0))</f>
        <v/>
      </c>
      <c r="V71" s="71">
        <f>IF($S71="","",IF(ISNUMBER($H71),$H71,$U71))</f>
        <v/>
      </c>
      <c r="W71" s="71">
        <f>IF($S71="","",IF(ISNUMBER($I71),$I71,$V71))</f>
        <v/>
      </c>
      <c r="X71" s="71">
        <f>IF($S71="","",IF(ISNUMBER($J71),$J71,$W71))</f>
        <v/>
      </c>
      <c r="Y71" s="71">
        <f>IF($S71="","",IF(N($T71)&gt;0,IF(N($AG71)&gt;0,SUMIFS($AC$5:$AC$1000,$R$5:$R$1000,ROW(),$S$5:$S$1000,"Sub")/$AG71,AVERAGEIFS($U$5:$U$1000,$R$5:$R$1000,ROW(),$S$5:$S$1000,"Sub")),$U71))</f>
        <v/>
      </c>
      <c r="Z71" s="71">
        <f>IF($S71="","",IF(N($T71)&gt;0,IF(N($AG71)&gt;0,SUMIFS($AD$5:$AD$1000,$R$5:$R$1000,ROW(),$S$5:$S$1000,"Sub")/$AG71,AVERAGEIFS($V$5:$V$1000,$R$5:$R$1000,ROW(),$S$5:$S$1000,"Sub")),$V71))</f>
        <v/>
      </c>
      <c r="AA71" s="71">
        <f>IF($S71="","",IF(N($T71)&gt;0,IF(N($AG71)&gt;0,SUMIFS($AE$5:$AE$1000,$R$5:$R$1000,ROW(),$S$5:$S$1000,"Sub")/$AG71,AVERAGEIFS($W$5:$W$1000,$R$5:$R$1000,ROW(),$S$5:$S$1000,"Sub")),$W71))</f>
        <v/>
      </c>
      <c r="AB71" s="71">
        <f>IF($S71="","",IF(N($T71)&gt;0,IF(N($AG71)&gt;0,SUMIFS($AF$5:$AF$1000,$R$5:$R$1000,ROW(),$S$5:$S$1000,"Sub")/$AG71,AVERAGEIFS($X$5:$X$1000,$R$5:$R$1000,ROW(),$S$5:$S$1000,"Sub")),$X71))</f>
        <v/>
      </c>
      <c r="AC71" s="71">
        <f>IF($S71="Sub",N($F71)*N($U71),"")</f>
        <v/>
      </c>
      <c r="AD71" s="71">
        <f>IF($S71="Sub",N($F71)*N($V71),"")</f>
        <v/>
      </c>
      <c r="AE71" s="71">
        <f>IF($S71="Sub",N($F71)*N($W71),"")</f>
        <v/>
      </c>
      <c r="AF71" s="71">
        <f>IF($S71="Sub",N($F71)*N($X71),"")</f>
        <v/>
      </c>
      <c r="AG71" s="71">
        <f>IF(N($T71)&gt;0,SUMIFS($F$5:$F$1000,$R$5:$R$1000,ROW(),$S$5:$S$1000,"Sub"),"")</f>
        <v/>
      </c>
    </row>
    <row r="72">
      <c r="A72" s="62">
        <f>IF(NOT((COUNTA($B72:$J72)+COUNTA($N72))&gt;0),"",IF($S72="Macro",COUNTIFS($S$5:$S72,"Macro",$P$5:$P72,$P72),IF(N($R72)=0,"?",COUNTIFS(INDEX($S$5:$S$1000,1):INDEX($S$5:$S$1000,$R72-4),"Macro",INDEX($P$5:$P$1000,1):INDEX($P$5:$P$1000,$R72-4),INDEX($P$5:$P$1000,$R72-4))&amp;"."&amp;COUNTIFS($R$5:$R72,$R72,$S$5:$S72,"Sub"))))</f>
        <v/>
      </c>
      <c r="B72" s="63" t="n"/>
      <c r="C72" s="64" t="n"/>
      <c r="D72" s="65" t="n"/>
      <c r="E72" s="65" t="n"/>
      <c r="F72" s="66" t="n"/>
      <c r="G72" s="67" t="n"/>
      <c r="H72" s="67" t="n"/>
      <c r="I72" s="67" t="n"/>
      <c r="J72" s="67" t="n"/>
      <c r="K72" s="68">
        <f>IF(NOT((COUNTA($B72:$J72)+COUNTA($N72))&gt;0),"",IF(N($T72)&gt;0,$AB72,IFERROR(LOOKUP(2,1/(G72:J72&lt;&gt;""),G72:J72),0)))</f>
        <v/>
      </c>
      <c r="L72" s="62">
        <f>IF(K72="","",IF(K72&gt;=1,"Completado",IF(K72&gt;0,"En curso","Pendiente")))</f>
        <v/>
      </c>
      <c r="M72" s="62">
        <f>IF(NOT((COUNTA($B72:$J72)+COUNTA($N72))&gt;0),"",IF(N($K72)&gt;=1,"Cumplida",IF(NOT(ISNUMBER($E72)),"Sin fecha límite",IF($E72&lt;FechaRef,"Vencida hace "&amp;(FechaRef-$E72)&amp;IF(FechaRef-$E72=1," día"," días"),IF($E72=FechaRef,"Vence hoy",IF($E72-FechaRef&lt;=DiasAlerta,"Vence en "&amp;($E72-FechaRef)&amp;IF($E72-FechaRef=1," día"," días"),"En plazo"))))))</f>
        <v/>
      </c>
      <c r="N72" s="64" t="n"/>
      <c r="O72" s="69">
        <f>IF(NOT((COUNTA($B72:$J72)+COUNTA($N72))&gt;0),"",IF((IF($C72="","Falta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",""))="","✔ OK","⚠ "&amp;LEFT(IF($C72="","Falta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",""),LEN(IF($C72="","Falta el nombre de la actividad"&amp;" · ","")&amp;IF(AND($S72="Sub",N($R72)=0),"Subactividad sin macroactividad arriba"&amp;" · ","")&amp;IF($D72="","Sin fecha de inicio"&amp;" · ","")&amp;IF($E72="","Sin fecha límite"&amp;" · ","")&amp;IF(OR(AND($D72&lt;&gt;"",NOT(ISNUMBER($D72))),AND($E72&lt;&gt;"",NOT(ISNUMBER($E72)))),"Fecha no válida"&amp;" · ","")&amp;IF(AND(ISNUMBER($D72),ISNUMBER($E72),$D72&gt;$E72),"Inicio posterior a fecha límite"&amp;" · ","")&amp;IF(AND($S72="Macro",$F72=""),"Peso vacío"&amp;" · ","")&amp;IF(AND($S72="Macro",$F72&lt;&gt;"",OR(NOT(ISNUMBER($F72)),$F72&lt;=0,$F72&gt;1)),"Peso fuera de rango"&amp;" · ","")&amp;IF(AND($S72="Sub",$F72&lt;&gt;"",OR(NOT(ISNUMBER($F72)),$F72&lt;0,$F72&gt;1)),"Peso fuera de rango"&amp;" · ","")&amp;IF(AND($S72="Sub",$F72="",IFERROR(N(INDEX($AG$5:$AG$1000,$R72-4)),0)&gt;0),"Falta el peso de la subactividad"&amp;" · ","")&amp;IF(AND(N($T72)&gt;0,N($AG72)&gt;0,ABS(N($AG72)-N($F72))&gt;0.0001),"Pesos de sus subactividades suman "&amp;TEXT(N($AG72),"0%")&amp;" (deben sumar "&amp;TEXT(N($F72),"0%")&amp;")"&amp;" · ","")&amp;IF(AND($S72="Macro",ABS(SUMIFS($F$5:$F$1000,$P$5:$P$1000,$P72,$S$5:$S$1000,"Macro")-1)&gt;0.0001),"Pesos del mes suman "&amp;TEXT(SUMIFS($F$5:$F$1000,$P$5:$P$1000,$P72,$S$5:$S$1000,"Macro"),"0%")&amp;" · ","")&amp;IF(AND(N($T72)&gt;0,COUNT($G72:$J72)&gt;0),"Con subactividades: deje vacías las semanas (se calculan solas)"&amp;" · ","")&amp;IF((COUNTIF($G72:$J72,"&gt;1")+COUNTIF($G72:$J72,"&lt;0")+COUNTA($G72:$J72)-COUNT($G72:$J72))&gt;0,"Avance fuera de rango 0-100%"&amp;" · ","")&amp;IF(OR(AND($H72&lt;&gt;"",$H72&lt;$G72),AND($I72&lt;&gt;"",$I72&lt;MAX($G72:$H72)),AND($J72&lt;&gt;"",$J72&lt;MAX($G72:$I72))),"Avance semanal decreciente"&amp;" · ","")&amp;IF(AND(ISNUMBER($E72),$E72&lt;FechaRef,N($K72)&lt;1),"Vencida"&amp;" · ","")&amp;IF(AND(ObsObligatoria="Sí",ISNUMBER($E72),$E72&lt;FechaRef,N($K72)&lt;1,$N72=""),"Vencida sin observación"&amp;" · ",""))-3)))</f>
        <v/>
      </c>
      <c r="P72" s="70">
        <f>IF(NOT((COUNTA($B72:$J72)+COUNTA($N72))&gt;0),"",IF(AND($S72="Sub",N($R72)&gt;0),IF(ISNUMBER(INDEX($D$5:$D$1000,$R72-4)),DATE(YEAR(INDEX($D$5:$D$1000,$R72-4)),MONTH(INDEX($D$5:$D$1000,$R72-4)),1),IF(ISNUMBER(INDEX($E$5:$E$1000,$R72-4)),DATE(YEAR(INDEX($E$5:$E$1000,$R72-4)),MONTH(INDEX($E$5:$E$1000,$R72-4)),1),MesCiclo)),IF(ISNUMBER($D72),DATE(YEAR($D72),MONTH($D72),1),IF(ISNUMBER($E72),DATE(YEAR($E72),MONTH($E72),1),MesCiclo))))</f>
        <v/>
      </c>
      <c r="Q72" s="71">
        <f>IF(OR($P72="",$P72&lt;&gt;MesCiclo),"",COUNTIF($P$5:$P72,MesCiclo))</f>
        <v/>
      </c>
      <c r="R72" s="71">
        <f>IF($S72="","",IF($S72="Macro",ROW(),IFERROR(LOOKUP(2,1/($S$5:$S72="Macro"),ROW($S$5:$S72)),0)))</f>
        <v/>
      </c>
      <c r="S72" s="71">
        <f>IF(NOT((COUNTA($B72:$J72)+COUNTA($N72))&gt;0),"",IF($B72="Subactividad","Sub","Macro"))</f>
        <v/>
      </c>
      <c r="T72" s="71">
        <f>IF($S72="Macro",COUNTIFS($R$5:$R$1000,ROW(),$S$5:$S$1000,"Sub"),"")</f>
        <v/>
      </c>
      <c r="U72" s="71">
        <f>IF($S72="","",IF(ISNUMBER($G72),$G72,0))</f>
        <v/>
      </c>
      <c r="V72" s="71">
        <f>IF($S72="","",IF(ISNUMBER($H72),$H72,$U72))</f>
        <v/>
      </c>
      <c r="W72" s="71">
        <f>IF($S72="","",IF(ISNUMBER($I72),$I72,$V72))</f>
        <v/>
      </c>
      <c r="X72" s="71">
        <f>IF($S72="","",IF(ISNUMBER($J72),$J72,$W72))</f>
        <v/>
      </c>
      <c r="Y72" s="71">
        <f>IF($S72="","",IF(N($T72)&gt;0,IF(N($AG72)&gt;0,SUMIFS($AC$5:$AC$1000,$R$5:$R$1000,ROW(),$S$5:$S$1000,"Sub")/$AG72,AVERAGEIFS($U$5:$U$1000,$R$5:$R$1000,ROW(),$S$5:$S$1000,"Sub")),$U72))</f>
        <v/>
      </c>
      <c r="Z72" s="71">
        <f>IF($S72="","",IF(N($T72)&gt;0,IF(N($AG72)&gt;0,SUMIFS($AD$5:$AD$1000,$R$5:$R$1000,ROW(),$S$5:$S$1000,"Sub")/$AG72,AVERAGEIFS($V$5:$V$1000,$R$5:$R$1000,ROW(),$S$5:$S$1000,"Sub")),$V72))</f>
        <v/>
      </c>
      <c r="AA72" s="71">
        <f>IF($S72="","",IF(N($T72)&gt;0,IF(N($AG72)&gt;0,SUMIFS($AE$5:$AE$1000,$R$5:$R$1000,ROW(),$S$5:$S$1000,"Sub")/$AG72,AVERAGEIFS($W$5:$W$1000,$R$5:$R$1000,ROW(),$S$5:$S$1000,"Sub")),$W72))</f>
        <v/>
      </c>
      <c r="AB72" s="71">
        <f>IF($S72="","",IF(N($T72)&gt;0,IF(N($AG72)&gt;0,SUMIFS($AF$5:$AF$1000,$R$5:$R$1000,ROW(),$S$5:$S$1000,"Sub")/$AG72,AVERAGEIFS($X$5:$X$1000,$R$5:$R$1000,ROW(),$S$5:$S$1000,"Sub")),$X72))</f>
        <v/>
      </c>
      <c r="AC72" s="71">
        <f>IF($S72="Sub",N($F72)*N($U72),"")</f>
        <v/>
      </c>
      <c r="AD72" s="71">
        <f>IF($S72="Sub",N($F72)*N($V72),"")</f>
        <v/>
      </c>
      <c r="AE72" s="71">
        <f>IF($S72="Sub",N($F72)*N($W72),"")</f>
        <v/>
      </c>
      <c r="AF72" s="71">
        <f>IF($S72="Sub",N($F72)*N($X72),"")</f>
        <v/>
      </c>
      <c r="AG72" s="71">
        <f>IF(N($T72)&gt;0,SUMIFS($F$5:$F$1000,$R$5:$R$1000,ROW(),$S$5:$S$1000,"Sub"),"")</f>
        <v/>
      </c>
    </row>
    <row r="73">
      <c r="A73" s="62">
        <f>IF(NOT((COUNTA($B73:$J73)+COUNTA($N73))&gt;0),"",IF($S73="Macro",COUNTIFS($S$5:$S73,"Macro",$P$5:$P73,$P73),IF(N($R73)=0,"?",COUNTIFS(INDEX($S$5:$S$1000,1):INDEX($S$5:$S$1000,$R73-4),"Macro",INDEX($P$5:$P$1000,1):INDEX($P$5:$P$1000,$R73-4),INDEX($P$5:$P$1000,$R73-4))&amp;"."&amp;COUNTIFS($R$5:$R73,$R73,$S$5:$S73,"Sub"))))</f>
        <v/>
      </c>
      <c r="B73" s="63" t="n"/>
      <c r="C73" s="64" t="n"/>
      <c r="D73" s="65" t="n"/>
      <c r="E73" s="65" t="n"/>
      <c r="F73" s="66" t="n"/>
      <c r="G73" s="67" t="n"/>
      <c r="H73" s="67" t="n"/>
      <c r="I73" s="67" t="n"/>
      <c r="J73" s="67" t="n"/>
      <c r="K73" s="68">
        <f>IF(NOT((COUNTA($B73:$J73)+COUNTA($N73))&gt;0),"",IF(N($T73)&gt;0,$AB73,IFERROR(LOOKUP(2,1/(G73:J73&lt;&gt;""),G73:J73),0)))</f>
        <v/>
      </c>
      <c r="L73" s="62">
        <f>IF(K73="","",IF(K73&gt;=1,"Completado",IF(K73&gt;0,"En curso","Pendiente")))</f>
        <v/>
      </c>
      <c r="M73" s="62">
        <f>IF(NOT((COUNTA($B73:$J73)+COUNTA($N73))&gt;0),"",IF(N($K73)&gt;=1,"Cumplida",IF(NOT(ISNUMBER($E73)),"Sin fecha límite",IF($E73&lt;FechaRef,"Vencida hace "&amp;(FechaRef-$E73)&amp;IF(FechaRef-$E73=1," día"," días"),IF($E73=FechaRef,"Vence hoy",IF($E73-FechaRef&lt;=DiasAlerta,"Vence en "&amp;($E73-FechaRef)&amp;IF($E73-FechaRef=1," día"," días"),"En plazo"))))))</f>
        <v/>
      </c>
      <c r="N73" s="64" t="n"/>
      <c r="O73" s="69">
        <f>IF(NOT((COUNTA($B73:$J73)+COUNTA($N73))&gt;0),"",IF((IF($C73="","Falta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",""))="","✔ OK","⚠ "&amp;LEFT(IF($C73="","Falta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",""),LEN(IF($C73="","Falta el nombre de la actividad"&amp;" · ","")&amp;IF(AND($S73="Sub",N($R73)=0),"Subactividad sin macroactividad arriba"&amp;" · ","")&amp;IF($D73="","Sin fecha de inicio"&amp;" · ","")&amp;IF($E73="","Sin fecha límite"&amp;" · ","")&amp;IF(OR(AND($D73&lt;&gt;"",NOT(ISNUMBER($D73))),AND($E73&lt;&gt;"",NOT(ISNUMBER($E73)))),"Fecha no válida"&amp;" · ","")&amp;IF(AND(ISNUMBER($D73),ISNUMBER($E73),$D73&gt;$E73),"Inicio posterior a fecha límite"&amp;" · ","")&amp;IF(AND($S73="Macro",$F73=""),"Peso vacío"&amp;" · ","")&amp;IF(AND($S73="Macro",$F73&lt;&gt;"",OR(NOT(ISNUMBER($F73)),$F73&lt;=0,$F73&gt;1)),"Peso fuera de rango"&amp;" · ","")&amp;IF(AND($S73="Sub",$F73&lt;&gt;"",OR(NOT(ISNUMBER($F73)),$F73&lt;0,$F73&gt;1)),"Peso fuera de rango"&amp;" · ","")&amp;IF(AND($S73="Sub",$F73="",IFERROR(N(INDEX($AG$5:$AG$1000,$R73-4)),0)&gt;0),"Falta el peso de la subactividad"&amp;" · ","")&amp;IF(AND(N($T73)&gt;0,N($AG73)&gt;0,ABS(N($AG73)-N($F73))&gt;0.0001),"Pesos de sus subactividades suman "&amp;TEXT(N($AG73),"0%")&amp;" (deben sumar "&amp;TEXT(N($F73),"0%")&amp;")"&amp;" · ","")&amp;IF(AND($S73="Macro",ABS(SUMIFS($F$5:$F$1000,$P$5:$P$1000,$P73,$S$5:$S$1000,"Macro")-1)&gt;0.0001),"Pesos del mes suman "&amp;TEXT(SUMIFS($F$5:$F$1000,$P$5:$P$1000,$P73,$S$5:$S$1000,"Macro"),"0%")&amp;" · ","")&amp;IF(AND(N($T73)&gt;0,COUNT($G73:$J73)&gt;0),"Con subactividades: deje vacías las semanas (se calculan solas)"&amp;" · ","")&amp;IF((COUNTIF($G73:$J73,"&gt;1")+COUNTIF($G73:$J73,"&lt;0")+COUNTA($G73:$J73)-COUNT($G73:$J73))&gt;0,"Avance fuera de rango 0-100%"&amp;" · ","")&amp;IF(OR(AND($H73&lt;&gt;"",$H73&lt;$G73),AND($I73&lt;&gt;"",$I73&lt;MAX($G73:$H73)),AND($J73&lt;&gt;"",$J73&lt;MAX($G73:$I73))),"Avance semanal decreciente"&amp;" · ","")&amp;IF(AND(ISNUMBER($E73),$E73&lt;FechaRef,N($K73)&lt;1),"Vencida"&amp;" · ","")&amp;IF(AND(ObsObligatoria="Sí",ISNUMBER($E73),$E73&lt;FechaRef,N($K73)&lt;1,$N73=""),"Vencida sin observación"&amp;" · ",""))-3)))</f>
        <v/>
      </c>
      <c r="P73" s="70">
        <f>IF(NOT((COUNTA($B73:$J73)+COUNTA($N73))&gt;0),"",IF(AND($S73="Sub",N($R73)&gt;0),IF(ISNUMBER(INDEX($D$5:$D$1000,$R73-4)),DATE(YEAR(INDEX($D$5:$D$1000,$R73-4)),MONTH(INDEX($D$5:$D$1000,$R73-4)),1),IF(ISNUMBER(INDEX($E$5:$E$1000,$R73-4)),DATE(YEAR(INDEX($E$5:$E$1000,$R73-4)),MONTH(INDEX($E$5:$E$1000,$R73-4)),1),MesCiclo)),IF(ISNUMBER($D73),DATE(YEAR($D73),MONTH($D73),1),IF(ISNUMBER($E73),DATE(YEAR($E73),MONTH($E73),1),MesCiclo))))</f>
        <v/>
      </c>
      <c r="Q73" s="71">
        <f>IF(OR($P73="",$P73&lt;&gt;MesCiclo),"",COUNTIF($P$5:$P73,MesCiclo))</f>
        <v/>
      </c>
      <c r="R73" s="71">
        <f>IF($S73="","",IF($S73="Macro",ROW(),IFERROR(LOOKUP(2,1/($S$5:$S73="Macro"),ROW($S$5:$S73)),0)))</f>
        <v/>
      </c>
      <c r="S73" s="71">
        <f>IF(NOT((COUNTA($B73:$J73)+COUNTA($N73))&gt;0),"",IF($B73="Subactividad","Sub","Macro"))</f>
        <v/>
      </c>
      <c r="T73" s="71">
        <f>IF($S73="Macro",COUNTIFS($R$5:$R$1000,ROW(),$S$5:$S$1000,"Sub"),"")</f>
        <v/>
      </c>
      <c r="U73" s="71">
        <f>IF($S73="","",IF(ISNUMBER($G73),$G73,0))</f>
        <v/>
      </c>
      <c r="V73" s="71">
        <f>IF($S73="","",IF(ISNUMBER($H73),$H73,$U73))</f>
        <v/>
      </c>
      <c r="W73" s="71">
        <f>IF($S73="","",IF(ISNUMBER($I73),$I73,$V73))</f>
        <v/>
      </c>
      <c r="X73" s="71">
        <f>IF($S73="","",IF(ISNUMBER($J73),$J73,$W73))</f>
        <v/>
      </c>
      <c r="Y73" s="71">
        <f>IF($S73="","",IF(N($T73)&gt;0,IF(N($AG73)&gt;0,SUMIFS($AC$5:$AC$1000,$R$5:$R$1000,ROW(),$S$5:$S$1000,"Sub")/$AG73,AVERAGEIFS($U$5:$U$1000,$R$5:$R$1000,ROW(),$S$5:$S$1000,"Sub")),$U73))</f>
        <v/>
      </c>
      <c r="Z73" s="71">
        <f>IF($S73="","",IF(N($T73)&gt;0,IF(N($AG73)&gt;0,SUMIFS($AD$5:$AD$1000,$R$5:$R$1000,ROW(),$S$5:$S$1000,"Sub")/$AG73,AVERAGEIFS($V$5:$V$1000,$R$5:$R$1000,ROW(),$S$5:$S$1000,"Sub")),$V73))</f>
        <v/>
      </c>
      <c r="AA73" s="71">
        <f>IF($S73="","",IF(N($T73)&gt;0,IF(N($AG73)&gt;0,SUMIFS($AE$5:$AE$1000,$R$5:$R$1000,ROW(),$S$5:$S$1000,"Sub")/$AG73,AVERAGEIFS($W$5:$W$1000,$R$5:$R$1000,ROW(),$S$5:$S$1000,"Sub")),$W73))</f>
        <v/>
      </c>
      <c r="AB73" s="71">
        <f>IF($S73="","",IF(N($T73)&gt;0,IF(N($AG73)&gt;0,SUMIFS($AF$5:$AF$1000,$R$5:$R$1000,ROW(),$S$5:$S$1000,"Sub")/$AG73,AVERAGEIFS($X$5:$X$1000,$R$5:$R$1000,ROW(),$S$5:$S$1000,"Sub")),$X73))</f>
        <v/>
      </c>
      <c r="AC73" s="71">
        <f>IF($S73="Sub",N($F73)*N($U73),"")</f>
        <v/>
      </c>
      <c r="AD73" s="71">
        <f>IF($S73="Sub",N($F73)*N($V73),"")</f>
        <v/>
      </c>
      <c r="AE73" s="71">
        <f>IF($S73="Sub",N($F73)*N($W73),"")</f>
        <v/>
      </c>
      <c r="AF73" s="71">
        <f>IF($S73="Sub",N($F73)*N($X73),"")</f>
        <v/>
      </c>
      <c r="AG73" s="71">
        <f>IF(N($T73)&gt;0,SUMIFS($F$5:$F$1000,$R$5:$R$1000,ROW(),$S$5:$S$1000,"Sub"),"")</f>
        <v/>
      </c>
    </row>
    <row r="74">
      <c r="A74" s="62">
        <f>IF(NOT((COUNTA($B74:$J74)+COUNTA($N74))&gt;0),"",IF($S74="Macro",COUNTIFS($S$5:$S74,"Macro",$P$5:$P74,$P74),IF(N($R74)=0,"?",COUNTIFS(INDEX($S$5:$S$1000,1):INDEX($S$5:$S$1000,$R74-4),"Macro",INDEX($P$5:$P$1000,1):INDEX($P$5:$P$1000,$R74-4),INDEX($P$5:$P$1000,$R74-4))&amp;"."&amp;COUNTIFS($R$5:$R74,$R74,$S$5:$S74,"Sub"))))</f>
        <v/>
      </c>
      <c r="B74" s="63" t="n"/>
      <c r="C74" s="64" t="n"/>
      <c r="D74" s="65" t="n"/>
      <c r="E74" s="65" t="n"/>
      <c r="F74" s="66" t="n"/>
      <c r="G74" s="67" t="n"/>
      <c r="H74" s="67" t="n"/>
      <c r="I74" s="67" t="n"/>
      <c r="J74" s="67" t="n"/>
      <c r="K74" s="68">
        <f>IF(NOT((COUNTA($B74:$J74)+COUNTA($N74))&gt;0),"",IF(N($T74)&gt;0,$AB74,IFERROR(LOOKUP(2,1/(G74:J74&lt;&gt;""),G74:J74),0)))</f>
        <v/>
      </c>
      <c r="L74" s="62">
        <f>IF(K74="","",IF(K74&gt;=1,"Completado",IF(K74&gt;0,"En curso","Pendiente")))</f>
        <v/>
      </c>
      <c r="M74" s="62">
        <f>IF(NOT((COUNTA($B74:$J74)+COUNTA($N74))&gt;0),"",IF(N($K74)&gt;=1,"Cumplida",IF(NOT(ISNUMBER($E74)),"Sin fecha límite",IF($E74&lt;FechaRef,"Vencida hace "&amp;(FechaRef-$E74)&amp;IF(FechaRef-$E74=1," día"," días"),IF($E74=FechaRef,"Vence hoy",IF($E74-FechaRef&lt;=DiasAlerta,"Vence en "&amp;($E74-FechaRef)&amp;IF($E74-FechaRef=1," día"," días"),"En plazo"))))))</f>
        <v/>
      </c>
      <c r="N74" s="64" t="n"/>
      <c r="O74" s="69">
        <f>IF(NOT((COUNTA($B74:$J74)+COUNTA($N74))&gt;0),"",IF((IF($C74="","Falta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",""))="","✔ OK","⚠ "&amp;LEFT(IF($C74="","Falta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",""),LEN(IF($C74="","Falta el nombre de la actividad"&amp;" · ","")&amp;IF(AND($S74="Sub",N($R74)=0),"Subactividad sin macroactividad arriba"&amp;" · ","")&amp;IF($D74="","Sin fecha de inicio"&amp;" · ","")&amp;IF($E74="","Sin fecha límite"&amp;" · ","")&amp;IF(OR(AND($D74&lt;&gt;"",NOT(ISNUMBER($D74))),AND($E74&lt;&gt;"",NOT(ISNUMBER($E74)))),"Fecha no válida"&amp;" · ","")&amp;IF(AND(ISNUMBER($D74),ISNUMBER($E74),$D74&gt;$E74),"Inicio posterior a fecha límite"&amp;" · ","")&amp;IF(AND($S74="Macro",$F74=""),"Peso vacío"&amp;" · ","")&amp;IF(AND($S74="Macro",$F74&lt;&gt;"",OR(NOT(ISNUMBER($F74)),$F74&lt;=0,$F74&gt;1)),"Peso fuera de rango"&amp;" · ","")&amp;IF(AND($S74="Sub",$F74&lt;&gt;"",OR(NOT(ISNUMBER($F74)),$F74&lt;0,$F74&gt;1)),"Peso fuera de rango"&amp;" · ","")&amp;IF(AND($S74="Sub",$F74="",IFERROR(N(INDEX($AG$5:$AG$1000,$R74-4)),0)&gt;0),"Falta el peso de la subactividad"&amp;" · ","")&amp;IF(AND(N($T74)&gt;0,N($AG74)&gt;0,ABS(N($AG74)-N($F74))&gt;0.0001),"Pesos de sus subactividades suman "&amp;TEXT(N($AG74),"0%")&amp;" (deben sumar "&amp;TEXT(N($F74),"0%")&amp;")"&amp;" · ","")&amp;IF(AND($S74="Macro",ABS(SUMIFS($F$5:$F$1000,$P$5:$P$1000,$P74,$S$5:$S$1000,"Macro")-1)&gt;0.0001),"Pesos del mes suman "&amp;TEXT(SUMIFS($F$5:$F$1000,$P$5:$P$1000,$P74,$S$5:$S$1000,"Macro"),"0%")&amp;" · ","")&amp;IF(AND(N($T74)&gt;0,COUNT($G74:$J74)&gt;0),"Con subactividades: deje vacías las semanas (se calculan solas)"&amp;" · ","")&amp;IF((COUNTIF($G74:$J74,"&gt;1")+COUNTIF($G74:$J74,"&lt;0")+COUNTA($G74:$J74)-COUNT($G74:$J74))&gt;0,"Avance fuera de rango 0-100%"&amp;" · ","")&amp;IF(OR(AND($H74&lt;&gt;"",$H74&lt;$G74),AND($I74&lt;&gt;"",$I74&lt;MAX($G74:$H74)),AND($J74&lt;&gt;"",$J74&lt;MAX($G74:$I74))),"Avance semanal decreciente"&amp;" · ","")&amp;IF(AND(ISNUMBER($E74),$E74&lt;FechaRef,N($K74)&lt;1),"Vencida"&amp;" · ","")&amp;IF(AND(ObsObligatoria="Sí",ISNUMBER($E74),$E74&lt;FechaRef,N($K74)&lt;1,$N74=""),"Vencida sin observación"&amp;" · ",""))-3)))</f>
        <v/>
      </c>
      <c r="P74" s="70">
        <f>IF(NOT((COUNTA($B74:$J74)+COUNTA($N74))&gt;0),"",IF(AND($S74="Sub",N($R74)&gt;0),IF(ISNUMBER(INDEX($D$5:$D$1000,$R74-4)),DATE(YEAR(INDEX($D$5:$D$1000,$R74-4)),MONTH(INDEX($D$5:$D$1000,$R74-4)),1),IF(ISNUMBER(INDEX($E$5:$E$1000,$R74-4)),DATE(YEAR(INDEX($E$5:$E$1000,$R74-4)),MONTH(INDEX($E$5:$E$1000,$R74-4)),1),MesCiclo)),IF(ISNUMBER($D74),DATE(YEAR($D74),MONTH($D74),1),IF(ISNUMBER($E74),DATE(YEAR($E74),MONTH($E74),1),MesCiclo))))</f>
        <v/>
      </c>
      <c r="Q74" s="71">
        <f>IF(OR($P74="",$P74&lt;&gt;MesCiclo),"",COUNTIF($P$5:$P74,MesCiclo))</f>
        <v/>
      </c>
      <c r="R74" s="71">
        <f>IF($S74="","",IF($S74="Macro",ROW(),IFERROR(LOOKUP(2,1/($S$5:$S74="Macro"),ROW($S$5:$S74)),0)))</f>
        <v/>
      </c>
      <c r="S74" s="71">
        <f>IF(NOT((COUNTA($B74:$J74)+COUNTA($N74))&gt;0),"",IF($B74="Subactividad","Sub","Macro"))</f>
        <v/>
      </c>
      <c r="T74" s="71">
        <f>IF($S74="Macro",COUNTIFS($R$5:$R$1000,ROW(),$S$5:$S$1000,"Sub"),"")</f>
        <v/>
      </c>
      <c r="U74" s="71">
        <f>IF($S74="","",IF(ISNUMBER($G74),$G74,0))</f>
        <v/>
      </c>
      <c r="V74" s="71">
        <f>IF($S74="","",IF(ISNUMBER($H74),$H74,$U74))</f>
        <v/>
      </c>
      <c r="W74" s="71">
        <f>IF($S74="","",IF(ISNUMBER($I74),$I74,$V74))</f>
        <v/>
      </c>
      <c r="X74" s="71">
        <f>IF($S74="","",IF(ISNUMBER($J74),$J74,$W74))</f>
        <v/>
      </c>
      <c r="Y74" s="71">
        <f>IF($S74="","",IF(N($T74)&gt;0,IF(N($AG74)&gt;0,SUMIFS($AC$5:$AC$1000,$R$5:$R$1000,ROW(),$S$5:$S$1000,"Sub")/$AG74,AVERAGEIFS($U$5:$U$1000,$R$5:$R$1000,ROW(),$S$5:$S$1000,"Sub")),$U74))</f>
        <v/>
      </c>
      <c r="Z74" s="71">
        <f>IF($S74="","",IF(N($T74)&gt;0,IF(N($AG74)&gt;0,SUMIFS($AD$5:$AD$1000,$R$5:$R$1000,ROW(),$S$5:$S$1000,"Sub")/$AG74,AVERAGEIFS($V$5:$V$1000,$R$5:$R$1000,ROW(),$S$5:$S$1000,"Sub")),$V74))</f>
        <v/>
      </c>
      <c r="AA74" s="71">
        <f>IF($S74="","",IF(N($T74)&gt;0,IF(N($AG74)&gt;0,SUMIFS($AE$5:$AE$1000,$R$5:$R$1000,ROW(),$S$5:$S$1000,"Sub")/$AG74,AVERAGEIFS($W$5:$W$1000,$R$5:$R$1000,ROW(),$S$5:$S$1000,"Sub")),$W74))</f>
        <v/>
      </c>
      <c r="AB74" s="71">
        <f>IF($S74="","",IF(N($T74)&gt;0,IF(N($AG74)&gt;0,SUMIFS($AF$5:$AF$1000,$R$5:$R$1000,ROW(),$S$5:$S$1000,"Sub")/$AG74,AVERAGEIFS($X$5:$X$1000,$R$5:$R$1000,ROW(),$S$5:$S$1000,"Sub")),$X74))</f>
        <v/>
      </c>
      <c r="AC74" s="71">
        <f>IF($S74="Sub",N($F74)*N($U74),"")</f>
        <v/>
      </c>
      <c r="AD74" s="71">
        <f>IF($S74="Sub",N($F74)*N($V74),"")</f>
        <v/>
      </c>
      <c r="AE74" s="71">
        <f>IF($S74="Sub",N($F74)*N($W74),"")</f>
        <v/>
      </c>
      <c r="AF74" s="71">
        <f>IF($S74="Sub",N($F74)*N($X74),"")</f>
        <v/>
      </c>
      <c r="AG74" s="71">
        <f>IF(N($T74)&gt;0,SUMIFS($F$5:$F$1000,$R$5:$R$1000,ROW(),$S$5:$S$1000,"Sub"),"")</f>
        <v/>
      </c>
    </row>
    <row r="75">
      <c r="A75" s="62">
        <f>IF(NOT((COUNTA($B75:$J75)+COUNTA($N75))&gt;0),"",IF($S75="Macro",COUNTIFS($S$5:$S75,"Macro",$P$5:$P75,$P75),IF(N($R75)=0,"?",COUNTIFS(INDEX($S$5:$S$1000,1):INDEX($S$5:$S$1000,$R75-4),"Macro",INDEX($P$5:$P$1000,1):INDEX($P$5:$P$1000,$R75-4),INDEX($P$5:$P$1000,$R75-4))&amp;"."&amp;COUNTIFS($R$5:$R75,$R75,$S$5:$S75,"Sub"))))</f>
        <v/>
      </c>
      <c r="B75" s="63" t="n"/>
      <c r="C75" s="64" t="n"/>
      <c r="D75" s="65" t="n"/>
      <c r="E75" s="65" t="n"/>
      <c r="F75" s="66" t="n"/>
      <c r="G75" s="67" t="n"/>
      <c r="H75" s="67" t="n"/>
      <c r="I75" s="67" t="n"/>
      <c r="J75" s="67" t="n"/>
      <c r="K75" s="68">
        <f>IF(NOT((COUNTA($B75:$J75)+COUNTA($N75))&gt;0),"",IF(N($T75)&gt;0,$AB75,IFERROR(LOOKUP(2,1/(G75:J75&lt;&gt;""),G75:J75),0)))</f>
        <v/>
      </c>
      <c r="L75" s="62">
        <f>IF(K75="","",IF(K75&gt;=1,"Completado",IF(K75&gt;0,"En curso","Pendiente")))</f>
        <v/>
      </c>
      <c r="M75" s="62">
        <f>IF(NOT((COUNTA($B75:$J75)+COUNTA($N75))&gt;0),"",IF(N($K75)&gt;=1,"Cumplida",IF(NOT(ISNUMBER($E75)),"Sin fecha límite",IF($E75&lt;FechaRef,"Vencida hace "&amp;(FechaRef-$E75)&amp;IF(FechaRef-$E75=1," día"," días"),IF($E75=FechaRef,"Vence hoy",IF($E75-FechaRef&lt;=DiasAlerta,"Vence en "&amp;($E75-FechaRef)&amp;IF($E75-FechaRef=1," día"," días"),"En plazo"))))))</f>
        <v/>
      </c>
      <c r="N75" s="64" t="n"/>
      <c r="O75" s="69">
        <f>IF(NOT((COUNTA($B75:$J75)+COUNTA($N75))&gt;0),"",IF((IF($C75="","Falta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",""))="","✔ OK","⚠ "&amp;LEFT(IF($C75="","Falta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",""),LEN(IF($C75="","Falta el nombre de la actividad"&amp;" · ","")&amp;IF(AND($S75="Sub",N($R75)=0),"Subactividad sin macroactividad arriba"&amp;" · ","")&amp;IF($D75="","Sin fecha de inicio"&amp;" · ","")&amp;IF($E75="","Sin fecha límite"&amp;" · ","")&amp;IF(OR(AND($D75&lt;&gt;"",NOT(ISNUMBER($D75))),AND($E75&lt;&gt;"",NOT(ISNUMBER($E75)))),"Fecha no válida"&amp;" · ","")&amp;IF(AND(ISNUMBER($D75),ISNUMBER($E75),$D75&gt;$E75),"Inicio posterior a fecha límite"&amp;" · ","")&amp;IF(AND($S75="Macro",$F75=""),"Peso vacío"&amp;" · ","")&amp;IF(AND($S75="Macro",$F75&lt;&gt;"",OR(NOT(ISNUMBER($F75)),$F75&lt;=0,$F75&gt;1)),"Peso fuera de rango"&amp;" · ","")&amp;IF(AND($S75="Sub",$F75&lt;&gt;"",OR(NOT(ISNUMBER($F75)),$F75&lt;0,$F75&gt;1)),"Peso fuera de rango"&amp;" · ","")&amp;IF(AND($S75="Sub",$F75="",IFERROR(N(INDEX($AG$5:$AG$1000,$R75-4)),0)&gt;0),"Falta el peso de la subactividad"&amp;" · ","")&amp;IF(AND(N($T75)&gt;0,N($AG75)&gt;0,ABS(N($AG75)-N($F75))&gt;0.0001),"Pesos de sus subactividades suman "&amp;TEXT(N($AG75),"0%")&amp;" (deben sumar "&amp;TEXT(N($F75),"0%")&amp;")"&amp;" · ","")&amp;IF(AND($S75="Macro",ABS(SUMIFS($F$5:$F$1000,$P$5:$P$1000,$P75,$S$5:$S$1000,"Macro")-1)&gt;0.0001),"Pesos del mes suman "&amp;TEXT(SUMIFS($F$5:$F$1000,$P$5:$P$1000,$P75,$S$5:$S$1000,"Macro"),"0%")&amp;" · ","")&amp;IF(AND(N($T75)&gt;0,COUNT($G75:$J75)&gt;0),"Con subactividades: deje vacías las semanas (se calculan solas)"&amp;" · ","")&amp;IF((COUNTIF($G75:$J75,"&gt;1")+COUNTIF($G75:$J75,"&lt;0")+COUNTA($G75:$J75)-COUNT($G75:$J75))&gt;0,"Avance fuera de rango 0-100%"&amp;" · ","")&amp;IF(OR(AND($H75&lt;&gt;"",$H75&lt;$G75),AND($I75&lt;&gt;"",$I75&lt;MAX($G75:$H75)),AND($J75&lt;&gt;"",$J75&lt;MAX($G75:$I75))),"Avance semanal decreciente"&amp;" · ","")&amp;IF(AND(ISNUMBER($E75),$E75&lt;FechaRef,N($K75)&lt;1),"Vencida"&amp;" · ","")&amp;IF(AND(ObsObligatoria="Sí",ISNUMBER($E75),$E75&lt;FechaRef,N($K75)&lt;1,$N75=""),"Vencida sin observación"&amp;" · ",""))-3)))</f>
        <v/>
      </c>
      <c r="P75" s="70">
        <f>IF(NOT((COUNTA($B75:$J75)+COUNTA($N75))&gt;0),"",IF(AND($S75="Sub",N($R75)&gt;0),IF(ISNUMBER(INDEX($D$5:$D$1000,$R75-4)),DATE(YEAR(INDEX($D$5:$D$1000,$R75-4)),MONTH(INDEX($D$5:$D$1000,$R75-4)),1),IF(ISNUMBER(INDEX($E$5:$E$1000,$R75-4)),DATE(YEAR(INDEX($E$5:$E$1000,$R75-4)),MONTH(INDEX($E$5:$E$1000,$R75-4)),1),MesCiclo)),IF(ISNUMBER($D75),DATE(YEAR($D75),MONTH($D75),1),IF(ISNUMBER($E75),DATE(YEAR($E75),MONTH($E75),1),MesCiclo))))</f>
        <v/>
      </c>
      <c r="Q75" s="71">
        <f>IF(OR($P75="",$P75&lt;&gt;MesCiclo),"",COUNTIF($P$5:$P75,MesCiclo))</f>
        <v/>
      </c>
      <c r="R75" s="71">
        <f>IF($S75="","",IF($S75="Macro",ROW(),IFERROR(LOOKUP(2,1/($S$5:$S75="Macro"),ROW($S$5:$S75)),0)))</f>
        <v/>
      </c>
      <c r="S75" s="71">
        <f>IF(NOT((COUNTA($B75:$J75)+COUNTA($N75))&gt;0),"",IF($B75="Subactividad","Sub","Macro"))</f>
        <v/>
      </c>
      <c r="T75" s="71">
        <f>IF($S75="Macro",COUNTIFS($R$5:$R$1000,ROW(),$S$5:$S$1000,"Sub"),"")</f>
        <v/>
      </c>
      <c r="U75" s="71">
        <f>IF($S75="","",IF(ISNUMBER($G75),$G75,0))</f>
        <v/>
      </c>
      <c r="V75" s="71">
        <f>IF($S75="","",IF(ISNUMBER($H75),$H75,$U75))</f>
        <v/>
      </c>
      <c r="W75" s="71">
        <f>IF($S75="","",IF(ISNUMBER($I75),$I75,$V75))</f>
        <v/>
      </c>
      <c r="X75" s="71">
        <f>IF($S75="","",IF(ISNUMBER($J75),$J75,$W75))</f>
        <v/>
      </c>
      <c r="Y75" s="71">
        <f>IF($S75="","",IF(N($T75)&gt;0,IF(N($AG75)&gt;0,SUMIFS($AC$5:$AC$1000,$R$5:$R$1000,ROW(),$S$5:$S$1000,"Sub")/$AG75,AVERAGEIFS($U$5:$U$1000,$R$5:$R$1000,ROW(),$S$5:$S$1000,"Sub")),$U75))</f>
        <v/>
      </c>
      <c r="Z75" s="71">
        <f>IF($S75="","",IF(N($T75)&gt;0,IF(N($AG75)&gt;0,SUMIFS($AD$5:$AD$1000,$R$5:$R$1000,ROW(),$S$5:$S$1000,"Sub")/$AG75,AVERAGEIFS($V$5:$V$1000,$R$5:$R$1000,ROW(),$S$5:$S$1000,"Sub")),$V75))</f>
        <v/>
      </c>
      <c r="AA75" s="71">
        <f>IF($S75="","",IF(N($T75)&gt;0,IF(N($AG75)&gt;0,SUMIFS($AE$5:$AE$1000,$R$5:$R$1000,ROW(),$S$5:$S$1000,"Sub")/$AG75,AVERAGEIFS($W$5:$W$1000,$R$5:$R$1000,ROW(),$S$5:$S$1000,"Sub")),$W75))</f>
        <v/>
      </c>
      <c r="AB75" s="71">
        <f>IF($S75="","",IF(N($T75)&gt;0,IF(N($AG75)&gt;0,SUMIFS($AF$5:$AF$1000,$R$5:$R$1000,ROW(),$S$5:$S$1000,"Sub")/$AG75,AVERAGEIFS($X$5:$X$1000,$R$5:$R$1000,ROW(),$S$5:$S$1000,"Sub")),$X75))</f>
        <v/>
      </c>
      <c r="AC75" s="71">
        <f>IF($S75="Sub",N($F75)*N($U75),"")</f>
        <v/>
      </c>
      <c r="AD75" s="71">
        <f>IF($S75="Sub",N($F75)*N($V75),"")</f>
        <v/>
      </c>
      <c r="AE75" s="71">
        <f>IF($S75="Sub",N($F75)*N($W75),"")</f>
        <v/>
      </c>
      <c r="AF75" s="71">
        <f>IF($S75="Sub",N($F75)*N($X75),"")</f>
        <v/>
      </c>
      <c r="AG75" s="71">
        <f>IF(N($T75)&gt;0,SUMIFS($F$5:$F$1000,$R$5:$R$1000,ROW(),$S$5:$S$1000,"Sub"),"")</f>
        <v/>
      </c>
    </row>
    <row r="76">
      <c r="A76" s="62">
        <f>IF(NOT((COUNTA($B76:$J76)+COUNTA($N76))&gt;0),"",IF($S76="Macro",COUNTIFS($S$5:$S76,"Macro",$P$5:$P76,$P76),IF(N($R76)=0,"?",COUNTIFS(INDEX($S$5:$S$1000,1):INDEX($S$5:$S$1000,$R76-4),"Macro",INDEX($P$5:$P$1000,1):INDEX($P$5:$P$1000,$R76-4),INDEX($P$5:$P$1000,$R76-4))&amp;"."&amp;COUNTIFS($R$5:$R76,$R76,$S$5:$S76,"Sub"))))</f>
        <v/>
      </c>
      <c r="B76" s="63" t="n"/>
      <c r="C76" s="64" t="n"/>
      <c r="D76" s="65" t="n"/>
      <c r="E76" s="65" t="n"/>
      <c r="F76" s="66" t="n"/>
      <c r="G76" s="67" t="n"/>
      <c r="H76" s="67" t="n"/>
      <c r="I76" s="67" t="n"/>
      <c r="J76" s="67" t="n"/>
      <c r="K76" s="68">
        <f>IF(NOT((COUNTA($B76:$J76)+COUNTA($N76))&gt;0),"",IF(N($T76)&gt;0,$AB76,IFERROR(LOOKUP(2,1/(G76:J76&lt;&gt;""),G76:J76),0)))</f>
        <v/>
      </c>
      <c r="L76" s="62">
        <f>IF(K76="","",IF(K76&gt;=1,"Completado",IF(K76&gt;0,"En curso","Pendiente")))</f>
        <v/>
      </c>
      <c r="M76" s="62">
        <f>IF(NOT((COUNTA($B76:$J76)+COUNTA($N76))&gt;0),"",IF(N($K76)&gt;=1,"Cumplida",IF(NOT(ISNUMBER($E76)),"Sin fecha límite",IF($E76&lt;FechaRef,"Vencida hace "&amp;(FechaRef-$E76)&amp;IF(FechaRef-$E76=1," día"," días"),IF($E76=FechaRef,"Vence hoy",IF($E76-FechaRef&lt;=DiasAlerta,"Vence en "&amp;($E76-FechaRef)&amp;IF($E76-FechaRef=1," día"," días"),"En plazo"))))))</f>
        <v/>
      </c>
      <c r="N76" s="64" t="n"/>
      <c r="O76" s="69">
        <f>IF(NOT((COUNTA($B76:$J76)+COUNTA($N76))&gt;0),"",IF((IF($C76="","Falta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",""))="","✔ OK","⚠ "&amp;LEFT(IF($C76="","Falta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",""),LEN(IF($C76="","Falta el nombre de la actividad"&amp;" · ","")&amp;IF(AND($S76="Sub",N($R76)=0),"Subactividad sin macroactividad arriba"&amp;" · ","")&amp;IF($D76="","Sin fecha de inicio"&amp;" · ","")&amp;IF($E76="","Sin fecha límite"&amp;" · ","")&amp;IF(OR(AND($D76&lt;&gt;"",NOT(ISNUMBER($D76))),AND($E76&lt;&gt;"",NOT(ISNUMBER($E76)))),"Fecha no válida"&amp;" · ","")&amp;IF(AND(ISNUMBER($D76),ISNUMBER($E76),$D76&gt;$E76),"Inicio posterior a fecha límite"&amp;" · ","")&amp;IF(AND($S76="Macro",$F76=""),"Peso vacío"&amp;" · ","")&amp;IF(AND($S76="Macro",$F76&lt;&gt;"",OR(NOT(ISNUMBER($F76)),$F76&lt;=0,$F76&gt;1)),"Peso fuera de rango"&amp;" · ","")&amp;IF(AND($S76="Sub",$F76&lt;&gt;"",OR(NOT(ISNUMBER($F76)),$F76&lt;0,$F76&gt;1)),"Peso fuera de rango"&amp;" · ","")&amp;IF(AND($S76="Sub",$F76="",IFERROR(N(INDEX($AG$5:$AG$1000,$R76-4)),0)&gt;0),"Falta el peso de la subactividad"&amp;" · ","")&amp;IF(AND(N($T76)&gt;0,N($AG76)&gt;0,ABS(N($AG76)-N($F76))&gt;0.0001),"Pesos de sus subactividades suman "&amp;TEXT(N($AG76),"0%")&amp;" (deben sumar "&amp;TEXT(N($F76),"0%")&amp;")"&amp;" · ","")&amp;IF(AND($S76="Macro",ABS(SUMIFS($F$5:$F$1000,$P$5:$P$1000,$P76,$S$5:$S$1000,"Macro")-1)&gt;0.0001),"Pesos del mes suman "&amp;TEXT(SUMIFS($F$5:$F$1000,$P$5:$P$1000,$P76,$S$5:$S$1000,"Macro"),"0%")&amp;" · ","")&amp;IF(AND(N($T76)&gt;0,COUNT($G76:$J76)&gt;0),"Con subactividades: deje vacías las semanas (se calculan solas)"&amp;" · ","")&amp;IF((COUNTIF($G76:$J76,"&gt;1")+COUNTIF($G76:$J76,"&lt;0")+COUNTA($G76:$J76)-COUNT($G76:$J76))&gt;0,"Avance fuera de rango 0-100%"&amp;" · ","")&amp;IF(OR(AND($H76&lt;&gt;"",$H76&lt;$G76),AND($I76&lt;&gt;"",$I76&lt;MAX($G76:$H76)),AND($J76&lt;&gt;"",$J76&lt;MAX($G76:$I76))),"Avance semanal decreciente"&amp;" · ","")&amp;IF(AND(ISNUMBER($E76),$E76&lt;FechaRef,N($K76)&lt;1),"Vencida"&amp;" · ","")&amp;IF(AND(ObsObligatoria="Sí",ISNUMBER($E76),$E76&lt;FechaRef,N($K76)&lt;1,$N76=""),"Vencida sin observación"&amp;" · ",""))-3)))</f>
        <v/>
      </c>
      <c r="P76" s="70">
        <f>IF(NOT((COUNTA($B76:$J76)+COUNTA($N76))&gt;0),"",IF(AND($S76="Sub",N($R76)&gt;0),IF(ISNUMBER(INDEX($D$5:$D$1000,$R76-4)),DATE(YEAR(INDEX($D$5:$D$1000,$R76-4)),MONTH(INDEX($D$5:$D$1000,$R76-4)),1),IF(ISNUMBER(INDEX($E$5:$E$1000,$R76-4)),DATE(YEAR(INDEX($E$5:$E$1000,$R76-4)),MONTH(INDEX($E$5:$E$1000,$R76-4)),1),MesCiclo)),IF(ISNUMBER($D76),DATE(YEAR($D76),MONTH($D76),1),IF(ISNUMBER($E76),DATE(YEAR($E76),MONTH($E76),1),MesCiclo))))</f>
        <v/>
      </c>
      <c r="Q76" s="71">
        <f>IF(OR($P76="",$P76&lt;&gt;MesCiclo),"",COUNTIF($P$5:$P76,MesCiclo))</f>
        <v/>
      </c>
      <c r="R76" s="71">
        <f>IF($S76="","",IF($S76="Macro",ROW(),IFERROR(LOOKUP(2,1/($S$5:$S76="Macro"),ROW($S$5:$S76)),0)))</f>
        <v/>
      </c>
      <c r="S76" s="71">
        <f>IF(NOT((COUNTA($B76:$J76)+COUNTA($N76))&gt;0),"",IF($B76="Subactividad","Sub","Macro"))</f>
        <v/>
      </c>
      <c r="T76" s="71">
        <f>IF($S76="Macro",COUNTIFS($R$5:$R$1000,ROW(),$S$5:$S$1000,"Sub"),"")</f>
        <v/>
      </c>
      <c r="U76" s="71">
        <f>IF($S76="","",IF(ISNUMBER($G76),$G76,0))</f>
        <v/>
      </c>
      <c r="V76" s="71">
        <f>IF($S76="","",IF(ISNUMBER($H76),$H76,$U76))</f>
        <v/>
      </c>
      <c r="W76" s="71">
        <f>IF($S76="","",IF(ISNUMBER($I76),$I76,$V76))</f>
        <v/>
      </c>
      <c r="X76" s="71">
        <f>IF($S76="","",IF(ISNUMBER($J76),$J76,$W76))</f>
        <v/>
      </c>
      <c r="Y76" s="71">
        <f>IF($S76="","",IF(N($T76)&gt;0,IF(N($AG76)&gt;0,SUMIFS($AC$5:$AC$1000,$R$5:$R$1000,ROW(),$S$5:$S$1000,"Sub")/$AG76,AVERAGEIFS($U$5:$U$1000,$R$5:$R$1000,ROW(),$S$5:$S$1000,"Sub")),$U76))</f>
        <v/>
      </c>
      <c r="Z76" s="71">
        <f>IF($S76="","",IF(N($T76)&gt;0,IF(N($AG76)&gt;0,SUMIFS($AD$5:$AD$1000,$R$5:$R$1000,ROW(),$S$5:$S$1000,"Sub")/$AG76,AVERAGEIFS($V$5:$V$1000,$R$5:$R$1000,ROW(),$S$5:$S$1000,"Sub")),$V76))</f>
        <v/>
      </c>
      <c r="AA76" s="71">
        <f>IF($S76="","",IF(N($T76)&gt;0,IF(N($AG76)&gt;0,SUMIFS($AE$5:$AE$1000,$R$5:$R$1000,ROW(),$S$5:$S$1000,"Sub")/$AG76,AVERAGEIFS($W$5:$W$1000,$R$5:$R$1000,ROW(),$S$5:$S$1000,"Sub")),$W76))</f>
        <v/>
      </c>
      <c r="AB76" s="71">
        <f>IF($S76="","",IF(N($T76)&gt;0,IF(N($AG76)&gt;0,SUMIFS($AF$5:$AF$1000,$R$5:$R$1000,ROW(),$S$5:$S$1000,"Sub")/$AG76,AVERAGEIFS($X$5:$X$1000,$R$5:$R$1000,ROW(),$S$5:$S$1000,"Sub")),$X76))</f>
        <v/>
      </c>
      <c r="AC76" s="71">
        <f>IF($S76="Sub",N($F76)*N($U76),"")</f>
        <v/>
      </c>
      <c r="AD76" s="71">
        <f>IF($S76="Sub",N($F76)*N($V76),"")</f>
        <v/>
      </c>
      <c r="AE76" s="71">
        <f>IF($S76="Sub",N($F76)*N($W76),"")</f>
        <v/>
      </c>
      <c r="AF76" s="71">
        <f>IF($S76="Sub",N($F76)*N($X76),"")</f>
        <v/>
      </c>
      <c r="AG76" s="71">
        <f>IF(N($T76)&gt;0,SUMIFS($F$5:$F$1000,$R$5:$R$1000,ROW(),$S$5:$S$1000,"Sub"),"")</f>
        <v/>
      </c>
    </row>
    <row r="77">
      <c r="A77" s="62">
        <f>IF(NOT((COUNTA($B77:$J77)+COUNTA($N77))&gt;0),"",IF($S77="Macro",COUNTIFS($S$5:$S77,"Macro",$P$5:$P77,$P77),IF(N($R77)=0,"?",COUNTIFS(INDEX($S$5:$S$1000,1):INDEX($S$5:$S$1000,$R77-4),"Macro",INDEX($P$5:$P$1000,1):INDEX($P$5:$P$1000,$R77-4),INDEX($P$5:$P$1000,$R77-4))&amp;"."&amp;COUNTIFS($R$5:$R77,$R77,$S$5:$S77,"Sub"))))</f>
        <v/>
      </c>
      <c r="B77" s="63" t="n"/>
      <c r="C77" s="64" t="n"/>
      <c r="D77" s="65" t="n"/>
      <c r="E77" s="65" t="n"/>
      <c r="F77" s="66" t="n"/>
      <c r="G77" s="67" t="n"/>
      <c r="H77" s="67" t="n"/>
      <c r="I77" s="67" t="n"/>
      <c r="J77" s="67" t="n"/>
      <c r="K77" s="68">
        <f>IF(NOT((COUNTA($B77:$J77)+COUNTA($N77))&gt;0),"",IF(N($T77)&gt;0,$AB77,IFERROR(LOOKUP(2,1/(G77:J77&lt;&gt;""),G77:J77),0)))</f>
        <v/>
      </c>
      <c r="L77" s="62">
        <f>IF(K77="","",IF(K77&gt;=1,"Completado",IF(K77&gt;0,"En curso","Pendiente")))</f>
        <v/>
      </c>
      <c r="M77" s="62">
        <f>IF(NOT((COUNTA($B77:$J77)+COUNTA($N77))&gt;0),"",IF(N($K77)&gt;=1,"Cumplida",IF(NOT(ISNUMBER($E77)),"Sin fecha límite",IF($E77&lt;FechaRef,"Vencida hace "&amp;(FechaRef-$E77)&amp;IF(FechaRef-$E77=1," día"," días"),IF($E77=FechaRef,"Vence hoy",IF($E77-FechaRef&lt;=DiasAlerta,"Vence en "&amp;($E77-FechaRef)&amp;IF($E77-FechaRef=1," día"," días"),"En plazo"))))))</f>
        <v/>
      </c>
      <c r="N77" s="64" t="n"/>
      <c r="O77" s="69">
        <f>IF(NOT((COUNTA($B77:$J77)+COUNTA($N77))&gt;0),"",IF((IF($C77="","Falta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",""))="","✔ OK","⚠ "&amp;LEFT(IF($C77="","Falta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",""),LEN(IF($C77="","Falta el nombre de la actividad"&amp;" · ","")&amp;IF(AND($S77="Sub",N($R77)=0),"Subactividad sin macroactividad arriba"&amp;" · ","")&amp;IF($D77="","Sin fecha de inicio"&amp;" · ","")&amp;IF($E77="","Sin fecha límite"&amp;" · ","")&amp;IF(OR(AND($D77&lt;&gt;"",NOT(ISNUMBER($D77))),AND($E77&lt;&gt;"",NOT(ISNUMBER($E77)))),"Fecha no válida"&amp;" · ","")&amp;IF(AND(ISNUMBER($D77),ISNUMBER($E77),$D77&gt;$E77),"Inicio posterior a fecha límite"&amp;" · ","")&amp;IF(AND($S77="Macro",$F77=""),"Peso vacío"&amp;" · ","")&amp;IF(AND($S77="Macro",$F77&lt;&gt;"",OR(NOT(ISNUMBER($F77)),$F77&lt;=0,$F77&gt;1)),"Peso fuera de rango"&amp;" · ","")&amp;IF(AND($S77="Sub",$F77&lt;&gt;"",OR(NOT(ISNUMBER($F77)),$F77&lt;0,$F77&gt;1)),"Peso fuera de rango"&amp;" · ","")&amp;IF(AND($S77="Sub",$F77="",IFERROR(N(INDEX($AG$5:$AG$1000,$R77-4)),0)&gt;0),"Falta el peso de la subactividad"&amp;" · ","")&amp;IF(AND(N($T77)&gt;0,N($AG77)&gt;0,ABS(N($AG77)-N($F77))&gt;0.0001),"Pesos de sus subactividades suman "&amp;TEXT(N($AG77),"0%")&amp;" (deben sumar "&amp;TEXT(N($F77),"0%")&amp;")"&amp;" · ","")&amp;IF(AND($S77="Macro",ABS(SUMIFS($F$5:$F$1000,$P$5:$P$1000,$P77,$S$5:$S$1000,"Macro")-1)&gt;0.0001),"Pesos del mes suman "&amp;TEXT(SUMIFS($F$5:$F$1000,$P$5:$P$1000,$P77,$S$5:$S$1000,"Macro"),"0%")&amp;" · ","")&amp;IF(AND(N($T77)&gt;0,COUNT($G77:$J77)&gt;0),"Con subactividades: deje vacías las semanas (se calculan solas)"&amp;" · ","")&amp;IF((COUNTIF($G77:$J77,"&gt;1")+COUNTIF($G77:$J77,"&lt;0")+COUNTA($G77:$J77)-COUNT($G77:$J77))&gt;0,"Avance fuera de rango 0-100%"&amp;" · ","")&amp;IF(OR(AND($H77&lt;&gt;"",$H77&lt;$G77),AND($I77&lt;&gt;"",$I77&lt;MAX($G77:$H77)),AND($J77&lt;&gt;"",$J77&lt;MAX($G77:$I77))),"Avance semanal decreciente"&amp;" · ","")&amp;IF(AND(ISNUMBER($E77),$E77&lt;FechaRef,N($K77)&lt;1),"Vencida"&amp;" · ","")&amp;IF(AND(ObsObligatoria="Sí",ISNUMBER($E77),$E77&lt;FechaRef,N($K77)&lt;1,$N77=""),"Vencida sin observación"&amp;" · ",""))-3)))</f>
        <v/>
      </c>
      <c r="P77" s="70">
        <f>IF(NOT((COUNTA($B77:$J77)+COUNTA($N77))&gt;0),"",IF(AND($S77="Sub",N($R77)&gt;0),IF(ISNUMBER(INDEX($D$5:$D$1000,$R77-4)),DATE(YEAR(INDEX($D$5:$D$1000,$R77-4)),MONTH(INDEX($D$5:$D$1000,$R77-4)),1),IF(ISNUMBER(INDEX($E$5:$E$1000,$R77-4)),DATE(YEAR(INDEX($E$5:$E$1000,$R77-4)),MONTH(INDEX($E$5:$E$1000,$R77-4)),1),MesCiclo)),IF(ISNUMBER($D77),DATE(YEAR($D77),MONTH($D77),1),IF(ISNUMBER($E77),DATE(YEAR($E77),MONTH($E77),1),MesCiclo))))</f>
        <v/>
      </c>
      <c r="Q77" s="71">
        <f>IF(OR($P77="",$P77&lt;&gt;MesCiclo),"",COUNTIF($P$5:$P77,MesCiclo))</f>
        <v/>
      </c>
      <c r="R77" s="71">
        <f>IF($S77="","",IF($S77="Macro",ROW(),IFERROR(LOOKUP(2,1/($S$5:$S77="Macro"),ROW($S$5:$S77)),0)))</f>
        <v/>
      </c>
      <c r="S77" s="71">
        <f>IF(NOT((COUNTA($B77:$J77)+COUNTA($N77))&gt;0),"",IF($B77="Subactividad","Sub","Macro"))</f>
        <v/>
      </c>
      <c r="T77" s="71">
        <f>IF($S77="Macro",COUNTIFS($R$5:$R$1000,ROW(),$S$5:$S$1000,"Sub"),"")</f>
        <v/>
      </c>
      <c r="U77" s="71">
        <f>IF($S77="","",IF(ISNUMBER($G77),$G77,0))</f>
        <v/>
      </c>
      <c r="V77" s="71">
        <f>IF($S77="","",IF(ISNUMBER($H77),$H77,$U77))</f>
        <v/>
      </c>
      <c r="W77" s="71">
        <f>IF($S77="","",IF(ISNUMBER($I77),$I77,$V77))</f>
        <v/>
      </c>
      <c r="X77" s="71">
        <f>IF($S77="","",IF(ISNUMBER($J77),$J77,$W77))</f>
        <v/>
      </c>
      <c r="Y77" s="71">
        <f>IF($S77="","",IF(N($T77)&gt;0,IF(N($AG77)&gt;0,SUMIFS($AC$5:$AC$1000,$R$5:$R$1000,ROW(),$S$5:$S$1000,"Sub")/$AG77,AVERAGEIFS($U$5:$U$1000,$R$5:$R$1000,ROW(),$S$5:$S$1000,"Sub")),$U77))</f>
        <v/>
      </c>
      <c r="Z77" s="71">
        <f>IF($S77="","",IF(N($T77)&gt;0,IF(N($AG77)&gt;0,SUMIFS($AD$5:$AD$1000,$R$5:$R$1000,ROW(),$S$5:$S$1000,"Sub")/$AG77,AVERAGEIFS($V$5:$V$1000,$R$5:$R$1000,ROW(),$S$5:$S$1000,"Sub")),$V77))</f>
        <v/>
      </c>
      <c r="AA77" s="71">
        <f>IF($S77="","",IF(N($T77)&gt;0,IF(N($AG77)&gt;0,SUMIFS($AE$5:$AE$1000,$R$5:$R$1000,ROW(),$S$5:$S$1000,"Sub")/$AG77,AVERAGEIFS($W$5:$W$1000,$R$5:$R$1000,ROW(),$S$5:$S$1000,"Sub")),$W77))</f>
        <v/>
      </c>
      <c r="AB77" s="71">
        <f>IF($S77="","",IF(N($T77)&gt;0,IF(N($AG77)&gt;0,SUMIFS($AF$5:$AF$1000,$R$5:$R$1000,ROW(),$S$5:$S$1000,"Sub")/$AG77,AVERAGEIFS($X$5:$X$1000,$R$5:$R$1000,ROW(),$S$5:$S$1000,"Sub")),$X77))</f>
        <v/>
      </c>
      <c r="AC77" s="71">
        <f>IF($S77="Sub",N($F77)*N($U77),"")</f>
        <v/>
      </c>
      <c r="AD77" s="71">
        <f>IF($S77="Sub",N($F77)*N($V77),"")</f>
        <v/>
      </c>
      <c r="AE77" s="71">
        <f>IF($S77="Sub",N($F77)*N($W77),"")</f>
        <v/>
      </c>
      <c r="AF77" s="71">
        <f>IF($S77="Sub",N($F77)*N($X77),"")</f>
        <v/>
      </c>
      <c r="AG77" s="71">
        <f>IF(N($T77)&gt;0,SUMIFS($F$5:$F$1000,$R$5:$R$1000,ROW(),$S$5:$S$1000,"Sub"),"")</f>
        <v/>
      </c>
    </row>
    <row r="78">
      <c r="A78" s="62">
        <f>IF(NOT((COUNTA($B78:$J78)+COUNTA($N78))&gt;0),"",IF($S78="Macro",COUNTIFS($S$5:$S78,"Macro",$P$5:$P78,$P78),IF(N($R78)=0,"?",COUNTIFS(INDEX($S$5:$S$1000,1):INDEX($S$5:$S$1000,$R78-4),"Macro",INDEX($P$5:$P$1000,1):INDEX($P$5:$P$1000,$R78-4),INDEX($P$5:$P$1000,$R78-4))&amp;"."&amp;COUNTIFS($R$5:$R78,$R78,$S$5:$S78,"Sub"))))</f>
        <v/>
      </c>
      <c r="B78" s="63" t="n"/>
      <c r="C78" s="64" t="n"/>
      <c r="D78" s="65" t="n"/>
      <c r="E78" s="65" t="n"/>
      <c r="F78" s="66" t="n"/>
      <c r="G78" s="67" t="n"/>
      <c r="H78" s="67" t="n"/>
      <c r="I78" s="67" t="n"/>
      <c r="J78" s="67" t="n"/>
      <c r="K78" s="68">
        <f>IF(NOT((COUNTA($B78:$J78)+COUNTA($N78))&gt;0),"",IF(N($T78)&gt;0,$AB78,IFERROR(LOOKUP(2,1/(G78:J78&lt;&gt;""),G78:J78),0)))</f>
        <v/>
      </c>
      <c r="L78" s="62">
        <f>IF(K78="","",IF(K78&gt;=1,"Completado",IF(K78&gt;0,"En curso","Pendiente")))</f>
        <v/>
      </c>
      <c r="M78" s="62">
        <f>IF(NOT((COUNTA($B78:$J78)+COUNTA($N78))&gt;0),"",IF(N($K78)&gt;=1,"Cumplida",IF(NOT(ISNUMBER($E78)),"Sin fecha límite",IF($E78&lt;FechaRef,"Vencida hace "&amp;(FechaRef-$E78)&amp;IF(FechaRef-$E78=1," día"," días"),IF($E78=FechaRef,"Vence hoy",IF($E78-FechaRef&lt;=DiasAlerta,"Vence en "&amp;($E78-FechaRef)&amp;IF($E78-FechaRef=1," día"," días"),"En plazo"))))))</f>
        <v/>
      </c>
      <c r="N78" s="64" t="n"/>
      <c r="O78" s="69">
        <f>IF(NOT((COUNTA($B78:$J78)+COUNTA($N78))&gt;0),"",IF((IF($C78="","Falta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",""))="","✔ OK","⚠ "&amp;LEFT(IF($C78="","Falta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",""),LEN(IF($C78="","Falta el nombre de la actividad"&amp;" · ","")&amp;IF(AND($S78="Sub",N($R78)=0),"Subactividad sin macroactividad arriba"&amp;" · ","")&amp;IF($D78="","Sin fecha de inicio"&amp;" · ","")&amp;IF($E78="","Sin fecha límite"&amp;" · ","")&amp;IF(OR(AND($D78&lt;&gt;"",NOT(ISNUMBER($D78))),AND($E78&lt;&gt;"",NOT(ISNUMBER($E78)))),"Fecha no válida"&amp;" · ","")&amp;IF(AND(ISNUMBER($D78),ISNUMBER($E78),$D78&gt;$E78),"Inicio posterior a fecha límite"&amp;" · ","")&amp;IF(AND($S78="Macro",$F78=""),"Peso vacío"&amp;" · ","")&amp;IF(AND($S78="Macro",$F78&lt;&gt;"",OR(NOT(ISNUMBER($F78)),$F78&lt;=0,$F78&gt;1)),"Peso fuera de rango"&amp;" · ","")&amp;IF(AND($S78="Sub",$F78&lt;&gt;"",OR(NOT(ISNUMBER($F78)),$F78&lt;0,$F78&gt;1)),"Peso fuera de rango"&amp;" · ","")&amp;IF(AND($S78="Sub",$F78="",IFERROR(N(INDEX($AG$5:$AG$1000,$R78-4)),0)&gt;0),"Falta el peso de la subactividad"&amp;" · ","")&amp;IF(AND(N($T78)&gt;0,N($AG78)&gt;0,ABS(N($AG78)-N($F78))&gt;0.0001),"Pesos de sus subactividades suman "&amp;TEXT(N($AG78),"0%")&amp;" (deben sumar "&amp;TEXT(N($F78),"0%")&amp;")"&amp;" · ","")&amp;IF(AND($S78="Macro",ABS(SUMIFS($F$5:$F$1000,$P$5:$P$1000,$P78,$S$5:$S$1000,"Macro")-1)&gt;0.0001),"Pesos del mes suman "&amp;TEXT(SUMIFS($F$5:$F$1000,$P$5:$P$1000,$P78,$S$5:$S$1000,"Macro"),"0%")&amp;" · ","")&amp;IF(AND(N($T78)&gt;0,COUNT($G78:$J78)&gt;0),"Con subactividades: deje vacías las semanas (se calculan solas)"&amp;" · ","")&amp;IF((COUNTIF($G78:$J78,"&gt;1")+COUNTIF($G78:$J78,"&lt;0")+COUNTA($G78:$J78)-COUNT($G78:$J78))&gt;0,"Avance fuera de rango 0-100%"&amp;" · ","")&amp;IF(OR(AND($H78&lt;&gt;"",$H78&lt;$G78),AND($I78&lt;&gt;"",$I78&lt;MAX($G78:$H78)),AND($J78&lt;&gt;"",$J78&lt;MAX($G78:$I78))),"Avance semanal decreciente"&amp;" · ","")&amp;IF(AND(ISNUMBER($E78),$E78&lt;FechaRef,N($K78)&lt;1),"Vencida"&amp;" · ","")&amp;IF(AND(ObsObligatoria="Sí",ISNUMBER($E78),$E78&lt;FechaRef,N($K78)&lt;1,$N78=""),"Vencida sin observación"&amp;" · ",""))-3)))</f>
        <v/>
      </c>
      <c r="P78" s="70">
        <f>IF(NOT((COUNTA($B78:$J78)+COUNTA($N78))&gt;0),"",IF(AND($S78="Sub",N($R78)&gt;0),IF(ISNUMBER(INDEX($D$5:$D$1000,$R78-4)),DATE(YEAR(INDEX($D$5:$D$1000,$R78-4)),MONTH(INDEX($D$5:$D$1000,$R78-4)),1),IF(ISNUMBER(INDEX($E$5:$E$1000,$R78-4)),DATE(YEAR(INDEX($E$5:$E$1000,$R78-4)),MONTH(INDEX($E$5:$E$1000,$R78-4)),1),MesCiclo)),IF(ISNUMBER($D78),DATE(YEAR($D78),MONTH($D78),1),IF(ISNUMBER($E78),DATE(YEAR($E78),MONTH($E78),1),MesCiclo))))</f>
        <v/>
      </c>
      <c r="Q78" s="71">
        <f>IF(OR($P78="",$P78&lt;&gt;MesCiclo),"",COUNTIF($P$5:$P78,MesCiclo))</f>
        <v/>
      </c>
      <c r="R78" s="71">
        <f>IF($S78="","",IF($S78="Macro",ROW(),IFERROR(LOOKUP(2,1/($S$5:$S78="Macro"),ROW($S$5:$S78)),0)))</f>
        <v/>
      </c>
      <c r="S78" s="71">
        <f>IF(NOT((COUNTA($B78:$J78)+COUNTA($N78))&gt;0),"",IF($B78="Subactividad","Sub","Macro"))</f>
        <v/>
      </c>
      <c r="T78" s="71">
        <f>IF($S78="Macro",COUNTIFS($R$5:$R$1000,ROW(),$S$5:$S$1000,"Sub"),"")</f>
        <v/>
      </c>
      <c r="U78" s="71">
        <f>IF($S78="","",IF(ISNUMBER($G78),$G78,0))</f>
        <v/>
      </c>
      <c r="V78" s="71">
        <f>IF($S78="","",IF(ISNUMBER($H78),$H78,$U78))</f>
        <v/>
      </c>
      <c r="W78" s="71">
        <f>IF($S78="","",IF(ISNUMBER($I78),$I78,$V78))</f>
        <v/>
      </c>
      <c r="X78" s="71">
        <f>IF($S78="","",IF(ISNUMBER($J78),$J78,$W78))</f>
        <v/>
      </c>
      <c r="Y78" s="71">
        <f>IF($S78="","",IF(N($T78)&gt;0,IF(N($AG78)&gt;0,SUMIFS($AC$5:$AC$1000,$R$5:$R$1000,ROW(),$S$5:$S$1000,"Sub")/$AG78,AVERAGEIFS($U$5:$U$1000,$R$5:$R$1000,ROW(),$S$5:$S$1000,"Sub")),$U78))</f>
        <v/>
      </c>
      <c r="Z78" s="71">
        <f>IF($S78="","",IF(N($T78)&gt;0,IF(N($AG78)&gt;0,SUMIFS($AD$5:$AD$1000,$R$5:$R$1000,ROW(),$S$5:$S$1000,"Sub")/$AG78,AVERAGEIFS($V$5:$V$1000,$R$5:$R$1000,ROW(),$S$5:$S$1000,"Sub")),$V78))</f>
        <v/>
      </c>
      <c r="AA78" s="71">
        <f>IF($S78="","",IF(N($T78)&gt;0,IF(N($AG78)&gt;0,SUMIFS($AE$5:$AE$1000,$R$5:$R$1000,ROW(),$S$5:$S$1000,"Sub")/$AG78,AVERAGEIFS($W$5:$W$1000,$R$5:$R$1000,ROW(),$S$5:$S$1000,"Sub")),$W78))</f>
        <v/>
      </c>
      <c r="AB78" s="71">
        <f>IF($S78="","",IF(N($T78)&gt;0,IF(N($AG78)&gt;0,SUMIFS($AF$5:$AF$1000,$R$5:$R$1000,ROW(),$S$5:$S$1000,"Sub")/$AG78,AVERAGEIFS($X$5:$X$1000,$R$5:$R$1000,ROW(),$S$5:$S$1000,"Sub")),$X78))</f>
        <v/>
      </c>
      <c r="AC78" s="71">
        <f>IF($S78="Sub",N($F78)*N($U78),"")</f>
        <v/>
      </c>
      <c r="AD78" s="71">
        <f>IF($S78="Sub",N($F78)*N($V78),"")</f>
        <v/>
      </c>
      <c r="AE78" s="71">
        <f>IF($S78="Sub",N($F78)*N($W78),"")</f>
        <v/>
      </c>
      <c r="AF78" s="71">
        <f>IF($S78="Sub",N($F78)*N($X78),"")</f>
        <v/>
      </c>
      <c r="AG78" s="71">
        <f>IF(N($T78)&gt;0,SUMIFS($F$5:$F$1000,$R$5:$R$1000,ROW(),$S$5:$S$1000,"Sub"),"")</f>
        <v/>
      </c>
    </row>
    <row r="79">
      <c r="A79" s="62">
        <f>IF(NOT((COUNTA($B79:$J79)+COUNTA($N79))&gt;0),"",IF($S79="Macro",COUNTIFS($S$5:$S79,"Macro",$P$5:$P79,$P79),IF(N($R79)=0,"?",COUNTIFS(INDEX($S$5:$S$1000,1):INDEX($S$5:$S$1000,$R79-4),"Macro",INDEX($P$5:$P$1000,1):INDEX($P$5:$P$1000,$R79-4),INDEX($P$5:$P$1000,$R79-4))&amp;"."&amp;COUNTIFS($R$5:$R79,$R79,$S$5:$S79,"Sub"))))</f>
        <v/>
      </c>
      <c r="B79" s="63" t="n"/>
      <c r="C79" s="64" t="n"/>
      <c r="D79" s="65" t="n"/>
      <c r="E79" s="65" t="n"/>
      <c r="F79" s="66" t="n"/>
      <c r="G79" s="67" t="n"/>
      <c r="H79" s="67" t="n"/>
      <c r="I79" s="67" t="n"/>
      <c r="J79" s="67" t="n"/>
      <c r="K79" s="68">
        <f>IF(NOT((COUNTA($B79:$J79)+COUNTA($N79))&gt;0),"",IF(N($T79)&gt;0,$AB79,IFERROR(LOOKUP(2,1/(G79:J79&lt;&gt;""),G79:J79),0)))</f>
        <v/>
      </c>
      <c r="L79" s="62">
        <f>IF(K79="","",IF(K79&gt;=1,"Completado",IF(K79&gt;0,"En curso","Pendiente")))</f>
        <v/>
      </c>
      <c r="M79" s="62">
        <f>IF(NOT((COUNTA($B79:$J79)+COUNTA($N79))&gt;0),"",IF(N($K79)&gt;=1,"Cumplida",IF(NOT(ISNUMBER($E79)),"Sin fecha límite",IF($E79&lt;FechaRef,"Vencida hace "&amp;(FechaRef-$E79)&amp;IF(FechaRef-$E79=1," día"," días"),IF($E79=FechaRef,"Vence hoy",IF($E79-FechaRef&lt;=DiasAlerta,"Vence en "&amp;($E79-FechaRef)&amp;IF($E79-FechaRef=1," día"," días"),"En plazo"))))))</f>
        <v/>
      </c>
      <c r="N79" s="64" t="n"/>
      <c r="O79" s="69">
        <f>IF(NOT((COUNTA($B79:$J79)+COUNTA($N79))&gt;0),"",IF((IF($C79="","Falta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",""))="","✔ OK","⚠ "&amp;LEFT(IF($C79="","Falta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",""),LEN(IF($C79="","Falta el nombre de la actividad"&amp;" · ","")&amp;IF(AND($S79="Sub",N($R79)=0),"Subactividad sin macroactividad arriba"&amp;" · ","")&amp;IF($D79="","Sin fecha de inicio"&amp;" · ","")&amp;IF($E79="","Sin fecha límite"&amp;" · ","")&amp;IF(OR(AND($D79&lt;&gt;"",NOT(ISNUMBER($D79))),AND($E79&lt;&gt;"",NOT(ISNUMBER($E79)))),"Fecha no válida"&amp;" · ","")&amp;IF(AND(ISNUMBER($D79),ISNUMBER($E79),$D79&gt;$E79),"Inicio posterior a fecha límite"&amp;" · ","")&amp;IF(AND($S79="Macro",$F79=""),"Peso vacío"&amp;" · ","")&amp;IF(AND($S79="Macro",$F79&lt;&gt;"",OR(NOT(ISNUMBER($F79)),$F79&lt;=0,$F79&gt;1)),"Peso fuera de rango"&amp;" · ","")&amp;IF(AND($S79="Sub",$F79&lt;&gt;"",OR(NOT(ISNUMBER($F79)),$F79&lt;0,$F79&gt;1)),"Peso fuera de rango"&amp;" · ","")&amp;IF(AND($S79="Sub",$F79="",IFERROR(N(INDEX($AG$5:$AG$1000,$R79-4)),0)&gt;0),"Falta el peso de la subactividad"&amp;" · ","")&amp;IF(AND(N($T79)&gt;0,N($AG79)&gt;0,ABS(N($AG79)-N($F79))&gt;0.0001),"Pesos de sus subactividades suman "&amp;TEXT(N($AG79),"0%")&amp;" (deben sumar "&amp;TEXT(N($F79),"0%")&amp;")"&amp;" · ","")&amp;IF(AND($S79="Macro",ABS(SUMIFS($F$5:$F$1000,$P$5:$P$1000,$P79,$S$5:$S$1000,"Macro")-1)&gt;0.0001),"Pesos del mes suman "&amp;TEXT(SUMIFS($F$5:$F$1000,$P$5:$P$1000,$P79,$S$5:$S$1000,"Macro"),"0%")&amp;" · ","")&amp;IF(AND(N($T79)&gt;0,COUNT($G79:$J79)&gt;0),"Con subactividades: deje vacías las semanas (se calculan solas)"&amp;" · ","")&amp;IF((COUNTIF($G79:$J79,"&gt;1")+COUNTIF($G79:$J79,"&lt;0")+COUNTA($G79:$J79)-COUNT($G79:$J79))&gt;0,"Avance fuera de rango 0-100%"&amp;" · ","")&amp;IF(OR(AND($H79&lt;&gt;"",$H79&lt;$G79),AND($I79&lt;&gt;"",$I79&lt;MAX($G79:$H79)),AND($J79&lt;&gt;"",$J79&lt;MAX($G79:$I79))),"Avance semanal decreciente"&amp;" · ","")&amp;IF(AND(ISNUMBER($E79),$E79&lt;FechaRef,N($K79)&lt;1),"Vencida"&amp;" · ","")&amp;IF(AND(ObsObligatoria="Sí",ISNUMBER($E79),$E79&lt;FechaRef,N($K79)&lt;1,$N79=""),"Vencida sin observación"&amp;" · ",""))-3)))</f>
        <v/>
      </c>
      <c r="P79" s="70">
        <f>IF(NOT((COUNTA($B79:$J79)+COUNTA($N79))&gt;0),"",IF(AND($S79="Sub",N($R79)&gt;0),IF(ISNUMBER(INDEX($D$5:$D$1000,$R79-4)),DATE(YEAR(INDEX($D$5:$D$1000,$R79-4)),MONTH(INDEX($D$5:$D$1000,$R79-4)),1),IF(ISNUMBER(INDEX($E$5:$E$1000,$R79-4)),DATE(YEAR(INDEX($E$5:$E$1000,$R79-4)),MONTH(INDEX($E$5:$E$1000,$R79-4)),1),MesCiclo)),IF(ISNUMBER($D79),DATE(YEAR($D79),MONTH($D79),1),IF(ISNUMBER($E79),DATE(YEAR($E79),MONTH($E79),1),MesCiclo))))</f>
        <v/>
      </c>
      <c r="Q79" s="71">
        <f>IF(OR($P79="",$P79&lt;&gt;MesCiclo),"",COUNTIF($P$5:$P79,MesCiclo))</f>
        <v/>
      </c>
      <c r="R79" s="71">
        <f>IF($S79="","",IF($S79="Macro",ROW(),IFERROR(LOOKUP(2,1/($S$5:$S79="Macro"),ROW($S$5:$S79)),0)))</f>
        <v/>
      </c>
      <c r="S79" s="71">
        <f>IF(NOT((COUNTA($B79:$J79)+COUNTA($N79))&gt;0),"",IF($B79="Subactividad","Sub","Macro"))</f>
        <v/>
      </c>
      <c r="T79" s="71">
        <f>IF($S79="Macro",COUNTIFS($R$5:$R$1000,ROW(),$S$5:$S$1000,"Sub"),"")</f>
        <v/>
      </c>
      <c r="U79" s="71">
        <f>IF($S79="","",IF(ISNUMBER($G79),$G79,0))</f>
        <v/>
      </c>
      <c r="V79" s="71">
        <f>IF($S79="","",IF(ISNUMBER($H79),$H79,$U79))</f>
        <v/>
      </c>
      <c r="W79" s="71">
        <f>IF($S79="","",IF(ISNUMBER($I79),$I79,$V79))</f>
        <v/>
      </c>
      <c r="X79" s="71">
        <f>IF($S79="","",IF(ISNUMBER($J79),$J79,$W79))</f>
        <v/>
      </c>
      <c r="Y79" s="71">
        <f>IF($S79="","",IF(N($T79)&gt;0,IF(N($AG79)&gt;0,SUMIFS($AC$5:$AC$1000,$R$5:$R$1000,ROW(),$S$5:$S$1000,"Sub")/$AG79,AVERAGEIFS($U$5:$U$1000,$R$5:$R$1000,ROW(),$S$5:$S$1000,"Sub")),$U79))</f>
        <v/>
      </c>
      <c r="Z79" s="71">
        <f>IF($S79="","",IF(N($T79)&gt;0,IF(N($AG79)&gt;0,SUMIFS($AD$5:$AD$1000,$R$5:$R$1000,ROW(),$S$5:$S$1000,"Sub")/$AG79,AVERAGEIFS($V$5:$V$1000,$R$5:$R$1000,ROW(),$S$5:$S$1000,"Sub")),$V79))</f>
        <v/>
      </c>
      <c r="AA79" s="71">
        <f>IF($S79="","",IF(N($T79)&gt;0,IF(N($AG79)&gt;0,SUMIFS($AE$5:$AE$1000,$R$5:$R$1000,ROW(),$S$5:$S$1000,"Sub")/$AG79,AVERAGEIFS($W$5:$W$1000,$R$5:$R$1000,ROW(),$S$5:$S$1000,"Sub")),$W79))</f>
        <v/>
      </c>
      <c r="AB79" s="71">
        <f>IF($S79="","",IF(N($T79)&gt;0,IF(N($AG79)&gt;0,SUMIFS($AF$5:$AF$1000,$R$5:$R$1000,ROW(),$S$5:$S$1000,"Sub")/$AG79,AVERAGEIFS($X$5:$X$1000,$R$5:$R$1000,ROW(),$S$5:$S$1000,"Sub")),$X79))</f>
        <v/>
      </c>
      <c r="AC79" s="71">
        <f>IF($S79="Sub",N($F79)*N($U79),"")</f>
        <v/>
      </c>
      <c r="AD79" s="71">
        <f>IF($S79="Sub",N($F79)*N($V79),"")</f>
        <v/>
      </c>
      <c r="AE79" s="71">
        <f>IF($S79="Sub",N($F79)*N($W79),"")</f>
        <v/>
      </c>
      <c r="AF79" s="71">
        <f>IF($S79="Sub",N($F79)*N($X79),"")</f>
        <v/>
      </c>
      <c r="AG79" s="71">
        <f>IF(N($T79)&gt;0,SUMIFS($F$5:$F$1000,$R$5:$R$1000,ROW(),$S$5:$S$1000,"Sub"),"")</f>
        <v/>
      </c>
    </row>
    <row r="80">
      <c r="A80" s="62">
        <f>IF(NOT((COUNTA($B80:$J80)+COUNTA($N80))&gt;0),"",IF($S80="Macro",COUNTIFS($S$5:$S80,"Macro",$P$5:$P80,$P80),IF(N($R80)=0,"?",COUNTIFS(INDEX($S$5:$S$1000,1):INDEX($S$5:$S$1000,$R80-4),"Macro",INDEX($P$5:$P$1000,1):INDEX($P$5:$P$1000,$R80-4),INDEX($P$5:$P$1000,$R80-4))&amp;"."&amp;COUNTIFS($R$5:$R80,$R80,$S$5:$S80,"Sub"))))</f>
        <v/>
      </c>
      <c r="B80" s="63" t="n"/>
      <c r="C80" s="64" t="n"/>
      <c r="D80" s="65" t="n"/>
      <c r="E80" s="65" t="n"/>
      <c r="F80" s="66" t="n"/>
      <c r="G80" s="67" t="n"/>
      <c r="H80" s="67" t="n"/>
      <c r="I80" s="67" t="n"/>
      <c r="J80" s="67" t="n"/>
      <c r="K80" s="68">
        <f>IF(NOT((COUNTA($B80:$J80)+COUNTA($N80))&gt;0),"",IF(N($T80)&gt;0,$AB80,IFERROR(LOOKUP(2,1/(G80:J80&lt;&gt;""),G80:J80),0)))</f>
        <v/>
      </c>
      <c r="L80" s="62">
        <f>IF(K80="","",IF(K80&gt;=1,"Completado",IF(K80&gt;0,"En curso","Pendiente")))</f>
        <v/>
      </c>
      <c r="M80" s="62">
        <f>IF(NOT((COUNTA($B80:$J80)+COUNTA($N80))&gt;0),"",IF(N($K80)&gt;=1,"Cumplida",IF(NOT(ISNUMBER($E80)),"Sin fecha límite",IF($E80&lt;FechaRef,"Vencida hace "&amp;(FechaRef-$E80)&amp;IF(FechaRef-$E80=1," día"," días"),IF($E80=FechaRef,"Vence hoy",IF($E80-FechaRef&lt;=DiasAlerta,"Vence en "&amp;($E80-FechaRef)&amp;IF($E80-FechaRef=1," día"," días"),"En plazo"))))))</f>
        <v/>
      </c>
      <c r="N80" s="64" t="n"/>
      <c r="O80" s="69">
        <f>IF(NOT((COUNTA($B80:$J80)+COUNTA($N80))&gt;0),"",IF((IF($C80="","Falta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",""))="","✔ OK","⚠ "&amp;LEFT(IF($C80="","Falta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",""),LEN(IF($C80="","Falta el nombre de la actividad"&amp;" · ","")&amp;IF(AND($S80="Sub",N($R80)=0),"Subactividad sin macroactividad arriba"&amp;" · ","")&amp;IF($D80="","Sin fecha de inicio"&amp;" · ","")&amp;IF($E80="","Sin fecha límite"&amp;" · ","")&amp;IF(OR(AND($D80&lt;&gt;"",NOT(ISNUMBER($D80))),AND($E80&lt;&gt;"",NOT(ISNUMBER($E80)))),"Fecha no válida"&amp;" · ","")&amp;IF(AND(ISNUMBER($D80),ISNUMBER($E80),$D80&gt;$E80),"Inicio posterior a fecha límite"&amp;" · ","")&amp;IF(AND($S80="Macro",$F80=""),"Peso vacío"&amp;" · ","")&amp;IF(AND($S80="Macro",$F80&lt;&gt;"",OR(NOT(ISNUMBER($F80)),$F80&lt;=0,$F80&gt;1)),"Peso fuera de rango"&amp;" · ","")&amp;IF(AND($S80="Sub",$F80&lt;&gt;"",OR(NOT(ISNUMBER($F80)),$F80&lt;0,$F80&gt;1)),"Peso fuera de rango"&amp;" · ","")&amp;IF(AND($S80="Sub",$F80="",IFERROR(N(INDEX($AG$5:$AG$1000,$R80-4)),0)&gt;0),"Falta el peso de la subactividad"&amp;" · ","")&amp;IF(AND(N($T80)&gt;0,N($AG80)&gt;0,ABS(N($AG80)-N($F80))&gt;0.0001),"Pesos de sus subactividades suman "&amp;TEXT(N($AG80),"0%")&amp;" (deben sumar "&amp;TEXT(N($F80),"0%")&amp;")"&amp;" · ","")&amp;IF(AND($S80="Macro",ABS(SUMIFS($F$5:$F$1000,$P$5:$P$1000,$P80,$S$5:$S$1000,"Macro")-1)&gt;0.0001),"Pesos del mes suman "&amp;TEXT(SUMIFS($F$5:$F$1000,$P$5:$P$1000,$P80,$S$5:$S$1000,"Macro"),"0%")&amp;" · ","")&amp;IF(AND(N($T80)&gt;0,COUNT($G80:$J80)&gt;0),"Con subactividades: deje vacías las semanas (se calculan solas)"&amp;" · ","")&amp;IF((COUNTIF($G80:$J80,"&gt;1")+COUNTIF($G80:$J80,"&lt;0")+COUNTA($G80:$J80)-COUNT($G80:$J80))&gt;0,"Avance fuera de rango 0-100%"&amp;" · ","")&amp;IF(OR(AND($H80&lt;&gt;"",$H80&lt;$G80),AND($I80&lt;&gt;"",$I80&lt;MAX($G80:$H80)),AND($J80&lt;&gt;"",$J80&lt;MAX($G80:$I80))),"Avance semanal decreciente"&amp;" · ","")&amp;IF(AND(ISNUMBER($E80),$E80&lt;FechaRef,N($K80)&lt;1),"Vencida"&amp;" · ","")&amp;IF(AND(ObsObligatoria="Sí",ISNUMBER($E80),$E80&lt;FechaRef,N($K80)&lt;1,$N80=""),"Vencida sin observación"&amp;" · ",""))-3)))</f>
        <v/>
      </c>
      <c r="P80" s="70">
        <f>IF(NOT((COUNTA($B80:$J80)+COUNTA($N80))&gt;0),"",IF(AND($S80="Sub",N($R80)&gt;0),IF(ISNUMBER(INDEX($D$5:$D$1000,$R80-4)),DATE(YEAR(INDEX($D$5:$D$1000,$R80-4)),MONTH(INDEX($D$5:$D$1000,$R80-4)),1),IF(ISNUMBER(INDEX($E$5:$E$1000,$R80-4)),DATE(YEAR(INDEX($E$5:$E$1000,$R80-4)),MONTH(INDEX($E$5:$E$1000,$R80-4)),1),MesCiclo)),IF(ISNUMBER($D80),DATE(YEAR($D80),MONTH($D80),1),IF(ISNUMBER($E80),DATE(YEAR($E80),MONTH($E80),1),MesCiclo))))</f>
        <v/>
      </c>
      <c r="Q80" s="71">
        <f>IF(OR($P80="",$P80&lt;&gt;MesCiclo),"",COUNTIF($P$5:$P80,MesCiclo))</f>
        <v/>
      </c>
      <c r="R80" s="71">
        <f>IF($S80="","",IF($S80="Macro",ROW(),IFERROR(LOOKUP(2,1/($S$5:$S80="Macro"),ROW($S$5:$S80)),0)))</f>
        <v/>
      </c>
      <c r="S80" s="71">
        <f>IF(NOT((COUNTA($B80:$J80)+COUNTA($N80))&gt;0),"",IF($B80="Subactividad","Sub","Macro"))</f>
        <v/>
      </c>
      <c r="T80" s="71">
        <f>IF($S80="Macro",COUNTIFS($R$5:$R$1000,ROW(),$S$5:$S$1000,"Sub"),"")</f>
        <v/>
      </c>
      <c r="U80" s="71">
        <f>IF($S80="","",IF(ISNUMBER($G80),$G80,0))</f>
        <v/>
      </c>
      <c r="V80" s="71">
        <f>IF($S80="","",IF(ISNUMBER($H80),$H80,$U80))</f>
        <v/>
      </c>
      <c r="W80" s="71">
        <f>IF($S80="","",IF(ISNUMBER($I80),$I80,$V80))</f>
        <v/>
      </c>
      <c r="X80" s="71">
        <f>IF($S80="","",IF(ISNUMBER($J80),$J80,$W80))</f>
        <v/>
      </c>
      <c r="Y80" s="71">
        <f>IF($S80="","",IF(N($T80)&gt;0,IF(N($AG80)&gt;0,SUMIFS($AC$5:$AC$1000,$R$5:$R$1000,ROW(),$S$5:$S$1000,"Sub")/$AG80,AVERAGEIFS($U$5:$U$1000,$R$5:$R$1000,ROW(),$S$5:$S$1000,"Sub")),$U80))</f>
        <v/>
      </c>
      <c r="Z80" s="71">
        <f>IF($S80="","",IF(N($T80)&gt;0,IF(N($AG80)&gt;0,SUMIFS($AD$5:$AD$1000,$R$5:$R$1000,ROW(),$S$5:$S$1000,"Sub")/$AG80,AVERAGEIFS($V$5:$V$1000,$R$5:$R$1000,ROW(),$S$5:$S$1000,"Sub")),$V80))</f>
        <v/>
      </c>
      <c r="AA80" s="71">
        <f>IF($S80="","",IF(N($T80)&gt;0,IF(N($AG80)&gt;0,SUMIFS($AE$5:$AE$1000,$R$5:$R$1000,ROW(),$S$5:$S$1000,"Sub")/$AG80,AVERAGEIFS($W$5:$W$1000,$R$5:$R$1000,ROW(),$S$5:$S$1000,"Sub")),$W80))</f>
        <v/>
      </c>
      <c r="AB80" s="71">
        <f>IF($S80="","",IF(N($T80)&gt;0,IF(N($AG80)&gt;0,SUMIFS($AF$5:$AF$1000,$R$5:$R$1000,ROW(),$S$5:$S$1000,"Sub")/$AG80,AVERAGEIFS($X$5:$X$1000,$R$5:$R$1000,ROW(),$S$5:$S$1000,"Sub")),$X80))</f>
        <v/>
      </c>
      <c r="AC80" s="71">
        <f>IF($S80="Sub",N($F80)*N($U80),"")</f>
        <v/>
      </c>
      <c r="AD80" s="71">
        <f>IF($S80="Sub",N($F80)*N($V80),"")</f>
        <v/>
      </c>
      <c r="AE80" s="71">
        <f>IF($S80="Sub",N($F80)*N($W80),"")</f>
        <v/>
      </c>
      <c r="AF80" s="71">
        <f>IF($S80="Sub",N($F80)*N($X80),"")</f>
        <v/>
      </c>
      <c r="AG80" s="71">
        <f>IF(N($T80)&gt;0,SUMIFS($F$5:$F$1000,$R$5:$R$1000,ROW(),$S$5:$S$1000,"Sub"),"")</f>
        <v/>
      </c>
    </row>
    <row r="81">
      <c r="A81" s="62">
        <f>IF(NOT((COUNTA($B81:$J81)+COUNTA($N81))&gt;0),"",IF($S81="Macro",COUNTIFS($S$5:$S81,"Macro",$P$5:$P81,$P81),IF(N($R81)=0,"?",COUNTIFS(INDEX($S$5:$S$1000,1):INDEX($S$5:$S$1000,$R81-4),"Macro",INDEX($P$5:$P$1000,1):INDEX($P$5:$P$1000,$R81-4),INDEX($P$5:$P$1000,$R81-4))&amp;"."&amp;COUNTIFS($R$5:$R81,$R81,$S$5:$S81,"Sub"))))</f>
        <v/>
      </c>
      <c r="B81" s="63" t="n"/>
      <c r="C81" s="64" t="n"/>
      <c r="D81" s="65" t="n"/>
      <c r="E81" s="65" t="n"/>
      <c r="F81" s="66" t="n"/>
      <c r="G81" s="67" t="n"/>
      <c r="H81" s="67" t="n"/>
      <c r="I81" s="67" t="n"/>
      <c r="J81" s="67" t="n"/>
      <c r="K81" s="68">
        <f>IF(NOT((COUNTA($B81:$J81)+COUNTA($N81))&gt;0),"",IF(N($T81)&gt;0,$AB81,IFERROR(LOOKUP(2,1/(G81:J81&lt;&gt;""),G81:J81),0)))</f>
        <v/>
      </c>
      <c r="L81" s="62">
        <f>IF(K81="","",IF(K81&gt;=1,"Completado",IF(K81&gt;0,"En curso","Pendiente")))</f>
        <v/>
      </c>
      <c r="M81" s="62">
        <f>IF(NOT((COUNTA($B81:$J81)+COUNTA($N81))&gt;0),"",IF(N($K81)&gt;=1,"Cumplida",IF(NOT(ISNUMBER($E81)),"Sin fecha límite",IF($E81&lt;FechaRef,"Vencida hace "&amp;(FechaRef-$E81)&amp;IF(FechaRef-$E81=1," día"," días"),IF($E81=FechaRef,"Vence hoy",IF($E81-FechaRef&lt;=DiasAlerta,"Vence en "&amp;($E81-FechaRef)&amp;IF($E81-FechaRef=1," día"," días"),"En plazo"))))))</f>
        <v/>
      </c>
      <c r="N81" s="64" t="n"/>
      <c r="O81" s="69">
        <f>IF(NOT((COUNTA($B81:$J81)+COUNTA($N81))&gt;0),"",IF((IF($C81="","Falta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",""))="","✔ OK","⚠ "&amp;LEFT(IF($C81="","Falta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",""),LEN(IF($C81="","Falta el nombre de la actividad"&amp;" · ","")&amp;IF(AND($S81="Sub",N($R81)=0),"Subactividad sin macroactividad arriba"&amp;" · ","")&amp;IF($D81="","Sin fecha de inicio"&amp;" · ","")&amp;IF($E81="","Sin fecha límite"&amp;" · ","")&amp;IF(OR(AND($D81&lt;&gt;"",NOT(ISNUMBER($D81))),AND($E81&lt;&gt;"",NOT(ISNUMBER($E81)))),"Fecha no válida"&amp;" · ","")&amp;IF(AND(ISNUMBER($D81),ISNUMBER($E81),$D81&gt;$E81),"Inicio posterior a fecha límite"&amp;" · ","")&amp;IF(AND($S81="Macro",$F81=""),"Peso vacío"&amp;" · ","")&amp;IF(AND($S81="Macro",$F81&lt;&gt;"",OR(NOT(ISNUMBER($F81)),$F81&lt;=0,$F81&gt;1)),"Peso fuera de rango"&amp;" · ","")&amp;IF(AND($S81="Sub",$F81&lt;&gt;"",OR(NOT(ISNUMBER($F81)),$F81&lt;0,$F81&gt;1)),"Peso fuera de rango"&amp;" · ","")&amp;IF(AND($S81="Sub",$F81="",IFERROR(N(INDEX($AG$5:$AG$1000,$R81-4)),0)&gt;0),"Falta el peso de la subactividad"&amp;" · ","")&amp;IF(AND(N($T81)&gt;0,N($AG81)&gt;0,ABS(N($AG81)-N($F81))&gt;0.0001),"Pesos de sus subactividades suman "&amp;TEXT(N($AG81),"0%")&amp;" (deben sumar "&amp;TEXT(N($F81),"0%")&amp;")"&amp;" · ","")&amp;IF(AND($S81="Macro",ABS(SUMIFS($F$5:$F$1000,$P$5:$P$1000,$P81,$S$5:$S$1000,"Macro")-1)&gt;0.0001),"Pesos del mes suman "&amp;TEXT(SUMIFS($F$5:$F$1000,$P$5:$P$1000,$P81,$S$5:$S$1000,"Macro"),"0%")&amp;" · ","")&amp;IF(AND(N($T81)&gt;0,COUNT($G81:$J81)&gt;0),"Con subactividades: deje vacías las semanas (se calculan solas)"&amp;" · ","")&amp;IF((COUNTIF($G81:$J81,"&gt;1")+COUNTIF($G81:$J81,"&lt;0")+COUNTA($G81:$J81)-COUNT($G81:$J81))&gt;0,"Avance fuera de rango 0-100%"&amp;" · ","")&amp;IF(OR(AND($H81&lt;&gt;"",$H81&lt;$G81),AND($I81&lt;&gt;"",$I81&lt;MAX($G81:$H81)),AND($J81&lt;&gt;"",$J81&lt;MAX($G81:$I81))),"Avance semanal decreciente"&amp;" · ","")&amp;IF(AND(ISNUMBER($E81),$E81&lt;FechaRef,N($K81)&lt;1),"Vencida"&amp;" · ","")&amp;IF(AND(ObsObligatoria="Sí",ISNUMBER($E81),$E81&lt;FechaRef,N($K81)&lt;1,$N81=""),"Vencida sin observación"&amp;" · ",""))-3)))</f>
        <v/>
      </c>
      <c r="P81" s="70">
        <f>IF(NOT((COUNTA($B81:$J81)+COUNTA($N81))&gt;0),"",IF(AND($S81="Sub",N($R81)&gt;0),IF(ISNUMBER(INDEX($D$5:$D$1000,$R81-4)),DATE(YEAR(INDEX($D$5:$D$1000,$R81-4)),MONTH(INDEX($D$5:$D$1000,$R81-4)),1),IF(ISNUMBER(INDEX($E$5:$E$1000,$R81-4)),DATE(YEAR(INDEX($E$5:$E$1000,$R81-4)),MONTH(INDEX($E$5:$E$1000,$R81-4)),1),MesCiclo)),IF(ISNUMBER($D81),DATE(YEAR($D81),MONTH($D81),1),IF(ISNUMBER($E81),DATE(YEAR($E81),MONTH($E81),1),MesCiclo))))</f>
        <v/>
      </c>
      <c r="Q81" s="71">
        <f>IF(OR($P81="",$P81&lt;&gt;MesCiclo),"",COUNTIF($P$5:$P81,MesCiclo))</f>
        <v/>
      </c>
      <c r="R81" s="71">
        <f>IF($S81="","",IF($S81="Macro",ROW(),IFERROR(LOOKUP(2,1/($S$5:$S81="Macro"),ROW($S$5:$S81)),0)))</f>
        <v/>
      </c>
      <c r="S81" s="71">
        <f>IF(NOT((COUNTA($B81:$J81)+COUNTA($N81))&gt;0),"",IF($B81="Subactividad","Sub","Macro"))</f>
        <v/>
      </c>
      <c r="T81" s="71">
        <f>IF($S81="Macro",COUNTIFS($R$5:$R$1000,ROW(),$S$5:$S$1000,"Sub"),"")</f>
        <v/>
      </c>
      <c r="U81" s="71">
        <f>IF($S81="","",IF(ISNUMBER($G81),$G81,0))</f>
        <v/>
      </c>
      <c r="V81" s="71">
        <f>IF($S81="","",IF(ISNUMBER($H81),$H81,$U81))</f>
        <v/>
      </c>
      <c r="W81" s="71">
        <f>IF($S81="","",IF(ISNUMBER($I81),$I81,$V81))</f>
        <v/>
      </c>
      <c r="X81" s="71">
        <f>IF($S81="","",IF(ISNUMBER($J81),$J81,$W81))</f>
        <v/>
      </c>
      <c r="Y81" s="71">
        <f>IF($S81="","",IF(N($T81)&gt;0,IF(N($AG81)&gt;0,SUMIFS($AC$5:$AC$1000,$R$5:$R$1000,ROW(),$S$5:$S$1000,"Sub")/$AG81,AVERAGEIFS($U$5:$U$1000,$R$5:$R$1000,ROW(),$S$5:$S$1000,"Sub")),$U81))</f>
        <v/>
      </c>
      <c r="Z81" s="71">
        <f>IF($S81="","",IF(N($T81)&gt;0,IF(N($AG81)&gt;0,SUMIFS($AD$5:$AD$1000,$R$5:$R$1000,ROW(),$S$5:$S$1000,"Sub")/$AG81,AVERAGEIFS($V$5:$V$1000,$R$5:$R$1000,ROW(),$S$5:$S$1000,"Sub")),$V81))</f>
        <v/>
      </c>
      <c r="AA81" s="71">
        <f>IF($S81="","",IF(N($T81)&gt;0,IF(N($AG81)&gt;0,SUMIFS($AE$5:$AE$1000,$R$5:$R$1000,ROW(),$S$5:$S$1000,"Sub")/$AG81,AVERAGEIFS($W$5:$W$1000,$R$5:$R$1000,ROW(),$S$5:$S$1000,"Sub")),$W81))</f>
        <v/>
      </c>
      <c r="AB81" s="71">
        <f>IF($S81="","",IF(N($T81)&gt;0,IF(N($AG81)&gt;0,SUMIFS($AF$5:$AF$1000,$R$5:$R$1000,ROW(),$S$5:$S$1000,"Sub")/$AG81,AVERAGEIFS($X$5:$X$1000,$R$5:$R$1000,ROW(),$S$5:$S$1000,"Sub")),$X81))</f>
        <v/>
      </c>
      <c r="AC81" s="71">
        <f>IF($S81="Sub",N($F81)*N($U81),"")</f>
        <v/>
      </c>
      <c r="AD81" s="71">
        <f>IF($S81="Sub",N($F81)*N($V81),"")</f>
        <v/>
      </c>
      <c r="AE81" s="71">
        <f>IF($S81="Sub",N($F81)*N($W81),"")</f>
        <v/>
      </c>
      <c r="AF81" s="71">
        <f>IF($S81="Sub",N($F81)*N($X81),"")</f>
        <v/>
      </c>
      <c r="AG81" s="71">
        <f>IF(N($T81)&gt;0,SUMIFS($F$5:$F$1000,$R$5:$R$1000,ROW(),$S$5:$S$1000,"Sub"),"")</f>
        <v/>
      </c>
    </row>
    <row r="82">
      <c r="A82" s="62">
        <f>IF(NOT((COUNTA($B82:$J82)+COUNTA($N82))&gt;0),"",IF($S82="Macro",COUNTIFS($S$5:$S82,"Macro",$P$5:$P82,$P82),IF(N($R82)=0,"?",COUNTIFS(INDEX($S$5:$S$1000,1):INDEX($S$5:$S$1000,$R82-4),"Macro",INDEX($P$5:$P$1000,1):INDEX($P$5:$P$1000,$R82-4),INDEX($P$5:$P$1000,$R82-4))&amp;"."&amp;COUNTIFS($R$5:$R82,$R82,$S$5:$S82,"Sub"))))</f>
        <v/>
      </c>
      <c r="B82" s="63" t="n"/>
      <c r="C82" s="64" t="n"/>
      <c r="D82" s="65" t="n"/>
      <c r="E82" s="65" t="n"/>
      <c r="F82" s="66" t="n"/>
      <c r="G82" s="67" t="n"/>
      <c r="H82" s="67" t="n"/>
      <c r="I82" s="67" t="n"/>
      <c r="J82" s="67" t="n"/>
      <c r="K82" s="68">
        <f>IF(NOT((COUNTA($B82:$J82)+COUNTA($N82))&gt;0),"",IF(N($T82)&gt;0,$AB82,IFERROR(LOOKUP(2,1/(G82:J82&lt;&gt;""),G82:J82),0)))</f>
        <v/>
      </c>
      <c r="L82" s="62">
        <f>IF(K82="","",IF(K82&gt;=1,"Completado",IF(K82&gt;0,"En curso","Pendiente")))</f>
        <v/>
      </c>
      <c r="M82" s="62">
        <f>IF(NOT((COUNTA($B82:$J82)+COUNTA($N82))&gt;0),"",IF(N($K82)&gt;=1,"Cumplida",IF(NOT(ISNUMBER($E82)),"Sin fecha límite",IF($E82&lt;FechaRef,"Vencida hace "&amp;(FechaRef-$E82)&amp;IF(FechaRef-$E82=1," día"," días"),IF($E82=FechaRef,"Vence hoy",IF($E82-FechaRef&lt;=DiasAlerta,"Vence en "&amp;($E82-FechaRef)&amp;IF($E82-FechaRef=1," día"," días"),"En plazo"))))))</f>
        <v/>
      </c>
      <c r="N82" s="64" t="n"/>
      <c r="O82" s="69">
        <f>IF(NOT((COUNTA($B82:$J82)+COUNTA($N82))&gt;0),"",IF((IF($C82="","Falta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",""))="","✔ OK","⚠ "&amp;LEFT(IF($C82="","Falta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",""),LEN(IF($C82="","Falta el nombre de la actividad"&amp;" · ","")&amp;IF(AND($S82="Sub",N($R82)=0),"Subactividad sin macroactividad arriba"&amp;" · ","")&amp;IF($D82="","Sin fecha de inicio"&amp;" · ","")&amp;IF($E82="","Sin fecha límite"&amp;" · ","")&amp;IF(OR(AND($D82&lt;&gt;"",NOT(ISNUMBER($D82))),AND($E82&lt;&gt;"",NOT(ISNUMBER($E82)))),"Fecha no válida"&amp;" · ","")&amp;IF(AND(ISNUMBER($D82),ISNUMBER($E82),$D82&gt;$E82),"Inicio posterior a fecha límite"&amp;" · ","")&amp;IF(AND($S82="Macro",$F82=""),"Peso vacío"&amp;" · ","")&amp;IF(AND($S82="Macro",$F82&lt;&gt;"",OR(NOT(ISNUMBER($F82)),$F82&lt;=0,$F82&gt;1)),"Peso fuera de rango"&amp;" · ","")&amp;IF(AND($S82="Sub",$F82&lt;&gt;"",OR(NOT(ISNUMBER($F82)),$F82&lt;0,$F82&gt;1)),"Peso fuera de rango"&amp;" · ","")&amp;IF(AND($S82="Sub",$F82="",IFERROR(N(INDEX($AG$5:$AG$1000,$R82-4)),0)&gt;0),"Falta el peso de la subactividad"&amp;" · ","")&amp;IF(AND(N($T82)&gt;0,N($AG82)&gt;0,ABS(N($AG82)-N($F82))&gt;0.0001),"Pesos de sus subactividades suman "&amp;TEXT(N($AG82),"0%")&amp;" (deben sumar "&amp;TEXT(N($F82),"0%")&amp;")"&amp;" · ","")&amp;IF(AND($S82="Macro",ABS(SUMIFS($F$5:$F$1000,$P$5:$P$1000,$P82,$S$5:$S$1000,"Macro")-1)&gt;0.0001),"Pesos del mes suman "&amp;TEXT(SUMIFS($F$5:$F$1000,$P$5:$P$1000,$P82,$S$5:$S$1000,"Macro"),"0%")&amp;" · ","")&amp;IF(AND(N($T82)&gt;0,COUNT($G82:$J82)&gt;0),"Con subactividades: deje vacías las semanas (se calculan solas)"&amp;" · ","")&amp;IF((COUNTIF($G82:$J82,"&gt;1")+COUNTIF($G82:$J82,"&lt;0")+COUNTA($G82:$J82)-COUNT($G82:$J82))&gt;0,"Avance fuera de rango 0-100%"&amp;" · ","")&amp;IF(OR(AND($H82&lt;&gt;"",$H82&lt;$G82),AND($I82&lt;&gt;"",$I82&lt;MAX($G82:$H82)),AND($J82&lt;&gt;"",$J82&lt;MAX($G82:$I82))),"Avance semanal decreciente"&amp;" · ","")&amp;IF(AND(ISNUMBER($E82),$E82&lt;FechaRef,N($K82)&lt;1),"Vencida"&amp;" · ","")&amp;IF(AND(ObsObligatoria="Sí",ISNUMBER($E82),$E82&lt;FechaRef,N($K82)&lt;1,$N82=""),"Vencida sin observación"&amp;" · ",""))-3)))</f>
        <v/>
      </c>
      <c r="P82" s="70">
        <f>IF(NOT((COUNTA($B82:$J82)+COUNTA($N82))&gt;0),"",IF(AND($S82="Sub",N($R82)&gt;0),IF(ISNUMBER(INDEX($D$5:$D$1000,$R82-4)),DATE(YEAR(INDEX($D$5:$D$1000,$R82-4)),MONTH(INDEX($D$5:$D$1000,$R82-4)),1),IF(ISNUMBER(INDEX($E$5:$E$1000,$R82-4)),DATE(YEAR(INDEX($E$5:$E$1000,$R82-4)),MONTH(INDEX($E$5:$E$1000,$R82-4)),1),MesCiclo)),IF(ISNUMBER($D82),DATE(YEAR($D82),MONTH($D82),1),IF(ISNUMBER($E82),DATE(YEAR($E82),MONTH($E82),1),MesCiclo))))</f>
        <v/>
      </c>
      <c r="Q82" s="71">
        <f>IF(OR($P82="",$P82&lt;&gt;MesCiclo),"",COUNTIF($P$5:$P82,MesCiclo))</f>
        <v/>
      </c>
      <c r="R82" s="71">
        <f>IF($S82="","",IF($S82="Macro",ROW(),IFERROR(LOOKUP(2,1/($S$5:$S82="Macro"),ROW($S$5:$S82)),0)))</f>
        <v/>
      </c>
      <c r="S82" s="71">
        <f>IF(NOT((COUNTA($B82:$J82)+COUNTA($N82))&gt;0),"",IF($B82="Subactividad","Sub","Macro"))</f>
        <v/>
      </c>
      <c r="T82" s="71">
        <f>IF($S82="Macro",COUNTIFS($R$5:$R$1000,ROW(),$S$5:$S$1000,"Sub"),"")</f>
        <v/>
      </c>
      <c r="U82" s="71">
        <f>IF($S82="","",IF(ISNUMBER($G82),$G82,0))</f>
        <v/>
      </c>
      <c r="V82" s="71">
        <f>IF($S82="","",IF(ISNUMBER($H82),$H82,$U82))</f>
        <v/>
      </c>
      <c r="W82" s="71">
        <f>IF($S82="","",IF(ISNUMBER($I82),$I82,$V82))</f>
        <v/>
      </c>
      <c r="X82" s="71">
        <f>IF($S82="","",IF(ISNUMBER($J82),$J82,$W82))</f>
        <v/>
      </c>
      <c r="Y82" s="71">
        <f>IF($S82="","",IF(N($T82)&gt;0,IF(N($AG82)&gt;0,SUMIFS($AC$5:$AC$1000,$R$5:$R$1000,ROW(),$S$5:$S$1000,"Sub")/$AG82,AVERAGEIFS($U$5:$U$1000,$R$5:$R$1000,ROW(),$S$5:$S$1000,"Sub")),$U82))</f>
        <v/>
      </c>
      <c r="Z82" s="71">
        <f>IF($S82="","",IF(N($T82)&gt;0,IF(N($AG82)&gt;0,SUMIFS($AD$5:$AD$1000,$R$5:$R$1000,ROW(),$S$5:$S$1000,"Sub")/$AG82,AVERAGEIFS($V$5:$V$1000,$R$5:$R$1000,ROW(),$S$5:$S$1000,"Sub")),$V82))</f>
        <v/>
      </c>
      <c r="AA82" s="71">
        <f>IF($S82="","",IF(N($T82)&gt;0,IF(N($AG82)&gt;0,SUMIFS($AE$5:$AE$1000,$R$5:$R$1000,ROW(),$S$5:$S$1000,"Sub")/$AG82,AVERAGEIFS($W$5:$W$1000,$R$5:$R$1000,ROW(),$S$5:$S$1000,"Sub")),$W82))</f>
        <v/>
      </c>
      <c r="AB82" s="71">
        <f>IF($S82="","",IF(N($T82)&gt;0,IF(N($AG82)&gt;0,SUMIFS($AF$5:$AF$1000,$R$5:$R$1000,ROW(),$S$5:$S$1000,"Sub")/$AG82,AVERAGEIFS($X$5:$X$1000,$R$5:$R$1000,ROW(),$S$5:$S$1000,"Sub")),$X82))</f>
        <v/>
      </c>
      <c r="AC82" s="71">
        <f>IF($S82="Sub",N($F82)*N($U82),"")</f>
        <v/>
      </c>
      <c r="AD82" s="71">
        <f>IF($S82="Sub",N($F82)*N($V82),"")</f>
        <v/>
      </c>
      <c r="AE82" s="71">
        <f>IF($S82="Sub",N($F82)*N($W82),"")</f>
        <v/>
      </c>
      <c r="AF82" s="71">
        <f>IF($S82="Sub",N($F82)*N($X82),"")</f>
        <v/>
      </c>
      <c r="AG82" s="71">
        <f>IF(N($T82)&gt;0,SUMIFS($F$5:$F$1000,$R$5:$R$1000,ROW(),$S$5:$S$1000,"Sub"),"")</f>
        <v/>
      </c>
    </row>
    <row r="83">
      <c r="A83" s="62">
        <f>IF(NOT((COUNTA($B83:$J83)+COUNTA($N83))&gt;0),"",IF($S83="Macro",COUNTIFS($S$5:$S83,"Macro",$P$5:$P83,$P83),IF(N($R83)=0,"?",COUNTIFS(INDEX($S$5:$S$1000,1):INDEX($S$5:$S$1000,$R83-4),"Macro",INDEX($P$5:$P$1000,1):INDEX($P$5:$P$1000,$R83-4),INDEX($P$5:$P$1000,$R83-4))&amp;"."&amp;COUNTIFS($R$5:$R83,$R83,$S$5:$S83,"Sub"))))</f>
        <v/>
      </c>
      <c r="B83" s="63" t="n"/>
      <c r="C83" s="64" t="n"/>
      <c r="D83" s="65" t="n"/>
      <c r="E83" s="65" t="n"/>
      <c r="F83" s="66" t="n"/>
      <c r="G83" s="67" t="n"/>
      <c r="H83" s="67" t="n"/>
      <c r="I83" s="67" t="n"/>
      <c r="J83" s="67" t="n"/>
      <c r="K83" s="68">
        <f>IF(NOT((COUNTA($B83:$J83)+COUNTA($N83))&gt;0),"",IF(N($T83)&gt;0,$AB83,IFERROR(LOOKUP(2,1/(G83:J83&lt;&gt;""),G83:J83),0)))</f>
        <v/>
      </c>
      <c r="L83" s="62">
        <f>IF(K83="","",IF(K83&gt;=1,"Completado",IF(K83&gt;0,"En curso","Pendiente")))</f>
        <v/>
      </c>
      <c r="M83" s="62">
        <f>IF(NOT((COUNTA($B83:$J83)+COUNTA($N83))&gt;0),"",IF(N($K83)&gt;=1,"Cumplida",IF(NOT(ISNUMBER($E83)),"Sin fecha límite",IF($E83&lt;FechaRef,"Vencida hace "&amp;(FechaRef-$E83)&amp;IF(FechaRef-$E83=1," día"," días"),IF($E83=FechaRef,"Vence hoy",IF($E83-FechaRef&lt;=DiasAlerta,"Vence en "&amp;($E83-FechaRef)&amp;IF($E83-FechaRef=1," día"," días"),"En plazo"))))))</f>
        <v/>
      </c>
      <c r="N83" s="64" t="n"/>
      <c r="O83" s="69">
        <f>IF(NOT((COUNTA($B83:$J83)+COUNTA($N83))&gt;0),"",IF((IF($C83="","Falta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",""))="","✔ OK","⚠ "&amp;LEFT(IF($C83="","Falta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",""),LEN(IF($C83="","Falta el nombre de la actividad"&amp;" · ","")&amp;IF(AND($S83="Sub",N($R83)=0),"Subactividad sin macroactividad arriba"&amp;" · ","")&amp;IF($D83="","Sin fecha de inicio"&amp;" · ","")&amp;IF($E83="","Sin fecha límite"&amp;" · ","")&amp;IF(OR(AND($D83&lt;&gt;"",NOT(ISNUMBER($D83))),AND($E83&lt;&gt;"",NOT(ISNUMBER($E83)))),"Fecha no válida"&amp;" · ","")&amp;IF(AND(ISNUMBER($D83),ISNUMBER($E83),$D83&gt;$E83),"Inicio posterior a fecha límite"&amp;" · ","")&amp;IF(AND($S83="Macro",$F83=""),"Peso vacío"&amp;" · ","")&amp;IF(AND($S83="Macro",$F83&lt;&gt;"",OR(NOT(ISNUMBER($F83)),$F83&lt;=0,$F83&gt;1)),"Peso fuera de rango"&amp;" · ","")&amp;IF(AND($S83="Sub",$F83&lt;&gt;"",OR(NOT(ISNUMBER($F83)),$F83&lt;0,$F83&gt;1)),"Peso fuera de rango"&amp;" · ","")&amp;IF(AND($S83="Sub",$F83="",IFERROR(N(INDEX($AG$5:$AG$1000,$R83-4)),0)&gt;0),"Falta el peso de la subactividad"&amp;" · ","")&amp;IF(AND(N($T83)&gt;0,N($AG83)&gt;0,ABS(N($AG83)-N($F83))&gt;0.0001),"Pesos de sus subactividades suman "&amp;TEXT(N($AG83),"0%")&amp;" (deben sumar "&amp;TEXT(N($F83),"0%")&amp;")"&amp;" · ","")&amp;IF(AND($S83="Macro",ABS(SUMIFS($F$5:$F$1000,$P$5:$P$1000,$P83,$S$5:$S$1000,"Macro")-1)&gt;0.0001),"Pesos del mes suman "&amp;TEXT(SUMIFS($F$5:$F$1000,$P$5:$P$1000,$P83,$S$5:$S$1000,"Macro"),"0%")&amp;" · ","")&amp;IF(AND(N($T83)&gt;0,COUNT($G83:$J83)&gt;0),"Con subactividades: deje vacías las semanas (se calculan solas)"&amp;" · ","")&amp;IF((COUNTIF($G83:$J83,"&gt;1")+COUNTIF($G83:$J83,"&lt;0")+COUNTA($G83:$J83)-COUNT($G83:$J83))&gt;0,"Avance fuera de rango 0-100%"&amp;" · ","")&amp;IF(OR(AND($H83&lt;&gt;"",$H83&lt;$G83),AND($I83&lt;&gt;"",$I83&lt;MAX($G83:$H83)),AND($J83&lt;&gt;"",$J83&lt;MAX($G83:$I83))),"Avance semanal decreciente"&amp;" · ","")&amp;IF(AND(ISNUMBER($E83),$E83&lt;FechaRef,N($K83)&lt;1),"Vencida"&amp;" · ","")&amp;IF(AND(ObsObligatoria="Sí",ISNUMBER($E83),$E83&lt;FechaRef,N($K83)&lt;1,$N83=""),"Vencida sin observación"&amp;" · ",""))-3)))</f>
        <v/>
      </c>
      <c r="P83" s="70">
        <f>IF(NOT((COUNTA($B83:$J83)+COUNTA($N83))&gt;0),"",IF(AND($S83="Sub",N($R83)&gt;0),IF(ISNUMBER(INDEX($D$5:$D$1000,$R83-4)),DATE(YEAR(INDEX($D$5:$D$1000,$R83-4)),MONTH(INDEX($D$5:$D$1000,$R83-4)),1),IF(ISNUMBER(INDEX($E$5:$E$1000,$R83-4)),DATE(YEAR(INDEX($E$5:$E$1000,$R83-4)),MONTH(INDEX($E$5:$E$1000,$R83-4)),1),MesCiclo)),IF(ISNUMBER($D83),DATE(YEAR($D83),MONTH($D83),1),IF(ISNUMBER($E83),DATE(YEAR($E83),MONTH($E83),1),MesCiclo))))</f>
        <v/>
      </c>
      <c r="Q83" s="71">
        <f>IF(OR($P83="",$P83&lt;&gt;MesCiclo),"",COUNTIF($P$5:$P83,MesCiclo))</f>
        <v/>
      </c>
      <c r="R83" s="71">
        <f>IF($S83="","",IF($S83="Macro",ROW(),IFERROR(LOOKUP(2,1/($S$5:$S83="Macro"),ROW($S$5:$S83)),0)))</f>
        <v/>
      </c>
      <c r="S83" s="71">
        <f>IF(NOT((COUNTA($B83:$J83)+COUNTA($N83))&gt;0),"",IF($B83="Subactividad","Sub","Macro"))</f>
        <v/>
      </c>
      <c r="T83" s="71">
        <f>IF($S83="Macro",COUNTIFS($R$5:$R$1000,ROW(),$S$5:$S$1000,"Sub"),"")</f>
        <v/>
      </c>
      <c r="U83" s="71">
        <f>IF($S83="","",IF(ISNUMBER($G83),$G83,0))</f>
        <v/>
      </c>
      <c r="V83" s="71">
        <f>IF($S83="","",IF(ISNUMBER($H83),$H83,$U83))</f>
        <v/>
      </c>
      <c r="W83" s="71">
        <f>IF($S83="","",IF(ISNUMBER($I83),$I83,$V83))</f>
        <v/>
      </c>
      <c r="X83" s="71">
        <f>IF($S83="","",IF(ISNUMBER($J83),$J83,$W83))</f>
        <v/>
      </c>
      <c r="Y83" s="71">
        <f>IF($S83="","",IF(N($T83)&gt;0,IF(N($AG83)&gt;0,SUMIFS($AC$5:$AC$1000,$R$5:$R$1000,ROW(),$S$5:$S$1000,"Sub")/$AG83,AVERAGEIFS($U$5:$U$1000,$R$5:$R$1000,ROW(),$S$5:$S$1000,"Sub")),$U83))</f>
        <v/>
      </c>
      <c r="Z83" s="71">
        <f>IF($S83="","",IF(N($T83)&gt;0,IF(N($AG83)&gt;0,SUMIFS($AD$5:$AD$1000,$R$5:$R$1000,ROW(),$S$5:$S$1000,"Sub")/$AG83,AVERAGEIFS($V$5:$V$1000,$R$5:$R$1000,ROW(),$S$5:$S$1000,"Sub")),$V83))</f>
        <v/>
      </c>
      <c r="AA83" s="71">
        <f>IF($S83="","",IF(N($T83)&gt;0,IF(N($AG83)&gt;0,SUMIFS($AE$5:$AE$1000,$R$5:$R$1000,ROW(),$S$5:$S$1000,"Sub")/$AG83,AVERAGEIFS($W$5:$W$1000,$R$5:$R$1000,ROW(),$S$5:$S$1000,"Sub")),$W83))</f>
        <v/>
      </c>
      <c r="AB83" s="71">
        <f>IF($S83="","",IF(N($T83)&gt;0,IF(N($AG83)&gt;0,SUMIFS($AF$5:$AF$1000,$R$5:$R$1000,ROW(),$S$5:$S$1000,"Sub")/$AG83,AVERAGEIFS($X$5:$X$1000,$R$5:$R$1000,ROW(),$S$5:$S$1000,"Sub")),$X83))</f>
        <v/>
      </c>
      <c r="AC83" s="71">
        <f>IF($S83="Sub",N($F83)*N($U83),"")</f>
        <v/>
      </c>
      <c r="AD83" s="71">
        <f>IF($S83="Sub",N($F83)*N($V83),"")</f>
        <v/>
      </c>
      <c r="AE83" s="71">
        <f>IF($S83="Sub",N($F83)*N($W83),"")</f>
        <v/>
      </c>
      <c r="AF83" s="71">
        <f>IF($S83="Sub",N($F83)*N($X83),"")</f>
        <v/>
      </c>
      <c r="AG83" s="71">
        <f>IF(N($T83)&gt;0,SUMIFS($F$5:$F$1000,$R$5:$R$1000,ROW(),$S$5:$S$1000,"Sub"),"")</f>
        <v/>
      </c>
    </row>
    <row r="84">
      <c r="A84" s="62">
        <f>IF(NOT((COUNTA($B84:$J84)+COUNTA($N84))&gt;0),"",IF($S84="Macro",COUNTIFS($S$5:$S84,"Macro",$P$5:$P84,$P84),IF(N($R84)=0,"?",COUNTIFS(INDEX($S$5:$S$1000,1):INDEX($S$5:$S$1000,$R84-4),"Macro",INDEX($P$5:$P$1000,1):INDEX($P$5:$P$1000,$R84-4),INDEX($P$5:$P$1000,$R84-4))&amp;"."&amp;COUNTIFS($R$5:$R84,$R84,$S$5:$S84,"Sub"))))</f>
        <v/>
      </c>
      <c r="B84" s="63" t="n"/>
      <c r="C84" s="64" t="n"/>
      <c r="D84" s="65" t="n"/>
      <c r="E84" s="65" t="n"/>
      <c r="F84" s="66" t="n"/>
      <c r="G84" s="67" t="n"/>
      <c r="H84" s="67" t="n"/>
      <c r="I84" s="67" t="n"/>
      <c r="J84" s="67" t="n"/>
      <c r="K84" s="68">
        <f>IF(NOT((COUNTA($B84:$J84)+COUNTA($N84))&gt;0),"",IF(N($T84)&gt;0,$AB84,IFERROR(LOOKUP(2,1/(G84:J84&lt;&gt;""),G84:J84),0)))</f>
        <v/>
      </c>
      <c r="L84" s="62">
        <f>IF(K84="","",IF(K84&gt;=1,"Completado",IF(K84&gt;0,"En curso","Pendiente")))</f>
        <v/>
      </c>
      <c r="M84" s="62">
        <f>IF(NOT((COUNTA($B84:$J84)+COUNTA($N84))&gt;0),"",IF(N($K84)&gt;=1,"Cumplida",IF(NOT(ISNUMBER($E84)),"Sin fecha límite",IF($E84&lt;FechaRef,"Vencida hace "&amp;(FechaRef-$E84)&amp;IF(FechaRef-$E84=1," día"," días"),IF($E84=FechaRef,"Vence hoy",IF($E84-FechaRef&lt;=DiasAlerta,"Vence en "&amp;($E84-FechaRef)&amp;IF($E84-FechaRef=1," día"," días"),"En plazo"))))))</f>
        <v/>
      </c>
      <c r="N84" s="64" t="n"/>
      <c r="O84" s="69">
        <f>IF(NOT((COUNTA($B84:$J84)+COUNTA($N84))&gt;0),"",IF((IF($C84="","Falta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",""))="","✔ OK","⚠ "&amp;LEFT(IF($C84="","Falta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",""),LEN(IF($C84="","Falta el nombre de la actividad"&amp;" · ","")&amp;IF(AND($S84="Sub",N($R84)=0),"Subactividad sin macroactividad arriba"&amp;" · ","")&amp;IF($D84="","Sin fecha de inicio"&amp;" · ","")&amp;IF($E84="","Sin fecha límite"&amp;" · ","")&amp;IF(OR(AND($D84&lt;&gt;"",NOT(ISNUMBER($D84))),AND($E84&lt;&gt;"",NOT(ISNUMBER($E84)))),"Fecha no válida"&amp;" · ","")&amp;IF(AND(ISNUMBER($D84),ISNUMBER($E84),$D84&gt;$E84),"Inicio posterior a fecha límite"&amp;" · ","")&amp;IF(AND($S84="Macro",$F84=""),"Peso vacío"&amp;" · ","")&amp;IF(AND($S84="Macro",$F84&lt;&gt;"",OR(NOT(ISNUMBER($F84)),$F84&lt;=0,$F84&gt;1)),"Peso fuera de rango"&amp;" · ","")&amp;IF(AND($S84="Sub",$F84&lt;&gt;"",OR(NOT(ISNUMBER($F84)),$F84&lt;0,$F84&gt;1)),"Peso fuera de rango"&amp;" · ","")&amp;IF(AND($S84="Sub",$F84="",IFERROR(N(INDEX($AG$5:$AG$1000,$R84-4)),0)&gt;0),"Falta el peso de la subactividad"&amp;" · ","")&amp;IF(AND(N($T84)&gt;0,N($AG84)&gt;0,ABS(N($AG84)-N($F84))&gt;0.0001),"Pesos de sus subactividades suman "&amp;TEXT(N($AG84),"0%")&amp;" (deben sumar "&amp;TEXT(N($F84),"0%")&amp;")"&amp;" · ","")&amp;IF(AND($S84="Macro",ABS(SUMIFS($F$5:$F$1000,$P$5:$P$1000,$P84,$S$5:$S$1000,"Macro")-1)&gt;0.0001),"Pesos del mes suman "&amp;TEXT(SUMIFS($F$5:$F$1000,$P$5:$P$1000,$P84,$S$5:$S$1000,"Macro"),"0%")&amp;" · ","")&amp;IF(AND(N($T84)&gt;0,COUNT($G84:$J84)&gt;0),"Con subactividades: deje vacías las semanas (se calculan solas)"&amp;" · ","")&amp;IF((COUNTIF($G84:$J84,"&gt;1")+COUNTIF($G84:$J84,"&lt;0")+COUNTA($G84:$J84)-COUNT($G84:$J84))&gt;0,"Avance fuera de rango 0-100%"&amp;" · ","")&amp;IF(OR(AND($H84&lt;&gt;"",$H84&lt;$G84),AND($I84&lt;&gt;"",$I84&lt;MAX($G84:$H84)),AND($J84&lt;&gt;"",$J84&lt;MAX($G84:$I84))),"Avance semanal decreciente"&amp;" · ","")&amp;IF(AND(ISNUMBER($E84),$E84&lt;FechaRef,N($K84)&lt;1),"Vencida"&amp;" · ","")&amp;IF(AND(ObsObligatoria="Sí",ISNUMBER($E84),$E84&lt;FechaRef,N($K84)&lt;1,$N84=""),"Vencida sin observación"&amp;" · ",""))-3)))</f>
        <v/>
      </c>
      <c r="P84" s="70">
        <f>IF(NOT((COUNTA($B84:$J84)+COUNTA($N84))&gt;0),"",IF(AND($S84="Sub",N($R84)&gt;0),IF(ISNUMBER(INDEX($D$5:$D$1000,$R84-4)),DATE(YEAR(INDEX($D$5:$D$1000,$R84-4)),MONTH(INDEX($D$5:$D$1000,$R84-4)),1),IF(ISNUMBER(INDEX($E$5:$E$1000,$R84-4)),DATE(YEAR(INDEX($E$5:$E$1000,$R84-4)),MONTH(INDEX($E$5:$E$1000,$R84-4)),1),MesCiclo)),IF(ISNUMBER($D84),DATE(YEAR($D84),MONTH($D84),1),IF(ISNUMBER($E84),DATE(YEAR($E84),MONTH($E84),1),MesCiclo))))</f>
        <v/>
      </c>
      <c r="Q84" s="71">
        <f>IF(OR($P84="",$P84&lt;&gt;MesCiclo),"",COUNTIF($P$5:$P84,MesCiclo))</f>
        <v/>
      </c>
      <c r="R84" s="71">
        <f>IF($S84="","",IF($S84="Macro",ROW(),IFERROR(LOOKUP(2,1/($S$5:$S84="Macro"),ROW($S$5:$S84)),0)))</f>
        <v/>
      </c>
      <c r="S84" s="71">
        <f>IF(NOT((COUNTA($B84:$J84)+COUNTA($N84))&gt;0),"",IF($B84="Subactividad","Sub","Macro"))</f>
        <v/>
      </c>
      <c r="T84" s="71">
        <f>IF($S84="Macro",COUNTIFS($R$5:$R$1000,ROW(),$S$5:$S$1000,"Sub"),"")</f>
        <v/>
      </c>
      <c r="U84" s="71">
        <f>IF($S84="","",IF(ISNUMBER($G84),$G84,0))</f>
        <v/>
      </c>
      <c r="V84" s="71">
        <f>IF($S84="","",IF(ISNUMBER($H84),$H84,$U84))</f>
        <v/>
      </c>
      <c r="W84" s="71">
        <f>IF($S84="","",IF(ISNUMBER($I84),$I84,$V84))</f>
        <v/>
      </c>
      <c r="X84" s="71">
        <f>IF($S84="","",IF(ISNUMBER($J84),$J84,$W84))</f>
        <v/>
      </c>
      <c r="Y84" s="71">
        <f>IF($S84="","",IF(N($T84)&gt;0,IF(N($AG84)&gt;0,SUMIFS($AC$5:$AC$1000,$R$5:$R$1000,ROW(),$S$5:$S$1000,"Sub")/$AG84,AVERAGEIFS($U$5:$U$1000,$R$5:$R$1000,ROW(),$S$5:$S$1000,"Sub")),$U84))</f>
        <v/>
      </c>
      <c r="Z84" s="71">
        <f>IF($S84="","",IF(N($T84)&gt;0,IF(N($AG84)&gt;0,SUMIFS($AD$5:$AD$1000,$R$5:$R$1000,ROW(),$S$5:$S$1000,"Sub")/$AG84,AVERAGEIFS($V$5:$V$1000,$R$5:$R$1000,ROW(),$S$5:$S$1000,"Sub")),$V84))</f>
        <v/>
      </c>
      <c r="AA84" s="71">
        <f>IF($S84="","",IF(N($T84)&gt;0,IF(N($AG84)&gt;0,SUMIFS($AE$5:$AE$1000,$R$5:$R$1000,ROW(),$S$5:$S$1000,"Sub")/$AG84,AVERAGEIFS($W$5:$W$1000,$R$5:$R$1000,ROW(),$S$5:$S$1000,"Sub")),$W84))</f>
        <v/>
      </c>
      <c r="AB84" s="71">
        <f>IF($S84="","",IF(N($T84)&gt;0,IF(N($AG84)&gt;0,SUMIFS($AF$5:$AF$1000,$R$5:$R$1000,ROW(),$S$5:$S$1000,"Sub")/$AG84,AVERAGEIFS($X$5:$X$1000,$R$5:$R$1000,ROW(),$S$5:$S$1000,"Sub")),$X84))</f>
        <v/>
      </c>
      <c r="AC84" s="71">
        <f>IF($S84="Sub",N($F84)*N($U84),"")</f>
        <v/>
      </c>
      <c r="AD84" s="71">
        <f>IF($S84="Sub",N($F84)*N($V84),"")</f>
        <v/>
      </c>
      <c r="AE84" s="71">
        <f>IF($S84="Sub",N($F84)*N($W84),"")</f>
        <v/>
      </c>
      <c r="AF84" s="71">
        <f>IF($S84="Sub",N($F84)*N($X84),"")</f>
        <v/>
      </c>
      <c r="AG84" s="71">
        <f>IF(N($T84)&gt;0,SUMIFS($F$5:$F$1000,$R$5:$R$1000,ROW(),$S$5:$S$1000,"Sub"),"")</f>
        <v/>
      </c>
    </row>
    <row r="85">
      <c r="A85" s="62">
        <f>IF(NOT((COUNTA($B85:$J85)+COUNTA($N85))&gt;0),"",IF($S85="Macro",COUNTIFS($S$5:$S85,"Macro",$P$5:$P85,$P85),IF(N($R85)=0,"?",COUNTIFS(INDEX($S$5:$S$1000,1):INDEX($S$5:$S$1000,$R85-4),"Macro",INDEX($P$5:$P$1000,1):INDEX($P$5:$P$1000,$R85-4),INDEX($P$5:$P$1000,$R85-4))&amp;"."&amp;COUNTIFS($R$5:$R85,$R85,$S$5:$S85,"Sub"))))</f>
        <v/>
      </c>
      <c r="B85" s="63" t="n"/>
      <c r="C85" s="64" t="n"/>
      <c r="D85" s="65" t="n"/>
      <c r="E85" s="65" t="n"/>
      <c r="F85" s="66" t="n"/>
      <c r="G85" s="67" t="n"/>
      <c r="H85" s="67" t="n"/>
      <c r="I85" s="67" t="n"/>
      <c r="J85" s="67" t="n"/>
      <c r="K85" s="68">
        <f>IF(NOT((COUNTA($B85:$J85)+COUNTA($N85))&gt;0),"",IF(N($T85)&gt;0,$AB85,IFERROR(LOOKUP(2,1/(G85:J85&lt;&gt;""),G85:J85),0)))</f>
        <v/>
      </c>
      <c r="L85" s="62">
        <f>IF(K85="","",IF(K85&gt;=1,"Completado",IF(K85&gt;0,"En curso","Pendiente")))</f>
        <v/>
      </c>
      <c r="M85" s="62">
        <f>IF(NOT((COUNTA($B85:$J85)+COUNTA($N85))&gt;0),"",IF(N($K85)&gt;=1,"Cumplida",IF(NOT(ISNUMBER($E85)),"Sin fecha límite",IF($E85&lt;FechaRef,"Vencida hace "&amp;(FechaRef-$E85)&amp;IF(FechaRef-$E85=1," día"," días"),IF($E85=FechaRef,"Vence hoy",IF($E85-FechaRef&lt;=DiasAlerta,"Vence en "&amp;($E85-FechaRef)&amp;IF($E85-FechaRef=1," día"," días"),"En plazo"))))))</f>
        <v/>
      </c>
      <c r="N85" s="64" t="n"/>
      <c r="O85" s="69">
        <f>IF(NOT((COUNTA($B85:$J85)+COUNTA($N85))&gt;0),"",IF((IF($C85="","Falta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",""))="","✔ OK","⚠ "&amp;LEFT(IF($C85="","Falta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",""),LEN(IF($C85="","Falta el nombre de la actividad"&amp;" · ","")&amp;IF(AND($S85="Sub",N($R85)=0),"Subactividad sin macroactividad arriba"&amp;" · ","")&amp;IF($D85="","Sin fecha de inicio"&amp;" · ","")&amp;IF($E85="","Sin fecha límite"&amp;" · ","")&amp;IF(OR(AND($D85&lt;&gt;"",NOT(ISNUMBER($D85))),AND($E85&lt;&gt;"",NOT(ISNUMBER($E85)))),"Fecha no válida"&amp;" · ","")&amp;IF(AND(ISNUMBER($D85),ISNUMBER($E85),$D85&gt;$E85),"Inicio posterior a fecha límite"&amp;" · ","")&amp;IF(AND($S85="Macro",$F85=""),"Peso vacío"&amp;" · ","")&amp;IF(AND($S85="Macro",$F85&lt;&gt;"",OR(NOT(ISNUMBER($F85)),$F85&lt;=0,$F85&gt;1)),"Peso fuera de rango"&amp;" · ","")&amp;IF(AND($S85="Sub",$F85&lt;&gt;"",OR(NOT(ISNUMBER($F85)),$F85&lt;0,$F85&gt;1)),"Peso fuera de rango"&amp;" · ","")&amp;IF(AND($S85="Sub",$F85="",IFERROR(N(INDEX($AG$5:$AG$1000,$R85-4)),0)&gt;0),"Falta el peso de la subactividad"&amp;" · ","")&amp;IF(AND(N($T85)&gt;0,N($AG85)&gt;0,ABS(N($AG85)-N($F85))&gt;0.0001),"Pesos de sus subactividades suman "&amp;TEXT(N($AG85),"0%")&amp;" (deben sumar "&amp;TEXT(N($F85),"0%")&amp;")"&amp;" · ","")&amp;IF(AND($S85="Macro",ABS(SUMIFS($F$5:$F$1000,$P$5:$P$1000,$P85,$S$5:$S$1000,"Macro")-1)&gt;0.0001),"Pesos del mes suman "&amp;TEXT(SUMIFS($F$5:$F$1000,$P$5:$P$1000,$P85,$S$5:$S$1000,"Macro"),"0%")&amp;" · ","")&amp;IF(AND(N($T85)&gt;0,COUNT($G85:$J85)&gt;0),"Con subactividades: deje vacías las semanas (se calculan solas)"&amp;" · ","")&amp;IF((COUNTIF($G85:$J85,"&gt;1")+COUNTIF($G85:$J85,"&lt;0")+COUNTA($G85:$J85)-COUNT($G85:$J85))&gt;0,"Avance fuera de rango 0-100%"&amp;" · ","")&amp;IF(OR(AND($H85&lt;&gt;"",$H85&lt;$G85),AND($I85&lt;&gt;"",$I85&lt;MAX($G85:$H85)),AND($J85&lt;&gt;"",$J85&lt;MAX($G85:$I85))),"Avance semanal decreciente"&amp;" · ","")&amp;IF(AND(ISNUMBER($E85),$E85&lt;FechaRef,N($K85)&lt;1),"Vencida"&amp;" · ","")&amp;IF(AND(ObsObligatoria="Sí",ISNUMBER($E85),$E85&lt;FechaRef,N($K85)&lt;1,$N85=""),"Vencida sin observación"&amp;" · ",""))-3)))</f>
        <v/>
      </c>
      <c r="P85" s="70">
        <f>IF(NOT((COUNTA($B85:$J85)+COUNTA($N85))&gt;0),"",IF(AND($S85="Sub",N($R85)&gt;0),IF(ISNUMBER(INDEX($D$5:$D$1000,$R85-4)),DATE(YEAR(INDEX($D$5:$D$1000,$R85-4)),MONTH(INDEX($D$5:$D$1000,$R85-4)),1),IF(ISNUMBER(INDEX($E$5:$E$1000,$R85-4)),DATE(YEAR(INDEX($E$5:$E$1000,$R85-4)),MONTH(INDEX($E$5:$E$1000,$R85-4)),1),MesCiclo)),IF(ISNUMBER($D85),DATE(YEAR($D85),MONTH($D85),1),IF(ISNUMBER($E85),DATE(YEAR($E85),MONTH($E85),1),MesCiclo))))</f>
        <v/>
      </c>
      <c r="Q85" s="71">
        <f>IF(OR($P85="",$P85&lt;&gt;MesCiclo),"",COUNTIF($P$5:$P85,MesCiclo))</f>
        <v/>
      </c>
      <c r="R85" s="71">
        <f>IF($S85="","",IF($S85="Macro",ROW(),IFERROR(LOOKUP(2,1/($S$5:$S85="Macro"),ROW($S$5:$S85)),0)))</f>
        <v/>
      </c>
      <c r="S85" s="71">
        <f>IF(NOT((COUNTA($B85:$J85)+COUNTA($N85))&gt;0),"",IF($B85="Subactividad","Sub","Macro"))</f>
        <v/>
      </c>
      <c r="T85" s="71">
        <f>IF($S85="Macro",COUNTIFS($R$5:$R$1000,ROW(),$S$5:$S$1000,"Sub"),"")</f>
        <v/>
      </c>
      <c r="U85" s="71">
        <f>IF($S85="","",IF(ISNUMBER($G85),$G85,0))</f>
        <v/>
      </c>
      <c r="V85" s="71">
        <f>IF($S85="","",IF(ISNUMBER($H85),$H85,$U85))</f>
        <v/>
      </c>
      <c r="W85" s="71">
        <f>IF($S85="","",IF(ISNUMBER($I85),$I85,$V85))</f>
        <v/>
      </c>
      <c r="X85" s="71">
        <f>IF($S85="","",IF(ISNUMBER($J85),$J85,$W85))</f>
        <v/>
      </c>
      <c r="Y85" s="71">
        <f>IF($S85="","",IF(N($T85)&gt;0,IF(N($AG85)&gt;0,SUMIFS($AC$5:$AC$1000,$R$5:$R$1000,ROW(),$S$5:$S$1000,"Sub")/$AG85,AVERAGEIFS($U$5:$U$1000,$R$5:$R$1000,ROW(),$S$5:$S$1000,"Sub")),$U85))</f>
        <v/>
      </c>
      <c r="Z85" s="71">
        <f>IF($S85="","",IF(N($T85)&gt;0,IF(N($AG85)&gt;0,SUMIFS($AD$5:$AD$1000,$R$5:$R$1000,ROW(),$S$5:$S$1000,"Sub")/$AG85,AVERAGEIFS($V$5:$V$1000,$R$5:$R$1000,ROW(),$S$5:$S$1000,"Sub")),$V85))</f>
        <v/>
      </c>
      <c r="AA85" s="71">
        <f>IF($S85="","",IF(N($T85)&gt;0,IF(N($AG85)&gt;0,SUMIFS($AE$5:$AE$1000,$R$5:$R$1000,ROW(),$S$5:$S$1000,"Sub")/$AG85,AVERAGEIFS($W$5:$W$1000,$R$5:$R$1000,ROW(),$S$5:$S$1000,"Sub")),$W85))</f>
        <v/>
      </c>
      <c r="AB85" s="71">
        <f>IF($S85="","",IF(N($T85)&gt;0,IF(N($AG85)&gt;0,SUMIFS($AF$5:$AF$1000,$R$5:$R$1000,ROW(),$S$5:$S$1000,"Sub")/$AG85,AVERAGEIFS($X$5:$X$1000,$R$5:$R$1000,ROW(),$S$5:$S$1000,"Sub")),$X85))</f>
        <v/>
      </c>
      <c r="AC85" s="71">
        <f>IF($S85="Sub",N($F85)*N($U85),"")</f>
        <v/>
      </c>
      <c r="AD85" s="71">
        <f>IF($S85="Sub",N($F85)*N($V85),"")</f>
        <v/>
      </c>
      <c r="AE85" s="71">
        <f>IF($S85="Sub",N($F85)*N($W85),"")</f>
        <v/>
      </c>
      <c r="AF85" s="71">
        <f>IF($S85="Sub",N($F85)*N($X85),"")</f>
        <v/>
      </c>
      <c r="AG85" s="71">
        <f>IF(N($T85)&gt;0,SUMIFS($F$5:$F$1000,$R$5:$R$1000,ROW(),$S$5:$S$1000,"Sub"),"")</f>
        <v/>
      </c>
    </row>
    <row r="86">
      <c r="A86" s="62">
        <f>IF(NOT((COUNTA($B86:$J86)+COUNTA($N86))&gt;0),"",IF($S86="Macro",COUNTIFS($S$5:$S86,"Macro",$P$5:$P86,$P86),IF(N($R86)=0,"?",COUNTIFS(INDEX($S$5:$S$1000,1):INDEX($S$5:$S$1000,$R86-4),"Macro",INDEX($P$5:$P$1000,1):INDEX($P$5:$P$1000,$R86-4),INDEX($P$5:$P$1000,$R86-4))&amp;"."&amp;COUNTIFS($R$5:$R86,$R86,$S$5:$S86,"Sub"))))</f>
        <v/>
      </c>
      <c r="B86" s="63" t="n"/>
      <c r="C86" s="64" t="n"/>
      <c r="D86" s="65" t="n"/>
      <c r="E86" s="65" t="n"/>
      <c r="F86" s="66" t="n"/>
      <c r="G86" s="67" t="n"/>
      <c r="H86" s="67" t="n"/>
      <c r="I86" s="67" t="n"/>
      <c r="J86" s="67" t="n"/>
      <c r="K86" s="68">
        <f>IF(NOT((COUNTA($B86:$J86)+COUNTA($N86))&gt;0),"",IF(N($T86)&gt;0,$AB86,IFERROR(LOOKUP(2,1/(G86:J86&lt;&gt;""),G86:J86),0)))</f>
        <v/>
      </c>
      <c r="L86" s="62">
        <f>IF(K86="","",IF(K86&gt;=1,"Completado",IF(K86&gt;0,"En curso","Pendiente")))</f>
        <v/>
      </c>
      <c r="M86" s="62">
        <f>IF(NOT((COUNTA($B86:$J86)+COUNTA($N86))&gt;0),"",IF(N($K86)&gt;=1,"Cumplida",IF(NOT(ISNUMBER($E86)),"Sin fecha límite",IF($E86&lt;FechaRef,"Vencida hace "&amp;(FechaRef-$E86)&amp;IF(FechaRef-$E86=1," día"," días"),IF($E86=FechaRef,"Vence hoy",IF($E86-FechaRef&lt;=DiasAlerta,"Vence en "&amp;($E86-FechaRef)&amp;IF($E86-FechaRef=1," día"," días"),"En plazo"))))))</f>
        <v/>
      </c>
      <c r="N86" s="64" t="n"/>
      <c r="O86" s="69">
        <f>IF(NOT((COUNTA($B86:$J86)+COUNTA($N86))&gt;0),"",IF((IF($C86="","Falta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",""))="","✔ OK","⚠ "&amp;LEFT(IF($C86="","Falta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",""),LEN(IF($C86="","Falta el nombre de la actividad"&amp;" · ","")&amp;IF(AND($S86="Sub",N($R86)=0),"Subactividad sin macroactividad arriba"&amp;" · ","")&amp;IF($D86="","Sin fecha de inicio"&amp;" · ","")&amp;IF($E86="","Sin fecha límite"&amp;" · ","")&amp;IF(OR(AND($D86&lt;&gt;"",NOT(ISNUMBER($D86))),AND($E86&lt;&gt;"",NOT(ISNUMBER($E86)))),"Fecha no válida"&amp;" · ","")&amp;IF(AND(ISNUMBER($D86),ISNUMBER($E86),$D86&gt;$E86),"Inicio posterior a fecha límite"&amp;" · ","")&amp;IF(AND($S86="Macro",$F86=""),"Peso vacío"&amp;" · ","")&amp;IF(AND($S86="Macro",$F86&lt;&gt;"",OR(NOT(ISNUMBER($F86)),$F86&lt;=0,$F86&gt;1)),"Peso fuera de rango"&amp;" · ","")&amp;IF(AND($S86="Sub",$F86&lt;&gt;"",OR(NOT(ISNUMBER($F86)),$F86&lt;0,$F86&gt;1)),"Peso fuera de rango"&amp;" · ","")&amp;IF(AND($S86="Sub",$F86="",IFERROR(N(INDEX($AG$5:$AG$1000,$R86-4)),0)&gt;0),"Falta el peso de la subactividad"&amp;" · ","")&amp;IF(AND(N($T86)&gt;0,N($AG86)&gt;0,ABS(N($AG86)-N($F86))&gt;0.0001),"Pesos de sus subactividades suman "&amp;TEXT(N($AG86),"0%")&amp;" (deben sumar "&amp;TEXT(N($F86),"0%")&amp;")"&amp;" · ","")&amp;IF(AND($S86="Macro",ABS(SUMIFS($F$5:$F$1000,$P$5:$P$1000,$P86,$S$5:$S$1000,"Macro")-1)&gt;0.0001),"Pesos del mes suman "&amp;TEXT(SUMIFS($F$5:$F$1000,$P$5:$P$1000,$P86,$S$5:$S$1000,"Macro"),"0%")&amp;" · ","")&amp;IF(AND(N($T86)&gt;0,COUNT($G86:$J86)&gt;0),"Con subactividades: deje vacías las semanas (se calculan solas)"&amp;" · ","")&amp;IF((COUNTIF($G86:$J86,"&gt;1")+COUNTIF($G86:$J86,"&lt;0")+COUNTA($G86:$J86)-COUNT($G86:$J86))&gt;0,"Avance fuera de rango 0-100%"&amp;" · ","")&amp;IF(OR(AND($H86&lt;&gt;"",$H86&lt;$G86),AND($I86&lt;&gt;"",$I86&lt;MAX($G86:$H86)),AND($J86&lt;&gt;"",$J86&lt;MAX($G86:$I86))),"Avance semanal decreciente"&amp;" · ","")&amp;IF(AND(ISNUMBER($E86),$E86&lt;FechaRef,N($K86)&lt;1),"Vencida"&amp;" · ","")&amp;IF(AND(ObsObligatoria="Sí",ISNUMBER($E86),$E86&lt;FechaRef,N($K86)&lt;1,$N86=""),"Vencida sin observación"&amp;" · ",""))-3)))</f>
        <v/>
      </c>
      <c r="P86" s="70">
        <f>IF(NOT((COUNTA($B86:$J86)+COUNTA($N86))&gt;0),"",IF(AND($S86="Sub",N($R86)&gt;0),IF(ISNUMBER(INDEX($D$5:$D$1000,$R86-4)),DATE(YEAR(INDEX($D$5:$D$1000,$R86-4)),MONTH(INDEX($D$5:$D$1000,$R86-4)),1),IF(ISNUMBER(INDEX($E$5:$E$1000,$R86-4)),DATE(YEAR(INDEX($E$5:$E$1000,$R86-4)),MONTH(INDEX($E$5:$E$1000,$R86-4)),1),MesCiclo)),IF(ISNUMBER($D86),DATE(YEAR($D86),MONTH($D86),1),IF(ISNUMBER($E86),DATE(YEAR($E86),MONTH($E86),1),MesCiclo))))</f>
        <v/>
      </c>
      <c r="Q86" s="71">
        <f>IF(OR($P86="",$P86&lt;&gt;MesCiclo),"",COUNTIF($P$5:$P86,MesCiclo))</f>
        <v/>
      </c>
      <c r="R86" s="71">
        <f>IF($S86="","",IF($S86="Macro",ROW(),IFERROR(LOOKUP(2,1/($S$5:$S86="Macro"),ROW($S$5:$S86)),0)))</f>
        <v/>
      </c>
      <c r="S86" s="71">
        <f>IF(NOT((COUNTA($B86:$J86)+COUNTA($N86))&gt;0),"",IF($B86="Subactividad","Sub","Macro"))</f>
        <v/>
      </c>
      <c r="T86" s="71">
        <f>IF($S86="Macro",COUNTIFS($R$5:$R$1000,ROW(),$S$5:$S$1000,"Sub"),"")</f>
        <v/>
      </c>
      <c r="U86" s="71">
        <f>IF($S86="","",IF(ISNUMBER($G86),$G86,0))</f>
        <v/>
      </c>
      <c r="V86" s="71">
        <f>IF($S86="","",IF(ISNUMBER($H86),$H86,$U86))</f>
        <v/>
      </c>
      <c r="W86" s="71">
        <f>IF($S86="","",IF(ISNUMBER($I86),$I86,$V86))</f>
        <v/>
      </c>
      <c r="X86" s="71">
        <f>IF($S86="","",IF(ISNUMBER($J86),$J86,$W86))</f>
        <v/>
      </c>
      <c r="Y86" s="71">
        <f>IF($S86="","",IF(N($T86)&gt;0,IF(N($AG86)&gt;0,SUMIFS($AC$5:$AC$1000,$R$5:$R$1000,ROW(),$S$5:$S$1000,"Sub")/$AG86,AVERAGEIFS($U$5:$U$1000,$R$5:$R$1000,ROW(),$S$5:$S$1000,"Sub")),$U86))</f>
        <v/>
      </c>
      <c r="Z86" s="71">
        <f>IF($S86="","",IF(N($T86)&gt;0,IF(N($AG86)&gt;0,SUMIFS($AD$5:$AD$1000,$R$5:$R$1000,ROW(),$S$5:$S$1000,"Sub")/$AG86,AVERAGEIFS($V$5:$V$1000,$R$5:$R$1000,ROW(),$S$5:$S$1000,"Sub")),$V86))</f>
        <v/>
      </c>
      <c r="AA86" s="71">
        <f>IF($S86="","",IF(N($T86)&gt;0,IF(N($AG86)&gt;0,SUMIFS($AE$5:$AE$1000,$R$5:$R$1000,ROW(),$S$5:$S$1000,"Sub")/$AG86,AVERAGEIFS($W$5:$W$1000,$R$5:$R$1000,ROW(),$S$5:$S$1000,"Sub")),$W86))</f>
        <v/>
      </c>
      <c r="AB86" s="71">
        <f>IF($S86="","",IF(N($T86)&gt;0,IF(N($AG86)&gt;0,SUMIFS($AF$5:$AF$1000,$R$5:$R$1000,ROW(),$S$5:$S$1000,"Sub")/$AG86,AVERAGEIFS($X$5:$X$1000,$R$5:$R$1000,ROW(),$S$5:$S$1000,"Sub")),$X86))</f>
        <v/>
      </c>
      <c r="AC86" s="71">
        <f>IF($S86="Sub",N($F86)*N($U86),"")</f>
        <v/>
      </c>
      <c r="AD86" s="71">
        <f>IF($S86="Sub",N($F86)*N($V86),"")</f>
        <v/>
      </c>
      <c r="AE86" s="71">
        <f>IF($S86="Sub",N($F86)*N($W86),"")</f>
        <v/>
      </c>
      <c r="AF86" s="71">
        <f>IF($S86="Sub",N($F86)*N($X86),"")</f>
        <v/>
      </c>
      <c r="AG86" s="71">
        <f>IF(N($T86)&gt;0,SUMIFS($F$5:$F$1000,$R$5:$R$1000,ROW(),$S$5:$S$1000,"Sub"),"")</f>
        <v/>
      </c>
    </row>
    <row r="87">
      <c r="A87" s="62">
        <f>IF(NOT((COUNTA($B87:$J87)+COUNTA($N87))&gt;0),"",IF($S87="Macro",COUNTIFS($S$5:$S87,"Macro",$P$5:$P87,$P87),IF(N($R87)=0,"?",COUNTIFS(INDEX($S$5:$S$1000,1):INDEX($S$5:$S$1000,$R87-4),"Macro",INDEX($P$5:$P$1000,1):INDEX($P$5:$P$1000,$R87-4),INDEX($P$5:$P$1000,$R87-4))&amp;"."&amp;COUNTIFS($R$5:$R87,$R87,$S$5:$S87,"Sub"))))</f>
        <v/>
      </c>
      <c r="B87" s="63" t="n"/>
      <c r="C87" s="64" t="n"/>
      <c r="D87" s="65" t="n"/>
      <c r="E87" s="65" t="n"/>
      <c r="F87" s="66" t="n"/>
      <c r="G87" s="67" t="n"/>
      <c r="H87" s="67" t="n"/>
      <c r="I87" s="67" t="n"/>
      <c r="J87" s="67" t="n"/>
      <c r="K87" s="68">
        <f>IF(NOT((COUNTA($B87:$J87)+COUNTA($N87))&gt;0),"",IF(N($T87)&gt;0,$AB87,IFERROR(LOOKUP(2,1/(G87:J87&lt;&gt;""),G87:J87),0)))</f>
        <v/>
      </c>
      <c r="L87" s="62">
        <f>IF(K87="","",IF(K87&gt;=1,"Completado",IF(K87&gt;0,"En curso","Pendiente")))</f>
        <v/>
      </c>
      <c r="M87" s="62">
        <f>IF(NOT((COUNTA($B87:$J87)+COUNTA($N87))&gt;0),"",IF(N($K87)&gt;=1,"Cumplida",IF(NOT(ISNUMBER($E87)),"Sin fecha límite",IF($E87&lt;FechaRef,"Vencida hace "&amp;(FechaRef-$E87)&amp;IF(FechaRef-$E87=1," día"," días"),IF($E87=FechaRef,"Vence hoy",IF($E87-FechaRef&lt;=DiasAlerta,"Vence en "&amp;($E87-FechaRef)&amp;IF($E87-FechaRef=1," día"," días"),"En plazo"))))))</f>
        <v/>
      </c>
      <c r="N87" s="64" t="n"/>
      <c r="O87" s="69">
        <f>IF(NOT((COUNTA($B87:$J87)+COUNTA($N87))&gt;0),"",IF((IF($C87="","Falta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",""))="","✔ OK","⚠ "&amp;LEFT(IF($C87="","Falta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",""),LEN(IF($C87="","Falta el nombre de la actividad"&amp;" · ","")&amp;IF(AND($S87="Sub",N($R87)=0),"Subactividad sin macroactividad arriba"&amp;" · ","")&amp;IF($D87="","Sin fecha de inicio"&amp;" · ","")&amp;IF($E87="","Sin fecha límite"&amp;" · ","")&amp;IF(OR(AND($D87&lt;&gt;"",NOT(ISNUMBER($D87))),AND($E87&lt;&gt;"",NOT(ISNUMBER($E87)))),"Fecha no válida"&amp;" · ","")&amp;IF(AND(ISNUMBER($D87),ISNUMBER($E87),$D87&gt;$E87),"Inicio posterior a fecha límite"&amp;" · ","")&amp;IF(AND($S87="Macro",$F87=""),"Peso vacío"&amp;" · ","")&amp;IF(AND($S87="Macro",$F87&lt;&gt;"",OR(NOT(ISNUMBER($F87)),$F87&lt;=0,$F87&gt;1)),"Peso fuera de rango"&amp;" · ","")&amp;IF(AND($S87="Sub",$F87&lt;&gt;"",OR(NOT(ISNUMBER($F87)),$F87&lt;0,$F87&gt;1)),"Peso fuera de rango"&amp;" · ","")&amp;IF(AND($S87="Sub",$F87="",IFERROR(N(INDEX($AG$5:$AG$1000,$R87-4)),0)&gt;0),"Falta el peso de la subactividad"&amp;" · ","")&amp;IF(AND(N($T87)&gt;0,N($AG87)&gt;0,ABS(N($AG87)-N($F87))&gt;0.0001),"Pesos de sus subactividades suman "&amp;TEXT(N($AG87),"0%")&amp;" (deben sumar "&amp;TEXT(N($F87),"0%")&amp;")"&amp;" · ","")&amp;IF(AND($S87="Macro",ABS(SUMIFS($F$5:$F$1000,$P$5:$P$1000,$P87,$S$5:$S$1000,"Macro")-1)&gt;0.0001),"Pesos del mes suman "&amp;TEXT(SUMIFS($F$5:$F$1000,$P$5:$P$1000,$P87,$S$5:$S$1000,"Macro"),"0%")&amp;" · ","")&amp;IF(AND(N($T87)&gt;0,COUNT($G87:$J87)&gt;0),"Con subactividades: deje vacías las semanas (se calculan solas)"&amp;" · ","")&amp;IF((COUNTIF($G87:$J87,"&gt;1")+COUNTIF($G87:$J87,"&lt;0")+COUNTA($G87:$J87)-COUNT($G87:$J87))&gt;0,"Avance fuera de rango 0-100%"&amp;" · ","")&amp;IF(OR(AND($H87&lt;&gt;"",$H87&lt;$G87),AND($I87&lt;&gt;"",$I87&lt;MAX($G87:$H87)),AND($J87&lt;&gt;"",$J87&lt;MAX($G87:$I87))),"Avance semanal decreciente"&amp;" · ","")&amp;IF(AND(ISNUMBER($E87),$E87&lt;FechaRef,N($K87)&lt;1),"Vencida"&amp;" · ","")&amp;IF(AND(ObsObligatoria="Sí",ISNUMBER($E87),$E87&lt;FechaRef,N($K87)&lt;1,$N87=""),"Vencida sin observación"&amp;" · ",""))-3)))</f>
        <v/>
      </c>
      <c r="P87" s="70">
        <f>IF(NOT((COUNTA($B87:$J87)+COUNTA($N87))&gt;0),"",IF(AND($S87="Sub",N($R87)&gt;0),IF(ISNUMBER(INDEX($D$5:$D$1000,$R87-4)),DATE(YEAR(INDEX($D$5:$D$1000,$R87-4)),MONTH(INDEX($D$5:$D$1000,$R87-4)),1),IF(ISNUMBER(INDEX($E$5:$E$1000,$R87-4)),DATE(YEAR(INDEX($E$5:$E$1000,$R87-4)),MONTH(INDEX($E$5:$E$1000,$R87-4)),1),MesCiclo)),IF(ISNUMBER($D87),DATE(YEAR($D87),MONTH($D87),1),IF(ISNUMBER($E87),DATE(YEAR($E87),MONTH($E87),1),MesCiclo))))</f>
        <v/>
      </c>
      <c r="Q87" s="71">
        <f>IF(OR($P87="",$P87&lt;&gt;MesCiclo),"",COUNTIF($P$5:$P87,MesCiclo))</f>
        <v/>
      </c>
      <c r="R87" s="71">
        <f>IF($S87="","",IF($S87="Macro",ROW(),IFERROR(LOOKUP(2,1/($S$5:$S87="Macro"),ROW($S$5:$S87)),0)))</f>
        <v/>
      </c>
      <c r="S87" s="71">
        <f>IF(NOT((COUNTA($B87:$J87)+COUNTA($N87))&gt;0),"",IF($B87="Subactividad","Sub","Macro"))</f>
        <v/>
      </c>
      <c r="T87" s="71">
        <f>IF($S87="Macro",COUNTIFS($R$5:$R$1000,ROW(),$S$5:$S$1000,"Sub"),"")</f>
        <v/>
      </c>
      <c r="U87" s="71">
        <f>IF($S87="","",IF(ISNUMBER($G87),$G87,0))</f>
        <v/>
      </c>
      <c r="V87" s="71">
        <f>IF($S87="","",IF(ISNUMBER($H87),$H87,$U87))</f>
        <v/>
      </c>
      <c r="W87" s="71">
        <f>IF($S87="","",IF(ISNUMBER($I87),$I87,$V87))</f>
        <v/>
      </c>
      <c r="X87" s="71">
        <f>IF($S87="","",IF(ISNUMBER($J87),$J87,$W87))</f>
        <v/>
      </c>
      <c r="Y87" s="71">
        <f>IF($S87="","",IF(N($T87)&gt;0,IF(N($AG87)&gt;0,SUMIFS($AC$5:$AC$1000,$R$5:$R$1000,ROW(),$S$5:$S$1000,"Sub")/$AG87,AVERAGEIFS($U$5:$U$1000,$R$5:$R$1000,ROW(),$S$5:$S$1000,"Sub")),$U87))</f>
        <v/>
      </c>
      <c r="Z87" s="71">
        <f>IF($S87="","",IF(N($T87)&gt;0,IF(N($AG87)&gt;0,SUMIFS($AD$5:$AD$1000,$R$5:$R$1000,ROW(),$S$5:$S$1000,"Sub")/$AG87,AVERAGEIFS($V$5:$V$1000,$R$5:$R$1000,ROW(),$S$5:$S$1000,"Sub")),$V87))</f>
        <v/>
      </c>
      <c r="AA87" s="71">
        <f>IF($S87="","",IF(N($T87)&gt;0,IF(N($AG87)&gt;0,SUMIFS($AE$5:$AE$1000,$R$5:$R$1000,ROW(),$S$5:$S$1000,"Sub")/$AG87,AVERAGEIFS($W$5:$W$1000,$R$5:$R$1000,ROW(),$S$5:$S$1000,"Sub")),$W87))</f>
        <v/>
      </c>
      <c r="AB87" s="71">
        <f>IF($S87="","",IF(N($T87)&gt;0,IF(N($AG87)&gt;0,SUMIFS($AF$5:$AF$1000,$R$5:$R$1000,ROW(),$S$5:$S$1000,"Sub")/$AG87,AVERAGEIFS($X$5:$X$1000,$R$5:$R$1000,ROW(),$S$5:$S$1000,"Sub")),$X87))</f>
        <v/>
      </c>
      <c r="AC87" s="71">
        <f>IF($S87="Sub",N($F87)*N($U87),"")</f>
        <v/>
      </c>
      <c r="AD87" s="71">
        <f>IF($S87="Sub",N($F87)*N($V87),"")</f>
        <v/>
      </c>
      <c r="AE87" s="71">
        <f>IF($S87="Sub",N($F87)*N($W87),"")</f>
        <v/>
      </c>
      <c r="AF87" s="71">
        <f>IF($S87="Sub",N($F87)*N($X87),"")</f>
        <v/>
      </c>
      <c r="AG87" s="71">
        <f>IF(N($T87)&gt;0,SUMIFS($F$5:$F$1000,$R$5:$R$1000,ROW(),$S$5:$S$1000,"Sub"),"")</f>
        <v/>
      </c>
    </row>
    <row r="88">
      <c r="A88" s="62">
        <f>IF(NOT((COUNTA($B88:$J88)+COUNTA($N88))&gt;0),"",IF($S88="Macro",COUNTIFS($S$5:$S88,"Macro",$P$5:$P88,$P88),IF(N($R88)=0,"?",COUNTIFS(INDEX($S$5:$S$1000,1):INDEX($S$5:$S$1000,$R88-4),"Macro",INDEX($P$5:$P$1000,1):INDEX($P$5:$P$1000,$R88-4),INDEX($P$5:$P$1000,$R88-4))&amp;"."&amp;COUNTIFS($R$5:$R88,$R88,$S$5:$S88,"Sub"))))</f>
        <v/>
      </c>
      <c r="B88" s="63" t="n"/>
      <c r="C88" s="64" t="n"/>
      <c r="D88" s="65" t="n"/>
      <c r="E88" s="65" t="n"/>
      <c r="F88" s="66" t="n"/>
      <c r="G88" s="67" t="n"/>
      <c r="H88" s="67" t="n"/>
      <c r="I88" s="67" t="n"/>
      <c r="J88" s="67" t="n"/>
      <c r="K88" s="68">
        <f>IF(NOT((COUNTA($B88:$J88)+COUNTA($N88))&gt;0),"",IF(N($T88)&gt;0,$AB88,IFERROR(LOOKUP(2,1/(G88:J88&lt;&gt;""),G88:J88),0)))</f>
        <v/>
      </c>
      <c r="L88" s="62">
        <f>IF(K88="","",IF(K88&gt;=1,"Completado",IF(K88&gt;0,"En curso","Pendiente")))</f>
        <v/>
      </c>
      <c r="M88" s="62">
        <f>IF(NOT((COUNTA($B88:$J88)+COUNTA($N88))&gt;0),"",IF(N($K88)&gt;=1,"Cumplida",IF(NOT(ISNUMBER($E88)),"Sin fecha límite",IF($E88&lt;FechaRef,"Vencida hace "&amp;(FechaRef-$E88)&amp;IF(FechaRef-$E88=1," día"," días"),IF($E88=FechaRef,"Vence hoy",IF($E88-FechaRef&lt;=DiasAlerta,"Vence en "&amp;($E88-FechaRef)&amp;IF($E88-FechaRef=1," día"," días"),"En plazo"))))))</f>
        <v/>
      </c>
      <c r="N88" s="64" t="n"/>
      <c r="O88" s="69">
        <f>IF(NOT((COUNTA($B88:$J88)+COUNTA($N88))&gt;0),"",IF((IF($C88="","Falta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",""))="","✔ OK","⚠ "&amp;LEFT(IF($C88="","Falta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",""),LEN(IF($C88="","Falta el nombre de la actividad"&amp;" · ","")&amp;IF(AND($S88="Sub",N($R88)=0),"Subactividad sin macroactividad arriba"&amp;" · ","")&amp;IF($D88="","Sin fecha de inicio"&amp;" · ","")&amp;IF($E88="","Sin fecha límite"&amp;" · ","")&amp;IF(OR(AND($D88&lt;&gt;"",NOT(ISNUMBER($D88))),AND($E88&lt;&gt;"",NOT(ISNUMBER($E88)))),"Fecha no válida"&amp;" · ","")&amp;IF(AND(ISNUMBER($D88),ISNUMBER($E88),$D88&gt;$E88),"Inicio posterior a fecha límite"&amp;" · ","")&amp;IF(AND($S88="Macro",$F88=""),"Peso vacío"&amp;" · ","")&amp;IF(AND($S88="Macro",$F88&lt;&gt;"",OR(NOT(ISNUMBER($F88)),$F88&lt;=0,$F88&gt;1)),"Peso fuera de rango"&amp;" · ","")&amp;IF(AND($S88="Sub",$F88&lt;&gt;"",OR(NOT(ISNUMBER($F88)),$F88&lt;0,$F88&gt;1)),"Peso fuera de rango"&amp;" · ","")&amp;IF(AND($S88="Sub",$F88="",IFERROR(N(INDEX($AG$5:$AG$1000,$R88-4)),0)&gt;0),"Falta el peso de la subactividad"&amp;" · ","")&amp;IF(AND(N($T88)&gt;0,N($AG88)&gt;0,ABS(N($AG88)-N($F88))&gt;0.0001),"Pesos de sus subactividades suman "&amp;TEXT(N($AG88),"0%")&amp;" (deben sumar "&amp;TEXT(N($F88),"0%")&amp;")"&amp;" · ","")&amp;IF(AND($S88="Macro",ABS(SUMIFS($F$5:$F$1000,$P$5:$P$1000,$P88,$S$5:$S$1000,"Macro")-1)&gt;0.0001),"Pesos del mes suman "&amp;TEXT(SUMIFS($F$5:$F$1000,$P$5:$P$1000,$P88,$S$5:$S$1000,"Macro"),"0%")&amp;" · ","")&amp;IF(AND(N($T88)&gt;0,COUNT($G88:$J88)&gt;0),"Con subactividades: deje vacías las semanas (se calculan solas)"&amp;" · ","")&amp;IF((COUNTIF($G88:$J88,"&gt;1")+COUNTIF($G88:$J88,"&lt;0")+COUNTA($G88:$J88)-COUNT($G88:$J88))&gt;0,"Avance fuera de rango 0-100%"&amp;" · ","")&amp;IF(OR(AND($H88&lt;&gt;"",$H88&lt;$G88),AND($I88&lt;&gt;"",$I88&lt;MAX($G88:$H88)),AND($J88&lt;&gt;"",$J88&lt;MAX($G88:$I88))),"Avance semanal decreciente"&amp;" · ","")&amp;IF(AND(ISNUMBER($E88),$E88&lt;FechaRef,N($K88)&lt;1),"Vencida"&amp;" · ","")&amp;IF(AND(ObsObligatoria="Sí",ISNUMBER($E88),$E88&lt;FechaRef,N($K88)&lt;1,$N88=""),"Vencida sin observación"&amp;" · ",""))-3)))</f>
        <v/>
      </c>
      <c r="P88" s="70">
        <f>IF(NOT((COUNTA($B88:$J88)+COUNTA($N88))&gt;0),"",IF(AND($S88="Sub",N($R88)&gt;0),IF(ISNUMBER(INDEX($D$5:$D$1000,$R88-4)),DATE(YEAR(INDEX($D$5:$D$1000,$R88-4)),MONTH(INDEX($D$5:$D$1000,$R88-4)),1),IF(ISNUMBER(INDEX($E$5:$E$1000,$R88-4)),DATE(YEAR(INDEX($E$5:$E$1000,$R88-4)),MONTH(INDEX($E$5:$E$1000,$R88-4)),1),MesCiclo)),IF(ISNUMBER($D88),DATE(YEAR($D88),MONTH($D88),1),IF(ISNUMBER($E88),DATE(YEAR($E88),MONTH($E88),1),MesCiclo))))</f>
        <v/>
      </c>
      <c r="Q88" s="71">
        <f>IF(OR($P88="",$P88&lt;&gt;MesCiclo),"",COUNTIF($P$5:$P88,MesCiclo))</f>
        <v/>
      </c>
      <c r="R88" s="71">
        <f>IF($S88="","",IF($S88="Macro",ROW(),IFERROR(LOOKUP(2,1/($S$5:$S88="Macro"),ROW($S$5:$S88)),0)))</f>
        <v/>
      </c>
      <c r="S88" s="71">
        <f>IF(NOT((COUNTA($B88:$J88)+COUNTA($N88))&gt;0),"",IF($B88="Subactividad","Sub","Macro"))</f>
        <v/>
      </c>
      <c r="T88" s="71">
        <f>IF($S88="Macro",COUNTIFS($R$5:$R$1000,ROW(),$S$5:$S$1000,"Sub"),"")</f>
        <v/>
      </c>
      <c r="U88" s="71">
        <f>IF($S88="","",IF(ISNUMBER($G88),$G88,0))</f>
        <v/>
      </c>
      <c r="V88" s="71">
        <f>IF($S88="","",IF(ISNUMBER($H88),$H88,$U88))</f>
        <v/>
      </c>
      <c r="W88" s="71">
        <f>IF($S88="","",IF(ISNUMBER($I88),$I88,$V88))</f>
        <v/>
      </c>
      <c r="X88" s="71">
        <f>IF($S88="","",IF(ISNUMBER($J88),$J88,$W88))</f>
        <v/>
      </c>
      <c r="Y88" s="71">
        <f>IF($S88="","",IF(N($T88)&gt;0,IF(N($AG88)&gt;0,SUMIFS($AC$5:$AC$1000,$R$5:$R$1000,ROW(),$S$5:$S$1000,"Sub")/$AG88,AVERAGEIFS($U$5:$U$1000,$R$5:$R$1000,ROW(),$S$5:$S$1000,"Sub")),$U88))</f>
        <v/>
      </c>
      <c r="Z88" s="71">
        <f>IF($S88="","",IF(N($T88)&gt;0,IF(N($AG88)&gt;0,SUMIFS($AD$5:$AD$1000,$R$5:$R$1000,ROW(),$S$5:$S$1000,"Sub")/$AG88,AVERAGEIFS($V$5:$V$1000,$R$5:$R$1000,ROW(),$S$5:$S$1000,"Sub")),$V88))</f>
        <v/>
      </c>
      <c r="AA88" s="71">
        <f>IF($S88="","",IF(N($T88)&gt;0,IF(N($AG88)&gt;0,SUMIFS($AE$5:$AE$1000,$R$5:$R$1000,ROW(),$S$5:$S$1000,"Sub")/$AG88,AVERAGEIFS($W$5:$W$1000,$R$5:$R$1000,ROW(),$S$5:$S$1000,"Sub")),$W88))</f>
        <v/>
      </c>
      <c r="AB88" s="71">
        <f>IF($S88="","",IF(N($T88)&gt;0,IF(N($AG88)&gt;0,SUMIFS($AF$5:$AF$1000,$R$5:$R$1000,ROW(),$S$5:$S$1000,"Sub")/$AG88,AVERAGEIFS($X$5:$X$1000,$R$5:$R$1000,ROW(),$S$5:$S$1000,"Sub")),$X88))</f>
        <v/>
      </c>
      <c r="AC88" s="71">
        <f>IF($S88="Sub",N($F88)*N($U88),"")</f>
        <v/>
      </c>
      <c r="AD88" s="71">
        <f>IF($S88="Sub",N($F88)*N($V88),"")</f>
        <v/>
      </c>
      <c r="AE88" s="71">
        <f>IF($S88="Sub",N($F88)*N($W88),"")</f>
        <v/>
      </c>
      <c r="AF88" s="71">
        <f>IF($S88="Sub",N($F88)*N($X88),"")</f>
        <v/>
      </c>
      <c r="AG88" s="71">
        <f>IF(N($T88)&gt;0,SUMIFS($F$5:$F$1000,$R$5:$R$1000,ROW(),$S$5:$S$1000,"Sub"),"")</f>
        <v/>
      </c>
    </row>
    <row r="89">
      <c r="A89" s="62">
        <f>IF(NOT((COUNTA($B89:$J89)+COUNTA($N89))&gt;0),"",IF($S89="Macro",COUNTIFS($S$5:$S89,"Macro",$P$5:$P89,$P89),IF(N($R89)=0,"?",COUNTIFS(INDEX($S$5:$S$1000,1):INDEX($S$5:$S$1000,$R89-4),"Macro",INDEX($P$5:$P$1000,1):INDEX($P$5:$P$1000,$R89-4),INDEX($P$5:$P$1000,$R89-4))&amp;"."&amp;COUNTIFS($R$5:$R89,$R89,$S$5:$S89,"Sub"))))</f>
        <v/>
      </c>
      <c r="B89" s="63" t="n"/>
      <c r="C89" s="64" t="n"/>
      <c r="D89" s="65" t="n"/>
      <c r="E89" s="65" t="n"/>
      <c r="F89" s="66" t="n"/>
      <c r="G89" s="67" t="n"/>
      <c r="H89" s="67" t="n"/>
      <c r="I89" s="67" t="n"/>
      <c r="J89" s="67" t="n"/>
      <c r="K89" s="68">
        <f>IF(NOT((COUNTA($B89:$J89)+COUNTA($N89))&gt;0),"",IF(N($T89)&gt;0,$AB89,IFERROR(LOOKUP(2,1/(G89:J89&lt;&gt;""),G89:J89),0)))</f>
        <v/>
      </c>
      <c r="L89" s="62">
        <f>IF(K89="","",IF(K89&gt;=1,"Completado",IF(K89&gt;0,"En curso","Pendiente")))</f>
        <v/>
      </c>
      <c r="M89" s="62">
        <f>IF(NOT((COUNTA($B89:$J89)+COUNTA($N89))&gt;0),"",IF(N($K89)&gt;=1,"Cumplida",IF(NOT(ISNUMBER($E89)),"Sin fecha límite",IF($E89&lt;FechaRef,"Vencida hace "&amp;(FechaRef-$E89)&amp;IF(FechaRef-$E89=1," día"," días"),IF($E89=FechaRef,"Vence hoy",IF($E89-FechaRef&lt;=DiasAlerta,"Vence en "&amp;($E89-FechaRef)&amp;IF($E89-FechaRef=1," día"," días"),"En plazo"))))))</f>
        <v/>
      </c>
      <c r="N89" s="64" t="n"/>
      <c r="O89" s="69">
        <f>IF(NOT((COUNTA($B89:$J89)+COUNTA($N89))&gt;0),"",IF((IF($C89="","Falta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",""))="","✔ OK","⚠ "&amp;LEFT(IF($C89="","Falta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",""),LEN(IF($C89="","Falta el nombre de la actividad"&amp;" · ","")&amp;IF(AND($S89="Sub",N($R89)=0),"Subactividad sin macroactividad arriba"&amp;" · ","")&amp;IF($D89="","Sin fecha de inicio"&amp;" · ","")&amp;IF($E89="","Sin fecha límite"&amp;" · ","")&amp;IF(OR(AND($D89&lt;&gt;"",NOT(ISNUMBER($D89))),AND($E89&lt;&gt;"",NOT(ISNUMBER($E89)))),"Fecha no válida"&amp;" · ","")&amp;IF(AND(ISNUMBER($D89),ISNUMBER($E89),$D89&gt;$E89),"Inicio posterior a fecha límite"&amp;" · ","")&amp;IF(AND($S89="Macro",$F89=""),"Peso vacío"&amp;" · ","")&amp;IF(AND($S89="Macro",$F89&lt;&gt;"",OR(NOT(ISNUMBER($F89)),$F89&lt;=0,$F89&gt;1)),"Peso fuera de rango"&amp;" · ","")&amp;IF(AND($S89="Sub",$F89&lt;&gt;"",OR(NOT(ISNUMBER($F89)),$F89&lt;0,$F89&gt;1)),"Peso fuera de rango"&amp;" · ","")&amp;IF(AND($S89="Sub",$F89="",IFERROR(N(INDEX($AG$5:$AG$1000,$R89-4)),0)&gt;0),"Falta el peso de la subactividad"&amp;" · ","")&amp;IF(AND(N($T89)&gt;0,N($AG89)&gt;0,ABS(N($AG89)-N($F89))&gt;0.0001),"Pesos de sus subactividades suman "&amp;TEXT(N($AG89),"0%")&amp;" (deben sumar "&amp;TEXT(N($F89),"0%")&amp;")"&amp;" · ","")&amp;IF(AND($S89="Macro",ABS(SUMIFS($F$5:$F$1000,$P$5:$P$1000,$P89,$S$5:$S$1000,"Macro")-1)&gt;0.0001),"Pesos del mes suman "&amp;TEXT(SUMIFS($F$5:$F$1000,$P$5:$P$1000,$P89,$S$5:$S$1000,"Macro"),"0%")&amp;" · ","")&amp;IF(AND(N($T89)&gt;0,COUNT($G89:$J89)&gt;0),"Con subactividades: deje vacías las semanas (se calculan solas)"&amp;" · ","")&amp;IF((COUNTIF($G89:$J89,"&gt;1")+COUNTIF($G89:$J89,"&lt;0")+COUNTA($G89:$J89)-COUNT($G89:$J89))&gt;0,"Avance fuera de rango 0-100%"&amp;" · ","")&amp;IF(OR(AND($H89&lt;&gt;"",$H89&lt;$G89),AND($I89&lt;&gt;"",$I89&lt;MAX($G89:$H89)),AND($J89&lt;&gt;"",$J89&lt;MAX($G89:$I89))),"Avance semanal decreciente"&amp;" · ","")&amp;IF(AND(ISNUMBER($E89),$E89&lt;FechaRef,N($K89)&lt;1),"Vencida"&amp;" · ","")&amp;IF(AND(ObsObligatoria="Sí",ISNUMBER($E89),$E89&lt;FechaRef,N($K89)&lt;1,$N89=""),"Vencida sin observación"&amp;" · ",""))-3)))</f>
        <v/>
      </c>
      <c r="P89" s="70">
        <f>IF(NOT((COUNTA($B89:$J89)+COUNTA($N89))&gt;0),"",IF(AND($S89="Sub",N($R89)&gt;0),IF(ISNUMBER(INDEX($D$5:$D$1000,$R89-4)),DATE(YEAR(INDEX($D$5:$D$1000,$R89-4)),MONTH(INDEX($D$5:$D$1000,$R89-4)),1),IF(ISNUMBER(INDEX($E$5:$E$1000,$R89-4)),DATE(YEAR(INDEX($E$5:$E$1000,$R89-4)),MONTH(INDEX($E$5:$E$1000,$R89-4)),1),MesCiclo)),IF(ISNUMBER($D89),DATE(YEAR($D89),MONTH($D89),1),IF(ISNUMBER($E89),DATE(YEAR($E89),MONTH($E89),1),MesCiclo))))</f>
        <v/>
      </c>
      <c r="Q89" s="71">
        <f>IF(OR($P89="",$P89&lt;&gt;MesCiclo),"",COUNTIF($P$5:$P89,MesCiclo))</f>
        <v/>
      </c>
      <c r="R89" s="71">
        <f>IF($S89="","",IF($S89="Macro",ROW(),IFERROR(LOOKUP(2,1/($S$5:$S89="Macro"),ROW($S$5:$S89)),0)))</f>
        <v/>
      </c>
      <c r="S89" s="71">
        <f>IF(NOT((COUNTA($B89:$J89)+COUNTA($N89))&gt;0),"",IF($B89="Subactividad","Sub","Macro"))</f>
        <v/>
      </c>
      <c r="T89" s="71">
        <f>IF($S89="Macro",COUNTIFS($R$5:$R$1000,ROW(),$S$5:$S$1000,"Sub"),"")</f>
        <v/>
      </c>
      <c r="U89" s="71">
        <f>IF($S89="","",IF(ISNUMBER($G89),$G89,0))</f>
        <v/>
      </c>
      <c r="V89" s="71">
        <f>IF($S89="","",IF(ISNUMBER($H89),$H89,$U89))</f>
        <v/>
      </c>
      <c r="W89" s="71">
        <f>IF($S89="","",IF(ISNUMBER($I89),$I89,$V89))</f>
        <v/>
      </c>
      <c r="X89" s="71">
        <f>IF($S89="","",IF(ISNUMBER($J89),$J89,$W89))</f>
        <v/>
      </c>
      <c r="Y89" s="71">
        <f>IF($S89="","",IF(N($T89)&gt;0,IF(N($AG89)&gt;0,SUMIFS($AC$5:$AC$1000,$R$5:$R$1000,ROW(),$S$5:$S$1000,"Sub")/$AG89,AVERAGEIFS($U$5:$U$1000,$R$5:$R$1000,ROW(),$S$5:$S$1000,"Sub")),$U89))</f>
        <v/>
      </c>
      <c r="Z89" s="71">
        <f>IF($S89="","",IF(N($T89)&gt;0,IF(N($AG89)&gt;0,SUMIFS($AD$5:$AD$1000,$R$5:$R$1000,ROW(),$S$5:$S$1000,"Sub")/$AG89,AVERAGEIFS($V$5:$V$1000,$R$5:$R$1000,ROW(),$S$5:$S$1000,"Sub")),$V89))</f>
        <v/>
      </c>
      <c r="AA89" s="71">
        <f>IF($S89="","",IF(N($T89)&gt;0,IF(N($AG89)&gt;0,SUMIFS($AE$5:$AE$1000,$R$5:$R$1000,ROW(),$S$5:$S$1000,"Sub")/$AG89,AVERAGEIFS($W$5:$W$1000,$R$5:$R$1000,ROW(),$S$5:$S$1000,"Sub")),$W89))</f>
        <v/>
      </c>
      <c r="AB89" s="71">
        <f>IF($S89="","",IF(N($T89)&gt;0,IF(N($AG89)&gt;0,SUMIFS($AF$5:$AF$1000,$R$5:$R$1000,ROW(),$S$5:$S$1000,"Sub")/$AG89,AVERAGEIFS($X$5:$X$1000,$R$5:$R$1000,ROW(),$S$5:$S$1000,"Sub")),$X89))</f>
        <v/>
      </c>
      <c r="AC89" s="71">
        <f>IF($S89="Sub",N($F89)*N($U89),"")</f>
        <v/>
      </c>
      <c r="AD89" s="71">
        <f>IF($S89="Sub",N($F89)*N($V89),"")</f>
        <v/>
      </c>
      <c r="AE89" s="71">
        <f>IF($S89="Sub",N($F89)*N($W89),"")</f>
        <v/>
      </c>
      <c r="AF89" s="71">
        <f>IF($S89="Sub",N($F89)*N($X89),"")</f>
        <v/>
      </c>
      <c r="AG89" s="71">
        <f>IF(N($T89)&gt;0,SUMIFS($F$5:$F$1000,$R$5:$R$1000,ROW(),$S$5:$S$1000,"Sub"),"")</f>
        <v/>
      </c>
    </row>
    <row r="90">
      <c r="A90" s="62">
        <f>IF(NOT((COUNTA($B90:$J90)+COUNTA($N90))&gt;0),"",IF($S90="Macro",COUNTIFS($S$5:$S90,"Macro",$P$5:$P90,$P90),IF(N($R90)=0,"?",COUNTIFS(INDEX($S$5:$S$1000,1):INDEX($S$5:$S$1000,$R90-4),"Macro",INDEX($P$5:$P$1000,1):INDEX($P$5:$P$1000,$R90-4),INDEX($P$5:$P$1000,$R90-4))&amp;"."&amp;COUNTIFS($R$5:$R90,$R90,$S$5:$S90,"Sub"))))</f>
        <v/>
      </c>
      <c r="B90" s="63" t="n"/>
      <c r="C90" s="64" t="n"/>
      <c r="D90" s="65" t="n"/>
      <c r="E90" s="65" t="n"/>
      <c r="F90" s="66" t="n"/>
      <c r="G90" s="67" t="n"/>
      <c r="H90" s="67" t="n"/>
      <c r="I90" s="67" t="n"/>
      <c r="J90" s="67" t="n"/>
      <c r="K90" s="68">
        <f>IF(NOT((COUNTA($B90:$J90)+COUNTA($N90))&gt;0),"",IF(N($T90)&gt;0,$AB90,IFERROR(LOOKUP(2,1/(G90:J90&lt;&gt;""),G90:J90),0)))</f>
        <v/>
      </c>
      <c r="L90" s="62">
        <f>IF(K90="","",IF(K90&gt;=1,"Completado",IF(K90&gt;0,"En curso","Pendiente")))</f>
        <v/>
      </c>
      <c r="M90" s="62">
        <f>IF(NOT((COUNTA($B90:$J90)+COUNTA($N90))&gt;0),"",IF(N($K90)&gt;=1,"Cumplida",IF(NOT(ISNUMBER($E90)),"Sin fecha límite",IF($E90&lt;FechaRef,"Vencida hace "&amp;(FechaRef-$E90)&amp;IF(FechaRef-$E90=1," día"," días"),IF($E90=FechaRef,"Vence hoy",IF($E90-FechaRef&lt;=DiasAlerta,"Vence en "&amp;($E90-FechaRef)&amp;IF($E90-FechaRef=1," día"," días"),"En plazo"))))))</f>
        <v/>
      </c>
      <c r="N90" s="64" t="n"/>
      <c r="O90" s="69">
        <f>IF(NOT((COUNTA($B90:$J90)+COUNTA($N90))&gt;0),"",IF((IF($C90="","Falta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",""))="","✔ OK","⚠ "&amp;LEFT(IF($C90="","Falta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",""),LEN(IF($C90="","Falta el nombre de la actividad"&amp;" · ","")&amp;IF(AND($S90="Sub",N($R90)=0),"Subactividad sin macroactividad arriba"&amp;" · ","")&amp;IF($D90="","Sin fecha de inicio"&amp;" · ","")&amp;IF($E90="","Sin fecha límite"&amp;" · ","")&amp;IF(OR(AND($D90&lt;&gt;"",NOT(ISNUMBER($D90))),AND($E90&lt;&gt;"",NOT(ISNUMBER($E90)))),"Fecha no válida"&amp;" · ","")&amp;IF(AND(ISNUMBER($D90),ISNUMBER($E90),$D90&gt;$E90),"Inicio posterior a fecha límite"&amp;" · ","")&amp;IF(AND($S90="Macro",$F90=""),"Peso vacío"&amp;" · ","")&amp;IF(AND($S90="Macro",$F90&lt;&gt;"",OR(NOT(ISNUMBER($F90)),$F90&lt;=0,$F90&gt;1)),"Peso fuera de rango"&amp;" · ","")&amp;IF(AND($S90="Sub",$F90&lt;&gt;"",OR(NOT(ISNUMBER($F90)),$F90&lt;0,$F90&gt;1)),"Peso fuera de rango"&amp;" · ","")&amp;IF(AND($S90="Sub",$F90="",IFERROR(N(INDEX($AG$5:$AG$1000,$R90-4)),0)&gt;0),"Falta el peso de la subactividad"&amp;" · ","")&amp;IF(AND(N($T90)&gt;0,N($AG90)&gt;0,ABS(N($AG90)-N($F90))&gt;0.0001),"Pesos de sus subactividades suman "&amp;TEXT(N($AG90),"0%")&amp;" (deben sumar "&amp;TEXT(N($F90),"0%")&amp;")"&amp;" · ","")&amp;IF(AND($S90="Macro",ABS(SUMIFS($F$5:$F$1000,$P$5:$P$1000,$P90,$S$5:$S$1000,"Macro")-1)&gt;0.0001),"Pesos del mes suman "&amp;TEXT(SUMIFS($F$5:$F$1000,$P$5:$P$1000,$P90,$S$5:$S$1000,"Macro"),"0%")&amp;" · ","")&amp;IF(AND(N($T90)&gt;0,COUNT($G90:$J90)&gt;0),"Con subactividades: deje vacías las semanas (se calculan solas)"&amp;" · ","")&amp;IF((COUNTIF($G90:$J90,"&gt;1")+COUNTIF($G90:$J90,"&lt;0")+COUNTA($G90:$J90)-COUNT($G90:$J90))&gt;0,"Avance fuera de rango 0-100%"&amp;" · ","")&amp;IF(OR(AND($H90&lt;&gt;"",$H90&lt;$G90),AND($I90&lt;&gt;"",$I90&lt;MAX($G90:$H90)),AND($J90&lt;&gt;"",$J90&lt;MAX($G90:$I90))),"Avance semanal decreciente"&amp;" · ","")&amp;IF(AND(ISNUMBER($E90),$E90&lt;FechaRef,N($K90)&lt;1),"Vencida"&amp;" · ","")&amp;IF(AND(ObsObligatoria="Sí",ISNUMBER($E90),$E90&lt;FechaRef,N($K90)&lt;1,$N90=""),"Vencida sin observación"&amp;" · ",""))-3)))</f>
        <v/>
      </c>
      <c r="P90" s="70">
        <f>IF(NOT((COUNTA($B90:$J90)+COUNTA($N90))&gt;0),"",IF(AND($S90="Sub",N($R90)&gt;0),IF(ISNUMBER(INDEX($D$5:$D$1000,$R90-4)),DATE(YEAR(INDEX($D$5:$D$1000,$R90-4)),MONTH(INDEX($D$5:$D$1000,$R90-4)),1),IF(ISNUMBER(INDEX($E$5:$E$1000,$R90-4)),DATE(YEAR(INDEX($E$5:$E$1000,$R90-4)),MONTH(INDEX($E$5:$E$1000,$R90-4)),1),MesCiclo)),IF(ISNUMBER($D90),DATE(YEAR($D90),MONTH($D90),1),IF(ISNUMBER($E90),DATE(YEAR($E90),MONTH($E90),1),MesCiclo))))</f>
        <v/>
      </c>
      <c r="Q90" s="71">
        <f>IF(OR($P90="",$P90&lt;&gt;MesCiclo),"",COUNTIF($P$5:$P90,MesCiclo))</f>
        <v/>
      </c>
      <c r="R90" s="71">
        <f>IF($S90="","",IF($S90="Macro",ROW(),IFERROR(LOOKUP(2,1/($S$5:$S90="Macro"),ROW($S$5:$S90)),0)))</f>
        <v/>
      </c>
      <c r="S90" s="71">
        <f>IF(NOT((COUNTA($B90:$J90)+COUNTA($N90))&gt;0),"",IF($B90="Subactividad","Sub","Macro"))</f>
        <v/>
      </c>
      <c r="T90" s="71">
        <f>IF($S90="Macro",COUNTIFS($R$5:$R$1000,ROW(),$S$5:$S$1000,"Sub"),"")</f>
        <v/>
      </c>
      <c r="U90" s="71">
        <f>IF($S90="","",IF(ISNUMBER($G90),$G90,0))</f>
        <v/>
      </c>
      <c r="V90" s="71">
        <f>IF($S90="","",IF(ISNUMBER($H90),$H90,$U90))</f>
        <v/>
      </c>
      <c r="W90" s="71">
        <f>IF($S90="","",IF(ISNUMBER($I90),$I90,$V90))</f>
        <v/>
      </c>
      <c r="X90" s="71">
        <f>IF($S90="","",IF(ISNUMBER($J90),$J90,$W90))</f>
        <v/>
      </c>
      <c r="Y90" s="71">
        <f>IF($S90="","",IF(N($T90)&gt;0,IF(N($AG90)&gt;0,SUMIFS($AC$5:$AC$1000,$R$5:$R$1000,ROW(),$S$5:$S$1000,"Sub")/$AG90,AVERAGEIFS($U$5:$U$1000,$R$5:$R$1000,ROW(),$S$5:$S$1000,"Sub")),$U90))</f>
        <v/>
      </c>
      <c r="Z90" s="71">
        <f>IF($S90="","",IF(N($T90)&gt;0,IF(N($AG90)&gt;0,SUMIFS($AD$5:$AD$1000,$R$5:$R$1000,ROW(),$S$5:$S$1000,"Sub")/$AG90,AVERAGEIFS($V$5:$V$1000,$R$5:$R$1000,ROW(),$S$5:$S$1000,"Sub")),$V90))</f>
        <v/>
      </c>
      <c r="AA90" s="71">
        <f>IF($S90="","",IF(N($T90)&gt;0,IF(N($AG90)&gt;0,SUMIFS($AE$5:$AE$1000,$R$5:$R$1000,ROW(),$S$5:$S$1000,"Sub")/$AG90,AVERAGEIFS($W$5:$W$1000,$R$5:$R$1000,ROW(),$S$5:$S$1000,"Sub")),$W90))</f>
        <v/>
      </c>
      <c r="AB90" s="71">
        <f>IF($S90="","",IF(N($T90)&gt;0,IF(N($AG90)&gt;0,SUMIFS($AF$5:$AF$1000,$R$5:$R$1000,ROW(),$S$5:$S$1000,"Sub")/$AG90,AVERAGEIFS($X$5:$X$1000,$R$5:$R$1000,ROW(),$S$5:$S$1000,"Sub")),$X90))</f>
        <v/>
      </c>
      <c r="AC90" s="71">
        <f>IF($S90="Sub",N($F90)*N($U90),"")</f>
        <v/>
      </c>
      <c r="AD90" s="71">
        <f>IF($S90="Sub",N($F90)*N($V90),"")</f>
        <v/>
      </c>
      <c r="AE90" s="71">
        <f>IF($S90="Sub",N($F90)*N($W90),"")</f>
        <v/>
      </c>
      <c r="AF90" s="71">
        <f>IF($S90="Sub",N($F90)*N($X90),"")</f>
        <v/>
      </c>
      <c r="AG90" s="71">
        <f>IF(N($T90)&gt;0,SUMIFS($F$5:$F$1000,$R$5:$R$1000,ROW(),$S$5:$S$1000,"Sub"),"")</f>
        <v/>
      </c>
    </row>
    <row r="91">
      <c r="A91" s="62">
        <f>IF(NOT((COUNTA($B91:$J91)+COUNTA($N91))&gt;0),"",IF($S91="Macro",COUNTIFS($S$5:$S91,"Macro",$P$5:$P91,$P91),IF(N($R91)=0,"?",COUNTIFS(INDEX($S$5:$S$1000,1):INDEX($S$5:$S$1000,$R91-4),"Macro",INDEX($P$5:$P$1000,1):INDEX($P$5:$P$1000,$R91-4),INDEX($P$5:$P$1000,$R91-4))&amp;"."&amp;COUNTIFS($R$5:$R91,$R91,$S$5:$S91,"Sub"))))</f>
        <v/>
      </c>
      <c r="B91" s="63" t="n"/>
      <c r="C91" s="64" t="n"/>
      <c r="D91" s="65" t="n"/>
      <c r="E91" s="65" t="n"/>
      <c r="F91" s="66" t="n"/>
      <c r="G91" s="67" t="n"/>
      <c r="H91" s="67" t="n"/>
      <c r="I91" s="67" t="n"/>
      <c r="J91" s="67" t="n"/>
      <c r="K91" s="68">
        <f>IF(NOT((COUNTA($B91:$J91)+COUNTA($N91))&gt;0),"",IF(N($T91)&gt;0,$AB91,IFERROR(LOOKUP(2,1/(G91:J91&lt;&gt;""),G91:J91),0)))</f>
        <v/>
      </c>
      <c r="L91" s="62">
        <f>IF(K91="","",IF(K91&gt;=1,"Completado",IF(K91&gt;0,"En curso","Pendiente")))</f>
        <v/>
      </c>
      <c r="M91" s="62">
        <f>IF(NOT((COUNTA($B91:$J91)+COUNTA($N91))&gt;0),"",IF(N($K91)&gt;=1,"Cumplida",IF(NOT(ISNUMBER($E91)),"Sin fecha límite",IF($E91&lt;FechaRef,"Vencida hace "&amp;(FechaRef-$E91)&amp;IF(FechaRef-$E91=1," día"," días"),IF($E91=FechaRef,"Vence hoy",IF($E91-FechaRef&lt;=DiasAlerta,"Vence en "&amp;($E91-FechaRef)&amp;IF($E91-FechaRef=1," día"," días"),"En plazo"))))))</f>
        <v/>
      </c>
      <c r="N91" s="64" t="n"/>
      <c r="O91" s="69">
        <f>IF(NOT((COUNTA($B91:$J91)+COUNTA($N91))&gt;0),"",IF((IF($C91="","Falta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",""))="","✔ OK","⚠ "&amp;LEFT(IF($C91="","Falta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",""),LEN(IF($C91="","Falta el nombre de la actividad"&amp;" · ","")&amp;IF(AND($S91="Sub",N($R91)=0),"Subactividad sin macroactividad arriba"&amp;" · ","")&amp;IF($D91="","Sin fecha de inicio"&amp;" · ","")&amp;IF($E91="","Sin fecha límite"&amp;" · ","")&amp;IF(OR(AND($D91&lt;&gt;"",NOT(ISNUMBER($D91))),AND($E91&lt;&gt;"",NOT(ISNUMBER($E91)))),"Fecha no válida"&amp;" · ","")&amp;IF(AND(ISNUMBER($D91),ISNUMBER($E91),$D91&gt;$E91),"Inicio posterior a fecha límite"&amp;" · ","")&amp;IF(AND($S91="Macro",$F91=""),"Peso vacío"&amp;" · ","")&amp;IF(AND($S91="Macro",$F91&lt;&gt;"",OR(NOT(ISNUMBER($F91)),$F91&lt;=0,$F91&gt;1)),"Peso fuera de rango"&amp;" · ","")&amp;IF(AND($S91="Sub",$F91&lt;&gt;"",OR(NOT(ISNUMBER($F91)),$F91&lt;0,$F91&gt;1)),"Peso fuera de rango"&amp;" · ","")&amp;IF(AND($S91="Sub",$F91="",IFERROR(N(INDEX($AG$5:$AG$1000,$R91-4)),0)&gt;0),"Falta el peso de la subactividad"&amp;" · ","")&amp;IF(AND(N($T91)&gt;0,N($AG91)&gt;0,ABS(N($AG91)-N($F91))&gt;0.0001),"Pesos de sus subactividades suman "&amp;TEXT(N($AG91),"0%")&amp;" (deben sumar "&amp;TEXT(N($F91),"0%")&amp;")"&amp;" · ","")&amp;IF(AND($S91="Macro",ABS(SUMIFS($F$5:$F$1000,$P$5:$P$1000,$P91,$S$5:$S$1000,"Macro")-1)&gt;0.0001),"Pesos del mes suman "&amp;TEXT(SUMIFS($F$5:$F$1000,$P$5:$P$1000,$P91,$S$5:$S$1000,"Macro"),"0%")&amp;" · ","")&amp;IF(AND(N($T91)&gt;0,COUNT($G91:$J91)&gt;0),"Con subactividades: deje vacías las semanas (se calculan solas)"&amp;" · ","")&amp;IF((COUNTIF($G91:$J91,"&gt;1")+COUNTIF($G91:$J91,"&lt;0")+COUNTA($G91:$J91)-COUNT($G91:$J91))&gt;0,"Avance fuera de rango 0-100%"&amp;" · ","")&amp;IF(OR(AND($H91&lt;&gt;"",$H91&lt;$G91),AND($I91&lt;&gt;"",$I91&lt;MAX($G91:$H91)),AND($J91&lt;&gt;"",$J91&lt;MAX($G91:$I91))),"Avance semanal decreciente"&amp;" · ","")&amp;IF(AND(ISNUMBER($E91),$E91&lt;FechaRef,N($K91)&lt;1),"Vencida"&amp;" · ","")&amp;IF(AND(ObsObligatoria="Sí",ISNUMBER($E91),$E91&lt;FechaRef,N($K91)&lt;1,$N91=""),"Vencida sin observación"&amp;" · ",""))-3)))</f>
        <v/>
      </c>
      <c r="P91" s="70">
        <f>IF(NOT((COUNTA($B91:$J91)+COUNTA($N91))&gt;0),"",IF(AND($S91="Sub",N($R91)&gt;0),IF(ISNUMBER(INDEX($D$5:$D$1000,$R91-4)),DATE(YEAR(INDEX($D$5:$D$1000,$R91-4)),MONTH(INDEX($D$5:$D$1000,$R91-4)),1),IF(ISNUMBER(INDEX($E$5:$E$1000,$R91-4)),DATE(YEAR(INDEX($E$5:$E$1000,$R91-4)),MONTH(INDEX($E$5:$E$1000,$R91-4)),1),MesCiclo)),IF(ISNUMBER($D91),DATE(YEAR($D91),MONTH($D91),1),IF(ISNUMBER($E91),DATE(YEAR($E91),MONTH($E91),1),MesCiclo))))</f>
        <v/>
      </c>
      <c r="Q91" s="71">
        <f>IF(OR($P91="",$P91&lt;&gt;MesCiclo),"",COUNTIF($P$5:$P91,MesCiclo))</f>
        <v/>
      </c>
      <c r="R91" s="71">
        <f>IF($S91="","",IF($S91="Macro",ROW(),IFERROR(LOOKUP(2,1/($S$5:$S91="Macro"),ROW($S$5:$S91)),0)))</f>
        <v/>
      </c>
      <c r="S91" s="71">
        <f>IF(NOT((COUNTA($B91:$J91)+COUNTA($N91))&gt;0),"",IF($B91="Subactividad","Sub","Macro"))</f>
        <v/>
      </c>
      <c r="T91" s="71">
        <f>IF($S91="Macro",COUNTIFS($R$5:$R$1000,ROW(),$S$5:$S$1000,"Sub"),"")</f>
        <v/>
      </c>
      <c r="U91" s="71">
        <f>IF($S91="","",IF(ISNUMBER($G91),$G91,0))</f>
        <v/>
      </c>
      <c r="V91" s="71">
        <f>IF($S91="","",IF(ISNUMBER($H91),$H91,$U91))</f>
        <v/>
      </c>
      <c r="W91" s="71">
        <f>IF($S91="","",IF(ISNUMBER($I91),$I91,$V91))</f>
        <v/>
      </c>
      <c r="X91" s="71">
        <f>IF($S91="","",IF(ISNUMBER($J91),$J91,$W91))</f>
        <v/>
      </c>
      <c r="Y91" s="71">
        <f>IF($S91="","",IF(N($T91)&gt;0,IF(N($AG91)&gt;0,SUMIFS($AC$5:$AC$1000,$R$5:$R$1000,ROW(),$S$5:$S$1000,"Sub")/$AG91,AVERAGEIFS($U$5:$U$1000,$R$5:$R$1000,ROW(),$S$5:$S$1000,"Sub")),$U91))</f>
        <v/>
      </c>
      <c r="Z91" s="71">
        <f>IF($S91="","",IF(N($T91)&gt;0,IF(N($AG91)&gt;0,SUMIFS($AD$5:$AD$1000,$R$5:$R$1000,ROW(),$S$5:$S$1000,"Sub")/$AG91,AVERAGEIFS($V$5:$V$1000,$R$5:$R$1000,ROW(),$S$5:$S$1000,"Sub")),$V91))</f>
        <v/>
      </c>
      <c r="AA91" s="71">
        <f>IF($S91="","",IF(N($T91)&gt;0,IF(N($AG91)&gt;0,SUMIFS($AE$5:$AE$1000,$R$5:$R$1000,ROW(),$S$5:$S$1000,"Sub")/$AG91,AVERAGEIFS($W$5:$W$1000,$R$5:$R$1000,ROW(),$S$5:$S$1000,"Sub")),$W91))</f>
        <v/>
      </c>
      <c r="AB91" s="71">
        <f>IF($S91="","",IF(N($T91)&gt;0,IF(N($AG91)&gt;0,SUMIFS($AF$5:$AF$1000,$R$5:$R$1000,ROW(),$S$5:$S$1000,"Sub")/$AG91,AVERAGEIFS($X$5:$X$1000,$R$5:$R$1000,ROW(),$S$5:$S$1000,"Sub")),$X91))</f>
        <v/>
      </c>
      <c r="AC91" s="71">
        <f>IF($S91="Sub",N($F91)*N($U91),"")</f>
        <v/>
      </c>
      <c r="AD91" s="71">
        <f>IF($S91="Sub",N($F91)*N($V91),"")</f>
        <v/>
      </c>
      <c r="AE91" s="71">
        <f>IF($S91="Sub",N($F91)*N($W91),"")</f>
        <v/>
      </c>
      <c r="AF91" s="71">
        <f>IF($S91="Sub",N($F91)*N($X91),"")</f>
        <v/>
      </c>
      <c r="AG91" s="71">
        <f>IF(N($T91)&gt;0,SUMIFS($F$5:$F$1000,$R$5:$R$1000,ROW(),$S$5:$S$1000,"Sub"),"")</f>
        <v/>
      </c>
    </row>
    <row r="92">
      <c r="A92" s="62">
        <f>IF(NOT((COUNTA($B92:$J92)+COUNTA($N92))&gt;0),"",IF($S92="Macro",COUNTIFS($S$5:$S92,"Macro",$P$5:$P92,$P92),IF(N($R92)=0,"?",COUNTIFS(INDEX($S$5:$S$1000,1):INDEX($S$5:$S$1000,$R92-4),"Macro",INDEX($P$5:$P$1000,1):INDEX($P$5:$P$1000,$R92-4),INDEX($P$5:$P$1000,$R92-4))&amp;"."&amp;COUNTIFS($R$5:$R92,$R92,$S$5:$S92,"Sub"))))</f>
        <v/>
      </c>
      <c r="B92" s="63" t="n"/>
      <c r="C92" s="64" t="n"/>
      <c r="D92" s="65" t="n"/>
      <c r="E92" s="65" t="n"/>
      <c r="F92" s="66" t="n"/>
      <c r="G92" s="67" t="n"/>
      <c r="H92" s="67" t="n"/>
      <c r="I92" s="67" t="n"/>
      <c r="J92" s="67" t="n"/>
      <c r="K92" s="68">
        <f>IF(NOT((COUNTA($B92:$J92)+COUNTA($N92))&gt;0),"",IF(N($T92)&gt;0,$AB92,IFERROR(LOOKUP(2,1/(G92:J92&lt;&gt;""),G92:J92),0)))</f>
        <v/>
      </c>
      <c r="L92" s="62">
        <f>IF(K92="","",IF(K92&gt;=1,"Completado",IF(K92&gt;0,"En curso","Pendiente")))</f>
        <v/>
      </c>
      <c r="M92" s="62">
        <f>IF(NOT((COUNTA($B92:$J92)+COUNTA($N92))&gt;0),"",IF(N($K92)&gt;=1,"Cumplida",IF(NOT(ISNUMBER($E92)),"Sin fecha límite",IF($E92&lt;FechaRef,"Vencida hace "&amp;(FechaRef-$E92)&amp;IF(FechaRef-$E92=1," día"," días"),IF($E92=FechaRef,"Vence hoy",IF($E92-FechaRef&lt;=DiasAlerta,"Vence en "&amp;($E92-FechaRef)&amp;IF($E92-FechaRef=1," día"," días"),"En plazo"))))))</f>
        <v/>
      </c>
      <c r="N92" s="64" t="n"/>
      <c r="O92" s="69">
        <f>IF(NOT((COUNTA($B92:$J92)+COUNTA($N92))&gt;0),"",IF((IF($C92="","Falta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",""))="","✔ OK","⚠ "&amp;LEFT(IF($C92="","Falta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",""),LEN(IF($C92="","Falta el nombre de la actividad"&amp;" · ","")&amp;IF(AND($S92="Sub",N($R92)=0),"Subactividad sin macroactividad arriba"&amp;" · ","")&amp;IF($D92="","Sin fecha de inicio"&amp;" · ","")&amp;IF($E92="","Sin fecha límite"&amp;" · ","")&amp;IF(OR(AND($D92&lt;&gt;"",NOT(ISNUMBER($D92))),AND($E92&lt;&gt;"",NOT(ISNUMBER($E92)))),"Fecha no válida"&amp;" · ","")&amp;IF(AND(ISNUMBER($D92),ISNUMBER($E92),$D92&gt;$E92),"Inicio posterior a fecha límite"&amp;" · ","")&amp;IF(AND($S92="Macro",$F92=""),"Peso vacío"&amp;" · ","")&amp;IF(AND($S92="Macro",$F92&lt;&gt;"",OR(NOT(ISNUMBER($F92)),$F92&lt;=0,$F92&gt;1)),"Peso fuera de rango"&amp;" · ","")&amp;IF(AND($S92="Sub",$F92&lt;&gt;"",OR(NOT(ISNUMBER($F92)),$F92&lt;0,$F92&gt;1)),"Peso fuera de rango"&amp;" · ","")&amp;IF(AND($S92="Sub",$F92="",IFERROR(N(INDEX($AG$5:$AG$1000,$R92-4)),0)&gt;0),"Falta el peso de la subactividad"&amp;" · ","")&amp;IF(AND(N($T92)&gt;0,N($AG92)&gt;0,ABS(N($AG92)-N($F92))&gt;0.0001),"Pesos de sus subactividades suman "&amp;TEXT(N($AG92),"0%")&amp;" (deben sumar "&amp;TEXT(N($F92),"0%")&amp;")"&amp;" · ","")&amp;IF(AND($S92="Macro",ABS(SUMIFS($F$5:$F$1000,$P$5:$P$1000,$P92,$S$5:$S$1000,"Macro")-1)&gt;0.0001),"Pesos del mes suman "&amp;TEXT(SUMIFS($F$5:$F$1000,$P$5:$P$1000,$P92,$S$5:$S$1000,"Macro"),"0%")&amp;" · ","")&amp;IF(AND(N($T92)&gt;0,COUNT($G92:$J92)&gt;0),"Con subactividades: deje vacías las semanas (se calculan solas)"&amp;" · ","")&amp;IF((COUNTIF($G92:$J92,"&gt;1")+COUNTIF($G92:$J92,"&lt;0")+COUNTA($G92:$J92)-COUNT($G92:$J92))&gt;0,"Avance fuera de rango 0-100%"&amp;" · ","")&amp;IF(OR(AND($H92&lt;&gt;"",$H92&lt;$G92),AND($I92&lt;&gt;"",$I92&lt;MAX($G92:$H92)),AND($J92&lt;&gt;"",$J92&lt;MAX($G92:$I92))),"Avance semanal decreciente"&amp;" · ","")&amp;IF(AND(ISNUMBER($E92),$E92&lt;FechaRef,N($K92)&lt;1),"Vencida"&amp;" · ","")&amp;IF(AND(ObsObligatoria="Sí",ISNUMBER($E92),$E92&lt;FechaRef,N($K92)&lt;1,$N92=""),"Vencida sin observación"&amp;" · ",""))-3)))</f>
        <v/>
      </c>
      <c r="P92" s="70">
        <f>IF(NOT((COUNTA($B92:$J92)+COUNTA($N92))&gt;0),"",IF(AND($S92="Sub",N($R92)&gt;0),IF(ISNUMBER(INDEX($D$5:$D$1000,$R92-4)),DATE(YEAR(INDEX($D$5:$D$1000,$R92-4)),MONTH(INDEX($D$5:$D$1000,$R92-4)),1),IF(ISNUMBER(INDEX($E$5:$E$1000,$R92-4)),DATE(YEAR(INDEX($E$5:$E$1000,$R92-4)),MONTH(INDEX($E$5:$E$1000,$R92-4)),1),MesCiclo)),IF(ISNUMBER($D92),DATE(YEAR($D92),MONTH($D92),1),IF(ISNUMBER($E92),DATE(YEAR($E92),MONTH($E92),1),MesCiclo))))</f>
        <v/>
      </c>
      <c r="Q92" s="71">
        <f>IF(OR($P92="",$P92&lt;&gt;MesCiclo),"",COUNTIF($P$5:$P92,MesCiclo))</f>
        <v/>
      </c>
      <c r="R92" s="71">
        <f>IF($S92="","",IF($S92="Macro",ROW(),IFERROR(LOOKUP(2,1/($S$5:$S92="Macro"),ROW($S$5:$S92)),0)))</f>
        <v/>
      </c>
      <c r="S92" s="71">
        <f>IF(NOT((COUNTA($B92:$J92)+COUNTA($N92))&gt;0),"",IF($B92="Subactividad","Sub","Macro"))</f>
        <v/>
      </c>
      <c r="T92" s="71">
        <f>IF($S92="Macro",COUNTIFS($R$5:$R$1000,ROW(),$S$5:$S$1000,"Sub"),"")</f>
        <v/>
      </c>
      <c r="U92" s="71">
        <f>IF($S92="","",IF(ISNUMBER($G92),$G92,0))</f>
        <v/>
      </c>
      <c r="V92" s="71">
        <f>IF($S92="","",IF(ISNUMBER($H92),$H92,$U92))</f>
        <v/>
      </c>
      <c r="W92" s="71">
        <f>IF($S92="","",IF(ISNUMBER($I92),$I92,$V92))</f>
        <v/>
      </c>
      <c r="X92" s="71">
        <f>IF($S92="","",IF(ISNUMBER($J92),$J92,$W92))</f>
        <v/>
      </c>
      <c r="Y92" s="71">
        <f>IF($S92="","",IF(N($T92)&gt;0,IF(N($AG92)&gt;0,SUMIFS($AC$5:$AC$1000,$R$5:$R$1000,ROW(),$S$5:$S$1000,"Sub")/$AG92,AVERAGEIFS($U$5:$U$1000,$R$5:$R$1000,ROW(),$S$5:$S$1000,"Sub")),$U92))</f>
        <v/>
      </c>
      <c r="Z92" s="71">
        <f>IF($S92="","",IF(N($T92)&gt;0,IF(N($AG92)&gt;0,SUMIFS($AD$5:$AD$1000,$R$5:$R$1000,ROW(),$S$5:$S$1000,"Sub")/$AG92,AVERAGEIFS($V$5:$V$1000,$R$5:$R$1000,ROW(),$S$5:$S$1000,"Sub")),$V92))</f>
        <v/>
      </c>
      <c r="AA92" s="71">
        <f>IF($S92="","",IF(N($T92)&gt;0,IF(N($AG92)&gt;0,SUMIFS($AE$5:$AE$1000,$R$5:$R$1000,ROW(),$S$5:$S$1000,"Sub")/$AG92,AVERAGEIFS($W$5:$W$1000,$R$5:$R$1000,ROW(),$S$5:$S$1000,"Sub")),$W92))</f>
        <v/>
      </c>
      <c r="AB92" s="71">
        <f>IF($S92="","",IF(N($T92)&gt;0,IF(N($AG92)&gt;0,SUMIFS($AF$5:$AF$1000,$R$5:$R$1000,ROW(),$S$5:$S$1000,"Sub")/$AG92,AVERAGEIFS($X$5:$X$1000,$R$5:$R$1000,ROW(),$S$5:$S$1000,"Sub")),$X92))</f>
        <v/>
      </c>
      <c r="AC92" s="71">
        <f>IF($S92="Sub",N($F92)*N($U92),"")</f>
        <v/>
      </c>
      <c r="AD92" s="71">
        <f>IF($S92="Sub",N($F92)*N($V92),"")</f>
        <v/>
      </c>
      <c r="AE92" s="71">
        <f>IF($S92="Sub",N($F92)*N($W92),"")</f>
        <v/>
      </c>
      <c r="AF92" s="71">
        <f>IF($S92="Sub",N($F92)*N($X92),"")</f>
        <v/>
      </c>
      <c r="AG92" s="71">
        <f>IF(N($T92)&gt;0,SUMIFS($F$5:$F$1000,$R$5:$R$1000,ROW(),$S$5:$S$1000,"Sub"),"")</f>
        <v/>
      </c>
    </row>
    <row r="93">
      <c r="A93" s="62">
        <f>IF(NOT((COUNTA($B93:$J93)+COUNTA($N93))&gt;0),"",IF($S93="Macro",COUNTIFS($S$5:$S93,"Macro",$P$5:$P93,$P93),IF(N($R93)=0,"?",COUNTIFS(INDEX($S$5:$S$1000,1):INDEX($S$5:$S$1000,$R93-4),"Macro",INDEX($P$5:$P$1000,1):INDEX($P$5:$P$1000,$R93-4),INDEX($P$5:$P$1000,$R93-4))&amp;"."&amp;COUNTIFS($R$5:$R93,$R93,$S$5:$S93,"Sub"))))</f>
        <v/>
      </c>
      <c r="B93" s="63" t="n"/>
      <c r="C93" s="64" t="n"/>
      <c r="D93" s="65" t="n"/>
      <c r="E93" s="65" t="n"/>
      <c r="F93" s="66" t="n"/>
      <c r="G93" s="67" t="n"/>
      <c r="H93" s="67" t="n"/>
      <c r="I93" s="67" t="n"/>
      <c r="J93" s="67" t="n"/>
      <c r="K93" s="68">
        <f>IF(NOT((COUNTA($B93:$J93)+COUNTA($N93))&gt;0),"",IF(N($T93)&gt;0,$AB93,IFERROR(LOOKUP(2,1/(G93:J93&lt;&gt;""),G93:J93),0)))</f>
        <v/>
      </c>
      <c r="L93" s="62">
        <f>IF(K93="","",IF(K93&gt;=1,"Completado",IF(K93&gt;0,"En curso","Pendiente")))</f>
        <v/>
      </c>
      <c r="M93" s="62">
        <f>IF(NOT((COUNTA($B93:$J93)+COUNTA($N93))&gt;0),"",IF(N($K93)&gt;=1,"Cumplida",IF(NOT(ISNUMBER($E93)),"Sin fecha límite",IF($E93&lt;FechaRef,"Vencida hace "&amp;(FechaRef-$E93)&amp;IF(FechaRef-$E93=1," día"," días"),IF($E93=FechaRef,"Vence hoy",IF($E93-FechaRef&lt;=DiasAlerta,"Vence en "&amp;($E93-FechaRef)&amp;IF($E93-FechaRef=1," día"," días"),"En plazo"))))))</f>
        <v/>
      </c>
      <c r="N93" s="64" t="n"/>
      <c r="O93" s="69">
        <f>IF(NOT((COUNTA($B93:$J93)+COUNTA($N93))&gt;0),"",IF((IF($C93="","Falta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",""))="","✔ OK","⚠ "&amp;LEFT(IF($C93="","Falta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",""),LEN(IF($C93="","Falta el nombre de la actividad"&amp;" · ","")&amp;IF(AND($S93="Sub",N($R93)=0),"Subactividad sin macroactividad arriba"&amp;" · ","")&amp;IF($D93="","Sin fecha de inicio"&amp;" · ","")&amp;IF($E93="","Sin fecha límite"&amp;" · ","")&amp;IF(OR(AND($D93&lt;&gt;"",NOT(ISNUMBER($D93))),AND($E93&lt;&gt;"",NOT(ISNUMBER($E93)))),"Fecha no válida"&amp;" · ","")&amp;IF(AND(ISNUMBER($D93),ISNUMBER($E93),$D93&gt;$E93),"Inicio posterior a fecha límite"&amp;" · ","")&amp;IF(AND($S93="Macro",$F93=""),"Peso vacío"&amp;" · ","")&amp;IF(AND($S93="Macro",$F93&lt;&gt;"",OR(NOT(ISNUMBER($F93)),$F93&lt;=0,$F93&gt;1)),"Peso fuera de rango"&amp;" · ","")&amp;IF(AND($S93="Sub",$F93&lt;&gt;"",OR(NOT(ISNUMBER($F93)),$F93&lt;0,$F93&gt;1)),"Peso fuera de rango"&amp;" · ","")&amp;IF(AND($S93="Sub",$F93="",IFERROR(N(INDEX($AG$5:$AG$1000,$R93-4)),0)&gt;0),"Falta el peso de la subactividad"&amp;" · ","")&amp;IF(AND(N($T93)&gt;0,N($AG93)&gt;0,ABS(N($AG93)-N($F93))&gt;0.0001),"Pesos de sus subactividades suman "&amp;TEXT(N($AG93),"0%")&amp;" (deben sumar "&amp;TEXT(N($F93),"0%")&amp;")"&amp;" · ","")&amp;IF(AND($S93="Macro",ABS(SUMIFS($F$5:$F$1000,$P$5:$P$1000,$P93,$S$5:$S$1000,"Macro")-1)&gt;0.0001),"Pesos del mes suman "&amp;TEXT(SUMIFS($F$5:$F$1000,$P$5:$P$1000,$P93,$S$5:$S$1000,"Macro"),"0%")&amp;" · ","")&amp;IF(AND(N($T93)&gt;0,COUNT($G93:$J93)&gt;0),"Con subactividades: deje vacías las semanas (se calculan solas)"&amp;" · ","")&amp;IF((COUNTIF($G93:$J93,"&gt;1")+COUNTIF($G93:$J93,"&lt;0")+COUNTA($G93:$J93)-COUNT($G93:$J93))&gt;0,"Avance fuera de rango 0-100%"&amp;" · ","")&amp;IF(OR(AND($H93&lt;&gt;"",$H93&lt;$G93),AND($I93&lt;&gt;"",$I93&lt;MAX($G93:$H93)),AND($J93&lt;&gt;"",$J93&lt;MAX($G93:$I93))),"Avance semanal decreciente"&amp;" · ","")&amp;IF(AND(ISNUMBER($E93),$E93&lt;FechaRef,N($K93)&lt;1),"Vencida"&amp;" · ","")&amp;IF(AND(ObsObligatoria="Sí",ISNUMBER($E93),$E93&lt;FechaRef,N($K93)&lt;1,$N93=""),"Vencida sin observación"&amp;" · ",""))-3)))</f>
        <v/>
      </c>
      <c r="P93" s="70">
        <f>IF(NOT((COUNTA($B93:$J93)+COUNTA($N93))&gt;0),"",IF(AND($S93="Sub",N($R93)&gt;0),IF(ISNUMBER(INDEX($D$5:$D$1000,$R93-4)),DATE(YEAR(INDEX($D$5:$D$1000,$R93-4)),MONTH(INDEX($D$5:$D$1000,$R93-4)),1),IF(ISNUMBER(INDEX($E$5:$E$1000,$R93-4)),DATE(YEAR(INDEX($E$5:$E$1000,$R93-4)),MONTH(INDEX($E$5:$E$1000,$R93-4)),1),MesCiclo)),IF(ISNUMBER($D93),DATE(YEAR($D93),MONTH($D93),1),IF(ISNUMBER($E93),DATE(YEAR($E93),MONTH($E93),1),MesCiclo))))</f>
        <v/>
      </c>
      <c r="Q93" s="71">
        <f>IF(OR($P93="",$P93&lt;&gt;MesCiclo),"",COUNTIF($P$5:$P93,MesCiclo))</f>
        <v/>
      </c>
      <c r="R93" s="71">
        <f>IF($S93="","",IF($S93="Macro",ROW(),IFERROR(LOOKUP(2,1/($S$5:$S93="Macro"),ROW($S$5:$S93)),0)))</f>
        <v/>
      </c>
      <c r="S93" s="71">
        <f>IF(NOT((COUNTA($B93:$J93)+COUNTA($N93))&gt;0),"",IF($B93="Subactividad","Sub","Macro"))</f>
        <v/>
      </c>
      <c r="T93" s="71">
        <f>IF($S93="Macro",COUNTIFS($R$5:$R$1000,ROW(),$S$5:$S$1000,"Sub"),"")</f>
        <v/>
      </c>
      <c r="U93" s="71">
        <f>IF($S93="","",IF(ISNUMBER($G93),$G93,0))</f>
        <v/>
      </c>
      <c r="V93" s="71">
        <f>IF($S93="","",IF(ISNUMBER($H93),$H93,$U93))</f>
        <v/>
      </c>
      <c r="W93" s="71">
        <f>IF($S93="","",IF(ISNUMBER($I93),$I93,$V93))</f>
        <v/>
      </c>
      <c r="X93" s="71">
        <f>IF($S93="","",IF(ISNUMBER($J93),$J93,$W93))</f>
        <v/>
      </c>
      <c r="Y93" s="71">
        <f>IF($S93="","",IF(N($T93)&gt;0,IF(N($AG93)&gt;0,SUMIFS($AC$5:$AC$1000,$R$5:$R$1000,ROW(),$S$5:$S$1000,"Sub")/$AG93,AVERAGEIFS($U$5:$U$1000,$R$5:$R$1000,ROW(),$S$5:$S$1000,"Sub")),$U93))</f>
        <v/>
      </c>
      <c r="Z93" s="71">
        <f>IF($S93="","",IF(N($T93)&gt;0,IF(N($AG93)&gt;0,SUMIFS($AD$5:$AD$1000,$R$5:$R$1000,ROW(),$S$5:$S$1000,"Sub")/$AG93,AVERAGEIFS($V$5:$V$1000,$R$5:$R$1000,ROW(),$S$5:$S$1000,"Sub")),$V93))</f>
        <v/>
      </c>
      <c r="AA93" s="71">
        <f>IF($S93="","",IF(N($T93)&gt;0,IF(N($AG93)&gt;0,SUMIFS($AE$5:$AE$1000,$R$5:$R$1000,ROW(),$S$5:$S$1000,"Sub")/$AG93,AVERAGEIFS($W$5:$W$1000,$R$5:$R$1000,ROW(),$S$5:$S$1000,"Sub")),$W93))</f>
        <v/>
      </c>
      <c r="AB93" s="71">
        <f>IF($S93="","",IF(N($T93)&gt;0,IF(N($AG93)&gt;0,SUMIFS($AF$5:$AF$1000,$R$5:$R$1000,ROW(),$S$5:$S$1000,"Sub")/$AG93,AVERAGEIFS($X$5:$X$1000,$R$5:$R$1000,ROW(),$S$5:$S$1000,"Sub")),$X93))</f>
        <v/>
      </c>
      <c r="AC93" s="71">
        <f>IF($S93="Sub",N($F93)*N($U93),"")</f>
        <v/>
      </c>
      <c r="AD93" s="71">
        <f>IF($S93="Sub",N($F93)*N($V93),"")</f>
        <v/>
      </c>
      <c r="AE93" s="71">
        <f>IF($S93="Sub",N($F93)*N($W93),"")</f>
        <v/>
      </c>
      <c r="AF93" s="71">
        <f>IF($S93="Sub",N($F93)*N($X93),"")</f>
        <v/>
      </c>
      <c r="AG93" s="71">
        <f>IF(N($T93)&gt;0,SUMIFS($F$5:$F$1000,$R$5:$R$1000,ROW(),$S$5:$S$1000,"Sub"),"")</f>
        <v/>
      </c>
    </row>
    <row r="94">
      <c r="A94" s="62">
        <f>IF(NOT((COUNTA($B94:$J94)+COUNTA($N94))&gt;0),"",IF($S94="Macro",COUNTIFS($S$5:$S94,"Macro",$P$5:$P94,$P94),IF(N($R94)=0,"?",COUNTIFS(INDEX($S$5:$S$1000,1):INDEX($S$5:$S$1000,$R94-4),"Macro",INDEX($P$5:$P$1000,1):INDEX($P$5:$P$1000,$R94-4),INDEX($P$5:$P$1000,$R94-4))&amp;"."&amp;COUNTIFS($R$5:$R94,$R94,$S$5:$S94,"Sub"))))</f>
        <v/>
      </c>
      <c r="B94" s="63" t="n"/>
      <c r="C94" s="64" t="n"/>
      <c r="D94" s="65" t="n"/>
      <c r="E94" s="65" t="n"/>
      <c r="F94" s="66" t="n"/>
      <c r="G94" s="67" t="n"/>
      <c r="H94" s="67" t="n"/>
      <c r="I94" s="67" t="n"/>
      <c r="J94" s="67" t="n"/>
      <c r="K94" s="68">
        <f>IF(NOT((COUNTA($B94:$J94)+COUNTA($N94))&gt;0),"",IF(N($T94)&gt;0,$AB94,IFERROR(LOOKUP(2,1/(G94:J94&lt;&gt;""),G94:J94),0)))</f>
        <v/>
      </c>
      <c r="L94" s="62">
        <f>IF(K94="","",IF(K94&gt;=1,"Completado",IF(K94&gt;0,"En curso","Pendiente")))</f>
        <v/>
      </c>
      <c r="M94" s="62">
        <f>IF(NOT((COUNTA($B94:$J94)+COUNTA($N94))&gt;0),"",IF(N($K94)&gt;=1,"Cumplida",IF(NOT(ISNUMBER($E94)),"Sin fecha límite",IF($E94&lt;FechaRef,"Vencida hace "&amp;(FechaRef-$E94)&amp;IF(FechaRef-$E94=1," día"," días"),IF($E94=FechaRef,"Vence hoy",IF($E94-FechaRef&lt;=DiasAlerta,"Vence en "&amp;($E94-FechaRef)&amp;IF($E94-FechaRef=1," día"," días"),"En plazo"))))))</f>
        <v/>
      </c>
      <c r="N94" s="64" t="n"/>
      <c r="O94" s="69">
        <f>IF(NOT((COUNTA($B94:$J94)+COUNTA($N94))&gt;0),"",IF((IF($C94="","Falta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",""))="","✔ OK","⚠ "&amp;LEFT(IF($C94="","Falta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",""),LEN(IF($C94="","Falta el nombre de la actividad"&amp;" · ","")&amp;IF(AND($S94="Sub",N($R94)=0),"Subactividad sin macroactividad arriba"&amp;" · ","")&amp;IF($D94="","Sin fecha de inicio"&amp;" · ","")&amp;IF($E94="","Sin fecha límite"&amp;" · ","")&amp;IF(OR(AND($D94&lt;&gt;"",NOT(ISNUMBER($D94))),AND($E94&lt;&gt;"",NOT(ISNUMBER($E94)))),"Fecha no válida"&amp;" · ","")&amp;IF(AND(ISNUMBER($D94),ISNUMBER($E94),$D94&gt;$E94),"Inicio posterior a fecha límite"&amp;" · ","")&amp;IF(AND($S94="Macro",$F94=""),"Peso vacío"&amp;" · ","")&amp;IF(AND($S94="Macro",$F94&lt;&gt;"",OR(NOT(ISNUMBER($F94)),$F94&lt;=0,$F94&gt;1)),"Peso fuera de rango"&amp;" · ","")&amp;IF(AND($S94="Sub",$F94&lt;&gt;"",OR(NOT(ISNUMBER($F94)),$F94&lt;0,$F94&gt;1)),"Peso fuera de rango"&amp;" · ","")&amp;IF(AND($S94="Sub",$F94="",IFERROR(N(INDEX($AG$5:$AG$1000,$R94-4)),0)&gt;0),"Falta el peso de la subactividad"&amp;" · ","")&amp;IF(AND(N($T94)&gt;0,N($AG94)&gt;0,ABS(N($AG94)-N($F94))&gt;0.0001),"Pesos de sus subactividades suman "&amp;TEXT(N($AG94),"0%")&amp;" (deben sumar "&amp;TEXT(N($F94),"0%")&amp;")"&amp;" · ","")&amp;IF(AND($S94="Macro",ABS(SUMIFS($F$5:$F$1000,$P$5:$P$1000,$P94,$S$5:$S$1000,"Macro")-1)&gt;0.0001),"Pesos del mes suman "&amp;TEXT(SUMIFS($F$5:$F$1000,$P$5:$P$1000,$P94,$S$5:$S$1000,"Macro"),"0%")&amp;" · ","")&amp;IF(AND(N($T94)&gt;0,COUNT($G94:$J94)&gt;0),"Con subactividades: deje vacías las semanas (se calculan solas)"&amp;" · ","")&amp;IF((COUNTIF($G94:$J94,"&gt;1")+COUNTIF($G94:$J94,"&lt;0")+COUNTA($G94:$J94)-COUNT($G94:$J94))&gt;0,"Avance fuera de rango 0-100%"&amp;" · ","")&amp;IF(OR(AND($H94&lt;&gt;"",$H94&lt;$G94),AND($I94&lt;&gt;"",$I94&lt;MAX($G94:$H94)),AND($J94&lt;&gt;"",$J94&lt;MAX($G94:$I94))),"Avance semanal decreciente"&amp;" · ","")&amp;IF(AND(ISNUMBER($E94),$E94&lt;FechaRef,N($K94)&lt;1),"Vencida"&amp;" · ","")&amp;IF(AND(ObsObligatoria="Sí",ISNUMBER($E94),$E94&lt;FechaRef,N($K94)&lt;1,$N94=""),"Vencida sin observación"&amp;" · ",""))-3)))</f>
        <v/>
      </c>
      <c r="P94" s="70">
        <f>IF(NOT((COUNTA($B94:$J94)+COUNTA($N94))&gt;0),"",IF(AND($S94="Sub",N($R94)&gt;0),IF(ISNUMBER(INDEX($D$5:$D$1000,$R94-4)),DATE(YEAR(INDEX($D$5:$D$1000,$R94-4)),MONTH(INDEX($D$5:$D$1000,$R94-4)),1),IF(ISNUMBER(INDEX($E$5:$E$1000,$R94-4)),DATE(YEAR(INDEX($E$5:$E$1000,$R94-4)),MONTH(INDEX($E$5:$E$1000,$R94-4)),1),MesCiclo)),IF(ISNUMBER($D94),DATE(YEAR($D94),MONTH($D94),1),IF(ISNUMBER($E94),DATE(YEAR($E94),MONTH($E94),1),MesCiclo))))</f>
        <v/>
      </c>
      <c r="Q94" s="71">
        <f>IF(OR($P94="",$P94&lt;&gt;MesCiclo),"",COUNTIF($P$5:$P94,MesCiclo))</f>
        <v/>
      </c>
      <c r="R94" s="71">
        <f>IF($S94="","",IF($S94="Macro",ROW(),IFERROR(LOOKUP(2,1/($S$5:$S94="Macro"),ROW($S$5:$S94)),0)))</f>
        <v/>
      </c>
      <c r="S94" s="71">
        <f>IF(NOT((COUNTA($B94:$J94)+COUNTA($N94))&gt;0),"",IF($B94="Subactividad","Sub","Macro"))</f>
        <v/>
      </c>
      <c r="T94" s="71">
        <f>IF($S94="Macro",COUNTIFS($R$5:$R$1000,ROW(),$S$5:$S$1000,"Sub"),"")</f>
        <v/>
      </c>
      <c r="U94" s="71">
        <f>IF($S94="","",IF(ISNUMBER($G94),$G94,0))</f>
        <v/>
      </c>
      <c r="V94" s="71">
        <f>IF($S94="","",IF(ISNUMBER($H94),$H94,$U94))</f>
        <v/>
      </c>
      <c r="W94" s="71">
        <f>IF($S94="","",IF(ISNUMBER($I94),$I94,$V94))</f>
        <v/>
      </c>
      <c r="X94" s="71">
        <f>IF($S94="","",IF(ISNUMBER($J94),$J94,$W94))</f>
        <v/>
      </c>
      <c r="Y94" s="71">
        <f>IF($S94="","",IF(N($T94)&gt;0,IF(N($AG94)&gt;0,SUMIFS($AC$5:$AC$1000,$R$5:$R$1000,ROW(),$S$5:$S$1000,"Sub")/$AG94,AVERAGEIFS($U$5:$U$1000,$R$5:$R$1000,ROW(),$S$5:$S$1000,"Sub")),$U94))</f>
        <v/>
      </c>
      <c r="Z94" s="71">
        <f>IF($S94="","",IF(N($T94)&gt;0,IF(N($AG94)&gt;0,SUMIFS($AD$5:$AD$1000,$R$5:$R$1000,ROW(),$S$5:$S$1000,"Sub")/$AG94,AVERAGEIFS($V$5:$V$1000,$R$5:$R$1000,ROW(),$S$5:$S$1000,"Sub")),$V94))</f>
        <v/>
      </c>
      <c r="AA94" s="71">
        <f>IF($S94="","",IF(N($T94)&gt;0,IF(N($AG94)&gt;0,SUMIFS($AE$5:$AE$1000,$R$5:$R$1000,ROW(),$S$5:$S$1000,"Sub")/$AG94,AVERAGEIFS($W$5:$W$1000,$R$5:$R$1000,ROW(),$S$5:$S$1000,"Sub")),$W94))</f>
        <v/>
      </c>
      <c r="AB94" s="71">
        <f>IF($S94="","",IF(N($T94)&gt;0,IF(N($AG94)&gt;0,SUMIFS($AF$5:$AF$1000,$R$5:$R$1000,ROW(),$S$5:$S$1000,"Sub")/$AG94,AVERAGEIFS($X$5:$X$1000,$R$5:$R$1000,ROW(),$S$5:$S$1000,"Sub")),$X94))</f>
        <v/>
      </c>
      <c r="AC94" s="71">
        <f>IF($S94="Sub",N($F94)*N($U94),"")</f>
        <v/>
      </c>
      <c r="AD94" s="71">
        <f>IF($S94="Sub",N($F94)*N($V94),"")</f>
        <v/>
      </c>
      <c r="AE94" s="71">
        <f>IF($S94="Sub",N($F94)*N($W94),"")</f>
        <v/>
      </c>
      <c r="AF94" s="71">
        <f>IF($S94="Sub",N($F94)*N($X94),"")</f>
        <v/>
      </c>
      <c r="AG94" s="71">
        <f>IF(N($T94)&gt;0,SUMIFS($F$5:$F$1000,$R$5:$R$1000,ROW(),$S$5:$S$1000,"Sub"),"")</f>
        <v/>
      </c>
    </row>
    <row r="95">
      <c r="A95" s="62">
        <f>IF(NOT((COUNTA($B95:$J95)+COUNTA($N95))&gt;0),"",IF($S95="Macro",COUNTIFS($S$5:$S95,"Macro",$P$5:$P95,$P95),IF(N($R95)=0,"?",COUNTIFS(INDEX($S$5:$S$1000,1):INDEX($S$5:$S$1000,$R95-4),"Macro",INDEX($P$5:$P$1000,1):INDEX($P$5:$P$1000,$R95-4),INDEX($P$5:$P$1000,$R95-4))&amp;"."&amp;COUNTIFS($R$5:$R95,$R95,$S$5:$S95,"Sub"))))</f>
        <v/>
      </c>
      <c r="B95" s="63" t="n"/>
      <c r="C95" s="64" t="n"/>
      <c r="D95" s="65" t="n"/>
      <c r="E95" s="65" t="n"/>
      <c r="F95" s="66" t="n"/>
      <c r="G95" s="67" t="n"/>
      <c r="H95" s="67" t="n"/>
      <c r="I95" s="67" t="n"/>
      <c r="J95" s="67" t="n"/>
      <c r="K95" s="68">
        <f>IF(NOT((COUNTA($B95:$J95)+COUNTA($N95))&gt;0),"",IF(N($T95)&gt;0,$AB95,IFERROR(LOOKUP(2,1/(G95:J95&lt;&gt;""),G95:J95),0)))</f>
        <v/>
      </c>
      <c r="L95" s="62">
        <f>IF(K95="","",IF(K95&gt;=1,"Completado",IF(K95&gt;0,"En curso","Pendiente")))</f>
        <v/>
      </c>
      <c r="M95" s="62">
        <f>IF(NOT((COUNTA($B95:$J95)+COUNTA($N95))&gt;0),"",IF(N($K95)&gt;=1,"Cumplida",IF(NOT(ISNUMBER($E95)),"Sin fecha límite",IF($E95&lt;FechaRef,"Vencida hace "&amp;(FechaRef-$E95)&amp;IF(FechaRef-$E95=1," día"," días"),IF($E95=FechaRef,"Vence hoy",IF($E95-FechaRef&lt;=DiasAlerta,"Vence en "&amp;($E95-FechaRef)&amp;IF($E95-FechaRef=1," día"," días"),"En plazo"))))))</f>
        <v/>
      </c>
      <c r="N95" s="64" t="n"/>
      <c r="O95" s="69">
        <f>IF(NOT((COUNTA($B95:$J95)+COUNTA($N95))&gt;0),"",IF((IF($C95="","Falta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",""))="","✔ OK","⚠ "&amp;LEFT(IF($C95="","Falta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",""),LEN(IF($C95="","Falta el nombre de la actividad"&amp;" · ","")&amp;IF(AND($S95="Sub",N($R95)=0),"Subactividad sin macroactividad arriba"&amp;" · ","")&amp;IF($D95="","Sin fecha de inicio"&amp;" · ","")&amp;IF($E95="","Sin fecha límite"&amp;" · ","")&amp;IF(OR(AND($D95&lt;&gt;"",NOT(ISNUMBER($D95))),AND($E95&lt;&gt;"",NOT(ISNUMBER($E95)))),"Fecha no válida"&amp;" · ","")&amp;IF(AND(ISNUMBER($D95),ISNUMBER($E95),$D95&gt;$E95),"Inicio posterior a fecha límite"&amp;" · ","")&amp;IF(AND($S95="Macro",$F95=""),"Peso vacío"&amp;" · ","")&amp;IF(AND($S95="Macro",$F95&lt;&gt;"",OR(NOT(ISNUMBER($F95)),$F95&lt;=0,$F95&gt;1)),"Peso fuera de rango"&amp;" · ","")&amp;IF(AND($S95="Sub",$F95&lt;&gt;"",OR(NOT(ISNUMBER($F95)),$F95&lt;0,$F95&gt;1)),"Peso fuera de rango"&amp;" · ","")&amp;IF(AND($S95="Sub",$F95="",IFERROR(N(INDEX($AG$5:$AG$1000,$R95-4)),0)&gt;0),"Falta el peso de la subactividad"&amp;" · ","")&amp;IF(AND(N($T95)&gt;0,N($AG95)&gt;0,ABS(N($AG95)-N($F95))&gt;0.0001),"Pesos de sus subactividades suman "&amp;TEXT(N($AG95),"0%")&amp;" (deben sumar "&amp;TEXT(N($F95),"0%")&amp;")"&amp;" · ","")&amp;IF(AND($S95="Macro",ABS(SUMIFS($F$5:$F$1000,$P$5:$P$1000,$P95,$S$5:$S$1000,"Macro")-1)&gt;0.0001),"Pesos del mes suman "&amp;TEXT(SUMIFS($F$5:$F$1000,$P$5:$P$1000,$P95,$S$5:$S$1000,"Macro"),"0%")&amp;" · ","")&amp;IF(AND(N($T95)&gt;0,COUNT($G95:$J95)&gt;0),"Con subactividades: deje vacías las semanas (se calculan solas)"&amp;" · ","")&amp;IF((COUNTIF($G95:$J95,"&gt;1")+COUNTIF($G95:$J95,"&lt;0")+COUNTA($G95:$J95)-COUNT($G95:$J95))&gt;0,"Avance fuera de rango 0-100%"&amp;" · ","")&amp;IF(OR(AND($H95&lt;&gt;"",$H95&lt;$G95),AND($I95&lt;&gt;"",$I95&lt;MAX($G95:$H95)),AND($J95&lt;&gt;"",$J95&lt;MAX($G95:$I95))),"Avance semanal decreciente"&amp;" · ","")&amp;IF(AND(ISNUMBER($E95),$E95&lt;FechaRef,N($K95)&lt;1),"Vencida"&amp;" · ","")&amp;IF(AND(ObsObligatoria="Sí",ISNUMBER($E95),$E95&lt;FechaRef,N($K95)&lt;1,$N95=""),"Vencida sin observación"&amp;" · ",""))-3)))</f>
        <v/>
      </c>
      <c r="P95" s="70">
        <f>IF(NOT((COUNTA($B95:$J95)+COUNTA($N95))&gt;0),"",IF(AND($S95="Sub",N($R95)&gt;0),IF(ISNUMBER(INDEX($D$5:$D$1000,$R95-4)),DATE(YEAR(INDEX($D$5:$D$1000,$R95-4)),MONTH(INDEX($D$5:$D$1000,$R95-4)),1),IF(ISNUMBER(INDEX($E$5:$E$1000,$R95-4)),DATE(YEAR(INDEX($E$5:$E$1000,$R95-4)),MONTH(INDEX($E$5:$E$1000,$R95-4)),1),MesCiclo)),IF(ISNUMBER($D95),DATE(YEAR($D95),MONTH($D95),1),IF(ISNUMBER($E95),DATE(YEAR($E95),MONTH($E95),1),MesCiclo))))</f>
        <v/>
      </c>
      <c r="Q95" s="71">
        <f>IF(OR($P95="",$P95&lt;&gt;MesCiclo),"",COUNTIF($P$5:$P95,MesCiclo))</f>
        <v/>
      </c>
      <c r="R95" s="71">
        <f>IF($S95="","",IF($S95="Macro",ROW(),IFERROR(LOOKUP(2,1/($S$5:$S95="Macro"),ROW($S$5:$S95)),0)))</f>
        <v/>
      </c>
      <c r="S95" s="71">
        <f>IF(NOT((COUNTA($B95:$J95)+COUNTA($N95))&gt;0),"",IF($B95="Subactividad","Sub","Macro"))</f>
        <v/>
      </c>
      <c r="T95" s="71">
        <f>IF($S95="Macro",COUNTIFS($R$5:$R$1000,ROW(),$S$5:$S$1000,"Sub"),"")</f>
        <v/>
      </c>
      <c r="U95" s="71">
        <f>IF($S95="","",IF(ISNUMBER($G95),$G95,0))</f>
        <v/>
      </c>
      <c r="V95" s="71">
        <f>IF($S95="","",IF(ISNUMBER($H95),$H95,$U95))</f>
        <v/>
      </c>
      <c r="W95" s="71">
        <f>IF($S95="","",IF(ISNUMBER($I95),$I95,$V95))</f>
        <v/>
      </c>
      <c r="X95" s="71">
        <f>IF($S95="","",IF(ISNUMBER($J95),$J95,$W95))</f>
        <v/>
      </c>
      <c r="Y95" s="71">
        <f>IF($S95="","",IF(N($T95)&gt;0,IF(N($AG95)&gt;0,SUMIFS($AC$5:$AC$1000,$R$5:$R$1000,ROW(),$S$5:$S$1000,"Sub")/$AG95,AVERAGEIFS($U$5:$U$1000,$R$5:$R$1000,ROW(),$S$5:$S$1000,"Sub")),$U95))</f>
        <v/>
      </c>
      <c r="Z95" s="71">
        <f>IF($S95="","",IF(N($T95)&gt;0,IF(N($AG95)&gt;0,SUMIFS($AD$5:$AD$1000,$R$5:$R$1000,ROW(),$S$5:$S$1000,"Sub")/$AG95,AVERAGEIFS($V$5:$V$1000,$R$5:$R$1000,ROW(),$S$5:$S$1000,"Sub")),$V95))</f>
        <v/>
      </c>
      <c r="AA95" s="71">
        <f>IF($S95="","",IF(N($T95)&gt;0,IF(N($AG95)&gt;0,SUMIFS($AE$5:$AE$1000,$R$5:$R$1000,ROW(),$S$5:$S$1000,"Sub")/$AG95,AVERAGEIFS($W$5:$W$1000,$R$5:$R$1000,ROW(),$S$5:$S$1000,"Sub")),$W95))</f>
        <v/>
      </c>
      <c r="AB95" s="71">
        <f>IF($S95="","",IF(N($T95)&gt;0,IF(N($AG95)&gt;0,SUMIFS($AF$5:$AF$1000,$R$5:$R$1000,ROW(),$S$5:$S$1000,"Sub")/$AG95,AVERAGEIFS($X$5:$X$1000,$R$5:$R$1000,ROW(),$S$5:$S$1000,"Sub")),$X95))</f>
        <v/>
      </c>
      <c r="AC95" s="71">
        <f>IF($S95="Sub",N($F95)*N($U95),"")</f>
        <v/>
      </c>
      <c r="AD95" s="71">
        <f>IF($S95="Sub",N($F95)*N($V95),"")</f>
        <v/>
      </c>
      <c r="AE95" s="71">
        <f>IF($S95="Sub",N($F95)*N($W95),"")</f>
        <v/>
      </c>
      <c r="AF95" s="71">
        <f>IF($S95="Sub",N($F95)*N($X95),"")</f>
        <v/>
      </c>
      <c r="AG95" s="71">
        <f>IF(N($T95)&gt;0,SUMIFS($F$5:$F$1000,$R$5:$R$1000,ROW(),$S$5:$S$1000,"Sub"),"")</f>
        <v/>
      </c>
    </row>
    <row r="96">
      <c r="A96" s="62">
        <f>IF(NOT((COUNTA($B96:$J96)+COUNTA($N96))&gt;0),"",IF($S96="Macro",COUNTIFS($S$5:$S96,"Macro",$P$5:$P96,$P96),IF(N($R96)=0,"?",COUNTIFS(INDEX($S$5:$S$1000,1):INDEX($S$5:$S$1000,$R96-4),"Macro",INDEX($P$5:$P$1000,1):INDEX($P$5:$P$1000,$R96-4),INDEX($P$5:$P$1000,$R96-4))&amp;"."&amp;COUNTIFS($R$5:$R96,$R96,$S$5:$S96,"Sub"))))</f>
        <v/>
      </c>
      <c r="B96" s="63" t="n"/>
      <c r="C96" s="64" t="n"/>
      <c r="D96" s="65" t="n"/>
      <c r="E96" s="65" t="n"/>
      <c r="F96" s="66" t="n"/>
      <c r="G96" s="67" t="n"/>
      <c r="H96" s="67" t="n"/>
      <c r="I96" s="67" t="n"/>
      <c r="J96" s="67" t="n"/>
      <c r="K96" s="68">
        <f>IF(NOT((COUNTA($B96:$J96)+COUNTA($N96))&gt;0),"",IF(N($T96)&gt;0,$AB96,IFERROR(LOOKUP(2,1/(G96:J96&lt;&gt;""),G96:J96),0)))</f>
        <v/>
      </c>
      <c r="L96" s="62">
        <f>IF(K96="","",IF(K96&gt;=1,"Completado",IF(K96&gt;0,"En curso","Pendiente")))</f>
        <v/>
      </c>
      <c r="M96" s="62">
        <f>IF(NOT((COUNTA($B96:$J96)+COUNTA($N96))&gt;0),"",IF(N($K96)&gt;=1,"Cumplida",IF(NOT(ISNUMBER($E96)),"Sin fecha límite",IF($E96&lt;FechaRef,"Vencida hace "&amp;(FechaRef-$E96)&amp;IF(FechaRef-$E96=1," día"," días"),IF($E96=FechaRef,"Vence hoy",IF($E96-FechaRef&lt;=DiasAlerta,"Vence en "&amp;($E96-FechaRef)&amp;IF($E96-FechaRef=1," día"," días"),"En plazo"))))))</f>
        <v/>
      </c>
      <c r="N96" s="64" t="n"/>
      <c r="O96" s="69">
        <f>IF(NOT((COUNTA($B96:$J96)+COUNTA($N96))&gt;0),"",IF((IF($C96="","Falta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",""))="","✔ OK","⚠ "&amp;LEFT(IF($C96="","Falta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",""),LEN(IF($C96="","Falta el nombre de la actividad"&amp;" · ","")&amp;IF(AND($S96="Sub",N($R96)=0),"Subactividad sin macroactividad arriba"&amp;" · ","")&amp;IF($D96="","Sin fecha de inicio"&amp;" · ","")&amp;IF($E96="","Sin fecha límite"&amp;" · ","")&amp;IF(OR(AND($D96&lt;&gt;"",NOT(ISNUMBER($D96))),AND($E96&lt;&gt;"",NOT(ISNUMBER($E96)))),"Fecha no válida"&amp;" · ","")&amp;IF(AND(ISNUMBER($D96),ISNUMBER($E96),$D96&gt;$E96),"Inicio posterior a fecha límite"&amp;" · ","")&amp;IF(AND($S96="Macro",$F96=""),"Peso vacío"&amp;" · ","")&amp;IF(AND($S96="Macro",$F96&lt;&gt;"",OR(NOT(ISNUMBER($F96)),$F96&lt;=0,$F96&gt;1)),"Peso fuera de rango"&amp;" · ","")&amp;IF(AND($S96="Sub",$F96&lt;&gt;"",OR(NOT(ISNUMBER($F96)),$F96&lt;0,$F96&gt;1)),"Peso fuera de rango"&amp;" · ","")&amp;IF(AND($S96="Sub",$F96="",IFERROR(N(INDEX($AG$5:$AG$1000,$R96-4)),0)&gt;0),"Falta el peso de la subactividad"&amp;" · ","")&amp;IF(AND(N($T96)&gt;0,N($AG96)&gt;0,ABS(N($AG96)-N($F96))&gt;0.0001),"Pesos de sus subactividades suman "&amp;TEXT(N($AG96),"0%")&amp;" (deben sumar "&amp;TEXT(N($F96),"0%")&amp;")"&amp;" · ","")&amp;IF(AND($S96="Macro",ABS(SUMIFS($F$5:$F$1000,$P$5:$P$1000,$P96,$S$5:$S$1000,"Macro")-1)&gt;0.0001),"Pesos del mes suman "&amp;TEXT(SUMIFS($F$5:$F$1000,$P$5:$P$1000,$P96,$S$5:$S$1000,"Macro"),"0%")&amp;" · ","")&amp;IF(AND(N($T96)&gt;0,COUNT($G96:$J96)&gt;0),"Con subactividades: deje vacías las semanas (se calculan solas)"&amp;" · ","")&amp;IF((COUNTIF($G96:$J96,"&gt;1")+COUNTIF($G96:$J96,"&lt;0")+COUNTA($G96:$J96)-COUNT($G96:$J96))&gt;0,"Avance fuera de rango 0-100%"&amp;" · ","")&amp;IF(OR(AND($H96&lt;&gt;"",$H96&lt;$G96),AND($I96&lt;&gt;"",$I96&lt;MAX($G96:$H96)),AND($J96&lt;&gt;"",$J96&lt;MAX($G96:$I96))),"Avance semanal decreciente"&amp;" · ","")&amp;IF(AND(ISNUMBER($E96),$E96&lt;FechaRef,N($K96)&lt;1),"Vencida"&amp;" · ","")&amp;IF(AND(ObsObligatoria="Sí",ISNUMBER($E96),$E96&lt;FechaRef,N($K96)&lt;1,$N96=""),"Vencida sin observación"&amp;" · ",""))-3)))</f>
        <v/>
      </c>
      <c r="P96" s="70">
        <f>IF(NOT((COUNTA($B96:$J96)+COUNTA($N96))&gt;0),"",IF(AND($S96="Sub",N($R96)&gt;0),IF(ISNUMBER(INDEX($D$5:$D$1000,$R96-4)),DATE(YEAR(INDEX($D$5:$D$1000,$R96-4)),MONTH(INDEX($D$5:$D$1000,$R96-4)),1),IF(ISNUMBER(INDEX($E$5:$E$1000,$R96-4)),DATE(YEAR(INDEX($E$5:$E$1000,$R96-4)),MONTH(INDEX($E$5:$E$1000,$R96-4)),1),MesCiclo)),IF(ISNUMBER($D96),DATE(YEAR($D96),MONTH($D96),1),IF(ISNUMBER($E96),DATE(YEAR($E96),MONTH($E96),1),MesCiclo))))</f>
        <v/>
      </c>
      <c r="Q96" s="71">
        <f>IF(OR($P96="",$P96&lt;&gt;MesCiclo),"",COUNTIF($P$5:$P96,MesCiclo))</f>
        <v/>
      </c>
      <c r="R96" s="71">
        <f>IF($S96="","",IF($S96="Macro",ROW(),IFERROR(LOOKUP(2,1/($S$5:$S96="Macro"),ROW($S$5:$S96)),0)))</f>
        <v/>
      </c>
      <c r="S96" s="71">
        <f>IF(NOT((COUNTA($B96:$J96)+COUNTA($N96))&gt;0),"",IF($B96="Subactividad","Sub","Macro"))</f>
        <v/>
      </c>
      <c r="T96" s="71">
        <f>IF($S96="Macro",COUNTIFS($R$5:$R$1000,ROW(),$S$5:$S$1000,"Sub"),"")</f>
        <v/>
      </c>
      <c r="U96" s="71">
        <f>IF($S96="","",IF(ISNUMBER($G96),$G96,0))</f>
        <v/>
      </c>
      <c r="V96" s="71">
        <f>IF($S96="","",IF(ISNUMBER($H96),$H96,$U96))</f>
        <v/>
      </c>
      <c r="W96" s="71">
        <f>IF($S96="","",IF(ISNUMBER($I96),$I96,$V96))</f>
        <v/>
      </c>
      <c r="X96" s="71">
        <f>IF($S96="","",IF(ISNUMBER($J96),$J96,$W96))</f>
        <v/>
      </c>
      <c r="Y96" s="71">
        <f>IF($S96="","",IF(N($T96)&gt;0,IF(N($AG96)&gt;0,SUMIFS($AC$5:$AC$1000,$R$5:$R$1000,ROW(),$S$5:$S$1000,"Sub")/$AG96,AVERAGEIFS($U$5:$U$1000,$R$5:$R$1000,ROW(),$S$5:$S$1000,"Sub")),$U96))</f>
        <v/>
      </c>
      <c r="Z96" s="71">
        <f>IF($S96="","",IF(N($T96)&gt;0,IF(N($AG96)&gt;0,SUMIFS($AD$5:$AD$1000,$R$5:$R$1000,ROW(),$S$5:$S$1000,"Sub")/$AG96,AVERAGEIFS($V$5:$V$1000,$R$5:$R$1000,ROW(),$S$5:$S$1000,"Sub")),$V96))</f>
        <v/>
      </c>
      <c r="AA96" s="71">
        <f>IF($S96="","",IF(N($T96)&gt;0,IF(N($AG96)&gt;0,SUMIFS($AE$5:$AE$1000,$R$5:$R$1000,ROW(),$S$5:$S$1000,"Sub")/$AG96,AVERAGEIFS($W$5:$W$1000,$R$5:$R$1000,ROW(),$S$5:$S$1000,"Sub")),$W96))</f>
        <v/>
      </c>
      <c r="AB96" s="71">
        <f>IF($S96="","",IF(N($T96)&gt;0,IF(N($AG96)&gt;0,SUMIFS($AF$5:$AF$1000,$R$5:$R$1000,ROW(),$S$5:$S$1000,"Sub")/$AG96,AVERAGEIFS($X$5:$X$1000,$R$5:$R$1000,ROW(),$S$5:$S$1000,"Sub")),$X96))</f>
        <v/>
      </c>
      <c r="AC96" s="71">
        <f>IF($S96="Sub",N($F96)*N($U96),"")</f>
        <v/>
      </c>
      <c r="AD96" s="71">
        <f>IF($S96="Sub",N($F96)*N($V96),"")</f>
        <v/>
      </c>
      <c r="AE96" s="71">
        <f>IF($S96="Sub",N($F96)*N($W96),"")</f>
        <v/>
      </c>
      <c r="AF96" s="71">
        <f>IF($S96="Sub",N($F96)*N($X96),"")</f>
        <v/>
      </c>
      <c r="AG96" s="71">
        <f>IF(N($T96)&gt;0,SUMIFS($F$5:$F$1000,$R$5:$R$1000,ROW(),$S$5:$S$1000,"Sub"),"")</f>
        <v/>
      </c>
    </row>
    <row r="97">
      <c r="A97" s="62">
        <f>IF(NOT((COUNTA($B97:$J97)+COUNTA($N97))&gt;0),"",IF($S97="Macro",COUNTIFS($S$5:$S97,"Macro",$P$5:$P97,$P97),IF(N($R97)=0,"?",COUNTIFS(INDEX($S$5:$S$1000,1):INDEX($S$5:$S$1000,$R97-4),"Macro",INDEX($P$5:$P$1000,1):INDEX($P$5:$P$1000,$R97-4),INDEX($P$5:$P$1000,$R97-4))&amp;"."&amp;COUNTIFS($R$5:$R97,$R97,$S$5:$S97,"Sub"))))</f>
        <v/>
      </c>
      <c r="B97" s="63" t="n"/>
      <c r="C97" s="64" t="n"/>
      <c r="D97" s="65" t="n"/>
      <c r="E97" s="65" t="n"/>
      <c r="F97" s="66" t="n"/>
      <c r="G97" s="67" t="n"/>
      <c r="H97" s="67" t="n"/>
      <c r="I97" s="67" t="n"/>
      <c r="J97" s="67" t="n"/>
      <c r="K97" s="68">
        <f>IF(NOT((COUNTA($B97:$J97)+COUNTA($N97))&gt;0),"",IF(N($T97)&gt;0,$AB97,IFERROR(LOOKUP(2,1/(G97:J97&lt;&gt;""),G97:J97),0)))</f>
        <v/>
      </c>
      <c r="L97" s="62">
        <f>IF(K97="","",IF(K97&gt;=1,"Completado",IF(K97&gt;0,"En curso","Pendiente")))</f>
        <v/>
      </c>
      <c r="M97" s="62">
        <f>IF(NOT((COUNTA($B97:$J97)+COUNTA($N97))&gt;0),"",IF(N($K97)&gt;=1,"Cumplida",IF(NOT(ISNUMBER($E97)),"Sin fecha límite",IF($E97&lt;FechaRef,"Vencida hace "&amp;(FechaRef-$E97)&amp;IF(FechaRef-$E97=1," día"," días"),IF($E97=FechaRef,"Vence hoy",IF($E97-FechaRef&lt;=DiasAlerta,"Vence en "&amp;($E97-FechaRef)&amp;IF($E97-FechaRef=1," día"," días"),"En plazo"))))))</f>
        <v/>
      </c>
      <c r="N97" s="64" t="n"/>
      <c r="O97" s="69">
        <f>IF(NOT((COUNTA($B97:$J97)+COUNTA($N97))&gt;0),"",IF((IF($C97="","Falta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",""))="","✔ OK","⚠ "&amp;LEFT(IF($C97="","Falta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",""),LEN(IF($C97="","Falta el nombre de la actividad"&amp;" · ","")&amp;IF(AND($S97="Sub",N($R97)=0),"Subactividad sin macroactividad arriba"&amp;" · ","")&amp;IF($D97="","Sin fecha de inicio"&amp;" · ","")&amp;IF($E97="","Sin fecha límite"&amp;" · ","")&amp;IF(OR(AND($D97&lt;&gt;"",NOT(ISNUMBER($D97))),AND($E97&lt;&gt;"",NOT(ISNUMBER($E97)))),"Fecha no válida"&amp;" · ","")&amp;IF(AND(ISNUMBER($D97),ISNUMBER($E97),$D97&gt;$E97),"Inicio posterior a fecha límite"&amp;" · ","")&amp;IF(AND($S97="Macro",$F97=""),"Peso vacío"&amp;" · ","")&amp;IF(AND($S97="Macro",$F97&lt;&gt;"",OR(NOT(ISNUMBER($F97)),$F97&lt;=0,$F97&gt;1)),"Peso fuera de rango"&amp;" · ","")&amp;IF(AND($S97="Sub",$F97&lt;&gt;"",OR(NOT(ISNUMBER($F97)),$F97&lt;0,$F97&gt;1)),"Peso fuera de rango"&amp;" · ","")&amp;IF(AND($S97="Sub",$F97="",IFERROR(N(INDEX($AG$5:$AG$1000,$R97-4)),0)&gt;0),"Falta el peso de la subactividad"&amp;" · ","")&amp;IF(AND(N($T97)&gt;0,N($AG97)&gt;0,ABS(N($AG97)-N($F97))&gt;0.0001),"Pesos de sus subactividades suman "&amp;TEXT(N($AG97),"0%")&amp;" (deben sumar "&amp;TEXT(N($F97),"0%")&amp;")"&amp;" · ","")&amp;IF(AND($S97="Macro",ABS(SUMIFS($F$5:$F$1000,$P$5:$P$1000,$P97,$S$5:$S$1000,"Macro")-1)&gt;0.0001),"Pesos del mes suman "&amp;TEXT(SUMIFS($F$5:$F$1000,$P$5:$P$1000,$P97,$S$5:$S$1000,"Macro"),"0%")&amp;" · ","")&amp;IF(AND(N($T97)&gt;0,COUNT($G97:$J97)&gt;0),"Con subactividades: deje vacías las semanas (se calculan solas)"&amp;" · ","")&amp;IF((COUNTIF($G97:$J97,"&gt;1")+COUNTIF($G97:$J97,"&lt;0")+COUNTA($G97:$J97)-COUNT($G97:$J97))&gt;0,"Avance fuera de rango 0-100%"&amp;" · ","")&amp;IF(OR(AND($H97&lt;&gt;"",$H97&lt;$G97),AND($I97&lt;&gt;"",$I97&lt;MAX($G97:$H97)),AND($J97&lt;&gt;"",$J97&lt;MAX($G97:$I97))),"Avance semanal decreciente"&amp;" · ","")&amp;IF(AND(ISNUMBER($E97),$E97&lt;FechaRef,N($K97)&lt;1),"Vencida"&amp;" · ","")&amp;IF(AND(ObsObligatoria="Sí",ISNUMBER($E97),$E97&lt;FechaRef,N($K97)&lt;1,$N97=""),"Vencida sin observación"&amp;" · ",""))-3)))</f>
        <v/>
      </c>
      <c r="P97" s="70">
        <f>IF(NOT((COUNTA($B97:$J97)+COUNTA($N97))&gt;0),"",IF(AND($S97="Sub",N($R97)&gt;0),IF(ISNUMBER(INDEX($D$5:$D$1000,$R97-4)),DATE(YEAR(INDEX($D$5:$D$1000,$R97-4)),MONTH(INDEX($D$5:$D$1000,$R97-4)),1),IF(ISNUMBER(INDEX($E$5:$E$1000,$R97-4)),DATE(YEAR(INDEX($E$5:$E$1000,$R97-4)),MONTH(INDEX($E$5:$E$1000,$R97-4)),1),MesCiclo)),IF(ISNUMBER($D97),DATE(YEAR($D97),MONTH($D97),1),IF(ISNUMBER($E97),DATE(YEAR($E97),MONTH($E97),1),MesCiclo))))</f>
        <v/>
      </c>
      <c r="Q97" s="71">
        <f>IF(OR($P97="",$P97&lt;&gt;MesCiclo),"",COUNTIF($P$5:$P97,MesCiclo))</f>
        <v/>
      </c>
      <c r="R97" s="71">
        <f>IF($S97="","",IF($S97="Macro",ROW(),IFERROR(LOOKUP(2,1/($S$5:$S97="Macro"),ROW($S$5:$S97)),0)))</f>
        <v/>
      </c>
      <c r="S97" s="71">
        <f>IF(NOT((COUNTA($B97:$J97)+COUNTA($N97))&gt;0),"",IF($B97="Subactividad","Sub","Macro"))</f>
        <v/>
      </c>
      <c r="T97" s="71">
        <f>IF($S97="Macro",COUNTIFS($R$5:$R$1000,ROW(),$S$5:$S$1000,"Sub"),"")</f>
        <v/>
      </c>
      <c r="U97" s="71">
        <f>IF($S97="","",IF(ISNUMBER($G97),$G97,0))</f>
        <v/>
      </c>
      <c r="V97" s="71">
        <f>IF($S97="","",IF(ISNUMBER($H97),$H97,$U97))</f>
        <v/>
      </c>
      <c r="W97" s="71">
        <f>IF($S97="","",IF(ISNUMBER($I97),$I97,$V97))</f>
        <v/>
      </c>
      <c r="X97" s="71">
        <f>IF($S97="","",IF(ISNUMBER($J97),$J97,$W97))</f>
        <v/>
      </c>
      <c r="Y97" s="71">
        <f>IF($S97="","",IF(N($T97)&gt;0,IF(N($AG97)&gt;0,SUMIFS($AC$5:$AC$1000,$R$5:$R$1000,ROW(),$S$5:$S$1000,"Sub")/$AG97,AVERAGEIFS($U$5:$U$1000,$R$5:$R$1000,ROW(),$S$5:$S$1000,"Sub")),$U97))</f>
        <v/>
      </c>
      <c r="Z97" s="71">
        <f>IF($S97="","",IF(N($T97)&gt;0,IF(N($AG97)&gt;0,SUMIFS($AD$5:$AD$1000,$R$5:$R$1000,ROW(),$S$5:$S$1000,"Sub")/$AG97,AVERAGEIFS($V$5:$V$1000,$R$5:$R$1000,ROW(),$S$5:$S$1000,"Sub")),$V97))</f>
        <v/>
      </c>
      <c r="AA97" s="71">
        <f>IF($S97="","",IF(N($T97)&gt;0,IF(N($AG97)&gt;0,SUMIFS($AE$5:$AE$1000,$R$5:$R$1000,ROW(),$S$5:$S$1000,"Sub")/$AG97,AVERAGEIFS($W$5:$W$1000,$R$5:$R$1000,ROW(),$S$5:$S$1000,"Sub")),$W97))</f>
        <v/>
      </c>
      <c r="AB97" s="71">
        <f>IF($S97="","",IF(N($T97)&gt;0,IF(N($AG97)&gt;0,SUMIFS($AF$5:$AF$1000,$R$5:$R$1000,ROW(),$S$5:$S$1000,"Sub")/$AG97,AVERAGEIFS($X$5:$X$1000,$R$5:$R$1000,ROW(),$S$5:$S$1000,"Sub")),$X97))</f>
        <v/>
      </c>
      <c r="AC97" s="71">
        <f>IF($S97="Sub",N($F97)*N($U97),"")</f>
        <v/>
      </c>
      <c r="AD97" s="71">
        <f>IF($S97="Sub",N($F97)*N($V97),"")</f>
        <v/>
      </c>
      <c r="AE97" s="71">
        <f>IF($S97="Sub",N($F97)*N($W97),"")</f>
        <v/>
      </c>
      <c r="AF97" s="71">
        <f>IF($S97="Sub",N($F97)*N($X97),"")</f>
        <v/>
      </c>
      <c r="AG97" s="71">
        <f>IF(N($T97)&gt;0,SUMIFS($F$5:$F$1000,$R$5:$R$1000,ROW(),$S$5:$S$1000,"Sub"),"")</f>
        <v/>
      </c>
    </row>
    <row r="98">
      <c r="A98" s="62">
        <f>IF(NOT((COUNTA($B98:$J98)+COUNTA($N98))&gt;0),"",IF($S98="Macro",COUNTIFS($S$5:$S98,"Macro",$P$5:$P98,$P98),IF(N($R98)=0,"?",COUNTIFS(INDEX($S$5:$S$1000,1):INDEX($S$5:$S$1000,$R98-4),"Macro",INDEX($P$5:$P$1000,1):INDEX($P$5:$P$1000,$R98-4),INDEX($P$5:$P$1000,$R98-4))&amp;"."&amp;COUNTIFS($R$5:$R98,$R98,$S$5:$S98,"Sub"))))</f>
        <v/>
      </c>
      <c r="B98" s="63" t="n"/>
      <c r="C98" s="64" t="n"/>
      <c r="D98" s="65" t="n"/>
      <c r="E98" s="65" t="n"/>
      <c r="F98" s="66" t="n"/>
      <c r="G98" s="67" t="n"/>
      <c r="H98" s="67" t="n"/>
      <c r="I98" s="67" t="n"/>
      <c r="J98" s="67" t="n"/>
      <c r="K98" s="68">
        <f>IF(NOT((COUNTA($B98:$J98)+COUNTA($N98))&gt;0),"",IF(N($T98)&gt;0,$AB98,IFERROR(LOOKUP(2,1/(G98:J98&lt;&gt;""),G98:J98),0)))</f>
        <v/>
      </c>
      <c r="L98" s="62">
        <f>IF(K98="","",IF(K98&gt;=1,"Completado",IF(K98&gt;0,"En curso","Pendiente")))</f>
        <v/>
      </c>
      <c r="M98" s="62">
        <f>IF(NOT((COUNTA($B98:$J98)+COUNTA($N98))&gt;0),"",IF(N($K98)&gt;=1,"Cumplida",IF(NOT(ISNUMBER($E98)),"Sin fecha límite",IF($E98&lt;FechaRef,"Vencida hace "&amp;(FechaRef-$E98)&amp;IF(FechaRef-$E98=1," día"," días"),IF($E98=FechaRef,"Vence hoy",IF($E98-FechaRef&lt;=DiasAlerta,"Vence en "&amp;($E98-FechaRef)&amp;IF($E98-FechaRef=1," día"," días"),"En plazo"))))))</f>
        <v/>
      </c>
      <c r="N98" s="64" t="n"/>
      <c r="O98" s="69">
        <f>IF(NOT((COUNTA($B98:$J98)+COUNTA($N98))&gt;0),"",IF((IF($C98="","Falta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",""))="","✔ OK","⚠ "&amp;LEFT(IF($C98="","Falta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",""),LEN(IF($C98="","Falta el nombre de la actividad"&amp;" · ","")&amp;IF(AND($S98="Sub",N($R98)=0),"Subactividad sin macroactividad arriba"&amp;" · ","")&amp;IF($D98="","Sin fecha de inicio"&amp;" · ","")&amp;IF($E98="","Sin fecha límite"&amp;" · ","")&amp;IF(OR(AND($D98&lt;&gt;"",NOT(ISNUMBER($D98))),AND($E98&lt;&gt;"",NOT(ISNUMBER($E98)))),"Fecha no válida"&amp;" · ","")&amp;IF(AND(ISNUMBER($D98),ISNUMBER($E98),$D98&gt;$E98),"Inicio posterior a fecha límite"&amp;" · ","")&amp;IF(AND($S98="Macro",$F98=""),"Peso vacío"&amp;" · ","")&amp;IF(AND($S98="Macro",$F98&lt;&gt;"",OR(NOT(ISNUMBER($F98)),$F98&lt;=0,$F98&gt;1)),"Peso fuera de rango"&amp;" · ","")&amp;IF(AND($S98="Sub",$F98&lt;&gt;"",OR(NOT(ISNUMBER($F98)),$F98&lt;0,$F98&gt;1)),"Peso fuera de rango"&amp;" · ","")&amp;IF(AND($S98="Sub",$F98="",IFERROR(N(INDEX($AG$5:$AG$1000,$R98-4)),0)&gt;0),"Falta el peso de la subactividad"&amp;" · ","")&amp;IF(AND(N($T98)&gt;0,N($AG98)&gt;0,ABS(N($AG98)-N($F98))&gt;0.0001),"Pesos de sus subactividades suman "&amp;TEXT(N($AG98),"0%")&amp;" (deben sumar "&amp;TEXT(N($F98),"0%")&amp;")"&amp;" · ","")&amp;IF(AND($S98="Macro",ABS(SUMIFS($F$5:$F$1000,$P$5:$P$1000,$P98,$S$5:$S$1000,"Macro")-1)&gt;0.0001),"Pesos del mes suman "&amp;TEXT(SUMIFS($F$5:$F$1000,$P$5:$P$1000,$P98,$S$5:$S$1000,"Macro"),"0%")&amp;" · ","")&amp;IF(AND(N($T98)&gt;0,COUNT($G98:$J98)&gt;0),"Con subactividades: deje vacías las semanas (se calculan solas)"&amp;" · ","")&amp;IF((COUNTIF($G98:$J98,"&gt;1")+COUNTIF($G98:$J98,"&lt;0")+COUNTA($G98:$J98)-COUNT($G98:$J98))&gt;0,"Avance fuera de rango 0-100%"&amp;" · ","")&amp;IF(OR(AND($H98&lt;&gt;"",$H98&lt;$G98),AND($I98&lt;&gt;"",$I98&lt;MAX($G98:$H98)),AND($J98&lt;&gt;"",$J98&lt;MAX($G98:$I98))),"Avance semanal decreciente"&amp;" · ","")&amp;IF(AND(ISNUMBER($E98),$E98&lt;FechaRef,N($K98)&lt;1),"Vencida"&amp;" · ","")&amp;IF(AND(ObsObligatoria="Sí",ISNUMBER($E98),$E98&lt;FechaRef,N($K98)&lt;1,$N98=""),"Vencida sin observación"&amp;" · ",""))-3)))</f>
        <v/>
      </c>
      <c r="P98" s="70">
        <f>IF(NOT((COUNTA($B98:$J98)+COUNTA($N98))&gt;0),"",IF(AND($S98="Sub",N($R98)&gt;0),IF(ISNUMBER(INDEX($D$5:$D$1000,$R98-4)),DATE(YEAR(INDEX($D$5:$D$1000,$R98-4)),MONTH(INDEX($D$5:$D$1000,$R98-4)),1),IF(ISNUMBER(INDEX($E$5:$E$1000,$R98-4)),DATE(YEAR(INDEX($E$5:$E$1000,$R98-4)),MONTH(INDEX($E$5:$E$1000,$R98-4)),1),MesCiclo)),IF(ISNUMBER($D98),DATE(YEAR($D98),MONTH($D98),1),IF(ISNUMBER($E98),DATE(YEAR($E98),MONTH($E98),1),MesCiclo))))</f>
        <v/>
      </c>
      <c r="Q98" s="71">
        <f>IF(OR($P98="",$P98&lt;&gt;MesCiclo),"",COUNTIF($P$5:$P98,MesCiclo))</f>
        <v/>
      </c>
      <c r="R98" s="71">
        <f>IF($S98="","",IF($S98="Macro",ROW(),IFERROR(LOOKUP(2,1/($S$5:$S98="Macro"),ROW($S$5:$S98)),0)))</f>
        <v/>
      </c>
      <c r="S98" s="71">
        <f>IF(NOT((COUNTA($B98:$J98)+COUNTA($N98))&gt;0),"",IF($B98="Subactividad","Sub","Macro"))</f>
        <v/>
      </c>
      <c r="T98" s="71">
        <f>IF($S98="Macro",COUNTIFS($R$5:$R$1000,ROW(),$S$5:$S$1000,"Sub"),"")</f>
        <v/>
      </c>
      <c r="U98" s="71">
        <f>IF($S98="","",IF(ISNUMBER($G98),$G98,0))</f>
        <v/>
      </c>
      <c r="V98" s="71">
        <f>IF($S98="","",IF(ISNUMBER($H98),$H98,$U98))</f>
        <v/>
      </c>
      <c r="W98" s="71">
        <f>IF($S98="","",IF(ISNUMBER($I98),$I98,$V98))</f>
        <v/>
      </c>
      <c r="X98" s="71">
        <f>IF($S98="","",IF(ISNUMBER($J98),$J98,$W98))</f>
        <v/>
      </c>
      <c r="Y98" s="71">
        <f>IF($S98="","",IF(N($T98)&gt;0,IF(N($AG98)&gt;0,SUMIFS($AC$5:$AC$1000,$R$5:$R$1000,ROW(),$S$5:$S$1000,"Sub")/$AG98,AVERAGEIFS($U$5:$U$1000,$R$5:$R$1000,ROW(),$S$5:$S$1000,"Sub")),$U98))</f>
        <v/>
      </c>
      <c r="Z98" s="71">
        <f>IF($S98="","",IF(N($T98)&gt;0,IF(N($AG98)&gt;0,SUMIFS($AD$5:$AD$1000,$R$5:$R$1000,ROW(),$S$5:$S$1000,"Sub")/$AG98,AVERAGEIFS($V$5:$V$1000,$R$5:$R$1000,ROW(),$S$5:$S$1000,"Sub")),$V98))</f>
        <v/>
      </c>
      <c r="AA98" s="71">
        <f>IF($S98="","",IF(N($T98)&gt;0,IF(N($AG98)&gt;0,SUMIFS($AE$5:$AE$1000,$R$5:$R$1000,ROW(),$S$5:$S$1000,"Sub")/$AG98,AVERAGEIFS($W$5:$W$1000,$R$5:$R$1000,ROW(),$S$5:$S$1000,"Sub")),$W98))</f>
        <v/>
      </c>
      <c r="AB98" s="71">
        <f>IF($S98="","",IF(N($T98)&gt;0,IF(N($AG98)&gt;0,SUMIFS($AF$5:$AF$1000,$R$5:$R$1000,ROW(),$S$5:$S$1000,"Sub")/$AG98,AVERAGEIFS($X$5:$X$1000,$R$5:$R$1000,ROW(),$S$5:$S$1000,"Sub")),$X98))</f>
        <v/>
      </c>
      <c r="AC98" s="71">
        <f>IF($S98="Sub",N($F98)*N($U98),"")</f>
        <v/>
      </c>
      <c r="AD98" s="71">
        <f>IF($S98="Sub",N($F98)*N($V98),"")</f>
        <v/>
      </c>
      <c r="AE98" s="71">
        <f>IF($S98="Sub",N($F98)*N($W98),"")</f>
        <v/>
      </c>
      <c r="AF98" s="71">
        <f>IF($S98="Sub",N($F98)*N($X98),"")</f>
        <v/>
      </c>
      <c r="AG98" s="71">
        <f>IF(N($T98)&gt;0,SUMIFS($F$5:$F$1000,$R$5:$R$1000,ROW(),$S$5:$S$1000,"Sub"),"")</f>
        <v/>
      </c>
    </row>
    <row r="99">
      <c r="A99" s="62">
        <f>IF(NOT((COUNTA($B99:$J99)+COUNTA($N99))&gt;0),"",IF($S99="Macro",COUNTIFS($S$5:$S99,"Macro",$P$5:$P99,$P99),IF(N($R99)=0,"?",COUNTIFS(INDEX($S$5:$S$1000,1):INDEX($S$5:$S$1000,$R99-4),"Macro",INDEX($P$5:$P$1000,1):INDEX($P$5:$P$1000,$R99-4),INDEX($P$5:$P$1000,$R99-4))&amp;"."&amp;COUNTIFS($R$5:$R99,$R99,$S$5:$S99,"Sub"))))</f>
        <v/>
      </c>
      <c r="B99" s="63" t="n"/>
      <c r="C99" s="64" t="n"/>
      <c r="D99" s="65" t="n"/>
      <c r="E99" s="65" t="n"/>
      <c r="F99" s="66" t="n"/>
      <c r="G99" s="67" t="n"/>
      <c r="H99" s="67" t="n"/>
      <c r="I99" s="67" t="n"/>
      <c r="J99" s="67" t="n"/>
      <c r="K99" s="68">
        <f>IF(NOT((COUNTA($B99:$J99)+COUNTA($N99))&gt;0),"",IF(N($T99)&gt;0,$AB99,IFERROR(LOOKUP(2,1/(G99:J99&lt;&gt;""),G99:J99),0)))</f>
        <v/>
      </c>
      <c r="L99" s="62">
        <f>IF(K99="","",IF(K99&gt;=1,"Completado",IF(K99&gt;0,"En curso","Pendiente")))</f>
        <v/>
      </c>
      <c r="M99" s="62">
        <f>IF(NOT((COUNTA($B99:$J99)+COUNTA($N99))&gt;0),"",IF(N($K99)&gt;=1,"Cumplida",IF(NOT(ISNUMBER($E99)),"Sin fecha límite",IF($E99&lt;FechaRef,"Vencida hace "&amp;(FechaRef-$E99)&amp;IF(FechaRef-$E99=1," día"," días"),IF($E99=FechaRef,"Vence hoy",IF($E99-FechaRef&lt;=DiasAlerta,"Vence en "&amp;($E99-FechaRef)&amp;IF($E99-FechaRef=1," día"," días"),"En plazo"))))))</f>
        <v/>
      </c>
      <c r="N99" s="64" t="n"/>
      <c r="O99" s="69">
        <f>IF(NOT((COUNTA($B99:$J99)+COUNTA($N99))&gt;0),"",IF((IF($C99="","Falta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",""))="","✔ OK","⚠ "&amp;LEFT(IF($C99="","Falta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",""),LEN(IF($C99="","Falta el nombre de la actividad"&amp;" · ","")&amp;IF(AND($S99="Sub",N($R99)=0),"Subactividad sin macroactividad arriba"&amp;" · ","")&amp;IF($D99="","Sin fecha de inicio"&amp;" · ","")&amp;IF($E99="","Sin fecha límite"&amp;" · ","")&amp;IF(OR(AND($D99&lt;&gt;"",NOT(ISNUMBER($D99))),AND($E99&lt;&gt;"",NOT(ISNUMBER($E99)))),"Fecha no válida"&amp;" · ","")&amp;IF(AND(ISNUMBER($D99),ISNUMBER($E99),$D99&gt;$E99),"Inicio posterior a fecha límite"&amp;" · ","")&amp;IF(AND($S99="Macro",$F99=""),"Peso vacío"&amp;" · ","")&amp;IF(AND($S99="Macro",$F99&lt;&gt;"",OR(NOT(ISNUMBER($F99)),$F99&lt;=0,$F99&gt;1)),"Peso fuera de rango"&amp;" · ","")&amp;IF(AND($S99="Sub",$F99&lt;&gt;"",OR(NOT(ISNUMBER($F99)),$F99&lt;0,$F99&gt;1)),"Peso fuera de rango"&amp;" · ","")&amp;IF(AND($S99="Sub",$F99="",IFERROR(N(INDEX($AG$5:$AG$1000,$R99-4)),0)&gt;0),"Falta el peso de la subactividad"&amp;" · ","")&amp;IF(AND(N($T99)&gt;0,N($AG99)&gt;0,ABS(N($AG99)-N($F99))&gt;0.0001),"Pesos de sus subactividades suman "&amp;TEXT(N($AG99),"0%")&amp;" (deben sumar "&amp;TEXT(N($F99),"0%")&amp;")"&amp;" · ","")&amp;IF(AND($S99="Macro",ABS(SUMIFS($F$5:$F$1000,$P$5:$P$1000,$P99,$S$5:$S$1000,"Macro")-1)&gt;0.0001),"Pesos del mes suman "&amp;TEXT(SUMIFS($F$5:$F$1000,$P$5:$P$1000,$P99,$S$5:$S$1000,"Macro"),"0%")&amp;" · ","")&amp;IF(AND(N($T99)&gt;0,COUNT($G99:$J99)&gt;0),"Con subactividades: deje vacías las semanas (se calculan solas)"&amp;" · ","")&amp;IF((COUNTIF($G99:$J99,"&gt;1")+COUNTIF($G99:$J99,"&lt;0")+COUNTA($G99:$J99)-COUNT($G99:$J99))&gt;0,"Avance fuera de rango 0-100%"&amp;" · ","")&amp;IF(OR(AND($H99&lt;&gt;"",$H99&lt;$G99),AND($I99&lt;&gt;"",$I99&lt;MAX($G99:$H99)),AND($J99&lt;&gt;"",$J99&lt;MAX($G99:$I99))),"Avance semanal decreciente"&amp;" · ","")&amp;IF(AND(ISNUMBER($E99),$E99&lt;FechaRef,N($K99)&lt;1),"Vencida"&amp;" · ","")&amp;IF(AND(ObsObligatoria="Sí",ISNUMBER($E99),$E99&lt;FechaRef,N($K99)&lt;1,$N99=""),"Vencida sin observación"&amp;" · ",""))-3)))</f>
        <v/>
      </c>
      <c r="P99" s="70">
        <f>IF(NOT((COUNTA($B99:$J99)+COUNTA($N99))&gt;0),"",IF(AND($S99="Sub",N($R99)&gt;0),IF(ISNUMBER(INDEX($D$5:$D$1000,$R99-4)),DATE(YEAR(INDEX($D$5:$D$1000,$R99-4)),MONTH(INDEX($D$5:$D$1000,$R99-4)),1),IF(ISNUMBER(INDEX($E$5:$E$1000,$R99-4)),DATE(YEAR(INDEX($E$5:$E$1000,$R99-4)),MONTH(INDEX($E$5:$E$1000,$R99-4)),1),MesCiclo)),IF(ISNUMBER($D99),DATE(YEAR($D99),MONTH($D99),1),IF(ISNUMBER($E99),DATE(YEAR($E99),MONTH($E99),1),MesCiclo))))</f>
        <v/>
      </c>
      <c r="Q99" s="71">
        <f>IF(OR($P99="",$P99&lt;&gt;MesCiclo),"",COUNTIF($P$5:$P99,MesCiclo))</f>
        <v/>
      </c>
      <c r="R99" s="71">
        <f>IF($S99="","",IF($S99="Macro",ROW(),IFERROR(LOOKUP(2,1/($S$5:$S99="Macro"),ROW($S$5:$S99)),0)))</f>
        <v/>
      </c>
      <c r="S99" s="71">
        <f>IF(NOT((COUNTA($B99:$J99)+COUNTA($N99))&gt;0),"",IF($B99="Subactividad","Sub","Macro"))</f>
        <v/>
      </c>
      <c r="T99" s="71">
        <f>IF($S99="Macro",COUNTIFS($R$5:$R$1000,ROW(),$S$5:$S$1000,"Sub"),"")</f>
        <v/>
      </c>
      <c r="U99" s="71">
        <f>IF($S99="","",IF(ISNUMBER($G99),$G99,0))</f>
        <v/>
      </c>
      <c r="V99" s="71">
        <f>IF($S99="","",IF(ISNUMBER($H99),$H99,$U99))</f>
        <v/>
      </c>
      <c r="W99" s="71">
        <f>IF($S99="","",IF(ISNUMBER($I99),$I99,$V99))</f>
        <v/>
      </c>
      <c r="X99" s="71">
        <f>IF($S99="","",IF(ISNUMBER($J99),$J99,$W99))</f>
        <v/>
      </c>
      <c r="Y99" s="71">
        <f>IF($S99="","",IF(N($T99)&gt;0,IF(N($AG99)&gt;0,SUMIFS($AC$5:$AC$1000,$R$5:$R$1000,ROW(),$S$5:$S$1000,"Sub")/$AG99,AVERAGEIFS($U$5:$U$1000,$R$5:$R$1000,ROW(),$S$5:$S$1000,"Sub")),$U99))</f>
        <v/>
      </c>
      <c r="Z99" s="71">
        <f>IF($S99="","",IF(N($T99)&gt;0,IF(N($AG99)&gt;0,SUMIFS($AD$5:$AD$1000,$R$5:$R$1000,ROW(),$S$5:$S$1000,"Sub")/$AG99,AVERAGEIFS($V$5:$V$1000,$R$5:$R$1000,ROW(),$S$5:$S$1000,"Sub")),$V99))</f>
        <v/>
      </c>
      <c r="AA99" s="71">
        <f>IF($S99="","",IF(N($T99)&gt;0,IF(N($AG99)&gt;0,SUMIFS($AE$5:$AE$1000,$R$5:$R$1000,ROW(),$S$5:$S$1000,"Sub")/$AG99,AVERAGEIFS($W$5:$W$1000,$R$5:$R$1000,ROW(),$S$5:$S$1000,"Sub")),$W99))</f>
        <v/>
      </c>
      <c r="AB99" s="71">
        <f>IF($S99="","",IF(N($T99)&gt;0,IF(N($AG99)&gt;0,SUMIFS($AF$5:$AF$1000,$R$5:$R$1000,ROW(),$S$5:$S$1000,"Sub")/$AG99,AVERAGEIFS($X$5:$X$1000,$R$5:$R$1000,ROW(),$S$5:$S$1000,"Sub")),$X99))</f>
        <v/>
      </c>
      <c r="AC99" s="71">
        <f>IF($S99="Sub",N($F99)*N($U99),"")</f>
        <v/>
      </c>
      <c r="AD99" s="71">
        <f>IF($S99="Sub",N($F99)*N($V99),"")</f>
        <v/>
      </c>
      <c r="AE99" s="71">
        <f>IF($S99="Sub",N($F99)*N($W99),"")</f>
        <v/>
      </c>
      <c r="AF99" s="71">
        <f>IF($S99="Sub",N($F99)*N($X99),"")</f>
        <v/>
      </c>
      <c r="AG99" s="71">
        <f>IF(N($T99)&gt;0,SUMIFS($F$5:$F$1000,$R$5:$R$1000,ROW(),$S$5:$S$1000,"Sub"),"")</f>
        <v/>
      </c>
    </row>
    <row r="100">
      <c r="A100" s="62">
        <f>IF(NOT((COUNTA($B100:$J100)+COUNTA($N100))&gt;0),"",IF($S100="Macro",COUNTIFS($S$5:$S100,"Macro",$P$5:$P100,$P100),IF(N($R100)=0,"?",COUNTIFS(INDEX($S$5:$S$1000,1):INDEX($S$5:$S$1000,$R100-4),"Macro",INDEX($P$5:$P$1000,1):INDEX($P$5:$P$1000,$R100-4),INDEX($P$5:$P$1000,$R100-4))&amp;"."&amp;COUNTIFS($R$5:$R100,$R100,$S$5:$S100,"Sub"))))</f>
        <v/>
      </c>
      <c r="B100" s="63" t="n"/>
      <c r="C100" s="64" t="n"/>
      <c r="D100" s="65" t="n"/>
      <c r="E100" s="65" t="n"/>
      <c r="F100" s="66" t="n"/>
      <c r="G100" s="67" t="n"/>
      <c r="H100" s="67" t="n"/>
      <c r="I100" s="67" t="n"/>
      <c r="J100" s="67" t="n"/>
      <c r="K100" s="68">
        <f>IF(NOT((COUNTA($B100:$J100)+COUNTA($N100))&gt;0),"",IF(N($T100)&gt;0,$AB100,IFERROR(LOOKUP(2,1/(G100:J100&lt;&gt;""),G100:J100),0)))</f>
        <v/>
      </c>
      <c r="L100" s="62">
        <f>IF(K100="","",IF(K100&gt;=1,"Completado",IF(K100&gt;0,"En curso","Pendiente")))</f>
        <v/>
      </c>
      <c r="M100" s="62">
        <f>IF(NOT((COUNTA($B100:$J100)+COUNTA($N100))&gt;0),"",IF(N($K100)&gt;=1,"Cumplida",IF(NOT(ISNUMBER($E100)),"Sin fecha límite",IF($E100&lt;FechaRef,"Vencida hace "&amp;(FechaRef-$E100)&amp;IF(FechaRef-$E100=1," día"," días"),IF($E100=FechaRef,"Vence hoy",IF($E100-FechaRef&lt;=DiasAlerta,"Vence en "&amp;($E100-FechaRef)&amp;IF($E100-FechaRef=1," día"," días"),"En plazo"))))))</f>
        <v/>
      </c>
      <c r="N100" s="64" t="n"/>
      <c r="O100" s="69">
        <f>IF(NOT((COUNTA($B100:$J100)+COUNTA($N100))&gt;0),"",IF((IF($C100="","Falta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",""))="","✔ OK","⚠ "&amp;LEFT(IF($C100="","Falta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",""),LEN(IF($C100="","Falta el nombre de la actividad"&amp;" · ","")&amp;IF(AND($S100="Sub",N($R100)=0),"Subactividad sin macroactividad arriba"&amp;" · ","")&amp;IF($D100="","Sin fecha de inicio"&amp;" · ","")&amp;IF($E100="","Sin fecha límite"&amp;" · ","")&amp;IF(OR(AND($D100&lt;&gt;"",NOT(ISNUMBER($D100))),AND($E100&lt;&gt;"",NOT(ISNUMBER($E100)))),"Fecha no válida"&amp;" · ","")&amp;IF(AND(ISNUMBER($D100),ISNUMBER($E100),$D100&gt;$E100),"Inicio posterior a fecha límite"&amp;" · ","")&amp;IF(AND($S100="Macro",$F100=""),"Peso vacío"&amp;" · ","")&amp;IF(AND($S100="Macro",$F100&lt;&gt;"",OR(NOT(ISNUMBER($F100)),$F100&lt;=0,$F100&gt;1)),"Peso fuera de rango"&amp;" · ","")&amp;IF(AND($S100="Sub",$F100&lt;&gt;"",OR(NOT(ISNUMBER($F100)),$F100&lt;0,$F100&gt;1)),"Peso fuera de rango"&amp;" · ","")&amp;IF(AND($S100="Sub",$F100="",IFERROR(N(INDEX($AG$5:$AG$1000,$R100-4)),0)&gt;0),"Falta el peso de la subactividad"&amp;" · ","")&amp;IF(AND(N($T100)&gt;0,N($AG100)&gt;0,ABS(N($AG100)-N($F100))&gt;0.0001),"Pesos de sus subactividades suman "&amp;TEXT(N($AG100),"0%")&amp;" (deben sumar "&amp;TEXT(N($F100),"0%")&amp;")"&amp;" · ","")&amp;IF(AND($S100="Macro",ABS(SUMIFS($F$5:$F$1000,$P$5:$P$1000,$P100,$S$5:$S$1000,"Macro")-1)&gt;0.0001),"Pesos del mes suman "&amp;TEXT(SUMIFS($F$5:$F$1000,$P$5:$P$1000,$P100,$S$5:$S$1000,"Macro"),"0%")&amp;" · ","")&amp;IF(AND(N($T100)&gt;0,COUNT($G100:$J100)&gt;0),"Con subactividades: deje vacías las semanas (se calculan solas)"&amp;" · ","")&amp;IF((COUNTIF($G100:$J100,"&gt;1")+COUNTIF($G100:$J100,"&lt;0")+COUNTA($G100:$J100)-COUNT($G100:$J100))&gt;0,"Avance fuera de rango 0-100%"&amp;" · ","")&amp;IF(OR(AND($H100&lt;&gt;"",$H100&lt;$G100),AND($I100&lt;&gt;"",$I100&lt;MAX($G100:$H100)),AND($J100&lt;&gt;"",$J100&lt;MAX($G100:$I100))),"Avance semanal decreciente"&amp;" · ","")&amp;IF(AND(ISNUMBER($E100),$E100&lt;FechaRef,N($K100)&lt;1),"Vencida"&amp;" · ","")&amp;IF(AND(ObsObligatoria="Sí",ISNUMBER($E100),$E100&lt;FechaRef,N($K100)&lt;1,$N100=""),"Vencida sin observación"&amp;" · ",""))-3)))</f>
        <v/>
      </c>
      <c r="P100" s="70">
        <f>IF(NOT((COUNTA($B100:$J100)+COUNTA($N100))&gt;0),"",IF(AND($S100="Sub",N($R100)&gt;0),IF(ISNUMBER(INDEX($D$5:$D$1000,$R100-4)),DATE(YEAR(INDEX($D$5:$D$1000,$R100-4)),MONTH(INDEX($D$5:$D$1000,$R100-4)),1),IF(ISNUMBER(INDEX($E$5:$E$1000,$R100-4)),DATE(YEAR(INDEX($E$5:$E$1000,$R100-4)),MONTH(INDEX($E$5:$E$1000,$R100-4)),1),MesCiclo)),IF(ISNUMBER($D100),DATE(YEAR($D100),MONTH($D100),1),IF(ISNUMBER($E100),DATE(YEAR($E100),MONTH($E100),1),MesCiclo))))</f>
        <v/>
      </c>
      <c r="Q100" s="71">
        <f>IF(OR($P100="",$P100&lt;&gt;MesCiclo),"",COUNTIF($P$5:$P100,MesCiclo))</f>
        <v/>
      </c>
      <c r="R100" s="71">
        <f>IF($S100="","",IF($S100="Macro",ROW(),IFERROR(LOOKUP(2,1/($S$5:$S100="Macro"),ROW($S$5:$S100)),0)))</f>
        <v/>
      </c>
      <c r="S100" s="71">
        <f>IF(NOT((COUNTA($B100:$J100)+COUNTA($N100))&gt;0),"",IF($B100="Subactividad","Sub","Macro"))</f>
        <v/>
      </c>
      <c r="T100" s="71">
        <f>IF($S100="Macro",COUNTIFS($R$5:$R$1000,ROW(),$S$5:$S$1000,"Sub"),"")</f>
        <v/>
      </c>
      <c r="U100" s="71">
        <f>IF($S100="","",IF(ISNUMBER($G100),$G100,0))</f>
        <v/>
      </c>
      <c r="V100" s="71">
        <f>IF($S100="","",IF(ISNUMBER($H100),$H100,$U100))</f>
        <v/>
      </c>
      <c r="W100" s="71">
        <f>IF($S100="","",IF(ISNUMBER($I100),$I100,$V100))</f>
        <v/>
      </c>
      <c r="X100" s="71">
        <f>IF($S100="","",IF(ISNUMBER($J100),$J100,$W100))</f>
        <v/>
      </c>
      <c r="Y100" s="71">
        <f>IF($S100="","",IF(N($T100)&gt;0,IF(N($AG100)&gt;0,SUMIFS($AC$5:$AC$1000,$R$5:$R$1000,ROW(),$S$5:$S$1000,"Sub")/$AG100,AVERAGEIFS($U$5:$U$1000,$R$5:$R$1000,ROW(),$S$5:$S$1000,"Sub")),$U100))</f>
        <v/>
      </c>
      <c r="Z100" s="71">
        <f>IF($S100="","",IF(N($T100)&gt;0,IF(N($AG100)&gt;0,SUMIFS($AD$5:$AD$1000,$R$5:$R$1000,ROW(),$S$5:$S$1000,"Sub")/$AG100,AVERAGEIFS($V$5:$V$1000,$R$5:$R$1000,ROW(),$S$5:$S$1000,"Sub")),$V100))</f>
        <v/>
      </c>
      <c r="AA100" s="71">
        <f>IF($S100="","",IF(N($T100)&gt;0,IF(N($AG100)&gt;0,SUMIFS($AE$5:$AE$1000,$R$5:$R$1000,ROW(),$S$5:$S$1000,"Sub")/$AG100,AVERAGEIFS($W$5:$W$1000,$R$5:$R$1000,ROW(),$S$5:$S$1000,"Sub")),$W100))</f>
        <v/>
      </c>
      <c r="AB100" s="71">
        <f>IF($S100="","",IF(N($T100)&gt;0,IF(N($AG100)&gt;0,SUMIFS($AF$5:$AF$1000,$R$5:$R$1000,ROW(),$S$5:$S$1000,"Sub")/$AG100,AVERAGEIFS($X$5:$X$1000,$R$5:$R$1000,ROW(),$S$5:$S$1000,"Sub")),$X100))</f>
        <v/>
      </c>
      <c r="AC100" s="71">
        <f>IF($S100="Sub",N($F100)*N($U100),"")</f>
        <v/>
      </c>
      <c r="AD100" s="71">
        <f>IF($S100="Sub",N($F100)*N($V100),"")</f>
        <v/>
      </c>
      <c r="AE100" s="71">
        <f>IF($S100="Sub",N($F100)*N($W100),"")</f>
        <v/>
      </c>
      <c r="AF100" s="71">
        <f>IF($S100="Sub",N($F100)*N($X100),"")</f>
        <v/>
      </c>
      <c r="AG100" s="71">
        <f>IF(N($T100)&gt;0,SUMIFS($F$5:$F$1000,$R$5:$R$1000,ROW(),$S$5:$S$1000,"Sub"),"")</f>
        <v/>
      </c>
    </row>
    <row r="101">
      <c r="A101" s="62">
        <f>IF(NOT((COUNTA($B101:$J101)+COUNTA($N101))&gt;0),"",IF($S101="Macro",COUNTIFS($S$5:$S101,"Macro",$P$5:$P101,$P101),IF(N($R101)=0,"?",COUNTIFS(INDEX($S$5:$S$1000,1):INDEX($S$5:$S$1000,$R101-4),"Macro",INDEX($P$5:$P$1000,1):INDEX($P$5:$P$1000,$R101-4),INDEX($P$5:$P$1000,$R101-4))&amp;"."&amp;COUNTIFS($R$5:$R101,$R101,$S$5:$S101,"Sub"))))</f>
        <v/>
      </c>
      <c r="B101" s="63" t="n"/>
      <c r="C101" s="64" t="n"/>
      <c r="D101" s="65" t="n"/>
      <c r="E101" s="65" t="n"/>
      <c r="F101" s="66" t="n"/>
      <c r="G101" s="67" t="n"/>
      <c r="H101" s="67" t="n"/>
      <c r="I101" s="67" t="n"/>
      <c r="J101" s="67" t="n"/>
      <c r="K101" s="68">
        <f>IF(NOT((COUNTA($B101:$J101)+COUNTA($N101))&gt;0),"",IF(N($T101)&gt;0,$AB101,IFERROR(LOOKUP(2,1/(G101:J101&lt;&gt;""),G101:J101),0)))</f>
        <v/>
      </c>
      <c r="L101" s="62">
        <f>IF(K101="","",IF(K101&gt;=1,"Completado",IF(K101&gt;0,"En curso","Pendiente")))</f>
        <v/>
      </c>
      <c r="M101" s="62">
        <f>IF(NOT((COUNTA($B101:$J101)+COUNTA($N101))&gt;0),"",IF(N($K101)&gt;=1,"Cumplida",IF(NOT(ISNUMBER($E101)),"Sin fecha límite",IF($E101&lt;FechaRef,"Vencida hace "&amp;(FechaRef-$E101)&amp;IF(FechaRef-$E101=1," día"," días"),IF($E101=FechaRef,"Vence hoy",IF($E101-FechaRef&lt;=DiasAlerta,"Vence en "&amp;($E101-FechaRef)&amp;IF($E101-FechaRef=1," día"," días"),"En plazo"))))))</f>
        <v/>
      </c>
      <c r="N101" s="64" t="n"/>
      <c r="O101" s="69">
        <f>IF(NOT((COUNTA($B101:$J101)+COUNTA($N101))&gt;0),"",IF((IF($C101="","Falta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",""))="","✔ OK","⚠ "&amp;LEFT(IF($C101="","Falta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",""),LEN(IF($C101="","Falta el nombre de la actividad"&amp;" · ","")&amp;IF(AND($S101="Sub",N($R101)=0),"Subactividad sin macroactividad arriba"&amp;" · ","")&amp;IF($D101="","Sin fecha de inicio"&amp;" · ","")&amp;IF($E101="","Sin fecha límite"&amp;" · ","")&amp;IF(OR(AND($D101&lt;&gt;"",NOT(ISNUMBER($D101))),AND($E101&lt;&gt;"",NOT(ISNUMBER($E101)))),"Fecha no válida"&amp;" · ","")&amp;IF(AND(ISNUMBER($D101),ISNUMBER($E101),$D101&gt;$E101),"Inicio posterior a fecha límite"&amp;" · ","")&amp;IF(AND($S101="Macro",$F101=""),"Peso vacío"&amp;" · ","")&amp;IF(AND($S101="Macro",$F101&lt;&gt;"",OR(NOT(ISNUMBER($F101)),$F101&lt;=0,$F101&gt;1)),"Peso fuera de rango"&amp;" · ","")&amp;IF(AND($S101="Sub",$F101&lt;&gt;"",OR(NOT(ISNUMBER($F101)),$F101&lt;0,$F101&gt;1)),"Peso fuera de rango"&amp;" · ","")&amp;IF(AND($S101="Sub",$F101="",IFERROR(N(INDEX($AG$5:$AG$1000,$R101-4)),0)&gt;0),"Falta el peso de la subactividad"&amp;" · ","")&amp;IF(AND(N($T101)&gt;0,N($AG101)&gt;0,ABS(N($AG101)-N($F101))&gt;0.0001),"Pesos de sus subactividades suman "&amp;TEXT(N($AG101),"0%")&amp;" (deben sumar "&amp;TEXT(N($F101),"0%")&amp;")"&amp;" · ","")&amp;IF(AND($S101="Macro",ABS(SUMIFS($F$5:$F$1000,$P$5:$P$1000,$P101,$S$5:$S$1000,"Macro")-1)&gt;0.0001),"Pesos del mes suman "&amp;TEXT(SUMIFS($F$5:$F$1000,$P$5:$P$1000,$P101,$S$5:$S$1000,"Macro"),"0%")&amp;" · ","")&amp;IF(AND(N($T101)&gt;0,COUNT($G101:$J101)&gt;0),"Con subactividades: deje vacías las semanas (se calculan solas)"&amp;" · ","")&amp;IF((COUNTIF($G101:$J101,"&gt;1")+COUNTIF($G101:$J101,"&lt;0")+COUNTA($G101:$J101)-COUNT($G101:$J101))&gt;0,"Avance fuera de rango 0-100%"&amp;" · ","")&amp;IF(OR(AND($H101&lt;&gt;"",$H101&lt;$G101),AND($I101&lt;&gt;"",$I101&lt;MAX($G101:$H101)),AND($J101&lt;&gt;"",$J101&lt;MAX($G101:$I101))),"Avance semanal decreciente"&amp;" · ","")&amp;IF(AND(ISNUMBER($E101),$E101&lt;FechaRef,N($K101)&lt;1),"Vencida"&amp;" · ","")&amp;IF(AND(ObsObligatoria="Sí",ISNUMBER($E101),$E101&lt;FechaRef,N($K101)&lt;1,$N101=""),"Vencida sin observación"&amp;" · ",""))-3)))</f>
        <v/>
      </c>
      <c r="P101" s="70">
        <f>IF(NOT((COUNTA($B101:$J101)+COUNTA($N101))&gt;0),"",IF(AND($S101="Sub",N($R101)&gt;0),IF(ISNUMBER(INDEX($D$5:$D$1000,$R101-4)),DATE(YEAR(INDEX($D$5:$D$1000,$R101-4)),MONTH(INDEX($D$5:$D$1000,$R101-4)),1),IF(ISNUMBER(INDEX($E$5:$E$1000,$R101-4)),DATE(YEAR(INDEX($E$5:$E$1000,$R101-4)),MONTH(INDEX($E$5:$E$1000,$R101-4)),1),MesCiclo)),IF(ISNUMBER($D101),DATE(YEAR($D101),MONTH($D101),1),IF(ISNUMBER($E101),DATE(YEAR($E101),MONTH($E101),1),MesCiclo))))</f>
        <v/>
      </c>
      <c r="Q101" s="71">
        <f>IF(OR($P101="",$P101&lt;&gt;MesCiclo),"",COUNTIF($P$5:$P101,MesCiclo))</f>
        <v/>
      </c>
      <c r="R101" s="71">
        <f>IF($S101="","",IF($S101="Macro",ROW(),IFERROR(LOOKUP(2,1/($S$5:$S101="Macro"),ROW($S$5:$S101)),0)))</f>
        <v/>
      </c>
      <c r="S101" s="71">
        <f>IF(NOT((COUNTA($B101:$J101)+COUNTA($N101))&gt;0),"",IF($B101="Subactividad","Sub","Macro"))</f>
        <v/>
      </c>
      <c r="T101" s="71">
        <f>IF($S101="Macro",COUNTIFS($R$5:$R$1000,ROW(),$S$5:$S$1000,"Sub"),"")</f>
        <v/>
      </c>
      <c r="U101" s="71">
        <f>IF($S101="","",IF(ISNUMBER($G101),$G101,0))</f>
        <v/>
      </c>
      <c r="V101" s="71">
        <f>IF($S101="","",IF(ISNUMBER($H101),$H101,$U101))</f>
        <v/>
      </c>
      <c r="W101" s="71">
        <f>IF($S101="","",IF(ISNUMBER($I101),$I101,$V101))</f>
        <v/>
      </c>
      <c r="X101" s="71">
        <f>IF($S101="","",IF(ISNUMBER($J101),$J101,$W101))</f>
        <v/>
      </c>
      <c r="Y101" s="71">
        <f>IF($S101="","",IF(N($T101)&gt;0,IF(N($AG101)&gt;0,SUMIFS($AC$5:$AC$1000,$R$5:$R$1000,ROW(),$S$5:$S$1000,"Sub")/$AG101,AVERAGEIFS($U$5:$U$1000,$R$5:$R$1000,ROW(),$S$5:$S$1000,"Sub")),$U101))</f>
        <v/>
      </c>
      <c r="Z101" s="71">
        <f>IF($S101="","",IF(N($T101)&gt;0,IF(N($AG101)&gt;0,SUMIFS($AD$5:$AD$1000,$R$5:$R$1000,ROW(),$S$5:$S$1000,"Sub")/$AG101,AVERAGEIFS($V$5:$V$1000,$R$5:$R$1000,ROW(),$S$5:$S$1000,"Sub")),$V101))</f>
        <v/>
      </c>
      <c r="AA101" s="71">
        <f>IF($S101="","",IF(N($T101)&gt;0,IF(N($AG101)&gt;0,SUMIFS($AE$5:$AE$1000,$R$5:$R$1000,ROW(),$S$5:$S$1000,"Sub")/$AG101,AVERAGEIFS($W$5:$W$1000,$R$5:$R$1000,ROW(),$S$5:$S$1000,"Sub")),$W101))</f>
        <v/>
      </c>
      <c r="AB101" s="71">
        <f>IF($S101="","",IF(N($T101)&gt;0,IF(N($AG101)&gt;0,SUMIFS($AF$5:$AF$1000,$R$5:$R$1000,ROW(),$S$5:$S$1000,"Sub")/$AG101,AVERAGEIFS($X$5:$X$1000,$R$5:$R$1000,ROW(),$S$5:$S$1000,"Sub")),$X101))</f>
        <v/>
      </c>
      <c r="AC101" s="71">
        <f>IF($S101="Sub",N($F101)*N($U101),"")</f>
        <v/>
      </c>
      <c r="AD101" s="71">
        <f>IF($S101="Sub",N($F101)*N($V101),"")</f>
        <v/>
      </c>
      <c r="AE101" s="71">
        <f>IF($S101="Sub",N($F101)*N($W101),"")</f>
        <v/>
      </c>
      <c r="AF101" s="71">
        <f>IF($S101="Sub",N($F101)*N($X101),"")</f>
        <v/>
      </c>
      <c r="AG101" s="71">
        <f>IF(N($T101)&gt;0,SUMIFS($F$5:$F$1000,$R$5:$R$1000,ROW(),$S$5:$S$1000,"Sub"),"")</f>
        <v/>
      </c>
    </row>
    <row r="102">
      <c r="A102" s="62">
        <f>IF(NOT((COUNTA($B102:$J102)+COUNTA($N102))&gt;0),"",IF($S102="Macro",COUNTIFS($S$5:$S102,"Macro",$P$5:$P102,$P102),IF(N($R102)=0,"?",COUNTIFS(INDEX($S$5:$S$1000,1):INDEX($S$5:$S$1000,$R102-4),"Macro",INDEX($P$5:$P$1000,1):INDEX($P$5:$P$1000,$R102-4),INDEX($P$5:$P$1000,$R102-4))&amp;"."&amp;COUNTIFS($R$5:$R102,$R102,$S$5:$S102,"Sub"))))</f>
        <v/>
      </c>
      <c r="B102" s="63" t="n"/>
      <c r="C102" s="64" t="n"/>
      <c r="D102" s="65" t="n"/>
      <c r="E102" s="65" t="n"/>
      <c r="F102" s="66" t="n"/>
      <c r="G102" s="67" t="n"/>
      <c r="H102" s="67" t="n"/>
      <c r="I102" s="67" t="n"/>
      <c r="J102" s="67" t="n"/>
      <c r="K102" s="68">
        <f>IF(NOT((COUNTA($B102:$J102)+COUNTA($N102))&gt;0),"",IF(N($T102)&gt;0,$AB102,IFERROR(LOOKUP(2,1/(G102:J102&lt;&gt;""),G102:J102),0)))</f>
        <v/>
      </c>
      <c r="L102" s="62">
        <f>IF(K102="","",IF(K102&gt;=1,"Completado",IF(K102&gt;0,"En curso","Pendiente")))</f>
        <v/>
      </c>
      <c r="M102" s="62">
        <f>IF(NOT((COUNTA($B102:$J102)+COUNTA($N102))&gt;0),"",IF(N($K102)&gt;=1,"Cumplida",IF(NOT(ISNUMBER($E102)),"Sin fecha límite",IF($E102&lt;FechaRef,"Vencida hace "&amp;(FechaRef-$E102)&amp;IF(FechaRef-$E102=1," día"," días"),IF($E102=FechaRef,"Vence hoy",IF($E102-FechaRef&lt;=DiasAlerta,"Vence en "&amp;($E102-FechaRef)&amp;IF($E102-FechaRef=1," día"," días"),"En plazo"))))))</f>
        <v/>
      </c>
      <c r="N102" s="64" t="n"/>
      <c r="O102" s="69">
        <f>IF(NOT((COUNTA($B102:$J102)+COUNTA($N102))&gt;0),"",IF((IF($C102="","Falta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",""))="","✔ OK","⚠ "&amp;LEFT(IF($C102="","Falta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",""),LEN(IF($C102="","Falta el nombre de la actividad"&amp;" · ","")&amp;IF(AND($S102="Sub",N($R102)=0),"Subactividad sin macroactividad arriba"&amp;" · ","")&amp;IF($D102="","Sin fecha de inicio"&amp;" · ","")&amp;IF($E102="","Sin fecha límite"&amp;" · ","")&amp;IF(OR(AND($D102&lt;&gt;"",NOT(ISNUMBER($D102))),AND($E102&lt;&gt;"",NOT(ISNUMBER($E102)))),"Fecha no válida"&amp;" · ","")&amp;IF(AND(ISNUMBER($D102),ISNUMBER($E102),$D102&gt;$E102),"Inicio posterior a fecha límite"&amp;" · ","")&amp;IF(AND($S102="Macro",$F102=""),"Peso vacío"&amp;" · ","")&amp;IF(AND($S102="Macro",$F102&lt;&gt;"",OR(NOT(ISNUMBER($F102)),$F102&lt;=0,$F102&gt;1)),"Peso fuera de rango"&amp;" · ","")&amp;IF(AND($S102="Sub",$F102&lt;&gt;"",OR(NOT(ISNUMBER($F102)),$F102&lt;0,$F102&gt;1)),"Peso fuera de rango"&amp;" · ","")&amp;IF(AND($S102="Sub",$F102="",IFERROR(N(INDEX($AG$5:$AG$1000,$R102-4)),0)&gt;0),"Falta el peso de la subactividad"&amp;" · ","")&amp;IF(AND(N($T102)&gt;0,N($AG102)&gt;0,ABS(N($AG102)-N($F102))&gt;0.0001),"Pesos de sus subactividades suman "&amp;TEXT(N($AG102),"0%")&amp;" (deben sumar "&amp;TEXT(N($F102),"0%")&amp;")"&amp;" · ","")&amp;IF(AND($S102="Macro",ABS(SUMIFS($F$5:$F$1000,$P$5:$P$1000,$P102,$S$5:$S$1000,"Macro")-1)&gt;0.0001),"Pesos del mes suman "&amp;TEXT(SUMIFS($F$5:$F$1000,$P$5:$P$1000,$P102,$S$5:$S$1000,"Macro"),"0%")&amp;" · ","")&amp;IF(AND(N($T102)&gt;0,COUNT($G102:$J102)&gt;0),"Con subactividades: deje vacías las semanas (se calculan solas)"&amp;" · ","")&amp;IF((COUNTIF($G102:$J102,"&gt;1")+COUNTIF($G102:$J102,"&lt;0")+COUNTA($G102:$J102)-COUNT($G102:$J102))&gt;0,"Avance fuera de rango 0-100%"&amp;" · ","")&amp;IF(OR(AND($H102&lt;&gt;"",$H102&lt;$G102),AND($I102&lt;&gt;"",$I102&lt;MAX($G102:$H102)),AND($J102&lt;&gt;"",$J102&lt;MAX($G102:$I102))),"Avance semanal decreciente"&amp;" · ","")&amp;IF(AND(ISNUMBER($E102),$E102&lt;FechaRef,N($K102)&lt;1),"Vencida"&amp;" · ","")&amp;IF(AND(ObsObligatoria="Sí",ISNUMBER($E102),$E102&lt;FechaRef,N($K102)&lt;1,$N102=""),"Vencida sin observación"&amp;" · ",""))-3)))</f>
        <v/>
      </c>
      <c r="P102" s="70">
        <f>IF(NOT((COUNTA($B102:$J102)+COUNTA($N102))&gt;0),"",IF(AND($S102="Sub",N($R102)&gt;0),IF(ISNUMBER(INDEX($D$5:$D$1000,$R102-4)),DATE(YEAR(INDEX($D$5:$D$1000,$R102-4)),MONTH(INDEX($D$5:$D$1000,$R102-4)),1),IF(ISNUMBER(INDEX($E$5:$E$1000,$R102-4)),DATE(YEAR(INDEX($E$5:$E$1000,$R102-4)),MONTH(INDEX($E$5:$E$1000,$R102-4)),1),MesCiclo)),IF(ISNUMBER($D102),DATE(YEAR($D102),MONTH($D102),1),IF(ISNUMBER($E102),DATE(YEAR($E102),MONTH($E102),1),MesCiclo))))</f>
        <v/>
      </c>
      <c r="Q102" s="71">
        <f>IF(OR($P102="",$P102&lt;&gt;MesCiclo),"",COUNTIF($P$5:$P102,MesCiclo))</f>
        <v/>
      </c>
      <c r="R102" s="71">
        <f>IF($S102="","",IF($S102="Macro",ROW(),IFERROR(LOOKUP(2,1/($S$5:$S102="Macro"),ROW($S$5:$S102)),0)))</f>
        <v/>
      </c>
      <c r="S102" s="71">
        <f>IF(NOT((COUNTA($B102:$J102)+COUNTA($N102))&gt;0),"",IF($B102="Subactividad","Sub","Macro"))</f>
        <v/>
      </c>
      <c r="T102" s="71">
        <f>IF($S102="Macro",COUNTIFS($R$5:$R$1000,ROW(),$S$5:$S$1000,"Sub"),"")</f>
        <v/>
      </c>
      <c r="U102" s="71">
        <f>IF($S102="","",IF(ISNUMBER($G102),$G102,0))</f>
        <v/>
      </c>
      <c r="V102" s="71">
        <f>IF($S102="","",IF(ISNUMBER($H102),$H102,$U102))</f>
        <v/>
      </c>
      <c r="W102" s="71">
        <f>IF($S102="","",IF(ISNUMBER($I102),$I102,$V102))</f>
        <v/>
      </c>
      <c r="X102" s="71">
        <f>IF($S102="","",IF(ISNUMBER($J102),$J102,$W102))</f>
        <v/>
      </c>
      <c r="Y102" s="71">
        <f>IF($S102="","",IF(N($T102)&gt;0,IF(N($AG102)&gt;0,SUMIFS($AC$5:$AC$1000,$R$5:$R$1000,ROW(),$S$5:$S$1000,"Sub")/$AG102,AVERAGEIFS($U$5:$U$1000,$R$5:$R$1000,ROW(),$S$5:$S$1000,"Sub")),$U102))</f>
        <v/>
      </c>
      <c r="Z102" s="71">
        <f>IF($S102="","",IF(N($T102)&gt;0,IF(N($AG102)&gt;0,SUMIFS($AD$5:$AD$1000,$R$5:$R$1000,ROW(),$S$5:$S$1000,"Sub")/$AG102,AVERAGEIFS($V$5:$V$1000,$R$5:$R$1000,ROW(),$S$5:$S$1000,"Sub")),$V102))</f>
        <v/>
      </c>
      <c r="AA102" s="71">
        <f>IF($S102="","",IF(N($T102)&gt;0,IF(N($AG102)&gt;0,SUMIFS($AE$5:$AE$1000,$R$5:$R$1000,ROW(),$S$5:$S$1000,"Sub")/$AG102,AVERAGEIFS($W$5:$W$1000,$R$5:$R$1000,ROW(),$S$5:$S$1000,"Sub")),$W102))</f>
        <v/>
      </c>
      <c r="AB102" s="71">
        <f>IF($S102="","",IF(N($T102)&gt;0,IF(N($AG102)&gt;0,SUMIFS($AF$5:$AF$1000,$R$5:$R$1000,ROW(),$S$5:$S$1000,"Sub")/$AG102,AVERAGEIFS($X$5:$X$1000,$R$5:$R$1000,ROW(),$S$5:$S$1000,"Sub")),$X102))</f>
        <v/>
      </c>
      <c r="AC102" s="71">
        <f>IF($S102="Sub",N($F102)*N($U102),"")</f>
        <v/>
      </c>
      <c r="AD102" s="71">
        <f>IF($S102="Sub",N($F102)*N($V102),"")</f>
        <v/>
      </c>
      <c r="AE102" s="71">
        <f>IF($S102="Sub",N($F102)*N($W102),"")</f>
        <v/>
      </c>
      <c r="AF102" s="71">
        <f>IF($S102="Sub",N($F102)*N($X102),"")</f>
        <v/>
      </c>
      <c r="AG102" s="71">
        <f>IF(N($T102)&gt;0,SUMIFS($F$5:$F$1000,$R$5:$R$1000,ROW(),$S$5:$S$1000,"Sub"),"")</f>
        <v/>
      </c>
    </row>
    <row r="103">
      <c r="A103" s="62">
        <f>IF(NOT((COUNTA($B103:$J103)+COUNTA($N103))&gt;0),"",IF($S103="Macro",COUNTIFS($S$5:$S103,"Macro",$P$5:$P103,$P103),IF(N($R103)=0,"?",COUNTIFS(INDEX($S$5:$S$1000,1):INDEX($S$5:$S$1000,$R103-4),"Macro",INDEX($P$5:$P$1000,1):INDEX($P$5:$P$1000,$R103-4),INDEX($P$5:$P$1000,$R103-4))&amp;"."&amp;COUNTIFS($R$5:$R103,$R103,$S$5:$S103,"Sub"))))</f>
        <v/>
      </c>
      <c r="B103" s="63" t="n"/>
      <c r="C103" s="64" t="n"/>
      <c r="D103" s="65" t="n"/>
      <c r="E103" s="65" t="n"/>
      <c r="F103" s="66" t="n"/>
      <c r="G103" s="67" t="n"/>
      <c r="H103" s="67" t="n"/>
      <c r="I103" s="67" t="n"/>
      <c r="J103" s="67" t="n"/>
      <c r="K103" s="68">
        <f>IF(NOT((COUNTA($B103:$J103)+COUNTA($N103))&gt;0),"",IF(N($T103)&gt;0,$AB103,IFERROR(LOOKUP(2,1/(G103:J103&lt;&gt;""),G103:J103),0)))</f>
        <v/>
      </c>
      <c r="L103" s="62">
        <f>IF(K103="","",IF(K103&gt;=1,"Completado",IF(K103&gt;0,"En curso","Pendiente")))</f>
        <v/>
      </c>
      <c r="M103" s="62">
        <f>IF(NOT((COUNTA($B103:$J103)+COUNTA($N103))&gt;0),"",IF(N($K103)&gt;=1,"Cumplida",IF(NOT(ISNUMBER($E103)),"Sin fecha límite",IF($E103&lt;FechaRef,"Vencida hace "&amp;(FechaRef-$E103)&amp;IF(FechaRef-$E103=1," día"," días"),IF($E103=FechaRef,"Vence hoy",IF($E103-FechaRef&lt;=DiasAlerta,"Vence en "&amp;($E103-FechaRef)&amp;IF($E103-FechaRef=1," día"," días"),"En plazo"))))))</f>
        <v/>
      </c>
      <c r="N103" s="64" t="n"/>
      <c r="O103" s="69">
        <f>IF(NOT((COUNTA($B103:$J103)+COUNTA($N103))&gt;0),"",IF((IF($C103="","Falta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",""))="","✔ OK","⚠ "&amp;LEFT(IF($C103="","Falta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",""),LEN(IF($C103="","Falta el nombre de la actividad"&amp;" · ","")&amp;IF(AND($S103="Sub",N($R103)=0),"Subactividad sin macroactividad arriba"&amp;" · ","")&amp;IF($D103="","Sin fecha de inicio"&amp;" · ","")&amp;IF($E103="","Sin fecha límite"&amp;" · ","")&amp;IF(OR(AND($D103&lt;&gt;"",NOT(ISNUMBER($D103))),AND($E103&lt;&gt;"",NOT(ISNUMBER($E103)))),"Fecha no válida"&amp;" · ","")&amp;IF(AND(ISNUMBER($D103),ISNUMBER($E103),$D103&gt;$E103),"Inicio posterior a fecha límite"&amp;" · ","")&amp;IF(AND($S103="Macro",$F103=""),"Peso vacío"&amp;" · ","")&amp;IF(AND($S103="Macro",$F103&lt;&gt;"",OR(NOT(ISNUMBER($F103)),$F103&lt;=0,$F103&gt;1)),"Peso fuera de rango"&amp;" · ","")&amp;IF(AND($S103="Sub",$F103&lt;&gt;"",OR(NOT(ISNUMBER($F103)),$F103&lt;0,$F103&gt;1)),"Peso fuera de rango"&amp;" · ","")&amp;IF(AND($S103="Sub",$F103="",IFERROR(N(INDEX($AG$5:$AG$1000,$R103-4)),0)&gt;0),"Falta el peso de la subactividad"&amp;" · ","")&amp;IF(AND(N($T103)&gt;0,N($AG103)&gt;0,ABS(N($AG103)-N($F103))&gt;0.0001),"Pesos de sus subactividades suman "&amp;TEXT(N($AG103),"0%")&amp;" (deben sumar "&amp;TEXT(N($F103),"0%")&amp;")"&amp;" · ","")&amp;IF(AND($S103="Macro",ABS(SUMIFS($F$5:$F$1000,$P$5:$P$1000,$P103,$S$5:$S$1000,"Macro")-1)&gt;0.0001),"Pesos del mes suman "&amp;TEXT(SUMIFS($F$5:$F$1000,$P$5:$P$1000,$P103,$S$5:$S$1000,"Macro"),"0%")&amp;" · ","")&amp;IF(AND(N($T103)&gt;0,COUNT($G103:$J103)&gt;0),"Con subactividades: deje vacías las semanas (se calculan solas)"&amp;" · ","")&amp;IF((COUNTIF($G103:$J103,"&gt;1")+COUNTIF($G103:$J103,"&lt;0")+COUNTA($G103:$J103)-COUNT($G103:$J103))&gt;0,"Avance fuera de rango 0-100%"&amp;" · ","")&amp;IF(OR(AND($H103&lt;&gt;"",$H103&lt;$G103),AND($I103&lt;&gt;"",$I103&lt;MAX($G103:$H103)),AND($J103&lt;&gt;"",$J103&lt;MAX($G103:$I103))),"Avance semanal decreciente"&amp;" · ","")&amp;IF(AND(ISNUMBER($E103),$E103&lt;FechaRef,N($K103)&lt;1),"Vencida"&amp;" · ","")&amp;IF(AND(ObsObligatoria="Sí",ISNUMBER($E103),$E103&lt;FechaRef,N($K103)&lt;1,$N103=""),"Vencida sin observación"&amp;" · ",""))-3)))</f>
        <v/>
      </c>
      <c r="P103" s="70">
        <f>IF(NOT((COUNTA($B103:$J103)+COUNTA($N103))&gt;0),"",IF(AND($S103="Sub",N($R103)&gt;0),IF(ISNUMBER(INDEX($D$5:$D$1000,$R103-4)),DATE(YEAR(INDEX($D$5:$D$1000,$R103-4)),MONTH(INDEX($D$5:$D$1000,$R103-4)),1),IF(ISNUMBER(INDEX($E$5:$E$1000,$R103-4)),DATE(YEAR(INDEX($E$5:$E$1000,$R103-4)),MONTH(INDEX($E$5:$E$1000,$R103-4)),1),MesCiclo)),IF(ISNUMBER($D103),DATE(YEAR($D103),MONTH($D103),1),IF(ISNUMBER($E103),DATE(YEAR($E103),MONTH($E103),1),MesCiclo))))</f>
        <v/>
      </c>
      <c r="Q103" s="71">
        <f>IF(OR($P103="",$P103&lt;&gt;MesCiclo),"",COUNTIF($P$5:$P103,MesCiclo))</f>
        <v/>
      </c>
      <c r="R103" s="71">
        <f>IF($S103="","",IF($S103="Macro",ROW(),IFERROR(LOOKUP(2,1/($S$5:$S103="Macro"),ROW($S$5:$S103)),0)))</f>
        <v/>
      </c>
      <c r="S103" s="71">
        <f>IF(NOT((COUNTA($B103:$J103)+COUNTA($N103))&gt;0),"",IF($B103="Subactividad","Sub","Macro"))</f>
        <v/>
      </c>
      <c r="T103" s="71">
        <f>IF($S103="Macro",COUNTIFS($R$5:$R$1000,ROW(),$S$5:$S$1000,"Sub"),"")</f>
        <v/>
      </c>
      <c r="U103" s="71">
        <f>IF($S103="","",IF(ISNUMBER($G103),$G103,0))</f>
        <v/>
      </c>
      <c r="V103" s="71">
        <f>IF($S103="","",IF(ISNUMBER($H103),$H103,$U103))</f>
        <v/>
      </c>
      <c r="W103" s="71">
        <f>IF($S103="","",IF(ISNUMBER($I103),$I103,$V103))</f>
        <v/>
      </c>
      <c r="X103" s="71">
        <f>IF($S103="","",IF(ISNUMBER($J103),$J103,$W103))</f>
        <v/>
      </c>
      <c r="Y103" s="71">
        <f>IF($S103="","",IF(N($T103)&gt;0,IF(N($AG103)&gt;0,SUMIFS($AC$5:$AC$1000,$R$5:$R$1000,ROW(),$S$5:$S$1000,"Sub")/$AG103,AVERAGEIFS($U$5:$U$1000,$R$5:$R$1000,ROW(),$S$5:$S$1000,"Sub")),$U103))</f>
        <v/>
      </c>
      <c r="Z103" s="71">
        <f>IF($S103="","",IF(N($T103)&gt;0,IF(N($AG103)&gt;0,SUMIFS($AD$5:$AD$1000,$R$5:$R$1000,ROW(),$S$5:$S$1000,"Sub")/$AG103,AVERAGEIFS($V$5:$V$1000,$R$5:$R$1000,ROW(),$S$5:$S$1000,"Sub")),$V103))</f>
        <v/>
      </c>
      <c r="AA103" s="71">
        <f>IF($S103="","",IF(N($T103)&gt;0,IF(N($AG103)&gt;0,SUMIFS($AE$5:$AE$1000,$R$5:$R$1000,ROW(),$S$5:$S$1000,"Sub")/$AG103,AVERAGEIFS($W$5:$W$1000,$R$5:$R$1000,ROW(),$S$5:$S$1000,"Sub")),$W103))</f>
        <v/>
      </c>
      <c r="AB103" s="71">
        <f>IF($S103="","",IF(N($T103)&gt;0,IF(N($AG103)&gt;0,SUMIFS($AF$5:$AF$1000,$R$5:$R$1000,ROW(),$S$5:$S$1000,"Sub")/$AG103,AVERAGEIFS($X$5:$X$1000,$R$5:$R$1000,ROW(),$S$5:$S$1000,"Sub")),$X103))</f>
        <v/>
      </c>
      <c r="AC103" s="71">
        <f>IF($S103="Sub",N($F103)*N($U103),"")</f>
        <v/>
      </c>
      <c r="AD103" s="71">
        <f>IF($S103="Sub",N($F103)*N($V103),"")</f>
        <v/>
      </c>
      <c r="AE103" s="71">
        <f>IF($S103="Sub",N($F103)*N($W103),"")</f>
        <v/>
      </c>
      <c r="AF103" s="71">
        <f>IF($S103="Sub",N($F103)*N($X103),"")</f>
        <v/>
      </c>
      <c r="AG103" s="71">
        <f>IF(N($T103)&gt;0,SUMIFS($F$5:$F$1000,$R$5:$R$1000,ROW(),$S$5:$S$1000,"Sub"),"")</f>
        <v/>
      </c>
    </row>
    <row r="104">
      <c r="A104" s="62">
        <f>IF(NOT((COUNTA($B104:$J104)+COUNTA($N104))&gt;0),"",IF($S104="Macro",COUNTIFS($S$5:$S104,"Macro",$P$5:$P104,$P104),IF(N($R104)=0,"?",COUNTIFS(INDEX($S$5:$S$1000,1):INDEX($S$5:$S$1000,$R104-4),"Macro",INDEX($P$5:$P$1000,1):INDEX($P$5:$P$1000,$R104-4),INDEX($P$5:$P$1000,$R104-4))&amp;"."&amp;COUNTIFS($R$5:$R104,$R104,$S$5:$S104,"Sub"))))</f>
        <v/>
      </c>
      <c r="B104" s="63" t="n"/>
      <c r="C104" s="64" t="n"/>
      <c r="D104" s="65" t="n"/>
      <c r="E104" s="65" t="n"/>
      <c r="F104" s="66" t="n"/>
      <c r="G104" s="67" t="n"/>
      <c r="H104" s="67" t="n"/>
      <c r="I104" s="67" t="n"/>
      <c r="J104" s="67" t="n"/>
      <c r="K104" s="68">
        <f>IF(NOT((COUNTA($B104:$J104)+COUNTA($N104))&gt;0),"",IF(N($T104)&gt;0,$AB104,IFERROR(LOOKUP(2,1/(G104:J104&lt;&gt;""),G104:J104),0)))</f>
        <v/>
      </c>
      <c r="L104" s="62">
        <f>IF(K104="","",IF(K104&gt;=1,"Completado",IF(K104&gt;0,"En curso","Pendiente")))</f>
        <v/>
      </c>
      <c r="M104" s="62">
        <f>IF(NOT((COUNTA($B104:$J104)+COUNTA($N104))&gt;0),"",IF(N($K104)&gt;=1,"Cumplida",IF(NOT(ISNUMBER($E104)),"Sin fecha límite",IF($E104&lt;FechaRef,"Vencida hace "&amp;(FechaRef-$E104)&amp;IF(FechaRef-$E104=1," día"," días"),IF($E104=FechaRef,"Vence hoy",IF($E104-FechaRef&lt;=DiasAlerta,"Vence en "&amp;($E104-FechaRef)&amp;IF($E104-FechaRef=1," día"," días"),"En plazo"))))))</f>
        <v/>
      </c>
      <c r="N104" s="64" t="n"/>
      <c r="O104" s="69">
        <f>IF(NOT((COUNTA($B104:$J104)+COUNTA($N104))&gt;0),"",IF((IF($C104="","Falta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",""))="","✔ OK","⚠ "&amp;LEFT(IF($C104="","Falta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",""),LEN(IF($C104="","Falta el nombre de la actividad"&amp;" · ","")&amp;IF(AND($S104="Sub",N($R104)=0),"Subactividad sin macroactividad arriba"&amp;" · ","")&amp;IF($D104="","Sin fecha de inicio"&amp;" · ","")&amp;IF($E104="","Sin fecha límite"&amp;" · ","")&amp;IF(OR(AND($D104&lt;&gt;"",NOT(ISNUMBER($D104))),AND($E104&lt;&gt;"",NOT(ISNUMBER($E104)))),"Fecha no válida"&amp;" · ","")&amp;IF(AND(ISNUMBER($D104),ISNUMBER($E104),$D104&gt;$E104),"Inicio posterior a fecha límite"&amp;" · ","")&amp;IF(AND($S104="Macro",$F104=""),"Peso vacío"&amp;" · ","")&amp;IF(AND($S104="Macro",$F104&lt;&gt;"",OR(NOT(ISNUMBER($F104)),$F104&lt;=0,$F104&gt;1)),"Peso fuera de rango"&amp;" · ","")&amp;IF(AND($S104="Sub",$F104&lt;&gt;"",OR(NOT(ISNUMBER($F104)),$F104&lt;0,$F104&gt;1)),"Peso fuera de rango"&amp;" · ","")&amp;IF(AND($S104="Sub",$F104="",IFERROR(N(INDEX($AG$5:$AG$1000,$R104-4)),0)&gt;0),"Falta el peso de la subactividad"&amp;" · ","")&amp;IF(AND(N($T104)&gt;0,N($AG104)&gt;0,ABS(N($AG104)-N($F104))&gt;0.0001),"Pesos de sus subactividades suman "&amp;TEXT(N($AG104),"0%")&amp;" (deben sumar "&amp;TEXT(N($F104),"0%")&amp;")"&amp;" · ","")&amp;IF(AND($S104="Macro",ABS(SUMIFS($F$5:$F$1000,$P$5:$P$1000,$P104,$S$5:$S$1000,"Macro")-1)&gt;0.0001),"Pesos del mes suman "&amp;TEXT(SUMIFS($F$5:$F$1000,$P$5:$P$1000,$P104,$S$5:$S$1000,"Macro"),"0%")&amp;" · ","")&amp;IF(AND(N($T104)&gt;0,COUNT($G104:$J104)&gt;0),"Con subactividades: deje vacías las semanas (se calculan solas)"&amp;" · ","")&amp;IF((COUNTIF($G104:$J104,"&gt;1")+COUNTIF($G104:$J104,"&lt;0")+COUNTA($G104:$J104)-COUNT($G104:$J104))&gt;0,"Avance fuera de rango 0-100%"&amp;" · ","")&amp;IF(OR(AND($H104&lt;&gt;"",$H104&lt;$G104),AND($I104&lt;&gt;"",$I104&lt;MAX($G104:$H104)),AND($J104&lt;&gt;"",$J104&lt;MAX($G104:$I104))),"Avance semanal decreciente"&amp;" · ","")&amp;IF(AND(ISNUMBER($E104),$E104&lt;FechaRef,N($K104)&lt;1),"Vencida"&amp;" · ","")&amp;IF(AND(ObsObligatoria="Sí",ISNUMBER($E104),$E104&lt;FechaRef,N($K104)&lt;1,$N104=""),"Vencida sin observación"&amp;" · ",""))-3)))</f>
        <v/>
      </c>
      <c r="P104" s="70">
        <f>IF(NOT((COUNTA($B104:$J104)+COUNTA($N104))&gt;0),"",IF(AND($S104="Sub",N($R104)&gt;0),IF(ISNUMBER(INDEX($D$5:$D$1000,$R104-4)),DATE(YEAR(INDEX($D$5:$D$1000,$R104-4)),MONTH(INDEX($D$5:$D$1000,$R104-4)),1),IF(ISNUMBER(INDEX($E$5:$E$1000,$R104-4)),DATE(YEAR(INDEX($E$5:$E$1000,$R104-4)),MONTH(INDEX($E$5:$E$1000,$R104-4)),1),MesCiclo)),IF(ISNUMBER($D104),DATE(YEAR($D104),MONTH($D104),1),IF(ISNUMBER($E104),DATE(YEAR($E104),MONTH($E104),1),MesCiclo))))</f>
        <v/>
      </c>
      <c r="Q104" s="71">
        <f>IF(OR($P104="",$P104&lt;&gt;MesCiclo),"",COUNTIF($P$5:$P104,MesCiclo))</f>
        <v/>
      </c>
      <c r="R104" s="71">
        <f>IF($S104="","",IF($S104="Macro",ROW(),IFERROR(LOOKUP(2,1/($S$5:$S104="Macro"),ROW($S$5:$S104)),0)))</f>
        <v/>
      </c>
      <c r="S104" s="71">
        <f>IF(NOT((COUNTA($B104:$J104)+COUNTA($N104))&gt;0),"",IF($B104="Subactividad","Sub","Macro"))</f>
        <v/>
      </c>
      <c r="T104" s="71">
        <f>IF($S104="Macro",COUNTIFS($R$5:$R$1000,ROW(),$S$5:$S$1000,"Sub"),"")</f>
        <v/>
      </c>
      <c r="U104" s="71">
        <f>IF($S104="","",IF(ISNUMBER($G104),$G104,0))</f>
        <v/>
      </c>
      <c r="V104" s="71">
        <f>IF($S104="","",IF(ISNUMBER($H104),$H104,$U104))</f>
        <v/>
      </c>
      <c r="W104" s="71">
        <f>IF($S104="","",IF(ISNUMBER($I104),$I104,$V104))</f>
        <v/>
      </c>
      <c r="X104" s="71">
        <f>IF($S104="","",IF(ISNUMBER($J104),$J104,$W104))</f>
        <v/>
      </c>
      <c r="Y104" s="71">
        <f>IF($S104="","",IF(N($T104)&gt;0,IF(N($AG104)&gt;0,SUMIFS($AC$5:$AC$1000,$R$5:$R$1000,ROW(),$S$5:$S$1000,"Sub")/$AG104,AVERAGEIFS($U$5:$U$1000,$R$5:$R$1000,ROW(),$S$5:$S$1000,"Sub")),$U104))</f>
        <v/>
      </c>
      <c r="Z104" s="71">
        <f>IF($S104="","",IF(N($T104)&gt;0,IF(N($AG104)&gt;0,SUMIFS($AD$5:$AD$1000,$R$5:$R$1000,ROW(),$S$5:$S$1000,"Sub")/$AG104,AVERAGEIFS($V$5:$V$1000,$R$5:$R$1000,ROW(),$S$5:$S$1000,"Sub")),$V104))</f>
        <v/>
      </c>
      <c r="AA104" s="71">
        <f>IF($S104="","",IF(N($T104)&gt;0,IF(N($AG104)&gt;0,SUMIFS($AE$5:$AE$1000,$R$5:$R$1000,ROW(),$S$5:$S$1000,"Sub")/$AG104,AVERAGEIFS($W$5:$W$1000,$R$5:$R$1000,ROW(),$S$5:$S$1000,"Sub")),$W104))</f>
        <v/>
      </c>
      <c r="AB104" s="71">
        <f>IF($S104="","",IF(N($T104)&gt;0,IF(N($AG104)&gt;0,SUMIFS($AF$5:$AF$1000,$R$5:$R$1000,ROW(),$S$5:$S$1000,"Sub")/$AG104,AVERAGEIFS($X$5:$X$1000,$R$5:$R$1000,ROW(),$S$5:$S$1000,"Sub")),$X104))</f>
        <v/>
      </c>
      <c r="AC104" s="71">
        <f>IF($S104="Sub",N($F104)*N($U104),"")</f>
        <v/>
      </c>
      <c r="AD104" s="71">
        <f>IF($S104="Sub",N($F104)*N($V104),"")</f>
        <v/>
      </c>
      <c r="AE104" s="71">
        <f>IF($S104="Sub",N($F104)*N($W104),"")</f>
        <v/>
      </c>
      <c r="AF104" s="71">
        <f>IF($S104="Sub",N($F104)*N($X104),"")</f>
        <v/>
      </c>
      <c r="AG104" s="71">
        <f>IF(N($T104)&gt;0,SUMIFS($F$5:$F$1000,$R$5:$R$1000,ROW(),$S$5:$S$1000,"Sub"),"")</f>
        <v/>
      </c>
    </row>
    <row r="105">
      <c r="A105" s="62">
        <f>IF(NOT((COUNTA($B105:$J105)+COUNTA($N105))&gt;0),"",IF($S105="Macro",COUNTIFS($S$5:$S105,"Macro",$P$5:$P105,$P105),IF(N($R105)=0,"?",COUNTIFS(INDEX($S$5:$S$1000,1):INDEX($S$5:$S$1000,$R105-4),"Macro",INDEX($P$5:$P$1000,1):INDEX($P$5:$P$1000,$R105-4),INDEX($P$5:$P$1000,$R105-4))&amp;"."&amp;COUNTIFS($R$5:$R105,$R105,$S$5:$S105,"Sub"))))</f>
        <v/>
      </c>
      <c r="B105" s="63" t="n"/>
      <c r="C105" s="64" t="n"/>
      <c r="D105" s="65" t="n"/>
      <c r="E105" s="65" t="n"/>
      <c r="F105" s="66" t="n"/>
      <c r="G105" s="67" t="n"/>
      <c r="H105" s="67" t="n"/>
      <c r="I105" s="67" t="n"/>
      <c r="J105" s="67" t="n"/>
      <c r="K105" s="68">
        <f>IF(NOT((COUNTA($B105:$J105)+COUNTA($N105))&gt;0),"",IF(N($T105)&gt;0,$AB105,IFERROR(LOOKUP(2,1/(G105:J105&lt;&gt;""),G105:J105),0)))</f>
        <v/>
      </c>
      <c r="L105" s="62">
        <f>IF(K105="","",IF(K105&gt;=1,"Completado",IF(K105&gt;0,"En curso","Pendiente")))</f>
        <v/>
      </c>
      <c r="M105" s="62">
        <f>IF(NOT((COUNTA($B105:$J105)+COUNTA($N105))&gt;0),"",IF(N($K105)&gt;=1,"Cumplida",IF(NOT(ISNUMBER($E105)),"Sin fecha límite",IF($E105&lt;FechaRef,"Vencida hace "&amp;(FechaRef-$E105)&amp;IF(FechaRef-$E105=1," día"," días"),IF($E105=FechaRef,"Vence hoy",IF($E105-FechaRef&lt;=DiasAlerta,"Vence en "&amp;($E105-FechaRef)&amp;IF($E105-FechaRef=1," día"," días"),"En plazo"))))))</f>
        <v/>
      </c>
      <c r="N105" s="64" t="n"/>
      <c r="O105" s="69">
        <f>IF(NOT((COUNTA($B105:$J105)+COUNTA($N105))&gt;0),"",IF((IF($C105="","Falta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",""))="","✔ OK","⚠ "&amp;LEFT(IF($C105="","Falta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",""),LEN(IF($C105="","Falta el nombre de la actividad"&amp;" · ","")&amp;IF(AND($S105="Sub",N($R105)=0),"Subactividad sin macroactividad arriba"&amp;" · ","")&amp;IF($D105="","Sin fecha de inicio"&amp;" · ","")&amp;IF($E105="","Sin fecha límite"&amp;" · ","")&amp;IF(OR(AND($D105&lt;&gt;"",NOT(ISNUMBER($D105))),AND($E105&lt;&gt;"",NOT(ISNUMBER($E105)))),"Fecha no válida"&amp;" · ","")&amp;IF(AND(ISNUMBER($D105),ISNUMBER($E105),$D105&gt;$E105),"Inicio posterior a fecha límite"&amp;" · ","")&amp;IF(AND($S105="Macro",$F105=""),"Peso vacío"&amp;" · ","")&amp;IF(AND($S105="Macro",$F105&lt;&gt;"",OR(NOT(ISNUMBER($F105)),$F105&lt;=0,$F105&gt;1)),"Peso fuera de rango"&amp;" · ","")&amp;IF(AND($S105="Sub",$F105&lt;&gt;"",OR(NOT(ISNUMBER($F105)),$F105&lt;0,$F105&gt;1)),"Peso fuera de rango"&amp;" · ","")&amp;IF(AND($S105="Sub",$F105="",IFERROR(N(INDEX($AG$5:$AG$1000,$R105-4)),0)&gt;0),"Falta el peso de la subactividad"&amp;" · ","")&amp;IF(AND(N($T105)&gt;0,N($AG105)&gt;0,ABS(N($AG105)-N($F105))&gt;0.0001),"Pesos de sus subactividades suman "&amp;TEXT(N($AG105),"0%")&amp;" (deben sumar "&amp;TEXT(N($F105),"0%")&amp;")"&amp;" · ","")&amp;IF(AND($S105="Macro",ABS(SUMIFS($F$5:$F$1000,$P$5:$P$1000,$P105,$S$5:$S$1000,"Macro")-1)&gt;0.0001),"Pesos del mes suman "&amp;TEXT(SUMIFS($F$5:$F$1000,$P$5:$P$1000,$P105,$S$5:$S$1000,"Macro"),"0%")&amp;" · ","")&amp;IF(AND(N($T105)&gt;0,COUNT($G105:$J105)&gt;0),"Con subactividades: deje vacías las semanas (se calculan solas)"&amp;" · ","")&amp;IF((COUNTIF($G105:$J105,"&gt;1")+COUNTIF($G105:$J105,"&lt;0")+COUNTA($G105:$J105)-COUNT($G105:$J105))&gt;0,"Avance fuera de rango 0-100%"&amp;" · ","")&amp;IF(OR(AND($H105&lt;&gt;"",$H105&lt;$G105),AND($I105&lt;&gt;"",$I105&lt;MAX($G105:$H105)),AND($J105&lt;&gt;"",$J105&lt;MAX($G105:$I105))),"Avance semanal decreciente"&amp;" · ","")&amp;IF(AND(ISNUMBER($E105),$E105&lt;FechaRef,N($K105)&lt;1),"Vencida"&amp;" · ","")&amp;IF(AND(ObsObligatoria="Sí",ISNUMBER($E105),$E105&lt;FechaRef,N($K105)&lt;1,$N105=""),"Vencida sin observación"&amp;" · ",""))-3)))</f>
        <v/>
      </c>
      <c r="P105" s="70">
        <f>IF(NOT((COUNTA($B105:$J105)+COUNTA($N105))&gt;0),"",IF(AND($S105="Sub",N($R105)&gt;0),IF(ISNUMBER(INDEX($D$5:$D$1000,$R105-4)),DATE(YEAR(INDEX($D$5:$D$1000,$R105-4)),MONTH(INDEX($D$5:$D$1000,$R105-4)),1),IF(ISNUMBER(INDEX($E$5:$E$1000,$R105-4)),DATE(YEAR(INDEX($E$5:$E$1000,$R105-4)),MONTH(INDEX($E$5:$E$1000,$R105-4)),1),MesCiclo)),IF(ISNUMBER($D105),DATE(YEAR($D105),MONTH($D105),1),IF(ISNUMBER($E105),DATE(YEAR($E105),MONTH($E105),1),MesCiclo))))</f>
        <v/>
      </c>
      <c r="Q105" s="71">
        <f>IF(OR($P105="",$P105&lt;&gt;MesCiclo),"",COUNTIF($P$5:$P105,MesCiclo))</f>
        <v/>
      </c>
      <c r="R105" s="71">
        <f>IF($S105="","",IF($S105="Macro",ROW(),IFERROR(LOOKUP(2,1/($S$5:$S105="Macro"),ROW($S$5:$S105)),0)))</f>
        <v/>
      </c>
      <c r="S105" s="71">
        <f>IF(NOT((COUNTA($B105:$J105)+COUNTA($N105))&gt;0),"",IF($B105="Subactividad","Sub","Macro"))</f>
        <v/>
      </c>
      <c r="T105" s="71">
        <f>IF($S105="Macro",COUNTIFS($R$5:$R$1000,ROW(),$S$5:$S$1000,"Sub"),"")</f>
        <v/>
      </c>
      <c r="U105" s="71">
        <f>IF($S105="","",IF(ISNUMBER($G105),$G105,0))</f>
        <v/>
      </c>
      <c r="V105" s="71">
        <f>IF($S105="","",IF(ISNUMBER($H105),$H105,$U105))</f>
        <v/>
      </c>
      <c r="W105" s="71">
        <f>IF($S105="","",IF(ISNUMBER($I105),$I105,$V105))</f>
        <v/>
      </c>
      <c r="X105" s="71">
        <f>IF($S105="","",IF(ISNUMBER($J105),$J105,$W105))</f>
        <v/>
      </c>
      <c r="Y105" s="71">
        <f>IF($S105="","",IF(N($T105)&gt;0,IF(N($AG105)&gt;0,SUMIFS($AC$5:$AC$1000,$R$5:$R$1000,ROW(),$S$5:$S$1000,"Sub")/$AG105,AVERAGEIFS($U$5:$U$1000,$R$5:$R$1000,ROW(),$S$5:$S$1000,"Sub")),$U105))</f>
        <v/>
      </c>
      <c r="Z105" s="71">
        <f>IF($S105="","",IF(N($T105)&gt;0,IF(N($AG105)&gt;0,SUMIFS($AD$5:$AD$1000,$R$5:$R$1000,ROW(),$S$5:$S$1000,"Sub")/$AG105,AVERAGEIFS($V$5:$V$1000,$R$5:$R$1000,ROW(),$S$5:$S$1000,"Sub")),$V105))</f>
        <v/>
      </c>
      <c r="AA105" s="71">
        <f>IF($S105="","",IF(N($T105)&gt;0,IF(N($AG105)&gt;0,SUMIFS($AE$5:$AE$1000,$R$5:$R$1000,ROW(),$S$5:$S$1000,"Sub")/$AG105,AVERAGEIFS($W$5:$W$1000,$R$5:$R$1000,ROW(),$S$5:$S$1000,"Sub")),$W105))</f>
        <v/>
      </c>
      <c r="AB105" s="71">
        <f>IF($S105="","",IF(N($T105)&gt;0,IF(N($AG105)&gt;0,SUMIFS($AF$5:$AF$1000,$R$5:$R$1000,ROW(),$S$5:$S$1000,"Sub")/$AG105,AVERAGEIFS($X$5:$X$1000,$R$5:$R$1000,ROW(),$S$5:$S$1000,"Sub")),$X105))</f>
        <v/>
      </c>
      <c r="AC105" s="71">
        <f>IF($S105="Sub",N($F105)*N($U105),"")</f>
        <v/>
      </c>
      <c r="AD105" s="71">
        <f>IF($S105="Sub",N($F105)*N($V105),"")</f>
        <v/>
      </c>
      <c r="AE105" s="71">
        <f>IF($S105="Sub",N($F105)*N($W105),"")</f>
        <v/>
      </c>
      <c r="AF105" s="71">
        <f>IF($S105="Sub",N($F105)*N($X105),"")</f>
        <v/>
      </c>
      <c r="AG105" s="71">
        <f>IF(N($T105)&gt;0,SUMIFS($F$5:$F$1000,$R$5:$R$1000,ROW(),$S$5:$S$1000,"Sub"),"")</f>
        <v/>
      </c>
    </row>
    <row r="106">
      <c r="A106" s="62">
        <f>IF(NOT((COUNTA($B106:$J106)+COUNTA($N106))&gt;0),"",IF($S106="Macro",COUNTIFS($S$5:$S106,"Macro",$P$5:$P106,$P106),IF(N($R106)=0,"?",COUNTIFS(INDEX($S$5:$S$1000,1):INDEX($S$5:$S$1000,$R106-4),"Macro",INDEX($P$5:$P$1000,1):INDEX($P$5:$P$1000,$R106-4),INDEX($P$5:$P$1000,$R106-4))&amp;"."&amp;COUNTIFS($R$5:$R106,$R106,$S$5:$S106,"Sub"))))</f>
        <v/>
      </c>
      <c r="B106" s="63" t="n"/>
      <c r="C106" s="64" t="n"/>
      <c r="D106" s="65" t="n"/>
      <c r="E106" s="65" t="n"/>
      <c r="F106" s="66" t="n"/>
      <c r="G106" s="67" t="n"/>
      <c r="H106" s="67" t="n"/>
      <c r="I106" s="67" t="n"/>
      <c r="J106" s="67" t="n"/>
      <c r="K106" s="68">
        <f>IF(NOT((COUNTA($B106:$J106)+COUNTA($N106))&gt;0),"",IF(N($T106)&gt;0,$AB106,IFERROR(LOOKUP(2,1/(G106:J106&lt;&gt;""),G106:J106),0)))</f>
        <v/>
      </c>
      <c r="L106" s="62">
        <f>IF(K106="","",IF(K106&gt;=1,"Completado",IF(K106&gt;0,"En curso","Pendiente")))</f>
        <v/>
      </c>
      <c r="M106" s="62">
        <f>IF(NOT((COUNTA($B106:$J106)+COUNTA($N106))&gt;0),"",IF(N($K106)&gt;=1,"Cumplida",IF(NOT(ISNUMBER($E106)),"Sin fecha límite",IF($E106&lt;FechaRef,"Vencida hace "&amp;(FechaRef-$E106)&amp;IF(FechaRef-$E106=1," día"," días"),IF($E106=FechaRef,"Vence hoy",IF($E106-FechaRef&lt;=DiasAlerta,"Vence en "&amp;($E106-FechaRef)&amp;IF($E106-FechaRef=1," día"," días"),"En plazo"))))))</f>
        <v/>
      </c>
      <c r="N106" s="64" t="n"/>
      <c r="O106" s="69">
        <f>IF(NOT((COUNTA($B106:$J106)+COUNTA($N106))&gt;0),"",IF((IF($C106="","Falta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",""))="","✔ OK","⚠ "&amp;LEFT(IF($C106="","Falta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",""),LEN(IF($C106="","Falta el nombre de la actividad"&amp;" · ","")&amp;IF(AND($S106="Sub",N($R106)=0),"Subactividad sin macroactividad arriba"&amp;" · ","")&amp;IF($D106="","Sin fecha de inicio"&amp;" · ","")&amp;IF($E106="","Sin fecha límite"&amp;" · ","")&amp;IF(OR(AND($D106&lt;&gt;"",NOT(ISNUMBER($D106))),AND($E106&lt;&gt;"",NOT(ISNUMBER($E106)))),"Fecha no válida"&amp;" · ","")&amp;IF(AND(ISNUMBER($D106),ISNUMBER($E106),$D106&gt;$E106),"Inicio posterior a fecha límite"&amp;" · ","")&amp;IF(AND($S106="Macro",$F106=""),"Peso vacío"&amp;" · ","")&amp;IF(AND($S106="Macro",$F106&lt;&gt;"",OR(NOT(ISNUMBER($F106)),$F106&lt;=0,$F106&gt;1)),"Peso fuera de rango"&amp;" · ","")&amp;IF(AND($S106="Sub",$F106&lt;&gt;"",OR(NOT(ISNUMBER($F106)),$F106&lt;0,$F106&gt;1)),"Peso fuera de rango"&amp;" · ","")&amp;IF(AND($S106="Sub",$F106="",IFERROR(N(INDEX($AG$5:$AG$1000,$R106-4)),0)&gt;0),"Falta el peso de la subactividad"&amp;" · ","")&amp;IF(AND(N($T106)&gt;0,N($AG106)&gt;0,ABS(N($AG106)-N($F106))&gt;0.0001),"Pesos de sus subactividades suman "&amp;TEXT(N($AG106),"0%")&amp;" (deben sumar "&amp;TEXT(N($F106),"0%")&amp;")"&amp;" · ","")&amp;IF(AND($S106="Macro",ABS(SUMIFS($F$5:$F$1000,$P$5:$P$1000,$P106,$S$5:$S$1000,"Macro")-1)&gt;0.0001),"Pesos del mes suman "&amp;TEXT(SUMIFS($F$5:$F$1000,$P$5:$P$1000,$P106,$S$5:$S$1000,"Macro"),"0%")&amp;" · ","")&amp;IF(AND(N($T106)&gt;0,COUNT($G106:$J106)&gt;0),"Con subactividades: deje vacías las semanas (se calculan solas)"&amp;" · ","")&amp;IF((COUNTIF($G106:$J106,"&gt;1")+COUNTIF($G106:$J106,"&lt;0")+COUNTA($G106:$J106)-COUNT($G106:$J106))&gt;0,"Avance fuera de rango 0-100%"&amp;" · ","")&amp;IF(OR(AND($H106&lt;&gt;"",$H106&lt;$G106),AND($I106&lt;&gt;"",$I106&lt;MAX($G106:$H106)),AND($J106&lt;&gt;"",$J106&lt;MAX($G106:$I106))),"Avance semanal decreciente"&amp;" · ","")&amp;IF(AND(ISNUMBER($E106),$E106&lt;FechaRef,N($K106)&lt;1),"Vencida"&amp;" · ","")&amp;IF(AND(ObsObligatoria="Sí",ISNUMBER($E106),$E106&lt;FechaRef,N($K106)&lt;1,$N106=""),"Vencida sin observación"&amp;" · ",""))-3)))</f>
        <v/>
      </c>
      <c r="P106" s="70">
        <f>IF(NOT((COUNTA($B106:$J106)+COUNTA($N106))&gt;0),"",IF(AND($S106="Sub",N($R106)&gt;0),IF(ISNUMBER(INDEX($D$5:$D$1000,$R106-4)),DATE(YEAR(INDEX($D$5:$D$1000,$R106-4)),MONTH(INDEX($D$5:$D$1000,$R106-4)),1),IF(ISNUMBER(INDEX($E$5:$E$1000,$R106-4)),DATE(YEAR(INDEX($E$5:$E$1000,$R106-4)),MONTH(INDEX($E$5:$E$1000,$R106-4)),1),MesCiclo)),IF(ISNUMBER($D106),DATE(YEAR($D106),MONTH($D106),1),IF(ISNUMBER($E106),DATE(YEAR($E106),MONTH($E106),1),MesCiclo))))</f>
        <v/>
      </c>
      <c r="Q106" s="71">
        <f>IF(OR($P106="",$P106&lt;&gt;MesCiclo),"",COUNTIF($P$5:$P106,MesCiclo))</f>
        <v/>
      </c>
      <c r="R106" s="71">
        <f>IF($S106="","",IF($S106="Macro",ROW(),IFERROR(LOOKUP(2,1/($S$5:$S106="Macro"),ROW($S$5:$S106)),0)))</f>
        <v/>
      </c>
      <c r="S106" s="71">
        <f>IF(NOT((COUNTA($B106:$J106)+COUNTA($N106))&gt;0),"",IF($B106="Subactividad","Sub","Macro"))</f>
        <v/>
      </c>
      <c r="T106" s="71">
        <f>IF($S106="Macro",COUNTIFS($R$5:$R$1000,ROW(),$S$5:$S$1000,"Sub"),"")</f>
        <v/>
      </c>
      <c r="U106" s="71">
        <f>IF($S106="","",IF(ISNUMBER($G106),$G106,0))</f>
        <v/>
      </c>
      <c r="V106" s="71">
        <f>IF($S106="","",IF(ISNUMBER($H106),$H106,$U106))</f>
        <v/>
      </c>
      <c r="W106" s="71">
        <f>IF($S106="","",IF(ISNUMBER($I106),$I106,$V106))</f>
        <v/>
      </c>
      <c r="X106" s="71">
        <f>IF($S106="","",IF(ISNUMBER($J106),$J106,$W106))</f>
        <v/>
      </c>
      <c r="Y106" s="71">
        <f>IF($S106="","",IF(N($T106)&gt;0,IF(N($AG106)&gt;0,SUMIFS($AC$5:$AC$1000,$R$5:$R$1000,ROW(),$S$5:$S$1000,"Sub")/$AG106,AVERAGEIFS($U$5:$U$1000,$R$5:$R$1000,ROW(),$S$5:$S$1000,"Sub")),$U106))</f>
        <v/>
      </c>
      <c r="Z106" s="71">
        <f>IF($S106="","",IF(N($T106)&gt;0,IF(N($AG106)&gt;0,SUMIFS($AD$5:$AD$1000,$R$5:$R$1000,ROW(),$S$5:$S$1000,"Sub")/$AG106,AVERAGEIFS($V$5:$V$1000,$R$5:$R$1000,ROW(),$S$5:$S$1000,"Sub")),$V106))</f>
        <v/>
      </c>
      <c r="AA106" s="71">
        <f>IF($S106="","",IF(N($T106)&gt;0,IF(N($AG106)&gt;0,SUMIFS($AE$5:$AE$1000,$R$5:$R$1000,ROW(),$S$5:$S$1000,"Sub")/$AG106,AVERAGEIFS($W$5:$W$1000,$R$5:$R$1000,ROW(),$S$5:$S$1000,"Sub")),$W106))</f>
        <v/>
      </c>
      <c r="AB106" s="71">
        <f>IF($S106="","",IF(N($T106)&gt;0,IF(N($AG106)&gt;0,SUMIFS($AF$5:$AF$1000,$R$5:$R$1000,ROW(),$S$5:$S$1000,"Sub")/$AG106,AVERAGEIFS($X$5:$X$1000,$R$5:$R$1000,ROW(),$S$5:$S$1000,"Sub")),$X106))</f>
        <v/>
      </c>
      <c r="AC106" s="71">
        <f>IF($S106="Sub",N($F106)*N($U106),"")</f>
        <v/>
      </c>
      <c r="AD106" s="71">
        <f>IF($S106="Sub",N($F106)*N($V106),"")</f>
        <v/>
      </c>
      <c r="AE106" s="71">
        <f>IF($S106="Sub",N($F106)*N($W106),"")</f>
        <v/>
      </c>
      <c r="AF106" s="71">
        <f>IF($S106="Sub",N($F106)*N($X106),"")</f>
        <v/>
      </c>
      <c r="AG106" s="71">
        <f>IF(N($T106)&gt;0,SUMIFS($F$5:$F$1000,$R$5:$R$1000,ROW(),$S$5:$S$1000,"Sub"),"")</f>
        <v/>
      </c>
    </row>
    <row r="107">
      <c r="A107" s="62">
        <f>IF(NOT((COUNTA($B107:$J107)+COUNTA($N107))&gt;0),"",IF($S107="Macro",COUNTIFS($S$5:$S107,"Macro",$P$5:$P107,$P107),IF(N($R107)=0,"?",COUNTIFS(INDEX($S$5:$S$1000,1):INDEX($S$5:$S$1000,$R107-4),"Macro",INDEX($P$5:$P$1000,1):INDEX($P$5:$P$1000,$R107-4),INDEX($P$5:$P$1000,$R107-4))&amp;"."&amp;COUNTIFS($R$5:$R107,$R107,$S$5:$S107,"Sub"))))</f>
        <v/>
      </c>
      <c r="B107" s="63" t="n"/>
      <c r="C107" s="64" t="n"/>
      <c r="D107" s="65" t="n"/>
      <c r="E107" s="65" t="n"/>
      <c r="F107" s="66" t="n"/>
      <c r="G107" s="67" t="n"/>
      <c r="H107" s="67" t="n"/>
      <c r="I107" s="67" t="n"/>
      <c r="J107" s="67" t="n"/>
      <c r="K107" s="68">
        <f>IF(NOT((COUNTA($B107:$J107)+COUNTA($N107))&gt;0),"",IF(N($T107)&gt;0,$AB107,IFERROR(LOOKUP(2,1/(G107:J107&lt;&gt;""),G107:J107),0)))</f>
        <v/>
      </c>
      <c r="L107" s="62">
        <f>IF(K107="","",IF(K107&gt;=1,"Completado",IF(K107&gt;0,"En curso","Pendiente")))</f>
        <v/>
      </c>
      <c r="M107" s="62">
        <f>IF(NOT((COUNTA($B107:$J107)+COUNTA($N107))&gt;0),"",IF(N($K107)&gt;=1,"Cumplida",IF(NOT(ISNUMBER($E107)),"Sin fecha límite",IF($E107&lt;FechaRef,"Vencida hace "&amp;(FechaRef-$E107)&amp;IF(FechaRef-$E107=1," día"," días"),IF($E107=FechaRef,"Vence hoy",IF($E107-FechaRef&lt;=DiasAlerta,"Vence en "&amp;($E107-FechaRef)&amp;IF($E107-FechaRef=1," día"," días"),"En plazo"))))))</f>
        <v/>
      </c>
      <c r="N107" s="64" t="n"/>
      <c r="O107" s="69">
        <f>IF(NOT((COUNTA($B107:$J107)+COUNTA($N107))&gt;0),"",IF((IF($C107="","Falta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",""))="","✔ OK","⚠ "&amp;LEFT(IF($C107="","Falta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",""),LEN(IF($C107="","Falta el nombre de la actividad"&amp;" · ","")&amp;IF(AND($S107="Sub",N($R107)=0),"Subactividad sin macroactividad arriba"&amp;" · ","")&amp;IF($D107="","Sin fecha de inicio"&amp;" · ","")&amp;IF($E107="","Sin fecha límite"&amp;" · ","")&amp;IF(OR(AND($D107&lt;&gt;"",NOT(ISNUMBER($D107))),AND($E107&lt;&gt;"",NOT(ISNUMBER($E107)))),"Fecha no válida"&amp;" · ","")&amp;IF(AND(ISNUMBER($D107),ISNUMBER($E107),$D107&gt;$E107),"Inicio posterior a fecha límite"&amp;" · ","")&amp;IF(AND($S107="Macro",$F107=""),"Peso vacío"&amp;" · ","")&amp;IF(AND($S107="Macro",$F107&lt;&gt;"",OR(NOT(ISNUMBER($F107)),$F107&lt;=0,$F107&gt;1)),"Peso fuera de rango"&amp;" · ","")&amp;IF(AND($S107="Sub",$F107&lt;&gt;"",OR(NOT(ISNUMBER($F107)),$F107&lt;0,$F107&gt;1)),"Peso fuera de rango"&amp;" · ","")&amp;IF(AND($S107="Sub",$F107="",IFERROR(N(INDEX($AG$5:$AG$1000,$R107-4)),0)&gt;0),"Falta el peso de la subactividad"&amp;" · ","")&amp;IF(AND(N($T107)&gt;0,N($AG107)&gt;0,ABS(N($AG107)-N($F107))&gt;0.0001),"Pesos de sus subactividades suman "&amp;TEXT(N($AG107),"0%")&amp;" (deben sumar "&amp;TEXT(N($F107),"0%")&amp;")"&amp;" · ","")&amp;IF(AND($S107="Macro",ABS(SUMIFS($F$5:$F$1000,$P$5:$P$1000,$P107,$S$5:$S$1000,"Macro")-1)&gt;0.0001),"Pesos del mes suman "&amp;TEXT(SUMIFS($F$5:$F$1000,$P$5:$P$1000,$P107,$S$5:$S$1000,"Macro"),"0%")&amp;" · ","")&amp;IF(AND(N($T107)&gt;0,COUNT($G107:$J107)&gt;0),"Con subactividades: deje vacías las semanas (se calculan solas)"&amp;" · ","")&amp;IF((COUNTIF($G107:$J107,"&gt;1")+COUNTIF($G107:$J107,"&lt;0")+COUNTA($G107:$J107)-COUNT($G107:$J107))&gt;0,"Avance fuera de rango 0-100%"&amp;" · ","")&amp;IF(OR(AND($H107&lt;&gt;"",$H107&lt;$G107),AND($I107&lt;&gt;"",$I107&lt;MAX($G107:$H107)),AND($J107&lt;&gt;"",$J107&lt;MAX($G107:$I107))),"Avance semanal decreciente"&amp;" · ","")&amp;IF(AND(ISNUMBER($E107),$E107&lt;FechaRef,N($K107)&lt;1),"Vencida"&amp;" · ","")&amp;IF(AND(ObsObligatoria="Sí",ISNUMBER($E107),$E107&lt;FechaRef,N($K107)&lt;1,$N107=""),"Vencida sin observación"&amp;" · ",""))-3)))</f>
        <v/>
      </c>
      <c r="P107" s="70">
        <f>IF(NOT((COUNTA($B107:$J107)+COUNTA($N107))&gt;0),"",IF(AND($S107="Sub",N($R107)&gt;0),IF(ISNUMBER(INDEX($D$5:$D$1000,$R107-4)),DATE(YEAR(INDEX($D$5:$D$1000,$R107-4)),MONTH(INDEX($D$5:$D$1000,$R107-4)),1),IF(ISNUMBER(INDEX($E$5:$E$1000,$R107-4)),DATE(YEAR(INDEX($E$5:$E$1000,$R107-4)),MONTH(INDEX($E$5:$E$1000,$R107-4)),1),MesCiclo)),IF(ISNUMBER($D107),DATE(YEAR($D107),MONTH($D107),1),IF(ISNUMBER($E107),DATE(YEAR($E107),MONTH($E107),1),MesCiclo))))</f>
        <v/>
      </c>
      <c r="Q107" s="71">
        <f>IF(OR($P107="",$P107&lt;&gt;MesCiclo),"",COUNTIF($P$5:$P107,MesCiclo))</f>
        <v/>
      </c>
      <c r="R107" s="71">
        <f>IF($S107="","",IF($S107="Macro",ROW(),IFERROR(LOOKUP(2,1/($S$5:$S107="Macro"),ROW($S$5:$S107)),0)))</f>
        <v/>
      </c>
      <c r="S107" s="71">
        <f>IF(NOT((COUNTA($B107:$J107)+COUNTA($N107))&gt;0),"",IF($B107="Subactividad","Sub","Macro"))</f>
        <v/>
      </c>
      <c r="T107" s="71">
        <f>IF($S107="Macro",COUNTIFS($R$5:$R$1000,ROW(),$S$5:$S$1000,"Sub"),"")</f>
        <v/>
      </c>
      <c r="U107" s="71">
        <f>IF($S107="","",IF(ISNUMBER($G107),$G107,0))</f>
        <v/>
      </c>
      <c r="V107" s="71">
        <f>IF($S107="","",IF(ISNUMBER($H107),$H107,$U107))</f>
        <v/>
      </c>
      <c r="W107" s="71">
        <f>IF($S107="","",IF(ISNUMBER($I107),$I107,$V107))</f>
        <v/>
      </c>
      <c r="X107" s="71">
        <f>IF($S107="","",IF(ISNUMBER($J107),$J107,$W107))</f>
        <v/>
      </c>
      <c r="Y107" s="71">
        <f>IF($S107="","",IF(N($T107)&gt;0,IF(N($AG107)&gt;0,SUMIFS($AC$5:$AC$1000,$R$5:$R$1000,ROW(),$S$5:$S$1000,"Sub")/$AG107,AVERAGEIFS($U$5:$U$1000,$R$5:$R$1000,ROW(),$S$5:$S$1000,"Sub")),$U107))</f>
        <v/>
      </c>
      <c r="Z107" s="71">
        <f>IF($S107="","",IF(N($T107)&gt;0,IF(N($AG107)&gt;0,SUMIFS($AD$5:$AD$1000,$R$5:$R$1000,ROW(),$S$5:$S$1000,"Sub")/$AG107,AVERAGEIFS($V$5:$V$1000,$R$5:$R$1000,ROW(),$S$5:$S$1000,"Sub")),$V107))</f>
        <v/>
      </c>
      <c r="AA107" s="71">
        <f>IF($S107="","",IF(N($T107)&gt;0,IF(N($AG107)&gt;0,SUMIFS($AE$5:$AE$1000,$R$5:$R$1000,ROW(),$S$5:$S$1000,"Sub")/$AG107,AVERAGEIFS($W$5:$W$1000,$R$5:$R$1000,ROW(),$S$5:$S$1000,"Sub")),$W107))</f>
        <v/>
      </c>
      <c r="AB107" s="71">
        <f>IF($S107="","",IF(N($T107)&gt;0,IF(N($AG107)&gt;0,SUMIFS($AF$5:$AF$1000,$R$5:$R$1000,ROW(),$S$5:$S$1000,"Sub")/$AG107,AVERAGEIFS($X$5:$X$1000,$R$5:$R$1000,ROW(),$S$5:$S$1000,"Sub")),$X107))</f>
        <v/>
      </c>
      <c r="AC107" s="71">
        <f>IF($S107="Sub",N($F107)*N($U107),"")</f>
        <v/>
      </c>
      <c r="AD107" s="71">
        <f>IF($S107="Sub",N($F107)*N($V107),"")</f>
        <v/>
      </c>
      <c r="AE107" s="71">
        <f>IF($S107="Sub",N($F107)*N($W107),"")</f>
        <v/>
      </c>
      <c r="AF107" s="71">
        <f>IF($S107="Sub",N($F107)*N($X107),"")</f>
        <v/>
      </c>
      <c r="AG107" s="71">
        <f>IF(N($T107)&gt;0,SUMIFS($F$5:$F$1000,$R$5:$R$1000,ROW(),$S$5:$S$1000,"Sub"),"")</f>
        <v/>
      </c>
    </row>
    <row r="108">
      <c r="A108" s="62">
        <f>IF(NOT((COUNTA($B108:$J108)+COUNTA($N108))&gt;0),"",IF($S108="Macro",COUNTIFS($S$5:$S108,"Macro",$P$5:$P108,$P108),IF(N($R108)=0,"?",COUNTIFS(INDEX($S$5:$S$1000,1):INDEX($S$5:$S$1000,$R108-4),"Macro",INDEX($P$5:$P$1000,1):INDEX($P$5:$P$1000,$R108-4),INDEX($P$5:$P$1000,$R108-4))&amp;"."&amp;COUNTIFS($R$5:$R108,$R108,$S$5:$S108,"Sub"))))</f>
        <v/>
      </c>
      <c r="B108" s="63" t="n"/>
      <c r="C108" s="64" t="n"/>
      <c r="D108" s="65" t="n"/>
      <c r="E108" s="65" t="n"/>
      <c r="F108" s="66" t="n"/>
      <c r="G108" s="67" t="n"/>
      <c r="H108" s="67" t="n"/>
      <c r="I108" s="67" t="n"/>
      <c r="J108" s="67" t="n"/>
      <c r="K108" s="68">
        <f>IF(NOT((COUNTA($B108:$J108)+COUNTA($N108))&gt;0),"",IF(N($T108)&gt;0,$AB108,IFERROR(LOOKUP(2,1/(G108:J108&lt;&gt;""),G108:J108),0)))</f>
        <v/>
      </c>
      <c r="L108" s="62">
        <f>IF(K108="","",IF(K108&gt;=1,"Completado",IF(K108&gt;0,"En curso","Pendiente")))</f>
        <v/>
      </c>
      <c r="M108" s="62">
        <f>IF(NOT((COUNTA($B108:$J108)+COUNTA($N108))&gt;0),"",IF(N($K108)&gt;=1,"Cumplida",IF(NOT(ISNUMBER($E108)),"Sin fecha límite",IF($E108&lt;FechaRef,"Vencida hace "&amp;(FechaRef-$E108)&amp;IF(FechaRef-$E108=1," día"," días"),IF($E108=FechaRef,"Vence hoy",IF($E108-FechaRef&lt;=DiasAlerta,"Vence en "&amp;($E108-FechaRef)&amp;IF($E108-FechaRef=1," día"," días"),"En plazo"))))))</f>
        <v/>
      </c>
      <c r="N108" s="64" t="n"/>
      <c r="O108" s="69">
        <f>IF(NOT((COUNTA($B108:$J108)+COUNTA($N108))&gt;0),"",IF((IF($C108="","Falta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",""))="","✔ OK","⚠ "&amp;LEFT(IF($C108="","Falta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",""),LEN(IF($C108="","Falta el nombre de la actividad"&amp;" · ","")&amp;IF(AND($S108="Sub",N($R108)=0),"Subactividad sin macroactividad arriba"&amp;" · ","")&amp;IF($D108="","Sin fecha de inicio"&amp;" · ","")&amp;IF($E108="","Sin fecha límite"&amp;" · ","")&amp;IF(OR(AND($D108&lt;&gt;"",NOT(ISNUMBER($D108))),AND($E108&lt;&gt;"",NOT(ISNUMBER($E108)))),"Fecha no válida"&amp;" · ","")&amp;IF(AND(ISNUMBER($D108),ISNUMBER($E108),$D108&gt;$E108),"Inicio posterior a fecha límite"&amp;" · ","")&amp;IF(AND($S108="Macro",$F108=""),"Peso vacío"&amp;" · ","")&amp;IF(AND($S108="Macro",$F108&lt;&gt;"",OR(NOT(ISNUMBER($F108)),$F108&lt;=0,$F108&gt;1)),"Peso fuera de rango"&amp;" · ","")&amp;IF(AND($S108="Sub",$F108&lt;&gt;"",OR(NOT(ISNUMBER($F108)),$F108&lt;0,$F108&gt;1)),"Peso fuera de rango"&amp;" · ","")&amp;IF(AND($S108="Sub",$F108="",IFERROR(N(INDEX($AG$5:$AG$1000,$R108-4)),0)&gt;0),"Falta el peso de la subactividad"&amp;" · ","")&amp;IF(AND(N($T108)&gt;0,N($AG108)&gt;0,ABS(N($AG108)-N($F108))&gt;0.0001),"Pesos de sus subactividades suman "&amp;TEXT(N($AG108),"0%")&amp;" (deben sumar "&amp;TEXT(N($F108),"0%")&amp;")"&amp;" · ","")&amp;IF(AND($S108="Macro",ABS(SUMIFS($F$5:$F$1000,$P$5:$P$1000,$P108,$S$5:$S$1000,"Macro")-1)&gt;0.0001),"Pesos del mes suman "&amp;TEXT(SUMIFS($F$5:$F$1000,$P$5:$P$1000,$P108,$S$5:$S$1000,"Macro"),"0%")&amp;" · ","")&amp;IF(AND(N($T108)&gt;0,COUNT($G108:$J108)&gt;0),"Con subactividades: deje vacías las semanas (se calculan solas)"&amp;" · ","")&amp;IF((COUNTIF($G108:$J108,"&gt;1")+COUNTIF($G108:$J108,"&lt;0")+COUNTA($G108:$J108)-COUNT($G108:$J108))&gt;0,"Avance fuera de rango 0-100%"&amp;" · ","")&amp;IF(OR(AND($H108&lt;&gt;"",$H108&lt;$G108),AND($I108&lt;&gt;"",$I108&lt;MAX($G108:$H108)),AND($J108&lt;&gt;"",$J108&lt;MAX($G108:$I108))),"Avance semanal decreciente"&amp;" · ","")&amp;IF(AND(ISNUMBER($E108),$E108&lt;FechaRef,N($K108)&lt;1),"Vencida"&amp;" · ","")&amp;IF(AND(ObsObligatoria="Sí",ISNUMBER($E108),$E108&lt;FechaRef,N($K108)&lt;1,$N108=""),"Vencida sin observación"&amp;" · ",""))-3)))</f>
        <v/>
      </c>
      <c r="P108" s="70">
        <f>IF(NOT((COUNTA($B108:$J108)+COUNTA($N108))&gt;0),"",IF(AND($S108="Sub",N($R108)&gt;0),IF(ISNUMBER(INDEX($D$5:$D$1000,$R108-4)),DATE(YEAR(INDEX($D$5:$D$1000,$R108-4)),MONTH(INDEX($D$5:$D$1000,$R108-4)),1),IF(ISNUMBER(INDEX($E$5:$E$1000,$R108-4)),DATE(YEAR(INDEX($E$5:$E$1000,$R108-4)),MONTH(INDEX($E$5:$E$1000,$R108-4)),1),MesCiclo)),IF(ISNUMBER($D108),DATE(YEAR($D108),MONTH($D108),1),IF(ISNUMBER($E108),DATE(YEAR($E108),MONTH($E108),1),MesCiclo))))</f>
        <v/>
      </c>
      <c r="Q108" s="71">
        <f>IF(OR($P108="",$P108&lt;&gt;MesCiclo),"",COUNTIF($P$5:$P108,MesCiclo))</f>
        <v/>
      </c>
      <c r="R108" s="71">
        <f>IF($S108="","",IF($S108="Macro",ROW(),IFERROR(LOOKUP(2,1/($S$5:$S108="Macro"),ROW($S$5:$S108)),0)))</f>
        <v/>
      </c>
      <c r="S108" s="71">
        <f>IF(NOT((COUNTA($B108:$J108)+COUNTA($N108))&gt;0),"",IF($B108="Subactividad","Sub","Macro"))</f>
        <v/>
      </c>
      <c r="T108" s="71">
        <f>IF($S108="Macro",COUNTIFS($R$5:$R$1000,ROW(),$S$5:$S$1000,"Sub"),"")</f>
        <v/>
      </c>
      <c r="U108" s="71">
        <f>IF($S108="","",IF(ISNUMBER($G108),$G108,0))</f>
        <v/>
      </c>
      <c r="V108" s="71">
        <f>IF($S108="","",IF(ISNUMBER($H108),$H108,$U108))</f>
        <v/>
      </c>
      <c r="W108" s="71">
        <f>IF($S108="","",IF(ISNUMBER($I108),$I108,$V108))</f>
        <v/>
      </c>
      <c r="X108" s="71">
        <f>IF($S108="","",IF(ISNUMBER($J108),$J108,$W108))</f>
        <v/>
      </c>
      <c r="Y108" s="71">
        <f>IF($S108="","",IF(N($T108)&gt;0,IF(N($AG108)&gt;0,SUMIFS($AC$5:$AC$1000,$R$5:$R$1000,ROW(),$S$5:$S$1000,"Sub")/$AG108,AVERAGEIFS($U$5:$U$1000,$R$5:$R$1000,ROW(),$S$5:$S$1000,"Sub")),$U108))</f>
        <v/>
      </c>
      <c r="Z108" s="71">
        <f>IF($S108="","",IF(N($T108)&gt;0,IF(N($AG108)&gt;0,SUMIFS($AD$5:$AD$1000,$R$5:$R$1000,ROW(),$S$5:$S$1000,"Sub")/$AG108,AVERAGEIFS($V$5:$V$1000,$R$5:$R$1000,ROW(),$S$5:$S$1000,"Sub")),$V108))</f>
        <v/>
      </c>
      <c r="AA108" s="71">
        <f>IF($S108="","",IF(N($T108)&gt;0,IF(N($AG108)&gt;0,SUMIFS($AE$5:$AE$1000,$R$5:$R$1000,ROW(),$S$5:$S$1000,"Sub")/$AG108,AVERAGEIFS($W$5:$W$1000,$R$5:$R$1000,ROW(),$S$5:$S$1000,"Sub")),$W108))</f>
        <v/>
      </c>
      <c r="AB108" s="71">
        <f>IF($S108="","",IF(N($T108)&gt;0,IF(N($AG108)&gt;0,SUMIFS($AF$5:$AF$1000,$R$5:$R$1000,ROW(),$S$5:$S$1000,"Sub")/$AG108,AVERAGEIFS($X$5:$X$1000,$R$5:$R$1000,ROW(),$S$5:$S$1000,"Sub")),$X108))</f>
        <v/>
      </c>
      <c r="AC108" s="71">
        <f>IF($S108="Sub",N($F108)*N($U108),"")</f>
        <v/>
      </c>
      <c r="AD108" s="71">
        <f>IF($S108="Sub",N($F108)*N($V108),"")</f>
        <v/>
      </c>
      <c r="AE108" s="71">
        <f>IF($S108="Sub",N($F108)*N($W108),"")</f>
        <v/>
      </c>
      <c r="AF108" s="71">
        <f>IF($S108="Sub",N($F108)*N($X108),"")</f>
        <v/>
      </c>
      <c r="AG108" s="71">
        <f>IF(N($T108)&gt;0,SUMIFS($F$5:$F$1000,$R$5:$R$1000,ROW(),$S$5:$S$1000,"Sub"),"")</f>
        <v/>
      </c>
    </row>
    <row r="109">
      <c r="A109" s="62">
        <f>IF(NOT((COUNTA($B109:$J109)+COUNTA($N109))&gt;0),"",IF($S109="Macro",COUNTIFS($S$5:$S109,"Macro",$P$5:$P109,$P109),IF(N($R109)=0,"?",COUNTIFS(INDEX($S$5:$S$1000,1):INDEX($S$5:$S$1000,$R109-4),"Macro",INDEX($P$5:$P$1000,1):INDEX($P$5:$P$1000,$R109-4),INDEX($P$5:$P$1000,$R109-4))&amp;"."&amp;COUNTIFS($R$5:$R109,$R109,$S$5:$S109,"Sub"))))</f>
        <v/>
      </c>
      <c r="B109" s="63" t="n"/>
      <c r="C109" s="64" t="n"/>
      <c r="D109" s="65" t="n"/>
      <c r="E109" s="65" t="n"/>
      <c r="F109" s="66" t="n"/>
      <c r="G109" s="67" t="n"/>
      <c r="H109" s="67" t="n"/>
      <c r="I109" s="67" t="n"/>
      <c r="J109" s="67" t="n"/>
      <c r="K109" s="68">
        <f>IF(NOT((COUNTA($B109:$J109)+COUNTA($N109))&gt;0),"",IF(N($T109)&gt;0,$AB109,IFERROR(LOOKUP(2,1/(G109:J109&lt;&gt;""),G109:J109),0)))</f>
        <v/>
      </c>
      <c r="L109" s="62">
        <f>IF(K109="","",IF(K109&gt;=1,"Completado",IF(K109&gt;0,"En curso","Pendiente")))</f>
        <v/>
      </c>
      <c r="M109" s="62">
        <f>IF(NOT((COUNTA($B109:$J109)+COUNTA($N109))&gt;0),"",IF(N($K109)&gt;=1,"Cumplida",IF(NOT(ISNUMBER($E109)),"Sin fecha límite",IF($E109&lt;FechaRef,"Vencida hace "&amp;(FechaRef-$E109)&amp;IF(FechaRef-$E109=1," día"," días"),IF($E109=FechaRef,"Vence hoy",IF($E109-FechaRef&lt;=DiasAlerta,"Vence en "&amp;($E109-FechaRef)&amp;IF($E109-FechaRef=1," día"," días"),"En plazo"))))))</f>
        <v/>
      </c>
      <c r="N109" s="64" t="n"/>
      <c r="O109" s="69">
        <f>IF(NOT((COUNTA($B109:$J109)+COUNTA($N109))&gt;0),"",IF((IF($C109="","Falta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",""))="","✔ OK","⚠ "&amp;LEFT(IF($C109="","Falta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",""),LEN(IF($C109="","Falta el nombre de la actividad"&amp;" · ","")&amp;IF(AND($S109="Sub",N($R109)=0),"Subactividad sin macroactividad arriba"&amp;" · ","")&amp;IF($D109="","Sin fecha de inicio"&amp;" · ","")&amp;IF($E109="","Sin fecha límite"&amp;" · ","")&amp;IF(OR(AND($D109&lt;&gt;"",NOT(ISNUMBER($D109))),AND($E109&lt;&gt;"",NOT(ISNUMBER($E109)))),"Fecha no válida"&amp;" · ","")&amp;IF(AND(ISNUMBER($D109),ISNUMBER($E109),$D109&gt;$E109),"Inicio posterior a fecha límite"&amp;" · ","")&amp;IF(AND($S109="Macro",$F109=""),"Peso vacío"&amp;" · ","")&amp;IF(AND($S109="Macro",$F109&lt;&gt;"",OR(NOT(ISNUMBER($F109)),$F109&lt;=0,$F109&gt;1)),"Peso fuera de rango"&amp;" · ","")&amp;IF(AND($S109="Sub",$F109&lt;&gt;"",OR(NOT(ISNUMBER($F109)),$F109&lt;0,$F109&gt;1)),"Peso fuera de rango"&amp;" · ","")&amp;IF(AND($S109="Sub",$F109="",IFERROR(N(INDEX($AG$5:$AG$1000,$R109-4)),0)&gt;0),"Falta el peso de la subactividad"&amp;" · ","")&amp;IF(AND(N($T109)&gt;0,N($AG109)&gt;0,ABS(N($AG109)-N($F109))&gt;0.0001),"Pesos de sus subactividades suman "&amp;TEXT(N($AG109),"0%")&amp;" (deben sumar "&amp;TEXT(N($F109),"0%")&amp;")"&amp;" · ","")&amp;IF(AND($S109="Macro",ABS(SUMIFS($F$5:$F$1000,$P$5:$P$1000,$P109,$S$5:$S$1000,"Macro")-1)&gt;0.0001),"Pesos del mes suman "&amp;TEXT(SUMIFS($F$5:$F$1000,$P$5:$P$1000,$P109,$S$5:$S$1000,"Macro"),"0%")&amp;" · ","")&amp;IF(AND(N($T109)&gt;0,COUNT($G109:$J109)&gt;0),"Con subactividades: deje vacías las semanas (se calculan solas)"&amp;" · ","")&amp;IF((COUNTIF($G109:$J109,"&gt;1")+COUNTIF($G109:$J109,"&lt;0")+COUNTA($G109:$J109)-COUNT($G109:$J109))&gt;0,"Avance fuera de rango 0-100%"&amp;" · ","")&amp;IF(OR(AND($H109&lt;&gt;"",$H109&lt;$G109),AND($I109&lt;&gt;"",$I109&lt;MAX($G109:$H109)),AND($J109&lt;&gt;"",$J109&lt;MAX($G109:$I109))),"Avance semanal decreciente"&amp;" · ","")&amp;IF(AND(ISNUMBER($E109),$E109&lt;FechaRef,N($K109)&lt;1),"Vencida"&amp;" · ","")&amp;IF(AND(ObsObligatoria="Sí",ISNUMBER($E109),$E109&lt;FechaRef,N($K109)&lt;1,$N109=""),"Vencida sin observación"&amp;" · ",""))-3)))</f>
        <v/>
      </c>
      <c r="P109" s="70">
        <f>IF(NOT((COUNTA($B109:$J109)+COUNTA($N109))&gt;0),"",IF(AND($S109="Sub",N($R109)&gt;0),IF(ISNUMBER(INDEX($D$5:$D$1000,$R109-4)),DATE(YEAR(INDEX($D$5:$D$1000,$R109-4)),MONTH(INDEX($D$5:$D$1000,$R109-4)),1),IF(ISNUMBER(INDEX($E$5:$E$1000,$R109-4)),DATE(YEAR(INDEX($E$5:$E$1000,$R109-4)),MONTH(INDEX($E$5:$E$1000,$R109-4)),1),MesCiclo)),IF(ISNUMBER($D109),DATE(YEAR($D109),MONTH($D109),1),IF(ISNUMBER($E109),DATE(YEAR($E109),MONTH($E109),1),MesCiclo))))</f>
        <v/>
      </c>
      <c r="Q109" s="71">
        <f>IF(OR($P109="",$P109&lt;&gt;MesCiclo),"",COUNTIF($P$5:$P109,MesCiclo))</f>
        <v/>
      </c>
      <c r="R109" s="71">
        <f>IF($S109="","",IF($S109="Macro",ROW(),IFERROR(LOOKUP(2,1/($S$5:$S109="Macro"),ROW($S$5:$S109)),0)))</f>
        <v/>
      </c>
      <c r="S109" s="71">
        <f>IF(NOT((COUNTA($B109:$J109)+COUNTA($N109))&gt;0),"",IF($B109="Subactividad","Sub","Macro"))</f>
        <v/>
      </c>
      <c r="T109" s="71">
        <f>IF($S109="Macro",COUNTIFS($R$5:$R$1000,ROW(),$S$5:$S$1000,"Sub"),"")</f>
        <v/>
      </c>
      <c r="U109" s="71">
        <f>IF($S109="","",IF(ISNUMBER($G109),$G109,0))</f>
        <v/>
      </c>
      <c r="V109" s="71">
        <f>IF($S109="","",IF(ISNUMBER($H109),$H109,$U109))</f>
        <v/>
      </c>
      <c r="W109" s="71">
        <f>IF($S109="","",IF(ISNUMBER($I109),$I109,$V109))</f>
        <v/>
      </c>
      <c r="X109" s="71">
        <f>IF($S109="","",IF(ISNUMBER($J109),$J109,$W109))</f>
        <v/>
      </c>
      <c r="Y109" s="71">
        <f>IF($S109="","",IF(N($T109)&gt;0,IF(N($AG109)&gt;0,SUMIFS($AC$5:$AC$1000,$R$5:$R$1000,ROW(),$S$5:$S$1000,"Sub")/$AG109,AVERAGEIFS($U$5:$U$1000,$R$5:$R$1000,ROW(),$S$5:$S$1000,"Sub")),$U109))</f>
        <v/>
      </c>
      <c r="Z109" s="71">
        <f>IF($S109="","",IF(N($T109)&gt;0,IF(N($AG109)&gt;0,SUMIFS($AD$5:$AD$1000,$R$5:$R$1000,ROW(),$S$5:$S$1000,"Sub")/$AG109,AVERAGEIFS($V$5:$V$1000,$R$5:$R$1000,ROW(),$S$5:$S$1000,"Sub")),$V109))</f>
        <v/>
      </c>
      <c r="AA109" s="71">
        <f>IF($S109="","",IF(N($T109)&gt;0,IF(N($AG109)&gt;0,SUMIFS($AE$5:$AE$1000,$R$5:$R$1000,ROW(),$S$5:$S$1000,"Sub")/$AG109,AVERAGEIFS($W$5:$W$1000,$R$5:$R$1000,ROW(),$S$5:$S$1000,"Sub")),$W109))</f>
        <v/>
      </c>
      <c r="AB109" s="71">
        <f>IF($S109="","",IF(N($T109)&gt;0,IF(N($AG109)&gt;0,SUMIFS($AF$5:$AF$1000,$R$5:$R$1000,ROW(),$S$5:$S$1000,"Sub")/$AG109,AVERAGEIFS($X$5:$X$1000,$R$5:$R$1000,ROW(),$S$5:$S$1000,"Sub")),$X109))</f>
        <v/>
      </c>
      <c r="AC109" s="71">
        <f>IF($S109="Sub",N($F109)*N($U109),"")</f>
        <v/>
      </c>
      <c r="AD109" s="71">
        <f>IF($S109="Sub",N($F109)*N($V109),"")</f>
        <v/>
      </c>
      <c r="AE109" s="71">
        <f>IF($S109="Sub",N($F109)*N($W109),"")</f>
        <v/>
      </c>
      <c r="AF109" s="71">
        <f>IF($S109="Sub",N($F109)*N($X109),"")</f>
        <v/>
      </c>
      <c r="AG109" s="71">
        <f>IF(N($T109)&gt;0,SUMIFS($F$5:$F$1000,$R$5:$R$1000,ROW(),$S$5:$S$1000,"Sub"),"")</f>
        <v/>
      </c>
    </row>
    <row r="110">
      <c r="A110" s="62">
        <f>IF(NOT((COUNTA($B110:$J110)+COUNTA($N110))&gt;0),"",IF($S110="Macro",COUNTIFS($S$5:$S110,"Macro",$P$5:$P110,$P110),IF(N($R110)=0,"?",COUNTIFS(INDEX($S$5:$S$1000,1):INDEX($S$5:$S$1000,$R110-4),"Macro",INDEX($P$5:$P$1000,1):INDEX($P$5:$P$1000,$R110-4),INDEX($P$5:$P$1000,$R110-4))&amp;"."&amp;COUNTIFS($R$5:$R110,$R110,$S$5:$S110,"Sub"))))</f>
        <v/>
      </c>
      <c r="B110" s="63" t="n"/>
      <c r="C110" s="64" t="n"/>
      <c r="D110" s="65" t="n"/>
      <c r="E110" s="65" t="n"/>
      <c r="F110" s="66" t="n"/>
      <c r="G110" s="67" t="n"/>
      <c r="H110" s="67" t="n"/>
      <c r="I110" s="67" t="n"/>
      <c r="J110" s="67" t="n"/>
      <c r="K110" s="68">
        <f>IF(NOT((COUNTA($B110:$J110)+COUNTA($N110))&gt;0),"",IF(N($T110)&gt;0,$AB110,IFERROR(LOOKUP(2,1/(G110:J110&lt;&gt;""),G110:J110),0)))</f>
        <v/>
      </c>
      <c r="L110" s="62">
        <f>IF(K110="","",IF(K110&gt;=1,"Completado",IF(K110&gt;0,"En curso","Pendiente")))</f>
        <v/>
      </c>
      <c r="M110" s="62">
        <f>IF(NOT((COUNTA($B110:$J110)+COUNTA($N110))&gt;0),"",IF(N($K110)&gt;=1,"Cumplida",IF(NOT(ISNUMBER($E110)),"Sin fecha límite",IF($E110&lt;FechaRef,"Vencida hace "&amp;(FechaRef-$E110)&amp;IF(FechaRef-$E110=1," día"," días"),IF($E110=FechaRef,"Vence hoy",IF($E110-FechaRef&lt;=DiasAlerta,"Vence en "&amp;($E110-FechaRef)&amp;IF($E110-FechaRef=1," día"," días"),"En plazo"))))))</f>
        <v/>
      </c>
      <c r="N110" s="64" t="n"/>
      <c r="O110" s="69">
        <f>IF(NOT((COUNTA($B110:$J110)+COUNTA($N110))&gt;0),"",IF((IF($C110="","Falta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",""))="","✔ OK","⚠ "&amp;LEFT(IF($C110="","Falta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",""),LEN(IF($C110="","Falta el nombre de la actividad"&amp;" · ","")&amp;IF(AND($S110="Sub",N($R110)=0),"Subactividad sin macroactividad arriba"&amp;" · ","")&amp;IF($D110="","Sin fecha de inicio"&amp;" · ","")&amp;IF($E110="","Sin fecha límite"&amp;" · ","")&amp;IF(OR(AND($D110&lt;&gt;"",NOT(ISNUMBER($D110))),AND($E110&lt;&gt;"",NOT(ISNUMBER($E110)))),"Fecha no válida"&amp;" · ","")&amp;IF(AND(ISNUMBER($D110),ISNUMBER($E110),$D110&gt;$E110),"Inicio posterior a fecha límite"&amp;" · ","")&amp;IF(AND($S110="Macro",$F110=""),"Peso vacío"&amp;" · ","")&amp;IF(AND($S110="Macro",$F110&lt;&gt;"",OR(NOT(ISNUMBER($F110)),$F110&lt;=0,$F110&gt;1)),"Peso fuera de rango"&amp;" · ","")&amp;IF(AND($S110="Sub",$F110&lt;&gt;"",OR(NOT(ISNUMBER($F110)),$F110&lt;0,$F110&gt;1)),"Peso fuera de rango"&amp;" · ","")&amp;IF(AND($S110="Sub",$F110="",IFERROR(N(INDEX($AG$5:$AG$1000,$R110-4)),0)&gt;0),"Falta el peso de la subactividad"&amp;" · ","")&amp;IF(AND(N($T110)&gt;0,N($AG110)&gt;0,ABS(N($AG110)-N($F110))&gt;0.0001),"Pesos de sus subactividades suman "&amp;TEXT(N($AG110),"0%")&amp;" (deben sumar "&amp;TEXT(N($F110),"0%")&amp;")"&amp;" · ","")&amp;IF(AND($S110="Macro",ABS(SUMIFS($F$5:$F$1000,$P$5:$P$1000,$P110,$S$5:$S$1000,"Macro")-1)&gt;0.0001),"Pesos del mes suman "&amp;TEXT(SUMIFS($F$5:$F$1000,$P$5:$P$1000,$P110,$S$5:$S$1000,"Macro"),"0%")&amp;" · ","")&amp;IF(AND(N($T110)&gt;0,COUNT($G110:$J110)&gt;0),"Con subactividades: deje vacías las semanas (se calculan solas)"&amp;" · ","")&amp;IF((COUNTIF($G110:$J110,"&gt;1")+COUNTIF($G110:$J110,"&lt;0")+COUNTA($G110:$J110)-COUNT($G110:$J110))&gt;0,"Avance fuera de rango 0-100%"&amp;" · ","")&amp;IF(OR(AND($H110&lt;&gt;"",$H110&lt;$G110),AND($I110&lt;&gt;"",$I110&lt;MAX($G110:$H110)),AND($J110&lt;&gt;"",$J110&lt;MAX($G110:$I110))),"Avance semanal decreciente"&amp;" · ","")&amp;IF(AND(ISNUMBER($E110),$E110&lt;FechaRef,N($K110)&lt;1),"Vencida"&amp;" · ","")&amp;IF(AND(ObsObligatoria="Sí",ISNUMBER($E110),$E110&lt;FechaRef,N($K110)&lt;1,$N110=""),"Vencida sin observación"&amp;" · ",""))-3)))</f>
        <v/>
      </c>
      <c r="P110" s="70">
        <f>IF(NOT((COUNTA($B110:$J110)+COUNTA($N110))&gt;0),"",IF(AND($S110="Sub",N($R110)&gt;0),IF(ISNUMBER(INDEX($D$5:$D$1000,$R110-4)),DATE(YEAR(INDEX($D$5:$D$1000,$R110-4)),MONTH(INDEX($D$5:$D$1000,$R110-4)),1),IF(ISNUMBER(INDEX($E$5:$E$1000,$R110-4)),DATE(YEAR(INDEX($E$5:$E$1000,$R110-4)),MONTH(INDEX($E$5:$E$1000,$R110-4)),1),MesCiclo)),IF(ISNUMBER($D110),DATE(YEAR($D110),MONTH($D110),1),IF(ISNUMBER($E110),DATE(YEAR($E110),MONTH($E110),1),MesCiclo))))</f>
        <v/>
      </c>
      <c r="Q110" s="71">
        <f>IF(OR($P110="",$P110&lt;&gt;MesCiclo),"",COUNTIF($P$5:$P110,MesCiclo))</f>
        <v/>
      </c>
      <c r="R110" s="71">
        <f>IF($S110="","",IF($S110="Macro",ROW(),IFERROR(LOOKUP(2,1/($S$5:$S110="Macro"),ROW($S$5:$S110)),0)))</f>
        <v/>
      </c>
      <c r="S110" s="71">
        <f>IF(NOT((COUNTA($B110:$J110)+COUNTA($N110))&gt;0),"",IF($B110="Subactividad","Sub","Macro"))</f>
        <v/>
      </c>
      <c r="T110" s="71">
        <f>IF($S110="Macro",COUNTIFS($R$5:$R$1000,ROW(),$S$5:$S$1000,"Sub"),"")</f>
        <v/>
      </c>
      <c r="U110" s="71">
        <f>IF($S110="","",IF(ISNUMBER($G110),$G110,0))</f>
        <v/>
      </c>
      <c r="V110" s="71">
        <f>IF($S110="","",IF(ISNUMBER($H110),$H110,$U110))</f>
        <v/>
      </c>
      <c r="W110" s="71">
        <f>IF($S110="","",IF(ISNUMBER($I110),$I110,$V110))</f>
        <v/>
      </c>
      <c r="X110" s="71">
        <f>IF($S110="","",IF(ISNUMBER($J110),$J110,$W110))</f>
        <v/>
      </c>
      <c r="Y110" s="71">
        <f>IF($S110="","",IF(N($T110)&gt;0,IF(N($AG110)&gt;0,SUMIFS($AC$5:$AC$1000,$R$5:$R$1000,ROW(),$S$5:$S$1000,"Sub")/$AG110,AVERAGEIFS($U$5:$U$1000,$R$5:$R$1000,ROW(),$S$5:$S$1000,"Sub")),$U110))</f>
        <v/>
      </c>
      <c r="Z110" s="71">
        <f>IF($S110="","",IF(N($T110)&gt;0,IF(N($AG110)&gt;0,SUMIFS($AD$5:$AD$1000,$R$5:$R$1000,ROW(),$S$5:$S$1000,"Sub")/$AG110,AVERAGEIFS($V$5:$V$1000,$R$5:$R$1000,ROW(),$S$5:$S$1000,"Sub")),$V110))</f>
        <v/>
      </c>
      <c r="AA110" s="71">
        <f>IF($S110="","",IF(N($T110)&gt;0,IF(N($AG110)&gt;0,SUMIFS($AE$5:$AE$1000,$R$5:$R$1000,ROW(),$S$5:$S$1000,"Sub")/$AG110,AVERAGEIFS($W$5:$W$1000,$R$5:$R$1000,ROW(),$S$5:$S$1000,"Sub")),$W110))</f>
        <v/>
      </c>
      <c r="AB110" s="71">
        <f>IF($S110="","",IF(N($T110)&gt;0,IF(N($AG110)&gt;0,SUMIFS($AF$5:$AF$1000,$R$5:$R$1000,ROW(),$S$5:$S$1000,"Sub")/$AG110,AVERAGEIFS($X$5:$X$1000,$R$5:$R$1000,ROW(),$S$5:$S$1000,"Sub")),$X110))</f>
        <v/>
      </c>
      <c r="AC110" s="71">
        <f>IF($S110="Sub",N($F110)*N($U110),"")</f>
        <v/>
      </c>
      <c r="AD110" s="71">
        <f>IF($S110="Sub",N($F110)*N($V110),"")</f>
        <v/>
      </c>
      <c r="AE110" s="71">
        <f>IF($S110="Sub",N($F110)*N($W110),"")</f>
        <v/>
      </c>
      <c r="AF110" s="71">
        <f>IF($S110="Sub",N($F110)*N($X110),"")</f>
        <v/>
      </c>
      <c r="AG110" s="71">
        <f>IF(N($T110)&gt;0,SUMIFS($F$5:$F$1000,$R$5:$R$1000,ROW(),$S$5:$S$1000,"Sub"),"")</f>
        <v/>
      </c>
    </row>
    <row r="111">
      <c r="A111" s="62">
        <f>IF(NOT((COUNTA($B111:$J111)+COUNTA($N111))&gt;0),"",IF($S111="Macro",COUNTIFS($S$5:$S111,"Macro",$P$5:$P111,$P111),IF(N($R111)=0,"?",COUNTIFS(INDEX($S$5:$S$1000,1):INDEX($S$5:$S$1000,$R111-4),"Macro",INDEX($P$5:$P$1000,1):INDEX($P$5:$P$1000,$R111-4),INDEX($P$5:$P$1000,$R111-4))&amp;"."&amp;COUNTIFS($R$5:$R111,$R111,$S$5:$S111,"Sub"))))</f>
        <v/>
      </c>
      <c r="B111" s="63" t="n"/>
      <c r="C111" s="64" t="n"/>
      <c r="D111" s="65" t="n"/>
      <c r="E111" s="65" t="n"/>
      <c r="F111" s="66" t="n"/>
      <c r="G111" s="67" t="n"/>
      <c r="H111" s="67" t="n"/>
      <c r="I111" s="67" t="n"/>
      <c r="J111" s="67" t="n"/>
      <c r="K111" s="68">
        <f>IF(NOT((COUNTA($B111:$J111)+COUNTA($N111))&gt;0),"",IF(N($T111)&gt;0,$AB111,IFERROR(LOOKUP(2,1/(G111:J111&lt;&gt;""),G111:J111),0)))</f>
        <v/>
      </c>
      <c r="L111" s="62">
        <f>IF(K111="","",IF(K111&gt;=1,"Completado",IF(K111&gt;0,"En curso","Pendiente")))</f>
        <v/>
      </c>
      <c r="M111" s="62">
        <f>IF(NOT((COUNTA($B111:$J111)+COUNTA($N111))&gt;0),"",IF(N($K111)&gt;=1,"Cumplida",IF(NOT(ISNUMBER($E111)),"Sin fecha límite",IF($E111&lt;FechaRef,"Vencida hace "&amp;(FechaRef-$E111)&amp;IF(FechaRef-$E111=1," día"," días"),IF($E111=FechaRef,"Vence hoy",IF($E111-FechaRef&lt;=DiasAlerta,"Vence en "&amp;($E111-FechaRef)&amp;IF($E111-FechaRef=1," día"," días"),"En plazo"))))))</f>
        <v/>
      </c>
      <c r="N111" s="64" t="n"/>
      <c r="O111" s="69">
        <f>IF(NOT((COUNTA($B111:$J111)+COUNTA($N111))&gt;0),"",IF((IF($C111="","Falta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",""))="","✔ OK","⚠ "&amp;LEFT(IF($C111="","Falta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",""),LEN(IF($C111="","Falta el nombre de la actividad"&amp;" · ","")&amp;IF(AND($S111="Sub",N($R111)=0),"Subactividad sin macroactividad arriba"&amp;" · ","")&amp;IF($D111="","Sin fecha de inicio"&amp;" · ","")&amp;IF($E111="","Sin fecha límite"&amp;" · ","")&amp;IF(OR(AND($D111&lt;&gt;"",NOT(ISNUMBER($D111))),AND($E111&lt;&gt;"",NOT(ISNUMBER($E111)))),"Fecha no válida"&amp;" · ","")&amp;IF(AND(ISNUMBER($D111),ISNUMBER($E111),$D111&gt;$E111),"Inicio posterior a fecha límite"&amp;" · ","")&amp;IF(AND($S111="Macro",$F111=""),"Peso vacío"&amp;" · ","")&amp;IF(AND($S111="Macro",$F111&lt;&gt;"",OR(NOT(ISNUMBER($F111)),$F111&lt;=0,$F111&gt;1)),"Peso fuera de rango"&amp;" · ","")&amp;IF(AND($S111="Sub",$F111&lt;&gt;"",OR(NOT(ISNUMBER($F111)),$F111&lt;0,$F111&gt;1)),"Peso fuera de rango"&amp;" · ","")&amp;IF(AND($S111="Sub",$F111="",IFERROR(N(INDEX($AG$5:$AG$1000,$R111-4)),0)&gt;0),"Falta el peso de la subactividad"&amp;" · ","")&amp;IF(AND(N($T111)&gt;0,N($AG111)&gt;0,ABS(N($AG111)-N($F111))&gt;0.0001),"Pesos de sus subactividades suman "&amp;TEXT(N($AG111),"0%")&amp;" (deben sumar "&amp;TEXT(N($F111),"0%")&amp;")"&amp;" · ","")&amp;IF(AND($S111="Macro",ABS(SUMIFS($F$5:$F$1000,$P$5:$P$1000,$P111,$S$5:$S$1000,"Macro")-1)&gt;0.0001),"Pesos del mes suman "&amp;TEXT(SUMIFS($F$5:$F$1000,$P$5:$P$1000,$P111,$S$5:$S$1000,"Macro"),"0%")&amp;" · ","")&amp;IF(AND(N($T111)&gt;0,COUNT($G111:$J111)&gt;0),"Con subactividades: deje vacías las semanas (se calculan solas)"&amp;" · ","")&amp;IF((COUNTIF($G111:$J111,"&gt;1")+COUNTIF($G111:$J111,"&lt;0")+COUNTA($G111:$J111)-COUNT($G111:$J111))&gt;0,"Avance fuera de rango 0-100%"&amp;" · ","")&amp;IF(OR(AND($H111&lt;&gt;"",$H111&lt;$G111),AND($I111&lt;&gt;"",$I111&lt;MAX($G111:$H111)),AND($J111&lt;&gt;"",$J111&lt;MAX($G111:$I111))),"Avance semanal decreciente"&amp;" · ","")&amp;IF(AND(ISNUMBER($E111),$E111&lt;FechaRef,N($K111)&lt;1),"Vencida"&amp;" · ","")&amp;IF(AND(ObsObligatoria="Sí",ISNUMBER($E111),$E111&lt;FechaRef,N($K111)&lt;1,$N111=""),"Vencida sin observación"&amp;" · ",""))-3)))</f>
        <v/>
      </c>
      <c r="P111" s="70">
        <f>IF(NOT((COUNTA($B111:$J111)+COUNTA($N111))&gt;0),"",IF(AND($S111="Sub",N($R111)&gt;0),IF(ISNUMBER(INDEX($D$5:$D$1000,$R111-4)),DATE(YEAR(INDEX($D$5:$D$1000,$R111-4)),MONTH(INDEX($D$5:$D$1000,$R111-4)),1),IF(ISNUMBER(INDEX($E$5:$E$1000,$R111-4)),DATE(YEAR(INDEX($E$5:$E$1000,$R111-4)),MONTH(INDEX($E$5:$E$1000,$R111-4)),1),MesCiclo)),IF(ISNUMBER($D111),DATE(YEAR($D111),MONTH($D111),1),IF(ISNUMBER($E111),DATE(YEAR($E111),MONTH($E111),1),MesCiclo))))</f>
        <v/>
      </c>
      <c r="Q111" s="71">
        <f>IF(OR($P111="",$P111&lt;&gt;MesCiclo),"",COUNTIF($P$5:$P111,MesCiclo))</f>
        <v/>
      </c>
      <c r="R111" s="71">
        <f>IF($S111="","",IF($S111="Macro",ROW(),IFERROR(LOOKUP(2,1/($S$5:$S111="Macro"),ROW($S$5:$S111)),0)))</f>
        <v/>
      </c>
      <c r="S111" s="71">
        <f>IF(NOT((COUNTA($B111:$J111)+COUNTA($N111))&gt;0),"",IF($B111="Subactividad","Sub","Macro"))</f>
        <v/>
      </c>
      <c r="T111" s="71">
        <f>IF($S111="Macro",COUNTIFS($R$5:$R$1000,ROW(),$S$5:$S$1000,"Sub"),"")</f>
        <v/>
      </c>
      <c r="U111" s="71">
        <f>IF($S111="","",IF(ISNUMBER($G111),$G111,0))</f>
        <v/>
      </c>
      <c r="V111" s="71">
        <f>IF($S111="","",IF(ISNUMBER($H111),$H111,$U111))</f>
        <v/>
      </c>
      <c r="W111" s="71">
        <f>IF($S111="","",IF(ISNUMBER($I111),$I111,$V111))</f>
        <v/>
      </c>
      <c r="X111" s="71">
        <f>IF($S111="","",IF(ISNUMBER($J111),$J111,$W111))</f>
        <v/>
      </c>
      <c r="Y111" s="71">
        <f>IF($S111="","",IF(N($T111)&gt;0,IF(N($AG111)&gt;0,SUMIFS($AC$5:$AC$1000,$R$5:$R$1000,ROW(),$S$5:$S$1000,"Sub")/$AG111,AVERAGEIFS($U$5:$U$1000,$R$5:$R$1000,ROW(),$S$5:$S$1000,"Sub")),$U111))</f>
        <v/>
      </c>
      <c r="Z111" s="71">
        <f>IF($S111="","",IF(N($T111)&gt;0,IF(N($AG111)&gt;0,SUMIFS($AD$5:$AD$1000,$R$5:$R$1000,ROW(),$S$5:$S$1000,"Sub")/$AG111,AVERAGEIFS($V$5:$V$1000,$R$5:$R$1000,ROW(),$S$5:$S$1000,"Sub")),$V111))</f>
        <v/>
      </c>
      <c r="AA111" s="71">
        <f>IF($S111="","",IF(N($T111)&gt;0,IF(N($AG111)&gt;0,SUMIFS($AE$5:$AE$1000,$R$5:$R$1000,ROW(),$S$5:$S$1000,"Sub")/$AG111,AVERAGEIFS($W$5:$W$1000,$R$5:$R$1000,ROW(),$S$5:$S$1000,"Sub")),$W111))</f>
        <v/>
      </c>
      <c r="AB111" s="71">
        <f>IF($S111="","",IF(N($T111)&gt;0,IF(N($AG111)&gt;0,SUMIFS($AF$5:$AF$1000,$R$5:$R$1000,ROW(),$S$5:$S$1000,"Sub")/$AG111,AVERAGEIFS($X$5:$X$1000,$R$5:$R$1000,ROW(),$S$5:$S$1000,"Sub")),$X111))</f>
        <v/>
      </c>
      <c r="AC111" s="71">
        <f>IF($S111="Sub",N($F111)*N($U111),"")</f>
        <v/>
      </c>
      <c r="AD111" s="71">
        <f>IF($S111="Sub",N($F111)*N($V111),"")</f>
        <v/>
      </c>
      <c r="AE111" s="71">
        <f>IF($S111="Sub",N($F111)*N($W111),"")</f>
        <v/>
      </c>
      <c r="AF111" s="71">
        <f>IF($S111="Sub",N($F111)*N($X111),"")</f>
        <v/>
      </c>
      <c r="AG111" s="71">
        <f>IF(N($T111)&gt;0,SUMIFS($F$5:$F$1000,$R$5:$R$1000,ROW(),$S$5:$S$1000,"Sub"),"")</f>
        <v/>
      </c>
    </row>
    <row r="112">
      <c r="A112" s="62">
        <f>IF(NOT((COUNTA($B112:$J112)+COUNTA($N112))&gt;0),"",IF($S112="Macro",COUNTIFS($S$5:$S112,"Macro",$P$5:$P112,$P112),IF(N($R112)=0,"?",COUNTIFS(INDEX($S$5:$S$1000,1):INDEX($S$5:$S$1000,$R112-4),"Macro",INDEX($P$5:$P$1000,1):INDEX($P$5:$P$1000,$R112-4),INDEX($P$5:$P$1000,$R112-4))&amp;"."&amp;COUNTIFS($R$5:$R112,$R112,$S$5:$S112,"Sub"))))</f>
        <v/>
      </c>
      <c r="B112" s="63" t="n"/>
      <c r="C112" s="64" t="n"/>
      <c r="D112" s="65" t="n"/>
      <c r="E112" s="65" t="n"/>
      <c r="F112" s="66" t="n"/>
      <c r="G112" s="67" t="n"/>
      <c r="H112" s="67" t="n"/>
      <c r="I112" s="67" t="n"/>
      <c r="J112" s="67" t="n"/>
      <c r="K112" s="68">
        <f>IF(NOT((COUNTA($B112:$J112)+COUNTA($N112))&gt;0),"",IF(N($T112)&gt;0,$AB112,IFERROR(LOOKUP(2,1/(G112:J112&lt;&gt;""),G112:J112),0)))</f>
        <v/>
      </c>
      <c r="L112" s="62">
        <f>IF(K112="","",IF(K112&gt;=1,"Completado",IF(K112&gt;0,"En curso","Pendiente")))</f>
        <v/>
      </c>
      <c r="M112" s="62">
        <f>IF(NOT((COUNTA($B112:$J112)+COUNTA($N112))&gt;0),"",IF(N($K112)&gt;=1,"Cumplida",IF(NOT(ISNUMBER($E112)),"Sin fecha límite",IF($E112&lt;FechaRef,"Vencida hace "&amp;(FechaRef-$E112)&amp;IF(FechaRef-$E112=1," día"," días"),IF($E112=FechaRef,"Vence hoy",IF($E112-FechaRef&lt;=DiasAlerta,"Vence en "&amp;($E112-FechaRef)&amp;IF($E112-FechaRef=1," día"," días"),"En plazo"))))))</f>
        <v/>
      </c>
      <c r="N112" s="64" t="n"/>
      <c r="O112" s="69">
        <f>IF(NOT((COUNTA($B112:$J112)+COUNTA($N112))&gt;0),"",IF((IF($C112="","Falta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",""))="","✔ OK","⚠ "&amp;LEFT(IF($C112="","Falta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",""),LEN(IF($C112="","Falta el nombre de la actividad"&amp;" · ","")&amp;IF(AND($S112="Sub",N($R112)=0),"Subactividad sin macroactividad arriba"&amp;" · ","")&amp;IF($D112="","Sin fecha de inicio"&amp;" · ","")&amp;IF($E112="","Sin fecha límite"&amp;" · ","")&amp;IF(OR(AND($D112&lt;&gt;"",NOT(ISNUMBER($D112))),AND($E112&lt;&gt;"",NOT(ISNUMBER($E112)))),"Fecha no válida"&amp;" · ","")&amp;IF(AND(ISNUMBER($D112),ISNUMBER($E112),$D112&gt;$E112),"Inicio posterior a fecha límite"&amp;" · ","")&amp;IF(AND($S112="Macro",$F112=""),"Peso vacío"&amp;" · ","")&amp;IF(AND($S112="Macro",$F112&lt;&gt;"",OR(NOT(ISNUMBER($F112)),$F112&lt;=0,$F112&gt;1)),"Peso fuera de rango"&amp;" · ","")&amp;IF(AND($S112="Sub",$F112&lt;&gt;"",OR(NOT(ISNUMBER($F112)),$F112&lt;0,$F112&gt;1)),"Peso fuera de rango"&amp;" · ","")&amp;IF(AND($S112="Sub",$F112="",IFERROR(N(INDEX($AG$5:$AG$1000,$R112-4)),0)&gt;0),"Falta el peso de la subactividad"&amp;" · ","")&amp;IF(AND(N($T112)&gt;0,N($AG112)&gt;0,ABS(N($AG112)-N($F112))&gt;0.0001),"Pesos de sus subactividades suman "&amp;TEXT(N($AG112),"0%")&amp;" (deben sumar "&amp;TEXT(N($F112),"0%")&amp;")"&amp;" · ","")&amp;IF(AND($S112="Macro",ABS(SUMIFS($F$5:$F$1000,$P$5:$P$1000,$P112,$S$5:$S$1000,"Macro")-1)&gt;0.0001),"Pesos del mes suman "&amp;TEXT(SUMIFS($F$5:$F$1000,$P$5:$P$1000,$P112,$S$5:$S$1000,"Macro"),"0%")&amp;" · ","")&amp;IF(AND(N($T112)&gt;0,COUNT($G112:$J112)&gt;0),"Con subactividades: deje vacías las semanas (se calculan solas)"&amp;" · ","")&amp;IF((COUNTIF($G112:$J112,"&gt;1")+COUNTIF($G112:$J112,"&lt;0")+COUNTA($G112:$J112)-COUNT($G112:$J112))&gt;0,"Avance fuera de rango 0-100%"&amp;" · ","")&amp;IF(OR(AND($H112&lt;&gt;"",$H112&lt;$G112),AND($I112&lt;&gt;"",$I112&lt;MAX($G112:$H112)),AND($J112&lt;&gt;"",$J112&lt;MAX($G112:$I112))),"Avance semanal decreciente"&amp;" · ","")&amp;IF(AND(ISNUMBER($E112),$E112&lt;FechaRef,N($K112)&lt;1),"Vencida"&amp;" · ","")&amp;IF(AND(ObsObligatoria="Sí",ISNUMBER($E112),$E112&lt;FechaRef,N($K112)&lt;1,$N112=""),"Vencida sin observación"&amp;" · ",""))-3)))</f>
        <v/>
      </c>
      <c r="P112" s="70">
        <f>IF(NOT((COUNTA($B112:$J112)+COUNTA($N112))&gt;0),"",IF(AND($S112="Sub",N($R112)&gt;0),IF(ISNUMBER(INDEX($D$5:$D$1000,$R112-4)),DATE(YEAR(INDEX($D$5:$D$1000,$R112-4)),MONTH(INDEX($D$5:$D$1000,$R112-4)),1),IF(ISNUMBER(INDEX($E$5:$E$1000,$R112-4)),DATE(YEAR(INDEX($E$5:$E$1000,$R112-4)),MONTH(INDEX($E$5:$E$1000,$R112-4)),1),MesCiclo)),IF(ISNUMBER($D112),DATE(YEAR($D112),MONTH($D112),1),IF(ISNUMBER($E112),DATE(YEAR($E112),MONTH($E112),1),MesCiclo))))</f>
        <v/>
      </c>
      <c r="Q112" s="71">
        <f>IF(OR($P112="",$P112&lt;&gt;MesCiclo),"",COUNTIF($P$5:$P112,MesCiclo))</f>
        <v/>
      </c>
      <c r="R112" s="71">
        <f>IF($S112="","",IF($S112="Macro",ROW(),IFERROR(LOOKUP(2,1/($S$5:$S112="Macro"),ROW($S$5:$S112)),0)))</f>
        <v/>
      </c>
      <c r="S112" s="71">
        <f>IF(NOT((COUNTA($B112:$J112)+COUNTA($N112))&gt;0),"",IF($B112="Subactividad","Sub","Macro"))</f>
        <v/>
      </c>
      <c r="T112" s="71">
        <f>IF($S112="Macro",COUNTIFS($R$5:$R$1000,ROW(),$S$5:$S$1000,"Sub"),"")</f>
        <v/>
      </c>
      <c r="U112" s="71">
        <f>IF($S112="","",IF(ISNUMBER($G112),$G112,0))</f>
        <v/>
      </c>
      <c r="V112" s="71">
        <f>IF($S112="","",IF(ISNUMBER($H112),$H112,$U112))</f>
        <v/>
      </c>
      <c r="W112" s="71">
        <f>IF($S112="","",IF(ISNUMBER($I112),$I112,$V112))</f>
        <v/>
      </c>
      <c r="X112" s="71">
        <f>IF($S112="","",IF(ISNUMBER($J112),$J112,$W112))</f>
        <v/>
      </c>
      <c r="Y112" s="71">
        <f>IF($S112="","",IF(N($T112)&gt;0,IF(N($AG112)&gt;0,SUMIFS($AC$5:$AC$1000,$R$5:$R$1000,ROW(),$S$5:$S$1000,"Sub")/$AG112,AVERAGEIFS($U$5:$U$1000,$R$5:$R$1000,ROW(),$S$5:$S$1000,"Sub")),$U112))</f>
        <v/>
      </c>
      <c r="Z112" s="71">
        <f>IF($S112="","",IF(N($T112)&gt;0,IF(N($AG112)&gt;0,SUMIFS($AD$5:$AD$1000,$R$5:$R$1000,ROW(),$S$5:$S$1000,"Sub")/$AG112,AVERAGEIFS($V$5:$V$1000,$R$5:$R$1000,ROW(),$S$5:$S$1000,"Sub")),$V112))</f>
        <v/>
      </c>
      <c r="AA112" s="71">
        <f>IF($S112="","",IF(N($T112)&gt;0,IF(N($AG112)&gt;0,SUMIFS($AE$5:$AE$1000,$R$5:$R$1000,ROW(),$S$5:$S$1000,"Sub")/$AG112,AVERAGEIFS($W$5:$W$1000,$R$5:$R$1000,ROW(),$S$5:$S$1000,"Sub")),$W112))</f>
        <v/>
      </c>
      <c r="AB112" s="71">
        <f>IF($S112="","",IF(N($T112)&gt;0,IF(N($AG112)&gt;0,SUMIFS($AF$5:$AF$1000,$R$5:$R$1000,ROW(),$S$5:$S$1000,"Sub")/$AG112,AVERAGEIFS($X$5:$X$1000,$R$5:$R$1000,ROW(),$S$5:$S$1000,"Sub")),$X112))</f>
        <v/>
      </c>
      <c r="AC112" s="71">
        <f>IF($S112="Sub",N($F112)*N($U112),"")</f>
        <v/>
      </c>
      <c r="AD112" s="71">
        <f>IF($S112="Sub",N($F112)*N($V112),"")</f>
        <v/>
      </c>
      <c r="AE112" s="71">
        <f>IF($S112="Sub",N($F112)*N($W112),"")</f>
        <v/>
      </c>
      <c r="AF112" s="71">
        <f>IF($S112="Sub",N($F112)*N($X112),"")</f>
        <v/>
      </c>
      <c r="AG112" s="71">
        <f>IF(N($T112)&gt;0,SUMIFS($F$5:$F$1000,$R$5:$R$1000,ROW(),$S$5:$S$1000,"Sub"),"")</f>
        <v/>
      </c>
    </row>
    <row r="113">
      <c r="A113" s="62">
        <f>IF(NOT((COUNTA($B113:$J113)+COUNTA($N113))&gt;0),"",IF($S113="Macro",COUNTIFS($S$5:$S113,"Macro",$P$5:$P113,$P113),IF(N($R113)=0,"?",COUNTIFS(INDEX($S$5:$S$1000,1):INDEX($S$5:$S$1000,$R113-4),"Macro",INDEX($P$5:$P$1000,1):INDEX($P$5:$P$1000,$R113-4),INDEX($P$5:$P$1000,$R113-4))&amp;"."&amp;COUNTIFS($R$5:$R113,$R113,$S$5:$S113,"Sub"))))</f>
        <v/>
      </c>
      <c r="B113" s="63" t="n"/>
      <c r="C113" s="64" t="n"/>
      <c r="D113" s="65" t="n"/>
      <c r="E113" s="65" t="n"/>
      <c r="F113" s="66" t="n"/>
      <c r="G113" s="67" t="n"/>
      <c r="H113" s="67" t="n"/>
      <c r="I113" s="67" t="n"/>
      <c r="J113" s="67" t="n"/>
      <c r="K113" s="68">
        <f>IF(NOT((COUNTA($B113:$J113)+COUNTA($N113))&gt;0),"",IF(N($T113)&gt;0,$AB113,IFERROR(LOOKUP(2,1/(G113:J113&lt;&gt;""),G113:J113),0)))</f>
        <v/>
      </c>
      <c r="L113" s="62">
        <f>IF(K113="","",IF(K113&gt;=1,"Completado",IF(K113&gt;0,"En curso","Pendiente")))</f>
        <v/>
      </c>
      <c r="M113" s="62">
        <f>IF(NOT((COUNTA($B113:$J113)+COUNTA($N113))&gt;0),"",IF(N($K113)&gt;=1,"Cumplida",IF(NOT(ISNUMBER($E113)),"Sin fecha límite",IF($E113&lt;FechaRef,"Vencida hace "&amp;(FechaRef-$E113)&amp;IF(FechaRef-$E113=1," día"," días"),IF($E113=FechaRef,"Vence hoy",IF($E113-FechaRef&lt;=DiasAlerta,"Vence en "&amp;($E113-FechaRef)&amp;IF($E113-FechaRef=1," día"," días"),"En plazo"))))))</f>
        <v/>
      </c>
      <c r="N113" s="64" t="n"/>
      <c r="O113" s="69">
        <f>IF(NOT((COUNTA($B113:$J113)+COUNTA($N113))&gt;0),"",IF((IF($C113="","Falta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",""))="","✔ OK","⚠ "&amp;LEFT(IF($C113="","Falta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",""),LEN(IF($C113="","Falta el nombre de la actividad"&amp;" · ","")&amp;IF(AND($S113="Sub",N($R113)=0),"Subactividad sin macroactividad arriba"&amp;" · ","")&amp;IF($D113="","Sin fecha de inicio"&amp;" · ","")&amp;IF($E113="","Sin fecha límite"&amp;" · ","")&amp;IF(OR(AND($D113&lt;&gt;"",NOT(ISNUMBER($D113))),AND($E113&lt;&gt;"",NOT(ISNUMBER($E113)))),"Fecha no válida"&amp;" · ","")&amp;IF(AND(ISNUMBER($D113),ISNUMBER($E113),$D113&gt;$E113),"Inicio posterior a fecha límite"&amp;" · ","")&amp;IF(AND($S113="Macro",$F113=""),"Peso vacío"&amp;" · ","")&amp;IF(AND($S113="Macro",$F113&lt;&gt;"",OR(NOT(ISNUMBER($F113)),$F113&lt;=0,$F113&gt;1)),"Peso fuera de rango"&amp;" · ","")&amp;IF(AND($S113="Sub",$F113&lt;&gt;"",OR(NOT(ISNUMBER($F113)),$F113&lt;0,$F113&gt;1)),"Peso fuera de rango"&amp;" · ","")&amp;IF(AND($S113="Sub",$F113="",IFERROR(N(INDEX($AG$5:$AG$1000,$R113-4)),0)&gt;0),"Falta el peso de la subactividad"&amp;" · ","")&amp;IF(AND(N($T113)&gt;0,N($AG113)&gt;0,ABS(N($AG113)-N($F113))&gt;0.0001),"Pesos de sus subactividades suman "&amp;TEXT(N($AG113),"0%")&amp;" (deben sumar "&amp;TEXT(N($F113),"0%")&amp;")"&amp;" · ","")&amp;IF(AND($S113="Macro",ABS(SUMIFS($F$5:$F$1000,$P$5:$P$1000,$P113,$S$5:$S$1000,"Macro")-1)&gt;0.0001),"Pesos del mes suman "&amp;TEXT(SUMIFS($F$5:$F$1000,$P$5:$P$1000,$P113,$S$5:$S$1000,"Macro"),"0%")&amp;" · ","")&amp;IF(AND(N($T113)&gt;0,COUNT($G113:$J113)&gt;0),"Con subactividades: deje vacías las semanas (se calculan solas)"&amp;" · ","")&amp;IF((COUNTIF($G113:$J113,"&gt;1")+COUNTIF($G113:$J113,"&lt;0")+COUNTA($G113:$J113)-COUNT($G113:$J113))&gt;0,"Avance fuera de rango 0-100%"&amp;" · ","")&amp;IF(OR(AND($H113&lt;&gt;"",$H113&lt;$G113),AND($I113&lt;&gt;"",$I113&lt;MAX($G113:$H113)),AND($J113&lt;&gt;"",$J113&lt;MAX($G113:$I113))),"Avance semanal decreciente"&amp;" · ","")&amp;IF(AND(ISNUMBER($E113),$E113&lt;FechaRef,N($K113)&lt;1),"Vencida"&amp;" · ","")&amp;IF(AND(ObsObligatoria="Sí",ISNUMBER($E113),$E113&lt;FechaRef,N($K113)&lt;1,$N113=""),"Vencida sin observación"&amp;" · ",""))-3)))</f>
        <v/>
      </c>
      <c r="P113" s="70">
        <f>IF(NOT((COUNTA($B113:$J113)+COUNTA($N113))&gt;0),"",IF(AND($S113="Sub",N($R113)&gt;0),IF(ISNUMBER(INDEX($D$5:$D$1000,$R113-4)),DATE(YEAR(INDEX($D$5:$D$1000,$R113-4)),MONTH(INDEX($D$5:$D$1000,$R113-4)),1),IF(ISNUMBER(INDEX($E$5:$E$1000,$R113-4)),DATE(YEAR(INDEX($E$5:$E$1000,$R113-4)),MONTH(INDEX($E$5:$E$1000,$R113-4)),1),MesCiclo)),IF(ISNUMBER($D113),DATE(YEAR($D113),MONTH($D113),1),IF(ISNUMBER($E113),DATE(YEAR($E113),MONTH($E113),1),MesCiclo))))</f>
        <v/>
      </c>
      <c r="Q113" s="71">
        <f>IF(OR($P113="",$P113&lt;&gt;MesCiclo),"",COUNTIF($P$5:$P113,MesCiclo))</f>
        <v/>
      </c>
      <c r="R113" s="71">
        <f>IF($S113="","",IF($S113="Macro",ROW(),IFERROR(LOOKUP(2,1/($S$5:$S113="Macro"),ROW($S$5:$S113)),0)))</f>
        <v/>
      </c>
      <c r="S113" s="71">
        <f>IF(NOT((COUNTA($B113:$J113)+COUNTA($N113))&gt;0),"",IF($B113="Subactividad","Sub","Macro"))</f>
        <v/>
      </c>
      <c r="T113" s="71">
        <f>IF($S113="Macro",COUNTIFS($R$5:$R$1000,ROW(),$S$5:$S$1000,"Sub"),"")</f>
        <v/>
      </c>
      <c r="U113" s="71">
        <f>IF($S113="","",IF(ISNUMBER($G113),$G113,0))</f>
        <v/>
      </c>
      <c r="V113" s="71">
        <f>IF($S113="","",IF(ISNUMBER($H113),$H113,$U113))</f>
        <v/>
      </c>
      <c r="W113" s="71">
        <f>IF($S113="","",IF(ISNUMBER($I113),$I113,$V113))</f>
        <v/>
      </c>
      <c r="X113" s="71">
        <f>IF($S113="","",IF(ISNUMBER($J113),$J113,$W113))</f>
        <v/>
      </c>
      <c r="Y113" s="71">
        <f>IF($S113="","",IF(N($T113)&gt;0,IF(N($AG113)&gt;0,SUMIFS($AC$5:$AC$1000,$R$5:$R$1000,ROW(),$S$5:$S$1000,"Sub")/$AG113,AVERAGEIFS($U$5:$U$1000,$R$5:$R$1000,ROW(),$S$5:$S$1000,"Sub")),$U113))</f>
        <v/>
      </c>
      <c r="Z113" s="71">
        <f>IF($S113="","",IF(N($T113)&gt;0,IF(N($AG113)&gt;0,SUMIFS($AD$5:$AD$1000,$R$5:$R$1000,ROW(),$S$5:$S$1000,"Sub")/$AG113,AVERAGEIFS($V$5:$V$1000,$R$5:$R$1000,ROW(),$S$5:$S$1000,"Sub")),$V113))</f>
        <v/>
      </c>
      <c r="AA113" s="71">
        <f>IF($S113="","",IF(N($T113)&gt;0,IF(N($AG113)&gt;0,SUMIFS($AE$5:$AE$1000,$R$5:$R$1000,ROW(),$S$5:$S$1000,"Sub")/$AG113,AVERAGEIFS($W$5:$W$1000,$R$5:$R$1000,ROW(),$S$5:$S$1000,"Sub")),$W113))</f>
        <v/>
      </c>
      <c r="AB113" s="71">
        <f>IF($S113="","",IF(N($T113)&gt;0,IF(N($AG113)&gt;0,SUMIFS($AF$5:$AF$1000,$R$5:$R$1000,ROW(),$S$5:$S$1000,"Sub")/$AG113,AVERAGEIFS($X$5:$X$1000,$R$5:$R$1000,ROW(),$S$5:$S$1000,"Sub")),$X113))</f>
        <v/>
      </c>
      <c r="AC113" s="71">
        <f>IF($S113="Sub",N($F113)*N($U113),"")</f>
        <v/>
      </c>
      <c r="AD113" s="71">
        <f>IF($S113="Sub",N($F113)*N($V113),"")</f>
        <v/>
      </c>
      <c r="AE113" s="71">
        <f>IF($S113="Sub",N($F113)*N($W113),"")</f>
        <v/>
      </c>
      <c r="AF113" s="71">
        <f>IF($S113="Sub",N($F113)*N($X113),"")</f>
        <v/>
      </c>
      <c r="AG113" s="71">
        <f>IF(N($T113)&gt;0,SUMIFS($F$5:$F$1000,$R$5:$R$1000,ROW(),$S$5:$S$1000,"Sub"),"")</f>
        <v/>
      </c>
    </row>
    <row r="114">
      <c r="A114" s="62">
        <f>IF(NOT((COUNTA($B114:$J114)+COUNTA($N114))&gt;0),"",IF($S114="Macro",COUNTIFS($S$5:$S114,"Macro",$P$5:$P114,$P114),IF(N($R114)=0,"?",COUNTIFS(INDEX($S$5:$S$1000,1):INDEX($S$5:$S$1000,$R114-4),"Macro",INDEX($P$5:$P$1000,1):INDEX($P$5:$P$1000,$R114-4),INDEX($P$5:$P$1000,$R114-4))&amp;"."&amp;COUNTIFS($R$5:$R114,$R114,$S$5:$S114,"Sub"))))</f>
        <v/>
      </c>
      <c r="B114" s="63" t="n"/>
      <c r="C114" s="64" t="n"/>
      <c r="D114" s="65" t="n"/>
      <c r="E114" s="65" t="n"/>
      <c r="F114" s="66" t="n"/>
      <c r="G114" s="67" t="n"/>
      <c r="H114" s="67" t="n"/>
      <c r="I114" s="67" t="n"/>
      <c r="J114" s="67" t="n"/>
      <c r="K114" s="68">
        <f>IF(NOT((COUNTA($B114:$J114)+COUNTA($N114))&gt;0),"",IF(N($T114)&gt;0,$AB114,IFERROR(LOOKUP(2,1/(G114:J114&lt;&gt;""),G114:J114),0)))</f>
        <v/>
      </c>
      <c r="L114" s="62">
        <f>IF(K114="","",IF(K114&gt;=1,"Completado",IF(K114&gt;0,"En curso","Pendiente")))</f>
        <v/>
      </c>
      <c r="M114" s="62">
        <f>IF(NOT((COUNTA($B114:$J114)+COUNTA($N114))&gt;0),"",IF(N($K114)&gt;=1,"Cumplida",IF(NOT(ISNUMBER($E114)),"Sin fecha límite",IF($E114&lt;FechaRef,"Vencida hace "&amp;(FechaRef-$E114)&amp;IF(FechaRef-$E114=1," día"," días"),IF($E114=FechaRef,"Vence hoy",IF($E114-FechaRef&lt;=DiasAlerta,"Vence en "&amp;($E114-FechaRef)&amp;IF($E114-FechaRef=1," día"," días"),"En plazo"))))))</f>
        <v/>
      </c>
      <c r="N114" s="64" t="n"/>
      <c r="O114" s="69">
        <f>IF(NOT((COUNTA($B114:$J114)+COUNTA($N114))&gt;0),"",IF((IF($C114="","Falta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",""))="","✔ OK","⚠ "&amp;LEFT(IF($C114="","Falta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",""),LEN(IF($C114="","Falta el nombre de la actividad"&amp;" · ","")&amp;IF(AND($S114="Sub",N($R114)=0),"Subactividad sin macroactividad arriba"&amp;" · ","")&amp;IF($D114="","Sin fecha de inicio"&amp;" · ","")&amp;IF($E114="","Sin fecha límite"&amp;" · ","")&amp;IF(OR(AND($D114&lt;&gt;"",NOT(ISNUMBER($D114))),AND($E114&lt;&gt;"",NOT(ISNUMBER($E114)))),"Fecha no válida"&amp;" · ","")&amp;IF(AND(ISNUMBER($D114),ISNUMBER($E114),$D114&gt;$E114),"Inicio posterior a fecha límite"&amp;" · ","")&amp;IF(AND($S114="Macro",$F114=""),"Peso vacío"&amp;" · ","")&amp;IF(AND($S114="Macro",$F114&lt;&gt;"",OR(NOT(ISNUMBER($F114)),$F114&lt;=0,$F114&gt;1)),"Peso fuera de rango"&amp;" · ","")&amp;IF(AND($S114="Sub",$F114&lt;&gt;"",OR(NOT(ISNUMBER($F114)),$F114&lt;0,$F114&gt;1)),"Peso fuera de rango"&amp;" · ","")&amp;IF(AND($S114="Sub",$F114="",IFERROR(N(INDEX($AG$5:$AG$1000,$R114-4)),0)&gt;0),"Falta el peso de la subactividad"&amp;" · ","")&amp;IF(AND(N($T114)&gt;0,N($AG114)&gt;0,ABS(N($AG114)-N($F114))&gt;0.0001),"Pesos de sus subactividades suman "&amp;TEXT(N($AG114),"0%")&amp;" (deben sumar "&amp;TEXT(N($F114),"0%")&amp;")"&amp;" · ","")&amp;IF(AND($S114="Macro",ABS(SUMIFS($F$5:$F$1000,$P$5:$P$1000,$P114,$S$5:$S$1000,"Macro")-1)&gt;0.0001),"Pesos del mes suman "&amp;TEXT(SUMIFS($F$5:$F$1000,$P$5:$P$1000,$P114,$S$5:$S$1000,"Macro"),"0%")&amp;" · ","")&amp;IF(AND(N($T114)&gt;0,COUNT($G114:$J114)&gt;0),"Con subactividades: deje vacías las semanas (se calculan solas)"&amp;" · ","")&amp;IF((COUNTIF($G114:$J114,"&gt;1")+COUNTIF($G114:$J114,"&lt;0")+COUNTA($G114:$J114)-COUNT($G114:$J114))&gt;0,"Avance fuera de rango 0-100%"&amp;" · ","")&amp;IF(OR(AND($H114&lt;&gt;"",$H114&lt;$G114),AND($I114&lt;&gt;"",$I114&lt;MAX($G114:$H114)),AND($J114&lt;&gt;"",$J114&lt;MAX($G114:$I114))),"Avance semanal decreciente"&amp;" · ","")&amp;IF(AND(ISNUMBER($E114),$E114&lt;FechaRef,N($K114)&lt;1),"Vencida"&amp;" · ","")&amp;IF(AND(ObsObligatoria="Sí",ISNUMBER($E114),$E114&lt;FechaRef,N($K114)&lt;1,$N114=""),"Vencida sin observación"&amp;" · ",""))-3)))</f>
        <v/>
      </c>
      <c r="P114" s="70">
        <f>IF(NOT((COUNTA($B114:$J114)+COUNTA($N114))&gt;0),"",IF(AND($S114="Sub",N($R114)&gt;0),IF(ISNUMBER(INDEX($D$5:$D$1000,$R114-4)),DATE(YEAR(INDEX($D$5:$D$1000,$R114-4)),MONTH(INDEX($D$5:$D$1000,$R114-4)),1),IF(ISNUMBER(INDEX($E$5:$E$1000,$R114-4)),DATE(YEAR(INDEX($E$5:$E$1000,$R114-4)),MONTH(INDEX($E$5:$E$1000,$R114-4)),1),MesCiclo)),IF(ISNUMBER($D114),DATE(YEAR($D114),MONTH($D114),1),IF(ISNUMBER($E114),DATE(YEAR($E114),MONTH($E114),1),MesCiclo))))</f>
        <v/>
      </c>
      <c r="Q114" s="71">
        <f>IF(OR($P114="",$P114&lt;&gt;MesCiclo),"",COUNTIF($P$5:$P114,MesCiclo))</f>
        <v/>
      </c>
      <c r="R114" s="71">
        <f>IF($S114="","",IF($S114="Macro",ROW(),IFERROR(LOOKUP(2,1/($S$5:$S114="Macro"),ROW($S$5:$S114)),0)))</f>
        <v/>
      </c>
      <c r="S114" s="71">
        <f>IF(NOT((COUNTA($B114:$J114)+COUNTA($N114))&gt;0),"",IF($B114="Subactividad","Sub","Macro"))</f>
        <v/>
      </c>
      <c r="T114" s="71">
        <f>IF($S114="Macro",COUNTIFS($R$5:$R$1000,ROW(),$S$5:$S$1000,"Sub"),"")</f>
        <v/>
      </c>
      <c r="U114" s="71">
        <f>IF($S114="","",IF(ISNUMBER($G114),$G114,0))</f>
        <v/>
      </c>
      <c r="V114" s="71">
        <f>IF($S114="","",IF(ISNUMBER($H114),$H114,$U114))</f>
        <v/>
      </c>
      <c r="W114" s="71">
        <f>IF($S114="","",IF(ISNUMBER($I114),$I114,$V114))</f>
        <v/>
      </c>
      <c r="X114" s="71">
        <f>IF($S114="","",IF(ISNUMBER($J114),$J114,$W114))</f>
        <v/>
      </c>
      <c r="Y114" s="71">
        <f>IF($S114="","",IF(N($T114)&gt;0,IF(N($AG114)&gt;0,SUMIFS($AC$5:$AC$1000,$R$5:$R$1000,ROW(),$S$5:$S$1000,"Sub")/$AG114,AVERAGEIFS($U$5:$U$1000,$R$5:$R$1000,ROW(),$S$5:$S$1000,"Sub")),$U114))</f>
        <v/>
      </c>
      <c r="Z114" s="71">
        <f>IF($S114="","",IF(N($T114)&gt;0,IF(N($AG114)&gt;0,SUMIFS($AD$5:$AD$1000,$R$5:$R$1000,ROW(),$S$5:$S$1000,"Sub")/$AG114,AVERAGEIFS($V$5:$V$1000,$R$5:$R$1000,ROW(),$S$5:$S$1000,"Sub")),$V114))</f>
        <v/>
      </c>
      <c r="AA114" s="71">
        <f>IF($S114="","",IF(N($T114)&gt;0,IF(N($AG114)&gt;0,SUMIFS($AE$5:$AE$1000,$R$5:$R$1000,ROW(),$S$5:$S$1000,"Sub")/$AG114,AVERAGEIFS($W$5:$W$1000,$R$5:$R$1000,ROW(),$S$5:$S$1000,"Sub")),$W114))</f>
        <v/>
      </c>
      <c r="AB114" s="71">
        <f>IF($S114="","",IF(N($T114)&gt;0,IF(N($AG114)&gt;0,SUMIFS($AF$5:$AF$1000,$R$5:$R$1000,ROW(),$S$5:$S$1000,"Sub")/$AG114,AVERAGEIFS($X$5:$X$1000,$R$5:$R$1000,ROW(),$S$5:$S$1000,"Sub")),$X114))</f>
        <v/>
      </c>
      <c r="AC114" s="71">
        <f>IF($S114="Sub",N($F114)*N($U114),"")</f>
        <v/>
      </c>
      <c r="AD114" s="71">
        <f>IF($S114="Sub",N($F114)*N($V114),"")</f>
        <v/>
      </c>
      <c r="AE114" s="71">
        <f>IF($S114="Sub",N($F114)*N($W114),"")</f>
        <v/>
      </c>
      <c r="AF114" s="71">
        <f>IF($S114="Sub",N($F114)*N($X114),"")</f>
        <v/>
      </c>
      <c r="AG114" s="71">
        <f>IF(N($T114)&gt;0,SUMIFS($F$5:$F$1000,$R$5:$R$1000,ROW(),$S$5:$S$1000,"Sub"),"")</f>
        <v/>
      </c>
    </row>
    <row r="115">
      <c r="A115" s="62">
        <f>IF(NOT((COUNTA($B115:$J115)+COUNTA($N115))&gt;0),"",IF($S115="Macro",COUNTIFS($S$5:$S115,"Macro",$P$5:$P115,$P115),IF(N($R115)=0,"?",COUNTIFS(INDEX($S$5:$S$1000,1):INDEX($S$5:$S$1000,$R115-4),"Macro",INDEX($P$5:$P$1000,1):INDEX($P$5:$P$1000,$R115-4),INDEX($P$5:$P$1000,$R115-4))&amp;"."&amp;COUNTIFS($R$5:$R115,$R115,$S$5:$S115,"Sub"))))</f>
        <v/>
      </c>
      <c r="B115" s="63" t="n"/>
      <c r="C115" s="64" t="n"/>
      <c r="D115" s="65" t="n"/>
      <c r="E115" s="65" t="n"/>
      <c r="F115" s="66" t="n"/>
      <c r="G115" s="67" t="n"/>
      <c r="H115" s="67" t="n"/>
      <c r="I115" s="67" t="n"/>
      <c r="J115" s="67" t="n"/>
      <c r="K115" s="68">
        <f>IF(NOT((COUNTA($B115:$J115)+COUNTA($N115))&gt;0),"",IF(N($T115)&gt;0,$AB115,IFERROR(LOOKUP(2,1/(G115:J115&lt;&gt;""),G115:J115),0)))</f>
        <v/>
      </c>
      <c r="L115" s="62">
        <f>IF(K115="","",IF(K115&gt;=1,"Completado",IF(K115&gt;0,"En curso","Pendiente")))</f>
        <v/>
      </c>
      <c r="M115" s="62">
        <f>IF(NOT((COUNTA($B115:$J115)+COUNTA($N115))&gt;0),"",IF(N($K115)&gt;=1,"Cumplida",IF(NOT(ISNUMBER($E115)),"Sin fecha límite",IF($E115&lt;FechaRef,"Vencida hace "&amp;(FechaRef-$E115)&amp;IF(FechaRef-$E115=1," día"," días"),IF($E115=FechaRef,"Vence hoy",IF($E115-FechaRef&lt;=DiasAlerta,"Vence en "&amp;($E115-FechaRef)&amp;IF($E115-FechaRef=1," día"," días"),"En plazo"))))))</f>
        <v/>
      </c>
      <c r="N115" s="64" t="n"/>
      <c r="O115" s="69">
        <f>IF(NOT((COUNTA($B115:$J115)+COUNTA($N115))&gt;0),"",IF((IF($C115="","Falta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",""))="","✔ OK","⚠ "&amp;LEFT(IF($C115="","Falta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",""),LEN(IF($C115="","Falta el nombre de la actividad"&amp;" · ","")&amp;IF(AND($S115="Sub",N($R115)=0),"Subactividad sin macroactividad arriba"&amp;" · ","")&amp;IF($D115="","Sin fecha de inicio"&amp;" · ","")&amp;IF($E115="","Sin fecha límite"&amp;" · ","")&amp;IF(OR(AND($D115&lt;&gt;"",NOT(ISNUMBER($D115))),AND($E115&lt;&gt;"",NOT(ISNUMBER($E115)))),"Fecha no válida"&amp;" · ","")&amp;IF(AND(ISNUMBER($D115),ISNUMBER($E115),$D115&gt;$E115),"Inicio posterior a fecha límite"&amp;" · ","")&amp;IF(AND($S115="Macro",$F115=""),"Peso vacío"&amp;" · ","")&amp;IF(AND($S115="Macro",$F115&lt;&gt;"",OR(NOT(ISNUMBER($F115)),$F115&lt;=0,$F115&gt;1)),"Peso fuera de rango"&amp;" · ","")&amp;IF(AND($S115="Sub",$F115&lt;&gt;"",OR(NOT(ISNUMBER($F115)),$F115&lt;0,$F115&gt;1)),"Peso fuera de rango"&amp;" · ","")&amp;IF(AND($S115="Sub",$F115="",IFERROR(N(INDEX($AG$5:$AG$1000,$R115-4)),0)&gt;0),"Falta el peso de la subactividad"&amp;" · ","")&amp;IF(AND(N($T115)&gt;0,N($AG115)&gt;0,ABS(N($AG115)-N($F115))&gt;0.0001),"Pesos de sus subactividades suman "&amp;TEXT(N($AG115),"0%")&amp;" (deben sumar "&amp;TEXT(N($F115),"0%")&amp;")"&amp;" · ","")&amp;IF(AND($S115="Macro",ABS(SUMIFS($F$5:$F$1000,$P$5:$P$1000,$P115,$S$5:$S$1000,"Macro")-1)&gt;0.0001),"Pesos del mes suman "&amp;TEXT(SUMIFS($F$5:$F$1000,$P$5:$P$1000,$P115,$S$5:$S$1000,"Macro"),"0%")&amp;" · ","")&amp;IF(AND(N($T115)&gt;0,COUNT($G115:$J115)&gt;0),"Con subactividades: deje vacías las semanas (se calculan solas)"&amp;" · ","")&amp;IF((COUNTIF($G115:$J115,"&gt;1")+COUNTIF($G115:$J115,"&lt;0")+COUNTA($G115:$J115)-COUNT($G115:$J115))&gt;0,"Avance fuera de rango 0-100%"&amp;" · ","")&amp;IF(OR(AND($H115&lt;&gt;"",$H115&lt;$G115),AND($I115&lt;&gt;"",$I115&lt;MAX($G115:$H115)),AND($J115&lt;&gt;"",$J115&lt;MAX($G115:$I115))),"Avance semanal decreciente"&amp;" · ","")&amp;IF(AND(ISNUMBER($E115),$E115&lt;FechaRef,N($K115)&lt;1),"Vencida"&amp;" · ","")&amp;IF(AND(ObsObligatoria="Sí",ISNUMBER($E115),$E115&lt;FechaRef,N($K115)&lt;1,$N115=""),"Vencida sin observación"&amp;" · ",""))-3)))</f>
        <v/>
      </c>
      <c r="P115" s="70">
        <f>IF(NOT((COUNTA($B115:$J115)+COUNTA($N115))&gt;0),"",IF(AND($S115="Sub",N($R115)&gt;0),IF(ISNUMBER(INDEX($D$5:$D$1000,$R115-4)),DATE(YEAR(INDEX($D$5:$D$1000,$R115-4)),MONTH(INDEX($D$5:$D$1000,$R115-4)),1),IF(ISNUMBER(INDEX($E$5:$E$1000,$R115-4)),DATE(YEAR(INDEX($E$5:$E$1000,$R115-4)),MONTH(INDEX($E$5:$E$1000,$R115-4)),1),MesCiclo)),IF(ISNUMBER($D115),DATE(YEAR($D115),MONTH($D115),1),IF(ISNUMBER($E115),DATE(YEAR($E115),MONTH($E115),1),MesCiclo))))</f>
        <v/>
      </c>
      <c r="Q115" s="71">
        <f>IF(OR($P115="",$P115&lt;&gt;MesCiclo),"",COUNTIF($P$5:$P115,MesCiclo))</f>
        <v/>
      </c>
      <c r="R115" s="71">
        <f>IF($S115="","",IF($S115="Macro",ROW(),IFERROR(LOOKUP(2,1/($S$5:$S115="Macro"),ROW($S$5:$S115)),0)))</f>
        <v/>
      </c>
      <c r="S115" s="71">
        <f>IF(NOT((COUNTA($B115:$J115)+COUNTA($N115))&gt;0),"",IF($B115="Subactividad","Sub","Macro"))</f>
        <v/>
      </c>
      <c r="T115" s="71">
        <f>IF($S115="Macro",COUNTIFS($R$5:$R$1000,ROW(),$S$5:$S$1000,"Sub"),"")</f>
        <v/>
      </c>
      <c r="U115" s="71">
        <f>IF($S115="","",IF(ISNUMBER($G115),$G115,0))</f>
        <v/>
      </c>
      <c r="V115" s="71">
        <f>IF($S115="","",IF(ISNUMBER($H115),$H115,$U115))</f>
        <v/>
      </c>
      <c r="W115" s="71">
        <f>IF($S115="","",IF(ISNUMBER($I115),$I115,$V115))</f>
        <v/>
      </c>
      <c r="X115" s="71">
        <f>IF($S115="","",IF(ISNUMBER($J115),$J115,$W115))</f>
        <v/>
      </c>
      <c r="Y115" s="71">
        <f>IF($S115="","",IF(N($T115)&gt;0,IF(N($AG115)&gt;0,SUMIFS($AC$5:$AC$1000,$R$5:$R$1000,ROW(),$S$5:$S$1000,"Sub")/$AG115,AVERAGEIFS($U$5:$U$1000,$R$5:$R$1000,ROW(),$S$5:$S$1000,"Sub")),$U115))</f>
        <v/>
      </c>
      <c r="Z115" s="71">
        <f>IF($S115="","",IF(N($T115)&gt;0,IF(N($AG115)&gt;0,SUMIFS($AD$5:$AD$1000,$R$5:$R$1000,ROW(),$S$5:$S$1000,"Sub")/$AG115,AVERAGEIFS($V$5:$V$1000,$R$5:$R$1000,ROW(),$S$5:$S$1000,"Sub")),$V115))</f>
        <v/>
      </c>
      <c r="AA115" s="71">
        <f>IF($S115="","",IF(N($T115)&gt;0,IF(N($AG115)&gt;0,SUMIFS($AE$5:$AE$1000,$R$5:$R$1000,ROW(),$S$5:$S$1000,"Sub")/$AG115,AVERAGEIFS($W$5:$W$1000,$R$5:$R$1000,ROW(),$S$5:$S$1000,"Sub")),$W115))</f>
        <v/>
      </c>
      <c r="AB115" s="71">
        <f>IF($S115="","",IF(N($T115)&gt;0,IF(N($AG115)&gt;0,SUMIFS($AF$5:$AF$1000,$R$5:$R$1000,ROW(),$S$5:$S$1000,"Sub")/$AG115,AVERAGEIFS($X$5:$X$1000,$R$5:$R$1000,ROW(),$S$5:$S$1000,"Sub")),$X115))</f>
        <v/>
      </c>
      <c r="AC115" s="71">
        <f>IF($S115="Sub",N($F115)*N($U115),"")</f>
        <v/>
      </c>
      <c r="AD115" s="71">
        <f>IF($S115="Sub",N($F115)*N($V115),"")</f>
        <v/>
      </c>
      <c r="AE115" s="71">
        <f>IF($S115="Sub",N($F115)*N($W115),"")</f>
        <v/>
      </c>
      <c r="AF115" s="71">
        <f>IF($S115="Sub",N($F115)*N($X115),"")</f>
        <v/>
      </c>
      <c r="AG115" s="71">
        <f>IF(N($T115)&gt;0,SUMIFS($F$5:$F$1000,$R$5:$R$1000,ROW(),$S$5:$S$1000,"Sub"),"")</f>
        <v/>
      </c>
    </row>
    <row r="116">
      <c r="A116" s="62">
        <f>IF(NOT((COUNTA($B116:$J116)+COUNTA($N116))&gt;0),"",IF($S116="Macro",COUNTIFS($S$5:$S116,"Macro",$P$5:$P116,$P116),IF(N($R116)=0,"?",COUNTIFS(INDEX($S$5:$S$1000,1):INDEX($S$5:$S$1000,$R116-4),"Macro",INDEX($P$5:$P$1000,1):INDEX($P$5:$P$1000,$R116-4),INDEX($P$5:$P$1000,$R116-4))&amp;"."&amp;COUNTIFS($R$5:$R116,$R116,$S$5:$S116,"Sub"))))</f>
        <v/>
      </c>
      <c r="B116" s="63" t="n"/>
      <c r="C116" s="64" t="n"/>
      <c r="D116" s="65" t="n"/>
      <c r="E116" s="65" t="n"/>
      <c r="F116" s="66" t="n"/>
      <c r="G116" s="67" t="n"/>
      <c r="H116" s="67" t="n"/>
      <c r="I116" s="67" t="n"/>
      <c r="J116" s="67" t="n"/>
      <c r="K116" s="68">
        <f>IF(NOT((COUNTA($B116:$J116)+COUNTA($N116))&gt;0),"",IF(N($T116)&gt;0,$AB116,IFERROR(LOOKUP(2,1/(G116:J116&lt;&gt;""),G116:J116),0)))</f>
        <v/>
      </c>
      <c r="L116" s="62">
        <f>IF(K116="","",IF(K116&gt;=1,"Completado",IF(K116&gt;0,"En curso","Pendiente")))</f>
        <v/>
      </c>
      <c r="M116" s="62">
        <f>IF(NOT((COUNTA($B116:$J116)+COUNTA($N116))&gt;0),"",IF(N($K116)&gt;=1,"Cumplida",IF(NOT(ISNUMBER($E116)),"Sin fecha límite",IF($E116&lt;FechaRef,"Vencida hace "&amp;(FechaRef-$E116)&amp;IF(FechaRef-$E116=1," día"," días"),IF($E116=FechaRef,"Vence hoy",IF($E116-FechaRef&lt;=DiasAlerta,"Vence en "&amp;($E116-FechaRef)&amp;IF($E116-FechaRef=1," día"," días"),"En plazo"))))))</f>
        <v/>
      </c>
      <c r="N116" s="64" t="n"/>
      <c r="O116" s="69">
        <f>IF(NOT((COUNTA($B116:$J116)+COUNTA($N116))&gt;0),"",IF((IF($C116="","Falta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",""))="","✔ OK","⚠ "&amp;LEFT(IF($C116="","Falta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",""),LEN(IF($C116="","Falta el nombre de la actividad"&amp;" · ","")&amp;IF(AND($S116="Sub",N($R116)=0),"Subactividad sin macroactividad arriba"&amp;" · ","")&amp;IF($D116="","Sin fecha de inicio"&amp;" · ","")&amp;IF($E116="","Sin fecha límite"&amp;" · ","")&amp;IF(OR(AND($D116&lt;&gt;"",NOT(ISNUMBER($D116))),AND($E116&lt;&gt;"",NOT(ISNUMBER($E116)))),"Fecha no válida"&amp;" · ","")&amp;IF(AND(ISNUMBER($D116),ISNUMBER($E116),$D116&gt;$E116),"Inicio posterior a fecha límite"&amp;" · ","")&amp;IF(AND($S116="Macro",$F116=""),"Peso vacío"&amp;" · ","")&amp;IF(AND($S116="Macro",$F116&lt;&gt;"",OR(NOT(ISNUMBER($F116)),$F116&lt;=0,$F116&gt;1)),"Peso fuera de rango"&amp;" · ","")&amp;IF(AND($S116="Sub",$F116&lt;&gt;"",OR(NOT(ISNUMBER($F116)),$F116&lt;0,$F116&gt;1)),"Peso fuera de rango"&amp;" · ","")&amp;IF(AND($S116="Sub",$F116="",IFERROR(N(INDEX($AG$5:$AG$1000,$R116-4)),0)&gt;0),"Falta el peso de la subactividad"&amp;" · ","")&amp;IF(AND(N($T116)&gt;0,N($AG116)&gt;0,ABS(N($AG116)-N($F116))&gt;0.0001),"Pesos de sus subactividades suman "&amp;TEXT(N($AG116),"0%")&amp;" (deben sumar "&amp;TEXT(N($F116),"0%")&amp;")"&amp;" · ","")&amp;IF(AND($S116="Macro",ABS(SUMIFS($F$5:$F$1000,$P$5:$P$1000,$P116,$S$5:$S$1000,"Macro")-1)&gt;0.0001),"Pesos del mes suman "&amp;TEXT(SUMIFS($F$5:$F$1000,$P$5:$P$1000,$P116,$S$5:$S$1000,"Macro"),"0%")&amp;" · ","")&amp;IF(AND(N($T116)&gt;0,COUNT($G116:$J116)&gt;0),"Con subactividades: deje vacías las semanas (se calculan solas)"&amp;" · ","")&amp;IF((COUNTIF($G116:$J116,"&gt;1")+COUNTIF($G116:$J116,"&lt;0")+COUNTA($G116:$J116)-COUNT($G116:$J116))&gt;0,"Avance fuera de rango 0-100%"&amp;" · ","")&amp;IF(OR(AND($H116&lt;&gt;"",$H116&lt;$G116),AND($I116&lt;&gt;"",$I116&lt;MAX($G116:$H116)),AND($J116&lt;&gt;"",$J116&lt;MAX($G116:$I116))),"Avance semanal decreciente"&amp;" · ","")&amp;IF(AND(ISNUMBER($E116),$E116&lt;FechaRef,N($K116)&lt;1),"Vencida"&amp;" · ","")&amp;IF(AND(ObsObligatoria="Sí",ISNUMBER($E116),$E116&lt;FechaRef,N($K116)&lt;1,$N116=""),"Vencida sin observación"&amp;" · ",""))-3)))</f>
        <v/>
      </c>
      <c r="P116" s="70">
        <f>IF(NOT((COUNTA($B116:$J116)+COUNTA($N116))&gt;0),"",IF(AND($S116="Sub",N($R116)&gt;0),IF(ISNUMBER(INDEX($D$5:$D$1000,$R116-4)),DATE(YEAR(INDEX($D$5:$D$1000,$R116-4)),MONTH(INDEX($D$5:$D$1000,$R116-4)),1),IF(ISNUMBER(INDEX($E$5:$E$1000,$R116-4)),DATE(YEAR(INDEX($E$5:$E$1000,$R116-4)),MONTH(INDEX($E$5:$E$1000,$R116-4)),1),MesCiclo)),IF(ISNUMBER($D116),DATE(YEAR($D116),MONTH($D116),1),IF(ISNUMBER($E116),DATE(YEAR($E116),MONTH($E116),1),MesCiclo))))</f>
        <v/>
      </c>
      <c r="Q116" s="71">
        <f>IF(OR($P116="",$P116&lt;&gt;MesCiclo),"",COUNTIF($P$5:$P116,MesCiclo))</f>
        <v/>
      </c>
      <c r="R116" s="71">
        <f>IF($S116="","",IF($S116="Macro",ROW(),IFERROR(LOOKUP(2,1/($S$5:$S116="Macro"),ROW($S$5:$S116)),0)))</f>
        <v/>
      </c>
      <c r="S116" s="71">
        <f>IF(NOT((COUNTA($B116:$J116)+COUNTA($N116))&gt;0),"",IF($B116="Subactividad","Sub","Macro"))</f>
        <v/>
      </c>
      <c r="T116" s="71">
        <f>IF($S116="Macro",COUNTIFS($R$5:$R$1000,ROW(),$S$5:$S$1000,"Sub"),"")</f>
        <v/>
      </c>
      <c r="U116" s="71">
        <f>IF($S116="","",IF(ISNUMBER($G116),$G116,0))</f>
        <v/>
      </c>
      <c r="V116" s="71">
        <f>IF($S116="","",IF(ISNUMBER($H116),$H116,$U116))</f>
        <v/>
      </c>
      <c r="W116" s="71">
        <f>IF($S116="","",IF(ISNUMBER($I116),$I116,$V116))</f>
        <v/>
      </c>
      <c r="X116" s="71">
        <f>IF($S116="","",IF(ISNUMBER($J116),$J116,$W116))</f>
        <v/>
      </c>
      <c r="Y116" s="71">
        <f>IF($S116="","",IF(N($T116)&gt;0,IF(N($AG116)&gt;0,SUMIFS($AC$5:$AC$1000,$R$5:$R$1000,ROW(),$S$5:$S$1000,"Sub")/$AG116,AVERAGEIFS($U$5:$U$1000,$R$5:$R$1000,ROW(),$S$5:$S$1000,"Sub")),$U116))</f>
        <v/>
      </c>
      <c r="Z116" s="71">
        <f>IF($S116="","",IF(N($T116)&gt;0,IF(N($AG116)&gt;0,SUMIFS($AD$5:$AD$1000,$R$5:$R$1000,ROW(),$S$5:$S$1000,"Sub")/$AG116,AVERAGEIFS($V$5:$V$1000,$R$5:$R$1000,ROW(),$S$5:$S$1000,"Sub")),$V116))</f>
        <v/>
      </c>
      <c r="AA116" s="71">
        <f>IF($S116="","",IF(N($T116)&gt;0,IF(N($AG116)&gt;0,SUMIFS($AE$5:$AE$1000,$R$5:$R$1000,ROW(),$S$5:$S$1000,"Sub")/$AG116,AVERAGEIFS($W$5:$W$1000,$R$5:$R$1000,ROW(),$S$5:$S$1000,"Sub")),$W116))</f>
        <v/>
      </c>
      <c r="AB116" s="71">
        <f>IF($S116="","",IF(N($T116)&gt;0,IF(N($AG116)&gt;0,SUMIFS($AF$5:$AF$1000,$R$5:$R$1000,ROW(),$S$5:$S$1000,"Sub")/$AG116,AVERAGEIFS($X$5:$X$1000,$R$5:$R$1000,ROW(),$S$5:$S$1000,"Sub")),$X116))</f>
        <v/>
      </c>
      <c r="AC116" s="71">
        <f>IF($S116="Sub",N($F116)*N($U116),"")</f>
        <v/>
      </c>
      <c r="AD116" s="71">
        <f>IF($S116="Sub",N($F116)*N($V116),"")</f>
        <v/>
      </c>
      <c r="AE116" s="71">
        <f>IF($S116="Sub",N($F116)*N($W116),"")</f>
        <v/>
      </c>
      <c r="AF116" s="71">
        <f>IF($S116="Sub",N($F116)*N($X116),"")</f>
        <v/>
      </c>
      <c r="AG116" s="71">
        <f>IF(N($T116)&gt;0,SUMIFS($F$5:$F$1000,$R$5:$R$1000,ROW(),$S$5:$S$1000,"Sub"),"")</f>
        <v/>
      </c>
    </row>
    <row r="117">
      <c r="A117" s="62">
        <f>IF(NOT((COUNTA($B117:$J117)+COUNTA($N117))&gt;0),"",IF($S117="Macro",COUNTIFS($S$5:$S117,"Macro",$P$5:$P117,$P117),IF(N($R117)=0,"?",COUNTIFS(INDEX($S$5:$S$1000,1):INDEX($S$5:$S$1000,$R117-4),"Macro",INDEX($P$5:$P$1000,1):INDEX($P$5:$P$1000,$R117-4),INDEX($P$5:$P$1000,$R117-4))&amp;"."&amp;COUNTIFS($R$5:$R117,$R117,$S$5:$S117,"Sub"))))</f>
        <v/>
      </c>
      <c r="B117" s="63" t="n"/>
      <c r="C117" s="64" t="n"/>
      <c r="D117" s="65" t="n"/>
      <c r="E117" s="65" t="n"/>
      <c r="F117" s="66" t="n"/>
      <c r="G117" s="67" t="n"/>
      <c r="H117" s="67" t="n"/>
      <c r="I117" s="67" t="n"/>
      <c r="J117" s="67" t="n"/>
      <c r="K117" s="68">
        <f>IF(NOT((COUNTA($B117:$J117)+COUNTA($N117))&gt;0),"",IF(N($T117)&gt;0,$AB117,IFERROR(LOOKUP(2,1/(G117:J117&lt;&gt;""),G117:J117),0)))</f>
        <v/>
      </c>
      <c r="L117" s="62">
        <f>IF(K117="","",IF(K117&gt;=1,"Completado",IF(K117&gt;0,"En curso","Pendiente")))</f>
        <v/>
      </c>
      <c r="M117" s="62">
        <f>IF(NOT((COUNTA($B117:$J117)+COUNTA($N117))&gt;0),"",IF(N($K117)&gt;=1,"Cumplida",IF(NOT(ISNUMBER($E117)),"Sin fecha límite",IF($E117&lt;FechaRef,"Vencida hace "&amp;(FechaRef-$E117)&amp;IF(FechaRef-$E117=1," día"," días"),IF($E117=FechaRef,"Vence hoy",IF($E117-FechaRef&lt;=DiasAlerta,"Vence en "&amp;($E117-FechaRef)&amp;IF($E117-FechaRef=1," día"," días"),"En plazo"))))))</f>
        <v/>
      </c>
      <c r="N117" s="64" t="n"/>
      <c r="O117" s="69">
        <f>IF(NOT((COUNTA($B117:$J117)+COUNTA($N117))&gt;0),"",IF((IF($C117="","Falta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",""))="","✔ OK","⚠ "&amp;LEFT(IF($C117="","Falta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",""),LEN(IF($C117="","Falta el nombre de la actividad"&amp;" · ","")&amp;IF(AND($S117="Sub",N($R117)=0),"Subactividad sin macroactividad arriba"&amp;" · ","")&amp;IF($D117="","Sin fecha de inicio"&amp;" · ","")&amp;IF($E117="","Sin fecha límite"&amp;" · ","")&amp;IF(OR(AND($D117&lt;&gt;"",NOT(ISNUMBER($D117))),AND($E117&lt;&gt;"",NOT(ISNUMBER($E117)))),"Fecha no válida"&amp;" · ","")&amp;IF(AND(ISNUMBER($D117),ISNUMBER($E117),$D117&gt;$E117),"Inicio posterior a fecha límite"&amp;" · ","")&amp;IF(AND($S117="Macro",$F117=""),"Peso vacío"&amp;" · ","")&amp;IF(AND($S117="Macro",$F117&lt;&gt;"",OR(NOT(ISNUMBER($F117)),$F117&lt;=0,$F117&gt;1)),"Peso fuera de rango"&amp;" · ","")&amp;IF(AND($S117="Sub",$F117&lt;&gt;"",OR(NOT(ISNUMBER($F117)),$F117&lt;0,$F117&gt;1)),"Peso fuera de rango"&amp;" · ","")&amp;IF(AND($S117="Sub",$F117="",IFERROR(N(INDEX($AG$5:$AG$1000,$R117-4)),0)&gt;0),"Falta el peso de la subactividad"&amp;" · ","")&amp;IF(AND(N($T117)&gt;0,N($AG117)&gt;0,ABS(N($AG117)-N($F117))&gt;0.0001),"Pesos de sus subactividades suman "&amp;TEXT(N($AG117),"0%")&amp;" (deben sumar "&amp;TEXT(N($F117),"0%")&amp;")"&amp;" · ","")&amp;IF(AND($S117="Macro",ABS(SUMIFS($F$5:$F$1000,$P$5:$P$1000,$P117,$S$5:$S$1000,"Macro")-1)&gt;0.0001),"Pesos del mes suman "&amp;TEXT(SUMIFS($F$5:$F$1000,$P$5:$P$1000,$P117,$S$5:$S$1000,"Macro"),"0%")&amp;" · ","")&amp;IF(AND(N($T117)&gt;0,COUNT($G117:$J117)&gt;0),"Con subactividades: deje vacías las semanas (se calculan solas)"&amp;" · ","")&amp;IF((COUNTIF($G117:$J117,"&gt;1")+COUNTIF($G117:$J117,"&lt;0")+COUNTA($G117:$J117)-COUNT($G117:$J117))&gt;0,"Avance fuera de rango 0-100%"&amp;" · ","")&amp;IF(OR(AND($H117&lt;&gt;"",$H117&lt;$G117),AND($I117&lt;&gt;"",$I117&lt;MAX($G117:$H117)),AND($J117&lt;&gt;"",$J117&lt;MAX($G117:$I117))),"Avance semanal decreciente"&amp;" · ","")&amp;IF(AND(ISNUMBER($E117),$E117&lt;FechaRef,N($K117)&lt;1),"Vencida"&amp;" · ","")&amp;IF(AND(ObsObligatoria="Sí",ISNUMBER($E117),$E117&lt;FechaRef,N($K117)&lt;1,$N117=""),"Vencida sin observación"&amp;" · ",""))-3)))</f>
        <v/>
      </c>
      <c r="P117" s="70">
        <f>IF(NOT((COUNTA($B117:$J117)+COUNTA($N117))&gt;0),"",IF(AND($S117="Sub",N($R117)&gt;0),IF(ISNUMBER(INDEX($D$5:$D$1000,$R117-4)),DATE(YEAR(INDEX($D$5:$D$1000,$R117-4)),MONTH(INDEX($D$5:$D$1000,$R117-4)),1),IF(ISNUMBER(INDEX($E$5:$E$1000,$R117-4)),DATE(YEAR(INDEX($E$5:$E$1000,$R117-4)),MONTH(INDEX($E$5:$E$1000,$R117-4)),1),MesCiclo)),IF(ISNUMBER($D117),DATE(YEAR($D117),MONTH($D117),1),IF(ISNUMBER($E117),DATE(YEAR($E117),MONTH($E117),1),MesCiclo))))</f>
        <v/>
      </c>
      <c r="Q117" s="71">
        <f>IF(OR($P117="",$P117&lt;&gt;MesCiclo),"",COUNTIF($P$5:$P117,MesCiclo))</f>
        <v/>
      </c>
      <c r="R117" s="71">
        <f>IF($S117="","",IF($S117="Macro",ROW(),IFERROR(LOOKUP(2,1/($S$5:$S117="Macro"),ROW($S$5:$S117)),0)))</f>
        <v/>
      </c>
      <c r="S117" s="71">
        <f>IF(NOT((COUNTA($B117:$J117)+COUNTA($N117))&gt;0),"",IF($B117="Subactividad","Sub","Macro"))</f>
        <v/>
      </c>
      <c r="T117" s="71">
        <f>IF($S117="Macro",COUNTIFS($R$5:$R$1000,ROW(),$S$5:$S$1000,"Sub"),"")</f>
        <v/>
      </c>
      <c r="U117" s="71">
        <f>IF($S117="","",IF(ISNUMBER($G117),$G117,0))</f>
        <v/>
      </c>
      <c r="V117" s="71">
        <f>IF($S117="","",IF(ISNUMBER($H117),$H117,$U117))</f>
        <v/>
      </c>
      <c r="W117" s="71">
        <f>IF($S117="","",IF(ISNUMBER($I117),$I117,$V117))</f>
        <v/>
      </c>
      <c r="X117" s="71">
        <f>IF($S117="","",IF(ISNUMBER($J117),$J117,$W117))</f>
        <v/>
      </c>
      <c r="Y117" s="71">
        <f>IF($S117="","",IF(N($T117)&gt;0,IF(N($AG117)&gt;0,SUMIFS($AC$5:$AC$1000,$R$5:$R$1000,ROW(),$S$5:$S$1000,"Sub")/$AG117,AVERAGEIFS($U$5:$U$1000,$R$5:$R$1000,ROW(),$S$5:$S$1000,"Sub")),$U117))</f>
        <v/>
      </c>
      <c r="Z117" s="71">
        <f>IF($S117="","",IF(N($T117)&gt;0,IF(N($AG117)&gt;0,SUMIFS($AD$5:$AD$1000,$R$5:$R$1000,ROW(),$S$5:$S$1000,"Sub")/$AG117,AVERAGEIFS($V$5:$V$1000,$R$5:$R$1000,ROW(),$S$5:$S$1000,"Sub")),$V117))</f>
        <v/>
      </c>
      <c r="AA117" s="71">
        <f>IF($S117="","",IF(N($T117)&gt;0,IF(N($AG117)&gt;0,SUMIFS($AE$5:$AE$1000,$R$5:$R$1000,ROW(),$S$5:$S$1000,"Sub")/$AG117,AVERAGEIFS($W$5:$W$1000,$R$5:$R$1000,ROW(),$S$5:$S$1000,"Sub")),$W117))</f>
        <v/>
      </c>
      <c r="AB117" s="71">
        <f>IF($S117="","",IF(N($T117)&gt;0,IF(N($AG117)&gt;0,SUMIFS($AF$5:$AF$1000,$R$5:$R$1000,ROW(),$S$5:$S$1000,"Sub")/$AG117,AVERAGEIFS($X$5:$X$1000,$R$5:$R$1000,ROW(),$S$5:$S$1000,"Sub")),$X117))</f>
        <v/>
      </c>
      <c r="AC117" s="71">
        <f>IF($S117="Sub",N($F117)*N($U117),"")</f>
        <v/>
      </c>
      <c r="AD117" s="71">
        <f>IF($S117="Sub",N($F117)*N($V117),"")</f>
        <v/>
      </c>
      <c r="AE117" s="71">
        <f>IF($S117="Sub",N($F117)*N($W117),"")</f>
        <v/>
      </c>
      <c r="AF117" s="71">
        <f>IF($S117="Sub",N($F117)*N($X117),"")</f>
        <v/>
      </c>
      <c r="AG117" s="71">
        <f>IF(N($T117)&gt;0,SUMIFS($F$5:$F$1000,$R$5:$R$1000,ROW(),$S$5:$S$1000,"Sub"),"")</f>
        <v/>
      </c>
    </row>
    <row r="118">
      <c r="A118" s="62">
        <f>IF(NOT((COUNTA($B118:$J118)+COUNTA($N118))&gt;0),"",IF($S118="Macro",COUNTIFS($S$5:$S118,"Macro",$P$5:$P118,$P118),IF(N($R118)=0,"?",COUNTIFS(INDEX($S$5:$S$1000,1):INDEX($S$5:$S$1000,$R118-4),"Macro",INDEX($P$5:$P$1000,1):INDEX($P$5:$P$1000,$R118-4),INDEX($P$5:$P$1000,$R118-4))&amp;"."&amp;COUNTIFS($R$5:$R118,$R118,$S$5:$S118,"Sub"))))</f>
        <v/>
      </c>
      <c r="B118" s="63" t="n"/>
      <c r="C118" s="64" t="n"/>
      <c r="D118" s="65" t="n"/>
      <c r="E118" s="65" t="n"/>
      <c r="F118" s="66" t="n"/>
      <c r="G118" s="67" t="n"/>
      <c r="H118" s="67" t="n"/>
      <c r="I118" s="67" t="n"/>
      <c r="J118" s="67" t="n"/>
      <c r="K118" s="68">
        <f>IF(NOT((COUNTA($B118:$J118)+COUNTA($N118))&gt;0),"",IF(N($T118)&gt;0,$AB118,IFERROR(LOOKUP(2,1/(G118:J118&lt;&gt;""),G118:J118),0)))</f>
        <v/>
      </c>
      <c r="L118" s="62">
        <f>IF(K118="","",IF(K118&gt;=1,"Completado",IF(K118&gt;0,"En curso","Pendiente")))</f>
        <v/>
      </c>
      <c r="M118" s="62">
        <f>IF(NOT((COUNTA($B118:$J118)+COUNTA($N118))&gt;0),"",IF(N($K118)&gt;=1,"Cumplida",IF(NOT(ISNUMBER($E118)),"Sin fecha límite",IF($E118&lt;FechaRef,"Vencida hace "&amp;(FechaRef-$E118)&amp;IF(FechaRef-$E118=1," día"," días"),IF($E118=FechaRef,"Vence hoy",IF($E118-FechaRef&lt;=DiasAlerta,"Vence en "&amp;($E118-FechaRef)&amp;IF($E118-FechaRef=1," día"," días"),"En plazo"))))))</f>
        <v/>
      </c>
      <c r="N118" s="64" t="n"/>
      <c r="O118" s="69">
        <f>IF(NOT((COUNTA($B118:$J118)+COUNTA($N118))&gt;0),"",IF((IF($C118="","Falta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",""))="","✔ OK","⚠ "&amp;LEFT(IF($C118="","Falta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",""),LEN(IF($C118="","Falta el nombre de la actividad"&amp;" · ","")&amp;IF(AND($S118="Sub",N($R118)=0),"Subactividad sin macroactividad arriba"&amp;" · ","")&amp;IF($D118="","Sin fecha de inicio"&amp;" · ","")&amp;IF($E118="","Sin fecha límite"&amp;" · ","")&amp;IF(OR(AND($D118&lt;&gt;"",NOT(ISNUMBER($D118))),AND($E118&lt;&gt;"",NOT(ISNUMBER($E118)))),"Fecha no válida"&amp;" · ","")&amp;IF(AND(ISNUMBER($D118),ISNUMBER($E118),$D118&gt;$E118),"Inicio posterior a fecha límite"&amp;" · ","")&amp;IF(AND($S118="Macro",$F118=""),"Peso vacío"&amp;" · ","")&amp;IF(AND($S118="Macro",$F118&lt;&gt;"",OR(NOT(ISNUMBER($F118)),$F118&lt;=0,$F118&gt;1)),"Peso fuera de rango"&amp;" · ","")&amp;IF(AND($S118="Sub",$F118&lt;&gt;"",OR(NOT(ISNUMBER($F118)),$F118&lt;0,$F118&gt;1)),"Peso fuera de rango"&amp;" · ","")&amp;IF(AND($S118="Sub",$F118="",IFERROR(N(INDEX($AG$5:$AG$1000,$R118-4)),0)&gt;0),"Falta el peso de la subactividad"&amp;" · ","")&amp;IF(AND(N($T118)&gt;0,N($AG118)&gt;0,ABS(N($AG118)-N($F118))&gt;0.0001),"Pesos de sus subactividades suman "&amp;TEXT(N($AG118),"0%")&amp;" (deben sumar "&amp;TEXT(N($F118),"0%")&amp;")"&amp;" · ","")&amp;IF(AND($S118="Macro",ABS(SUMIFS($F$5:$F$1000,$P$5:$P$1000,$P118,$S$5:$S$1000,"Macro")-1)&gt;0.0001),"Pesos del mes suman "&amp;TEXT(SUMIFS($F$5:$F$1000,$P$5:$P$1000,$P118,$S$5:$S$1000,"Macro"),"0%")&amp;" · ","")&amp;IF(AND(N($T118)&gt;0,COUNT($G118:$J118)&gt;0),"Con subactividades: deje vacías las semanas (se calculan solas)"&amp;" · ","")&amp;IF((COUNTIF($G118:$J118,"&gt;1")+COUNTIF($G118:$J118,"&lt;0")+COUNTA($G118:$J118)-COUNT($G118:$J118))&gt;0,"Avance fuera de rango 0-100%"&amp;" · ","")&amp;IF(OR(AND($H118&lt;&gt;"",$H118&lt;$G118),AND($I118&lt;&gt;"",$I118&lt;MAX($G118:$H118)),AND($J118&lt;&gt;"",$J118&lt;MAX($G118:$I118))),"Avance semanal decreciente"&amp;" · ","")&amp;IF(AND(ISNUMBER($E118),$E118&lt;FechaRef,N($K118)&lt;1),"Vencida"&amp;" · ","")&amp;IF(AND(ObsObligatoria="Sí",ISNUMBER($E118),$E118&lt;FechaRef,N($K118)&lt;1,$N118=""),"Vencida sin observación"&amp;" · ",""))-3)))</f>
        <v/>
      </c>
      <c r="P118" s="70">
        <f>IF(NOT((COUNTA($B118:$J118)+COUNTA($N118))&gt;0),"",IF(AND($S118="Sub",N($R118)&gt;0),IF(ISNUMBER(INDEX($D$5:$D$1000,$R118-4)),DATE(YEAR(INDEX($D$5:$D$1000,$R118-4)),MONTH(INDEX($D$5:$D$1000,$R118-4)),1),IF(ISNUMBER(INDEX($E$5:$E$1000,$R118-4)),DATE(YEAR(INDEX($E$5:$E$1000,$R118-4)),MONTH(INDEX($E$5:$E$1000,$R118-4)),1),MesCiclo)),IF(ISNUMBER($D118),DATE(YEAR($D118),MONTH($D118),1),IF(ISNUMBER($E118),DATE(YEAR($E118),MONTH($E118),1),MesCiclo))))</f>
        <v/>
      </c>
      <c r="Q118" s="71">
        <f>IF(OR($P118="",$P118&lt;&gt;MesCiclo),"",COUNTIF($P$5:$P118,MesCiclo))</f>
        <v/>
      </c>
      <c r="R118" s="71">
        <f>IF($S118="","",IF($S118="Macro",ROW(),IFERROR(LOOKUP(2,1/($S$5:$S118="Macro"),ROW($S$5:$S118)),0)))</f>
        <v/>
      </c>
      <c r="S118" s="71">
        <f>IF(NOT((COUNTA($B118:$J118)+COUNTA($N118))&gt;0),"",IF($B118="Subactividad","Sub","Macro"))</f>
        <v/>
      </c>
      <c r="T118" s="71">
        <f>IF($S118="Macro",COUNTIFS($R$5:$R$1000,ROW(),$S$5:$S$1000,"Sub"),"")</f>
        <v/>
      </c>
      <c r="U118" s="71">
        <f>IF($S118="","",IF(ISNUMBER($G118),$G118,0))</f>
        <v/>
      </c>
      <c r="V118" s="71">
        <f>IF($S118="","",IF(ISNUMBER($H118),$H118,$U118))</f>
        <v/>
      </c>
      <c r="W118" s="71">
        <f>IF($S118="","",IF(ISNUMBER($I118),$I118,$V118))</f>
        <v/>
      </c>
      <c r="X118" s="71">
        <f>IF($S118="","",IF(ISNUMBER($J118),$J118,$W118))</f>
        <v/>
      </c>
      <c r="Y118" s="71">
        <f>IF($S118="","",IF(N($T118)&gt;0,IF(N($AG118)&gt;0,SUMIFS($AC$5:$AC$1000,$R$5:$R$1000,ROW(),$S$5:$S$1000,"Sub")/$AG118,AVERAGEIFS($U$5:$U$1000,$R$5:$R$1000,ROW(),$S$5:$S$1000,"Sub")),$U118))</f>
        <v/>
      </c>
      <c r="Z118" s="71">
        <f>IF($S118="","",IF(N($T118)&gt;0,IF(N($AG118)&gt;0,SUMIFS($AD$5:$AD$1000,$R$5:$R$1000,ROW(),$S$5:$S$1000,"Sub")/$AG118,AVERAGEIFS($V$5:$V$1000,$R$5:$R$1000,ROW(),$S$5:$S$1000,"Sub")),$V118))</f>
        <v/>
      </c>
      <c r="AA118" s="71">
        <f>IF($S118="","",IF(N($T118)&gt;0,IF(N($AG118)&gt;0,SUMIFS($AE$5:$AE$1000,$R$5:$R$1000,ROW(),$S$5:$S$1000,"Sub")/$AG118,AVERAGEIFS($W$5:$W$1000,$R$5:$R$1000,ROW(),$S$5:$S$1000,"Sub")),$W118))</f>
        <v/>
      </c>
      <c r="AB118" s="71">
        <f>IF($S118="","",IF(N($T118)&gt;0,IF(N($AG118)&gt;0,SUMIFS($AF$5:$AF$1000,$R$5:$R$1000,ROW(),$S$5:$S$1000,"Sub")/$AG118,AVERAGEIFS($X$5:$X$1000,$R$5:$R$1000,ROW(),$S$5:$S$1000,"Sub")),$X118))</f>
        <v/>
      </c>
      <c r="AC118" s="71">
        <f>IF($S118="Sub",N($F118)*N($U118),"")</f>
        <v/>
      </c>
      <c r="AD118" s="71">
        <f>IF($S118="Sub",N($F118)*N($V118),"")</f>
        <v/>
      </c>
      <c r="AE118" s="71">
        <f>IF($S118="Sub",N($F118)*N($W118),"")</f>
        <v/>
      </c>
      <c r="AF118" s="71">
        <f>IF($S118="Sub",N($F118)*N($X118),"")</f>
        <v/>
      </c>
      <c r="AG118" s="71">
        <f>IF(N($T118)&gt;0,SUMIFS($F$5:$F$1000,$R$5:$R$1000,ROW(),$S$5:$S$1000,"Sub"),"")</f>
        <v/>
      </c>
    </row>
    <row r="119">
      <c r="A119" s="62">
        <f>IF(NOT((COUNTA($B119:$J119)+COUNTA($N119))&gt;0),"",IF($S119="Macro",COUNTIFS($S$5:$S119,"Macro",$P$5:$P119,$P119),IF(N($R119)=0,"?",COUNTIFS(INDEX($S$5:$S$1000,1):INDEX($S$5:$S$1000,$R119-4),"Macro",INDEX($P$5:$P$1000,1):INDEX($P$5:$P$1000,$R119-4),INDEX($P$5:$P$1000,$R119-4))&amp;"."&amp;COUNTIFS($R$5:$R119,$R119,$S$5:$S119,"Sub"))))</f>
        <v/>
      </c>
      <c r="B119" s="63" t="n"/>
      <c r="C119" s="64" t="n"/>
      <c r="D119" s="65" t="n"/>
      <c r="E119" s="65" t="n"/>
      <c r="F119" s="66" t="n"/>
      <c r="G119" s="67" t="n"/>
      <c r="H119" s="67" t="n"/>
      <c r="I119" s="67" t="n"/>
      <c r="J119" s="67" t="n"/>
      <c r="K119" s="68">
        <f>IF(NOT((COUNTA($B119:$J119)+COUNTA($N119))&gt;0),"",IF(N($T119)&gt;0,$AB119,IFERROR(LOOKUP(2,1/(G119:J119&lt;&gt;""),G119:J119),0)))</f>
        <v/>
      </c>
      <c r="L119" s="62">
        <f>IF(K119="","",IF(K119&gt;=1,"Completado",IF(K119&gt;0,"En curso","Pendiente")))</f>
        <v/>
      </c>
      <c r="M119" s="62">
        <f>IF(NOT((COUNTA($B119:$J119)+COUNTA($N119))&gt;0),"",IF(N($K119)&gt;=1,"Cumplida",IF(NOT(ISNUMBER($E119)),"Sin fecha límite",IF($E119&lt;FechaRef,"Vencida hace "&amp;(FechaRef-$E119)&amp;IF(FechaRef-$E119=1," día"," días"),IF($E119=FechaRef,"Vence hoy",IF($E119-FechaRef&lt;=DiasAlerta,"Vence en "&amp;($E119-FechaRef)&amp;IF($E119-FechaRef=1," día"," días"),"En plazo"))))))</f>
        <v/>
      </c>
      <c r="N119" s="64" t="n"/>
      <c r="O119" s="69">
        <f>IF(NOT((COUNTA($B119:$J119)+COUNTA($N119))&gt;0),"",IF((IF($C119="","Falta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",""))="","✔ OK","⚠ "&amp;LEFT(IF($C119="","Falta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",""),LEN(IF($C119="","Falta el nombre de la actividad"&amp;" · ","")&amp;IF(AND($S119="Sub",N($R119)=0),"Subactividad sin macroactividad arriba"&amp;" · ","")&amp;IF($D119="","Sin fecha de inicio"&amp;" · ","")&amp;IF($E119="","Sin fecha límite"&amp;" · ","")&amp;IF(OR(AND($D119&lt;&gt;"",NOT(ISNUMBER($D119))),AND($E119&lt;&gt;"",NOT(ISNUMBER($E119)))),"Fecha no válida"&amp;" · ","")&amp;IF(AND(ISNUMBER($D119),ISNUMBER($E119),$D119&gt;$E119),"Inicio posterior a fecha límite"&amp;" · ","")&amp;IF(AND($S119="Macro",$F119=""),"Peso vacío"&amp;" · ","")&amp;IF(AND($S119="Macro",$F119&lt;&gt;"",OR(NOT(ISNUMBER($F119)),$F119&lt;=0,$F119&gt;1)),"Peso fuera de rango"&amp;" · ","")&amp;IF(AND($S119="Sub",$F119&lt;&gt;"",OR(NOT(ISNUMBER($F119)),$F119&lt;0,$F119&gt;1)),"Peso fuera de rango"&amp;" · ","")&amp;IF(AND($S119="Sub",$F119="",IFERROR(N(INDEX($AG$5:$AG$1000,$R119-4)),0)&gt;0),"Falta el peso de la subactividad"&amp;" · ","")&amp;IF(AND(N($T119)&gt;0,N($AG119)&gt;0,ABS(N($AG119)-N($F119))&gt;0.0001),"Pesos de sus subactividades suman "&amp;TEXT(N($AG119),"0%")&amp;" (deben sumar "&amp;TEXT(N($F119),"0%")&amp;")"&amp;" · ","")&amp;IF(AND($S119="Macro",ABS(SUMIFS($F$5:$F$1000,$P$5:$P$1000,$P119,$S$5:$S$1000,"Macro")-1)&gt;0.0001),"Pesos del mes suman "&amp;TEXT(SUMIFS($F$5:$F$1000,$P$5:$P$1000,$P119,$S$5:$S$1000,"Macro"),"0%")&amp;" · ","")&amp;IF(AND(N($T119)&gt;0,COUNT($G119:$J119)&gt;0),"Con subactividades: deje vacías las semanas (se calculan solas)"&amp;" · ","")&amp;IF((COUNTIF($G119:$J119,"&gt;1")+COUNTIF($G119:$J119,"&lt;0")+COUNTA($G119:$J119)-COUNT($G119:$J119))&gt;0,"Avance fuera de rango 0-100%"&amp;" · ","")&amp;IF(OR(AND($H119&lt;&gt;"",$H119&lt;$G119),AND($I119&lt;&gt;"",$I119&lt;MAX($G119:$H119)),AND($J119&lt;&gt;"",$J119&lt;MAX($G119:$I119))),"Avance semanal decreciente"&amp;" · ","")&amp;IF(AND(ISNUMBER($E119),$E119&lt;FechaRef,N($K119)&lt;1),"Vencida"&amp;" · ","")&amp;IF(AND(ObsObligatoria="Sí",ISNUMBER($E119),$E119&lt;FechaRef,N($K119)&lt;1,$N119=""),"Vencida sin observación"&amp;" · ",""))-3)))</f>
        <v/>
      </c>
      <c r="P119" s="70">
        <f>IF(NOT((COUNTA($B119:$J119)+COUNTA($N119))&gt;0),"",IF(AND($S119="Sub",N($R119)&gt;0),IF(ISNUMBER(INDEX($D$5:$D$1000,$R119-4)),DATE(YEAR(INDEX($D$5:$D$1000,$R119-4)),MONTH(INDEX($D$5:$D$1000,$R119-4)),1),IF(ISNUMBER(INDEX($E$5:$E$1000,$R119-4)),DATE(YEAR(INDEX($E$5:$E$1000,$R119-4)),MONTH(INDEX($E$5:$E$1000,$R119-4)),1),MesCiclo)),IF(ISNUMBER($D119),DATE(YEAR($D119),MONTH($D119),1),IF(ISNUMBER($E119),DATE(YEAR($E119),MONTH($E119),1),MesCiclo))))</f>
        <v/>
      </c>
      <c r="Q119" s="71">
        <f>IF(OR($P119="",$P119&lt;&gt;MesCiclo),"",COUNTIF($P$5:$P119,MesCiclo))</f>
        <v/>
      </c>
      <c r="R119" s="71">
        <f>IF($S119="","",IF($S119="Macro",ROW(),IFERROR(LOOKUP(2,1/($S$5:$S119="Macro"),ROW($S$5:$S119)),0)))</f>
        <v/>
      </c>
      <c r="S119" s="71">
        <f>IF(NOT((COUNTA($B119:$J119)+COUNTA($N119))&gt;0),"",IF($B119="Subactividad","Sub","Macro"))</f>
        <v/>
      </c>
      <c r="T119" s="71">
        <f>IF($S119="Macro",COUNTIFS($R$5:$R$1000,ROW(),$S$5:$S$1000,"Sub"),"")</f>
        <v/>
      </c>
      <c r="U119" s="71">
        <f>IF($S119="","",IF(ISNUMBER($G119),$G119,0))</f>
        <v/>
      </c>
      <c r="V119" s="71">
        <f>IF($S119="","",IF(ISNUMBER($H119),$H119,$U119))</f>
        <v/>
      </c>
      <c r="W119" s="71">
        <f>IF($S119="","",IF(ISNUMBER($I119),$I119,$V119))</f>
        <v/>
      </c>
      <c r="X119" s="71">
        <f>IF($S119="","",IF(ISNUMBER($J119),$J119,$W119))</f>
        <v/>
      </c>
      <c r="Y119" s="71">
        <f>IF($S119="","",IF(N($T119)&gt;0,IF(N($AG119)&gt;0,SUMIFS($AC$5:$AC$1000,$R$5:$R$1000,ROW(),$S$5:$S$1000,"Sub")/$AG119,AVERAGEIFS($U$5:$U$1000,$R$5:$R$1000,ROW(),$S$5:$S$1000,"Sub")),$U119))</f>
        <v/>
      </c>
      <c r="Z119" s="71">
        <f>IF($S119="","",IF(N($T119)&gt;0,IF(N($AG119)&gt;0,SUMIFS($AD$5:$AD$1000,$R$5:$R$1000,ROW(),$S$5:$S$1000,"Sub")/$AG119,AVERAGEIFS($V$5:$V$1000,$R$5:$R$1000,ROW(),$S$5:$S$1000,"Sub")),$V119))</f>
        <v/>
      </c>
      <c r="AA119" s="71">
        <f>IF($S119="","",IF(N($T119)&gt;0,IF(N($AG119)&gt;0,SUMIFS($AE$5:$AE$1000,$R$5:$R$1000,ROW(),$S$5:$S$1000,"Sub")/$AG119,AVERAGEIFS($W$5:$W$1000,$R$5:$R$1000,ROW(),$S$5:$S$1000,"Sub")),$W119))</f>
        <v/>
      </c>
      <c r="AB119" s="71">
        <f>IF($S119="","",IF(N($T119)&gt;0,IF(N($AG119)&gt;0,SUMIFS($AF$5:$AF$1000,$R$5:$R$1000,ROW(),$S$5:$S$1000,"Sub")/$AG119,AVERAGEIFS($X$5:$X$1000,$R$5:$R$1000,ROW(),$S$5:$S$1000,"Sub")),$X119))</f>
        <v/>
      </c>
      <c r="AC119" s="71">
        <f>IF($S119="Sub",N($F119)*N($U119),"")</f>
        <v/>
      </c>
      <c r="AD119" s="71">
        <f>IF($S119="Sub",N($F119)*N($V119),"")</f>
        <v/>
      </c>
      <c r="AE119" s="71">
        <f>IF($S119="Sub",N($F119)*N($W119),"")</f>
        <v/>
      </c>
      <c r="AF119" s="71">
        <f>IF($S119="Sub",N($F119)*N($X119),"")</f>
        <v/>
      </c>
      <c r="AG119" s="71">
        <f>IF(N($T119)&gt;0,SUMIFS($F$5:$F$1000,$R$5:$R$1000,ROW(),$S$5:$S$1000,"Sub"),"")</f>
        <v/>
      </c>
    </row>
    <row r="120">
      <c r="A120" s="62">
        <f>IF(NOT((COUNTA($B120:$J120)+COUNTA($N120))&gt;0),"",IF($S120="Macro",COUNTIFS($S$5:$S120,"Macro",$P$5:$P120,$P120),IF(N($R120)=0,"?",COUNTIFS(INDEX($S$5:$S$1000,1):INDEX($S$5:$S$1000,$R120-4),"Macro",INDEX($P$5:$P$1000,1):INDEX($P$5:$P$1000,$R120-4),INDEX($P$5:$P$1000,$R120-4))&amp;"."&amp;COUNTIFS($R$5:$R120,$R120,$S$5:$S120,"Sub"))))</f>
        <v/>
      </c>
      <c r="B120" s="63" t="n"/>
      <c r="C120" s="64" t="n"/>
      <c r="D120" s="65" t="n"/>
      <c r="E120" s="65" t="n"/>
      <c r="F120" s="66" t="n"/>
      <c r="G120" s="67" t="n"/>
      <c r="H120" s="67" t="n"/>
      <c r="I120" s="67" t="n"/>
      <c r="J120" s="67" t="n"/>
      <c r="K120" s="68">
        <f>IF(NOT((COUNTA($B120:$J120)+COUNTA($N120))&gt;0),"",IF(N($T120)&gt;0,$AB120,IFERROR(LOOKUP(2,1/(G120:J120&lt;&gt;""),G120:J120),0)))</f>
        <v/>
      </c>
      <c r="L120" s="62">
        <f>IF(K120="","",IF(K120&gt;=1,"Completado",IF(K120&gt;0,"En curso","Pendiente")))</f>
        <v/>
      </c>
      <c r="M120" s="62">
        <f>IF(NOT((COUNTA($B120:$J120)+COUNTA($N120))&gt;0),"",IF(N($K120)&gt;=1,"Cumplida",IF(NOT(ISNUMBER($E120)),"Sin fecha límite",IF($E120&lt;FechaRef,"Vencida hace "&amp;(FechaRef-$E120)&amp;IF(FechaRef-$E120=1," día"," días"),IF($E120=FechaRef,"Vence hoy",IF($E120-FechaRef&lt;=DiasAlerta,"Vence en "&amp;($E120-FechaRef)&amp;IF($E120-FechaRef=1," día"," días"),"En plazo"))))))</f>
        <v/>
      </c>
      <c r="N120" s="64" t="n"/>
      <c r="O120" s="69">
        <f>IF(NOT((COUNTA($B120:$J120)+COUNTA($N120))&gt;0),"",IF((IF($C120="","Falta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",""))="","✔ OK","⚠ "&amp;LEFT(IF($C120="","Falta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",""),LEN(IF($C120="","Falta el nombre de la actividad"&amp;" · ","")&amp;IF(AND($S120="Sub",N($R120)=0),"Subactividad sin macroactividad arriba"&amp;" · ","")&amp;IF($D120="","Sin fecha de inicio"&amp;" · ","")&amp;IF($E120="","Sin fecha límite"&amp;" · ","")&amp;IF(OR(AND($D120&lt;&gt;"",NOT(ISNUMBER($D120))),AND($E120&lt;&gt;"",NOT(ISNUMBER($E120)))),"Fecha no válida"&amp;" · ","")&amp;IF(AND(ISNUMBER($D120),ISNUMBER($E120),$D120&gt;$E120),"Inicio posterior a fecha límite"&amp;" · ","")&amp;IF(AND($S120="Macro",$F120=""),"Peso vacío"&amp;" · ","")&amp;IF(AND($S120="Macro",$F120&lt;&gt;"",OR(NOT(ISNUMBER($F120)),$F120&lt;=0,$F120&gt;1)),"Peso fuera de rango"&amp;" · ","")&amp;IF(AND($S120="Sub",$F120&lt;&gt;"",OR(NOT(ISNUMBER($F120)),$F120&lt;0,$F120&gt;1)),"Peso fuera de rango"&amp;" · ","")&amp;IF(AND($S120="Sub",$F120="",IFERROR(N(INDEX($AG$5:$AG$1000,$R120-4)),0)&gt;0),"Falta el peso de la subactividad"&amp;" · ","")&amp;IF(AND(N($T120)&gt;0,N($AG120)&gt;0,ABS(N($AG120)-N($F120))&gt;0.0001),"Pesos de sus subactividades suman "&amp;TEXT(N($AG120),"0%")&amp;" (deben sumar "&amp;TEXT(N($F120),"0%")&amp;")"&amp;" · ","")&amp;IF(AND($S120="Macro",ABS(SUMIFS($F$5:$F$1000,$P$5:$P$1000,$P120,$S$5:$S$1000,"Macro")-1)&gt;0.0001),"Pesos del mes suman "&amp;TEXT(SUMIFS($F$5:$F$1000,$P$5:$P$1000,$P120,$S$5:$S$1000,"Macro"),"0%")&amp;" · ","")&amp;IF(AND(N($T120)&gt;0,COUNT($G120:$J120)&gt;0),"Con subactividades: deje vacías las semanas (se calculan solas)"&amp;" · ","")&amp;IF((COUNTIF($G120:$J120,"&gt;1")+COUNTIF($G120:$J120,"&lt;0")+COUNTA($G120:$J120)-COUNT($G120:$J120))&gt;0,"Avance fuera de rango 0-100%"&amp;" · ","")&amp;IF(OR(AND($H120&lt;&gt;"",$H120&lt;$G120),AND($I120&lt;&gt;"",$I120&lt;MAX($G120:$H120)),AND($J120&lt;&gt;"",$J120&lt;MAX($G120:$I120))),"Avance semanal decreciente"&amp;" · ","")&amp;IF(AND(ISNUMBER($E120),$E120&lt;FechaRef,N($K120)&lt;1),"Vencida"&amp;" · ","")&amp;IF(AND(ObsObligatoria="Sí",ISNUMBER($E120),$E120&lt;FechaRef,N($K120)&lt;1,$N120=""),"Vencida sin observación"&amp;" · ",""))-3)))</f>
        <v/>
      </c>
      <c r="P120" s="70">
        <f>IF(NOT((COUNTA($B120:$J120)+COUNTA($N120))&gt;0),"",IF(AND($S120="Sub",N($R120)&gt;0),IF(ISNUMBER(INDEX($D$5:$D$1000,$R120-4)),DATE(YEAR(INDEX($D$5:$D$1000,$R120-4)),MONTH(INDEX($D$5:$D$1000,$R120-4)),1),IF(ISNUMBER(INDEX($E$5:$E$1000,$R120-4)),DATE(YEAR(INDEX($E$5:$E$1000,$R120-4)),MONTH(INDEX($E$5:$E$1000,$R120-4)),1),MesCiclo)),IF(ISNUMBER($D120),DATE(YEAR($D120),MONTH($D120),1),IF(ISNUMBER($E120),DATE(YEAR($E120),MONTH($E120),1),MesCiclo))))</f>
        <v/>
      </c>
      <c r="Q120" s="71">
        <f>IF(OR($P120="",$P120&lt;&gt;MesCiclo),"",COUNTIF($P$5:$P120,MesCiclo))</f>
        <v/>
      </c>
      <c r="R120" s="71">
        <f>IF($S120="","",IF($S120="Macro",ROW(),IFERROR(LOOKUP(2,1/($S$5:$S120="Macro"),ROW($S$5:$S120)),0)))</f>
        <v/>
      </c>
      <c r="S120" s="71">
        <f>IF(NOT((COUNTA($B120:$J120)+COUNTA($N120))&gt;0),"",IF($B120="Subactividad","Sub","Macro"))</f>
        <v/>
      </c>
      <c r="T120" s="71">
        <f>IF($S120="Macro",COUNTIFS($R$5:$R$1000,ROW(),$S$5:$S$1000,"Sub"),"")</f>
        <v/>
      </c>
      <c r="U120" s="71">
        <f>IF($S120="","",IF(ISNUMBER($G120),$G120,0))</f>
        <v/>
      </c>
      <c r="V120" s="71">
        <f>IF($S120="","",IF(ISNUMBER($H120),$H120,$U120))</f>
        <v/>
      </c>
      <c r="W120" s="71">
        <f>IF($S120="","",IF(ISNUMBER($I120),$I120,$V120))</f>
        <v/>
      </c>
      <c r="X120" s="71">
        <f>IF($S120="","",IF(ISNUMBER($J120),$J120,$W120))</f>
        <v/>
      </c>
      <c r="Y120" s="71">
        <f>IF($S120="","",IF(N($T120)&gt;0,IF(N($AG120)&gt;0,SUMIFS($AC$5:$AC$1000,$R$5:$R$1000,ROW(),$S$5:$S$1000,"Sub")/$AG120,AVERAGEIFS($U$5:$U$1000,$R$5:$R$1000,ROW(),$S$5:$S$1000,"Sub")),$U120))</f>
        <v/>
      </c>
      <c r="Z120" s="71">
        <f>IF($S120="","",IF(N($T120)&gt;0,IF(N($AG120)&gt;0,SUMIFS($AD$5:$AD$1000,$R$5:$R$1000,ROW(),$S$5:$S$1000,"Sub")/$AG120,AVERAGEIFS($V$5:$V$1000,$R$5:$R$1000,ROW(),$S$5:$S$1000,"Sub")),$V120))</f>
        <v/>
      </c>
      <c r="AA120" s="71">
        <f>IF($S120="","",IF(N($T120)&gt;0,IF(N($AG120)&gt;0,SUMIFS($AE$5:$AE$1000,$R$5:$R$1000,ROW(),$S$5:$S$1000,"Sub")/$AG120,AVERAGEIFS($W$5:$W$1000,$R$5:$R$1000,ROW(),$S$5:$S$1000,"Sub")),$W120))</f>
        <v/>
      </c>
      <c r="AB120" s="71">
        <f>IF($S120="","",IF(N($T120)&gt;0,IF(N($AG120)&gt;0,SUMIFS($AF$5:$AF$1000,$R$5:$R$1000,ROW(),$S$5:$S$1000,"Sub")/$AG120,AVERAGEIFS($X$5:$X$1000,$R$5:$R$1000,ROW(),$S$5:$S$1000,"Sub")),$X120))</f>
        <v/>
      </c>
      <c r="AC120" s="71">
        <f>IF($S120="Sub",N($F120)*N($U120),"")</f>
        <v/>
      </c>
      <c r="AD120" s="71">
        <f>IF($S120="Sub",N($F120)*N($V120),"")</f>
        <v/>
      </c>
      <c r="AE120" s="71">
        <f>IF($S120="Sub",N($F120)*N($W120),"")</f>
        <v/>
      </c>
      <c r="AF120" s="71">
        <f>IF($S120="Sub",N($F120)*N($X120),"")</f>
        <v/>
      </c>
      <c r="AG120" s="71">
        <f>IF(N($T120)&gt;0,SUMIFS($F$5:$F$1000,$R$5:$R$1000,ROW(),$S$5:$S$1000,"Sub"),"")</f>
        <v/>
      </c>
    </row>
    <row r="121">
      <c r="A121" s="62">
        <f>IF(NOT((COUNTA($B121:$J121)+COUNTA($N121))&gt;0),"",IF($S121="Macro",COUNTIFS($S$5:$S121,"Macro",$P$5:$P121,$P121),IF(N($R121)=0,"?",COUNTIFS(INDEX($S$5:$S$1000,1):INDEX($S$5:$S$1000,$R121-4),"Macro",INDEX($P$5:$P$1000,1):INDEX($P$5:$P$1000,$R121-4),INDEX($P$5:$P$1000,$R121-4))&amp;"."&amp;COUNTIFS($R$5:$R121,$R121,$S$5:$S121,"Sub"))))</f>
        <v/>
      </c>
      <c r="B121" s="63" t="n"/>
      <c r="C121" s="64" t="n"/>
      <c r="D121" s="65" t="n"/>
      <c r="E121" s="65" t="n"/>
      <c r="F121" s="66" t="n"/>
      <c r="G121" s="67" t="n"/>
      <c r="H121" s="67" t="n"/>
      <c r="I121" s="67" t="n"/>
      <c r="J121" s="67" t="n"/>
      <c r="K121" s="68">
        <f>IF(NOT((COUNTA($B121:$J121)+COUNTA($N121))&gt;0),"",IF(N($T121)&gt;0,$AB121,IFERROR(LOOKUP(2,1/(G121:J121&lt;&gt;""),G121:J121),0)))</f>
        <v/>
      </c>
      <c r="L121" s="62">
        <f>IF(K121="","",IF(K121&gt;=1,"Completado",IF(K121&gt;0,"En curso","Pendiente")))</f>
        <v/>
      </c>
      <c r="M121" s="62">
        <f>IF(NOT((COUNTA($B121:$J121)+COUNTA($N121))&gt;0),"",IF(N($K121)&gt;=1,"Cumplida",IF(NOT(ISNUMBER($E121)),"Sin fecha límite",IF($E121&lt;FechaRef,"Vencida hace "&amp;(FechaRef-$E121)&amp;IF(FechaRef-$E121=1," día"," días"),IF($E121=FechaRef,"Vence hoy",IF($E121-FechaRef&lt;=DiasAlerta,"Vence en "&amp;($E121-FechaRef)&amp;IF($E121-FechaRef=1," día"," días"),"En plazo"))))))</f>
        <v/>
      </c>
      <c r="N121" s="64" t="n"/>
      <c r="O121" s="69">
        <f>IF(NOT((COUNTA($B121:$J121)+COUNTA($N121))&gt;0),"",IF((IF($C121="","Falta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",""))="","✔ OK","⚠ "&amp;LEFT(IF($C121="","Falta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",""),LEN(IF($C121="","Falta el nombre de la actividad"&amp;" · ","")&amp;IF(AND($S121="Sub",N($R121)=0),"Subactividad sin macroactividad arriba"&amp;" · ","")&amp;IF($D121="","Sin fecha de inicio"&amp;" · ","")&amp;IF($E121="","Sin fecha límite"&amp;" · ","")&amp;IF(OR(AND($D121&lt;&gt;"",NOT(ISNUMBER($D121))),AND($E121&lt;&gt;"",NOT(ISNUMBER($E121)))),"Fecha no válida"&amp;" · ","")&amp;IF(AND(ISNUMBER($D121),ISNUMBER($E121),$D121&gt;$E121),"Inicio posterior a fecha límite"&amp;" · ","")&amp;IF(AND($S121="Macro",$F121=""),"Peso vacío"&amp;" · ","")&amp;IF(AND($S121="Macro",$F121&lt;&gt;"",OR(NOT(ISNUMBER($F121)),$F121&lt;=0,$F121&gt;1)),"Peso fuera de rango"&amp;" · ","")&amp;IF(AND($S121="Sub",$F121&lt;&gt;"",OR(NOT(ISNUMBER($F121)),$F121&lt;0,$F121&gt;1)),"Peso fuera de rango"&amp;" · ","")&amp;IF(AND($S121="Sub",$F121="",IFERROR(N(INDEX($AG$5:$AG$1000,$R121-4)),0)&gt;0),"Falta el peso de la subactividad"&amp;" · ","")&amp;IF(AND(N($T121)&gt;0,N($AG121)&gt;0,ABS(N($AG121)-N($F121))&gt;0.0001),"Pesos de sus subactividades suman "&amp;TEXT(N($AG121),"0%")&amp;" (deben sumar "&amp;TEXT(N($F121),"0%")&amp;")"&amp;" · ","")&amp;IF(AND($S121="Macro",ABS(SUMIFS($F$5:$F$1000,$P$5:$P$1000,$P121,$S$5:$S$1000,"Macro")-1)&gt;0.0001),"Pesos del mes suman "&amp;TEXT(SUMIFS($F$5:$F$1000,$P$5:$P$1000,$P121,$S$5:$S$1000,"Macro"),"0%")&amp;" · ","")&amp;IF(AND(N($T121)&gt;0,COUNT($G121:$J121)&gt;0),"Con subactividades: deje vacías las semanas (se calculan solas)"&amp;" · ","")&amp;IF((COUNTIF($G121:$J121,"&gt;1")+COUNTIF($G121:$J121,"&lt;0")+COUNTA($G121:$J121)-COUNT($G121:$J121))&gt;0,"Avance fuera de rango 0-100%"&amp;" · ","")&amp;IF(OR(AND($H121&lt;&gt;"",$H121&lt;$G121),AND($I121&lt;&gt;"",$I121&lt;MAX($G121:$H121)),AND($J121&lt;&gt;"",$J121&lt;MAX($G121:$I121))),"Avance semanal decreciente"&amp;" · ","")&amp;IF(AND(ISNUMBER($E121),$E121&lt;FechaRef,N($K121)&lt;1),"Vencida"&amp;" · ","")&amp;IF(AND(ObsObligatoria="Sí",ISNUMBER($E121),$E121&lt;FechaRef,N($K121)&lt;1,$N121=""),"Vencida sin observación"&amp;" · ",""))-3)))</f>
        <v/>
      </c>
      <c r="P121" s="70">
        <f>IF(NOT((COUNTA($B121:$J121)+COUNTA($N121))&gt;0),"",IF(AND($S121="Sub",N($R121)&gt;0),IF(ISNUMBER(INDEX($D$5:$D$1000,$R121-4)),DATE(YEAR(INDEX($D$5:$D$1000,$R121-4)),MONTH(INDEX($D$5:$D$1000,$R121-4)),1),IF(ISNUMBER(INDEX($E$5:$E$1000,$R121-4)),DATE(YEAR(INDEX($E$5:$E$1000,$R121-4)),MONTH(INDEX($E$5:$E$1000,$R121-4)),1),MesCiclo)),IF(ISNUMBER($D121),DATE(YEAR($D121),MONTH($D121),1),IF(ISNUMBER($E121),DATE(YEAR($E121),MONTH($E121),1),MesCiclo))))</f>
        <v/>
      </c>
      <c r="Q121" s="71">
        <f>IF(OR($P121="",$P121&lt;&gt;MesCiclo),"",COUNTIF($P$5:$P121,MesCiclo))</f>
        <v/>
      </c>
      <c r="R121" s="71">
        <f>IF($S121="","",IF($S121="Macro",ROW(),IFERROR(LOOKUP(2,1/($S$5:$S121="Macro"),ROW($S$5:$S121)),0)))</f>
        <v/>
      </c>
      <c r="S121" s="71">
        <f>IF(NOT((COUNTA($B121:$J121)+COUNTA($N121))&gt;0),"",IF($B121="Subactividad","Sub","Macro"))</f>
        <v/>
      </c>
      <c r="T121" s="71">
        <f>IF($S121="Macro",COUNTIFS($R$5:$R$1000,ROW(),$S$5:$S$1000,"Sub"),"")</f>
        <v/>
      </c>
      <c r="U121" s="71">
        <f>IF($S121="","",IF(ISNUMBER($G121),$G121,0))</f>
        <v/>
      </c>
      <c r="V121" s="71">
        <f>IF($S121="","",IF(ISNUMBER($H121),$H121,$U121))</f>
        <v/>
      </c>
      <c r="W121" s="71">
        <f>IF($S121="","",IF(ISNUMBER($I121),$I121,$V121))</f>
        <v/>
      </c>
      <c r="X121" s="71">
        <f>IF($S121="","",IF(ISNUMBER($J121),$J121,$W121))</f>
        <v/>
      </c>
      <c r="Y121" s="71">
        <f>IF($S121="","",IF(N($T121)&gt;0,IF(N($AG121)&gt;0,SUMIFS($AC$5:$AC$1000,$R$5:$R$1000,ROW(),$S$5:$S$1000,"Sub")/$AG121,AVERAGEIFS($U$5:$U$1000,$R$5:$R$1000,ROW(),$S$5:$S$1000,"Sub")),$U121))</f>
        <v/>
      </c>
      <c r="Z121" s="71">
        <f>IF($S121="","",IF(N($T121)&gt;0,IF(N($AG121)&gt;0,SUMIFS($AD$5:$AD$1000,$R$5:$R$1000,ROW(),$S$5:$S$1000,"Sub")/$AG121,AVERAGEIFS($V$5:$V$1000,$R$5:$R$1000,ROW(),$S$5:$S$1000,"Sub")),$V121))</f>
        <v/>
      </c>
      <c r="AA121" s="71">
        <f>IF($S121="","",IF(N($T121)&gt;0,IF(N($AG121)&gt;0,SUMIFS($AE$5:$AE$1000,$R$5:$R$1000,ROW(),$S$5:$S$1000,"Sub")/$AG121,AVERAGEIFS($W$5:$W$1000,$R$5:$R$1000,ROW(),$S$5:$S$1000,"Sub")),$W121))</f>
        <v/>
      </c>
      <c r="AB121" s="71">
        <f>IF($S121="","",IF(N($T121)&gt;0,IF(N($AG121)&gt;0,SUMIFS($AF$5:$AF$1000,$R$5:$R$1000,ROW(),$S$5:$S$1000,"Sub")/$AG121,AVERAGEIFS($X$5:$X$1000,$R$5:$R$1000,ROW(),$S$5:$S$1000,"Sub")),$X121))</f>
        <v/>
      </c>
      <c r="AC121" s="71">
        <f>IF($S121="Sub",N($F121)*N($U121),"")</f>
        <v/>
      </c>
      <c r="AD121" s="71">
        <f>IF($S121="Sub",N($F121)*N($V121),"")</f>
        <v/>
      </c>
      <c r="AE121" s="71">
        <f>IF($S121="Sub",N($F121)*N($W121),"")</f>
        <v/>
      </c>
      <c r="AF121" s="71">
        <f>IF($S121="Sub",N($F121)*N($X121),"")</f>
        <v/>
      </c>
      <c r="AG121" s="71">
        <f>IF(N($T121)&gt;0,SUMIFS($F$5:$F$1000,$R$5:$R$1000,ROW(),$S$5:$S$1000,"Sub"),"")</f>
        <v/>
      </c>
    </row>
    <row r="122">
      <c r="A122" s="62">
        <f>IF(NOT((COUNTA($B122:$J122)+COUNTA($N122))&gt;0),"",IF($S122="Macro",COUNTIFS($S$5:$S122,"Macro",$P$5:$P122,$P122),IF(N($R122)=0,"?",COUNTIFS(INDEX($S$5:$S$1000,1):INDEX($S$5:$S$1000,$R122-4),"Macro",INDEX($P$5:$P$1000,1):INDEX($P$5:$P$1000,$R122-4),INDEX($P$5:$P$1000,$R122-4))&amp;"."&amp;COUNTIFS($R$5:$R122,$R122,$S$5:$S122,"Sub"))))</f>
        <v/>
      </c>
      <c r="B122" s="63" t="n"/>
      <c r="C122" s="64" t="n"/>
      <c r="D122" s="65" t="n"/>
      <c r="E122" s="65" t="n"/>
      <c r="F122" s="66" t="n"/>
      <c r="G122" s="67" t="n"/>
      <c r="H122" s="67" t="n"/>
      <c r="I122" s="67" t="n"/>
      <c r="J122" s="67" t="n"/>
      <c r="K122" s="68">
        <f>IF(NOT((COUNTA($B122:$J122)+COUNTA($N122))&gt;0),"",IF(N($T122)&gt;0,$AB122,IFERROR(LOOKUP(2,1/(G122:J122&lt;&gt;""),G122:J122),0)))</f>
        <v/>
      </c>
      <c r="L122" s="62">
        <f>IF(K122="","",IF(K122&gt;=1,"Completado",IF(K122&gt;0,"En curso","Pendiente")))</f>
        <v/>
      </c>
      <c r="M122" s="62">
        <f>IF(NOT((COUNTA($B122:$J122)+COUNTA($N122))&gt;0),"",IF(N($K122)&gt;=1,"Cumplida",IF(NOT(ISNUMBER($E122)),"Sin fecha límite",IF($E122&lt;FechaRef,"Vencida hace "&amp;(FechaRef-$E122)&amp;IF(FechaRef-$E122=1," día"," días"),IF($E122=FechaRef,"Vence hoy",IF($E122-FechaRef&lt;=DiasAlerta,"Vence en "&amp;($E122-FechaRef)&amp;IF($E122-FechaRef=1," día"," días"),"En plazo"))))))</f>
        <v/>
      </c>
      <c r="N122" s="64" t="n"/>
      <c r="O122" s="69">
        <f>IF(NOT((COUNTA($B122:$J122)+COUNTA($N122))&gt;0),"",IF((IF($C122="","Falta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",""))="","✔ OK","⚠ "&amp;LEFT(IF($C122="","Falta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",""),LEN(IF($C122="","Falta el nombre de la actividad"&amp;" · ","")&amp;IF(AND($S122="Sub",N($R122)=0),"Subactividad sin macroactividad arriba"&amp;" · ","")&amp;IF($D122="","Sin fecha de inicio"&amp;" · ","")&amp;IF($E122="","Sin fecha límite"&amp;" · ","")&amp;IF(OR(AND($D122&lt;&gt;"",NOT(ISNUMBER($D122))),AND($E122&lt;&gt;"",NOT(ISNUMBER($E122)))),"Fecha no válida"&amp;" · ","")&amp;IF(AND(ISNUMBER($D122),ISNUMBER($E122),$D122&gt;$E122),"Inicio posterior a fecha límite"&amp;" · ","")&amp;IF(AND($S122="Macro",$F122=""),"Peso vacío"&amp;" · ","")&amp;IF(AND($S122="Macro",$F122&lt;&gt;"",OR(NOT(ISNUMBER($F122)),$F122&lt;=0,$F122&gt;1)),"Peso fuera de rango"&amp;" · ","")&amp;IF(AND($S122="Sub",$F122&lt;&gt;"",OR(NOT(ISNUMBER($F122)),$F122&lt;0,$F122&gt;1)),"Peso fuera de rango"&amp;" · ","")&amp;IF(AND($S122="Sub",$F122="",IFERROR(N(INDEX($AG$5:$AG$1000,$R122-4)),0)&gt;0),"Falta el peso de la subactividad"&amp;" · ","")&amp;IF(AND(N($T122)&gt;0,N($AG122)&gt;0,ABS(N($AG122)-N($F122))&gt;0.0001),"Pesos de sus subactividades suman "&amp;TEXT(N($AG122),"0%")&amp;" (deben sumar "&amp;TEXT(N($F122),"0%")&amp;")"&amp;" · ","")&amp;IF(AND($S122="Macro",ABS(SUMIFS($F$5:$F$1000,$P$5:$P$1000,$P122,$S$5:$S$1000,"Macro")-1)&gt;0.0001),"Pesos del mes suman "&amp;TEXT(SUMIFS($F$5:$F$1000,$P$5:$P$1000,$P122,$S$5:$S$1000,"Macro"),"0%")&amp;" · ","")&amp;IF(AND(N($T122)&gt;0,COUNT($G122:$J122)&gt;0),"Con subactividades: deje vacías las semanas (se calculan solas)"&amp;" · ","")&amp;IF((COUNTIF($G122:$J122,"&gt;1")+COUNTIF($G122:$J122,"&lt;0")+COUNTA($G122:$J122)-COUNT($G122:$J122))&gt;0,"Avance fuera de rango 0-100%"&amp;" · ","")&amp;IF(OR(AND($H122&lt;&gt;"",$H122&lt;$G122),AND($I122&lt;&gt;"",$I122&lt;MAX($G122:$H122)),AND($J122&lt;&gt;"",$J122&lt;MAX($G122:$I122))),"Avance semanal decreciente"&amp;" · ","")&amp;IF(AND(ISNUMBER($E122),$E122&lt;FechaRef,N($K122)&lt;1),"Vencida"&amp;" · ","")&amp;IF(AND(ObsObligatoria="Sí",ISNUMBER($E122),$E122&lt;FechaRef,N($K122)&lt;1,$N122=""),"Vencida sin observación"&amp;" · ",""))-3)))</f>
        <v/>
      </c>
      <c r="P122" s="70">
        <f>IF(NOT((COUNTA($B122:$J122)+COUNTA($N122))&gt;0),"",IF(AND($S122="Sub",N($R122)&gt;0),IF(ISNUMBER(INDEX($D$5:$D$1000,$R122-4)),DATE(YEAR(INDEX($D$5:$D$1000,$R122-4)),MONTH(INDEX($D$5:$D$1000,$R122-4)),1),IF(ISNUMBER(INDEX($E$5:$E$1000,$R122-4)),DATE(YEAR(INDEX($E$5:$E$1000,$R122-4)),MONTH(INDEX($E$5:$E$1000,$R122-4)),1),MesCiclo)),IF(ISNUMBER($D122),DATE(YEAR($D122),MONTH($D122),1),IF(ISNUMBER($E122),DATE(YEAR($E122),MONTH($E122),1),MesCiclo))))</f>
        <v/>
      </c>
      <c r="Q122" s="71">
        <f>IF(OR($P122="",$P122&lt;&gt;MesCiclo),"",COUNTIF($P$5:$P122,MesCiclo))</f>
        <v/>
      </c>
      <c r="R122" s="71">
        <f>IF($S122="","",IF($S122="Macro",ROW(),IFERROR(LOOKUP(2,1/($S$5:$S122="Macro"),ROW($S$5:$S122)),0)))</f>
        <v/>
      </c>
      <c r="S122" s="71">
        <f>IF(NOT((COUNTA($B122:$J122)+COUNTA($N122))&gt;0),"",IF($B122="Subactividad","Sub","Macro"))</f>
        <v/>
      </c>
      <c r="T122" s="71">
        <f>IF($S122="Macro",COUNTIFS($R$5:$R$1000,ROW(),$S$5:$S$1000,"Sub"),"")</f>
        <v/>
      </c>
      <c r="U122" s="71">
        <f>IF($S122="","",IF(ISNUMBER($G122),$G122,0))</f>
        <v/>
      </c>
      <c r="V122" s="71">
        <f>IF($S122="","",IF(ISNUMBER($H122),$H122,$U122))</f>
        <v/>
      </c>
      <c r="W122" s="71">
        <f>IF($S122="","",IF(ISNUMBER($I122),$I122,$V122))</f>
        <v/>
      </c>
      <c r="X122" s="71">
        <f>IF($S122="","",IF(ISNUMBER($J122),$J122,$W122))</f>
        <v/>
      </c>
      <c r="Y122" s="71">
        <f>IF($S122="","",IF(N($T122)&gt;0,IF(N($AG122)&gt;0,SUMIFS($AC$5:$AC$1000,$R$5:$R$1000,ROW(),$S$5:$S$1000,"Sub")/$AG122,AVERAGEIFS($U$5:$U$1000,$R$5:$R$1000,ROW(),$S$5:$S$1000,"Sub")),$U122))</f>
        <v/>
      </c>
      <c r="Z122" s="71">
        <f>IF($S122="","",IF(N($T122)&gt;0,IF(N($AG122)&gt;0,SUMIFS($AD$5:$AD$1000,$R$5:$R$1000,ROW(),$S$5:$S$1000,"Sub")/$AG122,AVERAGEIFS($V$5:$V$1000,$R$5:$R$1000,ROW(),$S$5:$S$1000,"Sub")),$V122))</f>
        <v/>
      </c>
      <c r="AA122" s="71">
        <f>IF($S122="","",IF(N($T122)&gt;0,IF(N($AG122)&gt;0,SUMIFS($AE$5:$AE$1000,$R$5:$R$1000,ROW(),$S$5:$S$1000,"Sub")/$AG122,AVERAGEIFS($W$5:$W$1000,$R$5:$R$1000,ROW(),$S$5:$S$1000,"Sub")),$W122))</f>
        <v/>
      </c>
      <c r="AB122" s="71">
        <f>IF($S122="","",IF(N($T122)&gt;0,IF(N($AG122)&gt;0,SUMIFS($AF$5:$AF$1000,$R$5:$R$1000,ROW(),$S$5:$S$1000,"Sub")/$AG122,AVERAGEIFS($X$5:$X$1000,$R$5:$R$1000,ROW(),$S$5:$S$1000,"Sub")),$X122))</f>
        <v/>
      </c>
      <c r="AC122" s="71">
        <f>IF($S122="Sub",N($F122)*N($U122),"")</f>
        <v/>
      </c>
      <c r="AD122" s="71">
        <f>IF($S122="Sub",N($F122)*N($V122),"")</f>
        <v/>
      </c>
      <c r="AE122" s="71">
        <f>IF($S122="Sub",N($F122)*N($W122),"")</f>
        <v/>
      </c>
      <c r="AF122" s="71">
        <f>IF($S122="Sub",N($F122)*N($X122),"")</f>
        <v/>
      </c>
      <c r="AG122" s="71">
        <f>IF(N($T122)&gt;0,SUMIFS($F$5:$F$1000,$R$5:$R$1000,ROW(),$S$5:$S$1000,"Sub"),"")</f>
        <v/>
      </c>
    </row>
    <row r="123">
      <c r="A123" s="62">
        <f>IF(NOT((COUNTA($B123:$J123)+COUNTA($N123))&gt;0),"",IF($S123="Macro",COUNTIFS($S$5:$S123,"Macro",$P$5:$P123,$P123),IF(N($R123)=0,"?",COUNTIFS(INDEX($S$5:$S$1000,1):INDEX($S$5:$S$1000,$R123-4),"Macro",INDEX($P$5:$P$1000,1):INDEX($P$5:$P$1000,$R123-4),INDEX($P$5:$P$1000,$R123-4))&amp;"."&amp;COUNTIFS($R$5:$R123,$R123,$S$5:$S123,"Sub"))))</f>
        <v/>
      </c>
      <c r="B123" s="63" t="n"/>
      <c r="C123" s="64" t="n"/>
      <c r="D123" s="65" t="n"/>
      <c r="E123" s="65" t="n"/>
      <c r="F123" s="66" t="n"/>
      <c r="G123" s="67" t="n"/>
      <c r="H123" s="67" t="n"/>
      <c r="I123" s="67" t="n"/>
      <c r="J123" s="67" t="n"/>
      <c r="K123" s="68">
        <f>IF(NOT((COUNTA($B123:$J123)+COUNTA($N123))&gt;0),"",IF(N($T123)&gt;0,$AB123,IFERROR(LOOKUP(2,1/(G123:J123&lt;&gt;""),G123:J123),0)))</f>
        <v/>
      </c>
      <c r="L123" s="62">
        <f>IF(K123="","",IF(K123&gt;=1,"Completado",IF(K123&gt;0,"En curso","Pendiente")))</f>
        <v/>
      </c>
      <c r="M123" s="62">
        <f>IF(NOT((COUNTA($B123:$J123)+COUNTA($N123))&gt;0),"",IF(N($K123)&gt;=1,"Cumplida",IF(NOT(ISNUMBER($E123)),"Sin fecha límite",IF($E123&lt;FechaRef,"Vencida hace "&amp;(FechaRef-$E123)&amp;IF(FechaRef-$E123=1," día"," días"),IF($E123=FechaRef,"Vence hoy",IF($E123-FechaRef&lt;=DiasAlerta,"Vence en "&amp;($E123-FechaRef)&amp;IF($E123-FechaRef=1," día"," días"),"En plazo"))))))</f>
        <v/>
      </c>
      <c r="N123" s="64" t="n"/>
      <c r="O123" s="69">
        <f>IF(NOT((COUNTA($B123:$J123)+COUNTA($N123))&gt;0),"",IF((IF($C123="","Falta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",""))="","✔ OK","⚠ "&amp;LEFT(IF($C123="","Falta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",""),LEN(IF($C123="","Falta el nombre de la actividad"&amp;" · ","")&amp;IF(AND($S123="Sub",N($R123)=0),"Subactividad sin macroactividad arriba"&amp;" · ","")&amp;IF($D123="","Sin fecha de inicio"&amp;" · ","")&amp;IF($E123="","Sin fecha límite"&amp;" · ","")&amp;IF(OR(AND($D123&lt;&gt;"",NOT(ISNUMBER($D123))),AND($E123&lt;&gt;"",NOT(ISNUMBER($E123)))),"Fecha no válida"&amp;" · ","")&amp;IF(AND(ISNUMBER($D123),ISNUMBER($E123),$D123&gt;$E123),"Inicio posterior a fecha límite"&amp;" · ","")&amp;IF(AND($S123="Macro",$F123=""),"Peso vacío"&amp;" · ","")&amp;IF(AND($S123="Macro",$F123&lt;&gt;"",OR(NOT(ISNUMBER($F123)),$F123&lt;=0,$F123&gt;1)),"Peso fuera de rango"&amp;" · ","")&amp;IF(AND($S123="Sub",$F123&lt;&gt;"",OR(NOT(ISNUMBER($F123)),$F123&lt;0,$F123&gt;1)),"Peso fuera de rango"&amp;" · ","")&amp;IF(AND($S123="Sub",$F123="",IFERROR(N(INDEX($AG$5:$AG$1000,$R123-4)),0)&gt;0),"Falta el peso de la subactividad"&amp;" · ","")&amp;IF(AND(N($T123)&gt;0,N($AG123)&gt;0,ABS(N($AG123)-N($F123))&gt;0.0001),"Pesos de sus subactividades suman "&amp;TEXT(N($AG123),"0%")&amp;" (deben sumar "&amp;TEXT(N($F123),"0%")&amp;")"&amp;" · ","")&amp;IF(AND($S123="Macro",ABS(SUMIFS($F$5:$F$1000,$P$5:$P$1000,$P123,$S$5:$S$1000,"Macro")-1)&gt;0.0001),"Pesos del mes suman "&amp;TEXT(SUMIFS($F$5:$F$1000,$P$5:$P$1000,$P123,$S$5:$S$1000,"Macro"),"0%")&amp;" · ","")&amp;IF(AND(N($T123)&gt;0,COUNT($G123:$J123)&gt;0),"Con subactividades: deje vacías las semanas (se calculan solas)"&amp;" · ","")&amp;IF((COUNTIF($G123:$J123,"&gt;1")+COUNTIF($G123:$J123,"&lt;0")+COUNTA($G123:$J123)-COUNT($G123:$J123))&gt;0,"Avance fuera de rango 0-100%"&amp;" · ","")&amp;IF(OR(AND($H123&lt;&gt;"",$H123&lt;$G123),AND($I123&lt;&gt;"",$I123&lt;MAX($G123:$H123)),AND($J123&lt;&gt;"",$J123&lt;MAX($G123:$I123))),"Avance semanal decreciente"&amp;" · ","")&amp;IF(AND(ISNUMBER($E123),$E123&lt;FechaRef,N($K123)&lt;1),"Vencida"&amp;" · ","")&amp;IF(AND(ObsObligatoria="Sí",ISNUMBER($E123),$E123&lt;FechaRef,N($K123)&lt;1,$N123=""),"Vencida sin observación"&amp;" · ",""))-3)))</f>
        <v/>
      </c>
      <c r="P123" s="70">
        <f>IF(NOT((COUNTA($B123:$J123)+COUNTA($N123))&gt;0),"",IF(AND($S123="Sub",N($R123)&gt;0),IF(ISNUMBER(INDEX($D$5:$D$1000,$R123-4)),DATE(YEAR(INDEX($D$5:$D$1000,$R123-4)),MONTH(INDEX($D$5:$D$1000,$R123-4)),1),IF(ISNUMBER(INDEX($E$5:$E$1000,$R123-4)),DATE(YEAR(INDEX($E$5:$E$1000,$R123-4)),MONTH(INDEX($E$5:$E$1000,$R123-4)),1),MesCiclo)),IF(ISNUMBER($D123),DATE(YEAR($D123),MONTH($D123),1),IF(ISNUMBER($E123),DATE(YEAR($E123),MONTH($E123),1),MesCiclo))))</f>
        <v/>
      </c>
      <c r="Q123" s="71">
        <f>IF(OR($P123="",$P123&lt;&gt;MesCiclo),"",COUNTIF($P$5:$P123,MesCiclo))</f>
        <v/>
      </c>
      <c r="R123" s="71">
        <f>IF($S123="","",IF($S123="Macro",ROW(),IFERROR(LOOKUP(2,1/($S$5:$S123="Macro"),ROW($S$5:$S123)),0)))</f>
        <v/>
      </c>
      <c r="S123" s="71">
        <f>IF(NOT((COUNTA($B123:$J123)+COUNTA($N123))&gt;0),"",IF($B123="Subactividad","Sub","Macro"))</f>
        <v/>
      </c>
      <c r="T123" s="71">
        <f>IF($S123="Macro",COUNTIFS($R$5:$R$1000,ROW(),$S$5:$S$1000,"Sub"),"")</f>
        <v/>
      </c>
      <c r="U123" s="71">
        <f>IF($S123="","",IF(ISNUMBER($G123),$G123,0))</f>
        <v/>
      </c>
      <c r="V123" s="71">
        <f>IF($S123="","",IF(ISNUMBER($H123),$H123,$U123))</f>
        <v/>
      </c>
      <c r="W123" s="71">
        <f>IF($S123="","",IF(ISNUMBER($I123),$I123,$V123))</f>
        <v/>
      </c>
      <c r="X123" s="71">
        <f>IF($S123="","",IF(ISNUMBER($J123),$J123,$W123))</f>
        <v/>
      </c>
      <c r="Y123" s="71">
        <f>IF($S123="","",IF(N($T123)&gt;0,IF(N($AG123)&gt;0,SUMIFS($AC$5:$AC$1000,$R$5:$R$1000,ROW(),$S$5:$S$1000,"Sub")/$AG123,AVERAGEIFS($U$5:$U$1000,$R$5:$R$1000,ROW(),$S$5:$S$1000,"Sub")),$U123))</f>
        <v/>
      </c>
      <c r="Z123" s="71">
        <f>IF($S123="","",IF(N($T123)&gt;0,IF(N($AG123)&gt;0,SUMIFS($AD$5:$AD$1000,$R$5:$R$1000,ROW(),$S$5:$S$1000,"Sub")/$AG123,AVERAGEIFS($V$5:$V$1000,$R$5:$R$1000,ROW(),$S$5:$S$1000,"Sub")),$V123))</f>
        <v/>
      </c>
      <c r="AA123" s="71">
        <f>IF($S123="","",IF(N($T123)&gt;0,IF(N($AG123)&gt;0,SUMIFS($AE$5:$AE$1000,$R$5:$R$1000,ROW(),$S$5:$S$1000,"Sub")/$AG123,AVERAGEIFS($W$5:$W$1000,$R$5:$R$1000,ROW(),$S$5:$S$1000,"Sub")),$W123))</f>
        <v/>
      </c>
      <c r="AB123" s="71">
        <f>IF($S123="","",IF(N($T123)&gt;0,IF(N($AG123)&gt;0,SUMIFS($AF$5:$AF$1000,$R$5:$R$1000,ROW(),$S$5:$S$1000,"Sub")/$AG123,AVERAGEIFS($X$5:$X$1000,$R$5:$R$1000,ROW(),$S$5:$S$1000,"Sub")),$X123))</f>
        <v/>
      </c>
      <c r="AC123" s="71">
        <f>IF($S123="Sub",N($F123)*N($U123),"")</f>
        <v/>
      </c>
      <c r="AD123" s="71">
        <f>IF($S123="Sub",N($F123)*N($V123),"")</f>
        <v/>
      </c>
      <c r="AE123" s="71">
        <f>IF($S123="Sub",N($F123)*N($W123),"")</f>
        <v/>
      </c>
      <c r="AF123" s="71">
        <f>IF($S123="Sub",N($F123)*N($X123),"")</f>
        <v/>
      </c>
      <c r="AG123" s="71">
        <f>IF(N($T123)&gt;0,SUMIFS($F$5:$F$1000,$R$5:$R$1000,ROW(),$S$5:$S$1000,"Sub"),"")</f>
        <v/>
      </c>
    </row>
    <row r="124">
      <c r="A124" s="62">
        <f>IF(NOT((COUNTA($B124:$J124)+COUNTA($N124))&gt;0),"",IF($S124="Macro",COUNTIFS($S$5:$S124,"Macro",$P$5:$P124,$P124),IF(N($R124)=0,"?",COUNTIFS(INDEX($S$5:$S$1000,1):INDEX($S$5:$S$1000,$R124-4),"Macro",INDEX($P$5:$P$1000,1):INDEX($P$5:$P$1000,$R124-4),INDEX($P$5:$P$1000,$R124-4))&amp;"."&amp;COUNTIFS($R$5:$R124,$R124,$S$5:$S124,"Sub"))))</f>
        <v/>
      </c>
      <c r="B124" s="63" t="n"/>
      <c r="C124" s="64" t="n"/>
      <c r="D124" s="65" t="n"/>
      <c r="E124" s="65" t="n"/>
      <c r="F124" s="66" t="n"/>
      <c r="G124" s="67" t="n"/>
      <c r="H124" s="67" t="n"/>
      <c r="I124" s="67" t="n"/>
      <c r="J124" s="67" t="n"/>
      <c r="K124" s="68">
        <f>IF(NOT((COUNTA($B124:$J124)+COUNTA($N124))&gt;0),"",IF(N($T124)&gt;0,$AB124,IFERROR(LOOKUP(2,1/(G124:J124&lt;&gt;""),G124:J124),0)))</f>
        <v/>
      </c>
      <c r="L124" s="62">
        <f>IF(K124="","",IF(K124&gt;=1,"Completado",IF(K124&gt;0,"En curso","Pendiente")))</f>
        <v/>
      </c>
      <c r="M124" s="62">
        <f>IF(NOT((COUNTA($B124:$J124)+COUNTA($N124))&gt;0),"",IF(N($K124)&gt;=1,"Cumplida",IF(NOT(ISNUMBER($E124)),"Sin fecha límite",IF($E124&lt;FechaRef,"Vencida hace "&amp;(FechaRef-$E124)&amp;IF(FechaRef-$E124=1," día"," días"),IF($E124=FechaRef,"Vence hoy",IF($E124-FechaRef&lt;=DiasAlerta,"Vence en "&amp;($E124-FechaRef)&amp;IF($E124-FechaRef=1," día"," días"),"En plazo"))))))</f>
        <v/>
      </c>
      <c r="N124" s="64" t="n"/>
      <c r="O124" s="69">
        <f>IF(NOT((COUNTA($B124:$J124)+COUNTA($N124))&gt;0),"",IF((IF($C124="","Falta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",""))="","✔ OK","⚠ "&amp;LEFT(IF($C124="","Falta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",""),LEN(IF($C124="","Falta el nombre de la actividad"&amp;" · ","")&amp;IF(AND($S124="Sub",N($R124)=0),"Subactividad sin macroactividad arriba"&amp;" · ","")&amp;IF($D124="","Sin fecha de inicio"&amp;" · ","")&amp;IF($E124="","Sin fecha límite"&amp;" · ","")&amp;IF(OR(AND($D124&lt;&gt;"",NOT(ISNUMBER($D124))),AND($E124&lt;&gt;"",NOT(ISNUMBER($E124)))),"Fecha no válida"&amp;" · ","")&amp;IF(AND(ISNUMBER($D124),ISNUMBER($E124),$D124&gt;$E124),"Inicio posterior a fecha límite"&amp;" · ","")&amp;IF(AND($S124="Macro",$F124=""),"Peso vacío"&amp;" · ","")&amp;IF(AND($S124="Macro",$F124&lt;&gt;"",OR(NOT(ISNUMBER($F124)),$F124&lt;=0,$F124&gt;1)),"Peso fuera de rango"&amp;" · ","")&amp;IF(AND($S124="Sub",$F124&lt;&gt;"",OR(NOT(ISNUMBER($F124)),$F124&lt;0,$F124&gt;1)),"Peso fuera de rango"&amp;" · ","")&amp;IF(AND($S124="Sub",$F124="",IFERROR(N(INDEX($AG$5:$AG$1000,$R124-4)),0)&gt;0),"Falta el peso de la subactividad"&amp;" · ","")&amp;IF(AND(N($T124)&gt;0,N($AG124)&gt;0,ABS(N($AG124)-N($F124))&gt;0.0001),"Pesos de sus subactividades suman "&amp;TEXT(N($AG124),"0%")&amp;" (deben sumar "&amp;TEXT(N($F124),"0%")&amp;")"&amp;" · ","")&amp;IF(AND($S124="Macro",ABS(SUMIFS($F$5:$F$1000,$P$5:$P$1000,$P124,$S$5:$S$1000,"Macro")-1)&gt;0.0001),"Pesos del mes suman "&amp;TEXT(SUMIFS($F$5:$F$1000,$P$5:$P$1000,$P124,$S$5:$S$1000,"Macro"),"0%")&amp;" · ","")&amp;IF(AND(N($T124)&gt;0,COUNT($G124:$J124)&gt;0),"Con subactividades: deje vacías las semanas (se calculan solas)"&amp;" · ","")&amp;IF((COUNTIF($G124:$J124,"&gt;1")+COUNTIF($G124:$J124,"&lt;0")+COUNTA($G124:$J124)-COUNT($G124:$J124))&gt;0,"Avance fuera de rango 0-100%"&amp;" · ","")&amp;IF(OR(AND($H124&lt;&gt;"",$H124&lt;$G124),AND($I124&lt;&gt;"",$I124&lt;MAX($G124:$H124)),AND($J124&lt;&gt;"",$J124&lt;MAX($G124:$I124))),"Avance semanal decreciente"&amp;" · ","")&amp;IF(AND(ISNUMBER($E124),$E124&lt;FechaRef,N($K124)&lt;1),"Vencida"&amp;" · ","")&amp;IF(AND(ObsObligatoria="Sí",ISNUMBER($E124),$E124&lt;FechaRef,N($K124)&lt;1,$N124=""),"Vencida sin observación"&amp;" · ",""))-3)))</f>
        <v/>
      </c>
      <c r="P124" s="70">
        <f>IF(NOT((COUNTA($B124:$J124)+COUNTA($N124))&gt;0),"",IF(AND($S124="Sub",N($R124)&gt;0),IF(ISNUMBER(INDEX($D$5:$D$1000,$R124-4)),DATE(YEAR(INDEX($D$5:$D$1000,$R124-4)),MONTH(INDEX($D$5:$D$1000,$R124-4)),1),IF(ISNUMBER(INDEX($E$5:$E$1000,$R124-4)),DATE(YEAR(INDEX($E$5:$E$1000,$R124-4)),MONTH(INDEX($E$5:$E$1000,$R124-4)),1),MesCiclo)),IF(ISNUMBER($D124),DATE(YEAR($D124),MONTH($D124),1),IF(ISNUMBER($E124),DATE(YEAR($E124),MONTH($E124),1),MesCiclo))))</f>
        <v/>
      </c>
      <c r="Q124" s="71">
        <f>IF(OR($P124="",$P124&lt;&gt;MesCiclo),"",COUNTIF($P$5:$P124,MesCiclo))</f>
        <v/>
      </c>
      <c r="R124" s="71">
        <f>IF($S124="","",IF($S124="Macro",ROW(),IFERROR(LOOKUP(2,1/($S$5:$S124="Macro"),ROW($S$5:$S124)),0)))</f>
        <v/>
      </c>
      <c r="S124" s="71">
        <f>IF(NOT((COUNTA($B124:$J124)+COUNTA($N124))&gt;0),"",IF($B124="Subactividad","Sub","Macro"))</f>
        <v/>
      </c>
      <c r="T124" s="71">
        <f>IF($S124="Macro",COUNTIFS($R$5:$R$1000,ROW(),$S$5:$S$1000,"Sub"),"")</f>
        <v/>
      </c>
      <c r="U124" s="71">
        <f>IF($S124="","",IF(ISNUMBER($G124),$G124,0))</f>
        <v/>
      </c>
      <c r="V124" s="71">
        <f>IF($S124="","",IF(ISNUMBER($H124),$H124,$U124))</f>
        <v/>
      </c>
      <c r="W124" s="71">
        <f>IF($S124="","",IF(ISNUMBER($I124),$I124,$V124))</f>
        <v/>
      </c>
      <c r="X124" s="71">
        <f>IF($S124="","",IF(ISNUMBER($J124),$J124,$W124))</f>
        <v/>
      </c>
      <c r="Y124" s="71">
        <f>IF($S124="","",IF(N($T124)&gt;0,IF(N($AG124)&gt;0,SUMIFS($AC$5:$AC$1000,$R$5:$R$1000,ROW(),$S$5:$S$1000,"Sub")/$AG124,AVERAGEIFS($U$5:$U$1000,$R$5:$R$1000,ROW(),$S$5:$S$1000,"Sub")),$U124))</f>
        <v/>
      </c>
      <c r="Z124" s="71">
        <f>IF($S124="","",IF(N($T124)&gt;0,IF(N($AG124)&gt;0,SUMIFS($AD$5:$AD$1000,$R$5:$R$1000,ROW(),$S$5:$S$1000,"Sub")/$AG124,AVERAGEIFS($V$5:$V$1000,$R$5:$R$1000,ROW(),$S$5:$S$1000,"Sub")),$V124))</f>
        <v/>
      </c>
      <c r="AA124" s="71">
        <f>IF($S124="","",IF(N($T124)&gt;0,IF(N($AG124)&gt;0,SUMIFS($AE$5:$AE$1000,$R$5:$R$1000,ROW(),$S$5:$S$1000,"Sub")/$AG124,AVERAGEIFS($W$5:$W$1000,$R$5:$R$1000,ROW(),$S$5:$S$1000,"Sub")),$W124))</f>
        <v/>
      </c>
      <c r="AB124" s="71">
        <f>IF($S124="","",IF(N($T124)&gt;0,IF(N($AG124)&gt;0,SUMIFS($AF$5:$AF$1000,$R$5:$R$1000,ROW(),$S$5:$S$1000,"Sub")/$AG124,AVERAGEIFS($X$5:$X$1000,$R$5:$R$1000,ROW(),$S$5:$S$1000,"Sub")),$X124))</f>
        <v/>
      </c>
      <c r="AC124" s="71">
        <f>IF($S124="Sub",N($F124)*N($U124),"")</f>
        <v/>
      </c>
      <c r="AD124" s="71">
        <f>IF($S124="Sub",N($F124)*N($V124),"")</f>
        <v/>
      </c>
      <c r="AE124" s="71">
        <f>IF($S124="Sub",N($F124)*N($W124),"")</f>
        <v/>
      </c>
      <c r="AF124" s="71">
        <f>IF($S124="Sub",N($F124)*N($X124),"")</f>
        <v/>
      </c>
      <c r="AG124" s="71">
        <f>IF(N($T124)&gt;0,SUMIFS($F$5:$F$1000,$R$5:$R$1000,ROW(),$S$5:$S$1000,"Sub"),"")</f>
        <v/>
      </c>
    </row>
    <row r="125">
      <c r="A125" s="62">
        <f>IF(NOT((COUNTA($B125:$J125)+COUNTA($N125))&gt;0),"",IF($S125="Macro",COUNTIFS($S$5:$S125,"Macro",$P$5:$P125,$P125),IF(N($R125)=0,"?",COUNTIFS(INDEX($S$5:$S$1000,1):INDEX($S$5:$S$1000,$R125-4),"Macro",INDEX($P$5:$P$1000,1):INDEX($P$5:$P$1000,$R125-4),INDEX($P$5:$P$1000,$R125-4))&amp;"."&amp;COUNTIFS($R$5:$R125,$R125,$S$5:$S125,"Sub"))))</f>
        <v/>
      </c>
      <c r="B125" s="63" t="n"/>
      <c r="C125" s="64" t="n"/>
      <c r="D125" s="65" t="n"/>
      <c r="E125" s="65" t="n"/>
      <c r="F125" s="66" t="n"/>
      <c r="G125" s="67" t="n"/>
      <c r="H125" s="67" t="n"/>
      <c r="I125" s="67" t="n"/>
      <c r="J125" s="67" t="n"/>
      <c r="K125" s="68">
        <f>IF(NOT((COUNTA($B125:$J125)+COUNTA($N125))&gt;0),"",IF(N($T125)&gt;0,$AB125,IFERROR(LOOKUP(2,1/(G125:J125&lt;&gt;""),G125:J125),0)))</f>
        <v/>
      </c>
      <c r="L125" s="62">
        <f>IF(K125="","",IF(K125&gt;=1,"Completado",IF(K125&gt;0,"En curso","Pendiente")))</f>
        <v/>
      </c>
      <c r="M125" s="62">
        <f>IF(NOT((COUNTA($B125:$J125)+COUNTA($N125))&gt;0),"",IF(N($K125)&gt;=1,"Cumplida",IF(NOT(ISNUMBER($E125)),"Sin fecha límite",IF($E125&lt;FechaRef,"Vencida hace "&amp;(FechaRef-$E125)&amp;IF(FechaRef-$E125=1," día"," días"),IF($E125=FechaRef,"Vence hoy",IF($E125-FechaRef&lt;=DiasAlerta,"Vence en "&amp;($E125-FechaRef)&amp;IF($E125-FechaRef=1," día"," días"),"En plazo"))))))</f>
        <v/>
      </c>
      <c r="N125" s="64" t="n"/>
      <c r="O125" s="69">
        <f>IF(NOT((COUNTA($B125:$J125)+COUNTA($N125))&gt;0),"",IF((IF($C125="","Falta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",""))="","✔ OK","⚠ "&amp;LEFT(IF($C125="","Falta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",""),LEN(IF($C125="","Falta el nombre de la actividad"&amp;" · ","")&amp;IF(AND($S125="Sub",N($R125)=0),"Subactividad sin macroactividad arriba"&amp;" · ","")&amp;IF($D125="","Sin fecha de inicio"&amp;" · ","")&amp;IF($E125="","Sin fecha límite"&amp;" · ","")&amp;IF(OR(AND($D125&lt;&gt;"",NOT(ISNUMBER($D125))),AND($E125&lt;&gt;"",NOT(ISNUMBER($E125)))),"Fecha no válida"&amp;" · ","")&amp;IF(AND(ISNUMBER($D125),ISNUMBER($E125),$D125&gt;$E125),"Inicio posterior a fecha límite"&amp;" · ","")&amp;IF(AND($S125="Macro",$F125=""),"Peso vacío"&amp;" · ","")&amp;IF(AND($S125="Macro",$F125&lt;&gt;"",OR(NOT(ISNUMBER($F125)),$F125&lt;=0,$F125&gt;1)),"Peso fuera de rango"&amp;" · ","")&amp;IF(AND($S125="Sub",$F125&lt;&gt;"",OR(NOT(ISNUMBER($F125)),$F125&lt;0,$F125&gt;1)),"Peso fuera de rango"&amp;" · ","")&amp;IF(AND($S125="Sub",$F125="",IFERROR(N(INDEX($AG$5:$AG$1000,$R125-4)),0)&gt;0),"Falta el peso de la subactividad"&amp;" · ","")&amp;IF(AND(N($T125)&gt;0,N($AG125)&gt;0,ABS(N($AG125)-N($F125))&gt;0.0001),"Pesos de sus subactividades suman "&amp;TEXT(N($AG125),"0%")&amp;" (deben sumar "&amp;TEXT(N($F125),"0%")&amp;")"&amp;" · ","")&amp;IF(AND($S125="Macro",ABS(SUMIFS($F$5:$F$1000,$P$5:$P$1000,$P125,$S$5:$S$1000,"Macro")-1)&gt;0.0001),"Pesos del mes suman "&amp;TEXT(SUMIFS($F$5:$F$1000,$P$5:$P$1000,$P125,$S$5:$S$1000,"Macro"),"0%")&amp;" · ","")&amp;IF(AND(N($T125)&gt;0,COUNT($G125:$J125)&gt;0),"Con subactividades: deje vacías las semanas (se calculan solas)"&amp;" · ","")&amp;IF((COUNTIF($G125:$J125,"&gt;1")+COUNTIF($G125:$J125,"&lt;0")+COUNTA($G125:$J125)-COUNT($G125:$J125))&gt;0,"Avance fuera de rango 0-100%"&amp;" · ","")&amp;IF(OR(AND($H125&lt;&gt;"",$H125&lt;$G125),AND($I125&lt;&gt;"",$I125&lt;MAX($G125:$H125)),AND($J125&lt;&gt;"",$J125&lt;MAX($G125:$I125))),"Avance semanal decreciente"&amp;" · ","")&amp;IF(AND(ISNUMBER($E125),$E125&lt;FechaRef,N($K125)&lt;1),"Vencida"&amp;" · ","")&amp;IF(AND(ObsObligatoria="Sí",ISNUMBER($E125),$E125&lt;FechaRef,N($K125)&lt;1,$N125=""),"Vencida sin observación"&amp;" · ",""))-3)))</f>
        <v/>
      </c>
      <c r="P125" s="70">
        <f>IF(NOT((COUNTA($B125:$J125)+COUNTA($N125))&gt;0),"",IF(AND($S125="Sub",N($R125)&gt;0),IF(ISNUMBER(INDEX($D$5:$D$1000,$R125-4)),DATE(YEAR(INDEX($D$5:$D$1000,$R125-4)),MONTH(INDEX($D$5:$D$1000,$R125-4)),1),IF(ISNUMBER(INDEX($E$5:$E$1000,$R125-4)),DATE(YEAR(INDEX($E$5:$E$1000,$R125-4)),MONTH(INDEX($E$5:$E$1000,$R125-4)),1),MesCiclo)),IF(ISNUMBER($D125),DATE(YEAR($D125),MONTH($D125),1),IF(ISNUMBER($E125),DATE(YEAR($E125),MONTH($E125),1),MesCiclo))))</f>
        <v/>
      </c>
      <c r="Q125" s="71">
        <f>IF(OR($P125="",$P125&lt;&gt;MesCiclo),"",COUNTIF($P$5:$P125,MesCiclo))</f>
        <v/>
      </c>
      <c r="R125" s="71">
        <f>IF($S125="","",IF($S125="Macro",ROW(),IFERROR(LOOKUP(2,1/($S$5:$S125="Macro"),ROW($S$5:$S125)),0)))</f>
        <v/>
      </c>
      <c r="S125" s="71">
        <f>IF(NOT((COUNTA($B125:$J125)+COUNTA($N125))&gt;0),"",IF($B125="Subactividad","Sub","Macro"))</f>
        <v/>
      </c>
      <c r="T125" s="71">
        <f>IF($S125="Macro",COUNTIFS($R$5:$R$1000,ROW(),$S$5:$S$1000,"Sub"),"")</f>
        <v/>
      </c>
      <c r="U125" s="71">
        <f>IF($S125="","",IF(ISNUMBER($G125),$G125,0))</f>
        <v/>
      </c>
      <c r="V125" s="71">
        <f>IF($S125="","",IF(ISNUMBER($H125),$H125,$U125))</f>
        <v/>
      </c>
      <c r="W125" s="71">
        <f>IF($S125="","",IF(ISNUMBER($I125),$I125,$V125))</f>
        <v/>
      </c>
      <c r="X125" s="71">
        <f>IF($S125="","",IF(ISNUMBER($J125),$J125,$W125))</f>
        <v/>
      </c>
      <c r="Y125" s="71">
        <f>IF($S125="","",IF(N($T125)&gt;0,IF(N($AG125)&gt;0,SUMIFS($AC$5:$AC$1000,$R$5:$R$1000,ROW(),$S$5:$S$1000,"Sub")/$AG125,AVERAGEIFS($U$5:$U$1000,$R$5:$R$1000,ROW(),$S$5:$S$1000,"Sub")),$U125))</f>
        <v/>
      </c>
      <c r="Z125" s="71">
        <f>IF($S125="","",IF(N($T125)&gt;0,IF(N($AG125)&gt;0,SUMIFS($AD$5:$AD$1000,$R$5:$R$1000,ROW(),$S$5:$S$1000,"Sub")/$AG125,AVERAGEIFS($V$5:$V$1000,$R$5:$R$1000,ROW(),$S$5:$S$1000,"Sub")),$V125))</f>
        <v/>
      </c>
      <c r="AA125" s="71">
        <f>IF($S125="","",IF(N($T125)&gt;0,IF(N($AG125)&gt;0,SUMIFS($AE$5:$AE$1000,$R$5:$R$1000,ROW(),$S$5:$S$1000,"Sub")/$AG125,AVERAGEIFS($W$5:$W$1000,$R$5:$R$1000,ROW(),$S$5:$S$1000,"Sub")),$W125))</f>
        <v/>
      </c>
      <c r="AB125" s="71">
        <f>IF($S125="","",IF(N($T125)&gt;0,IF(N($AG125)&gt;0,SUMIFS($AF$5:$AF$1000,$R$5:$R$1000,ROW(),$S$5:$S$1000,"Sub")/$AG125,AVERAGEIFS($X$5:$X$1000,$R$5:$R$1000,ROW(),$S$5:$S$1000,"Sub")),$X125))</f>
        <v/>
      </c>
      <c r="AC125" s="71">
        <f>IF($S125="Sub",N($F125)*N($U125),"")</f>
        <v/>
      </c>
      <c r="AD125" s="71">
        <f>IF($S125="Sub",N($F125)*N($V125),"")</f>
        <v/>
      </c>
      <c r="AE125" s="71">
        <f>IF($S125="Sub",N($F125)*N($W125),"")</f>
        <v/>
      </c>
      <c r="AF125" s="71">
        <f>IF($S125="Sub",N($F125)*N($X125),"")</f>
        <v/>
      </c>
      <c r="AG125" s="71">
        <f>IF(N($T125)&gt;0,SUMIFS($F$5:$F$1000,$R$5:$R$1000,ROW(),$S$5:$S$1000,"Sub"),"")</f>
        <v/>
      </c>
    </row>
    <row r="126">
      <c r="A126" s="62">
        <f>IF(NOT((COUNTA($B126:$J126)+COUNTA($N126))&gt;0),"",IF($S126="Macro",COUNTIFS($S$5:$S126,"Macro",$P$5:$P126,$P126),IF(N($R126)=0,"?",COUNTIFS(INDEX($S$5:$S$1000,1):INDEX($S$5:$S$1000,$R126-4),"Macro",INDEX($P$5:$P$1000,1):INDEX($P$5:$P$1000,$R126-4),INDEX($P$5:$P$1000,$R126-4))&amp;"."&amp;COUNTIFS($R$5:$R126,$R126,$S$5:$S126,"Sub"))))</f>
        <v/>
      </c>
      <c r="B126" s="63" t="n"/>
      <c r="C126" s="64" t="n"/>
      <c r="D126" s="65" t="n"/>
      <c r="E126" s="65" t="n"/>
      <c r="F126" s="66" t="n"/>
      <c r="G126" s="67" t="n"/>
      <c r="H126" s="67" t="n"/>
      <c r="I126" s="67" t="n"/>
      <c r="J126" s="67" t="n"/>
      <c r="K126" s="68">
        <f>IF(NOT((COUNTA($B126:$J126)+COUNTA($N126))&gt;0),"",IF(N($T126)&gt;0,$AB126,IFERROR(LOOKUP(2,1/(G126:J126&lt;&gt;""),G126:J126),0)))</f>
        <v/>
      </c>
      <c r="L126" s="62">
        <f>IF(K126="","",IF(K126&gt;=1,"Completado",IF(K126&gt;0,"En curso","Pendiente")))</f>
        <v/>
      </c>
      <c r="M126" s="62">
        <f>IF(NOT((COUNTA($B126:$J126)+COUNTA($N126))&gt;0),"",IF(N($K126)&gt;=1,"Cumplida",IF(NOT(ISNUMBER($E126)),"Sin fecha límite",IF($E126&lt;FechaRef,"Vencida hace "&amp;(FechaRef-$E126)&amp;IF(FechaRef-$E126=1," día"," días"),IF($E126=FechaRef,"Vence hoy",IF($E126-FechaRef&lt;=DiasAlerta,"Vence en "&amp;($E126-FechaRef)&amp;IF($E126-FechaRef=1," día"," días"),"En plazo"))))))</f>
        <v/>
      </c>
      <c r="N126" s="64" t="n"/>
      <c r="O126" s="69">
        <f>IF(NOT((COUNTA($B126:$J126)+COUNTA($N126))&gt;0),"",IF((IF($C126="","Falta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",""))="","✔ OK","⚠ "&amp;LEFT(IF($C126="","Falta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",""),LEN(IF($C126="","Falta el nombre de la actividad"&amp;" · ","")&amp;IF(AND($S126="Sub",N($R126)=0),"Subactividad sin macroactividad arriba"&amp;" · ","")&amp;IF($D126="","Sin fecha de inicio"&amp;" · ","")&amp;IF($E126="","Sin fecha límite"&amp;" · ","")&amp;IF(OR(AND($D126&lt;&gt;"",NOT(ISNUMBER($D126))),AND($E126&lt;&gt;"",NOT(ISNUMBER($E126)))),"Fecha no válida"&amp;" · ","")&amp;IF(AND(ISNUMBER($D126),ISNUMBER($E126),$D126&gt;$E126),"Inicio posterior a fecha límite"&amp;" · ","")&amp;IF(AND($S126="Macro",$F126=""),"Peso vacío"&amp;" · ","")&amp;IF(AND($S126="Macro",$F126&lt;&gt;"",OR(NOT(ISNUMBER($F126)),$F126&lt;=0,$F126&gt;1)),"Peso fuera de rango"&amp;" · ","")&amp;IF(AND($S126="Sub",$F126&lt;&gt;"",OR(NOT(ISNUMBER($F126)),$F126&lt;0,$F126&gt;1)),"Peso fuera de rango"&amp;" · ","")&amp;IF(AND($S126="Sub",$F126="",IFERROR(N(INDEX($AG$5:$AG$1000,$R126-4)),0)&gt;0),"Falta el peso de la subactividad"&amp;" · ","")&amp;IF(AND(N($T126)&gt;0,N($AG126)&gt;0,ABS(N($AG126)-N($F126))&gt;0.0001),"Pesos de sus subactividades suman "&amp;TEXT(N($AG126),"0%")&amp;" (deben sumar "&amp;TEXT(N($F126),"0%")&amp;")"&amp;" · ","")&amp;IF(AND($S126="Macro",ABS(SUMIFS($F$5:$F$1000,$P$5:$P$1000,$P126,$S$5:$S$1000,"Macro")-1)&gt;0.0001),"Pesos del mes suman "&amp;TEXT(SUMIFS($F$5:$F$1000,$P$5:$P$1000,$P126,$S$5:$S$1000,"Macro"),"0%")&amp;" · ","")&amp;IF(AND(N($T126)&gt;0,COUNT($G126:$J126)&gt;0),"Con subactividades: deje vacías las semanas (se calculan solas)"&amp;" · ","")&amp;IF((COUNTIF($G126:$J126,"&gt;1")+COUNTIF($G126:$J126,"&lt;0")+COUNTA($G126:$J126)-COUNT($G126:$J126))&gt;0,"Avance fuera de rango 0-100%"&amp;" · ","")&amp;IF(OR(AND($H126&lt;&gt;"",$H126&lt;$G126),AND($I126&lt;&gt;"",$I126&lt;MAX($G126:$H126)),AND($J126&lt;&gt;"",$J126&lt;MAX($G126:$I126))),"Avance semanal decreciente"&amp;" · ","")&amp;IF(AND(ISNUMBER($E126),$E126&lt;FechaRef,N($K126)&lt;1),"Vencida"&amp;" · ","")&amp;IF(AND(ObsObligatoria="Sí",ISNUMBER($E126),$E126&lt;FechaRef,N($K126)&lt;1,$N126=""),"Vencida sin observación"&amp;" · ",""))-3)))</f>
        <v/>
      </c>
      <c r="P126" s="70">
        <f>IF(NOT((COUNTA($B126:$J126)+COUNTA($N126))&gt;0),"",IF(AND($S126="Sub",N($R126)&gt;0),IF(ISNUMBER(INDEX($D$5:$D$1000,$R126-4)),DATE(YEAR(INDEX($D$5:$D$1000,$R126-4)),MONTH(INDEX($D$5:$D$1000,$R126-4)),1),IF(ISNUMBER(INDEX($E$5:$E$1000,$R126-4)),DATE(YEAR(INDEX($E$5:$E$1000,$R126-4)),MONTH(INDEX($E$5:$E$1000,$R126-4)),1),MesCiclo)),IF(ISNUMBER($D126),DATE(YEAR($D126),MONTH($D126),1),IF(ISNUMBER($E126),DATE(YEAR($E126),MONTH($E126),1),MesCiclo))))</f>
        <v/>
      </c>
      <c r="Q126" s="71">
        <f>IF(OR($P126="",$P126&lt;&gt;MesCiclo),"",COUNTIF($P$5:$P126,MesCiclo))</f>
        <v/>
      </c>
      <c r="R126" s="71">
        <f>IF($S126="","",IF($S126="Macro",ROW(),IFERROR(LOOKUP(2,1/($S$5:$S126="Macro"),ROW($S$5:$S126)),0)))</f>
        <v/>
      </c>
      <c r="S126" s="71">
        <f>IF(NOT((COUNTA($B126:$J126)+COUNTA($N126))&gt;0),"",IF($B126="Subactividad","Sub","Macro"))</f>
        <v/>
      </c>
      <c r="T126" s="71">
        <f>IF($S126="Macro",COUNTIFS($R$5:$R$1000,ROW(),$S$5:$S$1000,"Sub"),"")</f>
        <v/>
      </c>
      <c r="U126" s="71">
        <f>IF($S126="","",IF(ISNUMBER($G126),$G126,0))</f>
        <v/>
      </c>
      <c r="V126" s="71">
        <f>IF($S126="","",IF(ISNUMBER($H126),$H126,$U126))</f>
        <v/>
      </c>
      <c r="W126" s="71">
        <f>IF($S126="","",IF(ISNUMBER($I126),$I126,$V126))</f>
        <v/>
      </c>
      <c r="X126" s="71">
        <f>IF($S126="","",IF(ISNUMBER($J126),$J126,$W126))</f>
        <v/>
      </c>
      <c r="Y126" s="71">
        <f>IF($S126="","",IF(N($T126)&gt;0,IF(N($AG126)&gt;0,SUMIFS($AC$5:$AC$1000,$R$5:$R$1000,ROW(),$S$5:$S$1000,"Sub")/$AG126,AVERAGEIFS($U$5:$U$1000,$R$5:$R$1000,ROW(),$S$5:$S$1000,"Sub")),$U126))</f>
        <v/>
      </c>
      <c r="Z126" s="71">
        <f>IF($S126="","",IF(N($T126)&gt;0,IF(N($AG126)&gt;0,SUMIFS($AD$5:$AD$1000,$R$5:$R$1000,ROW(),$S$5:$S$1000,"Sub")/$AG126,AVERAGEIFS($V$5:$V$1000,$R$5:$R$1000,ROW(),$S$5:$S$1000,"Sub")),$V126))</f>
        <v/>
      </c>
      <c r="AA126" s="71">
        <f>IF($S126="","",IF(N($T126)&gt;0,IF(N($AG126)&gt;0,SUMIFS($AE$5:$AE$1000,$R$5:$R$1000,ROW(),$S$5:$S$1000,"Sub")/$AG126,AVERAGEIFS($W$5:$W$1000,$R$5:$R$1000,ROW(),$S$5:$S$1000,"Sub")),$W126))</f>
        <v/>
      </c>
      <c r="AB126" s="71">
        <f>IF($S126="","",IF(N($T126)&gt;0,IF(N($AG126)&gt;0,SUMIFS($AF$5:$AF$1000,$R$5:$R$1000,ROW(),$S$5:$S$1000,"Sub")/$AG126,AVERAGEIFS($X$5:$X$1000,$R$5:$R$1000,ROW(),$S$5:$S$1000,"Sub")),$X126))</f>
        <v/>
      </c>
      <c r="AC126" s="71">
        <f>IF($S126="Sub",N($F126)*N($U126),"")</f>
        <v/>
      </c>
      <c r="AD126" s="71">
        <f>IF($S126="Sub",N($F126)*N($V126),"")</f>
        <v/>
      </c>
      <c r="AE126" s="71">
        <f>IF($S126="Sub",N($F126)*N($W126),"")</f>
        <v/>
      </c>
      <c r="AF126" s="71">
        <f>IF($S126="Sub",N($F126)*N($X126),"")</f>
        <v/>
      </c>
      <c r="AG126" s="71">
        <f>IF(N($T126)&gt;0,SUMIFS($F$5:$F$1000,$R$5:$R$1000,ROW(),$S$5:$S$1000,"Sub"),"")</f>
        <v/>
      </c>
    </row>
    <row r="127">
      <c r="A127" s="62">
        <f>IF(NOT((COUNTA($B127:$J127)+COUNTA($N127))&gt;0),"",IF($S127="Macro",COUNTIFS($S$5:$S127,"Macro",$P$5:$P127,$P127),IF(N($R127)=0,"?",COUNTIFS(INDEX($S$5:$S$1000,1):INDEX($S$5:$S$1000,$R127-4),"Macro",INDEX($P$5:$P$1000,1):INDEX($P$5:$P$1000,$R127-4),INDEX($P$5:$P$1000,$R127-4))&amp;"."&amp;COUNTIFS($R$5:$R127,$R127,$S$5:$S127,"Sub"))))</f>
        <v/>
      </c>
      <c r="B127" s="63" t="n"/>
      <c r="C127" s="64" t="n"/>
      <c r="D127" s="65" t="n"/>
      <c r="E127" s="65" t="n"/>
      <c r="F127" s="66" t="n"/>
      <c r="G127" s="67" t="n"/>
      <c r="H127" s="67" t="n"/>
      <c r="I127" s="67" t="n"/>
      <c r="J127" s="67" t="n"/>
      <c r="K127" s="68">
        <f>IF(NOT((COUNTA($B127:$J127)+COUNTA($N127))&gt;0),"",IF(N($T127)&gt;0,$AB127,IFERROR(LOOKUP(2,1/(G127:J127&lt;&gt;""),G127:J127),0)))</f>
        <v/>
      </c>
      <c r="L127" s="62">
        <f>IF(K127="","",IF(K127&gt;=1,"Completado",IF(K127&gt;0,"En curso","Pendiente")))</f>
        <v/>
      </c>
      <c r="M127" s="62">
        <f>IF(NOT((COUNTA($B127:$J127)+COUNTA($N127))&gt;0),"",IF(N($K127)&gt;=1,"Cumplida",IF(NOT(ISNUMBER($E127)),"Sin fecha límite",IF($E127&lt;FechaRef,"Vencida hace "&amp;(FechaRef-$E127)&amp;IF(FechaRef-$E127=1," día"," días"),IF($E127=FechaRef,"Vence hoy",IF($E127-FechaRef&lt;=DiasAlerta,"Vence en "&amp;($E127-FechaRef)&amp;IF($E127-FechaRef=1," día"," días"),"En plazo"))))))</f>
        <v/>
      </c>
      <c r="N127" s="64" t="n"/>
      <c r="O127" s="69">
        <f>IF(NOT((COUNTA($B127:$J127)+COUNTA($N127))&gt;0),"",IF((IF($C127="","Falta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",""))="","✔ OK","⚠ "&amp;LEFT(IF($C127="","Falta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",""),LEN(IF($C127="","Falta el nombre de la actividad"&amp;" · ","")&amp;IF(AND($S127="Sub",N($R127)=0),"Subactividad sin macroactividad arriba"&amp;" · ","")&amp;IF($D127="","Sin fecha de inicio"&amp;" · ","")&amp;IF($E127="","Sin fecha límite"&amp;" · ","")&amp;IF(OR(AND($D127&lt;&gt;"",NOT(ISNUMBER($D127))),AND($E127&lt;&gt;"",NOT(ISNUMBER($E127)))),"Fecha no válida"&amp;" · ","")&amp;IF(AND(ISNUMBER($D127),ISNUMBER($E127),$D127&gt;$E127),"Inicio posterior a fecha límite"&amp;" · ","")&amp;IF(AND($S127="Macro",$F127=""),"Peso vacío"&amp;" · ","")&amp;IF(AND($S127="Macro",$F127&lt;&gt;"",OR(NOT(ISNUMBER($F127)),$F127&lt;=0,$F127&gt;1)),"Peso fuera de rango"&amp;" · ","")&amp;IF(AND($S127="Sub",$F127&lt;&gt;"",OR(NOT(ISNUMBER($F127)),$F127&lt;0,$F127&gt;1)),"Peso fuera de rango"&amp;" · ","")&amp;IF(AND($S127="Sub",$F127="",IFERROR(N(INDEX($AG$5:$AG$1000,$R127-4)),0)&gt;0),"Falta el peso de la subactividad"&amp;" · ","")&amp;IF(AND(N($T127)&gt;0,N($AG127)&gt;0,ABS(N($AG127)-N($F127))&gt;0.0001),"Pesos de sus subactividades suman "&amp;TEXT(N($AG127),"0%")&amp;" (deben sumar "&amp;TEXT(N($F127),"0%")&amp;")"&amp;" · ","")&amp;IF(AND($S127="Macro",ABS(SUMIFS($F$5:$F$1000,$P$5:$P$1000,$P127,$S$5:$S$1000,"Macro")-1)&gt;0.0001),"Pesos del mes suman "&amp;TEXT(SUMIFS($F$5:$F$1000,$P$5:$P$1000,$P127,$S$5:$S$1000,"Macro"),"0%")&amp;" · ","")&amp;IF(AND(N($T127)&gt;0,COUNT($G127:$J127)&gt;0),"Con subactividades: deje vacías las semanas (se calculan solas)"&amp;" · ","")&amp;IF((COUNTIF($G127:$J127,"&gt;1")+COUNTIF($G127:$J127,"&lt;0")+COUNTA($G127:$J127)-COUNT($G127:$J127))&gt;0,"Avance fuera de rango 0-100%"&amp;" · ","")&amp;IF(OR(AND($H127&lt;&gt;"",$H127&lt;$G127),AND($I127&lt;&gt;"",$I127&lt;MAX($G127:$H127)),AND($J127&lt;&gt;"",$J127&lt;MAX($G127:$I127))),"Avance semanal decreciente"&amp;" · ","")&amp;IF(AND(ISNUMBER($E127),$E127&lt;FechaRef,N($K127)&lt;1),"Vencida"&amp;" · ","")&amp;IF(AND(ObsObligatoria="Sí",ISNUMBER($E127),$E127&lt;FechaRef,N($K127)&lt;1,$N127=""),"Vencida sin observación"&amp;" · ",""))-3)))</f>
        <v/>
      </c>
      <c r="P127" s="70">
        <f>IF(NOT((COUNTA($B127:$J127)+COUNTA($N127))&gt;0),"",IF(AND($S127="Sub",N($R127)&gt;0),IF(ISNUMBER(INDEX($D$5:$D$1000,$R127-4)),DATE(YEAR(INDEX($D$5:$D$1000,$R127-4)),MONTH(INDEX($D$5:$D$1000,$R127-4)),1),IF(ISNUMBER(INDEX($E$5:$E$1000,$R127-4)),DATE(YEAR(INDEX($E$5:$E$1000,$R127-4)),MONTH(INDEX($E$5:$E$1000,$R127-4)),1),MesCiclo)),IF(ISNUMBER($D127),DATE(YEAR($D127),MONTH($D127),1),IF(ISNUMBER($E127),DATE(YEAR($E127),MONTH($E127),1),MesCiclo))))</f>
        <v/>
      </c>
      <c r="Q127" s="71">
        <f>IF(OR($P127="",$P127&lt;&gt;MesCiclo),"",COUNTIF($P$5:$P127,MesCiclo))</f>
        <v/>
      </c>
      <c r="R127" s="71">
        <f>IF($S127="","",IF($S127="Macro",ROW(),IFERROR(LOOKUP(2,1/($S$5:$S127="Macro"),ROW($S$5:$S127)),0)))</f>
        <v/>
      </c>
      <c r="S127" s="71">
        <f>IF(NOT((COUNTA($B127:$J127)+COUNTA($N127))&gt;0),"",IF($B127="Subactividad","Sub","Macro"))</f>
        <v/>
      </c>
      <c r="T127" s="71">
        <f>IF($S127="Macro",COUNTIFS($R$5:$R$1000,ROW(),$S$5:$S$1000,"Sub"),"")</f>
        <v/>
      </c>
      <c r="U127" s="71">
        <f>IF($S127="","",IF(ISNUMBER($G127),$G127,0))</f>
        <v/>
      </c>
      <c r="V127" s="71">
        <f>IF($S127="","",IF(ISNUMBER($H127),$H127,$U127))</f>
        <v/>
      </c>
      <c r="W127" s="71">
        <f>IF($S127="","",IF(ISNUMBER($I127),$I127,$V127))</f>
        <v/>
      </c>
      <c r="X127" s="71">
        <f>IF($S127="","",IF(ISNUMBER($J127),$J127,$W127))</f>
        <v/>
      </c>
      <c r="Y127" s="71">
        <f>IF($S127="","",IF(N($T127)&gt;0,IF(N($AG127)&gt;0,SUMIFS($AC$5:$AC$1000,$R$5:$R$1000,ROW(),$S$5:$S$1000,"Sub")/$AG127,AVERAGEIFS($U$5:$U$1000,$R$5:$R$1000,ROW(),$S$5:$S$1000,"Sub")),$U127))</f>
        <v/>
      </c>
      <c r="Z127" s="71">
        <f>IF($S127="","",IF(N($T127)&gt;0,IF(N($AG127)&gt;0,SUMIFS($AD$5:$AD$1000,$R$5:$R$1000,ROW(),$S$5:$S$1000,"Sub")/$AG127,AVERAGEIFS($V$5:$V$1000,$R$5:$R$1000,ROW(),$S$5:$S$1000,"Sub")),$V127))</f>
        <v/>
      </c>
      <c r="AA127" s="71">
        <f>IF($S127="","",IF(N($T127)&gt;0,IF(N($AG127)&gt;0,SUMIFS($AE$5:$AE$1000,$R$5:$R$1000,ROW(),$S$5:$S$1000,"Sub")/$AG127,AVERAGEIFS($W$5:$W$1000,$R$5:$R$1000,ROW(),$S$5:$S$1000,"Sub")),$W127))</f>
        <v/>
      </c>
      <c r="AB127" s="71">
        <f>IF($S127="","",IF(N($T127)&gt;0,IF(N($AG127)&gt;0,SUMIFS($AF$5:$AF$1000,$R$5:$R$1000,ROW(),$S$5:$S$1000,"Sub")/$AG127,AVERAGEIFS($X$5:$X$1000,$R$5:$R$1000,ROW(),$S$5:$S$1000,"Sub")),$X127))</f>
        <v/>
      </c>
      <c r="AC127" s="71">
        <f>IF($S127="Sub",N($F127)*N($U127),"")</f>
        <v/>
      </c>
      <c r="AD127" s="71">
        <f>IF($S127="Sub",N($F127)*N($V127),"")</f>
        <v/>
      </c>
      <c r="AE127" s="71">
        <f>IF($S127="Sub",N($F127)*N($W127),"")</f>
        <v/>
      </c>
      <c r="AF127" s="71">
        <f>IF($S127="Sub",N($F127)*N($X127),"")</f>
        <v/>
      </c>
      <c r="AG127" s="71">
        <f>IF(N($T127)&gt;0,SUMIFS($F$5:$F$1000,$R$5:$R$1000,ROW(),$S$5:$S$1000,"Sub"),"")</f>
        <v/>
      </c>
    </row>
    <row r="128">
      <c r="A128" s="62">
        <f>IF(NOT((COUNTA($B128:$J128)+COUNTA($N128))&gt;0),"",IF($S128="Macro",COUNTIFS($S$5:$S128,"Macro",$P$5:$P128,$P128),IF(N($R128)=0,"?",COUNTIFS(INDEX($S$5:$S$1000,1):INDEX($S$5:$S$1000,$R128-4),"Macro",INDEX($P$5:$P$1000,1):INDEX($P$5:$P$1000,$R128-4),INDEX($P$5:$P$1000,$R128-4))&amp;"."&amp;COUNTIFS($R$5:$R128,$R128,$S$5:$S128,"Sub"))))</f>
        <v/>
      </c>
      <c r="B128" s="63" t="n"/>
      <c r="C128" s="64" t="n"/>
      <c r="D128" s="65" t="n"/>
      <c r="E128" s="65" t="n"/>
      <c r="F128" s="66" t="n"/>
      <c r="G128" s="67" t="n"/>
      <c r="H128" s="67" t="n"/>
      <c r="I128" s="67" t="n"/>
      <c r="J128" s="67" t="n"/>
      <c r="K128" s="68">
        <f>IF(NOT((COUNTA($B128:$J128)+COUNTA($N128))&gt;0),"",IF(N($T128)&gt;0,$AB128,IFERROR(LOOKUP(2,1/(G128:J128&lt;&gt;""),G128:J128),0)))</f>
        <v/>
      </c>
      <c r="L128" s="62">
        <f>IF(K128="","",IF(K128&gt;=1,"Completado",IF(K128&gt;0,"En curso","Pendiente")))</f>
        <v/>
      </c>
      <c r="M128" s="62">
        <f>IF(NOT((COUNTA($B128:$J128)+COUNTA($N128))&gt;0),"",IF(N($K128)&gt;=1,"Cumplida",IF(NOT(ISNUMBER($E128)),"Sin fecha límite",IF($E128&lt;FechaRef,"Vencida hace "&amp;(FechaRef-$E128)&amp;IF(FechaRef-$E128=1," día"," días"),IF($E128=FechaRef,"Vence hoy",IF($E128-FechaRef&lt;=DiasAlerta,"Vence en "&amp;($E128-FechaRef)&amp;IF($E128-FechaRef=1," día"," días"),"En plazo"))))))</f>
        <v/>
      </c>
      <c r="N128" s="64" t="n"/>
      <c r="O128" s="69">
        <f>IF(NOT((COUNTA($B128:$J128)+COUNTA($N128))&gt;0),"",IF((IF($C128="","Falta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",""))="","✔ OK","⚠ "&amp;LEFT(IF($C128="","Falta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",""),LEN(IF($C128="","Falta el nombre de la actividad"&amp;" · ","")&amp;IF(AND($S128="Sub",N($R128)=0),"Subactividad sin macroactividad arriba"&amp;" · ","")&amp;IF($D128="","Sin fecha de inicio"&amp;" · ","")&amp;IF($E128="","Sin fecha límite"&amp;" · ","")&amp;IF(OR(AND($D128&lt;&gt;"",NOT(ISNUMBER($D128))),AND($E128&lt;&gt;"",NOT(ISNUMBER($E128)))),"Fecha no válida"&amp;" · ","")&amp;IF(AND(ISNUMBER($D128),ISNUMBER($E128),$D128&gt;$E128),"Inicio posterior a fecha límite"&amp;" · ","")&amp;IF(AND($S128="Macro",$F128=""),"Peso vacío"&amp;" · ","")&amp;IF(AND($S128="Macro",$F128&lt;&gt;"",OR(NOT(ISNUMBER($F128)),$F128&lt;=0,$F128&gt;1)),"Peso fuera de rango"&amp;" · ","")&amp;IF(AND($S128="Sub",$F128&lt;&gt;"",OR(NOT(ISNUMBER($F128)),$F128&lt;0,$F128&gt;1)),"Peso fuera de rango"&amp;" · ","")&amp;IF(AND($S128="Sub",$F128="",IFERROR(N(INDEX($AG$5:$AG$1000,$R128-4)),0)&gt;0),"Falta el peso de la subactividad"&amp;" · ","")&amp;IF(AND(N($T128)&gt;0,N($AG128)&gt;0,ABS(N($AG128)-N($F128))&gt;0.0001),"Pesos de sus subactividades suman "&amp;TEXT(N($AG128),"0%")&amp;" (deben sumar "&amp;TEXT(N($F128),"0%")&amp;")"&amp;" · ","")&amp;IF(AND($S128="Macro",ABS(SUMIFS($F$5:$F$1000,$P$5:$P$1000,$P128,$S$5:$S$1000,"Macro")-1)&gt;0.0001),"Pesos del mes suman "&amp;TEXT(SUMIFS($F$5:$F$1000,$P$5:$P$1000,$P128,$S$5:$S$1000,"Macro"),"0%")&amp;" · ","")&amp;IF(AND(N($T128)&gt;0,COUNT($G128:$J128)&gt;0),"Con subactividades: deje vacías las semanas (se calculan solas)"&amp;" · ","")&amp;IF((COUNTIF($G128:$J128,"&gt;1")+COUNTIF($G128:$J128,"&lt;0")+COUNTA($G128:$J128)-COUNT($G128:$J128))&gt;0,"Avance fuera de rango 0-100%"&amp;" · ","")&amp;IF(OR(AND($H128&lt;&gt;"",$H128&lt;$G128),AND($I128&lt;&gt;"",$I128&lt;MAX($G128:$H128)),AND($J128&lt;&gt;"",$J128&lt;MAX($G128:$I128))),"Avance semanal decreciente"&amp;" · ","")&amp;IF(AND(ISNUMBER($E128),$E128&lt;FechaRef,N($K128)&lt;1),"Vencida"&amp;" · ","")&amp;IF(AND(ObsObligatoria="Sí",ISNUMBER($E128),$E128&lt;FechaRef,N($K128)&lt;1,$N128=""),"Vencida sin observación"&amp;" · ",""))-3)))</f>
        <v/>
      </c>
      <c r="P128" s="70">
        <f>IF(NOT((COUNTA($B128:$J128)+COUNTA($N128))&gt;0),"",IF(AND($S128="Sub",N($R128)&gt;0),IF(ISNUMBER(INDEX($D$5:$D$1000,$R128-4)),DATE(YEAR(INDEX($D$5:$D$1000,$R128-4)),MONTH(INDEX($D$5:$D$1000,$R128-4)),1),IF(ISNUMBER(INDEX($E$5:$E$1000,$R128-4)),DATE(YEAR(INDEX($E$5:$E$1000,$R128-4)),MONTH(INDEX($E$5:$E$1000,$R128-4)),1),MesCiclo)),IF(ISNUMBER($D128),DATE(YEAR($D128),MONTH($D128),1),IF(ISNUMBER($E128),DATE(YEAR($E128),MONTH($E128),1),MesCiclo))))</f>
        <v/>
      </c>
      <c r="Q128" s="71">
        <f>IF(OR($P128="",$P128&lt;&gt;MesCiclo),"",COUNTIF($P$5:$P128,MesCiclo))</f>
        <v/>
      </c>
      <c r="R128" s="71">
        <f>IF($S128="","",IF($S128="Macro",ROW(),IFERROR(LOOKUP(2,1/($S$5:$S128="Macro"),ROW($S$5:$S128)),0)))</f>
        <v/>
      </c>
      <c r="S128" s="71">
        <f>IF(NOT((COUNTA($B128:$J128)+COUNTA($N128))&gt;0),"",IF($B128="Subactividad","Sub","Macro"))</f>
        <v/>
      </c>
      <c r="T128" s="71">
        <f>IF($S128="Macro",COUNTIFS($R$5:$R$1000,ROW(),$S$5:$S$1000,"Sub"),"")</f>
        <v/>
      </c>
      <c r="U128" s="71">
        <f>IF($S128="","",IF(ISNUMBER($G128),$G128,0))</f>
        <v/>
      </c>
      <c r="V128" s="71">
        <f>IF($S128="","",IF(ISNUMBER($H128),$H128,$U128))</f>
        <v/>
      </c>
      <c r="W128" s="71">
        <f>IF($S128="","",IF(ISNUMBER($I128),$I128,$V128))</f>
        <v/>
      </c>
      <c r="X128" s="71">
        <f>IF($S128="","",IF(ISNUMBER($J128),$J128,$W128))</f>
        <v/>
      </c>
      <c r="Y128" s="71">
        <f>IF($S128="","",IF(N($T128)&gt;0,IF(N($AG128)&gt;0,SUMIFS($AC$5:$AC$1000,$R$5:$R$1000,ROW(),$S$5:$S$1000,"Sub")/$AG128,AVERAGEIFS($U$5:$U$1000,$R$5:$R$1000,ROW(),$S$5:$S$1000,"Sub")),$U128))</f>
        <v/>
      </c>
      <c r="Z128" s="71">
        <f>IF($S128="","",IF(N($T128)&gt;0,IF(N($AG128)&gt;0,SUMIFS($AD$5:$AD$1000,$R$5:$R$1000,ROW(),$S$5:$S$1000,"Sub")/$AG128,AVERAGEIFS($V$5:$V$1000,$R$5:$R$1000,ROW(),$S$5:$S$1000,"Sub")),$V128))</f>
        <v/>
      </c>
      <c r="AA128" s="71">
        <f>IF($S128="","",IF(N($T128)&gt;0,IF(N($AG128)&gt;0,SUMIFS($AE$5:$AE$1000,$R$5:$R$1000,ROW(),$S$5:$S$1000,"Sub")/$AG128,AVERAGEIFS($W$5:$W$1000,$R$5:$R$1000,ROW(),$S$5:$S$1000,"Sub")),$W128))</f>
        <v/>
      </c>
      <c r="AB128" s="71">
        <f>IF($S128="","",IF(N($T128)&gt;0,IF(N($AG128)&gt;0,SUMIFS($AF$5:$AF$1000,$R$5:$R$1000,ROW(),$S$5:$S$1000,"Sub")/$AG128,AVERAGEIFS($X$5:$X$1000,$R$5:$R$1000,ROW(),$S$5:$S$1000,"Sub")),$X128))</f>
        <v/>
      </c>
      <c r="AC128" s="71">
        <f>IF($S128="Sub",N($F128)*N($U128),"")</f>
        <v/>
      </c>
      <c r="AD128" s="71">
        <f>IF($S128="Sub",N($F128)*N($V128),"")</f>
        <v/>
      </c>
      <c r="AE128" s="71">
        <f>IF($S128="Sub",N($F128)*N($W128),"")</f>
        <v/>
      </c>
      <c r="AF128" s="71">
        <f>IF($S128="Sub",N($F128)*N($X128),"")</f>
        <v/>
      </c>
      <c r="AG128" s="71">
        <f>IF(N($T128)&gt;0,SUMIFS($F$5:$F$1000,$R$5:$R$1000,ROW(),$S$5:$S$1000,"Sub"),"")</f>
        <v/>
      </c>
    </row>
    <row r="129">
      <c r="A129" s="62">
        <f>IF(NOT((COUNTA($B129:$J129)+COUNTA($N129))&gt;0),"",IF($S129="Macro",COUNTIFS($S$5:$S129,"Macro",$P$5:$P129,$P129),IF(N($R129)=0,"?",COUNTIFS(INDEX($S$5:$S$1000,1):INDEX($S$5:$S$1000,$R129-4),"Macro",INDEX($P$5:$P$1000,1):INDEX($P$5:$P$1000,$R129-4),INDEX($P$5:$P$1000,$R129-4))&amp;"."&amp;COUNTIFS($R$5:$R129,$R129,$S$5:$S129,"Sub"))))</f>
        <v/>
      </c>
      <c r="B129" s="63" t="n"/>
      <c r="C129" s="64" t="n"/>
      <c r="D129" s="65" t="n"/>
      <c r="E129" s="65" t="n"/>
      <c r="F129" s="66" t="n"/>
      <c r="G129" s="67" t="n"/>
      <c r="H129" s="67" t="n"/>
      <c r="I129" s="67" t="n"/>
      <c r="J129" s="67" t="n"/>
      <c r="K129" s="68">
        <f>IF(NOT((COUNTA($B129:$J129)+COUNTA($N129))&gt;0),"",IF(N($T129)&gt;0,$AB129,IFERROR(LOOKUP(2,1/(G129:J129&lt;&gt;""),G129:J129),0)))</f>
        <v/>
      </c>
      <c r="L129" s="62">
        <f>IF(K129="","",IF(K129&gt;=1,"Completado",IF(K129&gt;0,"En curso","Pendiente")))</f>
        <v/>
      </c>
      <c r="M129" s="62">
        <f>IF(NOT((COUNTA($B129:$J129)+COUNTA($N129))&gt;0),"",IF(N($K129)&gt;=1,"Cumplida",IF(NOT(ISNUMBER($E129)),"Sin fecha límite",IF($E129&lt;FechaRef,"Vencida hace "&amp;(FechaRef-$E129)&amp;IF(FechaRef-$E129=1," día"," días"),IF($E129=FechaRef,"Vence hoy",IF($E129-FechaRef&lt;=DiasAlerta,"Vence en "&amp;($E129-FechaRef)&amp;IF($E129-FechaRef=1," día"," días"),"En plazo"))))))</f>
        <v/>
      </c>
      <c r="N129" s="64" t="n"/>
      <c r="O129" s="69">
        <f>IF(NOT((COUNTA($B129:$J129)+COUNTA($N129))&gt;0),"",IF((IF($C129="","Falta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",""))="","✔ OK","⚠ "&amp;LEFT(IF($C129="","Falta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",""),LEN(IF($C129="","Falta el nombre de la actividad"&amp;" · ","")&amp;IF(AND($S129="Sub",N($R129)=0),"Subactividad sin macroactividad arriba"&amp;" · ","")&amp;IF($D129="","Sin fecha de inicio"&amp;" · ","")&amp;IF($E129="","Sin fecha límite"&amp;" · ","")&amp;IF(OR(AND($D129&lt;&gt;"",NOT(ISNUMBER($D129))),AND($E129&lt;&gt;"",NOT(ISNUMBER($E129)))),"Fecha no válida"&amp;" · ","")&amp;IF(AND(ISNUMBER($D129),ISNUMBER($E129),$D129&gt;$E129),"Inicio posterior a fecha límite"&amp;" · ","")&amp;IF(AND($S129="Macro",$F129=""),"Peso vacío"&amp;" · ","")&amp;IF(AND($S129="Macro",$F129&lt;&gt;"",OR(NOT(ISNUMBER($F129)),$F129&lt;=0,$F129&gt;1)),"Peso fuera de rango"&amp;" · ","")&amp;IF(AND($S129="Sub",$F129&lt;&gt;"",OR(NOT(ISNUMBER($F129)),$F129&lt;0,$F129&gt;1)),"Peso fuera de rango"&amp;" · ","")&amp;IF(AND($S129="Sub",$F129="",IFERROR(N(INDEX($AG$5:$AG$1000,$R129-4)),0)&gt;0),"Falta el peso de la subactividad"&amp;" · ","")&amp;IF(AND(N($T129)&gt;0,N($AG129)&gt;0,ABS(N($AG129)-N($F129))&gt;0.0001),"Pesos de sus subactividades suman "&amp;TEXT(N($AG129),"0%")&amp;" (deben sumar "&amp;TEXT(N($F129),"0%")&amp;")"&amp;" · ","")&amp;IF(AND($S129="Macro",ABS(SUMIFS($F$5:$F$1000,$P$5:$P$1000,$P129,$S$5:$S$1000,"Macro")-1)&gt;0.0001),"Pesos del mes suman "&amp;TEXT(SUMIFS($F$5:$F$1000,$P$5:$P$1000,$P129,$S$5:$S$1000,"Macro"),"0%")&amp;" · ","")&amp;IF(AND(N($T129)&gt;0,COUNT($G129:$J129)&gt;0),"Con subactividades: deje vacías las semanas (se calculan solas)"&amp;" · ","")&amp;IF((COUNTIF($G129:$J129,"&gt;1")+COUNTIF($G129:$J129,"&lt;0")+COUNTA($G129:$J129)-COUNT($G129:$J129))&gt;0,"Avance fuera de rango 0-100%"&amp;" · ","")&amp;IF(OR(AND($H129&lt;&gt;"",$H129&lt;$G129),AND($I129&lt;&gt;"",$I129&lt;MAX($G129:$H129)),AND($J129&lt;&gt;"",$J129&lt;MAX($G129:$I129))),"Avance semanal decreciente"&amp;" · ","")&amp;IF(AND(ISNUMBER($E129),$E129&lt;FechaRef,N($K129)&lt;1),"Vencida"&amp;" · ","")&amp;IF(AND(ObsObligatoria="Sí",ISNUMBER($E129),$E129&lt;FechaRef,N($K129)&lt;1,$N129=""),"Vencida sin observación"&amp;" · ",""))-3)))</f>
        <v/>
      </c>
      <c r="P129" s="70">
        <f>IF(NOT((COUNTA($B129:$J129)+COUNTA($N129))&gt;0),"",IF(AND($S129="Sub",N($R129)&gt;0),IF(ISNUMBER(INDEX($D$5:$D$1000,$R129-4)),DATE(YEAR(INDEX($D$5:$D$1000,$R129-4)),MONTH(INDEX($D$5:$D$1000,$R129-4)),1),IF(ISNUMBER(INDEX($E$5:$E$1000,$R129-4)),DATE(YEAR(INDEX($E$5:$E$1000,$R129-4)),MONTH(INDEX($E$5:$E$1000,$R129-4)),1),MesCiclo)),IF(ISNUMBER($D129),DATE(YEAR($D129),MONTH($D129),1),IF(ISNUMBER($E129),DATE(YEAR($E129),MONTH($E129),1),MesCiclo))))</f>
        <v/>
      </c>
      <c r="Q129" s="71">
        <f>IF(OR($P129="",$P129&lt;&gt;MesCiclo),"",COUNTIF($P$5:$P129,MesCiclo))</f>
        <v/>
      </c>
      <c r="R129" s="71">
        <f>IF($S129="","",IF($S129="Macro",ROW(),IFERROR(LOOKUP(2,1/($S$5:$S129="Macro"),ROW($S$5:$S129)),0)))</f>
        <v/>
      </c>
      <c r="S129" s="71">
        <f>IF(NOT((COUNTA($B129:$J129)+COUNTA($N129))&gt;0),"",IF($B129="Subactividad","Sub","Macro"))</f>
        <v/>
      </c>
      <c r="T129" s="71">
        <f>IF($S129="Macro",COUNTIFS($R$5:$R$1000,ROW(),$S$5:$S$1000,"Sub"),"")</f>
        <v/>
      </c>
      <c r="U129" s="71">
        <f>IF($S129="","",IF(ISNUMBER($G129),$G129,0))</f>
        <v/>
      </c>
      <c r="V129" s="71">
        <f>IF($S129="","",IF(ISNUMBER($H129),$H129,$U129))</f>
        <v/>
      </c>
      <c r="W129" s="71">
        <f>IF($S129="","",IF(ISNUMBER($I129),$I129,$V129))</f>
        <v/>
      </c>
      <c r="X129" s="71">
        <f>IF($S129="","",IF(ISNUMBER($J129),$J129,$W129))</f>
        <v/>
      </c>
      <c r="Y129" s="71">
        <f>IF($S129="","",IF(N($T129)&gt;0,IF(N($AG129)&gt;0,SUMIFS($AC$5:$AC$1000,$R$5:$R$1000,ROW(),$S$5:$S$1000,"Sub")/$AG129,AVERAGEIFS($U$5:$U$1000,$R$5:$R$1000,ROW(),$S$5:$S$1000,"Sub")),$U129))</f>
        <v/>
      </c>
      <c r="Z129" s="71">
        <f>IF($S129="","",IF(N($T129)&gt;0,IF(N($AG129)&gt;0,SUMIFS($AD$5:$AD$1000,$R$5:$R$1000,ROW(),$S$5:$S$1000,"Sub")/$AG129,AVERAGEIFS($V$5:$V$1000,$R$5:$R$1000,ROW(),$S$5:$S$1000,"Sub")),$V129))</f>
        <v/>
      </c>
      <c r="AA129" s="71">
        <f>IF($S129="","",IF(N($T129)&gt;0,IF(N($AG129)&gt;0,SUMIFS($AE$5:$AE$1000,$R$5:$R$1000,ROW(),$S$5:$S$1000,"Sub")/$AG129,AVERAGEIFS($W$5:$W$1000,$R$5:$R$1000,ROW(),$S$5:$S$1000,"Sub")),$W129))</f>
        <v/>
      </c>
      <c r="AB129" s="71">
        <f>IF($S129="","",IF(N($T129)&gt;0,IF(N($AG129)&gt;0,SUMIFS($AF$5:$AF$1000,$R$5:$R$1000,ROW(),$S$5:$S$1000,"Sub")/$AG129,AVERAGEIFS($X$5:$X$1000,$R$5:$R$1000,ROW(),$S$5:$S$1000,"Sub")),$X129))</f>
        <v/>
      </c>
      <c r="AC129" s="71">
        <f>IF($S129="Sub",N($F129)*N($U129),"")</f>
        <v/>
      </c>
      <c r="AD129" s="71">
        <f>IF($S129="Sub",N($F129)*N($V129),"")</f>
        <v/>
      </c>
      <c r="AE129" s="71">
        <f>IF($S129="Sub",N($F129)*N($W129),"")</f>
        <v/>
      </c>
      <c r="AF129" s="71">
        <f>IF($S129="Sub",N($F129)*N($X129),"")</f>
        <v/>
      </c>
      <c r="AG129" s="71">
        <f>IF(N($T129)&gt;0,SUMIFS($F$5:$F$1000,$R$5:$R$1000,ROW(),$S$5:$S$1000,"Sub"),"")</f>
        <v/>
      </c>
    </row>
    <row r="130">
      <c r="A130" s="62">
        <f>IF(NOT((COUNTA($B130:$J130)+COUNTA($N130))&gt;0),"",IF($S130="Macro",COUNTIFS($S$5:$S130,"Macro",$P$5:$P130,$P130),IF(N($R130)=0,"?",COUNTIFS(INDEX($S$5:$S$1000,1):INDEX($S$5:$S$1000,$R130-4),"Macro",INDEX($P$5:$P$1000,1):INDEX($P$5:$P$1000,$R130-4),INDEX($P$5:$P$1000,$R130-4))&amp;"."&amp;COUNTIFS($R$5:$R130,$R130,$S$5:$S130,"Sub"))))</f>
        <v/>
      </c>
      <c r="B130" s="63" t="n"/>
      <c r="C130" s="64" t="n"/>
      <c r="D130" s="65" t="n"/>
      <c r="E130" s="65" t="n"/>
      <c r="F130" s="66" t="n"/>
      <c r="G130" s="67" t="n"/>
      <c r="H130" s="67" t="n"/>
      <c r="I130" s="67" t="n"/>
      <c r="J130" s="67" t="n"/>
      <c r="K130" s="68">
        <f>IF(NOT((COUNTA($B130:$J130)+COUNTA($N130))&gt;0),"",IF(N($T130)&gt;0,$AB130,IFERROR(LOOKUP(2,1/(G130:J130&lt;&gt;""),G130:J130),0)))</f>
        <v/>
      </c>
      <c r="L130" s="62">
        <f>IF(K130="","",IF(K130&gt;=1,"Completado",IF(K130&gt;0,"En curso","Pendiente")))</f>
        <v/>
      </c>
      <c r="M130" s="62">
        <f>IF(NOT((COUNTA($B130:$J130)+COUNTA($N130))&gt;0),"",IF(N($K130)&gt;=1,"Cumplida",IF(NOT(ISNUMBER($E130)),"Sin fecha límite",IF($E130&lt;FechaRef,"Vencida hace "&amp;(FechaRef-$E130)&amp;IF(FechaRef-$E130=1," día"," días"),IF($E130=FechaRef,"Vence hoy",IF($E130-FechaRef&lt;=DiasAlerta,"Vence en "&amp;($E130-FechaRef)&amp;IF($E130-FechaRef=1," día"," días"),"En plazo"))))))</f>
        <v/>
      </c>
      <c r="N130" s="64" t="n"/>
      <c r="O130" s="69">
        <f>IF(NOT((COUNTA($B130:$J130)+COUNTA($N130))&gt;0),"",IF((IF($C130="","Falta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",""))="","✔ OK","⚠ "&amp;LEFT(IF($C130="","Falta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",""),LEN(IF($C130="","Falta el nombre de la actividad"&amp;" · ","")&amp;IF(AND($S130="Sub",N($R130)=0),"Subactividad sin macroactividad arriba"&amp;" · ","")&amp;IF($D130="","Sin fecha de inicio"&amp;" · ","")&amp;IF($E130="","Sin fecha límite"&amp;" · ","")&amp;IF(OR(AND($D130&lt;&gt;"",NOT(ISNUMBER($D130))),AND($E130&lt;&gt;"",NOT(ISNUMBER($E130)))),"Fecha no válida"&amp;" · ","")&amp;IF(AND(ISNUMBER($D130),ISNUMBER($E130),$D130&gt;$E130),"Inicio posterior a fecha límite"&amp;" · ","")&amp;IF(AND($S130="Macro",$F130=""),"Peso vacío"&amp;" · ","")&amp;IF(AND($S130="Macro",$F130&lt;&gt;"",OR(NOT(ISNUMBER($F130)),$F130&lt;=0,$F130&gt;1)),"Peso fuera de rango"&amp;" · ","")&amp;IF(AND($S130="Sub",$F130&lt;&gt;"",OR(NOT(ISNUMBER($F130)),$F130&lt;0,$F130&gt;1)),"Peso fuera de rango"&amp;" · ","")&amp;IF(AND($S130="Sub",$F130="",IFERROR(N(INDEX($AG$5:$AG$1000,$R130-4)),0)&gt;0),"Falta el peso de la subactividad"&amp;" · ","")&amp;IF(AND(N($T130)&gt;0,N($AG130)&gt;0,ABS(N($AG130)-N($F130))&gt;0.0001),"Pesos de sus subactividades suman "&amp;TEXT(N($AG130),"0%")&amp;" (deben sumar "&amp;TEXT(N($F130),"0%")&amp;")"&amp;" · ","")&amp;IF(AND($S130="Macro",ABS(SUMIFS($F$5:$F$1000,$P$5:$P$1000,$P130,$S$5:$S$1000,"Macro")-1)&gt;0.0001),"Pesos del mes suman "&amp;TEXT(SUMIFS($F$5:$F$1000,$P$5:$P$1000,$P130,$S$5:$S$1000,"Macro"),"0%")&amp;" · ","")&amp;IF(AND(N($T130)&gt;0,COUNT($G130:$J130)&gt;0),"Con subactividades: deje vacías las semanas (se calculan solas)"&amp;" · ","")&amp;IF((COUNTIF($G130:$J130,"&gt;1")+COUNTIF($G130:$J130,"&lt;0")+COUNTA($G130:$J130)-COUNT($G130:$J130))&gt;0,"Avance fuera de rango 0-100%"&amp;" · ","")&amp;IF(OR(AND($H130&lt;&gt;"",$H130&lt;$G130),AND($I130&lt;&gt;"",$I130&lt;MAX($G130:$H130)),AND($J130&lt;&gt;"",$J130&lt;MAX($G130:$I130))),"Avance semanal decreciente"&amp;" · ","")&amp;IF(AND(ISNUMBER($E130),$E130&lt;FechaRef,N($K130)&lt;1),"Vencida"&amp;" · ","")&amp;IF(AND(ObsObligatoria="Sí",ISNUMBER($E130),$E130&lt;FechaRef,N($K130)&lt;1,$N130=""),"Vencida sin observación"&amp;" · ",""))-3)))</f>
        <v/>
      </c>
      <c r="P130" s="70">
        <f>IF(NOT((COUNTA($B130:$J130)+COUNTA($N130))&gt;0),"",IF(AND($S130="Sub",N($R130)&gt;0),IF(ISNUMBER(INDEX($D$5:$D$1000,$R130-4)),DATE(YEAR(INDEX($D$5:$D$1000,$R130-4)),MONTH(INDEX($D$5:$D$1000,$R130-4)),1),IF(ISNUMBER(INDEX($E$5:$E$1000,$R130-4)),DATE(YEAR(INDEX($E$5:$E$1000,$R130-4)),MONTH(INDEX($E$5:$E$1000,$R130-4)),1),MesCiclo)),IF(ISNUMBER($D130),DATE(YEAR($D130),MONTH($D130),1),IF(ISNUMBER($E130),DATE(YEAR($E130),MONTH($E130),1),MesCiclo))))</f>
        <v/>
      </c>
      <c r="Q130" s="71">
        <f>IF(OR($P130="",$P130&lt;&gt;MesCiclo),"",COUNTIF($P$5:$P130,MesCiclo))</f>
        <v/>
      </c>
      <c r="R130" s="71">
        <f>IF($S130="","",IF($S130="Macro",ROW(),IFERROR(LOOKUP(2,1/($S$5:$S130="Macro"),ROW($S$5:$S130)),0)))</f>
        <v/>
      </c>
      <c r="S130" s="71">
        <f>IF(NOT((COUNTA($B130:$J130)+COUNTA($N130))&gt;0),"",IF($B130="Subactividad","Sub","Macro"))</f>
        <v/>
      </c>
      <c r="T130" s="71">
        <f>IF($S130="Macro",COUNTIFS($R$5:$R$1000,ROW(),$S$5:$S$1000,"Sub"),"")</f>
        <v/>
      </c>
      <c r="U130" s="71">
        <f>IF($S130="","",IF(ISNUMBER($G130),$G130,0))</f>
        <v/>
      </c>
      <c r="V130" s="71">
        <f>IF($S130="","",IF(ISNUMBER($H130),$H130,$U130))</f>
        <v/>
      </c>
      <c r="W130" s="71">
        <f>IF($S130="","",IF(ISNUMBER($I130),$I130,$V130))</f>
        <v/>
      </c>
      <c r="X130" s="71">
        <f>IF($S130="","",IF(ISNUMBER($J130),$J130,$W130))</f>
        <v/>
      </c>
      <c r="Y130" s="71">
        <f>IF($S130="","",IF(N($T130)&gt;0,IF(N($AG130)&gt;0,SUMIFS($AC$5:$AC$1000,$R$5:$R$1000,ROW(),$S$5:$S$1000,"Sub")/$AG130,AVERAGEIFS($U$5:$U$1000,$R$5:$R$1000,ROW(),$S$5:$S$1000,"Sub")),$U130))</f>
        <v/>
      </c>
      <c r="Z130" s="71">
        <f>IF($S130="","",IF(N($T130)&gt;0,IF(N($AG130)&gt;0,SUMIFS($AD$5:$AD$1000,$R$5:$R$1000,ROW(),$S$5:$S$1000,"Sub")/$AG130,AVERAGEIFS($V$5:$V$1000,$R$5:$R$1000,ROW(),$S$5:$S$1000,"Sub")),$V130))</f>
        <v/>
      </c>
      <c r="AA130" s="71">
        <f>IF($S130="","",IF(N($T130)&gt;0,IF(N($AG130)&gt;0,SUMIFS($AE$5:$AE$1000,$R$5:$R$1000,ROW(),$S$5:$S$1000,"Sub")/$AG130,AVERAGEIFS($W$5:$W$1000,$R$5:$R$1000,ROW(),$S$5:$S$1000,"Sub")),$W130))</f>
        <v/>
      </c>
      <c r="AB130" s="71">
        <f>IF($S130="","",IF(N($T130)&gt;0,IF(N($AG130)&gt;0,SUMIFS($AF$5:$AF$1000,$R$5:$R$1000,ROW(),$S$5:$S$1000,"Sub")/$AG130,AVERAGEIFS($X$5:$X$1000,$R$5:$R$1000,ROW(),$S$5:$S$1000,"Sub")),$X130))</f>
        <v/>
      </c>
      <c r="AC130" s="71">
        <f>IF($S130="Sub",N($F130)*N($U130),"")</f>
        <v/>
      </c>
      <c r="AD130" s="71">
        <f>IF($S130="Sub",N($F130)*N($V130),"")</f>
        <v/>
      </c>
      <c r="AE130" s="71">
        <f>IF($S130="Sub",N($F130)*N($W130),"")</f>
        <v/>
      </c>
      <c r="AF130" s="71">
        <f>IF($S130="Sub",N($F130)*N($X130),"")</f>
        <v/>
      </c>
      <c r="AG130" s="71">
        <f>IF(N($T130)&gt;0,SUMIFS($F$5:$F$1000,$R$5:$R$1000,ROW(),$S$5:$S$1000,"Sub"),"")</f>
        <v/>
      </c>
    </row>
    <row r="131">
      <c r="A131" s="62">
        <f>IF(NOT((COUNTA($B131:$J131)+COUNTA($N131))&gt;0),"",IF($S131="Macro",COUNTIFS($S$5:$S131,"Macro",$P$5:$P131,$P131),IF(N($R131)=0,"?",COUNTIFS(INDEX($S$5:$S$1000,1):INDEX($S$5:$S$1000,$R131-4),"Macro",INDEX($P$5:$P$1000,1):INDEX($P$5:$P$1000,$R131-4),INDEX($P$5:$P$1000,$R131-4))&amp;"."&amp;COUNTIFS($R$5:$R131,$R131,$S$5:$S131,"Sub"))))</f>
        <v/>
      </c>
      <c r="B131" s="63" t="n"/>
      <c r="C131" s="64" t="n"/>
      <c r="D131" s="65" t="n"/>
      <c r="E131" s="65" t="n"/>
      <c r="F131" s="66" t="n"/>
      <c r="G131" s="67" t="n"/>
      <c r="H131" s="67" t="n"/>
      <c r="I131" s="67" t="n"/>
      <c r="J131" s="67" t="n"/>
      <c r="K131" s="68">
        <f>IF(NOT((COUNTA($B131:$J131)+COUNTA($N131))&gt;0),"",IF(N($T131)&gt;0,$AB131,IFERROR(LOOKUP(2,1/(G131:J131&lt;&gt;""),G131:J131),0)))</f>
        <v/>
      </c>
      <c r="L131" s="62">
        <f>IF(K131="","",IF(K131&gt;=1,"Completado",IF(K131&gt;0,"En curso","Pendiente")))</f>
        <v/>
      </c>
      <c r="M131" s="62">
        <f>IF(NOT((COUNTA($B131:$J131)+COUNTA($N131))&gt;0),"",IF(N($K131)&gt;=1,"Cumplida",IF(NOT(ISNUMBER($E131)),"Sin fecha límite",IF($E131&lt;FechaRef,"Vencida hace "&amp;(FechaRef-$E131)&amp;IF(FechaRef-$E131=1," día"," días"),IF($E131=FechaRef,"Vence hoy",IF($E131-FechaRef&lt;=DiasAlerta,"Vence en "&amp;($E131-FechaRef)&amp;IF($E131-FechaRef=1," día"," días"),"En plazo"))))))</f>
        <v/>
      </c>
      <c r="N131" s="64" t="n"/>
      <c r="O131" s="69">
        <f>IF(NOT((COUNTA($B131:$J131)+COUNTA($N131))&gt;0),"",IF((IF($C131="","Falta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",""))="","✔ OK","⚠ "&amp;LEFT(IF($C131="","Falta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",""),LEN(IF($C131="","Falta el nombre de la actividad"&amp;" · ","")&amp;IF(AND($S131="Sub",N($R131)=0),"Subactividad sin macroactividad arriba"&amp;" · ","")&amp;IF($D131="","Sin fecha de inicio"&amp;" · ","")&amp;IF($E131="","Sin fecha límite"&amp;" · ","")&amp;IF(OR(AND($D131&lt;&gt;"",NOT(ISNUMBER($D131))),AND($E131&lt;&gt;"",NOT(ISNUMBER($E131)))),"Fecha no válida"&amp;" · ","")&amp;IF(AND(ISNUMBER($D131),ISNUMBER($E131),$D131&gt;$E131),"Inicio posterior a fecha límite"&amp;" · ","")&amp;IF(AND($S131="Macro",$F131=""),"Peso vacío"&amp;" · ","")&amp;IF(AND($S131="Macro",$F131&lt;&gt;"",OR(NOT(ISNUMBER($F131)),$F131&lt;=0,$F131&gt;1)),"Peso fuera de rango"&amp;" · ","")&amp;IF(AND($S131="Sub",$F131&lt;&gt;"",OR(NOT(ISNUMBER($F131)),$F131&lt;0,$F131&gt;1)),"Peso fuera de rango"&amp;" · ","")&amp;IF(AND($S131="Sub",$F131="",IFERROR(N(INDEX($AG$5:$AG$1000,$R131-4)),0)&gt;0),"Falta el peso de la subactividad"&amp;" · ","")&amp;IF(AND(N($T131)&gt;0,N($AG131)&gt;0,ABS(N($AG131)-N($F131))&gt;0.0001),"Pesos de sus subactividades suman "&amp;TEXT(N($AG131),"0%")&amp;" (deben sumar "&amp;TEXT(N($F131),"0%")&amp;")"&amp;" · ","")&amp;IF(AND($S131="Macro",ABS(SUMIFS($F$5:$F$1000,$P$5:$P$1000,$P131,$S$5:$S$1000,"Macro")-1)&gt;0.0001),"Pesos del mes suman "&amp;TEXT(SUMIFS($F$5:$F$1000,$P$5:$P$1000,$P131,$S$5:$S$1000,"Macro"),"0%")&amp;" · ","")&amp;IF(AND(N($T131)&gt;0,COUNT($G131:$J131)&gt;0),"Con subactividades: deje vacías las semanas (se calculan solas)"&amp;" · ","")&amp;IF((COUNTIF($G131:$J131,"&gt;1")+COUNTIF($G131:$J131,"&lt;0")+COUNTA($G131:$J131)-COUNT($G131:$J131))&gt;0,"Avance fuera de rango 0-100%"&amp;" · ","")&amp;IF(OR(AND($H131&lt;&gt;"",$H131&lt;$G131),AND($I131&lt;&gt;"",$I131&lt;MAX($G131:$H131)),AND($J131&lt;&gt;"",$J131&lt;MAX($G131:$I131))),"Avance semanal decreciente"&amp;" · ","")&amp;IF(AND(ISNUMBER($E131),$E131&lt;FechaRef,N($K131)&lt;1),"Vencida"&amp;" · ","")&amp;IF(AND(ObsObligatoria="Sí",ISNUMBER($E131),$E131&lt;FechaRef,N($K131)&lt;1,$N131=""),"Vencida sin observación"&amp;" · ",""))-3)))</f>
        <v/>
      </c>
      <c r="P131" s="70">
        <f>IF(NOT((COUNTA($B131:$J131)+COUNTA($N131))&gt;0),"",IF(AND($S131="Sub",N($R131)&gt;0),IF(ISNUMBER(INDEX($D$5:$D$1000,$R131-4)),DATE(YEAR(INDEX($D$5:$D$1000,$R131-4)),MONTH(INDEX($D$5:$D$1000,$R131-4)),1),IF(ISNUMBER(INDEX($E$5:$E$1000,$R131-4)),DATE(YEAR(INDEX($E$5:$E$1000,$R131-4)),MONTH(INDEX($E$5:$E$1000,$R131-4)),1),MesCiclo)),IF(ISNUMBER($D131),DATE(YEAR($D131),MONTH($D131),1),IF(ISNUMBER($E131),DATE(YEAR($E131),MONTH($E131),1),MesCiclo))))</f>
        <v/>
      </c>
      <c r="Q131" s="71">
        <f>IF(OR($P131="",$P131&lt;&gt;MesCiclo),"",COUNTIF($P$5:$P131,MesCiclo))</f>
        <v/>
      </c>
      <c r="R131" s="71">
        <f>IF($S131="","",IF($S131="Macro",ROW(),IFERROR(LOOKUP(2,1/($S$5:$S131="Macro"),ROW($S$5:$S131)),0)))</f>
        <v/>
      </c>
      <c r="S131" s="71">
        <f>IF(NOT((COUNTA($B131:$J131)+COUNTA($N131))&gt;0),"",IF($B131="Subactividad","Sub","Macro"))</f>
        <v/>
      </c>
      <c r="T131" s="71">
        <f>IF($S131="Macro",COUNTIFS($R$5:$R$1000,ROW(),$S$5:$S$1000,"Sub"),"")</f>
        <v/>
      </c>
      <c r="U131" s="71">
        <f>IF($S131="","",IF(ISNUMBER($G131),$G131,0))</f>
        <v/>
      </c>
      <c r="V131" s="71">
        <f>IF($S131="","",IF(ISNUMBER($H131),$H131,$U131))</f>
        <v/>
      </c>
      <c r="W131" s="71">
        <f>IF($S131="","",IF(ISNUMBER($I131),$I131,$V131))</f>
        <v/>
      </c>
      <c r="X131" s="71">
        <f>IF($S131="","",IF(ISNUMBER($J131),$J131,$W131))</f>
        <v/>
      </c>
      <c r="Y131" s="71">
        <f>IF($S131="","",IF(N($T131)&gt;0,IF(N($AG131)&gt;0,SUMIFS($AC$5:$AC$1000,$R$5:$R$1000,ROW(),$S$5:$S$1000,"Sub")/$AG131,AVERAGEIFS($U$5:$U$1000,$R$5:$R$1000,ROW(),$S$5:$S$1000,"Sub")),$U131))</f>
        <v/>
      </c>
      <c r="Z131" s="71">
        <f>IF($S131="","",IF(N($T131)&gt;0,IF(N($AG131)&gt;0,SUMIFS($AD$5:$AD$1000,$R$5:$R$1000,ROW(),$S$5:$S$1000,"Sub")/$AG131,AVERAGEIFS($V$5:$V$1000,$R$5:$R$1000,ROW(),$S$5:$S$1000,"Sub")),$V131))</f>
        <v/>
      </c>
      <c r="AA131" s="71">
        <f>IF($S131="","",IF(N($T131)&gt;0,IF(N($AG131)&gt;0,SUMIFS($AE$5:$AE$1000,$R$5:$R$1000,ROW(),$S$5:$S$1000,"Sub")/$AG131,AVERAGEIFS($W$5:$W$1000,$R$5:$R$1000,ROW(),$S$5:$S$1000,"Sub")),$W131))</f>
        <v/>
      </c>
      <c r="AB131" s="71">
        <f>IF($S131="","",IF(N($T131)&gt;0,IF(N($AG131)&gt;0,SUMIFS($AF$5:$AF$1000,$R$5:$R$1000,ROW(),$S$5:$S$1000,"Sub")/$AG131,AVERAGEIFS($X$5:$X$1000,$R$5:$R$1000,ROW(),$S$5:$S$1000,"Sub")),$X131))</f>
        <v/>
      </c>
      <c r="AC131" s="71">
        <f>IF($S131="Sub",N($F131)*N($U131),"")</f>
        <v/>
      </c>
      <c r="AD131" s="71">
        <f>IF($S131="Sub",N($F131)*N($V131),"")</f>
        <v/>
      </c>
      <c r="AE131" s="71">
        <f>IF($S131="Sub",N($F131)*N($W131),"")</f>
        <v/>
      </c>
      <c r="AF131" s="71">
        <f>IF($S131="Sub",N($F131)*N($X131),"")</f>
        <v/>
      </c>
      <c r="AG131" s="71">
        <f>IF(N($T131)&gt;0,SUMIFS($F$5:$F$1000,$R$5:$R$1000,ROW(),$S$5:$S$1000,"Sub"),"")</f>
        <v/>
      </c>
    </row>
    <row r="132">
      <c r="A132" s="62">
        <f>IF(NOT((COUNTA($B132:$J132)+COUNTA($N132))&gt;0),"",IF($S132="Macro",COUNTIFS($S$5:$S132,"Macro",$P$5:$P132,$P132),IF(N($R132)=0,"?",COUNTIFS(INDEX($S$5:$S$1000,1):INDEX($S$5:$S$1000,$R132-4),"Macro",INDEX($P$5:$P$1000,1):INDEX($P$5:$P$1000,$R132-4),INDEX($P$5:$P$1000,$R132-4))&amp;"."&amp;COUNTIFS($R$5:$R132,$R132,$S$5:$S132,"Sub"))))</f>
        <v/>
      </c>
      <c r="B132" s="63" t="n"/>
      <c r="C132" s="64" t="n"/>
      <c r="D132" s="65" t="n"/>
      <c r="E132" s="65" t="n"/>
      <c r="F132" s="66" t="n"/>
      <c r="G132" s="67" t="n"/>
      <c r="H132" s="67" t="n"/>
      <c r="I132" s="67" t="n"/>
      <c r="J132" s="67" t="n"/>
      <c r="K132" s="68">
        <f>IF(NOT((COUNTA($B132:$J132)+COUNTA($N132))&gt;0),"",IF(N($T132)&gt;0,$AB132,IFERROR(LOOKUP(2,1/(G132:J132&lt;&gt;""),G132:J132),0)))</f>
        <v/>
      </c>
      <c r="L132" s="62">
        <f>IF(K132="","",IF(K132&gt;=1,"Completado",IF(K132&gt;0,"En curso","Pendiente")))</f>
        <v/>
      </c>
      <c r="M132" s="62">
        <f>IF(NOT((COUNTA($B132:$J132)+COUNTA($N132))&gt;0),"",IF(N($K132)&gt;=1,"Cumplida",IF(NOT(ISNUMBER($E132)),"Sin fecha límite",IF($E132&lt;FechaRef,"Vencida hace "&amp;(FechaRef-$E132)&amp;IF(FechaRef-$E132=1," día"," días"),IF($E132=FechaRef,"Vence hoy",IF($E132-FechaRef&lt;=DiasAlerta,"Vence en "&amp;($E132-FechaRef)&amp;IF($E132-FechaRef=1," día"," días"),"En plazo"))))))</f>
        <v/>
      </c>
      <c r="N132" s="64" t="n"/>
      <c r="O132" s="69">
        <f>IF(NOT((COUNTA($B132:$J132)+COUNTA($N132))&gt;0),"",IF((IF($C132="","Falta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",""))="","✔ OK","⚠ "&amp;LEFT(IF($C132="","Falta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",""),LEN(IF($C132="","Falta el nombre de la actividad"&amp;" · ","")&amp;IF(AND($S132="Sub",N($R132)=0),"Subactividad sin macroactividad arriba"&amp;" · ","")&amp;IF($D132="","Sin fecha de inicio"&amp;" · ","")&amp;IF($E132="","Sin fecha límite"&amp;" · ","")&amp;IF(OR(AND($D132&lt;&gt;"",NOT(ISNUMBER($D132))),AND($E132&lt;&gt;"",NOT(ISNUMBER($E132)))),"Fecha no válida"&amp;" · ","")&amp;IF(AND(ISNUMBER($D132),ISNUMBER($E132),$D132&gt;$E132),"Inicio posterior a fecha límite"&amp;" · ","")&amp;IF(AND($S132="Macro",$F132=""),"Peso vacío"&amp;" · ","")&amp;IF(AND($S132="Macro",$F132&lt;&gt;"",OR(NOT(ISNUMBER($F132)),$F132&lt;=0,$F132&gt;1)),"Peso fuera de rango"&amp;" · ","")&amp;IF(AND($S132="Sub",$F132&lt;&gt;"",OR(NOT(ISNUMBER($F132)),$F132&lt;0,$F132&gt;1)),"Peso fuera de rango"&amp;" · ","")&amp;IF(AND($S132="Sub",$F132="",IFERROR(N(INDEX($AG$5:$AG$1000,$R132-4)),0)&gt;0),"Falta el peso de la subactividad"&amp;" · ","")&amp;IF(AND(N($T132)&gt;0,N($AG132)&gt;0,ABS(N($AG132)-N($F132))&gt;0.0001),"Pesos de sus subactividades suman "&amp;TEXT(N($AG132),"0%")&amp;" (deben sumar "&amp;TEXT(N($F132),"0%")&amp;")"&amp;" · ","")&amp;IF(AND($S132="Macro",ABS(SUMIFS($F$5:$F$1000,$P$5:$P$1000,$P132,$S$5:$S$1000,"Macro")-1)&gt;0.0001),"Pesos del mes suman "&amp;TEXT(SUMIFS($F$5:$F$1000,$P$5:$P$1000,$P132,$S$5:$S$1000,"Macro"),"0%")&amp;" · ","")&amp;IF(AND(N($T132)&gt;0,COUNT($G132:$J132)&gt;0),"Con subactividades: deje vacías las semanas (se calculan solas)"&amp;" · ","")&amp;IF((COUNTIF($G132:$J132,"&gt;1")+COUNTIF($G132:$J132,"&lt;0")+COUNTA($G132:$J132)-COUNT($G132:$J132))&gt;0,"Avance fuera de rango 0-100%"&amp;" · ","")&amp;IF(OR(AND($H132&lt;&gt;"",$H132&lt;$G132),AND($I132&lt;&gt;"",$I132&lt;MAX($G132:$H132)),AND($J132&lt;&gt;"",$J132&lt;MAX($G132:$I132))),"Avance semanal decreciente"&amp;" · ","")&amp;IF(AND(ISNUMBER($E132),$E132&lt;FechaRef,N($K132)&lt;1),"Vencida"&amp;" · ","")&amp;IF(AND(ObsObligatoria="Sí",ISNUMBER($E132),$E132&lt;FechaRef,N($K132)&lt;1,$N132=""),"Vencida sin observación"&amp;" · ",""))-3)))</f>
        <v/>
      </c>
      <c r="P132" s="70">
        <f>IF(NOT((COUNTA($B132:$J132)+COUNTA($N132))&gt;0),"",IF(AND($S132="Sub",N($R132)&gt;0),IF(ISNUMBER(INDEX($D$5:$D$1000,$R132-4)),DATE(YEAR(INDEX($D$5:$D$1000,$R132-4)),MONTH(INDEX($D$5:$D$1000,$R132-4)),1),IF(ISNUMBER(INDEX($E$5:$E$1000,$R132-4)),DATE(YEAR(INDEX($E$5:$E$1000,$R132-4)),MONTH(INDEX($E$5:$E$1000,$R132-4)),1),MesCiclo)),IF(ISNUMBER($D132),DATE(YEAR($D132),MONTH($D132),1),IF(ISNUMBER($E132),DATE(YEAR($E132),MONTH($E132),1),MesCiclo))))</f>
        <v/>
      </c>
      <c r="Q132" s="71">
        <f>IF(OR($P132="",$P132&lt;&gt;MesCiclo),"",COUNTIF($P$5:$P132,MesCiclo))</f>
        <v/>
      </c>
      <c r="R132" s="71">
        <f>IF($S132="","",IF($S132="Macro",ROW(),IFERROR(LOOKUP(2,1/($S$5:$S132="Macro"),ROW($S$5:$S132)),0)))</f>
        <v/>
      </c>
      <c r="S132" s="71">
        <f>IF(NOT((COUNTA($B132:$J132)+COUNTA($N132))&gt;0),"",IF($B132="Subactividad","Sub","Macro"))</f>
        <v/>
      </c>
      <c r="T132" s="71">
        <f>IF($S132="Macro",COUNTIFS($R$5:$R$1000,ROW(),$S$5:$S$1000,"Sub"),"")</f>
        <v/>
      </c>
      <c r="U132" s="71">
        <f>IF($S132="","",IF(ISNUMBER($G132),$G132,0))</f>
        <v/>
      </c>
      <c r="V132" s="71">
        <f>IF($S132="","",IF(ISNUMBER($H132),$H132,$U132))</f>
        <v/>
      </c>
      <c r="W132" s="71">
        <f>IF($S132="","",IF(ISNUMBER($I132),$I132,$V132))</f>
        <v/>
      </c>
      <c r="X132" s="71">
        <f>IF($S132="","",IF(ISNUMBER($J132),$J132,$W132))</f>
        <v/>
      </c>
      <c r="Y132" s="71">
        <f>IF($S132="","",IF(N($T132)&gt;0,IF(N($AG132)&gt;0,SUMIFS($AC$5:$AC$1000,$R$5:$R$1000,ROW(),$S$5:$S$1000,"Sub")/$AG132,AVERAGEIFS($U$5:$U$1000,$R$5:$R$1000,ROW(),$S$5:$S$1000,"Sub")),$U132))</f>
        <v/>
      </c>
      <c r="Z132" s="71">
        <f>IF($S132="","",IF(N($T132)&gt;0,IF(N($AG132)&gt;0,SUMIFS($AD$5:$AD$1000,$R$5:$R$1000,ROW(),$S$5:$S$1000,"Sub")/$AG132,AVERAGEIFS($V$5:$V$1000,$R$5:$R$1000,ROW(),$S$5:$S$1000,"Sub")),$V132))</f>
        <v/>
      </c>
      <c r="AA132" s="71">
        <f>IF($S132="","",IF(N($T132)&gt;0,IF(N($AG132)&gt;0,SUMIFS($AE$5:$AE$1000,$R$5:$R$1000,ROW(),$S$5:$S$1000,"Sub")/$AG132,AVERAGEIFS($W$5:$W$1000,$R$5:$R$1000,ROW(),$S$5:$S$1000,"Sub")),$W132))</f>
        <v/>
      </c>
      <c r="AB132" s="71">
        <f>IF($S132="","",IF(N($T132)&gt;0,IF(N($AG132)&gt;0,SUMIFS($AF$5:$AF$1000,$R$5:$R$1000,ROW(),$S$5:$S$1000,"Sub")/$AG132,AVERAGEIFS($X$5:$X$1000,$R$5:$R$1000,ROW(),$S$5:$S$1000,"Sub")),$X132))</f>
        <v/>
      </c>
      <c r="AC132" s="71">
        <f>IF($S132="Sub",N($F132)*N($U132),"")</f>
        <v/>
      </c>
      <c r="AD132" s="71">
        <f>IF($S132="Sub",N($F132)*N($V132),"")</f>
        <v/>
      </c>
      <c r="AE132" s="71">
        <f>IF($S132="Sub",N($F132)*N($W132),"")</f>
        <v/>
      </c>
      <c r="AF132" s="71">
        <f>IF($S132="Sub",N($F132)*N($X132),"")</f>
        <v/>
      </c>
      <c r="AG132" s="71">
        <f>IF(N($T132)&gt;0,SUMIFS($F$5:$F$1000,$R$5:$R$1000,ROW(),$S$5:$S$1000,"Sub"),"")</f>
        <v/>
      </c>
    </row>
    <row r="133">
      <c r="A133" s="62">
        <f>IF(NOT((COUNTA($B133:$J133)+COUNTA($N133))&gt;0),"",IF($S133="Macro",COUNTIFS($S$5:$S133,"Macro",$P$5:$P133,$P133),IF(N($R133)=0,"?",COUNTIFS(INDEX($S$5:$S$1000,1):INDEX($S$5:$S$1000,$R133-4),"Macro",INDEX($P$5:$P$1000,1):INDEX($P$5:$P$1000,$R133-4),INDEX($P$5:$P$1000,$R133-4))&amp;"."&amp;COUNTIFS($R$5:$R133,$R133,$S$5:$S133,"Sub"))))</f>
        <v/>
      </c>
      <c r="B133" s="63" t="n"/>
      <c r="C133" s="64" t="n"/>
      <c r="D133" s="65" t="n"/>
      <c r="E133" s="65" t="n"/>
      <c r="F133" s="66" t="n"/>
      <c r="G133" s="67" t="n"/>
      <c r="H133" s="67" t="n"/>
      <c r="I133" s="67" t="n"/>
      <c r="J133" s="67" t="n"/>
      <c r="K133" s="68">
        <f>IF(NOT((COUNTA($B133:$J133)+COUNTA($N133))&gt;0),"",IF(N($T133)&gt;0,$AB133,IFERROR(LOOKUP(2,1/(G133:J133&lt;&gt;""),G133:J133),0)))</f>
        <v/>
      </c>
      <c r="L133" s="62">
        <f>IF(K133="","",IF(K133&gt;=1,"Completado",IF(K133&gt;0,"En curso","Pendiente")))</f>
        <v/>
      </c>
      <c r="M133" s="62">
        <f>IF(NOT((COUNTA($B133:$J133)+COUNTA($N133))&gt;0),"",IF(N($K133)&gt;=1,"Cumplida",IF(NOT(ISNUMBER($E133)),"Sin fecha límite",IF($E133&lt;FechaRef,"Vencida hace "&amp;(FechaRef-$E133)&amp;IF(FechaRef-$E133=1," día"," días"),IF($E133=FechaRef,"Vence hoy",IF($E133-FechaRef&lt;=DiasAlerta,"Vence en "&amp;($E133-FechaRef)&amp;IF($E133-FechaRef=1," día"," días"),"En plazo"))))))</f>
        <v/>
      </c>
      <c r="N133" s="64" t="n"/>
      <c r="O133" s="69">
        <f>IF(NOT((COUNTA($B133:$J133)+COUNTA($N133))&gt;0),"",IF((IF($C133="","Falta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",""))="","✔ OK","⚠ "&amp;LEFT(IF($C133="","Falta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",""),LEN(IF($C133="","Falta el nombre de la actividad"&amp;" · ","")&amp;IF(AND($S133="Sub",N($R133)=0),"Subactividad sin macroactividad arriba"&amp;" · ","")&amp;IF($D133="","Sin fecha de inicio"&amp;" · ","")&amp;IF($E133="","Sin fecha límite"&amp;" · ","")&amp;IF(OR(AND($D133&lt;&gt;"",NOT(ISNUMBER($D133))),AND($E133&lt;&gt;"",NOT(ISNUMBER($E133)))),"Fecha no válida"&amp;" · ","")&amp;IF(AND(ISNUMBER($D133),ISNUMBER($E133),$D133&gt;$E133),"Inicio posterior a fecha límite"&amp;" · ","")&amp;IF(AND($S133="Macro",$F133=""),"Peso vacío"&amp;" · ","")&amp;IF(AND($S133="Macro",$F133&lt;&gt;"",OR(NOT(ISNUMBER($F133)),$F133&lt;=0,$F133&gt;1)),"Peso fuera de rango"&amp;" · ","")&amp;IF(AND($S133="Sub",$F133&lt;&gt;"",OR(NOT(ISNUMBER($F133)),$F133&lt;0,$F133&gt;1)),"Peso fuera de rango"&amp;" · ","")&amp;IF(AND($S133="Sub",$F133="",IFERROR(N(INDEX($AG$5:$AG$1000,$R133-4)),0)&gt;0),"Falta el peso de la subactividad"&amp;" · ","")&amp;IF(AND(N($T133)&gt;0,N($AG133)&gt;0,ABS(N($AG133)-N($F133))&gt;0.0001),"Pesos de sus subactividades suman "&amp;TEXT(N($AG133),"0%")&amp;" (deben sumar "&amp;TEXT(N($F133),"0%")&amp;")"&amp;" · ","")&amp;IF(AND($S133="Macro",ABS(SUMIFS($F$5:$F$1000,$P$5:$P$1000,$P133,$S$5:$S$1000,"Macro")-1)&gt;0.0001),"Pesos del mes suman "&amp;TEXT(SUMIFS($F$5:$F$1000,$P$5:$P$1000,$P133,$S$5:$S$1000,"Macro"),"0%")&amp;" · ","")&amp;IF(AND(N($T133)&gt;0,COUNT($G133:$J133)&gt;0),"Con subactividades: deje vacías las semanas (se calculan solas)"&amp;" · ","")&amp;IF((COUNTIF($G133:$J133,"&gt;1")+COUNTIF($G133:$J133,"&lt;0")+COUNTA($G133:$J133)-COUNT($G133:$J133))&gt;0,"Avance fuera de rango 0-100%"&amp;" · ","")&amp;IF(OR(AND($H133&lt;&gt;"",$H133&lt;$G133),AND($I133&lt;&gt;"",$I133&lt;MAX($G133:$H133)),AND($J133&lt;&gt;"",$J133&lt;MAX($G133:$I133))),"Avance semanal decreciente"&amp;" · ","")&amp;IF(AND(ISNUMBER($E133),$E133&lt;FechaRef,N($K133)&lt;1),"Vencida"&amp;" · ","")&amp;IF(AND(ObsObligatoria="Sí",ISNUMBER($E133),$E133&lt;FechaRef,N($K133)&lt;1,$N133=""),"Vencida sin observación"&amp;" · ",""))-3)))</f>
        <v/>
      </c>
      <c r="P133" s="70">
        <f>IF(NOT((COUNTA($B133:$J133)+COUNTA($N133))&gt;0),"",IF(AND($S133="Sub",N($R133)&gt;0),IF(ISNUMBER(INDEX($D$5:$D$1000,$R133-4)),DATE(YEAR(INDEX($D$5:$D$1000,$R133-4)),MONTH(INDEX($D$5:$D$1000,$R133-4)),1),IF(ISNUMBER(INDEX($E$5:$E$1000,$R133-4)),DATE(YEAR(INDEX($E$5:$E$1000,$R133-4)),MONTH(INDEX($E$5:$E$1000,$R133-4)),1),MesCiclo)),IF(ISNUMBER($D133),DATE(YEAR($D133),MONTH($D133),1),IF(ISNUMBER($E133),DATE(YEAR($E133),MONTH($E133),1),MesCiclo))))</f>
        <v/>
      </c>
      <c r="Q133" s="71">
        <f>IF(OR($P133="",$P133&lt;&gt;MesCiclo),"",COUNTIF($P$5:$P133,MesCiclo))</f>
        <v/>
      </c>
      <c r="R133" s="71">
        <f>IF($S133="","",IF($S133="Macro",ROW(),IFERROR(LOOKUP(2,1/($S$5:$S133="Macro"),ROW($S$5:$S133)),0)))</f>
        <v/>
      </c>
      <c r="S133" s="71">
        <f>IF(NOT((COUNTA($B133:$J133)+COUNTA($N133))&gt;0),"",IF($B133="Subactividad","Sub","Macro"))</f>
        <v/>
      </c>
      <c r="T133" s="71">
        <f>IF($S133="Macro",COUNTIFS($R$5:$R$1000,ROW(),$S$5:$S$1000,"Sub"),"")</f>
        <v/>
      </c>
      <c r="U133" s="71">
        <f>IF($S133="","",IF(ISNUMBER($G133),$G133,0))</f>
        <v/>
      </c>
      <c r="V133" s="71">
        <f>IF($S133="","",IF(ISNUMBER($H133),$H133,$U133))</f>
        <v/>
      </c>
      <c r="W133" s="71">
        <f>IF($S133="","",IF(ISNUMBER($I133),$I133,$V133))</f>
        <v/>
      </c>
      <c r="X133" s="71">
        <f>IF($S133="","",IF(ISNUMBER($J133),$J133,$W133))</f>
        <v/>
      </c>
      <c r="Y133" s="71">
        <f>IF($S133="","",IF(N($T133)&gt;0,IF(N($AG133)&gt;0,SUMIFS($AC$5:$AC$1000,$R$5:$R$1000,ROW(),$S$5:$S$1000,"Sub")/$AG133,AVERAGEIFS($U$5:$U$1000,$R$5:$R$1000,ROW(),$S$5:$S$1000,"Sub")),$U133))</f>
        <v/>
      </c>
      <c r="Z133" s="71">
        <f>IF($S133="","",IF(N($T133)&gt;0,IF(N($AG133)&gt;0,SUMIFS($AD$5:$AD$1000,$R$5:$R$1000,ROW(),$S$5:$S$1000,"Sub")/$AG133,AVERAGEIFS($V$5:$V$1000,$R$5:$R$1000,ROW(),$S$5:$S$1000,"Sub")),$V133))</f>
        <v/>
      </c>
      <c r="AA133" s="71">
        <f>IF($S133="","",IF(N($T133)&gt;0,IF(N($AG133)&gt;0,SUMIFS($AE$5:$AE$1000,$R$5:$R$1000,ROW(),$S$5:$S$1000,"Sub")/$AG133,AVERAGEIFS($W$5:$W$1000,$R$5:$R$1000,ROW(),$S$5:$S$1000,"Sub")),$W133))</f>
        <v/>
      </c>
      <c r="AB133" s="71">
        <f>IF($S133="","",IF(N($T133)&gt;0,IF(N($AG133)&gt;0,SUMIFS($AF$5:$AF$1000,$R$5:$R$1000,ROW(),$S$5:$S$1000,"Sub")/$AG133,AVERAGEIFS($X$5:$X$1000,$R$5:$R$1000,ROW(),$S$5:$S$1000,"Sub")),$X133))</f>
        <v/>
      </c>
      <c r="AC133" s="71">
        <f>IF($S133="Sub",N($F133)*N($U133),"")</f>
        <v/>
      </c>
      <c r="AD133" s="71">
        <f>IF($S133="Sub",N($F133)*N($V133),"")</f>
        <v/>
      </c>
      <c r="AE133" s="71">
        <f>IF($S133="Sub",N($F133)*N($W133),"")</f>
        <v/>
      </c>
      <c r="AF133" s="71">
        <f>IF($S133="Sub",N($F133)*N($X133),"")</f>
        <v/>
      </c>
      <c r="AG133" s="71">
        <f>IF(N($T133)&gt;0,SUMIFS($F$5:$F$1000,$R$5:$R$1000,ROW(),$S$5:$S$1000,"Sub"),"")</f>
        <v/>
      </c>
    </row>
    <row r="134">
      <c r="A134" s="62">
        <f>IF(NOT((COUNTA($B134:$J134)+COUNTA($N134))&gt;0),"",IF($S134="Macro",COUNTIFS($S$5:$S134,"Macro",$P$5:$P134,$P134),IF(N($R134)=0,"?",COUNTIFS(INDEX($S$5:$S$1000,1):INDEX($S$5:$S$1000,$R134-4),"Macro",INDEX($P$5:$P$1000,1):INDEX($P$5:$P$1000,$R134-4),INDEX($P$5:$P$1000,$R134-4))&amp;"."&amp;COUNTIFS($R$5:$R134,$R134,$S$5:$S134,"Sub"))))</f>
        <v/>
      </c>
      <c r="B134" s="63" t="n"/>
      <c r="C134" s="64" t="n"/>
      <c r="D134" s="65" t="n"/>
      <c r="E134" s="65" t="n"/>
      <c r="F134" s="66" t="n"/>
      <c r="G134" s="67" t="n"/>
      <c r="H134" s="67" t="n"/>
      <c r="I134" s="67" t="n"/>
      <c r="J134" s="67" t="n"/>
      <c r="K134" s="68">
        <f>IF(NOT((COUNTA($B134:$J134)+COUNTA($N134))&gt;0),"",IF(N($T134)&gt;0,$AB134,IFERROR(LOOKUP(2,1/(G134:J134&lt;&gt;""),G134:J134),0)))</f>
        <v/>
      </c>
      <c r="L134" s="62">
        <f>IF(K134="","",IF(K134&gt;=1,"Completado",IF(K134&gt;0,"En curso","Pendiente")))</f>
        <v/>
      </c>
      <c r="M134" s="62">
        <f>IF(NOT((COUNTA($B134:$J134)+COUNTA($N134))&gt;0),"",IF(N($K134)&gt;=1,"Cumplida",IF(NOT(ISNUMBER($E134)),"Sin fecha límite",IF($E134&lt;FechaRef,"Vencida hace "&amp;(FechaRef-$E134)&amp;IF(FechaRef-$E134=1," día"," días"),IF($E134=FechaRef,"Vence hoy",IF($E134-FechaRef&lt;=DiasAlerta,"Vence en "&amp;($E134-FechaRef)&amp;IF($E134-FechaRef=1," día"," días"),"En plazo"))))))</f>
        <v/>
      </c>
      <c r="N134" s="64" t="n"/>
      <c r="O134" s="69">
        <f>IF(NOT((COUNTA($B134:$J134)+COUNTA($N134))&gt;0),"",IF((IF($C134="","Falta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",""))="","✔ OK","⚠ "&amp;LEFT(IF($C134="","Falta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",""),LEN(IF($C134="","Falta el nombre de la actividad"&amp;" · ","")&amp;IF(AND($S134="Sub",N($R134)=0),"Subactividad sin macroactividad arriba"&amp;" · ","")&amp;IF($D134="","Sin fecha de inicio"&amp;" · ","")&amp;IF($E134="","Sin fecha límite"&amp;" · ","")&amp;IF(OR(AND($D134&lt;&gt;"",NOT(ISNUMBER($D134))),AND($E134&lt;&gt;"",NOT(ISNUMBER($E134)))),"Fecha no válida"&amp;" · ","")&amp;IF(AND(ISNUMBER($D134),ISNUMBER($E134),$D134&gt;$E134),"Inicio posterior a fecha límite"&amp;" · ","")&amp;IF(AND($S134="Macro",$F134=""),"Peso vacío"&amp;" · ","")&amp;IF(AND($S134="Macro",$F134&lt;&gt;"",OR(NOT(ISNUMBER($F134)),$F134&lt;=0,$F134&gt;1)),"Peso fuera de rango"&amp;" · ","")&amp;IF(AND($S134="Sub",$F134&lt;&gt;"",OR(NOT(ISNUMBER($F134)),$F134&lt;0,$F134&gt;1)),"Peso fuera de rango"&amp;" · ","")&amp;IF(AND($S134="Sub",$F134="",IFERROR(N(INDEX($AG$5:$AG$1000,$R134-4)),0)&gt;0),"Falta el peso de la subactividad"&amp;" · ","")&amp;IF(AND(N($T134)&gt;0,N($AG134)&gt;0,ABS(N($AG134)-N($F134))&gt;0.0001),"Pesos de sus subactividades suman "&amp;TEXT(N($AG134),"0%")&amp;" (deben sumar "&amp;TEXT(N($F134),"0%")&amp;")"&amp;" · ","")&amp;IF(AND($S134="Macro",ABS(SUMIFS($F$5:$F$1000,$P$5:$P$1000,$P134,$S$5:$S$1000,"Macro")-1)&gt;0.0001),"Pesos del mes suman "&amp;TEXT(SUMIFS($F$5:$F$1000,$P$5:$P$1000,$P134,$S$5:$S$1000,"Macro"),"0%")&amp;" · ","")&amp;IF(AND(N($T134)&gt;0,COUNT($G134:$J134)&gt;0),"Con subactividades: deje vacías las semanas (se calculan solas)"&amp;" · ","")&amp;IF((COUNTIF($G134:$J134,"&gt;1")+COUNTIF($G134:$J134,"&lt;0")+COUNTA($G134:$J134)-COUNT($G134:$J134))&gt;0,"Avance fuera de rango 0-100%"&amp;" · ","")&amp;IF(OR(AND($H134&lt;&gt;"",$H134&lt;$G134),AND($I134&lt;&gt;"",$I134&lt;MAX($G134:$H134)),AND($J134&lt;&gt;"",$J134&lt;MAX($G134:$I134))),"Avance semanal decreciente"&amp;" · ","")&amp;IF(AND(ISNUMBER($E134),$E134&lt;FechaRef,N($K134)&lt;1),"Vencida"&amp;" · ","")&amp;IF(AND(ObsObligatoria="Sí",ISNUMBER($E134),$E134&lt;FechaRef,N($K134)&lt;1,$N134=""),"Vencida sin observación"&amp;" · ",""))-3)))</f>
        <v/>
      </c>
      <c r="P134" s="70">
        <f>IF(NOT((COUNTA($B134:$J134)+COUNTA($N134))&gt;0),"",IF(AND($S134="Sub",N($R134)&gt;0),IF(ISNUMBER(INDEX($D$5:$D$1000,$R134-4)),DATE(YEAR(INDEX($D$5:$D$1000,$R134-4)),MONTH(INDEX($D$5:$D$1000,$R134-4)),1),IF(ISNUMBER(INDEX($E$5:$E$1000,$R134-4)),DATE(YEAR(INDEX($E$5:$E$1000,$R134-4)),MONTH(INDEX($E$5:$E$1000,$R134-4)),1),MesCiclo)),IF(ISNUMBER($D134),DATE(YEAR($D134),MONTH($D134),1),IF(ISNUMBER($E134),DATE(YEAR($E134),MONTH($E134),1),MesCiclo))))</f>
        <v/>
      </c>
      <c r="Q134" s="71">
        <f>IF(OR($P134="",$P134&lt;&gt;MesCiclo),"",COUNTIF($P$5:$P134,MesCiclo))</f>
        <v/>
      </c>
      <c r="R134" s="71">
        <f>IF($S134="","",IF($S134="Macro",ROW(),IFERROR(LOOKUP(2,1/($S$5:$S134="Macro"),ROW($S$5:$S134)),0)))</f>
        <v/>
      </c>
      <c r="S134" s="71">
        <f>IF(NOT((COUNTA($B134:$J134)+COUNTA($N134))&gt;0),"",IF($B134="Subactividad","Sub","Macro"))</f>
        <v/>
      </c>
      <c r="T134" s="71">
        <f>IF($S134="Macro",COUNTIFS($R$5:$R$1000,ROW(),$S$5:$S$1000,"Sub"),"")</f>
        <v/>
      </c>
      <c r="U134" s="71">
        <f>IF($S134="","",IF(ISNUMBER($G134),$G134,0))</f>
        <v/>
      </c>
      <c r="V134" s="71">
        <f>IF($S134="","",IF(ISNUMBER($H134),$H134,$U134))</f>
        <v/>
      </c>
      <c r="W134" s="71">
        <f>IF($S134="","",IF(ISNUMBER($I134),$I134,$V134))</f>
        <v/>
      </c>
      <c r="X134" s="71">
        <f>IF($S134="","",IF(ISNUMBER($J134),$J134,$W134))</f>
        <v/>
      </c>
      <c r="Y134" s="71">
        <f>IF($S134="","",IF(N($T134)&gt;0,IF(N($AG134)&gt;0,SUMIFS($AC$5:$AC$1000,$R$5:$R$1000,ROW(),$S$5:$S$1000,"Sub")/$AG134,AVERAGEIFS($U$5:$U$1000,$R$5:$R$1000,ROW(),$S$5:$S$1000,"Sub")),$U134))</f>
        <v/>
      </c>
      <c r="Z134" s="71">
        <f>IF($S134="","",IF(N($T134)&gt;0,IF(N($AG134)&gt;0,SUMIFS($AD$5:$AD$1000,$R$5:$R$1000,ROW(),$S$5:$S$1000,"Sub")/$AG134,AVERAGEIFS($V$5:$V$1000,$R$5:$R$1000,ROW(),$S$5:$S$1000,"Sub")),$V134))</f>
        <v/>
      </c>
      <c r="AA134" s="71">
        <f>IF($S134="","",IF(N($T134)&gt;0,IF(N($AG134)&gt;0,SUMIFS($AE$5:$AE$1000,$R$5:$R$1000,ROW(),$S$5:$S$1000,"Sub")/$AG134,AVERAGEIFS($W$5:$W$1000,$R$5:$R$1000,ROW(),$S$5:$S$1000,"Sub")),$W134))</f>
        <v/>
      </c>
      <c r="AB134" s="71">
        <f>IF($S134="","",IF(N($T134)&gt;0,IF(N($AG134)&gt;0,SUMIFS($AF$5:$AF$1000,$R$5:$R$1000,ROW(),$S$5:$S$1000,"Sub")/$AG134,AVERAGEIFS($X$5:$X$1000,$R$5:$R$1000,ROW(),$S$5:$S$1000,"Sub")),$X134))</f>
        <v/>
      </c>
      <c r="AC134" s="71">
        <f>IF($S134="Sub",N($F134)*N($U134),"")</f>
        <v/>
      </c>
      <c r="AD134" s="71">
        <f>IF($S134="Sub",N($F134)*N($V134),"")</f>
        <v/>
      </c>
      <c r="AE134" s="71">
        <f>IF($S134="Sub",N($F134)*N($W134),"")</f>
        <v/>
      </c>
      <c r="AF134" s="71">
        <f>IF($S134="Sub",N($F134)*N($X134),"")</f>
        <v/>
      </c>
      <c r="AG134" s="71">
        <f>IF(N($T134)&gt;0,SUMIFS($F$5:$F$1000,$R$5:$R$1000,ROW(),$S$5:$S$1000,"Sub"),"")</f>
        <v/>
      </c>
    </row>
    <row r="135">
      <c r="A135" s="62">
        <f>IF(NOT((COUNTA($B135:$J135)+COUNTA($N135))&gt;0),"",IF($S135="Macro",COUNTIFS($S$5:$S135,"Macro",$P$5:$P135,$P135),IF(N($R135)=0,"?",COUNTIFS(INDEX($S$5:$S$1000,1):INDEX($S$5:$S$1000,$R135-4),"Macro",INDEX($P$5:$P$1000,1):INDEX($P$5:$P$1000,$R135-4),INDEX($P$5:$P$1000,$R135-4))&amp;"."&amp;COUNTIFS($R$5:$R135,$R135,$S$5:$S135,"Sub"))))</f>
        <v/>
      </c>
      <c r="B135" s="63" t="n"/>
      <c r="C135" s="64" t="n"/>
      <c r="D135" s="65" t="n"/>
      <c r="E135" s="65" t="n"/>
      <c r="F135" s="66" t="n"/>
      <c r="G135" s="67" t="n"/>
      <c r="H135" s="67" t="n"/>
      <c r="I135" s="67" t="n"/>
      <c r="J135" s="67" t="n"/>
      <c r="K135" s="68">
        <f>IF(NOT((COUNTA($B135:$J135)+COUNTA($N135))&gt;0),"",IF(N($T135)&gt;0,$AB135,IFERROR(LOOKUP(2,1/(G135:J135&lt;&gt;""),G135:J135),0)))</f>
        <v/>
      </c>
      <c r="L135" s="62">
        <f>IF(K135="","",IF(K135&gt;=1,"Completado",IF(K135&gt;0,"En curso","Pendiente")))</f>
        <v/>
      </c>
      <c r="M135" s="62">
        <f>IF(NOT((COUNTA($B135:$J135)+COUNTA($N135))&gt;0),"",IF(N($K135)&gt;=1,"Cumplida",IF(NOT(ISNUMBER($E135)),"Sin fecha límite",IF($E135&lt;FechaRef,"Vencida hace "&amp;(FechaRef-$E135)&amp;IF(FechaRef-$E135=1," día"," días"),IF($E135=FechaRef,"Vence hoy",IF($E135-FechaRef&lt;=DiasAlerta,"Vence en "&amp;($E135-FechaRef)&amp;IF($E135-FechaRef=1," día"," días"),"En plazo"))))))</f>
        <v/>
      </c>
      <c r="N135" s="64" t="n"/>
      <c r="O135" s="69">
        <f>IF(NOT((COUNTA($B135:$J135)+COUNTA($N135))&gt;0),"",IF((IF($C135="","Falta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",""))="","✔ OK","⚠ "&amp;LEFT(IF($C135="","Falta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",""),LEN(IF($C135="","Falta el nombre de la actividad"&amp;" · ","")&amp;IF(AND($S135="Sub",N($R135)=0),"Subactividad sin macroactividad arriba"&amp;" · ","")&amp;IF($D135="","Sin fecha de inicio"&amp;" · ","")&amp;IF($E135="","Sin fecha límite"&amp;" · ","")&amp;IF(OR(AND($D135&lt;&gt;"",NOT(ISNUMBER($D135))),AND($E135&lt;&gt;"",NOT(ISNUMBER($E135)))),"Fecha no válida"&amp;" · ","")&amp;IF(AND(ISNUMBER($D135),ISNUMBER($E135),$D135&gt;$E135),"Inicio posterior a fecha límite"&amp;" · ","")&amp;IF(AND($S135="Macro",$F135=""),"Peso vacío"&amp;" · ","")&amp;IF(AND($S135="Macro",$F135&lt;&gt;"",OR(NOT(ISNUMBER($F135)),$F135&lt;=0,$F135&gt;1)),"Peso fuera de rango"&amp;" · ","")&amp;IF(AND($S135="Sub",$F135&lt;&gt;"",OR(NOT(ISNUMBER($F135)),$F135&lt;0,$F135&gt;1)),"Peso fuera de rango"&amp;" · ","")&amp;IF(AND($S135="Sub",$F135="",IFERROR(N(INDEX($AG$5:$AG$1000,$R135-4)),0)&gt;0),"Falta el peso de la subactividad"&amp;" · ","")&amp;IF(AND(N($T135)&gt;0,N($AG135)&gt;0,ABS(N($AG135)-N($F135))&gt;0.0001),"Pesos de sus subactividades suman "&amp;TEXT(N($AG135),"0%")&amp;" (deben sumar "&amp;TEXT(N($F135),"0%")&amp;")"&amp;" · ","")&amp;IF(AND($S135="Macro",ABS(SUMIFS($F$5:$F$1000,$P$5:$P$1000,$P135,$S$5:$S$1000,"Macro")-1)&gt;0.0001),"Pesos del mes suman "&amp;TEXT(SUMIFS($F$5:$F$1000,$P$5:$P$1000,$P135,$S$5:$S$1000,"Macro"),"0%")&amp;" · ","")&amp;IF(AND(N($T135)&gt;0,COUNT($G135:$J135)&gt;0),"Con subactividades: deje vacías las semanas (se calculan solas)"&amp;" · ","")&amp;IF((COUNTIF($G135:$J135,"&gt;1")+COUNTIF($G135:$J135,"&lt;0")+COUNTA($G135:$J135)-COUNT($G135:$J135))&gt;0,"Avance fuera de rango 0-100%"&amp;" · ","")&amp;IF(OR(AND($H135&lt;&gt;"",$H135&lt;$G135),AND($I135&lt;&gt;"",$I135&lt;MAX($G135:$H135)),AND($J135&lt;&gt;"",$J135&lt;MAX($G135:$I135))),"Avance semanal decreciente"&amp;" · ","")&amp;IF(AND(ISNUMBER($E135),$E135&lt;FechaRef,N($K135)&lt;1),"Vencida"&amp;" · ","")&amp;IF(AND(ObsObligatoria="Sí",ISNUMBER($E135),$E135&lt;FechaRef,N($K135)&lt;1,$N135=""),"Vencida sin observación"&amp;" · ",""))-3)))</f>
        <v/>
      </c>
      <c r="P135" s="70">
        <f>IF(NOT((COUNTA($B135:$J135)+COUNTA($N135))&gt;0),"",IF(AND($S135="Sub",N($R135)&gt;0),IF(ISNUMBER(INDEX($D$5:$D$1000,$R135-4)),DATE(YEAR(INDEX($D$5:$D$1000,$R135-4)),MONTH(INDEX($D$5:$D$1000,$R135-4)),1),IF(ISNUMBER(INDEX($E$5:$E$1000,$R135-4)),DATE(YEAR(INDEX($E$5:$E$1000,$R135-4)),MONTH(INDEX($E$5:$E$1000,$R135-4)),1),MesCiclo)),IF(ISNUMBER($D135),DATE(YEAR($D135),MONTH($D135),1),IF(ISNUMBER($E135),DATE(YEAR($E135),MONTH($E135),1),MesCiclo))))</f>
        <v/>
      </c>
      <c r="Q135" s="71">
        <f>IF(OR($P135="",$P135&lt;&gt;MesCiclo),"",COUNTIF($P$5:$P135,MesCiclo))</f>
        <v/>
      </c>
      <c r="R135" s="71">
        <f>IF($S135="","",IF($S135="Macro",ROW(),IFERROR(LOOKUP(2,1/($S$5:$S135="Macro"),ROW($S$5:$S135)),0)))</f>
        <v/>
      </c>
      <c r="S135" s="71">
        <f>IF(NOT((COUNTA($B135:$J135)+COUNTA($N135))&gt;0),"",IF($B135="Subactividad","Sub","Macro"))</f>
        <v/>
      </c>
      <c r="T135" s="71">
        <f>IF($S135="Macro",COUNTIFS($R$5:$R$1000,ROW(),$S$5:$S$1000,"Sub"),"")</f>
        <v/>
      </c>
      <c r="U135" s="71">
        <f>IF($S135="","",IF(ISNUMBER($G135),$G135,0))</f>
        <v/>
      </c>
      <c r="V135" s="71">
        <f>IF($S135="","",IF(ISNUMBER($H135),$H135,$U135))</f>
        <v/>
      </c>
      <c r="W135" s="71">
        <f>IF($S135="","",IF(ISNUMBER($I135),$I135,$V135))</f>
        <v/>
      </c>
      <c r="X135" s="71">
        <f>IF($S135="","",IF(ISNUMBER($J135),$J135,$W135))</f>
        <v/>
      </c>
      <c r="Y135" s="71">
        <f>IF($S135="","",IF(N($T135)&gt;0,IF(N($AG135)&gt;0,SUMIFS($AC$5:$AC$1000,$R$5:$R$1000,ROW(),$S$5:$S$1000,"Sub")/$AG135,AVERAGEIFS($U$5:$U$1000,$R$5:$R$1000,ROW(),$S$5:$S$1000,"Sub")),$U135))</f>
        <v/>
      </c>
      <c r="Z135" s="71">
        <f>IF($S135="","",IF(N($T135)&gt;0,IF(N($AG135)&gt;0,SUMIFS($AD$5:$AD$1000,$R$5:$R$1000,ROW(),$S$5:$S$1000,"Sub")/$AG135,AVERAGEIFS($V$5:$V$1000,$R$5:$R$1000,ROW(),$S$5:$S$1000,"Sub")),$V135))</f>
        <v/>
      </c>
      <c r="AA135" s="71">
        <f>IF($S135="","",IF(N($T135)&gt;0,IF(N($AG135)&gt;0,SUMIFS($AE$5:$AE$1000,$R$5:$R$1000,ROW(),$S$5:$S$1000,"Sub")/$AG135,AVERAGEIFS($W$5:$W$1000,$R$5:$R$1000,ROW(),$S$5:$S$1000,"Sub")),$W135))</f>
        <v/>
      </c>
      <c r="AB135" s="71">
        <f>IF($S135="","",IF(N($T135)&gt;0,IF(N($AG135)&gt;0,SUMIFS($AF$5:$AF$1000,$R$5:$R$1000,ROW(),$S$5:$S$1000,"Sub")/$AG135,AVERAGEIFS($X$5:$X$1000,$R$5:$R$1000,ROW(),$S$5:$S$1000,"Sub")),$X135))</f>
        <v/>
      </c>
      <c r="AC135" s="71">
        <f>IF($S135="Sub",N($F135)*N($U135),"")</f>
        <v/>
      </c>
      <c r="AD135" s="71">
        <f>IF($S135="Sub",N($F135)*N($V135),"")</f>
        <v/>
      </c>
      <c r="AE135" s="71">
        <f>IF($S135="Sub",N($F135)*N($W135),"")</f>
        <v/>
      </c>
      <c r="AF135" s="71">
        <f>IF($S135="Sub",N($F135)*N($X135),"")</f>
        <v/>
      </c>
      <c r="AG135" s="71">
        <f>IF(N($T135)&gt;0,SUMIFS($F$5:$F$1000,$R$5:$R$1000,ROW(),$S$5:$S$1000,"Sub"),"")</f>
        <v/>
      </c>
    </row>
    <row r="136">
      <c r="A136" s="62">
        <f>IF(NOT((COUNTA($B136:$J136)+COUNTA($N136))&gt;0),"",IF($S136="Macro",COUNTIFS($S$5:$S136,"Macro",$P$5:$P136,$P136),IF(N($R136)=0,"?",COUNTIFS(INDEX($S$5:$S$1000,1):INDEX($S$5:$S$1000,$R136-4),"Macro",INDEX($P$5:$P$1000,1):INDEX($P$5:$P$1000,$R136-4),INDEX($P$5:$P$1000,$R136-4))&amp;"."&amp;COUNTIFS($R$5:$R136,$R136,$S$5:$S136,"Sub"))))</f>
        <v/>
      </c>
      <c r="B136" s="63" t="n"/>
      <c r="C136" s="64" t="n"/>
      <c r="D136" s="65" t="n"/>
      <c r="E136" s="65" t="n"/>
      <c r="F136" s="66" t="n"/>
      <c r="G136" s="67" t="n"/>
      <c r="H136" s="67" t="n"/>
      <c r="I136" s="67" t="n"/>
      <c r="J136" s="67" t="n"/>
      <c r="K136" s="68">
        <f>IF(NOT((COUNTA($B136:$J136)+COUNTA($N136))&gt;0),"",IF(N($T136)&gt;0,$AB136,IFERROR(LOOKUP(2,1/(G136:J136&lt;&gt;""),G136:J136),0)))</f>
        <v/>
      </c>
      <c r="L136" s="62">
        <f>IF(K136="","",IF(K136&gt;=1,"Completado",IF(K136&gt;0,"En curso","Pendiente")))</f>
        <v/>
      </c>
      <c r="M136" s="62">
        <f>IF(NOT((COUNTA($B136:$J136)+COUNTA($N136))&gt;0),"",IF(N($K136)&gt;=1,"Cumplida",IF(NOT(ISNUMBER($E136)),"Sin fecha límite",IF($E136&lt;FechaRef,"Vencida hace "&amp;(FechaRef-$E136)&amp;IF(FechaRef-$E136=1," día"," días"),IF($E136=FechaRef,"Vence hoy",IF($E136-FechaRef&lt;=DiasAlerta,"Vence en "&amp;($E136-FechaRef)&amp;IF($E136-FechaRef=1," día"," días"),"En plazo"))))))</f>
        <v/>
      </c>
      <c r="N136" s="64" t="n"/>
      <c r="O136" s="69">
        <f>IF(NOT((COUNTA($B136:$J136)+COUNTA($N136))&gt;0),"",IF((IF($C136="","Falta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",""))="","✔ OK","⚠ "&amp;LEFT(IF($C136="","Falta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",""),LEN(IF($C136="","Falta el nombre de la actividad"&amp;" · ","")&amp;IF(AND($S136="Sub",N($R136)=0),"Subactividad sin macroactividad arriba"&amp;" · ","")&amp;IF($D136="","Sin fecha de inicio"&amp;" · ","")&amp;IF($E136="","Sin fecha límite"&amp;" · ","")&amp;IF(OR(AND($D136&lt;&gt;"",NOT(ISNUMBER($D136))),AND($E136&lt;&gt;"",NOT(ISNUMBER($E136)))),"Fecha no válida"&amp;" · ","")&amp;IF(AND(ISNUMBER($D136),ISNUMBER($E136),$D136&gt;$E136),"Inicio posterior a fecha límite"&amp;" · ","")&amp;IF(AND($S136="Macro",$F136=""),"Peso vacío"&amp;" · ","")&amp;IF(AND($S136="Macro",$F136&lt;&gt;"",OR(NOT(ISNUMBER($F136)),$F136&lt;=0,$F136&gt;1)),"Peso fuera de rango"&amp;" · ","")&amp;IF(AND($S136="Sub",$F136&lt;&gt;"",OR(NOT(ISNUMBER($F136)),$F136&lt;0,$F136&gt;1)),"Peso fuera de rango"&amp;" · ","")&amp;IF(AND($S136="Sub",$F136="",IFERROR(N(INDEX($AG$5:$AG$1000,$R136-4)),0)&gt;0),"Falta el peso de la subactividad"&amp;" · ","")&amp;IF(AND(N($T136)&gt;0,N($AG136)&gt;0,ABS(N($AG136)-N($F136))&gt;0.0001),"Pesos de sus subactividades suman "&amp;TEXT(N($AG136),"0%")&amp;" (deben sumar "&amp;TEXT(N($F136),"0%")&amp;")"&amp;" · ","")&amp;IF(AND($S136="Macro",ABS(SUMIFS($F$5:$F$1000,$P$5:$P$1000,$P136,$S$5:$S$1000,"Macro")-1)&gt;0.0001),"Pesos del mes suman "&amp;TEXT(SUMIFS($F$5:$F$1000,$P$5:$P$1000,$P136,$S$5:$S$1000,"Macro"),"0%")&amp;" · ","")&amp;IF(AND(N($T136)&gt;0,COUNT($G136:$J136)&gt;0),"Con subactividades: deje vacías las semanas (se calculan solas)"&amp;" · ","")&amp;IF((COUNTIF($G136:$J136,"&gt;1")+COUNTIF($G136:$J136,"&lt;0")+COUNTA($G136:$J136)-COUNT($G136:$J136))&gt;0,"Avance fuera de rango 0-100%"&amp;" · ","")&amp;IF(OR(AND($H136&lt;&gt;"",$H136&lt;$G136),AND($I136&lt;&gt;"",$I136&lt;MAX($G136:$H136)),AND($J136&lt;&gt;"",$J136&lt;MAX($G136:$I136))),"Avance semanal decreciente"&amp;" · ","")&amp;IF(AND(ISNUMBER($E136),$E136&lt;FechaRef,N($K136)&lt;1),"Vencida"&amp;" · ","")&amp;IF(AND(ObsObligatoria="Sí",ISNUMBER($E136),$E136&lt;FechaRef,N($K136)&lt;1,$N136=""),"Vencida sin observación"&amp;" · ",""))-3)))</f>
        <v/>
      </c>
      <c r="P136" s="70">
        <f>IF(NOT((COUNTA($B136:$J136)+COUNTA($N136))&gt;0),"",IF(AND($S136="Sub",N($R136)&gt;0),IF(ISNUMBER(INDEX($D$5:$D$1000,$R136-4)),DATE(YEAR(INDEX($D$5:$D$1000,$R136-4)),MONTH(INDEX($D$5:$D$1000,$R136-4)),1),IF(ISNUMBER(INDEX($E$5:$E$1000,$R136-4)),DATE(YEAR(INDEX($E$5:$E$1000,$R136-4)),MONTH(INDEX($E$5:$E$1000,$R136-4)),1),MesCiclo)),IF(ISNUMBER($D136),DATE(YEAR($D136),MONTH($D136),1),IF(ISNUMBER($E136),DATE(YEAR($E136),MONTH($E136),1),MesCiclo))))</f>
        <v/>
      </c>
      <c r="Q136" s="71">
        <f>IF(OR($P136="",$P136&lt;&gt;MesCiclo),"",COUNTIF($P$5:$P136,MesCiclo))</f>
        <v/>
      </c>
      <c r="R136" s="71">
        <f>IF($S136="","",IF($S136="Macro",ROW(),IFERROR(LOOKUP(2,1/($S$5:$S136="Macro"),ROW($S$5:$S136)),0)))</f>
        <v/>
      </c>
      <c r="S136" s="71">
        <f>IF(NOT((COUNTA($B136:$J136)+COUNTA($N136))&gt;0),"",IF($B136="Subactividad","Sub","Macro"))</f>
        <v/>
      </c>
      <c r="T136" s="71">
        <f>IF($S136="Macro",COUNTIFS($R$5:$R$1000,ROW(),$S$5:$S$1000,"Sub"),"")</f>
        <v/>
      </c>
      <c r="U136" s="71">
        <f>IF($S136="","",IF(ISNUMBER($G136),$G136,0))</f>
        <v/>
      </c>
      <c r="V136" s="71">
        <f>IF($S136="","",IF(ISNUMBER($H136),$H136,$U136))</f>
        <v/>
      </c>
      <c r="W136" s="71">
        <f>IF($S136="","",IF(ISNUMBER($I136),$I136,$V136))</f>
        <v/>
      </c>
      <c r="X136" s="71">
        <f>IF($S136="","",IF(ISNUMBER($J136),$J136,$W136))</f>
        <v/>
      </c>
      <c r="Y136" s="71">
        <f>IF($S136="","",IF(N($T136)&gt;0,IF(N($AG136)&gt;0,SUMIFS($AC$5:$AC$1000,$R$5:$R$1000,ROW(),$S$5:$S$1000,"Sub")/$AG136,AVERAGEIFS($U$5:$U$1000,$R$5:$R$1000,ROW(),$S$5:$S$1000,"Sub")),$U136))</f>
        <v/>
      </c>
      <c r="Z136" s="71">
        <f>IF($S136="","",IF(N($T136)&gt;0,IF(N($AG136)&gt;0,SUMIFS($AD$5:$AD$1000,$R$5:$R$1000,ROW(),$S$5:$S$1000,"Sub")/$AG136,AVERAGEIFS($V$5:$V$1000,$R$5:$R$1000,ROW(),$S$5:$S$1000,"Sub")),$V136))</f>
        <v/>
      </c>
      <c r="AA136" s="71">
        <f>IF($S136="","",IF(N($T136)&gt;0,IF(N($AG136)&gt;0,SUMIFS($AE$5:$AE$1000,$R$5:$R$1000,ROW(),$S$5:$S$1000,"Sub")/$AG136,AVERAGEIFS($W$5:$W$1000,$R$5:$R$1000,ROW(),$S$5:$S$1000,"Sub")),$W136))</f>
        <v/>
      </c>
      <c r="AB136" s="71">
        <f>IF($S136="","",IF(N($T136)&gt;0,IF(N($AG136)&gt;0,SUMIFS($AF$5:$AF$1000,$R$5:$R$1000,ROW(),$S$5:$S$1000,"Sub")/$AG136,AVERAGEIFS($X$5:$X$1000,$R$5:$R$1000,ROW(),$S$5:$S$1000,"Sub")),$X136))</f>
        <v/>
      </c>
      <c r="AC136" s="71">
        <f>IF($S136="Sub",N($F136)*N($U136),"")</f>
        <v/>
      </c>
      <c r="AD136" s="71">
        <f>IF($S136="Sub",N($F136)*N($V136),"")</f>
        <v/>
      </c>
      <c r="AE136" s="71">
        <f>IF($S136="Sub",N($F136)*N($W136),"")</f>
        <v/>
      </c>
      <c r="AF136" s="71">
        <f>IF($S136="Sub",N($F136)*N($X136),"")</f>
        <v/>
      </c>
      <c r="AG136" s="71">
        <f>IF(N($T136)&gt;0,SUMIFS($F$5:$F$1000,$R$5:$R$1000,ROW(),$S$5:$S$1000,"Sub"),"")</f>
        <v/>
      </c>
    </row>
    <row r="137">
      <c r="A137" s="62">
        <f>IF(NOT((COUNTA($B137:$J137)+COUNTA($N137))&gt;0),"",IF($S137="Macro",COUNTIFS($S$5:$S137,"Macro",$P$5:$P137,$P137),IF(N($R137)=0,"?",COUNTIFS(INDEX($S$5:$S$1000,1):INDEX($S$5:$S$1000,$R137-4),"Macro",INDEX($P$5:$P$1000,1):INDEX($P$5:$P$1000,$R137-4),INDEX($P$5:$P$1000,$R137-4))&amp;"."&amp;COUNTIFS($R$5:$R137,$R137,$S$5:$S137,"Sub"))))</f>
        <v/>
      </c>
      <c r="B137" s="63" t="n"/>
      <c r="C137" s="64" t="n"/>
      <c r="D137" s="65" t="n"/>
      <c r="E137" s="65" t="n"/>
      <c r="F137" s="66" t="n"/>
      <c r="G137" s="67" t="n"/>
      <c r="H137" s="67" t="n"/>
      <c r="I137" s="67" t="n"/>
      <c r="J137" s="67" t="n"/>
      <c r="K137" s="68">
        <f>IF(NOT((COUNTA($B137:$J137)+COUNTA($N137))&gt;0),"",IF(N($T137)&gt;0,$AB137,IFERROR(LOOKUP(2,1/(G137:J137&lt;&gt;""),G137:J137),0)))</f>
        <v/>
      </c>
      <c r="L137" s="62">
        <f>IF(K137="","",IF(K137&gt;=1,"Completado",IF(K137&gt;0,"En curso","Pendiente")))</f>
        <v/>
      </c>
      <c r="M137" s="62">
        <f>IF(NOT((COUNTA($B137:$J137)+COUNTA($N137))&gt;0),"",IF(N($K137)&gt;=1,"Cumplida",IF(NOT(ISNUMBER($E137)),"Sin fecha límite",IF($E137&lt;FechaRef,"Vencida hace "&amp;(FechaRef-$E137)&amp;IF(FechaRef-$E137=1," día"," días"),IF($E137=FechaRef,"Vence hoy",IF($E137-FechaRef&lt;=DiasAlerta,"Vence en "&amp;($E137-FechaRef)&amp;IF($E137-FechaRef=1," día"," días"),"En plazo"))))))</f>
        <v/>
      </c>
      <c r="N137" s="64" t="n"/>
      <c r="O137" s="69">
        <f>IF(NOT((COUNTA($B137:$J137)+COUNTA($N137))&gt;0),"",IF((IF($C137="","Falta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",""))="","✔ OK","⚠ "&amp;LEFT(IF($C137="","Falta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",""),LEN(IF($C137="","Falta el nombre de la actividad"&amp;" · ","")&amp;IF(AND($S137="Sub",N($R137)=0),"Subactividad sin macroactividad arriba"&amp;" · ","")&amp;IF($D137="","Sin fecha de inicio"&amp;" · ","")&amp;IF($E137="","Sin fecha límite"&amp;" · ","")&amp;IF(OR(AND($D137&lt;&gt;"",NOT(ISNUMBER($D137))),AND($E137&lt;&gt;"",NOT(ISNUMBER($E137)))),"Fecha no válida"&amp;" · ","")&amp;IF(AND(ISNUMBER($D137),ISNUMBER($E137),$D137&gt;$E137),"Inicio posterior a fecha límite"&amp;" · ","")&amp;IF(AND($S137="Macro",$F137=""),"Peso vacío"&amp;" · ","")&amp;IF(AND($S137="Macro",$F137&lt;&gt;"",OR(NOT(ISNUMBER($F137)),$F137&lt;=0,$F137&gt;1)),"Peso fuera de rango"&amp;" · ","")&amp;IF(AND($S137="Sub",$F137&lt;&gt;"",OR(NOT(ISNUMBER($F137)),$F137&lt;0,$F137&gt;1)),"Peso fuera de rango"&amp;" · ","")&amp;IF(AND($S137="Sub",$F137="",IFERROR(N(INDEX($AG$5:$AG$1000,$R137-4)),0)&gt;0),"Falta el peso de la subactividad"&amp;" · ","")&amp;IF(AND(N($T137)&gt;0,N($AG137)&gt;0,ABS(N($AG137)-N($F137))&gt;0.0001),"Pesos de sus subactividades suman "&amp;TEXT(N($AG137),"0%")&amp;" (deben sumar "&amp;TEXT(N($F137),"0%")&amp;")"&amp;" · ","")&amp;IF(AND($S137="Macro",ABS(SUMIFS($F$5:$F$1000,$P$5:$P$1000,$P137,$S$5:$S$1000,"Macro")-1)&gt;0.0001),"Pesos del mes suman "&amp;TEXT(SUMIFS($F$5:$F$1000,$P$5:$P$1000,$P137,$S$5:$S$1000,"Macro"),"0%")&amp;" · ","")&amp;IF(AND(N($T137)&gt;0,COUNT($G137:$J137)&gt;0),"Con subactividades: deje vacías las semanas (se calculan solas)"&amp;" · ","")&amp;IF((COUNTIF($G137:$J137,"&gt;1")+COUNTIF($G137:$J137,"&lt;0")+COUNTA($G137:$J137)-COUNT($G137:$J137))&gt;0,"Avance fuera de rango 0-100%"&amp;" · ","")&amp;IF(OR(AND($H137&lt;&gt;"",$H137&lt;$G137),AND($I137&lt;&gt;"",$I137&lt;MAX($G137:$H137)),AND($J137&lt;&gt;"",$J137&lt;MAX($G137:$I137))),"Avance semanal decreciente"&amp;" · ","")&amp;IF(AND(ISNUMBER($E137),$E137&lt;FechaRef,N($K137)&lt;1),"Vencida"&amp;" · ","")&amp;IF(AND(ObsObligatoria="Sí",ISNUMBER($E137),$E137&lt;FechaRef,N($K137)&lt;1,$N137=""),"Vencida sin observación"&amp;" · ",""))-3)))</f>
        <v/>
      </c>
      <c r="P137" s="70">
        <f>IF(NOT((COUNTA($B137:$J137)+COUNTA($N137))&gt;0),"",IF(AND($S137="Sub",N($R137)&gt;0),IF(ISNUMBER(INDEX($D$5:$D$1000,$R137-4)),DATE(YEAR(INDEX($D$5:$D$1000,$R137-4)),MONTH(INDEX($D$5:$D$1000,$R137-4)),1),IF(ISNUMBER(INDEX($E$5:$E$1000,$R137-4)),DATE(YEAR(INDEX($E$5:$E$1000,$R137-4)),MONTH(INDEX($E$5:$E$1000,$R137-4)),1),MesCiclo)),IF(ISNUMBER($D137),DATE(YEAR($D137),MONTH($D137),1),IF(ISNUMBER($E137),DATE(YEAR($E137),MONTH($E137),1),MesCiclo))))</f>
        <v/>
      </c>
      <c r="Q137" s="71">
        <f>IF(OR($P137="",$P137&lt;&gt;MesCiclo),"",COUNTIF($P$5:$P137,MesCiclo))</f>
        <v/>
      </c>
      <c r="R137" s="71">
        <f>IF($S137="","",IF($S137="Macro",ROW(),IFERROR(LOOKUP(2,1/($S$5:$S137="Macro"),ROW($S$5:$S137)),0)))</f>
        <v/>
      </c>
      <c r="S137" s="71">
        <f>IF(NOT((COUNTA($B137:$J137)+COUNTA($N137))&gt;0),"",IF($B137="Subactividad","Sub","Macro"))</f>
        <v/>
      </c>
      <c r="T137" s="71">
        <f>IF($S137="Macro",COUNTIFS($R$5:$R$1000,ROW(),$S$5:$S$1000,"Sub"),"")</f>
        <v/>
      </c>
      <c r="U137" s="71">
        <f>IF($S137="","",IF(ISNUMBER($G137),$G137,0))</f>
        <v/>
      </c>
      <c r="V137" s="71">
        <f>IF($S137="","",IF(ISNUMBER($H137),$H137,$U137))</f>
        <v/>
      </c>
      <c r="W137" s="71">
        <f>IF($S137="","",IF(ISNUMBER($I137),$I137,$V137))</f>
        <v/>
      </c>
      <c r="X137" s="71">
        <f>IF($S137="","",IF(ISNUMBER($J137),$J137,$W137))</f>
        <v/>
      </c>
      <c r="Y137" s="71">
        <f>IF($S137="","",IF(N($T137)&gt;0,IF(N($AG137)&gt;0,SUMIFS($AC$5:$AC$1000,$R$5:$R$1000,ROW(),$S$5:$S$1000,"Sub")/$AG137,AVERAGEIFS($U$5:$U$1000,$R$5:$R$1000,ROW(),$S$5:$S$1000,"Sub")),$U137))</f>
        <v/>
      </c>
      <c r="Z137" s="71">
        <f>IF($S137="","",IF(N($T137)&gt;0,IF(N($AG137)&gt;0,SUMIFS($AD$5:$AD$1000,$R$5:$R$1000,ROW(),$S$5:$S$1000,"Sub")/$AG137,AVERAGEIFS($V$5:$V$1000,$R$5:$R$1000,ROW(),$S$5:$S$1000,"Sub")),$V137))</f>
        <v/>
      </c>
      <c r="AA137" s="71">
        <f>IF($S137="","",IF(N($T137)&gt;0,IF(N($AG137)&gt;0,SUMIFS($AE$5:$AE$1000,$R$5:$R$1000,ROW(),$S$5:$S$1000,"Sub")/$AG137,AVERAGEIFS($W$5:$W$1000,$R$5:$R$1000,ROW(),$S$5:$S$1000,"Sub")),$W137))</f>
        <v/>
      </c>
      <c r="AB137" s="71">
        <f>IF($S137="","",IF(N($T137)&gt;0,IF(N($AG137)&gt;0,SUMIFS($AF$5:$AF$1000,$R$5:$R$1000,ROW(),$S$5:$S$1000,"Sub")/$AG137,AVERAGEIFS($X$5:$X$1000,$R$5:$R$1000,ROW(),$S$5:$S$1000,"Sub")),$X137))</f>
        <v/>
      </c>
      <c r="AC137" s="71">
        <f>IF($S137="Sub",N($F137)*N($U137),"")</f>
        <v/>
      </c>
      <c r="AD137" s="71">
        <f>IF($S137="Sub",N($F137)*N($V137),"")</f>
        <v/>
      </c>
      <c r="AE137" s="71">
        <f>IF($S137="Sub",N($F137)*N($W137),"")</f>
        <v/>
      </c>
      <c r="AF137" s="71">
        <f>IF($S137="Sub",N($F137)*N($X137),"")</f>
        <v/>
      </c>
      <c r="AG137" s="71">
        <f>IF(N($T137)&gt;0,SUMIFS($F$5:$F$1000,$R$5:$R$1000,ROW(),$S$5:$S$1000,"Sub"),"")</f>
        <v/>
      </c>
    </row>
    <row r="138">
      <c r="A138" s="62">
        <f>IF(NOT((COUNTA($B138:$J138)+COUNTA($N138))&gt;0),"",IF($S138="Macro",COUNTIFS($S$5:$S138,"Macro",$P$5:$P138,$P138),IF(N($R138)=0,"?",COUNTIFS(INDEX($S$5:$S$1000,1):INDEX($S$5:$S$1000,$R138-4),"Macro",INDEX($P$5:$P$1000,1):INDEX($P$5:$P$1000,$R138-4),INDEX($P$5:$P$1000,$R138-4))&amp;"."&amp;COUNTIFS($R$5:$R138,$R138,$S$5:$S138,"Sub"))))</f>
        <v/>
      </c>
      <c r="B138" s="63" t="n"/>
      <c r="C138" s="64" t="n"/>
      <c r="D138" s="65" t="n"/>
      <c r="E138" s="65" t="n"/>
      <c r="F138" s="66" t="n"/>
      <c r="G138" s="67" t="n"/>
      <c r="H138" s="67" t="n"/>
      <c r="I138" s="67" t="n"/>
      <c r="J138" s="67" t="n"/>
      <c r="K138" s="68">
        <f>IF(NOT((COUNTA($B138:$J138)+COUNTA($N138))&gt;0),"",IF(N($T138)&gt;0,$AB138,IFERROR(LOOKUP(2,1/(G138:J138&lt;&gt;""),G138:J138),0)))</f>
        <v/>
      </c>
      <c r="L138" s="62">
        <f>IF(K138="","",IF(K138&gt;=1,"Completado",IF(K138&gt;0,"En curso","Pendiente")))</f>
        <v/>
      </c>
      <c r="M138" s="62">
        <f>IF(NOT((COUNTA($B138:$J138)+COUNTA($N138))&gt;0),"",IF(N($K138)&gt;=1,"Cumplida",IF(NOT(ISNUMBER($E138)),"Sin fecha límite",IF($E138&lt;FechaRef,"Vencida hace "&amp;(FechaRef-$E138)&amp;IF(FechaRef-$E138=1," día"," días"),IF($E138=FechaRef,"Vence hoy",IF($E138-FechaRef&lt;=DiasAlerta,"Vence en "&amp;($E138-FechaRef)&amp;IF($E138-FechaRef=1," día"," días"),"En plazo"))))))</f>
        <v/>
      </c>
      <c r="N138" s="64" t="n"/>
      <c r="O138" s="69">
        <f>IF(NOT((COUNTA($B138:$J138)+COUNTA($N138))&gt;0),"",IF((IF($C138="","Falta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",""))="","✔ OK","⚠ "&amp;LEFT(IF($C138="","Falta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",""),LEN(IF($C138="","Falta el nombre de la actividad"&amp;" · ","")&amp;IF(AND($S138="Sub",N($R138)=0),"Subactividad sin macroactividad arriba"&amp;" · ","")&amp;IF($D138="","Sin fecha de inicio"&amp;" · ","")&amp;IF($E138="","Sin fecha límite"&amp;" · ","")&amp;IF(OR(AND($D138&lt;&gt;"",NOT(ISNUMBER($D138))),AND($E138&lt;&gt;"",NOT(ISNUMBER($E138)))),"Fecha no válida"&amp;" · ","")&amp;IF(AND(ISNUMBER($D138),ISNUMBER($E138),$D138&gt;$E138),"Inicio posterior a fecha límite"&amp;" · ","")&amp;IF(AND($S138="Macro",$F138=""),"Peso vacío"&amp;" · ","")&amp;IF(AND($S138="Macro",$F138&lt;&gt;"",OR(NOT(ISNUMBER($F138)),$F138&lt;=0,$F138&gt;1)),"Peso fuera de rango"&amp;" · ","")&amp;IF(AND($S138="Sub",$F138&lt;&gt;"",OR(NOT(ISNUMBER($F138)),$F138&lt;0,$F138&gt;1)),"Peso fuera de rango"&amp;" · ","")&amp;IF(AND($S138="Sub",$F138="",IFERROR(N(INDEX($AG$5:$AG$1000,$R138-4)),0)&gt;0),"Falta el peso de la subactividad"&amp;" · ","")&amp;IF(AND(N($T138)&gt;0,N($AG138)&gt;0,ABS(N($AG138)-N($F138))&gt;0.0001),"Pesos de sus subactividades suman "&amp;TEXT(N($AG138),"0%")&amp;" (deben sumar "&amp;TEXT(N($F138),"0%")&amp;")"&amp;" · ","")&amp;IF(AND($S138="Macro",ABS(SUMIFS($F$5:$F$1000,$P$5:$P$1000,$P138,$S$5:$S$1000,"Macro")-1)&gt;0.0001),"Pesos del mes suman "&amp;TEXT(SUMIFS($F$5:$F$1000,$P$5:$P$1000,$P138,$S$5:$S$1000,"Macro"),"0%")&amp;" · ","")&amp;IF(AND(N($T138)&gt;0,COUNT($G138:$J138)&gt;0),"Con subactividades: deje vacías las semanas (se calculan solas)"&amp;" · ","")&amp;IF((COUNTIF($G138:$J138,"&gt;1")+COUNTIF($G138:$J138,"&lt;0")+COUNTA($G138:$J138)-COUNT($G138:$J138))&gt;0,"Avance fuera de rango 0-100%"&amp;" · ","")&amp;IF(OR(AND($H138&lt;&gt;"",$H138&lt;$G138),AND($I138&lt;&gt;"",$I138&lt;MAX($G138:$H138)),AND($J138&lt;&gt;"",$J138&lt;MAX($G138:$I138))),"Avance semanal decreciente"&amp;" · ","")&amp;IF(AND(ISNUMBER($E138),$E138&lt;FechaRef,N($K138)&lt;1),"Vencida"&amp;" · ","")&amp;IF(AND(ObsObligatoria="Sí",ISNUMBER($E138),$E138&lt;FechaRef,N($K138)&lt;1,$N138=""),"Vencida sin observación"&amp;" · ",""))-3)))</f>
        <v/>
      </c>
      <c r="P138" s="70">
        <f>IF(NOT((COUNTA($B138:$J138)+COUNTA($N138))&gt;0),"",IF(AND($S138="Sub",N($R138)&gt;0),IF(ISNUMBER(INDEX($D$5:$D$1000,$R138-4)),DATE(YEAR(INDEX($D$5:$D$1000,$R138-4)),MONTH(INDEX($D$5:$D$1000,$R138-4)),1),IF(ISNUMBER(INDEX($E$5:$E$1000,$R138-4)),DATE(YEAR(INDEX($E$5:$E$1000,$R138-4)),MONTH(INDEX($E$5:$E$1000,$R138-4)),1),MesCiclo)),IF(ISNUMBER($D138),DATE(YEAR($D138),MONTH($D138),1),IF(ISNUMBER($E138),DATE(YEAR($E138),MONTH($E138),1),MesCiclo))))</f>
        <v/>
      </c>
      <c r="Q138" s="71">
        <f>IF(OR($P138="",$P138&lt;&gt;MesCiclo),"",COUNTIF($P$5:$P138,MesCiclo))</f>
        <v/>
      </c>
      <c r="R138" s="71">
        <f>IF($S138="","",IF($S138="Macro",ROW(),IFERROR(LOOKUP(2,1/($S$5:$S138="Macro"),ROW($S$5:$S138)),0)))</f>
        <v/>
      </c>
      <c r="S138" s="71">
        <f>IF(NOT((COUNTA($B138:$J138)+COUNTA($N138))&gt;0),"",IF($B138="Subactividad","Sub","Macro"))</f>
        <v/>
      </c>
      <c r="T138" s="71">
        <f>IF($S138="Macro",COUNTIFS($R$5:$R$1000,ROW(),$S$5:$S$1000,"Sub"),"")</f>
        <v/>
      </c>
      <c r="U138" s="71">
        <f>IF($S138="","",IF(ISNUMBER($G138),$G138,0))</f>
        <v/>
      </c>
      <c r="V138" s="71">
        <f>IF($S138="","",IF(ISNUMBER($H138),$H138,$U138))</f>
        <v/>
      </c>
      <c r="W138" s="71">
        <f>IF($S138="","",IF(ISNUMBER($I138),$I138,$V138))</f>
        <v/>
      </c>
      <c r="X138" s="71">
        <f>IF($S138="","",IF(ISNUMBER($J138),$J138,$W138))</f>
        <v/>
      </c>
      <c r="Y138" s="71">
        <f>IF($S138="","",IF(N($T138)&gt;0,IF(N($AG138)&gt;0,SUMIFS($AC$5:$AC$1000,$R$5:$R$1000,ROW(),$S$5:$S$1000,"Sub")/$AG138,AVERAGEIFS($U$5:$U$1000,$R$5:$R$1000,ROW(),$S$5:$S$1000,"Sub")),$U138))</f>
        <v/>
      </c>
      <c r="Z138" s="71">
        <f>IF($S138="","",IF(N($T138)&gt;0,IF(N($AG138)&gt;0,SUMIFS($AD$5:$AD$1000,$R$5:$R$1000,ROW(),$S$5:$S$1000,"Sub")/$AG138,AVERAGEIFS($V$5:$V$1000,$R$5:$R$1000,ROW(),$S$5:$S$1000,"Sub")),$V138))</f>
        <v/>
      </c>
      <c r="AA138" s="71">
        <f>IF($S138="","",IF(N($T138)&gt;0,IF(N($AG138)&gt;0,SUMIFS($AE$5:$AE$1000,$R$5:$R$1000,ROW(),$S$5:$S$1000,"Sub")/$AG138,AVERAGEIFS($W$5:$W$1000,$R$5:$R$1000,ROW(),$S$5:$S$1000,"Sub")),$W138))</f>
        <v/>
      </c>
      <c r="AB138" s="71">
        <f>IF($S138="","",IF(N($T138)&gt;0,IF(N($AG138)&gt;0,SUMIFS($AF$5:$AF$1000,$R$5:$R$1000,ROW(),$S$5:$S$1000,"Sub")/$AG138,AVERAGEIFS($X$5:$X$1000,$R$5:$R$1000,ROW(),$S$5:$S$1000,"Sub")),$X138))</f>
        <v/>
      </c>
      <c r="AC138" s="71">
        <f>IF($S138="Sub",N($F138)*N($U138),"")</f>
        <v/>
      </c>
      <c r="AD138" s="71">
        <f>IF($S138="Sub",N($F138)*N($V138),"")</f>
        <v/>
      </c>
      <c r="AE138" s="71">
        <f>IF($S138="Sub",N($F138)*N($W138),"")</f>
        <v/>
      </c>
      <c r="AF138" s="71">
        <f>IF($S138="Sub",N($F138)*N($X138),"")</f>
        <v/>
      </c>
      <c r="AG138" s="71">
        <f>IF(N($T138)&gt;0,SUMIFS($F$5:$F$1000,$R$5:$R$1000,ROW(),$S$5:$S$1000,"Sub"),"")</f>
        <v/>
      </c>
    </row>
    <row r="139">
      <c r="A139" s="62">
        <f>IF(NOT((COUNTA($B139:$J139)+COUNTA($N139))&gt;0),"",IF($S139="Macro",COUNTIFS($S$5:$S139,"Macro",$P$5:$P139,$P139),IF(N($R139)=0,"?",COUNTIFS(INDEX($S$5:$S$1000,1):INDEX($S$5:$S$1000,$R139-4),"Macro",INDEX($P$5:$P$1000,1):INDEX($P$5:$P$1000,$R139-4),INDEX($P$5:$P$1000,$R139-4))&amp;"."&amp;COUNTIFS($R$5:$R139,$R139,$S$5:$S139,"Sub"))))</f>
        <v/>
      </c>
      <c r="B139" s="63" t="n"/>
      <c r="C139" s="64" t="n"/>
      <c r="D139" s="65" t="n"/>
      <c r="E139" s="65" t="n"/>
      <c r="F139" s="66" t="n"/>
      <c r="G139" s="67" t="n"/>
      <c r="H139" s="67" t="n"/>
      <c r="I139" s="67" t="n"/>
      <c r="J139" s="67" t="n"/>
      <c r="K139" s="68">
        <f>IF(NOT((COUNTA($B139:$J139)+COUNTA($N139))&gt;0),"",IF(N($T139)&gt;0,$AB139,IFERROR(LOOKUP(2,1/(G139:J139&lt;&gt;""),G139:J139),0)))</f>
        <v/>
      </c>
      <c r="L139" s="62">
        <f>IF(K139="","",IF(K139&gt;=1,"Completado",IF(K139&gt;0,"En curso","Pendiente")))</f>
        <v/>
      </c>
      <c r="M139" s="62">
        <f>IF(NOT((COUNTA($B139:$J139)+COUNTA($N139))&gt;0),"",IF(N($K139)&gt;=1,"Cumplida",IF(NOT(ISNUMBER($E139)),"Sin fecha límite",IF($E139&lt;FechaRef,"Vencida hace "&amp;(FechaRef-$E139)&amp;IF(FechaRef-$E139=1," día"," días"),IF($E139=FechaRef,"Vence hoy",IF($E139-FechaRef&lt;=DiasAlerta,"Vence en "&amp;($E139-FechaRef)&amp;IF($E139-FechaRef=1," día"," días"),"En plazo"))))))</f>
        <v/>
      </c>
      <c r="N139" s="64" t="n"/>
      <c r="O139" s="69">
        <f>IF(NOT((COUNTA($B139:$J139)+COUNTA($N139))&gt;0),"",IF((IF($C139="","Falta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",""))="","✔ OK","⚠ "&amp;LEFT(IF($C139="","Falta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",""),LEN(IF($C139="","Falta el nombre de la actividad"&amp;" · ","")&amp;IF(AND($S139="Sub",N($R139)=0),"Subactividad sin macroactividad arriba"&amp;" · ","")&amp;IF($D139="","Sin fecha de inicio"&amp;" · ","")&amp;IF($E139="","Sin fecha límite"&amp;" · ","")&amp;IF(OR(AND($D139&lt;&gt;"",NOT(ISNUMBER($D139))),AND($E139&lt;&gt;"",NOT(ISNUMBER($E139)))),"Fecha no válida"&amp;" · ","")&amp;IF(AND(ISNUMBER($D139),ISNUMBER($E139),$D139&gt;$E139),"Inicio posterior a fecha límite"&amp;" · ","")&amp;IF(AND($S139="Macro",$F139=""),"Peso vacío"&amp;" · ","")&amp;IF(AND($S139="Macro",$F139&lt;&gt;"",OR(NOT(ISNUMBER($F139)),$F139&lt;=0,$F139&gt;1)),"Peso fuera de rango"&amp;" · ","")&amp;IF(AND($S139="Sub",$F139&lt;&gt;"",OR(NOT(ISNUMBER($F139)),$F139&lt;0,$F139&gt;1)),"Peso fuera de rango"&amp;" · ","")&amp;IF(AND($S139="Sub",$F139="",IFERROR(N(INDEX($AG$5:$AG$1000,$R139-4)),0)&gt;0),"Falta el peso de la subactividad"&amp;" · ","")&amp;IF(AND(N($T139)&gt;0,N($AG139)&gt;0,ABS(N($AG139)-N($F139))&gt;0.0001),"Pesos de sus subactividades suman "&amp;TEXT(N($AG139),"0%")&amp;" (deben sumar "&amp;TEXT(N($F139),"0%")&amp;")"&amp;" · ","")&amp;IF(AND($S139="Macro",ABS(SUMIFS($F$5:$F$1000,$P$5:$P$1000,$P139,$S$5:$S$1000,"Macro")-1)&gt;0.0001),"Pesos del mes suman "&amp;TEXT(SUMIFS($F$5:$F$1000,$P$5:$P$1000,$P139,$S$5:$S$1000,"Macro"),"0%")&amp;" · ","")&amp;IF(AND(N($T139)&gt;0,COUNT($G139:$J139)&gt;0),"Con subactividades: deje vacías las semanas (se calculan solas)"&amp;" · ","")&amp;IF((COUNTIF($G139:$J139,"&gt;1")+COUNTIF($G139:$J139,"&lt;0")+COUNTA($G139:$J139)-COUNT($G139:$J139))&gt;0,"Avance fuera de rango 0-100%"&amp;" · ","")&amp;IF(OR(AND($H139&lt;&gt;"",$H139&lt;$G139),AND($I139&lt;&gt;"",$I139&lt;MAX($G139:$H139)),AND($J139&lt;&gt;"",$J139&lt;MAX($G139:$I139))),"Avance semanal decreciente"&amp;" · ","")&amp;IF(AND(ISNUMBER($E139),$E139&lt;FechaRef,N($K139)&lt;1),"Vencida"&amp;" · ","")&amp;IF(AND(ObsObligatoria="Sí",ISNUMBER($E139),$E139&lt;FechaRef,N($K139)&lt;1,$N139=""),"Vencida sin observación"&amp;" · ",""))-3)))</f>
        <v/>
      </c>
      <c r="P139" s="70">
        <f>IF(NOT((COUNTA($B139:$J139)+COUNTA($N139))&gt;0),"",IF(AND($S139="Sub",N($R139)&gt;0),IF(ISNUMBER(INDEX($D$5:$D$1000,$R139-4)),DATE(YEAR(INDEX($D$5:$D$1000,$R139-4)),MONTH(INDEX($D$5:$D$1000,$R139-4)),1),IF(ISNUMBER(INDEX($E$5:$E$1000,$R139-4)),DATE(YEAR(INDEX($E$5:$E$1000,$R139-4)),MONTH(INDEX($E$5:$E$1000,$R139-4)),1),MesCiclo)),IF(ISNUMBER($D139),DATE(YEAR($D139),MONTH($D139),1),IF(ISNUMBER($E139),DATE(YEAR($E139),MONTH($E139),1),MesCiclo))))</f>
        <v/>
      </c>
      <c r="Q139" s="71">
        <f>IF(OR($P139="",$P139&lt;&gt;MesCiclo),"",COUNTIF($P$5:$P139,MesCiclo))</f>
        <v/>
      </c>
      <c r="R139" s="71">
        <f>IF($S139="","",IF($S139="Macro",ROW(),IFERROR(LOOKUP(2,1/($S$5:$S139="Macro"),ROW($S$5:$S139)),0)))</f>
        <v/>
      </c>
      <c r="S139" s="71">
        <f>IF(NOT((COUNTA($B139:$J139)+COUNTA($N139))&gt;0),"",IF($B139="Subactividad","Sub","Macro"))</f>
        <v/>
      </c>
      <c r="T139" s="71">
        <f>IF($S139="Macro",COUNTIFS($R$5:$R$1000,ROW(),$S$5:$S$1000,"Sub"),"")</f>
        <v/>
      </c>
      <c r="U139" s="71">
        <f>IF($S139="","",IF(ISNUMBER($G139),$G139,0))</f>
        <v/>
      </c>
      <c r="V139" s="71">
        <f>IF($S139="","",IF(ISNUMBER($H139),$H139,$U139))</f>
        <v/>
      </c>
      <c r="W139" s="71">
        <f>IF($S139="","",IF(ISNUMBER($I139),$I139,$V139))</f>
        <v/>
      </c>
      <c r="X139" s="71">
        <f>IF($S139="","",IF(ISNUMBER($J139),$J139,$W139))</f>
        <v/>
      </c>
      <c r="Y139" s="71">
        <f>IF($S139="","",IF(N($T139)&gt;0,IF(N($AG139)&gt;0,SUMIFS($AC$5:$AC$1000,$R$5:$R$1000,ROW(),$S$5:$S$1000,"Sub")/$AG139,AVERAGEIFS($U$5:$U$1000,$R$5:$R$1000,ROW(),$S$5:$S$1000,"Sub")),$U139))</f>
        <v/>
      </c>
      <c r="Z139" s="71">
        <f>IF($S139="","",IF(N($T139)&gt;0,IF(N($AG139)&gt;0,SUMIFS($AD$5:$AD$1000,$R$5:$R$1000,ROW(),$S$5:$S$1000,"Sub")/$AG139,AVERAGEIFS($V$5:$V$1000,$R$5:$R$1000,ROW(),$S$5:$S$1000,"Sub")),$V139))</f>
        <v/>
      </c>
      <c r="AA139" s="71">
        <f>IF($S139="","",IF(N($T139)&gt;0,IF(N($AG139)&gt;0,SUMIFS($AE$5:$AE$1000,$R$5:$R$1000,ROW(),$S$5:$S$1000,"Sub")/$AG139,AVERAGEIFS($W$5:$W$1000,$R$5:$R$1000,ROW(),$S$5:$S$1000,"Sub")),$W139))</f>
        <v/>
      </c>
      <c r="AB139" s="71">
        <f>IF($S139="","",IF(N($T139)&gt;0,IF(N($AG139)&gt;0,SUMIFS($AF$5:$AF$1000,$R$5:$R$1000,ROW(),$S$5:$S$1000,"Sub")/$AG139,AVERAGEIFS($X$5:$X$1000,$R$5:$R$1000,ROW(),$S$5:$S$1000,"Sub")),$X139))</f>
        <v/>
      </c>
      <c r="AC139" s="71">
        <f>IF($S139="Sub",N($F139)*N($U139),"")</f>
        <v/>
      </c>
      <c r="AD139" s="71">
        <f>IF($S139="Sub",N($F139)*N($V139),"")</f>
        <v/>
      </c>
      <c r="AE139" s="71">
        <f>IF($S139="Sub",N($F139)*N($W139),"")</f>
        <v/>
      </c>
      <c r="AF139" s="71">
        <f>IF($S139="Sub",N($F139)*N($X139),"")</f>
        <v/>
      </c>
      <c r="AG139" s="71">
        <f>IF(N($T139)&gt;0,SUMIFS($F$5:$F$1000,$R$5:$R$1000,ROW(),$S$5:$S$1000,"Sub"),"")</f>
        <v/>
      </c>
    </row>
    <row r="140">
      <c r="A140" s="62">
        <f>IF(NOT((COUNTA($B140:$J140)+COUNTA($N140))&gt;0),"",IF($S140="Macro",COUNTIFS($S$5:$S140,"Macro",$P$5:$P140,$P140),IF(N($R140)=0,"?",COUNTIFS(INDEX($S$5:$S$1000,1):INDEX($S$5:$S$1000,$R140-4),"Macro",INDEX($P$5:$P$1000,1):INDEX($P$5:$P$1000,$R140-4),INDEX($P$5:$P$1000,$R140-4))&amp;"."&amp;COUNTIFS($R$5:$R140,$R140,$S$5:$S140,"Sub"))))</f>
        <v/>
      </c>
      <c r="B140" s="63" t="n"/>
      <c r="C140" s="64" t="n"/>
      <c r="D140" s="65" t="n"/>
      <c r="E140" s="65" t="n"/>
      <c r="F140" s="66" t="n"/>
      <c r="G140" s="67" t="n"/>
      <c r="H140" s="67" t="n"/>
      <c r="I140" s="67" t="n"/>
      <c r="J140" s="67" t="n"/>
      <c r="K140" s="68">
        <f>IF(NOT((COUNTA($B140:$J140)+COUNTA($N140))&gt;0),"",IF(N($T140)&gt;0,$AB140,IFERROR(LOOKUP(2,1/(G140:J140&lt;&gt;""),G140:J140),0)))</f>
        <v/>
      </c>
      <c r="L140" s="62">
        <f>IF(K140="","",IF(K140&gt;=1,"Completado",IF(K140&gt;0,"En curso","Pendiente")))</f>
        <v/>
      </c>
      <c r="M140" s="62">
        <f>IF(NOT((COUNTA($B140:$J140)+COUNTA($N140))&gt;0),"",IF(N($K140)&gt;=1,"Cumplida",IF(NOT(ISNUMBER($E140)),"Sin fecha límite",IF($E140&lt;FechaRef,"Vencida hace "&amp;(FechaRef-$E140)&amp;IF(FechaRef-$E140=1," día"," días"),IF($E140=FechaRef,"Vence hoy",IF($E140-FechaRef&lt;=DiasAlerta,"Vence en "&amp;($E140-FechaRef)&amp;IF($E140-FechaRef=1," día"," días"),"En plazo"))))))</f>
        <v/>
      </c>
      <c r="N140" s="64" t="n"/>
      <c r="O140" s="69">
        <f>IF(NOT((COUNTA($B140:$J140)+COUNTA($N140))&gt;0),"",IF((IF($C140="","Falta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",""))="","✔ OK","⚠ "&amp;LEFT(IF($C140="","Falta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",""),LEN(IF($C140="","Falta el nombre de la actividad"&amp;" · ","")&amp;IF(AND($S140="Sub",N($R140)=0),"Subactividad sin macroactividad arriba"&amp;" · ","")&amp;IF($D140="","Sin fecha de inicio"&amp;" · ","")&amp;IF($E140="","Sin fecha límite"&amp;" · ","")&amp;IF(OR(AND($D140&lt;&gt;"",NOT(ISNUMBER($D140))),AND($E140&lt;&gt;"",NOT(ISNUMBER($E140)))),"Fecha no válida"&amp;" · ","")&amp;IF(AND(ISNUMBER($D140),ISNUMBER($E140),$D140&gt;$E140),"Inicio posterior a fecha límite"&amp;" · ","")&amp;IF(AND($S140="Macro",$F140=""),"Peso vacío"&amp;" · ","")&amp;IF(AND($S140="Macro",$F140&lt;&gt;"",OR(NOT(ISNUMBER($F140)),$F140&lt;=0,$F140&gt;1)),"Peso fuera de rango"&amp;" · ","")&amp;IF(AND($S140="Sub",$F140&lt;&gt;"",OR(NOT(ISNUMBER($F140)),$F140&lt;0,$F140&gt;1)),"Peso fuera de rango"&amp;" · ","")&amp;IF(AND($S140="Sub",$F140="",IFERROR(N(INDEX($AG$5:$AG$1000,$R140-4)),0)&gt;0),"Falta el peso de la subactividad"&amp;" · ","")&amp;IF(AND(N($T140)&gt;0,N($AG140)&gt;0,ABS(N($AG140)-N($F140))&gt;0.0001),"Pesos de sus subactividades suman "&amp;TEXT(N($AG140),"0%")&amp;" (deben sumar "&amp;TEXT(N($F140),"0%")&amp;")"&amp;" · ","")&amp;IF(AND($S140="Macro",ABS(SUMIFS($F$5:$F$1000,$P$5:$P$1000,$P140,$S$5:$S$1000,"Macro")-1)&gt;0.0001),"Pesos del mes suman "&amp;TEXT(SUMIFS($F$5:$F$1000,$P$5:$P$1000,$P140,$S$5:$S$1000,"Macro"),"0%")&amp;" · ","")&amp;IF(AND(N($T140)&gt;0,COUNT($G140:$J140)&gt;0),"Con subactividades: deje vacías las semanas (se calculan solas)"&amp;" · ","")&amp;IF((COUNTIF($G140:$J140,"&gt;1")+COUNTIF($G140:$J140,"&lt;0")+COUNTA($G140:$J140)-COUNT($G140:$J140))&gt;0,"Avance fuera de rango 0-100%"&amp;" · ","")&amp;IF(OR(AND($H140&lt;&gt;"",$H140&lt;$G140),AND($I140&lt;&gt;"",$I140&lt;MAX($G140:$H140)),AND($J140&lt;&gt;"",$J140&lt;MAX($G140:$I140))),"Avance semanal decreciente"&amp;" · ","")&amp;IF(AND(ISNUMBER($E140),$E140&lt;FechaRef,N($K140)&lt;1),"Vencida"&amp;" · ","")&amp;IF(AND(ObsObligatoria="Sí",ISNUMBER($E140),$E140&lt;FechaRef,N($K140)&lt;1,$N140=""),"Vencida sin observación"&amp;" · ",""))-3)))</f>
        <v/>
      </c>
      <c r="P140" s="70">
        <f>IF(NOT((COUNTA($B140:$J140)+COUNTA($N140))&gt;0),"",IF(AND($S140="Sub",N($R140)&gt;0),IF(ISNUMBER(INDEX($D$5:$D$1000,$R140-4)),DATE(YEAR(INDEX($D$5:$D$1000,$R140-4)),MONTH(INDEX($D$5:$D$1000,$R140-4)),1),IF(ISNUMBER(INDEX($E$5:$E$1000,$R140-4)),DATE(YEAR(INDEX($E$5:$E$1000,$R140-4)),MONTH(INDEX($E$5:$E$1000,$R140-4)),1),MesCiclo)),IF(ISNUMBER($D140),DATE(YEAR($D140),MONTH($D140),1),IF(ISNUMBER($E140),DATE(YEAR($E140),MONTH($E140),1),MesCiclo))))</f>
        <v/>
      </c>
      <c r="Q140" s="71">
        <f>IF(OR($P140="",$P140&lt;&gt;MesCiclo),"",COUNTIF($P$5:$P140,MesCiclo))</f>
        <v/>
      </c>
      <c r="R140" s="71">
        <f>IF($S140="","",IF($S140="Macro",ROW(),IFERROR(LOOKUP(2,1/($S$5:$S140="Macro"),ROW($S$5:$S140)),0)))</f>
        <v/>
      </c>
      <c r="S140" s="71">
        <f>IF(NOT((COUNTA($B140:$J140)+COUNTA($N140))&gt;0),"",IF($B140="Subactividad","Sub","Macro"))</f>
        <v/>
      </c>
      <c r="T140" s="71">
        <f>IF($S140="Macro",COUNTIFS($R$5:$R$1000,ROW(),$S$5:$S$1000,"Sub"),"")</f>
        <v/>
      </c>
      <c r="U140" s="71">
        <f>IF($S140="","",IF(ISNUMBER($G140),$G140,0))</f>
        <v/>
      </c>
      <c r="V140" s="71">
        <f>IF($S140="","",IF(ISNUMBER($H140),$H140,$U140))</f>
        <v/>
      </c>
      <c r="W140" s="71">
        <f>IF($S140="","",IF(ISNUMBER($I140),$I140,$V140))</f>
        <v/>
      </c>
      <c r="X140" s="71">
        <f>IF($S140="","",IF(ISNUMBER($J140),$J140,$W140))</f>
        <v/>
      </c>
      <c r="Y140" s="71">
        <f>IF($S140="","",IF(N($T140)&gt;0,IF(N($AG140)&gt;0,SUMIFS($AC$5:$AC$1000,$R$5:$R$1000,ROW(),$S$5:$S$1000,"Sub")/$AG140,AVERAGEIFS($U$5:$U$1000,$R$5:$R$1000,ROW(),$S$5:$S$1000,"Sub")),$U140))</f>
        <v/>
      </c>
      <c r="Z140" s="71">
        <f>IF($S140="","",IF(N($T140)&gt;0,IF(N($AG140)&gt;0,SUMIFS($AD$5:$AD$1000,$R$5:$R$1000,ROW(),$S$5:$S$1000,"Sub")/$AG140,AVERAGEIFS($V$5:$V$1000,$R$5:$R$1000,ROW(),$S$5:$S$1000,"Sub")),$V140))</f>
        <v/>
      </c>
      <c r="AA140" s="71">
        <f>IF($S140="","",IF(N($T140)&gt;0,IF(N($AG140)&gt;0,SUMIFS($AE$5:$AE$1000,$R$5:$R$1000,ROW(),$S$5:$S$1000,"Sub")/$AG140,AVERAGEIFS($W$5:$W$1000,$R$5:$R$1000,ROW(),$S$5:$S$1000,"Sub")),$W140))</f>
        <v/>
      </c>
      <c r="AB140" s="71">
        <f>IF($S140="","",IF(N($T140)&gt;0,IF(N($AG140)&gt;0,SUMIFS($AF$5:$AF$1000,$R$5:$R$1000,ROW(),$S$5:$S$1000,"Sub")/$AG140,AVERAGEIFS($X$5:$X$1000,$R$5:$R$1000,ROW(),$S$5:$S$1000,"Sub")),$X140))</f>
        <v/>
      </c>
      <c r="AC140" s="71">
        <f>IF($S140="Sub",N($F140)*N($U140),"")</f>
        <v/>
      </c>
      <c r="AD140" s="71">
        <f>IF($S140="Sub",N($F140)*N($V140),"")</f>
        <v/>
      </c>
      <c r="AE140" s="71">
        <f>IF($S140="Sub",N($F140)*N($W140),"")</f>
        <v/>
      </c>
      <c r="AF140" s="71">
        <f>IF($S140="Sub",N($F140)*N($X140),"")</f>
        <v/>
      </c>
      <c r="AG140" s="71">
        <f>IF(N($T140)&gt;0,SUMIFS($F$5:$F$1000,$R$5:$R$1000,ROW(),$S$5:$S$1000,"Sub"),"")</f>
        <v/>
      </c>
    </row>
    <row r="141">
      <c r="A141" s="62">
        <f>IF(NOT((COUNTA($B141:$J141)+COUNTA($N141))&gt;0),"",IF($S141="Macro",COUNTIFS($S$5:$S141,"Macro",$P$5:$P141,$P141),IF(N($R141)=0,"?",COUNTIFS(INDEX($S$5:$S$1000,1):INDEX($S$5:$S$1000,$R141-4),"Macro",INDEX($P$5:$P$1000,1):INDEX($P$5:$P$1000,$R141-4),INDEX($P$5:$P$1000,$R141-4))&amp;"."&amp;COUNTIFS($R$5:$R141,$R141,$S$5:$S141,"Sub"))))</f>
        <v/>
      </c>
      <c r="B141" s="63" t="n"/>
      <c r="C141" s="64" t="n"/>
      <c r="D141" s="65" t="n"/>
      <c r="E141" s="65" t="n"/>
      <c r="F141" s="66" t="n"/>
      <c r="G141" s="67" t="n"/>
      <c r="H141" s="67" t="n"/>
      <c r="I141" s="67" t="n"/>
      <c r="J141" s="67" t="n"/>
      <c r="K141" s="68">
        <f>IF(NOT((COUNTA($B141:$J141)+COUNTA($N141))&gt;0),"",IF(N($T141)&gt;0,$AB141,IFERROR(LOOKUP(2,1/(G141:J141&lt;&gt;""),G141:J141),0)))</f>
        <v/>
      </c>
      <c r="L141" s="62">
        <f>IF(K141="","",IF(K141&gt;=1,"Completado",IF(K141&gt;0,"En curso","Pendiente")))</f>
        <v/>
      </c>
      <c r="M141" s="62">
        <f>IF(NOT((COUNTA($B141:$J141)+COUNTA($N141))&gt;0),"",IF(N($K141)&gt;=1,"Cumplida",IF(NOT(ISNUMBER($E141)),"Sin fecha límite",IF($E141&lt;FechaRef,"Vencida hace "&amp;(FechaRef-$E141)&amp;IF(FechaRef-$E141=1," día"," días"),IF($E141=FechaRef,"Vence hoy",IF($E141-FechaRef&lt;=DiasAlerta,"Vence en "&amp;($E141-FechaRef)&amp;IF($E141-FechaRef=1," día"," días"),"En plazo"))))))</f>
        <v/>
      </c>
      <c r="N141" s="64" t="n"/>
      <c r="O141" s="69">
        <f>IF(NOT((COUNTA($B141:$J141)+COUNTA($N141))&gt;0),"",IF((IF($C141="","Falta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",""))="","✔ OK","⚠ "&amp;LEFT(IF($C141="","Falta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",""),LEN(IF($C141="","Falta el nombre de la actividad"&amp;" · ","")&amp;IF(AND($S141="Sub",N($R141)=0),"Subactividad sin macroactividad arriba"&amp;" · ","")&amp;IF($D141="","Sin fecha de inicio"&amp;" · ","")&amp;IF($E141="","Sin fecha límite"&amp;" · ","")&amp;IF(OR(AND($D141&lt;&gt;"",NOT(ISNUMBER($D141))),AND($E141&lt;&gt;"",NOT(ISNUMBER($E141)))),"Fecha no válida"&amp;" · ","")&amp;IF(AND(ISNUMBER($D141),ISNUMBER($E141),$D141&gt;$E141),"Inicio posterior a fecha límite"&amp;" · ","")&amp;IF(AND($S141="Macro",$F141=""),"Peso vacío"&amp;" · ","")&amp;IF(AND($S141="Macro",$F141&lt;&gt;"",OR(NOT(ISNUMBER($F141)),$F141&lt;=0,$F141&gt;1)),"Peso fuera de rango"&amp;" · ","")&amp;IF(AND($S141="Sub",$F141&lt;&gt;"",OR(NOT(ISNUMBER($F141)),$F141&lt;0,$F141&gt;1)),"Peso fuera de rango"&amp;" · ","")&amp;IF(AND($S141="Sub",$F141="",IFERROR(N(INDEX($AG$5:$AG$1000,$R141-4)),0)&gt;0),"Falta el peso de la subactividad"&amp;" · ","")&amp;IF(AND(N($T141)&gt;0,N($AG141)&gt;0,ABS(N($AG141)-N($F141))&gt;0.0001),"Pesos de sus subactividades suman "&amp;TEXT(N($AG141),"0%")&amp;" (deben sumar "&amp;TEXT(N($F141),"0%")&amp;")"&amp;" · ","")&amp;IF(AND($S141="Macro",ABS(SUMIFS($F$5:$F$1000,$P$5:$P$1000,$P141,$S$5:$S$1000,"Macro")-1)&gt;0.0001),"Pesos del mes suman "&amp;TEXT(SUMIFS($F$5:$F$1000,$P$5:$P$1000,$P141,$S$5:$S$1000,"Macro"),"0%")&amp;" · ","")&amp;IF(AND(N($T141)&gt;0,COUNT($G141:$J141)&gt;0),"Con subactividades: deje vacías las semanas (se calculan solas)"&amp;" · ","")&amp;IF((COUNTIF($G141:$J141,"&gt;1")+COUNTIF($G141:$J141,"&lt;0")+COUNTA($G141:$J141)-COUNT($G141:$J141))&gt;0,"Avance fuera de rango 0-100%"&amp;" · ","")&amp;IF(OR(AND($H141&lt;&gt;"",$H141&lt;$G141),AND($I141&lt;&gt;"",$I141&lt;MAX($G141:$H141)),AND($J141&lt;&gt;"",$J141&lt;MAX($G141:$I141))),"Avance semanal decreciente"&amp;" · ","")&amp;IF(AND(ISNUMBER($E141),$E141&lt;FechaRef,N($K141)&lt;1),"Vencida"&amp;" · ","")&amp;IF(AND(ObsObligatoria="Sí",ISNUMBER($E141),$E141&lt;FechaRef,N($K141)&lt;1,$N141=""),"Vencida sin observación"&amp;" · ",""))-3)))</f>
        <v/>
      </c>
      <c r="P141" s="70">
        <f>IF(NOT((COUNTA($B141:$J141)+COUNTA($N141))&gt;0),"",IF(AND($S141="Sub",N($R141)&gt;0),IF(ISNUMBER(INDEX($D$5:$D$1000,$R141-4)),DATE(YEAR(INDEX($D$5:$D$1000,$R141-4)),MONTH(INDEX($D$5:$D$1000,$R141-4)),1),IF(ISNUMBER(INDEX($E$5:$E$1000,$R141-4)),DATE(YEAR(INDEX($E$5:$E$1000,$R141-4)),MONTH(INDEX($E$5:$E$1000,$R141-4)),1),MesCiclo)),IF(ISNUMBER($D141),DATE(YEAR($D141),MONTH($D141),1),IF(ISNUMBER($E141),DATE(YEAR($E141),MONTH($E141),1),MesCiclo))))</f>
        <v/>
      </c>
      <c r="Q141" s="71">
        <f>IF(OR($P141="",$P141&lt;&gt;MesCiclo),"",COUNTIF($P$5:$P141,MesCiclo))</f>
        <v/>
      </c>
      <c r="R141" s="71">
        <f>IF($S141="","",IF($S141="Macro",ROW(),IFERROR(LOOKUP(2,1/($S$5:$S141="Macro"),ROW($S$5:$S141)),0)))</f>
        <v/>
      </c>
      <c r="S141" s="71">
        <f>IF(NOT((COUNTA($B141:$J141)+COUNTA($N141))&gt;0),"",IF($B141="Subactividad","Sub","Macro"))</f>
        <v/>
      </c>
      <c r="T141" s="71">
        <f>IF($S141="Macro",COUNTIFS($R$5:$R$1000,ROW(),$S$5:$S$1000,"Sub"),"")</f>
        <v/>
      </c>
      <c r="U141" s="71">
        <f>IF($S141="","",IF(ISNUMBER($G141),$G141,0))</f>
        <v/>
      </c>
      <c r="V141" s="71">
        <f>IF($S141="","",IF(ISNUMBER($H141),$H141,$U141))</f>
        <v/>
      </c>
      <c r="W141" s="71">
        <f>IF($S141="","",IF(ISNUMBER($I141),$I141,$V141))</f>
        <v/>
      </c>
      <c r="X141" s="71">
        <f>IF($S141="","",IF(ISNUMBER($J141),$J141,$W141))</f>
        <v/>
      </c>
      <c r="Y141" s="71">
        <f>IF($S141="","",IF(N($T141)&gt;0,IF(N($AG141)&gt;0,SUMIFS($AC$5:$AC$1000,$R$5:$R$1000,ROW(),$S$5:$S$1000,"Sub")/$AG141,AVERAGEIFS($U$5:$U$1000,$R$5:$R$1000,ROW(),$S$5:$S$1000,"Sub")),$U141))</f>
        <v/>
      </c>
      <c r="Z141" s="71">
        <f>IF($S141="","",IF(N($T141)&gt;0,IF(N($AG141)&gt;0,SUMIFS($AD$5:$AD$1000,$R$5:$R$1000,ROW(),$S$5:$S$1000,"Sub")/$AG141,AVERAGEIFS($V$5:$V$1000,$R$5:$R$1000,ROW(),$S$5:$S$1000,"Sub")),$V141))</f>
        <v/>
      </c>
      <c r="AA141" s="71">
        <f>IF($S141="","",IF(N($T141)&gt;0,IF(N($AG141)&gt;0,SUMIFS($AE$5:$AE$1000,$R$5:$R$1000,ROW(),$S$5:$S$1000,"Sub")/$AG141,AVERAGEIFS($W$5:$W$1000,$R$5:$R$1000,ROW(),$S$5:$S$1000,"Sub")),$W141))</f>
        <v/>
      </c>
      <c r="AB141" s="71">
        <f>IF($S141="","",IF(N($T141)&gt;0,IF(N($AG141)&gt;0,SUMIFS($AF$5:$AF$1000,$R$5:$R$1000,ROW(),$S$5:$S$1000,"Sub")/$AG141,AVERAGEIFS($X$5:$X$1000,$R$5:$R$1000,ROW(),$S$5:$S$1000,"Sub")),$X141))</f>
        <v/>
      </c>
      <c r="AC141" s="71">
        <f>IF($S141="Sub",N($F141)*N($U141),"")</f>
        <v/>
      </c>
      <c r="AD141" s="71">
        <f>IF($S141="Sub",N($F141)*N($V141),"")</f>
        <v/>
      </c>
      <c r="AE141" s="71">
        <f>IF($S141="Sub",N($F141)*N($W141),"")</f>
        <v/>
      </c>
      <c r="AF141" s="71">
        <f>IF($S141="Sub",N($F141)*N($X141),"")</f>
        <v/>
      </c>
      <c r="AG141" s="71">
        <f>IF(N($T141)&gt;0,SUMIFS($F$5:$F$1000,$R$5:$R$1000,ROW(),$S$5:$S$1000,"Sub"),"")</f>
        <v/>
      </c>
    </row>
    <row r="142">
      <c r="A142" s="62">
        <f>IF(NOT((COUNTA($B142:$J142)+COUNTA($N142))&gt;0),"",IF($S142="Macro",COUNTIFS($S$5:$S142,"Macro",$P$5:$P142,$P142),IF(N($R142)=0,"?",COUNTIFS(INDEX($S$5:$S$1000,1):INDEX($S$5:$S$1000,$R142-4),"Macro",INDEX($P$5:$P$1000,1):INDEX($P$5:$P$1000,$R142-4),INDEX($P$5:$P$1000,$R142-4))&amp;"."&amp;COUNTIFS($R$5:$R142,$R142,$S$5:$S142,"Sub"))))</f>
        <v/>
      </c>
      <c r="B142" s="63" t="n"/>
      <c r="C142" s="64" t="n"/>
      <c r="D142" s="65" t="n"/>
      <c r="E142" s="65" t="n"/>
      <c r="F142" s="66" t="n"/>
      <c r="G142" s="67" t="n"/>
      <c r="H142" s="67" t="n"/>
      <c r="I142" s="67" t="n"/>
      <c r="J142" s="67" t="n"/>
      <c r="K142" s="68">
        <f>IF(NOT((COUNTA($B142:$J142)+COUNTA($N142))&gt;0),"",IF(N($T142)&gt;0,$AB142,IFERROR(LOOKUP(2,1/(G142:J142&lt;&gt;""),G142:J142),0)))</f>
        <v/>
      </c>
      <c r="L142" s="62">
        <f>IF(K142="","",IF(K142&gt;=1,"Completado",IF(K142&gt;0,"En curso","Pendiente")))</f>
        <v/>
      </c>
      <c r="M142" s="62">
        <f>IF(NOT((COUNTA($B142:$J142)+COUNTA($N142))&gt;0),"",IF(N($K142)&gt;=1,"Cumplida",IF(NOT(ISNUMBER($E142)),"Sin fecha límite",IF($E142&lt;FechaRef,"Vencida hace "&amp;(FechaRef-$E142)&amp;IF(FechaRef-$E142=1," día"," días"),IF($E142=FechaRef,"Vence hoy",IF($E142-FechaRef&lt;=DiasAlerta,"Vence en "&amp;($E142-FechaRef)&amp;IF($E142-FechaRef=1," día"," días"),"En plazo"))))))</f>
        <v/>
      </c>
      <c r="N142" s="64" t="n"/>
      <c r="O142" s="69">
        <f>IF(NOT((COUNTA($B142:$J142)+COUNTA($N142))&gt;0),"",IF((IF($C142="","Falta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",""))="","✔ OK","⚠ "&amp;LEFT(IF($C142="","Falta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",""),LEN(IF($C142="","Falta el nombre de la actividad"&amp;" · ","")&amp;IF(AND($S142="Sub",N($R142)=0),"Subactividad sin macroactividad arriba"&amp;" · ","")&amp;IF($D142="","Sin fecha de inicio"&amp;" · ","")&amp;IF($E142="","Sin fecha límite"&amp;" · ","")&amp;IF(OR(AND($D142&lt;&gt;"",NOT(ISNUMBER($D142))),AND($E142&lt;&gt;"",NOT(ISNUMBER($E142)))),"Fecha no válida"&amp;" · ","")&amp;IF(AND(ISNUMBER($D142),ISNUMBER($E142),$D142&gt;$E142),"Inicio posterior a fecha límite"&amp;" · ","")&amp;IF(AND($S142="Macro",$F142=""),"Peso vacío"&amp;" · ","")&amp;IF(AND($S142="Macro",$F142&lt;&gt;"",OR(NOT(ISNUMBER($F142)),$F142&lt;=0,$F142&gt;1)),"Peso fuera de rango"&amp;" · ","")&amp;IF(AND($S142="Sub",$F142&lt;&gt;"",OR(NOT(ISNUMBER($F142)),$F142&lt;0,$F142&gt;1)),"Peso fuera de rango"&amp;" · ","")&amp;IF(AND($S142="Sub",$F142="",IFERROR(N(INDEX($AG$5:$AG$1000,$R142-4)),0)&gt;0),"Falta el peso de la subactividad"&amp;" · ","")&amp;IF(AND(N($T142)&gt;0,N($AG142)&gt;0,ABS(N($AG142)-N($F142))&gt;0.0001),"Pesos de sus subactividades suman "&amp;TEXT(N($AG142),"0%")&amp;" (deben sumar "&amp;TEXT(N($F142),"0%")&amp;")"&amp;" · ","")&amp;IF(AND($S142="Macro",ABS(SUMIFS($F$5:$F$1000,$P$5:$P$1000,$P142,$S$5:$S$1000,"Macro")-1)&gt;0.0001),"Pesos del mes suman "&amp;TEXT(SUMIFS($F$5:$F$1000,$P$5:$P$1000,$P142,$S$5:$S$1000,"Macro"),"0%")&amp;" · ","")&amp;IF(AND(N($T142)&gt;0,COUNT($G142:$J142)&gt;0),"Con subactividades: deje vacías las semanas (se calculan solas)"&amp;" · ","")&amp;IF((COUNTIF($G142:$J142,"&gt;1")+COUNTIF($G142:$J142,"&lt;0")+COUNTA($G142:$J142)-COUNT($G142:$J142))&gt;0,"Avance fuera de rango 0-100%"&amp;" · ","")&amp;IF(OR(AND($H142&lt;&gt;"",$H142&lt;$G142),AND($I142&lt;&gt;"",$I142&lt;MAX($G142:$H142)),AND($J142&lt;&gt;"",$J142&lt;MAX($G142:$I142))),"Avance semanal decreciente"&amp;" · ","")&amp;IF(AND(ISNUMBER($E142),$E142&lt;FechaRef,N($K142)&lt;1),"Vencida"&amp;" · ","")&amp;IF(AND(ObsObligatoria="Sí",ISNUMBER($E142),$E142&lt;FechaRef,N($K142)&lt;1,$N142=""),"Vencida sin observación"&amp;" · ",""))-3)))</f>
        <v/>
      </c>
      <c r="P142" s="70">
        <f>IF(NOT((COUNTA($B142:$J142)+COUNTA($N142))&gt;0),"",IF(AND($S142="Sub",N($R142)&gt;0),IF(ISNUMBER(INDEX($D$5:$D$1000,$R142-4)),DATE(YEAR(INDEX($D$5:$D$1000,$R142-4)),MONTH(INDEX($D$5:$D$1000,$R142-4)),1),IF(ISNUMBER(INDEX($E$5:$E$1000,$R142-4)),DATE(YEAR(INDEX($E$5:$E$1000,$R142-4)),MONTH(INDEX($E$5:$E$1000,$R142-4)),1),MesCiclo)),IF(ISNUMBER($D142),DATE(YEAR($D142),MONTH($D142),1),IF(ISNUMBER($E142),DATE(YEAR($E142),MONTH($E142),1),MesCiclo))))</f>
        <v/>
      </c>
      <c r="Q142" s="71">
        <f>IF(OR($P142="",$P142&lt;&gt;MesCiclo),"",COUNTIF($P$5:$P142,MesCiclo))</f>
        <v/>
      </c>
      <c r="R142" s="71">
        <f>IF($S142="","",IF($S142="Macro",ROW(),IFERROR(LOOKUP(2,1/($S$5:$S142="Macro"),ROW($S$5:$S142)),0)))</f>
        <v/>
      </c>
      <c r="S142" s="71">
        <f>IF(NOT((COUNTA($B142:$J142)+COUNTA($N142))&gt;0),"",IF($B142="Subactividad","Sub","Macro"))</f>
        <v/>
      </c>
      <c r="T142" s="71">
        <f>IF($S142="Macro",COUNTIFS($R$5:$R$1000,ROW(),$S$5:$S$1000,"Sub"),"")</f>
        <v/>
      </c>
      <c r="U142" s="71">
        <f>IF($S142="","",IF(ISNUMBER($G142),$G142,0))</f>
        <v/>
      </c>
      <c r="V142" s="71">
        <f>IF($S142="","",IF(ISNUMBER($H142),$H142,$U142))</f>
        <v/>
      </c>
      <c r="W142" s="71">
        <f>IF($S142="","",IF(ISNUMBER($I142),$I142,$V142))</f>
        <v/>
      </c>
      <c r="X142" s="71">
        <f>IF($S142="","",IF(ISNUMBER($J142),$J142,$W142))</f>
        <v/>
      </c>
      <c r="Y142" s="71">
        <f>IF($S142="","",IF(N($T142)&gt;0,IF(N($AG142)&gt;0,SUMIFS($AC$5:$AC$1000,$R$5:$R$1000,ROW(),$S$5:$S$1000,"Sub")/$AG142,AVERAGEIFS($U$5:$U$1000,$R$5:$R$1000,ROW(),$S$5:$S$1000,"Sub")),$U142))</f>
        <v/>
      </c>
      <c r="Z142" s="71">
        <f>IF($S142="","",IF(N($T142)&gt;0,IF(N($AG142)&gt;0,SUMIFS($AD$5:$AD$1000,$R$5:$R$1000,ROW(),$S$5:$S$1000,"Sub")/$AG142,AVERAGEIFS($V$5:$V$1000,$R$5:$R$1000,ROW(),$S$5:$S$1000,"Sub")),$V142))</f>
        <v/>
      </c>
      <c r="AA142" s="71">
        <f>IF($S142="","",IF(N($T142)&gt;0,IF(N($AG142)&gt;0,SUMIFS($AE$5:$AE$1000,$R$5:$R$1000,ROW(),$S$5:$S$1000,"Sub")/$AG142,AVERAGEIFS($W$5:$W$1000,$R$5:$R$1000,ROW(),$S$5:$S$1000,"Sub")),$W142))</f>
        <v/>
      </c>
      <c r="AB142" s="71">
        <f>IF($S142="","",IF(N($T142)&gt;0,IF(N($AG142)&gt;0,SUMIFS($AF$5:$AF$1000,$R$5:$R$1000,ROW(),$S$5:$S$1000,"Sub")/$AG142,AVERAGEIFS($X$5:$X$1000,$R$5:$R$1000,ROW(),$S$5:$S$1000,"Sub")),$X142))</f>
        <v/>
      </c>
      <c r="AC142" s="71">
        <f>IF($S142="Sub",N($F142)*N($U142),"")</f>
        <v/>
      </c>
      <c r="AD142" s="71">
        <f>IF($S142="Sub",N($F142)*N($V142),"")</f>
        <v/>
      </c>
      <c r="AE142" s="71">
        <f>IF($S142="Sub",N($F142)*N($W142),"")</f>
        <v/>
      </c>
      <c r="AF142" s="71">
        <f>IF($S142="Sub",N($F142)*N($X142),"")</f>
        <v/>
      </c>
      <c r="AG142" s="71">
        <f>IF(N($T142)&gt;0,SUMIFS($F$5:$F$1000,$R$5:$R$1000,ROW(),$S$5:$S$1000,"Sub"),"")</f>
        <v/>
      </c>
    </row>
    <row r="143">
      <c r="A143" s="62">
        <f>IF(NOT((COUNTA($B143:$J143)+COUNTA($N143))&gt;0),"",IF($S143="Macro",COUNTIFS($S$5:$S143,"Macro",$P$5:$P143,$P143),IF(N($R143)=0,"?",COUNTIFS(INDEX($S$5:$S$1000,1):INDEX($S$5:$S$1000,$R143-4),"Macro",INDEX($P$5:$P$1000,1):INDEX($P$5:$P$1000,$R143-4),INDEX($P$5:$P$1000,$R143-4))&amp;"."&amp;COUNTIFS($R$5:$R143,$R143,$S$5:$S143,"Sub"))))</f>
        <v/>
      </c>
      <c r="B143" s="63" t="n"/>
      <c r="C143" s="64" t="n"/>
      <c r="D143" s="65" t="n"/>
      <c r="E143" s="65" t="n"/>
      <c r="F143" s="66" t="n"/>
      <c r="G143" s="67" t="n"/>
      <c r="H143" s="67" t="n"/>
      <c r="I143" s="67" t="n"/>
      <c r="J143" s="67" t="n"/>
      <c r="K143" s="68">
        <f>IF(NOT((COUNTA($B143:$J143)+COUNTA($N143))&gt;0),"",IF(N($T143)&gt;0,$AB143,IFERROR(LOOKUP(2,1/(G143:J143&lt;&gt;""),G143:J143),0)))</f>
        <v/>
      </c>
      <c r="L143" s="62">
        <f>IF(K143="","",IF(K143&gt;=1,"Completado",IF(K143&gt;0,"En curso","Pendiente")))</f>
        <v/>
      </c>
      <c r="M143" s="62">
        <f>IF(NOT((COUNTA($B143:$J143)+COUNTA($N143))&gt;0),"",IF(N($K143)&gt;=1,"Cumplida",IF(NOT(ISNUMBER($E143)),"Sin fecha límite",IF($E143&lt;FechaRef,"Vencida hace "&amp;(FechaRef-$E143)&amp;IF(FechaRef-$E143=1," día"," días"),IF($E143=FechaRef,"Vence hoy",IF($E143-FechaRef&lt;=DiasAlerta,"Vence en "&amp;($E143-FechaRef)&amp;IF($E143-FechaRef=1," día"," días"),"En plazo"))))))</f>
        <v/>
      </c>
      <c r="N143" s="64" t="n"/>
      <c r="O143" s="69">
        <f>IF(NOT((COUNTA($B143:$J143)+COUNTA($N143))&gt;0),"",IF((IF($C143="","Falta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",""))="","✔ OK","⚠ "&amp;LEFT(IF($C143="","Falta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",""),LEN(IF($C143="","Falta el nombre de la actividad"&amp;" · ","")&amp;IF(AND($S143="Sub",N($R143)=0),"Subactividad sin macroactividad arriba"&amp;" · ","")&amp;IF($D143="","Sin fecha de inicio"&amp;" · ","")&amp;IF($E143="","Sin fecha límite"&amp;" · ","")&amp;IF(OR(AND($D143&lt;&gt;"",NOT(ISNUMBER($D143))),AND($E143&lt;&gt;"",NOT(ISNUMBER($E143)))),"Fecha no válida"&amp;" · ","")&amp;IF(AND(ISNUMBER($D143),ISNUMBER($E143),$D143&gt;$E143),"Inicio posterior a fecha límite"&amp;" · ","")&amp;IF(AND($S143="Macro",$F143=""),"Peso vacío"&amp;" · ","")&amp;IF(AND($S143="Macro",$F143&lt;&gt;"",OR(NOT(ISNUMBER($F143)),$F143&lt;=0,$F143&gt;1)),"Peso fuera de rango"&amp;" · ","")&amp;IF(AND($S143="Sub",$F143&lt;&gt;"",OR(NOT(ISNUMBER($F143)),$F143&lt;0,$F143&gt;1)),"Peso fuera de rango"&amp;" · ","")&amp;IF(AND($S143="Sub",$F143="",IFERROR(N(INDEX($AG$5:$AG$1000,$R143-4)),0)&gt;0),"Falta el peso de la subactividad"&amp;" · ","")&amp;IF(AND(N($T143)&gt;0,N($AG143)&gt;0,ABS(N($AG143)-N($F143))&gt;0.0001),"Pesos de sus subactividades suman "&amp;TEXT(N($AG143),"0%")&amp;" (deben sumar "&amp;TEXT(N($F143),"0%")&amp;")"&amp;" · ","")&amp;IF(AND($S143="Macro",ABS(SUMIFS($F$5:$F$1000,$P$5:$P$1000,$P143,$S$5:$S$1000,"Macro")-1)&gt;0.0001),"Pesos del mes suman "&amp;TEXT(SUMIFS($F$5:$F$1000,$P$5:$P$1000,$P143,$S$5:$S$1000,"Macro"),"0%")&amp;" · ","")&amp;IF(AND(N($T143)&gt;0,COUNT($G143:$J143)&gt;0),"Con subactividades: deje vacías las semanas (se calculan solas)"&amp;" · ","")&amp;IF((COUNTIF($G143:$J143,"&gt;1")+COUNTIF($G143:$J143,"&lt;0")+COUNTA($G143:$J143)-COUNT($G143:$J143))&gt;0,"Avance fuera de rango 0-100%"&amp;" · ","")&amp;IF(OR(AND($H143&lt;&gt;"",$H143&lt;$G143),AND($I143&lt;&gt;"",$I143&lt;MAX($G143:$H143)),AND($J143&lt;&gt;"",$J143&lt;MAX($G143:$I143))),"Avance semanal decreciente"&amp;" · ","")&amp;IF(AND(ISNUMBER($E143),$E143&lt;FechaRef,N($K143)&lt;1),"Vencida"&amp;" · ","")&amp;IF(AND(ObsObligatoria="Sí",ISNUMBER($E143),$E143&lt;FechaRef,N($K143)&lt;1,$N143=""),"Vencida sin observación"&amp;" · ",""))-3)))</f>
        <v/>
      </c>
      <c r="P143" s="70">
        <f>IF(NOT((COUNTA($B143:$J143)+COUNTA($N143))&gt;0),"",IF(AND($S143="Sub",N($R143)&gt;0),IF(ISNUMBER(INDEX($D$5:$D$1000,$R143-4)),DATE(YEAR(INDEX($D$5:$D$1000,$R143-4)),MONTH(INDEX($D$5:$D$1000,$R143-4)),1),IF(ISNUMBER(INDEX($E$5:$E$1000,$R143-4)),DATE(YEAR(INDEX($E$5:$E$1000,$R143-4)),MONTH(INDEX($E$5:$E$1000,$R143-4)),1),MesCiclo)),IF(ISNUMBER($D143),DATE(YEAR($D143),MONTH($D143),1),IF(ISNUMBER($E143),DATE(YEAR($E143),MONTH($E143),1),MesCiclo))))</f>
        <v/>
      </c>
      <c r="Q143" s="71">
        <f>IF(OR($P143="",$P143&lt;&gt;MesCiclo),"",COUNTIF($P$5:$P143,MesCiclo))</f>
        <v/>
      </c>
      <c r="R143" s="71">
        <f>IF($S143="","",IF($S143="Macro",ROW(),IFERROR(LOOKUP(2,1/($S$5:$S143="Macro"),ROW($S$5:$S143)),0)))</f>
        <v/>
      </c>
      <c r="S143" s="71">
        <f>IF(NOT((COUNTA($B143:$J143)+COUNTA($N143))&gt;0),"",IF($B143="Subactividad","Sub","Macro"))</f>
        <v/>
      </c>
      <c r="T143" s="71">
        <f>IF($S143="Macro",COUNTIFS($R$5:$R$1000,ROW(),$S$5:$S$1000,"Sub"),"")</f>
        <v/>
      </c>
      <c r="U143" s="71">
        <f>IF($S143="","",IF(ISNUMBER($G143),$G143,0))</f>
        <v/>
      </c>
      <c r="V143" s="71">
        <f>IF($S143="","",IF(ISNUMBER($H143),$H143,$U143))</f>
        <v/>
      </c>
      <c r="W143" s="71">
        <f>IF($S143="","",IF(ISNUMBER($I143),$I143,$V143))</f>
        <v/>
      </c>
      <c r="X143" s="71">
        <f>IF($S143="","",IF(ISNUMBER($J143),$J143,$W143))</f>
        <v/>
      </c>
      <c r="Y143" s="71">
        <f>IF($S143="","",IF(N($T143)&gt;0,IF(N($AG143)&gt;0,SUMIFS($AC$5:$AC$1000,$R$5:$R$1000,ROW(),$S$5:$S$1000,"Sub")/$AG143,AVERAGEIFS($U$5:$U$1000,$R$5:$R$1000,ROW(),$S$5:$S$1000,"Sub")),$U143))</f>
        <v/>
      </c>
      <c r="Z143" s="71">
        <f>IF($S143="","",IF(N($T143)&gt;0,IF(N($AG143)&gt;0,SUMIFS($AD$5:$AD$1000,$R$5:$R$1000,ROW(),$S$5:$S$1000,"Sub")/$AG143,AVERAGEIFS($V$5:$V$1000,$R$5:$R$1000,ROW(),$S$5:$S$1000,"Sub")),$V143))</f>
        <v/>
      </c>
      <c r="AA143" s="71">
        <f>IF($S143="","",IF(N($T143)&gt;0,IF(N($AG143)&gt;0,SUMIFS($AE$5:$AE$1000,$R$5:$R$1000,ROW(),$S$5:$S$1000,"Sub")/$AG143,AVERAGEIFS($W$5:$W$1000,$R$5:$R$1000,ROW(),$S$5:$S$1000,"Sub")),$W143))</f>
        <v/>
      </c>
      <c r="AB143" s="71">
        <f>IF($S143="","",IF(N($T143)&gt;0,IF(N($AG143)&gt;0,SUMIFS($AF$5:$AF$1000,$R$5:$R$1000,ROW(),$S$5:$S$1000,"Sub")/$AG143,AVERAGEIFS($X$5:$X$1000,$R$5:$R$1000,ROW(),$S$5:$S$1000,"Sub")),$X143))</f>
        <v/>
      </c>
      <c r="AC143" s="71">
        <f>IF($S143="Sub",N($F143)*N($U143),"")</f>
        <v/>
      </c>
      <c r="AD143" s="71">
        <f>IF($S143="Sub",N($F143)*N($V143),"")</f>
        <v/>
      </c>
      <c r="AE143" s="71">
        <f>IF($S143="Sub",N($F143)*N($W143),"")</f>
        <v/>
      </c>
      <c r="AF143" s="71">
        <f>IF($S143="Sub",N($F143)*N($X143),"")</f>
        <v/>
      </c>
      <c r="AG143" s="71">
        <f>IF(N($T143)&gt;0,SUMIFS($F$5:$F$1000,$R$5:$R$1000,ROW(),$S$5:$S$1000,"Sub"),"")</f>
        <v/>
      </c>
    </row>
    <row r="144">
      <c r="A144" s="62">
        <f>IF(NOT((COUNTA($B144:$J144)+COUNTA($N144))&gt;0),"",IF($S144="Macro",COUNTIFS($S$5:$S144,"Macro",$P$5:$P144,$P144),IF(N($R144)=0,"?",COUNTIFS(INDEX($S$5:$S$1000,1):INDEX($S$5:$S$1000,$R144-4),"Macro",INDEX($P$5:$P$1000,1):INDEX($P$5:$P$1000,$R144-4),INDEX($P$5:$P$1000,$R144-4))&amp;"."&amp;COUNTIFS($R$5:$R144,$R144,$S$5:$S144,"Sub"))))</f>
        <v/>
      </c>
      <c r="B144" s="63" t="n"/>
      <c r="C144" s="64" t="n"/>
      <c r="D144" s="65" t="n"/>
      <c r="E144" s="65" t="n"/>
      <c r="F144" s="66" t="n"/>
      <c r="G144" s="67" t="n"/>
      <c r="H144" s="67" t="n"/>
      <c r="I144" s="67" t="n"/>
      <c r="J144" s="67" t="n"/>
      <c r="K144" s="68">
        <f>IF(NOT((COUNTA($B144:$J144)+COUNTA($N144))&gt;0),"",IF(N($T144)&gt;0,$AB144,IFERROR(LOOKUP(2,1/(G144:J144&lt;&gt;""),G144:J144),0)))</f>
        <v/>
      </c>
      <c r="L144" s="62">
        <f>IF(K144="","",IF(K144&gt;=1,"Completado",IF(K144&gt;0,"En curso","Pendiente")))</f>
        <v/>
      </c>
      <c r="M144" s="62">
        <f>IF(NOT((COUNTA($B144:$J144)+COUNTA($N144))&gt;0),"",IF(N($K144)&gt;=1,"Cumplida",IF(NOT(ISNUMBER($E144)),"Sin fecha límite",IF($E144&lt;FechaRef,"Vencida hace "&amp;(FechaRef-$E144)&amp;IF(FechaRef-$E144=1," día"," días"),IF($E144=FechaRef,"Vence hoy",IF($E144-FechaRef&lt;=DiasAlerta,"Vence en "&amp;($E144-FechaRef)&amp;IF($E144-FechaRef=1," día"," días"),"En plazo"))))))</f>
        <v/>
      </c>
      <c r="N144" s="64" t="n"/>
      <c r="O144" s="69">
        <f>IF(NOT((COUNTA($B144:$J144)+COUNTA($N144))&gt;0),"",IF((IF($C144="","Falta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",""))="","✔ OK","⚠ "&amp;LEFT(IF($C144="","Falta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",""),LEN(IF($C144="","Falta el nombre de la actividad"&amp;" · ","")&amp;IF(AND($S144="Sub",N($R144)=0),"Subactividad sin macroactividad arriba"&amp;" · ","")&amp;IF($D144="","Sin fecha de inicio"&amp;" · ","")&amp;IF($E144="","Sin fecha límite"&amp;" · ","")&amp;IF(OR(AND($D144&lt;&gt;"",NOT(ISNUMBER($D144))),AND($E144&lt;&gt;"",NOT(ISNUMBER($E144)))),"Fecha no válida"&amp;" · ","")&amp;IF(AND(ISNUMBER($D144),ISNUMBER($E144),$D144&gt;$E144),"Inicio posterior a fecha límite"&amp;" · ","")&amp;IF(AND($S144="Macro",$F144=""),"Peso vacío"&amp;" · ","")&amp;IF(AND($S144="Macro",$F144&lt;&gt;"",OR(NOT(ISNUMBER($F144)),$F144&lt;=0,$F144&gt;1)),"Peso fuera de rango"&amp;" · ","")&amp;IF(AND($S144="Sub",$F144&lt;&gt;"",OR(NOT(ISNUMBER($F144)),$F144&lt;0,$F144&gt;1)),"Peso fuera de rango"&amp;" · ","")&amp;IF(AND($S144="Sub",$F144="",IFERROR(N(INDEX($AG$5:$AG$1000,$R144-4)),0)&gt;0),"Falta el peso de la subactividad"&amp;" · ","")&amp;IF(AND(N($T144)&gt;0,N($AG144)&gt;0,ABS(N($AG144)-N($F144))&gt;0.0001),"Pesos de sus subactividades suman "&amp;TEXT(N($AG144),"0%")&amp;" (deben sumar "&amp;TEXT(N($F144),"0%")&amp;")"&amp;" · ","")&amp;IF(AND($S144="Macro",ABS(SUMIFS($F$5:$F$1000,$P$5:$P$1000,$P144,$S$5:$S$1000,"Macro")-1)&gt;0.0001),"Pesos del mes suman "&amp;TEXT(SUMIFS($F$5:$F$1000,$P$5:$P$1000,$P144,$S$5:$S$1000,"Macro"),"0%")&amp;" · ","")&amp;IF(AND(N($T144)&gt;0,COUNT($G144:$J144)&gt;0),"Con subactividades: deje vacías las semanas (se calculan solas)"&amp;" · ","")&amp;IF((COUNTIF($G144:$J144,"&gt;1")+COUNTIF($G144:$J144,"&lt;0")+COUNTA($G144:$J144)-COUNT($G144:$J144))&gt;0,"Avance fuera de rango 0-100%"&amp;" · ","")&amp;IF(OR(AND($H144&lt;&gt;"",$H144&lt;$G144),AND($I144&lt;&gt;"",$I144&lt;MAX($G144:$H144)),AND($J144&lt;&gt;"",$J144&lt;MAX($G144:$I144))),"Avance semanal decreciente"&amp;" · ","")&amp;IF(AND(ISNUMBER($E144),$E144&lt;FechaRef,N($K144)&lt;1),"Vencida"&amp;" · ","")&amp;IF(AND(ObsObligatoria="Sí",ISNUMBER($E144),$E144&lt;FechaRef,N($K144)&lt;1,$N144=""),"Vencida sin observación"&amp;" · ",""))-3)))</f>
        <v/>
      </c>
      <c r="P144" s="70">
        <f>IF(NOT((COUNTA($B144:$J144)+COUNTA($N144))&gt;0),"",IF(AND($S144="Sub",N($R144)&gt;0),IF(ISNUMBER(INDEX($D$5:$D$1000,$R144-4)),DATE(YEAR(INDEX($D$5:$D$1000,$R144-4)),MONTH(INDEX($D$5:$D$1000,$R144-4)),1),IF(ISNUMBER(INDEX($E$5:$E$1000,$R144-4)),DATE(YEAR(INDEX($E$5:$E$1000,$R144-4)),MONTH(INDEX($E$5:$E$1000,$R144-4)),1),MesCiclo)),IF(ISNUMBER($D144),DATE(YEAR($D144),MONTH($D144),1),IF(ISNUMBER($E144),DATE(YEAR($E144),MONTH($E144),1),MesCiclo))))</f>
        <v/>
      </c>
      <c r="Q144" s="71">
        <f>IF(OR($P144="",$P144&lt;&gt;MesCiclo),"",COUNTIF($P$5:$P144,MesCiclo))</f>
        <v/>
      </c>
      <c r="R144" s="71">
        <f>IF($S144="","",IF($S144="Macro",ROW(),IFERROR(LOOKUP(2,1/($S$5:$S144="Macro"),ROW($S$5:$S144)),0)))</f>
        <v/>
      </c>
      <c r="S144" s="71">
        <f>IF(NOT((COUNTA($B144:$J144)+COUNTA($N144))&gt;0),"",IF($B144="Subactividad","Sub","Macro"))</f>
        <v/>
      </c>
      <c r="T144" s="71">
        <f>IF($S144="Macro",COUNTIFS($R$5:$R$1000,ROW(),$S$5:$S$1000,"Sub"),"")</f>
        <v/>
      </c>
      <c r="U144" s="71">
        <f>IF($S144="","",IF(ISNUMBER($G144),$G144,0))</f>
        <v/>
      </c>
      <c r="V144" s="71">
        <f>IF($S144="","",IF(ISNUMBER($H144),$H144,$U144))</f>
        <v/>
      </c>
      <c r="W144" s="71">
        <f>IF($S144="","",IF(ISNUMBER($I144),$I144,$V144))</f>
        <v/>
      </c>
      <c r="X144" s="71">
        <f>IF($S144="","",IF(ISNUMBER($J144),$J144,$W144))</f>
        <v/>
      </c>
      <c r="Y144" s="71">
        <f>IF($S144="","",IF(N($T144)&gt;0,IF(N($AG144)&gt;0,SUMIFS($AC$5:$AC$1000,$R$5:$R$1000,ROW(),$S$5:$S$1000,"Sub")/$AG144,AVERAGEIFS($U$5:$U$1000,$R$5:$R$1000,ROW(),$S$5:$S$1000,"Sub")),$U144))</f>
        <v/>
      </c>
      <c r="Z144" s="71">
        <f>IF($S144="","",IF(N($T144)&gt;0,IF(N($AG144)&gt;0,SUMIFS($AD$5:$AD$1000,$R$5:$R$1000,ROW(),$S$5:$S$1000,"Sub")/$AG144,AVERAGEIFS($V$5:$V$1000,$R$5:$R$1000,ROW(),$S$5:$S$1000,"Sub")),$V144))</f>
        <v/>
      </c>
      <c r="AA144" s="71">
        <f>IF($S144="","",IF(N($T144)&gt;0,IF(N($AG144)&gt;0,SUMIFS($AE$5:$AE$1000,$R$5:$R$1000,ROW(),$S$5:$S$1000,"Sub")/$AG144,AVERAGEIFS($W$5:$W$1000,$R$5:$R$1000,ROW(),$S$5:$S$1000,"Sub")),$W144))</f>
        <v/>
      </c>
      <c r="AB144" s="71">
        <f>IF($S144="","",IF(N($T144)&gt;0,IF(N($AG144)&gt;0,SUMIFS($AF$5:$AF$1000,$R$5:$R$1000,ROW(),$S$5:$S$1000,"Sub")/$AG144,AVERAGEIFS($X$5:$X$1000,$R$5:$R$1000,ROW(),$S$5:$S$1000,"Sub")),$X144))</f>
        <v/>
      </c>
      <c r="AC144" s="71">
        <f>IF($S144="Sub",N($F144)*N($U144),"")</f>
        <v/>
      </c>
      <c r="AD144" s="71">
        <f>IF($S144="Sub",N($F144)*N($V144),"")</f>
        <v/>
      </c>
      <c r="AE144" s="71">
        <f>IF($S144="Sub",N($F144)*N($W144),"")</f>
        <v/>
      </c>
      <c r="AF144" s="71">
        <f>IF($S144="Sub",N($F144)*N($X144),"")</f>
        <v/>
      </c>
      <c r="AG144" s="71">
        <f>IF(N($T144)&gt;0,SUMIFS($F$5:$F$1000,$R$5:$R$1000,ROW(),$S$5:$S$1000,"Sub"),"")</f>
        <v/>
      </c>
    </row>
    <row r="145">
      <c r="A145" s="62">
        <f>IF(NOT((COUNTA($B145:$J145)+COUNTA($N145))&gt;0),"",IF($S145="Macro",COUNTIFS($S$5:$S145,"Macro",$P$5:$P145,$P145),IF(N($R145)=0,"?",COUNTIFS(INDEX($S$5:$S$1000,1):INDEX($S$5:$S$1000,$R145-4),"Macro",INDEX($P$5:$P$1000,1):INDEX($P$5:$P$1000,$R145-4),INDEX($P$5:$P$1000,$R145-4))&amp;"."&amp;COUNTIFS($R$5:$R145,$R145,$S$5:$S145,"Sub"))))</f>
        <v/>
      </c>
      <c r="B145" s="63" t="n"/>
      <c r="C145" s="64" t="n"/>
      <c r="D145" s="65" t="n"/>
      <c r="E145" s="65" t="n"/>
      <c r="F145" s="66" t="n"/>
      <c r="G145" s="67" t="n"/>
      <c r="H145" s="67" t="n"/>
      <c r="I145" s="67" t="n"/>
      <c r="J145" s="67" t="n"/>
      <c r="K145" s="68">
        <f>IF(NOT((COUNTA($B145:$J145)+COUNTA($N145))&gt;0),"",IF(N($T145)&gt;0,$AB145,IFERROR(LOOKUP(2,1/(G145:J145&lt;&gt;""),G145:J145),0)))</f>
        <v/>
      </c>
      <c r="L145" s="62">
        <f>IF(K145="","",IF(K145&gt;=1,"Completado",IF(K145&gt;0,"En curso","Pendiente")))</f>
        <v/>
      </c>
      <c r="M145" s="62">
        <f>IF(NOT((COUNTA($B145:$J145)+COUNTA($N145))&gt;0),"",IF(N($K145)&gt;=1,"Cumplida",IF(NOT(ISNUMBER($E145)),"Sin fecha límite",IF($E145&lt;FechaRef,"Vencida hace "&amp;(FechaRef-$E145)&amp;IF(FechaRef-$E145=1," día"," días"),IF($E145=FechaRef,"Vence hoy",IF($E145-FechaRef&lt;=DiasAlerta,"Vence en "&amp;($E145-FechaRef)&amp;IF($E145-FechaRef=1," día"," días"),"En plazo"))))))</f>
        <v/>
      </c>
      <c r="N145" s="64" t="n"/>
      <c r="O145" s="69">
        <f>IF(NOT((COUNTA($B145:$J145)+COUNTA($N145))&gt;0),"",IF((IF($C145="","Falta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",""))="","✔ OK","⚠ "&amp;LEFT(IF($C145="","Falta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",""),LEN(IF($C145="","Falta el nombre de la actividad"&amp;" · ","")&amp;IF(AND($S145="Sub",N($R145)=0),"Subactividad sin macroactividad arriba"&amp;" · ","")&amp;IF($D145="","Sin fecha de inicio"&amp;" · ","")&amp;IF($E145="","Sin fecha límite"&amp;" · ","")&amp;IF(OR(AND($D145&lt;&gt;"",NOT(ISNUMBER($D145))),AND($E145&lt;&gt;"",NOT(ISNUMBER($E145)))),"Fecha no válida"&amp;" · ","")&amp;IF(AND(ISNUMBER($D145),ISNUMBER($E145),$D145&gt;$E145),"Inicio posterior a fecha límite"&amp;" · ","")&amp;IF(AND($S145="Macro",$F145=""),"Peso vacío"&amp;" · ","")&amp;IF(AND($S145="Macro",$F145&lt;&gt;"",OR(NOT(ISNUMBER($F145)),$F145&lt;=0,$F145&gt;1)),"Peso fuera de rango"&amp;" · ","")&amp;IF(AND($S145="Sub",$F145&lt;&gt;"",OR(NOT(ISNUMBER($F145)),$F145&lt;0,$F145&gt;1)),"Peso fuera de rango"&amp;" · ","")&amp;IF(AND($S145="Sub",$F145="",IFERROR(N(INDEX($AG$5:$AG$1000,$R145-4)),0)&gt;0),"Falta el peso de la subactividad"&amp;" · ","")&amp;IF(AND(N($T145)&gt;0,N($AG145)&gt;0,ABS(N($AG145)-N($F145))&gt;0.0001),"Pesos de sus subactividades suman "&amp;TEXT(N($AG145),"0%")&amp;" (deben sumar "&amp;TEXT(N($F145),"0%")&amp;")"&amp;" · ","")&amp;IF(AND($S145="Macro",ABS(SUMIFS($F$5:$F$1000,$P$5:$P$1000,$P145,$S$5:$S$1000,"Macro")-1)&gt;0.0001),"Pesos del mes suman "&amp;TEXT(SUMIFS($F$5:$F$1000,$P$5:$P$1000,$P145,$S$5:$S$1000,"Macro"),"0%")&amp;" · ","")&amp;IF(AND(N($T145)&gt;0,COUNT($G145:$J145)&gt;0),"Con subactividades: deje vacías las semanas (se calculan solas)"&amp;" · ","")&amp;IF((COUNTIF($G145:$J145,"&gt;1")+COUNTIF($G145:$J145,"&lt;0")+COUNTA($G145:$J145)-COUNT($G145:$J145))&gt;0,"Avance fuera de rango 0-100%"&amp;" · ","")&amp;IF(OR(AND($H145&lt;&gt;"",$H145&lt;$G145),AND($I145&lt;&gt;"",$I145&lt;MAX($G145:$H145)),AND($J145&lt;&gt;"",$J145&lt;MAX($G145:$I145))),"Avance semanal decreciente"&amp;" · ","")&amp;IF(AND(ISNUMBER($E145),$E145&lt;FechaRef,N($K145)&lt;1),"Vencida"&amp;" · ","")&amp;IF(AND(ObsObligatoria="Sí",ISNUMBER($E145),$E145&lt;FechaRef,N($K145)&lt;1,$N145=""),"Vencida sin observación"&amp;" · ",""))-3)))</f>
        <v/>
      </c>
      <c r="P145" s="70">
        <f>IF(NOT((COUNTA($B145:$J145)+COUNTA($N145))&gt;0),"",IF(AND($S145="Sub",N($R145)&gt;0),IF(ISNUMBER(INDEX($D$5:$D$1000,$R145-4)),DATE(YEAR(INDEX($D$5:$D$1000,$R145-4)),MONTH(INDEX($D$5:$D$1000,$R145-4)),1),IF(ISNUMBER(INDEX($E$5:$E$1000,$R145-4)),DATE(YEAR(INDEX($E$5:$E$1000,$R145-4)),MONTH(INDEX($E$5:$E$1000,$R145-4)),1),MesCiclo)),IF(ISNUMBER($D145),DATE(YEAR($D145),MONTH($D145),1),IF(ISNUMBER($E145),DATE(YEAR($E145),MONTH($E145),1),MesCiclo))))</f>
        <v/>
      </c>
      <c r="Q145" s="71">
        <f>IF(OR($P145="",$P145&lt;&gt;MesCiclo),"",COUNTIF($P$5:$P145,MesCiclo))</f>
        <v/>
      </c>
      <c r="R145" s="71">
        <f>IF($S145="","",IF($S145="Macro",ROW(),IFERROR(LOOKUP(2,1/($S$5:$S145="Macro"),ROW($S$5:$S145)),0)))</f>
        <v/>
      </c>
      <c r="S145" s="71">
        <f>IF(NOT((COUNTA($B145:$J145)+COUNTA($N145))&gt;0),"",IF($B145="Subactividad","Sub","Macro"))</f>
        <v/>
      </c>
      <c r="T145" s="71">
        <f>IF($S145="Macro",COUNTIFS($R$5:$R$1000,ROW(),$S$5:$S$1000,"Sub"),"")</f>
        <v/>
      </c>
      <c r="U145" s="71">
        <f>IF($S145="","",IF(ISNUMBER($G145),$G145,0))</f>
        <v/>
      </c>
      <c r="V145" s="71">
        <f>IF($S145="","",IF(ISNUMBER($H145),$H145,$U145))</f>
        <v/>
      </c>
      <c r="W145" s="71">
        <f>IF($S145="","",IF(ISNUMBER($I145),$I145,$V145))</f>
        <v/>
      </c>
      <c r="X145" s="71">
        <f>IF($S145="","",IF(ISNUMBER($J145),$J145,$W145))</f>
        <v/>
      </c>
      <c r="Y145" s="71">
        <f>IF($S145="","",IF(N($T145)&gt;0,IF(N($AG145)&gt;0,SUMIFS($AC$5:$AC$1000,$R$5:$R$1000,ROW(),$S$5:$S$1000,"Sub")/$AG145,AVERAGEIFS($U$5:$U$1000,$R$5:$R$1000,ROW(),$S$5:$S$1000,"Sub")),$U145))</f>
        <v/>
      </c>
      <c r="Z145" s="71">
        <f>IF($S145="","",IF(N($T145)&gt;0,IF(N($AG145)&gt;0,SUMIFS($AD$5:$AD$1000,$R$5:$R$1000,ROW(),$S$5:$S$1000,"Sub")/$AG145,AVERAGEIFS($V$5:$V$1000,$R$5:$R$1000,ROW(),$S$5:$S$1000,"Sub")),$V145))</f>
        <v/>
      </c>
      <c r="AA145" s="71">
        <f>IF($S145="","",IF(N($T145)&gt;0,IF(N($AG145)&gt;0,SUMIFS($AE$5:$AE$1000,$R$5:$R$1000,ROW(),$S$5:$S$1000,"Sub")/$AG145,AVERAGEIFS($W$5:$W$1000,$R$5:$R$1000,ROW(),$S$5:$S$1000,"Sub")),$W145))</f>
        <v/>
      </c>
      <c r="AB145" s="71">
        <f>IF($S145="","",IF(N($T145)&gt;0,IF(N($AG145)&gt;0,SUMIFS($AF$5:$AF$1000,$R$5:$R$1000,ROW(),$S$5:$S$1000,"Sub")/$AG145,AVERAGEIFS($X$5:$X$1000,$R$5:$R$1000,ROW(),$S$5:$S$1000,"Sub")),$X145))</f>
        <v/>
      </c>
      <c r="AC145" s="71">
        <f>IF($S145="Sub",N($F145)*N($U145),"")</f>
        <v/>
      </c>
      <c r="AD145" s="71">
        <f>IF($S145="Sub",N($F145)*N($V145),"")</f>
        <v/>
      </c>
      <c r="AE145" s="71">
        <f>IF($S145="Sub",N($F145)*N($W145),"")</f>
        <v/>
      </c>
      <c r="AF145" s="71">
        <f>IF($S145="Sub",N($F145)*N($X145),"")</f>
        <v/>
      </c>
      <c r="AG145" s="71">
        <f>IF(N($T145)&gt;0,SUMIFS($F$5:$F$1000,$R$5:$R$1000,ROW(),$S$5:$S$1000,"Sub"),"")</f>
        <v/>
      </c>
    </row>
    <row r="146">
      <c r="A146" s="62">
        <f>IF(NOT((COUNTA($B146:$J146)+COUNTA($N146))&gt;0),"",IF($S146="Macro",COUNTIFS($S$5:$S146,"Macro",$P$5:$P146,$P146),IF(N($R146)=0,"?",COUNTIFS(INDEX($S$5:$S$1000,1):INDEX($S$5:$S$1000,$R146-4),"Macro",INDEX($P$5:$P$1000,1):INDEX($P$5:$P$1000,$R146-4),INDEX($P$5:$P$1000,$R146-4))&amp;"."&amp;COUNTIFS($R$5:$R146,$R146,$S$5:$S146,"Sub"))))</f>
        <v/>
      </c>
      <c r="B146" s="63" t="n"/>
      <c r="C146" s="64" t="n"/>
      <c r="D146" s="65" t="n"/>
      <c r="E146" s="65" t="n"/>
      <c r="F146" s="66" t="n"/>
      <c r="G146" s="67" t="n"/>
      <c r="H146" s="67" t="n"/>
      <c r="I146" s="67" t="n"/>
      <c r="J146" s="67" t="n"/>
      <c r="K146" s="68">
        <f>IF(NOT((COUNTA($B146:$J146)+COUNTA($N146))&gt;0),"",IF(N($T146)&gt;0,$AB146,IFERROR(LOOKUP(2,1/(G146:J146&lt;&gt;""),G146:J146),0)))</f>
        <v/>
      </c>
      <c r="L146" s="62">
        <f>IF(K146="","",IF(K146&gt;=1,"Completado",IF(K146&gt;0,"En curso","Pendiente")))</f>
        <v/>
      </c>
      <c r="M146" s="62">
        <f>IF(NOT((COUNTA($B146:$J146)+COUNTA($N146))&gt;0),"",IF(N($K146)&gt;=1,"Cumplida",IF(NOT(ISNUMBER($E146)),"Sin fecha límite",IF($E146&lt;FechaRef,"Vencida hace "&amp;(FechaRef-$E146)&amp;IF(FechaRef-$E146=1," día"," días"),IF($E146=FechaRef,"Vence hoy",IF($E146-FechaRef&lt;=DiasAlerta,"Vence en "&amp;($E146-FechaRef)&amp;IF($E146-FechaRef=1," día"," días"),"En plazo"))))))</f>
        <v/>
      </c>
      <c r="N146" s="64" t="n"/>
      <c r="O146" s="69">
        <f>IF(NOT((COUNTA($B146:$J146)+COUNTA($N146))&gt;0),"",IF((IF($C146="","Falta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",""))="","✔ OK","⚠ "&amp;LEFT(IF($C146="","Falta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",""),LEN(IF($C146="","Falta el nombre de la actividad"&amp;" · ","")&amp;IF(AND($S146="Sub",N($R146)=0),"Subactividad sin macroactividad arriba"&amp;" · ","")&amp;IF($D146="","Sin fecha de inicio"&amp;" · ","")&amp;IF($E146="","Sin fecha límite"&amp;" · ","")&amp;IF(OR(AND($D146&lt;&gt;"",NOT(ISNUMBER($D146))),AND($E146&lt;&gt;"",NOT(ISNUMBER($E146)))),"Fecha no válida"&amp;" · ","")&amp;IF(AND(ISNUMBER($D146),ISNUMBER($E146),$D146&gt;$E146),"Inicio posterior a fecha límite"&amp;" · ","")&amp;IF(AND($S146="Macro",$F146=""),"Peso vacío"&amp;" · ","")&amp;IF(AND($S146="Macro",$F146&lt;&gt;"",OR(NOT(ISNUMBER($F146)),$F146&lt;=0,$F146&gt;1)),"Peso fuera de rango"&amp;" · ","")&amp;IF(AND($S146="Sub",$F146&lt;&gt;"",OR(NOT(ISNUMBER($F146)),$F146&lt;0,$F146&gt;1)),"Peso fuera de rango"&amp;" · ","")&amp;IF(AND($S146="Sub",$F146="",IFERROR(N(INDEX($AG$5:$AG$1000,$R146-4)),0)&gt;0),"Falta el peso de la subactividad"&amp;" · ","")&amp;IF(AND(N($T146)&gt;0,N($AG146)&gt;0,ABS(N($AG146)-N($F146))&gt;0.0001),"Pesos de sus subactividades suman "&amp;TEXT(N($AG146),"0%")&amp;" (deben sumar "&amp;TEXT(N($F146),"0%")&amp;")"&amp;" · ","")&amp;IF(AND($S146="Macro",ABS(SUMIFS($F$5:$F$1000,$P$5:$P$1000,$P146,$S$5:$S$1000,"Macro")-1)&gt;0.0001),"Pesos del mes suman "&amp;TEXT(SUMIFS($F$5:$F$1000,$P$5:$P$1000,$P146,$S$5:$S$1000,"Macro"),"0%")&amp;" · ","")&amp;IF(AND(N($T146)&gt;0,COUNT($G146:$J146)&gt;0),"Con subactividades: deje vacías las semanas (se calculan solas)"&amp;" · ","")&amp;IF((COUNTIF($G146:$J146,"&gt;1")+COUNTIF($G146:$J146,"&lt;0")+COUNTA($G146:$J146)-COUNT($G146:$J146))&gt;0,"Avance fuera de rango 0-100%"&amp;" · ","")&amp;IF(OR(AND($H146&lt;&gt;"",$H146&lt;$G146),AND($I146&lt;&gt;"",$I146&lt;MAX($G146:$H146)),AND($J146&lt;&gt;"",$J146&lt;MAX($G146:$I146))),"Avance semanal decreciente"&amp;" · ","")&amp;IF(AND(ISNUMBER($E146),$E146&lt;FechaRef,N($K146)&lt;1),"Vencida"&amp;" · ","")&amp;IF(AND(ObsObligatoria="Sí",ISNUMBER($E146),$E146&lt;FechaRef,N($K146)&lt;1,$N146=""),"Vencida sin observación"&amp;" · ",""))-3)))</f>
        <v/>
      </c>
      <c r="P146" s="70">
        <f>IF(NOT((COUNTA($B146:$J146)+COUNTA($N146))&gt;0),"",IF(AND($S146="Sub",N($R146)&gt;0),IF(ISNUMBER(INDEX($D$5:$D$1000,$R146-4)),DATE(YEAR(INDEX($D$5:$D$1000,$R146-4)),MONTH(INDEX($D$5:$D$1000,$R146-4)),1),IF(ISNUMBER(INDEX($E$5:$E$1000,$R146-4)),DATE(YEAR(INDEX($E$5:$E$1000,$R146-4)),MONTH(INDEX($E$5:$E$1000,$R146-4)),1),MesCiclo)),IF(ISNUMBER($D146),DATE(YEAR($D146),MONTH($D146),1),IF(ISNUMBER($E146),DATE(YEAR($E146),MONTH($E146),1),MesCiclo))))</f>
        <v/>
      </c>
      <c r="Q146" s="71">
        <f>IF(OR($P146="",$P146&lt;&gt;MesCiclo),"",COUNTIF($P$5:$P146,MesCiclo))</f>
        <v/>
      </c>
      <c r="R146" s="71">
        <f>IF($S146="","",IF($S146="Macro",ROW(),IFERROR(LOOKUP(2,1/($S$5:$S146="Macro"),ROW($S$5:$S146)),0)))</f>
        <v/>
      </c>
      <c r="S146" s="71">
        <f>IF(NOT((COUNTA($B146:$J146)+COUNTA($N146))&gt;0),"",IF($B146="Subactividad","Sub","Macro"))</f>
        <v/>
      </c>
      <c r="T146" s="71">
        <f>IF($S146="Macro",COUNTIFS($R$5:$R$1000,ROW(),$S$5:$S$1000,"Sub"),"")</f>
        <v/>
      </c>
      <c r="U146" s="71">
        <f>IF($S146="","",IF(ISNUMBER($G146),$G146,0))</f>
        <v/>
      </c>
      <c r="V146" s="71">
        <f>IF($S146="","",IF(ISNUMBER($H146),$H146,$U146))</f>
        <v/>
      </c>
      <c r="W146" s="71">
        <f>IF($S146="","",IF(ISNUMBER($I146),$I146,$V146))</f>
        <v/>
      </c>
      <c r="X146" s="71">
        <f>IF($S146="","",IF(ISNUMBER($J146),$J146,$W146))</f>
        <v/>
      </c>
      <c r="Y146" s="71">
        <f>IF($S146="","",IF(N($T146)&gt;0,IF(N($AG146)&gt;0,SUMIFS($AC$5:$AC$1000,$R$5:$R$1000,ROW(),$S$5:$S$1000,"Sub")/$AG146,AVERAGEIFS($U$5:$U$1000,$R$5:$R$1000,ROW(),$S$5:$S$1000,"Sub")),$U146))</f>
        <v/>
      </c>
      <c r="Z146" s="71">
        <f>IF($S146="","",IF(N($T146)&gt;0,IF(N($AG146)&gt;0,SUMIFS($AD$5:$AD$1000,$R$5:$R$1000,ROW(),$S$5:$S$1000,"Sub")/$AG146,AVERAGEIFS($V$5:$V$1000,$R$5:$R$1000,ROW(),$S$5:$S$1000,"Sub")),$V146))</f>
        <v/>
      </c>
      <c r="AA146" s="71">
        <f>IF($S146="","",IF(N($T146)&gt;0,IF(N($AG146)&gt;0,SUMIFS($AE$5:$AE$1000,$R$5:$R$1000,ROW(),$S$5:$S$1000,"Sub")/$AG146,AVERAGEIFS($W$5:$W$1000,$R$5:$R$1000,ROW(),$S$5:$S$1000,"Sub")),$W146))</f>
        <v/>
      </c>
      <c r="AB146" s="71">
        <f>IF($S146="","",IF(N($T146)&gt;0,IF(N($AG146)&gt;0,SUMIFS($AF$5:$AF$1000,$R$5:$R$1000,ROW(),$S$5:$S$1000,"Sub")/$AG146,AVERAGEIFS($X$5:$X$1000,$R$5:$R$1000,ROW(),$S$5:$S$1000,"Sub")),$X146))</f>
        <v/>
      </c>
      <c r="AC146" s="71">
        <f>IF($S146="Sub",N($F146)*N($U146),"")</f>
        <v/>
      </c>
      <c r="AD146" s="71">
        <f>IF($S146="Sub",N($F146)*N($V146),"")</f>
        <v/>
      </c>
      <c r="AE146" s="71">
        <f>IF($S146="Sub",N($F146)*N($W146),"")</f>
        <v/>
      </c>
      <c r="AF146" s="71">
        <f>IF($S146="Sub",N($F146)*N($X146),"")</f>
        <v/>
      </c>
      <c r="AG146" s="71">
        <f>IF(N($T146)&gt;0,SUMIFS($F$5:$F$1000,$R$5:$R$1000,ROW(),$S$5:$S$1000,"Sub"),"")</f>
        <v/>
      </c>
    </row>
    <row r="147">
      <c r="A147" s="62">
        <f>IF(NOT((COUNTA($B147:$J147)+COUNTA($N147))&gt;0),"",IF($S147="Macro",COUNTIFS($S$5:$S147,"Macro",$P$5:$P147,$P147),IF(N($R147)=0,"?",COUNTIFS(INDEX($S$5:$S$1000,1):INDEX($S$5:$S$1000,$R147-4),"Macro",INDEX($P$5:$P$1000,1):INDEX($P$5:$P$1000,$R147-4),INDEX($P$5:$P$1000,$R147-4))&amp;"."&amp;COUNTIFS($R$5:$R147,$R147,$S$5:$S147,"Sub"))))</f>
        <v/>
      </c>
      <c r="B147" s="63" t="n"/>
      <c r="C147" s="64" t="n"/>
      <c r="D147" s="65" t="n"/>
      <c r="E147" s="65" t="n"/>
      <c r="F147" s="66" t="n"/>
      <c r="G147" s="67" t="n"/>
      <c r="H147" s="67" t="n"/>
      <c r="I147" s="67" t="n"/>
      <c r="J147" s="67" t="n"/>
      <c r="K147" s="68">
        <f>IF(NOT((COUNTA($B147:$J147)+COUNTA($N147))&gt;0),"",IF(N($T147)&gt;0,$AB147,IFERROR(LOOKUP(2,1/(G147:J147&lt;&gt;""),G147:J147),0)))</f>
        <v/>
      </c>
      <c r="L147" s="62">
        <f>IF(K147="","",IF(K147&gt;=1,"Completado",IF(K147&gt;0,"En curso","Pendiente")))</f>
        <v/>
      </c>
      <c r="M147" s="62">
        <f>IF(NOT((COUNTA($B147:$J147)+COUNTA($N147))&gt;0),"",IF(N($K147)&gt;=1,"Cumplida",IF(NOT(ISNUMBER($E147)),"Sin fecha límite",IF($E147&lt;FechaRef,"Vencida hace "&amp;(FechaRef-$E147)&amp;IF(FechaRef-$E147=1," día"," días"),IF($E147=FechaRef,"Vence hoy",IF($E147-FechaRef&lt;=DiasAlerta,"Vence en "&amp;($E147-FechaRef)&amp;IF($E147-FechaRef=1," día"," días"),"En plazo"))))))</f>
        <v/>
      </c>
      <c r="N147" s="64" t="n"/>
      <c r="O147" s="69">
        <f>IF(NOT((COUNTA($B147:$J147)+COUNTA($N147))&gt;0),"",IF((IF($C147="","Falta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",""))="","✔ OK","⚠ "&amp;LEFT(IF($C147="","Falta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",""),LEN(IF($C147="","Falta el nombre de la actividad"&amp;" · ","")&amp;IF(AND($S147="Sub",N($R147)=0),"Subactividad sin macroactividad arriba"&amp;" · ","")&amp;IF($D147="","Sin fecha de inicio"&amp;" · ","")&amp;IF($E147="","Sin fecha límite"&amp;" · ","")&amp;IF(OR(AND($D147&lt;&gt;"",NOT(ISNUMBER($D147))),AND($E147&lt;&gt;"",NOT(ISNUMBER($E147)))),"Fecha no válida"&amp;" · ","")&amp;IF(AND(ISNUMBER($D147),ISNUMBER($E147),$D147&gt;$E147),"Inicio posterior a fecha límite"&amp;" · ","")&amp;IF(AND($S147="Macro",$F147=""),"Peso vacío"&amp;" · ","")&amp;IF(AND($S147="Macro",$F147&lt;&gt;"",OR(NOT(ISNUMBER($F147)),$F147&lt;=0,$F147&gt;1)),"Peso fuera de rango"&amp;" · ","")&amp;IF(AND($S147="Sub",$F147&lt;&gt;"",OR(NOT(ISNUMBER($F147)),$F147&lt;0,$F147&gt;1)),"Peso fuera de rango"&amp;" · ","")&amp;IF(AND($S147="Sub",$F147="",IFERROR(N(INDEX($AG$5:$AG$1000,$R147-4)),0)&gt;0),"Falta el peso de la subactividad"&amp;" · ","")&amp;IF(AND(N($T147)&gt;0,N($AG147)&gt;0,ABS(N($AG147)-N($F147))&gt;0.0001),"Pesos de sus subactividades suman "&amp;TEXT(N($AG147),"0%")&amp;" (deben sumar "&amp;TEXT(N($F147),"0%")&amp;")"&amp;" · ","")&amp;IF(AND($S147="Macro",ABS(SUMIFS($F$5:$F$1000,$P$5:$P$1000,$P147,$S$5:$S$1000,"Macro")-1)&gt;0.0001),"Pesos del mes suman "&amp;TEXT(SUMIFS($F$5:$F$1000,$P$5:$P$1000,$P147,$S$5:$S$1000,"Macro"),"0%")&amp;" · ","")&amp;IF(AND(N($T147)&gt;0,COUNT($G147:$J147)&gt;0),"Con subactividades: deje vacías las semanas (se calculan solas)"&amp;" · ","")&amp;IF((COUNTIF($G147:$J147,"&gt;1")+COUNTIF($G147:$J147,"&lt;0")+COUNTA($G147:$J147)-COUNT($G147:$J147))&gt;0,"Avance fuera de rango 0-100%"&amp;" · ","")&amp;IF(OR(AND($H147&lt;&gt;"",$H147&lt;$G147),AND($I147&lt;&gt;"",$I147&lt;MAX($G147:$H147)),AND($J147&lt;&gt;"",$J147&lt;MAX($G147:$I147))),"Avance semanal decreciente"&amp;" · ","")&amp;IF(AND(ISNUMBER($E147),$E147&lt;FechaRef,N($K147)&lt;1),"Vencida"&amp;" · ","")&amp;IF(AND(ObsObligatoria="Sí",ISNUMBER($E147),$E147&lt;FechaRef,N($K147)&lt;1,$N147=""),"Vencida sin observación"&amp;" · ",""))-3)))</f>
        <v/>
      </c>
      <c r="P147" s="70">
        <f>IF(NOT((COUNTA($B147:$J147)+COUNTA($N147))&gt;0),"",IF(AND($S147="Sub",N($R147)&gt;0),IF(ISNUMBER(INDEX($D$5:$D$1000,$R147-4)),DATE(YEAR(INDEX($D$5:$D$1000,$R147-4)),MONTH(INDEX($D$5:$D$1000,$R147-4)),1),IF(ISNUMBER(INDEX($E$5:$E$1000,$R147-4)),DATE(YEAR(INDEX($E$5:$E$1000,$R147-4)),MONTH(INDEX($E$5:$E$1000,$R147-4)),1),MesCiclo)),IF(ISNUMBER($D147),DATE(YEAR($D147),MONTH($D147),1),IF(ISNUMBER($E147),DATE(YEAR($E147),MONTH($E147),1),MesCiclo))))</f>
        <v/>
      </c>
      <c r="Q147" s="71">
        <f>IF(OR($P147="",$P147&lt;&gt;MesCiclo),"",COUNTIF($P$5:$P147,MesCiclo))</f>
        <v/>
      </c>
      <c r="R147" s="71">
        <f>IF($S147="","",IF($S147="Macro",ROW(),IFERROR(LOOKUP(2,1/($S$5:$S147="Macro"),ROW($S$5:$S147)),0)))</f>
        <v/>
      </c>
      <c r="S147" s="71">
        <f>IF(NOT((COUNTA($B147:$J147)+COUNTA($N147))&gt;0),"",IF($B147="Subactividad","Sub","Macro"))</f>
        <v/>
      </c>
      <c r="T147" s="71">
        <f>IF($S147="Macro",COUNTIFS($R$5:$R$1000,ROW(),$S$5:$S$1000,"Sub"),"")</f>
        <v/>
      </c>
      <c r="U147" s="71">
        <f>IF($S147="","",IF(ISNUMBER($G147),$G147,0))</f>
        <v/>
      </c>
      <c r="V147" s="71">
        <f>IF($S147="","",IF(ISNUMBER($H147),$H147,$U147))</f>
        <v/>
      </c>
      <c r="W147" s="71">
        <f>IF($S147="","",IF(ISNUMBER($I147),$I147,$V147))</f>
        <v/>
      </c>
      <c r="X147" s="71">
        <f>IF($S147="","",IF(ISNUMBER($J147),$J147,$W147))</f>
        <v/>
      </c>
      <c r="Y147" s="71">
        <f>IF($S147="","",IF(N($T147)&gt;0,IF(N($AG147)&gt;0,SUMIFS($AC$5:$AC$1000,$R$5:$R$1000,ROW(),$S$5:$S$1000,"Sub")/$AG147,AVERAGEIFS($U$5:$U$1000,$R$5:$R$1000,ROW(),$S$5:$S$1000,"Sub")),$U147))</f>
        <v/>
      </c>
      <c r="Z147" s="71">
        <f>IF($S147="","",IF(N($T147)&gt;0,IF(N($AG147)&gt;0,SUMIFS($AD$5:$AD$1000,$R$5:$R$1000,ROW(),$S$5:$S$1000,"Sub")/$AG147,AVERAGEIFS($V$5:$V$1000,$R$5:$R$1000,ROW(),$S$5:$S$1000,"Sub")),$V147))</f>
        <v/>
      </c>
      <c r="AA147" s="71">
        <f>IF($S147="","",IF(N($T147)&gt;0,IF(N($AG147)&gt;0,SUMIFS($AE$5:$AE$1000,$R$5:$R$1000,ROW(),$S$5:$S$1000,"Sub")/$AG147,AVERAGEIFS($W$5:$W$1000,$R$5:$R$1000,ROW(),$S$5:$S$1000,"Sub")),$W147))</f>
        <v/>
      </c>
      <c r="AB147" s="71">
        <f>IF($S147="","",IF(N($T147)&gt;0,IF(N($AG147)&gt;0,SUMIFS($AF$5:$AF$1000,$R$5:$R$1000,ROW(),$S$5:$S$1000,"Sub")/$AG147,AVERAGEIFS($X$5:$X$1000,$R$5:$R$1000,ROW(),$S$5:$S$1000,"Sub")),$X147))</f>
        <v/>
      </c>
      <c r="AC147" s="71">
        <f>IF($S147="Sub",N($F147)*N($U147),"")</f>
        <v/>
      </c>
      <c r="AD147" s="71">
        <f>IF($S147="Sub",N($F147)*N($V147),"")</f>
        <v/>
      </c>
      <c r="AE147" s="71">
        <f>IF($S147="Sub",N($F147)*N($W147),"")</f>
        <v/>
      </c>
      <c r="AF147" s="71">
        <f>IF($S147="Sub",N($F147)*N($X147),"")</f>
        <v/>
      </c>
      <c r="AG147" s="71">
        <f>IF(N($T147)&gt;0,SUMIFS($F$5:$F$1000,$R$5:$R$1000,ROW(),$S$5:$S$1000,"Sub"),"")</f>
        <v/>
      </c>
    </row>
    <row r="148">
      <c r="A148" s="62">
        <f>IF(NOT((COUNTA($B148:$J148)+COUNTA($N148))&gt;0),"",IF($S148="Macro",COUNTIFS($S$5:$S148,"Macro",$P$5:$P148,$P148),IF(N($R148)=0,"?",COUNTIFS(INDEX($S$5:$S$1000,1):INDEX($S$5:$S$1000,$R148-4),"Macro",INDEX($P$5:$P$1000,1):INDEX($P$5:$P$1000,$R148-4),INDEX($P$5:$P$1000,$R148-4))&amp;"."&amp;COUNTIFS($R$5:$R148,$R148,$S$5:$S148,"Sub"))))</f>
        <v/>
      </c>
      <c r="B148" s="63" t="n"/>
      <c r="C148" s="64" t="n"/>
      <c r="D148" s="65" t="n"/>
      <c r="E148" s="65" t="n"/>
      <c r="F148" s="66" t="n"/>
      <c r="G148" s="67" t="n"/>
      <c r="H148" s="67" t="n"/>
      <c r="I148" s="67" t="n"/>
      <c r="J148" s="67" t="n"/>
      <c r="K148" s="68">
        <f>IF(NOT((COUNTA($B148:$J148)+COUNTA($N148))&gt;0),"",IF(N($T148)&gt;0,$AB148,IFERROR(LOOKUP(2,1/(G148:J148&lt;&gt;""),G148:J148),0)))</f>
        <v/>
      </c>
      <c r="L148" s="62">
        <f>IF(K148="","",IF(K148&gt;=1,"Completado",IF(K148&gt;0,"En curso","Pendiente")))</f>
        <v/>
      </c>
      <c r="M148" s="62">
        <f>IF(NOT((COUNTA($B148:$J148)+COUNTA($N148))&gt;0),"",IF(N($K148)&gt;=1,"Cumplida",IF(NOT(ISNUMBER($E148)),"Sin fecha límite",IF($E148&lt;FechaRef,"Vencida hace "&amp;(FechaRef-$E148)&amp;IF(FechaRef-$E148=1," día"," días"),IF($E148=FechaRef,"Vence hoy",IF($E148-FechaRef&lt;=DiasAlerta,"Vence en "&amp;($E148-FechaRef)&amp;IF($E148-FechaRef=1," día"," días"),"En plazo"))))))</f>
        <v/>
      </c>
      <c r="N148" s="64" t="n"/>
      <c r="O148" s="69">
        <f>IF(NOT((COUNTA($B148:$J148)+COUNTA($N148))&gt;0),"",IF((IF($C148="","Falta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",""))="","✔ OK","⚠ "&amp;LEFT(IF($C148="","Falta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",""),LEN(IF($C148="","Falta el nombre de la actividad"&amp;" · ","")&amp;IF(AND($S148="Sub",N($R148)=0),"Subactividad sin macroactividad arriba"&amp;" · ","")&amp;IF($D148="","Sin fecha de inicio"&amp;" · ","")&amp;IF($E148="","Sin fecha límite"&amp;" · ","")&amp;IF(OR(AND($D148&lt;&gt;"",NOT(ISNUMBER($D148))),AND($E148&lt;&gt;"",NOT(ISNUMBER($E148)))),"Fecha no válida"&amp;" · ","")&amp;IF(AND(ISNUMBER($D148),ISNUMBER($E148),$D148&gt;$E148),"Inicio posterior a fecha límite"&amp;" · ","")&amp;IF(AND($S148="Macro",$F148=""),"Peso vacío"&amp;" · ","")&amp;IF(AND($S148="Macro",$F148&lt;&gt;"",OR(NOT(ISNUMBER($F148)),$F148&lt;=0,$F148&gt;1)),"Peso fuera de rango"&amp;" · ","")&amp;IF(AND($S148="Sub",$F148&lt;&gt;"",OR(NOT(ISNUMBER($F148)),$F148&lt;0,$F148&gt;1)),"Peso fuera de rango"&amp;" · ","")&amp;IF(AND($S148="Sub",$F148="",IFERROR(N(INDEX($AG$5:$AG$1000,$R148-4)),0)&gt;0),"Falta el peso de la subactividad"&amp;" · ","")&amp;IF(AND(N($T148)&gt;0,N($AG148)&gt;0,ABS(N($AG148)-N($F148))&gt;0.0001),"Pesos de sus subactividades suman "&amp;TEXT(N($AG148),"0%")&amp;" (deben sumar "&amp;TEXT(N($F148),"0%")&amp;")"&amp;" · ","")&amp;IF(AND($S148="Macro",ABS(SUMIFS($F$5:$F$1000,$P$5:$P$1000,$P148,$S$5:$S$1000,"Macro")-1)&gt;0.0001),"Pesos del mes suman "&amp;TEXT(SUMIFS($F$5:$F$1000,$P$5:$P$1000,$P148,$S$5:$S$1000,"Macro"),"0%")&amp;" · ","")&amp;IF(AND(N($T148)&gt;0,COUNT($G148:$J148)&gt;0),"Con subactividades: deje vacías las semanas (se calculan solas)"&amp;" · ","")&amp;IF((COUNTIF($G148:$J148,"&gt;1")+COUNTIF($G148:$J148,"&lt;0")+COUNTA($G148:$J148)-COUNT($G148:$J148))&gt;0,"Avance fuera de rango 0-100%"&amp;" · ","")&amp;IF(OR(AND($H148&lt;&gt;"",$H148&lt;$G148),AND($I148&lt;&gt;"",$I148&lt;MAX($G148:$H148)),AND($J148&lt;&gt;"",$J148&lt;MAX($G148:$I148))),"Avance semanal decreciente"&amp;" · ","")&amp;IF(AND(ISNUMBER($E148),$E148&lt;FechaRef,N($K148)&lt;1),"Vencida"&amp;" · ","")&amp;IF(AND(ObsObligatoria="Sí",ISNUMBER($E148),$E148&lt;FechaRef,N($K148)&lt;1,$N148=""),"Vencida sin observación"&amp;" · ",""))-3)))</f>
        <v/>
      </c>
      <c r="P148" s="70">
        <f>IF(NOT((COUNTA($B148:$J148)+COUNTA($N148))&gt;0),"",IF(AND($S148="Sub",N($R148)&gt;0),IF(ISNUMBER(INDEX($D$5:$D$1000,$R148-4)),DATE(YEAR(INDEX($D$5:$D$1000,$R148-4)),MONTH(INDEX($D$5:$D$1000,$R148-4)),1),IF(ISNUMBER(INDEX($E$5:$E$1000,$R148-4)),DATE(YEAR(INDEX($E$5:$E$1000,$R148-4)),MONTH(INDEX($E$5:$E$1000,$R148-4)),1),MesCiclo)),IF(ISNUMBER($D148),DATE(YEAR($D148),MONTH($D148),1),IF(ISNUMBER($E148),DATE(YEAR($E148),MONTH($E148),1),MesCiclo))))</f>
        <v/>
      </c>
      <c r="Q148" s="71">
        <f>IF(OR($P148="",$P148&lt;&gt;MesCiclo),"",COUNTIF($P$5:$P148,MesCiclo))</f>
        <v/>
      </c>
      <c r="R148" s="71">
        <f>IF($S148="","",IF($S148="Macro",ROW(),IFERROR(LOOKUP(2,1/($S$5:$S148="Macro"),ROW($S$5:$S148)),0)))</f>
        <v/>
      </c>
      <c r="S148" s="71">
        <f>IF(NOT((COUNTA($B148:$J148)+COUNTA($N148))&gt;0),"",IF($B148="Subactividad","Sub","Macro"))</f>
        <v/>
      </c>
      <c r="T148" s="71">
        <f>IF($S148="Macro",COUNTIFS($R$5:$R$1000,ROW(),$S$5:$S$1000,"Sub"),"")</f>
        <v/>
      </c>
      <c r="U148" s="71">
        <f>IF($S148="","",IF(ISNUMBER($G148),$G148,0))</f>
        <v/>
      </c>
      <c r="V148" s="71">
        <f>IF($S148="","",IF(ISNUMBER($H148),$H148,$U148))</f>
        <v/>
      </c>
      <c r="W148" s="71">
        <f>IF($S148="","",IF(ISNUMBER($I148),$I148,$V148))</f>
        <v/>
      </c>
      <c r="X148" s="71">
        <f>IF($S148="","",IF(ISNUMBER($J148),$J148,$W148))</f>
        <v/>
      </c>
      <c r="Y148" s="71">
        <f>IF($S148="","",IF(N($T148)&gt;0,IF(N($AG148)&gt;0,SUMIFS($AC$5:$AC$1000,$R$5:$R$1000,ROW(),$S$5:$S$1000,"Sub")/$AG148,AVERAGEIFS($U$5:$U$1000,$R$5:$R$1000,ROW(),$S$5:$S$1000,"Sub")),$U148))</f>
        <v/>
      </c>
      <c r="Z148" s="71">
        <f>IF($S148="","",IF(N($T148)&gt;0,IF(N($AG148)&gt;0,SUMIFS($AD$5:$AD$1000,$R$5:$R$1000,ROW(),$S$5:$S$1000,"Sub")/$AG148,AVERAGEIFS($V$5:$V$1000,$R$5:$R$1000,ROW(),$S$5:$S$1000,"Sub")),$V148))</f>
        <v/>
      </c>
      <c r="AA148" s="71">
        <f>IF($S148="","",IF(N($T148)&gt;0,IF(N($AG148)&gt;0,SUMIFS($AE$5:$AE$1000,$R$5:$R$1000,ROW(),$S$5:$S$1000,"Sub")/$AG148,AVERAGEIFS($W$5:$W$1000,$R$5:$R$1000,ROW(),$S$5:$S$1000,"Sub")),$W148))</f>
        <v/>
      </c>
      <c r="AB148" s="71">
        <f>IF($S148="","",IF(N($T148)&gt;0,IF(N($AG148)&gt;0,SUMIFS($AF$5:$AF$1000,$R$5:$R$1000,ROW(),$S$5:$S$1000,"Sub")/$AG148,AVERAGEIFS($X$5:$X$1000,$R$5:$R$1000,ROW(),$S$5:$S$1000,"Sub")),$X148))</f>
        <v/>
      </c>
      <c r="AC148" s="71">
        <f>IF($S148="Sub",N($F148)*N($U148),"")</f>
        <v/>
      </c>
      <c r="AD148" s="71">
        <f>IF($S148="Sub",N($F148)*N($V148),"")</f>
        <v/>
      </c>
      <c r="AE148" s="71">
        <f>IF($S148="Sub",N($F148)*N($W148),"")</f>
        <v/>
      </c>
      <c r="AF148" s="71">
        <f>IF($S148="Sub",N($F148)*N($X148),"")</f>
        <v/>
      </c>
      <c r="AG148" s="71">
        <f>IF(N($T148)&gt;0,SUMIFS($F$5:$F$1000,$R$5:$R$1000,ROW(),$S$5:$S$1000,"Sub"),"")</f>
        <v/>
      </c>
    </row>
    <row r="149">
      <c r="A149" s="62">
        <f>IF(NOT((COUNTA($B149:$J149)+COUNTA($N149))&gt;0),"",IF($S149="Macro",COUNTIFS($S$5:$S149,"Macro",$P$5:$P149,$P149),IF(N($R149)=0,"?",COUNTIFS(INDEX($S$5:$S$1000,1):INDEX($S$5:$S$1000,$R149-4),"Macro",INDEX($P$5:$P$1000,1):INDEX($P$5:$P$1000,$R149-4),INDEX($P$5:$P$1000,$R149-4))&amp;"."&amp;COUNTIFS($R$5:$R149,$R149,$S$5:$S149,"Sub"))))</f>
        <v/>
      </c>
      <c r="B149" s="63" t="n"/>
      <c r="C149" s="64" t="n"/>
      <c r="D149" s="65" t="n"/>
      <c r="E149" s="65" t="n"/>
      <c r="F149" s="66" t="n"/>
      <c r="G149" s="67" t="n"/>
      <c r="H149" s="67" t="n"/>
      <c r="I149" s="67" t="n"/>
      <c r="J149" s="67" t="n"/>
      <c r="K149" s="68">
        <f>IF(NOT((COUNTA($B149:$J149)+COUNTA($N149))&gt;0),"",IF(N($T149)&gt;0,$AB149,IFERROR(LOOKUP(2,1/(G149:J149&lt;&gt;""),G149:J149),0)))</f>
        <v/>
      </c>
      <c r="L149" s="62">
        <f>IF(K149="","",IF(K149&gt;=1,"Completado",IF(K149&gt;0,"En curso","Pendiente")))</f>
        <v/>
      </c>
      <c r="M149" s="62">
        <f>IF(NOT((COUNTA($B149:$J149)+COUNTA($N149))&gt;0),"",IF(N($K149)&gt;=1,"Cumplida",IF(NOT(ISNUMBER($E149)),"Sin fecha límite",IF($E149&lt;FechaRef,"Vencida hace "&amp;(FechaRef-$E149)&amp;IF(FechaRef-$E149=1," día"," días"),IF($E149=FechaRef,"Vence hoy",IF($E149-FechaRef&lt;=DiasAlerta,"Vence en "&amp;($E149-FechaRef)&amp;IF($E149-FechaRef=1," día"," días"),"En plazo"))))))</f>
        <v/>
      </c>
      <c r="N149" s="64" t="n"/>
      <c r="O149" s="69">
        <f>IF(NOT((COUNTA($B149:$J149)+COUNTA($N149))&gt;0),"",IF((IF($C149="","Falta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",""))="","✔ OK","⚠ "&amp;LEFT(IF($C149="","Falta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",""),LEN(IF($C149="","Falta el nombre de la actividad"&amp;" · ","")&amp;IF(AND($S149="Sub",N($R149)=0),"Subactividad sin macroactividad arriba"&amp;" · ","")&amp;IF($D149="","Sin fecha de inicio"&amp;" · ","")&amp;IF($E149="","Sin fecha límite"&amp;" · ","")&amp;IF(OR(AND($D149&lt;&gt;"",NOT(ISNUMBER($D149))),AND($E149&lt;&gt;"",NOT(ISNUMBER($E149)))),"Fecha no válida"&amp;" · ","")&amp;IF(AND(ISNUMBER($D149),ISNUMBER($E149),$D149&gt;$E149),"Inicio posterior a fecha límite"&amp;" · ","")&amp;IF(AND($S149="Macro",$F149=""),"Peso vacío"&amp;" · ","")&amp;IF(AND($S149="Macro",$F149&lt;&gt;"",OR(NOT(ISNUMBER($F149)),$F149&lt;=0,$F149&gt;1)),"Peso fuera de rango"&amp;" · ","")&amp;IF(AND($S149="Sub",$F149&lt;&gt;"",OR(NOT(ISNUMBER($F149)),$F149&lt;0,$F149&gt;1)),"Peso fuera de rango"&amp;" · ","")&amp;IF(AND($S149="Sub",$F149="",IFERROR(N(INDEX($AG$5:$AG$1000,$R149-4)),0)&gt;0),"Falta el peso de la subactividad"&amp;" · ","")&amp;IF(AND(N($T149)&gt;0,N($AG149)&gt;0,ABS(N($AG149)-N($F149))&gt;0.0001),"Pesos de sus subactividades suman "&amp;TEXT(N($AG149),"0%")&amp;" (deben sumar "&amp;TEXT(N($F149),"0%")&amp;")"&amp;" · ","")&amp;IF(AND($S149="Macro",ABS(SUMIFS($F$5:$F$1000,$P$5:$P$1000,$P149,$S$5:$S$1000,"Macro")-1)&gt;0.0001),"Pesos del mes suman "&amp;TEXT(SUMIFS($F$5:$F$1000,$P$5:$P$1000,$P149,$S$5:$S$1000,"Macro"),"0%")&amp;" · ","")&amp;IF(AND(N($T149)&gt;0,COUNT($G149:$J149)&gt;0),"Con subactividades: deje vacías las semanas (se calculan solas)"&amp;" · ","")&amp;IF((COUNTIF($G149:$J149,"&gt;1")+COUNTIF($G149:$J149,"&lt;0")+COUNTA($G149:$J149)-COUNT($G149:$J149))&gt;0,"Avance fuera de rango 0-100%"&amp;" · ","")&amp;IF(OR(AND($H149&lt;&gt;"",$H149&lt;$G149),AND($I149&lt;&gt;"",$I149&lt;MAX($G149:$H149)),AND($J149&lt;&gt;"",$J149&lt;MAX($G149:$I149))),"Avance semanal decreciente"&amp;" · ","")&amp;IF(AND(ISNUMBER($E149),$E149&lt;FechaRef,N($K149)&lt;1),"Vencida"&amp;" · ","")&amp;IF(AND(ObsObligatoria="Sí",ISNUMBER($E149),$E149&lt;FechaRef,N($K149)&lt;1,$N149=""),"Vencida sin observación"&amp;" · ",""))-3)))</f>
        <v/>
      </c>
      <c r="P149" s="70">
        <f>IF(NOT((COUNTA($B149:$J149)+COUNTA($N149))&gt;0),"",IF(AND($S149="Sub",N($R149)&gt;0),IF(ISNUMBER(INDEX($D$5:$D$1000,$R149-4)),DATE(YEAR(INDEX($D$5:$D$1000,$R149-4)),MONTH(INDEX($D$5:$D$1000,$R149-4)),1),IF(ISNUMBER(INDEX($E$5:$E$1000,$R149-4)),DATE(YEAR(INDEX($E$5:$E$1000,$R149-4)),MONTH(INDEX($E$5:$E$1000,$R149-4)),1),MesCiclo)),IF(ISNUMBER($D149),DATE(YEAR($D149),MONTH($D149),1),IF(ISNUMBER($E149),DATE(YEAR($E149),MONTH($E149),1),MesCiclo))))</f>
        <v/>
      </c>
      <c r="Q149" s="71">
        <f>IF(OR($P149="",$P149&lt;&gt;MesCiclo),"",COUNTIF($P$5:$P149,MesCiclo))</f>
        <v/>
      </c>
      <c r="R149" s="71">
        <f>IF($S149="","",IF($S149="Macro",ROW(),IFERROR(LOOKUP(2,1/($S$5:$S149="Macro"),ROW($S$5:$S149)),0)))</f>
        <v/>
      </c>
      <c r="S149" s="71">
        <f>IF(NOT((COUNTA($B149:$J149)+COUNTA($N149))&gt;0),"",IF($B149="Subactividad","Sub","Macro"))</f>
        <v/>
      </c>
      <c r="T149" s="71">
        <f>IF($S149="Macro",COUNTIFS($R$5:$R$1000,ROW(),$S$5:$S$1000,"Sub"),"")</f>
        <v/>
      </c>
      <c r="U149" s="71">
        <f>IF($S149="","",IF(ISNUMBER($G149),$G149,0))</f>
        <v/>
      </c>
      <c r="V149" s="71">
        <f>IF($S149="","",IF(ISNUMBER($H149),$H149,$U149))</f>
        <v/>
      </c>
      <c r="W149" s="71">
        <f>IF($S149="","",IF(ISNUMBER($I149),$I149,$V149))</f>
        <v/>
      </c>
      <c r="X149" s="71">
        <f>IF($S149="","",IF(ISNUMBER($J149),$J149,$W149))</f>
        <v/>
      </c>
      <c r="Y149" s="71">
        <f>IF($S149="","",IF(N($T149)&gt;0,IF(N($AG149)&gt;0,SUMIFS($AC$5:$AC$1000,$R$5:$R$1000,ROW(),$S$5:$S$1000,"Sub")/$AG149,AVERAGEIFS($U$5:$U$1000,$R$5:$R$1000,ROW(),$S$5:$S$1000,"Sub")),$U149))</f>
        <v/>
      </c>
      <c r="Z149" s="71">
        <f>IF($S149="","",IF(N($T149)&gt;0,IF(N($AG149)&gt;0,SUMIFS($AD$5:$AD$1000,$R$5:$R$1000,ROW(),$S$5:$S$1000,"Sub")/$AG149,AVERAGEIFS($V$5:$V$1000,$R$5:$R$1000,ROW(),$S$5:$S$1000,"Sub")),$V149))</f>
        <v/>
      </c>
      <c r="AA149" s="71">
        <f>IF($S149="","",IF(N($T149)&gt;0,IF(N($AG149)&gt;0,SUMIFS($AE$5:$AE$1000,$R$5:$R$1000,ROW(),$S$5:$S$1000,"Sub")/$AG149,AVERAGEIFS($W$5:$W$1000,$R$5:$R$1000,ROW(),$S$5:$S$1000,"Sub")),$W149))</f>
        <v/>
      </c>
      <c r="AB149" s="71">
        <f>IF($S149="","",IF(N($T149)&gt;0,IF(N($AG149)&gt;0,SUMIFS($AF$5:$AF$1000,$R$5:$R$1000,ROW(),$S$5:$S$1000,"Sub")/$AG149,AVERAGEIFS($X$5:$X$1000,$R$5:$R$1000,ROW(),$S$5:$S$1000,"Sub")),$X149))</f>
        <v/>
      </c>
      <c r="AC149" s="71">
        <f>IF($S149="Sub",N($F149)*N($U149),"")</f>
        <v/>
      </c>
      <c r="AD149" s="71">
        <f>IF($S149="Sub",N($F149)*N($V149),"")</f>
        <v/>
      </c>
      <c r="AE149" s="71">
        <f>IF($S149="Sub",N($F149)*N($W149),"")</f>
        <v/>
      </c>
      <c r="AF149" s="71">
        <f>IF($S149="Sub",N($F149)*N($X149),"")</f>
        <v/>
      </c>
      <c r="AG149" s="71">
        <f>IF(N($T149)&gt;0,SUMIFS($F$5:$F$1000,$R$5:$R$1000,ROW(),$S$5:$S$1000,"Sub"),"")</f>
        <v/>
      </c>
    </row>
    <row r="150">
      <c r="A150" s="62">
        <f>IF(NOT((COUNTA($B150:$J150)+COUNTA($N150))&gt;0),"",IF($S150="Macro",COUNTIFS($S$5:$S150,"Macro",$P$5:$P150,$P150),IF(N($R150)=0,"?",COUNTIFS(INDEX($S$5:$S$1000,1):INDEX($S$5:$S$1000,$R150-4),"Macro",INDEX($P$5:$P$1000,1):INDEX($P$5:$P$1000,$R150-4),INDEX($P$5:$P$1000,$R150-4))&amp;"."&amp;COUNTIFS($R$5:$R150,$R150,$S$5:$S150,"Sub"))))</f>
        <v/>
      </c>
      <c r="B150" s="63" t="n"/>
      <c r="C150" s="64" t="n"/>
      <c r="D150" s="65" t="n"/>
      <c r="E150" s="65" t="n"/>
      <c r="F150" s="66" t="n"/>
      <c r="G150" s="67" t="n"/>
      <c r="H150" s="67" t="n"/>
      <c r="I150" s="67" t="n"/>
      <c r="J150" s="67" t="n"/>
      <c r="K150" s="68">
        <f>IF(NOT((COUNTA($B150:$J150)+COUNTA($N150))&gt;0),"",IF(N($T150)&gt;0,$AB150,IFERROR(LOOKUP(2,1/(G150:J150&lt;&gt;""),G150:J150),0)))</f>
        <v/>
      </c>
      <c r="L150" s="62">
        <f>IF(K150="","",IF(K150&gt;=1,"Completado",IF(K150&gt;0,"En curso","Pendiente")))</f>
        <v/>
      </c>
      <c r="M150" s="62">
        <f>IF(NOT((COUNTA($B150:$J150)+COUNTA($N150))&gt;0),"",IF(N($K150)&gt;=1,"Cumplida",IF(NOT(ISNUMBER($E150)),"Sin fecha límite",IF($E150&lt;FechaRef,"Vencida hace "&amp;(FechaRef-$E150)&amp;IF(FechaRef-$E150=1," día"," días"),IF($E150=FechaRef,"Vence hoy",IF($E150-FechaRef&lt;=DiasAlerta,"Vence en "&amp;($E150-FechaRef)&amp;IF($E150-FechaRef=1," día"," días"),"En plazo"))))))</f>
        <v/>
      </c>
      <c r="N150" s="64" t="n"/>
      <c r="O150" s="69">
        <f>IF(NOT((COUNTA($B150:$J150)+COUNTA($N150))&gt;0),"",IF((IF($C150="","Falta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",""))="","✔ OK","⚠ "&amp;LEFT(IF($C150="","Falta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",""),LEN(IF($C150="","Falta el nombre de la actividad"&amp;" · ","")&amp;IF(AND($S150="Sub",N($R150)=0),"Subactividad sin macroactividad arriba"&amp;" · ","")&amp;IF($D150="","Sin fecha de inicio"&amp;" · ","")&amp;IF($E150="","Sin fecha límite"&amp;" · ","")&amp;IF(OR(AND($D150&lt;&gt;"",NOT(ISNUMBER($D150))),AND($E150&lt;&gt;"",NOT(ISNUMBER($E150)))),"Fecha no válida"&amp;" · ","")&amp;IF(AND(ISNUMBER($D150),ISNUMBER($E150),$D150&gt;$E150),"Inicio posterior a fecha límite"&amp;" · ","")&amp;IF(AND($S150="Macro",$F150=""),"Peso vacío"&amp;" · ","")&amp;IF(AND($S150="Macro",$F150&lt;&gt;"",OR(NOT(ISNUMBER($F150)),$F150&lt;=0,$F150&gt;1)),"Peso fuera de rango"&amp;" · ","")&amp;IF(AND($S150="Sub",$F150&lt;&gt;"",OR(NOT(ISNUMBER($F150)),$F150&lt;0,$F150&gt;1)),"Peso fuera de rango"&amp;" · ","")&amp;IF(AND($S150="Sub",$F150="",IFERROR(N(INDEX($AG$5:$AG$1000,$R150-4)),0)&gt;0),"Falta el peso de la subactividad"&amp;" · ","")&amp;IF(AND(N($T150)&gt;0,N($AG150)&gt;0,ABS(N($AG150)-N($F150))&gt;0.0001),"Pesos de sus subactividades suman "&amp;TEXT(N($AG150),"0%")&amp;" (deben sumar "&amp;TEXT(N($F150),"0%")&amp;")"&amp;" · ","")&amp;IF(AND($S150="Macro",ABS(SUMIFS($F$5:$F$1000,$P$5:$P$1000,$P150,$S$5:$S$1000,"Macro")-1)&gt;0.0001),"Pesos del mes suman "&amp;TEXT(SUMIFS($F$5:$F$1000,$P$5:$P$1000,$P150,$S$5:$S$1000,"Macro"),"0%")&amp;" · ","")&amp;IF(AND(N($T150)&gt;0,COUNT($G150:$J150)&gt;0),"Con subactividades: deje vacías las semanas (se calculan solas)"&amp;" · ","")&amp;IF((COUNTIF($G150:$J150,"&gt;1")+COUNTIF($G150:$J150,"&lt;0")+COUNTA($G150:$J150)-COUNT($G150:$J150))&gt;0,"Avance fuera de rango 0-100%"&amp;" · ","")&amp;IF(OR(AND($H150&lt;&gt;"",$H150&lt;$G150),AND($I150&lt;&gt;"",$I150&lt;MAX($G150:$H150)),AND($J150&lt;&gt;"",$J150&lt;MAX($G150:$I150))),"Avance semanal decreciente"&amp;" · ","")&amp;IF(AND(ISNUMBER($E150),$E150&lt;FechaRef,N($K150)&lt;1),"Vencida"&amp;" · ","")&amp;IF(AND(ObsObligatoria="Sí",ISNUMBER($E150),$E150&lt;FechaRef,N($K150)&lt;1,$N150=""),"Vencida sin observación"&amp;" · ",""))-3)))</f>
        <v/>
      </c>
      <c r="P150" s="70">
        <f>IF(NOT((COUNTA($B150:$J150)+COUNTA($N150))&gt;0),"",IF(AND($S150="Sub",N($R150)&gt;0),IF(ISNUMBER(INDEX($D$5:$D$1000,$R150-4)),DATE(YEAR(INDEX($D$5:$D$1000,$R150-4)),MONTH(INDEX($D$5:$D$1000,$R150-4)),1),IF(ISNUMBER(INDEX($E$5:$E$1000,$R150-4)),DATE(YEAR(INDEX($E$5:$E$1000,$R150-4)),MONTH(INDEX($E$5:$E$1000,$R150-4)),1),MesCiclo)),IF(ISNUMBER($D150),DATE(YEAR($D150),MONTH($D150),1),IF(ISNUMBER($E150),DATE(YEAR($E150),MONTH($E150),1),MesCiclo))))</f>
        <v/>
      </c>
      <c r="Q150" s="71">
        <f>IF(OR($P150="",$P150&lt;&gt;MesCiclo),"",COUNTIF($P$5:$P150,MesCiclo))</f>
        <v/>
      </c>
      <c r="R150" s="71">
        <f>IF($S150="","",IF($S150="Macro",ROW(),IFERROR(LOOKUP(2,1/($S$5:$S150="Macro"),ROW($S$5:$S150)),0)))</f>
        <v/>
      </c>
      <c r="S150" s="71">
        <f>IF(NOT((COUNTA($B150:$J150)+COUNTA($N150))&gt;0),"",IF($B150="Subactividad","Sub","Macro"))</f>
        <v/>
      </c>
      <c r="T150" s="71">
        <f>IF($S150="Macro",COUNTIFS($R$5:$R$1000,ROW(),$S$5:$S$1000,"Sub"),"")</f>
        <v/>
      </c>
      <c r="U150" s="71">
        <f>IF($S150="","",IF(ISNUMBER($G150),$G150,0))</f>
        <v/>
      </c>
      <c r="V150" s="71">
        <f>IF($S150="","",IF(ISNUMBER($H150),$H150,$U150))</f>
        <v/>
      </c>
      <c r="W150" s="71">
        <f>IF($S150="","",IF(ISNUMBER($I150),$I150,$V150))</f>
        <v/>
      </c>
      <c r="X150" s="71">
        <f>IF($S150="","",IF(ISNUMBER($J150),$J150,$W150))</f>
        <v/>
      </c>
      <c r="Y150" s="71">
        <f>IF($S150="","",IF(N($T150)&gt;0,IF(N($AG150)&gt;0,SUMIFS($AC$5:$AC$1000,$R$5:$R$1000,ROW(),$S$5:$S$1000,"Sub")/$AG150,AVERAGEIFS($U$5:$U$1000,$R$5:$R$1000,ROW(),$S$5:$S$1000,"Sub")),$U150))</f>
        <v/>
      </c>
      <c r="Z150" s="71">
        <f>IF($S150="","",IF(N($T150)&gt;0,IF(N($AG150)&gt;0,SUMIFS($AD$5:$AD$1000,$R$5:$R$1000,ROW(),$S$5:$S$1000,"Sub")/$AG150,AVERAGEIFS($V$5:$V$1000,$R$5:$R$1000,ROW(),$S$5:$S$1000,"Sub")),$V150))</f>
        <v/>
      </c>
      <c r="AA150" s="71">
        <f>IF($S150="","",IF(N($T150)&gt;0,IF(N($AG150)&gt;0,SUMIFS($AE$5:$AE$1000,$R$5:$R$1000,ROW(),$S$5:$S$1000,"Sub")/$AG150,AVERAGEIFS($W$5:$W$1000,$R$5:$R$1000,ROW(),$S$5:$S$1000,"Sub")),$W150))</f>
        <v/>
      </c>
      <c r="AB150" s="71">
        <f>IF($S150="","",IF(N($T150)&gt;0,IF(N($AG150)&gt;0,SUMIFS($AF$5:$AF$1000,$R$5:$R$1000,ROW(),$S$5:$S$1000,"Sub")/$AG150,AVERAGEIFS($X$5:$X$1000,$R$5:$R$1000,ROW(),$S$5:$S$1000,"Sub")),$X150))</f>
        <v/>
      </c>
      <c r="AC150" s="71">
        <f>IF($S150="Sub",N($F150)*N($U150),"")</f>
        <v/>
      </c>
      <c r="AD150" s="71">
        <f>IF($S150="Sub",N($F150)*N($V150),"")</f>
        <v/>
      </c>
      <c r="AE150" s="71">
        <f>IF($S150="Sub",N($F150)*N($W150),"")</f>
        <v/>
      </c>
      <c r="AF150" s="71">
        <f>IF($S150="Sub",N($F150)*N($X150),"")</f>
        <v/>
      </c>
      <c r="AG150" s="71">
        <f>IF(N($T150)&gt;0,SUMIFS($F$5:$F$1000,$R$5:$R$1000,ROW(),$S$5:$S$1000,"Sub"),"")</f>
        <v/>
      </c>
    </row>
    <row r="151">
      <c r="A151" s="62">
        <f>IF(NOT((COUNTA($B151:$J151)+COUNTA($N151))&gt;0),"",IF($S151="Macro",COUNTIFS($S$5:$S151,"Macro",$P$5:$P151,$P151),IF(N($R151)=0,"?",COUNTIFS(INDEX($S$5:$S$1000,1):INDEX($S$5:$S$1000,$R151-4),"Macro",INDEX($P$5:$P$1000,1):INDEX($P$5:$P$1000,$R151-4),INDEX($P$5:$P$1000,$R151-4))&amp;"."&amp;COUNTIFS($R$5:$R151,$R151,$S$5:$S151,"Sub"))))</f>
        <v/>
      </c>
      <c r="B151" s="63" t="n"/>
      <c r="C151" s="64" t="n"/>
      <c r="D151" s="65" t="n"/>
      <c r="E151" s="65" t="n"/>
      <c r="F151" s="66" t="n"/>
      <c r="G151" s="67" t="n"/>
      <c r="H151" s="67" t="n"/>
      <c r="I151" s="67" t="n"/>
      <c r="J151" s="67" t="n"/>
      <c r="K151" s="68">
        <f>IF(NOT((COUNTA($B151:$J151)+COUNTA($N151))&gt;0),"",IF(N($T151)&gt;0,$AB151,IFERROR(LOOKUP(2,1/(G151:J151&lt;&gt;""),G151:J151),0)))</f>
        <v/>
      </c>
      <c r="L151" s="62">
        <f>IF(K151="","",IF(K151&gt;=1,"Completado",IF(K151&gt;0,"En curso","Pendiente")))</f>
        <v/>
      </c>
      <c r="M151" s="62">
        <f>IF(NOT((COUNTA($B151:$J151)+COUNTA($N151))&gt;0),"",IF(N($K151)&gt;=1,"Cumplida",IF(NOT(ISNUMBER($E151)),"Sin fecha límite",IF($E151&lt;FechaRef,"Vencida hace "&amp;(FechaRef-$E151)&amp;IF(FechaRef-$E151=1," día"," días"),IF($E151=FechaRef,"Vence hoy",IF($E151-FechaRef&lt;=DiasAlerta,"Vence en "&amp;($E151-FechaRef)&amp;IF($E151-FechaRef=1," día"," días"),"En plazo"))))))</f>
        <v/>
      </c>
      <c r="N151" s="64" t="n"/>
      <c r="O151" s="69">
        <f>IF(NOT((COUNTA($B151:$J151)+COUNTA($N151))&gt;0),"",IF((IF($C151="","Falta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",""))="","✔ OK","⚠ "&amp;LEFT(IF($C151="","Falta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",""),LEN(IF($C151="","Falta el nombre de la actividad"&amp;" · ","")&amp;IF(AND($S151="Sub",N($R151)=0),"Subactividad sin macroactividad arriba"&amp;" · ","")&amp;IF($D151="","Sin fecha de inicio"&amp;" · ","")&amp;IF($E151="","Sin fecha límite"&amp;" · ","")&amp;IF(OR(AND($D151&lt;&gt;"",NOT(ISNUMBER($D151))),AND($E151&lt;&gt;"",NOT(ISNUMBER($E151)))),"Fecha no válida"&amp;" · ","")&amp;IF(AND(ISNUMBER($D151),ISNUMBER($E151),$D151&gt;$E151),"Inicio posterior a fecha límite"&amp;" · ","")&amp;IF(AND($S151="Macro",$F151=""),"Peso vacío"&amp;" · ","")&amp;IF(AND($S151="Macro",$F151&lt;&gt;"",OR(NOT(ISNUMBER($F151)),$F151&lt;=0,$F151&gt;1)),"Peso fuera de rango"&amp;" · ","")&amp;IF(AND($S151="Sub",$F151&lt;&gt;"",OR(NOT(ISNUMBER($F151)),$F151&lt;0,$F151&gt;1)),"Peso fuera de rango"&amp;" · ","")&amp;IF(AND($S151="Sub",$F151="",IFERROR(N(INDEX($AG$5:$AG$1000,$R151-4)),0)&gt;0),"Falta el peso de la subactividad"&amp;" · ","")&amp;IF(AND(N($T151)&gt;0,N($AG151)&gt;0,ABS(N($AG151)-N($F151))&gt;0.0001),"Pesos de sus subactividades suman "&amp;TEXT(N($AG151),"0%")&amp;" (deben sumar "&amp;TEXT(N($F151),"0%")&amp;")"&amp;" · ","")&amp;IF(AND($S151="Macro",ABS(SUMIFS($F$5:$F$1000,$P$5:$P$1000,$P151,$S$5:$S$1000,"Macro")-1)&gt;0.0001),"Pesos del mes suman "&amp;TEXT(SUMIFS($F$5:$F$1000,$P$5:$P$1000,$P151,$S$5:$S$1000,"Macro"),"0%")&amp;" · ","")&amp;IF(AND(N($T151)&gt;0,COUNT($G151:$J151)&gt;0),"Con subactividades: deje vacías las semanas (se calculan solas)"&amp;" · ","")&amp;IF((COUNTIF($G151:$J151,"&gt;1")+COUNTIF($G151:$J151,"&lt;0")+COUNTA($G151:$J151)-COUNT($G151:$J151))&gt;0,"Avance fuera de rango 0-100%"&amp;" · ","")&amp;IF(OR(AND($H151&lt;&gt;"",$H151&lt;$G151),AND($I151&lt;&gt;"",$I151&lt;MAX($G151:$H151)),AND($J151&lt;&gt;"",$J151&lt;MAX($G151:$I151))),"Avance semanal decreciente"&amp;" · ","")&amp;IF(AND(ISNUMBER($E151),$E151&lt;FechaRef,N($K151)&lt;1),"Vencida"&amp;" · ","")&amp;IF(AND(ObsObligatoria="Sí",ISNUMBER($E151),$E151&lt;FechaRef,N($K151)&lt;1,$N151=""),"Vencida sin observación"&amp;" · ",""))-3)))</f>
        <v/>
      </c>
      <c r="P151" s="70">
        <f>IF(NOT((COUNTA($B151:$J151)+COUNTA($N151))&gt;0),"",IF(AND($S151="Sub",N($R151)&gt;0),IF(ISNUMBER(INDEX($D$5:$D$1000,$R151-4)),DATE(YEAR(INDEX($D$5:$D$1000,$R151-4)),MONTH(INDEX($D$5:$D$1000,$R151-4)),1),IF(ISNUMBER(INDEX($E$5:$E$1000,$R151-4)),DATE(YEAR(INDEX($E$5:$E$1000,$R151-4)),MONTH(INDEX($E$5:$E$1000,$R151-4)),1),MesCiclo)),IF(ISNUMBER($D151),DATE(YEAR($D151),MONTH($D151),1),IF(ISNUMBER($E151),DATE(YEAR($E151),MONTH($E151),1),MesCiclo))))</f>
        <v/>
      </c>
      <c r="Q151" s="71">
        <f>IF(OR($P151="",$P151&lt;&gt;MesCiclo),"",COUNTIF($P$5:$P151,MesCiclo))</f>
        <v/>
      </c>
      <c r="R151" s="71">
        <f>IF($S151="","",IF($S151="Macro",ROW(),IFERROR(LOOKUP(2,1/($S$5:$S151="Macro"),ROW($S$5:$S151)),0)))</f>
        <v/>
      </c>
      <c r="S151" s="71">
        <f>IF(NOT((COUNTA($B151:$J151)+COUNTA($N151))&gt;0),"",IF($B151="Subactividad","Sub","Macro"))</f>
        <v/>
      </c>
      <c r="T151" s="71">
        <f>IF($S151="Macro",COUNTIFS($R$5:$R$1000,ROW(),$S$5:$S$1000,"Sub"),"")</f>
        <v/>
      </c>
      <c r="U151" s="71">
        <f>IF($S151="","",IF(ISNUMBER($G151),$G151,0))</f>
        <v/>
      </c>
      <c r="V151" s="71">
        <f>IF($S151="","",IF(ISNUMBER($H151),$H151,$U151))</f>
        <v/>
      </c>
      <c r="W151" s="71">
        <f>IF($S151="","",IF(ISNUMBER($I151),$I151,$V151))</f>
        <v/>
      </c>
      <c r="X151" s="71">
        <f>IF($S151="","",IF(ISNUMBER($J151),$J151,$W151))</f>
        <v/>
      </c>
      <c r="Y151" s="71">
        <f>IF($S151="","",IF(N($T151)&gt;0,IF(N($AG151)&gt;0,SUMIFS($AC$5:$AC$1000,$R$5:$R$1000,ROW(),$S$5:$S$1000,"Sub")/$AG151,AVERAGEIFS($U$5:$U$1000,$R$5:$R$1000,ROW(),$S$5:$S$1000,"Sub")),$U151))</f>
        <v/>
      </c>
      <c r="Z151" s="71">
        <f>IF($S151="","",IF(N($T151)&gt;0,IF(N($AG151)&gt;0,SUMIFS($AD$5:$AD$1000,$R$5:$R$1000,ROW(),$S$5:$S$1000,"Sub")/$AG151,AVERAGEIFS($V$5:$V$1000,$R$5:$R$1000,ROW(),$S$5:$S$1000,"Sub")),$V151))</f>
        <v/>
      </c>
      <c r="AA151" s="71">
        <f>IF($S151="","",IF(N($T151)&gt;0,IF(N($AG151)&gt;0,SUMIFS($AE$5:$AE$1000,$R$5:$R$1000,ROW(),$S$5:$S$1000,"Sub")/$AG151,AVERAGEIFS($W$5:$W$1000,$R$5:$R$1000,ROW(),$S$5:$S$1000,"Sub")),$W151))</f>
        <v/>
      </c>
      <c r="AB151" s="71">
        <f>IF($S151="","",IF(N($T151)&gt;0,IF(N($AG151)&gt;0,SUMIFS($AF$5:$AF$1000,$R$5:$R$1000,ROW(),$S$5:$S$1000,"Sub")/$AG151,AVERAGEIFS($X$5:$X$1000,$R$5:$R$1000,ROW(),$S$5:$S$1000,"Sub")),$X151))</f>
        <v/>
      </c>
      <c r="AC151" s="71">
        <f>IF($S151="Sub",N($F151)*N($U151),"")</f>
        <v/>
      </c>
      <c r="AD151" s="71">
        <f>IF($S151="Sub",N($F151)*N($V151),"")</f>
        <v/>
      </c>
      <c r="AE151" s="71">
        <f>IF($S151="Sub",N($F151)*N($W151),"")</f>
        <v/>
      </c>
      <c r="AF151" s="71">
        <f>IF($S151="Sub",N($F151)*N($X151),"")</f>
        <v/>
      </c>
      <c r="AG151" s="71">
        <f>IF(N($T151)&gt;0,SUMIFS($F$5:$F$1000,$R$5:$R$1000,ROW(),$S$5:$S$1000,"Sub"),"")</f>
        <v/>
      </c>
    </row>
    <row r="152">
      <c r="A152" s="62">
        <f>IF(NOT((COUNTA($B152:$J152)+COUNTA($N152))&gt;0),"",IF($S152="Macro",COUNTIFS($S$5:$S152,"Macro",$P$5:$P152,$P152),IF(N($R152)=0,"?",COUNTIFS(INDEX($S$5:$S$1000,1):INDEX($S$5:$S$1000,$R152-4),"Macro",INDEX($P$5:$P$1000,1):INDEX($P$5:$P$1000,$R152-4),INDEX($P$5:$P$1000,$R152-4))&amp;"."&amp;COUNTIFS($R$5:$R152,$R152,$S$5:$S152,"Sub"))))</f>
        <v/>
      </c>
      <c r="B152" s="63" t="n"/>
      <c r="C152" s="64" t="n"/>
      <c r="D152" s="65" t="n"/>
      <c r="E152" s="65" t="n"/>
      <c r="F152" s="66" t="n"/>
      <c r="G152" s="67" t="n"/>
      <c r="H152" s="67" t="n"/>
      <c r="I152" s="67" t="n"/>
      <c r="J152" s="67" t="n"/>
      <c r="K152" s="68">
        <f>IF(NOT((COUNTA($B152:$J152)+COUNTA($N152))&gt;0),"",IF(N($T152)&gt;0,$AB152,IFERROR(LOOKUP(2,1/(G152:J152&lt;&gt;""),G152:J152),0)))</f>
        <v/>
      </c>
      <c r="L152" s="62">
        <f>IF(K152="","",IF(K152&gt;=1,"Completado",IF(K152&gt;0,"En curso","Pendiente")))</f>
        <v/>
      </c>
      <c r="M152" s="62">
        <f>IF(NOT((COUNTA($B152:$J152)+COUNTA($N152))&gt;0),"",IF(N($K152)&gt;=1,"Cumplida",IF(NOT(ISNUMBER($E152)),"Sin fecha límite",IF($E152&lt;FechaRef,"Vencida hace "&amp;(FechaRef-$E152)&amp;IF(FechaRef-$E152=1," día"," días"),IF($E152=FechaRef,"Vence hoy",IF($E152-FechaRef&lt;=DiasAlerta,"Vence en "&amp;($E152-FechaRef)&amp;IF($E152-FechaRef=1," día"," días"),"En plazo"))))))</f>
        <v/>
      </c>
      <c r="N152" s="64" t="n"/>
      <c r="O152" s="69">
        <f>IF(NOT((COUNTA($B152:$J152)+COUNTA($N152))&gt;0),"",IF((IF($C152="","Falta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",""))="","✔ OK","⚠ "&amp;LEFT(IF($C152="","Falta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",""),LEN(IF($C152="","Falta el nombre de la actividad"&amp;" · ","")&amp;IF(AND($S152="Sub",N($R152)=0),"Subactividad sin macroactividad arriba"&amp;" · ","")&amp;IF($D152="","Sin fecha de inicio"&amp;" · ","")&amp;IF($E152="","Sin fecha límite"&amp;" · ","")&amp;IF(OR(AND($D152&lt;&gt;"",NOT(ISNUMBER($D152))),AND($E152&lt;&gt;"",NOT(ISNUMBER($E152)))),"Fecha no válida"&amp;" · ","")&amp;IF(AND(ISNUMBER($D152),ISNUMBER($E152),$D152&gt;$E152),"Inicio posterior a fecha límite"&amp;" · ","")&amp;IF(AND($S152="Macro",$F152=""),"Peso vacío"&amp;" · ","")&amp;IF(AND($S152="Macro",$F152&lt;&gt;"",OR(NOT(ISNUMBER($F152)),$F152&lt;=0,$F152&gt;1)),"Peso fuera de rango"&amp;" · ","")&amp;IF(AND($S152="Sub",$F152&lt;&gt;"",OR(NOT(ISNUMBER($F152)),$F152&lt;0,$F152&gt;1)),"Peso fuera de rango"&amp;" · ","")&amp;IF(AND($S152="Sub",$F152="",IFERROR(N(INDEX($AG$5:$AG$1000,$R152-4)),0)&gt;0),"Falta el peso de la subactividad"&amp;" · ","")&amp;IF(AND(N($T152)&gt;0,N($AG152)&gt;0,ABS(N($AG152)-N($F152))&gt;0.0001),"Pesos de sus subactividades suman "&amp;TEXT(N($AG152),"0%")&amp;" (deben sumar "&amp;TEXT(N($F152),"0%")&amp;")"&amp;" · ","")&amp;IF(AND($S152="Macro",ABS(SUMIFS($F$5:$F$1000,$P$5:$P$1000,$P152,$S$5:$S$1000,"Macro")-1)&gt;0.0001),"Pesos del mes suman "&amp;TEXT(SUMIFS($F$5:$F$1000,$P$5:$P$1000,$P152,$S$5:$S$1000,"Macro"),"0%")&amp;" · ","")&amp;IF(AND(N($T152)&gt;0,COUNT($G152:$J152)&gt;0),"Con subactividades: deje vacías las semanas (se calculan solas)"&amp;" · ","")&amp;IF((COUNTIF($G152:$J152,"&gt;1")+COUNTIF($G152:$J152,"&lt;0")+COUNTA($G152:$J152)-COUNT($G152:$J152))&gt;0,"Avance fuera de rango 0-100%"&amp;" · ","")&amp;IF(OR(AND($H152&lt;&gt;"",$H152&lt;$G152),AND($I152&lt;&gt;"",$I152&lt;MAX($G152:$H152)),AND($J152&lt;&gt;"",$J152&lt;MAX($G152:$I152))),"Avance semanal decreciente"&amp;" · ","")&amp;IF(AND(ISNUMBER($E152),$E152&lt;FechaRef,N($K152)&lt;1),"Vencida"&amp;" · ","")&amp;IF(AND(ObsObligatoria="Sí",ISNUMBER($E152),$E152&lt;FechaRef,N($K152)&lt;1,$N152=""),"Vencida sin observación"&amp;" · ",""))-3)))</f>
        <v/>
      </c>
      <c r="P152" s="70">
        <f>IF(NOT((COUNTA($B152:$J152)+COUNTA($N152))&gt;0),"",IF(AND($S152="Sub",N($R152)&gt;0),IF(ISNUMBER(INDEX($D$5:$D$1000,$R152-4)),DATE(YEAR(INDEX($D$5:$D$1000,$R152-4)),MONTH(INDEX($D$5:$D$1000,$R152-4)),1),IF(ISNUMBER(INDEX($E$5:$E$1000,$R152-4)),DATE(YEAR(INDEX($E$5:$E$1000,$R152-4)),MONTH(INDEX($E$5:$E$1000,$R152-4)),1),MesCiclo)),IF(ISNUMBER($D152),DATE(YEAR($D152),MONTH($D152),1),IF(ISNUMBER($E152),DATE(YEAR($E152),MONTH($E152),1),MesCiclo))))</f>
        <v/>
      </c>
      <c r="Q152" s="71">
        <f>IF(OR($P152="",$P152&lt;&gt;MesCiclo),"",COUNTIF($P$5:$P152,MesCiclo))</f>
        <v/>
      </c>
      <c r="R152" s="71">
        <f>IF($S152="","",IF($S152="Macro",ROW(),IFERROR(LOOKUP(2,1/($S$5:$S152="Macro"),ROW($S$5:$S152)),0)))</f>
        <v/>
      </c>
      <c r="S152" s="71">
        <f>IF(NOT((COUNTA($B152:$J152)+COUNTA($N152))&gt;0),"",IF($B152="Subactividad","Sub","Macro"))</f>
        <v/>
      </c>
      <c r="T152" s="71">
        <f>IF($S152="Macro",COUNTIFS($R$5:$R$1000,ROW(),$S$5:$S$1000,"Sub"),"")</f>
        <v/>
      </c>
      <c r="U152" s="71">
        <f>IF($S152="","",IF(ISNUMBER($G152),$G152,0))</f>
        <v/>
      </c>
      <c r="V152" s="71">
        <f>IF($S152="","",IF(ISNUMBER($H152),$H152,$U152))</f>
        <v/>
      </c>
      <c r="W152" s="71">
        <f>IF($S152="","",IF(ISNUMBER($I152),$I152,$V152))</f>
        <v/>
      </c>
      <c r="X152" s="71">
        <f>IF($S152="","",IF(ISNUMBER($J152),$J152,$W152))</f>
        <v/>
      </c>
      <c r="Y152" s="71">
        <f>IF($S152="","",IF(N($T152)&gt;0,IF(N($AG152)&gt;0,SUMIFS($AC$5:$AC$1000,$R$5:$R$1000,ROW(),$S$5:$S$1000,"Sub")/$AG152,AVERAGEIFS($U$5:$U$1000,$R$5:$R$1000,ROW(),$S$5:$S$1000,"Sub")),$U152))</f>
        <v/>
      </c>
      <c r="Z152" s="71">
        <f>IF($S152="","",IF(N($T152)&gt;0,IF(N($AG152)&gt;0,SUMIFS($AD$5:$AD$1000,$R$5:$R$1000,ROW(),$S$5:$S$1000,"Sub")/$AG152,AVERAGEIFS($V$5:$V$1000,$R$5:$R$1000,ROW(),$S$5:$S$1000,"Sub")),$V152))</f>
        <v/>
      </c>
      <c r="AA152" s="71">
        <f>IF($S152="","",IF(N($T152)&gt;0,IF(N($AG152)&gt;0,SUMIFS($AE$5:$AE$1000,$R$5:$R$1000,ROW(),$S$5:$S$1000,"Sub")/$AG152,AVERAGEIFS($W$5:$W$1000,$R$5:$R$1000,ROW(),$S$5:$S$1000,"Sub")),$W152))</f>
        <v/>
      </c>
      <c r="AB152" s="71">
        <f>IF($S152="","",IF(N($T152)&gt;0,IF(N($AG152)&gt;0,SUMIFS($AF$5:$AF$1000,$R$5:$R$1000,ROW(),$S$5:$S$1000,"Sub")/$AG152,AVERAGEIFS($X$5:$X$1000,$R$5:$R$1000,ROW(),$S$5:$S$1000,"Sub")),$X152))</f>
        <v/>
      </c>
      <c r="AC152" s="71">
        <f>IF($S152="Sub",N($F152)*N($U152),"")</f>
        <v/>
      </c>
      <c r="AD152" s="71">
        <f>IF($S152="Sub",N($F152)*N($V152),"")</f>
        <v/>
      </c>
      <c r="AE152" s="71">
        <f>IF($S152="Sub",N($F152)*N($W152),"")</f>
        <v/>
      </c>
      <c r="AF152" s="71">
        <f>IF($S152="Sub",N($F152)*N($X152),"")</f>
        <v/>
      </c>
      <c r="AG152" s="71">
        <f>IF(N($T152)&gt;0,SUMIFS($F$5:$F$1000,$R$5:$R$1000,ROW(),$S$5:$S$1000,"Sub"),"")</f>
        <v/>
      </c>
    </row>
    <row r="153">
      <c r="A153" s="62">
        <f>IF(NOT((COUNTA($B153:$J153)+COUNTA($N153))&gt;0),"",IF($S153="Macro",COUNTIFS($S$5:$S153,"Macro",$P$5:$P153,$P153),IF(N($R153)=0,"?",COUNTIFS(INDEX($S$5:$S$1000,1):INDEX($S$5:$S$1000,$R153-4),"Macro",INDEX($P$5:$P$1000,1):INDEX($P$5:$P$1000,$R153-4),INDEX($P$5:$P$1000,$R153-4))&amp;"."&amp;COUNTIFS($R$5:$R153,$R153,$S$5:$S153,"Sub"))))</f>
        <v/>
      </c>
      <c r="B153" s="63" t="n"/>
      <c r="C153" s="64" t="n"/>
      <c r="D153" s="65" t="n"/>
      <c r="E153" s="65" t="n"/>
      <c r="F153" s="66" t="n"/>
      <c r="G153" s="67" t="n"/>
      <c r="H153" s="67" t="n"/>
      <c r="I153" s="67" t="n"/>
      <c r="J153" s="67" t="n"/>
      <c r="K153" s="68">
        <f>IF(NOT((COUNTA($B153:$J153)+COUNTA($N153))&gt;0),"",IF(N($T153)&gt;0,$AB153,IFERROR(LOOKUP(2,1/(G153:J153&lt;&gt;""),G153:J153),0)))</f>
        <v/>
      </c>
      <c r="L153" s="62">
        <f>IF(K153="","",IF(K153&gt;=1,"Completado",IF(K153&gt;0,"En curso","Pendiente")))</f>
        <v/>
      </c>
      <c r="M153" s="62">
        <f>IF(NOT((COUNTA($B153:$J153)+COUNTA($N153))&gt;0),"",IF(N($K153)&gt;=1,"Cumplida",IF(NOT(ISNUMBER($E153)),"Sin fecha límite",IF($E153&lt;FechaRef,"Vencida hace "&amp;(FechaRef-$E153)&amp;IF(FechaRef-$E153=1," día"," días"),IF($E153=FechaRef,"Vence hoy",IF($E153-FechaRef&lt;=DiasAlerta,"Vence en "&amp;($E153-FechaRef)&amp;IF($E153-FechaRef=1," día"," días"),"En plazo"))))))</f>
        <v/>
      </c>
      <c r="N153" s="64" t="n"/>
      <c r="O153" s="69">
        <f>IF(NOT((COUNTA($B153:$J153)+COUNTA($N153))&gt;0),"",IF((IF($C153="","Falta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",""))="","✔ OK","⚠ "&amp;LEFT(IF($C153="","Falta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",""),LEN(IF($C153="","Falta el nombre de la actividad"&amp;" · ","")&amp;IF(AND($S153="Sub",N($R153)=0),"Subactividad sin macroactividad arriba"&amp;" · ","")&amp;IF($D153="","Sin fecha de inicio"&amp;" · ","")&amp;IF($E153="","Sin fecha límite"&amp;" · ","")&amp;IF(OR(AND($D153&lt;&gt;"",NOT(ISNUMBER($D153))),AND($E153&lt;&gt;"",NOT(ISNUMBER($E153)))),"Fecha no válida"&amp;" · ","")&amp;IF(AND(ISNUMBER($D153),ISNUMBER($E153),$D153&gt;$E153),"Inicio posterior a fecha límite"&amp;" · ","")&amp;IF(AND($S153="Macro",$F153=""),"Peso vacío"&amp;" · ","")&amp;IF(AND($S153="Macro",$F153&lt;&gt;"",OR(NOT(ISNUMBER($F153)),$F153&lt;=0,$F153&gt;1)),"Peso fuera de rango"&amp;" · ","")&amp;IF(AND($S153="Sub",$F153&lt;&gt;"",OR(NOT(ISNUMBER($F153)),$F153&lt;0,$F153&gt;1)),"Peso fuera de rango"&amp;" · ","")&amp;IF(AND($S153="Sub",$F153="",IFERROR(N(INDEX($AG$5:$AG$1000,$R153-4)),0)&gt;0),"Falta el peso de la subactividad"&amp;" · ","")&amp;IF(AND(N($T153)&gt;0,N($AG153)&gt;0,ABS(N($AG153)-N($F153))&gt;0.0001),"Pesos de sus subactividades suman "&amp;TEXT(N($AG153),"0%")&amp;" (deben sumar "&amp;TEXT(N($F153),"0%")&amp;")"&amp;" · ","")&amp;IF(AND($S153="Macro",ABS(SUMIFS($F$5:$F$1000,$P$5:$P$1000,$P153,$S$5:$S$1000,"Macro")-1)&gt;0.0001),"Pesos del mes suman "&amp;TEXT(SUMIFS($F$5:$F$1000,$P$5:$P$1000,$P153,$S$5:$S$1000,"Macro"),"0%")&amp;" · ","")&amp;IF(AND(N($T153)&gt;0,COUNT($G153:$J153)&gt;0),"Con subactividades: deje vacías las semanas (se calculan solas)"&amp;" · ","")&amp;IF((COUNTIF($G153:$J153,"&gt;1")+COUNTIF($G153:$J153,"&lt;0")+COUNTA($G153:$J153)-COUNT($G153:$J153))&gt;0,"Avance fuera de rango 0-100%"&amp;" · ","")&amp;IF(OR(AND($H153&lt;&gt;"",$H153&lt;$G153),AND($I153&lt;&gt;"",$I153&lt;MAX($G153:$H153)),AND($J153&lt;&gt;"",$J153&lt;MAX($G153:$I153))),"Avance semanal decreciente"&amp;" · ","")&amp;IF(AND(ISNUMBER($E153),$E153&lt;FechaRef,N($K153)&lt;1),"Vencida"&amp;" · ","")&amp;IF(AND(ObsObligatoria="Sí",ISNUMBER($E153),$E153&lt;FechaRef,N($K153)&lt;1,$N153=""),"Vencida sin observación"&amp;" · ",""))-3)))</f>
        <v/>
      </c>
      <c r="P153" s="70">
        <f>IF(NOT((COUNTA($B153:$J153)+COUNTA($N153))&gt;0),"",IF(AND($S153="Sub",N($R153)&gt;0),IF(ISNUMBER(INDEX($D$5:$D$1000,$R153-4)),DATE(YEAR(INDEX($D$5:$D$1000,$R153-4)),MONTH(INDEX($D$5:$D$1000,$R153-4)),1),IF(ISNUMBER(INDEX($E$5:$E$1000,$R153-4)),DATE(YEAR(INDEX($E$5:$E$1000,$R153-4)),MONTH(INDEX($E$5:$E$1000,$R153-4)),1),MesCiclo)),IF(ISNUMBER($D153),DATE(YEAR($D153),MONTH($D153),1),IF(ISNUMBER($E153),DATE(YEAR($E153),MONTH($E153),1),MesCiclo))))</f>
        <v/>
      </c>
      <c r="Q153" s="71">
        <f>IF(OR($P153="",$P153&lt;&gt;MesCiclo),"",COUNTIF($P$5:$P153,MesCiclo))</f>
        <v/>
      </c>
      <c r="R153" s="71">
        <f>IF($S153="","",IF($S153="Macro",ROW(),IFERROR(LOOKUP(2,1/($S$5:$S153="Macro"),ROW($S$5:$S153)),0)))</f>
        <v/>
      </c>
      <c r="S153" s="71">
        <f>IF(NOT((COUNTA($B153:$J153)+COUNTA($N153))&gt;0),"",IF($B153="Subactividad","Sub","Macro"))</f>
        <v/>
      </c>
      <c r="T153" s="71">
        <f>IF($S153="Macro",COUNTIFS($R$5:$R$1000,ROW(),$S$5:$S$1000,"Sub"),"")</f>
        <v/>
      </c>
      <c r="U153" s="71">
        <f>IF($S153="","",IF(ISNUMBER($G153),$G153,0))</f>
        <v/>
      </c>
      <c r="V153" s="71">
        <f>IF($S153="","",IF(ISNUMBER($H153),$H153,$U153))</f>
        <v/>
      </c>
      <c r="W153" s="71">
        <f>IF($S153="","",IF(ISNUMBER($I153),$I153,$V153))</f>
        <v/>
      </c>
      <c r="X153" s="71">
        <f>IF($S153="","",IF(ISNUMBER($J153),$J153,$W153))</f>
        <v/>
      </c>
      <c r="Y153" s="71">
        <f>IF($S153="","",IF(N($T153)&gt;0,IF(N($AG153)&gt;0,SUMIFS($AC$5:$AC$1000,$R$5:$R$1000,ROW(),$S$5:$S$1000,"Sub")/$AG153,AVERAGEIFS($U$5:$U$1000,$R$5:$R$1000,ROW(),$S$5:$S$1000,"Sub")),$U153))</f>
        <v/>
      </c>
      <c r="Z153" s="71">
        <f>IF($S153="","",IF(N($T153)&gt;0,IF(N($AG153)&gt;0,SUMIFS($AD$5:$AD$1000,$R$5:$R$1000,ROW(),$S$5:$S$1000,"Sub")/$AG153,AVERAGEIFS($V$5:$V$1000,$R$5:$R$1000,ROW(),$S$5:$S$1000,"Sub")),$V153))</f>
        <v/>
      </c>
      <c r="AA153" s="71">
        <f>IF($S153="","",IF(N($T153)&gt;0,IF(N($AG153)&gt;0,SUMIFS($AE$5:$AE$1000,$R$5:$R$1000,ROW(),$S$5:$S$1000,"Sub")/$AG153,AVERAGEIFS($W$5:$W$1000,$R$5:$R$1000,ROW(),$S$5:$S$1000,"Sub")),$W153))</f>
        <v/>
      </c>
      <c r="AB153" s="71">
        <f>IF($S153="","",IF(N($T153)&gt;0,IF(N($AG153)&gt;0,SUMIFS($AF$5:$AF$1000,$R$5:$R$1000,ROW(),$S$5:$S$1000,"Sub")/$AG153,AVERAGEIFS($X$5:$X$1000,$R$5:$R$1000,ROW(),$S$5:$S$1000,"Sub")),$X153))</f>
        <v/>
      </c>
      <c r="AC153" s="71">
        <f>IF($S153="Sub",N($F153)*N($U153),"")</f>
        <v/>
      </c>
      <c r="AD153" s="71">
        <f>IF($S153="Sub",N($F153)*N($V153),"")</f>
        <v/>
      </c>
      <c r="AE153" s="71">
        <f>IF($S153="Sub",N($F153)*N($W153),"")</f>
        <v/>
      </c>
      <c r="AF153" s="71">
        <f>IF($S153="Sub",N($F153)*N($X153),"")</f>
        <v/>
      </c>
      <c r="AG153" s="71">
        <f>IF(N($T153)&gt;0,SUMIFS($F$5:$F$1000,$R$5:$R$1000,ROW(),$S$5:$S$1000,"Sub"),"")</f>
        <v/>
      </c>
    </row>
    <row r="154">
      <c r="A154" s="62">
        <f>IF(NOT((COUNTA($B154:$J154)+COUNTA($N154))&gt;0),"",IF($S154="Macro",COUNTIFS($S$5:$S154,"Macro",$P$5:$P154,$P154),IF(N($R154)=0,"?",COUNTIFS(INDEX($S$5:$S$1000,1):INDEX($S$5:$S$1000,$R154-4),"Macro",INDEX($P$5:$P$1000,1):INDEX($P$5:$P$1000,$R154-4),INDEX($P$5:$P$1000,$R154-4))&amp;"."&amp;COUNTIFS($R$5:$R154,$R154,$S$5:$S154,"Sub"))))</f>
        <v/>
      </c>
      <c r="B154" s="63" t="n"/>
      <c r="C154" s="64" t="n"/>
      <c r="D154" s="65" t="n"/>
      <c r="E154" s="65" t="n"/>
      <c r="F154" s="66" t="n"/>
      <c r="G154" s="67" t="n"/>
      <c r="H154" s="67" t="n"/>
      <c r="I154" s="67" t="n"/>
      <c r="J154" s="67" t="n"/>
      <c r="K154" s="68">
        <f>IF(NOT((COUNTA($B154:$J154)+COUNTA($N154))&gt;0),"",IF(N($T154)&gt;0,$AB154,IFERROR(LOOKUP(2,1/(G154:J154&lt;&gt;""),G154:J154),0)))</f>
        <v/>
      </c>
      <c r="L154" s="62">
        <f>IF(K154="","",IF(K154&gt;=1,"Completado",IF(K154&gt;0,"En curso","Pendiente")))</f>
        <v/>
      </c>
      <c r="M154" s="62">
        <f>IF(NOT((COUNTA($B154:$J154)+COUNTA($N154))&gt;0),"",IF(N($K154)&gt;=1,"Cumplida",IF(NOT(ISNUMBER($E154)),"Sin fecha límite",IF($E154&lt;FechaRef,"Vencida hace "&amp;(FechaRef-$E154)&amp;IF(FechaRef-$E154=1," día"," días"),IF($E154=FechaRef,"Vence hoy",IF($E154-FechaRef&lt;=DiasAlerta,"Vence en "&amp;($E154-FechaRef)&amp;IF($E154-FechaRef=1," día"," días"),"En plazo"))))))</f>
        <v/>
      </c>
      <c r="N154" s="64" t="n"/>
      <c r="O154" s="69">
        <f>IF(NOT((COUNTA($B154:$J154)+COUNTA($N154))&gt;0),"",IF((IF($C154="","Falta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",""))="","✔ OK","⚠ "&amp;LEFT(IF($C154="","Falta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",""),LEN(IF($C154="","Falta el nombre de la actividad"&amp;" · ","")&amp;IF(AND($S154="Sub",N($R154)=0),"Subactividad sin macroactividad arriba"&amp;" · ","")&amp;IF($D154="","Sin fecha de inicio"&amp;" · ","")&amp;IF($E154="","Sin fecha límite"&amp;" · ","")&amp;IF(OR(AND($D154&lt;&gt;"",NOT(ISNUMBER($D154))),AND($E154&lt;&gt;"",NOT(ISNUMBER($E154)))),"Fecha no válida"&amp;" · ","")&amp;IF(AND(ISNUMBER($D154),ISNUMBER($E154),$D154&gt;$E154),"Inicio posterior a fecha límite"&amp;" · ","")&amp;IF(AND($S154="Macro",$F154=""),"Peso vacío"&amp;" · ","")&amp;IF(AND($S154="Macro",$F154&lt;&gt;"",OR(NOT(ISNUMBER($F154)),$F154&lt;=0,$F154&gt;1)),"Peso fuera de rango"&amp;" · ","")&amp;IF(AND($S154="Sub",$F154&lt;&gt;"",OR(NOT(ISNUMBER($F154)),$F154&lt;0,$F154&gt;1)),"Peso fuera de rango"&amp;" · ","")&amp;IF(AND($S154="Sub",$F154="",IFERROR(N(INDEX($AG$5:$AG$1000,$R154-4)),0)&gt;0),"Falta el peso de la subactividad"&amp;" · ","")&amp;IF(AND(N($T154)&gt;0,N($AG154)&gt;0,ABS(N($AG154)-N($F154))&gt;0.0001),"Pesos de sus subactividades suman "&amp;TEXT(N($AG154),"0%")&amp;" (deben sumar "&amp;TEXT(N($F154),"0%")&amp;")"&amp;" · ","")&amp;IF(AND($S154="Macro",ABS(SUMIFS($F$5:$F$1000,$P$5:$P$1000,$P154,$S$5:$S$1000,"Macro")-1)&gt;0.0001),"Pesos del mes suman "&amp;TEXT(SUMIFS($F$5:$F$1000,$P$5:$P$1000,$P154,$S$5:$S$1000,"Macro"),"0%")&amp;" · ","")&amp;IF(AND(N($T154)&gt;0,COUNT($G154:$J154)&gt;0),"Con subactividades: deje vacías las semanas (se calculan solas)"&amp;" · ","")&amp;IF((COUNTIF($G154:$J154,"&gt;1")+COUNTIF($G154:$J154,"&lt;0")+COUNTA($G154:$J154)-COUNT($G154:$J154))&gt;0,"Avance fuera de rango 0-100%"&amp;" · ","")&amp;IF(OR(AND($H154&lt;&gt;"",$H154&lt;$G154),AND($I154&lt;&gt;"",$I154&lt;MAX($G154:$H154)),AND($J154&lt;&gt;"",$J154&lt;MAX($G154:$I154))),"Avance semanal decreciente"&amp;" · ","")&amp;IF(AND(ISNUMBER($E154),$E154&lt;FechaRef,N($K154)&lt;1),"Vencida"&amp;" · ","")&amp;IF(AND(ObsObligatoria="Sí",ISNUMBER($E154),$E154&lt;FechaRef,N($K154)&lt;1,$N154=""),"Vencida sin observación"&amp;" · ",""))-3)))</f>
        <v/>
      </c>
      <c r="P154" s="70">
        <f>IF(NOT((COUNTA($B154:$J154)+COUNTA($N154))&gt;0),"",IF(AND($S154="Sub",N($R154)&gt;0),IF(ISNUMBER(INDEX($D$5:$D$1000,$R154-4)),DATE(YEAR(INDEX($D$5:$D$1000,$R154-4)),MONTH(INDEX($D$5:$D$1000,$R154-4)),1),IF(ISNUMBER(INDEX($E$5:$E$1000,$R154-4)),DATE(YEAR(INDEX($E$5:$E$1000,$R154-4)),MONTH(INDEX($E$5:$E$1000,$R154-4)),1),MesCiclo)),IF(ISNUMBER($D154),DATE(YEAR($D154),MONTH($D154),1),IF(ISNUMBER($E154),DATE(YEAR($E154),MONTH($E154),1),MesCiclo))))</f>
        <v/>
      </c>
      <c r="Q154" s="71">
        <f>IF(OR($P154="",$P154&lt;&gt;MesCiclo),"",COUNTIF($P$5:$P154,MesCiclo))</f>
        <v/>
      </c>
      <c r="R154" s="71">
        <f>IF($S154="","",IF($S154="Macro",ROW(),IFERROR(LOOKUP(2,1/($S$5:$S154="Macro"),ROW($S$5:$S154)),0)))</f>
        <v/>
      </c>
      <c r="S154" s="71">
        <f>IF(NOT((COUNTA($B154:$J154)+COUNTA($N154))&gt;0),"",IF($B154="Subactividad","Sub","Macro"))</f>
        <v/>
      </c>
      <c r="T154" s="71">
        <f>IF($S154="Macro",COUNTIFS($R$5:$R$1000,ROW(),$S$5:$S$1000,"Sub"),"")</f>
        <v/>
      </c>
      <c r="U154" s="71">
        <f>IF($S154="","",IF(ISNUMBER($G154),$G154,0))</f>
        <v/>
      </c>
      <c r="V154" s="71">
        <f>IF($S154="","",IF(ISNUMBER($H154),$H154,$U154))</f>
        <v/>
      </c>
      <c r="W154" s="71">
        <f>IF($S154="","",IF(ISNUMBER($I154),$I154,$V154))</f>
        <v/>
      </c>
      <c r="X154" s="71">
        <f>IF($S154="","",IF(ISNUMBER($J154),$J154,$W154))</f>
        <v/>
      </c>
      <c r="Y154" s="71">
        <f>IF($S154="","",IF(N($T154)&gt;0,IF(N($AG154)&gt;0,SUMIFS($AC$5:$AC$1000,$R$5:$R$1000,ROW(),$S$5:$S$1000,"Sub")/$AG154,AVERAGEIFS($U$5:$U$1000,$R$5:$R$1000,ROW(),$S$5:$S$1000,"Sub")),$U154))</f>
        <v/>
      </c>
      <c r="Z154" s="71">
        <f>IF($S154="","",IF(N($T154)&gt;0,IF(N($AG154)&gt;0,SUMIFS($AD$5:$AD$1000,$R$5:$R$1000,ROW(),$S$5:$S$1000,"Sub")/$AG154,AVERAGEIFS($V$5:$V$1000,$R$5:$R$1000,ROW(),$S$5:$S$1000,"Sub")),$V154))</f>
        <v/>
      </c>
      <c r="AA154" s="71">
        <f>IF($S154="","",IF(N($T154)&gt;0,IF(N($AG154)&gt;0,SUMIFS($AE$5:$AE$1000,$R$5:$R$1000,ROW(),$S$5:$S$1000,"Sub")/$AG154,AVERAGEIFS($W$5:$W$1000,$R$5:$R$1000,ROW(),$S$5:$S$1000,"Sub")),$W154))</f>
        <v/>
      </c>
      <c r="AB154" s="71">
        <f>IF($S154="","",IF(N($T154)&gt;0,IF(N($AG154)&gt;0,SUMIFS($AF$5:$AF$1000,$R$5:$R$1000,ROW(),$S$5:$S$1000,"Sub")/$AG154,AVERAGEIFS($X$5:$X$1000,$R$5:$R$1000,ROW(),$S$5:$S$1000,"Sub")),$X154))</f>
        <v/>
      </c>
      <c r="AC154" s="71">
        <f>IF($S154="Sub",N($F154)*N($U154),"")</f>
        <v/>
      </c>
      <c r="AD154" s="71">
        <f>IF($S154="Sub",N($F154)*N($V154),"")</f>
        <v/>
      </c>
      <c r="AE154" s="71">
        <f>IF($S154="Sub",N($F154)*N($W154),"")</f>
        <v/>
      </c>
      <c r="AF154" s="71">
        <f>IF($S154="Sub",N($F154)*N($X154),"")</f>
        <v/>
      </c>
      <c r="AG154" s="71">
        <f>IF(N($T154)&gt;0,SUMIFS($F$5:$F$1000,$R$5:$R$1000,ROW(),$S$5:$S$1000,"Sub"),"")</f>
        <v/>
      </c>
    </row>
    <row r="155">
      <c r="A155" s="62">
        <f>IF(NOT((COUNTA($B155:$J155)+COUNTA($N155))&gt;0),"",IF($S155="Macro",COUNTIFS($S$5:$S155,"Macro",$P$5:$P155,$P155),IF(N($R155)=0,"?",COUNTIFS(INDEX($S$5:$S$1000,1):INDEX($S$5:$S$1000,$R155-4),"Macro",INDEX($P$5:$P$1000,1):INDEX($P$5:$P$1000,$R155-4),INDEX($P$5:$P$1000,$R155-4))&amp;"."&amp;COUNTIFS($R$5:$R155,$R155,$S$5:$S155,"Sub"))))</f>
        <v/>
      </c>
      <c r="B155" s="63" t="n"/>
      <c r="C155" s="64" t="n"/>
      <c r="D155" s="65" t="n"/>
      <c r="E155" s="65" t="n"/>
      <c r="F155" s="66" t="n"/>
      <c r="G155" s="67" t="n"/>
      <c r="H155" s="67" t="n"/>
      <c r="I155" s="67" t="n"/>
      <c r="J155" s="67" t="n"/>
      <c r="K155" s="68">
        <f>IF(NOT((COUNTA($B155:$J155)+COUNTA($N155))&gt;0),"",IF(N($T155)&gt;0,$AB155,IFERROR(LOOKUP(2,1/(G155:J155&lt;&gt;""),G155:J155),0)))</f>
        <v/>
      </c>
      <c r="L155" s="62">
        <f>IF(K155="","",IF(K155&gt;=1,"Completado",IF(K155&gt;0,"En curso","Pendiente")))</f>
        <v/>
      </c>
      <c r="M155" s="62">
        <f>IF(NOT((COUNTA($B155:$J155)+COUNTA($N155))&gt;0),"",IF(N($K155)&gt;=1,"Cumplida",IF(NOT(ISNUMBER($E155)),"Sin fecha límite",IF($E155&lt;FechaRef,"Vencida hace "&amp;(FechaRef-$E155)&amp;IF(FechaRef-$E155=1," día"," días"),IF($E155=FechaRef,"Vence hoy",IF($E155-FechaRef&lt;=DiasAlerta,"Vence en "&amp;($E155-FechaRef)&amp;IF($E155-FechaRef=1," día"," días"),"En plazo"))))))</f>
        <v/>
      </c>
      <c r="N155" s="64" t="n"/>
      <c r="O155" s="69">
        <f>IF(NOT((COUNTA($B155:$J155)+COUNTA($N155))&gt;0),"",IF((IF($C155="","Falta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",""))="","✔ OK","⚠ "&amp;LEFT(IF($C155="","Falta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",""),LEN(IF($C155="","Falta el nombre de la actividad"&amp;" · ","")&amp;IF(AND($S155="Sub",N($R155)=0),"Subactividad sin macroactividad arriba"&amp;" · ","")&amp;IF($D155="","Sin fecha de inicio"&amp;" · ","")&amp;IF($E155="","Sin fecha límite"&amp;" · ","")&amp;IF(OR(AND($D155&lt;&gt;"",NOT(ISNUMBER($D155))),AND($E155&lt;&gt;"",NOT(ISNUMBER($E155)))),"Fecha no válida"&amp;" · ","")&amp;IF(AND(ISNUMBER($D155),ISNUMBER($E155),$D155&gt;$E155),"Inicio posterior a fecha límite"&amp;" · ","")&amp;IF(AND($S155="Macro",$F155=""),"Peso vacío"&amp;" · ","")&amp;IF(AND($S155="Macro",$F155&lt;&gt;"",OR(NOT(ISNUMBER($F155)),$F155&lt;=0,$F155&gt;1)),"Peso fuera de rango"&amp;" · ","")&amp;IF(AND($S155="Sub",$F155&lt;&gt;"",OR(NOT(ISNUMBER($F155)),$F155&lt;0,$F155&gt;1)),"Peso fuera de rango"&amp;" · ","")&amp;IF(AND($S155="Sub",$F155="",IFERROR(N(INDEX($AG$5:$AG$1000,$R155-4)),0)&gt;0),"Falta el peso de la subactividad"&amp;" · ","")&amp;IF(AND(N($T155)&gt;0,N($AG155)&gt;0,ABS(N($AG155)-N($F155))&gt;0.0001),"Pesos de sus subactividades suman "&amp;TEXT(N($AG155),"0%")&amp;" (deben sumar "&amp;TEXT(N($F155),"0%")&amp;")"&amp;" · ","")&amp;IF(AND($S155="Macro",ABS(SUMIFS($F$5:$F$1000,$P$5:$P$1000,$P155,$S$5:$S$1000,"Macro")-1)&gt;0.0001),"Pesos del mes suman "&amp;TEXT(SUMIFS($F$5:$F$1000,$P$5:$P$1000,$P155,$S$5:$S$1000,"Macro"),"0%")&amp;" · ","")&amp;IF(AND(N($T155)&gt;0,COUNT($G155:$J155)&gt;0),"Con subactividades: deje vacías las semanas (se calculan solas)"&amp;" · ","")&amp;IF((COUNTIF($G155:$J155,"&gt;1")+COUNTIF($G155:$J155,"&lt;0")+COUNTA($G155:$J155)-COUNT($G155:$J155))&gt;0,"Avance fuera de rango 0-100%"&amp;" · ","")&amp;IF(OR(AND($H155&lt;&gt;"",$H155&lt;$G155),AND($I155&lt;&gt;"",$I155&lt;MAX($G155:$H155)),AND($J155&lt;&gt;"",$J155&lt;MAX($G155:$I155))),"Avance semanal decreciente"&amp;" · ","")&amp;IF(AND(ISNUMBER($E155),$E155&lt;FechaRef,N($K155)&lt;1),"Vencida"&amp;" · ","")&amp;IF(AND(ObsObligatoria="Sí",ISNUMBER($E155),$E155&lt;FechaRef,N($K155)&lt;1,$N155=""),"Vencida sin observación"&amp;" · ",""))-3)))</f>
        <v/>
      </c>
      <c r="P155" s="70">
        <f>IF(NOT((COUNTA($B155:$J155)+COUNTA($N155))&gt;0),"",IF(AND($S155="Sub",N($R155)&gt;0),IF(ISNUMBER(INDEX($D$5:$D$1000,$R155-4)),DATE(YEAR(INDEX($D$5:$D$1000,$R155-4)),MONTH(INDEX($D$5:$D$1000,$R155-4)),1),IF(ISNUMBER(INDEX($E$5:$E$1000,$R155-4)),DATE(YEAR(INDEX($E$5:$E$1000,$R155-4)),MONTH(INDEX($E$5:$E$1000,$R155-4)),1),MesCiclo)),IF(ISNUMBER($D155),DATE(YEAR($D155),MONTH($D155),1),IF(ISNUMBER($E155),DATE(YEAR($E155),MONTH($E155),1),MesCiclo))))</f>
        <v/>
      </c>
      <c r="Q155" s="71">
        <f>IF(OR($P155="",$P155&lt;&gt;MesCiclo),"",COUNTIF($P$5:$P155,MesCiclo))</f>
        <v/>
      </c>
      <c r="R155" s="71">
        <f>IF($S155="","",IF($S155="Macro",ROW(),IFERROR(LOOKUP(2,1/($S$5:$S155="Macro"),ROW($S$5:$S155)),0)))</f>
        <v/>
      </c>
      <c r="S155" s="71">
        <f>IF(NOT((COUNTA($B155:$J155)+COUNTA($N155))&gt;0),"",IF($B155="Subactividad","Sub","Macro"))</f>
        <v/>
      </c>
      <c r="T155" s="71">
        <f>IF($S155="Macro",COUNTIFS($R$5:$R$1000,ROW(),$S$5:$S$1000,"Sub"),"")</f>
        <v/>
      </c>
      <c r="U155" s="71">
        <f>IF($S155="","",IF(ISNUMBER($G155),$G155,0))</f>
        <v/>
      </c>
      <c r="V155" s="71">
        <f>IF($S155="","",IF(ISNUMBER($H155),$H155,$U155))</f>
        <v/>
      </c>
      <c r="W155" s="71">
        <f>IF($S155="","",IF(ISNUMBER($I155),$I155,$V155))</f>
        <v/>
      </c>
      <c r="X155" s="71">
        <f>IF($S155="","",IF(ISNUMBER($J155),$J155,$W155))</f>
        <v/>
      </c>
      <c r="Y155" s="71">
        <f>IF($S155="","",IF(N($T155)&gt;0,IF(N($AG155)&gt;0,SUMIFS($AC$5:$AC$1000,$R$5:$R$1000,ROW(),$S$5:$S$1000,"Sub")/$AG155,AVERAGEIFS($U$5:$U$1000,$R$5:$R$1000,ROW(),$S$5:$S$1000,"Sub")),$U155))</f>
        <v/>
      </c>
      <c r="Z155" s="71">
        <f>IF($S155="","",IF(N($T155)&gt;0,IF(N($AG155)&gt;0,SUMIFS($AD$5:$AD$1000,$R$5:$R$1000,ROW(),$S$5:$S$1000,"Sub")/$AG155,AVERAGEIFS($V$5:$V$1000,$R$5:$R$1000,ROW(),$S$5:$S$1000,"Sub")),$V155))</f>
        <v/>
      </c>
      <c r="AA155" s="71">
        <f>IF($S155="","",IF(N($T155)&gt;0,IF(N($AG155)&gt;0,SUMIFS($AE$5:$AE$1000,$R$5:$R$1000,ROW(),$S$5:$S$1000,"Sub")/$AG155,AVERAGEIFS($W$5:$W$1000,$R$5:$R$1000,ROW(),$S$5:$S$1000,"Sub")),$W155))</f>
        <v/>
      </c>
      <c r="AB155" s="71">
        <f>IF($S155="","",IF(N($T155)&gt;0,IF(N($AG155)&gt;0,SUMIFS($AF$5:$AF$1000,$R$5:$R$1000,ROW(),$S$5:$S$1000,"Sub")/$AG155,AVERAGEIFS($X$5:$X$1000,$R$5:$R$1000,ROW(),$S$5:$S$1000,"Sub")),$X155))</f>
        <v/>
      </c>
      <c r="AC155" s="71">
        <f>IF($S155="Sub",N($F155)*N($U155),"")</f>
        <v/>
      </c>
      <c r="AD155" s="71">
        <f>IF($S155="Sub",N($F155)*N($V155),"")</f>
        <v/>
      </c>
      <c r="AE155" s="71">
        <f>IF($S155="Sub",N($F155)*N($W155),"")</f>
        <v/>
      </c>
      <c r="AF155" s="71">
        <f>IF($S155="Sub",N($F155)*N($X155),"")</f>
        <v/>
      </c>
      <c r="AG155" s="71">
        <f>IF(N($T155)&gt;0,SUMIFS($F$5:$F$1000,$R$5:$R$1000,ROW(),$S$5:$S$1000,"Sub"),"")</f>
        <v/>
      </c>
    </row>
    <row r="156">
      <c r="A156" s="62">
        <f>IF(NOT((COUNTA($B156:$J156)+COUNTA($N156))&gt;0),"",IF($S156="Macro",COUNTIFS($S$5:$S156,"Macro",$P$5:$P156,$P156),IF(N($R156)=0,"?",COUNTIFS(INDEX($S$5:$S$1000,1):INDEX($S$5:$S$1000,$R156-4),"Macro",INDEX($P$5:$P$1000,1):INDEX($P$5:$P$1000,$R156-4),INDEX($P$5:$P$1000,$R156-4))&amp;"."&amp;COUNTIFS($R$5:$R156,$R156,$S$5:$S156,"Sub"))))</f>
        <v/>
      </c>
      <c r="B156" s="63" t="n"/>
      <c r="C156" s="64" t="n"/>
      <c r="D156" s="65" t="n"/>
      <c r="E156" s="65" t="n"/>
      <c r="F156" s="66" t="n"/>
      <c r="G156" s="67" t="n"/>
      <c r="H156" s="67" t="n"/>
      <c r="I156" s="67" t="n"/>
      <c r="J156" s="67" t="n"/>
      <c r="K156" s="68">
        <f>IF(NOT((COUNTA($B156:$J156)+COUNTA($N156))&gt;0),"",IF(N($T156)&gt;0,$AB156,IFERROR(LOOKUP(2,1/(G156:J156&lt;&gt;""),G156:J156),0)))</f>
        <v/>
      </c>
      <c r="L156" s="62">
        <f>IF(K156="","",IF(K156&gt;=1,"Completado",IF(K156&gt;0,"En curso","Pendiente")))</f>
        <v/>
      </c>
      <c r="M156" s="62">
        <f>IF(NOT((COUNTA($B156:$J156)+COUNTA($N156))&gt;0),"",IF(N($K156)&gt;=1,"Cumplida",IF(NOT(ISNUMBER($E156)),"Sin fecha límite",IF($E156&lt;FechaRef,"Vencida hace "&amp;(FechaRef-$E156)&amp;IF(FechaRef-$E156=1," día"," días"),IF($E156=FechaRef,"Vence hoy",IF($E156-FechaRef&lt;=DiasAlerta,"Vence en "&amp;($E156-FechaRef)&amp;IF($E156-FechaRef=1," día"," días"),"En plazo"))))))</f>
        <v/>
      </c>
      <c r="N156" s="64" t="n"/>
      <c r="O156" s="69">
        <f>IF(NOT((COUNTA($B156:$J156)+COUNTA($N156))&gt;0),"",IF((IF($C156="","Falta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",""))="","✔ OK","⚠ "&amp;LEFT(IF($C156="","Falta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",""),LEN(IF($C156="","Falta el nombre de la actividad"&amp;" · ","")&amp;IF(AND($S156="Sub",N($R156)=0),"Subactividad sin macroactividad arriba"&amp;" · ","")&amp;IF($D156="","Sin fecha de inicio"&amp;" · ","")&amp;IF($E156="","Sin fecha límite"&amp;" · ","")&amp;IF(OR(AND($D156&lt;&gt;"",NOT(ISNUMBER($D156))),AND($E156&lt;&gt;"",NOT(ISNUMBER($E156)))),"Fecha no válida"&amp;" · ","")&amp;IF(AND(ISNUMBER($D156),ISNUMBER($E156),$D156&gt;$E156),"Inicio posterior a fecha límite"&amp;" · ","")&amp;IF(AND($S156="Macro",$F156=""),"Peso vacío"&amp;" · ","")&amp;IF(AND($S156="Macro",$F156&lt;&gt;"",OR(NOT(ISNUMBER($F156)),$F156&lt;=0,$F156&gt;1)),"Peso fuera de rango"&amp;" · ","")&amp;IF(AND($S156="Sub",$F156&lt;&gt;"",OR(NOT(ISNUMBER($F156)),$F156&lt;0,$F156&gt;1)),"Peso fuera de rango"&amp;" · ","")&amp;IF(AND($S156="Sub",$F156="",IFERROR(N(INDEX($AG$5:$AG$1000,$R156-4)),0)&gt;0),"Falta el peso de la subactividad"&amp;" · ","")&amp;IF(AND(N($T156)&gt;0,N($AG156)&gt;0,ABS(N($AG156)-N($F156))&gt;0.0001),"Pesos de sus subactividades suman "&amp;TEXT(N($AG156),"0%")&amp;" (deben sumar "&amp;TEXT(N($F156),"0%")&amp;")"&amp;" · ","")&amp;IF(AND($S156="Macro",ABS(SUMIFS($F$5:$F$1000,$P$5:$P$1000,$P156,$S$5:$S$1000,"Macro")-1)&gt;0.0001),"Pesos del mes suman "&amp;TEXT(SUMIFS($F$5:$F$1000,$P$5:$P$1000,$P156,$S$5:$S$1000,"Macro"),"0%")&amp;" · ","")&amp;IF(AND(N($T156)&gt;0,COUNT($G156:$J156)&gt;0),"Con subactividades: deje vacías las semanas (se calculan solas)"&amp;" · ","")&amp;IF((COUNTIF($G156:$J156,"&gt;1")+COUNTIF($G156:$J156,"&lt;0")+COUNTA($G156:$J156)-COUNT($G156:$J156))&gt;0,"Avance fuera de rango 0-100%"&amp;" · ","")&amp;IF(OR(AND($H156&lt;&gt;"",$H156&lt;$G156),AND($I156&lt;&gt;"",$I156&lt;MAX($G156:$H156)),AND($J156&lt;&gt;"",$J156&lt;MAX($G156:$I156))),"Avance semanal decreciente"&amp;" · ","")&amp;IF(AND(ISNUMBER($E156),$E156&lt;FechaRef,N($K156)&lt;1),"Vencida"&amp;" · ","")&amp;IF(AND(ObsObligatoria="Sí",ISNUMBER($E156),$E156&lt;FechaRef,N($K156)&lt;1,$N156=""),"Vencida sin observación"&amp;" · ",""))-3)))</f>
        <v/>
      </c>
      <c r="P156" s="70">
        <f>IF(NOT((COUNTA($B156:$J156)+COUNTA($N156))&gt;0),"",IF(AND($S156="Sub",N($R156)&gt;0),IF(ISNUMBER(INDEX($D$5:$D$1000,$R156-4)),DATE(YEAR(INDEX($D$5:$D$1000,$R156-4)),MONTH(INDEX($D$5:$D$1000,$R156-4)),1),IF(ISNUMBER(INDEX($E$5:$E$1000,$R156-4)),DATE(YEAR(INDEX($E$5:$E$1000,$R156-4)),MONTH(INDEX($E$5:$E$1000,$R156-4)),1),MesCiclo)),IF(ISNUMBER($D156),DATE(YEAR($D156),MONTH($D156),1),IF(ISNUMBER($E156),DATE(YEAR($E156),MONTH($E156),1),MesCiclo))))</f>
        <v/>
      </c>
      <c r="Q156" s="71">
        <f>IF(OR($P156="",$P156&lt;&gt;MesCiclo),"",COUNTIF($P$5:$P156,MesCiclo))</f>
        <v/>
      </c>
      <c r="R156" s="71">
        <f>IF($S156="","",IF($S156="Macro",ROW(),IFERROR(LOOKUP(2,1/($S$5:$S156="Macro"),ROW($S$5:$S156)),0)))</f>
        <v/>
      </c>
      <c r="S156" s="71">
        <f>IF(NOT((COUNTA($B156:$J156)+COUNTA($N156))&gt;0),"",IF($B156="Subactividad","Sub","Macro"))</f>
        <v/>
      </c>
      <c r="T156" s="71">
        <f>IF($S156="Macro",COUNTIFS($R$5:$R$1000,ROW(),$S$5:$S$1000,"Sub"),"")</f>
        <v/>
      </c>
      <c r="U156" s="71">
        <f>IF($S156="","",IF(ISNUMBER($G156),$G156,0))</f>
        <v/>
      </c>
      <c r="V156" s="71">
        <f>IF($S156="","",IF(ISNUMBER($H156),$H156,$U156))</f>
        <v/>
      </c>
      <c r="W156" s="71">
        <f>IF($S156="","",IF(ISNUMBER($I156),$I156,$V156))</f>
        <v/>
      </c>
      <c r="X156" s="71">
        <f>IF($S156="","",IF(ISNUMBER($J156),$J156,$W156))</f>
        <v/>
      </c>
      <c r="Y156" s="71">
        <f>IF($S156="","",IF(N($T156)&gt;0,IF(N($AG156)&gt;0,SUMIFS($AC$5:$AC$1000,$R$5:$R$1000,ROW(),$S$5:$S$1000,"Sub")/$AG156,AVERAGEIFS($U$5:$U$1000,$R$5:$R$1000,ROW(),$S$5:$S$1000,"Sub")),$U156))</f>
        <v/>
      </c>
      <c r="Z156" s="71">
        <f>IF($S156="","",IF(N($T156)&gt;0,IF(N($AG156)&gt;0,SUMIFS($AD$5:$AD$1000,$R$5:$R$1000,ROW(),$S$5:$S$1000,"Sub")/$AG156,AVERAGEIFS($V$5:$V$1000,$R$5:$R$1000,ROW(),$S$5:$S$1000,"Sub")),$V156))</f>
        <v/>
      </c>
      <c r="AA156" s="71">
        <f>IF($S156="","",IF(N($T156)&gt;0,IF(N($AG156)&gt;0,SUMIFS($AE$5:$AE$1000,$R$5:$R$1000,ROW(),$S$5:$S$1000,"Sub")/$AG156,AVERAGEIFS($W$5:$W$1000,$R$5:$R$1000,ROW(),$S$5:$S$1000,"Sub")),$W156))</f>
        <v/>
      </c>
      <c r="AB156" s="71">
        <f>IF($S156="","",IF(N($T156)&gt;0,IF(N($AG156)&gt;0,SUMIFS($AF$5:$AF$1000,$R$5:$R$1000,ROW(),$S$5:$S$1000,"Sub")/$AG156,AVERAGEIFS($X$5:$X$1000,$R$5:$R$1000,ROW(),$S$5:$S$1000,"Sub")),$X156))</f>
        <v/>
      </c>
      <c r="AC156" s="71">
        <f>IF($S156="Sub",N($F156)*N($U156),"")</f>
        <v/>
      </c>
      <c r="AD156" s="71">
        <f>IF($S156="Sub",N($F156)*N($V156),"")</f>
        <v/>
      </c>
      <c r="AE156" s="71">
        <f>IF($S156="Sub",N($F156)*N($W156),"")</f>
        <v/>
      </c>
      <c r="AF156" s="71">
        <f>IF($S156="Sub",N($F156)*N($X156),"")</f>
        <v/>
      </c>
      <c r="AG156" s="71">
        <f>IF(N($T156)&gt;0,SUMIFS($F$5:$F$1000,$R$5:$R$1000,ROW(),$S$5:$S$1000,"Sub"),"")</f>
        <v/>
      </c>
    </row>
    <row r="157">
      <c r="A157" s="62">
        <f>IF(NOT((COUNTA($B157:$J157)+COUNTA($N157))&gt;0),"",IF($S157="Macro",COUNTIFS($S$5:$S157,"Macro",$P$5:$P157,$P157),IF(N($R157)=0,"?",COUNTIFS(INDEX($S$5:$S$1000,1):INDEX($S$5:$S$1000,$R157-4),"Macro",INDEX($P$5:$P$1000,1):INDEX($P$5:$P$1000,$R157-4),INDEX($P$5:$P$1000,$R157-4))&amp;"."&amp;COUNTIFS($R$5:$R157,$R157,$S$5:$S157,"Sub"))))</f>
        <v/>
      </c>
      <c r="B157" s="63" t="n"/>
      <c r="C157" s="64" t="n"/>
      <c r="D157" s="65" t="n"/>
      <c r="E157" s="65" t="n"/>
      <c r="F157" s="66" t="n"/>
      <c r="G157" s="67" t="n"/>
      <c r="H157" s="67" t="n"/>
      <c r="I157" s="67" t="n"/>
      <c r="J157" s="67" t="n"/>
      <c r="K157" s="68">
        <f>IF(NOT((COUNTA($B157:$J157)+COUNTA($N157))&gt;0),"",IF(N($T157)&gt;0,$AB157,IFERROR(LOOKUP(2,1/(G157:J157&lt;&gt;""),G157:J157),0)))</f>
        <v/>
      </c>
      <c r="L157" s="62">
        <f>IF(K157="","",IF(K157&gt;=1,"Completado",IF(K157&gt;0,"En curso","Pendiente")))</f>
        <v/>
      </c>
      <c r="M157" s="62">
        <f>IF(NOT((COUNTA($B157:$J157)+COUNTA($N157))&gt;0),"",IF(N($K157)&gt;=1,"Cumplida",IF(NOT(ISNUMBER($E157)),"Sin fecha límite",IF($E157&lt;FechaRef,"Vencida hace "&amp;(FechaRef-$E157)&amp;IF(FechaRef-$E157=1," día"," días"),IF($E157=FechaRef,"Vence hoy",IF($E157-FechaRef&lt;=DiasAlerta,"Vence en "&amp;($E157-FechaRef)&amp;IF($E157-FechaRef=1," día"," días"),"En plazo"))))))</f>
        <v/>
      </c>
      <c r="N157" s="64" t="n"/>
      <c r="O157" s="69">
        <f>IF(NOT((COUNTA($B157:$J157)+COUNTA($N157))&gt;0),"",IF((IF($C157="","Falta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",""))="","✔ OK","⚠ "&amp;LEFT(IF($C157="","Falta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",""),LEN(IF($C157="","Falta el nombre de la actividad"&amp;" · ","")&amp;IF(AND($S157="Sub",N($R157)=0),"Subactividad sin macroactividad arriba"&amp;" · ","")&amp;IF($D157="","Sin fecha de inicio"&amp;" · ","")&amp;IF($E157="","Sin fecha límite"&amp;" · ","")&amp;IF(OR(AND($D157&lt;&gt;"",NOT(ISNUMBER($D157))),AND($E157&lt;&gt;"",NOT(ISNUMBER($E157)))),"Fecha no válida"&amp;" · ","")&amp;IF(AND(ISNUMBER($D157),ISNUMBER($E157),$D157&gt;$E157),"Inicio posterior a fecha límite"&amp;" · ","")&amp;IF(AND($S157="Macro",$F157=""),"Peso vacío"&amp;" · ","")&amp;IF(AND($S157="Macro",$F157&lt;&gt;"",OR(NOT(ISNUMBER($F157)),$F157&lt;=0,$F157&gt;1)),"Peso fuera de rango"&amp;" · ","")&amp;IF(AND($S157="Sub",$F157&lt;&gt;"",OR(NOT(ISNUMBER($F157)),$F157&lt;0,$F157&gt;1)),"Peso fuera de rango"&amp;" · ","")&amp;IF(AND($S157="Sub",$F157="",IFERROR(N(INDEX($AG$5:$AG$1000,$R157-4)),0)&gt;0),"Falta el peso de la subactividad"&amp;" · ","")&amp;IF(AND(N($T157)&gt;0,N($AG157)&gt;0,ABS(N($AG157)-N($F157))&gt;0.0001),"Pesos de sus subactividades suman "&amp;TEXT(N($AG157),"0%")&amp;" (deben sumar "&amp;TEXT(N($F157),"0%")&amp;")"&amp;" · ","")&amp;IF(AND($S157="Macro",ABS(SUMIFS($F$5:$F$1000,$P$5:$P$1000,$P157,$S$5:$S$1000,"Macro")-1)&gt;0.0001),"Pesos del mes suman "&amp;TEXT(SUMIFS($F$5:$F$1000,$P$5:$P$1000,$P157,$S$5:$S$1000,"Macro"),"0%")&amp;" · ","")&amp;IF(AND(N($T157)&gt;0,COUNT($G157:$J157)&gt;0),"Con subactividades: deje vacías las semanas (se calculan solas)"&amp;" · ","")&amp;IF((COUNTIF($G157:$J157,"&gt;1")+COUNTIF($G157:$J157,"&lt;0")+COUNTA($G157:$J157)-COUNT($G157:$J157))&gt;0,"Avance fuera de rango 0-100%"&amp;" · ","")&amp;IF(OR(AND($H157&lt;&gt;"",$H157&lt;$G157),AND($I157&lt;&gt;"",$I157&lt;MAX($G157:$H157)),AND($J157&lt;&gt;"",$J157&lt;MAX($G157:$I157))),"Avance semanal decreciente"&amp;" · ","")&amp;IF(AND(ISNUMBER($E157),$E157&lt;FechaRef,N($K157)&lt;1),"Vencida"&amp;" · ","")&amp;IF(AND(ObsObligatoria="Sí",ISNUMBER($E157),$E157&lt;FechaRef,N($K157)&lt;1,$N157=""),"Vencida sin observación"&amp;" · ",""))-3)))</f>
        <v/>
      </c>
      <c r="P157" s="70">
        <f>IF(NOT((COUNTA($B157:$J157)+COUNTA($N157))&gt;0),"",IF(AND($S157="Sub",N($R157)&gt;0),IF(ISNUMBER(INDEX($D$5:$D$1000,$R157-4)),DATE(YEAR(INDEX($D$5:$D$1000,$R157-4)),MONTH(INDEX($D$5:$D$1000,$R157-4)),1),IF(ISNUMBER(INDEX($E$5:$E$1000,$R157-4)),DATE(YEAR(INDEX($E$5:$E$1000,$R157-4)),MONTH(INDEX($E$5:$E$1000,$R157-4)),1),MesCiclo)),IF(ISNUMBER($D157),DATE(YEAR($D157),MONTH($D157),1),IF(ISNUMBER($E157),DATE(YEAR($E157),MONTH($E157),1),MesCiclo))))</f>
        <v/>
      </c>
      <c r="Q157" s="71">
        <f>IF(OR($P157="",$P157&lt;&gt;MesCiclo),"",COUNTIF($P$5:$P157,MesCiclo))</f>
        <v/>
      </c>
      <c r="R157" s="71">
        <f>IF($S157="","",IF($S157="Macro",ROW(),IFERROR(LOOKUP(2,1/($S$5:$S157="Macro"),ROW($S$5:$S157)),0)))</f>
        <v/>
      </c>
      <c r="S157" s="71">
        <f>IF(NOT((COUNTA($B157:$J157)+COUNTA($N157))&gt;0),"",IF($B157="Subactividad","Sub","Macro"))</f>
        <v/>
      </c>
      <c r="T157" s="71">
        <f>IF($S157="Macro",COUNTIFS($R$5:$R$1000,ROW(),$S$5:$S$1000,"Sub"),"")</f>
        <v/>
      </c>
      <c r="U157" s="71">
        <f>IF($S157="","",IF(ISNUMBER($G157),$G157,0))</f>
        <v/>
      </c>
      <c r="V157" s="71">
        <f>IF($S157="","",IF(ISNUMBER($H157),$H157,$U157))</f>
        <v/>
      </c>
      <c r="W157" s="71">
        <f>IF($S157="","",IF(ISNUMBER($I157),$I157,$V157))</f>
        <v/>
      </c>
      <c r="X157" s="71">
        <f>IF($S157="","",IF(ISNUMBER($J157),$J157,$W157))</f>
        <v/>
      </c>
      <c r="Y157" s="71">
        <f>IF($S157="","",IF(N($T157)&gt;0,IF(N($AG157)&gt;0,SUMIFS($AC$5:$AC$1000,$R$5:$R$1000,ROW(),$S$5:$S$1000,"Sub")/$AG157,AVERAGEIFS($U$5:$U$1000,$R$5:$R$1000,ROW(),$S$5:$S$1000,"Sub")),$U157))</f>
        <v/>
      </c>
      <c r="Z157" s="71">
        <f>IF($S157="","",IF(N($T157)&gt;0,IF(N($AG157)&gt;0,SUMIFS($AD$5:$AD$1000,$R$5:$R$1000,ROW(),$S$5:$S$1000,"Sub")/$AG157,AVERAGEIFS($V$5:$V$1000,$R$5:$R$1000,ROW(),$S$5:$S$1000,"Sub")),$V157))</f>
        <v/>
      </c>
      <c r="AA157" s="71">
        <f>IF($S157="","",IF(N($T157)&gt;0,IF(N($AG157)&gt;0,SUMIFS($AE$5:$AE$1000,$R$5:$R$1000,ROW(),$S$5:$S$1000,"Sub")/$AG157,AVERAGEIFS($W$5:$W$1000,$R$5:$R$1000,ROW(),$S$5:$S$1000,"Sub")),$W157))</f>
        <v/>
      </c>
      <c r="AB157" s="71">
        <f>IF($S157="","",IF(N($T157)&gt;0,IF(N($AG157)&gt;0,SUMIFS($AF$5:$AF$1000,$R$5:$R$1000,ROW(),$S$5:$S$1000,"Sub")/$AG157,AVERAGEIFS($X$5:$X$1000,$R$5:$R$1000,ROW(),$S$5:$S$1000,"Sub")),$X157))</f>
        <v/>
      </c>
      <c r="AC157" s="71">
        <f>IF($S157="Sub",N($F157)*N($U157),"")</f>
        <v/>
      </c>
      <c r="AD157" s="71">
        <f>IF($S157="Sub",N($F157)*N($V157),"")</f>
        <v/>
      </c>
      <c r="AE157" s="71">
        <f>IF($S157="Sub",N($F157)*N($W157),"")</f>
        <v/>
      </c>
      <c r="AF157" s="71">
        <f>IF($S157="Sub",N($F157)*N($X157),"")</f>
        <v/>
      </c>
      <c r="AG157" s="71">
        <f>IF(N($T157)&gt;0,SUMIFS($F$5:$F$1000,$R$5:$R$1000,ROW(),$S$5:$S$1000,"Sub"),"")</f>
        <v/>
      </c>
    </row>
    <row r="158">
      <c r="A158" s="62">
        <f>IF(NOT((COUNTA($B158:$J158)+COUNTA($N158))&gt;0),"",IF($S158="Macro",COUNTIFS($S$5:$S158,"Macro",$P$5:$P158,$P158),IF(N($R158)=0,"?",COUNTIFS(INDEX($S$5:$S$1000,1):INDEX($S$5:$S$1000,$R158-4),"Macro",INDEX($P$5:$P$1000,1):INDEX($P$5:$P$1000,$R158-4),INDEX($P$5:$P$1000,$R158-4))&amp;"."&amp;COUNTIFS($R$5:$R158,$R158,$S$5:$S158,"Sub"))))</f>
        <v/>
      </c>
      <c r="B158" s="63" t="n"/>
      <c r="C158" s="64" t="n"/>
      <c r="D158" s="65" t="n"/>
      <c r="E158" s="65" t="n"/>
      <c r="F158" s="66" t="n"/>
      <c r="G158" s="67" t="n"/>
      <c r="H158" s="67" t="n"/>
      <c r="I158" s="67" t="n"/>
      <c r="J158" s="67" t="n"/>
      <c r="K158" s="68">
        <f>IF(NOT((COUNTA($B158:$J158)+COUNTA($N158))&gt;0),"",IF(N($T158)&gt;0,$AB158,IFERROR(LOOKUP(2,1/(G158:J158&lt;&gt;""),G158:J158),0)))</f>
        <v/>
      </c>
      <c r="L158" s="62">
        <f>IF(K158="","",IF(K158&gt;=1,"Completado",IF(K158&gt;0,"En curso","Pendiente")))</f>
        <v/>
      </c>
      <c r="M158" s="62">
        <f>IF(NOT((COUNTA($B158:$J158)+COUNTA($N158))&gt;0),"",IF(N($K158)&gt;=1,"Cumplida",IF(NOT(ISNUMBER($E158)),"Sin fecha límite",IF($E158&lt;FechaRef,"Vencida hace "&amp;(FechaRef-$E158)&amp;IF(FechaRef-$E158=1," día"," días"),IF($E158=FechaRef,"Vence hoy",IF($E158-FechaRef&lt;=DiasAlerta,"Vence en "&amp;($E158-FechaRef)&amp;IF($E158-FechaRef=1," día"," días"),"En plazo"))))))</f>
        <v/>
      </c>
      <c r="N158" s="64" t="n"/>
      <c r="O158" s="69">
        <f>IF(NOT((COUNTA($B158:$J158)+COUNTA($N158))&gt;0),"",IF((IF($C158="","Falta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",""))="","✔ OK","⚠ "&amp;LEFT(IF($C158="","Falta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",""),LEN(IF($C158="","Falta el nombre de la actividad"&amp;" · ","")&amp;IF(AND($S158="Sub",N($R158)=0),"Subactividad sin macroactividad arriba"&amp;" · ","")&amp;IF($D158="","Sin fecha de inicio"&amp;" · ","")&amp;IF($E158="","Sin fecha límite"&amp;" · ","")&amp;IF(OR(AND($D158&lt;&gt;"",NOT(ISNUMBER($D158))),AND($E158&lt;&gt;"",NOT(ISNUMBER($E158)))),"Fecha no válida"&amp;" · ","")&amp;IF(AND(ISNUMBER($D158),ISNUMBER($E158),$D158&gt;$E158),"Inicio posterior a fecha límite"&amp;" · ","")&amp;IF(AND($S158="Macro",$F158=""),"Peso vacío"&amp;" · ","")&amp;IF(AND($S158="Macro",$F158&lt;&gt;"",OR(NOT(ISNUMBER($F158)),$F158&lt;=0,$F158&gt;1)),"Peso fuera de rango"&amp;" · ","")&amp;IF(AND($S158="Sub",$F158&lt;&gt;"",OR(NOT(ISNUMBER($F158)),$F158&lt;0,$F158&gt;1)),"Peso fuera de rango"&amp;" · ","")&amp;IF(AND($S158="Sub",$F158="",IFERROR(N(INDEX($AG$5:$AG$1000,$R158-4)),0)&gt;0),"Falta el peso de la subactividad"&amp;" · ","")&amp;IF(AND(N($T158)&gt;0,N($AG158)&gt;0,ABS(N($AG158)-N($F158))&gt;0.0001),"Pesos de sus subactividades suman "&amp;TEXT(N($AG158),"0%")&amp;" (deben sumar "&amp;TEXT(N($F158),"0%")&amp;")"&amp;" · ","")&amp;IF(AND($S158="Macro",ABS(SUMIFS($F$5:$F$1000,$P$5:$P$1000,$P158,$S$5:$S$1000,"Macro")-1)&gt;0.0001),"Pesos del mes suman "&amp;TEXT(SUMIFS($F$5:$F$1000,$P$5:$P$1000,$P158,$S$5:$S$1000,"Macro"),"0%")&amp;" · ","")&amp;IF(AND(N($T158)&gt;0,COUNT($G158:$J158)&gt;0),"Con subactividades: deje vacías las semanas (se calculan solas)"&amp;" · ","")&amp;IF((COUNTIF($G158:$J158,"&gt;1")+COUNTIF($G158:$J158,"&lt;0")+COUNTA($G158:$J158)-COUNT($G158:$J158))&gt;0,"Avance fuera de rango 0-100%"&amp;" · ","")&amp;IF(OR(AND($H158&lt;&gt;"",$H158&lt;$G158),AND($I158&lt;&gt;"",$I158&lt;MAX($G158:$H158)),AND($J158&lt;&gt;"",$J158&lt;MAX($G158:$I158))),"Avance semanal decreciente"&amp;" · ","")&amp;IF(AND(ISNUMBER($E158),$E158&lt;FechaRef,N($K158)&lt;1),"Vencida"&amp;" · ","")&amp;IF(AND(ObsObligatoria="Sí",ISNUMBER($E158),$E158&lt;FechaRef,N($K158)&lt;1,$N158=""),"Vencida sin observación"&amp;" · ",""))-3)))</f>
        <v/>
      </c>
      <c r="P158" s="70">
        <f>IF(NOT((COUNTA($B158:$J158)+COUNTA($N158))&gt;0),"",IF(AND($S158="Sub",N($R158)&gt;0),IF(ISNUMBER(INDEX($D$5:$D$1000,$R158-4)),DATE(YEAR(INDEX($D$5:$D$1000,$R158-4)),MONTH(INDEX($D$5:$D$1000,$R158-4)),1),IF(ISNUMBER(INDEX($E$5:$E$1000,$R158-4)),DATE(YEAR(INDEX($E$5:$E$1000,$R158-4)),MONTH(INDEX($E$5:$E$1000,$R158-4)),1),MesCiclo)),IF(ISNUMBER($D158),DATE(YEAR($D158),MONTH($D158),1),IF(ISNUMBER($E158),DATE(YEAR($E158),MONTH($E158),1),MesCiclo))))</f>
        <v/>
      </c>
      <c r="Q158" s="71">
        <f>IF(OR($P158="",$P158&lt;&gt;MesCiclo),"",COUNTIF($P$5:$P158,MesCiclo))</f>
        <v/>
      </c>
      <c r="R158" s="71">
        <f>IF($S158="","",IF($S158="Macro",ROW(),IFERROR(LOOKUP(2,1/($S$5:$S158="Macro"),ROW($S$5:$S158)),0)))</f>
        <v/>
      </c>
      <c r="S158" s="71">
        <f>IF(NOT((COUNTA($B158:$J158)+COUNTA($N158))&gt;0),"",IF($B158="Subactividad","Sub","Macro"))</f>
        <v/>
      </c>
      <c r="T158" s="71">
        <f>IF($S158="Macro",COUNTIFS($R$5:$R$1000,ROW(),$S$5:$S$1000,"Sub"),"")</f>
        <v/>
      </c>
      <c r="U158" s="71">
        <f>IF($S158="","",IF(ISNUMBER($G158),$G158,0))</f>
        <v/>
      </c>
      <c r="V158" s="71">
        <f>IF($S158="","",IF(ISNUMBER($H158),$H158,$U158))</f>
        <v/>
      </c>
      <c r="W158" s="71">
        <f>IF($S158="","",IF(ISNUMBER($I158),$I158,$V158))</f>
        <v/>
      </c>
      <c r="X158" s="71">
        <f>IF($S158="","",IF(ISNUMBER($J158),$J158,$W158))</f>
        <v/>
      </c>
      <c r="Y158" s="71">
        <f>IF($S158="","",IF(N($T158)&gt;0,IF(N($AG158)&gt;0,SUMIFS($AC$5:$AC$1000,$R$5:$R$1000,ROW(),$S$5:$S$1000,"Sub")/$AG158,AVERAGEIFS($U$5:$U$1000,$R$5:$R$1000,ROW(),$S$5:$S$1000,"Sub")),$U158))</f>
        <v/>
      </c>
      <c r="Z158" s="71">
        <f>IF($S158="","",IF(N($T158)&gt;0,IF(N($AG158)&gt;0,SUMIFS($AD$5:$AD$1000,$R$5:$R$1000,ROW(),$S$5:$S$1000,"Sub")/$AG158,AVERAGEIFS($V$5:$V$1000,$R$5:$R$1000,ROW(),$S$5:$S$1000,"Sub")),$V158))</f>
        <v/>
      </c>
      <c r="AA158" s="71">
        <f>IF($S158="","",IF(N($T158)&gt;0,IF(N($AG158)&gt;0,SUMIFS($AE$5:$AE$1000,$R$5:$R$1000,ROW(),$S$5:$S$1000,"Sub")/$AG158,AVERAGEIFS($W$5:$W$1000,$R$5:$R$1000,ROW(),$S$5:$S$1000,"Sub")),$W158))</f>
        <v/>
      </c>
      <c r="AB158" s="71">
        <f>IF($S158="","",IF(N($T158)&gt;0,IF(N($AG158)&gt;0,SUMIFS($AF$5:$AF$1000,$R$5:$R$1000,ROW(),$S$5:$S$1000,"Sub")/$AG158,AVERAGEIFS($X$5:$X$1000,$R$5:$R$1000,ROW(),$S$5:$S$1000,"Sub")),$X158))</f>
        <v/>
      </c>
      <c r="AC158" s="71">
        <f>IF($S158="Sub",N($F158)*N($U158),"")</f>
        <v/>
      </c>
      <c r="AD158" s="71">
        <f>IF($S158="Sub",N($F158)*N($V158),"")</f>
        <v/>
      </c>
      <c r="AE158" s="71">
        <f>IF($S158="Sub",N($F158)*N($W158),"")</f>
        <v/>
      </c>
      <c r="AF158" s="71">
        <f>IF($S158="Sub",N($F158)*N($X158),"")</f>
        <v/>
      </c>
      <c r="AG158" s="71">
        <f>IF(N($T158)&gt;0,SUMIFS($F$5:$F$1000,$R$5:$R$1000,ROW(),$S$5:$S$1000,"Sub"),"")</f>
        <v/>
      </c>
    </row>
    <row r="159">
      <c r="A159" s="62">
        <f>IF(NOT((COUNTA($B159:$J159)+COUNTA($N159))&gt;0),"",IF($S159="Macro",COUNTIFS($S$5:$S159,"Macro",$P$5:$P159,$P159),IF(N($R159)=0,"?",COUNTIFS(INDEX($S$5:$S$1000,1):INDEX($S$5:$S$1000,$R159-4),"Macro",INDEX($P$5:$P$1000,1):INDEX($P$5:$P$1000,$R159-4),INDEX($P$5:$P$1000,$R159-4))&amp;"."&amp;COUNTIFS($R$5:$R159,$R159,$S$5:$S159,"Sub"))))</f>
        <v/>
      </c>
      <c r="B159" s="63" t="n"/>
      <c r="C159" s="64" t="n"/>
      <c r="D159" s="65" t="n"/>
      <c r="E159" s="65" t="n"/>
      <c r="F159" s="66" t="n"/>
      <c r="G159" s="67" t="n"/>
      <c r="H159" s="67" t="n"/>
      <c r="I159" s="67" t="n"/>
      <c r="J159" s="67" t="n"/>
      <c r="K159" s="68">
        <f>IF(NOT((COUNTA($B159:$J159)+COUNTA($N159))&gt;0),"",IF(N($T159)&gt;0,$AB159,IFERROR(LOOKUP(2,1/(G159:J159&lt;&gt;""),G159:J159),0)))</f>
        <v/>
      </c>
      <c r="L159" s="62">
        <f>IF(K159="","",IF(K159&gt;=1,"Completado",IF(K159&gt;0,"En curso","Pendiente")))</f>
        <v/>
      </c>
      <c r="M159" s="62">
        <f>IF(NOT((COUNTA($B159:$J159)+COUNTA($N159))&gt;0),"",IF(N($K159)&gt;=1,"Cumplida",IF(NOT(ISNUMBER($E159)),"Sin fecha límite",IF($E159&lt;FechaRef,"Vencida hace "&amp;(FechaRef-$E159)&amp;IF(FechaRef-$E159=1," día"," días"),IF($E159=FechaRef,"Vence hoy",IF($E159-FechaRef&lt;=DiasAlerta,"Vence en "&amp;($E159-FechaRef)&amp;IF($E159-FechaRef=1," día"," días"),"En plazo"))))))</f>
        <v/>
      </c>
      <c r="N159" s="64" t="n"/>
      <c r="O159" s="69">
        <f>IF(NOT((COUNTA($B159:$J159)+COUNTA($N159))&gt;0),"",IF((IF($C159="","Falta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",""))="","✔ OK","⚠ "&amp;LEFT(IF($C159="","Falta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",""),LEN(IF($C159="","Falta el nombre de la actividad"&amp;" · ","")&amp;IF(AND($S159="Sub",N($R159)=0),"Subactividad sin macroactividad arriba"&amp;" · ","")&amp;IF($D159="","Sin fecha de inicio"&amp;" · ","")&amp;IF($E159="","Sin fecha límite"&amp;" · ","")&amp;IF(OR(AND($D159&lt;&gt;"",NOT(ISNUMBER($D159))),AND($E159&lt;&gt;"",NOT(ISNUMBER($E159)))),"Fecha no válida"&amp;" · ","")&amp;IF(AND(ISNUMBER($D159),ISNUMBER($E159),$D159&gt;$E159),"Inicio posterior a fecha límite"&amp;" · ","")&amp;IF(AND($S159="Macro",$F159=""),"Peso vacío"&amp;" · ","")&amp;IF(AND($S159="Macro",$F159&lt;&gt;"",OR(NOT(ISNUMBER($F159)),$F159&lt;=0,$F159&gt;1)),"Peso fuera de rango"&amp;" · ","")&amp;IF(AND($S159="Sub",$F159&lt;&gt;"",OR(NOT(ISNUMBER($F159)),$F159&lt;0,$F159&gt;1)),"Peso fuera de rango"&amp;" · ","")&amp;IF(AND($S159="Sub",$F159="",IFERROR(N(INDEX($AG$5:$AG$1000,$R159-4)),0)&gt;0),"Falta el peso de la subactividad"&amp;" · ","")&amp;IF(AND(N($T159)&gt;0,N($AG159)&gt;0,ABS(N($AG159)-N($F159))&gt;0.0001),"Pesos de sus subactividades suman "&amp;TEXT(N($AG159),"0%")&amp;" (deben sumar "&amp;TEXT(N($F159),"0%")&amp;")"&amp;" · ","")&amp;IF(AND($S159="Macro",ABS(SUMIFS($F$5:$F$1000,$P$5:$P$1000,$P159,$S$5:$S$1000,"Macro")-1)&gt;0.0001),"Pesos del mes suman "&amp;TEXT(SUMIFS($F$5:$F$1000,$P$5:$P$1000,$P159,$S$5:$S$1000,"Macro"),"0%")&amp;" · ","")&amp;IF(AND(N($T159)&gt;0,COUNT($G159:$J159)&gt;0),"Con subactividades: deje vacías las semanas (se calculan solas)"&amp;" · ","")&amp;IF((COUNTIF($G159:$J159,"&gt;1")+COUNTIF($G159:$J159,"&lt;0")+COUNTA($G159:$J159)-COUNT($G159:$J159))&gt;0,"Avance fuera de rango 0-100%"&amp;" · ","")&amp;IF(OR(AND($H159&lt;&gt;"",$H159&lt;$G159),AND($I159&lt;&gt;"",$I159&lt;MAX($G159:$H159)),AND($J159&lt;&gt;"",$J159&lt;MAX($G159:$I159))),"Avance semanal decreciente"&amp;" · ","")&amp;IF(AND(ISNUMBER($E159),$E159&lt;FechaRef,N($K159)&lt;1),"Vencida"&amp;" · ","")&amp;IF(AND(ObsObligatoria="Sí",ISNUMBER($E159),$E159&lt;FechaRef,N($K159)&lt;1,$N159=""),"Vencida sin observación"&amp;" · ",""))-3)))</f>
        <v/>
      </c>
      <c r="P159" s="70">
        <f>IF(NOT((COUNTA($B159:$J159)+COUNTA($N159))&gt;0),"",IF(AND($S159="Sub",N($R159)&gt;0),IF(ISNUMBER(INDEX($D$5:$D$1000,$R159-4)),DATE(YEAR(INDEX($D$5:$D$1000,$R159-4)),MONTH(INDEX($D$5:$D$1000,$R159-4)),1),IF(ISNUMBER(INDEX($E$5:$E$1000,$R159-4)),DATE(YEAR(INDEX($E$5:$E$1000,$R159-4)),MONTH(INDEX($E$5:$E$1000,$R159-4)),1),MesCiclo)),IF(ISNUMBER($D159),DATE(YEAR($D159),MONTH($D159),1),IF(ISNUMBER($E159),DATE(YEAR($E159),MONTH($E159),1),MesCiclo))))</f>
        <v/>
      </c>
      <c r="Q159" s="71">
        <f>IF(OR($P159="",$P159&lt;&gt;MesCiclo),"",COUNTIF($P$5:$P159,MesCiclo))</f>
        <v/>
      </c>
      <c r="R159" s="71">
        <f>IF($S159="","",IF($S159="Macro",ROW(),IFERROR(LOOKUP(2,1/($S$5:$S159="Macro"),ROW($S$5:$S159)),0)))</f>
        <v/>
      </c>
      <c r="S159" s="71">
        <f>IF(NOT((COUNTA($B159:$J159)+COUNTA($N159))&gt;0),"",IF($B159="Subactividad","Sub","Macro"))</f>
        <v/>
      </c>
      <c r="T159" s="71">
        <f>IF($S159="Macro",COUNTIFS($R$5:$R$1000,ROW(),$S$5:$S$1000,"Sub"),"")</f>
        <v/>
      </c>
      <c r="U159" s="71">
        <f>IF($S159="","",IF(ISNUMBER($G159),$G159,0))</f>
        <v/>
      </c>
      <c r="V159" s="71">
        <f>IF($S159="","",IF(ISNUMBER($H159),$H159,$U159))</f>
        <v/>
      </c>
      <c r="W159" s="71">
        <f>IF($S159="","",IF(ISNUMBER($I159),$I159,$V159))</f>
        <v/>
      </c>
      <c r="X159" s="71">
        <f>IF($S159="","",IF(ISNUMBER($J159),$J159,$W159))</f>
        <v/>
      </c>
      <c r="Y159" s="71">
        <f>IF($S159="","",IF(N($T159)&gt;0,IF(N($AG159)&gt;0,SUMIFS($AC$5:$AC$1000,$R$5:$R$1000,ROW(),$S$5:$S$1000,"Sub")/$AG159,AVERAGEIFS($U$5:$U$1000,$R$5:$R$1000,ROW(),$S$5:$S$1000,"Sub")),$U159))</f>
        <v/>
      </c>
      <c r="Z159" s="71">
        <f>IF($S159="","",IF(N($T159)&gt;0,IF(N($AG159)&gt;0,SUMIFS($AD$5:$AD$1000,$R$5:$R$1000,ROW(),$S$5:$S$1000,"Sub")/$AG159,AVERAGEIFS($V$5:$V$1000,$R$5:$R$1000,ROW(),$S$5:$S$1000,"Sub")),$V159))</f>
        <v/>
      </c>
      <c r="AA159" s="71">
        <f>IF($S159="","",IF(N($T159)&gt;0,IF(N($AG159)&gt;0,SUMIFS($AE$5:$AE$1000,$R$5:$R$1000,ROW(),$S$5:$S$1000,"Sub")/$AG159,AVERAGEIFS($W$5:$W$1000,$R$5:$R$1000,ROW(),$S$5:$S$1000,"Sub")),$W159))</f>
        <v/>
      </c>
      <c r="AB159" s="71">
        <f>IF($S159="","",IF(N($T159)&gt;0,IF(N($AG159)&gt;0,SUMIFS($AF$5:$AF$1000,$R$5:$R$1000,ROW(),$S$5:$S$1000,"Sub")/$AG159,AVERAGEIFS($X$5:$X$1000,$R$5:$R$1000,ROW(),$S$5:$S$1000,"Sub")),$X159))</f>
        <v/>
      </c>
      <c r="AC159" s="71">
        <f>IF($S159="Sub",N($F159)*N($U159),"")</f>
        <v/>
      </c>
      <c r="AD159" s="71">
        <f>IF($S159="Sub",N($F159)*N($V159),"")</f>
        <v/>
      </c>
      <c r="AE159" s="71">
        <f>IF($S159="Sub",N($F159)*N($W159),"")</f>
        <v/>
      </c>
      <c r="AF159" s="71">
        <f>IF($S159="Sub",N($F159)*N($X159),"")</f>
        <v/>
      </c>
      <c r="AG159" s="71">
        <f>IF(N($T159)&gt;0,SUMIFS($F$5:$F$1000,$R$5:$R$1000,ROW(),$S$5:$S$1000,"Sub"),"")</f>
        <v/>
      </c>
    </row>
    <row r="160">
      <c r="A160" s="62">
        <f>IF(NOT((COUNTA($B160:$J160)+COUNTA($N160))&gt;0),"",IF($S160="Macro",COUNTIFS($S$5:$S160,"Macro",$P$5:$P160,$P160),IF(N($R160)=0,"?",COUNTIFS(INDEX($S$5:$S$1000,1):INDEX($S$5:$S$1000,$R160-4),"Macro",INDEX($P$5:$P$1000,1):INDEX($P$5:$P$1000,$R160-4),INDEX($P$5:$P$1000,$R160-4))&amp;"."&amp;COUNTIFS($R$5:$R160,$R160,$S$5:$S160,"Sub"))))</f>
        <v/>
      </c>
      <c r="B160" s="63" t="n"/>
      <c r="C160" s="64" t="n"/>
      <c r="D160" s="65" t="n"/>
      <c r="E160" s="65" t="n"/>
      <c r="F160" s="66" t="n"/>
      <c r="G160" s="67" t="n"/>
      <c r="H160" s="67" t="n"/>
      <c r="I160" s="67" t="n"/>
      <c r="J160" s="67" t="n"/>
      <c r="K160" s="68">
        <f>IF(NOT((COUNTA($B160:$J160)+COUNTA($N160))&gt;0),"",IF(N($T160)&gt;0,$AB160,IFERROR(LOOKUP(2,1/(G160:J160&lt;&gt;""),G160:J160),0)))</f>
        <v/>
      </c>
      <c r="L160" s="62">
        <f>IF(K160="","",IF(K160&gt;=1,"Completado",IF(K160&gt;0,"En curso","Pendiente")))</f>
        <v/>
      </c>
      <c r="M160" s="62">
        <f>IF(NOT((COUNTA($B160:$J160)+COUNTA($N160))&gt;0),"",IF(N($K160)&gt;=1,"Cumplida",IF(NOT(ISNUMBER($E160)),"Sin fecha límite",IF($E160&lt;FechaRef,"Vencida hace "&amp;(FechaRef-$E160)&amp;IF(FechaRef-$E160=1," día"," días"),IF($E160=FechaRef,"Vence hoy",IF($E160-FechaRef&lt;=DiasAlerta,"Vence en "&amp;($E160-FechaRef)&amp;IF($E160-FechaRef=1," día"," días"),"En plazo"))))))</f>
        <v/>
      </c>
      <c r="N160" s="64" t="n"/>
      <c r="O160" s="69">
        <f>IF(NOT((COUNTA($B160:$J160)+COUNTA($N160))&gt;0),"",IF((IF($C160="","Falta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",""))="","✔ OK","⚠ "&amp;LEFT(IF($C160="","Falta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",""),LEN(IF($C160="","Falta el nombre de la actividad"&amp;" · ","")&amp;IF(AND($S160="Sub",N($R160)=0),"Subactividad sin macroactividad arriba"&amp;" · ","")&amp;IF($D160="","Sin fecha de inicio"&amp;" · ","")&amp;IF($E160="","Sin fecha límite"&amp;" · ","")&amp;IF(OR(AND($D160&lt;&gt;"",NOT(ISNUMBER($D160))),AND($E160&lt;&gt;"",NOT(ISNUMBER($E160)))),"Fecha no válida"&amp;" · ","")&amp;IF(AND(ISNUMBER($D160),ISNUMBER($E160),$D160&gt;$E160),"Inicio posterior a fecha límite"&amp;" · ","")&amp;IF(AND($S160="Macro",$F160=""),"Peso vacío"&amp;" · ","")&amp;IF(AND($S160="Macro",$F160&lt;&gt;"",OR(NOT(ISNUMBER($F160)),$F160&lt;=0,$F160&gt;1)),"Peso fuera de rango"&amp;" · ","")&amp;IF(AND($S160="Sub",$F160&lt;&gt;"",OR(NOT(ISNUMBER($F160)),$F160&lt;0,$F160&gt;1)),"Peso fuera de rango"&amp;" · ","")&amp;IF(AND($S160="Sub",$F160="",IFERROR(N(INDEX($AG$5:$AG$1000,$R160-4)),0)&gt;0),"Falta el peso de la subactividad"&amp;" · ","")&amp;IF(AND(N($T160)&gt;0,N($AG160)&gt;0,ABS(N($AG160)-N($F160))&gt;0.0001),"Pesos de sus subactividades suman "&amp;TEXT(N($AG160),"0%")&amp;" (deben sumar "&amp;TEXT(N($F160),"0%")&amp;")"&amp;" · ","")&amp;IF(AND($S160="Macro",ABS(SUMIFS($F$5:$F$1000,$P$5:$P$1000,$P160,$S$5:$S$1000,"Macro")-1)&gt;0.0001),"Pesos del mes suman "&amp;TEXT(SUMIFS($F$5:$F$1000,$P$5:$P$1000,$P160,$S$5:$S$1000,"Macro"),"0%")&amp;" · ","")&amp;IF(AND(N($T160)&gt;0,COUNT($G160:$J160)&gt;0),"Con subactividades: deje vacías las semanas (se calculan solas)"&amp;" · ","")&amp;IF((COUNTIF($G160:$J160,"&gt;1")+COUNTIF($G160:$J160,"&lt;0")+COUNTA($G160:$J160)-COUNT($G160:$J160))&gt;0,"Avance fuera de rango 0-100%"&amp;" · ","")&amp;IF(OR(AND($H160&lt;&gt;"",$H160&lt;$G160),AND($I160&lt;&gt;"",$I160&lt;MAX($G160:$H160)),AND($J160&lt;&gt;"",$J160&lt;MAX($G160:$I160))),"Avance semanal decreciente"&amp;" · ","")&amp;IF(AND(ISNUMBER($E160),$E160&lt;FechaRef,N($K160)&lt;1),"Vencida"&amp;" · ","")&amp;IF(AND(ObsObligatoria="Sí",ISNUMBER($E160),$E160&lt;FechaRef,N($K160)&lt;1,$N160=""),"Vencida sin observación"&amp;" · ",""))-3)))</f>
        <v/>
      </c>
      <c r="P160" s="70">
        <f>IF(NOT((COUNTA($B160:$J160)+COUNTA($N160))&gt;0),"",IF(AND($S160="Sub",N($R160)&gt;0),IF(ISNUMBER(INDEX($D$5:$D$1000,$R160-4)),DATE(YEAR(INDEX($D$5:$D$1000,$R160-4)),MONTH(INDEX($D$5:$D$1000,$R160-4)),1),IF(ISNUMBER(INDEX($E$5:$E$1000,$R160-4)),DATE(YEAR(INDEX($E$5:$E$1000,$R160-4)),MONTH(INDEX($E$5:$E$1000,$R160-4)),1),MesCiclo)),IF(ISNUMBER($D160),DATE(YEAR($D160),MONTH($D160),1),IF(ISNUMBER($E160),DATE(YEAR($E160),MONTH($E160),1),MesCiclo))))</f>
        <v/>
      </c>
      <c r="Q160" s="71">
        <f>IF(OR($P160="",$P160&lt;&gt;MesCiclo),"",COUNTIF($P$5:$P160,MesCiclo))</f>
        <v/>
      </c>
      <c r="R160" s="71">
        <f>IF($S160="","",IF($S160="Macro",ROW(),IFERROR(LOOKUP(2,1/($S$5:$S160="Macro"),ROW($S$5:$S160)),0)))</f>
        <v/>
      </c>
      <c r="S160" s="71">
        <f>IF(NOT((COUNTA($B160:$J160)+COUNTA($N160))&gt;0),"",IF($B160="Subactividad","Sub","Macro"))</f>
        <v/>
      </c>
      <c r="T160" s="71">
        <f>IF($S160="Macro",COUNTIFS($R$5:$R$1000,ROW(),$S$5:$S$1000,"Sub"),"")</f>
        <v/>
      </c>
      <c r="U160" s="71">
        <f>IF($S160="","",IF(ISNUMBER($G160),$G160,0))</f>
        <v/>
      </c>
      <c r="V160" s="71">
        <f>IF($S160="","",IF(ISNUMBER($H160),$H160,$U160))</f>
        <v/>
      </c>
      <c r="W160" s="71">
        <f>IF($S160="","",IF(ISNUMBER($I160),$I160,$V160))</f>
        <v/>
      </c>
      <c r="X160" s="71">
        <f>IF($S160="","",IF(ISNUMBER($J160),$J160,$W160))</f>
        <v/>
      </c>
      <c r="Y160" s="71">
        <f>IF($S160="","",IF(N($T160)&gt;0,IF(N($AG160)&gt;0,SUMIFS($AC$5:$AC$1000,$R$5:$R$1000,ROW(),$S$5:$S$1000,"Sub")/$AG160,AVERAGEIFS($U$5:$U$1000,$R$5:$R$1000,ROW(),$S$5:$S$1000,"Sub")),$U160))</f>
        <v/>
      </c>
      <c r="Z160" s="71">
        <f>IF($S160="","",IF(N($T160)&gt;0,IF(N($AG160)&gt;0,SUMIFS($AD$5:$AD$1000,$R$5:$R$1000,ROW(),$S$5:$S$1000,"Sub")/$AG160,AVERAGEIFS($V$5:$V$1000,$R$5:$R$1000,ROW(),$S$5:$S$1000,"Sub")),$V160))</f>
        <v/>
      </c>
      <c r="AA160" s="71">
        <f>IF($S160="","",IF(N($T160)&gt;0,IF(N($AG160)&gt;0,SUMIFS($AE$5:$AE$1000,$R$5:$R$1000,ROW(),$S$5:$S$1000,"Sub")/$AG160,AVERAGEIFS($W$5:$W$1000,$R$5:$R$1000,ROW(),$S$5:$S$1000,"Sub")),$W160))</f>
        <v/>
      </c>
      <c r="AB160" s="71">
        <f>IF($S160="","",IF(N($T160)&gt;0,IF(N($AG160)&gt;0,SUMIFS($AF$5:$AF$1000,$R$5:$R$1000,ROW(),$S$5:$S$1000,"Sub")/$AG160,AVERAGEIFS($X$5:$X$1000,$R$5:$R$1000,ROW(),$S$5:$S$1000,"Sub")),$X160))</f>
        <v/>
      </c>
      <c r="AC160" s="71">
        <f>IF($S160="Sub",N($F160)*N($U160),"")</f>
        <v/>
      </c>
      <c r="AD160" s="71">
        <f>IF($S160="Sub",N($F160)*N($V160),"")</f>
        <v/>
      </c>
      <c r="AE160" s="71">
        <f>IF($S160="Sub",N($F160)*N($W160),"")</f>
        <v/>
      </c>
      <c r="AF160" s="71">
        <f>IF($S160="Sub",N($F160)*N($X160),"")</f>
        <v/>
      </c>
      <c r="AG160" s="71">
        <f>IF(N($T160)&gt;0,SUMIFS($F$5:$F$1000,$R$5:$R$1000,ROW(),$S$5:$S$1000,"Sub"),"")</f>
        <v/>
      </c>
    </row>
    <row r="161">
      <c r="A161" s="62">
        <f>IF(NOT((COUNTA($B161:$J161)+COUNTA($N161))&gt;0),"",IF($S161="Macro",COUNTIFS($S$5:$S161,"Macro",$P$5:$P161,$P161),IF(N($R161)=0,"?",COUNTIFS(INDEX($S$5:$S$1000,1):INDEX($S$5:$S$1000,$R161-4),"Macro",INDEX($P$5:$P$1000,1):INDEX($P$5:$P$1000,$R161-4),INDEX($P$5:$P$1000,$R161-4))&amp;"."&amp;COUNTIFS($R$5:$R161,$R161,$S$5:$S161,"Sub"))))</f>
        <v/>
      </c>
      <c r="B161" s="63" t="n"/>
      <c r="C161" s="64" t="n"/>
      <c r="D161" s="65" t="n"/>
      <c r="E161" s="65" t="n"/>
      <c r="F161" s="66" t="n"/>
      <c r="G161" s="67" t="n"/>
      <c r="H161" s="67" t="n"/>
      <c r="I161" s="67" t="n"/>
      <c r="J161" s="67" t="n"/>
      <c r="K161" s="68">
        <f>IF(NOT((COUNTA($B161:$J161)+COUNTA($N161))&gt;0),"",IF(N($T161)&gt;0,$AB161,IFERROR(LOOKUP(2,1/(G161:J161&lt;&gt;""),G161:J161),0)))</f>
        <v/>
      </c>
      <c r="L161" s="62">
        <f>IF(K161="","",IF(K161&gt;=1,"Completado",IF(K161&gt;0,"En curso","Pendiente")))</f>
        <v/>
      </c>
      <c r="M161" s="62">
        <f>IF(NOT((COUNTA($B161:$J161)+COUNTA($N161))&gt;0),"",IF(N($K161)&gt;=1,"Cumplida",IF(NOT(ISNUMBER($E161)),"Sin fecha límite",IF($E161&lt;FechaRef,"Vencida hace "&amp;(FechaRef-$E161)&amp;IF(FechaRef-$E161=1," día"," días"),IF($E161=FechaRef,"Vence hoy",IF($E161-FechaRef&lt;=DiasAlerta,"Vence en "&amp;($E161-FechaRef)&amp;IF($E161-FechaRef=1," día"," días"),"En plazo"))))))</f>
        <v/>
      </c>
      <c r="N161" s="64" t="n"/>
      <c r="O161" s="69">
        <f>IF(NOT((COUNTA($B161:$J161)+COUNTA($N161))&gt;0),"",IF((IF($C161="","Falta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",""))="","✔ OK","⚠ "&amp;LEFT(IF($C161="","Falta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",""),LEN(IF($C161="","Falta el nombre de la actividad"&amp;" · ","")&amp;IF(AND($S161="Sub",N($R161)=0),"Subactividad sin macroactividad arriba"&amp;" · ","")&amp;IF($D161="","Sin fecha de inicio"&amp;" · ","")&amp;IF($E161="","Sin fecha límite"&amp;" · ","")&amp;IF(OR(AND($D161&lt;&gt;"",NOT(ISNUMBER($D161))),AND($E161&lt;&gt;"",NOT(ISNUMBER($E161)))),"Fecha no válida"&amp;" · ","")&amp;IF(AND(ISNUMBER($D161),ISNUMBER($E161),$D161&gt;$E161),"Inicio posterior a fecha límite"&amp;" · ","")&amp;IF(AND($S161="Macro",$F161=""),"Peso vacío"&amp;" · ","")&amp;IF(AND($S161="Macro",$F161&lt;&gt;"",OR(NOT(ISNUMBER($F161)),$F161&lt;=0,$F161&gt;1)),"Peso fuera de rango"&amp;" · ","")&amp;IF(AND($S161="Sub",$F161&lt;&gt;"",OR(NOT(ISNUMBER($F161)),$F161&lt;0,$F161&gt;1)),"Peso fuera de rango"&amp;" · ","")&amp;IF(AND($S161="Sub",$F161="",IFERROR(N(INDEX($AG$5:$AG$1000,$R161-4)),0)&gt;0),"Falta el peso de la subactividad"&amp;" · ","")&amp;IF(AND(N($T161)&gt;0,N($AG161)&gt;0,ABS(N($AG161)-N($F161))&gt;0.0001),"Pesos de sus subactividades suman "&amp;TEXT(N($AG161),"0%")&amp;" (deben sumar "&amp;TEXT(N($F161),"0%")&amp;")"&amp;" · ","")&amp;IF(AND($S161="Macro",ABS(SUMIFS($F$5:$F$1000,$P$5:$P$1000,$P161,$S$5:$S$1000,"Macro")-1)&gt;0.0001),"Pesos del mes suman "&amp;TEXT(SUMIFS($F$5:$F$1000,$P$5:$P$1000,$P161,$S$5:$S$1000,"Macro"),"0%")&amp;" · ","")&amp;IF(AND(N($T161)&gt;0,COUNT($G161:$J161)&gt;0),"Con subactividades: deje vacías las semanas (se calculan solas)"&amp;" · ","")&amp;IF((COUNTIF($G161:$J161,"&gt;1")+COUNTIF($G161:$J161,"&lt;0")+COUNTA($G161:$J161)-COUNT($G161:$J161))&gt;0,"Avance fuera de rango 0-100%"&amp;" · ","")&amp;IF(OR(AND($H161&lt;&gt;"",$H161&lt;$G161),AND($I161&lt;&gt;"",$I161&lt;MAX($G161:$H161)),AND($J161&lt;&gt;"",$J161&lt;MAX($G161:$I161))),"Avance semanal decreciente"&amp;" · ","")&amp;IF(AND(ISNUMBER($E161),$E161&lt;FechaRef,N($K161)&lt;1),"Vencida"&amp;" · ","")&amp;IF(AND(ObsObligatoria="Sí",ISNUMBER($E161),$E161&lt;FechaRef,N($K161)&lt;1,$N161=""),"Vencida sin observación"&amp;" · ",""))-3)))</f>
        <v/>
      </c>
      <c r="P161" s="70">
        <f>IF(NOT((COUNTA($B161:$J161)+COUNTA($N161))&gt;0),"",IF(AND($S161="Sub",N($R161)&gt;0),IF(ISNUMBER(INDEX($D$5:$D$1000,$R161-4)),DATE(YEAR(INDEX($D$5:$D$1000,$R161-4)),MONTH(INDEX($D$5:$D$1000,$R161-4)),1),IF(ISNUMBER(INDEX($E$5:$E$1000,$R161-4)),DATE(YEAR(INDEX($E$5:$E$1000,$R161-4)),MONTH(INDEX($E$5:$E$1000,$R161-4)),1),MesCiclo)),IF(ISNUMBER($D161),DATE(YEAR($D161),MONTH($D161),1),IF(ISNUMBER($E161),DATE(YEAR($E161),MONTH($E161),1),MesCiclo))))</f>
        <v/>
      </c>
      <c r="Q161" s="71">
        <f>IF(OR($P161="",$P161&lt;&gt;MesCiclo),"",COUNTIF($P$5:$P161,MesCiclo))</f>
        <v/>
      </c>
      <c r="R161" s="71">
        <f>IF($S161="","",IF($S161="Macro",ROW(),IFERROR(LOOKUP(2,1/($S$5:$S161="Macro"),ROW($S$5:$S161)),0)))</f>
        <v/>
      </c>
      <c r="S161" s="71">
        <f>IF(NOT((COUNTA($B161:$J161)+COUNTA($N161))&gt;0),"",IF($B161="Subactividad","Sub","Macro"))</f>
        <v/>
      </c>
      <c r="T161" s="71">
        <f>IF($S161="Macro",COUNTIFS($R$5:$R$1000,ROW(),$S$5:$S$1000,"Sub"),"")</f>
        <v/>
      </c>
      <c r="U161" s="71">
        <f>IF($S161="","",IF(ISNUMBER($G161),$G161,0))</f>
        <v/>
      </c>
      <c r="V161" s="71">
        <f>IF($S161="","",IF(ISNUMBER($H161),$H161,$U161))</f>
        <v/>
      </c>
      <c r="W161" s="71">
        <f>IF($S161="","",IF(ISNUMBER($I161),$I161,$V161))</f>
        <v/>
      </c>
      <c r="X161" s="71">
        <f>IF($S161="","",IF(ISNUMBER($J161),$J161,$W161))</f>
        <v/>
      </c>
      <c r="Y161" s="71">
        <f>IF($S161="","",IF(N($T161)&gt;0,IF(N($AG161)&gt;0,SUMIFS($AC$5:$AC$1000,$R$5:$R$1000,ROW(),$S$5:$S$1000,"Sub")/$AG161,AVERAGEIFS($U$5:$U$1000,$R$5:$R$1000,ROW(),$S$5:$S$1000,"Sub")),$U161))</f>
        <v/>
      </c>
      <c r="Z161" s="71">
        <f>IF($S161="","",IF(N($T161)&gt;0,IF(N($AG161)&gt;0,SUMIFS($AD$5:$AD$1000,$R$5:$R$1000,ROW(),$S$5:$S$1000,"Sub")/$AG161,AVERAGEIFS($V$5:$V$1000,$R$5:$R$1000,ROW(),$S$5:$S$1000,"Sub")),$V161))</f>
        <v/>
      </c>
      <c r="AA161" s="71">
        <f>IF($S161="","",IF(N($T161)&gt;0,IF(N($AG161)&gt;0,SUMIFS($AE$5:$AE$1000,$R$5:$R$1000,ROW(),$S$5:$S$1000,"Sub")/$AG161,AVERAGEIFS($W$5:$W$1000,$R$5:$R$1000,ROW(),$S$5:$S$1000,"Sub")),$W161))</f>
        <v/>
      </c>
      <c r="AB161" s="71">
        <f>IF($S161="","",IF(N($T161)&gt;0,IF(N($AG161)&gt;0,SUMIFS($AF$5:$AF$1000,$R$5:$R$1000,ROW(),$S$5:$S$1000,"Sub")/$AG161,AVERAGEIFS($X$5:$X$1000,$R$5:$R$1000,ROW(),$S$5:$S$1000,"Sub")),$X161))</f>
        <v/>
      </c>
      <c r="AC161" s="71">
        <f>IF($S161="Sub",N($F161)*N($U161),"")</f>
        <v/>
      </c>
      <c r="AD161" s="71">
        <f>IF($S161="Sub",N($F161)*N($V161),"")</f>
        <v/>
      </c>
      <c r="AE161" s="71">
        <f>IF($S161="Sub",N($F161)*N($W161),"")</f>
        <v/>
      </c>
      <c r="AF161" s="71">
        <f>IF($S161="Sub",N($F161)*N($X161),"")</f>
        <v/>
      </c>
      <c r="AG161" s="71">
        <f>IF(N($T161)&gt;0,SUMIFS($F$5:$F$1000,$R$5:$R$1000,ROW(),$S$5:$S$1000,"Sub"),"")</f>
        <v/>
      </c>
    </row>
    <row r="162">
      <c r="A162" s="62">
        <f>IF(NOT((COUNTA($B162:$J162)+COUNTA($N162))&gt;0),"",IF($S162="Macro",COUNTIFS($S$5:$S162,"Macro",$P$5:$P162,$P162),IF(N($R162)=0,"?",COUNTIFS(INDEX($S$5:$S$1000,1):INDEX($S$5:$S$1000,$R162-4),"Macro",INDEX($P$5:$P$1000,1):INDEX($P$5:$P$1000,$R162-4),INDEX($P$5:$P$1000,$R162-4))&amp;"."&amp;COUNTIFS($R$5:$R162,$R162,$S$5:$S162,"Sub"))))</f>
        <v/>
      </c>
      <c r="B162" s="63" t="n"/>
      <c r="C162" s="64" t="n"/>
      <c r="D162" s="65" t="n"/>
      <c r="E162" s="65" t="n"/>
      <c r="F162" s="66" t="n"/>
      <c r="G162" s="67" t="n"/>
      <c r="H162" s="67" t="n"/>
      <c r="I162" s="67" t="n"/>
      <c r="J162" s="67" t="n"/>
      <c r="K162" s="68">
        <f>IF(NOT((COUNTA($B162:$J162)+COUNTA($N162))&gt;0),"",IF(N($T162)&gt;0,$AB162,IFERROR(LOOKUP(2,1/(G162:J162&lt;&gt;""),G162:J162),0)))</f>
        <v/>
      </c>
      <c r="L162" s="62">
        <f>IF(K162="","",IF(K162&gt;=1,"Completado",IF(K162&gt;0,"En curso","Pendiente")))</f>
        <v/>
      </c>
      <c r="M162" s="62">
        <f>IF(NOT((COUNTA($B162:$J162)+COUNTA($N162))&gt;0),"",IF(N($K162)&gt;=1,"Cumplida",IF(NOT(ISNUMBER($E162)),"Sin fecha límite",IF($E162&lt;FechaRef,"Vencida hace "&amp;(FechaRef-$E162)&amp;IF(FechaRef-$E162=1," día"," días"),IF($E162=FechaRef,"Vence hoy",IF($E162-FechaRef&lt;=DiasAlerta,"Vence en "&amp;($E162-FechaRef)&amp;IF($E162-FechaRef=1," día"," días"),"En plazo"))))))</f>
        <v/>
      </c>
      <c r="N162" s="64" t="n"/>
      <c r="O162" s="69">
        <f>IF(NOT((COUNTA($B162:$J162)+COUNTA($N162))&gt;0),"",IF((IF($C162="","Falta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",""))="","✔ OK","⚠ "&amp;LEFT(IF($C162="","Falta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",""),LEN(IF($C162="","Falta el nombre de la actividad"&amp;" · ","")&amp;IF(AND($S162="Sub",N($R162)=0),"Subactividad sin macroactividad arriba"&amp;" · ","")&amp;IF($D162="","Sin fecha de inicio"&amp;" · ","")&amp;IF($E162="","Sin fecha límite"&amp;" · ","")&amp;IF(OR(AND($D162&lt;&gt;"",NOT(ISNUMBER($D162))),AND($E162&lt;&gt;"",NOT(ISNUMBER($E162)))),"Fecha no válida"&amp;" · ","")&amp;IF(AND(ISNUMBER($D162),ISNUMBER($E162),$D162&gt;$E162),"Inicio posterior a fecha límite"&amp;" · ","")&amp;IF(AND($S162="Macro",$F162=""),"Peso vacío"&amp;" · ","")&amp;IF(AND($S162="Macro",$F162&lt;&gt;"",OR(NOT(ISNUMBER($F162)),$F162&lt;=0,$F162&gt;1)),"Peso fuera de rango"&amp;" · ","")&amp;IF(AND($S162="Sub",$F162&lt;&gt;"",OR(NOT(ISNUMBER($F162)),$F162&lt;0,$F162&gt;1)),"Peso fuera de rango"&amp;" · ","")&amp;IF(AND($S162="Sub",$F162="",IFERROR(N(INDEX($AG$5:$AG$1000,$R162-4)),0)&gt;0),"Falta el peso de la subactividad"&amp;" · ","")&amp;IF(AND(N($T162)&gt;0,N($AG162)&gt;0,ABS(N($AG162)-N($F162))&gt;0.0001),"Pesos de sus subactividades suman "&amp;TEXT(N($AG162),"0%")&amp;" (deben sumar "&amp;TEXT(N($F162),"0%")&amp;")"&amp;" · ","")&amp;IF(AND($S162="Macro",ABS(SUMIFS($F$5:$F$1000,$P$5:$P$1000,$P162,$S$5:$S$1000,"Macro")-1)&gt;0.0001),"Pesos del mes suman "&amp;TEXT(SUMIFS($F$5:$F$1000,$P$5:$P$1000,$P162,$S$5:$S$1000,"Macro"),"0%")&amp;" · ","")&amp;IF(AND(N($T162)&gt;0,COUNT($G162:$J162)&gt;0),"Con subactividades: deje vacías las semanas (se calculan solas)"&amp;" · ","")&amp;IF((COUNTIF($G162:$J162,"&gt;1")+COUNTIF($G162:$J162,"&lt;0")+COUNTA($G162:$J162)-COUNT($G162:$J162))&gt;0,"Avance fuera de rango 0-100%"&amp;" · ","")&amp;IF(OR(AND($H162&lt;&gt;"",$H162&lt;$G162),AND($I162&lt;&gt;"",$I162&lt;MAX($G162:$H162)),AND($J162&lt;&gt;"",$J162&lt;MAX($G162:$I162))),"Avance semanal decreciente"&amp;" · ","")&amp;IF(AND(ISNUMBER($E162),$E162&lt;FechaRef,N($K162)&lt;1),"Vencida"&amp;" · ","")&amp;IF(AND(ObsObligatoria="Sí",ISNUMBER($E162),$E162&lt;FechaRef,N($K162)&lt;1,$N162=""),"Vencida sin observación"&amp;" · ",""))-3)))</f>
        <v/>
      </c>
      <c r="P162" s="70">
        <f>IF(NOT((COUNTA($B162:$J162)+COUNTA($N162))&gt;0),"",IF(AND($S162="Sub",N($R162)&gt;0),IF(ISNUMBER(INDEX($D$5:$D$1000,$R162-4)),DATE(YEAR(INDEX($D$5:$D$1000,$R162-4)),MONTH(INDEX($D$5:$D$1000,$R162-4)),1),IF(ISNUMBER(INDEX($E$5:$E$1000,$R162-4)),DATE(YEAR(INDEX($E$5:$E$1000,$R162-4)),MONTH(INDEX($E$5:$E$1000,$R162-4)),1),MesCiclo)),IF(ISNUMBER($D162),DATE(YEAR($D162),MONTH($D162),1),IF(ISNUMBER($E162),DATE(YEAR($E162),MONTH($E162),1),MesCiclo))))</f>
        <v/>
      </c>
      <c r="Q162" s="71">
        <f>IF(OR($P162="",$P162&lt;&gt;MesCiclo),"",COUNTIF($P$5:$P162,MesCiclo))</f>
        <v/>
      </c>
      <c r="R162" s="71">
        <f>IF($S162="","",IF($S162="Macro",ROW(),IFERROR(LOOKUP(2,1/($S$5:$S162="Macro"),ROW($S$5:$S162)),0)))</f>
        <v/>
      </c>
      <c r="S162" s="71">
        <f>IF(NOT((COUNTA($B162:$J162)+COUNTA($N162))&gt;0),"",IF($B162="Subactividad","Sub","Macro"))</f>
        <v/>
      </c>
      <c r="T162" s="71">
        <f>IF($S162="Macro",COUNTIFS($R$5:$R$1000,ROW(),$S$5:$S$1000,"Sub"),"")</f>
        <v/>
      </c>
      <c r="U162" s="71">
        <f>IF($S162="","",IF(ISNUMBER($G162),$G162,0))</f>
        <v/>
      </c>
      <c r="V162" s="71">
        <f>IF($S162="","",IF(ISNUMBER($H162),$H162,$U162))</f>
        <v/>
      </c>
      <c r="W162" s="71">
        <f>IF($S162="","",IF(ISNUMBER($I162),$I162,$V162))</f>
        <v/>
      </c>
      <c r="X162" s="71">
        <f>IF($S162="","",IF(ISNUMBER($J162),$J162,$W162))</f>
        <v/>
      </c>
      <c r="Y162" s="71">
        <f>IF($S162="","",IF(N($T162)&gt;0,IF(N($AG162)&gt;0,SUMIFS($AC$5:$AC$1000,$R$5:$R$1000,ROW(),$S$5:$S$1000,"Sub")/$AG162,AVERAGEIFS($U$5:$U$1000,$R$5:$R$1000,ROW(),$S$5:$S$1000,"Sub")),$U162))</f>
        <v/>
      </c>
      <c r="Z162" s="71">
        <f>IF($S162="","",IF(N($T162)&gt;0,IF(N($AG162)&gt;0,SUMIFS($AD$5:$AD$1000,$R$5:$R$1000,ROW(),$S$5:$S$1000,"Sub")/$AG162,AVERAGEIFS($V$5:$V$1000,$R$5:$R$1000,ROW(),$S$5:$S$1000,"Sub")),$V162))</f>
        <v/>
      </c>
      <c r="AA162" s="71">
        <f>IF($S162="","",IF(N($T162)&gt;0,IF(N($AG162)&gt;0,SUMIFS($AE$5:$AE$1000,$R$5:$R$1000,ROW(),$S$5:$S$1000,"Sub")/$AG162,AVERAGEIFS($W$5:$W$1000,$R$5:$R$1000,ROW(),$S$5:$S$1000,"Sub")),$W162))</f>
        <v/>
      </c>
      <c r="AB162" s="71">
        <f>IF($S162="","",IF(N($T162)&gt;0,IF(N($AG162)&gt;0,SUMIFS($AF$5:$AF$1000,$R$5:$R$1000,ROW(),$S$5:$S$1000,"Sub")/$AG162,AVERAGEIFS($X$5:$X$1000,$R$5:$R$1000,ROW(),$S$5:$S$1000,"Sub")),$X162))</f>
        <v/>
      </c>
      <c r="AC162" s="71">
        <f>IF($S162="Sub",N($F162)*N($U162),"")</f>
        <v/>
      </c>
      <c r="AD162" s="71">
        <f>IF($S162="Sub",N($F162)*N($V162),"")</f>
        <v/>
      </c>
      <c r="AE162" s="71">
        <f>IF($S162="Sub",N($F162)*N($W162),"")</f>
        <v/>
      </c>
      <c r="AF162" s="71">
        <f>IF($S162="Sub",N($F162)*N($X162),"")</f>
        <v/>
      </c>
      <c r="AG162" s="71">
        <f>IF(N($T162)&gt;0,SUMIFS($F$5:$F$1000,$R$5:$R$1000,ROW(),$S$5:$S$1000,"Sub"),"")</f>
        <v/>
      </c>
    </row>
    <row r="163">
      <c r="A163" s="62">
        <f>IF(NOT((COUNTA($B163:$J163)+COUNTA($N163))&gt;0),"",IF($S163="Macro",COUNTIFS($S$5:$S163,"Macro",$P$5:$P163,$P163),IF(N($R163)=0,"?",COUNTIFS(INDEX($S$5:$S$1000,1):INDEX($S$5:$S$1000,$R163-4),"Macro",INDEX($P$5:$P$1000,1):INDEX($P$5:$P$1000,$R163-4),INDEX($P$5:$P$1000,$R163-4))&amp;"."&amp;COUNTIFS($R$5:$R163,$R163,$S$5:$S163,"Sub"))))</f>
        <v/>
      </c>
      <c r="B163" s="63" t="n"/>
      <c r="C163" s="64" t="n"/>
      <c r="D163" s="65" t="n"/>
      <c r="E163" s="65" t="n"/>
      <c r="F163" s="66" t="n"/>
      <c r="G163" s="67" t="n"/>
      <c r="H163" s="67" t="n"/>
      <c r="I163" s="67" t="n"/>
      <c r="J163" s="67" t="n"/>
      <c r="K163" s="68">
        <f>IF(NOT((COUNTA($B163:$J163)+COUNTA($N163))&gt;0),"",IF(N($T163)&gt;0,$AB163,IFERROR(LOOKUP(2,1/(G163:J163&lt;&gt;""),G163:J163),0)))</f>
        <v/>
      </c>
      <c r="L163" s="62">
        <f>IF(K163="","",IF(K163&gt;=1,"Completado",IF(K163&gt;0,"En curso","Pendiente")))</f>
        <v/>
      </c>
      <c r="M163" s="62">
        <f>IF(NOT((COUNTA($B163:$J163)+COUNTA($N163))&gt;0),"",IF(N($K163)&gt;=1,"Cumplida",IF(NOT(ISNUMBER($E163)),"Sin fecha límite",IF($E163&lt;FechaRef,"Vencida hace "&amp;(FechaRef-$E163)&amp;IF(FechaRef-$E163=1," día"," días"),IF($E163=FechaRef,"Vence hoy",IF($E163-FechaRef&lt;=DiasAlerta,"Vence en "&amp;($E163-FechaRef)&amp;IF($E163-FechaRef=1," día"," días"),"En plazo"))))))</f>
        <v/>
      </c>
      <c r="N163" s="64" t="n"/>
      <c r="O163" s="69">
        <f>IF(NOT((COUNTA($B163:$J163)+COUNTA($N163))&gt;0),"",IF((IF($C163="","Falta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",""))="","✔ OK","⚠ "&amp;LEFT(IF($C163="","Falta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",""),LEN(IF($C163="","Falta el nombre de la actividad"&amp;" · ","")&amp;IF(AND($S163="Sub",N($R163)=0),"Subactividad sin macroactividad arriba"&amp;" · ","")&amp;IF($D163="","Sin fecha de inicio"&amp;" · ","")&amp;IF($E163="","Sin fecha límite"&amp;" · ","")&amp;IF(OR(AND($D163&lt;&gt;"",NOT(ISNUMBER($D163))),AND($E163&lt;&gt;"",NOT(ISNUMBER($E163)))),"Fecha no válida"&amp;" · ","")&amp;IF(AND(ISNUMBER($D163),ISNUMBER($E163),$D163&gt;$E163),"Inicio posterior a fecha límite"&amp;" · ","")&amp;IF(AND($S163="Macro",$F163=""),"Peso vacío"&amp;" · ","")&amp;IF(AND($S163="Macro",$F163&lt;&gt;"",OR(NOT(ISNUMBER($F163)),$F163&lt;=0,$F163&gt;1)),"Peso fuera de rango"&amp;" · ","")&amp;IF(AND($S163="Sub",$F163&lt;&gt;"",OR(NOT(ISNUMBER($F163)),$F163&lt;0,$F163&gt;1)),"Peso fuera de rango"&amp;" · ","")&amp;IF(AND($S163="Sub",$F163="",IFERROR(N(INDEX($AG$5:$AG$1000,$R163-4)),0)&gt;0),"Falta el peso de la subactividad"&amp;" · ","")&amp;IF(AND(N($T163)&gt;0,N($AG163)&gt;0,ABS(N($AG163)-N($F163))&gt;0.0001),"Pesos de sus subactividades suman "&amp;TEXT(N($AG163),"0%")&amp;" (deben sumar "&amp;TEXT(N($F163),"0%")&amp;")"&amp;" · ","")&amp;IF(AND($S163="Macro",ABS(SUMIFS($F$5:$F$1000,$P$5:$P$1000,$P163,$S$5:$S$1000,"Macro")-1)&gt;0.0001),"Pesos del mes suman "&amp;TEXT(SUMIFS($F$5:$F$1000,$P$5:$P$1000,$P163,$S$5:$S$1000,"Macro"),"0%")&amp;" · ","")&amp;IF(AND(N($T163)&gt;0,COUNT($G163:$J163)&gt;0),"Con subactividades: deje vacías las semanas (se calculan solas)"&amp;" · ","")&amp;IF((COUNTIF($G163:$J163,"&gt;1")+COUNTIF($G163:$J163,"&lt;0")+COUNTA($G163:$J163)-COUNT($G163:$J163))&gt;0,"Avance fuera de rango 0-100%"&amp;" · ","")&amp;IF(OR(AND($H163&lt;&gt;"",$H163&lt;$G163),AND($I163&lt;&gt;"",$I163&lt;MAX($G163:$H163)),AND($J163&lt;&gt;"",$J163&lt;MAX($G163:$I163))),"Avance semanal decreciente"&amp;" · ","")&amp;IF(AND(ISNUMBER($E163),$E163&lt;FechaRef,N($K163)&lt;1),"Vencida"&amp;" · ","")&amp;IF(AND(ObsObligatoria="Sí",ISNUMBER($E163),$E163&lt;FechaRef,N($K163)&lt;1,$N163=""),"Vencida sin observación"&amp;" · ",""))-3)))</f>
        <v/>
      </c>
      <c r="P163" s="70">
        <f>IF(NOT((COUNTA($B163:$J163)+COUNTA($N163))&gt;0),"",IF(AND($S163="Sub",N($R163)&gt;0),IF(ISNUMBER(INDEX($D$5:$D$1000,$R163-4)),DATE(YEAR(INDEX($D$5:$D$1000,$R163-4)),MONTH(INDEX($D$5:$D$1000,$R163-4)),1),IF(ISNUMBER(INDEX($E$5:$E$1000,$R163-4)),DATE(YEAR(INDEX($E$5:$E$1000,$R163-4)),MONTH(INDEX($E$5:$E$1000,$R163-4)),1),MesCiclo)),IF(ISNUMBER($D163),DATE(YEAR($D163),MONTH($D163),1),IF(ISNUMBER($E163),DATE(YEAR($E163),MONTH($E163),1),MesCiclo))))</f>
        <v/>
      </c>
      <c r="Q163" s="71">
        <f>IF(OR($P163="",$P163&lt;&gt;MesCiclo),"",COUNTIF($P$5:$P163,MesCiclo))</f>
        <v/>
      </c>
      <c r="R163" s="71">
        <f>IF($S163="","",IF($S163="Macro",ROW(),IFERROR(LOOKUP(2,1/($S$5:$S163="Macro"),ROW($S$5:$S163)),0)))</f>
        <v/>
      </c>
      <c r="S163" s="71">
        <f>IF(NOT((COUNTA($B163:$J163)+COUNTA($N163))&gt;0),"",IF($B163="Subactividad","Sub","Macro"))</f>
        <v/>
      </c>
      <c r="T163" s="71">
        <f>IF($S163="Macro",COUNTIFS($R$5:$R$1000,ROW(),$S$5:$S$1000,"Sub"),"")</f>
        <v/>
      </c>
      <c r="U163" s="71">
        <f>IF($S163="","",IF(ISNUMBER($G163),$G163,0))</f>
        <v/>
      </c>
      <c r="V163" s="71">
        <f>IF($S163="","",IF(ISNUMBER($H163),$H163,$U163))</f>
        <v/>
      </c>
      <c r="W163" s="71">
        <f>IF($S163="","",IF(ISNUMBER($I163),$I163,$V163))</f>
        <v/>
      </c>
      <c r="X163" s="71">
        <f>IF($S163="","",IF(ISNUMBER($J163),$J163,$W163))</f>
        <v/>
      </c>
      <c r="Y163" s="71">
        <f>IF($S163="","",IF(N($T163)&gt;0,IF(N($AG163)&gt;0,SUMIFS($AC$5:$AC$1000,$R$5:$R$1000,ROW(),$S$5:$S$1000,"Sub")/$AG163,AVERAGEIFS($U$5:$U$1000,$R$5:$R$1000,ROW(),$S$5:$S$1000,"Sub")),$U163))</f>
        <v/>
      </c>
      <c r="Z163" s="71">
        <f>IF($S163="","",IF(N($T163)&gt;0,IF(N($AG163)&gt;0,SUMIFS($AD$5:$AD$1000,$R$5:$R$1000,ROW(),$S$5:$S$1000,"Sub")/$AG163,AVERAGEIFS($V$5:$V$1000,$R$5:$R$1000,ROW(),$S$5:$S$1000,"Sub")),$V163))</f>
        <v/>
      </c>
      <c r="AA163" s="71">
        <f>IF($S163="","",IF(N($T163)&gt;0,IF(N($AG163)&gt;0,SUMIFS($AE$5:$AE$1000,$R$5:$R$1000,ROW(),$S$5:$S$1000,"Sub")/$AG163,AVERAGEIFS($W$5:$W$1000,$R$5:$R$1000,ROW(),$S$5:$S$1000,"Sub")),$W163))</f>
        <v/>
      </c>
      <c r="AB163" s="71">
        <f>IF($S163="","",IF(N($T163)&gt;0,IF(N($AG163)&gt;0,SUMIFS($AF$5:$AF$1000,$R$5:$R$1000,ROW(),$S$5:$S$1000,"Sub")/$AG163,AVERAGEIFS($X$5:$X$1000,$R$5:$R$1000,ROW(),$S$5:$S$1000,"Sub")),$X163))</f>
        <v/>
      </c>
      <c r="AC163" s="71">
        <f>IF($S163="Sub",N($F163)*N($U163),"")</f>
        <v/>
      </c>
      <c r="AD163" s="71">
        <f>IF($S163="Sub",N($F163)*N($V163),"")</f>
        <v/>
      </c>
      <c r="AE163" s="71">
        <f>IF($S163="Sub",N($F163)*N($W163),"")</f>
        <v/>
      </c>
      <c r="AF163" s="71">
        <f>IF($S163="Sub",N($F163)*N($X163),"")</f>
        <v/>
      </c>
      <c r="AG163" s="71">
        <f>IF(N($T163)&gt;0,SUMIFS($F$5:$F$1000,$R$5:$R$1000,ROW(),$S$5:$S$1000,"Sub"),"")</f>
        <v/>
      </c>
    </row>
    <row r="164">
      <c r="A164" s="62">
        <f>IF(NOT((COUNTA($B164:$J164)+COUNTA($N164))&gt;0),"",IF($S164="Macro",COUNTIFS($S$5:$S164,"Macro",$P$5:$P164,$P164),IF(N($R164)=0,"?",COUNTIFS(INDEX($S$5:$S$1000,1):INDEX($S$5:$S$1000,$R164-4),"Macro",INDEX($P$5:$P$1000,1):INDEX($P$5:$P$1000,$R164-4),INDEX($P$5:$P$1000,$R164-4))&amp;"."&amp;COUNTIFS($R$5:$R164,$R164,$S$5:$S164,"Sub"))))</f>
        <v/>
      </c>
      <c r="B164" s="63" t="n"/>
      <c r="C164" s="64" t="n"/>
      <c r="D164" s="65" t="n"/>
      <c r="E164" s="65" t="n"/>
      <c r="F164" s="66" t="n"/>
      <c r="G164" s="67" t="n"/>
      <c r="H164" s="67" t="n"/>
      <c r="I164" s="67" t="n"/>
      <c r="J164" s="67" t="n"/>
      <c r="K164" s="68">
        <f>IF(NOT((COUNTA($B164:$J164)+COUNTA($N164))&gt;0),"",IF(N($T164)&gt;0,$AB164,IFERROR(LOOKUP(2,1/(G164:J164&lt;&gt;""),G164:J164),0)))</f>
        <v/>
      </c>
      <c r="L164" s="62">
        <f>IF(K164="","",IF(K164&gt;=1,"Completado",IF(K164&gt;0,"En curso","Pendiente")))</f>
        <v/>
      </c>
      <c r="M164" s="62">
        <f>IF(NOT((COUNTA($B164:$J164)+COUNTA($N164))&gt;0),"",IF(N($K164)&gt;=1,"Cumplida",IF(NOT(ISNUMBER($E164)),"Sin fecha límite",IF($E164&lt;FechaRef,"Vencida hace "&amp;(FechaRef-$E164)&amp;IF(FechaRef-$E164=1," día"," días"),IF($E164=FechaRef,"Vence hoy",IF($E164-FechaRef&lt;=DiasAlerta,"Vence en "&amp;($E164-FechaRef)&amp;IF($E164-FechaRef=1," día"," días"),"En plazo"))))))</f>
        <v/>
      </c>
      <c r="N164" s="64" t="n"/>
      <c r="O164" s="69">
        <f>IF(NOT((COUNTA($B164:$J164)+COUNTA($N164))&gt;0),"",IF((IF($C164="","Falta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",""))="","✔ OK","⚠ "&amp;LEFT(IF($C164="","Falta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",""),LEN(IF($C164="","Falta el nombre de la actividad"&amp;" · ","")&amp;IF(AND($S164="Sub",N($R164)=0),"Subactividad sin macroactividad arriba"&amp;" · ","")&amp;IF($D164="","Sin fecha de inicio"&amp;" · ","")&amp;IF($E164="","Sin fecha límite"&amp;" · ","")&amp;IF(OR(AND($D164&lt;&gt;"",NOT(ISNUMBER($D164))),AND($E164&lt;&gt;"",NOT(ISNUMBER($E164)))),"Fecha no válida"&amp;" · ","")&amp;IF(AND(ISNUMBER($D164),ISNUMBER($E164),$D164&gt;$E164),"Inicio posterior a fecha límite"&amp;" · ","")&amp;IF(AND($S164="Macro",$F164=""),"Peso vacío"&amp;" · ","")&amp;IF(AND($S164="Macro",$F164&lt;&gt;"",OR(NOT(ISNUMBER($F164)),$F164&lt;=0,$F164&gt;1)),"Peso fuera de rango"&amp;" · ","")&amp;IF(AND($S164="Sub",$F164&lt;&gt;"",OR(NOT(ISNUMBER($F164)),$F164&lt;0,$F164&gt;1)),"Peso fuera de rango"&amp;" · ","")&amp;IF(AND($S164="Sub",$F164="",IFERROR(N(INDEX($AG$5:$AG$1000,$R164-4)),0)&gt;0),"Falta el peso de la subactividad"&amp;" · ","")&amp;IF(AND(N($T164)&gt;0,N($AG164)&gt;0,ABS(N($AG164)-N($F164))&gt;0.0001),"Pesos de sus subactividades suman "&amp;TEXT(N($AG164),"0%")&amp;" (deben sumar "&amp;TEXT(N($F164),"0%")&amp;")"&amp;" · ","")&amp;IF(AND($S164="Macro",ABS(SUMIFS($F$5:$F$1000,$P$5:$P$1000,$P164,$S$5:$S$1000,"Macro")-1)&gt;0.0001),"Pesos del mes suman "&amp;TEXT(SUMIFS($F$5:$F$1000,$P$5:$P$1000,$P164,$S$5:$S$1000,"Macro"),"0%")&amp;" · ","")&amp;IF(AND(N($T164)&gt;0,COUNT($G164:$J164)&gt;0),"Con subactividades: deje vacías las semanas (se calculan solas)"&amp;" · ","")&amp;IF((COUNTIF($G164:$J164,"&gt;1")+COUNTIF($G164:$J164,"&lt;0")+COUNTA($G164:$J164)-COUNT($G164:$J164))&gt;0,"Avance fuera de rango 0-100%"&amp;" · ","")&amp;IF(OR(AND($H164&lt;&gt;"",$H164&lt;$G164),AND($I164&lt;&gt;"",$I164&lt;MAX($G164:$H164)),AND($J164&lt;&gt;"",$J164&lt;MAX($G164:$I164))),"Avance semanal decreciente"&amp;" · ","")&amp;IF(AND(ISNUMBER($E164),$E164&lt;FechaRef,N($K164)&lt;1),"Vencida"&amp;" · ","")&amp;IF(AND(ObsObligatoria="Sí",ISNUMBER($E164),$E164&lt;FechaRef,N($K164)&lt;1,$N164=""),"Vencida sin observación"&amp;" · ",""))-3)))</f>
        <v/>
      </c>
      <c r="P164" s="70">
        <f>IF(NOT((COUNTA($B164:$J164)+COUNTA($N164))&gt;0),"",IF(AND($S164="Sub",N($R164)&gt;0),IF(ISNUMBER(INDEX($D$5:$D$1000,$R164-4)),DATE(YEAR(INDEX($D$5:$D$1000,$R164-4)),MONTH(INDEX($D$5:$D$1000,$R164-4)),1),IF(ISNUMBER(INDEX($E$5:$E$1000,$R164-4)),DATE(YEAR(INDEX($E$5:$E$1000,$R164-4)),MONTH(INDEX($E$5:$E$1000,$R164-4)),1),MesCiclo)),IF(ISNUMBER($D164),DATE(YEAR($D164),MONTH($D164),1),IF(ISNUMBER($E164),DATE(YEAR($E164),MONTH($E164),1),MesCiclo))))</f>
        <v/>
      </c>
      <c r="Q164" s="71">
        <f>IF(OR($P164="",$P164&lt;&gt;MesCiclo),"",COUNTIF($P$5:$P164,MesCiclo))</f>
        <v/>
      </c>
      <c r="R164" s="71">
        <f>IF($S164="","",IF($S164="Macro",ROW(),IFERROR(LOOKUP(2,1/($S$5:$S164="Macro"),ROW($S$5:$S164)),0)))</f>
        <v/>
      </c>
      <c r="S164" s="71">
        <f>IF(NOT((COUNTA($B164:$J164)+COUNTA($N164))&gt;0),"",IF($B164="Subactividad","Sub","Macro"))</f>
        <v/>
      </c>
      <c r="T164" s="71">
        <f>IF($S164="Macro",COUNTIFS($R$5:$R$1000,ROW(),$S$5:$S$1000,"Sub"),"")</f>
        <v/>
      </c>
      <c r="U164" s="71">
        <f>IF($S164="","",IF(ISNUMBER($G164),$G164,0))</f>
        <v/>
      </c>
      <c r="V164" s="71">
        <f>IF($S164="","",IF(ISNUMBER($H164),$H164,$U164))</f>
        <v/>
      </c>
      <c r="W164" s="71">
        <f>IF($S164="","",IF(ISNUMBER($I164),$I164,$V164))</f>
        <v/>
      </c>
      <c r="X164" s="71">
        <f>IF($S164="","",IF(ISNUMBER($J164),$J164,$W164))</f>
        <v/>
      </c>
      <c r="Y164" s="71">
        <f>IF($S164="","",IF(N($T164)&gt;0,IF(N($AG164)&gt;0,SUMIFS($AC$5:$AC$1000,$R$5:$R$1000,ROW(),$S$5:$S$1000,"Sub")/$AG164,AVERAGEIFS($U$5:$U$1000,$R$5:$R$1000,ROW(),$S$5:$S$1000,"Sub")),$U164))</f>
        <v/>
      </c>
      <c r="Z164" s="71">
        <f>IF($S164="","",IF(N($T164)&gt;0,IF(N($AG164)&gt;0,SUMIFS($AD$5:$AD$1000,$R$5:$R$1000,ROW(),$S$5:$S$1000,"Sub")/$AG164,AVERAGEIFS($V$5:$V$1000,$R$5:$R$1000,ROW(),$S$5:$S$1000,"Sub")),$V164))</f>
        <v/>
      </c>
      <c r="AA164" s="71">
        <f>IF($S164="","",IF(N($T164)&gt;0,IF(N($AG164)&gt;0,SUMIFS($AE$5:$AE$1000,$R$5:$R$1000,ROW(),$S$5:$S$1000,"Sub")/$AG164,AVERAGEIFS($W$5:$W$1000,$R$5:$R$1000,ROW(),$S$5:$S$1000,"Sub")),$W164))</f>
        <v/>
      </c>
      <c r="AB164" s="71">
        <f>IF($S164="","",IF(N($T164)&gt;0,IF(N($AG164)&gt;0,SUMIFS($AF$5:$AF$1000,$R$5:$R$1000,ROW(),$S$5:$S$1000,"Sub")/$AG164,AVERAGEIFS($X$5:$X$1000,$R$5:$R$1000,ROW(),$S$5:$S$1000,"Sub")),$X164))</f>
        <v/>
      </c>
      <c r="AC164" s="71">
        <f>IF($S164="Sub",N($F164)*N($U164),"")</f>
        <v/>
      </c>
      <c r="AD164" s="71">
        <f>IF($S164="Sub",N($F164)*N($V164),"")</f>
        <v/>
      </c>
      <c r="AE164" s="71">
        <f>IF($S164="Sub",N($F164)*N($W164),"")</f>
        <v/>
      </c>
      <c r="AF164" s="71">
        <f>IF($S164="Sub",N($F164)*N($X164),"")</f>
        <v/>
      </c>
      <c r="AG164" s="71">
        <f>IF(N($T164)&gt;0,SUMIFS($F$5:$F$1000,$R$5:$R$1000,ROW(),$S$5:$S$1000,"Sub"),"")</f>
        <v/>
      </c>
    </row>
    <row r="165">
      <c r="A165" s="62">
        <f>IF(NOT((COUNTA($B165:$J165)+COUNTA($N165))&gt;0),"",IF($S165="Macro",COUNTIFS($S$5:$S165,"Macro",$P$5:$P165,$P165),IF(N($R165)=0,"?",COUNTIFS(INDEX($S$5:$S$1000,1):INDEX($S$5:$S$1000,$R165-4),"Macro",INDEX($P$5:$P$1000,1):INDEX($P$5:$P$1000,$R165-4),INDEX($P$5:$P$1000,$R165-4))&amp;"."&amp;COUNTIFS($R$5:$R165,$R165,$S$5:$S165,"Sub"))))</f>
        <v/>
      </c>
      <c r="B165" s="63" t="n"/>
      <c r="C165" s="64" t="n"/>
      <c r="D165" s="65" t="n"/>
      <c r="E165" s="65" t="n"/>
      <c r="F165" s="66" t="n"/>
      <c r="G165" s="67" t="n"/>
      <c r="H165" s="67" t="n"/>
      <c r="I165" s="67" t="n"/>
      <c r="J165" s="67" t="n"/>
      <c r="K165" s="68">
        <f>IF(NOT((COUNTA($B165:$J165)+COUNTA($N165))&gt;0),"",IF(N($T165)&gt;0,$AB165,IFERROR(LOOKUP(2,1/(G165:J165&lt;&gt;""),G165:J165),0)))</f>
        <v/>
      </c>
      <c r="L165" s="62">
        <f>IF(K165="","",IF(K165&gt;=1,"Completado",IF(K165&gt;0,"En curso","Pendiente")))</f>
        <v/>
      </c>
      <c r="M165" s="62">
        <f>IF(NOT((COUNTA($B165:$J165)+COUNTA($N165))&gt;0),"",IF(N($K165)&gt;=1,"Cumplida",IF(NOT(ISNUMBER($E165)),"Sin fecha límite",IF($E165&lt;FechaRef,"Vencida hace "&amp;(FechaRef-$E165)&amp;IF(FechaRef-$E165=1," día"," días"),IF($E165=FechaRef,"Vence hoy",IF($E165-FechaRef&lt;=DiasAlerta,"Vence en "&amp;($E165-FechaRef)&amp;IF($E165-FechaRef=1," día"," días"),"En plazo"))))))</f>
        <v/>
      </c>
      <c r="N165" s="64" t="n"/>
      <c r="O165" s="69">
        <f>IF(NOT((COUNTA($B165:$J165)+COUNTA($N165))&gt;0),"",IF((IF($C165="","Falta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",""))="","✔ OK","⚠ "&amp;LEFT(IF($C165="","Falta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",""),LEN(IF($C165="","Falta el nombre de la actividad"&amp;" · ","")&amp;IF(AND($S165="Sub",N($R165)=0),"Subactividad sin macroactividad arriba"&amp;" · ","")&amp;IF($D165="","Sin fecha de inicio"&amp;" · ","")&amp;IF($E165="","Sin fecha límite"&amp;" · ","")&amp;IF(OR(AND($D165&lt;&gt;"",NOT(ISNUMBER($D165))),AND($E165&lt;&gt;"",NOT(ISNUMBER($E165)))),"Fecha no válida"&amp;" · ","")&amp;IF(AND(ISNUMBER($D165),ISNUMBER($E165),$D165&gt;$E165),"Inicio posterior a fecha límite"&amp;" · ","")&amp;IF(AND($S165="Macro",$F165=""),"Peso vacío"&amp;" · ","")&amp;IF(AND($S165="Macro",$F165&lt;&gt;"",OR(NOT(ISNUMBER($F165)),$F165&lt;=0,$F165&gt;1)),"Peso fuera de rango"&amp;" · ","")&amp;IF(AND($S165="Sub",$F165&lt;&gt;"",OR(NOT(ISNUMBER($F165)),$F165&lt;0,$F165&gt;1)),"Peso fuera de rango"&amp;" · ","")&amp;IF(AND($S165="Sub",$F165="",IFERROR(N(INDEX($AG$5:$AG$1000,$R165-4)),0)&gt;0),"Falta el peso de la subactividad"&amp;" · ","")&amp;IF(AND(N($T165)&gt;0,N($AG165)&gt;0,ABS(N($AG165)-N($F165))&gt;0.0001),"Pesos de sus subactividades suman "&amp;TEXT(N($AG165),"0%")&amp;" (deben sumar "&amp;TEXT(N($F165),"0%")&amp;")"&amp;" · ","")&amp;IF(AND($S165="Macro",ABS(SUMIFS($F$5:$F$1000,$P$5:$P$1000,$P165,$S$5:$S$1000,"Macro")-1)&gt;0.0001),"Pesos del mes suman "&amp;TEXT(SUMIFS($F$5:$F$1000,$P$5:$P$1000,$P165,$S$5:$S$1000,"Macro"),"0%")&amp;" · ","")&amp;IF(AND(N($T165)&gt;0,COUNT($G165:$J165)&gt;0),"Con subactividades: deje vacías las semanas (se calculan solas)"&amp;" · ","")&amp;IF((COUNTIF($G165:$J165,"&gt;1")+COUNTIF($G165:$J165,"&lt;0")+COUNTA($G165:$J165)-COUNT($G165:$J165))&gt;0,"Avance fuera de rango 0-100%"&amp;" · ","")&amp;IF(OR(AND($H165&lt;&gt;"",$H165&lt;$G165),AND($I165&lt;&gt;"",$I165&lt;MAX($G165:$H165)),AND($J165&lt;&gt;"",$J165&lt;MAX($G165:$I165))),"Avance semanal decreciente"&amp;" · ","")&amp;IF(AND(ISNUMBER($E165),$E165&lt;FechaRef,N($K165)&lt;1),"Vencida"&amp;" · ","")&amp;IF(AND(ObsObligatoria="Sí",ISNUMBER($E165),$E165&lt;FechaRef,N($K165)&lt;1,$N165=""),"Vencida sin observación"&amp;" · ",""))-3)))</f>
        <v/>
      </c>
      <c r="P165" s="70">
        <f>IF(NOT((COUNTA($B165:$J165)+COUNTA($N165))&gt;0),"",IF(AND($S165="Sub",N($R165)&gt;0),IF(ISNUMBER(INDEX($D$5:$D$1000,$R165-4)),DATE(YEAR(INDEX($D$5:$D$1000,$R165-4)),MONTH(INDEX($D$5:$D$1000,$R165-4)),1),IF(ISNUMBER(INDEX($E$5:$E$1000,$R165-4)),DATE(YEAR(INDEX($E$5:$E$1000,$R165-4)),MONTH(INDEX($E$5:$E$1000,$R165-4)),1),MesCiclo)),IF(ISNUMBER($D165),DATE(YEAR($D165),MONTH($D165),1),IF(ISNUMBER($E165),DATE(YEAR($E165),MONTH($E165),1),MesCiclo))))</f>
        <v/>
      </c>
      <c r="Q165" s="71">
        <f>IF(OR($P165="",$P165&lt;&gt;MesCiclo),"",COUNTIF($P$5:$P165,MesCiclo))</f>
        <v/>
      </c>
      <c r="R165" s="71">
        <f>IF($S165="","",IF($S165="Macro",ROW(),IFERROR(LOOKUP(2,1/($S$5:$S165="Macro"),ROW($S$5:$S165)),0)))</f>
        <v/>
      </c>
      <c r="S165" s="71">
        <f>IF(NOT((COUNTA($B165:$J165)+COUNTA($N165))&gt;0),"",IF($B165="Subactividad","Sub","Macro"))</f>
        <v/>
      </c>
      <c r="T165" s="71">
        <f>IF($S165="Macro",COUNTIFS($R$5:$R$1000,ROW(),$S$5:$S$1000,"Sub"),"")</f>
        <v/>
      </c>
      <c r="U165" s="71">
        <f>IF($S165="","",IF(ISNUMBER($G165),$G165,0))</f>
        <v/>
      </c>
      <c r="V165" s="71">
        <f>IF($S165="","",IF(ISNUMBER($H165),$H165,$U165))</f>
        <v/>
      </c>
      <c r="W165" s="71">
        <f>IF($S165="","",IF(ISNUMBER($I165),$I165,$V165))</f>
        <v/>
      </c>
      <c r="X165" s="71">
        <f>IF($S165="","",IF(ISNUMBER($J165),$J165,$W165))</f>
        <v/>
      </c>
      <c r="Y165" s="71">
        <f>IF($S165="","",IF(N($T165)&gt;0,IF(N($AG165)&gt;0,SUMIFS($AC$5:$AC$1000,$R$5:$R$1000,ROW(),$S$5:$S$1000,"Sub")/$AG165,AVERAGEIFS($U$5:$U$1000,$R$5:$R$1000,ROW(),$S$5:$S$1000,"Sub")),$U165))</f>
        <v/>
      </c>
      <c r="Z165" s="71">
        <f>IF($S165="","",IF(N($T165)&gt;0,IF(N($AG165)&gt;0,SUMIFS($AD$5:$AD$1000,$R$5:$R$1000,ROW(),$S$5:$S$1000,"Sub")/$AG165,AVERAGEIFS($V$5:$V$1000,$R$5:$R$1000,ROW(),$S$5:$S$1000,"Sub")),$V165))</f>
        <v/>
      </c>
      <c r="AA165" s="71">
        <f>IF($S165="","",IF(N($T165)&gt;0,IF(N($AG165)&gt;0,SUMIFS($AE$5:$AE$1000,$R$5:$R$1000,ROW(),$S$5:$S$1000,"Sub")/$AG165,AVERAGEIFS($W$5:$W$1000,$R$5:$R$1000,ROW(),$S$5:$S$1000,"Sub")),$W165))</f>
        <v/>
      </c>
      <c r="AB165" s="71">
        <f>IF($S165="","",IF(N($T165)&gt;0,IF(N($AG165)&gt;0,SUMIFS($AF$5:$AF$1000,$R$5:$R$1000,ROW(),$S$5:$S$1000,"Sub")/$AG165,AVERAGEIFS($X$5:$X$1000,$R$5:$R$1000,ROW(),$S$5:$S$1000,"Sub")),$X165))</f>
        <v/>
      </c>
      <c r="AC165" s="71">
        <f>IF($S165="Sub",N($F165)*N($U165),"")</f>
        <v/>
      </c>
      <c r="AD165" s="71">
        <f>IF($S165="Sub",N($F165)*N($V165),"")</f>
        <v/>
      </c>
      <c r="AE165" s="71">
        <f>IF($S165="Sub",N($F165)*N($W165),"")</f>
        <v/>
      </c>
      <c r="AF165" s="71">
        <f>IF($S165="Sub",N($F165)*N($X165),"")</f>
        <v/>
      </c>
      <c r="AG165" s="71">
        <f>IF(N($T165)&gt;0,SUMIFS($F$5:$F$1000,$R$5:$R$1000,ROW(),$S$5:$S$1000,"Sub"),"")</f>
        <v/>
      </c>
    </row>
    <row r="166">
      <c r="A166" s="62">
        <f>IF(NOT((COUNTA($B166:$J166)+COUNTA($N166))&gt;0),"",IF($S166="Macro",COUNTIFS($S$5:$S166,"Macro",$P$5:$P166,$P166),IF(N($R166)=0,"?",COUNTIFS(INDEX($S$5:$S$1000,1):INDEX($S$5:$S$1000,$R166-4),"Macro",INDEX($P$5:$P$1000,1):INDEX($P$5:$P$1000,$R166-4),INDEX($P$5:$P$1000,$R166-4))&amp;"."&amp;COUNTIFS($R$5:$R166,$R166,$S$5:$S166,"Sub"))))</f>
        <v/>
      </c>
      <c r="B166" s="63" t="n"/>
      <c r="C166" s="64" t="n"/>
      <c r="D166" s="65" t="n"/>
      <c r="E166" s="65" t="n"/>
      <c r="F166" s="66" t="n"/>
      <c r="G166" s="67" t="n"/>
      <c r="H166" s="67" t="n"/>
      <c r="I166" s="67" t="n"/>
      <c r="J166" s="67" t="n"/>
      <c r="K166" s="68">
        <f>IF(NOT((COUNTA($B166:$J166)+COUNTA($N166))&gt;0),"",IF(N($T166)&gt;0,$AB166,IFERROR(LOOKUP(2,1/(G166:J166&lt;&gt;""),G166:J166),0)))</f>
        <v/>
      </c>
      <c r="L166" s="62">
        <f>IF(K166="","",IF(K166&gt;=1,"Completado",IF(K166&gt;0,"En curso","Pendiente")))</f>
        <v/>
      </c>
      <c r="M166" s="62">
        <f>IF(NOT((COUNTA($B166:$J166)+COUNTA($N166))&gt;0),"",IF(N($K166)&gt;=1,"Cumplida",IF(NOT(ISNUMBER($E166)),"Sin fecha límite",IF($E166&lt;FechaRef,"Vencida hace "&amp;(FechaRef-$E166)&amp;IF(FechaRef-$E166=1," día"," días"),IF($E166=FechaRef,"Vence hoy",IF($E166-FechaRef&lt;=DiasAlerta,"Vence en "&amp;($E166-FechaRef)&amp;IF($E166-FechaRef=1," día"," días"),"En plazo"))))))</f>
        <v/>
      </c>
      <c r="N166" s="64" t="n"/>
      <c r="O166" s="69">
        <f>IF(NOT((COUNTA($B166:$J166)+COUNTA($N166))&gt;0),"",IF((IF($C166="","Falta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",""))="","✔ OK","⚠ "&amp;LEFT(IF($C166="","Falta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",""),LEN(IF($C166="","Falta el nombre de la actividad"&amp;" · ","")&amp;IF(AND($S166="Sub",N($R166)=0),"Subactividad sin macroactividad arriba"&amp;" · ","")&amp;IF($D166="","Sin fecha de inicio"&amp;" · ","")&amp;IF($E166="","Sin fecha límite"&amp;" · ","")&amp;IF(OR(AND($D166&lt;&gt;"",NOT(ISNUMBER($D166))),AND($E166&lt;&gt;"",NOT(ISNUMBER($E166)))),"Fecha no válida"&amp;" · ","")&amp;IF(AND(ISNUMBER($D166),ISNUMBER($E166),$D166&gt;$E166),"Inicio posterior a fecha límite"&amp;" · ","")&amp;IF(AND($S166="Macro",$F166=""),"Peso vacío"&amp;" · ","")&amp;IF(AND($S166="Macro",$F166&lt;&gt;"",OR(NOT(ISNUMBER($F166)),$F166&lt;=0,$F166&gt;1)),"Peso fuera de rango"&amp;" · ","")&amp;IF(AND($S166="Sub",$F166&lt;&gt;"",OR(NOT(ISNUMBER($F166)),$F166&lt;0,$F166&gt;1)),"Peso fuera de rango"&amp;" · ","")&amp;IF(AND($S166="Sub",$F166="",IFERROR(N(INDEX($AG$5:$AG$1000,$R166-4)),0)&gt;0),"Falta el peso de la subactividad"&amp;" · ","")&amp;IF(AND(N($T166)&gt;0,N($AG166)&gt;0,ABS(N($AG166)-N($F166))&gt;0.0001),"Pesos de sus subactividades suman "&amp;TEXT(N($AG166),"0%")&amp;" (deben sumar "&amp;TEXT(N($F166),"0%")&amp;")"&amp;" · ","")&amp;IF(AND($S166="Macro",ABS(SUMIFS($F$5:$F$1000,$P$5:$P$1000,$P166,$S$5:$S$1000,"Macro")-1)&gt;0.0001),"Pesos del mes suman "&amp;TEXT(SUMIFS($F$5:$F$1000,$P$5:$P$1000,$P166,$S$5:$S$1000,"Macro"),"0%")&amp;" · ","")&amp;IF(AND(N($T166)&gt;0,COUNT($G166:$J166)&gt;0),"Con subactividades: deje vacías las semanas (se calculan solas)"&amp;" · ","")&amp;IF((COUNTIF($G166:$J166,"&gt;1")+COUNTIF($G166:$J166,"&lt;0")+COUNTA($G166:$J166)-COUNT($G166:$J166))&gt;0,"Avance fuera de rango 0-100%"&amp;" · ","")&amp;IF(OR(AND($H166&lt;&gt;"",$H166&lt;$G166),AND($I166&lt;&gt;"",$I166&lt;MAX($G166:$H166)),AND($J166&lt;&gt;"",$J166&lt;MAX($G166:$I166))),"Avance semanal decreciente"&amp;" · ","")&amp;IF(AND(ISNUMBER($E166),$E166&lt;FechaRef,N($K166)&lt;1),"Vencida"&amp;" · ","")&amp;IF(AND(ObsObligatoria="Sí",ISNUMBER($E166),$E166&lt;FechaRef,N($K166)&lt;1,$N166=""),"Vencida sin observación"&amp;" · ",""))-3)))</f>
        <v/>
      </c>
      <c r="P166" s="70">
        <f>IF(NOT((COUNTA($B166:$J166)+COUNTA($N166))&gt;0),"",IF(AND($S166="Sub",N($R166)&gt;0),IF(ISNUMBER(INDEX($D$5:$D$1000,$R166-4)),DATE(YEAR(INDEX($D$5:$D$1000,$R166-4)),MONTH(INDEX($D$5:$D$1000,$R166-4)),1),IF(ISNUMBER(INDEX($E$5:$E$1000,$R166-4)),DATE(YEAR(INDEX($E$5:$E$1000,$R166-4)),MONTH(INDEX($E$5:$E$1000,$R166-4)),1),MesCiclo)),IF(ISNUMBER($D166),DATE(YEAR($D166),MONTH($D166),1),IF(ISNUMBER($E166),DATE(YEAR($E166),MONTH($E166),1),MesCiclo))))</f>
        <v/>
      </c>
      <c r="Q166" s="71">
        <f>IF(OR($P166="",$P166&lt;&gt;MesCiclo),"",COUNTIF($P$5:$P166,MesCiclo))</f>
        <v/>
      </c>
      <c r="R166" s="71">
        <f>IF($S166="","",IF($S166="Macro",ROW(),IFERROR(LOOKUP(2,1/($S$5:$S166="Macro"),ROW($S$5:$S166)),0)))</f>
        <v/>
      </c>
      <c r="S166" s="71">
        <f>IF(NOT((COUNTA($B166:$J166)+COUNTA($N166))&gt;0),"",IF($B166="Subactividad","Sub","Macro"))</f>
        <v/>
      </c>
      <c r="T166" s="71">
        <f>IF($S166="Macro",COUNTIFS($R$5:$R$1000,ROW(),$S$5:$S$1000,"Sub"),"")</f>
        <v/>
      </c>
      <c r="U166" s="71">
        <f>IF($S166="","",IF(ISNUMBER($G166),$G166,0))</f>
        <v/>
      </c>
      <c r="V166" s="71">
        <f>IF($S166="","",IF(ISNUMBER($H166),$H166,$U166))</f>
        <v/>
      </c>
      <c r="W166" s="71">
        <f>IF($S166="","",IF(ISNUMBER($I166),$I166,$V166))</f>
        <v/>
      </c>
      <c r="X166" s="71">
        <f>IF($S166="","",IF(ISNUMBER($J166),$J166,$W166))</f>
        <v/>
      </c>
      <c r="Y166" s="71">
        <f>IF($S166="","",IF(N($T166)&gt;0,IF(N($AG166)&gt;0,SUMIFS($AC$5:$AC$1000,$R$5:$R$1000,ROW(),$S$5:$S$1000,"Sub")/$AG166,AVERAGEIFS($U$5:$U$1000,$R$5:$R$1000,ROW(),$S$5:$S$1000,"Sub")),$U166))</f>
        <v/>
      </c>
      <c r="Z166" s="71">
        <f>IF($S166="","",IF(N($T166)&gt;0,IF(N($AG166)&gt;0,SUMIFS($AD$5:$AD$1000,$R$5:$R$1000,ROW(),$S$5:$S$1000,"Sub")/$AG166,AVERAGEIFS($V$5:$V$1000,$R$5:$R$1000,ROW(),$S$5:$S$1000,"Sub")),$V166))</f>
        <v/>
      </c>
      <c r="AA166" s="71">
        <f>IF($S166="","",IF(N($T166)&gt;0,IF(N($AG166)&gt;0,SUMIFS($AE$5:$AE$1000,$R$5:$R$1000,ROW(),$S$5:$S$1000,"Sub")/$AG166,AVERAGEIFS($W$5:$W$1000,$R$5:$R$1000,ROW(),$S$5:$S$1000,"Sub")),$W166))</f>
        <v/>
      </c>
      <c r="AB166" s="71">
        <f>IF($S166="","",IF(N($T166)&gt;0,IF(N($AG166)&gt;0,SUMIFS($AF$5:$AF$1000,$R$5:$R$1000,ROW(),$S$5:$S$1000,"Sub")/$AG166,AVERAGEIFS($X$5:$X$1000,$R$5:$R$1000,ROW(),$S$5:$S$1000,"Sub")),$X166))</f>
        <v/>
      </c>
      <c r="AC166" s="71">
        <f>IF($S166="Sub",N($F166)*N($U166),"")</f>
        <v/>
      </c>
      <c r="AD166" s="71">
        <f>IF($S166="Sub",N($F166)*N($V166),"")</f>
        <v/>
      </c>
      <c r="AE166" s="71">
        <f>IF($S166="Sub",N($F166)*N($W166),"")</f>
        <v/>
      </c>
      <c r="AF166" s="71">
        <f>IF($S166="Sub",N($F166)*N($X166),"")</f>
        <v/>
      </c>
      <c r="AG166" s="71">
        <f>IF(N($T166)&gt;0,SUMIFS($F$5:$F$1000,$R$5:$R$1000,ROW(),$S$5:$S$1000,"Sub"),"")</f>
        <v/>
      </c>
    </row>
    <row r="167">
      <c r="A167" s="62">
        <f>IF(NOT((COUNTA($B167:$J167)+COUNTA($N167))&gt;0),"",IF($S167="Macro",COUNTIFS($S$5:$S167,"Macro",$P$5:$P167,$P167),IF(N($R167)=0,"?",COUNTIFS(INDEX($S$5:$S$1000,1):INDEX($S$5:$S$1000,$R167-4),"Macro",INDEX($P$5:$P$1000,1):INDEX($P$5:$P$1000,$R167-4),INDEX($P$5:$P$1000,$R167-4))&amp;"."&amp;COUNTIFS($R$5:$R167,$R167,$S$5:$S167,"Sub"))))</f>
        <v/>
      </c>
      <c r="B167" s="63" t="n"/>
      <c r="C167" s="64" t="n"/>
      <c r="D167" s="65" t="n"/>
      <c r="E167" s="65" t="n"/>
      <c r="F167" s="66" t="n"/>
      <c r="G167" s="67" t="n"/>
      <c r="H167" s="67" t="n"/>
      <c r="I167" s="67" t="n"/>
      <c r="J167" s="67" t="n"/>
      <c r="K167" s="68">
        <f>IF(NOT((COUNTA($B167:$J167)+COUNTA($N167))&gt;0),"",IF(N($T167)&gt;0,$AB167,IFERROR(LOOKUP(2,1/(G167:J167&lt;&gt;""),G167:J167),0)))</f>
        <v/>
      </c>
      <c r="L167" s="62">
        <f>IF(K167="","",IF(K167&gt;=1,"Completado",IF(K167&gt;0,"En curso","Pendiente")))</f>
        <v/>
      </c>
      <c r="M167" s="62">
        <f>IF(NOT((COUNTA($B167:$J167)+COUNTA($N167))&gt;0),"",IF(N($K167)&gt;=1,"Cumplida",IF(NOT(ISNUMBER($E167)),"Sin fecha límite",IF($E167&lt;FechaRef,"Vencida hace "&amp;(FechaRef-$E167)&amp;IF(FechaRef-$E167=1," día"," días"),IF($E167=FechaRef,"Vence hoy",IF($E167-FechaRef&lt;=DiasAlerta,"Vence en "&amp;($E167-FechaRef)&amp;IF($E167-FechaRef=1," día"," días"),"En plazo"))))))</f>
        <v/>
      </c>
      <c r="N167" s="64" t="n"/>
      <c r="O167" s="69">
        <f>IF(NOT((COUNTA($B167:$J167)+COUNTA($N167))&gt;0),"",IF((IF($C167="","Falta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",""))="","✔ OK","⚠ "&amp;LEFT(IF($C167="","Falta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",""),LEN(IF($C167="","Falta el nombre de la actividad"&amp;" · ","")&amp;IF(AND($S167="Sub",N($R167)=0),"Subactividad sin macroactividad arriba"&amp;" · ","")&amp;IF($D167="","Sin fecha de inicio"&amp;" · ","")&amp;IF($E167="","Sin fecha límite"&amp;" · ","")&amp;IF(OR(AND($D167&lt;&gt;"",NOT(ISNUMBER($D167))),AND($E167&lt;&gt;"",NOT(ISNUMBER($E167)))),"Fecha no válida"&amp;" · ","")&amp;IF(AND(ISNUMBER($D167),ISNUMBER($E167),$D167&gt;$E167),"Inicio posterior a fecha límite"&amp;" · ","")&amp;IF(AND($S167="Macro",$F167=""),"Peso vacío"&amp;" · ","")&amp;IF(AND($S167="Macro",$F167&lt;&gt;"",OR(NOT(ISNUMBER($F167)),$F167&lt;=0,$F167&gt;1)),"Peso fuera de rango"&amp;" · ","")&amp;IF(AND($S167="Sub",$F167&lt;&gt;"",OR(NOT(ISNUMBER($F167)),$F167&lt;0,$F167&gt;1)),"Peso fuera de rango"&amp;" · ","")&amp;IF(AND($S167="Sub",$F167="",IFERROR(N(INDEX($AG$5:$AG$1000,$R167-4)),0)&gt;0),"Falta el peso de la subactividad"&amp;" · ","")&amp;IF(AND(N($T167)&gt;0,N($AG167)&gt;0,ABS(N($AG167)-N($F167))&gt;0.0001),"Pesos de sus subactividades suman "&amp;TEXT(N($AG167),"0%")&amp;" (deben sumar "&amp;TEXT(N($F167),"0%")&amp;")"&amp;" · ","")&amp;IF(AND($S167="Macro",ABS(SUMIFS($F$5:$F$1000,$P$5:$P$1000,$P167,$S$5:$S$1000,"Macro")-1)&gt;0.0001),"Pesos del mes suman "&amp;TEXT(SUMIFS($F$5:$F$1000,$P$5:$P$1000,$P167,$S$5:$S$1000,"Macro"),"0%")&amp;" · ","")&amp;IF(AND(N($T167)&gt;0,COUNT($G167:$J167)&gt;0),"Con subactividades: deje vacías las semanas (se calculan solas)"&amp;" · ","")&amp;IF((COUNTIF($G167:$J167,"&gt;1")+COUNTIF($G167:$J167,"&lt;0")+COUNTA($G167:$J167)-COUNT($G167:$J167))&gt;0,"Avance fuera de rango 0-100%"&amp;" · ","")&amp;IF(OR(AND($H167&lt;&gt;"",$H167&lt;$G167),AND($I167&lt;&gt;"",$I167&lt;MAX($G167:$H167)),AND($J167&lt;&gt;"",$J167&lt;MAX($G167:$I167))),"Avance semanal decreciente"&amp;" · ","")&amp;IF(AND(ISNUMBER($E167),$E167&lt;FechaRef,N($K167)&lt;1),"Vencida"&amp;" · ","")&amp;IF(AND(ObsObligatoria="Sí",ISNUMBER($E167),$E167&lt;FechaRef,N($K167)&lt;1,$N167=""),"Vencida sin observación"&amp;" · ",""))-3)))</f>
        <v/>
      </c>
      <c r="P167" s="70">
        <f>IF(NOT((COUNTA($B167:$J167)+COUNTA($N167))&gt;0),"",IF(AND($S167="Sub",N($R167)&gt;0),IF(ISNUMBER(INDEX($D$5:$D$1000,$R167-4)),DATE(YEAR(INDEX($D$5:$D$1000,$R167-4)),MONTH(INDEX($D$5:$D$1000,$R167-4)),1),IF(ISNUMBER(INDEX($E$5:$E$1000,$R167-4)),DATE(YEAR(INDEX($E$5:$E$1000,$R167-4)),MONTH(INDEX($E$5:$E$1000,$R167-4)),1),MesCiclo)),IF(ISNUMBER($D167),DATE(YEAR($D167),MONTH($D167),1),IF(ISNUMBER($E167),DATE(YEAR($E167),MONTH($E167),1),MesCiclo))))</f>
        <v/>
      </c>
      <c r="Q167" s="71">
        <f>IF(OR($P167="",$P167&lt;&gt;MesCiclo),"",COUNTIF($P$5:$P167,MesCiclo))</f>
        <v/>
      </c>
      <c r="R167" s="71">
        <f>IF($S167="","",IF($S167="Macro",ROW(),IFERROR(LOOKUP(2,1/($S$5:$S167="Macro"),ROW($S$5:$S167)),0)))</f>
        <v/>
      </c>
      <c r="S167" s="71">
        <f>IF(NOT((COUNTA($B167:$J167)+COUNTA($N167))&gt;0),"",IF($B167="Subactividad","Sub","Macro"))</f>
        <v/>
      </c>
      <c r="T167" s="71">
        <f>IF($S167="Macro",COUNTIFS($R$5:$R$1000,ROW(),$S$5:$S$1000,"Sub"),"")</f>
        <v/>
      </c>
      <c r="U167" s="71">
        <f>IF($S167="","",IF(ISNUMBER($G167),$G167,0))</f>
        <v/>
      </c>
      <c r="V167" s="71">
        <f>IF($S167="","",IF(ISNUMBER($H167),$H167,$U167))</f>
        <v/>
      </c>
      <c r="W167" s="71">
        <f>IF($S167="","",IF(ISNUMBER($I167),$I167,$V167))</f>
        <v/>
      </c>
      <c r="X167" s="71">
        <f>IF($S167="","",IF(ISNUMBER($J167),$J167,$W167))</f>
        <v/>
      </c>
      <c r="Y167" s="71">
        <f>IF($S167="","",IF(N($T167)&gt;0,IF(N($AG167)&gt;0,SUMIFS($AC$5:$AC$1000,$R$5:$R$1000,ROW(),$S$5:$S$1000,"Sub")/$AG167,AVERAGEIFS($U$5:$U$1000,$R$5:$R$1000,ROW(),$S$5:$S$1000,"Sub")),$U167))</f>
        <v/>
      </c>
      <c r="Z167" s="71">
        <f>IF($S167="","",IF(N($T167)&gt;0,IF(N($AG167)&gt;0,SUMIFS($AD$5:$AD$1000,$R$5:$R$1000,ROW(),$S$5:$S$1000,"Sub")/$AG167,AVERAGEIFS($V$5:$V$1000,$R$5:$R$1000,ROW(),$S$5:$S$1000,"Sub")),$V167))</f>
        <v/>
      </c>
      <c r="AA167" s="71">
        <f>IF($S167="","",IF(N($T167)&gt;0,IF(N($AG167)&gt;0,SUMIFS($AE$5:$AE$1000,$R$5:$R$1000,ROW(),$S$5:$S$1000,"Sub")/$AG167,AVERAGEIFS($W$5:$W$1000,$R$5:$R$1000,ROW(),$S$5:$S$1000,"Sub")),$W167))</f>
        <v/>
      </c>
      <c r="AB167" s="71">
        <f>IF($S167="","",IF(N($T167)&gt;0,IF(N($AG167)&gt;0,SUMIFS($AF$5:$AF$1000,$R$5:$R$1000,ROW(),$S$5:$S$1000,"Sub")/$AG167,AVERAGEIFS($X$5:$X$1000,$R$5:$R$1000,ROW(),$S$5:$S$1000,"Sub")),$X167))</f>
        <v/>
      </c>
      <c r="AC167" s="71">
        <f>IF($S167="Sub",N($F167)*N($U167),"")</f>
        <v/>
      </c>
      <c r="AD167" s="71">
        <f>IF($S167="Sub",N($F167)*N($V167),"")</f>
        <v/>
      </c>
      <c r="AE167" s="71">
        <f>IF($S167="Sub",N($F167)*N($W167),"")</f>
        <v/>
      </c>
      <c r="AF167" s="71">
        <f>IF($S167="Sub",N($F167)*N($X167),"")</f>
        <v/>
      </c>
      <c r="AG167" s="71">
        <f>IF(N($T167)&gt;0,SUMIFS($F$5:$F$1000,$R$5:$R$1000,ROW(),$S$5:$S$1000,"Sub"),"")</f>
        <v/>
      </c>
    </row>
    <row r="168">
      <c r="A168" s="62">
        <f>IF(NOT((COUNTA($B168:$J168)+COUNTA($N168))&gt;0),"",IF($S168="Macro",COUNTIFS($S$5:$S168,"Macro",$P$5:$P168,$P168),IF(N($R168)=0,"?",COUNTIFS(INDEX($S$5:$S$1000,1):INDEX($S$5:$S$1000,$R168-4),"Macro",INDEX($P$5:$P$1000,1):INDEX($P$5:$P$1000,$R168-4),INDEX($P$5:$P$1000,$R168-4))&amp;"."&amp;COUNTIFS($R$5:$R168,$R168,$S$5:$S168,"Sub"))))</f>
        <v/>
      </c>
      <c r="B168" s="63" t="n"/>
      <c r="C168" s="64" t="n"/>
      <c r="D168" s="65" t="n"/>
      <c r="E168" s="65" t="n"/>
      <c r="F168" s="66" t="n"/>
      <c r="G168" s="67" t="n"/>
      <c r="H168" s="67" t="n"/>
      <c r="I168" s="67" t="n"/>
      <c r="J168" s="67" t="n"/>
      <c r="K168" s="68">
        <f>IF(NOT((COUNTA($B168:$J168)+COUNTA($N168))&gt;0),"",IF(N($T168)&gt;0,$AB168,IFERROR(LOOKUP(2,1/(G168:J168&lt;&gt;""),G168:J168),0)))</f>
        <v/>
      </c>
      <c r="L168" s="62">
        <f>IF(K168="","",IF(K168&gt;=1,"Completado",IF(K168&gt;0,"En curso","Pendiente")))</f>
        <v/>
      </c>
      <c r="M168" s="62">
        <f>IF(NOT((COUNTA($B168:$J168)+COUNTA($N168))&gt;0),"",IF(N($K168)&gt;=1,"Cumplida",IF(NOT(ISNUMBER($E168)),"Sin fecha límite",IF($E168&lt;FechaRef,"Vencida hace "&amp;(FechaRef-$E168)&amp;IF(FechaRef-$E168=1," día"," días"),IF($E168=FechaRef,"Vence hoy",IF($E168-FechaRef&lt;=DiasAlerta,"Vence en "&amp;($E168-FechaRef)&amp;IF($E168-FechaRef=1," día"," días"),"En plazo"))))))</f>
        <v/>
      </c>
      <c r="N168" s="64" t="n"/>
      <c r="O168" s="69">
        <f>IF(NOT((COUNTA($B168:$J168)+COUNTA($N168))&gt;0),"",IF((IF($C168="","Falta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",""))="","✔ OK","⚠ "&amp;LEFT(IF($C168="","Falta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",""),LEN(IF($C168="","Falta el nombre de la actividad"&amp;" · ","")&amp;IF(AND($S168="Sub",N($R168)=0),"Subactividad sin macroactividad arriba"&amp;" · ","")&amp;IF($D168="","Sin fecha de inicio"&amp;" · ","")&amp;IF($E168="","Sin fecha límite"&amp;" · ","")&amp;IF(OR(AND($D168&lt;&gt;"",NOT(ISNUMBER($D168))),AND($E168&lt;&gt;"",NOT(ISNUMBER($E168)))),"Fecha no válida"&amp;" · ","")&amp;IF(AND(ISNUMBER($D168),ISNUMBER($E168),$D168&gt;$E168),"Inicio posterior a fecha límite"&amp;" · ","")&amp;IF(AND($S168="Macro",$F168=""),"Peso vacío"&amp;" · ","")&amp;IF(AND($S168="Macro",$F168&lt;&gt;"",OR(NOT(ISNUMBER($F168)),$F168&lt;=0,$F168&gt;1)),"Peso fuera de rango"&amp;" · ","")&amp;IF(AND($S168="Sub",$F168&lt;&gt;"",OR(NOT(ISNUMBER($F168)),$F168&lt;0,$F168&gt;1)),"Peso fuera de rango"&amp;" · ","")&amp;IF(AND($S168="Sub",$F168="",IFERROR(N(INDEX($AG$5:$AG$1000,$R168-4)),0)&gt;0),"Falta el peso de la subactividad"&amp;" · ","")&amp;IF(AND(N($T168)&gt;0,N($AG168)&gt;0,ABS(N($AG168)-N($F168))&gt;0.0001),"Pesos de sus subactividades suman "&amp;TEXT(N($AG168),"0%")&amp;" (deben sumar "&amp;TEXT(N($F168),"0%")&amp;")"&amp;" · ","")&amp;IF(AND($S168="Macro",ABS(SUMIFS($F$5:$F$1000,$P$5:$P$1000,$P168,$S$5:$S$1000,"Macro")-1)&gt;0.0001),"Pesos del mes suman "&amp;TEXT(SUMIFS($F$5:$F$1000,$P$5:$P$1000,$P168,$S$5:$S$1000,"Macro"),"0%")&amp;" · ","")&amp;IF(AND(N($T168)&gt;0,COUNT($G168:$J168)&gt;0),"Con subactividades: deje vacías las semanas (se calculan solas)"&amp;" · ","")&amp;IF((COUNTIF($G168:$J168,"&gt;1")+COUNTIF($G168:$J168,"&lt;0")+COUNTA($G168:$J168)-COUNT($G168:$J168))&gt;0,"Avance fuera de rango 0-100%"&amp;" · ","")&amp;IF(OR(AND($H168&lt;&gt;"",$H168&lt;$G168),AND($I168&lt;&gt;"",$I168&lt;MAX($G168:$H168)),AND($J168&lt;&gt;"",$J168&lt;MAX($G168:$I168))),"Avance semanal decreciente"&amp;" · ","")&amp;IF(AND(ISNUMBER($E168),$E168&lt;FechaRef,N($K168)&lt;1),"Vencida"&amp;" · ","")&amp;IF(AND(ObsObligatoria="Sí",ISNUMBER($E168),$E168&lt;FechaRef,N($K168)&lt;1,$N168=""),"Vencida sin observación"&amp;" · ",""))-3)))</f>
        <v/>
      </c>
      <c r="P168" s="70">
        <f>IF(NOT((COUNTA($B168:$J168)+COUNTA($N168))&gt;0),"",IF(AND($S168="Sub",N($R168)&gt;0),IF(ISNUMBER(INDEX($D$5:$D$1000,$R168-4)),DATE(YEAR(INDEX($D$5:$D$1000,$R168-4)),MONTH(INDEX($D$5:$D$1000,$R168-4)),1),IF(ISNUMBER(INDEX($E$5:$E$1000,$R168-4)),DATE(YEAR(INDEX($E$5:$E$1000,$R168-4)),MONTH(INDEX($E$5:$E$1000,$R168-4)),1),MesCiclo)),IF(ISNUMBER($D168),DATE(YEAR($D168),MONTH($D168),1),IF(ISNUMBER($E168),DATE(YEAR($E168),MONTH($E168),1),MesCiclo))))</f>
        <v/>
      </c>
      <c r="Q168" s="71">
        <f>IF(OR($P168="",$P168&lt;&gt;MesCiclo),"",COUNTIF($P$5:$P168,MesCiclo))</f>
        <v/>
      </c>
      <c r="R168" s="71">
        <f>IF($S168="","",IF($S168="Macro",ROW(),IFERROR(LOOKUP(2,1/($S$5:$S168="Macro"),ROW($S$5:$S168)),0)))</f>
        <v/>
      </c>
      <c r="S168" s="71">
        <f>IF(NOT((COUNTA($B168:$J168)+COUNTA($N168))&gt;0),"",IF($B168="Subactividad","Sub","Macro"))</f>
        <v/>
      </c>
      <c r="T168" s="71">
        <f>IF($S168="Macro",COUNTIFS($R$5:$R$1000,ROW(),$S$5:$S$1000,"Sub"),"")</f>
        <v/>
      </c>
      <c r="U168" s="71">
        <f>IF($S168="","",IF(ISNUMBER($G168),$G168,0))</f>
        <v/>
      </c>
      <c r="V168" s="71">
        <f>IF($S168="","",IF(ISNUMBER($H168),$H168,$U168))</f>
        <v/>
      </c>
      <c r="W168" s="71">
        <f>IF($S168="","",IF(ISNUMBER($I168),$I168,$V168))</f>
        <v/>
      </c>
      <c r="X168" s="71">
        <f>IF($S168="","",IF(ISNUMBER($J168),$J168,$W168))</f>
        <v/>
      </c>
      <c r="Y168" s="71">
        <f>IF($S168="","",IF(N($T168)&gt;0,IF(N($AG168)&gt;0,SUMIFS($AC$5:$AC$1000,$R$5:$R$1000,ROW(),$S$5:$S$1000,"Sub")/$AG168,AVERAGEIFS($U$5:$U$1000,$R$5:$R$1000,ROW(),$S$5:$S$1000,"Sub")),$U168))</f>
        <v/>
      </c>
      <c r="Z168" s="71">
        <f>IF($S168="","",IF(N($T168)&gt;0,IF(N($AG168)&gt;0,SUMIFS($AD$5:$AD$1000,$R$5:$R$1000,ROW(),$S$5:$S$1000,"Sub")/$AG168,AVERAGEIFS($V$5:$V$1000,$R$5:$R$1000,ROW(),$S$5:$S$1000,"Sub")),$V168))</f>
        <v/>
      </c>
      <c r="AA168" s="71">
        <f>IF($S168="","",IF(N($T168)&gt;0,IF(N($AG168)&gt;0,SUMIFS($AE$5:$AE$1000,$R$5:$R$1000,ROW(),$S$5:$S$1000,"Sub")/$AG168,AVERAGEIFS($W$5:$W$1000,$R$5:$R$1000,ROW(),$S$5:$S$1000,"Sub")),$W168))</f>
        <v/>
      </c>
      <c r="AB168" s="71">
        <f>IF($S168="","",IF(N($T168)&gt;0,IF(N($AG168)&gt;0,SUMIFS($AF$5:$AF$1000,$R$5:$R$1000,ROW(),$S$5:$S$1000,"Sub")/$AG168,AVERAGEIFS($X$5:$X$1000,$R$5:$R$1000,ROW(),$S$5:$S$1000,"Sub")),$X168))</f>
        <v/>
      </c>
      <c r="AC168" s="71">
        <f>IF($S168="Sub",N($F168)*N($U168),"")</f>
        <v/>
      </c>
      <c r="AD168" s="71">
        <f>IF($S168="Sub",N($F168)*N($V168),"")</f>
        <v/>
      </c>
      <c r="AE168" s="71">
        <f>IF($S168="Sub",N($F168)*N($W168),"")</f>
        <v/>
      </c>
      <c r="AF168" s="71">
        <f>IF($S168="Sub",N($F168)*N($X168),"")</f>
        <v/>
      </c>
      <c r="AG168" s="71">
        <f>IF(N($T168)&gt;0,SUMIFS($F$5:$F$1000,$R$5:$R$1000,ROW(),$S$5:$S$1000,"Sub"),"")</f>
        <v/>
      </c>
    </row>
    <row r="169">
      <c r="A169" s="62">
        <f>IF(NOT((COUNTA($B169:$J169)+COUNTA($N169))&gt;0),"",IF($S169="Macro",COUNTIFS($S$5:$S169,"Macro",$P$5:$P169,$P169),IF(N($R169)=0,"?",COUNTIFS(INDEX($S$5:$S$1000,1):INDEX($S$5:$S$1000,$R169-4),"Macro",INDEX($P$5:$P$1000,1):INDEX($P$5:$P$1000,$R169-4),INDEX($P$5:$P$1000,$R169-4))&amp;"."&amp;COUNTIFS($R$5:$R169,$R169,$S$5:$S169,"Sub"))))</f>
        <v/>
      </c>
      <c r="B169" s="63" t="n"/>
      <c r="C169" s="64" t="n"/>
      <c r="D169" s="65" t="n"/>
      <c r="E169" s="65" t="n"/>
      <c r="F169" s="66" t="n"/>
      <c r="G169" s="67" t="n"/>
      <c r="H169" s="67" t="n"/>
      <c r="I169" s="67" t="n"/>
      <c r="J169" s="67" t="n"/>
      <c r="K169" s="68">
        <f>IF(NOT((COUNTA($B169:$J169)+COUNTA($N169))&gt;0),"",IF(N($T169)&gt;0,$AB169,IFERROR(LOOKUP(2,1/(G169:J169&lt;&gt;""),G169:J169),0)))</f>
        <v/>
      </c>
      <c r="L169" s="62">
        <f>IF(K169="","",IF(K169&gt;=1,"Completado",IF(K169&gt;0,"En curso","Pendiente")))</f>
        <v/>
      </c>
      <c r="M169" s="62">
        <f>IF(NOT((COUNTA($B169:$J169)+COUNTA($N169))&gt;0),"",IF(N($K169)&gt;=1,"Cumplida",IF(NOT(ISNUMBER($E169)),"Sin fecha límite",IF($E169&lt;FechaRef,"Vencida hace "&amp;(FechaRef-$E169)&amp;IF(FechaRef-$E169=1," día"," días"),IF($E169=FechaRef,"Vence hoy",IF($E169-FechaRef&lt;=DiasAlerta,"Vence en "&amp;($E169-FechaRef)&amp;IF($E169-FechaRef=1," día"," días"),"En plazo"))))))</f>
        <v/>
      </c>
      <c r="N169" s="64" t="n"/>
      <c r="O169" s="69">
        <f>IF(NOT((COUNTA($B169:$J169)+COUNTA($N169))&gt;0),"",IF((IF($C169="","Falta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",""))="","✔ OK","⚠ "&amp;LEFT(IF($C169="","Falta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",""),LEN(IF($C169="","Falta el nombre de la actividad"&amp;" · ","")&amp;IF(AND($S169="Sub",N($R169)=0),"Subactividad sin macroactividad arriba"&amp;" · ","")&amp;IF($D169="","Sin fecha de inicio"&amp;" · ","")&amp;IF($E169="","Sin fecha límite"&amp;" · ","")&amp;IF(OR(AND($D169&lt;&gt;"",NOT(ISNUMBER($D169))),AND($E169&lt;&gt;"",NOT(ISNUMBER($E169)))),"Fecha no válida"&amp;" · ","")&amp;IF(AND(ISNUMBER($D169),ISNUMBER($E169),$D169&gt;$E169),"Inicio posterior a fecha límite"&amp;" · ","")&amp;IF(AND($S169="Macro",$F169=""),"Peso vacío"&amp;" · ","")&amp;IF(AND($S169="Macro",$F169&lt;&gt;"",OR(NOT(ISNUMBER($F169)),$F169&lt;=0,$F169&gt;1)),"Peso fuera de rango"&amp;" · ","")&amp;IF(AND($S169="Sub",$F169&lt;&gt;"",OR(NOT(ISNUMBER($F169)),$F169&lt;0,$F169&gt;1)),"Peso fuera de rango"&amp;" · ","")&amp;IF(AND($S169="Sub",$F169="",IFERROR(N(INDEX($AG$5:$AG$1000,$R169-4)),0)&gt;0),"Falta el peso de la subactividad"&amp;" · ","")&amp;IF(AND(N($T169)&gt;0,N($AG169)&gt;0,ABS(N($AG169)-N($F169))&gt;0.0001),"Pesos de sus subactividades suman "&amp;TEXT(N($AG169),"0%")&amp;" (deben sumar "&amp;TEXT(N($F169),"0%")&amp;")"&amp;" · ","")&amp;IF(AND($S169="Macro",ABS(SUMIFS($F$5:$F$1000,$P$5:$P$1000,$P169,$S$5:$S$1000,"Macro")-1)&gt;0.0001),"Pesos del mes suman "&amp;TEXT(SUMIFS($F$5:$F$1000,$P$5:$P$1000,$P169,$S$5:$S$1000,"Macro"),"0%")&amp;" · ","")&amp;IF(AND(N($T169)&gt;0,COUNT($G169:$J169)&gt;0),"Con subactividades: deje vacías las semanas (se calculan solas)"&amp;" · ","")&amp;IF((COUNTIF($G169:$J169,"&gt;1")+COUNTIF($G169:$J169,"&lt;0")+COUNTA($G169:$J169)-COUNT($G169:$J169))&gt;0,"Avance fuera de rango 0-100%"&amp;" · ","")&amp;IF(OR(AND($H169&lt;&gt;"",$H169&lt;$G169),AND($I169&lt;&gt;"",$I169&lt;MAX($G169:$H169)),AND($J169&lt;&gt;"",$J169&lt;MAX($G169:$I169))),"Avance semanal decreciente"&amp;" · ","")&amp;IF(AND(ISNUMBER($E169),$E169&lt;FechaRef,N($K169)&lt;1),"Vencida"&amp;" · ","")&amp;IF(AND(ObsObligatoria="Sí",ISNUMBER($E169),$E169&lt;FechaRef,N($K169)&lt;1,$N169=""),"Vencida sin observación"&amp;" · ",""))-3)))</f>
        <v/>
      </c>
      <c r="P169" s="70">
        <f>IF(NOT((COUNTA($B169:$J169)+COUNTA($N169))&gt;0),"",IF(AND($S169="Sub",N($R169)&gt;0),IF(ISNUMBER(INDEX($D$5:$D$1000,$R169-4)),DATE(YEAR(INDEX($D$5:$D$1000,$R169-4)),MONTH(INDEX($D$5:$D$1000,$R169-4)),1),IF(ISNUMBER(INDEX($E$5:$E$1000,$R169-4)),DATE(YEAR(INDEX($E$5:$E$1000,$R169-4)),MONTH(INDEX($E$5:$E$1000,$R169-4)),1),MesCiclo)),IF(ISNUMBER($D169),DATE(YEAR($D169),MONTH($D169),1),IF(ISNUMBER($E169),DATE(YEAR($E169),MONTH($E169),1),MesCiclo))))</f>
        <v/>
      </c>
      <c r="Q169" s="71">
        <f>IF(OR($P169="",$P169&lt;&gt;MesCiclo),"",COUNTIF($P$5:$P169,MesCiclo))</f>
        <v/>
      </c>
      <c r="R169" s="71">
        <f>IF($S169="","",IF($S169="Macro",ROW(),IFERROR(LOOKUP(2,1/($S$5:$S169="Macro"),ROW($S$5:$S169)),0)))</f>
        <v/>
      </c>
      <c r="S169" s="71">
        <f>IF(NOT((COUNTA($B169:$J169)+COUNTA($N169))&gt;0),"",IF($B169="Subactividad","Sub","Macro"))</f>
        <v/>
      </c>
      <c r="T169" s="71">
        <f>IF($S169="Macro",COUNTIFS($R$5:$R$1000,ROW(),$S$5:$S$1000,"Sub"),"")</f>
        <v/>
      </c>
      <c r="U169" s="71">
        <f>IF($S169="","",IF(ISNUMBER($G169),$G169,0))</f>
        <v/>
      </c>
      <c r="V169" s="71">
        <f>IF($S169="","",IF(ISNUMBER($H169),$H169,$U169))</f>
        <v/>
      </c>
      <c r="W169" s="71">
        <f>IF($S169="","",IF(ISNUMBER($I169),$I169,$V169))</f>
        <v/>
      </c>
      <c r="X169" s="71">
        <f>IF($S169="","",IF(ISNUMBER($J169),$J169,$W169))</f>
        <v/>
      </c>
      <c r="Y169" s="71">
        <f>IF($S169="","",IF(N($T169)&gt;0,IF(N($AG169)&gt;0,SUMIFS($AC$5:$AC$1000,$R$5:$R$1000,ROW(),$S$5:$S$1000,"Sub")/$AG169,AVERAGEIFS($U$5:$U$1000,$R$5:$R$1000,ROW(),$S$5:$S$1000,"Sub")),$U169))</f>
        <v/>
      </c>
      <c r="Z169" s="71">
        <f>IF($S169="","",IF(N($T169)&gt;0,IF(N($AG169)&gt;0,SUMIFS($AD$5:$AD$1000,$R$5:$R$1000,ROW(),$S$5:$S$1000,"Sub")/$AG169,AVERAGEIFS($V$5:$V$1000,$R$5:$R$1000,ROW(),$S$5:$S$1000,"Sub")),$V169))</f>
        <v/>
      </c>
      <c r="AA169" s="71">
        <f>IF($S169="","",IF(N($T169)&gt;0,IF(N($AG169)&gt;0,SUMIFS($AE$5:$AE$1000,$R$5:$R$1000,ROW(),$S$5:$S$1000,"Sub")/$AG169,AVERAGEIFS($W$5:$W$1000,$R$5:$R$1000,ROW(),$S$5:$S$1000,"Sub")),$W169))</f>
        <v/>
      </c>
      <c r="AB169" s="71">
        <f>IF($S169="","",IF(N($T169)&gt;0,IF(N($AG169)&gt;0,SUMIFS($AF$5:$AF$1000,$R$5:$R$1000,ROW(),$S$5:$S$1000,"Sub")/$AG169,AVERAGEIFS($X$5:$X$1000,$R$5:$R$1000,ROW(),$S$5:$S$1000,"Sub")),$X169))</f>
        <v/>
      </c>
      <c r="AC169" s="71">
        <f>IF($S169="Sub",N($F169)*N($U169),"")</f>
        <v/>
      </c>
      <c r="AD169" s="71">
        <f>IF($S169="Sub",N($F169)*N($V169),"")</f>
        <v/>
      </c>
      <c r="AE169" s="71">
        <f>IF($S169="Sub",N($F169)*N($W169),"")</f>
        <v/>
      </c>
      <c r="AF169" s="71">
        <f>IF($S169="Sub",N($F169)*N($X169),"")</f>
        <v/>
      </c>
      <c r="AG169" s="71">
        <f>IF(N($T169)&gt;0,SUMIFS($F$5:$F$1000,$R$5:$R$1000,ROW(),$S$5:$S$1000,"Sub"),"")</f>
        <v/>
      </c>
    </row>
    <row r="170">
      <c r="A170" s="62">
        <f>IF(NOT((COUNTA($B170:$J170)+COUNTA($N170))&gt;0),"",IF($S170="Macro",COUNTIFS($S$5:$S170,"Macro",$P$5:$P170,$P170),IF(N($R170)=0,"?",COUNTIFS(INDEX($S$5:$S$1000,1):INDEX($S$5:$S$1000,$R170-4),"Macro",INDEX($P$5:$P$1000,1):INDEX($P$5:$P$1000,$R170-4),INDEX($P$5:$P$1000,$R170-4))&amp;"."&amp;COUNTIFS($R$5:$R170,$R170,$S$5:$S170,"Sub"))))</f>
        <v/>
      </c>
      <c r="B170" s="63" t="n"/>
      <c r="C170" s="64" t="n"/>
      <c r="D170" s="65" t="n"/>
      <c r="E170" s="65" t="n"/>
      <c r="F170" s="66" t="n"/>
      <c r="G170" s="67" t="n"/>
      <c r="H170" s="67" t="n"/>
      <c r="I170" s="67" t="n"/>
      <c r="J170" s="67" t="n"/>
      <c r="K170" s="68">
        <f>IF(NOT((COUNTA($B170:$J170)+COUNTA($N170))&gt;0),"",IF(N($T170)&gt;0,$AB170,IFERROR(LOOKUP(2,1/(G170:J170&lt;&gt;""),G170:J170),0)))</f>
        <v/>
      </c>
      <c r="L170" s="62">
        <f>IF(K170="","",IF(K170&gt;=1,"Completado",IF(K170&gt;0,"En curso","Pendiente")))</f>
        <v/>
      </c>
      <c r="M170" s="62">
        <f>IF(NOT((COUNTA($B170:$J170)+COUNTA($N170))&gt;0),"",IF(N($K170)&gt;=1,"Cumplida",IF(NOT(ISNUMBER($E170)),"Sin fecha límite",IF($E170&lt;FechaRef,"Vencida hace "&amp;(FechaRef-$E170)&amp;IF(FechaRef-$E170=1," día"," días"),IF($E170=FechaRef,"Vence hoy",IF($E170-FechaRef&lt;=DiasAlerta,"Vence en "&amp;($E170-FechaRef)&amp;IF($E170-FechaRef=1," día"," días"),"En plazo"))))))</f>
        <v/>
      </c>
      <c r="N170" s="64" t="n"/>
      <c r="O170" s="69">
        <f>IF(NOT((COUNTA($B170:$J170)+COUNTA($N170))&gt;0),"",IF((IF($C170="","Falta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",""))="","✔ OK","⚠ "&amp;LEFT(IF($C170="","Falta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",""),LEN(IF($C170="","Falta el nombre de la actividad"&amp;" · ","")&amp;IF(AND($S170="Sub",N($R170)=0),"Subactividad sin macroactividad arriba"&amp;" · ","")&amp;IF($D170="","Sin fecha de inicio"&amp;" · ","")&amp;IF($E170="","Sin fecha límite"&amp;" · ","")&amp;IF(OR(AND($D170&lt;&gt;"",NOT(ISNUMBER($D170))),AND($E170&lt;&gt;"",NOT(ISNUMBER($E170)))),"Fecha no válida"&amp;" · ","")&amp;IF(AND(ISNUMBER($D170),ISNUMBER($E170),$D170&gt;$E170),"Inicio posterior a fecha límite"&amp;" · ","")&amp;IF(AND($S170="Macro",$F170=""),"Peso vacío"&amp;" · ","")&amp;IF(AND($S170="Macro",$F170&lt;&gt;"",OR(NOT(ISNUMBER($F170)),$F170&lt;=0,$F170&gt;1)),"Peso fuera de rango"&amp;" · ","")&amp;IF(AND($S170="Sub",$F170&lt;&gt;"",OR(NOT(ISNUMBER($F170)),$F170&lt;0,$F170&gt;1)),"Peso fuera de rango"&amp;" · ","")&amp;IF(AND($S170="Sub",$F170="",IFERROR(N(INDEX($AG$5:$AG$1000,$R170-4)),0)&gt;0),"Falta el peso de la subactividad"&amp;" · ","")&amp;IF(AND(N($T170)&gt;0,N($AG170)&gt;0,ABS(N($AG170)-N($F170))&gt;0.0001),"Pesos de sus subactividades suman "&amp;TEXT(N($AG170),"0%")&amp;" (deben sumar "&amp;TEXT(N($F170),"0%")&amp;")"&amp;" · ","")&amp;IF(AND($S170="Macro",ABS(SUMIFS($F$5:$F$1000,$P$5:$P$1000,$P170,$S$5:$S$1000,"Macro")-1)&gt;0.0001),"Pesos del mes suman "&amp;TEXT(SUMIFS($F$5:$F$1000,$P$5:$P$1000,$P170,$S$5:$S$1000,"Macro"),"0%")&amp;" · ","")&amp;IF(AND(N($T170)&gt;0,COUNT($G170:$J170)&gt;0),"Con subactividades: deje vacías las semanas (se calculan solas)"&amp;" · ","")&amp;IF((COUNTIF($G170:$J170,"&gt;1")+COUNTIF($G170:$J170,"&lt;0")+COUNTA($G170:$J170)-COUNT($G170:$J170))&gt;0,"Avance fuera de rango 0-100%"&amp;" · ","")&amp;IF(OR(AND($H170&lt;&gt;"",$H170&lt;$G170),AND($I170&lt;&gt;"",$I170&lt;MAX($G170:$H170)),AND($J170&lt;&gt;"",$J170&lt;MAX($G170:$I170))),"Avance semanal decreciente"&amp;" · ","")&amp;IF(AND(ISNUMBER($E170),$E170&lt;FechaRef,N($K170)&lt;1),"Vencida"&amp;" · ","")&amp;IF(AND(ObsObligatoria="Sí",ISNUMBER($E170),$E170&lt;FechaRef,N($K170)&lt;1,$N170=""),"Vencida sin observación"&amp;" · ",""))-3)))</f>
        <v/>
      </c>
      <c r="P170" s="70">
        <f>IF(NOT((COUNTA($B170:$J170)+COUNTA($N170))&gt;0),"",IF(AND($S170="Sub",N($R170)&gt;0),IF(ISNUMBER(INDEX($D$5:$D$1000,$R170-4)),DATE(YEAR(INDEX($D$5:$D$1000,$R170-4)),MONTH(INDEX($D$5:$D$1000,$R170-4)),1),IF(ISNUMBER(INDEX($E$5:$E$1000,$R170-4)),DATE(YEAR(INDEX($E$5:$E$1000,$R170-4)),MONTH(INDEX($E$5:$E$1000,$R170-4)),1),MesCiclo)),IF(ISNUMBER($D170),DATE(YEAR($D170),MONTH($D170),1),IF(ISNUMBER($E170),DATE(YEAR($E170),MONTH($E170),1),MesCiclo))))</f>
        <v/>
      </c>
      <c r="Q170" s="71">
        <f>IF(OR($P170="",$P170&lt;&gt;MesCiclo),"",COUNTIF($P$5:$P170,MesCiclo))</f>
        <v/>
      </c>
      <c r="R170" s="71">
        <f>IF($S170="","",IF($S170="Macro",ROW(),IFERROR(LOOKUP(2,1/($S$5:$S170="Macro"),ROW($S$5:$S170)),0)))</f>
        <v/>
      </c>
      <c r="S170" s="71">
        <f>IF(NOT((COUNTA($B170:$J170)+COUNTA($N170))&gt;0),"",IF($B170="Subactividad","Sub","Macro"))</f>
        <v/>
      </c>
      <c r="T170" s="71">
        <f>IF($S170="Macro",COUNTIFS($R$5:$R$1000,ROW(),$S$5:$S$1000,"Sub"),"")</f>
        <v/>
      </c>
      <c r="U170" s="71">
        <f>IF($S170="","",IF(ISNUMBER($G170),$G170,0))</f>
        <v/>
      </c>
      <c r="V170" s="71">
        <f>IF($S170="","",IF(ISNUMBER($H170),$H170,$U170))</f>
        <v/>
      </c>
      <c r="W170" s="71">
        <f>IF($S170="","",IF(ISNUMBER($I170),$I170,$V170))</f>
        <v/>
      </c>
      <c r="X170" s="71">
        <f>IF($S170="","",IF(ISNUMBER($J170),$J170,$W170))</f>
        <v/>
      </c>
      <c r="Y170" s="71">
        <f>IF($S170="","",IF(N($T170)&gt;0,IF(N($AG170)&gt;0,SUMIFS($AC$5:$AC$1000,$R$5:$R$1000,ROW(),$S$5:$S$1000,"Sub")/$AG170,AVERAGEIFS($U$5:$U$1000,$R$5:$R$1000,ROW(),$S$5:$S$1000,"Sub")),$U170))</f>
        <v/>
      </c>
      <c r="Z170" s="71">
        <f>IF($S170="","",IF(N($T170)&gt;0,IF(N($AG170)&gt;0,SUMIFS($AD$5:$AD$1000,$R$5:$R$1000,ROW(),$S$5:$S$1000,"Sub")/$AG170,AVERAGEIFS($V$5:$V$1000,$R$5:$R$1000,ROW(),$S$5:$S$1000,"Sub")),$V170))</f>
        <v/>
      </c>
      <c r="AA170" s="71">
        <f>IF($S170="","",IF(N($T170)&gt;0,IF(N($AG170)&gt;0,SUMIFS($AE$5:$AE$1000,$R$5:$R$1000,ROW(),$S$5:$S$1000,"Sub")/$AG170,AVERAGEIFS($W$5:$W$1000,$R$5:$R$1000,ROW(),$S$5:$S$1000,"Sub")),$W170))</f>
        <v/>
      </c>
      <c r="AB170" s="71">
        <f>IF($S170="","",IF(N($T170)&gt;0,IF(N($AG170)&gt;0,SUMIFS($AF$5:$AF$1000,$R$5:$R$1000,ROW(),$S$5:$S$1000,"Sub")/$AG170,AVERAGEIFS($X$5:$X$1000,$R$5:$R$1000,ROW(),$S$5:$S$1000,"Sub")),$X170))</f>
        <v/>
      </c>
      <c r="AC170" s="71">
        <f>IF($S170="Sub",N($F170)*N($U170),"")</f>
        <v/>
      </c>
      <c r="AD170" s="71">
        <f>IF($S170="Sub",N($F170)*N($V170),"")</f>
        <v/>
      </c>
      <c r="AE170" s="71">
        <f>IF($S170="Sub",N($F170)*N($W170),"")</f>
        <v/>
      </c>
      <c r="AF170" s="71">
        <f>IF($S170="Sub",N($F170)*N($X170),"")</f>
        <v/>
      </c>
      <c r="AG170" s="71">
        <f>IF(N($T170)&gt;0,SUMIFS($F$5:$F$1000,$R$5:$R$1000,ROW(),$S$5:$S$1000,"Sub"),"")</f>
        <v/>
      </c>
    </row>
    <row r="171">
      <c r="A171" s="62">
        <f>IF(NOT((COUNTA($B171:$J171)+COUNTA($N171))&gt;0),"",IF($S171="Macro",COUNTIFS($S$5:$S171,"Macro",$P$5:$P171,$P171),IF(N($R171)=0,"?",COUNTIFS(INDEX($S$5:$S$1000,1):INDEX($S$5:$S$1000,$R171-4),"Macro",INDEX($P$5:$P$1000,1):INDEX($P$5:$P$1000,$R171-4),INDEX($P$5:$P$1000,$R171-4))&amp;"."&amp;COUNTIFS($R$5:$R171,$R171,$S$5:$S171,"Sub"))))</f>
        <v/>
      </c>
      <c r="B171" s="63" t="n"/>
      <c r="C171" s="64" t="n"/>
      <c r="D171" s="65" t="n"/>
      <c r="E171" s="65" t="n"/>
      <c r="F171" s="66" t="n"/>
      <c r="G171" s="67" t="n"/>
      <c r="H171" s="67" t="n"/>
      <c r="I171" s="67" t="n"/>
      <c r="J171" s="67" t="n"/>
      <c r="K171" s="68">
        <f>IF(NOT((COUNTA($B171:$J171)+COUNTA($N171))&gt;0),"",IF(N($T171)&gt;0,$AB171,IFERROR(LOOKUP(2,1/(G171:J171&lt;&gt;""),G171:J171),0)))</f>
        <v/>
      </c>
      <c r="L171" s="62">
        <f>IF(K171="","",IF(K171&gt;=1,"Completado",IF(K171&gt;0,"En curso","Pendiente")))</f>
        <v/>
      </c>
      <c r="M171" s="62">
        <f>IF(NOT((COUNTA($B171:$J171)+COUNTA($N171))&gt;0),"",IF(N($K171)&gt;=1,"Cumplida",IF(NOT(ISNUMBER($E171)),"Sin fecha límite",IF($E171&lt;FechaRef,"Vencida hace "&amp;(FechaRef-$E171)&amp;IF(FechaRef-$E171=1," día"," días"),IF($E171=FechaRef,"Vence hoy",IF($E171-FechaRef&lt;=DiasAlerta,"Vence en "&amp;($E171-FechaRef)&amp;IF($E171-FechaRef=1," día"," días"),"En plazo"))))))</f>
        <v/>
      </c>
      <c r="N171" s="64" t="n"/>
      <c r="O171" s="69">
        <f>IF(NOT((COUNTA($B171:$J171)+COUNTA($N171))&gt;0),"",IF((IF($C171="","Falta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",""))="","✔ OK","⚠ "&amp;LEFT(IF($C171="","Falta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",""),LEN(IF($C171="","Falta el nombre de la actividad"&amp;" · ","")&amp;IF(AND($S171="Sub",N($R171)=0),"Subactividad sin macroactividad arriba"&amp;" · ","")&amp;IF($D171="","Sin fecha de inicio"&amp;" · ","")&amp;IF($E171="","Sin fecha límite"&amp;" · ","")&amp;IF(OR(AND($D171&lt;&gt;"",NOT(ISNUMBER($D171))),AND($E171&lt;&gt;"",NOT(ISNUMBER($E171)))),"Fecha no válida"&amp;" · ","")&amp;IF(AND(ISNUMBER($D171),ISNUMBER($E171),$D171&gt;$E171),"Inicio posterior a fecha límite"&amp;" · ","")&amp;IF(AND($S171="Macro",$F171=""),"Peso vacío"&amp;" · ","")&amp;IF(AND($S171="Macro",$F171&lt;&gt;"",OR(NOT(ISNUMBER($F171)),$F171&lt;=0,$F171&gt;1)),"Peso fuera de rango"&amp;" · ","")&amp;IF(AND($S171="Sub",$F171&lt;&gt;"",OR(NOT(ISNUMBER($F171)),$F171&lt;0,$F171&gt;1)),"Peso fuera de rango"&amp;" · ","")&amp;IF(AND($S171="Sub",$F171="",IFERROR(N(INDEX($AG$5:$AG$1000,$R171-4)),0)&gt;0),"Falta el peso de la subactividad"&amp;" · ","")&amp;IF(AND(N($T171)&gt;0,N($AG171)&gt;0,ABS(N($AG171)-N($F171))&gt;0.0001),"Pesos de sus subactividades suman "&amp;TEXT(N($AG171),"0%")&amp;" (deben sumar "&amp;TEXT(N($F171),"0%")&amp;")"&amp;" · ","")&amp;IF(AND($S171="Macro",ABS(SUMIFS($F$5:$F$1000,$P$5:$P$1000,$P171,$S$5:$S$1000,"Macro")-1)&gt;0.0001),"Pesos del mes suman "&amp;TEXT(SUMIFS($F$5:$F$1000,$P$5:$P$1000,$P171,$S$5:$S$1000,"Macro"),"0%")&amp;" · ","")&amp;IF(AND(N($T171)&gt;0,COUNT($G171:$J171)&gt;0),"Con subactividades: deje vacías las semanas (se calculan solas)"&amp;" · ","")&amp;IF((COUNTIF($G171:$J171,"&gt;1")+COUNTIF($G171:$J171,"&lt;0")+COUNTA($G171:$J171)-COUNT($G171:$J171))&gt;0,"Avance fuera de rango 0-100%"&amp;" · ","")&amp;IF(OR(AND($H171&lt;&gt;"",$H171&lt;$G171),AND($I171&lt;&gt;"",$I171&lt;MAX($G171:$H171)),AND($J171&lt;&gt;"",$J171&lt;MAX($G171:$I171))),"Avance semanal decreciente"&amp;" · ","")&amp;IF(AND(ISNUMBER($E171),$E171&lt;FechaRef,N($K171)&lt;1),"Vencida"&amp;" · ","")&amp;IF(AND(ObsObligatoria="Sí",ISNUMBER($E171),$E171&lt;FechaRef,N($K171)&lt;1,$N171=""),"Vencida sin observación"&amp;" · ",""))-3)))</f>
        <v/>
      </c>
      <c r="P171" s="70">
        <f>IF(NOT((COUNTA($B171:$J171)+COUNTA($N171))&gt;0),"",IF(AND($S171="Sub",N($R171)&gt;0),IF(ISNUMBER(INDEX($D$5:$D$1000,$R171-4)),DATE(YEAR(INDEX($D$5:$D$1000,$R171-4)),MONTH(INDEX($D$5:$D$1000,$R171-4)),1),IF(ISNUMBER(INDEX($E$5:$E$1000,$R171-4)),DATE(YEAR(INDEX($E$5:$E$1000,$R171-4)),MONTH(INDEX($E$5:$E$1000,$R171-4)),1),MesCiclo)),IF(ISNUMBER($D171),DATE(YEAR($D171),MONTH($D171),1),IF(ISNUMBER($E171),DATE(YEAR($E171),MONTH($E171),1),MesCiclo))))</f>
        <v/>
      </c>
      <c r="Q171" s="71">
        <f>IF(OR($P171="",$P171&lt;&gt;MesCiclo),"",COUNTIF($P$5:$P171,MesCiclo))</f>
        <v/>
      </c>
      <c r="R171" s="71">
        <f>IF($S171="","",IF($S171="Macro",ROW(),IFERROR(LOOKUP(2,1/($S$5:$S171="Macro"),ROW($S$5:$S171)),0)))</f>
        <v/>
      </c>
      <c r="S171" s="71">
        <f>IF(NOT((COUNTA($B171:$J171)+COUNTA($N171))&gt;0),"",IF($B171="Subactividad","Sub","Macro"))</f>
        <v/>
      </c>
      <c r="T171" s="71">
        <f>IF($S171="Macro",COUNTIFS($R$5:$R$1000,ROW(),$S$5:$S$1000,"Sub"),"")</f>
        <v/>
      </c>
      <c r="U171" s="71">
        <f>IF($S171="","",IF(ISNUMBER($G171),$G171,0))</f>
        <v/>
      </c>
      <c r="V171" s="71">
        <f>IF($S171="","",IF(ISNUMBER($H171),$H171,$U171))</f>
        <v/>
      </c>
      <c r="W171" s="71">
        <f>IF($S171="","",IF(ISNUMBER($I171),$I171,$V171))</f>
        <v/>
      </c>
      <c r="X171" s="71">
        <f>IF($S171="","",IF(ISNUMBER($J171),$J171,$W171))</f>
        <v/>
      </c>
      <c r="Y171" s="71">
        <f>IF($S171="","",IF(N($T171)&gt;0,IF(N($AG171)&gt;0,SUMIFS($AC$5:$AC$1000,$R$5:$R$1000,ROW(),$S$5:$S$1000,"Sub")/$AG171,AVERAGEIFS($U$5:$U$1000,$R$5:$R$1000,ROW(),$S$5:$S$1000,"Sub")),$U171))</f>
        <v/>
      </c>
      <c r="Z171" s="71">
        <f>IF($S171="","",IF(N($T171)&gt;0,IF(N($AG171)&gt;0,SUMIFS($AD$5:$AD$1000,$R$5:$R$1000,ROW(),$S$5:$S$1000,"Sub")/$AG171,AVERAGEIFS($V$5:$V$1000,$R$5:$R$1000,ROW(),$S$5:$S$1000,"Sub")),$V171))</f>
        <v/>
      </c>
      <c r="AA171" s="71">
        <f>IF($S171="","",IF(N($T171)&gt;0,IF(N($AG171)&gt;0,SUMIFS($AE$5:$AE$1000,$R$5:$R$1000,ROW(),$S$5:$S$1000,"Sub")/$AG171,AVERAGEIFS($W$5:$W$1000,$R$5:$R$1000,ROW(),$S$5:$S$1000,"Sub")),$W171))</f>
        <v/>
      </c>
      <c r="AB171" s="71">
        <f>IF($S171="","",IF(N($T171)&gt;0,IF(N($AG171)&gt;0,SUMIFS($AF$5:$AF$1000,$R$5:$R$1000,ROW(),$S$5:$S$1000,"Sub")/$AG171,AVERAGEIFS($X$5:$X$1000,$R$5:$R$1000,ROW(),$S$5:$S$1000,"Sub")),$X171))</f>
        <v/>
      </c>
      <c r="AC171" s="71">
        <f>IF($S171="Sub",N($F171)*N($U171),"")</f>
        <v/>
      </c>
      <c r="AD171" s="71">
        <f>IF($S171="Sub",N($F171)*N($V171),"")</f>
        <v/>
      </c>
      <c r="AE171" s="71">
        <f>IF($S171="Sub",N($F171)*N($W171),"")</f>
        <v/>
      </c>
      <c r="AF171" s="71">
        <f>IF($S171="Sub",N($F171)*N($X171),"")</f>
        <v/>
      </c>
      <c r="AG171" s="71">
        <f>IF(N($T171)&gt;0,SUMIFS($F$5:$F$1000,$R$5:$R$1000,ROW(),$S$5:$S$1000,"Sub"),"")</f>
        <v/>
      </c>
    </row>
    <row r="172">
      <c r="A172" s="62">
        <f>IF(NOT((COUNTA($B172:$J172)+COUNTA($N172))&gt;0),"",IF($S172="Macro",COUNTIFS($S$5:$S172,"Macro",$P$5:$P172,$P172),IF(N($R172)=0,"?",COUNTIFS(INDEX($S$5:$S$1000,1):INDEX($S$5:$S$1000,$R172-4),"Macro",INDEX($P$5:$P$1000,1):INDEX($P$5:$P$1000,$R172-4),INDEX($P$5:$P$1000,$R172-4))&amp;"."&amp;COUNTIFS($R$5:$R172,$R172,$S$5:$S172,"Sub"))))</f>
        <v/>
      </c>
      <c r="B172" s="63" t="n"/>
      <c r="C172" s="64" t="n"/>
      <c r="D172" s="65" t="n"/>
      <c r="E172" s="65" t="n"/>
      <c r="F172" s="66" t="n"/>
      <c r="G172" s="67" t="n"/>
      <c r="H172" s="67" t="n"/>
      <c r="I172" s="67" t="n"/>
      <c r="J172" s="67" t="n"/>
      <c r="K172" s="68">
        <f>IF(NOT((COUNTA($B172:$J172)+COUNTA($N172))&gt;0),"",IF(N($T172)&gt;0,$AB172,IFERROR(LOOKUP(2,1/(G172:J172&lt;&gt;""),G172:J172),0)))</f>
        <v/>
      </c>
      <c r="L172" s="62">
        <f>IF(K172="","",IF(K172&gt;=1,"Completado",IF(K172&gt;0,"En curso","Pendiente")))</f>
        <v/>
      </c>
      <c r="M172" s="62">
        <f>IF(NOT((COUNTA($B172:$J172)+COUNTA($N172))&gt;0),"",IF(N($K172)&gt;=1,"Cumplida",IF(NOT(ISNUMBER($E172)),"Sin fecha límite",IF($E172&lt;FechaRef,"Vencida hace "&amp;(FechaRef-$E172)&amp;IF(FechaRef-$E172=1," día"," días"),IF($E172=FechaRef,"Vence hoy",IF($E172-FechaRef&lt;=DiasAlerta,"Vence en "&amp;($E172-FechaRef)&amp;IF($E172-FechaRef=1," día"," días"),"En plazo"))))))</f>
        <v/>
      </c>
      <c r="N172" s="64" t="n"/>
      <c r="O172" s="69">
        <f>IF(NOT((COUNTA($B172:$J172)+COUNTA($N172))&gt;0),"",IF((IF($C172="","Falta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",""))="","✔ OK","⚠ "&amp;LEFT(IF($C172="","Falta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",""),LEN(IF($C172="","Falta el nombre de la actividad"&amp;" · ","")&amp;IF(AND($S172="Sub",N($R172)=0),"Subactividad sin macroactividad arriba"&amp;" · ","")&amp;IF($D172="","Sin fecha de inicio"&amp;" · ","")&amp;IF($E172="","Sin fecha límite"&amp;" · ","")&amp;IF(OR(AND($D172&lt;&gt;"",NOT(ISNUMBER($D172))),AND($E172&lt;&gt;"",NOT(ISNUMBER($E172)))),"Fecha no válida"&amp;" · ","")&amp;IF(AND(ISNUMBER($D172),ISNUMBER($E172),$D172&gt;$E172),"Inicio posterior a fecha límite"&amp;" · ","")&amp;IF(AND($S172="Macro",$F172=""),"Peso vacío"&amp;" · ","")&amp;IF(AND($S172="Macro",$F172&lt;&gt;"",OR(NOT(ISNUMBER($F172)),$F172&lt;=0,$F172&gt;1)),"Peso fuera de rango"&amp;" · ","")&amp;IF(AND($S172="Sub",$F172&lt;&gt;"",OR(NOT(ISNUMBER($F172)),$F172&lt;0,$F172&gt;1)),"Peso fuera de rango"&amp;" · ","")&amp;IF(AND($S172="Sub",$F172="",IFERROR(N(INDEX($AG$5:$AG$1000,$R172-4)),0)&gt;0),"Falta el peso de la subactividad"&amp;" · ","")&amp;IF(AND(N($T172)&gt;0,N($AG172)&gt;0,ABS(N($AG172)-N($F172))&gt;0.0001),"Pesos de sus subactividades suman "&amp;TEXT(N($AG172),"0%")&amp;" (deben sumar "&amp;TEXT(N($F172),"0%")&amp;")"&amp;" · ","")&amp;IF(AND($S172="Macro",ABS(SUMIFS($F$5:$F$1000,$P$5:$P$1000,$P172,$S$5:$S$1000,"Macro")-1)&gt;0.0001),"Pesos del mes suman "&amp;TEXT(SUMIFS($F$5:$F$1000,$P$5:$P$1000,$P172,$S$5:$S$1000,"Macro"),"0%")&amp;" · ","")&amp;IF(AND(N($T172)&gt;0,COUNT($G172:$J172)&gt;0),"Con subactividades: deje vacías las semanas (se calculan solas)"&amp;" · ","")&amp;IF((COUNTIF($G172:$J172,"&gt;1")+COUNTIF($G172:$J172,"&lt;0")+COUNTA($G172:$J172)-COUNT($G172:$J172))&gt;0,"Avance fuera de rango 0-100%"&amp;" · ","")&amp;IF(OR(AND($H172&lt;&gt;"",$H172&lt;$G172),AND($I172&lt;&gt;"",$I172&lt;MAX($G172:$H172)),AND($J172&lt;&gt;"",$J172&lt;MAX($G172:$I172))),"Avance semanal decreciente"&amp;" · ","")&amp;IF(AND(ISNUMBER($E172),$E172&lt;FechaRef,N($K172)&lt;1),"Vencida"&amp;" · ","")&amp;IF(AND(ObsObligatoria="Sí",ISNUMBER($E172),$E172&lt;FechaRef,N($K172)&lt;1,$N172=""),"Vencida sin observación"&amp;" · ",""))-3)))</f>
        <v/>
      </c>
      <c r="P172" s="70">
        <f>IF(NOT((COUNTA($B172:$J172)+COUNTA($N172))&gt;0),"",IF(AND($S172="Sub",N($R172)&gt;0),IF(ISNUMBER(INDEX($D$5:$D$1000,$R172-4)),DATE(YEAR(INDEX($D$5:$D$1000,$R172-4)),MONTH(INDEX($D$5:$D$1000,$R172-4)),1),IF(ISNUMBER(INDEX($E$5:$E$1000,$R172-4)),DATE(YEAR(INDEX($E$5:$E$1000,$R172-4)),MONTH(INDEX($E$5:$E$1000,$R172-4)),1),MesCiclo)),IF(ISNUMBER($D172),DATE(YEAR($D172),MONTH($D172),1),IF(ISNUMBER($E172),DATE(YEAR($E172),MONTH($E172),1),MesCiclo))))</f>
        <v/>
      </c>
      <c r="Q172" s="71">
        <f>IF(OR($P172="",$P172&lt;&gt;MesCiclo),"",COUNTIF($P$5:$P172,MesCiclo))</f>
        <v/>
      </c>
      <c r="R172" s="71">
        <f>IF($S172="","",IF($S172="Macro",ROW(),IFERROR(LOOKUP(2,1/($S$5:$S172="Macro"),ROW($S$5:$S172)),0)))</f>
        <v/>
      </c>
      <c r="S172" s="71">
        <f>IF(NOT((COUNTA($B172:$J172)+COUNTA($N172))&gt;0),"",IF($B172="Subactividad","Sub","Macro"))</f>
        <v/>
      </c>
      <c r="T172" s="71">
        <f>IF($S172="Macro",COUNTIFS($R$5:$R$1000,ROW(),$S$5:$S$1000,"Sub"),"")</f>
        <v/>
      </c>
      <c r="U172" s="71">
        <f>IF($S172="","",IF(ISNUMBER($G172),$G172,0))</f>
        <v/>
      </c>
      <c r="V172" s="71">
        <f>IF($S172="","",IF(ISNUMBER($H172),$H172,$U172))</f>
        <v/>
      </c>
      <c r="W172" s="71">
        <f>IF($S172="","",IF(ISNUMBER($I172),$I172,$V172))</f>
        <v/>
      </c>
      <c r="X172" s="71">
        <f>IF($S172="","",IF(ISNUMBER($J172),$J172,$W172))</f>
        <v/>
      </c>
      <c r="Y172" s="71">
        <f>IF($S172="","",IF(N($T172)&gt;0,IF(N($AG172)&gt;0,SUMIFS($AC$5:$AC$1000,$R$5:$R$1000,ROW(),$S$5:$S$1000,"Sub")/$AG172,AVERAGEIFS($U$5:$U$1000,$R$5:$R$1000,ROW(),$S$5:$S$1000,"Sub")),$U172))</f>
        <v/>
      </c>
      <c r="Z172" s="71">
        <f>IF($S172="","",IF(N($T172)&gt;0,IF(N($AG172)&gt;0,SUMIFS($AD$5:$AD$1000,$R$5:$R$1000,ROW(),$S$5:$S$1000,"Sub")/$AG172,AVERAGEIFS($V$5:$V$1000,$R$5:$R$1000,ROW(),$S$5:$S$1000,"Sub")),$V172))</f>
        <v/>
      </c>
      <c r="AA172" s="71">
        <f>IF($S172="","",IF(N($T172)&gt;0,IF(N($AG172)&gt;0,SUMIFS($AE$5:$AE$1000,$R$5:$R$1000,ROW(),$S$5:$S$1000,"Sub")/$AG172,AVERAGEIFS($W$5:$W$1000,$R$5:$R$1000,ROW(),$S$5:$S$1000,"Sub")),$W172))</f>
        <v/>
      </c>
      <c r="AB172" s="71">
        <f>IF($S172="","",IF(N($T172)&gt;0,IF(N($AG172)&gt;0,SUMIFS($AF$5:$AF$1000,$R$5:$R$1000,ROW(),$S$5:$S$1000,"Sub")/$AG172,AVERAGEIFS($X$5:$X$1000,$R$5:$R$1000,ROW(),$S$5:$S$1000,"Sub")),$X172))</f>
        <v/>
      </c>
      <c r="AC172" s="71">
        <f>IF($S172="Sub",N($F172)*N($U172),"")</f>
        <v/>
      </c>
      <c r="AD172" s="71">
        <f>IF($S172="Sub",N($F172)*N($V172),"")</f>
        <v/>
      </c>
      <c r="AE172" s="71">
        <f>IF($S172="Sub",N($F172)*N($W172),"")</f>
        <v/>
      </c>
      <c r="AF172" s="71">
        <f>IF($S172="Sub",N($F172)*N($X172),"")</f>
        <v/>
      </c>
      <c r="AG172" s="71">
        <f>IF(N($T172)&gt;0,SUMIFS($F$5:$F$1000,$R$5:$R$1000,ROW(),$S$5:$S$1000,"Sub"),"")</f>
        <v/>
      </c>
    </row>
    <row r="173">
      <c r="A173" s="62">
        <f>IF(NOT((COUNTA($B173:$J173)+COUNTA($N173))&gt;0),"",IF($S173="Macro",COUNTIFS($S$5:$S173,"Macro",$P$5:$P173,$P173),IF(N($R173)=0,"?",COUNTIFS(INDEX($S$5:$S$1000,1):INDEX($S$5:$S$1000,$R173-4),"Macro",INDEX($P$5:$P$1000,1):INDEX($P$5:$P$1000,$R173-4),INDEX($P$5:$P$1000,$R173-4))&amp;"."&amp;COUNTIFS($R$5:$R173,$R173,$S$5:$S173,"Sub"))))</f>
        <v/>
      </c>
      <c r="B173" s="63" t="n"/>
      <c r="C173" s="64" t="n"/>
      <c r="D173" s="65" t="n"/>
      <c r="E173" s="65" t="n"/>
      <c r="F173" s="66" t="n"/>
      <c r="G173" s="67" t="n"/>
      <c r="H173" s="67" t="n"/>
      <c r="I173" s="67" t="n"/>
      <c r="J173" s="67" t="n"/>
      <c r="K173" s="68">
        <f>IF(NOT((COUNTA($B173:$J173)+COUNTA($N173))&gt;0),"",IF(N($T173)&gt;0,$AB173,IFERROR(LOOKUP(2,1/(G173:J173&lt;&gt;""),G173:J173),0)))</f>
        <v/>
      </c>
      <c r="L173" s="62">
        <f>IF(K173="","",IF(K173&gt;=1,"Completado",IF(K173&gt;0,"En curso","Pendiente")))</f>
        <v/>
      </c>
      <c r="M173" s="62">
        <f>IF(NOT((COUNTA($B173:$J173)+COUNTA($N173))&gt;0),"",IF(N($K173)&gt;=1,"Cumplida",IF(NOT(ISNUMBER($E173)),"Sin fecha límite",IF($E173&lt;FechaRef,"Vencida hace "&amp;(FechaRef-$E173)&amp;IF(FechaRef-$E173=1," día"," días"),IF($E173=FechaRef,"Vence hoy",IF($E173-FechaRef&lt;=DiasAlerta,"Vence en "&amp;($E173-FechaRef)&amp;IF($E173-FechaRef=1," día"," días"),"En plazo"))))))</f>
        <v/>
      </c>
      <c r="N173" s="64" t="n"/>
      <c r="O173" s="69">
        <f>IF(NOT((COUNTA($B173:$J173)+COUNTA($N173))&gt;0),"",IF((IF($C173="","Falta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",""))="","✔ OK","⚠ "&amp;LEFT(IF($C173="","Falta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",""),LEN(IF($C173="","Falta el nombre de la actividad"&amp;" · ","")&amp;IF(AND($S173="Sub",N($R173)=0),"Subactividad sin macroactividad arriba"&amp;" · ","")&amp;IF($D173="","Sin fecha de inicio"&amp;" · ","")&amp;IF($E173="","Sin fecha límite"&amp;" · ","")&amp;IF(OR(AND($D173&lt;&gt;"",NOT(ISNUMBER($D173))),AND($E173&lt;&gt;"",NOT(ISNUMBER($E173)))),"Fecha no válida"&amp;" · ","")&amp;IF(AND(ISNUMBER($D173),ISNUMBER($E173),$D173&gt;$E173),"Inicio posterior a fecha límite"&amp;" · ","")&amp;IF(AND($S173="Macro",$F173=""),"Peso vacío"&amp;" · ","")&amp;IF(AND($S173="Macro",$F173&lt;&gt;"",OR(NOT(ISNUMBER($F173)),$F173&lt;=0,$F173&gt;1)),"Peso fuera de rango"&amp;" · ","")&amp;IF(AND($S173="Sub",$F173&lt;&gt;"",OR(NOT(ISNUMBER($F173)),$F173&lt;0,$F173&gt;1)),"Peso fuera de rango"&amp;" · ","")&amp;IF(AND($S173="Sub",$F173="",IFERROR(N(INDEX($AG$5:$AG$1000,$R173-4)),0)&gt;0),"Falta el peso de la subactividad"&amp;" · ","")&amp;IF(AND(N($T173)&gt;0,N($AG173)&gt;0,ABS(N($AG173)-N($F173))&gt;0.0001),"Pesos de sus subactividades suman "&amp;TEXT(N($AG173),"0%")&amp;" (deben sumar "&amp;TEXT(N($F173),"0%")&amp;")"&amp;" · ","")&amp;IF(AND($S173="Macro",ABS(SUMIFS($F$5:$F$1000,$P$5:$P$1000,$P173,$S$5:$S$1000,"Macro")-1)&gt;0.0001),"Pesos del mes suman "&amp;TEXT(SUMIFS($F$5:$F$1000,$P$5:$P$1000,$P173,$S$5:$S$1000,"Macro"),"0%")&amp;" · ","")&amp;IF(AND(N($T173)&gt;0,COUNT($G173:$J173)&gt;0),"Con subactividades: deje vacías las semanas (se calculan solas)"&amp;" · ","")&amp;IF((COUNTIF($G173:$J173,"&gt;1")+COUNTIF($G173:$J173,"&lt;0")+COUNTA($G173:$J173)-COUNT($G173:$J173))&gt;0,"Avance fuera de rango 0-100%"&amp;" · ","")&amp;IF(OR(AND($H173&lt;&gt;"",$H173&lt;$G173),AND($I173&lt;&gt;"",$I173&lt;MAX($G173:$H173)),AND($J173&lt;&gt;"",$J173&lt;MAX($G173:$I173))),"Avance semanal decreciente"&amp;" · ","")&amp;IF(AND(ISNUMBER($E173),$E173&lt;FechaRef,N($K173)&lt;1),"Vencida"&amp;" · ","")&amp;IF(AND(ObsObligatoria="Sí",ISNUMBER($E173),$E173&lt;FechaRef,N($K173)&lt;1,$N173=""),"Vencida sin observación"&amp;" · ",""))-3)))</f>
        <v/>
      </c>
      <c r="P173" s="70">
        <f>IF(NOT((COUNTA($B173:$J173)+COUNTA($N173))&gt;0),"",IF(AND($S173="Sub",N($R173)&gt;0),IF(ISNUMBER(INDEX($D$5:$D$1000,$R173-4)),DATE(YEAR(INDEX($D$5:$D$1000,$R173-4)),MONTH(INDEX($D$5:$D$1000,$R173-4)),1),IF(ISNUMBER(INDEX($E$5:$E$1000,$R173-4)),DATE(YEAR(INDEX($E$5:$E$1000,$R173-4)),MONTH(INDEX($E$5:$E$1000,$R173-4)),1),MesCiclo)),IF(ISNUMBER($D173),DATE(YEAR($D173),MONTH($D173),1),IF(ISNUMBER($E173),DATE(YEAR($E173),MONTH($E173),1),MesCiclo))))</f>
        <v/>
      </c>
      <c r="Q173" s="71">
        <f>IF(OR($P173="",$P173&lt;&gt;MesCiclo),"",COUNTIF($P$5:$P173,MesCiclo))</f>
        <v/>
      </c>
      <c r="R173" s="71">
        <f>IF($S173="","",IF($S173="Macro",ROW(),IFERROR(LOOKUP(2,1/($S$5:$S173="Macro"),ROW($S$5:$S173)),0)))</f>
        <v/>
      </c>
      <c r="S173" s="71">
        <f>IF(NOT((COUNTA($B173:$J173)+COUNTA($N173))&gt;0),"",IF($B173="Subactividad","Sub","Macro"))</f>
        <v/>
      </c>
      <c r="T173" s="71">
        <f>IF($S173="Macro",COUNTIFS($R$5:$R$1000,ROW(),$S$5:$S$1000,"Sub"),"")</f>
        <v/>
      </c>
      <c r="U173" s="71">
        <f>IF($S173="","",IF(ISNUMBER($G173),$G173,0))</f>
        <v/>
      </c>
      <c r="V173" s="71">
        <f>IF($S173="","",IF(ISNUMBER($H173),$H173,$U173))</f>
        <v/>
      </c>
      <c r="W173" s="71">
        <f>IF($S173="","",IF(ISNUMBER($I173),$I173,$V173))</f>
        <v/>
      </c>
      <c r="X173" s="71">
        <f>IF($S173="","",IF(ISNUMBER($J173),$J173,$W173))</f>
        <v/>
      </c>
      <c r="Y173" s="71">
        <f>IF($S173="","",IF(N($T173)&gt;0,IF(N($AG173)&gt;0,SUMIFS($AC$5:$AC$1000,$R$5:$R$1000,ROW(),$S$5:$S$1000,"Sub")/$AG173,AVERAGEIFS($U$5:$U$1000,$R$5:$R$1000,ROW(),$S$5:$S$1000,"Sub")),$U173))</f>
        <v/>
      </c>
      <c r="Z173" s="71">
        <f>IF($S173="","",IF(N($T173)&gt;0,IF(N($AG173)&gt;0,SUMIFS($AD$5:$AD$1000,$R$5:$R$1000,ROW(),$S$5:$S$1000,"Sub")/$AG173,AVERAGEIFS($V$5:$V$1000,$R$5:$R$1000,ROW(),$S$5:$S$1000,"Sub")),$V173))</f>
        <v/>
      </c>
      <c r="AA173" s="71">
        <f>IF($S173="","",IF(N($T173)&gt;0,IF(N($AG173)&gt;0,SUMIFS($AE$5:$AE$1000,$R$5:$R$1000,ROW(),$S$5:$S$1000,"Sub")/$AG173,AVERAGEIFS($W$5:$W$1000,$R$5:$R$1000,ROW(),$S$5:$S$1000,"Sub")),$W173))</f>
        <v/>
      </c>
      <c r="AB173" s="71">
        <f>IF($S173="","",IF(N($T173)&gt;0,IF(N($AG173)&gt;0,SUMIFS($AF$5:$AF$1000,$R$5:$R$1000,ROW(),$S$5:$S$1000,"Sub")/$AG173,AVERAGEIFS($X$5:$X$1000,$R$5:$R$1000,ROW(),$S$5:$S$1000,"Sub")),$X173))</f>
        <v/>
      </c>
      <c r="AC173" s="71">
        <f>IF($S173="Sub",N($F173)*N($U173),"")</f>
        <v/>
      </c>
      <c r="AD173" s="71">
        <f>IF($S173="Sub",N($F173)*N($V173),"")</f>
        <v/>
      </c>
      <c r="AE173" s="71">
        <f>IF($S173="Sub",N($F173)*N($W173),"")</f>
        <v/>
      </c>
      <c r="AF173" s="71">
        <f>IF($S173="Sub",N($F173)*N($X173),"")</f>
        <v/>
      </c>
      <c r="AG173" s="71">
        <f>IF(N($T173)&gt;0,SUMIFS($F$5:$F$1000,$R$5:$R$1000,ROW(),$S$5:$S$1000,"Sub"),"")</f>
        <v/>
      </c>
    </row>
    <row r="174">
      <c r="A174" s="62">
        <f>IF(NOT((COUNTA($B174:$J174)+COUNTA($N174))&gt;0),"",IF($S174="Macro",COUNTIFS($S$5:$S174,"Macro",$P$5:$P174,$P174),IF(N($R174)=0,"?",COUNTIFS(INDEX($S$5:$S$1000,1):INDEX($S$5:$S$1000,$R174-4),"Macro",INDEX($P$5:$P$1000,1):INDEX($P$5:$P$1000,$R174-4),INDEX($P$5:$P$1000,$R174-4))&amp;"."&amp;COUNTIFS($R$5:$R174,$R174,$S$5:$S174,"Sub"))))</f>
        <v/>
      </c>
      <c r="B174" s="63" t="n"/>
      <c r="C174" s="64" t="n"/>
      <c r="D174" s="65" t="n"/>
      <c r="E174" s="65" t="n"/>
      <c r="F174" s="66" t="n"/>
      <c r="G174" s="67" t="n"/>
      <c r="H174" s="67" t="n"/>
      <c r="I174" s="67" t="n"/>
      <c r="J174" s="67" t="n"/>
      <c r="K174" s="68">
        <f>IF(NOT((COUNTA($B174:$J174)+COUNTA($N174))&gt;0),"",IF(N($T174)&gt;0,$AB174,IFERROR(LOOKUP(2,1/(G174:J174&lt;&gt;""),G174:J174),0)))</f>
        <v/>
      </c>
      <c r="L174" s="62">
        <f>IF(K174="","",IF(K174&gt;=1,"Completado",IF(K174&gt;0,"En curso","Pendiente")))</f>
        <v/>
      </c>
      <c r="M174" s="62">
        <f>IF(NOT((COUNTA($B174:$J174)+COUNTA($N174))&gt;0),"",IF(N($K174)&gt;=1,"Cumplida",IF(NOT(ISNUMBER($E174)),"Sin fecha límite",IF($E174&lt;FechaRef,"Vencida hace "&amp;(FechaRef-$E174)&amp;IF(FechaRef-$E174=1," día"," días"),IF($E174=FechaRef,"Vence hoy",IF($E174-FechaRef&lt;=DiasAlerta,"Vence en "&amp;($E174-FechaRef)&amp;IF($E174-FechaRef=1," día"," días"),"En plazo"))))))</f>
        <v/>
      </c>
      <c r="N174" s="64" t="n"/>
      <c r="O174" s="69">
        <f>IF(NOT((COUNTA($B174:$J174)+COUNTA($N174))&gt;0),"",IF((IF($C174="","Falta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",""))="","✔ OK","⚠ "&amp;LEFT(IF($C174="","Falta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",""),LEN(IF($C174="","Falta el nombre de la actividad"&amp;" · ","")&amp;IF(AND($S174="Sub",N($R174)=0),"Subactividad sin macroactividad arriba"&amp;" · ","")&amp;IF($D174="","Sin fecha de inicio"&amp;" · ","")&amp;IF($E174="","Sin fecha límite"&amp;" · ","")&amp;IF(OR(AND($D174&lt;&gt;"",NOT(ISNUMBER($D174))),AND($E174&lt;&gt;"",NOT(ISNUMBER($E174)))),"Fecha no válida"&amp;" · ","")&amp;IF(AND(ISNUMBER($D174),ISNUMBER($E174),$D174&gt;$E174),"Inicio posterior a fecha límite"&amp;" · ","")&amp;IF(AND($S174="Macro",$F174=""),"Peso vacío"&amp;" · ","")&amp;IF(AND($S174="Macro",$F174&lt;&gt;"",OR(NOT(ISNUMBER($F174)),$F174&lt;=0,$F174&gt;1)),"Peso fuera de rango"&amp;" · ","")&amp;IF(AND($S174="Sub",$F174&lt;&gt;"",OR(NOT(ISNUMBER($F174)),$F174&lt;0,$F174&gt;1)),"Peso fuera de rango"&amp;" · ","")&amp;IF(AND($S174="Sub",$F174="",IFERROR(N(INDEX($AG$5:$AG$1000,$R174-4)),0)&gt;0),"Falta el peso de la subactividad"&amp;" · ","")&amp;IF(AND(N($T174)&gt;0,N($AG174)&gt;0,ABS(N($AG174)-N($F174))&gt;0.0001),"Pesos de sus subactividades suman "&amp;TEXT(N($AG174),"0%")&amp;" (deben sumar "&amp;TEXT(N($F174),"0%")&amp;")"&amp;" · ","")&amp;IF(AND($S174="Macro",ABS(SUMIFS($F$5:$F$1000,$P$5:$P$1000,$P174,$S$5:$S$1000,"Macro")-1)&gt;0.0001),"Pesos del mes suman "&amp;TEXT(SUMIFS($F$5:$F$1000,$P$5:$P$1000,$P174,$S$5:$S$1000,"Macro"),"0%")&amp;" · ","")&amp;IF(AND(N($T174)&gt;0,COUNT($G174:$J174)&gt;0),"Con subactividades: deje vacías las semanas (se calculan solas)"&amp;" · ","")&amp;IF((COUNTIF($G174:$J174,"&gt;1")+COUNTIF($G174:$J174,"&lt;0")+COUNTA($G174:$J174)-COUNT($G174:$J174))&gt;0,"Avance fuera de rango 0-100%"&amp;" · ","")&amp;IF(OR(AND($H174&lt;&gt;"",$H174&lt;$G174),AND($I174&lt;&gt;"",$I174&lt;MAX($G174:$H174)),AND($J174&lt;&gt;"",$J174&lt;MAX($G174:$I174))),"Avance semanal decreciente"&amp;" · ","")&amp;IF(AND(ISNUMBER($E174),$E174&lt;FechaRef,N($K174)&lt;1),"Vencida"&amp;" · ","")&amp;IF(AND(ObsObligatoria="Sí",ISNUMBER($E174),$E174&lt;FechaRef,N($K174)&lt;1,$N174=""),"Vencida sin observación"&amp;" · ",""))-3)))</f>
        <v/>
      </c>
      <c r="P174" s="70">
        <f>IF(NOT((COUNTA($B174:$J174)+COUNTA($N174))&gt;0),"",IF(AND($S174="Sub",N($R174)&gt;0),IF(ISNUMBER(INDEX($D$5:$D$1000,$R174-4)),DATE(YEAR(INDEX($D$5:$D$1000,$R174-4)),MONTH(INDEX($D$5:$D$1000,$R174-4)),1),IF(ISNUMBER(INDEX($E$5:$E$1000,$R174-4)),DATE(YEAR(INDEX($E$5:$E$1000,$R174-4)),MONTH(INDEX($E$5:$E$1000,$R174-4)),1),MesCiclo)),IF(ISNUMBER($D174),DATE(YEAR($D174),MONTH($D174),1),IF(ISNUMBER($E174),DATE(YEAR($E174),MONTH($E174),1),MesCiclo))))</f>
        <v/>
      </c>
      <c r="Q174" s="71">
        <f>IF(OR($P174="",$P174&lt;&gt;MesCiclo),"",COUNTIF($P$5:$P174,MesCiclo))</f>
        <v/>
      </c>
      <c r="R174" s="71">
        <f>IF($S174="","",IF($S174="Macro",ROW(),IFERROR(LOOKUP(2,1/($S$5:$S174="Macro"),ROW($S$5:$S174)),0)))</f>
        <v/>
      </c>
      <c r="S174" s="71">
        <f>IF(NOT((COUNTA($B174:$J174)+COUNTA($N174))&gt;0),"",IF($B174="Subactividad","Sub","Macro"))</f>
        <v/>
      </c>
      <c r="T174" s="71">
        <f>IF($S174="Macro",COUNTIFS($R$5:$R$1000,ROW(),$S$5:$S$1000,"Sub"),"")</f>
        <v/>
      </c>
      <c r="U174" s="71">
        <f>IF($S174="","",IF(ISNUMBER($G174),$G174,0))</f>
        <v/>
      </c>
      <c r="V174" s="71">
        <f>IF($S174="","",IF(ISNUMBER($H174),$H174,$U174))</f>
        <v/>
      </c>
      <c r="W174" s="71">
        <f>IF($S174="","",IF(ISNUMBER($I174),$I174,$V174))</f>
        <v/>
      </c>
      <c r="X174" s="71">
        <f>IF($S174="","",IF(ISNUMBER($J174),$J174,$W174))</f>
        <v/>
      </c>
      <c r="Y174" s="71">
        <f>IF($S174="","",IF(N($T174)&gt;0,IF(N($AG174)&gt;0,SUMIFS($AC$5:$AC$1000,$R$5:$R$1000,ROW(),$S$5:$S$1000,"Sub")/$AG174,AVERAGEIFS($U$5:$U$1000,$R$5:$R$1000,ROW(),$S$5:$S$1000,"Sub")),$U174))</f>
        <v/>
      </c>
      <c r="Z174" s="71">
        <f>IF($S174="","",IF(N($T174)&gt;0,IF(N($AG174)&gt;0,SUMIFS($AD$5:$AD$1000,$R$5:$R$1000,ROW(),$S$5:$S$1000,"Sub")/$AG174,AVERAGEIFS($V$5:$V$1000,$R$5:$R$1000,ROW(),$S$5:$S$1000,"Sub")),$V174))</f>
        <v/>
      </c>
      <c r="AA174" s="71">
        <f>IF($S174="","",IF(N($T174)&gt;0,IF(N($AG174)&gt;0,SUMIFS($AE$5:$AE$1000,$R$5:$R$1000,ROW(),$S$5:$S$1000,"Sub")/$AG174,AVERAGEIFS($W$5:$W$1000,$R$5:$R$1000,ROW(),$S$5:$S$1000,"Sub")),$W174))</f>
        <v/>
      </c>
      <c r="AB174" s="71">
        <f>IF($S174="","",IF(N($T174)&gt;0,IF(N($AG174)&gt;0,SUMIFS($AF$5:$AF$1000,$R$5:$R$1000,ROW(),$S$5:$S$1000,"Sub")/$AG174,AVERAGEIFS($X$5:$X$1000,$R$5:$R$1000,ROW(),$S$5:$S$1000,"Sub")),$X174))</f>
        <v/>
      </c>
      <c r="AC174" s="71">
        <f>IF($S174="Sub",N($F174)*N($U174),"")</f>
        <v/>
      </c>
      <c r="AD174" s="71">
        <f>IF($S174="Sub",N($F174)*N($V174),"")</f>
        <v/>
      </c>
      <c r="AE174" s="71">
        <f>IF($S174="Sub",N($F174)*N($W174),"")</f>
        <v/>
      </c>
      <c r="AF174" s="71">
        <f>IF($S174="Sub",N($F174)*N($X174),"")</f>
        <v/>
      </c>
      <c r="AG174" s="71">
        <f>IF(N($T174)&gt;0,SUMIFS($F$5:$F$1000,$R$5:$R$1000,ROW(),$S$5:$S$1000,"Sub"),"")</f>
        <v/>
      </c>
    </row>
    <row r="175">
      <c r="A175" s="62">
        <f>IF(NOT((COUNTA($B175:$J175)+COUNTA($N175))&gt;0),"",IF($S175="Macro",COUNTIFS($S$5:$S175,"Macro",$P$5:$P175,$P175),IF(N($R175)=0,"?",COUNTIFS(INDEX($S$5:$S$1000,1):INDEX($S$5:$S$1000,$R175-4),"Macro",INDEX($P$5:$P$1000,1):INDEX($P$5:$P$1000,$R175-4),INDEX($P$5:$P$1000,$R175-4))&amp;"."&amp;COUNTIFS($R$5:$R175,$R175,$S$5:$S175,"Sub"))))</f>
        <v/>
      </c>
      <c r="B175" s="63" t="n"/>
      <c r="C175" s="64" t="n"/>
      <c r="D175" s="65" t="n"/>
      <c r="E175" s="65" t="n"/>
      <c r="F175" s="66" t="n"/>
      <c r="G175" s="67" t="n"/>
      <c r="H175" s="67" t="n"/>
      <c r="I175" s="67" t="n"/>
      <c r="J175" s="67" t="n"/>
      <c r="K175" s="68">
        <f>IF(NOT((COUNTA($B175:$J175)+COUNTA($N175))&gt;0),"",IF(N($T175)&gt;0,$AB175,IFERROR(LOOKUP(2,1/(G175:J175&lt;&gt;""),G175:J175),0)))</f>
        <v/>
      </c>
      <c r="L175" s="62">
        <f>IF(K175="","",IF(K175&gt;=1,"Completado",IF(K175&gt;0,"En curso","Pendiente")))</f>
        <v/>
      </c>
      <c r="M175" s="62">
        <f>IF(NOT((COUNTA($B175:$J175)+COUNTA($N175))&gt;0),"",IF(N($K175)&gt;=1,"Cumplida",IF(NOT(ISNUMBER($E175)),"Sin fecha límite",IF($E175&lt;FechaRef,"Vencida hace "&amp;(FechaRef-$E175)&amp;IF(FechaRef-$E175=1," día"," días"),IF($E175=FechaRef,"Vence hoy",IF($E175-FechaRef&lt;=DiasAlerta,"Vence en "&amp;($E175-FechaRef)&amp;IF($E175-FechaRef=1," día"," días"),"En plazo"))))))</f>
        <v/>
      </c>
      <c r="N175" s="64" t="n"/>
      <c r="O175" s="69">
        <f>IF(NOT((COUNTA($B175:$J175)+COUNTA($N175))&gt;0),"",IF((IF($C175="","Falta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",""))="","✔ OK","⚠ "&amp;LEFT(IF($C175="","Falta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",""),LEN(IF($C175="","Falta el nombre de la actividad"&amp;" · ","")&amp;IF(AND($S175="Sub",N($R175)=0),"Subactividad sin macroactividad arriba"&amp;" · ","")&amp;IF($D175="","Sin fecha de inicio"&amp;" · ","")&amp;IF($E175="","Sin fecha límite"&amp;" · ","")&amp;IF(OR(AND($D175&lt;&gt;"",NOT(ISNUMBER($D175))),AND($E175&lt;&gt;"",NOT(ISNUMBER($E175)))),"Fecha no válida"&amp;" · ","")&amp;IF(AND(ISNUMBER($D175),ISNUMBER($E175),$D175&gt;$E175),"Inicio posterior a fecha límite"&amp;" · ","")&amp;IF(AND($S175="Macro",$F175=""),"Peso vacío"&amp;" · ","")&amp;IF(AND($S175="Macro",$F175&lt;&gt;"",OR(NOT(ISNUMBER($F175)),$F175&lt;=0,$F175&gt;1)),"Peso fuera de rango"&amp;" · ","")&amp;IF(AND($S175="Sub",$F175&lt;&gt;"",OR(NOT(ISNUMBER($F175)),$F175&lt;0,$F175&gt;1)),"Peso fuera de rango"&amp;" · ","")&amp;IF(AND($S175="Sub",$F175="",IFERROR(N(INDEX($AG$5:$AG$1000,$R175-4)),0)&gt;0),"Falta el peso de la subactividad"&amp;" · ","")&amp;IF(AND(N($T175)&gt;0,N($AG175)&gt;0,ABS(N($AG175)-N($F175))&gt;0.0001),"Pesos de sus subactividades suman "&amp;TEXT(N($AG175),"0%")&amp;" (deben sumar "&amp;TEXT(N($F175),"0%")&amp;")"&amp;" · ","")&amp;IF(AND($S175="Macro",ABS(SUMIFS($F$5:$F$1000,$P$5:$P$1000,$P175,$S$5:$S$1000,"Macro")-1)&gt;0.0001),"Pesos del mes suman "&amp;TEXT(SUMIFS($F$5:$F$1000,$P$5:$P$1000,$P175,$S$5:$S$1000,"Macro"),"0%")&amp;" · ","")&amp;IF(AND(N($T175)&gt;0,COUNT($G175:$J175)&gt;0),"Con subactividades: deje vacías las semanas (se calculan solas)"&amp;" · ","")&amp;IF((COUNTIF($G175:$J175,"&gt;1")+COUNTIF($G175:$J175,"&lt;0")+COUNTA($G175:$J175)-COUNT($G175:$J175))&gt;0,"Avance fuera de rango 0-100%"&amp;" · ","")&amp;IF(OR(AND($H175&lt;&gt;"",$H175&lt;$G175),AND($I175&lt;&gt;"",$I175&lt;MAX($G175:$H175)),AND($J175&lt;&gt;"",$J175&lt;MAX($G175:$I175))),"Avance semanal decreciente"&amp;" · ","")&amp;IF(AND(ISNUMBER($E175),$E175&lt;FechaRef,N($K175)&lt;1),"Vencida"&amp;" · ","")&amp;IF(AND(ObsObligatoria="Sí",ISNUMBER($E175),$E175&lt;FechaRef,N($K175)&lt;1,$N175=""),"Vencida sin observación"&amp;" · ",""))-3)))</f>
        <v/>
      </c>
      <c r="P175" s="70">
        <f>IF(NOT((COUNTA($B175:$J175)+COUNTA($N175))&gt;0),"",IF(AND($S175="Sub",N($R175)&gt;0),IF(ISNUMBER(INDEX($D$5:$D$1000,$R175-4)),DATE(YEAR(INDEX($D$5:$D$1000,$R175-4)),MONTH(INDEX($D$5:$D$1000,$R175-4)),1),IF(ISNUMBER(INDEX($E$5:$E$1000,$R175-4)),DATE(YEAR(INDEX($E$5:$E$1000,$R175-4)),MONTH(INDEX($E$5:$E$1000,$R175-4)),1),MesCiclo)),IF(ISNUMBER($D175),DATE(YEAR($D175),MONTH($D175),1),IF(ISNUMBER($E175),DATE(YEAR($E175),MONTH($E175),1),MesCiclo))))</f>
        <v/>
      </c>
      <c r="Q175" s="71">
        <f>IF(OR($P175="",$P175&lt;&gt;MesCiclo),"",COUNTIF($P$5:$P175,MesCiclo))</f>
        <v/>
      </c>
      <c r="R175" s="71">
        <f>IF($S175="","",IF($S175="Macro",ROW(),IFERROR(LOOKUP(2,1/($S$5:$S175="Macro"),ROW($S$5:$S175)),0)))</f>
        <v/>
      </c>
      <c r="S175" s="71">
        <f>IF(NOT((COUNTA($B175:$J175)+COUNTA($N175))&gt;0),"",IF($B175="Subactividad","Sub","Macro"))</f>
        <v/>
      </c>
      <c r="T175" s="71">
        <f>IF($S175="Macro",COUNTIFS($R$5:$R$1000,ROW(),$S$5:$S$1000,"Sub"),"")</f>
        <v/>
      </c>
      <c r="U175" s="71">
        <f>IF($S175="","",IF(ISNUMBER($G175),$G175,0))</f>
        <v/>
      </c>
      <c r="V175" s="71">
        <f>IF($S175="","",IF(ISNUMBER($H175),$H175,$U175))</f>
        <v/>
      </c>
      <c r="W175" s="71">
        <f>IF($S175="","",IF(ISNUMBER($I175),$I175,$V175))</f>
        <v/>
      </c>
      <c r="X175" s="71">
        <f>IF($S175="","",IF(ISNUMBER($J175),$J175,$W175))</f>
        <v/>
      </c>
      <c r="Y175" s="71">
        <f>IF($S175="","",IF(N($T175)&gt;0,IF(N($AG175)&gt;0,SUMIFS($AC$5:$AC$1000,$R$5:$R$1000,ROW(),$S$5:$S$1000,"Sub")/$AG175,AVERAGEIFS($U$5:$U$1000,$R$5:$R$1000,ROW(),$S$5:$S$1000,"Sub")),$U175))</f>
        <v/>
      </c>
      <c r="Z175" s="71">
        <f>IF($S175="","",IF(N($T175)&gt;0,IF(N($AG175)&gt;0,SUMIFS($AD$5:$AD$1000,$R$5:$R$1000,ROW(),$S$5:$S$1000,"Sub")/$AG175,AVERAGEIFS($V$5:$V$1000,$R$5:$R$1000,ROW(),$S$5:$S$1000,"Sub")),$V175))</f>
        <v/>
      </c>
      <c r="AA175" s="71">
        <f>IF($S175="","",IF(N($T175)&gt;0,IF(N($AG175)&gt;0,SUMIFS($AE$5:$AE$1000,$R$5:$R$1000,ROW(),$S$5:$S$1000,"Sub")/$AG175,AVERAGEIFS($W$5:$W$1000,$R$5:$R$1000,ROW(),$S$5:$S$1000,"Sub")),$W175))</f>
        <v/>
      </c>
      <c r="AB175" s="71">
        <f>IF($S175="","",IF(N($T175)&gt;0,IF(N($AG175)&gt;0,SUMIFS($AF$5:$AF$1000,$R$5:$R$1000,ROW(),$S$5:$S$1000,"Sub")/$AG175,AVERAGEIFS($X$5:$X$1000,$R$5:$R$1000,ROW(),$S$5:$S$1000,"Sub")),$X175))</f>
        <v/>
      </c>
      <c r="AC175" s="71">
        <f>IF($S175="Sub",N($F175)*N($U175),"")</f>
        <v/>
      </c>
      <c r="AD175" s="71">
        <f>IF($S175="Sub",N($F175)*N($V175),"")</f>
        <v/>
      </c>
      <c r="AE175" s="71">
        <f>IF($S175="Sub",N($F175)*N($W175),"")</f>
        <v/>
      </c>
      <c r="AF175" s="71">
        <f>IF($S175="Sub",N($F175)*N($X175),"")</f>
        <v/>
      </c>
      <c r="AG175" s="71">
        <f>IF(N($T175)&gt;0,SUMIFS($F$5:$F$1000,$R$5:$R$1000,ROW(),$S$5:$S$1000,"Sub"),"")</f>
        <v/>
      </c>
    </row>
    <row r="176">
      <c r="A176" s="62">
        <f>IF(NOT((COUNTA($B176:$J176)+COUNTA($N176))&gt;0),"",IF($S176="Macro",COUNTIFS($S$5:$S176,"Macro",$P$5:$P176,$P176),IF(N($R176)=0,"?",COUNTIFS(INDEX($S$5:$S$1000,1):INDEX($S$5:$S$1000,$R176-4),"Macro",INDEX($P$5:$P$1000,1):INDEX($P$5:$P$1000,$R176-4),INDEX($P$5:$P$1000,$R176-4))&amp;"."&amp;COUNTIFS($R$5:$R176,$R176,$S$5:$S176,"Sub"))))</f>
        <v/>
      </c>
      <c r="B176" s="63" t="n"/>
      <c r="C176" s="64" t="n"/>
      <c r="D176" s="65" t="n"/>
      <c r="E176" s="65" t="n"/>
      <c r="F176" s="66" t="n"/>
      <c r="G176" s="67" t="n"/>
      <c r="H176" s="67" t="n"/>
      <c r="I176" s="67" t="n"/>
      <c r="J176" s="67" t="n"/>
      <c r="K176" s="68">
        <f>IF(NOT((COUNTA($B176:$J176)+COUNTA($N176))&gt;0),"",IF(N($T176)&gt;0,$AB176,IFERROR(LOOKUP(2,1/(G176:J176&lt;&gt;""),G176:J176),0)))</f>
        <v/>
      </c>
      <c r="L176" s="62">
        <f>IF(K176="","",IF(K176&gt;=1,"Completado",IF(K176&gt;0,"En curso","Pendiente")))</f>
        <v/>
      </c>
      <c r="M176" s="62">
        <f>IF(NOT((COUNTA($B176:$J176)+COUNTA($N176))&gt;0),"",IF(N($K176)&gt;=1,"Cumplida",IF(NOT(ISNUMBER($E176)),"Sin fecha límite",IF($E176&lt;FechaRef,"Vencida hace "&amp;(FechaRef-$E176)&amp;IF(FechaRef-$E176=1," día"," días"),IF($E176=FechaRef,"Vence hoy",IF($E176-FechaRef&lt;=DiasAlerta,"Vence en "&amp;($E176-FechaRef)&amp;IF($E176-FechaRef=1," día"," días"),"En plazo"))))))</f>
        <v/>
      </c>
      <c r="N176" s="64" t="n"/>
      <c r="O176" s="69">
        <f>IF(NOT((COUNTA($B176:$J176)+COUNTA($N176))&gt;0),"",IF((IF($C176="","Falta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",""))="","✔ OK","⚠ "&amp;LEFT(IF($C176="","Falta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",""),LEN(IF($C176="","Falta el nombre de la actividad"&amp;" · ","")&amp;IF(AND($S176="Sub",N($R176)=0),"Subactividad sin macroactividad arriba"&amp;" · ","")&amp;IF($D176="","Sin fecha de inicio"&amp;" · ","")&amp;IF($E176="","Sin fecha límite"&amp;" · ","")&amp;IF(OR(AND($D176&lt;&gt;"",NOT(ISNUMBER($D176))),AND($E176&lt;&gt;"",NOT(ISNUMBER($E176)))),"Fecha no válida"&amp;" · ","")&amp;IF(AND(ISNUMBER($D176),ISNUMBER($E176),$D176&gt;$E176),"Inicio posterior a fecha límite"&amp;" · ","")&amp;IF(AND($S176="Macro",$F176=""),"Peso vacío"&amp;" · ","")&amp;IF(AND($S176="Macro",$F176&lt;&gt;"",OR(NOT(ISNUMBER($F176)),$F176&lt;=0,$F176&gt;1)),"Peso fuera de rango"&amp;" · ","")&amp;IF(AND($S176="Sub",$F176&lt;&gt;"",OR(NOT(ISNUMBER($F176)),$F176&lt;0,$F176&gt;1)),"Peso fuera de rango"&amp;" · ","")&amp;IF(AND($S176="Sub",$F176="",IFERROR(N(INDEX($AG$5:$AG$1000,$R176-4)),0)&gt;0),"Falta el peso de la subactividad"&amp;" · ","")&amp;IF(AND(N($T176)&gt;0,N($AG176)&gt;0,ABS(N($AG176)-N($F176))&gt;0.0001),"Pesos de sus subactividades suman "&amp;TEXT(N($AG176),"0%")&amp;" (deben sumar "&amp;TEXT(N($F176),"0%")&amp;")"&amp;" · ","")&amp;IF(AND($S176="Macro",ABS(SUMIFS($F$5:$F$1000,$P$5:$P$1000,$P176,$S$5:$S$1000,"Macro")-1)&gt;0.0001),"Pesos del mes suman "&amp;TEXT(SUMIFS($F$5:$F$1000,$P$5:$P$1000,$P176,$S$5:$S$1000,"Macro"),"0%")&amp;" · ","")&amp;IF(AND(N($T176)&gt;0,COUNT($G176:$J176)&gt;0),"Con subactividades: deje vacías las semanas (se calculan solas)"&amp;" · ","")&amp;IF((COUNTIF($G176:$J176,"&gt;1")+COUNTIF($G176:$J176,"&lt;0")+COUNTA($G176:$J176)-COUNT($G176:$J176))&gt;0,"Avance fuera de rango 0-100%"&amp;" · ","")&amp;IF(OR(AND($H176&lt;&gt;"",$H176&lt;$G176),AND($I176&lt;&gt;"",$I176&lt;MAX($G176:$H176)),AND($J176&lt;&gt;"",$J176&lt;MAX($G176:$I176))),"Avance semanal decreciente"&amp;" · ","")&amp;IF(AND(ISNUMBER($E176),$E176&lt;FechaRef,N($K176)&lt;1),"Vencida"&amp;" · ","")&amp;IF(AND(ObsObligatoria="Sí",ISNUMBER($E176),$E176&lt;FechaRef,N($K176)&lt;1,$N176=""),"Vencida sin observación"&amp;" · ",""))-3)))</f>
        <v/>
      </c>
      <c r="P176" s="70">
        <f>IF(NOT((COUNTA($B176:$J176)+COUNTA($N176))&gt;0),"",IF(AND($S176="Sub",N($R176)&gt;0),IF(ISNUMBER(INDEX($D$5:$D$1000,$R176-4)),DATE(YEAR(INDEX($D$5:$D$1000,$R176-4)),MONTH(INDEX($D$5:$D$1000,$R176-4)),1),IF(ISNUMBER(INDEX($E$5:$E$1000,$R176-4)),DATE(YEAR(INDEX($E$5:$E$1000,$R176-4)),MONTH(INDEX($E$5:$E$1000,$R176-4)),1),MesCiclo)),IF(ISNUMBER($D176),DATE(YEAR($D176),MONTH($D176),1),IF(ISNUMBER($E176),DATE(YEAR($E176),MONTH($E176),1),MesCiclo))))</f>
        <v/>
      </c>
      <c r="Q176" s="71">
        <f>IF(OR($P176="",$P176&lt;&gt;MesCiclo),"",COUNTIF($P$5:$P176,MesCiclo))</f>
        <v/>
      </c>
      <c r="R176" s="71">
        <f>IF($S176="","",IF($S176="Macro",ROW(),IFERROR(LOOKUP(2,1/($S$5:$S176="Macro"),ROW($S$5:$S176)),0)))</f>
        <v/>
      </c>
      <c r="S176" s="71">
        <f>IF(NOT((COUNTA($B176:$J176)+COUNTA($N176))&gt;0),"",IF($B176="Subactividad","Sub","Macro"))</f>
        <v/>
      </c>
      <c r="T176" s="71">
        <f>IF($S176="Macro",COUNTIFS($R$5:$R$1000,ROW(),$S$5:$S$1000,"Sub"),"")</f>
        <v/>
      </c>
      <c r="U176" s="71">
        <f>IF($S176="","",IF(ISNUMBER($G176),$G176,0))</f>
        <v/>
      </c>
      <c r="V176" s="71">
        <f>IF($S176="","",IF(ISNUMBER($H176),$H176,$U176))</f>
        <v/>
      </c>
      <c r="W176" s="71">
        <f>IF($S176="","",IF(ISNUMBER($I176),$I176,$V176))</f>
        <v/>
      </c>
      <c r="X176" s="71">
        <f>IF($S176="","",IF(ISNUMBER($J176),$J176,$W176))</f>
        <v/>
      </c>
      <c r="Y176" s="71">
        <f>IF($S176="","",IF(N($T176)&gt;0,IF(N($AG176)&gt;0,SUMIFS($AC$5:$AC$1000,$R$5:$R$1000,ROW(),$S$5:$S$1000,"Sub")/$AG176,AVERAGEIFS($U$5:$U$1000,$R$5:$R$1000,ROW(),$S$5:$S$1000,"Sub")),$U176))</f>
        <v/>
      </c>
      <c r="Z176" s="71">
        <f>IF($S176="","",IF(N($T176)&gt;0,IF(N($AG176)&gt;0,SUMIFS($AD$5:$AD$1000,$R$5:$R$1000,ROW(),$S$5:$S$1000,"Sub")/$AG176,AVERAGEIFS($V$5:$V$1000,$R$5:$R$1000,ROW(),$S$5:$S$1000,"Sub")),$V176))</f>
        <v/>
      </c>
      <c r="AA176" s="71">
        <f>IF($S176="","",IF(N($T176)&gt;0,IF(N($AG176)&gt;0,SUMIFS($AE$5:$AE$1000,$R$5:$R$1000,ROW(),$S$5:$S$1000,"Sub")/$AG176,AVERAGEIFS($W$5:$W$1000,$R$5:$R$1000,ROW(),$S$5:$S$1000,"Sub")),$W176))</f>
        <v/>
      </c>
      <c r="AB176" s="71">
        <f>IF($S176="","",IF(N($T176)&gt;0,IF(N($AG176)&gt;0,SUMIFS($AF$5:$AF$1000,$R$5:$R$1000,ROW(),$S$5:$S$1000,"Sub")/$AG176,AVERAGEIFS($X$5:$X$1000,$R$5:$R$1000,ROW(),$S$5:$S$1000,"Sub")),$X176))</f>
        <v/>
      </c>
      <c r="AC176" s="71">
        <f>IF($S176="Sub",N($F176)*N($U176),"")</f>
        <v/>
      </c>
      <c r="AD176" s="71">
        <f>IF($S176="Sub",N($F176)*N($V176),"")</f>
        <v/>
      </c>
      <c r="AE176" s="71">
        <f>IF($S176="Sub",N($F176)*N($W176),"")</f>
        <v/>
      </c>
      <c r="AF176" s="71">
        <f>IF($S176="Sub",N($F176)*N($X176),"")</f>
        <v/>
      </c>
      <c r="AG176" s="71">
        <f>IF(N($T176)&gt;0,SUMIFS($F$5:$F$1000,$R$5:$R$1000,ROW(),$S$5:$S$1000,"Sub"),"")</f>
        <v/>
      </c>
    </row>
    <row r="177">
      <c r="A177" s="62">
        <f>IF(NOT((COUNTA($B177:$J177)+COUNTA($N177))&gt;0),"",IF($S177="Macro",COUNTIFS($S$5:$S177,"Macro",$P$5:$P177,$P177),IF(N($R177)=0,"?",COUNTIFS(INDEX($S$5:$S$1000,1):INDEX($S$5:$S$1000,$R177-4),"Macro",INDEX($P$5:$P$1000,1):INDEX($P$5:$P$1000,$R177-4),INDEX($P$5:$P$1000,$R177-4))&amp;"."&amp;COUNTIFS($R$5:$R177,$R177,$S$5:$S177,"Sub"))))</f>
        <v/>
      </c>
      <c r="B177" s="63" t="n"/>
      <c r="C177" s="64" t="n"/>
      <c r="D177" s="65" t="n"/>
      <c r="E177" s="65" t="n"/>
      <c r="F177" s="66" t="n"/>
      <c r="G177" s="67" t="n"/>
      <c r="H177" s="67" t="n"/>
      <c r="I177" s="67" t="n"/>
      <c r="J177" s="67" t="n"/>
      <c r="K177" s="68">
        <f>IF(NOT((COUNTA($B177:$J177)+COUNTA($N177))&gt;0),"",IF(N($T177)&gt;0,$AB177,IFERROR(LOOKUP(2,1/(G177:J177&lt;&gt;""),G177:J177),0)))</f>
        <v/>
      </c>
      <c r="L177" s="62">
        <f>IF(K177="","",IF(K177&gt;=1,"Completado",IF(K177&gt;0,"En curso","Pendiente")))</f>
        <v/>
      </c>
      <c r="M177" s="62">
        <f>IF(NOT((COUNTA($B177:$J177)+COUNTA($N177))&gt;0),"",IF(N($K177)&gt;=1,"Cumplida",IF(NOT(ISNUMBER($E177)),"Sin fecha límite",IF($E177&lt;FechaRef,"Vencida hace "&amp;(FechaRef-$E177)&amp;IF(FechaRef-$E177=1," día"," días"),IF($E177=FechaRef,"Vence hoy",IF($E177-FechaRef&lt;=DiasAlerta,"Vence en "&amp;($E177-FechaRef)&amp;IF($E177-FechaRef=1," día"," días"),"En plazo"))))))</f>
        <v/>
      </c>
      <c r="N177" s="64" t="n"/>
      <c r="O177" s="69">
        <f>IF(NOT((COUNTA($B177:$J177)+COUNTA($N177))&gt;0),"",IF((IF($C177="","Falta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",""))="","✔ OK","⚠ "&amp;LEFT(IF($C177="","Falta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",""),LEN(IF($C177="","Falta el nombre de la actividad"&amp;" · ","")&amp;IF(AND($S177="Sub",N($R177)=0),"Subactividad sin macroactividad arriba"&amp;" · ","")&amp;IF($D177="","Sin fecha de inicio"&amp;" · ","")&amp;IF($E177="","Sin fecha límite"&amp;" · ","")&amp;IF(OR(AND($D177&lt;&gt;"",NOT(ISNUMBER($D177))),AND($E177&lt;&gt;"",NOT(ISNUMBER($E177)))),"Fecha no válida"&amp;" · ","")&amp;IF(AND(ISNUMBER($D177),ISNUMBER($E177),$D177&gt;$E177),"Inicio posterior a fecha límite"&amp;" · ","")&amp;IF(AND($S177="Macro",$F177=""),"Peso vacío"&amp;" · ","")&amp;IF(AND($S177="Macro",$F177&lt;&gt;"",OR(NOT(ISNUMBER($F177)),$F177&lt;=0,$F177&gt;1)),"Peso fuera de rango"&amp;" · ","")&amp;IF(AND($S177="Sub",$F177&lt;&gt;"",OR(NOT(ISNUMBER($F177)),$F177&lt;0,$F177&gt;1)),"Peso fuera de rango"&amp;" · ","")&amp;IF(AND($S177="Sub",$F177="",IFERROR(N(INDEX($AG$5:$AG$1000,$R177-4)),0)&gt;0),"Falta el peso de la subactividad"&amp;" · ","")&amp;IF(AND(N($T177)&gt;0,N($AG177)&gt;0,ABS(N($AG177)-N($F177))&gt;0.0001),"Pesos de sus subactividades suman "&amp;TEXT(N($AG177),"0%")&amp;" (deben sumar "&amp;TEXT(N($F177),"0%")&amp;")"&amp;" · ","")&amp;IF(AND($S177="Macro",ABS(SUMIFS($F$5:$F$1000,$P$5:$P$1000,$P177,$S$5:$S$1000,"Macro")-1)&gt;0.0001),"Pesos del mes suman "&amp;TEXT(SUMIFS($F$5:$F$1000,$P$5:$P$1000,$P177,$S$5:$S$1000,"Macro"),"0%")&amp;" · ","")&amp;IF(AND(N($T177)&gt;0,COUNT($G177:$J177)&gt;0),"Con subactividades: deje vacías las semanas (se calculan solas)"&amp;" · ","")&amp;IF((COUNTIF($G177:$J177,"&gt;1")+COUNTIF($G177:$J177,"&lt;0")+COUNTA($G177:$J177)-COUNT($G177:$J177))&gt;0,"Avance fuera de rango 0-100%"&amp;" · ","")&amp;IF(OR(AND($H177&lt;&gt;"",$H177&lt;$G177),AND($I177&lt;&gt;"",$I177&lt;MAX($G177:$H177)),AND($J177&lt;&gt;"",$J177&lt;MAX($G177:$I177))),"Avance semanal decreciente"&amp;" · ","")&amp;IF(AND(ISNUMBER($E177),$E177&lt;FechaRef,N($K177)&lt;1),"Vencida"&amp;" · ","")&amp;IF(AND(ObsObligatoria="Sí",ISNUMBER($E177),$E177&lt;FechaRef,N($K177)&lt;1,$N177=""),"Vencida sin observación"&amp;" · ",""))-3)))</f>
        <v/>
      </c>
      <c r="P177" s="70">
        <f>IF(NOT((COUNTA($B177:$J177)+COUNTA($N177))&gt;0),"",IF(AND($S177="Sub",N($R177)&gt;0),IF(ISNUMBER(INDEX($D$5:$D$1000,$R177-4)),DATE(YEAR(INDEX($D$5:$D$1000,$R177-4)),MONTH(INDEX($D$5:$D$1000,$R177-4)),1),IF(ISNUMBER(INDEX($E$5:$E$1000,$R177-4)),DATE(YEAR(INDEX($E$5:$E$1000,$R177-4)),MONTH(INDEX($E$5:$E$1000,$R177-4)),1),MesCiclo)),IF(ISNUMBER($D177),DATE(YEAR($D177),MONTH($D177),1),IF(ISNUMBER($E177),DATE(YEAR($E177),MONTH($E177),1),MesCiclo))))</f>
        <v/>
      </c>
      <c r="Q177" s="71">
        <f>IF(OR($P177="",$P177&lt;&gt;MesCiclo),"",COUNTIF($P$5:$P177,MesCiclo))</f>
        <v/>
      </c>
      <c r="R177" s="71">
        <f>IF($S177="","",IF($S177="Macro",ROW(),IFERROR(LOOKUP(2,1/($S$5:$S177="Macro"),ROW($S$5:$S177)),0)))</f>
        <v/>
      </c>
      <c r="S177" s="71">
        <f>IF(NOT((COUNTA($B177:$J177)+COUNTA($N177))&gt;0),"",IF($B177="Subactividad","Sub","Macro"))</f>
        <v/>
      </c>
      <c r="T177" s="71">
        <f>IF($S177="Macro",COUNTIFS($R$5:$R$1000,ROW(),$S$5:$S$1000,"Sub"),"")</f>
        <v/>
      </c>
      <c r="U177" s="71">
        <f>IF($S177="","",IF(ISNUMBER($G177),$G177,0))</f>
        <v/>
      </c>
      <c r="V177" s="71">
        <f>IF($S177="","",IF(ISNUMBER($H177),$H177,$U177))</f>
        <v/>
      </c>
      <c r="W177" s="71">
        <f>IF($S177="","",IF(ISNUMBER($I177),$I177,$V177))</f>
        <v/>
      </c>
      <c r="X177" s="71">
        <f>IF($S177="","",IF(ISNUMBER($J177),$J177,$W177))</f>
        <v/>
      </c>
      <c r="Y177" s="71">
        <f>IF($S177="","",IF(N($T177)&gt;0,IF(N($AG177)&gt;0,SUMIFS($AC$5:$AC$1000,$R$5:$R$1000,ROW(),$S$5:$S$1000,"Sub")/$AG177,AVERAGEIFS($U$5:$U$1000,$R$5:$R$1000,ROW(),$S$5:$S$1000,"Sub")),$U177))</f>
        <v/>
      </c>
      <c r="Z177" s="71">
        <f>IF($S177="","",IF(N($T177)&gt;0,IF(N($AG177)&gt;0,SUMIFS($AD$5:$AD$1000,$R$5:$R$1000,ROW(),$S$5:$S$1000,"Sub")/$AG177,AVERAGEIFS($V$5:$V$1000,$R$5:$R$1000,ROW(),$S$5:$S$1000,"Sub")),$V177))</f>
        <v/>
      </c>
      <c r="AA177" s="71">
        <f>IF($S177="","",IF(N($T177)&gt;0,IF(N($AG177)&gt;0,SUMIFS($AE$5:$AE$1000,$R$5:$R$1000,ROW(),$S$5:$S$1000,"Sub")/$AG177,AVERAGEIFS($W$5:$W$1000,$R$5:$R$1000,ROW(),$S$5:$S$1000,"Sub")),$W177))</f>
        <v/>
      </c>
      <c r="AB177" s="71">
        <f>IF($S177="","",IF(N($T177)&gt;0,IF(N($AG177)&gt;0,SUMIFS($AF$5:$AF$1000,$R$5:$R$1000,ROW(),$S$5:$S$1000,"Sub")/$AG177,AVERAGEIFS($X$5:$X$1000,$R$5:$R$1000,ROW(),$S$5:$S$1000,"Sub")),$X177))</f>
        <v/>
      </c>
      <c r="AC177" s="71">
        <f>IF($S177="Sub",N($F177)*N($U177),"")</f>
        <v/>
      </c>
      <c r="AD177" s="71">
        <f>IF($S177="Sub",N($F177)*N($V177),"")</f>
        <v/>
      </c>
      <c r="AE177" s="71">
        <f>IF($S177="Sub",N($F177)*N($W177),"")</f>
        <v/>
      </c>
      <c r="AF177" s="71">
        <f>IF($S177="Sub",N($F177)*N($X177),"")</f>
        <v/>
      </c>
      <c r="AG177" s="71">
        <f>IF(N($T177)&gt;0,SUMIFS($F$5:$F$1000,$R$5:$R$1000,ROW(),$S$5:$S$1000,"Sub"),"")</f>
        <v/>
      </c>
    </row>
    <row r="178">
      <c r="A178" s="62">
        <f>IF(NOT((COUNTA($B178:$J178)+COUNTA($N178))&gt;0),"",IF($S178="Macro",COUNTIFS($S$5:$S178,"Macro",$P$5:$P178,$P178),IF(N($R178)=0,"?",COUNTIFS(INDEX($S$5:$S$1000,1):INDEX($S$5:$S$1000,$R178-4),"Macro",INDEX($P$5:$P$1000,1):INDEX($P$5:$P$1000,$R178-4),INDEX($P$5:$P$1000,$R178-4))&amp;"."&amp;COUNTIFS($R$5:$R178,$R178,$S$5:$S178,"Sub"))))</f>
        <v/>
      </c>
      <c r="B178" s="63" t="n"/>
      <c r="C178" s="64" t="n"/>
      <c r="D178" s="65" t="n"/>
      <c r="E178" s="65" t="n"/>
      <c r="F178" s="66" t="n"/>
      <c r="G178" s="67" t="n"/>
      <c r="H178" s="67" t="n"/>
      <c r="I178" s="67" t="n"/>
      <c r="J178" s="67" t="n"/>
      <c r="K178" s="68">
        <f>IF(NOT((COUNTA($B178:$J178)+COUNTA($N178))&gt;0),"",IF(N($T178)&gt;0,$AB178,IFERROR(LOOKUP(2,1/(G178:J178&lt;&gt;""),G178:J178),0)))</f>
        <v/>
      </c>
      <c r="L178" s="62">
        <f>IF(K178="","",IF(K178&gt;=1,"Completado",IF(K178&gt;0,"En curso","Pendiente")))</f>
        <v/>
      </c>
      <c r="M178" s="62">
        <f>IF(NOT((COUNTA($B178:$J178)+COUNTA($N178))&gt;0),"",IF(N($K178)&gt;=1,"Cumplida",IF(NOT(ISNUMBER($E178)),"Sin fecha límite",IF($E178&lt;FechaRef,"Vencida hace "&amp;(FechaRef-$E178)&amp;IF(FechaRef-$E178=1," día"," días"),IF($E178=FechaRef,"Vence hoy",IF($E178-FechaRef&lt;=DiasAlerta,"Vence en "&amp;($E178-FechaRef)&amp;IF($E178-FechaRef=1," día"," días"),"En plazo"))))))</f>
        <v/>
      </c>
      <c r="N178" s="64" t="n"/>
      <c r="O178" s="69">
        <f>IF(NOT((COUNTA($B178:$J178)+COUNTA($N178))&gt;0),"",IF((IF($C178="","Falta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",""))="","✔ OK","⚠ "&amp;LEFT(IF($C178="","Falta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",""),LEN(IF($C178="","Falta el nombre de la actividad"&amp;" · ","")&amp;IF(AND($S178="Sub",N($R178)=0),"Subactividad sin macroactividad arriba"&amp;" · ","")&amp;IF($D178="","Sin fecha de inicio"&amp;" · ","")&amp;IF($E178="","Sin fecha límite"&amp;" · ","")&amp;IF(OR(AND($D178&lt;&gt;"",NOT(ISNUMBER($D178))),AND($E178&lt;&gt;"",NOT(ISNUMBER($E178)))),"Fecha no válida"&amp;" · ","")&amp;IF(AND(ISNUMBER($D178),ISNUMBER($E178),$D178&gt;$E178),"Inicio posterior a fecha límite"&amp;" · ","")&amp;IF(AND($S178="Macro",$F178=""),"Peso vacío"&amp;" · ","")&amp;IF(AND($S178="Macro",$F178&lt;&gt;"",OR(NOT(ISNUMBER($F178)),$F178&lt;=0,$F178&gt;1)),"Peso fuera de rango"&amp;" · ","")&amp;IF(AND($S178="Sub",$F178&lt;&gt;"",OR(NOT(ISNUMBER($F178)),$F178&lt;0,$F178&gt;1)),"Peso fuera de rango"&amp;" · ","")&amp;IF(AND($S178="Sub",$F178="",IFERROR(N(INDEX($AG$5:$AG$1000,$R178-4)),0)&gt;0),"Falta el peso de la subactividad"&amp;" · ","")&amp;IF(AND(N($T178)&gt;0,N($AG178)&gt;0,ABS(N($AG178)-N($F178))&gt;0.0001),"Pesos de sus subactividades suman "&amp;TEXT(N($AG178),"0%")&amp;" (deben sumar "&amp;TEXT(N($F178),"0%")&amp;")"&amp;" · ","")&amp;IF(AND($S178="Macro",ABS(SUMIFS($F$5:$F$1000,$P$5:$P$1000,$P178,$S$5:$S$1000,"Macro")-1)&gt;0.0001),"Pesos del mes suman "&amp;TEXT(SUMIFS($F$5:$F$1000,$P$5:$P$1000,$P178,$S$5:$S$1000,"Macro"),"0%")&amp;" · ","")&amp;IF(AND(N($T178)&gt;0,COUNT($G178:$J178)&gt;0),"Con subactividades: deje vacías las semanas (se calculan solas)"&amp;" · ","")&amp;IF((COUNTIF($G178:$J178,"&gt;1")+COUNTIF($G178:$J178,"&lt;0")+COUNTA($G178:$J178)-COUNT($G178:$J178))&gt;0,"Avance fuera de rango 0-100%"&amp;" · ","")&amp;IF(OR(AND($H178&lt;&gt;"",$H178&lt;$G178),AND($I178&lt;&gt;"",$I178&lt;MAX($G178:$H178)),AND($J178&lt;&gt;"",$J178&lt;MAX($G178:$I178))),"Avance semanal decreciente"&amp;" · ","")&amp;IF(AND(ISNUMBER($E178),$E178&lt;FechaRef,N($K178)&lt;1),"Vencida"&amp;" · ","")&amp;IF(AND(ObsObligatoria="Sí",ISNUMBER($E178),$E178&lt;FechaRef,N($K178)&lt;1,$N178=""),"Vencida sin observación"&amp;" · ",""))-3)))</f>
        <v/>
      </c>
      <c r="P178" s="70">
        <f>IF(NOT((COUNTA($B178:$J178)+COUNTA($N178))&gt;0),"",IF(AND($S178="Sub",N($R178)&gt;0),IF(ISNUMBER(INDEX($D$5:$D$1000,$R178-4)),DATE(YEAR(INDEX($D$5:$D$1000,$R178-4)),MONTH(INDEX($D$5:$D$1000,$R178-4)),1),IF(ISNUMBER(INDEX($E$5:$E$1000,$R178-4)),DATE(YEAR(INDEX($E$5:$E$1000,$R178-4)),MONTH(INDEX($E$5:$E$1000,$R178-4)),1),MesCiclo)),IF(ISNUMBER($D178),DATE(YEAR($D178),MONTH($D178),1),IF(ISNUMBER($E178),DATE(YEAR($E178),MONTH($E178),1),MesCiclo))))</f>
        <v/>
      </c>
      <c r="Q178" s="71">
        <f>IF(OR($P178="",$P178&lt;&gt;MesCiclo),"",COUNTIF($P$5:$P178,MesCiclo))</f>
        <v/>
      </c>
      <c r="R178" s="71">
        <f>IF($S178="","",IF($S178="Macro",ROW(),IFERROR(LOOKUP(2,1/($S$5:$S178="Macro"),ROW($S$5:$S178)),0)))</f>
        <v/>
      </c>
      <c r="S178" s="71">
        <f>IF(NOT((COUNTA($B178:$J178)+COUNTA($N178))&gt;0),"",IF($B178="Subactividad","Sub","Macro"))</f>
        <v/>
      </c>
      <c r="T178" s="71">
        <f>IF($S178="Macro",COUNTIFS($R$5:$R$1000,ROW(),$S$5:$S$1000,"Sub"),"")</f>
        <v/>
      </c>
      <c r="U178" s="71">
        <f>IF($S178="","",IF(ISNUMBER($G178),$G178,0))</f>
        <v/>
      </c>
      <c r="V178" s="71">
        <f>IF($S178="","",IF(ISNUMBER($H178),$H178,$U178))</f>
        <v/>
      </c>
      <c r="W178" s="71">
        <f>IF($S178="","",IF(ISNUMBER($I178),$I178,$V178))</f>
        <v/>
      </c>
      <c r="X178" s="71">
        <f>IF($S178="","",IF(ISNUMBER($J178),$J178,$W178))</f>
        <v/>
      </c>
      <c r="Y178" s="71">
        <f>IF($S178="","",IF(N($T178)&gt;0,IF(N($AG178)&gt;0,SUMIFS($AC$5:$AC$1000,$R$5:$R$1000,ROW(),$S$5:$S$1000,"Sub")/$AG178,AVERAGEIFS($U$5:$U$1000,$R$5:$R$1000,ROW(),$S$5:$S$1000,"Sub")),$U178))</f>
        <v/>
      </c>
      <c r="Z178" s="71">
        <f>IF($S178="","",IF(N($T178)&gt;0,IF(N($AG178)&gt;0,SUMIFS($AD$5:$AD$1000,$R$5:$R$1000,ROW(),$S$5:$S$1000,"Sub")/$AG178,AVERAGEIFS($V$5:$V$1000,$R$5:$R$1000,ROW(),$S$5:$S$1000,"Sub")),$V178))</f>
        <v/>
      </c>
      <c r="AA178" s="71">
        <f>IF($S178="","",IF(N($T178)&gt;0,IF(N($AG178)&gt;0,SUMIFS($AE$5:$AE$1000,$R$5:$R$1000,ROW(),$S$5:$S$1000,"Sub")/$AG178,AVERAGEIFS($W$5:$W$1000,$R$5:$R$1000,ROW(),$S$5:$S$1000,"Sub")),$W178))</f>
        <v/>
      </c>
      <c r="AB178" s="71">
        <f>IF($S178="","",IF(N($T178)&gt;0,IF(N($AG178)&gt;0,SUMIFS($AF$5:$AF$1000,$R$5:$R$1000,ROW(),$S$5:$S$1000,"Sub")/$AG178,AVERAGEIFS($X$5:$X$1000,$R$5:$R$1000,ROW(),$S$5:$S$1000,"Sub")),$X178))</f>
        <v/>
      </c>
      <c r="AC178" s="71">
        <f>IF($S178="Sub",N($F178)*N($U178),"")</f>
        <v/>
      </c>
      <c r="AD178" s="71">
        <f>IF($S178="Sub",N($F178)*N($V178),"")</f>
        <v/>
      </c>
      <c r="AE178" s="71">
        <f>IF($S178="Sub",N($F178)*N($W178),"")</f>
        <v/>
      </c>
      <c r="AF178" s="71">
        <f>IF($S178="Sub",N($F178)*N($X178),"")</f>
        <v/>
      </c>
      <c r="AG178" s="71">
        <f>IF(N($T178)&gt;0,SUMIFS($F$5:$F$1000,$R$5:$R$1000,ROW(),$S$5:$S$1000,"Sub"),"")</f>
        <v/>
      </c>
    </row>
    <row r="179">
      <c r="A179" s="62">
        <f>IF(NOT((COUNTA($B179:$J179)+COUNTA($N179))&gt;0),"",IF($S179="Macro",COUNTIFS($S$5:$S179,"Macro",$P$5:$P179,$P179),IF(N($R179)=0,"?",COUNTIFS(INDEX($S$5:$S$1000,1):INDEX($S$5:$S$1000,$R179-4),"Macro",INDEX($P$5:$P$1000,1):INDEX($P$5:$P$1000,$R179-4),INDEX($P$5:$P$1000,$R179-4))&amp;"."&amp;COUNTIFS($R$5:$R179,$R179,$S$5:$S179,"Sub"))))</f>
        <v/>
      </c>
      <c r="B179" s="63" t="n"/>
      <c r="C179" s="64" t="n"/>
      <c r="D179" s="65" t="n"/>
      <c r="E179" s="65" t="n"/>
      <c r="F179" s="66" t="n"/>
      <c r="G179" s="67" t="n"/>
      <c r="H179" s="67" t="n"/>
      <c r="I179" s="67" t="n"/>
      <c r="J179" s="67" t="n"/>
      <c r="K179" s="68">
        <f>IF(NOT((COUNTA($B179:$J179)+COUNTA($N179))&gt;0),"",IF(N($T179)&gt;0,$AB179,IFERROR(LOOKUP(2,1/(G179:J179&lt;&gt;""),G179:J179),0)))</f>
        <v/>
      </c>
      <c r="L179" s="62">
        <f>IF(K179="","",IF(K179&gt;=1,"Completado",IF(K179&gt;0,"En curso","Pendiente")))</f>
        <v/>
      </c>
      <c r="M179" s="62">
        <f>IF(NOT((COUNTA($B179:$J179)+COUNTA($N179))&gt;0),"",IF(N($K179)&gt;=1,"Cumplida",IF(NOT(ISNUMBER($E179)),"Sin fecha límite",IF($E179&lt;FechaRef,"Vencida hace "&amp;(FechaRef-$E179)&amp;IF(FechaRef-$E179=1," día"," días"),IF($E179=FechaRef,"Vence hoy",IF($E179-FechaRef&lt;=DiasAlerta,"Vence en "&amp;($E179-FechaRef)&amp;IF($E179-FechaRef=1," día"," días"),"En plazo"))))))</f>
        <v/>
      </c>
      <c r="N179" s="64" t="n"/>
      <c r="O179" s="69">
        <f>IF(NOT((COUNTA($B179:$J179)+COUNTA($N179))&gt;0),"",IF((IF($C179="","Falta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",""))="","✔ OK","⚠ "&amp;LEFT(IF($C179="","Falta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",""),LEN(IF($C179="","Falta el nombre de la actividad"&amp;" · ","")&amp;IF(AND($S179="Sub",N($R179)=0),"Subactividad sin macroactividad arriba"&amp;" · ","")&amp;IF($D179="","Sin fecha de inicio"&amp;" · ","")&amp;IF($E179="","Sin fecha límite"&amp;" · ","")&amp;IF(OR(AND($D179&lt;&gt;"",NOT(ISNUMBER($D179))),AND($E179&lt;&gt;"",NOT(ISNUMBER($E179)))),"Fecha no válida"&amp;" · ","")&amp;IF(AND(ISNUMBER($D179),ISNUMBER($E179),$D179&gt;$E179),"Inicio posterior a fecha límite"&amp;" · ","")&amp;IF(AND($S179="Macro",$F179=""),"Peso vacío"&amp;" · ","")&amp;IF(AND($S179="Macro",$F179&lt;&gt;"",OR(NOT(ISNUMBER($F179)),$F179&lt;=0,$F179&gt;1)),"Peso fuera de rango"&amp;" · ","")&amp;IF(AND($S179="Sub",$F179&lt;&gt;"",OR(NOT(ISNUMBER($F179)),$F179&lt;0,$F179&gt;1)),"Peso fuera de rango"&amp;" · ","")&amp;IF(AND($S179="Sub",$F179="",IFERROR(N(INDEX($AG$5:$AG$1000,$R179-4)),0)&gt;0),"Falta el peso de la subactividad"&amp;" · ","")&amp;IF(AND(N($T179)&gt;0,N($AG179)&gt;0,ABS(N($AG179)-N($F179))&gt;0.0001),"Pesos de sus subactividades suman "&amp;TEXT(N($AG179),"0%")&amp;" (deben sumar "&amp;TEXT(N($F179),"0%")&amp;")"&amp;" · ","")&amp;IF(AND($S179="Macro",ABS(SUMIFS($F$5:$F$1000,$P$5:$P$1000,$P179,$S$5:$S$1000,"Macro")-1)&gt;0.0001),"Pesos del mes suman "&amp;TEXT(SUMIFS($F$5:$F$1000,$P$5:$P$1000,$P179,$S$5:$S$1000,"Macro"),"0%")&amp;" · ","")&amp;IF(AND(N($T179)&gt;0,COUNT($G179:$J179)&gt;0),"Con subactividades: deje vacías las semanas (se calculan solas)"&amp;" · ","")&amp;IF((COUNTIF($G179:$J179,"&gt;1")+COUNTIF($G179:$J179,"&lt;0")+COUNTA($G179:$J179)-COUNT($G179:$J179))&gt;0,"Avance fuera de rango 0-100%"&amp;" · ","")&amp;IF(OR(AND($H179&lt;&gt;"",$H179&lt;$G179),AND($I179&lt;&gt;"",$I179&lt;MAX($G179:$H179)),AND($J179&lt;&gt;"",$J179&lt;MAX($G179:$I179))),"Avance semanal decreciente"&amp;" · ","")&amp;IF(AND(ISNUMBER($E179),$E179&lt;FechaRef,N($K179)&lt;1),"Vencida"&amp;" · ","")&amp;IF(AND(ObsObligatoria="Sí",ISNUMBER($E179),$E179&lt;FechaRef,N($K179)&lt;1,$N179=""),"Vencida sin observación"&amp;" · ",""))-3)))</f>
        <v/>
      </c>
      <c r="P179" s="70">
        <f>IF(NOT((COUNTA($B179:$J179)+COUNTA($N179))&gt;0),"",IF(AND($S179="Sub",N($R179)&gt;0),IF(ISNUMBER(INDEX($D$5:$D$1000,$R179-4)),DATE(YEAR(INDEX($D$5:$D$1000,$R179-4)),MONTH(INDEX($D$5:$D$1000,$R179-4)),1),IF(ISNUMBER(INDEX($E$5:$E$1000,$R179-4)),DATE(YEAR(INDEX($E$5:$E$1000,$R179-4)),MONTH(INDEX($E$5:$E$1000,$R179-4)),1),MesCiclo)),IF(ISNUMBER($D179),DATE(YEAR($D179),MONTH($D179),1),IF(ISNUMBER($E179),DATE(YEAR($E179),MONTH($E179),1),MesCiclo))))</f>
        <v/>
      </c>
      <c r="Q179" s="71">
        <f>IF(OR($P179="",$P179&lt;&gt;MesCiclo),"",COUNTIF($P$5:$P179,MesCiclo))</f>
        <v/>
      </c>
      <c r="R179" s="71">
        <f>IF($S179="","",IF($S179="Macro",ROW(),IFERROR(LOOKUP(2,1/($S$5:$S179="Macro"),ROW($S$5:$S179)),0)))</f>
        <v/>
      </c>
      <c r="S179" s="71">
        <f>IF(NOT((COUNTA($B179:$J179)+COUNTA($N179))&gt;0),"",IF($B179="Subactividad","Sub","Macro"))</f>
        <v/>
      </c>
      <c r="T179" s="71">
        <f>IF($S179="Macro",COUNTIFS($R$5:$R$1000,ROW(),$S$5:$S$1000,"Sub"),"")</f>
        <v/>
      </c>
      <c r="U179" s="71">
        <f>IF($S179="","",IF(ISNUMBER($G179),$G179,0))</f>
        <v/>
      </c>
      <c r="V179" s="71">
        <f>IF($S179="","",IF(ISNUMBER($H179),$H179,$U179))</f>
        <v/>
      </c>
      <c r="W179" s="71">
        <f>IF($S179="","",IF(ISNUMBER($I179),$I179,$V179))</f>
        <v/>
      </c>
      <c r="X179" s="71">
        <f>IF($S179="","",IF(ISNUMBER($J179),$J179,$W179))</f>
        <v/>
      </c>
      <c r="Y179" s="71">
        <f>IF($S179="","",IF(N($T179)&gt;0,IF(N($AG179)&gt;0,SUMIFS($AC$5:$AC$1000,$R$5:$R$1000,ROW(),$S$5:$S$1000,"Sub")/$AG179,AVERAGEIFS($U$5:$U$1000,$R$5:$R$1000,ROW(),$S$5:$S$1000,"Sub")),$U179))</f>
        <v/>
      </c>
      <c r="Z179" s="71">
        <f>IF($S179="","",IF(N($T179)&gt;0,IF(N($AG179)&gt;0,SUMIFS($AD$5:$AD$1000,$R$5:$R$1000,ROW(),$S$5:$S$1000,"Sub")/$AG179,AVERAGEIFS($V$5:$V$1000,$R$5:$R$1000,ROW(),$S$5:$S$1000,"Sub")),$V179))</f>
        <v/>
      </c>
      <c r="AA179" s="71">
        <f>IF($S179="","",IF(N($T179)&gt;0,IF(N($AG179)&gt;0,SUMIFS($AE$5:$AE$1000,$R$5:$R$1000,ROW(),$S$5:$S$1000,"Sub")/$AG179,AVERAGEIFS($W$5:$W$1000,$R$5:$R$1000,ROW(),$S$5:$S$1000,"Sub")),$W179))</f>
        <v/>
      </c>
      <c r="AB179" s="71">
        <f>IF($S179="","",IF(N($T179)&gt;0,IF(N($AG179)&gt;0,SUMIFS($AF$5:$AF$1000,$R$5:$R$1000,ROW(),$S$5:$S$1000,"Sub")/$AG179,AVERAGEIFS($X$5:$X$1000,$R$5:$R$1000,ROW(),$S$5:$S$1000,"Sub")),$X179))</f>
        <v/>
      </c>
      <c r="AC179" s="71">
        <f>IF($S179="Sub",N($F179)*N($U179),"")</f>
        <v/>
      </c>
      <c r="AD179" s="71">
        <f>IF($S179="Sub",N($F179)*N($V179),"")</f>
        <v/>
      </c>
      <c r="AE179" s="71">
        <f>IF($S179="Sub",N($F179)*N($W179),"")</f>
        <v/>
      </c>
      <c r="AF179" s="71">
        <f>IF($S179="Sub",N($F179)*N($X179),"")</f>
        <v/>
      </c>
      <c r="AG179" s="71">
        <f>IF(N($T179)&gt;0,SUMIFS($F$5:$F$1000,$R$5:$R$1000,ROW(),$S$5:$S$1000,"Sub"),"")</f>
        <v/>
      </c>
    </row>
    <row r="180">
      <c r="A180" s="62">
        <f>IF(NOT((COUNTA($B180:$J180)+COUNTA($N180))&gt;0),"",IF($S180="Macro",COUNTIFS($S$5:$S180,"Macro",$P$5:$P180,$P180),IF(N($R180)=0,"?",COUNTIFS(INDEX($S$5:$S$1000,1):INDEX($S$5:$S$1000,$R180-4),"Macro",INDEX($P$5:$P$1000,1):INDEX($P$5:$P$1000,$R180-4),INDEX($P$5:$P$1000,$R180-4))&amp;"."&amp;COUNTIFS($R$5:$R180,$R180,$S$5:$S180,"Sub"))))</f>
        <v/>
      </c>
      <c r="B180" s="63" t="n"/>
      <c r="C180" s="64" t="n"/>
      <c r="D180" s="65" t="n"/>
      <c r="E180" s="65" t="n"/>
      <c r="F180" s="66" t="n"/>
      <c r="G180" s="67" t="n"/>
      <c r="H180" s="67" t="n"/>
      <c r="I180" s="67" t="n"/>
      <c r="J180" s="67" t="n"/>
      <c r="K180" s="68">
        <f>IF(NOT((COUNTA($B180:$J180)+COUNTA($N180))&gt;0),"",IF(N($T180)&gt;0,$AB180,IFERROR(LOOKUP(2,1/(G180:J180&lt;&gt;""),G180:J180),0)))</f>
        <v/>
      </c>
      <c r="L180" s="62">
        <f>IF(K180="","",IF(K180&gt;=1,"Completado",IF(K180&gt;0,"En curso","Pendiente")))</f>
        <v/>
      </c>
      <c r="M180" s="62">
        <f>IF(NOT((COUNTA($B180:$J180)+COUNTA($N180))&gt;0),"",IF(N($K180)&gt;=1,"Cumplida",IF(NOT(ISNUMBER($E180)),"Sin fecha límite",IF($E180&lt;FechaRef,"Vencida hace "&amp;(FechaRef-$E180)&amp;IF(FechaRef-$E180=1," día"," días"),IF($E180=FechaRef,"Vence hoy",IF($E180-FechaRef&lt;=DiasAlerta,"Vence en "&amp;($E180-FechaRef)&amp;IF($E180-FechaRef=1," día"," días"),"En plazo"))))))</f>
        <v/>
      </c>
      <c r="N180" s="64" t="n"/>
      <c r="O180" s="69">
        <f>IF(NOT((COUNTA($B180:$J180)+COUNTA($N180))&gt;0),"",IF((IF($C180="","Falta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",""))="","✔ OK","⚠ "&amp;LEFT(IF($C180="","Falta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",""),LEN(IF($C180="","Falta el nombre de la actividad"&amp;" · ","")&amp;IF(AND($S180="Sub",N($R180)=0),"Subactividad sin macroactividad arriba"&amp;" · ","")&amp;IF($D180="","Sin fecha de inicio"&amp;" · ","")&amp;IF($E180="","Sin fecha límite"&amp;" · ","")&amp;IF(OR(AND($D180&lt;&gt;"",NOT(ISNUMBER($D180))),AND($E180&lt;&gt;"",NOT(ISNUMBER($E180)))),"Fecha no válida"&amp;" · ","")&amp;IF(AND(ISNUMBER($D180),ISNUMBER($E180),$D180&gt;$E180),"Inicio posterior a fecha límite"&amp;" · ","")&amp;IF(AND($S180="Macro",$F180=""),"Peso vacío"&amp;" · ","")&amp;IF(AND($S180="Macro",$F180&lt;&gt;"",OR(NOT(ISNUMBER($F180)),$F180&lt;=0,$F180&gt;1)),"Peso fuera de rango"&amp;" · ","")&amp;IF(AND($S180="Sub",$F180&lt;&gt;"",OR(NOT(ISNUMBER($F180)),$F180&lt;0,$F180&gt;1)),"Peso fuera de rango"&amp;" · ","")&amp;IF(AND($S180="Sub",$F180="",IFERROR(N(INDEX($AG$5:$AG$1000,$R180-4)),0)&gt;0),"Falta el peso de la subactividad"&amp;" · ","")&amp;IF(AND(N($T180)&gt;0,N($AG180)&gt;0,ABS(N($AG180)-N($F180))&gt;0.0001),"Pesos de sus subactividades suman "&amp;TEXT(N($AG180),"0%")&amp;" (deben sumar "&amp;TEXT(N($F180),"0%")&amp;")"&amp;" · ","")&amp;IF(AND($S180="Macro",ABS(SUMIFS($F$5:$F$1000,$P$5:$P$1000,$P180,$S$5:$S$1000,"Macro")-1)&gt;0.0001),"Pesos del mes suman "&amp;TEXT(SUMIFS($F$5:$F$1000,$P$5:$P$1000,$P180,$S$5:$S$1000,"Macro"),"0%")&amp;" · ","")&amp;IF(AND(N($T180)&gt;0,COUNT($G180:$J180)&gt;0),"Con subactividades: deje vacías las semanas (se calculan solas)"&amp;" · ","")&amp;IF((COUNTIF($G180:$J180,"&gt;1")+COUNTIF($G180:$J180,"&lt;0")+COUNTA($G180:$J180)-COUNT($G180:$J180))&gt;0,"Avance fuera de rango 0-100%"&amp;" · ","")&amp;IF(OR(AND($H180&lt;&gt;"",$H180&lt;$G180),AND($I180&lt;&gt;"",$I180&lt;MAX($G180:$H180)),AND($J180&lt;&gt;"",$J180&lt;MAX($G180:$I180))),"Avance semanal decreciente"&amp;" · ","")&amp;IF(AND(ISNUMBER($E180),$E180&lt;FechaRef,N($K180)&lt;1),"Vencida"&amp;" · ","")&amp;IF(AND(ObsObligatoria="Sí",ISNUMBER($E180),$E180&lt;FechaRef,N($K180)&lt;1,$N180=""),"Vencida sin observación"&amp;" · ",""))-3)))</f>
        <v/>
      </c>
      <c r="P180" s="70">
        <f>IF(NOT((COUNTA($B180:$J180)+COUNTA($N180))&gt;0),"",IF(AND($S180="Sub",N($R180)&gt;0),IF(ISNUMBER(INDEX($D$5:$D$1000,$R180-4)),DATE(YEAR(INDEX($D$5:$D$1000,$R180-4)),MONTH(INDEX($D$5:$D$1000,$R180-4)),1),IF(ISNUMBER(INDEX($E$5:$E$1000,$R180-4)),DATE(YEAR(INDEX($E$5:$E$1000,$R180-4)),MONTH(INDEX($E$5:$E$1000,$R180-4)),1),MesCiclo)),IF(ISNUMBER($D180),DATE(YEAR($D180),MONTH($D180),1),IF(ISNUMBER($E180),DATE(YEAR($E180),MONTH($E180),1),MesCiclo))))</f>
        <v/>
      </c>
      <c r="Q180" s="71">
        <f>IF(OR($P180="",$P180&lt;&gt;MesCiclo),"",COUNTIF($P$5:$P180,MesCiclo))</f>
        <v/>
      </c>
      <c r="R180" s="71">
        <f>IF($S180="","",IF($S180="Macro",ROW(),IFERROR(LOOKUP(2,1/($S$5:$S180="Macro"),ROW($S$5:$S180)),0)))</f>
        <v/>
      </c>
      <c r="S180" s="71">
        <f>IF(NOT((COUNTA($B180:$J180)+COUNTA($N180))&gt;0),"",IF($B180="Subactividad","Sub","Macro"))</f>
        <v/>
      </c>
      <c r="T180" s="71">
        <f>IF($S180="Macro",COUNTIFS($R$5:$R$1000,ROW(),$S$5:$S$1000,"Sub"),"")</f>
        <v/>
      </c>
      <c r="U180" s="71">
        <f>IF($S180="","",IF(ISNUMBER($G180),$G180,0))</f>
        <v/>
      </c>
      <c r="V180" s="71">
        <f>IF($S180="","",IF(ISNUMBER($H180),$H180,$U180))</f>
        <v/>
      </c>
      <c r="W180" s="71">
        <f>IF($S180="","",IF(ISNUMBER($I180),$I180,$V180))</f>
        <v/>
      </c>
      <c r="X180" s="71">
        <f>IF($S180="","",IF(ISNUMBER($J180),$J180,$W180))</f>
        <v/>
      </c>
      <c r="Y180" s="71">
        <f>IF($S180="","",IF(N($T180)&gt;0,IF(N($AG180)&gt;0,SUMIFS($AC$5:$AC$1000,$R$5:$R$1000,ROW(),$S$5:$S$1000,"Sub")/$AG180,AVERAGEIFS($U$5:$U$1000,$R$5:$R$1000,ROW(),$S$5:$S$1000,"Sub")),$U180))</f>
        <v/>
      </c>
      <c r="Z180" s="71">
        <f>IF($S180="","",IF(N($T180)&gt;0,IF(N($AG180)&gt;0,SUMIFS($AD$5:$AD$1000,$R$5:$R$1000,ROW(),$S$5:$S$1000,"Sub")/$AG180,AVERAGEIFS($V$5:$V$1000,$R$5:$R$1000,ROW(),$S$5:$S$1000,"Sub")),$V180))</f>
        <v/>
      </c>
      <c r="AA180" s="71">
        <f>IF($S180="","",IF(N($T180)&gt;0,IF(N($AG180)&gt;0,SUMIFS($AE$5:$AE$1000,$R$5:$R$1000,ROW(),$S$5:$S$1000,"Sub")/$AG180,AVERAGEIFS($W$5:$W$1000,$R$5:$R$1000,ROW(),$S$5:$S$1000,"Sub")),$W180))</f>
        <v/>
      </c>
      <c r="AB180" s="71">
        <f>IF($S180="","",IF(N($T180)&gt;0,IF(N($AG180)&gt;0,SUMIFS($AF$5:$AF$1000,$R$5:$R$1000,ROW(),$S$5:$S$1000,"Sub")/$AG180,AVERAGEIFS($X$5:$X$1000,$R$5:$R$1000,ROW(),$S$5:$S$1000,"Sub")),$X180))</f>
        <v/>
      </c>
      <c r="AC180" s="71">
        <f>IF($S180="Sub",N($F180)*N($U180),"")</f>
        <v/>
      </c>
      <c r="AD180" s="71">
        <f>IF($S180="Sub",N($F180)*N($V180),"")</f>
        <v/>
      </c>
      <c r="AE180" s="71">
        <f>IF($S180="Sub",N($F180)*N($W180),"")</f>
        <v/>
      </c>
      <c r="AF180" s="71">
        <f>IF($S180="Sub",N($F180)*N($X180),"")</f>
        <v/>
      </c>
      <c r="AG180" s="71">
        <f>IF(N($T180)&gt;0,SUMIFS($F$5:$F$1000,$R$5:$R$1000,ROW(),$S$5:$S$1000,"Sub"),"")</f>
        <v/>
      </c>
    </row>
    <row r="181">
      <c r="A181" s="62">
        <f>IF(NOT((COUNTA($B181:$J181)+COUNTA($N181))&gt;0),"",IF($S181="Macro",COUNTIFS($S$5:$S181,"Macro",$P$5:$P181,$P181),IF(N($R181)=0,"?",COUNTIFS(INDEX($S$5:$S$1000,1):INDEX($S$5:$S$1000,$R181-4),"Macro",INDEX($P$5:$P$1000,1):INDEX($P$5:$P$1000,$R181-4),INDEX($P$5:$P$1000,$R181-4))&amp;"."&amp;COUNTIFS($R$5:$R181,$R181,$S$5:$S181,"Sub"))))</f>
        <v/>
      </c>
      <c r="B181" s="63" t="n"/>
      <c r="C181" s="64" t="n"/>
      <c r="D181" s="65" t="n"/>
      <c r="E181" s="65" t="n"/>
      <c r="F181" s="66" t="n"/>
      <c r="G181" s="67" t="n"/>
      <c r="H181" s="67" t="n"/>
      <c r="I181" s="67" t="n"/>
      <c r="J181" s="67" t="n"/>
      <c r="K181" s="68">
        <f>IF(NOT((COUNTA($B181:$J181)+COUNTA($N181))&gt;0),"",IF(N($T181)&gt;0,$AB181,IFERROR(LOOKUP(2,1/(G181:J181&lt;&gt;""),G181:J181),0)))</f>
        <v/>
      </c>
      <c r="L181" s="62">
        <f>IF(K181="","",IF(K181&gt;=1,"Completado",IF(K181&gt;0,"En curso","Pendiente")))</f>
        <v/>
      </c>
      <c r="M181" s="62">
        <f>IF(NOT((COUNTA($B181:$J181)+COUNTA($N181))&gt;0),"",IF(N($K181)&gt;=1,"Cumplida",IF(NOT(ISNUMBER($E181)),"Sin fecha límite",IF($E181&lt;FechaRef,"Vencida hace "&amp;(FechaRef-$E181)&amp;IF(FechaRef-$E181=1," día"," días"),IF($E181=FechaRef,"Vence hoy",IF($E181-FechaRef&lt;=DiasAlerta,"Vence en "&amp;($E181-FechaRef)&amp;IF($E181-FechaRef=1," día"," días"),"En plazo"))))))</f>
        <v/>
      </c>
      <c r="N181" s="64" t="n"/>
      <c r="O181" s="69">
        <f>IF(NOT((COUNTA($B181:$J181)+COUNTA($N181))&gt;0),"",IF((IF($C181="","Falta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",""))="","✔ OK","⚠ "&amp;LEFT(IF($C181="","Falta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",""),LEN(IF($C181="","Falta el nombre de la actividad"&amp;" · ","")&amp;IF(AND($S181="Sub",N($R181)=0),"Subactividad sin macroactividad arriba"&amp;" · ","")&amp;IF($D181="","Sin fecha de inicio"&amp;" · ","")&amp;IF($E181="","Sin fecha límite"&amp;" · ","")&amp;IF(OR(AND($D181&lt;&gt;"",NOT(ISNUMBER($D181))),AND($E181&lt;&gt;"",NOT(ISNUMBER($E181)))),"Fecha no válida"&amp;" · ","")&amp;IF(AND(ISNUMBER($D181),ISNUMBER($E181),$D181&gt;$E181),"Inicio posterior a fecha límite"&amp;" · ","")&amp;IF(AND($S181="Macro",$F181=""),"Peso vacío"&amp;" · ","")&amp;IF(AND($S181="Macro",$F181&lt;&gt;"",OR(NOT(ISNUMBER($F181)),$F181&lt;=0,$F181&gt;1)),"Peso fuera de rango"&amp;" · ","")&amp;IF(AND($S181="Sub",$F181&lt;&gt;"",OR(NOT(ISNUMBER($F181)),$F181&lt;0,$F181&gt;1)),"Peso fuera de rango"&amp;" · ","")&amp;IF(AND($S181="Sub",$F181="",IFERROR(N(INDEX($AG$5:$AG$1000,$R181-4)),0)&gt;0),"Falta el peso de la subactividad"&amp;" · ","")&amp;IF(AND(N($T181)&gt;0,N($AG181)&gt;0,ABS(N($AG181)-N($F181))&gt;0.0001),"Pesos de sus subactividades suman "&amp;TEXT(N($AG181),"0%")&amp;" (deben sumar "&amp;TEXT(N($F181),"0%")&amp;")"&amp;" · ","")&amp;IF(AND($S181="Macro",ABS(SUMIFS($F$5:$F$1000,$P$5:$P$1000,$P181,$S$5:$S$1000,"Macro")-1)&gt;0.0001),"Pesos del mes suman "&amp;TEXT(SUMIFS($F$5:$F$1000,$P$5:$P$1000,$P181,$S$5:$S$1000,"Macro"),"0%")&amp;" · ","")&amp;IF(AND(N($T181)&gt;0,COUNT($G181:$J181)&gt;0),"Con subactividades: deje vacías las semanas (se calculan solas)"&amp;" · ","")&amp;IF((COUNTIF($G181:$J181,"&gt;1")+COUNTIF($G181:$J181,"&lt;0")+COUNTA($G181:$J181)-COUNT($G181:$J181))&gt;0,"Avance fuera de rango 0-100%"&amp;" · ","")&amp;IF(OR(AND($H181&lt;&gt;"",$H181&lt;$G181),AND($I181&lt;&gt;"",$I181&lt;MAX($G181:$H181)),AND($J181&lt;&gt;"",$J181&lt;MAX($G181:$I181))),"Avance semanal decreciente"&amp;" · ","")&amp;IF(AND(ISNUMBER($E181),$E181&lt;FechaRef,N($K181)&lt;1),"Vencida"&amp;" · ","")&amp;IF(AND(ObsObligatoria="Sí",ISNUMBER($E181),$E181&lt;FechaRef,N($K181)&lt;1,$N181=""),"Vencida sin observación"&amp;" · ",""))-3)))</f>
        <v/>
      </c>
      <c r="P181" s="70">
        <f>IF(NOT((COUNTA($B181:$J181)+COUNTA($N181))&gt;0),"",IF(AND($S181="Sub",N($R181)&gt;0),IF(ISNUMBER(INDEX($D$5:$D$1000,$R181-4)),DATE(YEAR(INDEX($D$5:$D$1000,$R181-4)),MONTH(INDEX($D$5:$D$1000,$R181-4)),1),IF(ISNUMBER(INDEX($E$5:$E$1000,$R181-4)),DATE(YEAR(INDEX($E$5:$E$1000,$R181-4)),MONTH(INDEX($E$5:$E$1000,$R181-4)),1),MesCiclo)),IF(ISNUMBER($D181),DATE(YEAR($D181),MONTH($D181),1),IF(ISNUMBER($E181),DATE(YEAR($E181),MONTH($E181),1),MesCiclo))))</f>
        <v/>
      </c>
      <c r="Q181" s="71">
        <f>IF(OR($P181="",$P181&lt;&gt;MesCiclo),"",COUNTIF($P$5:$P181,MesCiclo))</f>
        <v/>
      </c>
      <c r="R181" s="71">
        <f>IF($S181="","",IF($S181="Macro",ROW(),IFERROR(LOOKUP(2,1/($S$5:$S181="Macro"),ROW($S$5:$S181)),0)))</f>
        <v/>
      </c>
      <c r="S181" s="71">
        <f>IF(NOT((COUNTA($B181:$J181)+COUNTA($N181))&gt;0),"",IF($B181="Subactividad","Sub","Macro"))</f>
        <v/>
      </c>
      <c r="T181" s="71">
        <f>IF($S181="Macro",COUNTIFS($R$5:$R$1000,ROW(),$S$5:$S$1000,"Sub"),"")</f>
        <v/>
      </c>
      <c r="U181" s="71">
        <f>IF($S181="","",IF(ISNUMBER($G181),$G181,0))</f>
        <v/>
      </c>
      <c r="V181" s="71">
        <f>IF($S181="","",IF(ISNUMBER($H181),$H181,$U181))</f>
        <v/>
      </c>
      <c r="W181" s="71">
        <f>IF($S181="","",IF(ISNUMBER($I181),$I181,$V181))</f>
        <v/>
      </c>
      <c r="X181" s="71">
        <f>IF($S181="","",IF(ISNUMBER($J181),$J181,$W181))</f>
        <v/>
      </c>
      <c r="Y181" s="71">
        <f>IF($S181="","",IF(N($T181)&gt;0,IF(N($AG181)&gt;0,SUMIFS($AC$5:$AC$1000,$R$5:$R$1000,ROW(),$S$5:$S$1000,"Sub")/$AG181,AVERAGEIFS($U$5:$U$1000,$R$5:$R$1000,ROW(),$S$5:$S$1000,"Sub")),$U181))</f>
        <v/>
      </c>
      <c r="Z181" s="71">
        <f>IF($S181="","",IF(N($T181)&gt;0,IF(N($AG181)&gt;0,SUMIFS($AD$5:$AD$1000,$R$5:$R$1000,ROW(),$S$5:$S$1000,"Sub")/$AG181,AVERAGEIFS($V$5:$V$1000,$R$5:$R$1000,ROW(),$S$5:$S$1000,"Sub")),$V181))</f>
        <v/>
      </c>
      <c r="AA181" s="71">
        <f>IF($S181="","",IF(N($T181)&gt;0,IF(N($AG181)&gt;0,SUMIFS($AE$5:$AE$1000,$R$5:$R$1000,ROW(),$S$5:$S$1000,"Sub")/$AG181,AVERAGEIFS($W$5:$W$1000,$R$5:$R$1000,ROW(),$S$5:$S$1000,"Sub")),$W181))</f>
        <v/>
      </c>
      <c r="AB181" s="71">
        <f>IF($S181="","",IF(N($T181)&gt;0,IF(N($AG181)&gt;0,SUMIFS($AF$5:$AF$1000,$R$5:$R$1000,ROW(),$S$5:$S$1000,"Sub")/$AG181,AVERAGEIFS($X$5:$X$1000,$R$5:$R$1000,ROW(),$S$5:$S$1000,"Sub")),$X181))</f>
        <v/>
      </c>
      <c r="AC181" s="71">
        <f>IF($S181="Sub",N($F181)*N($U181),"")</f>
        <v/>
      </c>
      <c r="AD181" s="71">
        <f>IF($S181="Sub",N($F181)*N($V181),"")</f>
        <v/>
      </c>
      <c r="AE181" s="71">
        <f>IF($S181="Sub",N($F181)*N($W181),"")</f>
        <v/>
      </c>
      <c r="AF181" s="71">
        <f>IF($S181="Sub",N($F181)*N($X181),"")</f>
        <v/>
      </c>
      <c r="AG181" s="71">
        <f>IF(N($T181)&gt;0,SUMIFS($F$5:$F$1000,$R$5:$R$1000,ROW(),$S$5:$S$1000,"Sub"),"")</f>
        <v/>
      </c>
    </row>
    <row r="182">
      <c r="A182" s="62">
        <f>IF(NOT((COUNTA($B182:$J182)+COUNTA($N182))&gt;0),"",IF($S182="Macro",COUNTIFS($S$5:$S182,"Macro",$P$5:$P182,$P182),IF(N($R182)=0,"?",COUNTIFS(INDEX($S$5:$S$1000,1):INDEX($S$5:$S$1000,$R182-4),"Macro",INDEX($P$5:$P$1000,1):INDEX($P$5:$P$1000,$R182-4),INDEX($P$5:$P$1000,$R182-4))&amp;"."&amp;COUNTIFS($R$5:$R182,$R182,$S$5:$S182,"Sub"))))</f>
        <v/>
      </c>
      <c r="B182" s="63" t="n"/>
      <c r="C182" s="64" t="n"/>
      <c r="D182" s="65" t="n"/>
      <c r="E182" s="65" t="n"/>
      <c r="F182" s="66" t="n"/>
      <c r="G182" s="67" t="n"/>
      <c r="H182" s="67" t="n"/>
      <c r="I182" s="67" t="n"/>
      <c r="J182" s="67" t="n"/>
      <c r="K182" s="68">
        <f>IF(NOT((COUNTA($B182:$J182)+COUNTA($N182))&gt;0),"",IF(N($T182)&gt;0,$AB182,IFERROR(LOOKUP(2,1/(G182:J182&lt;&gt;""),G182:J182),0)))</f>
        <v/>
      </c>
      <c r="L182" s="62">
        <f>IF(K182="","",IF(K182&gt;=1,"Completado",IF(K182&gt;0,"En curso","Pendiente")))</f>
        <v/>
      </c>
      <c r="M182" s="62">
        <f>IF(NOT((COUNTA($B182:$J182)+COUNTA($N182))&gt;0),"",IF(N($K182)&gt;=1,"Cumplida",IF(NOT(ISNUMBER($E182)),"Sin fecha límite",IF($E182&lt;FechaRef,"Vencida hace "&amp;(FechaRef-$E182)&amp;IF(FechaRef-$E182=1," día"," días"),IF($E182=FechaRef,"Vence hoy",IF($E182-FechaRef&lt;=DiasAlerta,"Vence en "&amp;($E182-FechaRef)&amp;IF($E182-FechaRef=1," día"," días"),"En plazo"))))))</f>
        <v/>
      </c>
      <c r="N182" s="64" t="n"/>
      <c r="O182" s="69">
        <f>IF(NOT((COUNTA($B182:$J182)+COUNTA($N182))&gt;0),"",IF((IF($C182="","Falta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",""))="","✔ OK","⚠ "&amp;LEFT(IF($C182="","Falta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",""),LEN(IF($C182="","Falta el nombre de la actividad"&amp;" · ","")&amp;IF(AND($S182="Sub",N($R182)=0),"Subactividad sin macroactividad arriba"&amp;" · ","")&amp;IF($D182="","Sin fecha de inicio"&amp;" · ","")&amp;IF($E182="","Sin fecha límite"&amp;" · ","")&amp;IF(OR(AND($D182&lt;&gt;"",NOT(ISNUMBER($D182))),AND($E182&lt;&gt;"",NOT(ISNUMBER($E182)))),"Fecha no válida"&amp;" · ","")&amp;IF(AND(ISNUMBER($D182),ISNUMBER($E182),$D182&gt;$E182),"Inicio posterior a fecha límite"&amp;" · ","")&amp;IF(AND($S182="Macro",$F182=""),"Peso vacío"&amp;" · ","")&amp;IF(AND($S182="Macro",$F182&lt;&gt;"",OR(NOT(ISNUMBER($F182)),$F182&lt;=0,$F182&gt;1)),"Peso fuera de rango"&amp;" · ","")&amp;IF(AND($S182="Sub",$F182&lt;&gt;"",OR(NOT(ISNUMBER($F182)),$F182&lt;0,$F182&gt;1)),"Peso fuera de rango"&amp;" · ","")&amp;IF(AND($S182="Sub",$F182="",IFERROR(N(INDEX($AG$5:$AG$1000,$R182-4)),0)&gt;0),"Falta el peso de la subactividad"&amp;" · ","")&amp;IF(AND(N($T182)&gt;0,N($AG182)&gt;0,ABS(N($AG182)-N($F182))&gt;0.0001),"Pesos de sus subactividades suman "&amp;TEXT(N($AG182),"0%")&amp;" (deben sumar "&amp;TEXT(N($F182),"0%")&amp;")"&amp;" · ","")&amp;IF(AND($S182="Macro",ABS(SUMIFS($F$5:$F$1000,$P$5:$P$1000,$P182,$S$5:$S$1000,"Macro")-1)&gt;0.0001),"Pesos del mes suman "&amp;TEXT(SUMIFS($F$5:$F$1000,$P$5:$P$1000,$P182,$S$5:$S$1000,"Macro"),"0%")&amp;" · ","")&amp;IF(AND(N($T182)&gt;0,COUNT($G182:$J182)&gt;0),"Con subactividades: deje vacías las semanas (se calculan solas)"&amp;" · ","")&amp;IF((COUNTIF($G182:$J182,"&gt;1")+COUNTIF($G182:$J182,"&lt;0")+COUNTA($G182:$J182)-COUNT($G182:$J182))&gt;0,"Avance fuera de rango 0-100%"&amp;" · ","")&amp;IF(OR(AND($H182&lt;&gt;"",$H182&lt;$G182),AND($I182&lt;&gt;"",$I182&lt;MAX($G182:$H182)),AND($J182&lt;&gt;"",$J182&lt;MAX($G182:$I182))),"Avance semanal decreciente"&amp;" · ","")&amp;IF(AND(ISNUMBER($E182),$E182&lt;FechaRef,N($K182)&lt;1),"Vencida"&amp;" · ","")&amp;IF(AND(ObsObligatoria="Sí",ISNUMBER($E182),$E182&lt;FechaRef,N($K182)&lt;1,$N182=""),"Vencida sin observación"&amp;" · ",""))-3)))</f>
        <v/>
      </c>
      <c r="P182" s="70">
        <f>IF(NOT((COUNTA($B182:$J182)+COUNTA($N182))&gt;0),"",IF(AND($S182="Sub",N($R182)&gt;0),IF(ISNUMBER(INDEX($D$5:$D$1000,$R182-4)),DATE(YEAR(INDEX($D$5:$D$1000,$R182-4)),MONTH(INDEX($D$5:$D$1000,$R182-4)),1),IF(ISNUMBER(INDEX($E$5:$E$1000,$R182-4)),DATE(YEAR(INDEX($E$5:$E$1000,$R182-4)),MONTH(INDEX($E$5:$E$1000,$R182-4)),1),MesCiclo)),IF(ISNUMBER($D182),DATE(YEAR($D182),MONTH($D182),1),IF(ISNUMBER($E182),DATE(YEAR($E182),MONTH($E182),1),MesCiclo))))</f>
        <v/>
      </c>
      <c r="Q182" s="71">
        <f>IF(OR($P182="",$P182&lt;&gt;MesCiclo),"",COUNTIF($P$5:$P182,MesCiclo))</f>
        <v/>
      </c>
      <c r="R182" s="71">
        <f>IF($S182="","",IF($S182="Macro",ROW(),IFERROR(LOOKUP(2,1/($S$5:$S182="Macro"),ROW($S$5:$S182)),0)))</f>
        <v/>
      </c>
      <c r="S182" s="71">
        <f>IF(NOT((COUNTA($B182:$J182)+COUNTA($N182))&gt;0),"",IF($B182="Subactividad","Sub","Macro"))</f>
        <v/>
      </c>
      <c r="T182" s="71">
        <f>IF($S182="Macro",COUNTIFS($R$5:$R$1000,ROW(),$S$5:$S$1000,"Sub"),"")</f>
        <v/>
      </c>
      <c r="U182" s="71">
        <f>IF($S182="","",IF(ISNUMBER($G182),$G182,0))</f>
        <v/>
      </c>
      <c r="V182" s="71">
        <f>IF($S182="","",IF(ISNUMBER($H182),$H182,$U182))</f>
        <v/>
      </c>
      <c r="W182" s="71">
        <f>IF($S182="","",IF(ISNUMBER($I182),$I182,$V182))</f>
        <v/>
      </c>
      <c r="X182" s="71">
        <f>IF($S182="","",IF(ISNUMBER($J182),$J182,$W182))</f>
        <v/>
      </c>
      <c r="Y182" s="71">
        <f>IF($S182="","",IF(N($T182)&gt;0,IF(N($AG182)&gt;0,SUMIFS($AC$5:$AC$1000,$R$5:$R$1000,ROW(),$S$5:$S$1000,"Sub")/$AG182,AVERAGEIFS($U$5:$U$1000,$R$5:$R$1000,ROW(),$S$5:$S$1000,"Sub")),$U182))</f>
        <v/>
      </c>
      <c r="Z182" s="71">
        <f>IF($S182="","",IF(N($T182)&gt;0,IF(N($AG182)&gt;0,SUMIFS($AD$5:$AD$1000,$R$5:$R$1000,ROW(),$S$5:$S$1000,"Sub")/$AG182,AVERAGEIFS($V$5:$V$1000,$R$5:$R$1000,ROW(),$S$5:$S$1000,"Sub")),$V182))</f>
        <v/>
      </c>
      <c r="AA182" s="71">
        <f>IF($S182="","",IF(N($T182)&gt;0,IF(N($AG182)&gt;0,SUMIFS($AE$5:$AE$1000,$R$5:$R$1000,ROW(),$S$5:$S$1000,"Sub")/$AG182,AVERAGEIFS($W$5:$W$1000,$R$5:$R$1000,ROW(),$S$5:$S$1000,"Sub")),$W182))</f>
        <v/>
      </c>
      <c r="AB182" s="71">
        <f>IF($S182="","",IF(N($T182)&gt;0,IF(N($AG182)&gt;0,SUMIFS($AF$5:$AF$1000,$R$5:$R$1000,ROW(),$S$5:$S$1000,"Sub")/$AG182,AVERAGEIFS($X$5:$X$1000,$R$5:$R$1000,ROW(),$S$5:$S$1000,"Sub")),$X182))</f>
        <v/>
      </c>
      <c r="AC182" s="71">
        <f>IF($S182="Sub",N($F182)*N($U182),"")</f>
        <v/>
      </c>
      <c r="AD182" s="71">
        <f>IF($S182="Sub",N($F182)*N($V182),"")</f>
        <v/>
      </c>
      <c r="AE182" s="71">
        <f>IF($S182="Sub",N($F182)*N($W182),"")</f>
        <v/>
      </c>
      <c r="AF182" s="71">
        <f>IF($S182="Sub",N($F182)*N($X182),"")</f>
        <v/>
      </c>
      <c r="AG182" s="71">
        <f>IF(N($T182)&gt;0,SUMIFS($F$5:$F$1000,$R$5:$R$1000,ROW(),$S$5:$S$1000,"Sub"),"")</f>
        <v/>
      </c>
    </row>
    <row r="183">
      <c r="A183" s="62">
        <f>IF(NOT((COUNTA($B183:$J183)+COUNTA($N183))&gt;0),"",IF($S183="Macro",COUNTIFS($S$5:$S183,"Macro",$P$5:$P183,$P183),IF(N($R183)=0,"?",COUNTIFS(INDEX($S$5:$S$1000,1):INDEX($S$5:$S$1000,$R183-4),"Macro",INDEX($P$5:$P$1000,1):INDEX($P$5:$P$1000,$R183-4),INDEX($P$5:$P$1000,$R183-4))&amp;"."&amp;COUNTIFS($R$5:$R183,$R183,$S$5:$S183,"Sub"))))</f>
        <v/>
      </c>
      <c r="B183" s="63" t="n"/>
      <c r="C183" s="64" t="n"/>
      <c r="D183" s="65" t="n"/>
      <c r="E183" s="65" t="n"/>
      <c r="F183" s="66" t="n"/>
      <c r="G183" s="67" t="n"/>
      <c r="H183" s="67" t="n"/>
      <c r="I183" s="67" t="n"/>
      <c r="J183" s="67" t="n"/>
      <c r="K183" s="68">
        <f>IF(NOT((COUNTA($B183:$J183)+COUNTA($N183))&gt;0),"",IF(N($T183)&gt;0,$AB183,IFERROR(LOOKUP(2,1/(G183:J183&lt;&gt;""),G183:J183),0)))</f>
        <v/>
      </c>
      <c r="L183" s="62">
        <f>IF(K183="","",IF(K183&gt;=1,"Completado",IF(K183&gt;0,"En curso","Pendiente")))</f>
        <v/>
      </c>
      <c r="M183" s="62">
        <f>IF(NOT((COUNTA($B183:$J183)+COUNTA($N183))&gt;0),"",IF(N($K183)&gt;=1,"Cumplida",IF(NOT(ISNUMBER($E183)),"Sin fecha límite",IF($E183&lt;FechaRef,"Vencida hace "&amp;(FechaRef-$E183)&amp;IF(FechaRef-$E183=1," día"," días"),IF($E183=FechaRef,"Vence hoy",IF($E183-FechaRef&lt;=DiasAlerta,"Vence en "&amp;($E183-FechaRef)&amp;IF($E183-FechaRef=1," día"," días"),"En plazo"))))))</f>
        <v/>
      </c>
      <c r="N183" s="64" t="n"/>
      <c r="O183" s="69">
        <f>IF(NOT((COUNTA($B183:$J183)+COUNTA($N183))&gt;0),"",IF((IF($C183="","Falta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",""))="","✔ OK","⚠ "&amp;LEFT(IF($C183="","Falta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",""),LEN(IF($C183="","Falta el nombre de la actividad"&amp;" · ","")&amp;IF(AND($S183="Sub",N($R183)=0),"Subactividad sin macroactividad arriba"&amp;" · ","")&amp;IF($D183="","Sin fecha de inicio"&amp;" · ","")&amp;IF($E183="","Sin fecha límite"&amp;" · ","")&amp;IF(OR(AND($D183&lt;&gt;"",NOT(ISNUMBER($D183))),AND($E183&lt;&gt;"",NOT(ISNUMBER($E183)))),"Fecha no válida"&amp;" · ","")&amp;IF(AND(ISNUMBER($D183),ISNUMBER($E183),$D183&gt;$E183),"Inicio posterior a fecha límite"&amp;" · ","")&amp;IF(AND($S183="Macro",$F183=""),"Peso vacío"&amp;" · ","")&amp;IF(AND($S183="Macro",$F183&lt;&gt;"",OR(NOT(ISNUMBER($F183)),$F183&lt;=0,$F183&gt;1)),"Peso fuera de rango"&amp;" · ","")&amp;IF(AND($S183="Sub",$F183&lt;&gt;"",OR(NOT(ISNUMBER($F183)),$F183&lt;0,$F183&gt;1)),"Peso fuera de rango"&amp;" · ","")&amp;IF(AND($S183="Sub",$F183="",IFERROR(N(INDEX($AG$5:$AG$1000,$R183-4)),0)&gt;0),"Falta el peso de la subactividad"&amp;" · ","")&amp;IF(AND(N($T183)&gt;0,N($AG183)&gt;0,ABS(N($AG183)-N($F183))&gt;0.0001),"Pesos de sus subactividades suman "&amp;TEXT(N($AG183),"0%")&amp;" (deben sumar "&amp;TEXT(N($F183),"0%")&amp;")"&amp;" · ","")&amp;IF(AND($S183="Macro",ABS(SUMIFS($F$5:$F$1000,$P$5:$P$1000,$P183,$S$5:$S$1000,"Macro")-1)&gt;0.0001),"Pesos del mes suman "&amp;TEXT(SUMIFS($F$5:$F$1000,$P$5:$P$1000,$P183,$S$5:$S$1000,"Macro"),"0%")&amp;" · ","")&amp;IF(AND(N($T183)&gt;0,COUNT($G183:$J183)&gt;0),"Con subactividades: deje vacías las semanas (se calculan solas)"&amp;" · ","")&amp;IF((COUNTIF($G183:$J183,"&gt;1")+COUNTIF($G183:$J183,"&lt;0")+COUNTA($G183:$J183)-COUNT($G183:$J183))&gt;0,"Avance fuera de rango 0-100%"&amp;" · ","")&amp;IF(OR(AND($H183&lt;&gt;"",$H183&lt;$G183),AND($I183&lt;&gt;"",$I183&lt;MAX($G183:$H183)),AND($J183&lt;&gt;"",$J183&lt;MAX($G183:$I183))),"Avance semanal decreciente"&amp;" · ","")&amp;IF(AND(ISNUMBER($E183),$E183&lt;FechaRef,N($K183)&lt;1),"Vencida"&amp;" · ","")&amp;IF(AND(ObsObligatoria="Sí",ISNUMBER($E183),$E183&lt;FechaRef,N($K183)&lt;1,$N183=""),"Vencida sin observación"&amp;" · ",""))-3)))</f>
        <v/>
      </c>
      <c r="P183" s="70">
        <f>IF(NOT((COUNTA($B183:$J183)+COUNTA($N183))&gt;0),"",IF(AND($S183="Sub",N($R183)&gt;0),IF(ISNUMBER(INDEX($D$5:$D$1000,$R183-4)),DATE(YEAR(INDEX($D$5:$D$1000,$R183-4)),MONTH(INDEX($D$5:$D$1000,$R183-4)),1),IF(ISNUMBER(INDEX($E$5:$E$1000,$R183-4)),DATE(YEAR(INDEX($E$5:$E$1000,$R183-4)),MONTH(INDEX($E$5:$E$1000,$R183-4)),1),MesCiclo)),IF(ISNUMBER($D183),DATE(YEAR($D183),MONTH($D183),1),IF(ISNUMBER($E183),DATE(YEAR($E183),MONTH($E183),1),MesCiclo))))</f>
        <v/>
      </c>
      <c r="Q183" s="71">
        <f>IF(OR($P183="",$P183&lt;&gt;MesCiclo),"",COUNTIF($P$5:$P183,MesCiclo))</f>
        <v/>
      </c>
      <c r="R183" s="71">
        <f>IF($S183="","",IF($S183="Macro",ROW(),IFERROR(LOOKUP(2,1/($S$5:$S183="Macro"),ROW($S$5:$S183)),0)))</f>
        <v/>
      </c>
      <c r="S183" s="71">
        <f>IF(NOT((COUNTA($B183:$J183)+COUNTA($N183))&gt;0),"",IF($B183="Subactividad","Sub","Macro"))</f>
        <v/>
      </c>
      <c r="T183" s="71">
        <f>IF($S183="Macro",COUNTIFS($R$5:$R$1000,ROW(),$S$5:$S$1000,"Sub"),"")</f>
        <v/>
      </c>
      <c r="U183" s="71">
        <f>IF($S183="","",IF(ISNUMBER($G183),$G183,0))</f>
        <v/>
      </c>
      <c r="V183" s="71">
        <f>IF($S183="","",IF(ISNUMBER($H183),$H183,$U183))</f>
        <v/>
      </c>
      <c r="W183" s="71">
        <f>IF($S183="","",IF(ISNUMBER($I183),$I183,$V183))</f>
        <v/>
      </c>
      <c r="X183" s="71">
        <f>IF($S183="","",IF(ISNUMBER($J183),$J183,$W183))</f>
        <v/>
      </c>
      <c r="Y183" s="71">
        <f>IF($S183="","",IF(N($T183)&gt;0,IF(N($AG183)&gt;0,SUMIFS($AC$5:$AC$1000,$R$5:$R$1000,ROW(),$S$5:$S$1000,"Sub")/$AG183,AVERAGEIFS($U$5:$U$1000,$R$5:$R$1000,ROW(),$S$5:$S$1000,"Sub")),$U183))</f>
        <v/>
      </c>
      <c r="Z183" s="71">
        <f>IF($S183="","",IF(N($T183)&gt;0,IF(N($AG183)&gt;0,SUMIFS($AD$5:$AD$1000,$R$5:$R$1000,ROW(),$S$5:$S$1000,"Sub")/$AG183,AVERAGEIFS($V$5:$V$1000,$R$5:$R$1000,ROW(),$S$5:$S$1000,"Sub")),$V183))</f>
        <v/>
      </c>
      <c r="AA183" s="71">
        <f>IF($S183="","",IF(N($T183)&gt;0,IF(N($AG183)&gt;0,SUMIFS($AE$5:$AE$1000,$R$5:$R$1000,ROW(),$S$5:$S$1000,"Sub")/$AG183,AVERAGEIFS($W$5:$W$1000,$R$5:$R$1000,ROW(),$S$5:$S$1000,"Sub")),$W183))</f>
        <v/>
      </c>
      <c r="AB183" s="71">
        <f>IF($S183="","",IF(N($T183)&gt;0,IF(N($AG183)&gt;0,SUMIFS($AF$5:$AF$1000,$R$5:$R$1000,ROW(),$S$5:$S$1000,"Sub")/$AG183,AVERAGEIFS($X$5:$X$1000,$R$5:$R$1000,ROW(),$S$5:$S$1000,"Sub")),$X183))</f>
        <v/>
      </c>
      <c r="AC183" s="71">
        <f>IF($S183="Sub",N($F183)*N($U183),"")</f>
        <v/>
      </c>
      <c r="AD183" s="71">
        <f>IF($S183="Sub",N($F183)*N($V183),"")</f>
        <v/>
      </c>
      <c r="AE183" s="71">
        <f>IF($S183="Sub",N($F183)*N($W183),"")</f>
        <v/>
      </c>
      <c r="AF183" s="71">
        <f>IF($S183="Sub",N($F183)*N($X183),"")</f>
        <v/>
      </c>
      <c r="AG183" s="71">
        <f>IF(N($T183)&gt;0,SUMIFS($F$5:$F$1000,$R$5:$R$1000,ROW(),$S$5:$S$1000,"Sub"),"")</f>
        <v/>
      </c>
    </row>
    <row r="184">
      <c r="A184" s="62">
        <f>IF(NOT((COUNTA($B184:$J184)+COUNTA($N184))&gt;0),"",IF($S184="Macro",COUNTIFS($S$5:$S184,"Macro",$P$5:$P184,$P184),IF(N($R184)=0,"?",COUNTIFS(INDEX($S$5:$S$1000,1):INDEX($S$5:$S$1000,$R184-4),"Macro",INDEX($P$5:$P$1000,1):INDEX($P$5:$P$1000,$R184-4),INDEX($P$5:$P$1000,$R184-4))&amp;"."&amp;COUNTIFS($R$5:$R184,$R184,$S$5:$S184,"Sub"))))</f>
        <v/>
      </c>
      <c r="B184" s="63" t="n"/>
      <c r="C184" s="64" t="n"/>
      <c r="D184" s="65" t="n"/>
      <c r="E184" s="65" t="n"/>
      <c r="F184" s="66" t="n"/>
      <c r="G184" s="67" t="n"/>
      <c r="H184" s="67" t="n"/>
      <c r="I184" s="67" t="n"/>
      <c r="J184" s="67" t="n"/>
      <c r="K184" s="68">
        <f>IF(NOT((COUNTA($B184:$J184)+COUNTA($N184))&gt;0),"",IF(N($T184)&gt;0,$AB184,IFERROR(LOOKUP(2,1/(G184:J184&lt;&gt;""),G184:J184),0)))</f>
        <v/>
      </c>
      <c r="L184" s="62">
        <f>IF(K184="","",IF(K184&gt;=1,"Completado",IF(K184&gt;0,"En curso","Pendiente")))</f>
        <v/>
      </c>
      <c r="M184" s="62">
        <f>IF(NOT((COUNTA($B184:$J184)+COUNTA($N184))&gt;0),"",IF(N($K184)&gt;=1,"Cumplida",IF(NOT(ISNUMBER($E184)),"Sin fecha límite",IF($E184&lt;FechaRef,"Vencida hace "&amp;(FechaRef-$E184)&amp;IF(FechaRef-$E184=1," día"," días"),IF($E184=FechaRef,"Vence hoy",IF($E184-FechaRef&lt;=DiasAlerta,"Vence en "&amp;($E184-FechaRef)&amp;IF($E184-FechaRef=1," día"," días"),"En plazo"))))))</f>
        <v/>
      </c>
      <c r="N184" s="64" t="n"/>
      <c r="O184" s="69">
        <f>IF(NOT((COUNTA($B184:$J184)+COUNTA($N184))&gt;0),"",IF((IF($C184="","Falta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",""))="","✔ OK","⚠ "&amp;LEFT(IF($C184="","Falta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",""),LEN(IF($C184="","Falta el nombre de la actividad"&amp;" · ","")&amp;IF(AND($S184="Sub",N($R184)=0),"Subactividad sin macroactividad arriba"&amp;" · ","")&amp;IF($D184="","Sin fecha de inicio"&amp;" · ","")&amp;IF($E184="","Sin fecha límite"&amp;" · ","")&amp;IF(OR(AND($D184&lt;&gt;"",NOT(ISNUMBER($D184))),AND($E184&lt;&gt;"",NOT(ISNUMBER($E184)))),"Fecha no válida"&amp;" · ","")&amp;IF(AND(ISNUMBER($D184),ISNUMBER($E184),$D184&gt;$E184),"Inicio posterior a fecha límite"&amp;" · ","")&amp;IF(AND($S184="Macro",$F184=""),"Peso vacío"&amp;" · ","")&amp;IF(AND($S184="Macro",$F184&lt;&gt;"",OR(NOT(ISNUMBER($F184)),$F184&lt;=0,$F184&gt;1)),"Peso fuera de rango"&amp;" · ","")&amp;IF(AND($S184="Sub",$F184&lt;&gt;"",OR(NOT(ISNUMBER($F184)),$F184&lt;0,$F184&gt;1)),"Peso fuera de rango"&amp;" · ","")&amp;IF(AND($S184="Sub",$F184="",IFERROR(N(INDEX($AG$5:$AG$1000,$R184-4)),0)&gt;0),"Falta el peso de la subactividad"&amp;" · ","")&amp;IF(AND(N($T184)&gt;0,N($AG184)&gt;0,ABS(N($AG184)-N($F184))&gt;0.0001),"Pesos de sus subactividades suman "&amp;TEXT(N($AG184),"0%")&amp;" (deben sumar "&amp;TEXT(N($F184),"0%")&amp;")"&amp;" · ","")&amp;IF(AND($S184="Macro",ABS(SUMIFS($F$5:$F$1000,$P$5:$P$1000,$P184,$S$5:$S$1000,"Macro")-1)&gt;0.0001),"Pesos del mes suman "&amp;TEXT(SUMIFS($F$5:$F$1000,$P$5:$P$1000,$P184,$S$5:$S$1000,"Macro"),"0%")&amp;" · ","")&amp;IF(AND(N($T184)&gt;0,COUNT($G184:$J184)&gt;0),"Con subactividades: deje vacías las semanas (se calculan solas)"&amp;" · ","")&amp;IF((COUNTIF($G184:$J184,"&gt;1")+COUNTIF($G184:$J184,"&lt;0")+COUNTA($G184:$J184)-COUNT($G184:$J184))&gt;0,"Avance fuera de rango 0-100%"&amp;" · ","")&amp;IF(OR(AND($H184&lt;&gt;"",$H184&lt;$G184),AND($I184&lt;&gt;"",$I184&lt;MAX($G184:$H184)),AND($J184&lt;&gt;"",$J184&lt;MAX($G184:$I184))),"Avance semanal decreciente"&amp;" · ","")&amp;IF(AND(ISNUMBER($E184),$E184&lt;FechaRef,N($K184)&lt;1),"Vencida"&amp;" · ","")&amp;IF(AND(ObsObligatoria="Sí",ISNUMBER($E184),$E184&lt;FechaRef,N($K184)&lt;1,$N184=""),"Vencida sin observación"&amp;" · ",""))-3)))</f>
        <v/>
      </c>
      <c r="P184" s="70">
        <f>IF(NOT((COUNTA($B184:$J184)+COUNTA($N184))&gt;0),"",IF(AND($S184="Sub",N($R184)&gt;0),IF(ISNUMBER(INDEX($D$5:$D$1000,$R184-4)),DATE(YEAR(INDEX($D$5:$D$1000,$R184-4)),MONTH(INDEX($D$5:$D$1000,$R184-4)),1),IF(ISNUMBER(INDEX($E$5:$E$1000,$R184-4)),DATE(YEAR(INDEX($E$5:$E$1000,$R184-4)),MONTH(INDEX($E$5:$E$1000,$R184-4)),1),MesCiclo)),IF(ISNUMBER($D184),DATE(YEAR($D184),MONTH($D184),1),IF(ISNUMBER($E184),DATE(YEAR($E184),MONTH($E184),1),MesCiclo))))</f>
        <v/>
      </c>
      <c r="Q184" s="71">
        <f>IF(OR($P184="",$P184&lt;&gt;MesCiclo),"",COUNTIF($P$5:$P184,MesCiclo))</f>
        <v/>
      </c>
      <c r="R184" s="71">
        <f>IF($S184="","",IF($S184="Macro",ROW(),IFERROR(LOOKUP(2,1/($S$5:$S184="Macro"),ROW($S$5:$S184)),0)))</f>
        <v/>
      </c>
      <c r="S184" s="71">
        <f>IF(NOT((COUNTA($B184:$J184)+COUNTA($N184))&gt;0),"",IF($B184="Subactividad","Sub","Macro"))</f>
        <v/>
      </c>
      <c r="T184" s="71">
        <f>IF($S184="Macro",COUNTIFS($R$5:$R$1000,ROW(),$S$5:$S$1000,"Sub"),"")</f>
        <v/>
      </c>
      <c r="U184" s="71">
        <f>IF($S184="","",IF(ISNUMBER($G184),$G184,0))</f>
        <v/>
      </c>
      <c r="V184" s="71">
        <f>IF($S184="","",IF(ISNUMBER($H184),$H184,$U184))</f>
        <v/>
      </c>
      <c r="W184" s="71">
        <f>IF($S184="","",IF(ISNUMBER($I184),$I184,$V184))</f>
        <v/>
      </c>
      <c r="X184" s="71">
        <f>IF($S184="","",IF(ISNUMBER($J184),$J184,$W184))</f>
        <v/>
      </c>
      <c r="Y184" s="71">
        <f>IF($S184="","",IF(N($T184)&gt;0,IF(N($AG184)&gt;0,SUMIFS($AC$5:$AC$1000,$R$5:$R$1000,ROW(),$S$5:$S$1000,"Sub")/$AG184,AVERAGEIFS($U$5:$U$1000,$R$5:$R$1000,ROW(),$S$5:$S$1000,"Sub")),$U184))</f>
        <v/>
      </c>
      <c r="Z184" s="71">
        <f>IF($S184="","",IF(N($T184)&gt;0,IF(N($AG184)&gt;0,SUMIFS($AD$5:$AD$1000,$R$5:$R$1000,ROW(),$S$5:$S$1000,"Sub")/$AG184,AVERAGEIFS($V$5:$V$1000,$R$5:$R$1000,ROW(),$S$5:$S$1000,"Sub")),$V184))</f>
        <v/>
      </c>
      <c r="AA184" s="71">
        <f>IF($S184="","",IF(N($T184)&gt;0,IF(N($AG184)&gt;0,SUMIFS($AE$5:$AE$1000,$R$5:$R$1000,ROW(),$S$5:$S$1000,"Sub")/$AG184,AVERAGEIFS($W$5:$W$1000,$R$5:$R$1000,ROW(),$S$5:$S$1000,"Sub")),$W184))</f>
        <v/>
      </c>
      <c r="AB184" s="71">
        <f>IF($S184="","",IF(N($T184)&gt;0,IF(N($AG184)&gt;0,SUMIFS($AF$5:$AF$1000,$R$5:$R$1000,ROW(),$S$5:$S$1000,"Sub")/$AG184,AVERAGEIFS($X$5:$X$1000,$R$5:$R$1000,ROW(),$S$5:$S$1000,"Sub")),$X184))</f>
        <v/>
      </c>
      <c r="AC184" s="71">
        <f>IF($S184="Sub",N($F184)*N($U184),"")</f>
        <v/>
      </c>
      <c r="AD184" s="71">
        <f>IF($S184="Sub",N($F184)*N($V184),"")</f>
        <v/>
      </c>
      <c r="AE184" s="71">
        <f>IF($S184="Sub",N($F184)*N($W184),"")</f>
        <v/>
      </c>
      <c r="AF184" s="71">
        <f>IF($S184="Sub",N($F184)*N($X184),"")</f>
        <v/>
      </c>
      <c r="AG184" s="71">
        <f>IF(N($T184)&gt;0,SUMIFS($F$5:$F$1000,$R$5:$R$1000,ROW(),$S$5:$S$1000,"Sub"),"")</f>
        <v/>
      </c>
    </row>
    <row r="185">
      <c r="A185" s="62">
        <f>IF(NOT((COUNTA($B185:$J185)+COUNTA($N185))&gt;0),"",IF($S185="Macro",COUNTIFS($S$5:$S185,"Macro",$P$5:$P185,$P185),IF(N($R185)=0,"?",COUNTIFS(INDEX($S$5:$S$1000,1):INDEX($S$5:$S$1000,$R185-4),"Macro",INDEX($P$5:$P$1000,1):INDEX($P$5:$P$1000,$R185-4),INDEX($P$5:$P$1000,$R185-4))&amp;"."&amp;COUNTIFS($R$5:$R185,$R185,$S$5:$S185,"Sub"))))</f>
        <v/>
      </c>
      <c r="B185" s="63" t="n"/>
      <c r="C185" s="64" t="n"/>
      <c r="D185" s="65" t="n"/>
      <c r="E185" s="65" t="n"/>
      <c r="F185" s="66" t="n"/>
      <c r="G185" s="67" t="n"/>
      <c r="H185" s="67" t="n"/>
      <c r="I185" s="67" t="n"/>
      <c r="J185" s="67" t="n"/>
      <c r="K185" s="68">
        <f>IF(NOT((COUNTA($B185:$J185)+COUNTA($N185))&gt;0),"",IF(N($T185)&gt;0,$AB185,IFERROR(LOOKUP(2,1/(G185:J185&lt;&gt;""),G185:J185),0)))</f>
        <v/>
      </c>
      <c r="L185" s="62">
        <f>IF(K185="","",IF(K185&gt;=1,"Completado",IF(K185&gt;0,"En curso","Pendiente")))</f>
        <v/>
      </c>
      <c r="M185" s="62">
        <f>IF(NOT((COUNTA($B185:$J185)+COUNTA($N185))&gt;0),"",IF(N($K185)&gt;=1,"Cumplida",IF(NOT(ISNUMBER($E185)),"Sin fecha límite",IF($E185&lt;FechaRef,"Vencida hace "&amp;(FechaRef-$E185)&amp;IF(FechaRef-$E185=1," día"," días"),IF($E185=FechaRef,"Vence hoy",IF($E185-FechaRef&lt;=DiasAlerta,"Vence en "&amp;($E185-FechaRef)&amp;IF($E185-FechaRef=1," día"," días"),"En plazo"))))))</f>
        <v/>
      </c>
      <c r="N185" s="64" t="n"/>
      <c r="O185" s="69">
        <f>IF(NOT((COUNTA($B185:$J185)+COUNTA($N185))&gt;0),"",IF((IF($C185="","Falta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",""))="","✔ OK","⚠ "&amp;LEFT(IF($C185="","Falta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",""),LEN(IF($C185="","Falta el nombre de la actividad"&amp;" · ","")&amp;IF(AND($S185="Sub",N($R185)=0),"Subactividad sin macroactividad arriba"&amp;" · ","")&amp;IF($D185="","Sin fecha de inicio"&amp;" · ","")&amp;IF($E185="","Sin fecha límite"&amp;" · ","")&amp;IF(OR(AND($D185&lt;&gt;"",NOT(ISNUMBER($D185))),AND($E185&lt;&gt;"",NOT(ISNUMBER($E185)))),"Fecha no válida"&amp;" · ","")&amp;IF(AND(ISNUMBER($D185),ISNUMBER($E185),$D185&gt;$E185),"Inicio posterior a fecha límite"&amp;" · ","")&amp;IF(AND($S185="Macro",$F185=""),"Peso vacío"&amp;" · ","")&amp;IF(AND($S185="Macro",$F185&lt;&gt;"",OR(NOT(ISNUMBER($F185)),$F185&lt;=0,$F185&gt;1)),"Peso fuera de rango"&amp;" · ","")&amp;IF(AND($S185="Sub",$F185&lt;&gt;"",OR(NOT(ISNUMBER($F185)),$F185&lt;0,$F185&gt;1)),"Peso fuera de rango"&amp;" · ","")&amp;IF(AND($S185="Sub",$F185="",IFERROR(N(INDEX($AG$5:$AG$1000,$R185-4)),0)&gt;0),"Falta el peso de la subactividad"&amp;" · ","")&amp;IF(AND(N($T185)&gt;0,N($AG185)&gt;0,ABS(N($AG185)-N($F185))&gt;0.0001),"Pesos de sus subactividades suman "&amp;TEXT(N($AG185),"0%")&amp;" (deben sumar "&amp;TEXT(N($F185),"0%")&amp;")"&amp;" · ","")&amp;IF(AND($S185="Macro",ABS(SUMIFS($F$5:$F$1000,$P$5:$P$1000,$P185,$S$5:$S$1000,"Macro")-1)&gt;0.0001),"Pesos del mes suman "&amp;TEXT(SUMIFS($F$5:$F$1000,$P$5:$P$1000,$P185,$S$5:$S$1000,"Macro"),"0%")&amp;" · ","")&amp;IF(AND(N($T185)&gt;0,COUNT($G185:$J185)&gt;0),"Con subactividades: deje vacías las semanas (se calculan solas)"&amp;" · ","")&amp;IF((COUNTIF($G185:$J185,"&gt;1")+COUNTIF($G185:$J185,"&lt;0")+COUNTA($G185:$J185)-COUNT($G185:$J185))&gt;0,"Avance fuera de rango 0-100%"&amp;" · ","")&amp;IF(OR(AND($H185&lt;&gt;"",$H185&lt;$G185),AND($I185&lt;&gt;"",$I185&lt;MAX($G185:$H185)),AND($J185&lt;&gt;"",$J185&lt;MAX($G185:$I185))),"Avance semanal decreciente"&amp;" · ","")&amp;IF(AND(ISNUMBER($E185),$E185&lt;FechaRef,N($K185)&lt;1),"Vencida"&amp;" · ","")&amp;IF(AND(ObsObligatoria="Sí",ISNUMBER($E185),$E185&lt;FechaRef,N($K185)&lt;1,$N185=""),"Vencida sin observación"&amp;" · ",""))-3)))</f>
        <v/>
      </c>
      <c r="P185" s="70">
        <f>IF(NOT((COUNTA($B185:$J185)+COUNTA($N185))&gt;0),"",IF(AND($S185="Sub",N($R185)&gt;0),IF(ISNUMBER(INDEX($D$5:$D$1000,$R185-4)),DATE(YEAR(INDEX($D$5:$D$1000,$R185-4)),MONTH(INDEX($D$5:$D$1000,$R185-4)),1),IF(ISNUMBER(INDEX($E$5:$E$1000,$R185-4)),DATE(YEAR(INDEX($E$5:$E$1000,$R185-4)),MONTH(INDEX($E$5:$E$1000,$R185-4)),1),MesCiclo)),IF(ISNUMBER($D185),DATE(YEAR($D185),MONTH($D185),1),IF(ISNUMBER($E185),DATE(YEAR($E185),MONTH($E185),1),MesCiclo))))</f>
        <v/>
      </c>
      <c r="Q185" s="71">
        <f>IF(OR($P185="",$P185&lt;&gt;MesCiclo),"",COUNTIF($P$5:$P185,MesCiclo))</f>
        <v/>
      </c>
      <c r="R185" s="71">
        <f>IF($S185="","",IF($S185="Macro",ROW(),IFERROR(LOOKUP(2,1/($S$5:$S185="Macro"),ROW($S$5:$S185)),0)))</f>
        <v/>
      </c>
      <c r="S185" s="71">
        <f>IF(NOT((COUNTA($B185:$J185)+COUNTA($N185))&gt;0),"",IF($B185="Subactividad","Sub","Macro"))</f>
        <v/>
      </c>
      <c r="T185" s="71">
        <f>IF($S185="Macro",COUNTIFS($R$5:$R$1000,ROW(),$S$5:$S$1000,"Sub"),"")</f>
        <v/>
      </c>
      <c r="U185" s="71">
        <f>IF($S185="","",IF(ISNUMBER($G185),$G185,0))</f>
        <v/>
      </c>
      <c r="V185" s="71">
        <f>IF($S185="","",IF(ISNUMBER($H185),$H185,$U185))</f>
        <v/>
      </c>
      <c r="W185" s="71">
        <f>IF($S185="","",IF(ISNUMBER($I185),$I185,$V185))</f>
        <v/>
      </c>
      <c r="X185" s="71">
        <f>IF($S185="","",IF(ISNUMBER($J185),$J185,$W185))</f>
        <v/>
      </c>
      <c r="Y185" s="71">
        <f>IF($S185="","",IF(N($T185)&gt;0,IF(N($AG185)&gt;0,SUMIFS($AC$5:$AC$1000,$R$5:$R$1000,ROW(),$S$5:$S$1000,"Sub")/$AG185,AVERAGEIFS($U$5:$U$1000,$R$5:$R$1000,ROW(),$S$5:$S$1000,"Sub")),$U185))</f>
        <v/>
      </c>
      <c r="Z185" s="71">
        <f>IF($S185="","",IF(N($T185)&gt;0,IF(N($AG185)&gt;0,SUMIFS($AD$5:$AD$1000,$R$5:$R$1000,ROW(),$S$5:$S$1000,"Sub")/$AG185,AVERAGEIFS($V$5:$V$1000,$R$5:$R$1000,ROW(),$S$5:$S$1000,"Sub")),$V185))</f>
        <v/>
      </c>
      <c r="AA185" s="71">
        <f>IF($S185="","",IF(N($T185)&gt;0,IF(N($AG185)&gt;0,SUMIFS($AE$5:$AE$1000,$R$5:$R$1000,ROW(),$S$5:$S$1000,"Sub")/$AG185,AVERAGEIFS($W$5:$W$1000,$R$5:$R$1000,ROW(),$S$5:$S$1000,"Sub")),$W185))</f>
        <v/>
      </c>
      <c r="AB185" s="71">
        <f>IF($S185="","",IF(N($T185)&gt;0,IF(N($AG185)&gt;0,SUMIFS($AF$5:$AF$1000,$R$5:$R$1000,ROW(),$S$5:$S$1000,"Sub")/$AG185,AVERAGEIFS($X$5:$X$1000,$R$5:$R$1000,ROW(),$S$5:$S$1000,"Sub")),$X185))</f>
        <v/>
      </c>
      <c r="AC185" s="71">
        <f>IF($S185="Sub",N($F185)*N($U185),"")</f>
        <v/>
      </c>
      <c r="AD185" s="71">
        <f>IF($S185="Sub",N($F185)*N($V185),"")</f>
        <v/>
      </c>
      <c r="AE185" s="71">
        <f>IF($S185="Sub",N($F185)*N($W185),"")</f>
        <v/>
      </c>
      <c r="AF185" s="71">
        <f>IF($S185="Sub",N($F185)*N($X185),"")</f>
        <v/>
      </c>
      <c r="AG185" s="71">
        <f>IF(N($T185)&gt;0,SUMIFS($F$5:$F$1000,$R$5:$R$1000,ROW(),$S$5:$S$1000,"Sub"),"")</f>
        <v/>
      </c>
    </row>
    <row r="186">
      <c r="A186" s="62">
        <f>IF(NOT((COUNTA($B186:$J186)+COUNTA($N186))&gt;0),"",IF($S186="Macro",COUNTIFS($S$5:$S186,"Macro",$P$5:$P186,$P186),IF(N($R186)=0,"?",COUNTIFS(INDEX($S$5:$S$1000,1):INDEX($S$5:$S$1000,$R186-4),"Macro",INDEX($P$5:$P$1000,1):INDEX($P$5:$P$1000,$R186-4),INDEX($P$5:$P$1000,$R186-4))&amp;"."&amp;COUNTIFS($R$5:$R186,$R186,$S$5:$S186,"Sub"))))</f>
        <v/>
      </c>
      <c r="B186" s="63" t="n"/>
      <c r="C186" s="64" t="n"/>
      <c r="D186" s="65" t="n"/>
      <c r="E186" s="65" t="n"/>
      <c r="F186" s="66" t="n"/>
      <c r="G186" s="67" t="n"/>
      <c r="H186" s="67" t="n"/>
      <c r="I186" s="67" t="n"/>
      <c r="J186" s="67" t="n"/>
      <c r="K186" s="68">
        <f>IF(NOT((COUNTA($B186:$J186)+COUNTA($N186))&gt;0),"",IF(N($T186)&gt;0,$AB186,IFERROR(LOOKUP(2,1/(G186:J186&lt;&gt;""),G186:J186),0)))</f>
        <v/>
      </c>
      <c r="L186" s="62">
        <f>IF(K186="","",IF(K186&gt;=1,"Completado",IF(K186&gt;0,"En curso","Pendiente")))</f>
        <v/>
      </c>
      <c r="M186" s="62">
        <f>IF(NOT((COUNTA($B186:$J186)+COUNTA($N186))&gt;0),"",IF(N($K186)&gt;=1,"Cumplida",IF(NOT(ISNUMBER($E186)),"Sin fecha límite",IF($E186&lt;FechaRef,"Vencida hace "&amp;(FechaRef-$E186)&amp;IF(FechaRef-$E186=1," día"," días"),IF($E186=FechaRef,"Vence hoy",IF($E186-FechaRef&lt;=DiasAlerta,"Vence en "&amp;($E186-FechaRef)&amp;IF($E186-FechaRef=1," día"," días"),"En plazo"))))))</f>
        <v/>
      </c>
      <c r="N186" s="64" t="n"/>
      <c r="O186" s="69">
        <f>IF(NOT((COUNTA($B186:$J186)+COUNTA($N186))&gt;0),"",IF((IF($C186="","Falta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",""))="","✔ OK","⚠ "&amp;LEFT(IF($C186="","Falta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",""),LEN(IF($C186="","Falta el nombre de la actividad"&amp;" · ","")&amp;IF(AND($S186="Sub",N($R186)=0),"Subactividad sin macroactividad arriba"&amp;" · ","")&amp;IF($D186="","Sin fecha de inicio"&amp;" · ","")&amp;IF($E186="","Sin fecha límite"&amp;" · ","")&amp;IF(OR(AND($D186&lt;&gt;"",NOT(ISNUMBER($D186))),AND($E186&lt;&gt;"",NOT(ISNUMBER($E186)))),"Fecha no válida"&amp;" · ","")&amp;IF(AND(ISNUMBER($D186),ISNUMBER($E186),$D186&gt;$E186),"Inicio posterior a fecha límite"&amp;" · ","")&amp;IF(AND($S186="Macro",$F186=""),"Peso vacío"&amp;" · ","")&amp;IF(AND($S186="Macro",$F186&lt;&gt;"",OR(NOT(ISNUMBER($F186)),$F186&lt;=0,$F186&gt;1)),"Peso fuera de rango"&amp;" · ","")&amp;IF(AND($S186="Sub",$F186&lt;&gt;"",OR(NOT(ISNUMBER($F186)),$F186&lt;0,$F186&gt;1)),"Peso fuera de rango"&amp;" · ","")&amp;IF(AND($S186="Sub",$F186="",IFERROR(N(INDEX($AG$5:$AG$1000,$R186-4)),0)&gt;0),"Falta el peso de la subactividad"&amp;" · ","")&amp;IF(AND(N($T186)&gt;0,N($AG186)&gt;0,ABS(N($AG186)-N($F186))&gt;0.0001),"Pesos de sus subactividades suman "&amp;TEXT(N($AG186),"0%")&amp;" (deben sumar "&amp;TEXT(N($F186),"0%")&amp;")"&amp;" · ","")&amp;IF(AND($S186="Macro",ABS(SUMIFS($F$5:$F$1000,$P$5:$P$1000,$P186,$S$5:$S$1000,"Macro")-1)&gt;0.0001),"Pesos del mes suman "&amp;TEXT(SUMIFS($F$5:$F$1000,$P$5:$P$1000,$P186,$S$5:$S$1000,"Macro"),"0%")&amp;" · ","")&amp;IF(AND(N($T186)&gt;0,COUNT($G186:$J186)&gt;0),"Con subactividades: deje vacías las semanas (se calculan solas)"&amp;" · ","")&amp;IF((COUNTIF($G186:$J186,"&gt;1")+COUNTIF($G186:$J186,"&lt;0")+COUNTA($G186:$J186)-COUNT($G186:$J186))&gt;0,"Avance fuera de rango 0-100%"&amp;" · ","")&amp;IF(OR(AND($H186&lt;&gt;"",$H186&lt;$G186),AND($I186&lt;&gt;"",$I186&lt;MAX($G186:$H186)),AND($J186&lt;&gt;"",$J186&lt;MAX($G186:$I186))),"Avance semanal decreciente"&amp;" · ","")&amp;IF(AND(ISNUMBER($E186),$E186&lt;FechaRef,N($K186)&lt;1),"Vencida"&amp;" · ","")&amp;IF(AND(ObsObligatoria="Sí",ISNUMBER($E186),$E186&lt;FechaRef,N($K186)&lt;1,$N186=""),"Vencida sin observación"&amp;" · ",""))-3)))</f>
        <v/>
      </c>
      <c r="P186" s="70">
        <f>IF(NOT((COUNTA($B186:$J186)+COUNTA($N186))&gt;0),"",IF(AND($S186="Sub",N($R186)&gt;0),IF(ISNUMBER(INDEX($D$5:$D$1000,$R186-4)),DATE(YEAR(INDEX($D$5:$D$1000,$R186-4)),MONTH(INDEX($D$5:$D$1000,$R186-4)),1),IF(ISNUMBER(INDEX($E$5:$E$1000,$R186-4)),DATE(YEAR(INDEX($E$5:$E$1000,$R186-4)),MONTH(INDEX($E$5:$E$1000,$R186-4)),1),MesCiclo)),IF(ISNUMBER($D186),DATE(YEAR($D186),MONTH($D186),1),IF(ISNUMBER($E186),DATE(YEAR($E186),MONTH($E186),1),MesCiclo))))</f>
        <v/>
      </c>
      <c r="Q186" s="71">
        <f>IF(OR($P186="",$P186&lt;&gt;MesCiclo),"",COUNTIF($P$5:$P186,MesCiclo))</f>
        <v/>
      </c>
      <c r="R186" s="71">
        <f>IF($S186="","",IF($S186="Macro",ROW(),IFERROR(LOOKUP(2,1/($S$5:$S186="Macro"),ROW($S$5:$S186)),0)))</f>
        <v/>
      </c>
      <c r="S186" s="71">
        <f>IF(NOT((COUNTA($B186:$J186)+COUNTA($N186))&gt;0),"",IF($B186="Subactividad","Sub","Macro"))</f>
        <v/>
      </c>
      <c r="T186" s="71">
        <f>IF($S186="Macro",COUNTIFS($R$5:$R$1000,ROW(),$S$5:$S$1000,"Sub"),"")</f>
        <v/>
      </c>
      <c r="U186" s="71">
        <f>IF($S186="","",IF(ISNUMBER($G186),$G186,0))</f>
        <v/>
      </c>
      <c r="V186" s="71">
        <f>IF($S186="","",IF(ISNUMBER($H186),$H186,$U186))</f>
        <v/>
      </c>
      <c r="W186" s="71">
        <f>IF($S186="","",IF(ISNUMBER($I186),$I186,$V186))</f>
        <v/>
      </c>
      <c r="X186" s="71">
        <f>IF($S186="","",IF(ISNUMBER($J186),$J186,$W186))</f>
        <v/>
      </c>
      <c r="Y186" s="71">
        <f>IF($S186="","",IF(N($T186)&gt;0,IF(N($AG186)&gt;0,SUMIFS($AC$5:$AC$1000,$R$5:$R$1000,ROW(),$S$5:$S$1000,"Sub")/$AG186,AVERAGEIFS($U$5:$U$1000,$R$5:$R$1000,ROW(),$S$5:$S$1000,"Sub")),$U186))</f>
        <v/>
      </c>
      <c r="Z186" s="71">
        <f>IF($S186="","",IF(N($T186)&gt;0,IF(N($AG186)&gt;0,SUMIFS($AD$5:$AD$1000,$R$5:$R$1000,ROW(),$S$5:$S$1000,"Sub")/$AG186,AVERAGEIFS($V$5:$V$1000,$R$5:$R$1000,ROW(),$S$5:$S$1000,"Sub")),$V186))</f>
        <v/>
      </c>
      <c r="AA186" s="71">
        <f>IF($S186="","",IF(N($T186)&gt;0,IF(N($AG186)&gt;0,SUMIFS($AE$5:$AE$1000,$R$5:$R$1000,ROW(),$S$5:$S$1000,"Sub")/$AG186,AVERAGEIFS($W$5:$W$1000,$R$5:$R$1000,ROW(),$S$5:$S$1000,"Sub")),$W186))</f>
        <v/>
      </c>
      <c r="AB186" s="71">
        <f>IF($S186="","",IF(N($T186)&gt;0,IF(N($AG186)&gt;0,SUMIFS($AF$5:$AF$1000,$R$5:$R$1000,ROW(),$S$5:$S$1000,"Sub")/$AG186,AVERAGEIFS($X$5:$X$1000,$R$5:$R$1000,ROW(),$S$5:$S$1000,"Sub")),$X186))</f>
        <v/>
      </c>
      <c r="AC186" s="71">
        <f>IF($S186="Sub",N($F186)*N($U186),"")</f>
        <v/>
      </c>
      <c r="AD186" s="71">
        <f>IF($S186="Sub",N($F186)*N($V186),"")</f>
        <v/>
      </c>
      <c r="AE186" s="71">
        <f>IF($S186="Sub",N($F186)*N($W186),"")</f>
        <v/>
      </c>
      <c r="AF186" s="71">
        <f>IF($S186="Sub",N($F186)*N($X186),"")</f>
        <v/>
      </c>
      <c r="AG186" s="71">
        <f>IF(N($T186)&gt;0,SUMIFS($F$5:$F$1000,$R$5:$R$1000,ROW(),$S$5:$S$1000,"Sub"),"")</f>
        <v/>
      </c>
    </row>
    <row r="187">
      <c r="A187" s="62">
        <f>IF(NOT((COUNTA($B187:$J187)+COUNTA($N187))&gt;0),"",IF($S187="Macro",COUNTIFS($S$5:$S187,"Macro",$P$5:$P187,$P187),IF(N($R187)=0,"?",COUNTIFS(INDEX($S$5:$S$1000,1):INDEX($S$5:$S$1000,$R187-4),"Macro",INDEX($P$5:$P$1000,1):INDEX($P$5:$P$1000,$R187-4),INDEX($P$5:$P$1000,$R187-4))&amp;"."&amp;COUNTIFS($R$5:$R187,$R187,$S$5:$S187,"Sub"))))</f>
        <v/>
      </c>
      <c r="B187" s="63" t="n"/>
      <c r="C187" s="64" t="n"/>
      <c r="D187" s="65" t="n"/>
      <c r="E187" s="65" t="n"/>
      <c r="F187" s="66" t="n"/>
      <c r="G187" s="67" t="n"/>
      <c r="H187" s="67" t="n"/>
      <c r="I187" s="67" t="n"/>
      <c r="J187" s="67" t="n"/>
      <c r="K187" s="68">
        <f>IF(NOT((COUNTA($B187:$J187)+COUNTA($N187))&gt;0),"",IF(N($T187)&gt;0,$AB187,IFERROR(LOOKUP(2,1/(G187:J187&lt;&gt;""),G187:J187),0)))</f>
        <v/>
      </c>
      <c r="L187" s="62">
        <f>IF(K187="","",IF(K187&gt;=1,"Completado",IF(K187&gt;0,"En curso","Pendiente")))</f>
        <v/>
      </c>
      <c r="M187" s="62">
        <f>IF(NOT((COUNTA($B187:$J187)+COUNTA($N187))&gt;0),"",IF(N($K187)&gt;=1,"Cumplida",IF(NOT(ISNUMBER($E187)),"Sin fecha límite",IF($E187&lt;FechaRef,"Vencida hace "&amp;(FechaRef-$E187)&amp;IF(FechaRef-$E187=1," día"," días"),IF($E187=FechaRef,"Vence hoy",IF($E187-FechaRef&lt;=DiasAlerta,"Vence en "&amp;($E187-FechaRef)&amp;IF($E187-FechaRef=1," día"," días"),"En plazo"))))))</f>
        <v/>
      </c>
      <c r="N187" s="64" t="n"/>
      <c r="O187" s="69">
        <f>IF(NOT((COUNTA($B187:$J187)+COUNTA($N187))&gt;0),"",IF((IF($C187="","Falta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",""))="","✔ OK","⚠ "&amp;LEFT(IF($C187="","Falta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",""),LEN(IF($C187="","Falta el nombre de la actividad"&amp;" · ","")&amp;IF(AND($S187="Sub",N($R187)=0),"Subactividad sin macroactividad arriba"&amp;" · ","")&amp;IF($D187="","Sin fecha de inicio"&amp;" · ","")&amp;IF($E187="","Sin fecha límite"&amp;" · ","")&amp;IF(OR(AND($D187&lt;&gt;"",NOT(ISNUMBER($D187))),AND($E187&lt;&gt;"",NOT(ISNUMBER($E187)))),"Fecha no válida"&amp;" · ","")&amp;IF(AND(ISNUMBER($D187),ISNUMBER($E187),$D187&gt;$E187),"Inicio posterior a fecha límite"&amp;" · ","")&amp;IF(AND($S187="Macro",$F187=""),"Peso vacío"&amp;" · ","")&amp;IF(AND($S187="Macro",$F187&lt;&gt;"",OR(NOT(ISNUMBER($F187)),$F187&lt;=0,$F187&gt;1)),"Peso fuera de rango"&amp;" · ","")&amp;IF(AND($S187="Sub",$F187&lt;&gt;"",OR(NOT(ISNUMBER($F187)),$F187&lt;0,$F187&gt;1)),"Peso fuera de rango"&amp;" · ","")&amp;IF(AND($S187="Sub",$F187="",IFERROR(N(INDEX($AG$5:$AG$1000,$R187-4)),0)&gt;0),"Falta el peso de la subactividad"&amp;" · ","")&amp;IF(AND(N($T187)&gt;0,N($AG187)&gt;0,ABS(N($AG187)-N($F187))&gt;0.0001),"Pesos de sus subactividades suman "&amp;TEXT(N($AG187),"0%")&amp;" (deben sumar "&amp;TEXT(N($F187),"0%")&amp;")"&amp;" · ","")&amp;IF(AND($S187="Macro",ABS(SUMIFS($F$5:$F$1000,$P$5:$P$1000,$P187,$S$5:$S$1000,"Macro")-1)&gt;0.0001),"Pesos del mes suman "&amp;TEXT(SUMIFS($F$5:$F$1000,$P$5:$P$1000,$P187,$S$5:$S$1000,"Macro"),"0%")&amp;" · ","")&amp;IF(AND(N($T187)&gt;0,COUNT($G187:$J187)&gt;0),"Con subactividades: deje vacías las semanas (se calculan solas)"&amp;" · ","")&amp;IF((COUNTIF($G187:$J187,"&gt;1")+COUNTIF($G187:$J187,"&lt;0")+COUNTA($G187:$J187)-COUNT($G187:$J187))&gt;0,"Avance fuera de rango 0-100%"&amp;" · ","")&amp;IF(OR(AND($H187&lt;&gt;"",$H187&lt;$G187),AND($I187&lt;&gt;"",$I187&lt;MAX($G187:$H187)),AND($J187&lt;&gt;"",$J187&lt;MAX($G187:$I187))),"Avance semanal decreciente"&amp;" · ","")&amp;IF(AND(ISNUMBER($E187),$E187&lt;FechaRef,N($K187)&lt;1),"Vencida"&amp;" · ","")&amp;IF(AND(ObsObligatoria="Sí",ISNUMBER($E187),$E187&lt;FechaRef,N($K187)&lt;1,$N187=""),"Vencida sin observación"&amp;" · ",""))-3)))</f>
        <v/>
      </c>
      <c r="P187" s="70">
        <f>IF(NOT((COUNTA($B187:$J187)+COUNTA($N187))&gt;0),"",IF(AND($S187="Sub",N($R187)&gt;0),IF(ISNUMBER(INDEX($D$5:$D$1000,$R187-4)),DATE(YEAR(INDEX($D$5:$D$1000,$R187-4)),MONTH(INDEX($D$5:$D$1000,$R187-4)),1),IF(ISNUMBER(INDEX($E$5:$E$1000,$R187-4)),DATE(YEAR(INDEX($E$5:$E$1000,$R187-4)),MONTH(INDEX($E$5:$E$1000,$R187-4)),1),MesCiclo)),IF(ISNUMBER($D187),DATE(YEAR($D187),MONTH($D187),1),IF(ISNUMBER($E187),DATE(YEAR($E187),MONTH($E187),1),MesCiclo))))</f>
        <v/>
      </c>
      <c r="Q187" s="71">
        <f>IF(OR($P187="",$P187&lt;&gt;MesCiclo),"",COUNTIF($P$5:$P187,MesCiclo))</f>
        <v/>
      </c>
      <c r="R187" s="71">
        <f>IF($S187="","",IF($S187="Macro",ROW(),IFERROR(LOOKUP(2,1/($S$5:$S187="Macro"),ROW($S$5:$S187)),0)))</f>
        <v/>
      </c>
      <c r="S187" s="71">
        <f>IF(NOT((COUNTA($B187:$J187)+COUNTA($N187))&gt;0),"",IF($B187="Subactividad","Sub","Macro"))</f>
        <v/>
      </c>
      <c r="T187" s="71">
        <f>IF($S187="Macro",COUNTIFS($R$5:$R$1000,ROW(),$S$5:$S$1000,"Sub"),"")</f>
        <v/>
      </c>
      <c r="U187" s="71">
        <f>IF($S187="","",IF(ISNUMBER($G187),$G187,0))</f>
        <v/>
      </c>
      <c r="V187" s="71">
        <f>IF($S187="","",IF(ISNUMBER($H187),$H187,$U187))</f>
        <v/>
      </c>
      <c r="W187" s="71">
        <f>IF($S187="","",IF(ISNUMBER($I187),$I187,$V187))</f>
        <v/>
      </c>
      <c r="X187" s="71">
        <f>IF($S187="","",IF(ISNUMBER($J187),$J187,$W187))</f>
        <v/>
      </c>
      <c r="Y187" s="71">
        <f>IF($S187="","",IF(N($T187)&gt;0,IF(N($AG187)&gt;0,SUMIFS($AC$5:$AC$1000,$R$5:$R$1000,ROW(),$S$5:$S$1000,"Sub")/$AG187,AVERAGEIFS($U$5:$U$1000,$R$5:$R$1000,ROW(),$S$5:$S$1000,"Sub")),$U187))</f>
        <v/>
      </c>
      <c r="Z187" s="71">
        <f>IF($S187="","",IF(N($T187)&gt;0,IF(N($AG187)&gt;0,SUMIFS($AD$5:$AD$1000,$R$5:$R$1000,ROW(),$S$5:$S$1000,"Sub")/$AG187,AVERAGEIFS($V$5:$V$1000,$R$5:$R$1000,ROW(),$S$5:$S$1000,"Sub")),$V187))</f>
        <v/>
      </c>
      <c r="AA187" s="71">
        <f>IF($S187="","",IF(N($T187)&gt;0,IF(N($AG187)&gt;0,SUMIFS($AE$5:$AE$1000,$R$5:$R$1000,ROW(),$S$5:$S$1000,"Sub")/$AG187,AVERAGEIFS($W$5:$W$1000,$R$5:$R$1000,ROW(),$S$5:$S$1000,"Sub")),$W187))</f>
        <v/>
      </c>
      <c r="AB187" s="71">
        <f>IF($S187="","",IF(N($T187)&gt;0,IF(N($AG187)&gt;0,SUMIFS($AF$5:$AF$1000,$R$5:$R$1000,ROW(),$S$5:$S$1000,"Sub")/$AG187,AVERAGEIFS($X$5:$X$1000,$R$5:$R$1000,ROW(),$S$5:$S$1000,"Sub")),$X187))</f>
        <v/>
      </c>
      <c r="AC187" s="71">
        <f>IF($S187="Sub",N($F187)*N($U187),"")</f>
        <v/>
      </c>
      <c r="AD187" s="71">
        <f>IF($S187="Sub",N($F187)*N($V187),"")</f>
        <v/>
      </c>
      <c r="AE187" s="71">
        <f>IF($S187="Sub",N($F187)*N($W187),"")</f>
        <v/>
      </c>
      <c r="AF187" s="71">
        <f>IF($S187="Sub",N($F187)*N($X187),"")</f>
        <v/>
      </c>
      <c r="AG187" s="71">
        <f>IF(N($T187)&gt;0,SUMIFS($F$5:$F$1000,$R$5:$R$1000,ROW(),$S$5:$S$1000,"Sub"),"")</f>
        <v/>
      </c>
    </row>
    <row r="188">
      <c r="A188" s="62">
        <f>IF(NOT((COUNTA($B188:$J188)+COUNTA($N188))&gt;0),"",IF($S188="Macro",COUNTIFS($S$5:$S188,"Macro",$P$5:$P188,$P188),IF(N($R188)=0,"?",COUNTIFS(INDEX($S$5:$S$1000,1):INDEX($S$5:$S$1000,$R188-4),"Macro",INDEX($P$5:$P$1000,1):INDEX($P$5:$P$1000,$R188-4),INDEX($P$5:$P$1000,$R188-4))&amp;"."&amp;COUNTIFS($R$5:$R188,$R188,$S$5:$S188,"Sub"))))</f>
        <v/>
      </c>
      <c r="B188" s="63" t="n"/>
      <c r="C188" s="64" t="n"/>
      <c r="D188" s="65" t="n"/>
      <c r="E188" s="65" t="n"/>
      <c r="F188" s="66" t="n"/>
      <c r="G188" s="67" t="n"/>
      <c r="H188" s="67" t="n"/>
      <c r="I188" s="67" t="n"/>
      <c r="J188" s="67" t="n"/>
      <c r="K188" s="68">
        <f>IF(NOT((COUNTA($B188:$J188)+COUNTA($N188))&gt;0),"",IF(N($T188)&gt;0,$AB188,IFERROR(LOOKUP(2,1/(G188:J188&lt;&gt;""),G188:J188),0)))</f>
        <v/>
      </c>
      <c r="L188" s="62">
        <f>IF(K188="","",IF(K188&gt;=1,"Completado",IF(K188&gt;0,"En curso","Pendiente")))</f>
        <v/>
      </c>
      <c r="M188" s="62">
        <f>IF(NOT((COUNTA($B188:$J188)+COUNTA($N188))&gt;0),"",IF(N($K188)&gt;=1,"Cumplida",IF(NOT(ISNUMBER($E188)),"Sin fecha límite",IF($E188&lt;FechaRef,"Vencida hace "&amp;(FechaRef-$E188)&amp;IF(FechaRef-$E188=1," día"," días"),IF($E188=FechaRef,"Vence hoy",IF($E188-FechaRef&lt;=DiasAlerta,"Vence en "&amp;($E188-FechaRef)&amp;IF($E188-FechaRef=1," día"," días"),"En plazo"))))))</f>
        <v/>
      </c>
      <c r="N188" s="64" t="n"/>
      <c r="O188" s="69">
        <f>IF(NOT((COUNTA($B188:$J188)+COUNTA($N188))&gt;0),"",IF((IF($C188="","Falta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",""))="","✔ OK","⚠ "&amp;LEFT(IF($C188="","Falta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",""),LEN(IF($C188="","Falta el nombre de la actividad"&amp;" · ","")&amp;IF(AND($S188="Sub",N($R188)=0),"Subactividad sin macroactividad arriba"&amp;" · ","")&amp;IF($D188="","Sin fecha de inicio"&amp;" · ","")&amp;IF($E188="","Sin fecha límite"&amp;" · ","")&amp;IF(OR(AND($D188&lt;&gt;"",NOT(ISNUMBER($D188))),AND($E188&lt;&gt;"",NOT(ISNUMBER($E188)))),"Fecha no válida"&amp;" · ","")&amp;IF(AND(ISNUMBER($D188),ISNUMBER($E188),$D188&gt;$E188),"Inicio posterior a fecha límite"&amp;" · ","")&amp;IF(AND($S188="Macro",$F188=""),"Peso vacío"&amp;" · ","")&amp;IF(AND($S188="Macro",$F188&lt;&gt;"",OR(NOT(ISNUMBER($F188)),$F188&lt;=0,$F188&gt;1)),"Peso fuera de rango"&amp;" · ","")&amp;IF(AND($S188="Sub",$F188&lt;&gt;"",OR(NOT(ISNUMBER($F188)),$F188&lt;0,$F188&gt;1)),"Peso fuera de rango"&amp;" · ","")&amp;IF(AND($S188="Sub",$F188="",IFERROR(N(INDEX($AG$5:$AG$1000,$R188-4)),0)&gt;0),"Falta el peso de la subactividad"&amp;" · ","")&amp;IF(AND(N($T188)&gt;0,N($AG188)&gt;0,ABS(N($AG188)-N($F188))&gt;0.0001),"Pesos de sus subactividades suman "&amp;TEXT(N($AG188),"0%")&amp;" (deben sumar "&amp;TEXT(N($F188),"0%")&amp;")"&amp;" · ","")&amp;IF(AND($S188="Macro",ABS(SUMIFS($F$5:$F$1000,$P$5:$P$1000,$P188,$S$5:$S$1000,"Macro")-1)&gt;0.0001),"Pesos del mes suman "&amp;TEXT(SUMIFS($F$5:$F$1000,$P$5:$P$1000,$P188,$S$5:$S$1000,"Macro"),"0%")&amp;" · ","")&amp;IF(AND(N($T188)&gt;0,COUNT($G188:$J188)&gt;0),"Con subactividades: deje vacías las semanas (se calculan solas)"&amp;" · ","")&amp;IF((COUNTIF($G188:$J188,"&gt;1")+COUNTIF($G188:$J188,"&lt;0")+COUNTA($G188:$J188)-COUNT($G188:$J188))&gt;0,"Avance fuera de rango 0-100%"&amp;" · ","")&amp;IF(OR(AND($H188&lt;&gt;"",$H188&lt;$G188),AND($I188&lt;&gt;"",$I188&lt;MAX($G188:$H188)),AND($J188&lt;&gt;"",$J188&lt;MAX($G188:$I188))),"Avance semanal decreciente"&amp;" · ","")&amp;IF(AND(ISNUMBER($E188),$E188&lt;FechaRef,N($K188)&lt;1),"Vencida"&amp;" · ","")&amp;IF(AND(ObsObligatoria="Sí",ISNUMBER($E188),$E188&lt;FechaRef,N($K188)&lt;1,$N188=""),"Vencida sin observación"&amp;" · ",""))-3)))</f>
        <v/>
      </c>
      <c r="P188" s="70">
        <f>IF(NOT((COUNTA($B188:$J188)+COUNTA($N188))&gt;0),"",IF(AND($S188="Sub",N($R188)&gt;0),IF(ISNUMBER(INDEX($D$5:$D$1000,$R188-4)),DATE(YEAR(INDEX($D$5:$D$1000,$R188-4)),MONTH(INDEX($D$5:$D$1000,$R188-4)),1),IF(ISNUMBER(INDEX($E$5:$E$1000,$R188-4)),DATE(YEAR(INDEX($E$5:$E$1000,$R188-4)),MONTH(INDEX($E$5:$E$1000,$R188-4)),1),MesCiclo)),IF(ISNUMBER($D188),DATE(YEAR($D188),MONTH($D188),1),IF(ISNUMBER($E188),DATE(YEAR($E188),MONTH($E188),1),MesCiclo))))</f>
        <v/>
      </c>
      <c r="Q188" s="71">
        <f>IF(OR($P188="",$P188&lt;&gt;MesCiclo),"",COUNTIF($P$5:$P188,MesCiclo))</f>
        <v/>
      </c>
      <c r="R188" s="71">
        <f>IF($S188="","",IF($S188="Macro",ROW(),IFERROR(LOOKUP(2,1/($S$5:$S188="Macro"),ROW($S$5:$S188)),0)))</f>
        <v/>
      </c>
      <c r="S188" s="71">
        <f>IF(NOT((COUNTA($B188:$J188)+COUNTA($N188))&gt;0),"",IF($B188="Subactividad","Sub","Macro"))</f>
        <v/>
      </c>
      <c r="T188" s="71">
        <f>IF($S188="Macro",COUNTIFS($R$5:$R$1000,ROW(),$S$5:$S$1000,"Sub"),"")</f>
        <v/>
      </c>
      <c r="U188" s="71">
        <f>IF($S188="","",IF(ISNUMBER($G188),$G188,0))</f>
        <v/>
      </c>
      <c r="V188" s="71">
        <f>IF($S188="","",IF(ISNUMBER($H188),$H188,$U188))</f>
        <v/>
      </c>
      <c r="W188" s="71">
        <f>IF($S188="","",IF(ISNUMBER($I188),$I188,$V188))</f>
        <v/>
      </c>
      <c r="X188" s="71">
        <f>IF($S188="","",IF(ISNUMBER($J188),$J188,$W188))</f>
        <v/>
      </c>
      <c r="Y188" s="71">
        <f>IF($S188="","",IF(N($T188)&gt;0,IF(N($AG188)&gt;0,SUMIFS($AC$5:$AC$1000,$R$5:$R$1000,ROW(),$S$5:$S$1000,"Sub")/$AG188,AVERAGEIFS($U$5:$U$1000,$R$5:$R$1000,ROW(),$S$5:$S$1000,"Sub")),$U188))</f>
        <v/>
      </c>
      <c r="Z188" s="71">
        <f>IF($S188="","",IF(N($T188)&gt;0,IF(N($AG188)&gt;0,SUMIFS($AD$5:$AD$1000,$R$5:$R$1000,ROW(),$S$5:$S$1000,"Sub")/$AG188,AVERAGEIFS($V$5:$V$1000,$R$5:$R$1000,ROW(),$S$5:$S$1000,"Sub")),$V188))</f>
        <v/>
      </c>
      <c r="AA188" s="71">
        <f>IF($S188="","",IF(N($T188)&gt;0,IF(N($AG188)&gt;0,SUMIFS($AE$5:$AE$1000,$R$5:$R$1000,ROW(),$S$5:$S$1000,"Sub")/$AG188,AVERAGEIFS($W$5:$W$1000,$R$5:$R$1000,ROW(),$S$5:$S$1000,"Sub")),$W188))</f>
        <v/>
      </c>
      <c r="AB188" s="71">
        <f>IF($S188="","",IF(N($T188)&gt;0,IF(N($AG188)&gt;0,SUMIFS($AF$5:$AF$1000,$R$5:$R$1000,ROW(),$S$5:$S$1000,"Sub")/$AG188,AVERAGEIFS($X$5:$X$1000,$R$5:$R$1000,ROW(),$S$5:$S$1000,"Sub")),$X188))</f>
        <v/>
      </c>
      <c r="AC188" s="71">
        <f>IF($S188="Sub",N($F188)*N($U188),"")</f>
        <v/>
      </c>
      <c r="AD188" s="71">
        <f>IF($S188="Sub",N($F188)*N($V188),"")</f>
        <v/>
      </c>
      <c r="AE188" s="71">
        <f>IF($S188="Sub",N($F188)*N($W188),"")</f>
        <v/>
      </c>
      <c r="AF188" s="71">
        <f>IF($S188="Sub",N($F188)*N($X188),"")</f>
        <v/>
      </c>
      <c r="AG188" s="71">
        <f>IF(N($T188)&gt;0,SUMIFS($F$5:$F$1000,$R$5:$R$1000,ROW(),$S$5:$S$1000,"Sub"),"")</f>
        <v/>
      </c>
    </row>
    <row r="189">
      <c r="A189" s="62">
        <f>IF(NOT((COUNTA($B189:$J189)+COUNTA($N189))&gt;0),"",IF($S189="Macro",COUNTIFS($S$5:$S189,"Macro",$P$5:$P189,$P189),IF(N($R189)=0,"?",COUNTIFS(INDEX($S$5:$S$1000,1):INDEX($S$5:$S$1000,$R189-4),"Macro",INDEX($P$5:$P$1000,1):INDEX($P$5:$P$1000,$R189-4),INDEX($P$5:$P$1000,$R189-4))&amp;"."&amp;COUNTIFS($R$5:$R189,$R189,$S$5:$S189,"Sub"))))</f>
        <v/>
      </c>
      <c r="B189" s="63" t="n"/>
      <c r="C189" s="64" t="n"/>
      <c r="D189" s="65" t="n"/>
      <c r="E189" s="65" t="n"/>
      <c r="F189" s="66" t="n"/>
      <c r="G189" s="67" t="n"/>
      <c r="H189" s="67" t="n"/>
      <c r="I189" s="67" t="n"/>
      <c r="J189" s="67" t="n"/>
      <c r="K189" s="68">
        <f>IF(NOT((COUNTA($B189:$J189)+COUNTA($N189))&gt;0),"",IF(N($T189)&gt;0,$AB189,IFERROR(LOOKUP(2,1/(G189:J189&lt;&gt;""),G189:J189),0)))</f>
        <v/>
      </c>
      <c r="L189" s="62">
        <f>IF(K189="","",IF(K189&gt;=1,"Completado",IF(K189&gt;0,"En curso","Pendiente")))</f>
        <v/>
      </c>
      <c r="M189" s="62">
        <f>IF(NOT((COUNTA($B189:$J189)+COUNTA($N189))&gt;0),"",IF(N($K189)&gt;=1,"Cumplida",IF(NOT(ISNUMBER($E189)),"Sin fecha límite",IF($E189&lt;FechaRef,"Vencida hace "&amp;(FechaRef-$E189)&amp;IF(FechaRef-$E189=1," día"," días"),IF($E189=FechaRef,"Vence hoy",IF($E189-FechaRef&lt;=DiasAlerta,"Vence en "&amp;($E189-FechaRef)&amp;IF($E189-FechaRef=1," día"," días"),"En plazo"))))))</f>
        <v/>
      </c>
      <c r="N189" s="64" t="n"/>
      <c r="O189" s="69">
        <f>IF(NOT((COUNTA($B189:$J189)+COUNTA($N189))&gt;0),"",IF((IF($C189="","Falta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",""))="","✔ OK","⚠ "&amp;LEFT(IF($C189="","Falta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",""),LEN(IF($C189="","Falta el nombre de la actividad"&amp;" · ","")&amp;IF(AND($S189="Sub",N($R189)=0),"Subactividad sin macroactividad arriba"&amp;" · ","")&amp;IF($D189="","Sin fecha de inicio"&amp;" · ","")&amp;IF($E189="","Sin fecha límite"&amp;" · ","")&amp;IF(OR(AND($D189&lt;&gt;"",NOT(ISNUMBER($D189))),AND($E189&lt;&gt;"",NOT(ISNUMBER($E189)))),"Fecha no válida"&amp;" · ","")&amp;IF(AND(ISNUMBER($D189),ISNUMBER($E189),$D189&gt;$E189),"Inicio posterior a fecha límite"&amp;" · ","")&amp;IF(AND($S189="Macro",$F189=""),"Peso vacío"&amp;" · ","")&amp;IF(AND($S189="Macro",$F189&lt;&gt;"",OR(NOT(ISNUMBER($F189)),$F189&lt;=0,$F189&gt;1)),"Peso fuera de rango"&amp;" · ","")&amp;IF(AND($S189="Sub",$F189&lt;&gt;"",OR(NOT(ISNUMBER($F189)),$F189&lt;0,$F189&gt;1)),"Peso fuera de rango"&amp;" · ","")&amp;IF(AND($S189="Sub",$F189="",IFERROR(N(INDEX($AG$5:$AG$1000,$R189-4)),0)&gt;0),"Falta el peso de la subactividad"&amp;" · ","")&amp;IF(AND(N($T189)&gt;0,N($AG189)&gt;0,ABS(N($AG189)-N($F189))&gt;0.0001),"Pesos de sus subactividades suman "&amp;TEXT(N($AG189),"0%")&amp;" (deben sumar "&amp;TEXT(N($F189),"0%")&amp;")"&amp;" · ","")&amp;IF(AND($S189="Macro",ABS(SUMIFS($F$5:$F$1000,$P$5:$P$1000,$P189,$S$5:$S$1000,"Macro")-1)&gt;0.0001),"Pesos del mes suman "&amp;TEXT(SUMIFS($F$5:$F$1000,$P$5:$P$1000,$P189,$S$5:$S$1000,"Macro"),"0%")&amp;" · ","")&amp;IF(AND(N($T189)&gt;0,COUNT($G189:$J189)&gt;0),"Con subactividades: deje vacías las semanas (se calculan solas)"&amp;" · ","")&amp;IF((COUNTIF($G189:$J189,"&gt;1")+COUNTIF($G189:$J189,"&lt;0")+COUNTA($G189:$J189)-COUNT($G189:$J189))&gt;0,"Avance fuera de rango 0-100%"&amp;" · ","")&amp;IF(OR(AND($H189&lt;&gt;"",$H189&lt;$G189),AND($I189&lt;&gt;"",$I189&lt;MAX($G189:$H189)),AND($J189&lt;&gt;"",$J189&lt;MAX($G189:$I189))),"Avance semanal decreciente"&amp;" · ","")&amp;IF(AND(ISNUMBER($E189),$E189&lt;FechaRef,N($K189)&lt;1),"Vencida"&amp;" · ","")&amp;IF(AND(ObsObligatoria="Sí",ISNUMBER($E189),$E189&lt;FechaRef,N($K189)&lt;1,$N189=""),"Vencida sin observación"&amp;" · ",""))-3)))</f>
        <v/>
      </c>
      <c r="P189" s="70">
        <f>IF(NOT((COUNTA($B189:$J189)+COUNTA($N189))&gt;0),"",IF(AND($S189="Sub",N($R189)&gt;0),IF(ISNUMBER(INDEX($D$5:$D$1000,$R189-4)),DATE(YEAR(INDEX($D$5:$D$1000,$R189-4)),MONTH(INDEX($D$5:$D$1000,$R189-4)),1),IF(ISNUMBER(INDEX($E$5:$E$1000,$R189-4)),DATE(YEAR(INDEX($E$5:$E$1000,$R189-4)),MONTH(INDEX($E$5:$E$1000,$R189-4)),1),MesCiclo)),IF(ISNUMBER($D189),DATE(YEAR($D189),MONTH($D189),1),IF(ISNUMBER($E189),DATE(YEAR($E189),MONTH($E189),1),MesCiclo))))</f>
        <v/>
      </c>
      <c r="Q189" s="71">
        <f>IF(OR($P189="",$P189&lt;&gt;MesCiclo),"",COUNTIF($P$5:$P189,MesCiclo))</f>
        <v/>
      </c>
      <c r="R189" s="71">
        <f>IF($S189="","",IF($S189="Macro",ROW(),IFERROR(LOOKUP(2,1/($S$5:$S189="Macro"),ROW($S$5:$S189)),0)))</f>
        <v/>
      </c>
      <c r="S189" s="71">
        <f>IF(NOT((COUNTA($B189:$J189)+COUNTA($N189))&gt;0),"",IF($B189="Subactividad","Sub","Macro"))</f>
        <v/>
      </c>
      <c r="T189" s="71">
        <f>IF($S189="Macro",COUNTIFS($R$5:$R$1000,ROW(),$S$5:$S$1000,"Sub"),"")</f>
        <v/>
      </c>
      <c r="U189" s="71">
        <f>IF($S189="","",IF(ISNUMBER($G189),$G189,0))</f>
        <v/>
      </c>
      <c r="V189" s="71">
        <f>IF($S189="","",IF(ISNUMBER($H189),$H189,$U189))</f>
        <v/>
      </c>
      <c r="W189" s="71">
        <f>IF($S189="","",IF(ISNUMBER($I189),$I189,$V189))</f>
        <v/>
      </c>
      <c r="X189" s="71">
        <f>IF($S189="","",IF(ISNUMBER($J189),$J189,$W189))</f>
        <v/>
      </c>
      <c r="Y189" s="71">
        <f>IF($S189="","",IF(N($T189)&gt;0,IF(N($AG189)&gt;0,SUMIFS($AC$5:$AC$1000,$R$5:$R$1000,ROW(),$S$5:$S$1000,"Sub")/$AG189,AVERAGEIFS($U$5:$U$1000,$R$5:$R$1000,ROW(),$S$5:$S$1000,"Sub")),$U189))</f>
        <v/>
      </c>
      <c r="Z189" s="71">
        <f>IF($S189="","",IF(N($T189)&gt;0,IF(N($AG189)&gt;0,SUMIFS($AD$5:$AD$1000,$R$5:$R$1000,ROW(),$S$5:$S$1000,"Sub")/$AG189,AVERAGEIFS($V$5:$V$1000,$R$5:$R$1000,ROW(),$S$5:$S$1000,"Sub")),$V189))</f>
        <v/>
      </c>
      <c r="AA189" s="71">
        <f>IF($S189="","",IF(N($T189)&gt;0,IF(N($AG189)&gt;0,SUMIFS($AE$5:$AE$1000,$R$5:$R$1000,ROW(),$S$5:$S$1000,"Sub")/$AG189,AVERAGEIFS($W$5:$W$1000,$R$5:$R$1000,ROW(),$S$5:$S$1000,"Sub")),$W189))</f>
        <v/>
      </c>
      <c r="AB189" s="71">
        <f>IF($S189="","",IF(N($T189)&gt;0,IF(N($AG189)&gt;0,SUMIFS($AF$5:$AF$1000,$R$5:$R$1000,ROW(),$S$5:$S$1000,"Sub")/$AG189,AVERAGEIFS($X$5:$X$1000,$R$5:$R$1000,ROW(),$S$5:$S$1000,"Sub")),$X189))</f>
        <v/>
      </c>
      <c r="AC189" s="71">
        <f>IF($S189="Sub",N($F189)*N($U189),"")</f>
        <v/>
      </c>
      <c r="AD189" s="71">
        <f>IF($S189="Sub",N($F189)*N($V189),"")</f>
        <v/>
      </c>
      <c r="AE189" s="71">
        <f>IF($S189="Sub",N($F189)*N($W189),"")</f>
        <v/>
      </c>
      <c r="AF189" s="71">
        <f>IF($S189="Sub",N($F189)*N($X189),"")</f>
        <v/>
      </c>
      <c r="AG189" s="71">
        <f>IF(N($T189)&gt;0,SUMIFS($F$5:$F$1000,$R$5:$R$1000,ROW(),$S$5:$S$1000,"Sub"),"")</f>
        <v/>
      </c>
    </row>
    <row r="190">
      <c r="A190" s="62">
        <f>IF(NOT((COUNTA($B190:$J190)+COUNTA($N190))&gt;0),"",IF($S190="Macro",COUNTIFS($S$5:$S190,"Macro",$P$5:$P190,$P190),IF(N($R190)=0,"?",COUNTIFS(INDEX($S$5:$S$1000,1):INDEX($S$5:$S$1000,$R190-4),"Macro",INDEX($P$5:$P$1000,1):INDEX($P$5:$P$1000,$R190-4),INDEX($P$5:$P$1000,$R190-4))&amp;"."&amp;COUNTIFS($R$5:$R190,$R190,$S$5:$S190,"Sub"))))</f>
        <v/>
      </c>
      <c r="B190" s="63" t="n"/>
      <c r="C190" s="64" t="n"/>
      <c r="D190" s="65" t="n"/>
      <c r="E190" s="65" t="n"/>
      <c r="F190" s="66" t="n"/>
      <c r="G190" s="67" t="n"/>
      <c r="H190" s="67" t="n"/>
      <c r="I190" s="67" t="n"/>
      <c r="J190" s="67" t="n"/>
      <c r="K190" s="68">
        <f>IF(NOT((COUNTA($B190:$J190)+COUNTA($N190))&gt;0),"",IF(N($T190)&gt;0,$AB190,IFERROR(LOOKUP(2,1/(G190:J190&lt;&gt;""),G190:J190),0)))</f>
        <v/>
      </c>
      <c r="L190" s="62">
        <f>IF(K190="","",IF(K190&gt;=1,"Completado",IF(K190&gt;0,"En curso","Pendiente")))</f>
        <v/>
      </c>
      <c r="M190" s="62">
        <f>IF(NOT((COUNTA($B190:$J190)+COUNTA($N190))&gt;0),"",IF(N($K190)&gt;=1,"Cumplida",IF(NOT(ISNUMBER($E190)),"Sin fecha límite",IF($E190&lt;FechaRef,"Vencida hace "&amp;(FechaRef-$E190)&amp;IF(FechaRef-$E190=1," día"," días"),IF($E190=FechaRef,"Vence hoy",IF($E190-FechaRef&lt;=DiasAlerta,"Vence en "&amp;($E190-FechaRef)&amp;IF($E190-FechaRef=1," día"," días"),"En plazo"))))))</f>
        <v/>
      </c>
      <c r="N190" s="64" t="n"/>
      <c r="O190" s="69">
        <f>IF(NOT((COUNTA($B190:$J190)+COUNTA($N190))&gt;0),"",IF((IF($C190="","Falta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",""))="","✔ OK","⚠ "&amp;LEFT(IF($C190="","Falta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",""),LEN(IF($C190="","Falta el nombre de la actividad"&amp;" · ","")&amp;IF(AND($S190="Sub",N($R190)=0),"Subactividad sin macroactividad arriba"&amp;" · ","")&amp;IF($D190="","Sin fecha de inicio"&amp;" · ","")&amp;IF($E190="","Sin fecha límite"&amp;" · ","")&amp;IF(OR(AND($D190&lt;&gt;"",NOT(ISNUMBER($D190))),AND($E190&lt;&gt;"",NOT(ISNUMBER($E190)))),"Fecha no válida"&amp;" · ","")&amp;IF(AND(ISNUMBER($D190),ISNUMBER($E190),$D190&gt;$E190),"Inicio posterior a fecha límite"&amp;" · ","")&amp;IF(AND($S190="Macro",$F190=""),"Peso vacío"&amp;" · ","")&amp;IF(AND($S190="Macro",$F190&lt;&gt;"",OR(NOT(ISNUMBER($F190)),$F190&lt;=0,$F190&gt;1)),"Peso fuera de rango"&amp;" · ","")&amp;IF(AND($S190="Sub",$F190&lt;&gt;"",OR(NOT(ISNUMBER($F190)),$F190&lt;0,$F190&gt;1)),"Peso fuera de rango"&amp;" · ","")&amp;IF(AND($S190="Sub",$F190="",IFERROR(N(INDEX($AG$5:$AG$1000,$R190-4)),0)&gt;0),"Falta el peso de la subactividad"&amp;" · ","")&amp;IF(AND(N($T190)&gt;0,N($AG190)&gt;0,ABS(N($AG190)-N($F190))&gt;0.0001),"Pesos de sus subactividades suman "&amp;TEXT(N($AG190),"0%")&amp;" (deben sumar "&amp;TEXT(N($F190),"0%")&amp;")"&amp;" · ","")&amp;IF(AND($S190="Macro",ABS(SUMIFS($F$5:$F$1000,$P$5:$P$1000,$P190,$S$5:$S$1000,"Macro")-1)&gt;0.0001),"Pesos del mes suman "&amp;TEXT(SUMIFS($F$5:$F$1000,$P$5:$P$1000,$P190,$S$5:$S$1000,"Macro"),"0%")&amp;" · ","")&amp;IF(AND(N($T190)&gt;0,COUNT($G190:$J190)&gt;0),"Con subactividades: deje vacías las semanas (se calculan solas)"&amp;" · ","")&amp;IF((COUNTIF($G190:$J190,"&gt;1")+COUNTIF($G190:$J190,"&lt;0")+COUNTA($G190:$J190)-COUNT($G190:$J190))&gt;0,"Avance fuera de rango 0-100%"&amp;" · ","")&amp;IF(OR(AND($H190&lt;&gt;"",$H190&lt;$G190),AND($I190&lt;&gt;"",$I190&lt;MAX($G190:$H190)),AND($J190&lt;&gt;"",$J190&lt;MAX($G190:$I190))),"Avance semanal decreciente"&amp;" · ","")&amp;IF(AND(ISNUMBER($E190),$E190&lt;FechaRef,N($K190)&lt;1),"Vencida"&amp;" · ","")&amp;IF(AND(ObsObligatoria="Sí",ISNUMBER($E190),$E190&lt;FechaRef,N($K190)&lt;1,$N190=""),"Vencida sin observación"&amp;" · ",""))-3)))</f>
        <v/>
      </c>
      <c r="P190" s="70">
        <f>IF(NOT((COUNTA($B190:$J190)+COUNTA($N190))&gt;0),"",IF(AND($S190="Sub",N($R190)&gt;0),IF(ISNUMBER(INDEX($D$5:$D$1000,$R190-4)),DATE(YEAR(INDEX($D$5:$D$1000,$R190-4)),MONTH(INDEX($D$5:$D$1000,$R190-4)),1),IF(ISNUMBER(INDEX($E$5:$E$1000,$R190-4)),DATE(YEAR(INDEX($E$5:$E$1000,$R190-4)),MONTH(INDEX($E$5:$E$1000,$R190-4)),1),MesCiclo)),IF(ISNUMBER($D190),DATE(YEAR($D190),MONTH($D190),1),IF(ISNUMBER($E190),DATE(YEAR($E190),MONTH($E190),1),MesCiclo))))</f>
        <v/>
      </c>
      <c r="Q190" s="71">
        <f>IF(OR($P190="",$P190&lt;&gt;MesCiclo),"",COUNTIF($P$5:$P190,MesCiclo))</f>
        <v/>
      </c>
      <c r="R190" s="71">
        <f>IF($S190="","",IF($S190="Macro",ROW(),IFERROR(LOOKUP(2,1/($S$5:$S190="Macro"),ROW($S$5:$S190)),0)))</f>
        <v/>
      </c>
      <c r="S190" s="71">
        <f>IF(NOT((COUNTA($B190:$J190)+COUNTA($N190))&gt;0),"",IF($B190="Subactividad","Sub","Macro"))</f>
        <v/>
      </c>
      <c r="T190" s="71">
        <f>IF($S190="Macro",COUNTIFS($R$5:$R$1000,ROW(),$S$5:$S$1000,"Sub"),"")</f>
        <v/>
      </c>
      <c r="U190" s="71">
        <f>IF($S190="","",IF(ISNUMBER($G190),$G190,0))</f>
        <v/>
      </c>
      <c r="V190" s="71">
        <f>IF($S190="","",IF(ISNUMBER($H190),$H190,$U190))</f>
        <v/>
      </c>
      <c r="W190" s="71">
        <f>IF($S190="","",IF(ISNUMBER($I190),$I190,$V190))</f>
        <v/>
      </c>
      <c r="X190" s="71">
        <f>IF($S190="","",IF(ISNUMBER($J190),$J190,$W190))</f>
        <v/>
      </c>
      <c r="Y190" s="71">
        <f>IF($S190="","",IF(N($T190)&gt;0,IF(N($AG190)&gt;0,SUMIFS($AC$5:$AC$1000,$R$5:$R$1000,ROW(),$S$5:$S$1000,"Sub")/$AG190,AVERAGEIFS($U$5:$U$1000,$R$5:$R$1000,ROW(),$S$5:$S$1000,"Sub")),$U190))</f>
        <v/>
      </c>
      <c r="Z190" s="71">
        <f>IF($S190="","",IF(N($T190)&gt;0,IF(N($AG190)&gt;0,SUMIFS($AD$5:$AD$1000,$R$5:$R$1000,ROW(),$S$5:$S$1000,"Sub")/$AG190,AVERAGEIFS($V$5:$V$1000,$R$5:$R$1000,ROW(),$S$5:$S$1000,"Sub")),$V190))</f>
        <v/>
      </c>
      <c r="AA190" s="71">
        <f>IF($S190="","",IF(N($T190)&gt;0,IF(N($AG190)&gt;0,SUMIFS($AE$5:$AE$1000,$R$5:$R$1000,ROW(),$S$5:$S$1000,"Sub")/$AG190,AVERAGEIFS($W$5:$W$1000,$R$5:$R$1000,ROW(),$S$5:$S$1000,"Sub")),$W190))</f>
        <v/>
      </c>
      <c r="AB190" s="71">
        <f>IF($S190="","",IF(N($T190)&gt;0,IF(N($AG190)&gt;0,SUMIFS($AF$5:$AF$1000,$R$5:$R$1000,ROW(),$S$5:$S$1000,"Sub")/$AG190,AVERAGEIFS($X$5:$X$1000,$R$5:$R$1000,ROW(),$S$5:$S$1000,"Sub")),$X190))</f>
        <v/>
      </c>
      <c r="AC190" s="71">
        <f>IF($S190="Sub",N($F190)*N($U190),"")</f>
        <v/>
      </c>
      <c r="AD190" s="71">
        <f>IF($S190="Sub",N($F190)*N($V190),"")</f>
        <v/>
      </c>
      <c r="AE190" s="71">
        <f>IF($S190="Sub",N($F190)*N($W190),"")</f>
        <v/>
      </c>
      <c r="AF190" s="71">
        <f>IF($S190="Sub",N($F190)*N($X190),"")</f>
        <v/>
      </c>
      <c r="AG190" s="71">
        <f>IF(N($T190)&gt;0,SUMIFS($F$5:$F$1000,$R$5:$R$1000,ROW(),$S$5:$S$1000,"Sub"),"")</f>
        <v/>
      </c>
    </row>
    <row r="191">
      <c r="A191" s="62">
        <f>IF(NOT((COUNTA($B191:$J191)+COUNTA($N191))&gt;0),"",IF($S191="Macro",COUNTIFS($S$5:$S191,"Macro",$P$5:$P191,$P191),IF(N($R191)=0,"?",COUNTIFS(INDEX($S$5:$S$1000,1):INDEX($S$5:$S$1000,$R191-4),"Macro",INDEX($P$5:$P$1000,1):INDEX($P$5:$P$1000,$R191-4),INDEX($P$5:$P$1000,$R191-4))&amp;"."&amp;COUNTIFS($R$5:$R191,$R191,$S$5:$S191,"Sub"))))</f>
        <v/>
      </c>
      <c r="B191" s="63" t="n"/>
      <c r="C191" s="64" t="n"/>
      <c r="D191" s="65" t="n"/>
      <c r="E191" s="65" t="n"/>
      <c r="F191" s="66" t="n"/>
      <c r="G191" s="67" t="n"/>
      <c r="H191" s="67" t="n"/>
      <c r="I191" s="67" t="n"/>
      <c r="J191" s="67" t="n"/>
      <c r="K191" s="68">
        <f>IF(NOT((COUNTA($B191:$J191)+COUNTA($N191))&gt;0),"",IF(N($T191)&gt;0,$AB191,IFERROR(LOOKUP(2,1/(G191:J191&lt;&gt;""),G191:J191),0)))</f>
        <v/>
      </c>
      <c r="L191" s="62">
        <f>IF(K191="","",IF(K191&gt;=1,"Completado",IF(K191&gt;0,"En curso","Pendiente")))</f>
        <v/>
      </c>
      <c r="M191" s="62">
        <f>IF(NOT((COUNTA($B191:$J191)+COUNTA($N191))&gt;0),"",IF(N($K191)&gt;=1,"Cumplida",IF(NOT(ISNUMBER($E191)),"Sin fecha límite",IF($E191&lt;FechaRef,"Vencida hace "&amp;(FechaRef-$E191)&amp;IF(FechaRef-$E191=1," día"," días"),IF($E191=FechaRef,"Vence hoy",IF($E191-FechaRef&lt;=DiasAlerta,"Vence en "&amp;($E191-FechaRef)&amp;IF($E191-FechaRef=1," día"," días"),"En plazo"))))))</f>
        <v/>
      </c>
      <c r="N191" s="64" t="n"/>
      <c r="O191" s="69">
        <f>IF(NOT((COUNTA($B191:$J191)+COUNTA($N191))&gt;0),"",IF((IF($C191="","Falta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",""))="","✔ OK","⚠ "&amp;LEFT(IF($C191="","Falta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",""),LEN(IF($C191="","Falta el nombre de la actividad"&amp;" · ","")&amp;IF(AND($S191="Sub",N($R191)=0),"Subactividad sin macroactividad arriba"&amp;" · ","")&amp;IF($D191="","Sin fecha de inicio"&amp;" · ","")&amp;IF($E191="","Sin fecha límite"&amp;" · ","")&amp;IF(OR(AND($D191&lt;&gt;"",NOT(ISNUMBER($D191))),AND($E191&lt;&gt;"",NOT(ISNUMBER($E191)))),"Fecha no válida"&amp;" · ","")&amp;IF(AND(ISNUMBER($D191),ISNUMBER($E191),$D191&gt;$E191),"Inicio posterior a fecha límite"&amp;" · ","")&amp;IF(AND($S191="Macro",$F191=""),"Peso vacío"&amp;" · ","")&amp;IF(AND($S191="Macro",$F191&lt;&gt;"",OR(NOT(ISNUMBER($F191)),$F191&lt;=0,$F191&gt;1)),"Peso fuera de rango"&amp;" · ","")&amp;IF(AND($S191="Sub",$F191&lt;&gt;"",OR(NOT(ISNUMBER($F191)),$F191&lt;0,$F191&gt;1)),"Peso fuera de rango"&amp;" · ","")&amp;IF(AND($S191="Sub",$F191="",IFERROR(N(INDEX($AG$5:$AG$1000,$R191-4)),0)&gt;0),"Falta el peso de la subactividad"&amp;" · ","")&amp;IF(AND(N($T191)&gt;0,N($AG191)&gt;0,ABS(N($AG191)-N($F191))&gt;0.0001),"Pesos de sus subactividades suman "&amp;TEXT(N($AG191),"0%")&amp;" (deben sumar "&amp;TEXT(N($F191),"0%")&amp;")"&amp;" · ","")&amp;IF(AND($S191="Macro",ABS(SUMIFS($F$5:$F$1000,$P$5:$P$1000,$P191,$S$5:$S$1000,"Macro")-1)&gt;0.0001),"Pesos del mes suman "&amp;TEXT(SUMIFS($F$5:$F$1000,$P$5:$P$1000,$P191,$S$5:$S$1000,"Macro"),"0%")&amp;" · ","")&amp;IF(AND(N($T191)&gt;0,COUNT($G191:$J191)&gt;0),"Con subactividades: deje vacías las semanas (se calculan solas)"&amp;" · ","")&amp;IF((COUNTIF($G191:$J191,"&gt;1")+COUNTIF($G191:$J191,"&lt;0")+COUNTA($G191:$J191)-COUNT($G191:$J191))&gt;0,"Avance fuera de rango 0-100%"&amp;" · ","")&amp;IF(OR(AND($H191&lt;&gt;"",$H191&lt;$G191),AND($I191&lt;&gt;"",$I191&lt;MAX($G191:$H191)),AND($J191&lt;&gt;"",$J191&lt;MAX($G191:$I191))),"Avance semanal decreciente"&amp;" · ","")&amp;IF(AND(ISNUMBER($E191),$E191&lt;FechaRef,N($K191)&lt;1),"Vencida"&amp;" · ","")&amp;IF(AND(ObsObligatoria="Sí",ISNUMBER($E191),$E191&lt;FechaRef,N($K191)&lt;1,$N191=""),"Vencida sin observación"&amp;" · ",""))-3)))</f>
        <v/>
      </c>
      <c r="P191" s="70">
        <f>IF(NOT((COUNTA($B191:$J191)+COUNTA($N191))&gt;0),"",IF(AND($S191="Sub",N($R191)&gt;0),IF(ISNUMBER(INDEX($D$5:$D$1000,$R191-4)),DATE(YEAR(INDEX($D$5:$D$1000,$R191-4)),MONTH(INDEX($D$5:$D$1000,$R191-4)),1),IF(ISNUMBER(INDEX($E$5:$E$1000,$R191-4)),DATE(YEAR(INDEX($E$5:$E$1000,$R191-4)),MONTH(INDEX($E$5:$E$1000,$R191-4)),1),MesCiclo)),IF(ISNUMBER($D191),DATE(YEAR($D191),MONTH($D191),1),IF(ISNUMBER($E191),DATE(YEAR($E191),MONTH($E191),1),MesCiclo))))</f>
        <v/>
      </c>
      <c r="Q191" s="71">
        <f>IF(OR($P191="",$P191&lt;&gt;MesCiclo),"",COUNTIF($P$5:$P191,MesCiclo))</f>
        <v/>
      </c>
      <c r="R191" s="71">
        <f>IF($S191="","",IF($S191="Macro",ROW(),IFERROR(LOOKUP(2,1/($S$5:$S191="Macro"),ROW($S$5:$S191)),0)))</f>
        <v/>
      </c>
      <c r="S191" s="71">
        <f>IF(NOT((COUNTA($B191:$J191)+COUNTA($N191))&gt;0),"",IF($B191="Subactividad","Sub","Macro"))</f>
        <v/>
      </c>
      <c r="T191" s="71">
        <f>IF($S191="Macro",COUNTIFS($R$5:$R$1000,ROW(),$S$5:$S$1000,"Sub"),"")</f>
        <v/>
      </c>
      <c r="U191" s="71">
        <f>IF($S191="","",IF(ISNUMBER($G191),$G191,0))</f>
        <v/>
      </c>
      <c r="V191" s="71">
        <f>IF($S191="","",IF(ISNUMBER($H191),$H191,$U191))</f>
        <v/>
      </c>
      <c r="W191" s="71">
        <f>IF($S191="","",IF(ISNUMBER($I191),$I191,$V191))</f>
        <v/>
      </c>
      <c r="X191" s="71">
        <f>IF($S191="","",IF(ISNUMBER($J191),$J191,$W191))</f>
        <v/>
      </c>
      <c r="Y191" s="71">
        <f>IF($S191="","",IF(N($T191)&gt;0,IF(N($AG191)&gt;0,SUMIFS($AC$5:$AC$1000,$R$5:$R$1000,ROW(),$S$5:$S$1000,"Sub")/$AG191,AVERAGEIFS($U$5:$U$1000,$R$5:$R$1000,ROW(),$S$5:$S$1000,"Sub")),$U191))</f>
        <v/>
      </c>
      <c r="Z191" s="71">
        <f>IF($S191="","",IF(N($T191)&gt;0,IF(N($AG191)&gt;0,SUMIFS($AD$5:$AD$1000,$R$5:$R$1000,ROW(),$S$5:$S$1000,"Sub")/$AG191,AVERAGEIFS($V$5:$V$1000,$R$5:$R$1000,ROW(),$S$5:$S$1000,"Sub")),$V191))</f>
        <v/>
      </c>
      <c r="AA191" s="71">
        <f>IF($S191="","",IF(N($T191)&gt;0,IF(N($AG191)&gt;0,SUMIFS($AE$5:$AE$1000,$R$5:$R$1000,ROW(),$S$5:$S$1000,"Sub")/$AG191,AVERAGEIFS($W$5:$W$1000,$R$5:$R$1000,ROW(),$S$5:$S$1000,"Sub")),$W191))</f>
        <v/>
      </c>
      <c r="AB191" s="71">
        <f>IF($S191="","",IF(N($T191)&gt;0,IF(N($AG191)&gt;0,SUMIFS($AF$5:$AF$1000,$R$5:$R$1000,ROW(),$S$5:$S$1000,"Sub")/$AG191,AVERAGEIFS($X$5:$X$1000,$R$5:$R$1000,ROW(),$S$5:$S$1000,"Sub")),$X191))</f>
        <v/>
      </c>
      <c r="AC191" s="71">
        <f>IF($S191="Sub",N($F191)*N($U191),"")</f>
        <v/>
      </c>
      <c r="AD191" s="71">
        <f>IF($S191="Sub",N($F191)*N($V191),"")</f>
        <v/>
      </c>
      <c r="AE191" s="71">
        <f>IF($S191="Sub",N($F191)*N($W191),"")</f>
        <v/>
      </c>
      <c r="AF191" s="71">
        <f>IF($S191="Sub",N($F191)*N($X191),"")</f>
        <v/>
      </c>
      <c r="AG191" s="71">
        <f>IF(N($T191)&gt;0,SUMIFS($F$5:$F$1000,$R$5:$R$1000,ROW(),$S$5:$S$1000,"Sub"),"")</f>
        <v/>
      </c>
    </row>
    <row r="192">
      <c r="A192" s="62">
        <f>IF(NOT((COUNTA($B192:$J192)+COUNTA($N192))&gt;0),"",IF($S192="Macro",COUNTIFS($S$5:$S192,"Macro",$P$5:$P192,$P192),IF(N($R192)=0,"?",COUNTIFS(INDEX($S$5:$S$1000,1):INDEX($S$5:$S$1000,$R192-4),"Macro",INDEX($P$5:$P$1000,1):INDEX($P$5:$P$1000,$R192-4),INDEX($P$5:$P$1000,$R192-4))&amp;"."&amp;COUNTIFS($R$5:$R192,$R192,$S$5:$S192,"Sub"))))</f>
        <v/>
      </c>
      <c r="B192" s="63" t="n"/>
      <c r="C192" s="64" t="n"/>
      <c r="D192" s="65" t="n"/>
      <c r="E192" s="65" t="n"/>
      <c r="F192" s="66" t="n"/>
      <c r="G192" s="67" t="n"/>
      <c r="H192" s="67" t="n"/>
      <c r="I192" s="67" t="n"/>
      <c r="J192" s="67" t="n"/>
      <c r="K192" s="68">
        <f>IF(NOT((COUNTA($B192:$J192)+COUNTA($N192))&gt;0),"",IF(N($T192)&gt;0,$AB192,IFERROR(LOOKUP(2,1/(G192:J192&lt;&gt;""),G192:J192),0)))</f>
        <v/>
      </c>
      <c r="L192" s="62">
        <f>IF(K192="","",IF(K192&gt;=1,"Completado",IF(K192&gt;0,"En curso","Pendiente")))</f>
        <v/>
      </c>
      <c r="M192" s="62">
        <f>IF(NOT((COUNTA($B192:$J192)+COUNTA($N192))&gt;0),"",IF(N($K192)&gt;=1,"Cumplida",IF(NOT(ISNUMBER($E192)),"Sin fecha límite",IF($E192&lt;FechaRef,"Vencida hace "&amp;(FechaRef-$E192)&amp;IF(FechaRef-$E192=1," día"," días"),IF($E192=FechaRef,"Vence hoy",IF($E192-FechaRef&lt;=DiasAlerta,"Vence en "&amp;($E192-FechaRef)&amp;IF($E192-FechaRef=1," día"," días"),"En plazo"))))))</f>
        <v/>
      </c>
      <c r="N192" s="64" t="n"/>
      <c r="O192" s="69">
        <f>IF(NOT((COUNTA($B192:$J192)+COUNTA($N192))&gt;0),"",IF((IF($C192="","Falta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",""))="","✔ OK","⚠ "&amp;LEFT(IF($C192="","Falta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",""),LEN(IF($C192="","Falta el nombre de la actividad"&amp;" · ","")&amp;IF(AND($S192="Sub",N($R192)=0),"Subactividad sin macroactividad arriba"&amp;" · ","")&amp;IF($D192="","Sin fecha de inicio"&amp;" · ","")&amp;IF($E192="","Sin fecha límite"&amp;" · ","")&amp;IF(OR(AND($D192&lt;&gt;"",NOT(ISNUMBER($D192))),AND($E192&lt;&gt;"",NOT(ISNUMBER($E192)))),"Fecha no válida"&amp;" · ","")&amp;IF(AND(ISNUMBER($D192),ISNUMBER($E192),$D192&gt;$E192),"Inicio posterior a fecha límite"&amp;" · ","")&amp;IF(AND($S192="Macro",$F192=""),"Peso vacío"&amp;" · ","")&amp;IF(AND($S192="Macro",$F192&lt;&gt;"",OR(NOT(ISNUMBER($F192)),$F192&lt;=0,$F192&gt;1)),"Peso fuera de rango"&amp;" · ","")&amp;IF(AND($S192="Sub",$F192&lt;&gt;"",OR(NOT(ISNUMBER($F192)),$F192&lt;0,$F192&gt;1)),"Peso fuera de rango"&amp;" · ","")&amp;IF(AND($S192="Sub",$F192="",IFERROR(N(INDEX($AG$5:$AG$1000,$R192-4)),0)&gt;0),"Falta el peso de la subactividad"&amp;" · ","")&amp;IF(AND(N($T192)&gt;0,N($AG192)&gt;0,ABS(N($AG192)-N($F192))&gt;0.0001),"Pesos de sus subactividades suman "&amp;TEXT(N($AG192),"0%")&amp;" (deben sumar "&amp;TEXT(N($F192),"0%")&amp;")"&amp;" · ","")&amp;IF(AND($S192="Macro",ABS(SUMIFS($F$5:$F$1000,$P$5:$P$1000,$P192,$S$5:$S$1000,"Macro")-1)&gt;0.0001),"Pesos del mes suman "&amp;TEXT(SUMIFS($F$5:$F$1000,$P$5:$P$1000,$P192,$S$5:$S$1000,"Macro"),"0%")&amp;" · ","")&amp;IF(AND(N($T192)&gt;0,COUNT($G192:$J192)&gt;0),"Con subactividades: deje vacías las semanas (se calculan solas)"&amp;" · ","")&amp;IF((COUNTIF($G192:$J192,"&gt;1")+COUNTIF($G192:$J192,"&lt;0")+COUNTA($G192:$J192)-COUNT($G192:$J192))&gt;0,"Avance fuera de rango 0-100%"&amp;" · ","")&amp;IF(OR(AND($H192&lt;&gt;"",$H192&lt;$G192),AND($I192&lt;&gt;"",$I192&lt;MAX($G192:$H192)),AND($J192&lt;&gt;"",$J192&lt;MAX($G192:$I192))),"Avance semanal decreciente"&amp;" · ","")&amp;IF(AND(ISNUMBER($E192),$E192&lt;FechaRef,N($K192)&lt;1),"Vencida"&amp;" · ","")&amp;IF(AND(ObsObligatoria="Sí",ISNUMBER($E192),$E192&lt;FechaRef,N($K192)&lt;1,$N192=""),"Vencida sin observación"&amp;" · ",""))-3)))</f>
        <v/>
      </c>
      <c r="P192" s="70">
        <f>IF(NOT((COUNTA($B192:$J192)+COUNTA($N192))&gt;0),"",IF(AND($S192="Sub",N($R192)&gt;0),IF(ISNUMBER(INDEX($D$5:$D$1000,$R192-4)),DATE(YEAR(INDEX($D$5:$D$1000,$R192-4)),MONTH(INDEX($D$5:$D$1000,$R192-4)),1),IF(ISNUMBER(INDEX($E$5:$E$1000,$R192-4)),DATE(YEAR(INDEX($E$5:$E$1000,$R192-4)),MONTH(INDEX($E$5:$E$1000,$R192-4)),1),MesCiclo)),IF(ISNUMBER($D192),DATE(YEAR($D192),MONTH($D192),1),IF(ISNUMBER($E192),DATE(YEAR($E192),MONTH($E192),1),MesCiclo))))</f>
        <v/>
      </c>
      <c r="Q192" s="71">
        <f>IF(OR($P192="",$P192&lt;&gt;MesCiclo),"",COUNTIF($P$5:$P192,MesCiclo))</f>
        <v/>
      </c>
      <c r="R192" s="71">
        <f>IF($S192="","",IF($S192="Macro",ROW(),IFERROR(LOOKUP(2,1/($S$5:$S192="Macro"),ROW($S$5:$S192)),0)))</f>
        <v/>
      </c>
      <c r="S192" s="71">
        <f>IF(NOT((COUNTA($B192:$J192)+COUNTA($N192))&gt;0),"",IF($B192="Subactividad","Sub","Macro"))</f>
        <v/>
      </c>
      <c r="T192" s="71">
        <f>IF($S192="Macro",COUNTIFS($R$5:$R$1000,ROW(),$S$5:$S$1000,"Sub"),"")</f>
        <v/>
      </c>
      <c r="U192" s="71">
        <f>IF($S192="","",IF(ISNUMBER($G192),$G192,0))</f>
        <v/>
      </c>
      <c r="V192" s="71">
        <f>IF($S192="","",IF(ISNUMBER($H192),$H192,$U192))</f>
        <v/>
      </c>
      <c r="W192" s="71">
        <f>IF($S192="","",IF(ISNUMBER($I192),$I192,$V192))</f>
        <v/>
      </c>
      <c r="X192" s="71">
        <f>IF($S192="","",IF(ISNUMBER($J192),$J192,$W192))</f>
        <v/>
      </c>
      <c r="Y192" s="71">
        <f>IF($S192="","",IF(N($T192)&gt;0,IF(N($AG192)&gt;0,SUMIFS($AC$5:$AC$1000,$R$5:$R$1000,ROW(),$S$5:$S$1000,"Sub")/$AG192,AVERAGEIFS($U$5:$U$1000,$R$5:$R$1000,ROW(),$S$5:$S$1000,"Sub")),$U192))</f>
        <v/>
      </c>
      <c r="Z192" s="71">
        <f>IF($S192="","",IF(N($T192)&gt;0,IF(N($AG192)&gt;0,SUMIFS($AD$5:$AD$1000,$R$5:$R$1000,ROW(),$S$5:$S$1000,"Sub")/$AG192,AVERAGEIFS($V$5:$V$1000,$R$5:$R$1000,ROW(),$S$5:$S$1000,"Sub")),$V192))</f>
        <v/>
      </c>
      <c r="AA192" s="71">
        <f>IF($S192="","",IF(N($T192)&gt;0,IF(N($AG192)&gt;0,SUMIFS($AE$5:$AE$1000,$R$5:$R$1000,ROW(),$S$5:$S$1000,"Sub")/$AG192,AVERAGEIFS($W$5:$W$1000,$R$5:$R$1000,ROW(),$S$5:$S$1000,"Sub")),$W192))</f>
        <v/>
      </c>
      <c r="AB192" s="71">
        <f>IF($S192="","",IF(N($T192)&gt;0,IF(N($AG192)&gt;0,SUMIFS($AF$5:$AF$1000,$R$5:$R$1000,ROW(),$S$5:$S$1000,"Sub")/$AG192,AVERAGEIFS($X$5:$X$1000,$R$5:$R$1000,ROW(),$S$5:$S$1000,"Sub")),$X192))</f>
        <v/>
      </c>
      <c r="AC192" s="71">
        <f>IF($S192="Sub",N($F192)*N($U192),"")</f>
        <v/>
      </c>
      <c r="AD192" s="71">
        <f>IF($S192="Sub",N($F192)*N($V192),"")</f>
        <v/>
      </c>
      <c r="AE192" s="71">
        <f>IF($S192="Sub",N($F192)*N($W192),"")</f>
        <v/>
      </c>
      <c r="AF192" s="71">
        <f>IF($S192="Sub",N($F192)*N($X192),"")</f>
        <v/>
      </c>
      <c r="AG192" s="71">
        <f>IF(N($T192)&gt;0,SUMIFS($F$5:$F$1000,$R$5:$R$1000,ROW(),$S$5:$S$1000,"Sub"),"")</f>
        <v/>
      </c>
    </row>
    <row r="193">
      <c r="A193" s="62">
        <f>IF(NOT((COUNTA($B193:$J193)+COUNTA($N193))&gt;0),"",IF($S193="Macro",COUNTIFS($S$5:$S193,"Macro",$P$5:$P193,$P193),IF(N($R193)=0,"?",COUNTIFS(INDEX($S$5:$S$1000,1):INDEX($S$5:$S$1000,$R193-4),"Macro",INDEX($P$5:$P$1000,1):INDEX($P$5:$P$1000,$R193-4),INDEX($P$5:$P$1000,$R193-4))&amp;"."&amp;COUNTIFS($R$5:$R193,$R193,$S$5:$S193,"Sub"))))</f>
        <v/>
      </c>
      <c r="B193" s="63" t="n"/>
      <c r="C193" s="64" t="n"/>
      <c r="D193" s="65" t="n"/>
      <c r="E193" s="65" t="n"/>
      <c r="F193" s="66" t="n"/>
      <c r="G193" s="67" t="n"/>
      <c r="H193" s="67" t="n"/>
      <c r="I193" s="67" t="n"/>
      <c r="J193" s="67" t="n"/>
      <c r="K193" s="68">
        <f>IF(NOT((COUNTA($B193:$J193)+COUNTA($N193))&gt;0),"",IF(N($T193)&gt;0,$AB193,IFERROR(LOOKUP(2,1/(G193:J193&lt;&gt;""),G193:J193),0)))</f>
        <v/>
      </c>
      <c r="L193" s="62">
        <f>IF(K193="","",IF(K193&gt;=1,"Completado",IF(K193&gt;0,"En curso","Pendiente")))</f>
        <v/>
      </c>
      <c r="M193" s="62">
        <f>IF(NOT((COUNTA($B193:$J193)+COUNTA($N193))&gt;0),"",IF(N($K193)&gt;=1,"Cumplida",IF(NOT(ISNUMBER($E193)),"Sin fecha límite",IF($E193&lt;FechaRef,"Vencida hace "&amp;(FechaRef-$E193)&amp;IF(FechaRef-$E193=1," día"," días"),IF($E193=FechaRef,"Vence hoy",IF($E193-FechaRef&lt;=DiasAlerta,"Vence en "&amp;($E193-FechaRef)&amp;IF($E193-FechaRef=1," día"," días"),"En plazo"))))))</f>
        <v/>
      </c>
      <c r="N193" s="64" t="n"/>
      <c r="O193" s="69">
        <f>IF(NOT((COUNTA($B193:$J193)+COUNTA($N193))&gt;0),"",IF((IF($C193="","Falta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",""))="","✔ OK","⚠ "&amp;LEFT(IF($C193="","Falta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",""),LEN(IF($C193="","Falta el nombre de la actividad"&amp;" · ","")&amp;IF(AND($S193="Sub",N($R193)=0),"Subactividad sin macroactividad arriba"&amp;" · ","")&amp;IF($D193="","Sin fecha de inicio"&amp;" · ","")&amp;IF($E193="","Sin fecha límite"&amp;" · ","")&amp;IF(OR(AND($D193&lt;&gt;"",NOT(ISNUMBER($D193))),AND($E193&lt;&gt;"",NOT(ISNUMBER($E193)))),"Fecha no válida"&amp;" · ","")&amp;IF(AND(ISNUMBER($D193),ISNUMBER($E193),$D193&gt;$E193),"Inicio posterior a fecha límite"&amp;" · ","")&amp;IF(AND($S193="Macro",$F193=""),"Peso vacío"&amp;" · ","")&amp;IF(AND($S193="Macro",$F193&lt;&gt;"",OR(NOT(ISNUMBER($F193)),$F193&lt;=0,$F193&gt;1)),"Peso fuera de rango"&amp;" · ","")&amp;IF(AND($S193="Sub",$F193&lt;&gt;"",OR(NOT(ISNUMBER($F193)),$F193&lt;0,$F193&gt;1)),"Peso fuera de rango"&amp;" · ","")&amp;IF(AND($S193="Sub",$F193="",IFERROR(N(INDEX($AG$5:$AG$1000,$R193-4)),0)&gt;0),"Falta el peso de la subactividad"&amp;" · ","")&amp;IF(AND(N($T193)&gt;0,N($AG193)&gt;0,ABS(N($AG193)-N($F193))&gt;0.0001),"Pesos de sus subactividades suman "&amp;TEXT(N($AG193),"0%")&amp;" (deben sumar "&amp;TEXT(N($F193),"0%")&amp;")"&amp;" · ","")&amp;IF(AND($S193="Macro",ABS(SUMIFS($F$5:$F$1000,$P$5:$P$1000,$P193,$S$5:$S$1000,"Macro")-1)&gt;0.0001),"Pesos del mes suman "&amp;TEXT(SUMIFS($F$5:$F$1000,$P$5:$P$1000,$P193,$S$5:$S$1000,"Macro"),"0%")&amp;" · ","")&amp;IF(AND(N($T193)&gt;0,COUNT($G193:$J193)&gt;0),"Con subactividades: deje vacías las semanas (se calculan solas)"&amp;" · ","")&amp;IF((COUNTIF($G193:$J193,"&gt;1")+COUNTIF($G193:$J193,"&lt;0")+COUNTA($G193:$J193)-COUNT($G193:$J193))&gt;0,"Avance fuera de rango 0-100%"&amp;" · ","")&amp;IF(OR(AND($H193&lt;&gt;"",$H193&lt;$G193),AND($I193&lt;&gt;"",$I193&lt;MAX($G193:$H193)),AND($J193&lt;&gt;"",$J193&lt;MAX($G193:$I193))),"Avance semanal decreciente"&amp;" · ","")&amp;IF(AND(ISNUMBER($E193),$E193&lt;FechaRef,N($K193)&lt;1),"Vencida"&amp;" · ","")&amp;IF(AND(ObsObligatoria="Sí",ISNUMBER($E193),$E193&lt;FechaRef,N($K193)&lt;1,$N193=""),"Vencida sin observación"&amp;" · ",""))-3)))</f>
        <v/>
      </c>
      <c r="P193" s="70">
        <f>IF(NOT((COUNTA($B193:$J193)+COUNTA($N193))&gt;0),"",IF(AND($S193="Sub",N($R193)&gt;0),IF(ISNUMBER(INDEX($D$5:$D$1000,$R193-4)),DATE(YEAR(INDEX($D$5:$D$1000,$R193-4)),MONTH(INDEX($D$5:$D$1000,$R193-4)),1),IF(ISNUMBER(INDEX($E$5:$E$1000,$R193-4)),DATE(YEAR(INDEX($E$5:$E$1000,$R193-4)),MONTH(INDEX($E$5:$E$1000,$R193-4)),1),MesCiclo)),IF(ISNUMBER($D193),DATE(YEAR($D193),MONTH($D193),1),IF(ISNUMBER($E193),DATE(YEAR($E193),MONTH($E193),1),MesCiclo))))</f>
        <v/>
      </c>
      <c r="Q193" s="71">
        <f>IF(OR($P193="",$P193&lt;&gt;MesCiclo),"",COUNTIF($P$5:$P193,MesCiclo))</f>
        <v/>
      </c>
      <c r="R193" s="71">
        <f>IF($S193="","",IF($S193="Macro",ROW(),IFERROR(LOOKUP(2,1/($S$5:$S193="Macro"),ROW($S$5:$S193)),0)))</f>
        <v/>
      </c>
      <c r="S193" s="71">
        <f>IF(NOT((COUNTA($B193:$J193)+COUNTA($N193))&gt;0),"",IF($B193="Subactividad","Sub","Macro"))</f>
        <v/>
      </c>
      <c r="T193" s="71">
        <f>IF($S193="Macro",COUNTIFS($R$5:$R$1000,ROW(),$S$5:$S$1000,"Sub"),"")</f>
        <v/>
      </c>
      <c r="U193" s="71">
        <f>IF($S193="","",IF(ISNUMBER($G193),$G193,0))</f>
        <v/>
      </c>
      <c r="V193" s="71">
        <f>IF($S193="","",IF(ISNUMBER($H193),$H193,$U193))</f>
        <v/>
      </c>
      <c r="W193" s="71">
        <f>IF($S193="","",IF(ISNUMBER($I193),$I193,$V193))</f>
        <v/>
      </c>
      <c r="X193" s="71">
        <f>IF($S193="","",IF(ISNUMBER($J193),$J193,$W193))</f>
        <v/>
      </c>
      <c r="Y193" s="71">
        <f>IF($S193="","",IF(N($T193)&gt;0,IF(N($AG193)&gt;0,SUMIFS($AC$5:$AC$1000,$R$5:$R$1000,ROW(),$S$5:$S$1000,"Sub")/$AG193,AVERAGEIFS($U$5:$U$1000,$R$5:$R$1000,ROW(),$S$5:$S$1000,"Sub")),$U193))</f>
        <v/>
      </c>
      <c r="Z193" s="71">
        <f>IF($S193="","",IF(N($T193)&gt;0,IF(N($AG193)&gt;0,SUMIFS($AD$5:$AD$1000,$R$5:$R$1000,ROW(),$S$5:$S$1000,"Sub")/$AG193,AVERAGEIFS($V$5:$V$1000,$R$5:$R$1000,ROW(),$S$5:$S$1000,"Sub")),$V193))</f>
        <v/>
      </c>
      <c r="AA193" s="71">
        <f>IF($S193="","",IF(N($T193)&gt;0,IF(N($AG193)&gt;0,SUMIFS($AE$5:$AE$1000,$R$5:$R$1000,ROW(),$S$5:$S$1000,"Sub")/$AG193,AVERAGEIFS($W$5:$W$1000,$R$5:$R$1000,ROW(),$S$5:$S$1000,"Sub")),$W193))</f>
        <v/>
      </c>
      <c r="AB193" s="71">
        <f>IF($S193="","",IF(N($T193)&gt;0,IF(N($AG193)&gt;0,SUMIFS($AF$5:$AF$1000,$R$5:$R$1000,ROW(),$S$5:$S$1000,"Sub")/$AG193,AVERAGEIFS($X$5:$X$1000,$R$5:$R$1000,ROW(),$S$5:$S$1000,"Sub")),$X193))</f>
        <v/>
      </c>
      <c r="AC193" s="71">
        <f>IF($S193="Sub",N($F193)*N($U193),"")</f>
        <v/>
      </c>
      <c r="AD193" s="71">
        <f>IF($S193="Sub",N($F193)*N($V193),"")</f>
        <v/>
      </c>
      <c r="AE193" s="71">
        <f>IF($S193="Sub",N($F193)*N($W193),"")</f>
        <v/>
      </c>
      <c r="AF193" s="71">
        <f>IF($S193="Sub",N($F193)*N($X193),"")</f>
        <v/>
      </c>
      <c r="AG193" s="71">
        <f>IF(N($T193)&gt;0,SUMIFS($F$5:$F$1000,$R$5:$R$1000,ROW(),$S$5:$S$1000,"Sub"),"")</f>
        <v/>
      </c>
    </row>
    <row r="194">
      <c r="A194" s="62">
        <f>IF(NOT((COUNTA($B194:$J194)+COUNTA($N194))&gt;0),"",IF($S194="Macro",COUNTIFS($S$5:$S194,"Macro",$P$5:$P194,$P194),IF(N($R194)=0,"?",COUNTIFS(INDEX($S$5:$S$1000,1):INDEX($S$5:$S$1000,$R194-4),"Macro",INDEX($P$5:$P$1000,1):INDEX($P$5:$P$1000,$R194-4),INDEX($P$5:$P$1000,$R194-4))&amp;"."&amp;COUNTIFS($R$5:$R194,$R194,$S$5:$S194,"Sub"))))</f>
        <v/>
      </c>
      <c r="B194" s="63" t="n"/>
      <c r="C194" s="64" t="n"/>
      <c r="D194" s="65" t="n"/>
      <c r="E194" s="65" t="n"/>
      <c r="F194" s="66" t="n"/>
      <c r="G194" s="67" t="n"/>
      <c r="H194" s="67" t="n"/>
      <c r="I194" s="67" t="n"/>
      <c r="J194" s="67" t="n"/>
      <c r="K194" s="68">
        <f>IF(NOT((COUNTA($B194:$J194)+COUNTA($N194))&gt;0),"",IF(N($T194)&gt;0,$AB194,IFERROR(LOOKUP(2,1/(G194:J194&lt;&gt;""),G194:J194),0)))</f>
        <v/>
      </c>
      <c r="L194" s="62">
        <f>IF(K194="","",IF(K194&gt;=1,"Completado",IF(K194&gt;0,"En curso","Pendiente")))</f>
        <v/>
      </c>
      <c r="M194" s="62">
        <f>IF(NOT((COUNTA($B194:$J194)+COUNTA($N194))&gt;0),"",IF(N($K194)&gt;=1,"Cumplida",IF(NOT(ISNUMBER($E194)),"Sin fecha límite",IF($E194&lt;FechaRef,"Vencida hace "&amp;(FechaRef-$E194)&amp;IF(FechaRef-$E194=1," día"," días"),IF($E194=FechaRef,"Vence hoy",IF($E194-FechaRef&lt;=DiasAlerta,"Vence en "&amp;($E194-FechaRef)&amp;IF($E194-FechaRef=1," día"," días"),"En plazo"))))))</f>
        <v/>
      </c>
      <c r="N194" s="64" t="n"/>
      <c r="O194" s="69">
        <f>IF(NOT((COUNTA($B194:$J194)+COUNTA($N194))&gt;0),"",IF((IF($C194="","Falta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",""))="","✔ OK","⚠ "&amp;LEFT(IF($C194="","Falta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",""),LEN(IF($C194="","Falta el nombre de la actividad"&amp;" · ","")&amp;IF(AND($S194="Sub",N($R194)=0),"Subactividad sin macroactividad arriba"&amp;" · ","")&amp;IF($D194="","Sin fecha de inicio"&amp;" · ","")&amp;IF($E194="","Sin fecha límite"&amp;" · ","")&amp;IF(OR(AND($D194&lt;&gt;"",NOT(ISNUMBER($D194))),AND($E194&lt;&gt;"",NOT(ISNUMBER($E194)))),"Fecha no válida"&amp;" · ","")&amp;IF(AND(ISNUMBER($D194),ISNUMBER($E194),$D194&gt;$E194),"Inicio posterior a fecha límite"&amp;" · ","")&amp;IF(AND($S194="Macro",$F194=""),"Peso vacío"&amp;" · ","")&amp;IF(AND($S194="Macro",$F194&lt;&gt;"",OR(NOT(ISNUMBER($F194)),$F194&lt;=0,$F194&gt;1)),"Peso fuera de rango"&amp;" · ","")&amp;IF(AND($S194="Sub",$F194&lt;&gt;"",OR(NOT(ISNUMBER($F194)),$F194&lt;0,$F194&gt;1)),"Peso fuera de rango"&amp;" · ","")&amp;IF(AND($S194="Sub",$F194="",IFERROR(N(INDEX($AG$5:$AG$1000,$R194-4)),0)&gt;0),"Falta el peso de la subactividad"&amp;" · ","")&amp;IF(AND(N($T194)&gt;0,N($AG194)&gt;0,ABS(N($AG194)-N($F194))&gt;0.0001),"Pesos de sus subactividades suman "&amp;TEXT(N($AG194),"0%")&amp;" (deben sumar "&amp;TEXT(N($F194),"0%")&amp;")"&amp;" · ","")&amp;IF(AND($S194="Macro",ABS(SUMIFS($F$5:$F$1000,$P$5:$P$1000,$P194,$S$5:$S$1000,"Macro")-1)&gt;0.0001),"Pesos del mes suman "&amp;TEXT(SUMIFS($F$5:$F$1000,$P$5:$P$1000,$P194,$S$5:$S$1000,"Macro"),"0%")&amp;" · ","")&amp;IF(AND(N($T194)&gt;0,COUNT($G194:$J194)&gt;0),"Con subactividades: deje vacías las semanas (se calculan solas)"&amp;" · ","")&amp;IF((COUNTIF($G194:$J194,"&gt;1")+COUNTIF($G194:$J194,"&lt;0")+COUNTA($G194:$J194)-COUNT($G194:$J194))&gt;0,"Avance fuera de rango 0-100%"&amp;" · ","")&amp;IF(OR(AND($H194&lt;&gt;"",$H194&lt;$G194),AND($I194&lt;&gt;"",$I194&lt;MAX($G194:$H194)),AND($J194&lt;&gt;"",$J194&lt;MAX($G194:$I194))),"Avance semanal decreciente"&amp;" · ","")&amp;IF(AND(ISNUMBER($E194),$E194&lt;FechaRef,N($K194)&lt;1),"Vencida"&amp;" · ","")&amp;IF(AND(ObsObligatoria="Sí",ISNUMBER($E194),$E194&lt;FechaRef,N($K194)&lt;1,$N194=""),"Vencida sin observación"&amp;" · ",""))-3)))</f>
        <v/>
      </c>
      <c r="P194" s="70">
        <f>IF(NOT((COUNTA($B194:$J194)+COUNTA($N194))&gt;0),"",IF(AND($S194="Sub",N($R194)&gt;0),IF(ISNUMBER(INDEX($D$5:$D$1000,$R194-4)),DATE(YEAR(INDEX($D$5:$D$1000,$R194-4)),MONTH(INDEX($D$5:$D$1000,$R194-4)),1),IF(ISNUMBER(INDEX($E$5:$E$1000,$R194-4)),DATE(YEAR(INDEX($E$5:$E$1000,$R194-4)),MONTH(INDEX($E$5:$E$1000,$R194-4)),1),MesCiclo)),IF(ISNUMBER($D194),DATE(YEAR($D194),MONTH($D194),1),IF(ISNUMBER($E194),DATE(YEAR($E194),MONTH($E194),1),MesCiclo))))</f>
        <v/>
      </c>
      <c r="Q194" s="71">
        <f>IF(OR($P194="",$P194&lt;&gt;MesCiclo),"",COUNTIF($P$5:$P194,MesCiclo))</f>
        <v/>
      </c>
      <c r="R194" s="71">
        <f>IF($S194="","",IF($S194="Macro",ROW(),IFERROR(LOOKUP(2,1/($S$5:$S194="Macro"),ROW($S$5:$S194)),0)))</f>
        <v/>
      </c>
      <c r="S194" s="71">
        <f>IF(NOT((COUNTA($B194:$J194)+COUNTA($N194))&gt;0),"",IF($B194="Subactividad","Sub","Macro"))</f>
        <v/>
      </c>
      <c r="T194" s="71">
        <f>IF($S194="Macro",COUNTIFS($R$5:$R$1000,ROW(),$S$5:$S$1000,"Sub"),"")</f>
        <v/>
      </c>
      <c r="U194" s="71">
        <f>IF($S194="","",IF(ISNUMBER($G194),$G194,0))</f>
        <v/>
      </c>
      <c r="V194" s="71">
        <f>IF($S194="","",IF(ISNUMBER($H194),$H194,$U194))</f>
        <v/>
      </c>
      <c r="W194" s="71">
        <f>IF($S194="","",IF(ISNUMBER($I194),$I194,$V194))</f>
        <v/>
      </c>
      <c r="X194" s="71">
        <f>IF($S194="","",IF(ISNUMBER($J194),$J194,$W194))</f>
        <v/>
      </c>
      <c r="Y194" s="71">
        <f>IF($S194="","",IF(N($T194)&gt;0,IF(N($AG194)&gt;0,SUMIFS($AC$5:$AC$1000,$R$5:$R$1000,ROW(),$S$5:$S$1000,"Sub")/$AG194,AVERAGEIFS($U$5:$U$1000,$R$5:$R$1000,ROW(),$S$5:$S$1000,"Sub")),$U194))</f>
        <v/>
      </c>
      <c r="Z194" s="71">
        <f>IF($S194="","",IF(N($T194)&gt;0,IF(N($AG194)&gt;0,SUMIFS($AD$5:$AD$1000,$R$5:$R$1000,ROW(),$S$5:$S$1000,"Sub")/$AG194,AVERAGEIFS($V$5:$V$1000,$R$5:$R$1000,ROW(),$S$5:$S$1000,"Sub")),$V194))</f>
        <v/>
      </c>
      <c r="AA194" s="71">
        <f>IF($S194="","",IF(N($T194)&gt;0,IF(N($AG194)&gt;0,SUMIFS($AE$5:$AE$1000,$R$5:$R$1000,ROW(),$S$5:$S$1000,"Sub")/$AG194,AVERAGEIFS($W$5:$W$1000,$R$5:$R$1000,ROW(),$S$5:$S$1000,"Sub")),$W194))</f>
        <v/>
      </c>
      <c r="AB194" s="71">
        <f>IF($S194="","",IF(N($T194)&gt;0,IF(N($AG194)&gt;0,SUMIFS($AF$5:$AF$1000,$R$5:$R$1000,ROW(),$S$5:$S$1000,"Sub")/$AG194,AVERAGEIFS($X$5:$X$1000,$R$5:$R$1000,ROW(),$S$5:$S$1000,"Sub")),$X194))</f>
        <v/>
      </c>
      <c r="AC194" s="71">
        <f>IF($S194="Sub",N($F194)*N($U194),"")</f>
        <v/>
      </c>
      <c r="AD194" s="71">
        <f>IF($S194="Sub",N($F194)*N($V194),"")</f>
        <v/>
      </c>
      <c r="AE194" s="71">
        <f>IF($S194="Sub",N($F194)*N($W194),"")</f>
        <v/>
      </c>
      <c r="AF194" s="71">
        <f>IF($S194="Sub",N($F194)*N($X194),"")</f>
        <v/>
      </c>
      <c r="AG194" s="71">
        <f>IF(N($T194)&gt;0,SUMIFS($F$5:$F$1000,$R$5:$R$1000,ROW(),$S$5:$S$1000,"Sub"),"")</f>
        <v/>
      </c>
    </row>
    <row r="195">
      <c r="A195" s="62">
        <f>IF(NOT((COUNTA($B195:$J195)+COUNTA($N195))&gt;0),"",IF($S195="Macro",COUNTIFS($S$5:$S195,"Macro",$P$5:$P195,$P195),IF(N($R195)=0,"?",COUNTIFS(INDEX($S$5:$S$1000,1):INDEX($S$5:$S$1000,$R195-4),"Macro",INDEX($P$5:$P$1000,1):INDEX($P$5:$P$1000,$R195-4),INDEX($P$5:$P$1000,$R195-4))&amp;"."&amp;COUNTIFS($R$5:$R195,$R195,$S$5:$S195,"Sub"))))</f>
        <v/>
      </c>
      <c r="B195" s="63" t="n"/>
      <c r="C195" s="64" t="n"/>
      <c r="D195" s="65" t="n"/>
      <c r="E195" s="65" t="n"/>
      <c r="F195" s="66" t="n"/>
      <c r="G195" s="67" t="n"/>
      <c r="H195" s="67" t="n"/>
      <c r="I195" s="67" t="n"/>
      <c r="J195" s="67" t="n"/>
      <c r="K195" s="68">
        <f>IF(NOT((COUNTA($B195:$J195)+COUNTA($N195))&gt;0),"",IF(N($T195)&gt;0,$AB195,IFERROR(LOOKUP(2,1/(G195:J195&lt;&gt;""),G195:J195),0)))</f>
        <v/>
      </c>
      <c r="L195" s="62">
        <f>IF(K195="","",IF(K195&gt;=1,"Completado",IF(K195&gt;0,"En curso","Pendiente")))</f>
        <v/>
      </c>
      <c r="M195" s="62">
        <f>IF(NOT((COUNTA($B195:$J195)+COUNTA($N195))&gt;0),"",IF(N($K195)&gt;=1,"Cumplida",IF(NOT(ISNUMBER($E195)),"Sin fecha límite",IF($E195&lt;FechaRef,"Vencida hace "&amp;(FechaRef-$E195)&amp;IF(FechaRef-$E195=1," día"," días"),IF($E195=FechaRef,"Vence hoy",IF($E195-FechaRef&lt;=DiasAlerta,"Vence en "&amp;($E195-FechaRef)&amp;IF($E195-FechaRef=1," día"," días"),"En plazo"))))))</f>
        <v/>
      </c>
      <c r="N195" s="64" t="n"/>
      <c r="O195" s="69">
        <f>IF(NOT((COUNTA($B195:$J195)+COUNTA($N195))&gt;0),"",IF((IF($C195="","Falta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",""))="","✔ OK","⚠ "&amp;LEFT(IF($C195="","Falta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",""),LEN(IF($C195="","Falta el nombre de la actividad"&amp;" · ","")&amp;IF(AND($S195="Sub",N($R195)=0),"Subactividad sin macroactividad arriba"&amp;" · ","")&amp;IF($D195="","Sin fecha de inicio"&amp;" · ","")&amp;IF($E195="","Sin fecha límite"&amp;" · ","")&amp;IF(OR(AND($D195&lt;&gt;"",NOT(ISNUMBER($D195))),AND($E195&lt;&gt;"",NOT(ISNUMBER($E195)))),"Fecha no válida"&amp;" · ","")&amp;IF(AND(ISNUMBER($D195),ISNUMBER($E195),$D195&gt;$E195),"Inicio posterior a fecha límite"&amp;" · ","")&amp;IF(AND($S195="Macro",$F195=""),"Peso vacío"&amp;" · ","")&amp;IF(AND($S195="Macro",$F195&lt;&gt;"",OR(NOT(ISNUMBER($F195)),$F195&lt;=0,$F195&gt;1)),"Peso fuera de rango"&amp;" · ","")&amp;IF(AND($S195="Sub",$F195&lt;&gt;"",OR(NOT(ISNUMBER($F195)),$F195&lt;0,$F195&gt;1)),"Peso fuera de rango"&amp;" · ","")&amp;IF(AND($S195="Sub",$F195="",IFERROR(N(INDEX($AG$5:$AG$1000,$R195-4)),0)&gt;0),"Falta el peso de la subactividad"&amp;" · ","")&amp;IF(AND(N($T195)&gt;0,N($AG195)&gt;0,ABS(N($AG195)-N($F195))&gt;0.0001),"Pesos de sus subactividades suman "&amp;TEXT(N($AG195),"0%")&amp;" (deben sumar "&amp;TEXT(N($F195),"0%")&amp;")"&amp;" · ","")&amp;IF(AND($S195="Macro",ABS(SUMIFS($F$5:$F$1000,$P$5:$P$1000,$P195,$S$5:$S$1000,"Macro")-1)&gt;0.0001),"Pesos del mes suman "&amp;TEXT(SUMIFS($F$5:$F$1000,$P$5:$P$1000,$P195,$S$5:$S$1000,"Macro"),"0%")&amp;" · ","")&amp;IF(AND(N($T195)&gt;0,COUNT($G195:$J195)&gt;0),"Con subactividades: deje vacías las semanas (se calculan solas)"&amp;" · ","")&amp;IF((COUNTIF($G195:$J195,"&gt;1")+COUNTIF($G195:$J195,"&lt;0")+COUNTA($G195:$J195)-COUNT($G195:$J195))&gt;0,"Avance fuera de rango 0-100%"&amp;" · ","")&amp;IF(OR(AND($H195&lt;&gt;"",$H195&lt;$G195),AND($I195&lt;&gt;"",$I195&lt;MAX($G195:$H195)),AND($J195&lt;&gt;"",$J195&lt;MAX($G195:$I195))),"Avance semanal decreciente"&amp;" · ","")&amp;IF(AND(ISNUMBER($E195),$E195&lt;FechaRef,N($K195)&lt;1),"Vencida"&amp;" · ","")&amp;IF(AND(ObsObligatoria="Sí",ISNUMBER($E195),$E195&lt;FechaRef,N($K195)&lt;1,$N195=""),"Vencida sin observación"&amp;" · ",""))-3)))</f>
        <v/>
      </c>
      <c r="P195" s="70">
        <f>IF(NOT((COUNTA($B195:$J195)+COUNTA($N195))&gt;0),"",IF(AND($S195="Sub",N($R195)&gt;0),IF(ISNUMBER(INDEX($D$5:$D$1000,$R195-4)),DATE(YEAR(INDEX($D$5:$D$1000,$R195-4)),MONTH(INDEX($D$5:$D$1000,$R195-4)),1),IF(ISNUMBER(INDEX($E$5:$E$1000,$R195-4)),DATE(YEAR(INDEX($E$5:$E$1000,$R195-4)),MONTH(INDEX($E$5:$E$1000,$R195-4)),1),MesCiclo)),IF(ISNUMBER($D195),DATE(YEAR($D195),MONTH($D195),1),IF(ISNUMBER($E195),DATE(YEAR($E195),MONTH($E195),1),MesCiclo))))</f>
        <v/>
      </c>
      <c r="Q195" s="71">
        <f>IF(OR($P195="",$P195&lt;&gt;MesCiclo),"",COUNTIF($P$5:$P195,MesCiclo))</f>
        <v/>
      </c>
      <c r="R195" s="71">
        <f>IF($S195="","",IF($S195="Macro",ROW(),IFERROR(LOOKUP(2,1/($S$5:$S195="Macro"),ROW($S$5:$S195)),0)))</f>
        <v/>
      </c>
      <c r="S195" s="71">
        <f>IF(NOT((COUNTA($B195:$J195)+COUNTA($N195))&gt;0),"",IF($B195="Subactividad","Sub","Macro"))</f>
        <v/>
      </c>
      <c r="T195" s="71">
        <f>IF($S195="Macro",COUNTIFS($R$5:$R$1000,ROW(),$S$5:$S$1000,"Sub"),"")</f>
        <v/>
      </c>
      <c r="U195" s="71">
        <f>IF($S195="","",IF(ISNUMBER($G195),$G195,0))</f>
        <v/>
      </c>
      <c r="V195" s="71">
        <f>IF($S195="","",IF(ISNUMBER($H195),$H195,$U195))</f>
        <v/>
      </c>
      <c r="W195" s="71">
        <f>IF($S195="","",IF(ISNUMBER($I195),$I195,$V195))</f>
        <v/>
      </c>
      <c r="X195" s="71">
        <f>IF($S195="","",IF(ISNUMBER($J195),$J195,$W195))</f>
        <v/>
      </c>
      <c r="Y195" s="71">
        <f>IF($S195="","",IF(N($T195)&gt;0,IF(N($AG195)&gt;0,SUMIFS($AC$5:$AC$1000,$R$5:$R$1000,ROW(),$S$5:$S$1000,"Sub")/$AG195,AVERAGEIFS($U$5:$U$1000,$R$5:$R$1000,ROW(),$S$5:$S$1000,"Sub")),$U195))</f>
        <v/>
      </c>
      <c r="Z195" s="71">
        <f>IF($S195="","",IF(N($T195)&gt;0,IF(N($AG195)&gt;0,SUMIFS($AD$5:$AD$1000,$R$5:$R$1000,ROW(),$S$5:$S$1000,"Sub")/$AG195,AVERAGEIFS($V$5:$V$1000,$R$5:$R$1000,ROW(),$S$5:$S$1000,"Sub")),$V195))</f>
        <v/>
      </c>
      <c r="AA195" s="71">
        <f>IF($S195="","",IF(N($T195)&gt;0,IF(N($AG195)&gt;0,SUMIFS($AE$5:$AE$1000,$R$5:$R$1000,ROW(),$S$5:$S$1000,"Sub")/$AG195,AVERAGEIFS($W$5:$W$1000,$R$5:$R$1000,ROW(),$S$5:$S$1000,"Sub")),$W195))</f>
        <v/>
      </c>
      <c r="AB195" s="71">
        <f>IF($S195="","",IF(N($T195)&gt;0,IF(N($AG195)&gt;0,SUMIFS($AF$5:$AF$1000,$R$5:$R$1000,ROW(),$S$5:$S$1000,"Sub")/$AG195,AVERAGEIFS($X$5:$X$1000,$R$5:$R$1000,ROW(),$S$5:$S$1000,"Sub")),$X195))</f>
        <v/>
      </c>
      <c r="AC195" s="71">
        <f>IF($S195="Sub",N($F195)*N($U195),"")</f>
        <v/>
      </c>
      <c r="AD195" s="71">
        <f>IF($S195="Sub",N($F195)*N($V195),"")</f>
        <v/>
      </c>
      <c r="AE195" s="71">
        <f>IF($S195="Sub",N($F195)*N($W195),"")</f>
        <v/>
      </c>
      <c r="AF195" s="71">
        <f>IF($S195="Sub",N($F195)*N($X195),"")</f>
        <v/>
      </c>
      <c r="AG195" s="71">
        <f>IF(N($T195)&gt;0,SUMIFS($F$5:$F$1000,$R$5:$R$1000,ROW(),$S$5:$S$1000,"Sub"),"")</f>
        <v/>
      </c>
    </row>
    <row r="196">
      <c r="A196" s="62">
        <f>IF(NOT((COUNTA($B196:$J196)+COUNTA($N196))&gt;0),"",IF($S196="Macro",COUNTIFS($S$5:$S196,"Macro",$P$5:$P196,$P196),IF(N($R196)=0,"?",COUNTIFS(INDEX($S$5:$S$1000,1):INDEX($S$5:$S$1000,$R196-4),"Macro",INDEX($P$5:$P$1000,1):INDEX($P$5:$P$1000,$R196-4),INDEX($P$5:$P$1000,$R196-4))&amp;"."&amp;COUNTIFS($R$5:$R196,$R196,$S$5:$S196,"Sub"))))</f>
        <v/>
      </c>
      <c r="B196" s="63" t="n"/>
      <c r="C196" s="64" t="n"/>
      <c r="D196" s="65" t="n"/>
      <c r="E196" s="65" t="n"/>
      <c r="F196" s="66" t="n"/>
      <c r="G196" s="67" t="n"/>
      <c r="H196" s="67" t="n"/>
      <c r="I196" s="67" t="n"/>
      <c r="J196" s="67" t="n"/>
      <c r="K196" s="68">
        <f>IF(NOT((COUNTA($B196:$J196)+COUNTA($N196))&gt;0),"",IF(N($T196)&gt;0,$AB196,IFERROR(LOOKUP(2,1/(G196:J196&lt;&gt;""),G196:J196),0)))</f>
        <v/>
      </c>
      <c r="L196" s="62">
        <f>IF(K196="","",IF(K196&gt;=1,"Completado",IF(K196&gt;0,"En curso","Pendiente")))</f>
        <v/>
      </c>
      <c r="M196" s="62">
        <f>IF(NOT((COUNTA($B196:$J196)+COUNTA($N196))&gt;0),"",IF(N($K196)&gt;=1,"Cumplida",IF(NOT(ISNUMBER($E196)),"Sin fecha límite",IF($E196&lt;FechaRef,"Vencida hace "&amp;(FechaRef-$E196)&amp;IF(FechaRef-$E196=1," día"," días"),IF($E196=FechaRef,"Vence hoy",IF($E196-FechaRef&lt;=DiasAlerta,"Vence en "&amp;($E196-FechaRef)&amp;IF($E196-FechaRef=1," día"," días"),"En plazo"))))))</f>
        <v/>
      </c>
      <c r="N196" s="64" t="n"/>
      <c r="O196" s="69">
        <f>IF(NOT((COUNTA($B196:$J196)+COUNTA($N196))&gt;0),"",IF((IF($C196="","Falta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",""))="","✔ OK","⚠ "&amp;LEFT(IF($C196="","Falta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",""),LEN(IF($C196="","Falta el nombre de la actividad"&amp;" · ","")&amp;IF(AND($S196="Sub",N($R196)=0),"Subactividad sin macroactividad arriba"&amp;" · ","")&amp;IF($D196="","Sin fecha de inicio"&amp;" · ","")&amp;IF($E196="","Sin fecha límite"&amp;" · ","")&amp;IF(OR(AND($D196&lt;&gt;"",NOT(ISNUMBER($D196))),AND($E196&lt;&gt;"",NOT(ISNUMBER($E196)))),"Fecha no válida"&amp;" · ","")&amp;IF(AND(ISNUMBER($D196),ISNUMBER($E196),$D196&gt;$E196),"Inicio posterior a fecha límite"&amp;" · ","")&amp;IF(AND($S196="Macro",$F196=""),"Peso vacío"&amp;" · ","")&amp;IF(AND($S196="Macro",$F196&lt;&gt;"",OR(NOT(ISNUMBER($F196)),$F196&lt;=0,$F196&gt;1)),"Peso fuera de rango"&amp;" · ","")&amp;IF(AND($S196="Sub",$F196&lt;&gt;"",OR(NOT(ISNUMBER($F196)),$F196&lt;0,$F196&gt;1)),"Peso fuera de rango"&amp;" · ","")&amp;IF(AND($S196="Sub",$F196="",IFERROR(N(INDEX($AG$5:$AG$1000,$R196-4)),0)&gt;0),"Falta el peso de la subactividad"&amp;" · ","")&amp;IF(AND(N($T196)&gt;0,N($AG196)&gt;0,ABS(N($AG196)-N($F196))&gt;0.0001),"Pesos de sus subactividades suman "&amp;TEXT(N($AG196),"0%")&amp;" (deben sumar "&amp;TEXT(N($F196),"0%")&amp;")"&amp;" · ","")&amp;IF(AND($S196="Macro",ABS(SUMIFS($F$5:$F$1000,$P$5:$P$1000,$P196,$S$5:$S$1000,"Macro")-1)&gt;0.0001),"Pesos del mes suman "&amp;TEXT(SUMIFS($F$5:$F$1000,$P$5:$P$1000,$P196,$S$5:$S$1000,"Macro"),"0%")&amp;" · ","")&amp;IF(AND(N($T196)&gt;0,COUNT($G196:$J196)&gt;0),"Con subactividades: deje vacías las semanas (se calculan solas)"&amp;" · ","")&amp;IF((COUNTIF($G196:$J196,"&gt;1")+COUNTIF($G196:$J196,"&lt;0")+COUNTA($G196:$J196)-COUNT($G196:$J196))&gt;0,"Avance fuera de rango 0-100%"&amp;" · ","")&amp;IF(OR(AND($H196&lt;&gt;"",$H196&lt;$G196),AND($I196&lt;&gt;"",$I196&lt;MAX($G196:$H196)),AND($J196&lt;&gt;"",$J196&lt;MAX($G196:$I196))),"Avance semanal decreciente"&amp;" · ","")&amp;IF(AND(ISNUMBER($E196),$E196&lt;FechaRef,N($K196)&lt;1),"Vencida"&amp;" · ","")&amp;IF(AND(ObsObligatoria="Sí",ISNUMBER($E196),$E196&lt;FechaRef,N($K196)&lt;1,$N196=""),"Vencida sin observación"&amp;" · ",""))-3)))</f>
        <v/>
      </c>
      <c r="P196" s="70">
        <f>IF(NOT((COUNTA($B196:$J196)+COUNTA($N196))&gt;0),"",IF(AND($S196="Sub",N($R196)&gt;0),IF(ISNUMBER(INDEX($D$5:$D$1000,$R196-4)),DATE(YEAR(INDEX($D$5:$D$1000,$R196-4)),MONTH(INDEX($D$5:$D$1000,$R196-4)),1),IF(ISNUMBER(INDEX($E$5:$E$1000,$R196-4)),DATE(YEAR(INDEX($E$5:$E$1000,$R196-4)),MONTH(INDEX($E$5:$E$1000,$R196-4)),1),MesCiclo)),IF(ISNUMBER($D196),DATE(YEAR($D196),MONTH($D196),1),IF(ISNUMBER($E196),DATE(YEAR($E196),MONTH($E196),1),MesCiclo))))</f>
        <v/>
      </c>
      <c r="Q196" s="71">
        <f>IF(OR($P196="",$P196&lt;&gt;MesCiclo),"",COUNTIF($P$5:$P196,MesCiclo))</f>
        <v/>
      </c>
      <c r="R196" s="71">
        <f>IF($S196="","",IF($S196="Macro",ROW(),IFERROR(LOOKUP(2,1/($S$5:$S196="Macro"),ROW($S$5:$S196)),0)))</f>
        <v/>
      </c>
      <c r="S196" s="71">
        <f>IF(NOT((COUNTA($B196:$J196)+COUNTA($N196))&gt;0),"",IF($B196="Subactividad","Sub","Macro"))</f>
        <v/>
      </c>
      <c r="T196" s="71">
        <f>IF($S196="Macro",COUNTIFS($R$5:$R$1000,ROW(),$S$5:$S$1000,"Sub"),"")</f>
        <v/>
      </c>
      <c r="U196" s="71">
        <f>IF($S196="","",IF(ISNUMBER($G196),$G196,0))</f>
        <v/>
      </c>
      <c r="V196" s="71">
        <f>IF($S196="","",IF(ISNUMBER($H196),$H196,$U196))</f>
        <v/>
      </c>
      <c r="W196" s="71">
        <f>IF($S196="","",IF(ISNUMBER($I196),$I196,$V196))</f>
        <v/>
      </c>
      <c r="X196" s="71">
        <f>IF($S196="","",IF(ISNUMBER($J196),$J196,$W196))</f>
        <v/>
      </c>
      <c r="Y196" s="71">
        <f>IF($S196="","",IF(N($T196)&gt;0,IF(N($AG196)&gt;0,SUMIFS($AC$5:$AC$1000,$R$5:$R$1000,ROW(),$S$5:$S$1000,"Sub")/$AG196,AVERAGEIFS($U$5:$U$1000,$R$5:$R$1000,ROW(),$S$5:$S$1000,"Sub")),$U196))</f>
        <v/>
      </c>
      <c r="Z196" s="71">
        <f>IF($S196="","",IF(N($T196)&gt;0,IF(N($AG196)&gt;0,SUMIFS($AD$5:$AD$1000,$R$5:$R$1000,ROW(),$S$5:$S$1000,"Sub")/$AG196,AVERAGEIFS($V$5:$V$1000,$R$5:$R$1000,ROW(),$S$5:$S$1000,"Sub")),$V196))</f>
        <v/>
      </c>
      <c r="AA196" s="71">
        <f>IF($S196="","",IF(N($T196)&gt;0,IF(N($AG196)&gt;0,SUMIFS($AE$5:$AE$1000,$R$5:$R$1000,ROW(),$S$5:$S$1000,"Sub")/$AG196,AVERAGEIFS($W$5:$W$1000,$R$5:$R$1000,ROW(),$S$5:$S$1000,"Sub")),$W196))</f>
        <v/>
      </c>
      <c r="AB196" s="71">
        <f>IF($S196="","",IF(N($T196)&gt;0,IF(N($AG196)&gt;0,SUMIFS($AF$5:$AF$1000,$R$5:$R$1000,ROW(),$S$5:$S$1000,"Sub")/$AG196,AVERAGEIFS($X$5:$X$1000,$R$5:$R$1000,ROW(),$S$5:$S$1000,"Sub")),$X196))</f>
        <v/>
      </c>
      <c r="AC196" s="71">
        <f>IF($S196="Sub",N($F196)*N($U196),"")</f>
        <v/>
      </c>
      <c r="AD196" s="71">
        <f>IF($S196="Sub",N($F196)*N($V196),"")</f>
        <v/>
      </c>
      <c r="AE196" s="71">
        <f>IF($S196="Sub",N($F196)*N($W196),"")</f>
        <v/>
      </c>
      <c r="AF196" s="71">
        <f>IF($S196="Sub",N($F196)*N($X196),"")</f>
        <v/>
      </c>
      <c r="AG196" s="71">
        <f>IF(N($T196)&gt;0,SUMIFS($F$5:$F$1000,$R$5:$R$1000,ROW(),$S$5:$S$1000,"Sub"),"")</f>
        <v/>
      </c>
    </row>
    <row r="197">
      <c r="A197" s="62">
        <f>IF(NOT((COUNTA($B197:$J197)+COUNTA($N197))&gt;0),"",IF($S197="Macro",COUNTIFS($S$5:$S197,"Macro",$P$5:$P197,$P197),IF(N($R197)=0,"?",COUNTIFS(INDEX($S$5:$S$1000,1):INDEX($S$5:$S$1000,$R197-4),"Macro",INDEX($P$5:$P$1000,1):INDEX($P$5:$P$1000,$R197-4),INDEX($P$5:$P$1000,$R197-4))&amp;"."&amp;COUNTIFS($R$5:$R197,$R197,$S$5:$S197,"Sub"))))</f>
        <v/>
      </c>
      <c r="B197" s="63" t="n"/>
      <c r="C197" s="64" t="n"/>
      <c r="D197" s="65" t="n"/>
      <c r="E197" s="65" t="n"/>
      <c r="F197" s="66" t="n"/>
      <c r="G197" s="67" t="n"/>
      <c r="H197" s="67" t="n"/>
      <c r="I197" s="67" t="n"/>
      <c r="J197" s="67" t="n"/>
      <c r="K197" s="68">
        <f>IF(NOT((COUNTA($B197:$J197)+COUNTA($N197))&gt;0),"",IF(N($T197)&gt;0,$AB197,IFERROR(LOOKUP(2,1/(G197:J197&lt;&gt;""),G197:J197),0)))</f>
        <v/>
      </c>
      <c r="L197" s="62">
        <f>IF(K197="","",IF(K197&gt;=1,"Completado",IF(K197&gt;0,"En curso","Pendiente")))</f>
        <v/>
      </c>
      <c r="M197" s="62">
        <f>IF(NOT((COUNTA($B197:$J197)+COUNTA($N197))&gt;0),"",IF(N($K197)&gt;=1,"Cumplida",IF(NOT(ISNUMBER($E197)),"Sin fecha límite",IF($E197&lt;FechaRef,"Vencida hace "&amp;(FechaRef-$E197)&amp;IF(FechaRef-$E197=1," día"," días"),IF($E197=FechaRef,"Vence hoy",IF($E197-FechaRef&lt;=DiasAlerta,"Vence en "&amp;($E197-FechaRef)&amp;IF($E197-FechaRef=1," día"," días"),"En plazo"))))))</f>
        <v/>
      </c>
      <c r="N197" s="64" t="n"/>
      <c r="O197" s="69">
        <f>IF(NOT((COUNTA($B197:$J197)+COUNTA($N197))&gt;0),"",IF((IF($C197="","Falta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",""))="","✔ OK","⚠ "&amp;LEFT(IF($C197="","Falta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",""),LEN(IF($C197="","Falta el nombre de la actividad"&amp;" · ","")&amp;IF(AND($S197="Sub",N($R197)=0),"Subactividad sin macroactividad arriba"&amp;" · ","")&amp;IF($D197="","Sin fecha de inicio"&amp;" · ","")&amp;IF($E197="","Sin fecha límite"&amp;" · ","")&amp;IF(OR(AND($D197&lt;&gt;"",NOT(ISNUMBER($D197))),AND($E197&lt;&gt;"",NOT(ISNUMBER($E197)))),"Fecha no válida"&amp;" · ","")&amp;IF(AND(ISNUMBER($D197),ISNUMBER($E197),$D197&gt;$E197),"Inicio posterior a fecha límite"&amp;" · ","")&amp;IF(AND($S197="Macro",$F197=""),"Peso vacío"&amp;" · ","")&amp;IF(AND($S197="Macro",$F197&lt;&gt;"",OR(NOT(ISNUMBER($F197)),$F197&lt;=0,$F197&gt;1)),"Peso fuera de rango"&amp;" · ","")&amp;IF(AND($S197="Sub",$F197&lt;&gt;"",OR(NOT(ISNUMBER($F197)),$F197&lt;0,$F197&gt;1)),"Peso fuera de rango"&amp;" · ","")&amp;IF(AND($S197="Sub",$F197="",IFERROR(N(INDEX($AG$5:$AG$1000,$R197-4)),0)&gt;0),"Falta el peso de la subactividad"&amp;" · ","")&amp;IF(AND(N($T197)&gt;0,N($AG197)&gt;0,ABS(N($AG197)-N($F197))&gt;0.0001),"Pesos de sus subactividades suman "&amp;TEXT(N($AG197),"0%")&amp;" (deben sumar "&amp;TEXT(N($F197),"0%")&amp;")"&amp;" · ","")&amp;IF(AND($S197="Macro",ABS(SUMIFS($F$5:$F$1000,$P$5:$P$1000,$P197,$S$5:$S$1000,"Macro")-1)&gt;0.0001),"Pesos del mes suman "&amp;TEXT(SUMIFS($F$5:$F$1000,$P$5:$P$1000,$P197,$S$5:$S$1000,"Macro"),"0%")&amp;" · ","")&amp;IF(AND(N($T197)&gt;0,COUNT($G197:$J197)&gt;0),"Con subactividades: deje vacías las semanas (se calculan solas)"&amp;" · ","")&amp;IF((COUNTIF($G197:$J197,"&gt;1")+COUNTIF($G197:$J197,"&lt;0")+COUNTA($G197:$J197)-COUNT($G197:$J197))&gt;0,"Avance fuera de rango 0-100%"&amp;" · ","")&amp;IF(OR(AND($H197&lt;&gt;"",$H197&lt;$G197),AND($I197&lt;&gt;"",$I197&lt;MAX($G197:$H197)),AND($J197&lt;&gt;"",$J197&lt;MAX($G197:$I197))),"Avance semanal decreciente"&amp;" · ","")&amp;IF(AND(ISNUMBER($E197),$E197&lt;FechaRef,N($K197)&lt;1),"Vencida"&amp;" · ","")&amp;IF(AND(ObsObligatoria="Sí",ISNUMBER($E197),$E197&lt;FechaRef,N($K197)&lt;1,$N197=""),"Vencida sin observación"&amp;" · ",""))-3)))</f>
        <v/>
      </c>
      <c r="P197" s="70">
        <f>IF(NOT((COUNTA($B197:$J197)+COUNTA($N197))&gt;0),"",IF(AND($S197="Sub",N($R197)&gt;0),IF(ISNUMBER(INDEX($D$5:$D$1000,$R197-4)),DATE(YEAR(INDEX($D$5:$D$1000,$R197-4)),MONTH(INDEX($D$5:$D$1000,$R197-4)),1),IF(ISNUMBER(INDEX($E$5:$E$1000,$R197-4)),DATE(YEAR(INDEX($E$5:$E$1000,$R197-4)),MONTH(INDEX($E$5:$E$1000,$R197-4)),1),MesCiclo)),IF(ISNUMBER($D197),DATE(YEAR($D197),MONTH($D197),1),IF(ISNUMBER($E197),DATE(YEAR($E197),MONTH($E197),1),MesCiclo))))</f>
        <v/>
      </c>
      <c r="Q197" s="71">
        <f>IF(OR($P197="",$P197&lt;&gt;MesCiclo),"",COUNTIF($P$5:$P197,MesCiclo))</f>
        <v/>
      </c>
      <c r="R197" s="71">
        <f>IF($S197="","",IF($S197="Macro",ROW(),IFERROR(LOOKUP(2,1/($S$5:$S197="Macro"),ROW($S$5:$S197)),0)))</f>
        <v/>
      </c>
      <c r="S197" s="71">
        <f>IF(NOT((COUNTA($B197:$J197)+COUNTA($N197))&gt;0),"",IF($B197="Subactividad","Sub","Macro"))</f>
        <v/>
      </c>
      <c r="T197" s="71">
        <f>IF($S197="Macro",COUNTIFS($R$5:$R$1000,ROW(),$S$5:$S$1000,"Sub"),"")</f>
        <v/>
      </c>
      <c r="U197" s="71">
        <f>IF($S197="","",IF(ISNUMBER($G197),$G197,0))</f>
        <v/>
      </c>
      <c r="V197" s="71">
        <f>IF($S197="","",IF(ISNUMBER($H197),$H197,$U197))</f>
        <v/>
      </c>
      <c r="W197" s="71">
        <f>IF($S197="","",IF(ISNUMBER($I197),$I197,$V197))</f>
        <v/>
      </c>
      <c r="X197" s="71">
        <f>IF($S197="","",IF(ISNUMBER($J197),$J197,$W197))</f>
        <v/>
      </c>
      <c r="Y197" s="71">
        <f>IF($S197="","",IF(N($T197)&gt;0,IF(N($AG197)&gt;0,SUMIFS($AC$5:$AC$1000,$R$5:$R$1000,ROW(),$S$5:$S$1000,"Sub")/$AG197,AVERAGEIFS($U$5:$U$1000,$R$5:$R$1000,ROW(),$S$5:$S$1000,"Sub")),$U197))</f>
        <v/>
      </c>
      <c r="Z197" s="71">
        <f>IF($S197="","",IF(N($T197)&gt;0,IF(N($AG197)&gt;0,SUMIFS($AD$5:$AD$1000,$R$5:$R$1000,ROW(),$S$5:$S$1000,"Sub")/$AG197,AVERAGEIFS($V$5:$V$1000,$R$5:$R$1000,ROW(),$S$5:$S$1000,"Sub")),$V197))</f>
        <v/>
      </c>
      <c r="AA197" s="71">
        <f>IF($S197="","",IF(N($T197)&gt;0,IF(N($AG197)&gt;0,SUMIFS($AE$5:$AE$1000,$R$5:$R$1000,ROW(),$S$5:$S$1000,"Sub")/$AG197,AVERAGEIFS($W$5:$W$1000,$R$5:$R$1000,ROW(),$S$5:$S$1000,"Sub")),$W197))</f>
        <v/>
      </c>
      <c r="AB197" s="71">
        <f>IF($S197="","",IF(N($T197)&gt;0,IF(N($AG197)&gt;0,SUMIFS($AF$5:$AF$1000,$R$5:$R$1000,ROW(),$S$5:$S$1000,"Sub")/$AG197,AVERAGEIFS($X$5:$X$1000,$R$5:$R$1000,ROW(),$S$5:$S$1000,"Sub")),$X197))</f>
        <v/>
      </c>
      <c r="AC197" s="71">
        <f>IF($S197="Sub",N($F197)*N($U197),"")</f>
        <v/>
      </c>
      <c r="AD197" s="71">
        <f>IF($S197="Sub",N($F197)*N($V197),"")</f>
        <v/>
      </c>
      <c r="AE197" s="71">
        <f>IF($S197="Sub",N($F197)*N($W197),"")</f>
        <v/>
      </c>
      <c r="AF197" s="71">
        <f>IF($S197="Sub",N($F197)*N($X197),"")</f>
        <v/>
      </c>
      <c r="AG197" s="71">
        <f>IF(N($T197)&gt;0,SUMIFS($F$5:$F$1000,$R$5:$R$1000,ROW(),$S$5:$S$1000,"Sub"),"")</f>
        <v/>
      </c>
    </row>
    <row r="198">
      <c r="A198" s="62">
        <f>IF(NOT((COUNTA($B198:$J198)+COUNTA($N198))&gt;0),"",IF($S198="Macro",COUNTIFS($S$5:$S198,"Macro",$P$5:$P198,$P198),IF(N($R198)=0,"?",COUNTIFS(INDEX($S$5:$S$1000,1):INDEX($S$5:$S$1000,$R198-4),"Macro",INDEX($P$5:$P$1000,1):INDEX($P$5:$P$1000,$R198-4),INDEX($P$5:$P$1000,$R198-4))&amp;"."&amp;COUNTIFS($R$5:$R198,$R198,$S$5:$S198,"Sub"))))</f>
        <v/>
      </c>
      <c r="B198" s="63" t="n"/>
      <c r="C198" s="64" t="n"/>
      <c r="D198" s="65" t="n"/>
      <c r="E198" s="65" t="n"/>
      <c r="F198" s="66" t="n"/>
      <c r="G198" s="67" t="n"/>
      <c r="H198" s="67" t="n"/>
      <c r="I198" s="67" t="n"/>
      <c r="J198" s="67" t="n"/>
      <c r="K198" s="68">
        <f>IF(NOT((COUNTA($B198:$J198)+COUNTA($N198))&gt;0),"",IF(N($T198)&gt;0,$AB198,IFERROR(LOOKUP(2,1/(G198:J198&lt;&gt;""),G198:J198),0)))</f>
        <v/>
      </c>
      <c r="L198" s="62">
        <f>IF(K198="","",IF(K198&gt;=1,"Completado",IF(K198&gt;0,"En curso","Pendiente")))</f>
        <v/>
      </c>
      <c r="M198" s="62">
        <f>IF(NOT((COUNTA($B198:$J198)+COUNTA($N198))&gt;0),"",IF(N($K198)&gt;=1,"Cumplida",IF(NOT(ISNUMBER($E198)),"Sin fecha límite",IF($E198&lt;FechaRef,"Vencida hace "&amp;(FechaRef-$E198)&amp;IF(FechaRef-$E198=1," día"," días"),IF($E198=FechaRef,"Vence hoy",IF($E198-FechaRef&lt;=DiasAlerta,"Vence en "&amp;($E198-FechaRef)&amp;IF($E198-FechaRef=1," día"," días"),"En plazo"))))))</f>
        <v/>
      </c>
      <c r="N198" s="64" t="n"/>
      <c r="O198" s="69">
        <f>IF(NOT((COUNTA($B198:$J198)+COUNTA($N198))&gt;0),"",IF((IF($C198="","Falta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",""))="","✔ OK","⚠ "&amp;LEFT(IF($C198="","Falta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",""),LEN(IF($C198="","Falta el nombre de la actividad"&amp;" · ","")&amp;IF(AND($S198="Sub",N($R198)=0),"Subactividad sin macroactividad arriba"&amp;" · ","")&amp;IF($D198="","Sin fecha de inicio"&amp;" · ","")&amp;IF($E198="","Sin fecha límite"&amp;" · ","")&amp;IF(OR(AND($D198&lt;&gt;"",NOT(ISNUMBER($D198))),AND($E198&lt;&gt;"",NOT(ISNUMBER($E198)))),"Fecha no válida"&amp;" · ","")&amp;IF(AND(ISNUMBER($D198),ISNUMBER($E198),$D198&gt;$E198),"Inicio posterior a fecha límite"&amp;" · ","")&amp;IF(AND($S198="Macro",$F198=""),"Peso vacío"&amp;" · ","")&amp;IF(AND($S198="Macro",$F198&lt;&gt;"",OR(NOT(ISNUMBER($F198)),$F198&lt;=0,$F198&gt;1)),"Peso fuera de rango"&amp;" · ","")&amp;IF(AND($S198="Sub",$F198&lt;&gt;"",OR(NOT(ISNUMBER($F198)),$F198&lt;0,$F198&gt;1)),"Peso fuera de rango"&amp;" · ","")&amp;IF(AND($S198="Sub",$F198="",IFERROR(N(INDEX($AG$5:$AG$1000,$R198-4)),0)&gt;0),"Falta el peso de la subactividad"&amp;" · ","")&amp;IF(AND(N($T198)&gt;0,N($AG198)&gt;0,ABS(N($AG198)-N($F198))&gt;0.0001),"Pesos de sus subactividades suman "&amp;TEXT(N($AG198),"0%")&amp;" (deben sumar "&amp;TEXT(N($F198),"0%")&amp;")"&amp;" · ","")&amp;IF(AND($S198="Macro",ABS(SUMIFS($F$5:$F$1000,$P$5:$P$1000,$P198,$S$5:$S$1000,"Macro")-1)&gt;0.0001),"Pesos del mes suman "&amp;TEXT(SUMIFS($F$5:$F$1000,$P$5:$P$1000,$P198,$S$5:$S$1000,"Macro"),"0%")&amp;" · ","")&amp;IF(AND(N($T198)&gt;0,COUNT($G198:$J198)&gt;0),"Con subactividades: deje vacías las semanas (se calculan solas)"&amp;" · ","")&amp;IF((COUNTIF($G198:$J198,"&gt;1")+COUNTIF($G198:$J198,"&lt;0")+COUNTA($G198:$J198)-COUNT($G198:$J198))&gt;0,"Avance fuera de rango 0-100%"&amp;" · ","")&amp;IF(OR(AND($H198&lt;&gt;"",$H198&lt;$G198),AND($I198&lt;&gt;"",$I198&lt;MAX($G198:$H198)),AND($J198&lt;&gt;"",$J198&lt;MAX($G198:$I198))),"Avance semanal decreciente"&amp;" · ","")&amp;IF(AND(ISNUMBER($E198),$E198&lt;FechaRef,N($K198)&lt;1),"Vencida"&amp;" · ","")&amp;IF(AND(ObsObligatoria="Sí",ISNUMBER($E198),$E198&lt;FechaRef,N($K198)&lt;1,$N198=""),"Vencida sin observación"&amp;" · ",""))-3)))</f>
        <v/>
      </c>
      <c r="P198" s="70">
        <f>IF(NOT((COUNTA($B198:$J198)+COUNTA($N198))&gt;0),"",IF(AND($S198="Sub",N($R198)&gt;0),IF(ISNUMBER(INDEX($D$5:$D$1000,$R198-4)),DATE(YEAR(INDEX($D$5:$D$1000,$R198-4)),MONTH(INDEX($D$5:$D$1000,$R198-4)),1),IF(ISNUMBER(INDEX($E$5:$E$1000,$R198-4)),DATE(YEAR(INDEX($E$5:$E$1000,$R198-4)),MONTH(INDEX($E$5:$E$1000,$R198-4)),1),MesCiclo)),IF(ISNUMBER($D198),DATE(YEAR($D198),MONTH($D198),1),IF(ISNUMBER($E198),DATE(YEAR($E198),MONTH($E198),1),MesCiclo))))</f>
        <v/>
      </c>
      <c r="Q198" s="71">
        <f>IF(OR($P198="",$P198&lt;&gt;MesCiclo),"",COUNTIF($P$5:$P198,MesCiclo))</f>
        <v/>
      </c>
      <c r="R198" s="71">
        <f>IF($S198="","",IF($S198="Macro",ROW(),IFERROR(LOOKUP(2,1/($S$5:$S198="Macro"),ROW($S$5:$S198)),0)))</f>
        <v/>
      </c>
      <c r="S198" s="71">
        <f>IF(NOT((COUNTA($B198:$J198)+COUNTA($N198))&gt;0),"",IF($B198="Subactividad","Sub","Macro"))</f>
        <v/>
      </c>
      <c r="T198" s="71">
        <f>IF($S198="Macro",COUNTIFS($R$5:$R$1000,ROW(),$S$5:$S$1000,"Sub"),"")</f>
        <v/>
      </c>
      <c r="U198" s="71">
        <f>IF($S198="","",IF(ISNUMBER($G198),$G198,0))</f>
        <v/>
      </c>
      <c r="V198" s="71">
        <f>IF($S198="","",IF(ISNUMBER($H198),$H198,$U198))</f>
        <v/>
      </c>
      <c r="W198" s="71">
        <f>IF($S198="","",IF(ISNUMBER($I198),$I198,$V198))</f>
        <v/>
      </c>
      <c r="X198" s="71">
        <f>IF($S198="","",IF(ISNUMBER($J198),$J198,$W198))</f>
        <v/>
      </c>
      <c r="Y198" s="71">
        <f>IF($S198="","",IF(N($T198)&gt;0,IF(N($AG198)&gt;0,SUMIFS($AC$5:$AC$1000,$R$5:$R$1000,ROW(),$S$5:$S$1000,"Sub")/$AG198,AVERAGEIFS($U$5:$U$1000,$R$5:$R$1000,ROW(),$S$5:$S$1000,"Sub")),$U198))</f>
        <v/>
      </c>
      <c r="Z198" s="71">
        <f>IF($S198="","",IF(N($T198)&gt;0,IF(N($AG198)&gt;0,SUMIFS($AD$5:$AD$1000,$R$5:$R$1000,ROW(),$S$5:$S$1000,"Sub")/$AG198,AVERAGEIFS($V$5:$V$1000,$R$5:$R$1000,ROW(),$S$5:$S$1000,"Sub")),$V198))</f>
        <v/>
      </c>
      <c r="AA198" s="71">
        <f>IF($S198="","",IF(N($T198)&gt;0,IF(N($AG198)&gt;0,SUMIFS($AE$5:$AE$1000,$R$5:$R$1000,ROW(),$S$5:$S$1000,"Sub")/$AG198,AVERAGEIFS($W$5:$W$1000,$R$5:$R$1000,ROW(),$S$5:$S$1000,"Sub")),$W198))</f>
        <v/>
      </c>
      <c r="AB198" s="71">
        <f>IF($S198="","",IF(N($T198)&gt;0,IF(N($AG198)&gt;0,SUMIFS($AF$5:$AF$1000,$R$5:$R$1000,ROW(),$S$5:$S$1000,"Sub")/$AG198,AVERAGEIFS($X$5:$X$1000,$R$5:$R$1000,ROW(),$S$5:$S$1000,"Sub")),$X198))</f>
        <v/>
      </c>
      <c r="AC198" s="71">
        <f>IF($S198="Sub",N($F198)*N($U198),"")</f>
        <v/>
      </c>
      <c r="AD198" s="71">
        <f>IF($S198="Sub",N($F198)*N($V198),"")</f>
        <v/>
      </c>
      <c r="AE198" s="71">
        <f>IF($S198="Sub",N($F198)*N($W198),"")</f>
        <v/>
      </c>
      <c r="AF198" s="71">
        <f>IF($S198="Sub",N($F198)*N($X198),"")</f>
        <v/>
      </c>
      <c r="AG198" s="71">
        <f>IF(N($T198)&gt;0,SUMIFS($F$5:$F$1000,$R$5:$R$1000,ROW(),$S$5:$S$1000,"Sub"),"")</f>
        <v/>
      </c>
    </row>
    <row r="199">
      <c r="A199" s="62">
        <f>IF(NOT((COUNTA($B199:$J199)+COUNTA($N199))&gt;0),"",IF($S199="Macro",COUNTIFS($S$5:$S199,"Macro",$P$5:$P199,$P199),IF(N($R199)=0,"?",COUNTIFS(INDEX($S$5:$S$1000,1):INDEX($S$5:$S$1000,$R199-4),"Macro",INDEX($P$5:$P$1000,1):INDEX($P$5:$P$1000,$R199-4),INDEX($P$5:$P$1000,$R199-4))&amp;"."&amp;COUNTIFS($R$5:$R199,$R199,$S$5:$S199,"Sub"))))</f>
        <v/>
      </c>
      <c r="B199" s="63" t="n"/>
      <c r="C199" s="64" t="n"/>
      <c r="D199" s="65" t="n"/>
      <c r="E199" s="65" t="n"/>
      <c r="F199" s="66" t="n"/>
      <c r="G199" s="67" t="n"/>
      <c r="H199" s="67" t="n"/>
      <c r="I199" s="67" t="n"/>
      <c r="J199" s="67" t="n"/>
      <c r="K199" s="68">
        <f>IF(NOT((COUNTA($B199:$J199)+COUNTA($N199))&gt;0),"",IF(N($T199)&gt;0,$AB199,IFERROR(LOOKUP(2,1/(G199:J199&lt;&gt;""),G199:J199),0)))</f>
        <v/>
      </c>
      <c r="L199" s="62">
        <f>IF(K199="","",IF(K199&gt;=1,"Completado",IF(K199&gt;0,"En curso","Pendiente")))</f>
        <v/>
      </c>
      <c r="M199" s="62">
        <f>IF(NOT((COUNTA($B199:$J199)+COUNTA($N199))&gt;0),"",IF(N($K199)&gt;=1,"Cumplida",IF(NOT(ISNUMBER($E199)),"Sin fecha límite",IF($E199&lt;FechaRef,"Vencida hace "&amp;(FechaRef-$E199)&amp;IF(FechaRef-$E199=1," día"," días"),IF($E199=FechaRef,"Vence hoy",IF($E199-FechaRef&lt;=DiasAlerta,"Vence en "&amp;($E199-FechaRef)&amp;IF($E199-FechaRef=1," día"," días"),"En plazo"))))))</f>
        <v/>
      </c>
      <c r="N199" s="64" t="n"/>
      <c r="O199" s="69">
        <f>IF(NOT((COUNTA($B199:$J199)+COUNTA($N199))&gt;0),"",IF((IF($C199="","Falta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",""))="","✔ OK","⚠ "&amp;LEFT(IF($C199="","Falta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",""),LEN(IF($C199="","Falta el nombre de la actividad"&amp;" · ","")&amp;IF(AND($S199="Sub",N($R199)=0),"Subactividad sin macroactividad arriba"&amp;" · ","")&amp;IF($D199="","Sin fecha de inicio"&amp;" · ","")&amp;IF($E199="","Sin fecha límite"&amp;" · ","")&amp;IF(OR(AND($D199&lt;&gt;"",NOT(ISNUMBER($D199))),AND($E199&lt;&gt;"",NOT(ISNUMBER($E199)))),"Fecha no válida"&amp;" · ","")&amp;IF(AND(ISNUMBER($D199),ISNUMBER($E199),$D199&gt;$E199),"Inicio posterior a fecha límite"&amp;" · ","")&amp;IF(AND($S199="Macro",$F199=""),"Peso vacío"&amp;" · ","")&amp;IF(AND($S199="Macro",$F199&lt;&gt;"",OR(NOT(ISNUMBER($F199)),$F199&lt;=0,$F199&gt;1)),"Peso fuera de rango"&amp;" · ","")&amp;IF(AND($S199="Sub",$F199&lt;&gt;"",OR(NOT(ISNUMBER($F199)),$F199&lt;0,$F199&gt;1)),"Peso fuera de rango"&amp;" · ","")&amp;IF(AND($S199="Sub",$F199="",IFERROR(N(INDEX($AG$5:$AG$1000,$R199-4)),0)&gt;0),"Falta el peso de la subactividad"&amp;" · ","")&amp;IF(AND(N($T199)&gt;0,N($AG199)&gt;0,ABS(N($AG199)-N($F199))&gt;0.0001),"Pesos de sus subactividades suman "&amp;TEXT(N($AG199),"0%")&amp;" (deben sumar "&amp;TEXT(N($F199),"0%")&amp;")"&amp;" · ","")&amp;IF(AND($S199="Macro",ABS(SUMIFS($F$5:$F$1000,$P$5:$P$1000,$P199,$S$5:$S$1000,"Macro")-1)&gt;0.0001),"Pesos del mes suman "&amp;TEXT(SUMIFS($F$5:$F$1000,$P$5:$P$1000,$P199,$S$5:$S$1000,"Macro"),"0%")&amp;" · ","")&amp;IF(AND(N($T199)&gt;0,COUNT($G199:$J199)&gt;0),"Con subactividades: deje vacías las semanas (se calculan solas)"&amp;" · ","")&amp;IF((COUNTIF($G199:$J199,"&gt;1")+COUNTIF($G199:$J199,"&lt;0")+COUNTA($G199:$J199)-COUNT($G199:$J199))&gt;0,"Avance fuera de rango 0-100%"&amp;" · ","")&amp;IF(OR(AND($H199&lt;&gt;"",$H199&lt;$G199),AND($I199&lt;&gt;"",$I199&lt;MAX($G199:$H199)),AND($J199&lt;&gt;"",$J199&lt;MAX($G199:$I199))),"Avance semanal decreciente"&amp;" · ","")&amp;IF(AND(ISNUMBER($E199),$E199&lt;FechaRef,N($K199)&lt;1),"Vencida"&amp;" · ","")&amp;IF(AND(ObsObligatoria="Sí",ISNUMBER($E199),$E199&lt;FechaRef,N($K199)&lt;1,$N199=""),"Vencida sin observación"&amp;" · ",""))-3)))</f>
        <v/>
      </c>
      <c r="P199" s="70">
        <f>IF(NOT((COUNTA($B199:$J199)+COUNTA($N199))&gt;0),"",IF(AND($S199="Sub",N($R199)&gt;0),IF(ISNUMBER(INDEX($D$5:$D$1000,$R199-4)),DATE(YEAR(INDEX($D$5:$D$1000,$R199-4)),MONTH(INDEX($D$5:$D$1000,$R199-4)),1),IF(ISNUMBER(INDEX($E$5:$E$1000,$R199-4)),DATE(YEAR(INDEX($E$5:$E$1000,$R199-4)),MONTH(INDEX($E$5:$E$1000,$R199-4)),1),MesCiclo)),IF(ISNUMBER($D199),DATE(YEAR($D199),MONTH($D199),1),IF(ISNUMBER($E199),DATE(YEAR($E199),MONTH($E199),1),MesCiclo))))</f>
        <v/>
      </c>
      <c r="Q199" s="71">
        <f>IF(OR($P199="",$P199&lt;&gt;MesCiclo),"",COUNTIF($P$5:$P199,MesCiclo))</f>
        <v/>
      </c>
      <c r="R199" s="71">
        <f>IF($S199="","",IF($S199="Macro",ROW(),IFERROR(LOOKUP(2,1/($S$5:$S199="Macro"),ROW($S$5:$S199)),0)))</f>
        <v/>
      </c>
      <c r="S199" s="71">
        <f>IF(NOT((COUNTA($B199:$J199)+COUNTA($N199))&gt;0),"",IF($B199="Subactividad","Sub","Macro"))</f>
        <v/>
      </c>
      <c r="T199" s="71">
        <f>IF($S199="Macro",COUNTIFS($R$5:$R$1000,ROW(),$S$5:$S$1000,"Sub"),"")</f>
        <v/>
      </c>
      <c r="U199" s="71">
        <f>IF($S199="","",IF(ISNUMBER($G199),$G199,0))</f>
        <v/>
      </c>
      <c r="V199" s="71">
        <f>IF($S199="","",IF(ISNUMBER($H199),$H199,$U199))</f>
        <v/>
      </c>
      <c r="W199" s="71">
        <f>IF($S199="","",IF(ISNUMBER($I199),$I199,$V199))</f>
        <v/>
      </c>
      <c r="X199" s="71">
        <f>IF($S199="","",IF(ISNUMBER($J199),$J199,$W199))</f>
        <v/>
      </c>
      <c r="Y199" s="71">
        <f>IF($S199="","",IF(N($T199)&gt;0,IF(N($AG199)&gt;0,SUMIFS($AC$5:$AC$1000,$R$5:$R$1000,ROW(),$S$5:$S$1000,"Sub")/$AG199,AVERAGEIFS($U$5:$U$1000,$R$5:$R$1000,ROW(),$S$5:$S$1000,"Sub")),$U199))</f>
        <v/>
      </c>
      <c r="Z199" s="71">
        <f>IF($S199="","",IF(N($T199)&gt;0,IF(N($AG199)&gt;0,SUMIFS($AD$5:$AD$1000,$R$5:$R$1000,ROW(),$S$5:$S$1000,"Sub")/$AG199,AVERAGEIFS($V$5:$V$1000,$R$5:$R$1000,ROW(),$S$5:$S$1000,"Sub")),$V199))</f>
        <v/>
      </c>
      <c r="AA199" s="71">
        <f>IF($S199="","",IF(N($T199)&gt;0,IF(N($AG199)&gt;0,SUMIFS($AE$5:$AE$1000,$R$5:$R$1000,ROW(),$S$5:$S$1000,"Sub")/$AG199,AVERAGEIFS($W$5:$W$1000,$R$5:$R$1000,ROW(),$S$5:$S$1000,"Sub")),$W199))</f>
        <v/>
      </c>
      <c r="AB199" s="71">
        <f>IF($S199="","",IF(N($T199)&gt;0,IF(N($AG199)&gt;0,SUMIFS($AF$5:$AF$1000,$R$5:$R$1000,ROW(),$S$5:$S$1000,"Sub")/$AG199,AVERAGEIFS($X$5:$X$1000,$R$5:$R$1000,ROW(),$S$5:$S$1000,"Sub")),$X199))</f>
        <v/>
      </c>
      <c r="AC199" s="71">
        <f>IF($S199="Sub",N($F199)*N($U199),"")</f>
        <v/>
      </c>
      <c r="AD199" s="71">
        <f>IF($S199="Sub",N($F199)*N($V199),"")</f>
        <v/>
      </c>
      <c r="AE199" s="71">
        <f>IF($S199="Sub",N($F199)*N($W199),"")</f>
        <v/>
      </c>
      <c r="AF199" s="71">
        <f>IF($S199="Sub",N($F199)*N($X199),"")</f>
        <v/>
      </c>
      <c r="AG199" s="71">
        <f>IF(N($T199)&gt;0,SUMIFS($F$5:$F$1000,$R$5:$R$1000,ROW(),$S$5:$S$1000,"Sub"),"")</f>
        <v/>
      </c>
    </row>
    <row r="200">
      <c r="A200" s="62">
        <f>IF(NOT((COUNTA($B200:$J200)+COUNTA($N200))&gt;0),"",IF($S200="Macro",COUNTIFS($S$5:$S200,"Macro",$P$5:$P200,$P200),IF(N($R200)=0,"?",COUNTIFS(INDEX($S$5:$S$1000,1):INDEX($S$5:$S$1000,$R200-4),"Macro",INDEX($P$5:$P$1000,1):INDEX($P$5:$P$1000,$R200-4),INDEX($P$5:$P$1000,$R200-4))&amp;"."&amp;COUNTIFS($R$5:$R200,$R200,$S$5:$S200,"Sub"))))</f>
        <v/>
      </c>
      <c r="B200" s="63" t="n"/>
      <c r="C200" s="64" t="n"/>
      <c r="D200" s="65" t="n"/>
      <c r="E200" s="65" t="n"/>
      <c r="F200" s="66" t="n"/>
      <c r="G200" s="67" t="n"/>
      <c r="H200" s="67" t="n"/>
      <c r="I200" s="67" t="n"/>
      <c r="J200" s="67" t="n"/>
      <c r="K200" s="68">
        <f>IF(NOT((COUNTA($B200:$J200)+COUNTA($N200))&gt;0),"",IF(N($T200)&gt;0,$AB200,IFERROR(LOOKUP(2,1/(G200:J200&lt;&gt;""),G200:J200),0)))</f>
        <v/>
      </c>
      <c r="L200" s="62">
        <f>IF(K200="","",IF(K200&gt;=1,"Completado",IF(K200&gt;0,"En curso","Pendiente")))</f>
        <v/>
      </c>
      <c r="M200" s="62">
        <f>IF(NOT((COUNTA($B200:$J200)+COUNTA($N200))&gt;0),"",IF(N($K200)&gt;=1,"Cumplida",IF(NOT(ISNUMBER($E200)),"Sin fecha límite",IF($E200&lt;FechaRef,"Vencida hace "&amp;(FechaRef-$E200)&amp;IF(FechaRef-$E200=1," día"," días"),IF($E200=FechaRef,"Vence hoy",IF($E200-FechaRef&lt;=DiasAlerta,"Vence en "&amp;($E200-FechaRef)&amp;IF($E200-FechaRef=1," día"," días"),"En plazo"))))))</f>
        <v/>
      </c>
      <c r="N200" s="64" t="n"/>
      <c r="O200" s="69">
        <f>IF(NOT((COUNTA($B200:$J200)+COUNTA($N200))&gt;0),"",IF((IF($C200="","Falta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",""))="","✔ OK","⚠ "&amp;LEFT(IF($C200="","Falta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",""),LEN(IF($C200="","Falta el nombre de la actividad"&amp;" · ","")&amp;IF(AND($S200="Sub",N($R200)=0),"Subactividad sin macroactividad arriba"&amp;" · ","")&amp;IF($D200="","Sin fecha de inicio"&amp;" · ","")&amp;IF($E200="","Sin fecha límite"&amp;" · ","")&amp;IF(OR(AND($D200&lt;&gt;"",NOT(ISNUMBER($D200))),AND($E200&lt;&gt;"",NOT(ISNUMBER($E200)))),"Fecha no válida"&amp;" · ","")&amp;IF(AND(ISNUMBER($D200),ISNUMBER($E200),$D200&gt;$E200),"Inicio posterior a fecha límite"&amp;" · ","")&amp;IF(AND($S200="Macro",$F200=""),"Peso vacío"&amp;" · ","")&amp;IF(AND($S200="Macro",$F200&lt;&gt;"",OR(NOT(ISNUMBER($F200)),$F200&lt;=0,$F200&gt;1)),"Peso fuera de rango"&amp;" · ","")&amp;IF(AND($S200="Sub",$F200&lt;&gt;"",OR(NOT(ISNUMBER($F200)),$F200&lt;0,$F200&gt;1)),"Peso fuera de rango"&amp;" · ","")&amp;IF(AND($S200="Sub",$F200="",IFERROR(N(INDEX($AG$5:$AG$1000,$R200-4)),0)&gt;0),"Falta el peso de la subactividad"&amp;" · ","")&amp;IF(AND(N($T200)&gt;0,N($AG200)&gt;0,ABS(N($AG200)-N($F200))&gt;0.0001),"Pesos de sus subactividades suman "&amp;TEXT(N($AG200),"0%")&amp;" (deben sumar "&amp;TEXT(N($F200),"0%")&amp;")"&amp;" · ","")&amp;IF(AND($S200="Macro",ABS(SUMIFS($F$5:$F$1000,$P$5:$P$1000,$P200,$S$5:$S$1000,"Macro")-1)&gt;0.0001),"Pesos del mes suman "&amp;TEXT(SUMIFS($F$5:$F$1000,$P$5:$P$1000,$P200,$S$5:$S$1000,"Macro"),"0%")&amp;" · ","")&amp;IF(AND(N($T200)&gt;0,COUNT($G200:$J200)&gt;0),"Con subactividades: deje vacías las semanas (se calculan solas)"&amp;" · ","")&amp;IF((COUNTIF($G200:$J200,"&gt;1")+COUNTIF($G200:$J200,"&lt;0")+COUNTA($G200:$J200)-COUNT($G200:$J200))&gt;0,"Avance fuera de rango 0-100%"&amp;" · ","")&amp;IF(OR(AND($H200&lt;&gt;"",$H200&lt;$G200),AND($I200&lt;&gt;"",$I200&lt;MAX($G200:$H200)),AND($J200&lt;&gt;"",$J200&lt;MAX($G200:$I200))),"Avance semanal decreciente"&amp;" · ","")&amp;IF(AND(ISNUMBER($E200),$E200&lt;FechaRef,N($K200)&lt;1),"Vencida"&amp;" · ","")&amp;IF(AND(ObsObligatoria="Sí",ISNUMBER($E200),$E200&lt;FechaRef,N($K200)&lt;1,$N200=""),"Vencida sin observación"&amp;" · ",""))-3)))</f>
        <v/>
      </c>
      <c r="P200" s="70">
        <f>IF(NOT((COUNTA($B200:$J200)+COUNTA($N200))&gt;0),"",IF(AND($S200="Sub",N($R200)&gt;0),IF(ISNUMBER(INDEX($D$5:$D$1000,$R200-4)),DATE(YEAR(INDEX($D$5:$D$1000,$R200-4)),MONTH(INDEX($D$5:$D$1000,$R200-4)),1),IF(ISNUMBER(INDEX($E$5:$E$1000,$R200-4)),DATE(YEAR(INDEX($E$5:$E$1000,$R200-4)),MONTH(INDEX($E$5:$E$1000,$R200-4)),1),MesCiclo)),IF(ISNUMBER($D200),DATE(YEAR($D200),MONTH($D200),1),IF(ISNUMBER($E200),DATE(YEAR($E200),MONTH($E200),1),MesCiclo))))</f>
        <v/>
      </c>
      <c r="Q200" s="71">
        <f>IF(OR($P200="",$P200&lt;&gt;MesCiclo),"",COUNTIF($P$5:$P200,MesCiclo))</f>
        <v/>
      </c>
      <c r="R200" s="71">
        <f>IF($S200="","",IF($S200="Macro",ROW(),IFERROR(LOOKUP(2,1/($S$5:$S200="Macro"),ROW($S$5:$S200)),0)))</f>
        <v/>
      </c>
      <c r="S200" s="71">
        <f>IF(NOT((COUNTA($B200:$J200)+COUNTA($N200))&gt;0),"",IF($B200="Subactividad","Sub","Macro"))</f>
        <v/>
      </c>
      <c r="T200" s="71">
        <f>IF($S200="Macro",COUNTIFS($R$5:$R$1000,ROW(),$S$5:$S$1000,"Sub"),"")</f>
        <v/>
      </c>
      <c r="U200" s="71">
        <f>IF($S200="","",IF(ISNUMBER($G200),$G200,0))</f>
        <v/>
      </c>
      <c r="V200" s="71">
        <f>IF($S200="","",IF(ISNUMBER($H200),$H200,$U200))</f>
        <v/>
      </c>
      <c r="W200" s="71">
        <f>IF($S200="","",IF(ISNUMBER($I200),$I200,$V200))</f>
        <v/>
      </c>
      <c r="X200" s="71">
        <f>IF($S200="","",IF(ISNUMBER($J200),$J200,$W200))</f>
        <v/>
      </c>
      <c r="Y200" s="71">
        <f>IF($S200="","",IF(N($T200)&gt;0,IF(N($AG200)&gt;0,SUMIFS($AC$5:$AC$1000,$R$5:$R$1000,ROW(),$S$5:$S$1000,"Sub")/$AG200,AVERAGEIFS($U$5:$U$1000,$R$5:$R$1000,ROW(),$S$5:$S$1000,"Sub")),$U200))</f>
        <v/>
      </c>
      <c r="Z200" s="71">
        <f>IF($S200="","",IF(N($T200)&gt;0,IF(N($AG200)&gt;0,SUMIFS($AD$5:$AD$1000,$R$5:$R$1000,ROW(),$S$5:$S$1000,"Sub")/$AG200,AVERAGEIFS($V$5:$V$1000,$R$5:$R$1000,ROW(),$S$5:$S$1000,"Sub")),$V200))</f>
        <v/>
      </c>
      <c r="AA200" s="71">
        <f>IF($S200="","",IF(N($T200)&gt;0,IF(N($AG200)&gt;0,SUMIFS($AE$5:$AE$1000,$R$5:$R$1000,ROW(),$S$5:$S$1000,"Sub")/$AG200,AVERAGEIFS($W$5:$W$1000,$R$5:$R$1000,ROW(),$S$5:$S$1000,"Sub")),$W200))</f>
        <v/>
      </c>
      <c r="AB200" s="71">
        <f>IF($S200="","",IF(N($T200)&gt;0,IF(N($AG200)&gt;0,SUMIFS($AF$5:$AF$1000,$R$5:$R$1000,ROW(),$S$5:$S$1000,"Sub")/$AG200,AVERAGEIFS($X$5:$X$1000,$R$5:$R$1000,ROW(),$S$5:$S$1000,"Sub")),$X200))</f>
        <v/>
      </c>
      <c r="AC200" s="71">
        <f>IF($S200="Sub",N($F200)*N($U200),"")</f>
        <v/>
      </c>
      <c r="AD200" s="71">
        <f>IF($S200="Sub",N($F200)*N($V200),"")</f>
        <v/>
      </c>
      <c r="AE200" s="71">
        <f>IF($S200="Sub",N($F200)*N($W200),"")</f>
        <v/>
      </c>
      <c r="AF200" s="71">
        <f>IF($S200="Sub",N($F200)*N($X200),"")</f>
        <v/>
      </c>
      <c r="AG200" s="71">
        <f>IF(N($T200)&gt;0,SUMIFS($F$5:$F$1000,$R$5:$R$1000,ROW(),$S$5:$S$1000,"Sub"),"")</f>
        <v/>
      </c>
    </row>
    <row r="201">
      <c r="A201" s="62">
        <f>IF(NOT((COUNTA($B201:$J201)+COUNTA($N201))&gt;0),"",IF($S201="Macro",COUNTIFS($S$5:$S201,"Macro",$P$5:$P201,$P201),IF(N($R201)=0,"?",COUNTIFS(INDEX($S$5:$S$1000,1):INDEX($S$5:$S$1000,$R201-4),"Macro",INDEX($P$5:$P$1000,1):INDEX($P$5:$P$1000,$R201-4),INDEX($P$5:$P$1000,$R201-4))&amp;"."&amp;COUNTIFS($R$5:$R201,$R201,$S$5:$S201,"Sub"))))</f>
        <v/>
      </c>
      <c r="B201" s="63" t="n"/>
      <c r="C201" s="64" t="n"/>
      <c r="D201" s="65" t="n"/>
      <c r="E201" s="65" t="n"/>
      <c r="F201" s="66" t="n"/>
      <c r="G201" s="67" t="n"/>
      <c r="H201" s="67" t="n"/>
      <c r="I201" s="67" t="n"/>
      <c r="J201" s="67" t="n"/>
      <c r="K201" s="68">
        <f>IF(NOT((COUNTA($B201:$J201)+COUNTA($N201))&gt;0),"",IF(N($T201)&gt;0,$AB201,IFERROR(LOOKUP(2,1/(G201:J201&lt;&gt;""),G201:J201),0)))</f>
        <v/>
      </c>
      <c r="L201" s="62">
        <f>IF(K201="","",IF(K201&gt;=1,"Completado",IF(K201&gt;0,"En curso","Pendiente")))</f>
        <v/>
      </c>
      <c r="M201" s="62">
        <f>IF(NOT((COUNTA($B201:$J201)+COUNTA($N201))&gt;0),"",IF(N($K201)&gt;=1,"Cumplida",IF(NOT(ISNUMBER($E201)),"Sin fecha límite",IF($E201&lt;FechaRef,"Vencida hace "&amp;(FechaRef-$E201)&amp;IF(FechaRef-$E201=1," día"," días"),IF($E201=FechaRef,"Vence hoy",IF($E201-FechaRef&lt;=DiasAlerta,"Vence en "&amp;($E201-FechaRef)&amp;IF($E201-FechaRef=1," día"," días"),"En plazo"))))))</f>
        <v/>
      </c>
      <c r="N201" s="64" t="n"/>
      <c r="O201" s="69">
        <f>IF(NOT((COUNTA($B201:$J201)+COUNTA($N201))&gt;0),"",IF((IF($C201="","Falta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",""))="","✔ OK","⚠ "&amp;LEFT(IF($C201="","Falta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",""),LEN(IF($C201="","Falta el nombre de la actividad"&amp;" · ","")&amp;IF(AND($S201="Sub",N($R201)=0),"Subactividad sin macroactividad arriba"&amp;" · ","")&amp;IF($D201="","Sin fecha de inicio"&amp;" · ","")&amp;IF($E201="","Sin fecha límite"&amp;" · ","")&amp;IF(OR(AND($D201&lt;&gt;"",NOT(ISNUMBER($D201))),AND($E201&lt;&gt;"",NOT(ISNUMBER($E201)))),"Fecha no válida"&amp;" · ","")&amp;IF(AND(ISNUMBER($D201),ISNUMBER($E201),$D201&gt;$E201),"Inicio posterior a fecha límite"&amp;" · ","")&amp;IF(AND($S201="Macro",$F201=""),"Peso vacío"&amp;" · ","")&amp;IF(AND($S201="Macro",$F201&lt;&gt;"",OR(NOT(ISNUMBER($F201)),$F201&lt;=0,$F201&gt;1)),"Peso fuera de rango"&amp;" · ","")&amp;IF(AND($S201="Sub",$F201&lt;&gt;"",OR(NOT(ISNUMBER($F201)),$F201&lt;0,$F201&gt;1)),"Peso fuera de rango"&amp;" · ","")&amp;IF(AND($S201="Sub",$F201="",IFERROR(N(INDEX($AG$5:$AG$1000,$R201-4)),0)&gt;0),"Falta el peso de la subactividad"&amp;" · ","")&amp;IF(AND(N($T201)&gt;0,N($AG201)&gt;0,ABS(N($AG201)-N($F201))&gt;0.0001),"Pesos de sus subactividades suman "&amp;TEXT(N($AG201),"0%")&amp;" (deben sumar "&amp;TEXT(N($F201),"0%")&amp;")"&amp;" · ","")&amp;IF(AND($S201="Macro",ABS(SUMIFS($F$5:$F$1000,$P$5:$P$1000,$P201,$S$5:$S$1000,"Macro")-1)&gt;0.0001),"Pesos del mes suman "&amp;TEXT(SUMIFS($F$5:$F$1000,$P$5:$P$1000,$P201,$S$5:$S$1000,"Macro"),"0%")&amp;" · ","")&amp;IF(AND(N($T201)&gt;0,COUNT($G201:$J201)&gt;0),"Con subactividades: deje vacías las semanas (se calculan solas)"&amp;" · ","")&amp;IF((COUNTIF($G201:$J201,"&gt;1")+COUNTIF($G201:$J201,"&lt;0")+COUNTA($G201:$J201)-COUNT($G201:$J201))&gt;0,"Avance fuera de rango 0-100%"&amp;" · ","")&amp;IF(OR(AND($H201&lt;&gt;"",$H201&lt;$G201),AND($I201&lt;&gt;"",$I201&lt;MAX($G201:$H201)),AND($J201&lt;&gt;"",$J201&lt;MAX($G201:$I201))),"Avance semanal decreciente"&amp;" · ","")&amp;IF(AND(ISNUMBER($E201),$E201&lt;FechaRef,N($K201)&lt;1),"Vencida"&amp;" · ","")&amp;IF(AND(ObsObligatoria="Sí",ISNUMBER($E201),$E201&lt;FechaRef,N($K201)&lt;1,$N201=""),"Vencida sin observación"&amp;" · ",""))-3)))</f>
        <v/>
      </c>
      <c r="P201" s="70">
        <f>IF(NOT((COUNTA($B201:$J201)+COUNTA($N201))&gt;0),"",IF(AND($S201="Sub",N($R201)&gt;0),IF(ISNUMBER(INDEX($D$5:$D$1000,$R201-4)),DATE(YEAR(INDEX($D$5:$D$1000,$R201-4)),MONTH(INDEX($D$5:$D$1000,$R201-4)),1),IF(ISNUMBER(INDEX($E$5:$E$1000,$R201-4)),DATE(YEAR(INDEX($E$5:$E$1000,$R201-4)),MONTH(INDEX($E$5:$E$1000,$R201-4)),1),MesCiclo)),IF(ISNUMBER($D201),DATE(YEAR($D201),MONTH($D201),1),IF(ISNUMBER($E201),DATE(YEAR($E201),MONTH($E201),1),MesCiclo))))</f>
        <v/>
      </c>
      <c r="Q201" s="71">
        <f>IF(OR($P201="",$P201&lt;&gt;MesCiclo),"",COUNTIF($P$5:$P201,MesCiclo))</f>
        <v/>
      </c>
      <c r="R201" s="71">
        <f>IF($S201="","",IF($S201="Macro",ROW(),IFERROR(LOOKUP(2,1/($S$5:$S201="Macro"),ROW($S$5:$S201)),0)))</f>
        <v/>
      </c>
      <c r="S201" s="71">
        <f>IF(NOT((COUNTA($B201:$J201)+COUNTA($N201))&gt;0),"",IF($B201="Subactividad","Sub","Macro"))</f>
        <v/>
      </c>
      <c r="T201" s="71">
        <f>IF($S201="Macro",COUNTIFS($R$5:$R$1000,ROW(),$S$5:$S$1000,"Sub"),"")</f>
        <v/>
      </c>
      <c r="U201" s="71">
        <f>IF($S201="","",IF(ISNUMBER($G201),$G201,0))</f>
        <v/>
      </c>
      <c r="V201" s="71">
        <f>IF($S201="","",IF(ISNUMBER($H201),$H201,$U201))</f>
        <v/>
      </c>
      <c r="W201" s="71">
        <f>IF($S201="","",IF(ISNUMBER($I201),$I201,$V201))</f>
        <v/>
      </c>
      <c r="X201" s="71">
        <f>IF($S201="","",IF(ISNUMBER($J201),$J201,$W201))</f>
        <v/>
      </c>
      <c r="Y201" s="71">
        <f>IF($S201="","",IF(N($T201)&gt;0,IF(N($AG201)&gt;0,SUMIFS($AC$5:$AC$1000,$R$5:$R$1000,ROW(),$S$5:$S$1000,"Sub")/$AG201,AVERAGEIFS($U$5:$U$1000,$R$5:$R$1000,ROW(),$S$5:$S$1000,"Sub")),$U201))</f>
        <v/>
      </c>
      <c r="Z201" s="71">
        <f>IF($S201="","",IF(N($T201)&gt;0,IF(N($AG201)&gt;0,SUMIFS($AD$5:$AD$1000,$R$5:$R$1000,ROW(),$S$5:$S$1000,"Sub")/$AG201,AVERAGEIFS($V$5:$V$1000,$R$5:$R$1000,ROW(),$S$5:$S$1000,"Sub")),$V201))</f>
        <v/>
      </c>
      <c r="AA201" s="71">
        <f>IF($S201="","",IF(N($T201)&gt;0,IF(N($AG201)&gt;0,SUMIFS($AE$5:$AE$1000,$R$5:$R$1000,ROW(),$S$5:$S$1000,"Sub")/$AG201,AVERAGEIFS($W$5:$W$1000,$R$5:$R$1000,ROW(),$S$5:$S$1000,"Sub")),$W201))</f>
        <v/>
      </c>
      <c r="AB201" s="71">
        <f>IF($S201="","",IF(N($T201)&gt;0,IF(N($AG201)&gt;0,SUMIFS($AF$5:$AF$1000,$R$5:$R$1000,ROW(),$S$5:$S$1000,"Sub")/$AG201,AVERAGEIFS($X$5:$X$1000,$R$5:$R$1000,ROW(),$S$5:$S$1000,"Sub")),$X201))</f>
        <v/>
      </c>
      <c r="AC201" s="71">
        <f>IF($S201="Sub",N($F201)*N($U201),"")</f>
        <v/>
      </c>
      <c r="AD201" s="71">
        <f>IF($S201="Sub",N($F201)*N($V201),"")</f>
        <v/>
      </c>
      <c r="AE201" s="71">
        <f>IF($S201="Sub",N($F201)*N($W201),"")</f>
        <v/>
      </c>
      <c r="AF201" s="71">
        <f>IF($S201="Sub",N($F201)*N($X201),"")</f>
        <v/>
      </c>
      <c r="AG201" s="71">
        <f>IF(N($T201)&gt;0,SUMIFS($F$5:$F$1000,$R$5:$R$1000,ROW(),$S$5:$S$1000,"Sub"),"")</f>
        <v/>
      </c>
    </row>
    <row r="202">
      <c r="A202" s="62">
        <f>IF(NOT((COUNTA($B202:$J202)+COUNTA($N202))&gt;0),"",IF($S202="Macro",COUNTIFS($S$5:$S202,"Macro",$P$5:$P202,$P202),IF(N($R202)=0,"?",COUNTIFS(INDEX($S$5:$S$1000,1):INDEX($S$5:$S$1000,$R202-4),"Macro",INDEX($P$5:$P$1000,1):INDEX($P$5:$P$1000,$R202-4),INDEX($P$5:$P$1000,$R202-4))&amp;"."&amp;COUNTIFS($R$5:$R202,$R202,$S$5:$S202,"Sub"))))</f>
        <v/>
      </c>
      <c r="B202" s="63" t="n"/>
      <c r="C202" s="64" t="n"/>
      <c r="D202" s="65" t="n"/>
      <c r="E202" s="65" t="n"/>
      <c r="F202" s="66" t="n"/>
      <c r="G202" s="67" t="n"/>
      <c r="H202" s="67" t="n"/>
      <c r="I202" s="67" t="n"/>
      <c r="J202" s="67" t="n"/>
      <c r="K202" s="68">
        <f>IF(NOT((COUNTA($B202:$J202)+COUNTA($N202))&gt;0),"",IF(N($T202)&gt;0,$AB202,IFERROR(LOOKUP(2,1/(G202:J202&lt;&gt;""),G202:J202),0)))</f>
        <v/>
      </c>
      <c r="L202" s="62">
        <f>IF(K202="","",IF(K202&gt;=1,"Completado",IF(K202&gt;0,"En curso","Pendiente")))</f>
        <v/>
      </c>
      <c r="M202" s="62">
        <f>IF(NOT((COUNTA($B202:$J202)+COUNTA($N202))&gt;0),"",IF(N($K202)&gt;=1,"Cumplida",IF(NOT(ISNUMBER($E202)),"Sin fecha límite",IF($E202&lt;FechaRef,"Vencida hace "&amp;(FechaRef-$E202)&amp;IF(FechaRef-$E202=1," día"," días"),IF($E202=FechaRef,"Vence hoy",IF($E202-FechaRef&lt;=DiasAlerta,"Vence en "&amp;($E202-FechaRef)&amp;IF($E202-FechaRef=1," día"," días"),"En plazo"))))))</f>
        <v/>
      </c>
      <c r="N202" s="64" t="n"/>
      <c r="O202" s="69">
        <f>IF(NOT((COUNTA($B202:$J202)+COUNTA($N202))&gt;0),"",IF((IF($C202="","Falta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",""))="","✔ OK","⚠ "&amp;LEFT(IF($C202="","Falta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",""),LEN(IF($C202="","Falta el nombre de la actividad"&amp;" · ","")&amp;IF(AND($S202="Sub",N($R202)=0),"Subactividad sin macroactividad arriba"&amp;" · ","")&amp;IF($D202="","Sin fecha de inicio"&amp;" · ","")&amp;IF($E202="","Sin fecha límite"&amp;" · ","")&amp;IF(OR(AND($D202&lt;&gt;"",NOT(ISNUMBER($D202))),AND($E202&lt;&gt;"",NOT(ISNUMBER($E202)))),"Fecha no válida"&amp;" · ","")&amp;IF(AND(ISNUMBER($D202),ISNUMBER($E202),$D202&gt;$E202),"Inicio posterior a fecha límite"&amp;" · ","")&amp;IF(AND($S202="Macro",$F202=""),"Peso vacío"&amp;" · ","")&amp;IF(AND($S202="Macro",$F202&lt;&gt;"",OR(NOT(ISNUMBER($F202)),$F202&lt;=0,$F202&gt;1)),"Peso fuera de rango"&amp;" · ","")&amp;IF(AND($S202="Sub",$F202&lt;&gt;"",OR(NOT(ISNUMBER($F202)),$F202&lt;0,$F202&gt;1)),"Peso fuera de rango"&amp;" · ","")&amp;IF(AND($S202="Sub",$F202="",IFERROR(N(INDEX($AG$5:$AG$1000,$R202-4)),0)&gt;0),"Falta el peso de la subactividad"&amp;" · ","")&amp;IF(AND(N($T202)&gt;0,N($AG202)&gt;0,ABS(N($AG202)-N($F202))&gt;0.0001),"Pesos de sus subactividades suman "&amp;TEXT(N($AG202),"0%")&amp;" (deben sumar "&amp;TEXT(N($F202),"0%")&amp;")"&amp;" · ","")&amp;IF(AND($S202="Macro",ABS(SUMIFS($F$5:$F$1000,$P$5:$P$1000,$P202,$S$5:$S$1000,"Macro")-1)&gt;0.0001),"Pesos del mes suman "&amp;TEXT(SUMIFS($F$5:$F$1000,$P$5:$P$1000,$P202,$S$5:$S$1000,"Macro"),"0%")&amp;" · ","")&amp;IF(AND(N($T202)&gt;0,COUNT($G202:$J202)&gt;0),"Con subactividades: deje vacías las semanas (se calculan solas)"&amp;" · ","")&amp;IF((COUNTIF($G202:$J202,"&gt;1")+COUNTIF($G202:$J202,"&lt;0")+COUNTA($G202:$J202)-COUNT($G202:$J202))&gt;0,"Avance fuera de rango 0-100%"&amp;" · ","")&amp;IF(OR(AND($H202&lt;&gt;"",$H202&lt;$G202),AND($I202&lt;&gt;"",$I202&lt;MAX($G202:$H202)),AND($J202&lt;&gt;"",$J202&lt;MAX($G202:$I202))),"Avance semanal decreciente"&amp;" · ","")&amp;IF(AND(ISNUMBER($E202),$E202&lt;FechaRef,N($K202)&lt;1),"Vencida"&amp;" · ","")&amp;IF(AND(ObsObligatoria="Sí",ISNUMBER($E202),$E202&lt;FechaRef,N($K202)&lt;1,$N202=""),"Vencida sin observación"&amp;" · ",""))-3)))</f>
        <v/>
      </c>
      <c r="P202" s="70">
        <f>IF(NOT((COUNTA($B202:$J202)+COUNTA($N202))&gt;0),"",IF(AND($S202="Sub",N($R202)&gt;0),IF(ISNUMBER(INDEX($D$5:$D$1000,$R202-4)),DATE(YEAR(INDEX($D$5:$D$1000,$R202-4)),MONTH(INDEX($D$5:$D$1000,$R202-4)),1),IF(ISNUMBER(INDEX($E$5:$E$1000,$R202-4)),DATE(YEAR(INDEX($E$5:$E$1000,$R202-4)),MONTH(INDEX($E$5:$E$1000,$R202-4)),1),MesCiclo)),IF(ISNUMBER($D202),DATE(YEAR($D202),MONTH($D202),1),IF(ISNUMBER($E202),DATE(YEAR($E202),MONTH($E202),1),MesCiclo))))</f>
        <v/>
      </c>
      <c r="Q202" s="71">
        <f>IF(OR($P202="",$P202&lt;&gt;MesCiclo),"",COUNTIF($P$5:$P202,MesCiclo))</f>
        <v/>
      </c>
      <c r="R202" s="71">
        <f>IF($S202="","",IF($S202="Macro",ROW(),IFERROR(LOOKUP(2,1/($S$5:$S202="Macro"),ROW($S$5:$S202)),0)))</f>
        <v/>
      </c>
      <c r="S202" s="71">
        <f>IF(NOT((COUNTA($B202:$J202)+COUNTA($N202))&gt;0),"",IF($B202="Subactividad","Sub","Macro"))</f>
        <v/>
      </c>
      <c r="T202" s="71">
        <f>IF($S202="Macro",COUNTIFS($R$5:$R$1000,ROW(),$S$5:$S$1000,"Sub"),"")</f>
        <v/>
      </c>
      <c r="U202" s="71">
        <f>IF($S202="","",IF(ISNUMBER($G202),$G202,0))</f>
        <v/>
      </c>
      <c r="V202" s="71">
        <f>IF($S202="","",IF(ISNUMBER($H202),$H202,$U202))</f>
        <v/>
      </c>
      <c r="W202" s="71">
        <f>IF($S202="","",IF(ISNUMBER($I202),$I202,$V202))</f>
        <v/>
      </c>
      <c r="X202" s="71">
        <f>IF($S202="","",IF(ISNUMBER($J202),$J202,$W202))</f>
        <v/>
      </c>
      <c r="Y202" s="71">
        <f>IF($S202="","",IF(N($T202)&gt;0,IF(N($AG202)&gt;0,SUMIFS($AC$5:$AC$1000,$R$5:$R$1000,ROW(),$S$5:$S$1000,"Sub")/$AG202,AVERAGEIFS($U$5:$U$1000,$R$5:$R$1000,ROW(),$S$5:$S$1000,"Sub")),$U202))</f>
        <v/>
      </c>
      <c r="Z202" s="71">
        <f>IF($S202="","",IF(N($T202)&gt;0,IF(N($AG202)&gt;0,SUMIFS($AD$5:$AD$1000,$R$5:$R$1000,ROW(),$S$5:$S$1000,"Sub")/$AG202,AVERAGEIFS($V$5:$V$1000,$R$5:$R$1000,ROW(),$S$5:$S$1000,"Sub")),$V202))</f>
        <v/>
      </c>
      <c r="AA202" s="71">
        <f>IF($S202="","",IF(N($T202)&gt;0,IF(N($AG202)&gt;0,SUMIFS($AE$5:$AE$1000,$R$5:$R$1000,ROW(),$S$5:$S$1000,"Sub")/$AG202,AVERAGEIFS($W$5:$W$1000,$R$5:$R$1000,ROW(),$S$5:$S$1000,"Sub")),$W202))</f>
        <v/>
      </c>
      <c r="AB202" s="71">
        <f>IF($S202="","",IF(N($T202)&gt;0,IF(N($AG202)&gt;0,SUMIFS($AF$5:$AF$1000,$R$5:$R$1000,ROW(),$S$5:$S$1000,"Sub")/$AG202,AVERAGEIFS($X$5:$X$1000,$R$5:$R$1000,ROW(),$S$5:$S$1000,"Sub")),$X202))</f>
        <v/>
      </c>
      <c r="AC202" s="71">
        <f>IF($S202="Sub",N($F202)*N($U202),"")</f>
        <v/>
      </c>
      <c r="AD202" s="71">
        <f>IF($S202="Sub",N($F202)*N($V202),"")</f>
        <v/>
      </c>
      <c r="AE202" s="71">
        <f>IF($S202="Sub",N($F202)*N($W202),"")</f>
        <v/>
      </c>
      <c r="AF202" s="71">
        <f>IF($S202="Sub",N($F202)*N($X202),"")</f>
        <v/>
      </c>
      <c r="AG202" s="71">
        <f>IF(N($T202)&gt;0,SUMIFS($F$5:$F$1000,$R$5:$R$1000,ROW(),$S$5:$S$1000,"Sub"),"")</f>
        <v/>
      </c>
    </row>
    <row r="203">
      <c r="A203" s="62">
        <f>IF(NOT((COUNTA($B203:$J203)+COUNTA($N203))&gt;0),"",IF($S203="Macro",COUNTIFS($S$5:$S203,"Macro",$P$5:$P203,$P203),IF(N($R203)=0,"?",COUNTIFS(INDEX($S$5:$S$1000,1):INDEX($S$5:$S$1000,$R203-4),"Macro",INDEX($P$5:$P$1000,1):INDEX($P$5:$P$1000,$R203-4),INDEX($P$5:$P$1000,$R203-4))&amp;"."&amp;COUNTIFS($R$5:$R203,$R203,$S$5:$S203,"Sub"))))</f>
        <v/>
      </c>
      <c r="B203" s="63" t="n"/>
      <c r="C203" s="64" t="n"/>
      <c r="D203" s="65" t="n"/>
      <c r="E203" s="65" t="n"/>
      <c r="F203" s="66" t="n"/>
      <c r="G203" s="67" t="n"/>
      <c r="H203" s="67" t="n"/>
      <c r="I203" s="67" t="n"/>
      <c r="J203" s="67" t="n"/>
      <c r="K203" s="68">
        <f>IF(NOT((COUNTA($B203:$J203)+COUNTA($N203))&gt;0),"",IF(N($T203)&gt;0,$AB203,IFERROR(LOOKUP(2,1/(G203:J203&lt;&gt;""),G203:J203),0)))</f>
        <v/>
      </c>
      <c r="L203" s="62">
        <f>IF(K203="","",IF(K203&gt;=1,"Completado",IF(K203&gt;0,"En curso","Pendiente")))</f>
        <v/>
      </c>
      <c r="M203" s="62">
        <f>IF(NOT((COUNTA($B203:$J203)+COUNTA($N203))&gt;0),"",IF(N($K203)&gt;=1,"Cumplida",IF(NOT(ISNUMBER($E203)),"Sin fecha límite",IF($E203&lt;FechaRef,"Vencida hace "&amp;(FechaRef-$E203)&amp;IF(FechaRef-$E203=1," día"," días"),IF($E203=FechaRef,"Vence hoy",IF($E203-FechaRef&lt;=DiasAlerta,"Vence en "&amp;($E203-FechaRef)&amp;IF($E203-FechaRef=1," día"," días"),"En plazo"))))))</f>
        <v/>
      </c>
      <c r="N203" s="64" t="n"/>
      <c r="O203" s="69">
        <f>IF(NOT((COUNTA($B203:$J203)+COUNTA($N203))&gt;0),"",IF((IF($C203="","Falta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",""))="","✔ OK","⚠ "&amp;LEFT(IF($C203="","Falta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",""),LEN(IF($C203="","Falta el nombre de la actividad"&amp;" · ","")&amp;IF(AND($S203="Sub",N($R203)=0),"Subactividad sin macroactividad arriba"&amp;" · ","")&amp;IF($D203="","Sin fecha de inicio"&amp;" · ","")&amp;IF($E203="","Sin fecha límite"&amp;" · ","")&amp;IF(OR(AND($D203&lt;&gt;"",NOT(ISNUMBER($D203))),AND($E203&lt;&gt;"",NOT(ISNUMBER($E203)))),"Fecha no válida"&amp;" · ","")&amp;IF(AND(ISNUMBER($D203),ISNUMBER($E203),$D203&gt;$E203),"Inicio posterior a fecha límite"&amp;" · ","")&amp;IF(AND($S203="Macro",$F203=""),"Peso vacío"&amp;" · ","")&amp;IF(AND($S203="Macro",$F203&lt;&gt;"",OR(NOT(ISNUMBER($F203)),$F203&lt;=0,$F203&gt;1)),"Peso fuera de rango"&amp;" · ","")&amp;IF(AND($S203="Sub",$F203&lt;&gt;"",OR(NOT(ISNUMBER($F203)),$F203&lt;0,$F203&gt;1)),"Peso fuera de rango"&amp;" · ","")&amp;IF(AND($S203="Sub",$F203="",IFERROR(N(INDEX($AG$5:$AG$1000,$R203-4)),0)&gt;0),"Falta el peso de la subactividad"&amp;" · ","")&amp;IF(AND(N($T203)&gt;0,N($AG203)&gt;0,ABS(N($AG203)-N($F203))&gt;0.0001),"Pesos de sus subactividades suman "&amp;TEXT(N($AG203),"0%")&amp;" (deben sumar "&amp;TEXT(N($F203),"0%")&amp;")"&amp;" · ","")&amp;IF(AND($S203="Macro",ABS(SUMIFS($F$5:$F$1000,$P$5:$P$1000,$P203,$S$5:$S$1000,"Macro")-1)&gt;0.0001),"Pesos del mes suman "&amp;TEXT(SUMIFS($F$5:$F$1000,$P$5:$P$1000,$P203,$S$5:$S$1000,"Macro"),"0%")&amp;" · ","")&amp;IF(AND(N($T203)&gt;0,COUNT($G203:$J203)&gt;0),"Con subactividades: deje vacías las semanas (se calculan solas)"&amp;" · ","")&amp;IF((COUNTIF($G203:$J203,"&gt;1")+COUNTIF($G203:$J203,"&lt;0")+COUNTA($G203:$J203)-COUNT($G203:$J203))&gt;0,"Avance fuera de rango 0-100%"&amp;" · ","")&amp;IF(OR(AND($H203&lt;&gt;"",$H203&lt;$G203),AND($I203&lt;&gt;"",$I203&lt;MAX($G203:$H203)),AND($J203&lt;&gt;"",$J203&lt;MAX($G203:$I203))),"Avance semanal decreciente"&amp;" · ","")&amp;IF(AND(ISNUMBER($E203),$E203&lt;FechaRef,N($K203)&lt;1),"Vencida"&amp;" · ","")&amp;IF(AND(ObsObligatoria="Sí",ISNUMBER($E203),$E203&lt;FechaRef,N($K203)&lt;1,$N203=""),"Vencida sin observación"&amp;" · ",""))-3)))</f>
        <v/>
      </c>
      <c r="P203" s="70">
        <f>IF(NOT((COUNTA($B203:$J203)+COUNTA($N203))&gt;0),"",IF(AND($S203="Sub",N($R203)&gt;0),IF(ISNUMBER(INDEX($D$5:$D$1000,$R203-4)),DATE(YEAR(INDEX($D$5:$D$1000,$R203-4)),MONTH(INDEX($D$5:$D$1000,$R203-4)),1),IF(ISNUMBER(INDEX($E$5:$E$1000,$R203-4)),DATE(YEAR(INDEX($E$5:$E$1000,$R203-4)),MONTH(INDEX($E$5:$E$1000,$R203-4)),1),MesCiclo)),IF(ISNUMBER($D203),DATE(YEAR($D203),MONTH($D203),1),IF(ISNUMBER($E203),DATE(YEAR($E203),MONTH($E203),1),MesCiclo))))</f>
        <v/>
      </c>
      <c r="Q203" s="71">
        <f>IF(OR($P203="",$P203&lt;&gt;MesCiclo),"",COUNTIF($P$5:$P203,MesCiclo))</f>
        <v/>
      </c>
      <c r="R203" s="71">
        <f>IF($S203="","",IF($S203="Macro",ROW(),IFERROR(LOOKUP(2,1/($S$5:$S203="Macro"),ROW($S$5:$S203)),0)))</f>
        <v/>
      </c>
      <c r="S203" s="71">
        <f>IF(NOT((COUNTA($B203:$J203)+COUNTA($N203))&gt;0),"",IF($B203="Subactividad","Sub","Macro"))</f>
        <v/>
      </c>
      <c r="T203" s="71">
        <f>IF($S203="Macro",COUNTIFS($R$5:$R$1000,ROW(),$S$5:$S$1000,"Sub"),"")</f>
        <v/>
      </c>
      <c r="U203" s="71">
        <f>IF($S203="","",IF(ISNUMBER($G203),$G203,0))</f>
        <v/>
      </c>
      <c r="V203" s="71">
        <f>IF($S203="","",IF(ISNUMBER($H203),$H203,$U203))</f>
        <v/>
      </c>
      <c r="W203" s="71">
        <f>IF($S203="","",IF(ISNUMBER($I203),$I203,$V203))</f>
        <v/>
      </c>
      <c r="X203" s="71">
        <f>IF($S203="","",IF(ISNUMBER($J203),$J203,$W203))</f>
        <v/>
      </c>
      <c r="Y203" s="71">
        <f>IF($S203="","",IF(N($T203)&gt;0,IF(N($AG203)&gt;0,SUMIFS($AC$5:$AC$1000,$R$5:$R$1000,ROW(),$S$5:$S$1000,"Sub")/$AG203,AVERAGEIFS($U$5:$U$1000,$R$5:$R$1000,ROW(),$S$5:$S$1000,"Sub")),$U203))</f>
        <v/>
      </c>
      <c r="Z203" s="71">
        <f>IF($S203="","",IF(N($T203)&gt;0,IF(N($AG203)&gt;0,SUMIFS($AD$5:$AD$1000,$R$5:$R$1000,ROW(),$S$5:$S$1000,"Sub")/$AG203,AVERAGEIFS($V$5:$V$1000,$R$5:$R$1000,ROW(),$S$5:$S$1000,"Sub")),$V203))</f>
        <v/>
      </c>
      <c r="AA203" s="71">
        <f>IF($S203="","",IF(N($T203)&gt;0,IF(N($AG203)&gt;0,SUMIFS($AE$5:$AE$1000,$R$5:$R$1000,ROW(),$S$5:$S$1000,"Sub")/$AG203,AVERAGEIFS($W$5:$W$1000,$R$5:$R$1000,ROW(),$S$5:$S$1000,"Sub")),$W203))</f>
        <v/>
      </c>
      <c r="AB203" s="71">
        <f>IF($S203="","",IF(N($T203)&gt;0,IF(N($AG203)&gt;0,SUMIFS($AF$5:$AF$1000,$R$5:$R$1000,ROW(),$S$5:$S$1000,"Sub")/$AG203,AVERAGEIFS($X$5:$X$1000,$R$5:$R$1000,ROW(),$S$5:$S$1000,"Sub")),$X203))</f>
        <v/>
      </c>
      <c r="AC203" s="71">
        <f>IF($S203="Sub",N($F203)*N($U203),"")</f>
        <v/>
      </c>
      <c r="AD203" s="71">
        <f>IF($S203="Sub",N($F203)*N($V203),"")</f>
        <v/>
      </c>
      <c r="AE203" s="71">
        <f>IF($S203="Sub",N($F203)*N($W203),"")</f>
        <v/>
      </c>
      <c r="AF203" s="71">
        <f>IF($S203="Sub",N($F203)*N($X203),"")</f>
        <v/>
      </c>
      <c r="AG203" s="71">
        <f>IF(N($T203)&gt;0,SUMIFS($F$5:$F$1000,$R$5:$R$1000,ROW(),$S$5:$S$1000,"Sub"),"")</f>
        <v/>
      </c>
    </row>
    <row r="204">
      <c r="A204" s="62">
        <f>IF(NOT((COUNTA($B204:$J204)+COUNTA($N204))&gt;0),"",IF($S204="Macro",COUNTIFS($S$5:$S204,"Macro",$P$5:$P204,$P204),IF(N($R204)=0,"?",COUNTIFS(INDEX($S$5:$S$1000,1):INDEX($S$5:$S$1000,$R204-4),"Macro",INDEX($P$5:$P$1000,1):INDEX($P$5:$P$1000,$R204-4),INDEX($P$5:$P$1000,$R204-4))&amp;"."&amp;COUNTIFS($R$5:$R204,$R204,$S$5:$S204,"Sub"))))</f>
        <v/>
      </c>
      <c r="B204" s="63" t="n"/>
      <c r="C204" s="64" t="n"/>
      <c r="D204" s="65" t="n"/>
      <c r="E204" s="65" t="n"/>
      <c r="F204" s="66" t="n"/>
      <c r="G204" s="67" t="n"/>
      <c r="H204" s="67" t="n"/>
      <c r="I204" s="67" t="n"/>
      <c r="J204" s="67" t="n"/>
      <c r="K204" s="68">
        <f>IF(NOT((COUNTA($B204:$J204)+COUNTA($N204))&gt;0),"",IF(N($T204)&gt;0,$AB204,IFERROR(LOOKUP(2,1/(G204:J204&lt;&gt;""),G204:J204),0)))</f>
        <v/>
      </c>
      <c r="L204" s="62">
        <f>IF(K204="","",IF(K204&gt;=1,"Completado",IF(K204&gt;0,"En curso","Pendiente")))</f>
        <v/>
      </c>
      <c r="M204" s="62">
        <f>IF(NOT((COUNTA($B204:$J204)+COUNTA($N204))&gt;0),"",IF(N($K204)&gt;=1,"Cumplida",IF(NOT(ISNUMBER($E204)),"Sin fecha límite",IF($E204&lt;FechaRef,"Vencida hace "&amp;(FechaRef-$E204)&amp;IF(FechaRef-$E204=1," día"," días"),IF($E204=FechaRef,"Vence hoy",IF($E204-FechaRef&lt;=DiasAlerta,"Vence en "&amp;($E204-FechaRef)&amp;IF($E204-FechaRef=1," día"," días"),"En plazo"))))))</f>
        <v/>
      </c>
      <c r="N204" s="64" t="n"/>
      <c r="O204" s="69">
        <f>IF(NOT((COUNTA($B204:$J204)+COUNTA($N204))&gt;0),"",IF((IF($C204="","Falta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",""))="","✔ OK","⚠ "&amp;LEFT(IF($C204="","Falta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",""),LEN(IF($C204="","Falta el nombre de la actividad"&amp;" · ","")&amp;IF(AND($S204="Sub",N($R204)=0),"Subactividad sin macroactividad arriba"&amp;" · ","")&amp;IF($D204="","Sin fecha de inicio"&amp;" · ","")&amp;IF($E204="","Sin fecha límite"&amp;" · ","")&amp;IF(OR(AND($D204&lt;&gt;"",NOT(ISNUMBER($D204))),AND($E204&lt;&gt;"",NOT(ISNUMBER($E204)))),"Fecha no válida"&amp;" · ","")&amp;IF(AND(ISNUMBER($D204),ISNUMBER($E204),$D204&gt;$E204),"Inicio posterior a fecha límite"&amp;" · ","")&amp;IF(AND($S204="Macro",$F204=""),"Peso vacío"&amp;" · ","")&amp;IF(AND($S204="Macro",$F204&lt;&gt;"",OR(NOT(ISNUMBER($F204)),$F204&lt;=0,$F204&gt;1)),"Peso fuera de rango"&amp;" · ","")&amp;IF(AND($S204="Sub",$F204&lt;&gt;"",OR(NOT(ISNUMBER($F204)),$F204&lt;0,$F204&gt;1)),"Peso fuera de rango"&amp;" · ","")&amp;IF(AND($S204="Sub",$F204="",IFERROR(N(INDEX($AG$5:$AG$1000,$R204-4)),0)&gt;0),"Falta el peso de la subactividad"&amp;" · ","")&amp;IF(AND(N($T204)&gt;0,N($AG204)&gt;0,ABS(N($AG204)-N($F204))&gt;0.0001),"Pesos de sus subactividades suman "&amp;TEXT(N($AG204),"0%")&amp;" (deben sumar "&amp;TEXT(N($F204),"0%")&amp;")"&amp;" · ","")&amp;IF(AND($S204="Macro",ABS(SUMIFS($F$5:$F$1000,$P$5:$P$1000,$P204,$S$5:$S$1000,"Macro")-1)&gt;0.0001),"Pesos del mes suman "&amp;TEXT(SUMIFS($F$5:$F$1000,$P$5:$P$1000,$P204,$S$5:$S$1000,"Macro"),"0%")&amp;" · ","")&amp;IF(AND(N($T204)&gt;0,COUNT($G204:$J204)&gt;0),"Con subactividades: deje vacías las semanas (se calculan solas)"&amp;" · ","")&amp;IF((COUNTIF($G204:$J204,"&gt;1")+COUNTIF($G204:$J204,"&lt;0")+COUNTA($G204:$J204)-COUNT($G204:$J204))&gt;0,"Avance fuera de rango 0-100%"&amp;" · ","")&amp;IF(OR(AND($H204&lt;&gt;"",$H204&lt;$G204),AND($I204&lt;&gt;"",$I204&lt;MAX($G204:$H204)),AND($J204&lt;&gt;"",$J204&lt;MAX($G204:$I204))),"Avance semanal decreciente"&amp;" · ","")&amp;IF(AND(ISNUMBER($E204),$E204&lt;FechaRef,N($K204)&lt;1),"Vencida"&amp;" · ","")&amp;IF(AND(ObsObligatoria="Sí",ISNUMBER($E204),$E204&lt;FechaRef,N($K204)&lt;1,$N204=""),"Vencida sin observación"&amp;" · ",""))-3)))</f>
        <v/>
      </c>
      <c r="P204" s="70">
        <f>IF(NOT((COUNTA($B204:$J204)+COUNTA($N204))&gt;0),"",IF(AND($S204="Sub",N($R204)&gt;0),IF(ISNUMBER(INDEX($D$5:$D$1000,$R204-4)),DATE(YEAR(INDEX($D$5:$D$1000,$R204-4)),MONTH(INDEX($D$5:$D$1000,$R204-4)),1),IF(ISNUMBER(INDEX($E$5:$E$1000,$R204-4)),DATE(YEAR(INDEX($E$5:$E$1000,$R204-4)),MONTH(INDEX($E$5:$E$1000,$R204-4)),1),MesCiclo)),IF(ISNUMBER($D204),DATE(YEAR($D204),MONTH($D204),1),IF(ISNUMBER($E204),DATE(YEAR($E204),MONTH($E204),1),MesCiclo))))</f>
        <v/>
      </c>
      <c r="Q204" s="71">
        <f>IF(OR($P204="",$P204&lt;&gt;MesCiclo),"",COUNTIF($P$5:$P204,MesCiclo))</f>
        <v/>
      </c>
      <c r="R204" s="71">
        <f>IF($S204="","",IF($S204="Macro",ROW(),IFERROR(LOOKUP(2,1/($S$5:$S204="Macro"),ROW($S$5:$S204)),0)))</f>
        <v/>
      </c>
      <c r="S204" s="71">
        <f>IF(NOT((COUNTA($B204:$J204)+COUNTA($N204))&gt;0),"",IF($B204="Subactividad","Sub","Macro"))</f>
        <v/>
      </c>
      <c r="T204" s="71">
        <f>IF($S204="Macro",COUNTIFS($R$5:$R$1000,ROW(),$S$5:$S$1000,"Sub"),"")</f>
        <v/>
      </c>
      <c r="U204" s="71">
        <f>IF($S204="","",IF(ISNUMBER($G204),$G204,0))</f>
        <v/>
      </c>
      <c r="V204" s="71">
        <f>IF($S204="","",IF(ISNUMBER($H204),$H204,$U204))</f>
        <v/>
      </c>
      <c r="W204" s="71">
        <f>IF($S204="","",IF(ISNUMBER($I204),$I204,$V204))</f>
        <v/>
      </c>
      <c r="X204" s="71">
        <f>IF($S204="","",IF(ISNUMBER($J204),$J204,$W204))</f>
        <v/>
      </c>
      <c r="Y204" s="71">
        <f>IF($S204="","",IF(N($T204)&gt;0,IF(N($AG204)&gt;0,SUMIFS($AC$5:$AC$1000,$R$5:$R$1000,ROW(),$S$5:$S$1000,"Sub")/$AG204,AVERAGEIFS($U$5:$U$1000,$R$5:$R$1000,ROW(),$S$5:$S$1000,"Sub")),$U204))</f>
        <v/>
      </c>
      <c r="Z204" s="71">
        <f>IF($S204="","",IF(N($T204)&gt;0,IF(N($AG204)&gt;0,SUMIFS($AD$5:$AD$1000,$R$5:$R$1000,ROW(),$S$5:$S$1000,"Sub")/$AG204,AVERAGEIFS($V$5:$V$1000,$R$5:$R$1000,ROW(),$S$5:$S$1000,"Sub")),$V204))</f>
        <v/>
      </c>
      <c r="AA204" s="71">
        <f>IF($S204="","",IF(N($T204)&gt;0,IF(N($AG204)&gt;0,SUMIFS($AE$5:$AE$1000,$R$5:$R$1000,ROW(),$S$5:$S$1000,"Sub")/$AG204,AVERAGEIFS($W$5:$W$1000,$R$5:$R$1000,ROW(),$S$5:$S$1000,"Sub")),$W204))</f>
        <v/>
      </c>
      <c r="AB204" s="71">
        <f>IF($S204="","",IF(N($T204)&gt;0,IF(N($AG204)&gt;0,SUMIFS($AF$5:$AF$1000,$R$5:$R$1000,ROW(),$S$5:$S$1000,"Sub")/$AG204,AVERAGEIFS($X$5:$X$1000,$R$5:$R$1000,ROW(),$S$5:$S$1000,"Sub")),$X204))</f>
        <v/>
      </c>
      <c r="AC204" s="71">
        <f>IF($S204="Sub",N($F204)*N($U204),"")</f>
        <v/>
      </c>
      <c r="AD204" s="71">
        <f>IF($S204="Sub",N($F204)*N($V204),"")</f>
        <v/>
      </c>
      <c r="AE204" s="71">
        <f>IF($S204="Sub",N($F204)*N($W204),"")</f>
        <v/>
      </c>
      <c r="AF204" s="71">
        <f>IF($S204="Sub",N($F204)*N($X204),"")</f>
        <v/>
      </c>
      <c r="AG204" s="71">
        <f>IF(N($T204)&gt;0,SUMIFS($F$5:$F$1000,$R$5:$R$1000,ROW(),$S$5:$S$1000,"Sub"),"")</f>
        <v/>
      </c>
    </row>
    <row r="205">
      <c r="A205" s="62">
        <f>IF(NOT((COUNTA($B205:$J205)+COUNTA($N205))&gt;0),"",IF($S205="Macro",COUNTIFS($S$5:$S205,"Macro",$P$5:$P205,$P205),IF(N($R205)=0,"?",COUNTIFS(INDEX($S$5:$S$1000,1):INDEX($S$5:$S$1000,$R205-4),"Macro",INDEX($P$5:$P$1000,1):INDEX($P$5:$P$1000,$R205-4),INDEX($P$5:$P$1000,$R205-4))&amp;"."&amp;COUNTIFS($R$5:$R205,$R205,$S$5:$S205,"Sub"))))</f>
        <v/>
      </c>
      <c r="B205" s="63" t="n"/>
      <c r="C205" s="64" t="n"/>
      <c r="D205" s="65" t="n"/>
      <c r="E205" s="65" t="n"/>
      <c r="F205" s="66" t="n"/>
      <c r="G205" s="67" t="n"/>
      <c r="H205" s="67" t="n"/>
      <c r="I205" s="67" t="n"/>
      <c r="J205" s="67" t="n"/>
      <c r="K205" s="68">
        <f>IF(NOT((COUNTA($B205:$J205)+COUNTA($N205))&gt;0),"",IF(N($T205)&gt;0,$AB205,IFERROR(LOOKUP(2,1/(G205:J205&lt;&gt;""),G205:J205),0)))</f>
        <v/>
      </c>
      <c r="L205" s="62">
        <f>IF(K205="","",IF(K205&gt;=1,"Completado",IF(K205&gt;0,"En curso","Pendiente")))</f>
        <v/>
      </c>
      <c r="M205" s="62">
        <f>IF(NOT((COUNTA($B205:$J205)+COUNTA($N205))&gt;0),"",IF(N($K205)&gt;=1,"Cumplida",IF(NOT(ISNUMBER($E205)),"Sin fecha límite",IF($E205&lt;FechaRef,"Vencida hace "&amp;(FechaRef-$E205)&amp;IF(FechaRef-$E205=1," día"," días"),IF($E205=FechaRef,"Vence hoy",IF($E205-FechaRef&lt;=DiasAlerta,"Vence en "&amp;($E205-FechaRef)&amp;IF($E205-FechaRef=1," día"," días"),"En plazo"))))))</f>
        <v/>
      </c>
      <c r="N205" s="64" t="n"/>
      <c r="O205" s="69">
        <f>IF(NOT((COUNTA($B205:$J205)+COUNTA($N205))&gt;0),"",IF((IF($C205="","Falta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",""))="","✔ OK","⚠ "&amp;LEFT(IF($C205="","Falta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",""),LEN(IF($C205="","Falta el nombre de la actividad"&amp;" · ","")&amp;IF(AND($S205="Sub",N($R205)=0),"Subactividad sin macroactividad arriba"&amp;" · ","")&amp;IF($D205="","Sin fecha de inicio"&amp;" · ","")&amp;IF($E205="","Sin fecha límite"&amp;" · ","")&amp;IF(OR(AND($D205&lt;&gt;"",NOT(ISNUMBER($D205))),AND($E205&lt;&gt;"",NOT(ISNUMBER($E205)))),"Fecha no válida"&amp;" · ","")&amp;IF(AND(ISNUMBER($D205),ISNUMBER($E205),$D205&gt;$E205),"Inicio posterior a fecha límite"&amp;" · ","")&amp;IF(AND($S205="Macro",$F205=""),"Peso vacío"&amp;" · ","")&amp;IF(AND($S205="Macro",$F205&lt;&gt;"",OR(NOT(ISNUMBER($F205)),$F205&lt;=0,$F205&gt;1)),"Peso fuera de rango"&amp;" · ","")&amp;IF(AND($S205="Sub",$F205&lt;&gt;"",OR(NOT(ISNUMBER($F205)),$F205&lt;0,$F205&gt;1)),"Peso fuera de rango"&amp;" · ","")&amp;IF(AND($S205="Sub",$F205="",IFERROR(N(INDEX($AG$5:$AG$1000,$R205-4)),0)&gt;0),"Falta el peso de la subactividad"&amp;" · ","")&amp;IF(AND(N($T205)&gt;0,N($AG205)&gt;0,ABS(N($AG205)-N($F205))&gt;0.0001),"Pesos de sus subactividades suman "&amp;TEXT(N($AG205),"0%")&amp;" (deben sumar "&amp;TEXT(N($F205),"0%")&amp;")"&amp;" · ","")&amp;IF(AND($S205="Macro",ABS(SUMIFS($F$5:$F$1000,$P$5:$P$1000,$P205,$S$5:$S$1000,"Macro")-1)&gt;0.0001),"Pesos del mes suman "&amp;TEXT(SUMIFS($F$5:$F$1000,$P$5:$P$1000,$P205,$S$5:$S$1000,"Macro"),"0%")&amp;" · ","")&amp;IF(AND(N($T205)&gt;0,COUNT($G205:$J205)&gt;0),"Con subactividades: deje vacías las semanas (se calculan solas)"&amp;" · ","")&amp;IF((COUNTIF($G205:$J205,"&gt;1")+COUNTIF($G205:$J205,"&lt;0")+COUNTA($G205:$J205)-COUNT($G205:$J205))&gt;0,"Avance fuera de rango 0-100%"&amp;" · ","")&amp;IF(OR(AND($H205&lt;&gt;"",$H205&lt;$G205),AND($I205&lt;&gt;"",$I205&lt;MAX($G205:$H205)),AND($J205&lt;&gt;"",$J205&lt;MAX($G205:$I205))),"Avance semanal decreciente"&amp;" · ","")&amp;IF(AND(ISNUMBER($E205),$E205&lt;FechaRef,N($K205)&lt;1),"Vencida"&amp;" · ","")&amp;IF(AND(ObsObligatoria="Sí",ISNUMBER($E205),$E205&lt;FechaRef,N($K205)&lt;1,$N205=""),"Vencida sin observación"&amp;" · ",""))-3)))</f>
        <v/>
      </c>
      <c r="P205" s="70">
        <f>IF(NOT((COUNTA($B205:$J205)+COUNTA($N205))&gt;0),"",IF(AND($S205="Sub",N($R205)&gt;0),IF(ISNUMBER(INDEX($D$5:$D$1000,$R205-4)),DATE(YEAR(INDEX($D$5:$D$1000,$R205-4)),MONTH(INDEX($D$5:$D$1000,$R205-4)),1),IF(ISNUMBER(INDEX($E$5:$E$1000,$R205-4)),DATE(YEAR(INDEX($E$5:$E$1000,$R205-4)),MONTH(INDEX($E$5:$E$1000,$R205-4)),1),MesCiclo)),IF(ISNUMBER($D205),DATE(YEAR($D205),MONTH($D205),1),IF(ISNUMBER($E205),DATE(YEAR($E205),MONTH($E205),1),MesCiclo))))</f>
        <v/>
      </c>
      <c r="Q205" s="71">
        <f>IF(OR($P205="",$P205&lt;&gt;MesCiclo),"",COUNTIF($P$5:$P205,MesCiclo))</f>
        <v/>
      </c>
      <c r="R205" s="71">
        <f>IF($S205="","",IF($S205="Macro",ROW(),IFERROR(LOOKUP(2,1/($S$5:$S205="Macro"),ROW($S$5:$S205)),0)))</f>
        <v/>
      </c>
      <c r="S205" s="71">
        <f>IF(NOT((COUNTA($B205:$J205)+COUNTA($N205))&gt;0),"",IF($B205="Subactividad","Sub","Macro"))</f>
        <v/>
      </c>
      <c r="T205" s="71">
        <f>IF($S205="Macro",COUNTIFS($R$5:$R$1000,ROW(),$S$5:$S$1000,"Sub"),"")</f>
        <v/>
      </c>
      <c r="U205" s="71">
        <f>IF($S205="","",IF(ISNUMBER($G205),$G205,0))</f>
        <v/>
      </c>
      <c r="V205" s="71">
        <f>IF($S205="","",IF(ISNUMBER($H205),$H205,$U205))</f>
        <v/>
      </c>
      <c r="W205" s="71">
        <f>IF($S205="","",IF(ISNUMBER($I205),$I205,$V205))</f>
        <v/>
      </c>
      <c r="X205" s="71">
        <f>IF($S205="","",IF(ISNUMBER($J205),$J205,$W205))</f>
        <v/>
      </c>
      <c r="Y205" s="71">
        <f>IF($S205="","",IF(N($T205)&gt;0,IF(N($AG205)&gt;0,SUMIFS($AC$5:$AC$1000,$R$5:$R$1000,ROW(),$S$5:$S$1000,"Sub")/$AG205,AVERAGEIFS($U$5:$U$1000,$R$5:$R$1000,ROW(),$S$5:$S$1000,"Sub")),$U205))</f>
        <v/>
      </c>
      <c r="Z205" s="71">
        <f>IF($S205="","",IF(N($T205)&gt;0,IF(N($AG205)&gt;0,SUMIFS($AD$5:$AD$1000,$R$5:$R$1000,ROW(),$S$5:$S$1000,"Sub")/$AG205,AVERAGEIFS($V$5:$V$1000,$R$5:$R$1000,ROW(),$S$5:$S$1000,"Sub")),$V205))</f>
        <v/>
      </c>
      <c r="AA205" s="71">
        <f>IF($S205="","",IF(N($T205)&gt;0,IF(N($AG205)&gt;0,SUMIFS($AE$5:$AE$1000,$R$5:$R$1000,ROW(),$S$5:$S$1000,"Sub")/$AG205,AVERAGEIFS($W$5:$W$1000,$R$5:$R$1000,ROW(),$S$5:$S$1000,"Sub")),$W205))</f>
        <v/>
      </c>
      <c r="AB205" s="71">
        <f>IF($S205="","",IF(N($T205)&gt;0,IF(N($AG205)&gt;0,SUMIFS($AF$5:$AF$1000,$R$5:$R$1000,ROW(),$S$5:$S$1000,"Sub")/$AG205,AVERAGEIFS($X$5:$X$1000,$R$5:$R$1000,ROW(),$S$5:$S$1000,"Sub")),$X205))</f>
        <v/>
      </c>
      <c r="AC205" s="71">
        <f>IF($S205="Sub",N($F205)*N($U205),"")</f>
        <v/>
      </c>
      <c r="AD205" s="71">
        <f>IF($S205="Sub",N($F205)*N($V205),"")</f>
        <v/>
      </c>
      <c r="AE205" s="71">
        <f>IF($S205="Sub",N($F205)*N($W205),"")</f>
        <v/>
      </c>
      <c r="AF205" s="71">
        <f>IF($S205="Sub",N($F205)*N($X205),"")</f>
        <v/>
      </c>
      <c r="AG205" s="71">
        <f>IF(N($T205)&gt;0,SUMIFS($F$5:$F$1000,$R$5:$R$1000,ROW(),$S$5:$S$1000,"Sub"),"")</f>
        <v/>
      </c>
    </row>
    <row r="206">
      <c r="A206" s="62">
        <f>IF(NOT((COUNTA($B206:$J206)+COUNTA($N206))&gt;0),"",IF($S206="Macro",COUNTIFS($S$5:$S206,"Macro",$P$5:$P206,$P206),IF(N($R206)=0,"?",COUNTIFS(INDEX($S$5:$S$1000,1):INDEX($S$5:$S$1000,$R206-4),"Macro",INDEX($P$5:$P$1000,1):INDEX($P$5:$P$1000,$R206-4),INDEX($P$5:$P$1000,$R206-4))&amp;"."&amp;COUNTIFS($R$5:$R206,$R206,$S$5:$S206,"Sub"))))</f>
        <v/>
      </c>
      <c r="B206" s="63" t="n"/>
      <c r="C206" s="64" t="n"/>
      <c r="D206" s="65" t="n"/>
      <c r="E206" s="65" t="n"/>
      <c r="F206" s="66" t="n"/>
      <c r="G206" s="67" t="n"/>
      <c r="H206" s="67" t="n"/>
      <c r="I206" s="67" t="n"/>
      <c r="J206" s="67" t="n"/>
      <c r="K206" s="68">
        <f>IF(NOT((COUNTA($B206:$J206)+COUNTA($N206))&gt;0),"",IF(N($T206)&gt;0,$AB206,IFERROR(LOOKUP(2,1/(G206:J206&lt;&gt;""),G206:J206),0)))</f>
        <v/>
      </c>
      <c r="L206" s="62">
        <f>IF(K206="","",IF(K206&gt;=1,"Completado",IF(K206&gt;0,"En curso","Pendiente")))</f>
        <v/>
      </c>
      <c r="M206" s="62">
        <f>IF(NOT((COUNTA($B206:$J206)+COUNTA($N206))&gt;0),"",IF(N($K206)&gt;=1,"Cumplida",IF(NOT(ISNUMBER($E206)),"Sin fecha límite",IF($E206&lt;FechaRef,"Vencida hace "&amp;(FechaRef-$E206)&amp;IF(FechaRef-$E206=1," día"," días"),IF($E206=FechaRef,"Vence hoy",IF($E206-FechaRef&lt;=DiasAlerta,"Vence en "&amp;($E206-FechaRef)&amp;IF($E206-FechaRef=1," día"," días"),"En plazo"))))))</f>
        <v/>
      </c>
      <c r="N206" s="64" t="n"/>
      <c r="O206" s="69">
        <f>IF(NOT((COUNTA($B206:$J206)+COUNTA($N206))&gt;0),"",IF((IF($C206="","Falta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",""))="","✔ OK","⚠ "&amp;LEFT(IF($C206="","Falta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",""),LEN(IF($C206="","Falta el nombre de la actividad"&amp;" · ","")&amp;IF(AND($S206="Sub",N($R206)=0),"Subactividad sin macroactividad arriba"&amp;" · ","")&amp;IF($D206="","Sin fecha de inicio"&amp;" · ","")&amp;IF($E206="","Sin fecha límite"&amp;" · ","")&amp;IF(OR(AND($D206&lt;&gt;"",NOT(ISNUMBER($D206))),AND($E206&lt;&gt;"",NOT(ISNUMBER($E206)))),"Fecha no válida"&amp;" · ","")&amp;IF(AND(ISNUMBER($D206),ISNUMBER($E206),$D206&gt;$E206),"Inicio posterior a fecha límite"&amp;" · ","")&amp;IF(AND($S206="Macro",$F206=""),"Peso vacío"&amp;" · ","")&amp;IF(AND($S206="Macro",$F206&lt;&gt;"",OR(NOT(ISNUMBER($F206)),$F206&lt;=0,$F206&gt;1)),"Peso fuera de rango"&amp;" · ","")&amp;IF(AND($S206="Sub",$F206&lt;&gt;"",OR(NOT(ISNUMBER($F206)),$F206&lt;0,$F206&gt;1)),"Peso fuera de rango"&amp;" · ","")&amp;IF(AND($S206="Sub",$F206="",IFERROR(N(INDEX($AG$5:$AG$1000,$R206-4)),0)&gt;0),"Falta el peso de la subactividad"&amp;" · ","")&amp;IF(AND(N($T206)&gt;0,N($AG206)&gt;0,ABS(N($AG206)-N($F206))&gt;0.0001),"Pesos de sus subactividades suman "&amp;TEXT(N($AG206),"0%")&amp;" (deben sumar "&amp;TEXT(N($F206),"0%")&amp;")"&amp;" · ","")&amp;IF(AND($S206="Macro",ABS(SUMIFS($F$5:$F$1000,$P$5:$P$1000,$P206,$S$5:$S$1000,"Macro")-1)&gt;0.0001),"Pesos del mes suman "&amp;TEXT(SUMIFS($F$5:$F$1000,$P$5:$P$1000,$P206,$S$5:$S$1000,"Macro"),"0%")&amp;" · ","")&amp;IF(AND(N($T206)&gt;0,COUNT($G206:$J206)&gt;0),"Con subactividades: deje vacías las semanas (se calculan solas)"&amp;" · ","")&amp;IF((COUNTIF($G206:$J206,"&gt;1")+COUNTIF($G206:$J206,"&lt;0")+COUNTA($G206:$J206)-COUNT($G206:$J206))&gt;0,"Avance fuera de rango 0-100%"&amp;" · ","")&amp;IF(OR(AND($H206&lt;&gt;"",$H206&lt;$G206),AND($I206&lt;&gt;"",$I206&lt;MAX($G206:$H206)),AND($J206&lt;&gt;"",$J206&lt;MAX($G206:$I206))),"Avance semanal decreciente"&amp;" · ","")&amp;IF(AND(ISNUMBER($E206),$E206&lt;FechaRef,N($K206)&lt;1),"Vencida"&amp;" · ","")&amp;IF(AND(ObsObligatoria="Sí",ISNUMBER($E206),$E206&lt;FechaRef,N($K206)&lt;1,$N206=""),"Vencida sin observación"&amp;" · ",""))-3)))</f>
        <v/>
      </c>
      <c r="P206" s="70">
        <f>IF(NOT((COUNTA($B206:$J206)+COUNTA($N206))&gt;0),"",IF(AND($S206="Sub",N($R206)&gt;0),IF(ISNUMBER(INDEX($D$5:$D$1000,$R206-4)),DATE(YEAR(INDEX($D$5:$D$1000,$R206-4)),MONTH(INDEX($D$5:$D$1000,$R206-4)),1),IF(ISNUMBER(INDEX($E$5:$E$1000,$R206-4)),DATE(YEAR(INDEX($E$5:$E$1000,$R206-4)),MONTH(INDEX($E$5:$E$1000,$R206-4)),1),MesCiclo)),IF(ISNUMBER($D206),DATE(YEAR($D206),MONTH($D206),1),IF(ISNUMBER($E206),DATE(YEAR($E206),MONTH($E206),1),MesCiclo))))</f>
        <v/>
      </c>
      <c r="Q206" s="71">
        <f>IF(OR($P206="",$P206&lt;&gt;MesCiclo),"",COUNTIF($P$5:$P206,MesCiclo))</f>
        <v/>
      </c>
      <c r="R206" s="71">
        <f>IF($S206="","",IF($S206="Macro",ROW(),IFERROR(LOOKUP(2,1/($S$5:$S206="Macro"),ROW($S$5:$S206)),0)))</f>
        <v/>
      </c>
      <c r="S206" s="71">
        <f>IF(NOT((COUNTA($B206:$J206)+COUNTA($N206))&gt;0),"",IF($B206="Subactividad","Sub","Macro"))</f>
        <v/>
      </c>
      <c r="T206" s="71">
        <f>IF($S206="Macro",COUNTIFS($R$5:$R$1000,ROW(),$S$5:$S$1000,"Sub"),"")</f>
        <v/>
      </c>
      <c r="U206" s="71">
        <f>IF($S206="","",IF(ISNUMBER($G206),$G206,0))</f>
        <v/>
      </c>
      <c r="V206" s="71">
        <f>IF($S206="","",IF(ISNUMBER($H206),$H206,$U206))</f>
        <v/>
      </c>
      <c r="W206" s="71">
        <f>IF($S206="","",IF(ISNUMBER($I206),$I206,$V206))</f>
        <v/>
      </c>
      <c r="X206" s="71">
        <f>IF($S206="","",IF(ISNUMBER($J206),$J206,$W206))</f>
        <v/>
      </c>
      <c r="Y206" s="71">
        <f>IF($S206="","",IF(N($T206)&gt;0,IF(N($AG206)&gt;0,SUMIFS($AC$5:$AC$1000,$R$5:$R$1000,ROW(),$S$5:$S$1000,"Sub")/$AG206,AVERAGEIFS($U$5:$U$1000,$R$5:$R$1000,ROW(),$S$5:$S$1000,"Sub")),$U206))</f>
        <v/>
      </c>
      <c r="Z206" s="71">
        <f>IF($S206="","",IF(N($T206)&gt;0,IF(N($AG206)&gt;0,SUMIFS($AD$5:$AD$1000,$R$5:$R$1000,ROW(),$S$5:$S$1000,"Sub")/$AG206,AVERAGEIFS($V$5:$V$1000,$R$5:$R$1000,ROW(),$S$5:$S$1000,"Sub")),$V206))</f>
        <v/>
      </c>
      <c r="AA206" s="71">
        <f>IF($S206="","",IF(N($T206)&gt;0,IF(N($AG206)&gt;0,SUMIFS($AE$5:$AE$1000,$R$5:$R$1000,ROW(),$S$5:$S$1000,"Sub")/$AG206,AVERAGEIFS($W$5:$W$1000,$R$5:$R$1000,ROW(),$S$5:$S$1000,"Sub")),$W206))</f>
        <v/>
      </c>
      <c r="AB206" s="71">
        <f>IF($S206="","",IF(N($T206)&gt;0,IF(N($AG206)&gt;0,SUMIFS($AF$5:$AF$1000,$R$5:$R$1000,ROW(),$S$5:$S$1000,"Sub")/$AG206,AVERAGEIFS($X$5:$X$1000,$R$5:$R$1000,ROW(),$S$5:$S$1000,"Sub")),$X206))</f>
        <v/>
      </c>
      <c r="AC206" s="71">
        <f>IF($S206="Sub",N($F206)*N($U206),"")</f>
        <v/>
      </c>
      <c r="AD206" s="71">
        <f>IF($S206="Sub",N($F206)*N($V206),"")</f>
        <v/>
      </c>
      <c r="AE206" s="71">
        <f>IF($S206="Sub",N($F206)*N($W206),"")</f>
        <v/>
      </c>
      <c r="AF206" s="71">
        <f>IF($S206="Sub",N($F206)*N($X206),"")</f>
        <v/>
      </c>
      <c r="AG206" s="71">
        <f>IF(N($T206)&gt;0,SUMIFS($F$5:$F$1000,$R$5:$R$1000,ROW(),$S$5:$S$1000,"Sub"),"")</f>
        <v/>
      </c>
    </row>
    <row r="207">
      <c r="A207" s="62">
        <f>IF(NOT((COUNTA($B207:$J207)+COUNTA($N207))&gt;0),"",IF($S207="Macro",COUNTIFS($S$5:$S207,"Macro",$P$5:$P207,$P207),IF(N($R207)=0,"?",COUNTIFS(INDEX($S$5:$S$1000,1):INDEX($S$5:$S$1000,$R207-4),"Macro",INDEX($P$5:$P$1000,1):INDEX($P$5:$P$1000,$R207-4),INDEX($P$5:$P$1000,$R207-4))&amp;"."&amp;COUNTIFS($R$5:$R207,$R207,$S$5:$S207,"Sub"))))</f>
        <v/>
      </c>
      <c r="B207" s="63" t="n"/>
      <c r="C207" s="64" t="n"/>
      <c r="D207" s="65" t="n"/>
      <c r="E207" s="65" t="n"/>
      <c r="F207" s="66" t="n"/>
      <c r="G207" s="67" t="n"/>
      <c r="H207" s="67" t="n"/>
      <c r="I207" s="67" t="n"/>
      <c r="J207" s="67" t="n"/>
      <c r="K207" s="68">
        <f>IF(NOT((COUNTA($B207:$J207)+COUNTA($N207))&gt;0),"",IF(N($T207)&gt;0,$AB207,IFERROR(LOOKUP(2,1/(G207:J207&lt;&gt;""),G207:J207),0)))</f>
        <v/>
      </c>
      <c r="L207" s="62">
        <f>IF(K207="","",IF(K207&gt;=1,"Completado",IF(K207&gt;0,"En curso","Pendiente")))</f>
        <v/>
      </c>
      <c r="M207" s="62">
        <f>IF(NOT((COUNTA($B207:$J207)+COUNTA($N207))&gt;0),"",IF(N($K207)&gt;=1,"Cumplida",IF(NOT(ISNUMBER($E207)),"Sin fecha límite",IF($E207&lt;FechaRef,"Vencida hace "&amp;(FechaRef-$E207)&amp;IF(FechaRef-$E207=1," día"," días"),IF($E207=FechaRef,"Vence hoy",IF($E207-FechaRef&lt;=DiasAlerta,"Vence en "&amp;($E207-FechaRef)&amp;IF($E207-FechaRef=1," día"," días"),"En plazo"))))))</f>
        <v/>
      </c>
      <c r="N207" s="64" t="n"/>
      <c r="O207" s="69">
        <f>IF(NOT((COUNTA($B207:$J207)+COUNTA($N207))&gt;0),"",IF((IF($C207="","Falta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",""))="","✔ OK","⚠ "&amp;LEFT(IF($C207="","Falta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",""),LEN(IF($C207="","Falta el nombre de la actividad"&amp;" · ","")&amp;IF(AND($S207="Sub",N($R207)=0),"Subactividad sin macroactividad arriba"&amp;" · ","")&amp;IF($D207="","Sin fecha de inicio"&amp;" · ","")&amp;IF($E207="","Sin fecha límite"&amp;" · ","")&amp;IF(OR(AND($D207&lt;&gt;"",NOT(ISNUMBER($D207))),AND($E207&lt;&gt;"",NOT(ISNUMBER($E207)))),"Fecha no válida"&amp;" · ","")&amp;IF(AND(ISNUMBER($D207),ISNUMBER($E207),$D207&gt;$E207),"Inicio posterior a fecha límite"&amp;" · ","")&amp;IF(AND($S207="Macro",$F207=""),"Peso vacío"&amp;" · ","")&amp;IF(AND($S207="Macro",$F207&lt;&gt;"",OR(NOT(ISNUMBER($F207)),$F207&lt;=0,$F207&gt;1)),"Peso fuera de rango"&amp;" · ","")&amp;IF(AND($S207="Sub",$F207&lt;&gt;"",OR(NOT(ISNUMBER($F207)),$F207&lt;0,$F207&gt;1)),"Peso fuera de rango"&amp;" · ","")&amp;IF(AND($S207="Sub",$F207="",IFERROR(N(INDEX($AG$5:$AG$1000,$R207-4)),0)&gt;0),"Falta el peso de la subactividad"&amp;" · ","")&amp;IF(AND(N($T207)&gt;0,N($AG207)&gt;0,ABS(N($AG207)-N($F207))&gt;0.0001),"Pesos de sus subactividades suman "&amp;TEXT(N($AG207),"0%")&amp;" (deben sumar "&amp;TEXT(N($F207),"0%")&amp;")"&amp;" · ","")&amp;IF(AND($S207="Macro",ABS(SUMIFS($F$5:$F$1000,$P$5:$P$1000,$P207,$S$5:$S$1000,"Macro")-1)&gt;0.0001),"Pesos del mes suman "&amp;TEXT(SUMIFS($F$5:$F$1000,$P$5:$P$1000,$P207,$S$5:$S$1000,"Macro"),"0%")&amp;" · ","")&amp;IF(AND(N($T207)&gt;0,COUNT($G207:$J207)&gt;0),"Con subactividades: deje vacías las semanas (se calculan solas)"&amp;" · ","")&amp;IF((COUNTIF($G207:$J207,"&gt;1")+COUNTIF($G207:$J207,"&lt;0")+COUNTA($G207:$J207)-COUNT($G207:$J207))&gt;0,"Avance fuera de rango 0-100%"&amp;" · ","")&amp;IF(OR(AND($H207&lt;&gt;"",$H207&lt;$G207),AND($I207&lt;&gt;"",$I207&lt;MAX($G207:$H207)),AND($J207&lt;&gt;"",$J207&lt;MAX($G207:$I207))),"Avance semanal decreciente"&amp;" · ","")&amp;IF(AND(ISNUMBER($E207),$E207&lt;FechaRef,N($K207)&lt;1),"Vencida"&amp;" · ","")&amp;IF(AND(ObsObligatoria="Sí",ISNUMBER($E207),$E207&lt;FechaRef,N($K207)&lt;1,$N207=""),"Vencida sin observación"&amp;" · ",""))-3)))</f>
        <v/>
      </c>
      <c r="P207" s="70">
        <f>IF(NOT((COUNTA($B207:$J207)+COUNTA($N207))&gt;0),"",IF(AND($S207="Sub",N($R207)&gt;0),IF(ISNUMBER(INDEX($D$5:$D$1000,$R207-4)),DATE(YEAR(INDEX($D$5:$D$1000,$R207-4)),MONTH(INDEX($D$5:$D$1000,$R207-4)),1),IF(ISNUMBER(INDEX($E$5:$E$1000,$R207-4)),DATE(YEAR(INDEX($E$5:$E$1000,$R207-4)),MONTH(INDEX($E$5:$E$1000,$R207-4)),1),MesCiclo)),IF(ISNUMBER($D207),DATE(YEAR($D207),MONTH($D207),1),IF(ISNUMBER($E207),DATE(YEAR($E207),MONTH($E207),1),MesCiclo))))</f>
        <v/>
      </c>
      <c r="Q207" s="71">
        <f>IF(OR($P207="",$P207&lt;&gt;MesCiclo),"",COUNTIF($P$5:$P207,MesCiclo))</f>
        <v/>
      </c>
      <c r="R207" s="71">
        <f>IF($S207="","",IF($S207="Macro",ROW(),IFERROR(LOOKUP(2,1/($S$5:$S207="Macro"),ROW($S$5:$S207)),0)))</f>
        <v/>
      </c>
      <c r="S207" s="71">
        <f>IF(NOT((COUNTA($B207:$J207)+COUNTA($N207))&gt;0),"",IF($B207="Subactividad","Sub","Macro"))</f>
        <v/>
      </c>
      <c r="T207" s="71">
        <f>IF($S207="Macro",COUNTIFS($R$5:$R$1000,ROW(),$S$5:$S$1000,"Sub"),"")</f>
        <v/>
      </c>
      <c r="U207" s="71">
        <f>IF($S207="","",IF(ISNUMBER($G207),$G207,0))</f>
        <v/>
      </c>
      <c r="V207" s="71">
        <f>IF($S207="","",IF(ISNUMBER($H207),$H207,$U207))</f>
        <v/>
      </c>
      <c r="W207" s="71">
        <f>IF($S207="","",IF(ISNUMBER($I207),$I207,$V207))</f>
        <v/>
      </c>
      <c r="X207" s="71">
        <f>IF($S207="","",IF(ISNUMBER($J207),$J207,$W207))</f>
        <v/>
      </c>
      <c r="Y207" s="71">
        <f>IF($S207="","",IF(N($T207)&gt;0,IF(N($AG207)&gt;0,SUMIFS($AC$5:$AC$1000,$R$5:$R$1000,ROW(),$S$5:$S$1000,"Sub")/$AG207,AVERAGEIFS($U$5:$U$1000,$R$5:$R$1000,ROW(),$S$5:$S$1000,"Sub")),$U207))</f>
        <v/>
      </c>
      <c r="Z207" s="71">
        <f>IF($S207="","",IF(N($T207)&gt;0,IF(N($AG207)&gt;0,SUMIFS($AD$5:$AD$1000,$R$5:$R$1000,ROW(),$S$5:$S$1000,"Sub")/$AG207,AVERAGEIFS($V$5:$V$1000,$R$5:$R$1000,ROW(),$S$5:$S$1000,"Sub")),$V207))</f>
        <v/>
      </c>
      <c r="AA207" s="71">
        <f>IF($S207="","",IF(N($T207)&gt;0,IF(N($AG207)&gt;0,SUMIFS($AE$5:$AE$1000,$R$5:$R$1000,ROW(),$S$5:$S$1000,"Sub")/$AG207,AVERAGEIFS($W$5:$W$1000,$R$5:$R$1000,ROW(),$S$5:$S$1000,"Sub")),$W207))</f>
        <v/>
      </c>
      <c r="AB207" s="71">
        <f>IF($S207="","",IF(N($T207)&gt;0,IF(N($AG207)&gt;0,SUMIFS($AF$5:$AF$1000,$R$5:$R$1000,ROW(),$S$5:$S$1000,"Sub")/$AG207,AVERAGEIFS($X$5:$X$1000,$R$5:$R$1000,ROW(),$S$5:$S$1000,"Sub")),$X207))</f>
        <v/>
      </c>
      <c r="AC207" s="71">
        <f>IF($S207="Sub",N($F207)*N($U207),"")</f>
        <v/>
      </c>
      <c r="AD207" s="71">
        <f>IF($S207="Sub",N($F207)*N($V207),"")</f>
        <v/>
      </c>
      <c r="AE207" s="71">
        <f>IF($S207="Sub",N($F207)*N($W207),"")</f>
        <v/>
      </c>
      <c r="AF207" s="71">
        <f>IF($S207="Sub",N($F207)*N($X207),"")</f>
        <v/>
      </c>
      <c r="AG207" s="71">
        <f>IF(N($T207)&gt;0,SUMIFS($F$5:$F$1000,$R$5:$R$1000,ROW(),$S$5:$S$1000,"Sub"),"")</f>
        <v/>
      </c>
    </row>
    <row r="208">
      <c r="A208" s="62">
        <f>IF(NOT((COUNTA($B208:$J208)+COUNTA($N208))&gt;0),"",IF($S208="Macro",COUNTIFS($S$5:$S208,"Macro",$P$5:$P208,$P208),IF(N($R208)=0,"?",COUNTIFS(INDEX($S$5:$S$1000,1):INDEX($S$5:$S$1000,$R208-4),"Macro",INDEX($P$5:$P$1000,1):INDEX($P$5:$P$1000,$R208-4),INDEX($P$5:$P$1000,$R208-4))&amp;"."&amp;COUNTIFS($R$5:$R208,$R208,$S$5:$S208,"Sub"))))</f>
        <v/>
      </c>
      <c r="B208" s="63" t="n"/>
      <c r="C208" s="64" t="n"/>
      <c r="D208" s="65" t="n"/>
      <c r="E208" s="65" t="n"/>
      <c r="F208" s="66" t="n"/>
      <c r="G208" s="67" t="n"/>
      <c r="H208" s="67" t="n"/>
      <c r="I208" s="67" t="n"/>
      <c r="J208" s="67" t="n"/>
      <c r="K208" s="68">
        <f>IF(NOT((COUNTA($B208:$J208)+COUNTA($N208))&gt;0),"",IF(N($T208)&gt;0,$AB208,IFERROR(LOOKUP(2,1/(G208:J208&lt;&gt;""),G208:J208),0)))</f>
        <v/>
      </c>
      <c r="L208" s="62">
        <f>IF(K208="","",IF(K208&gt;=1,"Completado",IF(K208&gt;0,"En curso","Pendiente")))</f>
        <v/>
      </c>
      <c r="M208" s="62">
        <f>IF(NOT((COUNTA($B208:$J208)+COUNTA($N208))&gt;0),"",IF(N($K208)&gt;=1,"Cumplida",IF(NOT(ISNUMBER($E208)),"Sin fecha límite",IF($E208&lt;FechaRef,"Vencida hace "&amp;(FechaRef-$E208)&amp;IF(FechaRef-$E208=1," día"," días"),IF($E208=FechaRef,"Vence hoy",IF($E208-FechaRef&lt;=DiasAlerta,"Vence en "&amp;($E208-FechaRef)&amp;IF($E208-FechaRef=1," día"," días"),"En plazo"))))))</f>
        <v/>
      </c>
      <c r="N208" s="64" t="n"/>
      <c r="O208" s="69">
        <f>IF(NOT((COUNTA($B208:$J208)+COUNTA($N208))&gt;0),"",IF((IF($C208="","Falta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",""))="","✔ OK","⚠ "&amp;LEFT(IF($C208="","Falta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",""),LEN(IF($C208="","Falta el nombre de la actividad"&amp;" · ","")&amp;IF(AND($S208="Sub",N($R208)=0),"Subactividad sin macroactividad arriba"&amp;" · ","")&amp;IF($D208="","Sin fecha de inicio"&amp;" · ","")&amp;IF($E208="","Sin fecha límite"&amp;" · ","")&amp;IF(OR(AND($D208&lt;&gt;"",NOT(ISNUMBER($D208))),AND($E208&lt;&gt;"",NOT(ISNUMBER($E208)))),"Fecha no válida"&amp;" · ","")&amp;IF(AND(ISNUMBER($D208),ISNUMBER($E208),$D208&gt;$E208),"Inicio posterior a fecha límite"&amp;" · ","")&amp;IF(AND($S208="Macro",$F208=""),"Peso vacío"&amp;" · ","")&amp;IF(AND($S208="Macro",$F208&lt;&gt;"",OR(NOT(ISNUMBER($F208)),$F208&lt;=0,$F208&gt;1)),"Peso fuera de rango"&amp;" · ","")&amp;IF(AND($S208="Sub",$F208&lt;&gt;"",OR(NOT(ISNUMBER($F208)),$F208&lt;0,$F208&gt;1)),"Peso fuera de rango"&amp;" · ","")&amp;IF(AND($S208="Sub",$F208="",IFERROR(N(INDEX($AG$5:$AG$1000,$R208-4)),0)&gt;0),"Falta el peso de la subactividad"&amp;" · ","")&amp;IF(AND(N($T208)&gt;0,N($AG208)&gt;0,ABS(N($AG208)-N($F208))&gt;0.0001),"Pesos de sus subactividades suman "&amp;TEXT(N($AG208),"0%")&amp;" (deben sumar "&amp;TEXT(N($F208),"0%")&amp;")"&amp;" · ","")&amp;IF(AND($S208="Macro",ABS(SUMIFS($F$5:$F$1000,$P$5:$P$1000,$P208,$S$5:$S$1000,"Macro")-1)&gt;0.0001),"Pesos del mes suman "&amp;TEXT(SUMIFS($F$5:$F$1000,$P$5:$P$1000,$P208,$S$5:$S$1000,"Macro"),"0%")&amp;" · ","")&amp;IF(AND(N($T208)&gt;0,COUNT($G208:$J208)&gt;0),"Con subactividades: deje vacías las semanas (se calculan solas)"&amp;" · ","")&amp;IF((COUNTIF($G208:$J208,"&gt;1")+COUNTIF($G208:$J208,"&lt;0")+COUNTA($G208:$J208)-COUNT($G208:$J208))&gt;0,"Avance fuera de rango 0-100%"&amp;" · ","")&amp;IF(OR(AND($H208&lt;&gt;"",$H208&lt;$G208),AND($I208&lt;&gt;"",$I208&lt;MAX($G208:$H208)),AND($J208&lt;&gt;"",$J208&lt;MAX($G208:$I208))),"Avance semanal decreciente"&amp;" · ","")&amp;IF(AND(ISNUMBER($E208),$E208&lt;FechaRef,N($K208)&lt;1),"Vencida"&amp;" · ","")&amp;IF(AND(ObsObligatoria="Sí",ISNUMBER($E208),$E208&lt;FechaRef,N($K208)&lt;1,$N208=""),"Vencida sin observación"&amp;" · ",""))-3)))</f>
        <v/>
      </c>
      <c r="P208" s="70">
        <f>IF(NOT((COUNTA($B208:$J208)+COUNTA($N208))&gt;0),"",IF(AND($S208="Sub",N($R208)&gt;0),IF(ISNUMBER(INDEX($D$5:$D$1000,$R208-4)),DATE(YEAR(INDEX($D$5:$D$1000,$R208-4)),MONTH(INDEX($D$5:$D$1000,$R208-4)),1),IF(ISNUMBER(INDEX($E$5:$E$1000,$R208-4)),DATE(YEAR(INDEX($E$5:$E$1000,$R208-4)),MONTH(INDEX($E$5:$E$1000,$R208-4)),1),MesCiclo)),IF(ISNUMBER($D208),DATE(YEAR($D208),MONTH($D208),1),IF(ISNUMBER($E208),DATE(YEAR($E208),MONTH($E208),1),MesCiclo))))</f>
        <v/>
      </c>
      <c r="Q208" s="71">
        <f>IF(OR($P208="",$P208&lt;&gt;MesCiclo),"",COUNTIF($P$5:$P208,MesCiclo))</f>
        <v/>
      </c>
      <c r="R208" s="71">
        <f>IF($S208="","",IF($S208="Macro",ROW(),IFERROR(LOOKUP(2,1/($S$5:$S208="Macro"),ROW($S$5:$S208)),0)))</f>
        <v/>
      </c>
      <c r="S208" s="71">
        <f>IF(NOT((COUNTA($B208:$J208)+COUNTA($N208))&gt;0),"",IF($B208="Subactividad","Sub","Macro"))</f>
        <v/>
      </c>
      <c r="T208" s="71">
        <f>IF($S208="Macro",COUNTIFS($R$5:$R$1000,ROW(),$S$5:$S$1000,"Sub"),"")</f>
        <v/>
      </c>
      <c r="U208" s="71">
        <f>IF($S208="","",IF(ISNUMBER($G208),$G208,0))</f>
        <v/>
      </c>
      <c r="V208" s="71">
        <f>IF($S208="","",IF(ISNUMBER($H208),$H208,$U208))</f>
        <v/>
      </c>
      <c r="W208" s="71">
        <f>IF($S208="","",IF(ISNUMBER($I208),$I208,$V208))</f>
        <v/>
      </c>
      <c r="X208" s="71">
        <f>IF($S208="","",IF(ISNUMBER($J208),$J208,$W208))</f>
        <v/>
      </c>
      <c r="Y208" s="71">
        <f>IF($S208="","",IF(N($T208)&gt;0,IF(N($AG208)&gt;0,SUMIFS($AC$5:$AC$1000,$R$5:$R$1000,ROW(),$S$5:$S$1000,"Sub")/$AG208,AVERAGEIFS($U$5:$U$1000,$R$5:$R$1000,ROW(),$S$5:$S$1000,"Sub")),$U208))</f>
        <v/>
      </c>
      <c r="Z208" s="71">
        <f>IF($S208="","",IF(N($T208)&gt;0,IF(N($AG208)&gt;0,SUMIFS($AD$5:$AD$1000,$R$5:$R$1000,ROW(),$S$5:$S$1000,"Sub")/$AG208,AVERAGEIFS($V$5:$V$1000,$R$5:$R$1000,ROW(),$S$5:$S$1000,"Sub")),$V208))</f>
        <v/>
      </c>
      <c r="AA208" s="71">
        <f>IF($S208="","",IF(N($T208)&gt;0,IF(N($AG208)&gt;0,SUMIFS($AE$5:$AE$1000,$R$5:$R$1000,ROW(),$S$5:$S$1000,"Sub")/$AG208,AVERAGEIFS($W$5:$W$1000,$R$5:$R$1000,ROW(),$S$5:$S$1000,"Sub")),$W208))</f>
        <v/>
      </c>
      <c r="AB208" s="71">
        <f>IF($S208="","",IF(N($T208)&gt;0,IF(N($AG208)&gt;0,SUMIFS($AF$5:$AF$1000,$R$5:$R$1000,ROW(),$S$5:$S$1000,"Sub")/$AG208,AVERAGEIFS($X$5:$X$1000,$R$5:$R$1000,ROW(),$S$5:$S$1000,"Sub")),$X208))</f>
        <v/>
      </c>
      <c r="AC208" s="71">
        <f>IF($S208="Sub",N($F208)*N($U208),"")</f>
        <v/>
      </c>
      <c r="AD208" s="71">
        <f>IF($S208="Sub",N($F208)*N($V208),"")</f>
        <v/>
      </c>
      <c r="AE208" s="71">
        <f>IF($S208="Sub",N($F208)*N($W208),"")</f>
        <v/>
      </c>
      <c r="AF208" s="71">
        <f>IF($S208="Sub",N($F208)*N($X208),"")</f>
        <v/>
      </c>
      <c r="AG208" s="71">
        <f>IF(N($T208)&gt;0,SUMIFS($F$5:$F$1000,$R$5:$R$1000,ROW(),$S$5:$S$1000,"Sub"),"")</f>
        <v/>
      </c>
    </row>
    <row r="209">
      <c r="A209" s="62">
        <f>IF(NOT((COUNTA($B209:$J209)+COUNTA($N209))&gt;0),"",IF($S209="Macro",COUNTIFS($S$5:$S209,"Macro",$P$5:$P209,$P209),IF(N($R209)=0,"?",COUNTIFS(INDEX($S$5:$S$1000,1):INDEX($S$5:$S$1000,$R209-4),"Macro",INDEX($P$5:$P$1000,1):INDEX($P$5:$P$1000,$R209-4),INDEX($P$5:$P$1000,$R209-4))&amp;"."&amp;COUNTIFS($R$5:$R209,$R209,$S$5:$S209,"Sub"))))</f>
        <v/>
      </c>
      <c r="B209" s="63" t="n"/>
      <c r="C209" s="64" t="n"/>
      <c r="D209" s="65" t="n"/>
      <c r="E209" s="65" t="n"/>
      <c r="F209" s="66" t="n"/>
      <c r="G209" s="67" t="n"/>
      <c r="H209" s="67" t="n"/>
      <c r="I209" s="67" t="n"/>
      <c r="J209" s="67" t="n"/>
      <c r="K209" s="68">
        <f>IF(NOT((COUNTA($B209:$J209)+COUNTA($N209))&gt;0),"",IF(N($T209)&gt;0,$AB209,IFERROR(LOOKUP(2,1/(G209:J209&lt;&gt;""),G209:J209),0)))</f>
        <v/>
      </c>
      <c r="L209" s="62">
        <f>IF(K209="","",IF(K209&gt;=1,"Completado",IF(K209&gt;0,"En curso","Pendiente")))</f>
        <v/>
      </c>
      <c r="M209" s="62">
        <f>IF(NOT((COUNTA($B209:$J209)+COUNTA($N209))&gt;0),"",IF(N($K209)&gt;=1,"Cumplida",IF(NOT(ISNUMBER($E209)),"Sin fecha límite",IF($E209&lt;FechaRef,"Vencida hace "&amp;(FechaRef-$E209)&amp;IF(FechaRef-$E209=1," día"," días"),IF($E209=FechaRef,"Vence hoy",IF($E209-FechaRef&lt;=DiasAlerta,"Vence en "&amp;($E209-FechaRef)&amp;IF($E209-FechaRef=1," día"," días"),"En plazo"))))))</f>
        <v/>
      </c>
      <c r="N209" s="64" t="n"/>
      <c r="O209" s="69">
        <f>IF(NOT((COUNTA($B209:$J209)+COUNTA($N209))&gt;0),"",IF((IF($C209="","Falta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",""))="","✔ OK","⚠ "&amp;LEFT(IF($C209="","Falta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",""),LEN(IF($C209="","Falta el nombre de la actividad"&amp;" · ","")&amp;IF(AND($S209="Sub",N($R209)=0),"Subactividad sin macroactividad arriba"&amp;" · ","")&amp;IF($D209="","Sin fecha de inicio"&amp;" · ","")&amp;IF($E209="","Sin fecha límite"&amp;" · ","")&amp;IF(OR(AND($D209&lt;&gt;"",NOT(ISNUMBER($D209))),AND($E209&lt;&gt;"",NOT(ISNUMBER($E209)))),"Fecha no válida"&amp;" · ","")&amp;IF(AND(ISNUMBER($D209),ISNUMBER($E209),$D209&gt;$E209),"Inicio posterior a fecha límite"&amp;" · ","")&amp;IF(AND($S209="Macro",$F209=""),"Peso vacío"&amp;" · ","")&amp;IF(AND($S209="Macro",$F209&lt;&gt;"",OR(NOT(ISNUMBER($F209)),$F209&lt;=0,$F209&gt;1)),"Peso fuera de rango"&amp;" · ","")&amp;IF(AND($S209="Sub",$F209&lt;&gt;"",OR(NOT(ISNUMBER($F209)),$F209&lt;0,$F209&gt;1)),"Peso fuera de rango"&amp;" · ","")&amp;IF(AND($S209="Sub",$F209="",IFERROR(N(INDEX($AG$5:$AG$1000,$R209-4)),0)&gt;0),"Falta el peso de la subactividad"&amp;" · ","")&amp;IF(AND(N($T209)&gt;0,N($AG209)&gt;0,ABS(N($AG209)-N($F209))&gt;0.0001),"Pesos de sus subactividades suman "&amp;TEXT(N($AG209),"0%")&amp;" (deben sumar "&amp;TEXT(N($F209),"0%")&amp;")"&amp;" · ","")&amp;IF(AND($S209="Macro",ABS(SUMIFS($F$5:$F$1000,$P$5:$P$1000,$P209,$S$5:$S$1000,"Macro")-1)&gt;0.0001),"Pesos del mes suman "&amp;TEXT(SUMIFS($F$5:$F$1000,$P$5:$P$1000,$P209,$S$5:$S$1000,"Macro"),"0%")&amp;" · ","")&amp;IF(AND(N($T209)&gt;0,COUNT($G209:$J209)&gt;0),"Con subactividades: deje vacías las semanas (se calculan solas)"&amp;" · ","")&amp;IF((COUNTIF($G209:$J209,"&gt;1")+COUNTIF($G209:$J209,"&lt;0")+COUNTA($G209:$J209)-COUNT($G209:$J209))&gt;0,"Avance fuera de rango 0-100%"&amp;" · ","")&amp;IF(OR(AND($H209&lt;&gt;"",$H209&lt;$G209),AND($I209&lt;&gt;"",$I209&lt;MAX($G209:$H209)),AND($J209&lt;&gt;"",$J209&lt;MAX($G209:$I209))),"Avance semanal decreciente"&amp;" · ","")&amp;IF(AND(ISNUMBER($E209),$E209&lt;FechaRef,N($K209)&lt;1),"Vencida"&amp;" · ","")&amp;IF(AND(ObsObligatoria="Sí",ISNUMBER($E209),$E209&lt;FechaRef,N($K209)&lt;1,$N209=""),"Vencida sin observación"&amp;" · ",""))-3)))</f>
        <v/>
      </c>
      <c r="P209" s="70">
        <f>IF(NOT((COUNTA($B209:$J209)+COUNTA($N209))&gt;0),"",IF(AND($S209="Sub",N($R209)&gt;0),IF(ISNUMBER(INDEX($D$5:$D$1000,$R209-4)),DATE(YEAR(INDEX($D$5:$D$1000,$R209-4)),MONTH(INDEX($D$5:$D$1000,$R209-4)),1),IF(ISNUMBER(INDEX($E$5:$E$1000,$R209-4)),DATE(YEAR(INDEX($E$5:$E$1000,$R209-4)),MONTH(INDEX($E$5:$E$1000,$R209-4)),1),MesCiclo)),IF(ISNUMBER($D209),DATE(YEAR($D209),MONTH($D209),1),IF(ISNUMBER($E209),DATE(YEAR($E209),MONTH($E209),1),MesCiclo))))</f>
        <v/>
      </c>
      <c r="Q209" s="71">
        <f>IF(OR($P209="",$P209&lt;&gt;MesCiclo),"",COUNTIF($P$5:$P209,MesCiclo))</f>
        <v/>
      </c>
      <c r="R209" s="71">
        <f>IF($S209="","",IF($S209="Macro",ROW(),IFERROR(LOOKUP(2,1/($S$5:$S209="Macro"),ROW($S$5:$S209)),0)))</f>
        <v/>
      </c>
      <c r="S209" s="71">
        <f>IF(NOT((COUNTA($B209:$J209)+COUNTA($N209))&gt;0),"",IF($B209="Subactividad","Sub","Macro"))</f>
        <v/>
      </c>
      <c r="T209" s="71">
        <f>IF($S209="Macro",COUNTIFS($R$5:$R$1000,ROW(),$S$5:$S$1000,"Sub"),"")</f>
        <v/>
      </c>
      <c r="U209" s="71">
        <f>IF($S209="","",IF(ISNUMBER($G209),$G209,0))</f>
        <v/>
      </c>
      <c r="V209" s="71">
        <f>IF($S209="","",IF(ISNUMBER($H209),$H209,$U209))</f>
        <v/>
      </c>
      <c r="W209" s="71">
        <f>IF($S209="","",IF(ISNUMBER($I209),$I209,$V209))</f>
        <v/>
      </c>
      <c r="X209" s="71">
        <f>IF($S209="","",IF(ISNUMBER($J209),$J209,$W209))</f>
        <v/>
      </c>
      <c r="Y209" s="71">
        <f>IF($S209="","",IF(N($T209)&gt;0,IF(N($AG209)&gt;0,SUMIFS($AC$5:$AC$1000,$R$5:$R$1000,ROW(),$S$5:$S$1000,"Sub")/$AG209,AVERAGEIFS($U$5:$U$1000,$R$5:$R$1000,ROW(),$S$5:$S$1000,"Sub")),$U209))</f>
        <v/>
      </c>
      <c r="Z209" s="71">
        <f>IF($S209="","",IF(N($T209)&gt;0,IF(N($AG209)&gt;0,SUMIFS($AD$5:$AD$1000,$R$5:$R$1000,ROW(),$S$5:$S$1000,"Sub")/$AG209,AVERAGEIFS($V$5:$V$1000,$R$5:$R$1000,ROW(),$S$5:$S$1000,"Sub")),$V209))</f>
        <v/>
      </c>
      <c r="AA209" s="71">
        <f>IF($S209="","",IF(N($T209)&gt;0,IF(N($AG209)&gt;0,SUMIFS($AE$5:$AE$1000,$R$5:$R$1000,ROW(),$S$5:$S$1000,"Sub")/$AG209,AVERAGEIFS($W$5:$W$1000,$R$5:$R$1000,ROW(),$S$5:$S$1000,"Sub")),$W209))</f>
        <v/>
      </c>
      <c r="AB209" s="71">
        <f>IF($S209="","",IF(N($T209)&gt;0,IF(N($AG209)&gt;0,SUMIFS($AF$5:$AF$1000,$R$5:$R$1000,ROW(),$S$5:$S$1000,"Sub")/$AG209,AVERAGEIFS($X$5:$X$1000,$R$5:$R$1000,ROW(),$S$5:$S$1000,"Sub")),$X209))</f>
        <v/>
      </c>
      <c r="AC209" s="71">
        <f>IF($S209="Sub",N($F209)*N($U209),"")</f>
        <v/>
      </c>
      <c r="AD209" s="71">
        <f>IF($S209="Sub",N($F209)*N($V209),"")</f>
        <v/>
      </c>
      <c r="AE209" s="71">
        <f>IF($S209="Sub",N($F209)*N($W209),"")</f>
        <v/>
      </c>
      <c r="AF209" s="71">
        <f>IF($S209="Sub",N($F209)*N($X209),"")</f>
        <v/>
      </c>
      <c r="AG209" s="71">
        <f>IF(N($T209)&gt;0,SUMIFS($F$5:$F$1000,$R$5:$R$1000,ROW(),$S$5:$S$1000,"Sub"),"")</f>
        <v/>
      </c>
    </row>
    <row r="210">
      <c r="A210" s="62">
        <f>IF(NOT((COUNTA($B210:$J210)+COUNTA($N210))&gt;0),"",IF($S210="Macro",COUNTIFS($S$5:$S210,"Macro",$P$5:$P210,$P210),IF(N($R210)=0,"?",COUNTIFS(INDEX($S$5:$S$1000,1):INDEX($S$5:$S$1000,$R210-4),"Macro",INDEX($P$5:$P$1000,1):INDEX($P$5:$P$1000,$R210-4),INDEX($P$5:$P$1000,$R210-4))&amp;"."&amp;COUNTIFS($R$5:$R210,$R210,$S$5:$S210,"Sub"))))</f>
        <v/>
      </c>
      <c r="B210" s="63" t="n"/>
      <c r="C210" s="64" t="n"/>
      <c r="D210" s="65" t="n"/>
      <c r="E210" s="65" t="n"/>
      <c r="F210" s="66" t="n"/>
      <c r="G210" s="67" t="n"/>
      <c r="H210" s="67" t="n"/>
      <c r="I210" s="67" t="n"/>
      <c r="J210" s="67" t="n"/>
      <c r="K210" s="68">
        <f>IF(NOT((COUNTA($B210:$J210)+COUNTA($N210))&gt;0),"",IF(N($T210)&gt;0,$AB210,IFERROR(LOOKUP(2,1/(G210:J210&lt;&gt;""),G210:J210),0)))</f>
        <v/>
      </c>
      <c r="L210" s="62">
        <f>IF(K210="","",IF(K210&gt;=1,"Completado",IF(K210&gt;0,"En curso","Pendiente")))</f>
        <v/>
      </c>
      <c r="M210" s="62">
        <f>IF(NOT((COUNTA($B210:$J210)+COUNTA($N210))&gt;0),"",IF(N($K210)&gt;=1,"Cumplida",IF(NOT(ISNUMBER($E210)),"Sin fecha límite",IF($E210&lt;FechaRef,"Vencida hace "&amp;(FechaRef-$E210)&amp;IF(FechaRef-$E210=1," día"," días"),IF($E210=FechaRef,"Vence hoy",IF($E210-FechaRef&lt;=DiasAlerta,"Vence en "&amp;($E210-FechaRef)&amp;IF($E210-FechaRef=1," día"," días"),"En plazo"))))))</f>
        <v/>
      </c>
      <c r="N210" s="64" t="n"/>
      <c r="O210" s="69">
        <f>IF(NOT((COUNTA($B210:$J210)+COUNTA($N210))&gt;0),"",IF((IF($C210="","Falta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",""))="","✔ OK","⚠ "&amp;LEFT(IF($C210="","Falta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",""),LEN(IF($C210="","Falta el nombre de la actividad"&amp;" · ","")&amp;IF(AND($S210="Sub",N($R210)=0),"Subactividad sin macroactividad arriba"&amp;" · ","")&amp;IF($D210="","Sin fecha de inicio"&amp;" · ","")&amp;IF($E210="","Sin fecha límite"&amp;" · ","")&amp;IF(OR(AND($D210&lt;&gt;"",NOT(ISNUMBER($D210))),AND($E210&lt;&gt;"",NOT(ISNUMBER($E210)))),"Fecha no válida"&amp;" · ","")&amp;IF(AND(ISNUMBER($D210),ISNUMBER($E210),$D210&gt;$E210),"Inicio posterior a fecha límite"&amp;" · ","")&amp;IF(AND($S210="Macro",$F210=""),"Peso vacío"&amp;" · ","")&amp;IF(AND($S210="Macro",$F210&lt;&gt;"",OR(NOT(ISNUMBER($F210)),$F210&lt;=0,$F210&gt;1)),"Peso fuera de rango"&amp;" · ","")&amp;IF(AND($S210="Sub",$F210&lt;&gt;"",OR(NOT(ISNUMBER($F210)),$F210&lt;0,$F210&gt;1)),"Peso fuera de rango"&amp;" · ","")&amp;IF(AND($S210="Sub",$F210="",IFERROR(N(INDEX($AG$5:$AG$1000,$R210-4)),0)&gt;0),"Falta el peso de la subactividad"&amp;" · ","")&amp;IF(AND(N($T210)&gt;0,N($AG210)&gt;0,ABS(N($AG210)-N($F210))&gt;0.0001),"Pesos de sus subactividades suman "&amp;TEXT(N($AG210),"0%")&amp;" (deben sumar "&amp;TEXT(N($F210),"0%")&amp;")"&amp;" · ","")&amp;IF(AND($S210="Macro",ABS(SUMIFS($F$5:$F$1000,$P$5:$P$1000,$P210,$S$5:$S$1000,"Macro")-1)&gt;0.0001),"Pesos del mes suman "&amp;TEXT(SUMIFS($F$5:$F$1000,$P$5:$P$1000,$P210,$S$5:$S$1000,"Macro"),"0%")&amp;" · ","")&amp;IF(AND(N($T210)&gt;0,COUNT($G210:$J210)&gt;0),"Con subactividades: deje vacías las semanas (se calculan solas)"&amp;" · ","")&amp;IF((COUNTIF($G210:$J210,"&gt;1")+COUNTIF($G210:$J210,"&lt;0")+COUNTA($G210:$J210)-COUNT($G210:$J210))&gt;0,"Avance fuera de rango 0-100%"&amp;" · ","")&amp;IF(OR(AND($H210&lt;&gt;"",$H210&lt;$G210),AND($I210&lt;&gt;"",$I210&lt;MAX($G210:$H210)),AND($J210&lt;&gt;"",$J210&lt;MAX($G210:$I210))),"Avance semanal decreciente"&amp;" · ","")&amp;IF(AND(ISNUMBER($E210),$E210&lt;FechaRef,N($K210)&lt;1),"Vencida"&amp;" · ","")&amp;IF(AND(ObsObligatoria="Sí",ISNUMBER($E210),$E210&lt;FechaRef,N($K210)&lt;1,$N210=""),"Vencida sin observación"&amp;" · ",""))-3)))</f>
        <v/>
      </c>
      <c r="P210" s="70">
        <f>IF(NOT((COUNTA($B210:$J210)+COUNTA($N210))&gt;0),"",IF(AND($S210="Sub",N($R210)&gt;0),IF(ISNUMBER(INDEX($D$5:$D$1000,$R210-4)),DATE(YEAR(INDEX($D$5:$D$1000,$R210-4)),MONTH(INDEX($D$5:$D$1000,$R210-4)),1),IF(ISNUMBER(INDEX($E$5:$E$1000,$R210-4)),DATE(YEAR(INDEX($E$5:$E$1000,$R210-4)),MONTH(INDEX($E$5:$E$1000,$R210-4)),1),MesCiclo)),IF(ISNUMBER($D210),DATE(YEAR($D210),MONTH($D210),1),IF(ISNUMBER($E210),DATE(YEAR($E210),MONTH($E210),1),MesCiclo))))</f>
        <v/>
      </c>
      <c r="Q210" s="71">
        <f>IF(OR($P210="",$P210&lt;&gt;MesCiclo),"",COUNTIF($P$5:$P210,MesCiclo))</f>
        <v/>
      </c>
      <c r="R210" s="71">
        <f>IF($S210="","",IF($S210="Macro",ROW(),IFERROR(LOOKUP(2,1/($S$5:$S210="Macro"),ROW($S$5:$S210)),0)))</f>
        <v/>
      </c>
      <c r="S210" s="71">
        <f>IF(NOT((COUNTA($B210:$J210)+COUNTA($N210))&gt;0),"",IF($B210="Subactividad","Sub","Macro"))</f>
        <v/>
      </c>
      <c r="T210" s="71">
        <f>IF($S210="Macro",COUNTIFS($R$5:$R$1000,ROW(),$S$5:$S$1000,"Sub"),"")</f>
        <v/>
      </c>
      <c r="U210" s="71">
        <f>IF($S210="","",IF(ISNUMBER($G210),$G210,0))</f>
        <v/>
      </c>
      <c r="V210" s="71">
        <f>IF($S210="","",IF(ISNUMBER($H210),$H210,$U210))</f>
        <v/>
      </c>
      <c r="W210" s="71">
        <f>IF($S210="","",IF(ISNUMBER($I210),$I210,$V210))</f>
        <v/>
      </c>
      <c r="X210" s="71">
        <f>IF($S210="","",IF(ISNUMBER($J210),$J210,$W210))</f>
        <v/>
      </c>
      <c r="Y210" s="71">
        <f>IF($S210="","",IF(N($T210)&gt;0,IF(N($AG210)&gt;0,SUMIFS($AC$5:$AC$1000,$R$5:$R$1000,ROW(),$S$5:$S$1000,"Sub")/$AG210,AVERAGEIFS($U$5:$U$1000,$R$5:$R$1000,ROW(),$S$5:$S$1000,"Sub")),$U210))</f>
        <v/>
      </c>
      <c r="Z210" s="71">
        <f>IF($S210="","",IF(N($T210)&gt;0,IF(N($AG210)&gt;0,SUMIFS($AD$5:$AD$1000,$R$5:$R$1000,ROW(),$S$5:$S$1000,"Sub")/$AG210,AVERAGEIFS($V$5:$V$1000,$R$5:$R$1000,ROW(),$S$5:$S$1000,"Sub")),$V210))</f>
        <v/>
      </c>
      <c r="AA210" s="71">
        <f>IF($S210="","",IF(N($T210)&gt;0,IF(N($AG210)&gt;0,SUMIFS($AE$5:$AE$1000,$R$5:$R$1000,ROW(),$S$5:$S$1000,"Sub")/$AG210,AVERAGEIFS($W$5:$W$1000,$R$5:$R$1000,ROW(),$S$5:$S$1000,"Sub")),$W210))</f>
        <v/>
      </c>
      <c r="AB210" s="71">
        <f>IF($S210="","",IF(N($T210)&gt;0,IF(N($AG210)&gt;0,SUMIFS($AF$5:$AF$1000,$R$5:$R$1000,ROW(),$S$5:$S$1000,"Sub")/$AG210,AVERAGEIFS($X$5:$X$1000,$R$5:$R$1000,ROW(),$S$5:$S$1000,"Sub")),$X210))</f>
        <v/>
      </c>
      <c r="AC210" s="71">
        <f>IF($S210="Sub",N($F210)*N($U210),"")</f>
        <v/>
      </c>
      <c r="AD210" s="71">
        <f>IF($S210="Sub",N($F210)*N($V210),"")</f>
        <v/>
      </c>
      <c r="AE210" s="71">
        <f>IF($S210="Sub",N($F210)*N($W210),"")</f>
        <v/>
      </c>
      <c r="AF210" s="71">
        <f>IF($S210="Sub",N($F210)*N($X210),"")</f>
        <v/>
      </c>
      <c r="AG210" s="71">
        <f>IF(N($T210)&gt;0,SUMIFS($F$5:$F$1000,$R$5:$R$1000,ROW(),$S$5:$S$1000,"Sub"),"")</f>
        <v/>
      </c>
    </row>
    <row r="211">
      <c r="A211" s="62">
        <f>IF(NOT((COUNTA($B211:$J211)+COUNTA($N211))&gt;0),"",IF($S211="Macro",COUNTIFS($S$5:$S211,"Macro",$P$5:$P211,$P211),IF(N($R211)=0,"?",COUNTIFS(INDEX($S$5:$S$1000,1):INDEX($S$5:$S$1000,$R211-4),"Macro",INDEX($P$5:$P$1000,1):INDEX($P$5:$P$1000,$R211-4),INDEX($P$5:$P$1000,$R211-4))&amp;"."&amp;COUNTIFS($R$5:$R211,$R211,$S$5:$S211,"Sub"))))</f>
        <v/>
      </c>
      <c r="B211" s="63" t="n"/>
      <c r="C211" s="64" t="n"/>
      <c r="D211" s="65" t="n"/>
      <c r="E211" s="65" t="n"/>
      <c r="F211" s="66" t="n"/>
      <c r="G211" s="67" t="n"/>
      <c r="H211" s="67" t="n"/>
      <c r="I211" s="67" t="n"/>
      <c r="J211" s="67" t="n"/>
      <c r="K211" s="68">
        <f>IF(NOT((COUNTA($B211:$J211)+COUNTA($N211))&gt;0),"",IF(N($T211)&gt;0,$AB211,IFERROR(LOOKUP(2,1/(G211:J211&lt;&gt;""),G211:J211),0)))</f>
        <v/>
      </c>
      <c r="L211" s="62">
        <f>IF(K211="","",IF(K211&gt;=1,"Completado",IF(K211&gt;0,"En curso","Pendiente")))</f>
        <v/>
      </c>
      <c r="M211" s="62">
        <f>IF(NOT((COUNTA($B211:$J211)+COUNTA($N211))&gt;0),"",IF(N($K211)&gt;=1,"Cumplida",IF(NOT(ISNUMBER($E211)),"Sin fecha límite",IF($E211&lt;FechaRef,"Vencida hace "&amp;(FechaRef-$E211)&amp;IF(FechaRef-$E211=1," día"," días"),IF($E211=FechaRef,"Vence hoy",IF($E211-FechaRef&lt;=DiasAlerta,"Vence en "&amp;($E211-FechaRef)&amp;IF($E211-FechaRef=1," día"," días"),"En plazo"))))))</f>
        <v/>
      </c>
      <c r="N211" s="64" t="n"/>
      <c r="O211" s="69">
        <f>IF(NOT((COUNTA($B211:$J211)+COUNTA($N211))&gt;0),"",IF((IF($C211="","Falta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",""))="","✔ OK","⚠ "&amp;LEFT(IF($C211="","Falta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",""),LEN(IF($C211="","Falta el nombre de la actividad"&amp;" · ","")&amp;IF(AND($S211="Sub",N($R211)=0),"Subactividad sin macroactividad arriba"&amp;" · ","")&amp;IF($D211="","Sin fecha de inicio"&amp;" · ","")&amp;IF($E211="","Sin fecha límite"&amp;" · ","")&amp;IF(OR(AND($D211&lt;&gt;"",NOT(ISNUMBER($D211))),AND($E211&lt;&gt;"",NOT(ISNUMBER($E211)))),"Fecha no válida"&amp;" · ","")&amp;IF(AND(ISNUMBER($D211),ISNUMBER($E211),$D211&gt;$E211),"Inicio posterior a fecha límite"&amp;" · ","")&amp;IF(AND($S211="Macro",$F211=""),"Peso vacío"&amp;" · ","")&amp;IF(AND($S211="Macro",$F211&lt;&gt;"",OR(NOT(ISNUMBER($F211)),$F211&lt;=0,$F211&gt;1)),"Peso fuera de rango"&amp;" · ","")&amp;IF(AND($S211="Sub",$F211&lt;&gt;"",OR(NOT(ISNUMBER($F211)),$F211&lt;0,$F211&gt;1)),"Peso fuera de rango"&amp;" · ","")&amp;IF(AND($S211="Sub",$F211="",IFERROR(N(INDEX($AG$5:$AG$1000,$R211-4)),0)&gt;0),"Falta el peso de la subactividad"&amp;" · ","")&amp;IF(AND(N($T211)&gt;0,N($AG211)&gt;0,ABS(N($AG211)-N($F211))&gt;0.0001),"Pesos de sus subactividades suman "&amp;TEXT(N($AG211),"0%")&amp;" (deben sumar "&amp;TEXT(N($F211),"0%")&amp;")"&amp;" · ","")&amp;IF(AND($S211="Macro",ABS(SUMIFS($F$5:$F$1000,$P$5:$P$1000,$P211,$S$5:$S$1000,"Macro")-1)&gt;0.0001),"Pesos del mes suman "&amp;TEXT(SUMIFS($F$5:$F$1000,$P$5:$P$1000,$P211,$S$5:$S$1000,"Macro"),"0%")&amp;" · ","")&amp;IF(AND(N($T211)&gt;0,COUNT($G211:$J211)&gt;0),"Con subactividades: deje vacías las semanas (se calculan solas)"&amp;" · ","")&amp;IF((COUNTIF($G211:$J211,"&gt;1")+COUNTIF($G211:$J211,"&lt;0")+COUNTA($G211:$J211)-COUNT($G211:$J211))&gt;0,"Avance fuera de rango 0-100%"&amp;" · ","")&amp;IF(OR(AND($H211&lt;&gt;"",$H211&lt;$G211),AND($I211&lt;&gt;"",$I211&lt;MAX($G211:$H211)),AND($J211&lt;&gt;"",$J211&lt;MAX($G211:$I211))),"Avance semanal decreciente"&amp;" · ","")&amp;IF(AND(ISNUMBER($E211),$E211&lt;FechaRef,N($K211)&lt;1),"Vencida"&amp;" · ","")&amp;IF(AND(ObsObligatoria="Sí",ISNUMBER($E211),$E211&lt;FechaRef,N($K211)&lt;1,$N211=""),"Vencida sin observación"&amp;" · ",""))-3)))</f>
        <v/>
      </c>
      <c r="P211" s="70">
        <f>IF(NOT((COUNTA($B211:$J211)+COUNTA($N211))&gt;0),"",IF(AND($S211="Sub",N($R211)&gt;0),IF(ISNUMBER(INDEX($D$5:$D$1000,$R211-4)),DATE(YEAR(INDEX($D$5:$D$1000,$R211-4)),MONTH(INDEX($D$5:$D$1000,$R211-4)),1),IF(ISNUMBER(INDEX($E$5:$E$1000,$R211-4)),DATE(YEAR(INDEX($E$5:$E$1000,$R211-4)),MONTH(INDEX($E$5:$E$1000,$R211-4)),1),MesCiclo)),IF(ISNUMBER($D211),DATE(YEAR($D211),MONTH($D211),1),IF(ISNUMBER($E211),DATE(YEAR($E211),MONTH($E211),1),MesCiclo))))</f>
        <v/>
      </c>
      <c r="Q211" s="71">
        <f>IF(OR($P211="",$P211&lt;&gt;MesCiclo),"",COUNTIF($P$5:$P211,MesCiclo))</f>
        <v/>
      </c>
      <c r="R211" s="71">
        <f>IF($S211="","",IF($S211="Macro",ROW(),IFERROR(LOOKUP(2,1/($S$5:$S211="Macro"),ROW($S$5:$S211)),0)))</f>
        <v/>
      </c>
      <c r="S211" s="71">
        <f>IF(NOT((COUNTA($B211:$J211)+COUNTA($N211))&gt;0),"",IF($B211="Subactividad","Sub","Macro"))</f>
        <v/>
      </c>
      <c r="T211" s="71">
        <f>IF($S211="Macro",COUNTIFS($R$5:$R$1000,ROW(),$S$5:$S$1000,"Sub"),"")</f>
        <v/>
      </c>
      <c r="U211" s="71">
        <f>IF($S211="","",IF(ISNUMBER($G211),$G211,0))</f>
        <v/>
      </c>
      <c r="V211" s="71">
        <f>IF($S211="","",IF(ISNUMBER($H211),$H211,$U211))</f>
        <v/>
      </c>
      <c r="W211" s="71">
        <f>IF($S211="","",IF(ISNUMBER($I211),$I211,$V211))</f>
        <v/>
      </c>
      <c r="X211" s="71">
        <f>IF($S211="","",IF(ISNUMBER($J211),$J211,$W211))</f>
        <v/>
      </c>
      <c r="Y211" s="71">
        <f>IF($S211="","",IF(N($T211)&gt;0,IF(N($AG211)&gt;0,SUMIFS($AC$5:$AC$1000,$R$5:$R$1000,ROW(),$S$5:$S$1000,"Sub")/$AG211,AVERAGEIFS($U$5:$U$1000,$R$5:$R$1000,ROW(),$S$5:$S$1000,"Sub")),$U211))</f>
        <v/>
      </c>
      <c r="Z211" s="71">
        <f>IF($S211="","",IF(N($T211)&gt;0,IF(N($AG211)&gt;0,SUMIFS($AD$5:$AD$1000,$R$5:$R$1000,ROW(),$S$5:$S$1000,"Sub")/$AG211,AVERAGEIFS($V$5:$V$1000,$R$5:$R$1000,ROW(),$S$5:$S$1000,"Sub")),$V211))</f>
        <v/>
      </c>
      <c r="AA211" s="71">
        <f>IF($S211="","",IF(N($T211)&gt;0,IF(N($AG211)&gt;0,SUMIFS($AE$5:$AE$1000,$R$5:$R$1000,ROW(),$S$5:$S$1000,"Sub")/$AG211,AVERAGEIFS($W$5:$W$1000,$R$5:$R$1000,ROW(),$S$5:$S$1000,"Sub")),$W211))</f>
        <v/>
      </c>
      <c r="AB211" s="71">
        <f>IF($S211="","",IF(N($T211)&gt;0,IF(N($AG211)&gt;0,SUMIFS($AF$5:$AF$1000,$R$5:$R$1000,ROW(),$S$5:$S$1000,"Sub")/$AG211,AVERAGEIFS($X$5:$X$1000,$R$5:$R$1000,ROW(),$S$5:$S$1000,"Sub")),$X211))</f>
        <v/>
      </c>
      <c r="AC211" s="71">
        <f>IF($S211="Sub",N($F211)*N($U211),"")</f>
        <v/>
      </c>
      <c r="AD211" s="71">
        <f>IF($S211="Sub",N($F211)*N($V211),"")</f>
        <v/>
      </c>
      <c r="AE211" s="71">
        <f>IF($S211="Sub",N($F211)*N($W211),"")</f>
        <v/>
      </c>
      <c r="AF211" s="71">
        <f>IF($S211="Sub",N($F211)*N($X211),"")</f>
        <v/>
      </c>
      <c r="AG211" s="71">
        <f>IF(N($T211)&gt;0,SUMIFS($F$5:$F$1000,$R$5:$R$1000,ROW(),$S$5:$S$1000,"Sub"),"")</f>
        <v/>
      </c>
    </row>
    <row r="212">
      <c r="A212" s="62">
        <f>IF(NOT((COUNTA($B212:$J212)+COUNTA($N212))&gt;0),"",IF($S212="Macro",COUNTIFS($S$5:$S212,"Macro",$P$5:$P212,$P212),IF(N($R212)=0,"?",COUNTIFS(INDEX($S$5:$S$1000,1):INDEX($S$5:$S$1000,$R212-4),"Macro",INDEX($P$5:$P$1000,1):INDEX($P$5:$P$1000,$R212-4),INDEX($P$5:$P$1000,$R212-4))&amp;"."&amp;COUNTIFS($R$5:$R212,$R212,$S$5:$S212,"Sub"))))</f>
        <v/>
      </c>
      <c r="B212" s="63" t="n"/>
      <c r="C212" s="64" t="n"/>
      <c r="D212" s="65" t="n"/>
      <c r="E212" s="65" t="n"/>
      <c r="F212" s="66" t="n"/>
      <c r="G212" s="67" t="n"/>
      <c r="H212" s="67" t="n"/>
      <c r="I212" s="67" t="n"/>
      <c r="J212" s="67" t="n"/>
      <c r="K212" s="68">
        <f>IF(NOT((COUNTA($B212:$J212)+COUNTA($N212))&gt;0),"",IF(N($T212)&gt;0,$AB212,IFERROR(LOOKUP(2,1/(G212:J212&lt;&gt;""),G212:J212),0)))</f>
        <v/>
      </c>
      <c r="L212" s="62">
        <f>IF(K212="","",IF(K212&gt;=1,"Completado",IF(K212&gt;0,"En curso","Pendiente")))</f>
        <v/>
      </c>
      <c r="M212" s="62">
        <f>IF(NOT((COUNTA($B212:$J212)+COUNTA($N212))&gt;0),"",IF(N($K212)&gt;=1,"Cumplida",IF(NOT(ISNUMBER($E212)),"Sin fecha límite",IF($E212&lt;FechaRef,"Vencida hace "&amp;(FechaRef-$E212)&amp;IF(FechaRef-$E212=1," día"," días"),IF($E212=FechaRef,"Vence hoy",IF($E212-FechaRef&lt;=DiasAlerta,"Vence en "&amp;($E212-FechaRef)&amp;IF($E212-FechaRef=1," día"," días"),"En plazo"))))))</f>
        <v/>
      </c>
      <c r="N212" s="64" t="n"/>
      <c r="O212" s="69">
        <f>IF(NOT((COUNTA($B212:$J212)+COUNTA($N212))&gt;0),"",IF((IF($C212="","Falta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",""))="","✔ OK","⚠ "&amp;LEFT(IF($C212="","Falta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",""),LEN(IF($C212="","Falta el nombre de la actividad"&amp;" · ","")&amp;IF(AND($S212="Sub",N($R212)=0),"Subactividad sin macroactividad arriba"&amp;" · ","")&amp;IF($D212="","Sin fecha de inicio"&amp;" · ","")&amp;IF($E212="","Sin fecha límite"&amp;" · ","")&amp;IF(OR(AND($D212&lt;&gt;"",NOT(ISNUMBER($D212))),AND($E212&lt;&gt;"",NOT(ISNUMBER($E212)))),"Fecha no válida"&amp;" · ","")&amp;IF(AND(ISNUMBER($D212),ISNUMBER($E212),$D212&gt;$E212),"Inicio posterior a fecha límite"&amp;" · ","")&amp;IF(AND($S212="Macro",$F212=""),"Peso vacío"&amp;" · ","")&amp;IF(AND($S212="Macro",$F212&lt;&gt;"",OR(NOT(ISNUMBER($F212)),$F212&lt;=0,$F212&gt;1)),"Peso fuera de rango"&amp;" · ","")&amp;IF(AND($S212="Sub",$F212&lt;&gt;"",OR(NOT(ISNUMBER($F212)),$F212&lt;0,$F212&gt;1)),"Peso fuera de rango"&amp;" · ","")&amp;IF(AND($S212="Sub",$F212="",IFERROR(N(INDEX($AG$5:$AG$1000,$R212-4)),0)&gt;0),"Falta el peso de la subactividad"&amp;" · ","")&amp;IF(AND(N($T212)&gt;0,N($AG212)&gt;0,ABS(N($AG212)-N($F212))&gt;0.0001),"Pesos de sus subactividades suman "&amp;TEXT(N($AG212),"0%")&amp;" (deben sumar "&amp;TEXT(N($F212),"0%")&amp;")"&amp;" · ","")&amp;IF(AND($S212="Macro",ABS(SUMIFS($F$5:$F$1000,$P$5:$P$1000,$P212,$S$5:$S$1000,"Macro")-1)&gt;0.0001),"Pesos del mes suman "&amp;TEXT(SUMIFS($F$5:$F$1000,$P$5:$P$1000,$P212,$S$5:$S$1000,"Macro"),"0%")&amp;" · ","")&amp;IF(AND(N($T212)&gt;0,COUNT($G212:$J212)&gt;0),"Con subactividades: deje vacías las semanas (se calculan solas)"&amp;" · ","")&amp;IF((COUNTIF($G212:$J212,"&gt;1")+COUNTIF($G212:$J212,"&lt;0")+COUNTA($G212:$J212)-COUNT($G212:$J212))&gt;0,"Avance fuera de rango 0-100%"&amp;" · ","")&amp;IF(OR(AND($H212&lt;&gt;"",$H212&lt;$G212),AND($I212&lt;&gt;"",$I212&lt;MAX($G212:$H212)),AND($J212&lt;&gt;"",$J212&lt;MAX($G212:$I212))),"Avance semanal decreciente"&amp;" · ","")&amp;IF(AND(ISNUMBER($E212),$E212&lt;FechaRef,N($K212)&lt;1),"Vencida"&amp;" · ","")&amp;IF(AND(ObsObligatoria="Sí",ISNUMBER($E212),$E212&lt;FechaRef,N($K212)&lt;1,$N212=""),"Vencida sin observación"&amp;" · ",""))-3)))</f>
        <v/>
      </c>
      <c r="P212" s="70">
        <f>IF(NOT((COUNTA($B212:$J212)+COUNTA($N212))&gt;0),"",IF(AND($S212="Sub",N($R212)&gt;0),IF(ISNUMBER(INDEX($D$5:$D$1000,$R212-4)),DATE(YEAR(INDEX($D$5:$D$1000,$R212-4)),MONTH(INDEX($D$5:$D$1000,$R212-4)),1),IF(ISNUMBER(INDEX($E$5:$E$1000,$R212-4)),DATE(YEAR(INDEX($E$5:$E$1000,$R212-4)),MONTH(INDEX($E$5:$E$1000,$R212-4)),1),MesCiclo)),IF(ISNUMBER($D212),DATE(YEAR($D212),MONTH($D212),1),IF(ISNUMBER($E212),DATE(YEAR($E212),MONTH($E212),1),MesCiclo))))</f>
        <v/>
      </c>
      <c r="Q212" s="71">
        <f>IF(OR($P212="",$P212&lt;&gt;MesCiclo),"",COUNTIF($P$5:$P212,MesCiclo))</f>
        <v/>
      </c>
      <c r="R212" s="71">
        <f>IF($S212="","",IF($S212="Macro",ROW(),IFERROR(LOOKUP(2,1/($S$5:$S212="Macro"),ROW($S$5:$S212)),0)))</f>
        <v/>
      </c>
      <c r="S212" s="71">
        <f>IF(NOT((COUNTA($B212:$J212)+COUNTA($N212))&gt;0),"",IF($B212="Subactividad","Sub","Macro"))</f>
        <v/>
      </c>
      <c r="T212" s="71">
        <f>IF($S212="Macro",COUNTIFS($R$5:$R$1000,ROW(),$S$5:$S$1000,"Sub"),"")</f>
        <v/>
      </c>
      <c r="U212" s="71">
        <f>IF($S212="","",IF(ISNUMBER($G212),$G212,0))</f>
        <v/>
      </c>
      <c r="V212" s="71">
        <f>IF($S212="","",IF(ISNUMBER($H212),$H212,$U212))</f>
        <v/>
      </c>
      <c r="W212" s="71">
        <f>IF($S212="","",IF(ISNUMBER($I212),$I212,$V212))</f>
        <v/>
      </c>
      <c r="X212" s="71">
        <f>IF($S212="","",IF(ISNUMBER($J212),$J212,$W212))</f>
        <v/>
      </c>
      <c r="Y212" s="71">
        <f>IF($S212="","",IF(N($T212)&gt;0,IF(N($AG212)&gt;0,SUMIFS($AC$5:$AC$1000,$R$5:$R$1000,ROW(),$S$5:$S$1000,"Sub")/$AG212,AVERAGEIFS($U$5:$U$1000,$R$5:$R$1000,ROW(),$S$5:$S$1000,"Sub")),$U212))</f>
        <v/>
      </c>
      <c r="Z212" s="71">
        <f>IF($S212="","",IF(N($T212)&gt;0,IF(N($AG212)&gt;0,SUMIFS($AD$5:$AD$1000,$R$5:$R$1000,ROW(),$S$5:$S$1000,"Sub")/$AG212,AVERAGEIFS($V$5:$V$1000,$R$5:$R$1000,ROW(),$S$5:$S$1000,"Sub")),$V212))</f>
        <v/>
      </c>
      <c r="AA212" s="71">
        <f>IF($S212="","",IF(N($T212)&gt;0,IF(N($AG212)&gt;0,SUMIFS($AE$5:$AE$1000,$R$5:$R$1000,ROW(),$S$5:$S$1000,"Sub")/$AG212,AVERAGEIFS($W$5:$W$1000,$R$5:$R$1000,ROW(),$S$5:$S$1000,"Sub")),$W212))</f>
        <v/>
      </c>
      <c r="AB212" s="71">
        <f>IF($S212="","",IF(N($T212)&gt;0,IF(N($AG212)&gt;0,SUMIFS($AF$5:$AF$1000,$R$5:$R$1000,ROW(),$S$5:$S$1000,"Sub")/$AG212,AVERAGEIFS($X$5:$X$1000,$R$5:$R$1000,ROW(),$S$5:$S$1000,"Sub")),$X212))</f>
        <v/>
      </c>
      <c r="AC212" s="71">
        <f>IF($S212="Sub",N($F212)*N($U212),"")</f>
        <v/>
      </c>
      <c r="AD212" s="71">
        <f>IF($S212="Sub",N($F212)*N($V212),"")</f>
        <v/>
      </c>
      <c r="AE212" s="71">
        <f>IF($S212="Sub",N($F212)*N($W212),"")</f>
        <v/>
      </c>
      <c r="AF212" s="71">
        <f>IF($S212="Sub",N($F212)*N($X212),"")</f>
        <v/>
      </c>
      <c r="AG212" s="71">
        <f>IF(N($T212)&gt;0,SUMIFS($F$5:$F$1000,$R$5:$R$1000,ROW(),$S$5:$S$1000,"Sub"),"")</f>
        <v/>
      </c>
    </row>
    <row r="213">
      <c r="A213" s="62">
        <f>IF(NOT((COUNTA($B213:$J213)+COUNTA($N213))&gt;0),"",IF($S213="Macro",COUNTIFS($S$5:$S213,"Macro",$P$5:$P213,$P213),IF(N($R213)=0,"?",COUNTIFS(INDEX($S$5:$S$1000,1):INDEX($S$5:$S$1000,$R213-4),"Macro",INDEX($P$5:$P$1000,1):INDEX($P$5:$P$1000,$R213-4),INDEX($P$5:$P$1000,$R213-4))&amp;"."&amp;COUNTIFS($R$5:$R213,$R213,$S$5:$S213,"Sub"))))</f>
        <v/>
      </c>
      <c r="B213" s="63" t="n"/>
      <c r="C213" s="64" t="n"/>
      <c r="D213" s="65" t="n"/>
      <c r="E213" s="65" t="n"/>
      <c r="F213" s="66" t="n"/>
      <c r="G213" s="67" t="n"/>
      <c r="H213" s="67" t="n"/>
      <c r="I213" s="67" t="n"/>
      <c r="J213" s="67" t="n"/>
      <c r="K213" s="68">
        <f>IF(NOT((COUNTA($B213:$J213)+COUNTA($N213))&gt;0),"",IF(N($T213)&gt;0,$AB213,IFERROR(LOOKUP(2,1/(G213:J213&lt;&gt;""),G213:J213),0)))</f>
        <v/>
      </c>
      <c r="L213" s="62">
        <f>IF(K213="","",IF(K213&gt;=1,"Completado",IF(K213&gt;0,"En curso","Pendiente")))</f>
        <v/>
      </c>
      <c r="M213" s="62">
        <f>IF(NOT((COUNTA($B213:$J213)+COUNTA($N213))&gt;0),"",IF(N($K213)&gt;=1,"Cumplida",IF(NOT(ISNUMBER($E213)),"Sin fecha límite",IF($E213&lt;FechaRef,"Vencida hace "&amp;(FechaRef-$E213)&amp;IF(FechaRef-$E213=1," día"," días"),IF($E213=FechaRef,"Vence hoy",IF($E213-FechaRef&lt;=DiasAlerta,"Vence en "&amp;($E213-FechaRef)&amp;IF($E213-FechaRef=1," día"," días"),"En plazo"))))))</f>
        <v/>
      </c>
      <c r="N213" s="64" t="n"/>
      <c r="O213" s="69">
        <f>IF(NOT((COUNTA($B213:$J213)+COUNTA($N213))&gt;0),"",IF((IF($C213="","Falta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",""))="","✔ OK","⚠ "&amp;LEFT(IF($C213="","Falta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",""),LEN(IF($C213="","Falta el nombre de la actividad"&amp;" · ","")&amp;IF(AND($S213="Sub",N($R213)=0),"Subactividad sin macroactividad arriba"&amp;" · ","")&amp;IF($D213="","Sin fecha de inicio"&amp;" · ","")&amp;IF($E213="","Sin fecha límite"&amp;" · ","")&amp;IF(OR(AND($D213&lt;&gt;"",NOT(ISNUMBER($D213))),AND($E213&lt;&gt;"",NOT(ISNUMBER($E213)))),"Fecha no válida"&amp;" · ","")&amp;IF(AND(ISNUMBER($D213),ISNUMBER($E213),$D213&gt;$E213),"Inicio posterior a fecha límite"&amp;" · ","")&amp;IF(AND($S213="Macro",$F213=""),"Peso vacío"&amp;" · ","")&amp;IF(AND($S213="Macro",$F213&lt;&gt;"",OR(NOT(ISNUMBER($F213)),$F213&lt;=0,$F213&gt;1)),"Peso fuera de rango"&amp;" · ","")&amp;IF(AND($S213="Sub",$F213&lt;&gt;"",OR(NOT(ISNUMBER($F213)),$F213&lt;0,$F213&gt;1)),"Peso fuera de rango"&amp;" · ","")&amp;IF(AND($S213="Sub",$F213="",IFERROR(N(INDEX($AG$5:$AG$1000,$R213-4)),0)&gt;0),"Falta el peso de la subactividad"&amp;" · ","")&amp;IF(AND(N($T213)&gt;0,N($AG213)&gt;0,ABS(N($AG213)-N($F213))&gt;0.0001),"Pesos de sus subactividades suman "&amp;TEXT(N($AG213),"0%")&amp;" (deben sumar "&amp;TEXT(N($F213),"0%")&amp;")"&amp;" · ","")&amp;IF(AND($S213="Macro",ABS(SUMIFS($F$5:$F$1000,$P$5:$P$1000,$P213,$S$5:$S$1000,"Macro")-1)&gt;0.0001),"Pesos del mes suman "&amp;TEXT(SUMIFS($F$5:$F$1000,$P$5:$P$1000,$P213,$S$5:$S$1000,"Macro"),"0%")&amp;" · ","")&amp;IF(AND(N($T213)&gt;0,COUNT($G213:$J213)&gt;0),"Con subactividades: deje vacías las semanas (se calculan solas)"&amp;" · ","")&amp;IF((COUNTIF($G213:$J213,"&gt;1")+COUNTIF($G213:$J213,"&lt;0")+COUNTA($G213:$J213)-COUNT($G213:$J213))&gt;0,"Avance fuera de rango 0-100%"&amp;" · ","")&amp;IF(OR(AND($H213&lt;&gt;"",$H213&lt;$G213),AND($I213&lt;&gt;"",$I213&lt;MAX($G213:$H213)),AND($J213&lt;&gt;"",$J213&lt;MAX($G213:$I213))),"Avance semanal decreciente"&amp;" · ","")&amp;IF(AND(ISNUMBER($E213),$E213&lt;FechaRef,N($K213)&lt;1),"Vencida"&amp;" · ","")&amp;IF(AND(ObsObligatoria="Sí",ISNUMBER($E213),$E213&lt;FechaRef,N($K213)&lt;1,$N213=""),"Vencida sin observación"&amp;" · ",""))-3)))</f>
        <v/>
      </c>
      <c r="P213" s="70">
        <f>IF(NOT((COUNTA($B213:$J213)+COUNTA($N213))&gt;0),"",IF(AND($S213="Sub",N($R213)&gt;0),IF(ISNUMBER(INDEX($D$5:$D$1000,$R213-4)),DATE(YEAR(INDEX($D$5:$D$1000,$R213-4)),MONTH(INDEX($D$5:$D$1000,$R213-4)),1),IF(ISNUMBER(INDEX($E$5:$E$1000,$R213-4)),DATE(YEAR(INDEX($E$5:$E$1000,$R213-4)),MONTH(INDEX($E$5:$E$1000,$R213-4)),1),MesCiclo)),IF(ISNUMBER($D213),DATE(YEAR($D213),MONTH($D213),1),IF(ISNUMBER($E213),DATE(YEAR($E213),MONTH($E213),1),MesCiclo))))</f>
        <v/>
      </c>
      <c r="Q213" s="71">
        <f>IF(OR($P213="",$P213&lt;&gt;MesCiclo),"",COUNTIF($P$5:$P213,MesCiclo))</f>
        <v/>
      </c>
      <c r="R213" s="71">
        <f>IF($S213="","",IF($S213="Macro",ROW(),IFERROR(LOOKUP(2,1/($S$5:$S213="Macro"),ROW($S$5:$S213)),0)))</f>
        <v/>
      </c>
      <c r="S213" s="71">
        <f>IF(NOT((COUNTA($B213:$J213)+COUNTA($N213))&gt;0),"",IF($B213="Subactividad","Sub","Macro"))</f>
        <v/>
      </c>
      <c r="T213" s="71">
        <f>IF($S213="Macro",COUNTIFS($R$5:$R$1000,ROW(),$S$5:$S$1000,"Sub"),"")</f>
        <v/>
      </c>
      <c r="U213" s="71">
        <f>IF($S213="","",IF(ISNUMBER($G213),$G213,0))</f>
        <v/>
      </c>
      <c r="V213" s="71">
        <f>IF($S213="","",IF(ISNUMBER($H213),$H213,$U213))</f>
        <v/>
      </c>
      <c r="W213" s="71">
        <f>IF($S213="","",IF(ISNUMBER($I213),$I213,$V213))</f>
        <v/>
      </c>
      <c r="X213" s="71">
        <f>IF($S213="","",IF(ISNUMBER($J213),$J213,$W213))</f>
        <v/>
      </c>
      <c r="Y213" s="71">
        <f>IF($S213="","",IF(N($T213)&gt;0,IF(N($AG213)&gt;0,SUMIFS($AC$5:$AC$1000,$R$5:$R$1000,ROW(),$S$5:$S$1000,"Sub")/$AG213,AVERAGEIFS($U$5:$U$1000,$R$5:$R$1000,ROW(),$S$5:$S$1000,"Sub")),$U213))</f>
        <v/>
      </c>
      <c r="Z213" s="71">
        <f>IF($S213="","",IF(N($T213)&gt;0,IF(N($AG213)&gt;0,SUMIFS($AD$5:$AD$1000,$R$5:$R$1000,ROW(),$S$5:$S$1000,"Sub")/$AG213,AVERAGEIFS($V$5:$V$1000,$R$5:$R$1000,ROW(),$S$5:$S$1000,"Sub")),$V213))</f>
        <v/>
      </c>
      <c r="AA213" s="71">
        <f>IF($S213="","",IF(N($T213)&gt;0,IF(N($AG213)&gt;0,SUMIFS($AE$5:$AE$1000,$R$5:$R$1000,ROW(),$S$5:$S$1000,"Sub")/$AG213,AVERAGEIFS($W$5:$W$1000,$R$5:$R$1000,ROW(),$S$5:$S$1000,"Sub")),$W213))</f>
        <v/>
      </c>
      <c r="AB213" s="71">
        <f>IF($S213="","",IF(N($T213)&gt;0,IF(N($AG213)&gt;0,SUMIFS($AF$5:$AF$1000,$R$5:$R$1000,ROW(),$S$5:$S$1000,"Sub")/$AG213,AVERAGEIFS($X$5:$X$1000,$R$5:$R$1000,ROW(),$S$5:$S$1000,"Sub")),$X213))</f>
        <v/>
      </c>
      <c r="AC213" s="71">
        <f>IF($S213="Sub",N($F213)*N($U213),"")</f>
        <v/>
      </c>
      <c r="AD213" s="71">
        <f>IF($S213="Sub",N($F213)*N($V213),"")</f>
        <v/>
      </c>
      <c r="AE213" s="71">
        <f>IF($S213="Sub",N($F213)*N($W213),"")</f>
        <v/>
      </c>
      <c r="AF213" s="71">
        <f>IF($S213="Sub",N($F213)*N($X213),"")</f>
        <v/>
      </c>
      <c r="AG213" s="71">
        <f>IF(N($T213)&gt;0,SUMIFS($F$5:$F$1000,$R$5:$R$1000,ROW(),$S$5:$S$1000,"Sub"),"")</f>
        <v/>
      </c>
    </row>
    <row r="214">
      <c r="A214" s="62">
        <f>IF(NOT((COUNTA($B214:$J214)+COUNTA($N214))&gt;0),"",IF($S214="Macro",COUNTIFS($S$5:$S214,"Macro",$P$5:$P214,$P214),IF(N($R214)=0,"?",COUNTIFS(INDEX($S$5:$S$1000,1):INDEX($S$5:$S$1000,$R214-4),"Macro",INDEX($P$5:$P$1000,1):INDEX($P$5:$P$1000,$R214-4),INDEX($P$5:$P$1000,$R214-4))&amp;"."&amp;COUNTIFS($R$5:$R214,$R214,$S$5:$S214,"Sub"))))</f>
        <v/>
      </c>
      <c r="B214" s="63" t="n"/>
      <c r="C214" s="64" t="n"/>
      <c r="D214" s="65" t="n"/>
      <c r="E214" s="65" t="n"/>
      <c r="F214" s="66" t="n"/>
      <c r="G214" s="67" t="n"/>
      <c r="H214" s="67" t="n"/>
      <c r="I214" s="67" t="n"/>
      <c r="J214" s="67" t="n"/>
      <c r="K214" s="68">
        <f>IF(NOT((COUNTA($B214:$J214)+COUNTA($N214))&gt;0),"",IF(N($T214)&gt;0,$AB214,IFERROR(LOOKUP(2,1/(G214:J214&lt;&gt;""),G214:J214),0)))</f>
        <v/>
      </c>
      <c r="L214" s="62">
        <f>IF(K214="","",IF(K214&gt;=1,"Completado",IF(K214&gt;0,"En curso","Pendiente")))</f>
        <v/>
      </c>
      <c r="M214" s="62">
        <f>IF(NOT((COUNTA($B214:$J214)+COUNTA($N214))&gt;0),"",IF(N($K214)&gt;=1,"Cumplida",IF(NOT(ISNUMBER($E214)),"Sin fecha límite",IF($E214&lt;FechaRef,"Vencida hace "&amp;(FechaRef-$E214)&amp;IF(FechaRef-$E214=1," día"," días"),IF($E214=FechaRef,"Vence hoy",IF($E214-FechaRef&lt;=DiasAlerta,"Vence en "&amp;($E214-FechaRef)&amp;IF($E214-FechaRef=1," día"," días"),"En plazo"))))))</f>
        <v/>
      </c>
      <c r="N214" s="64" t="n"/>
      <c r="O214" s="69">
        <f>IF(NOT((COUNTA($B214:$J214)+COUNTA($N214))&gt;0),"",IF((IF($C214="","Falta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",""))="","✔ OK","⚠ "&amp;LEFT(IF($C214="","Falta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",""),LEN(IF($C214="","Falta el nombre de la actividad"&amp;" · ","")&amp;IF(AND($S214="Sub",N($R214)=0),"Subactividad sin macroactividad arriba"&amp;" · ","")&amp;IF($D214="","Sin fecha de inicio"&amp;" · ","")&amp;IF($E214="","Sin fecha límite"&amp;" · ","")&amp;IF(OR(AND($D214&lt;&gt;"",NOT(ISNUMBER($D214))),AND($E214&lt;&gt;"",NOT(ISNUMBER($E214)))),"Fecha no válida"&amp;" · ","")&amp;IF(AND(ISNUMBER($D214),ISNUMBER($E214),$D214&gt;$E214),"Inicio posterior a fecha límite"&amp;" · ","")&amp;IF(AND($S214="Macro",$F214=""),"Peso vacío"&amp;" · ","")&amp;IF(AND($S214="Macro",$F214&lt;&gt;"",OR(NOT(ISNUMBER($F214)),$F214&lt;=0,$F214&gt;1)),"Peso fuera de rango"&amp;" · ","")&amp;IF(AND($S214="Sub",$F214&lt;&gt;"",OR(NOT(ISNUMBER($F214)),$F214&lt;0,$F214&gt;1)),"Peso fuera de rango"&amp;" · ","")&amp;IF(AND($S214="Sub",$F214="",IFERROR(N(INDEX($AG$5:$AG$1000,$R214-4)),0)&gt;0),"Falta el peso de la subactividad"&amp;" · ","")&amp;IF(AND(N($T214)&gt;0,N($AG214)&gt;0,ABS(N($AG214)-N($F214))&gt;0.0001),"Pesos de sus subactividades suman "&amp;TEXT(N($AG214),"0%")&amp;" (deben sumar "&amp;TEXT(N($F214),"0%")&amp;")"&amp;" · ","")&amp;IF(AND($S214="Macro",ABS(SUMIFS($F$5:$F$1000,$P$5:$P$1000,$P214,$S$5:$S$1000,"Macro")-1)&gt;0.0001),"Pesos del mes suman "&amp;TEXT(SUMIFS($F$5:$F$1000,$P$5:$P$1000,$P214,$S$5:$S$1000,"Macro"),"0%")&amp;" · ","")&amp;IF(AND(N($T214)&gt;0,COUNT($G214:$J214)&gt;0),"Con subactividades: deje vacías las semanas (se calculan solas)"&amp;" · ","")&amp;IF((COUNTIF($G214:$J214,"&gt;1")+COUNTIF($G214:$J214,"&lt;0")+COUNTA($G214:$J214)-COUNT($G214:$J214))&gt;0,"Avance fuera de rango 0-100%"&amp;" · ","")&amp;IF(OR(AND($H214&lt;&gt;"",$H214&lt;$G214),AND($I214&lt;&gt;"",$I214&lt;MAX($G214:$H214)),AND($J214&lt;&gt;"",$J214&lt;MAX($G214:$I214))),"Avance semanal decreciente"&amp;" · ","")&amp;IF(AND(ISNUMBER($E214),$E214&lt;FechaRef,N($K214)&lt;1),"Vencida"&amp;" · ","")&amp;IF(AND(ObsObligatoria="Sí",ISNUMBER($E214),$E214&lt;FechaRef,N($K214)&lt;1,$N214=""),"Vencida sin observación"&amp;" · ",""))-3)))</f>
        <v/>
      </c>
      <c r="P214" s="70">
        <f>IF(NOT((COUNTA($B214:$J214)+COUNTA($N214))&gt;0),"",IF(AND($S214="Sub",N($R214)&gt;0),IF(ISNUMBER(INDEX($D$5:$D$1000,$R214-4)),DATE(YEAR(INDEX($D$5:$D$1000,$R214-4)),MONTH(INDEX($D$5:$D$1000,$R214-4)),1),IF(ISNUMBER(INDEX($E$5:$E$1000,$R214-4)),DATE(YEAR(INDEX($E$5:$E$1000,$R214-4)),MONTH(INDEX($E$5:$E$1000,$R214-4)),1),MesCiclo)),IF(ISNUMBER($D214),DATE(YEAR($D214),MONTH($D214),1),IF(ISNUMBER($E214),DATE(YEAR($E214),MONTH($E214),1),MesCiclo))))</f>
        <v/>
      </c>
      <c r="Q214" s="71">
        <f>IF(OR($P214="",$P214&lt;&gt;MesCiclo),"",COUNTIF($P$5:$P214,MesCiclo))</f>
        <v/>
      </c>
      <c r="R214" s="71">
        <f>IF($S214="","",IF($S214="Macro",ROW(),IFERROR(LOOKUP(2,1/($S$5:$S214="Macro"),ROW($S$5:$S214)),0)))</f>
        <v/>
      </c>
      <c r="S214" s="71">
        <f>IF(NOT((COUNTA($B214:$J214)+COUNTA($N214))&gt;0),"",IF($B214="Subactividad","Sub","Macro"))</f>
        <v/>
      </c>
      <c r="T214" s="71">
        <f>IF($S214="Macro",COUNTIFS($R$5:$R$1000,ROW(),$S$5:$S$1000,"Sub"),"")</f>
        <v/>
      </c>
      <c r="U214" s="71">
        <f>IF($S214="","",IF(ISNUMBER($G214),$G214,0))</f>
        <v/>
      </c>
      <c r="V214" s="71">
        <f>IF($S214="","",IF(ISNUMBER($H214),$H214,$U214))</f>
        <v/>
      </c>
      <c r="W214" s="71">
        <f>IF($S214="","",IF(ISNUMBER($I214),$I214,$V214))</f>
        <v/>
      </c>
      <c r="X214" s="71">
        <f>IF($S214="","",IF(ISNUMBER($J214),$J214,$W214))</f>
        <v/>
      </c>
      <c r="Y214" s="71">
        <f>IF($S214="","",IF(N($T214)&gt;0,IF(N($AG214)&gt;0,SUMIFS($AC$5:$AC$1000,$R$5:$R$1000,ROW(),$S$5:$S$1000,"Sub")/$AG214,AVERAGEIFS($U$5:$U$1000,$R$5:$R$1000,ROW(),$S$5:$S$1000,"Sub")),$U214))</f>
        <v/>
      </c>
      <c r="Z214" s="71">
        <f>IF($S214="","",IF(N($T214)&gt;0,IF(N($AG214)&gt;0,SUMIFS($AD$5:$AD$1000,$R$5:$R$1000,ROW(),$S$5:$S$1000,"Sub")/$AG214,AVERAGEIFS($V$5:$V$1000,$R$5:$R$1000,ROW(),$S$5:$S$1000,"Sub")),$V214))</f>
        <v/>
      </c>
      <c r="AA214" s="71">
        <f>IF($S214="","",IF(N($T214)&gt;0,IF(N($AG214)&gt;0,SUMIFS($AE$5:$AE$1000,$R$5:$R$1000,ROW(),$S$5:$S$1000,"Sub")/$AG214,AVERAGEIFS($W$5:$W$1000,$R$5:$R$1000,ROW(),$S$5:$S$1000,"Sub")),$W214))</f>
        <v/>
      </c>
      <c r="AB214" s="71">
        <f>IF($S214="","",IF(N($T214)&gt;0,IF(N($AG214)&gt;0,SUMIFS($AF$5:$AF$1000,$R$5:$R$1000,ROW(),$S$5:$S$1000,"Sub")/$AG214,AVERAGEIFS($X$5:$X$1000,$R$5:$R$1000,ROW(),$S$5:$S$1000,"Sub")),$X214))</f>
        <v/>
      </c>
      <c r="AC214" s="71">
        <f>IF($S214="Sub",N($F214)*N($U214),"")</f>
        <v/>
      </c>
      <c r="AD214" s="71">
        <f>IF($S214="Sub",N($F214)*N($V214),"")</f>
        <v/>
      </c>
      <c r="AE214" s="71">
        <f>IF($S214="Sub",N($F214)*N($W214),"")</f>
        <v/>
      </c>
      <c r="AF214" s="71">
        <f>IF($S214="Sub",N($F214)*N($X214),"")</f>
        <v/>
      </c>
      <c r="AG214" s="71">
        <f>IF(N($T214)&gt;0,SUMIFS($F$5:$F$1000,$R$5:$R$1000,ROW(),$S$5:$S$1000,"Sub"),"")</f>
        <v/>
      </c>
    </row>
    <row r="215">
      <c r="A215" s="62">
        <f>IF(NOT((COUNTA($B215:$J215)+COUNTA($N215))&gt;0),"",IF($S215="Macro",COUNTIFS($S$5:$S215,"Macro",$P$5:$P215,$P215),IF(N($R215)=0,"?",COUNTIFS(INDEX($S$5:$S$1000,1):INDEX($S$5:$S$1000,$R215-4),"Macro",INDEX($P$5:$P$1000,1):INDEX($P$5:$P$1000,$R215-4),INDEX($P$5:$P$1000,$R215-4))&amp;"."&amp;COUNTIFS($R$5:$R215,$R215,$S$5:$S215,"Sub"))))</f>
        <v/>
      </c>
      <c r="B215" s="63" t="n"/>
      <c r="C215" s="64" t="n"/>
      <c r="D215" s="65" t="n"/>
      <c r="E215" s="65" t="n"/>
      <c r="F215" s="66" t="n"/>
      <c r="G215" s="67" t="n"/>
      <c r="H215" s="67" t="n"/>
      <c r="I215" s="67" t="n"/>
      <c r="J215" s="67" t="n"/>
      <c r="K215" s="68">
        <f>IF(NOT((COUNTA($B215:$J215)+COUNTA($N215))&gt;0),"",IF(N($T215)&gt;0,$AB215,IFERROR(LOOKUP(2,1/(G215:J215&lt;&gt;""),G215:J215),0)))</f>
        <v/>
      </c>
      <c r="L215" s="62">
        <f>IF(K215="","",IF(K215&gt;=1,"Completado",IF(K215&gt;0,"En curso","Pendiente")))</f>
        <v/>
      </c>
      <c r="M215" s="62">
        <f>IF(NOT((COUNTA($B215:$J215)+COUNTA($N215))&gt;0),"",IF(N($K215)&gt;=1,"Cumplida",IF(NOT(ISNUMBER($E215)),"Sin fecha límite",IF($E215&lt;FechaRef,"Vencida hace "&amp;(FechaRef-$E215)&amp;IF(FechaRef-$E215=1," día"," días"),IF($E215=FechaRef,"Vence hoy",IF($E215-FechaRef&lt;=DiasAlerta,"Vence en "&amp;($E215-FechaRef)&amp;IF($E215-FechaRef=1," día"," días"),"En plazo"))))))</f>
        <v/>
      </c>
      <c r="N215" s="64" t="n"/>
      <c r="O215" s="69">
        <f>IF(NOT((COUNTA($B215:$J215)+COUNTA($N215))&gt;0),"",IF((IF($C215="","Falta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",""))="","✔ OK","⚠ "&amp;LEFT(IF($C215="","Falta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",""),LEN(IF($C215="","Falta el nombre de la actividad"&amp;" · ","")&amp;IF(AND($S215="Sub",N($R215)=0),"Subactividad sin macroactividad arriba"&amp;" · ","")&amp;IF($D215="","Sin fecha de inicio"&amp;" · ","")&amp;IF($E215="","Sin fecha límite"&amp;" · ","")&amp;IF(OR(AND($D215&lt;&gt;"",NOT(ISNUMBER($D215))),AND($E215&lt;&gt;"",NOT(ISNUMBER($E215)))),"Fecha no válida"&amp;" · ","")&amp;IF(AND(ISNUMBER($D215),ISNUMBER($E215),$D215&gt;$E215),"Inicio posterior a fecha límite"&amp;" · ","")&amp;IF(AND($S215="Macro",$F215=""),"Peso vacío"&amp;" · ","")&amp;IF(AND($S215="Macro",$F215&lt;&gt;"",OR(NOT(ISNUMBER($F215)),$F215&lt;=0,$F215&gt;1)),"Peso fuera de rango"&amp;" · ","")&amp;IF(AND($S215="Sub",$F215&lt;&gt;"",OR(NOT(ISNUMBER($F215)),$F215&lt;0,$F215&gt;1)),"Peso fuera de rango"&amp;" · ","")&amp;IF(AND($S215="Sub",$F215="",IFERROR(N(INDEX($AG$5:$AG$1000,$R215-4)),0)&gt;0),"Falta el peso de la subactividad"&amp;" · ","")&amp;IF(AND(N($T215)&gt;0,N($AG215)&gt;0,ABS(N($AG215)-N($F215))&gt;0.0001),"Pesos de sus subactividades suman "&amp;TEXT(N($AG215),"0%")&amp;" (deben sumar "&amp;TEXT(N($F215),"0%")&amp;")"&amp;" · ","")&amp;IF(AND($S215="Macro",ABS(SUMIFS($F$5:$F$1000,$P$5:$P$1000,$P215,$S$5:$S$1000,"Macro")-1)&gt;0.0001),"Pesos del mes suman "&amp;TEXT(SUMIFS($F$5:$F$1000,$P$5:$P$1000,$P215,$S$5:$S$1000,"Macro"),"0%")&amp;" · ","")&amp;IF(AND(N($T215)&gt;0,COUNT($G215:$J215)&gt;0),"Con subactividades: deje vacías las semanas (se calculan solas)"&amp;" · ","")&amp;IF((COUNTIF($G215:$J215,"&gt;1")+COUNTIF($G215:$J215,"&lt;0")+COUNTA($G215:$J215)-COUNT($G215:$J215))&gt;0,"Avance fuera de rango 0-100%"&amp;" · ","")&amp;IF(OR(AND($H215&lt;&gt;"",$H215&lt;$G215),AND($I215&lt;&gt;"",$I215&lt;MAX($G215:$H215)),AND($J215&lt;&gt;"",$J215&lt;MAX($G215:$I215))),"Avance semanal decreciente"&amp;" · ","")&amp;IF(AND(ISNUMBER($E215),$E215&lt;FechaRef,N($K215)&lt;1),"Vencida"&amp;" · ","")&amp;IF(AND(ObsObligatoria="Sí",ISNUMBER($E215),$E215&lt;FechaRef,N($K215)&lt;1,$N215=""),"Vencida sin observación"&amp;" · ",""))-3)))</f>
        <v/>
      </c>
      <c r="P215" s="70">
        <f>IF(NOT((COUNTA($B215:$J215)+COUNTA($N215))&gt;0),"",IF(AND($S215="Sub",N($R215)&gt;0),IF(ISNUMBER(INDEX($D$5:$D$1000,$R215-4)),DATE(YEAR(INDEX($D$5:$D$1000,$R215-4)),MONTH(INDEX($D$5:$D$1000,$R215-4)),1),IF(ISNUMBER(INDEX($E$5:$E$1000,$R215-4)),DATE(YEAR(INDEX($E$5:$E$1000,$R215-4)),MONTH(INDEX($E$5:$E$1000,$R215-4)),1),MesCiclo)),IF(ISNUMBER($D215),DATE(YEAR($D215),MONTH($D215),1),IF(ISNUMBER($E215),DATE(YEAR($E215),MONTH($E215),1),MesCiclo))))</f>
        <v/>
      </c>
      <c r="Q215" s="71">
        <f>IF(OR($P215="",$P215&lt;&gt;MesCiclo),"",COUNTIF($P$5:$P215,MesCiclo))</f>
        <v/>
      </c>
      <c r="R215" s="71">
        <f>IF($S215="","",IF($S215="Macro",ROW(),IFERROR(LOOKUP(2,1/($S$5:$S215="Macro"),ROW($S$5:$S215)),0)))</f>
        <v/>
      </c>
      <c r="S215" s="71">
        <f>IF(NOT((COUNTA($B215:$J215)+COUNTA($N215))&gt;0),"",IF($B215="Subactividad","Sub","Macro"))</f>
        <v/>
      </c>
      <c r="T215" s="71">
        <f>IF($S215="Macro",COUNTIFS($R$5:$R$1000,ROW(),$S$5:$S$1000,"Sub"),"")</f>
        <v/>
      </c>
      <c r="U215" s="71">
        <f>IF($S215="","",IF(ISNUMBER($G215),$G215,0))</f>
        <v/>
      </c>
      <c r="V215" s="71">
        <f>IF($S215="","",IF(ISNUMBER($H215),$H215,$U215))</f>
        <v/>
      </c>
      <c r="W215" s="71">
        <f>IF($S215="","",IF(ISNUMBER($I215),$I215,$V215))</f>
        <v/>
      </c>
      <c r="X215" s="71">
        <f>IF($S215="","",IF(ISNUMBER($J215),$J215,$W215))</f>
        <v/>
      </c>
      <c r="Y215" s="71">
        <f>IF($S215="","",IF(N($T215)&gt;0,IF(N($AG215)&gt;0,SUMIFS($AC$5:$AC$1000,$R$5:$R$1000,ROW(),$S$5:$S$1000,"Sub")/$AG215,AVERAGEIFS($U$5:$U$1000,$R$5:$R$1000,ROW(),$S$5:$S$1000,"Sub")),$U215))</f>
        <v/>
      </c>
      <c r="Z215" s="71">
        <f>IF($S215="","",IF(N($T215)&gt;0,IF(N($AG215)&gt;0,SUMIFS($AD$5:$AD$1000,$R$5:$R$1000,ROW(),$S$5:$S$1000,"Sub")/$AG215,AVERAGEIFS($V$5:$V$1000,$R$5:$R$1000,ROW(),$S$5:$S$1000,"Sub")),$V215))</f>
        <v/>
      </c>
      <c r="AA215" s="71">
        <f>IF($S215="","",IF(N($T215)&gt;0,IF(N($AG215)&gt;0,SUMIFS($AE$5:$AE$1000,$R$5:$R$1000,ROW(),$S$5:$S$1000,"Sub")/$AG215,AVERAGEIFS($W$5:$W$1000,$R$5:$R$1000,ROW(),$S$5:$S$1000,"Sub")),$W215))</f>
        <v/>
      </c>
      <c r="AB215" s="71">
        <f>IF($S215="","",IF(N($T215)&gt;0,IF(N($AG215)&gt;0,SUMIFS($AF$5:$AF$1000,$R$5:$R$1000,ROW(),$S$5:$S$1000,"Sub")/$AG215,AVERAGEIFS($X$5:$X$1000,$R$5:$R$1000,ROW(),$S$5:$S$1000,"Sub")),$X215))</f>
        <v/>
      </c>
      <c r="AC215" s="71">
        <f>IF($S215="Sub",N($F215)*N($U215),"")</f>
        <v/>
      </c>
      <c r="AD215" s="71">
        <f>IF($S215="Sub",N($F215)*N($V215),"")</f>
        <v/>
      </c>
      <c r="AE215" s="71">
        <f>IF($S215="Sub",N($F215)*N($W215),"")</f>
        <v/>
      </c>
      <c r="AF215" s="71">
        <f>IF($S215="Sub",N($F215)*N($X215),"")</f>
        <v/>
      </c>
      <c r="AG215" s="71">
        <f>IF(N($T215)&gt;0,SUMIFS($F$5:$F$1000,$R$5:$R$1000,ROW(),$S$5:$S$1000,"Sub"),"")</f>
        <v/>
      </c>
    </row>
    <row r="216">
      <c r="A216" s="62">
        <f>IF(NOT((COUNTA($B216:$J216)+COUNTA($N216))&gt;0),"",IF($S216="Macro",COUNTIFS($S$5:$S216,"Macro",$P$5:$P216,$P216),IF(N($R216)=0,"?",COUNTIFS(INDEX($S$5:$S$1000,1):INDEX($S$5:$S$1000,$R216-4),"Macro",INDEX($P$5:$P$1000,1):INDEX($P$5:$P$1000,$R216-4),INDEX($P$5:$P$1000,$R216-4))&amp;"."&amp;COUNTIFS($R$5:$R216,$R216,$S$5:$S216,"Sub"))))</f>
        <v/>
      </c>
      <c r="B216" s="63" t="n"/>
      <c r="C216" s="64" t="n"/>
      <c r="D216" s="65" t="n"/>
      <c r="E216" s="65" t="n"/>
      <c r="F216" s="66" t="n"/>
      <c r="G216" s="67" t="n"/>
      <c r="H216" s="67" t="n"/>
      <c r="I216" s="67" t="n"/>
      <c r="J216" s="67" t="n"/>
      <c r="K216" s="68">
        <f>IF(NOT((COUNTA($B216:$J216)+COUNTA($N216))&gt;0),"",IF(N($T216)&gt;0,$AB216,IFERROR(LOOKUP(2,1/(G216:J216&lt;&gt;""),G216:J216),0)))</f>
        <v/>
      </c>
      <c r="L216" s="62">
        <f>IF(K216="","",IF(K216&gt;=1,"Completado",IF(K216&gt;0,"En curso","Pendiente")))</f>
        <v/>
      </c>
      <c r="M216" s="62">
        <f>IF(NOT((COUNTA($B216:$J216)+COUNTA($N216))&gt;0),"",IF(N($K216)&gt;=1,"Cumplida",IF(NOT(ISNUMBER($E216)),"Sin fecha límite",IF($E216&lt;FechaRef,"Vencida hace "&amp;(FechaRef-$E216)&amp;IF(FechaRef-$E216=1," día"," días"),IF($E216=FechaRef,"Vence hoy",IF($E216-FechaRef&lt;=DiasAlerta,"Vence en "&amp;($E216-FechaRef)&amp;IF($E216-FechaRef=1," día"," días"),"En plazo"))))))</f>
        <v/>
      </c>
      <c r="N216" s="64" t="n"/>
      <c r="O216" s="69">
        <f>IF(NOT((COUNTA($B216:$J216)+COUNTA($N216))&gt;0),"",IF((IF($C216="","Falta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",""))="","✔ OK","⚠ "&amp;LEFT(IF($C216="","Falta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",""),LEN(IF($C216="","Falta el nombre de la actividad"&amp;" · ","")&amp;IF(AND($S216="Sub",N($R216)=0),"Subactividad sin macroactividad arriba"&amp;" · ","")&amp;IF($D216="","Sin fecha de inicio"&amp;" · ","")&amp;IF($E216="","Sin fecha límite"&amp;" · ","")&amp;IF(OR(AND($D216&lt;&gt;"",NOT(ISNUMBER($D216))),AND($E216&lt;&gt;"",NOT(ISNUMBER($E216)))),"Fecha no válida"&amp;" · ","")&amp;IF(AND(ISNUMBER($D216),ISNUMBER($E216),$D216&gt;$E216),"Inicio posterior a fecha límite"&amp;" · ","")&amp;IF(AND($S216="Macro",$F216=""),"Peso vacío"&amp;" · ","")&amp;IF(AND($S216="Macro",$F216&lt;&gt;"",OR(NOT(ISNUMBER($F216)),$F216&lt;=0,$F216&gt;1)),"Peso fuera de rango"&amp;" · ","")&amp;IF(AND($S216="Sub",$F216&lt;&gt;"",OR(NOT(ISNUMBER($F216)),$F216&lt;0,$F216&gt;1)),"Peso fuera de rango"&amp;" · ","")&amp;IF(AND($S216="Sub",$F216="",IFERROR(N(INDEX($AG$5:$AG$1000,$R216-4)),0)&gt;0),"Falta el peso de la subactividad"&amp;" · ","")&amp;IF(AND(N($T216)&gt;0,N($AG216)&gt;0,ABS(N($AG216)-N($F216))&gt;0.0001),"Pesos de sus subactividades suman "&amp;TEXT(N($AG216),"0%")&amp;" (deben sumar "&amp;TEXT(N($F216),"0%")&amp;")"&amp;" · ","")&amp;IF(AND($S216="Macro",ABS(SUMIFS($F$5:$F$1000,$P$5:$P$1000,$P216,$S$5:$S$1000,"Macro")-1)&gt;0.0001),"Pesos del mes suman "&amp;TEXT(SUMIFS($F$5:$F$1000,$P$5:$P$1000,$P216,$S$5:$S$1000,"Macro"),"0%")&amp;" · ","")&amp;IF(AND(N($T216)&gt;0,COUNT($G216:$J216)&gt;0),"Con subactividades: deje vacías las semanas (se calculan solas)"&amp;" · ","")&amp;IF((COUNTIF($G216:$J216,"&gt;1")+COUNTIF($G216:$J216,"&lt;0")+COUNTA($G216:$J216)-COUNT($G216:$J216))&gt;0,"Avance fuera de rango 0-100%"&amp;" · ","")&amp;IF(OR(AND($H216&lt;&gt;"",$H216&lt;$G216),AND($I216&lt;&gt;"",$I216&lt;MAX($G216:$H216)),AND($J216&lt;&gt;"",$J216&lt;MAX($G216:$I216))),"Avance semanal decreciente"&amp;" · ","")&amp;IF(AND(ISNUMBER($E216),$E216&lt;FechaRef,N($K216)&lt;1),"Vencida"&amp;" · ","")&amp;IF(AND(ObsObligatoria="Sí",ISNUMBER($E216),$E216&lt;FechaRef,N($K216)&lt;1,$N216=""),"Vencida sin observación"&amp;" · ",""))-3)))</f>
        <v/>
      </c>
      <c r="P216" s="70">
        <f>IF(NOT((COUNTA($B216:$J216)+COUNTA($N216))&gt;0),"",IF(AND($S216="Sub",N($R216)&gt;0),IF(ISNUMBER(INDEX($D$5:$D$1000,$R216-4)),DATE(YEAR(INDEX($D$5:$D$1000,$R216-4)),MONTH(INDEX($D$5:$D$1000,$R216-4)),1),IF(ISNUMBER(INDEX($E$5:$E$1000,$R216-4)),DATE(YEAR(INDEX($E$5:$E$1000,$R216-4)),MONTH(INDEX($E$5:$E$1000,$R216-4)),1),MesCiclo)),IF(ISNUMBER($D216),DATE(YEAR($D216),MONTH($D216),1),IF(ISNUMBER($E216),DATE(YEAR($E216),MONTH($E216),1),MesCiclo))))</f>
        <v/>
      </c>
      <c r="Q216" s="71">
        <f>IF(OR($P216="",$P216&lt;&gt;MesCiclo),"",COUNTIF($P$5:$P216,MesCiclo))</f>
        <v/>
      </c>
      <c r="R216" s="71">
        <f>IF($S216="","",IF($S216="Macro",ROW(),IFERROR(LOOKUP(2,1/($S$5:$S216="Macro"),ROW($S$5:$S216)),0)))</f>
        <v/>
      </c>
      <c r="S216" s="71">
        <f>IF(NOT((COUNTA($B216:$J216)+COUNTA($N216))&gt;0),"",IF($B216="Subactividad","Sub","Macro"))</f>
        <v/>
      </c>
      <c r="T216" s="71">
        <f>IF($S216="Macro",COUNTIFS($R$5:$R$1000,ROW(),$S$5:$S$1000,"Sub"),"")</f>
        <v/>
      </c>
      <c r="U216" s="71">
        <f>IF($S216="","",IF(ISNUMBER($G216),$G216,0))</f>
        <v/>
      </c>
      <c r="V216" s="71">
        <f>IF($S216="","",IF(ISNUMBER($H216),$H216,$U216))</f>
        <v/>
      </c>
      <c r="W216" s="71">
        <f>IF($S216="","",IF(ISNUMBER($I216),$I216,$V216))</f>
        <v/>
      </c>
      <c r="X216" s="71">
        <f>IF($S216="","",IF(ISNUMBER($J216),$J216,$W216))</f>
        <v/>
      </c>
      <c r="Y216" s="71">
        <f>IF($S216="","",IF(N($T216)&gt;0,IF(N($AG216)&gt;0,SUMIFS($AC$5:$AC$1000,$R$5:$R$1000,ROW(),$S$5:$S$1000,"Sub")/$AG216,AVERAGEIFS($U$5:$U$1000,$R$5:$R$1000,ROW(),$S$5:$S$1000,"Sub")),$U216))</f>
        <v/>
      </c>
      <c r="Z216" s="71">
        <f>IF($S216="","",IF(N($T216)&gt;0,IF(N($AG216)&gt;0,SUMIFS($AD$5:$AD$1000,$R$5:$R$1000,ROW(),$S$5:$S$1000,"Sub")/$AG216,AVERAGEIFS($V$5:$V$1000,$R$5:$R$1000,ROW(),$S$5:$S$1000,"Sub")),$V216))</f>
        <v/>
      </c>
      <c r="AA216" s="71">
        <f>IF($S216="","",IF(N($T216)&gt;0,IF(N($AG216)&gt;0,SUMIFS($AE$5:$AE$1000,$R$5:$R$1000,ROW(),$S$5:$S$1000,"Sub")/$AG216,AVERAGEIFS($W$5:$W$1000,$R$5:$R$1000,ROW(),$S$5:$S$1000,"Sub")),$W216))</f>
        <v/>
      </c>
      <c r="AB216" s="71">
        <f>IF($S216="","",IF(N($T216)&gt;0,IF(N($AG216)&gt;0,SUMIFS($AF$5:$AF$1000,$R$5:$R$1000,ROW(),$S$5:$S$1000,"Sub")/$AG216,AVERAGEIFS($X$5:$X$1000,$R$5:$R$1000,ROW(),$S$5:$S$1000,"Sub")),$X216))</f>
        <v/>
      </c>
      <c r="AC216" s="71">
        <f>IF($S216="Sub",N($F216)*N($U216),"")</f>
        <v/>
      </c>
      <c r="AD216" s="71">
        <f>IF($S216="Sub",N($F216)*N($V216),"")</f>
        <v/>
      </c>
      <c r="AE216" s="71">
        <f>IF($S216="Sub",N($F216)*N($W216),"")</f>
        <v/>
      </c>
      <c r="AF216" s="71">
        <f>IF($S216="Sub",N($F216)*N($X216),"")</f>
        <v/>
      </c>
      <c r="AG216" s="71">
        <f>IF(N($T216)&gt;0,SUMIFS($F$5:$F$1000,$R$5:$R$1000,ROW(),$S$5:$S$1000,"Sub"),"")</f>
        <v/>
      </c>
    </row>
    <row r="217">
      <c r="A217" s="62">
        <f>IF(NOT((COUNTA($B217:$J217)+COUNTA($N217))&gt;0),"",IF($S217="Macro",COUNTIFS($S$5:$S217,"Macro",$P$5:$P217,$P217),IF(N($R217)=0,"?",COUNTIFS(INDEX($S$5:$S$1000,1):INDEX($S$5:$S$1000,$R217-4),"Macro",INDEX($P$5:$P$1000,1):INDEX($P$5:$P$1000,$R217-4),INDEX($P$5:$P$1000,$R217-4))&amp;"."&amp;COUNTIFS($R$5:$R217,$R217,$S$5:$S217,"Sub"))))</f>
        <v/>
      </c>
      <c r="B217" s="63" t="n"/>
      <c r="C217" s="64" t="n"/>
      <c r="D217" s="65" t="n"/>
      <c r="E217" s="65" t="n"/>
      <c r="F217" s="66" t="n"/>
      <c r="G217" s="67" t="n"/>
      <c r="H217" s="67" t="n"/>
      <c r="I217" s="67" t="n"/>
      <c r="J217" s="67" t="n"/>
      <c r="K217" s="68">
        <f>IF(NOT((COUNTA($B217:$J217)+COUNTA($N217))&gt;0),"",IF(N($T217)&gt;0,$AB217,IFERROR(LOOKUP(2,1/(G217:J217&lt;&gt;""),G217:J217),0)))</f>
        <v/>
      </c>
      <c r="L217" s="62">
        <f>IF(K217="","",IF(K217&gt;=1,"Completado",IF(K217&gt;0,"En curso","Pendiente")))</f>
        <v/>
      </c>
      <c r="M217" s="62">
        <f>IF(NOT((COUNTA($B217:$J217)+COUNTA($N217))&gt;0),"",IF(N($K217)&gt;=1,"Cumplida",IF(NOT(ISNUMBER($E217)),"Sin fecha límite",IF($E217&lt;FechaRef,"Vencida hace "&amp;(FechaRef-$E217)&amp;IF(FechaRef-$E217=1," día"," días"),IF($E217=FechaRef,"Vence hoy",IF($E217-FechaRef&lt;=DiasAlerta,"Vence en "&amp;($E217-FechaRef)&amp;IF($E217-FechaRef=1," día"," días"),"En plazo"))))))</f>
        <v/>
      </c>
      <c r="N217" s="64" t="n"/>
      <c r="O217" s="69">
        <f>IF(NOT((COUNTA($B217:$J217)+COUNTA($N217))&gt;0),"",IF((IF($C217="","Falta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",""))="","✔ OK","⚠ "&amp;LEFT(IF($C217="","Falta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",""),LEN(IF($C217="","Falta el nombre de la actividad"&amp;" · ","")&amp;IF(AND($S217="Sub",N($R217)=0),"Subactividad sin macroactividad arriba"&amp;" · ","")&amp;IF($D217="","Sin fecha de inicio"&amp;" · ","")&amp;IF($E217="","Sin fecha límite"&amp;" · ","")&amp;IF(OR(AND($D217&lt;&gt;"",NOT(ISNUMBER($D217))),AND($E217&lt;&gt;"",NOT(ISNUMBER($E217)))),"Fecha no válida"&amp;" · ","")&amp;IF(AND(ISNUMBER($D217),ISNUMBER($E217),$D217&gt;$E217),"Inicio posterior a fecha límite"&amp;" · ","")&amp;IF(AND($S217="Macro",$F217=""),"Peso vacío"&amp;" · ","")&amp;IF(AND($S217="Macro",$F217&lt;&gt;"",OR(NOT(ISNUMBER($F217)),$F217&lt;=0,$F217&gt;1)),"Peso fuera de rango"&amp;" · ","")&amp;IF(AND($S217="Sub",$F217&lt;&gt;"",OR(NOT(ISNUMBER($F217)),$F217&lt;0,$F217&gt;1)),"Peso fuera de rango"&amp;" · ","")&amp;IF(AND($S217="Sub",$F217="",IFERROR(N(INDEX($AG$5:$AG$1000,$R217-4)),0)&gt;0),"Falta el peso de la subactividad"&amp;" · ","")&amp;IF(AND(N($T217)&gt;0,N($AG217)&gt;0,ABS(N($AG217)-N($F217))&gt;0.0001),"Pesos de sus subactividades suman "&amp;TEXT(N($AG217),"0%")&amp;" (deben sumar "&amp;TEXT(N($F217),"0%")&amp;")"&amp;" · ","")&amp;IF(AND($S217="Macro",ABS(SUMIFS($F$5:$F$1000,$P$5:$P$1000,$P217,$S$5:$S$1000,"Macro")-1)&gt;0.0001),"Pesos del mes suman "&amp;TEXT(SUMIFS($F$5:$F$1000,$P$5:$P$1000,$P217,$S$5:$S$1000,"Macro"),"0%")&amp;" · ","")&amp;IF(AND(N($T217)&gt;0,COUNT($G217:$J217)&gt;0),"Con subactividades: deje vacías las semanas (se calculan solas)"&amp;" · ","")&amp;IF((COUNTIF($G217:$J217,"&gt;1")+COUNTIF($G217:$J217,"&lt;0")+COUNTA($G217:$J217)-COUNT($G217:$J217))&gt;0,"Avance fuera de rango 0-100%"&amp;" · ","")&amp;IF(OR(AND($H217&lt;&gt;"",$H217&lt;$G217),AND($I217&lt;&gt;"",$I217&lt;MAX($G217:$H217)),AND($J217&lt;&gt;"",$J217&lt;MAX($G217:$I217))),"Avance semanal decreciente"&amp;" · ","")&amp;IF(AND(ISNUMBER($E217),$E217&lt;FechaRef,N($K217)&lt;1),"Vencida"&amp;" · ","")&amp;IF(AND(ObsObligatoria="Sí",ISNUMBER($E217),$E217&lt;FechaRef,N($K217)&lt;1,$N217=""),"Vencida sin observación"&amp;" · ",""))-3)))</f>
        <v/>
      </c>
      <c r="P217" s="70">
        <f>IF(NOT((COUNTA($B217:$J217)+COUNTA($N217))&gt;0),"",IF(AND($S217="Sub",N($R217)&gt;0),IF(ISNUMBER(INDEX($D$5:$D$1000,$R217-4)),DATE(YEAR(INDEX($D$5:$D$1000,$R217-4)),MONTH(INDEX($D$5:$D$1000,$R217-4)),1),IF(ISNUMBER(INDEX($E$5:$E$1000,$R217-4)),DATE(YEAR(INDEX($E$5:$E$1000,$R217-4)),MONTH(INDEX($E$5:$E$1000,$R217-4)),1),MesCiclo)),IF(ISNUMBER($D217),DATE(YEAR($D217),MONTH($D217),1),IF(ISNUMBER($E217),DATE(YEAR($E217),MONTH($E217),1),MesCiclo))))</f>
        <v/>
      </c>
      <c r="Q217" s="71">
        <f>IF(OR($P217="",$P217&lt;&gt;MesCiclo),"",COUNTIF($P$5:$P217,MesCiclo))</f>
        <v/>
      </c>
      <c r="R217" s="71">
        <f>IF($S217="","",IF($S217="Macro",ROW(),IFERROR(LOOKUP(2,1/($S$5:$S217="Macro"),ROW($S$5:$S217)),0)))</f>
        <v/>
      </c>
      <c r="S217" s="71">
        <f>IF(NOT((COUNTA($B217:$J217)+COUNTA($N217))&gt;0),"",IF($B217="Subactividad","Sub","Macro"))</f>
        <v/>
      </c>
      <c r="T217" s="71">
        <f>IF($S217="Macro",COUNTIFS($R$5:$R$1000,ROW(),$S$5:$S$1000,"Sub"),"")</f>
        <v/>
      </c>
      <c r="U217" s="71">
        <f>IF($S217="","",IF(ISNUMBER($G217),$G217,0))</f>
        <v/>
      </c>
      <c r="V217" s="71">
        <f>IF($S217="","",IF(ISNUMBER($H217),$H217,$U217))</f>
        <v/>
      </c>
      <c r="W217" s="71">
        <f>IF($S217="","",IF(ISNUMBER($I217),$I217,$V217))</f>
        <v/>
      </c>
      <c r="X217" s="71">
        <f>IF($S217="","",IF(ISNUMBER($J217),$J217,$W217))</f>
        <v/>
      </c>
      <c r="Y217" s="71">
        <f>IF($S217="","",IF(N($T217)&gt;0,IF(N($AG217)&gt;0,SUMIFS($AC$5:$AC$1000,$R$5:$R$1000,ROW(),$S$5:$S$1000,"Sub")/$AG217,AVERAGEIFS($U$5:$U$1000,$R$5:$R$1000,ROW(),$S$5:$S$1000,"Sub")),$U217))</f>
        <v/>
      </c>
      <c r="Z217" s="71">
        <f>IF($S217="","",IF(N($T217)&gt;0,IF(N($AG217)&gt;0,SUMIFS($AD$5:$AD$1000,$R$5:$R$1000,ROW(),$S$5:$S$1000,"Sub")/$AG217,AVERAGEIFS($V$5:$V$1000,$R$5:$R$1000,ROW(),$S$5:$S$1000,"Sub")),$V217))</f>
        <v/>
      </c>
      <c r="AA217" s="71">
        <f>IF($S217="","",IF(N($T217)&gt;0,IF(N($AG217)&gt;0,SUMIFS($AE$5:$AE$1000,$R$5:$R$1000,ROW(),$S$5:$S$1000,"Sub")/$AG217,AVERAGEIFS($W$5:$W$1000,$R$5:$R$1000,ROW(),$S$5:$S$1000,"Sub")),$W217))</f>
        <v/>
      </c>
      <c r="AB217" s="71">
        <f>IF($S217="","",IF(N($T217)&gt;0,IF(N($AG217)&gt;0,SUMIFS($AF$5:$AF$1000,$R$5:$R$1000,ROW(),$S$5:$S$1000,"Sub")/$AG217,AVERAGEIFS($X$5:$X$1000,$R$5:$R$1000,ROW(),$S$5:$S$1000,"Sub")),$X217))</f>
        <v/>
      </c>
      <c r="AC217" s="71">
        <f>IF($S217="Sub",N($F217)*N($U217),"")</f>
        <v/>
      </c>
      <c r="AD217" s="71">
        <f>IF($S217="Sub",N($F217)*N($V217),"")</f>
        <v/>
      </c>
      <c r="AE217" s="71">
        <f>IF($S217="Sub",N($F217)*N($W217),"")</f>
        <v/>
      </c>
      <c r="AF217" s="71">
        <f>IF($S217="Sub",N($F217)*N($X217),"")</f>
        <v/>
      </c>
      <c r="AG217" s="71">
        <f>IF(N($T217)&gt;0,SUMIFS($F$5:$F$1000,$R$5:$R$1000,ROW(),$S$5:$S$1000,"Sub"),"")</f>
        <v/>
      </c>
    </row>
    <row r="218">
      <c r="A218" s="62">
        <f>IF(NOT((COUNTA($B218:$J218)+COUNTA($N218))&gt;0),"",IF($S218="Macro",COUNTIFS($S$5:$S218,"Macro",$P$5:$P218,$P218),IF(N($R218)=0,"?",COUNTIFS(INDEX($S$5:$S$1000,1):INDEX($S$5:$S$1000,$R218-4),"Macro",INDEX($P$5:$P$1000,1):INDEX($P$5:$P$1000,$R218-4),INDEX($P$5:$P$1000,$R218-4))&amp;"."&amp;COUNTIFS($R$5:$R218,$R218,$S$5:$S218,"Sub"))))</f>
        <v/>
      </c>
      <c r="B218" s="63" t="n"/>
      <c r="C218" s="64" t="n"/>
      <c r="D218" s="65" t="n"/>
      <c r="E218" s="65" t="n"/>
      <c r="F218" s="66" t="n"/>
      <c r="G218" s="67" t="n"/>
      <c r="H218" s="67" t="n"/>
      <c r="I218" s="67" t="n"/>
      <c r="J218" s="67" t="n"/>
      <c r="K218" s="68">
        <f>IF(NOT((COUNTA($B218:$J218)+COUNTA($N218))&gt;0),"",IF(N($T218)&gt;0,$AB218,IFERROR(LOOKUP(2,1/(G218:J218&lt;&gt;""),G218:J218),0)))</f>
        <v/>
      </c>
      <c r="L218" s="62">
        <f>IF(K218="","",IF(K218&gt;=1,"Completado",IF(K218&gt;0,"En curso","Pendiente")))</f>
        <v/>
      </c>
      <c r="M218" s="62">
        <f>IF(NOT((COUNTA($B218:$J218)+COUNTA($N218))&gt;0),"",IF(N($K218)&gt;=1,"Cumplida",IF(NOT(ISNUMBER($E218)),"Sin fecha límite",IF($E218&lt;FechaRef,"Vencida hace "&amp;(FechaRef-$E218)&amp;IF(FechaRef-$E218=1," día"," días"),IF($E218=FechaRef,"Vence hoy",IF($E218-FechaRef&lt;=DiasAlerta,"Vence en "&amp;($E218-FechaRef)&amp;IF($E218-FechaRef=1," día"," días"),"En plazo"))))))</f>
        <v/>
      </c>
      <c r="N218" s="64" t="n"/>
      <c r="O218" s="69">
        <f>IF(NOT((COUNTA($B218:$J218)+COUNTA($N218))&gt;0),"",IF((IF($C218="","Falta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",""))="","✔ OK","⚠ "&amp;LEFT(IF($C218="","Falta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",""),LEN(IF($C218="","Falta el nombre de la actividad"&amp;" · ","")&amp;IF(AND($S218="Sub",N($R218)=0),"Subactividad sin macroactividad arriba"&amp;" · ","")&amp;IF($D218="","Sin fecha de inicio"&amp;" · ","")&amp;IF($E218="","Sin fecha límite"&amp;" · ","")&amp;IF(OR(AND($D218&lt;&gt;"",NOT(ISNUMBER($D218))),AND($E218&lt;&gt;"",NOT(ISNUMBER($E218)))),"Fecha no válida"&amp;" · ","")&amp;IF(AND(ISNUMBER($D218),ISNUMBER($E218),$D218&gt;$E218),"Inicio posterior a fecha límite"&amp;" · ","")&amp;IF(AND($S218="Macro",$F218=""),"Peso vacío"&amp;" · ","")&amp;IF(AND($S218="Macro",$F218&lt;&gt;"",OR(NOT(ISNUMBER($F218)),$F218&lt;=0,$F218&gt;1)),"Peso fuera de rango"&amp;" · ","")&amp;IF(AND($S218="Sub",$F218&lt;&gt;"",OR(NOT(ISNUMBER($F218)),$F218&lt;0,$F218&gt;1)),"Peso fuera de rango"&amp;" · ","")&amp;IF(AND($S218="Sub",$F218="",IFERROR(N(INDEX($AG$5:$AG$1000,$R218-4)),0)&gt;0),"Falta el peso de la subactividad"&amp;" · ","")&amp;IF(AND(N($T218)&gt;0,N($AG218)&gt;0,ABS(N($AG218)-N($F218))&gt;0.0001),"Pesos de sus subactividades suman "&amp;TEXT(N($AG218),"0%")&amp;" (deben sumar "&amp;TEXT(N($F218),"0%")&amp;")"&amp;" · ","")&amp;IF(AND($S218="Macro",ABS(SUMIFS($F$5:$F$1000,$P$5:$P$1000,$P218,$S$5:$S$1000,"Macro")-1)&gt;0.0001),"Pesos del mes suman "&amp;TEXT(SUMIFS($F$5:$F$1000,$P$5:$P$1000,$P218,$S$5:$S$1000,"Macro"),"0%")&amp;" · ","")&amp;IF(AND(N($T218)&gt;0,COUNT($G218:$J218)&gt;0),"Con subactividades: deje vacías las semanas (se calculan solas)"&amp;" · ","")&amp;IF((COUNTIF($G218:$J218,"&gt;1")+COUNTIF($G218:$J218,"&lt;0")+COUNTA($G218:$J218)-COUNT($G218:$J218))&gt;0,"Avance fuera de rango 0-100%"&amp;" · ","")&amp;IF(OR(AND($H218&lt;&gt;"",$H218&lt;$G218),AND($I218&lt;&gt;"",$I218&lt;MAX($G218:$H218)),AND($J218&lt;&gt;"",$J218&lt;MAX($G218:$I218))),"Avance semanal decreciente"&amp;" · ","")&amp;IF(AND(ISNUMBER($E218),$E218&lt;FechaRef,N($K218)&lt;1),"Vencida"&amp;" · ","")&amp;IF(AND(ObsObligatoria="Sí",ISNUMBER($E218),$E218&lt;FechaRef,N($K218)&lt;1,$N218=""),"Vencida sin observación"&amp;" · ",""))-3)))</f>
        <v/>
      </c>
      <c r="P218" s="70">
        <f>IF(NOT((COUNTA($B218:$J218)+COUNTA($N218))&gt;0),"",IF(AND($S218="Sub",N($R218)&gt;0),IF(ISNUMBER(INDEX($D$5:$D$1000,$R218-4)),DATE(YEAR(INDEX($D$5:$D$1000,$R218-4)),MONTH(INDEX($D$5:$D$1000,$R218-4)),1),IF(ISNUMBER(INDEX($E$5:$E$1000,$R218-4)),DATE(YEAR(INDEX($E$5:$E$1000,$R218-4)),MONTH(INDEX($E$5:$E$1000,$R218-4)),1),MesCiclo)),IF(ISNUMBER($D218),DATE(YEAR($D218),MONTH($D218),1),IF(ISNUMBER($E218),DATE(YEAR($E218),MONTH($E218),1),MesCiclo))))</f>
        <v/>
      </c>
      <c r="Q218" s="71">
        <f>IF(OR($P218="",$P218&lt;&gt;MesCiclo),"",COUNTIF($P$5:$P218,MesCiclo))</f>
        <v/>
      </c>
      <c r="R218" s="71">
        <f>IF($S218="","",IF($S218="Macro",ROW(),IFERROR(LOOKUP(2,1/($S$5:$S218="Macro"),ROW($S$5:$S218)),0)))</f>
        <v/>
      </c>
      <c r="S218" s="71">
        <f>IF(NOT((COUNTA($B218:$J218)+COUNTA($N218))&gt;0),"",IF($B218="Subactividad","Sub","Macro"))</f>
        <v/>
      </c>
      <c r="T218" s="71">
        <f>IF($S218="Macro",COUNTIFS($R$5:$R$1000,ROW(),$S$5:$S$1000,"Sub"),"")</f>
        <v/>
      </c>
      <c r="U218" s="71">
        <f>IF($S218="","",IF(ISNUMBER($G218),$G218,0))</f>
        <v/>
      </c>
      <c r="V218" s="71">
        <f>IF($S218="","",IF(ISNUMBER($H218),$H218,$U218))</f>
        <v/>
      </c>
      <c r="W218" s="71">
        <f>IF($S218="","",IF(ISNUMBER($I218),$I218,$V218))</f>
        <v/>
      </c>
      <c r="X218" s="71">
        <f>IF($S218="","",IF(ISNUMBER($J218),$J218,$W218))</f>
        <v/>
      </c>
      <c r="Y218" s="71">
        <f>IF($S218="","",IF(N($T218)&gt;0,IF(N($AG218)&gt;0,SUMIFS($AC$5:$AC$1000,$R$5:$R$1000,ROW(),$S$5:$S$1000,"Sub")/$AG218,AVERAGEIFS($U$5:$U$1000,$R$5:$R$1000,ROW(),$S$5:$S$1000,"Sub")),$U218))</f>
        <v/>
      </c>
      <c r="Z218" s="71">
        <f>IF($S218="","",IF(N($T218)&gt;0,IF(N($AG218)&gt;0,SUMIFS($AD$5:$AD$1000,$R$5:$R$1000,ROW(),$S$5:$S$1000,"Sub")/$AG218,AVERAGEIFS($V$5:$V$1000,$R$5:$R$1000,ROW(),$S$5:$S$1000,"Sub")),$V218))</f>
        <v/>
      </c>
      <c r="AA218" s="71">
        <f>IF($S218="","",IF(N($T218)&gt;0,IF(N($AG218)&gt;0,SUMIFS($AE$5:$AE$1000,$R$5:$R$1000,ROW(),$S$5:$S$1000,"Sub")/$AG218,AVERAGEIFS($W$5:$W$1000,$R$5:$R$1000,ROW(),$S$5:$S$1000,"Sub")),$W218))</f>
        <v/>
      </c>
      <c r="AB218" s="71">
        <f>IF($S218="","",IF(N($T218)&gt;0,IF(N($AG218)&gt;0,SUMIFS($AF$5:$AF$1000,$R$5:$R$1000,ROW(),$S$5:$S$1000,"Sub")/$AG218,AVERAGEIFS($X$5:$X$1000,$R$5:$R$1000,ROW(),$S$5:$S$1000,"Sub")),$X218))</f>
        <v/>
      </c>
      <c r="AC218" s="71">
        <f>IF($S218="Sub",N($F218)*N($U218),"")</f>
        <v/>
      </c>
      <c r="AD218" s="71">
        <f>IF($S218="Sub",N($F218)*N($V218),"")</f>
        <v/>
      </c>
      <c r="AE218" s="71">
        <f>IF($S218="Sub",N($F218)*N($W218),"")</f>
        <v/>
      </c>
      <c r="AF218" s="71">
        <f>IF($S218="Sub",N($F218)*N($X218),"")</f>
        <v/>
      </c>
      <c r="AG218" s="71">
        <f>IF(N($T218)&gt;0,SUMIFS($F$5:$F$1000,$R$5:$R$1000,ROW(),$S$5:$S$1000,"Sub"),"")</f>
        <v/>
      </c>
    </row>
    <row r="219">
      <c r="A219" s="62">
        <f>IF(NOT((COUNTA($B219:$J219)+COUNTA($N219))&gt;0),"",IF($S219="Macro",COUNTIFS($S$5:$S219,"Macro",$P$5:$P219,$P219),IF(N($R219)=0,"?",COUNTIFS(INDEX($S$5:$S$1000,1):INDEX($S$5:$S$1000,$R219-4),"Macro",INDEX($P$5:$P$1000,1):INDEX($P$5:$P$1000,$R219-4),INDEX($P$5:$P$1000,$R219-4))&amp;"."&amp;COUNTIFS($R$5:$R219,$R219,$S$5:$S219,"Sub"))))</f>
        <v/>
      </c>
      <c r="B219" s="63" t="n"/>
      <c r="C219" s="64" t="n"/>
      <c r="D219" s="65" t="n"/>
      <c r="E219" s="65" t="n"/>
      <c r="F219" s="66" t="n"/>
      <c r="G219" s="67" t="n"/>
      <c r="H219" s="67" t="n"/>
      <c r="I219" s="67" t="n"/>
      <c r="J219" s="67" t="n"/>
      <c r="K219" s="68">
        <f>IF(NOT((COUNTA($B219:$J219)+COUNTA($N219))&gt;0),"",IF(N($T219)&gt;0,$AB219,IFERROR(LOOKUP(2,1/(G219:J219&lt;&gt;""),G219:J219),0)))</f>
        <v/>
      </c>
      <c r="L219" s="62">
        <f>IF(K219="","",IF(K219&gt;=1,"Completado",IF(K219&gt;0,"En curso","Pendiente")))</f>
        <v/>
      </c>
      <c r="M219" s="62">
        <f>IF(NOT((COUNTA($B219:$J219)+COUNTA($N219))&gt;0),"",IF(N($K219)&gt;=1,"Cumplida",IF(NOT(ISNUMBER($E219)),"Sin fecha límite",IF($E219&lt;FechaRef,"Vencida hace "&amp;(FechaRef-$E219)&amp;IF(FechaRef-$E219=1," día"," días"),IF($E219=FechaRef,"Vence hoy",IF($E219-FechaRef&lt;=DiasAlerta,"Vence en "&amp;($E219-FechaRef)&amp;IF($E219-FechaRef=1," día"," días"),"En plazo"))))))</f>
        <v/>
      </c>
      <c r="N219" s="64" t="n"/>
      <c r="O219" s="69">
        <f>IF(NOT((COUNTA($B219:$J219)+COUNTA($N219))&gt;0),"",IF((IF($C219="","Falta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",""))="","✔ OK","⚠ "&amp;LEFT(IF($C219="","Falta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",""),LEN(IF($C219="","Falta el nombre de la actividad"&amp;" · ","")&amp;IF(AND($S219="Sub",N($R219)=0),"Subactividad sin macroactividad arriba"&amp;" · ","")&amp;IF($D219="","Sin fecha de inicio"&amp;" · ","")&amp;IF($E219="","Sin fecha límite"&amp;" · ","")&amp;IF(OR(AND($D219&lt;&gt;"",NOT(ISNUMBER($D219))),AND($E219&lt;&gt;"",NOT(ISNUMBER($E219)))),"Fecha no válida"&amp;" · ","")&amp;IF(AND(ISNUMBER($D219),ISNUMBER($E219),$D219&gt;$E219),"Inicio posterior a fecha límite"&amp;" · ","")&amp;IF(AND($S219="Macro",$F219=""),"Peso vacío"&amp;" · ","")&amp;IF(AND($S219="Macro",$F219&lt;&gt;"",OR(NOT(ISNUMBER($F219)),$F219&lt;=0,$F219&gt;1)),"Peso fuera de rango"&amp;" · ","")&amp;IF(AND($S219="Sub",$F219&lt;&gt;"",OR(NOT(ISNUMBER($F219)),$F219&lt;0,$F219&gt;1)),"Peso fuera de rango"&amp;" · ","")&amp;IF(AND($S219="Sub",$F219="",IFERROR(N(INDEX($AG$5:$AG$1000,$R219-4)),0)&gt;0),"Falta el peso de la subactividad"&amp;" · ","")&amp;IF(AND(N($T219)&gt;0,N($AG219)&gt;0,ABS(N($AG219)-N($F219))&gt;0.0001),"Pesos de sus subactividades suman "&amp;TEXT(N($AG219),"0%")&amp;" (deben sumar "&amp;TEXT(N($F219),"0%")&amp;")"&amp;" · ","")&amp;IF(AND($S219="Macro",ABS(SUMIFS($F$5:$F$1000,$P$5:$P$1000,$P219,$S$5:$S$1000,"Macro")-1)&gt;0.0001),"Pesos del mes suman "&amp;TEXT(SUMIFS($F$5:$F$1000,$P$5:$P$1000,$P219,$S$5:$S$1000,"Macro"),"0%")&amp;" · ","")&amp;IF(AND(N($T219)&gt;0,COUNT($G219:$J219)&gt;0),"Con subactividades: deje vacías las semanas (se calculan solas)"&amp;" · ","")&amp;IF((COUNTIF($G219:$J219,"&gt;1")+COUNTIF($G219:$J219,"&lt;0")+COUNTA($G219:$J219)-COUNT($G219:$J219))&gt;0,"Avance fuera de rango 0-100%"&amp;" · ","")&amp;IF(OR(AND($H219&lt;&gt;"",$H219&lt;$G219),AND($I219&lt;&gt;"",$I219&lt;MAX($G219:$H219)),AND($J219&lt;&gt;"",$J219&lt;MAX($G219:$I219))),"Avance semanal decreciente"&amp;" · ","")&amp;IF(AND(ISNUMBER($E219),$E219&lt;FechaRef,N($K219)&lt;1),"Vencida"&amp;" · ","")&amp;IF(AND(ObsObligatoria="Sí",ISNUMBER($E219),$E219&lt;FechaRef,N($K219)&lt;1,$N219=""),"Vencida sin observación"&amp;" · ",""))-3)))</f>
        <v/>
      </c>
      <c r="P219" s="70">
        <f>IF(NOT((COUNTA($B219:$J219)+COUNTA($N219))&gt;0),"",IF(AND($S219="Sub",N($R219)&gt;0),IF(ISNUMBER(INDEX($D$5:$D$1000,$R219-4)),DATE(YEAR(INDEX($D$5:$D$1000,$R219-4)),MONTH(INDEX($D$5:$D$1000,$R219-4)),1),IF(ISNUMBER(INDEX($E$5:$E$1000,$R219-4)),DATE(YEAR(INDEX($E$5:$E$1000,$R219-4)),MONTH(INDEX($E$5:$E$1000,$R219-4)),1),MesCiclo)),IF(ISNUMBER($D219),DATE(YEAR($D219),MONTH($D219),1),IF(ISNUMBER($E219),DATE(YEAR($E219),MONTH($E219),1),MesCiclo))))</f>
        <v/>
      </c>
      <c r="Q219" s="71">
        <f>IF(OR($P219="",$P219&lt;&gt;MesCiclo),"",COUNTIF($P$5:$P219,MesCiclo))</f>
        <v/>
      </c>
      <c r="R219" s="71">
        <f>IF($S219="","",IF($S219="Macro",ROW(),IFERROR(LOOKUP(2,1/($S$5:$S219="Macro"),ROW($S$5:$S219)),0)))</f>
        <v/>
      </c>
      <c r="S219" s="71">
        <f>IF(NOT((COUNTA($B219:$J219)+COUNTA($N219))&gt;0),"",IF($B219="Subactividad","Sub","Macro"))</f>
        <v/>
      </c>
      <c r="T219" s="71">
        <f>IF($S219="Macro",COUNTIFS($R$5:$R$1000,ROW(),$S$5:$S$1000,"Sub"),"")</f>
        <v/>
      </c>
      <c r="U219" s="71">
        <f>IF($S219="","",IF(ISNUMBER($G219),$G219,0))</f>
        <v/>
      </c>
      <c r="V219" s="71">
        <f>IF($S219="","",IF(ISNUMBER($H219),$H219,$U219))</f>
        <v/>
      </c>
      <c r="W219" s="71">
        <f>IF($S219="","",IF(ISNUMBER($I219),$I219,$V219))</f>
        <v/>
      </c>
      <c r="X219" s="71">
        <f>IF($S219="","",IF(ISNUMBER($J219),$J219,$W219))</f>
        <v/>
      </c>
      <c r="Y219" s="71">
        <f>IF($S219="","",IF(N($T219)&gt;0,IF(N($AG219)&gt;0,SUMIFS($AC$5:$AC$1000,$R$5:$R$1000,ROW(),$S$5:$S$1000,"Sub")/$AG219,AVERAGEIFS($U$5:$U$1000,$R$5:$R$1000,ROW(),$S$5:$S$1000,"Sub")),$U219))</f>
        <v/>
      </c>
      <c r="Z219" s="71">
        <f>IF($S219="","",IF(N($T219)&gt;0,IF(N($AG219)&gt;0,SUMIFS($AD$5:$AD$1000,$R$5:$R$1000,ROW(),$S$5:$S$1000,"Sub")/$AG219,AVERAGEIFS($V$5:$V$1000,$R$5:$R$1000,ROW(),$S$5:$S$1000,"Sub")),$V219))</f>
        <v/>
      </c>
      <c r="AA219" s="71">
        <f>IF($S219="","",IF(N($T219)&gt;0,IF(N($AG219)&gt;0,SUMIFS($AE$5:$AE$1000,$R$5:$R$1000,ROW(),$S$5:$S$1000,"Sub")/$AG219,AVERAGEIFS($W$5:$W$1000,$R$5:$R$1000,ROW(),$S$5:$S$1000,"Sub")),$W219))</f>
        <v/>
      </c>
      <c r="AB219" s="71">
        <f>IF($S219="","",IF(N($T219)&gt;0,IF(N($AG219)&gt;0,SUMIFS($AF$5:$AF$1000,$R$5:$R$1000,ROW(),$S$5:$S$1000,"Sub")/$AG219,AVERAGEIFS($X$5:$X$1000,$R$5:$R$1000,ROW(),$S$5:$S$1000,"Sub")),$X219))</f>
        <v/>
      </c>
      <c r="AC219" s="71">
        <f>IF($S219="Sub",N($F219)*N($U219),"")</f>
        <v/>
      </c>
      <c r="AD219" s="71">
        <f>IF($S219="Sub",N($F219)*N($V219),"")</f>
        <v/>
      </c>
      <c r="AE219" s="71">
        <f>IF($S219="Sub",N($F219)*N($W219),"")</f>
        <v/>
      </c>
      <c r="AF219" s="71">
        <f>IF($S219="Sub",N($F219)*N($X219),"")</f>
        <v/>
      </c>
      <c r="AG219" s="71">
        <f>IF(N($T219)&gt;0,SUMIFS($F$5:$F$1000,$R$5:$R$1000,ROW(),$S$5:$S$1000,"Sub"),"")</f>
        <v/>
      </c>
    </row>
    <row r="220">
      <c r="A220" s="62">
        <f>IF(NOT((COUNTA($B220:$J220)+COUNTA($N220))&gt;0),"",IF($S220="Macro",COUNTIFS($S$5:$S220,"Macro",$P$5:$P220,$P220),IF(N($R220)=0,"?",COUNTIFS(INDEX($S$5:$S$1000,1):INDEX($S$5:$S$1000,$R220-4),"Macro",INDEX($P$5:$P$1000,1):INDEX($P$5:$P$1000,$R220-4),INDEX($P$5:$P$1000,$R220-4))&amp;"."&amp;COUNTIFS($R$5:$R220,$R220,$S$5:$S220,"Sub"))))</f>
        <v/>
      </c>
      <c r="B220" s="63" t="n"/>
      <c r="C220" s="64" t="n"/>
      <c r="D220" s="65" t="n"/>
      <c r="E220" s="65" t="n"/>
      <c r="F220" s="66" t="n"/>
      <c r="G220" s="67" t="n"/>
      <c r="H220" s="67" t="n"/>
      <c r="I220" s="67" t="n"/>
      <c r="J220" s="67" t="n"/>
      <c r="K220" s="68">
        <f>IF(NOT((COUNTA($B220:$J220)+COUNTA($N220))&gt;0),"",IF(N($T220)&gt;0,$AB220,IFERROR(LOOKUP(2,1/(G220:J220&lt;&gt;""),G220:J220),0)))</f>
        <v/>
      </c>
      <c r="L220" s="62">
        <f>IF(K220="","",IF(K220&gt;=1,"Completado",IF(K220&gt;0,"En curso","Pendiente")))</f>
        <v/>
      </c>
      <c r="M220" s="62">
        <f>IF(NOT((COUNTA($B220:$J220)+COUNTA($N220))&gt;0),"",IF(N($K220)&gt;=1,"Cumplida",IF(NOT(ISNUMBER($E220)),"Sin fecha límite",IF($E220&lt;FechaRef,"Vencida hace "&amp;(FechaRef-$E220)&amp;IF(FechaRef-$E220=1," día"," días"),IF($E220=FechaRef,"Vence hoy",IF($E220-FechaRef&lt;=DiasAlerta,"Vence en "&amp;($E220-FechaRef)&amp;IF($E220-FechaRef=1," día"," días"),"En plazo"))))))</f>
        <v/>
      </c>
      <c r="N220" s="64" t="n"/>
      <c r="O220" s="69">
        <f>IF(NOT((COUNTA($B220:$J220)+COUNTA($N220))&gt;0),"",IF((IF($C220="","Falta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",""))="","✔ OK","⚠ "&amp;LEFT(IF($C220="","Falta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",""),LEN(IF($C220="","Falta el nombre de la actividad"&amp;" · ","")&amp;IF(AND($S220="Sub",N($R220)=0),"Subactividad sin macroactividad arriba"&amp;" · ","")&amp;IF($D220="","Sin fecha de inicio"&amp;" · ","")&amp;IF($E220="","Sin fecha límite"&amp;" · ","")&amp;IF(OR(AND($D220&lt;&gt;"",NOT(ISNUMBER($D220))),AND($E220&lt;&gt;"",NOT(ISNUMBER($E220)))),"Fecha no válida"&amp;" · ","")&amp;IF(AND(ISNUMBER($D220),ISNUMBER($E220),$D220&gt;$E220),"Inicio posterior a fecha límite"&amp;" · ","")&amp;IF(AND($S220="Macro",$F220=""),"Peso vacío"&amp;" · ","")&amp;IF(AND($S220="Macro",$F220&lt;&gt;"",OR(NOT(ISNUMBER($F220)),$F220&lt;=0,$F220&gt;1)),"Peso fuera de rango"&amp;" · ","")&amp;IF(AND($S220="Sub",$F220&lt;&gt;"",OR(NOT(ISNUMBER($F220)),$F220&lt;0,$F220&gt;1)),"Peso fuera de rango"&amp;" · ","")&amp;IF(AND($S220="Sub",$F220="",IFERROR(N(INDEX($AG$5:$AG$1000,$R220-4)),0)&gt;0),"Falta el peso de la subactividad"&amp;" · ","")&amp;IF(AND(N($T220)&gt;0,N($AG220)&gt;0,ABS(N($AG220)-N($F220))&gt;0.0001),"Pesos de sus subactividades suman "&amp;TEXT(N($AG220),"0%")&amp;" (deben sumar "&amp;TEXT(N($F220),"0%")&amp;")"&amp;" · ","")&amp;IF(AND($S220="Macro",ABS(SUMIFS($F$5:$F$1000,$P$5:$P$1000,$P220,$S$5:$S$1000,"Macro")-1)&gt;0.0001),"Pesos del mes suman "&amp;TEXT(SUMIFS($F$5:$F$1000,$P$5:$P$1000,$P220,$S$5:$S$1000,"Macro"),"0%")&amp;" · ","")&amp;IF(AND(N($T220)&gt;0,COUNT($G220:$J220)&gt;0),"Con subactividades: deje vacías las semanas (se calculan solas)"&amp;" · ","")&amp;IF((COUNTIF($G220:$J220,"&gt;1")+COUNTIF($G220:$J220,"&lt;0")+COUNTA($G220:$J220)-COUNT($G220:$J220))&gt;0,"Avance fuera de rango 0-100%"&amp;" · ","")&amp;IF(OR(AND($H220&lt;&gt;"",$H220&lt;$G220),AND($I220&lt;&gt;"",$I220&lt;MAX($G220:$H220)),AND($J220&lt;&gt;"",$J220&lt;MAX($G220:$I220))),"Avance semanal decreciente"&amp;" · ","")&amp;IF(AND(ISNUMBER($E220),$E220&lt;FechaRef,N($K220)&lt;1),"Vencida"&amp;" · ","")&amp;IF(AND(ObsObligatoria="Sí",ISNUMBER($E220),$E220&lt;FechaRef,N($K220)&lt;1,$N220=""),"Vencida sin observación"&amp;" · ",""))-3)))</f>
        <v/>
      </c>
      <c r="P220" s="70">
        <f>IF(NOT((COUNTA($B220:$J220)+COUNTA($N220))&gt;0),"",IF(AND($S220="Sub",N($R220)&gt;0),IF(ISNUMBER(INDEX($D$5:$D$1000,$R220-4)),DATE(YEAR(INDEX($D$5:$D$1000,$R220-4)),MONTH(INDEX($D$5:$D$1000,$R220-4)),1),IF(ISNUMBER(INDEX($E$5:$E$1000,$R220-4)),DATE(YEAR(INDEX($E$5:$E$1000,$R220-4)),MONTH(INDEX($E$5:$E$1000,$R220-4)),1),MesCiclo)),IF(ISNUMBER($D220),DATE(YEAR($D220),MONTH($D220),1),IF(ISNUMBER($E220),DATE(YEAR($E220),MONTH($E220),1),MesCiclo))))</f>
        <v/>
      </c>
      <c r="Q220" s="71">
        <f>IF(OR($P220="",$P220&lt;&gt;MesCiclo),"",COUNTIF($P$5:$P220,MesCiclo))</f>
        <v/>
      </c>
      <c r="R220" s="71">
        <f>IF($S220="","",IF($S220="Macro",ROW(),IFERROR(LOOKUP(2,1/($S$5:$S220="Macro"),ROW($S$5:$S220)),0)))</f>
        <v/>
      </c>
      <c r="S220" s="71">
        <f>IF(NOT((COUNTA($B220:$J220)+COUNTA($N220))&gt;0),"",IF($B220="Subactividad","Sub","Macro"))</f>
        <v/>
      </c>
      <c r="T220" s="71">
        <f>IF($S220="Macro",COUNTIFS($R$5:$R$1000,ROW(),$S$5:$S$1000,"Sub"),"")</f>
        <v/>
      </c>
      <c r="U220" s="71">
        <f>IF($S220="","",IF(ISNUMBER($G220),$G220,0))</f>
        <v/>
      </c>
      <c r="V220" s="71">
        <f>IF($S220="","",IF(ISNUMBER($H220),$H220,$U220))</f>
        <v/>
      </c>
      <c r="W220" s="71">
        <f>IF($S220="","",IF(ISNUMBER($I220),$I220,$V220))</f>
        <v/>
      </c>
      <c r="X220" s="71">
        <f>IF($S220="","",IF(ISNUMBER($J220),$J220,$W220))</f>
        <v/>
      </c>
      <c r="Y220" s="71">
        <f>IF($S220="","",IF(N($T220)&gt;0,IF(N($AG220)&gt;0,SUMIFS($AC$5:$AC$1000,$R$5:$R$1000,ROW(),$S$5:$S$1000,"Sub")/$AG220,AVERAGEIFS($U$5:$U$1000,$R$5:$R$1000,ROW(),$S$5:$S$1000,"Sub")),$U220))</f>
        <v/>
      </c>
      <c r="Z220" s="71">
        <f>IF($S220="","",IF(N($T220)&gt;0,IF(N($AG220)&gt;0,SUMIFS($AD$5:$AD$1000,$R$5:$R$1000,ROW(),$S$5:$S$1000,"Sub")/$AG220,AVERAGEIFS($V$5:$V$1000,$R$5:$R$1000,ROW(),$S$5:$S$1000,"Sub")),$V220))</f>
        <v/>
      </c>
      <c r="AA220" s="71">
        <f>IF($S220="","",IF(N($T220)&gt;0,IF(N($AG220)&gt;0,SUMIFS($AE$5:$AE$1000,$R$5:$R$1000,ROW(),$S$5:$S$1000,"Sub")/$AG220,AVERAGEIFS($W$5:$W$1000,$R$5:$R$1000,ROW(),$S$5:$S$1000,"Sub")),$W220))</f>
        <v/>
      </c>
      <c r="AB220" s="71">
        <f>IF($S220="","",IF(N($T220)&gt;0,IF(N($AG220)&gt;0,SUMIFS($AF$5:$AF$1000,$R$5:$R$1000,ROW(),$S$5:$S$1000,"Sub")/$AG220,AVERAGEIFS($X$5:$X$1000,$R$5:$R$1000,ROW(),$S$5:$S$1000,"Sub")),$X220))</f>
        <v/>
      </c>
      <c r="AC220" s="71">
        <f>IF($S220="Sub",N($F220)*N($U220),"")</f>
        <v/>
      </c>
      <c r="AD220" s="71">
        <f>IF($S220="Sub",N($F220)*N($V220),"")</f>
        <v/>
      </c>
      <c r="AE220" s="71">
        <f>IF($S220="Sub",N($F220)*N($W220),"")</f>
        <v/>
      </c>
      <c r="AF220" s="71">
        <f>IF($S220="Sub",N($F220)*N($X220),"")</f>
        <v/>
      </c>
      <c r="AG220" s="71">
        <f>IF(N($T220)&gt;0,SUMIFS($F$5:$F$1000,$R$5:$R$1000,ROW(),$S$5:$S$1000,"Sub"),"")</f>
        <v/>
      </c>
    </row>
    <row r="221">
      <c r="A221" s="62">
        <f>IF(NOT((COUNTA($B221:$J221)+COUNTA($N221))&gt;0),"",IF($S221="Macro",COUNTIFS($S$5:$S221,"Macro",$P$5:$P221,$P221),IF(N($R221)=0,"?",COUNTIFS(INDEX($S$5:$S$1000,1):INDEX($S$5:$S$1000,$R221-4),"Macro",INDEX($P$5:$P$1000,1):INDEX($P$5:$P$1000,$R221-4),INDEX($P$5:$P$1000,$R221-4))&amp;"."&amp;COUNTIFS($R$5:$R221,$R221,$S$5:$S221,"Sub"))))</f>
        <v/>
      </c>
      <c r="B221" s="63" t="n"/>
      <c r="C221" s="64" t="n"/>
      <c r="D221" s="65" t="n"/>
      <c r="E221" s="65" t="n"/>
      <c r="F221" s="66" t="n"/>
      <c r="G221" s="67" t="n"/>
      <c r="H221" s="67" t="n"/>
      <c r="I221" s="67" t="n"/>
      <c r="J221" s="67" t="n"/>
      <c r="K221" s="68">
        <f>IF(NOT((COUNTA($B221:$J221)+COUNTA($N221))&gt;0),"",IF(N($T221)&gt;0,$AB221,IFERROR(LOOKUP(2,1/(G221:J221&lt;&gt;""),G221:J221),0)))</f>
        <v/>
      </c>
      <c r="L221" s="62">
        <f>IF(K221="","",IF(K221&gt;=1,"Completado",IF(K221&gt;0,"En curso","Pendiente")))</f>
        <v/>
      </c>
      <c r="M221" s="62">
        <f>IF(NOT((COUNTA($B221:$J221)+COUNTA($N221))&gt;0),"",IF(N($K221)&gt;=1,"Cumplida",IF(NOT(ISNUMBER($E221)),"Sin fecha límite",IF($E221&lt;FechaRef,"Vencida hace "&amp;(FechaRef-$E221)&amp;IF(FechaRef-$E221=1," día"," días"),IF($E221=FechaRef,"Vence hoy",IF($E221-FechaRef&lt;=DiasAlerta,"Vence en "&amp;($E221-FechaRef)&amp;IF($E221-FechaRef=1," día"," días"),"En plazo"))))))</f>
        <v/>
      </c>
      <c r="N221" s="64" t="n"/>
      <c r="O221" s="69">
        <f>IF(NOT((COUNTA($B221:$J221)+COUNTA($N221))&gt;0),"",IF((IF($C221="","Falta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",""))="","✔ OK","⚠ "&amp;LEFT(IF($C221="","Falta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",""),LEN(IF($C221="","Falta el nombre de la actividad"&amp;" · ","")&amp;IF(AND($S221="Sub",N($R221)=0),"Subactividad sin macroactividad arriba"&amp;" · ","")&amp;IF($D221="","Sin fecha de inicio"&amp;" · ","")&amp;IF($E221="","Sin fecha límite"&amp;" · ","")&amp;IF(OR(AND($D221&lt;&gt;"",NOT(ISNUMBER($D221))),AND($E221&lt;&gt;"",NOT(ISNUMBER($E221)))),"Fecha no válida"&amp;" · ","")&amp;IF(AND(ISNUMBER($D221),ISNUMBER($E221),$D221&gt;$E221),"Inicio posterior a fecha límite"&amp;" · ","")&amp;IF(AND($S221="Macro",$F221=""),"Peso vacío"&amp;" · ","")&amp;IF(AND($S221="Macro",$F221&lt;&gt;"",OR(NOT(ISNUMBER($F221)),$F221&lt;=0,$F221&gt;1)),"Peso fuera de rango"&amp;" · ","")&amp;IF(AND($S221="Sub",$F221&lt;&gt;"",OR(NOT(ISNUMBER($F221)),$F221&lt;0,$F221&gt;1)),"Peso fuera de rango"&amp;" · ","")&amp;IF(AND($S221="Sub",$F221="",IFERROR(N(INDEX($AG$5:$AG$1000,$R221-4)),0)&gt;0),"Falta el peso de la subactividad"&amp;" · ","")&amp;IF(AND(N($T221)&gt;0,N($AG221)&gt;0,ABS(N($AG221)-N($F221))&gt;0.0001),"Pesos de sus subactividades suman "&amp;TEXT(N($AG221),"0%")&amp;" (deben sumar "&amp;TEXT(N($F221),"0%")&amp;")"&amp;" · ","")&amp;IF(AND($S221="Macro",ABS(SUMIFS($F$5:$F$1000,$P$5:$P$1000,$P221,$S$5:$S$1000,"Macro")-1)&gt;0.0001),"Pesos del mes suman "&amp;TEXT(SUMIFS($F$5:$F$1000,$P$5:$P$1000,$P221,$S$5:$S$1000,"Macro"),"0%")&amp;" · ","")&amp;IF(AND(N($T221)&gt;0,COUNT($G221:$J221)&gt;0),"Con subactividades: deje vacías las semanas (se calculan solas)"&amp;" · ","")&amp;IF((COUNTIF($G221:$J221,"&gt;1")+COUNTIF($G221:$J221,"&lt;0")+COUNTA($G221:$J221)-COUNT($G221:$J221))&gt;0,"Avance fuera de rango 0-100%"&amp;" · ","")&amp;IF(OR(AND($H221&lt;&gt;"",$H221&lt;$G221),AND($I221&lt;&gt;"",$I221&lt;MAX($G221:$H221)),AND($J221&lt;&gt;"",$J221&lt;MAX($G221:$I221))),"Avance semanal decreciente"&amp;" · ","")&amp;IF(AND(ISNUMBER($E221),$E221&lt;FechaRef,N($K221)&lt;1),"Vencida"&amp;" · ","")&amp;IF(AND(ObsObligatoria="Sí",ISNUMBER($E221),$E221&lt;FechaRef,N($K221)&lt;1,$N221=""),"Vencida sin observación"&amp;" · ",""))-3)))</f>
        <v/>
      </c>
      <c r="P221" s="70">
        <f>IF(NOT((COUNTA($B221:$J221)+COUNTA($N221))&gt;0),"",IF(AND($S221="Sub",N($R221)&gt;0),IF(ISNUMBER(INDEX($D$5:$D$1000,$R221-4)),DATE(YEAR(INDEX($D$5:$D$1000,$R221-4)),MONTH(INDEX($D$5:$D$1000,$R221-4)),1),IF(ISNUMBER(INDEX($E$5:$E$1000,$R221-4)),DATE(YEAR(INDEX($E$5:$E$1000,$R221-4)),MONTH(INDEX($E$5:$E$1000,$R221-4)),1),MesCiclo)),IF(ISNUMBER($D221),DATE(YEAR($D221),MONTH($D221),1),IF(ISNUMBER($E221),DATE(YEAR($E221),MONTH($E221),1),MesCiclo))))</f>
        <v/>
      </c>
      <c r="Q221" s="71">
        <f>IF(OR($P221="",$P221&lt;&gt;MesCiclo),"",COUNTIF($P$5:$P221,MesCiclo))</f>
        <v/>
      </c>
      <c r="R221" s="71">
        <f>IF($S221="","",IF($S221="Macro",ROW(),IFERROR(LOOKUP(2,1/($S$5:$S221="Macro"),ROW($S$5:$S221)),0)))</f>
        <v/>
      </c>
      <c r="S221" s="71">
        <f>IF(NOT((COUNTA($B221:$J221)+COUNTA($N221))&gt;0),"",IF($B221="Subactividad","Sub","Macro"))</f>
        <v/>
      </c>
      <c r="T221" s="71">
        <f>IF($S221="Macro",COUNTIFS($R$5:$R$1000,ROW(),$S$5:$S$1000,"Sub"),"")</f>
        <v/>
      </c>
      <c r="U221" s="71">
        <f>IF($S221="","",IF(ISNUMBER($G221),$G221,0))</f>
        <v/>
      </c>
      <c r="V221" s="71">
        <f>IF($S221="","",IF(ISNUMBER($H221),$H221,$U221))</f>
        <v/>
      </c>
      <c r="W221" s="71">
        <f>IF($S221="","",IF(ISNUMBER($I221),$I221,$V221))</f>
        <v/>
      </c>
      <c r="X221" s="71">
        <f>IF($S221="","",IF(ISNUMBER($J221),$J221,$W221))</f>
        <v/>
      </c>
      <c r="Y221" s="71">
        <f>IF($S221="","",IF(N($T221)&gt;0,IF(N($AG221)&gt;0,SUMIFS($AC$5:$AC$1000,$R$5:$R$1000,ROW(),$S$5:$S$1000,"Sub")/$AG221,AVERAGEIFS($U$5:$U$1000,$R$5:$R$1000,ROW(),$S$5:$S$1000,"Sub")),$U221))</f>
        <v/>
      </c>
      <c r="Z221" s="71">
        <f>IF($S221="","",IF(N($T221)&gt;0,IF(N($AG221)&gt;0,SUMIFS($AD$5:$AD$1000,$R$5:$R$1000,ROW(),$S$5:$S$1000,"Sub")/$AG221,AVERAGEIFS($V$5:$V$1000,$R$5:$R$1000,ROW(),$S$5:$S$1000,"Sub")),$V221))</f>
        <v/>
      </c>
      <c r="AA221" s="71">
        <f>IF($S221="","",IF(N($T221)&gt;0,IF(N($AG221)&gt;0,SUMIFS($AE$5:$AE$1000,$R$5:$R$1000,ROW(),$S$5:$S$1000,"Sub")/$AG221,AVERAGEIFS($W$5:$W$1000,$R$5:$R$1000,ROW(),$S$5:$S$1000,"Sub")),$W221))</f>
        <v/>
      </c>
      <c r="AB221" s="71">
        <f>IF($S221="","",IF(N($T221)&gt;0,IF(N($AG221)&gt;0,SUMIFS($AF$5:$AF$1000,$R$5:$R$1000,ROW(),$S$5:$S$1000,"Sub")/$AG221,AVERAGEIFS($X$5:$X$1000,$R$5:$R$1000,ROW(),$S$5:$S$1000,"Sub")),$X221))</f>
        <v/>
      </c>
      <c r="AC221" s="71">
        <f>IF($S221="Sub",N($F221)*N($U221),"")</f>
        <v/>
      </c>
      <c r="AD221" s="71">
        <f>IF($S221="Sub",N($F221)*N($V221),"")</f>
        <v/>
      </c>
      <c r="AE221" s="71">
        <f>IF($S221="Sub",N($F221)*N($W221),"")</f>
        <v/>
      </c>
      <c r="AF221" s="71">
        <f>IF($S221="Sub",N($F221)*N($X221),"")</f>
        <v/>
      </c>
      <c r="AG221" s="71">
        <f>IF(N($T221)&gt;0,SUMIFS($F$5:$F$1000,$R$5:$R$1000,ROW(),$S$5:$S$1000,"Sub"),"")</f>
        <v/>
      </c>
    </row>
    <row r="222">
      <c r="A222" s="62">
        <f>IF(NOT((COUNTA($B222:$J222)+COUNTA($N222))&gt;0),"",IF($S222="Macro",COUNTIFS($S$5:$S222,"Macro",$P$5:$P222,$P222),IF(N($R222)=0,"?",COUNTIFS(INDEX($S$5:$S$1000,1):INDEX($S$5:$S$1000,$R222-4),"Macro",INDEX($P$5:$P$1000,1):INDEX($P$5:$P$1000,$R222-4),INDEX($P$5:$P$1000,$R222-4))&amp;"."&amp;COUNTIFS($R$5:$R222,$R222,$S$5:$S222,"Sub"))))</f>
        <v/>
      </c>
      <c r="B222" s="63" t="n"/>
      <c r="C222" s="64" t="n"/>
      <c r="D222" s="65" t="n"/>
      <c r="E222" s="65" t="n"/>
      <c r="F222" s="66" t="n"/>
      <c r="G222" s="67" t="n"/>
      <c r="H222" s="67" t="n"/>
      <c r="I222" s="67" t="n"/>
      <c r="J222" s="67" t="n"/>
      <c r="K222" s="68">
        <f>IF(NOT((COUNTA($B222:$J222)+COUNTA($N222))&gt;0),"",IF(N($T222)&gt;0,$AB222,IFERROR(LOOKUP(2,1/(G222:J222&lt;&gt;""),G222:J222),0)))</f>
        <v/>
      </c>
      <c r="L222" s="62">
        <f>IF(K222="","",IF(K222&gt;=1,"Completado",IF(K222&gt;0,"En curso","Pendiente")))</f>
        <v/>
      </c>
      <c r="M222" s="62">
        <f>IF(NOT((COUNTA($B222:$J222)+COUNTA($N222))&gt;0),"",IF(N($K222)&gt;=1,"Cumplida",IF(NOT(ISNUMBER($E222)),"Sin fecha límite",IF($E222&lt;FechaRef,"Vencida hace "&amp;(FechaRef-$E222)&amp;IF(FechaRef-$E222=1," día"," días"),IF($E222=FechaRef,"Vence hoy",IF($E222-FechaRef&lt;=DiasAlerta,"Vence en "&amp;($E222-FechaRef)&amp;IF($E222-FechaRef=1," día"," días"),"En plazo"))))))</f>
        <v/>
      </c>
      <c r="N222" s="64" t="n"/>
      <c r="O222" s="69">
        <f>IF(NOT((COUNTA($B222:$J222)+COUNTA($N222))&gt;0),"",IF((IF($C222="","Falta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",""))="","✔ OK","⚠ "&amp;LEFT(IF($C222="","Falta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",""),LEN(IF($C222="","Falta el nombre de la actividad"&amp;" · ","")&amp;IF(AND($S222="Sub",N($R222)=0),"Subactividad sin macroactividad arriba"&amp;" · ","")&amp;IF($D222="","Sin fecha de inicio"&amp;" · ","")&amp;IF($E222="","Sin fecha límite"&amp;" · ","")&amp;IF(OR(AND($D222&lt;&gt;"",NOT(ISNUMBER($D222))),AND($E222&lt;&gt;"",NOT(ISNUMBER($E222)))),"Fecha no válida"&amp;" · ","")&amp;IF(AND(ISNUMBER($D222),ISNUMBER($E222),$D222&gt;$E222),"Inicio posterior a fecha límite"&amp;" · ","")&amp;IF(AND($S222="Macro",$F222=""),"Peso vacío"&amp;" · ","")&amp;IF(AND($S222="Macro",$F222&lt;&gt;"",OR(NOT(ISNUMBER($F222)),$F222&lt;=0,$F222&gt;1)),"Peso fuera de rango"&amp;" · ","")&amp;IF(AND($S222="Sub",$F222&lt;&gt;"",OR(NOT(ISNUMBER($F222)),$F222&lt;0,$F222&gt;1)),"Peso fuera de rango"&amp;" · ","")&amp;IF(AND($S222="Sub",$F222="",IFERROR(N(INDEX($AG$5:$AG$1000,$R222-4)),0)&gt;0),"Falta el peso de la subactividad"&amp;" · ","")&amp;IF(AND(N($T222)&gt;0,N($AG222)&gt;0,ABS(N($AG222)-N($F222))&gt;0.0001),"Pesos de sus subactividades suman "&amp;TEXT(N($AG222),"0%")&amp;" (deben sumar "&amp;TEXT(N($F222),"0%")&amp;")"&amp;" · ","")&amp;IF(AND($S222="Macro",ABS(SUMIFS($F$5:$F$1000,$P$5:$P$1000,$P222,$S$5:$S$1000,"Macro")-1)&gt;0.0001),"Pesos del mes suman "&amp;TEXT(SUMIFS($F$5:$F$1000,$P$5:$P$1000,$P222,$S$5:$S$1000,"Macro"),"0%")&amp;" · ","")&amp;IF(AND(N($T222)&gt;0,COUNT($G222:$J222)&gt;0),"Con subactividades: deje vacías las semanas (se calculan solas)"&amp;" · ","")&amp;IF((COUNTIF($G222:$J222,"&gt;1")+COUNTIF($G222:$J222,"&lt;0")+COUNTA($G222:$J222)-COUNT($G222:$J222))&gt;0,"Avance fuera de rango 0-100%"&amp;" · ","")&amp;IF(OR(AND($H222&lt;&gt;"",$H222&lt;$G222),AND($I222&lt;&gt;"",$I222&lt;MAX($G222:$H222)),AND($J222&lt;&gt;"",$J222&lt;MAX($G222:$I222))),"Avance semanal decreciente"&amp;" · ","")&amp;IF(AND(ISNUMBER($E222),$E222&lt;FechaRef,N($K222)&lt;1),"Vencida"&amp;" · ","")&amp;IF(AND(ObsObligatoria="Sí",ISNUMBER($E222),$E222&lt;FechaRef,N($K222)&lt;1,$N222=""),"Vencida sin observación"&amp;" · ",""))-3)))</f>
        <v/>
      </c>
      <c r="P222" s="70">
        <f>IF(NOT((COUNTA($B222:$J222)+COUNTA($N222))&gt;0),"",IF(AND($S222="Sub",N($R222)&gt;0),IF(ISNUMBER(INDEX($D$5:$D$1000,$R222-4)),DATE(YEAR(INDEX($D$5:$D$1000,$R222-4)),MONTH(INDEX($D$5:$D$1000,$R222-4)),1),IF(ISNUMBER(INDEX($E$5:$E$1000,$R222-4)),DATE(YEAR(INDEX($E$5:$E$1000,$R222-4)),MONTH(INDEX($E$5:$E$1000,$R222-4)),1),MesCiclo)),IF(ISNUMBER($D222),DATE(YEAR($D222),MONTH($D222),1),IF(ISNUMBER($E222),DATE(YEAR($E222),MONTH($E222),1),MesCiclo))))</f>
        <v/>
      </c>
      <c r="Q222" s="71">
        <f>IF(OR($P222="",$P222&lt;&gt;MesCiclo),"",COUNTIF($P$5:$P222,MesCiclo))</f>
        <v/>
      </c>
      <c r="R222" s="71">
        <f>IF($S222="","",IF($S222="Macro",ROW(),IFERROR(LOOKUP(2,1/($S$5:$S222="Macro"),ROW($S$5:$S222)),0)))</f>
        <v/>
      </c>
      <c r="S222" s="71">
        <f>IF(NOT((COUNTA($B222:$J222)+COUNTA($N222))&gt;0),"",IF($B222="Subactividad","Sub","Macro"))</f>
        <v/>
      </c>
      <c r="T222" s="71">
        <f>IF($S222="Macro",COUNTIFS($R$5:$R$1000,ROW(),$S$5:$S$1000,"Sub"),"")</f>
        <v/>
      </c>
      <c r="U222" s="71">
        <f>IF($S222="","",IF(ISNUMBER($G222),$G222,0))</f>
        <v/>
      </c>
      <c r="V222" s="71">
        <f>IF($S222="","",IF(ISNUMBER($H222),$H222,$U222))</f>
        <v/>
      </c>
      <c r="W222" s="71">
        <f>IF($S222="","",IF(ISNUMBER($I222),$I222,$V222))</f>
        <v/>
      </c>
      <c r="X222" s="71">
        <f>IF($S222="","",IF(ISNUMBER($J222),$J222,$W222))</f>
        <v/>
      </c>
      <c r="Y222" s="71">
        <f>IF($S222="","",IF(N($T222)&gt;0,IF(N($AG222)&gt;0,SUMIFS($AC$5:$AC$1000,$R$5:$R$1000,ROW(),$S$5:$S$1000,"Sub")/$AG222,AVERAGEIFS($U$5:$U$1000,$R$5:$R$1000,ROW(),$S$5:$S$1000,"Sub")),$U222))</f>
        <v/>
      </c>
      <c r="Z222" s="71">
        <f>IF($S222="","",IF(N($T222)&gt;0,IF(N($AG222)&gt;0,SUMIFS($AD$5:$AD$1000,$R$5:$R$1000,ROW(),$S$5:$S$1000,"Sub")/$AG222,AVERAGEIFS($V$5:$V$1000,$R$5:$R$1000,ROW(),$S$5:$S$1000,"Sub")),$V222))</f>
        <v/>
      </c>
      <c r="AA222" s="71">
        <f>IF($S222="","",IF(N($T222)&gt;0,IF(N($AG222)&gt;0,SUMIFS($AE$5:$AE$1000,$R$5:$R$1000,ROW(),$S$5:$S$1000,"Sub")/$AG222,AVERAGEIFS($W$5:$W$1000,$R$5:$R$1000,ROW(),$S$5:$S$1000,"Sub")),$W222))</f>
        <v/>
      </c>
      <c r="AB222" s="71">
        <f>IF($S222="","",IF(N($T222)&gt;0,IF(N($AG222)&gt;0,SUMIFS($AF$5:$AF$1000,$R$5:$R$1000,ROW(),$S$5:$S$1000,"Sub")/$AG222,AVERAGEIFS($X$5:$X$1000,$R$5:$R$1000,ROW(),$S$5:$S$1000,"Sub")),$X222))</f>
        <v/>
      </c>
      <c r="AC222" s="71">
        <f>IF($S222="Sub",N($F222)*N($U222),"")</f>
        <v/>
      </c>
      <c r="AD222" s="71">
        <f>IF($S222="Sub",N($F222)*N($V222),"")</f>
        <v/>
      </c>
      <c r="AE222" s="71">
        <f>IF($S222="Sub",N($F222)*N($W222),"")</f>
        <v/>
      </c>
      <c r="AF222" s="71">
        <f>IF($S222="Sub",N($F222)*N($X222),"")</f>
        <v/>
      </c>
      <c r="AG222" s="71">
        <f>IF(N($T222)&gt;0,SUMIFS($F$5:$F$1000,$R$5:$R$1000,ROW(),$S$5:$S$1000,"Sub"),"")</f>
        <v/>
      </c>
    </row>
    <row r="223">
      <c r="A223" s="62">
        <f>IF(NOT((COUNTA($B223:$J223)+COUNTA($N223))&gt;0),"",IF($S223="Macro",COUNTIFS($S$5:$S223,"Macro",$P$5:$P223,$P223),IF(N($R223)=0,"?",COUNTIFS(INDEX($S$5:$S$1000,1):INDEX($S$5:$S$1000,$R223-4),"Macro",INDEX($P$5:$P$1000,1):INDEX($P$5:$P$1000,$R223-4),INDEX($P$5:$P$1000,$R223-4))&amp;"."&amp;COUNTIFS($R$5:$R223,$R223,$S$5:$S223,"Sub"))))</f>
        <v/>
      </c>
      <c r="B223" s="63" t="n"/>
      <c r="C223" s="64" t="n"/>
      <c r="D223" s="65" t="n"/>
      <c r="E223" s="65" t="n"/>
      <c r="F223" s="66" t="n"/>
      <c r="G223" s="67" t="n"/>
      <c r="H223" s="67" t="n"/>
      <c r="I223" s="67" t="n"/>
      <c r="J223" s="67" t="n"/>
      <c r="K223" s="68">
        <f>IF(NOT((COUNTA($B223:$J223)+COUNTA($N223))&gt;0),"",IF(N($T223)&gt;0,$AB223,IFERROR(LOOKUP(2,1/(G223:J223&lt;&gt;""),G223:J223),0)))</f>
        <v/>
      </c>
      <c r="L223" s="62">
        <f>IF(K223="","",IF(K223&gt;=1,"Completado",IF(K223&gt;0,"En curso","Pendiente")))</f>
        <v/>
      </c>
      <c r="M223" s="62">
        <f>IF(NOT((COUNTA($B223:$J223)+COUNTA($N223))&gt;0),"",IF(N($K223)&gt;=1,"Cumplida",IF(NOT(ISNUMBER($E223)),"Sin fecha límite",IF($E223&lt;FechaRef,"Vencida hace "&amp;(FechaRef-$E223)&amp;IF(FechaRef-$E223=1," día"," días"),IF($E223=FechaRef,"Vence hoy",IF($E223-FechaRef&lt;=DiasAlerta,"Vence en "&amp;($E223-FechaRef)&amp;IF($E223-FechaRef=1," día"," días"),"En plazo"))))))</f>
        <v/>
      </c>
      <c r="N223" s="64" t="n"/>
      <c r="O223" s="69">
        <f>IF(NOT((COUNTA($B223:$J223)+COUNTA($N223))&gt;0),"",IF((IF($C223="","Falta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",""))="","✔ OK","⚠ "&amp;LEFT(IF($C223="","Falta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",""),LEN(IF($C223="","Falta el nombre de la actividad"&amp;" · ","")&amp;IF(AND($S223="Sub",N($R223)=0),"Subactividad sin macroactividad arriba"&amp;" · ","")&amp;IF($D223="","Sin fecha de inicio"&amp;" · ","")&amp;IF($E223="","Sin fecha límite"&amp;" · ","")&amp;IF(OR(AND($D223&lt;&gt;"",NOT(ISNUMBER($D223))),AND($E223&lt;&gt;"",NOT(ISNUMBER($E223)))),"Fecha no válida"&amp;" · ","")&amp;IF(AND(ISNUMBER($D223),ISNUMBER($E223),$D223&gt;$E223),"Inicio posterior a fecha límite"&amp;" · ","")&amp;IF(AND($S223="Macro",$F223=""),"Peso vacío"&amp;" · ","")&amp;IF(AND($S223="Macro",$F223&lt;&gt;"",OR(NOT(ISNUMBER($F223)),$F223&lt;=0,$F223&gt;1)),"Peso fuera de rango"&amp;" · ","")&amp;IF(AND($S223="Sub",$F223&lt;&gt;"",OR(NOT(ISNUMBER($F223)),$F223&lt;0,$F223&gt;1)),"Peso fuera de rango"&amp;" · ","")&amp;IF(AND($S223="Sub",$F223="",IFERROR(N(INDEX($AG$5:$AG$1000,$R223-4)),0)&gt;0),"Falta el peso de la subactividad"&amp;" · ","")&amp;IF(AND(N($T223)&gt;0,N($AG223)&gt;0,ABS(N($AG223)-N($F223))&gt;0.0001),"Pesos de sus subactividades suman "&amp;TEXT(N($AG223),"0%")&amp;" (deben sumar "&amp;TEXT(N($F223),"0%")&amp;")"&amp;" · ","")&amp;IF(AND($S223="Macro",ABS(SUMIFS($F$5:$F$1000,$P$5:$P$1000,$P223,$S$5:$S$1000,"Macro")-1)&gt;0.0001),"Pesos del mes suman "&amp;TEXT(SUMIFS($F$5:$F$1000,$P$5:$P$1000,$P223,$S$5:$S$1000,"Macro"),"0%")&amp;" · ","")&amp;IF(AND(N($T223)&gt;0,COUNT($G223:$J223)&gt;0),"Con subactividades: deje vacías las semanas (se calculan solas)"&amp;" · ","")&amp;IF((COUNTIF($G223:$J223,"&gt;1")+COUNTIF($G223:$J223,"&lt;0")+COUNTA($G223:$J223)-COUNT($G223:$J223))&gt;0,"Avance fuera de rango 0-100%"&amp;" · ","")&amp;IF(OR(AND($H223&lt;&gt;"",$H223&lt;$G223),AND($I223&lt;&gt;"",$I223&lt;MAX($G223:$H223)),AND($J223&lt;&gt;"",$J223&lt;MAX($G223:$I223))),"Avance semanal decreciente"&amp;" · ","")&amp;IF(AND(ISNUMBER($E223),$E223&lt;FechaRef,N($K223)&lt;1),"Vencida"&amp;" · ","")&amp;IF(AND(ObsObligatoria="Sí",ISNUMBER($E223),$E223&lt;FechaRef,N($K223)&lt;1,$N223=""),"Vencida sin observación"&amp;" · ",""))-3)))</f>
        <v/>
      </c>
      <c r="P223" s="70">
        <f>IF(NOT((COUNTA($B223:$J223)+COUNTA($N223))&gt;0),"",IF(AND($S223="Sub",N($R223)&gt;0),IF(ISNUMBER(INDEX($D$5:$D$1000,$R223-4)),DATE(YEAR(INDEX($D$5:$D$1000,$R223-4)),MONTH(INDEX($D$5:$D$1000,$R223-4)),1),IF(ISNUMBER(INDEX($E$5:$E$1000,$R223-4)),DATE(YEAR(INDEX($E$5:$E$1000,$R223-4)),MONTH(INDEX($E$5:$E$1000,$R223-4)),1),MesCiclo)),IF(ISNUMBER($D223),DATE(YEAR($D223),MONTH($D223),1),IF(ISNUMBER($E223),DATE(YEAR($E223),MONTH($E223),1),MesCiclo))))</f>
        <v/>
      </c>
      <c r="Q223" s="71">
        <f>IF(OR($P223="",$P223&lt;&gt;MesCiclo),"",COUNTIF($P$5:$P223,MesCiclo))</f>
        <v/>
      </c>
      <c r="R223" s="71">
        <f>IF($S223="","",IF($S223="Macro",ROW(),IFERROR(LOOKUP(2,1/($S$5:$S223="Macro"),ROW($S$5:$S223)),0)))</f>
        <v/>
      </c>
      <c r="S223" s="71">
        <f>IF(NOT((COUNTA($B223:$J223)+COUNTA($N223))&gt;0),"",IF($B223="Subactividad","Sub","Macro"))</f>
        <v/>
      </c>
      <c r="T223" s="71">
        <f>IF($S223="Macro",COUNTIFS($R$5:$R$1000,ROW(),$S$5:$S$1000,"Sub"),"")</f>
        <v/>
      </c>
      <c r="U223" s="71">
        <f>IF($S223="","",IF(ISNUMBER($G223),$G223,0))</f>
        <v/>
      </c>
      <c r="V223" s="71">
        <f>IF($S223="","",IF(ISNUMBER($H223),$H223,$U223))</f>
        <v/>
      </c>
      <c r="W223" s="71">
        <f>IF($S223="","",IF(ISNUMBER($I223),$I223,$V223))</f>
        <v/>
      </c>
      <c r="X223" s="71">
        <f>IF($S223="","",IF(ISNUMBER($J223),$J223,$W223))</f>
        <v/>
      </c>
      <c r="Y223" s="71">
        <f>IF($S223="","",IF(N($T223)&gt;0,IF(N($AG223)&gt;0,SUMIFS($AC$5:$AC$1000,$R$5:$R$1000,ROW(),$S$5:$S$1000,"Sub")/$AG223,AVERAGEIFS($U$5:$U$1000,$R$5:$R$1000,ROW(),$S$5:$S$1000,"Sub")),$U223))</f>
        <v/>
      </c>
      <c r="Z223" s="71">
        <f>IF($S223="","",IF(N($T223)&gt;0,IF(N($AG223)&gt;0,SUMIFS($AD$5:$AD$1000,$R$5:$R$1000,ROW(),$S$5:$S$1000,"Sub")/$AG223,AVERAGEIFS($V$5:$V$1000,$R$5:$R$1000,ROW(),$S$5:$S$1000,"Sub")),$V223))</f>
        <v/>
      </c>
      <c r="AA223" s="71">
        <f>IF($S223="","",IF(N($T223)&gt;0,IF(N($AG223)&gt;0,SUMIFS($AE$5:$AE$1000,$R$5:$R$1000,ROW(),$S$5:$S$1000,"Sub")/$AG223,AVERAGEIFS($W$5:$W$1000,$R$5:$R$1000,ROW(),$S$5:$S$1000,"Sub")),$W223))</f>
        <v/>
      </c>
      <c r="AB223" s="71">
        <f>IF($S223="","",IF(N($T223)&gt;0,IF(N($AG223)&gt;0,SUMIFS($AF$5:$AF$1000,$R$5:$R$1000,ROW(),$S$5:$S$1000,"Sub")/$AG223,AVERAGEIFS($X$5:$X$1000,$R$5:$R$1000,ROW(),$S$5:$S$1000,"Sub")),$X223))</f>
        <v/>
      </c>
      <c r="AC223" s="71">
        <f>IF($S223="Sub",N($F223)*N($U223),"")</f>
        <v/>
      </c>
      <c r="AD223" s="71">
        <f>IF($S223="Sub",N($F223)*N($V223),"")</f>
        <v/>
      </c>
      <c r="AE223" s="71">
        <f>IF($S223="Sub",N($F223)*N($W223),"")</f>
        <v/>
      </c>
      <c r="AF223" s="71">
        <f>IF($S223="Sub",N($F223)*N($X223),"")</f>
        <v/>
      </c>
      <c r="AG223" s="71">
        <f>IF(N($T223)&gt;0,SUMIFS($F$5:$F$1000,$R$5:$R$1000,ROW(),$S$5:$S$1000,"Sub"),"")</f>
        <v/>
      </c>
    </row>
    <row r="224">
      <c r="A224" s="62">
        <f>IF(NOT((COUNTA($B224:$J224)+COUNTA($N224))&gt;0),"",IF($S224="Macro",COUNTIFS($S$5:$S224,"Macro",$P$5:$P224,$P224),IF(N($R224)=0,"?",COUNTIFS(INDEX($S$5:$S$1000,1):INDEX($S$5:$S$1000,$R224-4),"Macro",INDEX($P$5:$P$1000,1):INDEX($P$5:$P$1000,$R224-4),INDEX($P$5:$P$1000,$R224-4))&amp;"."&amp;COUNTIFS($R$5:$R224,$R224,$S$5:$S224,"Sub"))))</f>
        <v/>
      </c>
      <c r="B224" s="63" t="n"/>
      <c r="C224" s="64" t="n"/>
      <c r="D224" s="65" t="n"/>
      <c r="E224" s="65" t="n"/>
      <c r="F224" s="66" t="n"/>
      <c r="G224" s="67" t="n"/>
      <c r="H224" s="67" t="n"/>
      <c r="I224" s="67" t="n"/>
      <c r="J224" s="67" t="n"/>
      <c r="K224" s="68">
        <f>IF(NOT((COUNTA($B224:$J224)+COUNTA($N224))&gt;0),"",IF(N($T224)&gt;0,$AB224,IFERROR(LOOKUP(2,1/(G224:J224&lt;&gt;""),G224:J224),0)))</f>
        <v/>
      </c>
      <c r="L224" s="62">
        <f>IF(K224="","",IF(K224&gt;=1,"Completado",IF(K224&gt;0,"En curso","Pendiente")))</f>
        <v/>
      </c>
      <c r="M224" s="62">
        <f>IF(NOT((COUNTA($B224:$J224)+COUNTA($N224))&gt;0),"",IF(N($K224)&gt;=1,"Cumplida",IF(NOT(ISNUMBER($E224)),"Sin fecha límite",IF($E224&lt;FechaRef,"Vencida hace "&amp;(FechaRef-$E224)&amp;IF(FechaRef-$E224=1," día"," días"),IF($E224=FechaRef,"Vence hoy",IF($E224-FechaRef&lt;=DiasAlerta,"Vence en "&amp;($E224-FechaRef)&amp;IF($E224-FechaRef=1," día"," días"),"En plazo"))))))</f>
        <v/>
      </c>
      <c r="N224" s="64" t="n"/>
      <c r="O224" s="69">
        <f>IF(NOT((COUNTA($B224:$J224)+COUNTA($N224))&gt;0),"",IF((IF($C224="","Falta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",""))="","✔ OK","⚠ "&amp;LEFT(IF($C224="","Falta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",""),LEN(IF($C224="","Falta el nombre de la actividad"&amp;" · ","")&amp;IF(AND($S224="Sub",N($R224)=0),"Subactividad sin macroactividad arriba"&amp;" · ","")&amp;IF($D224="","Sin fecha de inicio"&amp;" · ","")&amp;IF($E224="","Sin fecha límite"&amp;" · ","")&amp;IF(OR(AND($D224&lt;&gt;"",NOT(ISNUMBER($D224))),AND($E224&lt;&gt;"",NOT(ISNUMBER($E224)))),"Fecha no válida"&amp;" · ","")&amp;IF(AND(ISNUMBER($D224),ISNUMBER($E224),$D224&gt;$E224),"Inicio posterior a fecha límite"&amp;" · ","")&amp;IF(AND($S224="Macro",$F224=""),"Peso vacío"&amp;" · ","")&amp;IF(AND($S224="Macro",$F224&lt;&gt;"",OR(NOT(ISNUMBER($F224)),$F224&lt;=0,$F224&gt;1)),"Peso fuera de rango"&amp;" · ","")&amp;IF(AND($S224="Sub",$F224&lt;&gt;"",OR(NOT(ISNUMBER($F224)),$F224&lt;0,$F224&gt;1)),"Peso fuera de rango"&amp;" · ","")&amp;IF(AND($S224="Sub",$F224="",IFERROR(N(INDEX($AG$5:$AG$1000,$R224-4)),0)&gt;0),"Falta el peso de la subactividad"&amp;" · ","")&amp;IF(AND(N($T224)&gt;0,N($AG224)&gt;0,ABS(N($AG224)-N($F224))&gt;0.0001),"Pesos de sus subactividades suman "&amp;TEXT(N($AG224),"0%")&amp;" (deben sumar "&amp;TEXT(N($F224),"0%")&amp;")"&amp;" · ","")&amp;IF(AND($S224="Macro",ABS(SUMIFS($F$5:$F$1000,$P$5:$P$1000,$P224,$S$5:$S$1000,"Macro")-1)&gt;0.0001),"Pesos del mes suman "&amp;TEXT(SUMIFS($F$5:$F$1000,$P$5:$P$1000,$P224,$S$5:$S$1000,"Macro"),"0%")&amp;" · ","")&amp;IF(AND(N($T224)&gt;0,COUNT($G224:$J224)&gt;0),"Con subactividades: deje vacías las semanas (se calculan solas)"&amp;" · ","")&amp;IF((COUNTIF($G224:$J224,"&gt;1")+COUNTIF($G224:$J224,"&lt;0")+COUNTA($G224:$J224)-COUNT($G224:$J224))&gt;0,"Avance fuera de rango 0-100%"&amp;" · ","")&amp;IF(OR(AND($H224&lt;&gt;"",$H224&lt;$G224),AND($I224&lt;&gt;"",$I224&lt;MAX($G224:$H224)),AND($J224&lt;&gt;"",$J224&lt;MAX($G224:$I224))),"Avance semanal decreciente"&amp;" · ","")&amp;IF(AND(ISNUMBER($E224),$E224&lt;FechaRef,N($K224)&lt;1),"Vencida"&amp;" · ","")&amp;IF(AND(ObsObligatoria="Sí",ISNUMBER($E224),$E224&lt;FechaRef,N($K224)&lt;1,$N224=""),"Vencida sin observación"&amp;" · ",""))-3)))</f>
        <v/>
      </c>
      <c r="P224" s="70">
        <f>IF(NOT((COUNTA($B224:$J224)+COUNTA($N224))&gt;0),"",IF(AND($S224="Sub",N($R224)&gt;0),IF(ISNUMBER(INDEX($D$5:$D$1000,$R224-4)),DATE(YEAR(INDEX($D$5:$D$1000,$R224-4)),MONTH(INDEX($D$5:$D$1000,$R224-4)),1),IF(ISNUMBER(INDEX($E$5:$E$1000,$R224-4)),DATE(YEAR(INDEX($E$5:$E$1000,$R224-4)),MONTH(INDEX($E$5:$E$1000,$R224-4)),1),MesCiclo)),IF(ISNUMBER($D224),DATE(YEAR($D224),MONTH($D224),1),IF(ISNUMBER($E224),DATE(YEAR($E224),MONTH($E224),1),MesCiclo))))</f>
        <v/>
      </c>
      <c r="Q224" s="71">
        <f>IF(OR($P224="",$P224&lt;&gt;MesCiclo),"",COUNTIF($P$5:$P224,MesCiclo))</f>
        <v/>
      </c>
      <c r="R224" s="71">
        <f>IF($S224="","",IF($S224="Macro",ROW(),IFERROR(LOOKUP(2,1/($S$5:$S224="Macro"),ROW($S$5:$S224)),0)))</f>
        <v/>
      </c>
      <c r="S224" s="71">
        <f>IF(NOT((COUNTA($B224:$J224)+COUNTA($N224))&gt;0),"",IF($B224="Subactividad","Sub","Macro"))</f>
        <v/>
      </c>
      <c r="T224" s="71">
        <f>IF($S224="Macro",COUNTIFS($R$5:$R$1000,ROW(),$S$5:$S$1000,"Sub"),"")</f>
        <v/>
      </c>
      <c r="U224" s="71">
        <f>IF($S224="","",IF(ISNUMBER($G224),$G224,0))</f>
        <v/>
      </c>
      <c r="V224" s="71">
        <f>IF($S224="","",IF(ISNUMBER($H224),$H224,$U224))</f>
        <v/>
      </c>
      <c r="W224" s="71">
        <f>IF($S224="","",IF(ISNUMBER($I224),$I224,$V224))</f>
        <v/>
      </c>
      <c r="X224" s="71">
        <f>IF($S224="","",IF(ISNUMBER($J224),$J224,$W224))</f>
        <v/>
      </c>
      <c r="Y224" s="71">
        <f>IF($S224="","",IF(N($T224)&gt;0,IF(N($AG224)&gt;0,SUMIFS($AC$5:$AC$1000,$R$5:$R$1000,ROW(),$S$5:$S$1000,"Sub")/$AG224,AVERAGEIFS($U$5:$U$1000,$R$5:$R$1000,ROW(),$S$5:$S$1000,"Sub")),$U224))</f>
        <v/>
      </c>
      <c r="Z224" s="71">
        <f>IF($S224="","",IF(N($T224)&gt;0,IF(N($AG224)&gt;0,SUMIFS($AD$5:$AD$1000,$R$5:$R$1000,ROW(),$S$5:$S$1000,"Sub")/$AG224,AVERAGEIFS($V$5:$V$1000,$R$5:$R$1000,ROW(),$S$5:$S$1000,"Sub")),$V224))</f>
        <v/>
      </c>
      <c r="AA224" s="71">
        <f>IF($S224="","",IF(N($T224)&gt;0,IF(N($AG224)&gt;0,SUMIFS($AE$5:$AE$1000,$R$5:$R$1000,ROW(),$S$5:$S$1000,"Sub")/$AG224,AVERAGEIFS($W$5:$W$1000,$R$5:$R$1000,ROW(),$S$5:$S$1000,"Sub")),$W224))</f>
        <v/>
      </c>
      <c r="AB224" s="71">
        <f>IF($S224="","",IF(N($T224)&gt;0,IF(N($AG224)&gt;0,SUMIFS($AF$5:$AF$1000,$R$5:$R$1000,ROW(),$S$5:$S$1000,"Sub")/$AG224,AVERAGEIFS($X$5:$X$1000,$R$5:$R$1000,ROW(),$S$5:$S$1000,"Sub")),$X224))</f>
        <v/>
      </c>
      <c r="AC224" s="71">
        <f>IF($S224="Sub",N($F224)*N($U224),"")</f>
        <v/>
      </c>
      <c r="AD224" s="71">
        <f>IF($S224="Sub",N($F224)*N($V224),"")</f>
        <v/>
      </c>
      <c r="AE224" s="71">
        <f>IF($S224="Sub",N($F224)*N($W224),"")</f>
        <v/>
      </c>
      <c r="AF224" s="71">
        <f>IF($S224="Sub",N($F224)*N($X224),"")</f>
        <v/>
      </c>
      <c r="AG224" s="71">
        <f>IF(N($T224)&gt;0,SUMIFS($F$5:$F$1000,$R$5:$R$1000,ROW(),$S$5:$S$1000,"Sub"),"")</f>
        <v/>
      </c>
    </row>
    <row r="225">
      <c r="A225" s="62">
        <f>IF(NOT((COUNTA($B225:$J225)+COUNTA($N225))&gt;0),"",IF($S225="Macro",COUNTIFS($S$5:$S225,"Macro",$P$5:$P225,$P225),IF(N($R225)=0,"?",COUNTIFS(INDEX($S$5:$S$1000,1):INDEX($S$5:$S$1000,$R225-4),"Macro",INDEX($P$5:$P$1000,1):INDEX($P$5:$P$1000,$R225-4),INDEX($P$5:$P$1000,$R225-4))&amp;"."&amp;COUNTIFS($R$5:$R225,$R225,$S$5:$S225,"Sub"))))</f>
        <v/>
      </c>
      <c r="B225" s="63" t="n"/>
      <c r="C225" s="64" t="n"/>
      <c r="D225" s="65" t="n"/>
      <c r="E225" s="65" t="n"/>
      <c r="F225" s="66" t="n"/>
      <c r="G225" s="67" t="n"/>
      <c r="H225" s="67" t="n"/>
      <c r="I225" s="67" t="n"/>
      <c r="J225" s="67" t="n"/>
      <c r="K225" s="68">
        <f>IF(NOT((COUNTA($B225:$J225)+COUNTA($N225))&gt;0),"",IF(N($T225)&gt;0,$AB225,IFERROR(LOOKUP(2,1/(G225:J225&lt;&gt;""),G225:J225),0)))</f>
        <v/>
      </c>
      <c r="L225" s="62">
        <f>IF(K225="","",IF(K225&gt;=1,"Completado",IF(K225&gt;0,"En curso","Pendiente")))</f>
        <v/>
      </c>
      <c r="M225" s="62">
        <f>IF(NOT((COUNTA($B225:$J225)+COUNTA($N225))&gt;0),"",IF(N($K225)&gt;=1,"Cumplida",IF(NOT(ISNUMBER($E225)),"Sin fecha límite",IF($E225&lt;FechaRef,"Vencida hace "&amp;(FechaRef-$E225)&amp;IF(FechaRef-$E225=1," día"," días"),IF($E225=FechaRef,"Vence hoy",IF($E225-FechaRef&lt;=DiasAlerta,"Vence en "&amp;($E225-FechaRef)&amp;IF($E225-FechaRef=1," día"," días"),"En plazo"))))))</f>
        <v/>
      </c>
      <c r="N225" s="64" t="n"/>
      <c r="O225" s="69">
        <f>IF(NOT((COUNTA($B225:$J225)+COUNTA($N225))&gt;0),"",IF((IF($C225="","Falta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",""))="","✔ OK","⚠ "&amp;LEFT(IF($C225="","Falta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",""),LEN(IF($C225="","Falta el nombre de la actividad"&amp;" · ","")&amp;IF(AND($S225="Sub",N($R225)=0),"Subactividad sin macroactividad arriba"&amp;" · ","")&amp;IF($D225="","Sin fecha de inicio"&amp;" · ","")&amp;IF($E225="","Sin fecha límite"&amp;" · ","")&amp;IF(OR(AND($D225&lt;&gt;"",NOT(ISNUMBER($D225))),AND($E225&lt;&gt;"",NOT(ISNUMBER($E225)))),"Fecha no válida"&amp;" · ","")&amp;IF(AND(ISNUMBER($D225),ISNUMBER($E225),$D225&gt;$E225),"Inicio posterior a fecha límite"&amp;" · ","")&amp;IF(AND($S225="Macro",$F225=""),"Peso vacío"&amp;" · ","")&amp;IF(AND($S225="Macro",$F225&lt;&gt;"",OR(NOT(ISNUMBER($F225)),$F225&lt;=0,$F225&gt;1)),"Peso fuera de rango"&amp;" · ","")&amp;IF(AND($S225="Sub",$F225&lt;&gt;"",OR(NOT(ISNUMBER($F225)),$F225&lt;0,$F225&gt;1)),"Peso fuera de rango"&amp;" · ","")&amp;IF(AND($S225="Sub",$F225="",IFERROR(N(INDEX($AG$5:$AG$1000,$R225-4)),0)&gt;0),"Falta el peso de la subactividad"&amp;" · ","")&amp;IF(AND(N($T225)&gt;0,N($AG225)&gt;0,ABS(N($AG225)-N($F225))&gt;0.0001),"Pesos de sus subactividades suman "&amp;TEXT(N($AG225),"0%")&amp;" (deben sumar "&amp;TEXT(N($F225),"0%")&amp;")"&amp;" · ","")&amp;IF(AND($S225="Macro",ABS(SUMIFS($F$5:$F$1000,$P$5:$P$1000,$P225,$S$5:$S$1000,"Macro")-1)&gt;0.0001),"Pesos del mes suman "&amp;TEXT(SUMIFS($F$5:$F$1000,$P$5:$P$1000,$P225,$S$5:$S$1000,"Macro"),"0%")&amp;" · ","")&amp;IF(AND(N($T225)&gt;0,COUNT($G225:$J225)&gt;0),"Con subactividades: deje vacías las semanas (se calculan solas)"&amp;" · ","")&amp;IF((COUNTIF($G225:$J225,"&gt;1")+COUNTIF($G225:$J225,"&lt;0")+COUNTA($G225:$J225)-COUNT($G225:$J225))&gt;0,"Avance fuera de rango 0-100%"&amp;" · ","")&amp;IF(OR(AND($H225&lt;&gt;"",$H225&lt;$G225),AND($I225&lt;&gt;"",$I225&lt;MAX($G225:$H225)),AND($J225&lt;&gt;"",$J225&lt;MAX($G225:$I225))),"Avance semanal decreciente"&amp;" · ","")&amp;IF(AND(ISNUMBER($E225),$E225&lt;FechaRef,N($K225)&lt;1),"Vencida"&amp;" · ","")&amp;IF(AND(ObsObligatoria="Sí",ISNUMBER($E225),$E225&lt;FechaRef,N($K225)&lt;1,$N225=""),"Vencida sin observación"&amp;" · ",""))-3)))</f>
        <v/>
      </c>
      <c r="P225" s="70">
        <f>IF(NOT((COUNTA($B225:$J225)+COUNTA($N225))&gt;0),"",IF(AND($S225="Sub",N($R225)&gt;0),IF(ISNUMBER(INDEX($D$5:$D$1000,$R225-4)),DATE(YEAR(INDEX($D$5:$D$1000,$R225-4)),MONTH(INDEX($D$5:$D$1000,$R225-4)),1),IF(ISNUMBER(INDEX($E$5:$E$1000,$R225-4)),DATE(YEAR(INDEX($E$5:$E$1000,$R225-4)),MONTH(INDEX($E$5:$E$1000,$R225-4)),1),MesCiclo)),IF(ISNUMBER($D225),DATE(YEAR($D225),MONTH($D225),1),IF(ISNUMBER($E225),DATE(YEAR($E225),MONTH($E225),1),MesCiclo))))</f>
        <v/>
      </c>
      <c r="Q225" s="71">
        <f>IF(OR($P225="",$P225&lt;&gt;MesCiclo),"",COUNTIF($P$5:$P225,MesCiclo))</f>
        <v/>
      </c>
      <c r="R225" s="71">
        <f>IF($S225="","",IF($S225="Macro",ROW(),IFERROR(LOOKUP(2,1/($S$5:$S225="Macro"),ROW($S$5:$S225)),0)))</f>
        <v/>
      </c>
      <c r="S225" s="71">
        <f>IF(NOT((COUNTA($B225:$J225)+COUNTA($N225))&gt;0),"",IF($B225="Subactividad","Sub","Macro"))</f>
        <v/>
      </c>
      <c r="T225" s="71">
        <f>IF($S225="Macro",COUNTIFS($R$5:$R$1000,ROW(),$S$5:$S$1000,"Sub"),"")</f>
        <v/>
      </c>
      <c r="U225" s="71">
        <f>IF($S225="","",IF(ISNUMBER($G225),$G225,0))</f>
        <v/>
      </c>
      <c r="V225" s="71">
        <f>IF($S225="","",IF(ISNUMBER($H225),$H225,$U225))</f>
        <v/>
      </c>
      <c r="W225" s="71">
        <f>IF($S225="","",IF(ISNUMBER($I225),$I225,$V225))</f>
        <v/>
      </c>
      <c r="X225" s="71">
        <f>IF($S225="","",IF(ISNUMBER($J225),$J225,$W225))</f>
        <v/>
      </c>
      <c r="Y225" s="71">
        <f>IF($S225="","",IF(N($T225)&gt;0,IF(N($AG225)&gt;0,SUMIFS($AC$5:$AC$1000,$R$5:$R$1000,ROW(),$S$5:$S$1000,"Sub")/$AG225,AVERAGEIFS($U$5:$U$1000,$R$5:$R$1000,ROW(),$S$5:$S$1000,"Sub")),$U225))</f>
        <v/>
      </c>
      <c r="Z225" s="71">
        <f>IF($S225="","",IF(N($T225)&gt;0,IF(N($AG225)&gt;0,SUMIFS($AD$5:$AD$1000,$R$5:$R$1000,ROW(),$S$5:$S$1000,"Sub")/$AG225,AVERAGEIFS($V$5:$V$1000,$R$5:$R$1000,ROW(),$S$5:$S$1000,"Sub")),$V225))</f>
        <v/>
      </c>
      <c r="AA225" s="71">
        <f>IF($S225="","",IF(N($T225)&gt;0,IF(N($AG225)&gt;0,SUMIFS($AE$5:$AE$1000,$R$5:$R$1000,ROW(),$S$5:$S$1000,"Sub")/$AG225,AVERAGEIFS($W$5:$W$1000,$R$5:$R$1000,ROW(),$S$5:$S$1000,"Sub")),$W225))</f>
        <v/>
      </c>
      <c r="AB225" s="71">
        <f>IF($S225="","",IF(N($T225)&gt;0,IF(N($AG225)&gt;0,SUMIFS($AF$5:$AF$1000,$R$5:$R$1000,ROW(),$S$5:$S$1000,"Sub")/$AG225,AVERAGEIFS($X$5:$X$1000,$R$5:$R$1000,ROW(),$S$5:$S$1000,"Sub")),$X225))</f>
        <v/>
      </c>
      <c r="AC225" s="71">
        <f>IF($S225="Sub",N($F225)*N($U225),"")</f>
        <v/>
      </c>
      <c r="AD225" s="71">
        <f>IF($S225="Sub",N($F225)*N($V225),"")</f>
        <v/>
      </c>
      <c r="AE225" s="71">
        <f>IF($S225="Sub",N($F225)*N($W225),"")</f>
        <v/>
      </c>
      <c r="AF225" s="71">
        <f>IF($S225="Sub",N($F225)*N($X225),"")</f>
        <v/>
      </c>
      <c r="AG225" s="71">
        <f>IF(N($T225)&gt;0,SUMIFS($F$5:$F$1000,$R$5:$R$1000,ROW(),$S$5:$S$1000,"Sub"),"")</f>
        <v/>
      </c>
    </row>
    <row r="226">
      <c r="A226" s="62">
        <f>IF(NOT((COUNTA($B226:$J226)+COUNTA($N226))&gt;0),"",IF($S226="Macro",COUNTIFS($S$5:$S226,"Macro",$P$5:$P226,$P226),IF(N($R226)=0,"?",COUNTIFS(INDEX($S$5:$S$1000,1):INDEX($S$5:$S$1000,$R226-4),"Macro",INDEX($P$5:$P$1000,1):INDEX($P$5:$P$1000,$R226-4),INDEX($P$5:$P$1000,$R226-4))&amp;"."&amp;COUNTIFS($R$5:$R226,$R226,$S$5:$S226,"Sub"))))</f>
        <v/>
      </c>
      <c r="B226" s="63" t="n"/>
      <c r="C226" s="64" t="n"/>
      <c r="D226" s="65" t="n"/>
      <c r="E226" s="65" t="n"/>
      <c r="F226" s="66" t="n"/>
      <c r="G226" s="67" t="n"/>
      <c r="H226" s="67" t="n"/>
      <c r="I226" s="67" t="n"/>
      <c r="J226" s="67" t="n"/>
      <c r="K226" s="68">
        <f>IF(NOT((COUNTA($B226:$J226)+COUNTA($N226))&gt;0),"",IF(N($T226)&gt;0,$AB226,IFERROR(LOOKUP(2,1/(G226:J226&lt;&gt;""),G226:J226),0)))</f>
        <v/>
      </c>
      <c r="L226" s="62">
        <f>IF(K226="","",IF(K226&gt;=1,"Completado",IF(K226&gt;0,"En curso","Pendiente")))</f>
        <v/>
      </c>
      <c r="M226" s="62">
        <f>IF(NOT((COUNTA($B226:$J226)+COUNTA($N226))&gt;0),"",IF(N($K226)&gt;=1,"Cumplida",IF(NOT(ISNUMBER($E226)),"Sin fecha límite",IF($E226&lt;FechaRef,"Vencida hace "&amp;(FechaRef-$E226)&amp;IF(FechaRef-$E226=1," día"," días"),IF($E226=FechaRef,"Vence hoy",IF($E226-FechaRef&lt;=DiasAlerta,"Vence en "&amp;($E226-FechaRef)&amp;IF($E226-FechaRef=1," día"," días"),"En plazo"))))))</f>
        <v/>
      </c>
      <c r="N226" s="64" t="n"/>
      <c r="O226" s="69">
        <f>IF(NOT((COUNTA($B226:$J226)+COUNTA($N226))&gt;0),"",IF((IF($C226="","Falta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",""))="","✔ OK","⚠ "&amp;LEFT(IF($C226="","Falta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",""),LEN(IF($C226="","Falta el nombre de la actividad"&amp;" · ","")&amp;IF(AND($S226="Sub",N($R226)=0),"Subactividad sin macroactividad arriba"&amp;" · ","")&amp;IF($D226="","Sin fecha de inicio"&amp;" · ","")&amp;IF($E226="","Sin fecha límite"&amp;" · ","")&amp;IF(OR(AND($D226&lt;&gt;"",NOT(ISNUMBER($D226))),AND($E226&lt;&gt;"",NOT(ISNUMBER($E226)))),"Fecha no válida"&amp;" · ","")&amp;IF(AND(ISNUMBER($D226),ISNUMBER($E226),$D226&gt;$E226),"Inicio posterior a fecha límite"&amp;" · ","")&amp;IF(AND($S226="Macro",$F226=""),"Peso vacío"&amp;" · ","")&amp;IF(AND($S226="Macro",$F226&lt;&gt;"",OR(NOT(ISNUMBER($F226)),$F226&lt;=0,$F226&gt;1)),"Peso fuera de rango"&amp;" · ","")&amp;IF(AND($S226="Sub",$F226&lt;&gt;"",OR(NOT(ISNUMBER($F226)),$F226&lt;0,$F226&gt;1)),"Peso fuera de rango"&amp;" · ","")&amp;IF(AND($S226="Sub",$F226="",IFERROR(N(INDEX($AG$5:$AG$1000,$R226-4)),0)&gt;0),"Falta el peso de la subactividad"&amp;" · ","")&amp;IF(AND(N($T226)&gt;0,N($AG226)&gt;0,ABS(N($AG226)-N($F226))&gt;0.0001),"Pesos de sus subactividades suman "&amp;TEXT(N($AG226),"0%")&amp;" (deben sumar "&amp;TEXT(N($F226),"0%")&amp;")"&amp;" · ","")&amp;IF(AND($S226="Macro",ABS(SUMIFS($F$5:$F$1000,$P$5:$P$1000,$P226,$S$5:$S$1000,"Macro")-1)&gt;0.0001),"Pesos del mes suman "&amp;TEXT(SUMIFS($F$5:$F$1000,$P$5:$P$1000,$P226,$S$5:$S$1000,"Macro"),"0%")&amp;" · ","")&amp;IF(AND(N($T226)&gt;0,COUNT($G226:$J226)&gt;0),"Con subactividades: deje vacías las semanas (se calculan solas)"&amp;" · ","")&amp;IF((COUNTIF($G226:$J226,"&gt;1")+COUNTIF($G226:$J226,"&lt;0")+COUNTA($G226:$J226)-COUNT($G226:$J226))&gt;0,"Avance fuera de rango 0-100%"&amp;" · ","")&amp;IF(OR(AND($H226&lt;&gt;"",$H226&lt;$G226),AND($I226&lt;&gt;"",$I226&lt;MAX($G226:$H226)),AND($J226&lt;&gt;"",$J226&lt;MAX($G226:$I226))),"Avance semanal decreciente"&amp;" · ","")&amp;IF(AND(ISNUMBER($E226),$E226&lt;FechaRef,N($K226)&lt;1),"Vencida"&amp;" · ","")&amp;IF(AND(ObsObligatoria="Sí",ISNUMBER($E226),$E226&lt;FechaRef,N($K226)&lt;1,$N226=""),"Vencida sin observación"&amp;" · ",""))-3)))</f>
        <v/>
      </c>
      <c r="P226" s="70">
        <f>IF(NOT((COUNTA($B226:$J226)+COUNTA($N226))&gt;0),"",IF(AND($S226="Sub",N($R226)&gt;0),IF(ISNUMBER(INDEX($D$5:$D$1000,$R226-4)),DATE(YEAR(INDEX($D$5:$D$1000,$R226-4)),MONTH(INDEX($D$5:$D$1000,$R226-4)),1),IF(ISNUMBER(INDEX($E$5:$E$1000,$R226-4)),DATE(YEAR(INDEX($E$5:$E$1000,$R226-4)),MONTH(INDEX($E$5:$E$1000,$R226-4)),1),MesCiclo)),IF(ISNUMBER($D226),DATE(YEAR($D226),MONTH($D226),1),IF(ISNUMBER($E226),DATE(YEAR($E226),MONTH($E226),1),MesCiclo))))</f>
        <v/>
      </c>
      <c r="Q226" s="71">
        <f>IF(OR($P226="",$P226&lt;&gt;MesCiclo),"",COUNTIF($P$5:$P226,MesCiclo))</f>
        <v/>
      </c>
      <c r="R226" s="71">
        <f>IF($S226="","",IF($S226="Macro",ROW(),IFERROR(LOOKUP(2,1/($S$5:$S226="Macro"),ROW($S$5:$S226)),0)))</f>
        <v/>
      </c>
      <c r="S226" s="71">
        <f>IF(NOT((COUNTA($B226:$J226)+COUNTA($N226))&gt;0),"",IF($B226="Subactividad","Sub","Macro"))</f>
        <v/>
      </c>
      <c r="T226" s="71">
        <f>IF($S226="Macro",COUNTIFS($R$5:$R$1000,ROW(),$S$5:$S$1000,"Sub"),"")</f>
        <v/>
      </c>
      <c r="U226" s="71">
        <f>IF($S226="","",IF(ISNUMBER($G226),$G226,0))</f>
        <v/>
      </c>
      <c r="V226" s="71">
        <f>IF($S226="","",IF(ISNUMBER($H226),$H226,$U226))</f>
        <v/>
      </c>
      <c r="W226" s="71">
        <f>IF($S226="","",IF(ISNUMBER($I226),$I226,$V226))</f>
        <v/>
      </c>
      <c r="X226" s="71">
        <f>IF($S226="","",IF(ISNUMBER($J226),$J226,$W226))</f>
        <v/>
      </c>
      <c r="Y226" s="71">
        <f>IF($S226="","",IF(N($T226)&gt;0,IF(N($AG226)&gt;0,SUMIFS($AC$5:$AC$1000,$R$5:$R$1000,ROW(),$S$5:$S$1000,"Sub")/$AG226,AVERAGEIFS($U$5:$U$1000,$R$5:$R$1000,ROW(),$S$5:$S$1000,"Sub")),$U226))</f>
        <v/>
      </c>
      <c r="Z226" s="71">
        <f>IF($S226="","",IF(N($T226)&gt;0,IF(N($AG226)&gt;0,SUMIFS($AD$5:$AD$1000,$R$5:$R$1000,ROW(),$S$5:$S$1000,"Sub")/$AG226,AVERAGEIFS($V$5:$V$1000,$R$5:$R$1000,ROW(),$S$5:$S$1000,"Sub")),$V226))</f>
        <v/>
      </c>
      <c r="AA226" s="71">
        <f>IF($S226="","",IF(N($T226)&gt;0,IF(N($AG226)&gt;0,SUMIFS($AE$5:$AE$1000,$R$5:$R$1000,ROW(),$S$5:$S$1000,"Sub")/$AG226,AVERAGEIFS($W$5:$W$1000,$R$5:$R$1000,ROW(),$S$5:$S$1000,"Sub")),$W226))</f>
        <v/>
      </c>
      <c r="AB226" s="71">
        <f>IF($S226="","",IF(N($T226)&gt;0,IF(N($AG226)&gt;0,SUMIFS($AF$5:$AF$1000,$R$5:$R$1000,ROW(),$S$5:$S$1000,"Sub")/$AG226,AVERAGEIFS($X$5:$X$1000,$R$5:$R$1000,ROW(),$S$5:$S$1000,"Sub")),$X226))</f>
        <v/>
      </c>
      <c r="AC226" s="71">
        <f>IF($S226="Sub",N($F226)*N($U226),"")</f>
        <v/>
      </c>
      <c r="AD226" s="71">
        <f>IF($S226="Sub",N($F226)*N($V226),"")</f>
        <v/>
      </c>
      <c r="AE226" s="71">
        <f>IF($S226="Sub",N($F226)*N($W226),"")</f>
        <v/>
      </c>
      <c r="AF226" s="71">
        <f>IF($S226="Sub",N($F226)*N($X226),"")</f>
        <v/>
      </c>
      <c r="AG226" s="71">
        <f>IF(N($T226)&gt;0,SUMIFS($F$5:$F$1000,$R$5:$R$1000,ROW(),$S$5:$S$1000,"Sub"),"")</f>
        <v/>
      </c>
    </row>
    <row r="227">
      <c r="A227" s="62">
        <f>IF(NOT((COUNTA($B227:$J227)+COUNTA($N227))&gt;0),"",IF($S227="Macro",COUNTIFS($S$5:$S227,"Macro",$P$5:$P227,$P227),IF(N($R227)=0,"?",COUNTIFS(INDEX($S$5:$S$1000,1):INDEX($S$5:$S$1000,$R227-4),"Macro",INDEX($P$5:$P$1000,1):INDEX($P$5:$P$1000,$R227-4),INDEX($P$5:$P$1000,$R227-4))&amp;"."&amp;COUNTIFS($R$5:$R227,$R227,$S$5:$S227,"Sub"))))</f>
        <v/>
      </c>
      <c r="B227" s="63" t="n"/>
      <c r="C227" s="64" t="n"/>
      <c r="D227" s="65" t="n"/>
      <c r="E227" s="65" t="n"/>
      <c r="F227" s="66" t="n"/>
      <c r="G227" s="67" t="n"/>
      <c r="H227" s="67" t="n"/>
      <c r="I227" s="67" t="n"/>
      <c r="J227" s="67" t="n"/>
      <c r="K227" s="68">
        <f>IF(NOT((COUNTA($B227:$J227)+COUNTA($N227))&gt;0),"",IF(N($T227)&gt;0,$AB227,IFERROR(LOOKUP(2,1/(G227:J227&lt;&gt;""),G227:J227),0)))</f>
        <v/>
      </c>
      <c r="L227" s="62">
        <f>IF(K227="","",IF(K227&gt;=1,"Completado",IF(K227&gt;0,"En curso","Pendiente")))</f>
        <v/>
      </c>
      <c r="M227" s="62">
        <f>IF(NOT((COUNTA($B227:$J227)+COUNTA($N227))&gt;0),"",IF(N($K227)&gt;=1,"Cumplida",IF(NOT(ISNUMBER($E227)),"Sin fecha límite",IF($E227&lt;FechaRef,"Vencida hace "&amp;(FechaRef-$E227)&amp;IF(FechaRef-$E227=1," día"," días"),IF($E227=FechaRef,"Vence hoy",IF($E227-FechaRef&lt;=DiasAlerta,"Vence en "&amp;($E227-FechaRef)&amp;IF($E227-FechaRef=1," día"," días"),"En plazo"))))))</f>
        <v/>
      </c>
      <c r="N227" s="64" t="n"/>
      <c r="O227" s="69">
        <f>IF(NOT((COUNTA($B227:$J227)+COUNTA($N227))&gt;0),"",IF((IF($C227="","Falta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",""))="","✔ OK","⚠ "&amp;LEFT(IF($C227="","Falta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",""),LEN(IF($C227="","Falta el nombre de la actividad"&amp;" · ","")&amp;IF(AND($S227="Sub",N($R227)=0),"Subactividad sin macroactividad arriba"&amp;" · ","")&amp;IF($D227="","Sin fecha de inicio"&amp;" · ","")&amp;IF($E227="","Sin fecha límite"&amp;" · ","")&amp;IF(OR(AND($D227&lt;&gt;"",NOT(ISNUMBER($D227))),AND($E227&lt;&gt;"",NOT(ISNUMBER($E227)))),"Fecha no válida"&amp;" · ","")&amp;IF(AND(ISNUMBER($D227),ISNUMBER($E227),$D227&gt;$E227),"Inicio posterior a fecha límite"&amp;" · ","")&amp;IF(AND($S227="Macro",$F227=""),"Peso vacío"&amp;" · ","")&amp;IF(AND($S227="Macro",$F227&lt;&gt;"",OR(NOT(ISNUMBER($F227)),$F227&lt;=0,$F227&gt;1)),"Peso fuera de rango"&amp;" · ","")&amp;IF(AND($S227="Sub",$F227&lt;&gt;"",OR(NOT(ISNUMBER($F227)),$F227&lt;0,$F227&gt;1)),"Peso fuera de rango"&amp;" · ","")&amp;IF(AND($S227="Sub",$F227="",IFERROR(N(INDEX($AG$5:$AG$1000,$R227-4)),0)&gt;0),"Falta el peso de la subactividad"&amp;" · ","")&amp;IF(AND(N($T227)&gt;0,N($AG227)&gt;0,ABS(N($AG227)-N($F227))&gt;0.0001),"Pesos de sus subactividades suman "&amp;TEXT(N($AG227),"0%")&amp;" (deben sumar "&amp;TEXT(N($F227),"0%")&amp;")"&amp;" · ","")&amp;IF(AND($S227="Macro",ABS(SUMIFS($F$5:$F$1000,$P$5:$P$1000,$P227,$S$5:$S$1000,"Macro")-1)&gt;0.0001),"Pesos del mes suman "&amp;TEXT(SUMIFS($F$5:$F$1000,$P$5:$P$1000,$P227,$S$5:$S$1000,"Macro"),"0%")&amp;" · ","")&amp;IF(AND(N($T227)&gt;0,COUNT($G227:$J227)&gt;0),"Con subactividades: deje vacías las semanas (se calculan solas)"&amp;" · ","")&amp;IF((COUNTIF($G227:$J227,"&gt;1")+COUNTIF($G227:$J227,"&lt;0")+COUNTA($G227:$J227)-COUNT($G227:$J227))&gt;0,"Avance fuera de rango 0-100%"&amp;" · ","")&amp;IF(OR(AND($H227&lt;&gt;"",$H227&lt;$G227),AND($I227&lt;&gt;"",$I227&lt;MAX($G227:$H227)),AND($J227&lt;&gt;"",$J227&lt;MAX($G227:$I227))),"Avance semanal decreciente"&amp;" · ","")&amp;IF(AND(ISNUMBER($E227),$E227&lt;FechaRef,N($K227)&lt;1),"Vencida"&amp;" · ","")&amp;IF(AND(ObsObligatoria="Sí",ISNUMBER($E227),$E227&lt;FechaRef,N($K227)&lt;1,$N227=""),"Vencida sin observación"&amp;" · ",""))-3)))</f>
        <v/>
      </c>
      <c r="P227" s="70">
        <f>IF(NOT((COUNTA($B227:$J227)+COUNTA($N227))&gt;0),"",IF(AND($S227="Sub",N($R227)&gt;0),IF(ISNUMBER(INDEX($D$5:$D$1000,$R227-4)),DATE(YEAR(INDEX($D$5:$D$1000,$R227-4)),MONTH(INDEX($D$5:$D$1000,$R227-4)),1),IF(ISNUMBER(INDEX($E$5:$E$1000,$R227-4)),DATE(YEAR(INDEX($E$5:$E$1000,$R227-4)),MONTH(INDEX($E$5:$E$1000,$R227-4)),1),MesCiclo)),IF(ISNUMBER($D227),DATE(YEAR($D227),MONTH($D227),1),IF(ISNUMBER($E227),DATE(YEAR($E227),MONTH($E227),1),MesCiclo))))</f>
        <v/>
      </c>
      <c r="Q227" s="71">
        <f>IF(OR($P227="",$P227&lt;&gt;MesCiclo),"",COUNTIF($P$5:$P227,MesCiclo))</f>
        <v/>
      </c>
      <c r="R227" s="71">
        <f>IF($S227="","",IF($S227="Macro",ROW(),IFERROR(LOOKUP(2,1/($S$5:$S227="Macro"),ROW($S$5:$S227)),0)))</f>
        <v/>
      </c>
      <c r="S227" s="71">
        <f>IF(NOT((COUNTA($B227:$J227)+COUNTA($N227))&gt;0),"",IF($B227="Subactividad","Sub","Macro"))</f>
        <v/>
      </c>
      <c r="T227" s="71">
        <f>IF($S227="Macro",COUNTIFS($R$5:$R$1000,ROW(),$S$5:$S$1000,"Sub"),"")</f>
        <v/>
      </c>
      <c r="U227" s="71">
        <f>IF($S227="","",IF(ISNUMBER($G227),$G227,0))</f>
        <v/>
      </c>
      <c r="V227" s="71">
        <f>IF($S227="","",IF(ISNUMBER($H227),$H227,$U227))</f>
        <v/>
      </c>
      <c r="W227" s="71">
        <f>IF($S227="","",IF(ISNUMBER($I227),$I227,$V227))</f>
        <v/>
      </c>
      <c r="X227" s="71">
        <f>IF($S227="","",IF(ISNUMBER($J227),$J227,$W227))</f>
        <v/>
      </c>
      <c r="Y227" s="71">
        <f>IF($S227="","",IF(N($T227)&gt;0,IF(N($AG227)&gt;0,SUMIFS($AC$5:$AC$1000,$R$5:$R$1000,ROW(),$S$5:$S$1000,"Sub")/$AG227,AVERAGEIFS($U$5:$U$1000,$R$5:$R$1000,ROW(),$S$5:$S$1000,"Sub")),$U227))</f>
        <v/>
      </c>
      <c r="Z227" s="71">
        <f>IF($S227="","",IF(N($T227)&gt;0,IF(N($AG227)&gt;0,SUMIFS($AD$5:$AD$1000,$R$5:$R$1000,ROW(),$S$5:$S$1000,"Sub")/$AG227,AVERAGEIFS($V$5:$V$1000,$R$5:$R$1000,ROW(),$S$5:$S$1000,"Sub")),$V227))</f>
        <v/>
      </c>
      <c r="AA227" s="71">
        <f>IF($S227="","",IF(N($T227)&gt;0,IF(N($AG227)&gt;0,SUMIFS($AE$5:$AE$1000,$R$5:$R$1000,ROW(),$S$5:$S$1000,"Sub")/$AG227,AVERAGEIFS($W$5:$W$1000,$R$5:$R$1000,ROW(),$S$5:$S$1000,"Sub")),$W227))</f>
        <v/>
      </c>
      <c r="AB227" s="71">
        <f>IF($S227="","",IF(N($T227)&gt;0,IF(N($AG227)&gt;0,SUMIFS($AF$5:$AF$1000,$R$5:$R$1000,ROW(),$S$5:$S$1000,"Sub")/$AG227,AVERAGEIFS($X$5:$X$1000,$R$5:$R$1000,ROW(),$S$5:$S$1000,"Sub")),$X227))</f>
        <v/>
      </c>
      <c r="AC227" s="71">
        <f>IF($S227="Sub",N($F227)*N($U227),"")</f>
        <v/>
      </c>
      <c r="AD227" s="71">
        <f>IF($S227="Sub",N($F227)*N($V227),"")</f>
        <v/>
      </c>
      <c r="AE227" s="71">
        <f>IF($S227="Sub",N($F227)*N($W227),"")</f>
        <v/>
      </c>
      <c r="AF227" s="71">
        <f>IF($S227="Sub",N($F227)*N($X227),"")</f>
        <v/>
      </c>
      <c r="AG227" s="71">
        <f>IF(N($T227)&gt;0,SUMIFS($F$5:$F$1000,$R$5:$R$1000,ROW(),$S$5:$S$1000,"Sub"),"")</f>
        <v/>
      </c>
    </row>
    <row r="228">
      <c r="A228" s="62">
        <f>IF(NOT((COUNTA($B228:$J228)+COUNTA($N228))&gt;0),"",IF($S228="Macro",COUNTIFS($S$5:$S228,"Macro",$P$5:$P228,$P228),IF(N($R228)=0,"?",COUNTIFS(INDEX($S$5:$S$1000,1):INDEX($S$5:$S$1000,$R228-4),"Macro",INDEX($P$5:$P$1000,1):INDEX($P$5:$P$1000,$R228-4),INDEX($P$5:$P$1000,$R228-4))&amp;"."&amp;COUNTIFS($R$5:$R228,$R228,$S$5:$S228,"Sub"))))</f>
        <v/>
      </c>
      <c r="B228" s="63" t="n"/>
      <c r="C228" s="64" t="n"/>
      <c r="D228" s="65" t="n"/>
      <c r="E228" s="65" t="n"/>
      <c r="F228" s="66" t="n"/>
      <c r="G228" s="67" t="n"/>
      <c r="H228" s="67" t="n"/>
      <c r="I228" s="67" t="n"/>
      <c r="J228" s="67" t="n"/>
      <c r="K228" s="68">
        <f>IF(NOT((COUNTA($B228:$J228)+COUNTA($N228))&gt;0),"",IF(N($T228)&gt;0,$AB228,IFERROR(LOOKUP(2,1/(G228:J228&lt;&gt;""),G228:J228),0)))</f>
        <v/>
      </c>
      <c r="L228" s="62">
        <f>IF(K228="","",IF(K228&gt;=1,"Completado",IF(K228&gt;0,"En curso","Pendiente")))</f>
        <v/>
      </c>
      <c r="M228" s="62">
        <f>IF(NOT((COUNTA($B228:$J228)+COUNTA($N228))&gt;0),"",IF(N($K228)&gt;=1,"Cumplida",IF(NOT(ISNUMBER($E228)),"Sin fecha límite",IF($E228&lt;FechaRef,"Vencida hace "&amp;(FechaRef-$E228)&amp;IF(FechaRef-$E228=1," día"," días"),IF($E228=FechaRef,"Vence hoy",IF($E228-FechaRef&lt;=DiasAlerta,"Vence en "&amp;($E228-FechaRef)&amp;IF($E228-FechaRef=1," día"," días"),"En plazo"))))))</f>
        <v/>
      </c>
      <c r="N228" s="64" t="n"/>
      <c r="O228" s="69">
        <f>IF(NOT((COUNTA($B228:$J228)+COUNTA($N228))&gt;0),"",IF((IF($C228="","Falta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",""))="","✔ OK","⚠ "&amp;LEFT(IF($C228="","Falta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",""),LEN(IF($C228="","Falta el nombre de la actividad"&amp;" · ","")&amp;IF(AND($S228="Sub",N($R228)=0),"Subactividad sin macroactividad arriba"&amp;" · ","")&amp;IF($D228="","Sin fecha de inicio"&amp;" · ","")&amp;IF($E228="","Sin fecha límite"&amp;" · ","")&amp;IF(OR(AND($D228&lt;&gt;"",NOT(ISNUMBER($D228))),AND($E228&lt;&gt;"",NOT(ISNUMBER($E228)))),"Fecha no válida"&amp;" · ","")&amp;IF(AND(ISNUMBER($D228),ISNUMBER($E228),$D228&gt;$E228),"Inicio posterior a fecha límite"&amp;" · ","")&amp;IF(AND($S228="Macro",$F228=""),"Peso vacío"&amp;" · ","")&amp;IF(AND($S228="Macro",$F228&lt;&gt;"",OR(NOT(ISNUMBER($F228)),$F228&lt;=0,$F228&gt;1)),"Peso fuera de rango"&amp;" · ","")&amp;IF(AND($S228="Sub",$F228&lt;&gt;"",OR(NOT(ISNUMBER($F228)),$F228&lt;0,$F228&gt;1)),"Peso fuera de rango"&amp;" · ","")&amp;IF(AND($S228="Sub",$F228="",IFERROR(N(INDEX($AG$5:$AG$1000,$R228-4)),0)&gt;0),"Falta el peso de la subactividad"&amp;" · ","")&amp;IF(AND(N($T228)&gt;0,N($AG228)&gt;0,ABS(N($AG228)-N($F228))&gt;0.0001),"Pesos de sus subactividades suman "&amp;TEXT(N($AG228),"0%")&amp;" (deben sumar "&amp;TEXT(N($F228),"0%")&amp;")"&amp;" · ","")&amp;IF(AND($S228="Macro",ABS(SUMIFS($F$5:$F$1000,$P$5:$P$1000,$P228,$S$5:$S$1000,"Macro")-1)&gt;0.0001),"Pesos del mes suman "&amp;TEXT(SUMIFS($F$5:$F$1000,$P$5:$P$1000,$P228,$S$5:$S$1000,"Macro"),"0%")&amp;" · ","")&amp;IF(AND(N($T228)&gt;0,COUNT($G228:$J228)&gt;0),"Con subactividades: deje vacías las semanas (se calculan solas)"&amp;" · ","")&amp;IF((COUNTIF($G228:$J228,"&gt;1")+COUNTIF($G228:$J228,"&lt;0")+COUNTA($G228:$J228)-COUNT($G228:$J228))&gt;0,"Avance fuera de rango 0-100%"&amp;" · ","")&amp;IF(OR(AND($H228&lt;&gt;"",$H228&lt;$G228),AND($I228&lt;&gt;"",$I228&lt;MAX($G228:$H228)),AND($J228&lt;&gt;"",$J228&lt;MAX($G228:$I228))),"Avance semanal decreciente"&amp;" · ","")&amp;IF(AND(ISNUMBER($E228),$E228&lt;FechaRef,N($K228)&lt;1),"Vencida"&amp;" · ","")&amp;IF(AND(ObsObligatoria="Sí",ISNUMBER($E228),$E228&lt;FechaRef,N($K228)&lt;1,$N228=""),"Vencida sin observación"&amp;" · ",""))-3)))</f>
        <v/>
      </c>
      <c r="P228" s="70">
        <f>IF(NOT((COUNTA($B228:$J228)+COUNTA($N228))&gt;0),"",IF(AND($S228="Sub",N($R228)&gt;0),IF(ISNUMBER(INDEX($D$5:$D$1000,$R228-4)),DATE(YEAR(INDEX($D$5:$D$1000,$R228-4)),MONTH(INDEX($D$5:$D$1000,$R228-4)),1),IF(ISNUMBER(INDEX($E$5:$E$1000,$R228-4)),DATE(YEAR(INDEX($E$5:$E$1000,$R228-4)),MONTH(INDEX($E$5:$E$1000,$R228-4)),1),MesCiclo)),IF(ISNUMBER($D228),DATE(YEAR($D228),MONTH($D228),1),IF(ISNUMBER($E228),DATE(YEAR($E228),MONTH($E228),1),MesCiclo))))</f>
        <v/>
      </c>
      <c r="Q228" s="71">
        <f>IF(OR($P228="",$P228&lt;&gt;MesCiclo),"",COUNTIF($P$5:$P228,MesCiclo))</f>
        <v/>
      </c>
      <c r="R228" s="71">
        <f>IF($S228="","",IF($S228="Macro",ROW(),IFERROR(LOOKUP(2,1/($S$5:$S228="Macro"),ROW($S$5:$S228)),0)))</f>
        <v/>
      </c>
      <c r="S228" s="71">
        <f>IF(NOT((COUNTA($B228:$J228)+COUNTA($N228))&gt;0),"",IF($B228="Subactividad","Sub","Macro"))</f>
        <v/>
      </c>
      <c r="T228" s="71">
        <f>IF($S228="Macro",COUNTIFS($R$5:$R$1000,ROW(),$S$5:$S$1000,"Sub"),"")</f>
        <v/>
      </c>
      <c r="U228" s="71">
        <f>IF($S228="","",IF(ISNUMBER($G228),$G228,0))</f>
        <v/>
      </c>
      <c r="V228" s="71">
        <f>IF($S228="","",IF(ISNUMBER($H228),$H228,$U228))</f>
        <v/>
      </c>
      <c r="W228" s="71">
        <f>IF($S228="","",IF(ISNUMBER($I228),$I228,$V228))</f>
        <v/>
      </c>
      <c r="X228" s="71">
        <f>IF($S228="","",IF(ISNUMBER($J228),$J228,$W228))</f>
        <v/>
      </c>
      <c r="Y228" s="71">
        <f>IF($S228="","",IF(N($T228)&gt;0,IF(N($AG228)&gt;0,SUMIFS($AC$5:$AC$1000,$R$5:$R$1000,ROW(),$S$5:$S$1000,"Sub")/$AG228,AVERAGEIFS($U$5:$U$1000,$R$5:$R$1000,ROW(),$S$5:$S$1000,"Sub")),$U228))</f>
        <v/>
      </c>
      <c r="Z228" s="71">
        <f>IF($S228="","",IF(N($T228)&gt;0,IF(N($AG228)&gt;0,SUMIFS($AD$5:$AD$1000,$R$5:$R$1000,ROW(),$S$5:$S$1000,"Sub")/$AG228,AVERAGEIFS($V$5:$V$1000,$R$5:$R$1000,ROW(),$S$5:$S$1000,"Sub")),$V228))</f>
        <v/>
      </c>
      <c r="AA228" s="71">
        <f>IF($S228="","",IF(N($T228)&gt;0,IF(N($AG228)&gt;0,SUMIFS($AE$5:$AE$1000,$R$5:$R$1000,ROW(),$S$5:$S$1000,"Sub")/$AG228,AVERAGEIFS($W$5:$W$1000,$R$5:$R$1000,ROW(),$S$5:$S$1000,"Sub")),$W228))</f>
        <v/>
      </c>
      <c r="AB228" s="71">
        <f>IF($S228="","",IF(N($T228)&gt;0,IF(N($AG228)&gt;0,SUMIFS($AF$5:$AF$1000,$R$5:$R$1000,ROW(),$S$5:$S$1000,"Sub")/$AG228,AVERAGEIFS($X$5:$X$1000,$R$5:$R$1000,ROW(),$S$5:$S$1000,"Sub")),$X228))</f>
        <v/>
      </c>
      <c r="AC228" s="71">
        <f>IF($S228="Sub",N($F228)*N($U228),"")</f>
        <v/>
      </c>
      <c r="AD228" s="71">
        <f>IF($S228="Sub",N($F228)*N($V228),"")</f>
        <v/>
      </c>
      <c r="AE228" s="71">
        <f>IF($S228="Sub",N($F228)*N($W228),"")</f>
        <v/>
      </c>
      <c r="AF228" s="71">
        <f>IF($S228="Sub",N($F228)*N($X228),"")</f>
        <v/>
      </c>
      <c r="AG228" s="71">
        <f>IF(N($T228)&gt;0,SUMIFS($F$5:$F$1000,$R$5:$R$1000,ROW(),$S$5:$S$1000,"Sub"),"")</f>
        <v/>
      </c>
    </row>
    <row r="229">
      <c r="A229" s="62">
        <f>IF(NOT((COUNTA($B229:$J229)+COUNTA($N229))&gt;0),"",IF($S229="Macro",COUNTIFS($S$5:$S229,"Macro",$P$5:$P229,$P229),IF(N($R229)=0,"?",COUNTIFS(INDEX($S$5:$S$1000,1):INDEX($S$5:$S$1000,$R229-4),"Macro",INDEX($P$5:$P$1000,1):INDEX($P$5:$P$1000,$R229-4),INDEX($P$5:$P$1000,$R229-4))&amp;"."&amp;COUNTIFS($R$5:$R229,$R229,$S$5:$S229,"Sub"))))</f>
        <v/>
      </c>
      <c r="B229" s="63" t="n"/>
      <c r="C229" s="64" t="n"/>
      <c r="D229" s="65" t="n"/>
      <c r="E229" s="65" t="n"/>
      <c r="F229" s="66" t="n"/>
      <c r="G229" s="67" t="n"/>
      <c r="H229" s="67" t="n"/>
      <c r="I229" s="67" t="n"/>
      <c r="J229" s="67" t="n"/>
      <c r="K229" s="68">
        <f>IF(NOT((COUNTA($B229:$J229)+COUNTA($N229))&gt;0),"",IF(N($T229)&gt;0,$AB229,IFERROR(LOOKUP(2,1/(G229:J229&lt;&gt;""),G229:J229),0)))</f>
        <v/>
      </c>
      <c r="L229" s="62">
        <f>IF(K229="","",IF(K229&gt;=1,"Completado",IF(K229&gt;0,"En curso","Pendiente")))</f>
        <v/>
      </c>
      <c r="M229" s="62">
        <f>IF(NOT((COUNTA($B229:$J229)+COUNTA($N229))&gt;0),"",IF(N($K229)&gt;=1,"Cumplida",IF(NOT(ISNUMBER($E229)),"Sin fecha límite",IF($E229&lt;FechaRef,"Vencida hace "&amp;(FechaRef-$E229)&amp;IF(FechaRef-$E229=1," día"," días"),IF($E229=FechaRef,"Vence hoy",IF($E229-FechaRef&lt;=DiasAlerta,"Vence en "&amp;($E229-FechaRef)&amp;IF($E229-FechaRef=1," día"," días"),"En plazo"))))))</f>
        <v/>
      </c>
      <c r="N229" s="64" t="n"/>
      <c r="O229" s="69">
        <f>IF(NOT((COUNTA($B229:$J229)+COUNTA($N229))&gt;0),"",IF((IF($C229="","Falta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",""))="","✔ OK","⚠ "&amp;LEFT(IF($C229="","Falta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",""),LEN(IF($C229="","Falta el nombre de la actividad"&amp;" · ","")&amp;IF(AND($S229="Sub",N($R229)=0),"Subactividad sin macroactividad arriba"&amp;" · ","")&amp;IF($D229="","Sin fecha de inicio"&amp;" · ","")&amp;IF($E229="","Sin fecha límite"&amp;" · ","")&amp;IF(OR(AND($D229&lt;&gt;"",NOT(ISNUMBER($D229))),AND($E229&lt;&gt;"",NOT(ISNUMBER($E229)))),"Fecha no válida"&amp;" · ","")&amp;IF(AND(ISNUMBER($D229),ISNUMBER($E229),$D229&gt;$E229),"Inicio posterior a fecha límite"&amp;" · ","")&amp;IF(AND($S229="Macro",$F229=""),"Peso vacío"&amp;" · ","")&amp;IF(AND($S229="Macro",$F229&lt;&gt;"",OR(NOT(ISNUMBER($F229)),$F229&lt;=0,$F229&gt;1)),"Peso fuera de rango"&amp;" · ","")&amp;IF(AND($S229="Sub",$F229&lt;&gt;"",OR(NOT(ISNUMBER($F229)),$F229&lt;0,$F229&gt;1)),"Peso fuera de rango"&amp;" · ","")&amp;IF(AND($S229="Sub",$F229="",IFERROR(N(INDEX($AG$5:$AG$1000,$R229-4)),0)&gt;0),"Falta el peso de la subactividad"&amp;" · ","")&amp;IF(AND(N($T229)&gt;0,N($AG229)&gt;0,ABS(N($AG229)-N($F229))&gt;0.0001),"Pesos de sus subactividades suman "&amp;TEXT(N($AG229),"0%")&amp;" (deben sumar "&amp;TEXT(N($F229),"0%")&amp;")"&amp;" · ","")&amp;IF(AND($S229="Macro",ABS(SUMIFS($F$5:$F$1000,$P$5:$P$1000,$P229,$S$5:$S$1000,"Macro")-1)&gt;0.0001),"Pesos del mes suman "&amp;TEXT(SUMIFS($F$5:$F$1000,$P$5:$P$1000,$P229,$S$5:$S$1000,"Macro"),"0%")&amp;" · ","")&amp;IF(AND(N($T229)&gt;0,COUNT($G229:$J229)&gt;0),"Con subactividades: deje vacías las semanas (se calculan solas)"&amp;" · ","")&amp;IF((COUNTIF($G229:$J229,"&gt;1")+COUNTIF($G229:$J229,"&lt;0")+COUNTA($G229:$J229)-COUNT($G229:$J229))&gt;0,"Avance fuera de rango 0-100%"&amp;" · ","")&amp;IF(OR(AND($H229&lt;&gt;"",$H229&lt;$G229),AND($I229&lt;&gt;"",$I229&lt;MAX($G229:$H229)),AND($J229&lt;&gt;"",$J229&lt;MAX($G229:$I229))),"Avance semanal decreciente"&amp;" · ","")&amp;IF(AND(ISNUMBER($E229),$E229&lt;FechaRef,N($K229)&lt;1),"Vencida"&amp;" · ","")&amp;IF(AND(ObsObligatoria="Sí",ISNUMBER($E229),$E229&lt;FechaRef,N($K229)&lt;1,$N229=""),"Vencida sin observación"&amp;" · ",""))-3)))</f>
        <v/>
      </c>
      <c r="P229" s="70">
        <f>IF(NOT((COUNTA($B229:$J229)+COUNTA($N229))&gt;0),"",IF(AND($S229="Sub",N($R229)&gt;0),IF(ISNUMBER(INDEX($D$5:$D$1000,$R229-4)),DATE(YEAR(INDEX($D$5:$D$1000,$R229-4)),MONTH(INDEX($D$5:$D$1000,$R229-4)),1),IF(ISNUMBER(INDEX($E$5:$E$1000,$R229-4)),DATE(YEAR(INDEX($E$5:$E$1000,$R229-4)),MONTH(INDEX($E$5:$E$1000,$R229-4)),1),MesCiclo)),IF(ISNUMBER($D229),DATE(YEAR($D229),MONTH($D229),1),IF(ISNUMBER($E229),DATE(YEAR($E229),MONTH($E229),1),MesCiclo))))</f>
        <v/>
      </c>
      <c r="Q229" s="71">
        <f>IF(OR($P229="",$P229&lt;&gt;MesCiclo),"",COUNTIF($P$5:$P229,MesCiclo))</f>
        <v/>
      </c>
      <c r="R229" s="71">
        <f>IF($S229="","",IF($S229="Macro",ROW(),IFERROR(LOOKUP(2,1/($S$5:$S229="Macro"),ROW($S$5:$S229)),0)))</f>
        <v/>
      </c>
      <c r="S229" s="71">
        <f>IF(NOT((COUNTA($B229:$J229)+COUNTA($N229))&gt;0),"",IF($B229="Subactividad","Sub","Macro"))</f>
        <v/>
      </c>
      <c r="T229" s="71">
        <f>IF($S229="Macro",COUNTIFS($R$5:$R$1000,ROW(),$S$5:$S$1000,"Sub"),"")</f>
        <v/>
      </c>
      <c r="U229" s="71">
        <f>IF($S229="","",IF(ISNUMBER($G229),$G229,0))</f>
        <v/>
      </c>
      <c r="V229" s="71">
        <f>IF($S229="","",IF(ISNUMBER($H229),$H229,$U229))</f>
        <v/>
      </c>
      <c r="W229" s="71">
        <f>IF($S229="","",IF(ISNUMBER($I229),$I229,$V229))</f>
        <v/>
      </c>
      <c r="X229" s="71">
        <f>IF($S229="","",IF(ISNUMBER($J229),$J229,$W229))</f>
        <v/>
      </c>
      <c r="Y229" s="71">
        <f>IF($S229="","",IF(N($T229)&gt;0,IF(N($AG229)&gt;0,SUMIFS($AC$5:$AC$1000,$R$5:$R$1000,ROW(),$S$5:$S$1000,"Sub")/$AG229,AVERAGEIFS($U$5:$U$1000,$R$5:$R$1000,ROW(),$S$5:$S$1000,"Sub")),$U229))</f>
        <v/>
      </c>
      <c r="Z229" s="71">
        <f>IF($S229="","",IF(N($T229)&gt;0,IF(N($AG229)&gt;0,SUMIFS($AD$5:$AD$1000,$R$5:$R$1000,ROW(),$S$5:$S$1000,"Sub")/$AG229,AVERAGEIFS($V$5:$V$1000,$R$5:$R$1000,ROW(),$S$5:$S$1000,"Sub")),$V229))</f>
        <v/>
      </c>
      <c r="AA229" s="71">
        <f>IF($S229="","",IF(N($T229)&gt;0,IF(N($AG229)&gt;0,SUMIFS($AE$5:$AE$1000,$R$5:$R$1000,ROW(),$S$5:$S$1000,"Sub")/$AG229,AVERAGEIFS($W$5:$W$1000,$R$5:$R$1000,ROW(),$S$5:$S$1000,"Sub")),$W229))</f>
        <v/>
      </c>
      <c r="AB229" s="71">
        <f>IF($S229="","",IF(N($T229)&gt;0,IF(N($AG229)&gt;0,SUMIFS($AF$5:$AF$1000,$R$5:$R$1000,ROW(),$S$5:$S$1000,"Sub")/$AG229,AVERAGEIFS($X$5:$X$1000,$R$5:$R$1000,ROW(),$S$5:$S$1000,"Sub")),$X229))</f>
        <v/>
      </c>
      <c r="AC229" s="71">
        <f>IF($S229="Sub",N($F229)*N($U229),"")</f>
        <v/>
      </c>
      <c r="AD229" s="71">
        <f>IF($S229="Sub",N($F229)*N($V229),"")</f>
        <v/>
      </c>
      <c r="AE229" s="71">
        <f>IF($S229="Sub",N($F229)*N($W229),"")</f>
        <v/>
      </c>
      <c r="AF229" s="71">
        <f>IF($S229="Sub",N($F229)*N($X229),"")</f>
        <v/>
      </c>
      <c r="AG229" s="71">
        <f>IF(N($T229)&gt;0,SUMIFS($F$5:$F$1000,$R$5:$R$1000,ROW(),$S$5:$S$1000,"Sub"),"")</f>
        <v/>
      </c>
    </row>
    <row r="230">
      <c r="A230" s="62">
        <f>IF(NOT((COUNTA($B230:$J230)+COUNTA($N230))&gt;0),"",IF($S230="Macro",COUNTIFS($S$5:$S230,"Macro",$P$5:$P230,$P230),IF(N($R230)=0,"?",COUNTIFS(INDEX($S$5:$S$1000,1):INDEX($S$5:$S$1000,$R230-4),"Macro",INDEX($P$5:$P$1000,1):INDEX($P$5:$P$1000,$R230-4),INDEX($P$5:$P$1000,$R230-4))&amp;"."&amp;COUNTIFS($R$5:$R230,$R230,$S$5:$S230,"Sub"))))</f>
        <v/>
      </c>
      <c r="B230" s="63" t="n"/>
      <c r="C230" s="64" t="n"/>
      <c r="D230" s="65" t="n"/>
      <c r="E230" s="65" t="n"/>
      <c r="F230" s="66" t="n"/>
      <c r="G230" s="67" t="n"/>
      <c r="H230" s="67" t="n"/>
      <c r="I230" s="67" t="n"/>
      <c r="J230" s="67" t="n"/>
      <c r="K230" s="68">
        <f>IF(NOT((COUNTA($B230:$J230)+COUNTA($N230))&gt;0),"",IF(N($T230)&gt;0,$AB230,IFERROR(LOOKUP(2,1/(G230:J230&lt;&gt;""),G230:J230),0)))</f>
        <v/>
      </c>
      <c r="L230" s="62">
        <f>IF(K230="","",IF(K230&gt;=1,"Completado",IF(K230&gt;0,"En curso","Pendiente")))</f>
        <v/>
      </c>
      <c r="M230" s="62">
        <f>IF(NOT((COUNTA($B230:$J230)+COUNTA($N230))&gt;0),"",IF(N($K230)&gt;=1,"Cumplida",IF(NOT(ISNUMBER($E230)),"Sin fecha límite",IF($E230&lt;FechaRef,"Vencida hace "&amp;(FechaRef-$E230)&amp;IF(FechaRef-$E230=1," día"," días"),IF($E230=FechaRef,"Vence hoy",IF($E230-FechaRef&lt;=DiasAlerta,"Vence en "&amp;($E230-FechaRef)&amp;IF($E230-FechaRef=1," día"," días"),"En plazo"))))))</f>
        <v/>
      </c>
      <c r="N230" s="64" t="n"/>
      <c r="O230" s="69">
        <f>IF(NOT((COUNTA($B230:$J230)+COUNTA($N230))&gt;0),"",IF((IF($C230="","Falta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",""))="","✔ OK","⚠ "&amp;LEFT(IF($C230="","Falta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",""),LEN(IF($C230="","Falta el nombre de la actividad"&amp;" · ","")&amp;IF(AND($S230="Sub",N($R230)=0),"Subactividad sin macroactividad arriba"&amp;" · ","")&amp;IF($D230="","Sin fecha de inicio"&amp;" · ","")&amp;IF($E230="","Sin fecha límite"&amp;" · ","")&amp;IF(OR(AND($D230&lt;&gt;"",NOT(ISNUMBER($D230))),AND($E230&lt;&gt;"",NOT(ISNUMBER($E230)))),"Fecha no válida"&amp;" · ","")&amp;IF(AND(ISNUMBER($D230),ISNUMBER($E230),$D230&gt;$E230),"Inicio posterior a fecha límite"&amp;" · ","")&amp;IF(AND($S230="Macro",$F230=""),"Peso vacío"&amp;" · ","")&amp;IF(AND($S230="Macro",$F230&lt;&gt;"",OR(NOT(ISNUMBER($F230)),$F230&lt;=0,$F230&gt;1)),"Peso fuera de rango"&amp;" · ","")&amp;IF(AND($S230="Sub",$F230&lt;&gt;"",OR(NOT(ISNUMBER($F230)),$F230&lt;0,$F230&gt;1)),"Peso fuera de rango"&amp;" · ","")&amp;IF(AND($S230="Sub",$F230="",IFERROR(N(INDEX($AG$5:$AG$1000,$R230-4)),0)&gt;0),"Falta el peso de la subactividad"&amp;" · ","")&amp;IF(AND(N($T230)&gt;0,N($AG230)&gt;0,ABS(N($AG230)-N($F230))&gt;0.0001),"Pesos de sus subactividades suman "&amp;TEXT(N($AG230),"0%")&amp;" (deben sumar "&amp;TEXT(N($F230),"0%")&amp;")"&amp;" · ","")&amp;IF(AND($S230="Macro",ABS(SUMIFS($F$5:$F$1000,$P$5:$P$1000,$P230,$S$5:$S$1000,"Macro")-1)&gt;0.0001),"Pesos del mes suman "&amp;TEXT(SUMIFS($F$5:$F$1000,$P$5:$P$1000,$P230,$S$5:$S$1000,"Macro"),"0%")&amp;" · ","")&amp;IF(AND(N($T230)&gt;0,COUNT($G230:$J230)&gt;0),"Con subactividades: deje vacías las semanas (se calculan solas)"&amp;" · ","")&amp;IF((COUNTIF($G230:$J230,"&gt;1")+COUNTIF($G230:$J230,"&lt;0")+COUNTA($G230:$J230)-COUNT($G230:$J230))&gt;0,"Avance fuera de rango 0-100%"&amp;" · ","")&amp;IF(OR(AND($H230&lt;&gt;"",$H230&lt;$G230),AND($I230&lt;&gt;"",$I230&lt;MAX($G230:$H230)),AND($J230&lt;&gt;"",$J230&lt;MAX($G230:$I230))),"Avance semanal decreciente"&amp;" · ","")&amp;IF(AND(ISNUMBER($E230),$E230&lt;FechaRef,N($K230)&lt;1),"Vencida"&amp;" · ","")&amp;IF(AND(ObsObligatoria="Sí",ISNUMBER($E230),$E230&lt;FechaRef,N($K230)&lt;1,$N230=""),"Vencida sin observación"&amp;" · ",""))-3)))</f>
        <v/>
      </c>
      <c r="P230" s="70">
        <f>IF(NOT((COUNTA($B230:$J230)+COUNTA($N230))&gt;0),"",IF(AND($S230="Sub",N($R230)&gt;0),IF(ISNUMBER(INDEX($D$5:$D$1000,$R230-4)),DATE(YEAR(INDEX($D$5:$D$1000,$R230-4)),MONTH(INDEX($D$5:$D$1000,$R230-4)),1),IF(ISNUMBER(INDEX($E$5:$E$1000,$R230-4)),DATE(YEAR(INDEX($E$5:$E$1000,$R230-4)),MONTH(INDEX($E$5:$E$1000,$R230-4)),1),MesCiclo)),IF(ISNUMBER($D230),DATE(YEAR($D230),MONTH($D230),1),IF(ISNUMBER($E230),DATE(YEAR($E230),MONTH($E230),1),MesCiclo))))</f>
        <v/>
      </c>
      <c r="Q230" s="71">
        <f>IF(OR($P230="",$P230&lt;&gt;MesCiclo),"",COUNTIF($P$5:$P230,MesCiclo))</f>
        <v/>
      </c>
      <c r="R230" s="71">
        <f>IF($S230="","",IF($S230="Macro",ROW(),IFERROR(LOOKUP(2,1/($S$5:$S230="Macro"),ROW($S$5:$S230)),0)))</f>
        <v/>
      </c>
      <c r="S230" s="71">
        <f>IF(NOT((COUNTA($B230:$J230)+COUNTA($N230))&gt;0),"",IF($B230="Subactividad","Sub","Macro"))</f>
        <v/>
      </c>
      <c r="T230" s="71">
        <f>IF($S230="Macro",COUNTIFS($R$5:$R$1000,ROW(),$S$5:$S$1000,"Sub"),"")</f>
        <v/>
      </c>
      <c r="U230" s="71">
        <f>IF($S230="","",IF(ISNUMBER($G230),$G230,0))</f>
        <v/>
      </c>
      <c r="V230" s="71">
        <f>IF($S230="","",IF(ISNUMBER($H230),$H230,$U230))</f>
        <v/>
      </c>
      <c r="W230" s="71">
        <f>IF($S230="","",IF(ISNUMBER($I230),$I230,$V230))</f>
        <v/>
      </c>
      <c r="X230" s="71">
        <f>IF($S230="","",IF(ISNUMBER($J230),$J230,$W230))</f>
        <v/>
      </c>
      <c r="Y230" s="71">
        <f>IF($S230="","",IF(N($T230)&gt;0,IF(N($AG230)&gt;0,SUMIFS($AC$5:$AC$1000,$R$5:$R$1000,ROW(),$S$5:$S$1000,"Sub")/$AG230,AVERAGEIFS($U$5:$U$1000,$R$5:$R$1000,ROW(),$S$5:$S$1000,"Sub")),$U230))</f>
        <v/>
      </c>
      <c r="Z230" s="71">
        <f>IF($S230="","",IF(N($T230)&gt;0,IF(N($AG230)&gt;0,SUMIFS($AD$5:$AD$1000,$R$5:$R$1000,ROW(),$S$5:$S$1000,"Sub")/$AG230,AVERAGEIFS($V$5:$V$1000,$R$5:$R$1000,ROW(),$S$5:$S$1000,"Sub")),$V230))</f>
        <v/>
      </c>
      <c r="AA230" s="71">
        <f>IF($S230="","",IF(N($T230)&gt;0,IF(N($AG230)&gt;0,SUMIFS($AE$5:$AE$1000,$R$5:$R$1000,ROW(),$S$5:$S$1000,"Sub")/$AG230,AVERAGEIFS($W$5:$W$1000,$R$5:$R$1000,ROW(),$S$5:$S$1000,"Sub")),$W230))</f>
        <v/>
      </c>
      <c r="AB230" s="71">
        <f>IF($S230="","",IF(N($T230)&gt;0,IF(N($AG230)&gt;0,SUMIFS($AF$5:$AF$1000,$R$5:$R$1000,ROW(),$S$5:$S$1000,"Sub")/$AG230,AVERAGEIFS($X$5:$X$1000,$R$5:$R$1000,ROW(),$S$5:$S$1000,"Sub")),$X230))</f>
        <v/>
      </c>
      <c r="AC230" s="71">
        <f>IF($S230="Sub",N($F230)*N($U230),"")</f>
        <v/>
      </c>
      <c r="AD230" s="71">
        <f>IF($S230="Sub",N($F230)*N($V230),"")</f>
        <v/>
      </c>
      <c r="AE230" s="71">
        <f>IF($S230="Sub",N($F230)*N($W230),"")</f>
        <v/>
      </c>
      <c r="AF230" s="71">
        <f>IF($S230="Sub",N($F230)*N($X230),"")</f>
        <v/>
      </c>
      <c r="AG230" s="71">
        <f>IF(N($T230)&gt;0,SUMIFS($F$5:$F$1000,$R$5:$R$1000,ROW(),$S$5:$S$1000,"Sub"),"")</f>
        <v/>
      </c>
    </row>
    <row r="231">
      <c r="A231" s="62">
        <f>IF(NOT((COUNTA($B231:$J231)+COUNTA($N231))&gt;0),"",IF($S231="Macro",COUNTIFS($S$5:$S231,"Macro",$P$5:$P231,$P231),IF(N($R231)=0,"?",COUNTIFS(INDEX($S$5:$S$1000,1):INDEX($S$5:$S$1000,$R231-4),"Macro",INDEX($P$5:$P$1000,1):INDEX($P$5:$P$1000,$R231-4),INDEX($P$5:$P$1000,$R231-4))&amp;"."&amp;COUNTIFS($R$5:$R231,$R231,$S$5:$S231,"Sub"))))</f>
        <v/>
      </c>
      <c r="B231" s="63" t="n"/>
      <c r="C231" s="64" t="n"/>
      <c r="D231" s="65" t="n"/>
      <c r="E231" s="65" t="n"/>
      <c r="F231" s="66" t="n"/>
      <c r="G231" s="67" t="n"/>
      <c r="H231" s="67" t="n"/>
      <c r="I231" s="67" t="n"/>
      <c r="J231" s="67" t="n"/>
      <c r="K231" s="68">
        <f>IF(NOT((COUNTA($B231:$J231)+COUNTA($N231))&gt;0),"",IF(N($T231)&gt;0,$AB231,IFERROR(LOOKUP(2,1/(G231:J231&lt;&gt;""),G231:J231),0)))</f>
        <v/>
      </c>
      <c r="L231" s="62">
        <f>IF(K231="","",IF(K231&gt;=1,"Completado",IF(K231&gt;0,"En curso","Pendiente")))</f>
        <v/>
      </c>
      <c r="M231" s="62">
        <f>IF(NOT((COUNTA($B231:$J231)+COUNTA($N231))&gt;0),"",IF(N($K231)&gt;=1,"Cumplida",IF(NOT(ISNUMBER($E231)),"Sin fecha límite",IF($E231&lt;FechaRef,"Vencida hace "&amp;(FechaRef-$E231)&amp;IF(FechaRef-$E231=1," día"," días"),IF($E231=FechaRef,"Vence hoy",IF($E231-FechaRef&lt;=DiasAlerta,"Vence en "&amp;($E231-FechaRef)&amp;IF($E231-FechaRef=1," día"," días"),"En plazo"))))))</f>
        <v/>
      </c>
      <c r="N231" s="64" t="n"/>
      <c r="O231" s="69">
        <f>IF(NOT((COUNTA($B231:$J231)+COUNTA($N231))&gt;0),"",IF((IF($C231="","Falta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",""))="","✔ OK","⚠ "&amp;LEFT(IF($C231="","Falta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",""),LEN(IF($C231="","Falta el nombre de la actividad"&amp;" · ","")&amp;IF(AND($S231="Sub",N($R231)=0),"Subactividad sin macroactividad arriba"&amp;" · ","")&amp;IF($D231="","Sin fecha de inicio"&amp;" · ","")&amp;IF($E231="","Sin fecha límite"&amp;" · ","")&amp;IF(OR(AND($D231&lt;&gt;"",NOT(ISNUMBER($D231))),AND($E231&lt;&gt;"",NOT(ISNUMBER($E231)))),"Fecha no válida"&amp;" · ","")&amp;IF(AND(ISNUMBER($D231),ISNUMBER($E231),$D231&gt;$E231),"Inicio posterior a fecha límite"&amp;" · ","")&amp;IF(AND($S231="Macro",$F231=""),"Peso vacío"&amp;" · ","")&amp;IF(AND($S231="Macro",$F231&lt;&gt;"",OR(NOT(ISNUMBER($F231)),$F231&lt;=0,$F231&gt;1)),"Peso fuera de rango"&amp;" · ","")&amp;IF(AND($S231="Sub",$F231&lt;&gt;"",OR(NOT(ISNUMBER($F231)),$F231&lt;0,$F231&gt;1)),"Peso fuera de rango"&amp;" · ","")&amp;IF(AND($S231="Sub",$F231="",IFERROR(N(INDEX($AG$5:$AG$1000,$R231-4)),0)&gt;0),"Falta el peso de la subactividad"&amp;" · ","")&amp;IF(AND(N($T231)&gt;0,N($AG231)&gt;0,ABS(N($AG231)-N($F231))&gt;0.0001),"Pesos de sus subactividades suman "&amp;TEXT(N($AG231),"0%")&amp;" (deben sumar "&amp;TEXT(N($F231),"0%")&amp;")"&amp;" · ","")&amp;IF(AND($S231="Macro",ABS(SUMIFS($F$5:$F$1000,$P$5:$P$1000,$P231,$S$5:$S$1000,"Macro")-1)&gt;0.0001),"Pesos del mes suman "&amp;TEXT(SUMIFS($F$5:$F$1000,$P$5:$P$1000,$P231,$S$5:$S$1000,"Macro"),"0%")&amp;" · ","")&amp;IF(AND(N($T231)&gt;0,COUNT($G231:$J231)&gt;0),"Con subactividades: deje vacías las semanas (se calculan solas)"&amp;" · ","")&amp;IF((COUNTIF($G231:$J231,"&gt;1")+COUNTIF($G231:$J231,"&lt;0")+COUNTA($G231:$J231)-COUNT($G231:$J231))&gt;0,"Avance fuera de rango 0-100%"&amp;" · ","")&amp;IF(OR(AND($H231&lt;&gt;"",$H231&lt;$G231),AND($I231&lt;&gt;"",$I231&lt;MAX($G231:$H231)),AND($J231&lt;&gt;"",$J231&lt;MAX($G231:$I231))),"Avance semanal decreciente"&amp;" · ","")&amp;IF(AND(ISNUMBER($E231),$E231&lt;FechaRef,N($K231)&lt;1),"Vencida"&amp;" · ","")&amp;IF(AND(ObsObligatoria="Sí",ISNUMBER($E231),$E231&lt;FechaRef,N($K231)&lt;1,$N231=""),"Vencida sin observación"&amp;" · ",""))-3)))</f>
        <v/>
      </c>
      <c r="P231" s="70">
        <f>IF(NOT((COUNTA($B231:$J231)+COUNTA($N231))&gt;0),"",IF(AND($S231="Sub",N($R231)&gt;0),IF(ISNUMBER(INDEX($D$5:$D$1000,$R231-4)),DATE(YEAR(INDEX($D$5:$D$1000,$R231-4)),MONTH(INDEX($D$5:$D$1000,$R231-4)),1),IF(ISNUMBER(INDEX($E$5:$E$1000,$R231-4)),DATE(YEAR(INDEX($E$5:$E$1000,$R231-4)),MONTH(INDEX($E$5:$E$1000,$R231-4)),1),MesCiclo)),IF(ISNUMBER($D231),DATE(YEAR($D231),MONTH($D231),1),IF(ISNUMBER($E231),DATE(YEAR($E231),MONTH($E231),1),MesCiclo))))</f>
        <v/>
      </c>
      <c r="Q231" s="71">
        <f>IF(OR($P231="",$P231&lt;&gt;MesCiclo),"",COUNTIF($P$5:$P231,MesCiclo))</f>
        <v/>
      </c>
      <c r="R231" s="71">
        <f>IF($S231="","",IF($S231="Macro",ROW(),IFERROR(LOOKUP(2,1/($S$5:$S231="Macro"),ROW($S$5:$S231)),0)))</f>
        <v/>
      </c>
      <c r="S231" s="71">
        <f>IF(NOT((COUNTA($B231:$J231)+COUNTA($N231))&gt;0),"",IF($B231="Subactividad","Sub","Macro"))</f>
        <v/>
      </c>
      <c r="T231" s="71">
        <f>IF($S231="Macro",COUNTIFS($R$5:$R$1000,ROW(),$S$5:$S$1000,"Sub"),"")</f>
        <v/>
      </c>
      <c r="U231" s="71">
        <f>IF($S231="","",IF(ISNUMBER($G231),$G231,0))</f>
        <v/>
      </c>
      <c r="V231" s="71">
        <f>IF($S231="","",IF(ISNUMBER($H231),$H231,$U231))</f>
        <v/>
      </c>
      <c r="W231" s="71">
        <f>IF($S231="","",IF(ISNUMBER($I231),$I231,$V231))</f>
        <v/>
      </c>
      <c r="X231" s="71">
        <f>IF($S231="","",IF(ISNUMBER($J231),$J231,$W231))</f>
        <v/>
      </c>
      <c r="Y231" s="71">
        <f>IF($S231="","",IF(N($T231)&gt;0,IF(N($AG231)&gt;0,SUMIFS($AC$5:$AC$1000,$R$5:$R$1000,ROW(),$S$5:$S$1000,"Sub")/$AG231,AVERAGEIFS($U$5:$U$1000,$R$5:$R$1000,ROW(),$S$5:$S$1000,"Sub")),$U231))</f>
        <v/>
      </c>
      <c r="Z231" s="71">
        <f>IF($S231="","",IF(N($T231)&gt;0,IF(N($AG231)&gt;0,SUMIFS($AD$5:$AD$1000,$R$5:$R$1000,ROW(),$S$5:$S$1000,"Sub")/$AG231,AVERAGEIFS($V$5:$V$1000,$R$5:$R$1000,ROW(),$S$5:$S$1000,"Sub")),$V231))</f>
        <v/>
      </c>
      <c r="AA231" s="71">
        <f>IF($S231="","",IF(N($T231)&gt;0,IF(N($AG231)&gt;0,SUMIFS($AE$5:$AE$1000,$R$5:$R$1000,ROW(),$S$5:$S$1000,"Sub")/$AG231,AVERAGEIFS($W$5:$W$1000,$R$5:$R$1000,ROW(),$S$5:$S$1000,"Sub")),$W231))</f>
        <v/>
      </c>
      <c r="AB231" s="71">
        <f>IF($S231="","",IF(N($T231)&gt;0,IF(N($AG231)&gt;0,SUMIFS($AF$5:$AF$1000,$R$5:$R$1000,ROW(),$S$5:$S$1000,"Sub")/$AG231,AVERAGEIFS($X$5:$X$1000,$R$5:$R$1000,ROW(),$S$5:$S$1000,"Sub")),$X231))</f>
        <v/>
      </c>
      <c r="AC231" s="71">
        <f>IF($S231="Sub",N($F231)*N($U231),"")</f>
        <v/>
      </c>
      <c r="AD231" s="71">
        <f>IF($S231="Sub",N($F231)*N($V231),"")</f>
        <v/>
      </c>
      <c r="AE231" s="71">
        <f>IF($S231="Sub",N($F231)*N($W231),"")</f>
        <v/>
      </c>
      <c r="AF231" s="71">
        <f>IF($S231="Sub",N($F231)*N($X231),"")</f>
        <v/>
      </c>
      <c r="AG231" s="71">
        <f>IF(N($T231)&gt;0,SUMIFS($F$5:$F$1000,$R$5:$R$1000,ROW(),$S$5:$S$1000,"Sub"),"")</f>
        <v/>
      </c>
    </row>
    <row r="232">
      <c r="A232" s="62">
        <f>IF(NOT((COUNTA($B232:$J232)+COUNTA($N232))&gt;0),"",IF($S232="Macro",COUNTIFS($S$5:$S232,"Macro",$P$5:$P232,$P232),IF(N($R232)=0,"?",COUNTIFS(INDEX($S$5:$S$1000,1):INDEX($S$5:$S$1000,$R232-4),"Macro",INDEX($P$5:$P$1000,1):INDEX($P$5:$P$1000,$R232-4),INDEX($P$5:$P$1000,$R232-4))&amp;"."&amp;COUNTIFS($R$5:$R232,$R232,$S$5:$S232,"Sub"))))</f>
        <v/>
      </c>
      <c r="B232" s="63" t="n"/>
      <c r="C232" s="64" t="n"/>
      <c r="D232" s="65" t="n"/>
      <c r="E232" s="65" t="n"/>
      <c r="F232" s="66" t="n"/>
      <c r="G232" s="67" t="n"/>
      <c r="H232" s="67" t="n"/>
      <c r="I232" s="67" t="n"/>
      <c r="J232" s="67" t="n"/>
      <c r="K232" s="68">
        <f>IF(NOT((COUNTA($B232:$J232)+COUNTA($N232))&gt;0),"",IF(N($T232)&gt;0,$AB232,IFERROR(LOOKUP(2,1/(G232:J232&lt;&gt;""),G232:J232),0)))</f>
        <v/>
      </c>
      <c r="L232" s="62">
        <f>IF(K232="","",IF(K232&gt;=1,"Completado",IF(K232&gt;0,"En curso","Pendiente")))</f>
        <v/>
      </c>
      <c r="M232" s="62">
        <f>IF(NOT((COUNTA($B232:$J232)+COUNTA($N232))&gt;0),"",IF(N($K232)&gt;=1,"Cumplida",IF(NOT(ISNUMBER($E232)),"Sin fecha límite",IF($E232&lt;FechaRef,"Vencida hace "&amp;(FechaRef-$E232)&amp;IF(FechaRef-$E232=1," día"," días"),IF($E232=FechaRef,"Vence hoy",IF($E232-FechaRef&lt;=DiasAlerta,"Vence en "&amp;($E232-FechaRef)&amp;IF($E232-FechaRef=1," día"," días"),"En plazo"))))))</f>
        <v/>
      </c>
      <c r="N232" s="64" t="n"/>
      <c r="O232" s="69">
        <f>IF(NOT((COUNTA($B232:$J232)+COUNTA($N232))&gt;0),"",IF((IF($C232="","Falta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",""))="","✔ OK","⚠ "&amp;LEFT(IF($C232="","Falta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",""),LEN(IF($C232="","Falta el nombre de la actividad"&amp;" · ","")&amp;IF(AND($S232="Sub",N($R232)=0),"Subactividad sin macroactividad arriba"&amp;" · ","")&amp;IF($D232="","Sin fecha de inicio"&amp;" · ","")&amp;IF($E232="","Sin fecha límite"&amp;" · ","")&amp;IF(OR(AND($D232&lt;&gt;"",NOT(ISNUMBER($D232))),AND($E232&lt;&gt;"",NOT(ISNUMBER($E232)))),"Fecha no válida"&amp;" · ","")&amp;IF(AND(ISNUMBER($D232),ISNUMBER($E232),$D232&gt;$E232),"Inicio posterior a fecha límite"&amp;" · ","")&amp;IF(AND($S232="Macro",$F232=""),"Peso vacío"&amp;" · ","")&amp;IF(AND($S232="Macro",$F232&lt;&gt;"",OR(NOT(ISNUMBER($F232)),$F232&lt;=0,$F232&gt;1)),"Peso fuera de rango"&amp;" · ","")&amp;IF(AND($S232="Sub",$F232&lt;&gt;"",OR(NOT(ISNUMBER($F232)),$F232&lt;0,$F232&gt;1)),"Peso fuera de rango"&amp;" · ","")&amp;IF(AND($S232="Sub",$F232="",IFERROR(N(INDEX($AG$5:$AG$1000,$R232-4)),0)&gt;0),"Falta el peso de la subactividad"&amp;" · ","")&amp;IF(AND(N($T232)&gt;0,N($AG232)&gt;0,ABS(N($AG232)-N($F232))&gt;0.0001),"Pesos de sus subactividades suman "&amp;TEXT(N($AG232),"0%")&amp;" (deben sumar "&amp;TEXT(N($F232),"0%")&amp;")"&amp;" · ","")&amp;IF(AND($S232="Macro",ABS(SUMIFS($F$5:$F$1000,$P$5:$P$1000,$P232,$S$5:$S$1000,"Macro")-1)&gt;0.0001),"Pesos del mes suman "&amp;TEXT(SUMIFS($F$5:$F$1000,$P$5:$P$1000,$P232,$S$5:$S$1000,"Macro"),"0%")&amp;" · ","")&amp;IF(AND(N($T232)&gt;0,COUNT($G232:$J232)&gt;0),"Con subactividades: deje vacías las semanas (se calculan solas)"&amp;" · ","")&amp;IF((COUNTIF($G232:$J232,"&gt;1")+COUNTIF($G232:$J232,"&lt;0")+COUNTA($G232:$J232)-COUNT($G232:$J232))&gt;0,"Avance fuera de rango 0-100%"&amp;" · ","")&amp;IF(OR(AND($H232&lt;&gt;"",$H232&lt;$G232),AND($I232&lt;&gt;"",$I232&lt;MAX($G232:$H232)),AND($J232&lt;&gt;"",$J232&lt;MAX($G232:$I232))),"Avance semanal decreciente"&amp;" · ","")&amp;IF(AND(ISNUMBER($E232),$E232&lt;FechaRef,N($K232)&lt;1),"Vencida"&amp;" · ","")&amp;IF(AND(ObsObligatoria="Sí",ISNUMBER($E232),$E232&lt;FechaRef,N($K232)&lt;1,$N232=""),"Vencida sin observación"&amp;" · ",""))-3)))</f>
        <v/>
      </c>
      <c r="P232" s="70">
        <f>IF(NOT((COUNTA($B232:$J232)+COUNTA($N232))&gt;0),"",IF(AND($S232="Sub",N($R232)&gt;0),IF(ISNUMBER(INDEX($D$5:$D$1000,$R232-4)),DATE(YEAR(INDEX($D$5:$D$1000,$R232-4)),MONTH(INDEX($D$5:$D$1000,$R232-4)),1),IF(ISNUMBER(INDEX($E$5:$E$1000,$R232-4)),DATE(YEAR(INDEX($E$5:$E$1000,$R232-4)),MONTH(INDEX($E$5:$E$1000,$R232-4)),1),MesCiclo)),IF(ISNUMBER($D232),DATE(YEAR($D232),MONTH($D232),1),IF(ISNUMBER($E232),DATE(YEAR($E232),MONTH($E232),1),MesCiclo))))</f>
        <v/>
      </c>
      <c r="Q232" s="71">
        <f>IF(OR($P232="",$P232&lt;&gt;MesCiclo),"",COUNTIF($P$5:$P232,MesCiclo))</f>
        <v/>
      </c>
      <c r="R232" s="71">
        <f>IF($S232="","",IF($S232="Macro",ROW(),IFERROR(LOOKUP(2,1/($S$5:$S232="Macro"),ROW($S$5:$S232)),0)))</f>
        <v/>
      </c>
      <c r="S232" s="71">
        <f>IF(NOT((COUNTA($B232:$J232)+COUNTA($N232))&gt;0),"",IF($B232="Subactividad","Sub","Macro"))</f>
        <v/>
      </c>
      <c r="T232" s="71">
        <f>IF($S232="Macro",COUNTIFS($R$5:$R$1000,ROW(),$S$5:$S$1000,"Sub"),"")</f>
        <v/>
      </c>
      <c r="U232" s="71">
        <f>IF($S232="","",IF(ISNUMBER($G232),$G232,0))</f>
        <v/>
      </c>
      <c r="V232" s="71">
        <f>IF($S232="","",IF(ISNUMBER($H232),$H232,$U232))</f>
        <v/>
      </c>
      <c r="W232" s="71">
        <f>IF($S232="","",IF(ISNUMBER($I232),$I232,$V232))</f>
        <v/>
      </c>
      <c r="X232" s="71">
        <f>IF($S232="","",IF(ISNUMBER($J232),$J232,$W232))</f>
        <v/>
      </c>
      <c r="Y232" s="71">
        <f>IF($S232="","",IF(N($T232)&gt;0,IF(N($AG232)&gt;0,SUMIFS($AC$5:$AC$1000,$R$5:$R$1000,ROW(),$S$5:$S$1000,"Sub")/$AG232,AVERAGEIFS($U$5:$U$1000,$R$5:$R$1000,ROW(),$S$5:$S$1000,"Sub")),$U232))</f>
        <v/>
      </c>
      <c r="Z232" s="71">
        <f>IF($S232="","",IF(N($T232)&gt;0,IF(N($AG232)&gt;0,SUMIFS($AD$5:$AD$1000,$R$5:$R$1000,ROW(),$S$5:$S$1000,"Sub")/$AG232,AVERAGEIFS($V$5:$V$1000,$R$5:$R$1000,ROW(),$S$5:$S$1000,"Sub")),$V232))</f>
        <v/>
      </c>
      <c r="AA232" s="71">
        <f>IF($S232="","",IF(N($T232)&gt;0,IF(N($AG232)&gt;0,SUMIFS($AE$5:$AE$1000,$R$5:$R$1000,ROW(),$S$5:$S$1000,"Sub")/$AG232,AVERAGEIFS($W$5:$W$1000,$R$5:$R$1000,ROW(),$S$5:$S$1000,"Sub")),$W232))</f>
        <v/>
      </c>
      <c r="AB232" s="71">
        <f>IF($S232="","",IF(N($T232)&gt;0,IF(N($AG232)&gt;0,SUMIFS($AF$5:$AF$1000,$R$5:$R$1000,ROW(),$S$5:$S$1000,"Sub")/$AG232,AVERAGEIFS($X$5:$X$1000,$R$5:$R$1000,ROW(),$S$5:$S$1000,"Sub")),$X232))</f>
        <v/>
      </c>
      <c r="AC232" s="71">
        <f>IF($S232="Sub",N($F232)*N($U232),"")</f>
        <v/>
      </c>
      <c r="AD232" s="71">
        <f>IF($S232="Sub",N($F232)*N($V232),"")</f>
        <v/>
      </c>
      <c r="AE232" s="71">
        <f>IF($S232="Sub",N($F232)*N($W232),"")</f>
        <v/>
      </c>
      <c r="AF232" s="71">
        <f>IF($S232="Sub",N($F232)*N($X232),"")</f>
        <v/>
      </c>
      <c r="AG232" s="71">
        <f>IF(N($T232)&gt;0,SUMIFS($F$5:$F$1000,$R$5:$R$1000,ROW(),$S$5:$S$1000,"Sub"),"")</f>
        <v/>
      </c>
    </row>
    <row r="233">
      <c r="A233" s="62">
        <f>IF(NOT((COUNTA($B233:$J233)+COUNTA($N233))&gt;0),"",IF($S233="Macro",COUNTIFS($S$5:$S233,"Macro",$P$5:$P233,$P233),IF(N($R233)=0,"?",COUNTIFS(INDEX($S$5:$S$1000,1):INDEX($S$5:$S$1000,$R233-4),"Macro",INDEX($P$5:$P$1000,1):INDEX($P$5:$P$1000,$R233-4),INDEX($P$5:$P$1000,$R233-4))&amp;"."&amp;COUNTIFS($R$5:$R233,$R233,$S$5:$S233,"Sub"))))</f>
        <v/>
      </c>
      <c r="B233" s="63" t="n"/>
      <c r="C233" s="64" t="n"/>
      <c r="D233" s="65" t="n"/>
      <c r="E233" s="65" t="n"/>
      <c r="F233" s="66" t="n"/>
      <c r="G233" s="67" t="n"/>
      <c r="H233" s="67" t="n"/>
      <c r="I233" s="67" t="n"/>
      <c r="J233" s="67" t="n"/>
      <c r="K233" s="68">
        <f>IF(NOT((COUNTA($B233:$J233)+COUNTA($N233))&gt;0),"",IF(N($T233)&gt;0,$AB233,IFERROR(LOOKUP(2,1/(G233:J233&lt;&gt;""),G233:J233),0)))</f>
        <v/>
      </c>
      <c r="L233" s="62">
        <f>IF(K233="","",IF(K233&gt;=1,"Completado",IF(K233&gt;0,"En curso","Pendiente")))</f>
        <v/>
      </c>
      <c r="M233" s="62">
        <f>IF(NOT((COUNTA($B233:$J233)+COUNTA($N233))&gt;0),"",IF(N($K233)&gt;=1,"Cumplida",IF(NOT(ISNUMBER($E233)),"Sin fecha límite",IF($E233&lt;FechaRef,"Vencida hace "&amp;(FechaRef-$E233)&amp;IF(FechaRef-$E233=1," día"," días"),IF($E233=FechaRef,"Vence hoy",IF($E233-FechaRef&lt;=DiasAlerta,"Vence en "&amp;($E233-FechaRef)&amp;IF($E233-FechaRef=1," día"," días"),"En plazo"))))))</f>
        <v/>
      </c>
      <c r="N233" s="64" t="n"/>
      <c r="O233" s="69">
        <f>IF(NOT((COUNTA($B233:$J233)+COUNTA($N233))&gt;0),"",IF((IF($C233="","Falta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",""))="","✔ OK","⚠ "&amp;LEFT(IF($C233="","Falta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",""),LEN(IF($C233="","Falta el nombre de la actividad"&amp;" · ","")&amp;IF(AND($S233="Sub",N($R233)=0),"Subactividad sin macroactividad arriba"&amp;" · ","")&amp;IF($D233="","Sin fecha de inicio"&amp;" · ","")&amp;IF($E233="","Sin fecha límite"&amp;" · ","")&amp;IF(OR(AND($D233&lt;&gt;"",NOT(ISNUMBER($D233))),AND($E233&lt;&gt;"",NOT(ISNUMBER($E233)))),"Fecha no válida"&amp;" · ","")&amp;IF(AND(ISNUMBER($D233),ISNUMBER($E233),$D233&gt;$E233),"Inicio posterior a fecha límite"&amp;" · ","")&amp;IF(AND($S233="Macro",$F233=""),"Peso vacío"&amp;" · ","")&amp;IF(AND($S233="Macro",$F233&lt;&gt;"",OR(NOT(ISNUMBER($F233)),$F233&lt;=0,$F233&gt;1)),"Peso fuera de rango"&amp;" · ","")&amp;IF(AND($S233="Sub",$F233&lt;&gt;"",OR(NOT(ISNUMBER($F233)),$F233&lt;0,$F233&gt;1)),"Peso fuera de rango"&amp;" · ","")&amp;IF(AND($S233="Sub",$F233="",IFERROR(N(INDEX($AG$5:$AG$1000,$R233-4)),0)&gt;0),"Falta el peso de la subactividad"&amp;" · ","")&amp;IF(AND(N($T233)&gt;0,N($AG233)&gt;0,ABS(N($AG233)-N($F233))&gt;0.0001),"Pesos de sus subactividades suman "&amp;TEXT(N($AG233),"0%")&amp;" (deben sumar "&amp;TEXT(N($F233),"0%")&amp;")"&amp;" · ","")&amp;IF(AND($S233="Macro",ABS(SUMIFS($F$5:$F$1000,$P$5:$P$1000,$P233,$S$5:$S$1000,"Macro")-1)&gt;0.0001),"Pesos del mes suman "&amp;TEXT(SUMIFS($F$5:$F$1000,$P$5:$P$1000,$P233,$S$5:$S$1000,"Macro"),"0%")&amp;" · ","")&amp;IF(AND(N($T233)&gt;0,COUNT($G233:$J233)&gt;0),"Con subactividades: deje vacías las semanas (se calculan solas)"&amp;" · ","")&amp;IF((COUNTIF($G233:$J233,"&gt;1")+COUNTIF($G233:$J233,"&lt;0")+COUNTA($G233:$J233)-COUNT($G233:$J233))&gt;0,"Avance fuera de rango 0-100%"&amp;" · ","")&amp;IF(OR(AND($H233&lt;&gt;"",$H233&lt;$G233),AND($I233&lt;&gt;"",$I233&lt;MAX($G233:$H233)),AND($J233&lt;&gt;"",$J233&lt;MAX($G233:$I233))),"Avance semanal decreciente"&amp;" · ","")&amp;IF(AND(ISNUMBER($E233),$E233&lt;FechaRef,N($K233)&lt;1),"Vencida"&amp;" · ","")&amp;IF(AND(ObsObligatoria="Sí",ISNUMBER($E233),$E233&lt;FechaRef,N($K233)&lt;1,$N233=""),"Vencida sin observación"&amp;" · ",""))-3)))</f>
        <v/>
      </c>
      <c r="P233" s="70">
        <f>IF(NOT((COUNTA($B233:$J233)+COUNTA($N233))&gt;0),"",IF(AND($S233="Sub",N($R233)&gt;0),IF(ISNUMBER(INDEX($D$5:$D$1000,$R233-4)),DATE(YEAR(INDEX($D$5:$D$1000,$R233-4)),MONTH(INDEX($D$5:$D$1000,$R233-4)),1),IF(ISNUMBER(INDEX($E$5:$E$1000,$R233-4)),DATE(YEAR(INDEX($E$5:$E$1000,$R233-4)),MONTH(INDEX($E$5:$E$1000,$R233-4)),1),MesCiclo)),IF(ISNUMBER($D233),DATE(YEAR($D233),MONTH($D233),1),IF(ISNUMBER($E233),DATE(YEAR($E233),MONTH($E233),1),MesCiclo))))</f>
        <v/>
      </c>
      <c r="Q233" s="71">
        <f>IF(OR($P233="",$P233&lt;&gt;MesCiclo),"",COUNTIF($P$5:$P233,MesCiclo))</f>
        <v/>
      </c>
      <c r="R233" s="71">
        <f>IF($S233="","",IF($S233="Macro",ROW(),IFERROR(LOOKUP(2,1/($S$5:$S233="Macro"),ROW($S$5:$S233)),0)))</f>
        <v/>
      </c>
      <c r="S233" s="71">
        <f>IF(NOT((COUNTA($B233:$J233)+COUNTA($N233))&gt;0),"",IF($B233="Subactividad","Sub","Macro"))</f>
        <v/>
      </c>
      <c r="T233" s="71">
        <f>IF($S233="Macro",COUNTIFS($R$5:$R$1000,ROW(),$S$5:$S$1000,"Sub"),"")</f>
        <v/>
      </c>
      <c r="U233" s="71">
        <f>IF($S233="","",IF(ISNUMBER($G233),$G233,0))</f>
        <v/>
      </c>
      <c r="V233" s="71">
        <f>IF($S233="","",IF(ISNUMBER($H233),$H233,$U233))</f>
        <v/>
      </c>
      <c r="W233" s="71">
        <f>IF($S233="","",IF(ISNUMBER($I233),$I233,$V233))</f>
        <v/>
      </c>
      <c r="X233" s="71">
        <f>IF($S233="","",IF(ISNUMBER($J233),$J233,$W233))</f>
        <v/>
      </c>
      <c r="Y233" s="71">
        <f>IF($S233="","",IF(N($T233)&gt;0,IF(N($AG233)&gt;0,SUMIFS($AC$5:$AC$1000,$R$5:$R$1000,ROW(),$S$5:$S$1000,"Sub")/$AG233,AVERAGEIFS($U$5:$U$1000,$R$5:$R$1000,ROW(),$S$5:$S$1000,"Sub")),$U233))</f>
        <v/>
      </c>
      <c r="Z233" s="71">
        <f>IF($S233="","",IF(N($T233)&gt;0,IF(N($AG233)&gt;0,SUMIFS($AD$5:$AD$1000,$R$5:$R$1000,ROW(),$S$5:$S$1000,"Sub")/$AG233,AVERAGEIFS($V$5:$V$1000,$R$5:$R$1000,ROW(),$S$5:$S$1000,"Sub")),$V233))</f>
        <v/>
      </c>
      <c r="AA233" s="71">
        <f>IF($S233="","",IF(N($T233)&gt;0,IF(N($AG233)&gt;0,SUMIFS($AE$5:$AE$1000,$R$5:$R$1000,ROW(),$S$5:$S$1000,"Sub")/$AG233,AVERAGEIFS($W$5:$W$1000,$R$5:$R$1000,ROW(),$S$5:$S$1000,"Sub")),$W233))</f>
        <v/>
      </c>
      <c r="AB233" s="71">
        <f>IF($S233="","",IF(N($T233)&gt;0,IF(N($AG233)&gt;0,SUMIFS($AF$5:$AF$1000,$R$5:$R$1000,ROW(),$S$5:$S$1000,"Sub")/$AG233,AVERAGEIFS($X$5:$X$1000,$R$5:$R$1000,ROW(),$S$5:$S$1000,"Sub")),$X233))</f>
        <v/>
      </c>
      <c r="AC233" s="71">
        <f>IF($S233="Sub",N($F233)*N($U233),"")</f>
        <v/>
      </c>
      <c r="AD233" s="71">
        <f>IF($S233="Sub",N($F233)*N($V233),"")</f>
        <v/>
      </c>
      <c r="AE233" s="71">
        <f>IF($S233="Sub",N($F233)*N($W233),"")</f>
        <v/>
      </c>
      <c r="AF233" s="71">
        <f>IF($S233="Sub",N($F233)*N($X233),"")</f>
        <v/>
      </c>
      <c r="AG233" s="71">
        <f>IF(N($T233)&gt;0,SUMIFS($F$5:$F$1000,$R$5:$R$1000,ROW(),$S$5:$S$1000,"Sub"),"")</f>
        <v/>
      </c>
    </row>
    <row r="234">
      <c r="A234" s="62">
        <f>IF(NOT((COUNTA($B234:$J234)+COUNTA($N234))&gt;0),"",IF($S234="Macro",COUNTIFS($S$5:$S234,"Macro",$P$5:$P234,$P234),IF(N($R234)=0,"?",COUNTIFS(INDEX($S$5:$S$1000,1):INDEX($S$5:$S$1000,$R234-4),"Macro",INDEX($P$5:$P$1000,1):INDEX($P$5:$P$1000,$R234-4),INDEX($P$5:$P$1000,$R234-4))&amp;"."&amp;COUNTIFS($R$5:$R234,$R234,$S$5:$S234,"Sub"))))</f>
        <v/>
      </c>
      <c r="B234" s="63" t="n"/>
      <c r="C234" s="64" t="n"/>
      <c r="D234" s="65" t="n"/>
      <c r="E234" s="65" t="n"/>
      <c r="F234" s="66" t="n"/>
      <c r="G234" s="67" t="n"/>
      <c r="H234" s="67" t="n"/>
      <c r="I234" s="67" t="n"/>
      <c r="J234" s="67" t="n"/>
      <c r="K234" s="68">
        <f>IF(NOT((COUNTA($B234:$J234)+COUNTA($N234))&gt;0),"",IF(N($T234)&gt;0,$AB234,IFERROR(LOOKUP(2,1/(G234:J234&lt;&gt;""),G234:J234),0)))</f>
        <v/>
      </c>
      <c r="L234" s="62">
        <f>IF(K234="","",IF(K234&gt;=1,"Completado",IF(K234&gt;0,"En curso","Pendiente")))</f>
        <v/>
      </c>
      <c r="M234" s="62">
        <f>IF(NOT((COUNTA($B234:$J234)+COUNTA($N234))&gt;0),"",IF(N($K234)&gt;=1,"Cumplida",IF(NOT(ISNUMBER($E234)),"Sin fecha límite",IF($E234&lt;FechaRef,"Vencida hace "&amp;(FechaRef-$E234)&amp;IF(FechaRef-$E234=1," día"," días"),IF($E234=FechaRef,"Vence hoy",IF($E234-FechaRef&lt;=DiasAlerta,"Vence en "&amp;($E234-FechaRef)&amp;IF($E234-FechaRef=1," día"," días"),"En plazo"))))))</f>
        <v/>
      </c>
      <c r="N234" s="64" t="n"/>
      <c r="O234" s="69">
        <f>IF(NOT((COUNTA($B234:$J234)+COUNTA($N234))&gt;0),"",IF((IF($C234="","Falta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",""))="","✔ OK","⚠ "&amp;LEFT(IF($C234="","Falta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",""),LEN(IF($C234="","Falta el nombre de la actividad"&amp;" · ","")&amp;IF(AND($S234="Sub",N($R234)=0),"Subactividad sin macroactividad arriba"&amp;" · ","")&amp;IF($D234="","Sin fecha de inicio"&amp;" · ","")&amp;IF($E234="","Sin fecha límite"&amp;" · ","")&amp;IF(OR(AND($D234&lt;&gt;"",NOT(ISNUMBER($D234))),AND($E234&lt;&gt;"",NOT(ISNUMBER($E234)))),"Fecha no válida"&amp;" · ","")&amp;IF(AND(ISNUMBER($D234),ISNUMBER($E234),$D234&gt;$E234),"Inicio posterior a fecha límite"&amp;" · ","")&amp;IF(AND($S234="Macro",$F234=""),"Peso vacío"&amp;" · ","")&amp;IF(AND($S234="Macro",$F234&lt;&gt;"",OR(NOT(ISNUMBER($F234)),$F234&lt;=0,$F234&gt;1)),"Peso fuera de rango"&amp;" · ","")&amp;IF(AND($S234="Sub",$F234&lt;&gt;"",OR(NOT(ISNUMBER($F234)),$F234&lt;0,$F234&gt;1)),"Peso fuera de rango"&amp;" · ","")&amp;IF(AND($S234="Sub",$F234="",IFERROR(N(INDEX($AG$5:$AG$1000,$R234-4)),0)&gt;0),"Falta el peso de la subactividad"&amp;" · ","")&amp;IF(AND(N($T234)&gt;0,N($AG234)&gt;0,ABS(N($AG234)-N($F234))&gt;0.0001),"Pesos de sus subactividades suman "&amp;TEXT(N($AG234),"0%")&amp;" (deben sumar "&amp;TEXT(N($F234),"0%")&amp;")"&amp;" · ","")&amp;IF(AND($S234="Macro",ABS(SUMIFS($F$5:$F$1000,$P$5:$P$1000,$P234,$S$5:$S$1000,"Macro")-1)&gt;0.0001),"Pesos del mes suman "&amp;TEXT(SUMIFS($F$5:$F$1000,$P$5:$P$1000,$P234,$S$5:$S$1000,"Macro"),"0%")&amp;" · ","")&amp;IF(AND(N($T234)&gt;0,COUNT($G234:$J234)&gt;0),"Con subactividades: deje vacías las semanas (se calculan solas)"&amp;" · ","")&amp;IF((COUNTIF($G234:$J234,"&gt;1")+COUNTIF($G234:$J234,"&lt;0")+COUNTA($G234:$J234)-COUNT($G234:$J234))&gt;0,"Avance fuera de rango 0-100%"&amp;" · ","")&amp;IF(OR(AND($H234&lt;&gt;"",$H234&lt;$G234),AND($I234&lt;&gt;"",$I234&lt;MAX($G234:$H234)),AND($J234&lt;&gt;"",$J234&lt;MAX($G234:$I234))),"Avance semanal decreciente"&amp;" · ","")&amp;IF(AND(ISNUMBER($E234),$E234&lt;FechaRef,N($K234)&lt;1),"Vencida"&amp;" · ","")&amp;IF(AND(ObsObligatoria="Sí",ISNUMBER($E234),$E234&lt;FechaRef,N($K234)&lt;1,$N234=""),"Vencida sin observación"&amp;" · ",""))-3)))</f>
        <v/>
      </c>
      <c r="P234" s="70">
        <f>IF(NOT((COUNTA($B234:$J234)+COUNTA($N234))&gt;0),"",IF(AND($S234="Sub",N($R234)&gt;0),IF(ISNUMBER(INDEX($D$5:$D$1000,$R234-4)),DATE(YEAR(INDEX($D$5:$D$1000,$R234-4)),MONTH(INDEX($D$5:$D$1000,$R234-4)),1),IF(ISNUMBER(INDEX($E$5:$E$1000,$R234-4)),DATE(YEAR(INDEX($E$5:$E$1000,$R234-4)),MONTH(INDEX($E$5:$E$1000,$R234-4)),1),MesCiclo)),IF(ISNUMBER($D234),DATE(YEAR($D234),MONTH($D234),1),IF(ISNUMBER($E234),DATE(YEAR($E234),MONTH($E234),1),MesCiclo))))</f>
        <v/>
      </c>
      <c r="Q234" s="71">
        <f>IF(OR($P234="",$P234&lt;&gt;MesCiclo),"",COUNTIF($P$5:$P234,MesCiclo))</f>
        <v/>
      </c>
      <c r="R234" s="71">
        <f>IF($S234="","",IF($S234="Macro",ROW(),IFERROR(LOOKUP(2,1/($S$5:$S234="Macro"),ROW($S$5:$S234)),0)))</f>
        <v/>
      </c>
      <c r="S234" s="71">
        <f>IF(NOT((COUNTA($B234:$J234)+COUNTA($N234))&gt;0),"",IF($B234="Subactividad","Sub","Macro"))</f>
        <v/>
      </c>
      <c r="T234" s="71">
        <f>IF($S234="Macro",COUNTIFS($R$5:$R$1000,ROW(),$S$5:$S$1000,"Sub"),"")</f>
        <v/>
      </c>
      <c r="U234" s="71">
        <f>IF($S234="","",IF(ISNUMBER($G234),$G234,0))</f>
        <v/>
      </c>
      <c r="V234" s="71">
        <f>IF($S234="","",IF(ISNUMBER($H234),$H234,$U234))</f>
        <v/>
      </c>
      <c r="W234" s="71">
        <f>IF($S234="","",IF(ISNUMBER($I234),$I234,$V234))</f>
        <v/>
      </c>
      <c r="X234" s="71">
        <f>IF($S234="","",IF(ISNUMBER($J234),$J234,$W234))</f>
        <v/>
      </c>
      <c r="Y234" s="71">
        <f>IF($S234="","",IF(N($T234)&gt;0,IF(N($AG234)&gt;0,SUMIFS($AC$5:$AC$1000,$R$5:$R$1000,ROW(),$S$5:$S$1000,"Sub")/$AG234,AVERAGEIFS($U$5:$U$1000,$R$5:$R$1000,ROW(),$S$5:$S$1000,"Sub")),$U234))</f>
        <v/>
      </c>
      <c r="Z234" s="71">
        <f>IF($S234="","",IF(N($T234)&gt;0,IF(N($AG234)&gt;0,SUMIFS($AD$5:$AD$1000,$R$5:$R$1000,ROW(),$S$5:$S$1000,"Sub")/$AG234,AVERAGEIFS($V$5:$V$1000,$R$5:$R$1000,ROW(),$S$5:$S$1000,"Sub")),$V234))</f>
        <v/>
      </c>
      <c r="AA234" s="71">
        <f>IF($S234="","",IF(N($T234)&gt;0,IF(N($AG234)&gt;0,SUMIFS($AE$5:$AE$1000,$R$5:$R$1000,ROW(),$S$5:$S$1000,"Sub")/$AG234,AVERAGEIFS($W$5:$W$1000,$R$5:$R$1000,ROW(),$S$5:$S$1000,"Sub")),$W234))</f>
        <v/>
      </c>
      <c r="AB234" s="71">
        <f>IF($S234="","",IF(N($T234)&gt;0,IF(N($AG234)&gt;0,SUMIFS($AF$5:$AF$1000,$R$5:$R$1000,ROW(),$S$5:$S$1000,"Sub")/$AG234,AVERAGEIFS($X$5:$X$1000,$R$5:$R$1000,ROW(),$S$5:$S$1000,"Sub")),$X234))</f>
        <v/>
      </c>
      <c r="AC234" s="71">
        <f>IF($S234="Sub",N($F234)*N($U234),"")</f>
        <v/>
      </c>
      <c r="AD234" s="71">
        <f>IF($S234="Sub",N($F234)*N($V234),"")</f>
        <v/>
      </c>
      <c r="AE234" s="71">
        <f>IF($S234="Sub",N($F234)*N($W234),"")</f>
        <v/>
      </c>
      <c r="AF234" s="71">
        <f>IF($S234="Sub",N($F234)*N($X234),"")</f>
        <v/>
      </c>
      <c r="AG234" s="71">
        <f>IF(N($T234)&gt;0,SUMIFS($F$5:$F$1000,$R$5:$R$1000,ROW(),$S$5:$S$1000,"Sub"),"")</f>
        <v/>
      </c>
    </row>
    <row r="235">
      <c r="A235" s="62">
        <f>IF(NOT((COUNTA($B235:$J235)+COUNTA($N235))&gt;0),"",IF($S235="Macro",COUNTIFS($S$5:$S235,"Macro",$P$5:$P235,$P235),IF(N($R235)=0,"?",COUNTIFS(INDEX($S$5:$S$1000,1):INDEX($S$5:$S$1000,$R235-4),"Macro",INDEX($P$5:$P$1000,1):INDEX($P$5:$P$1000,$R235-4),INDEX($P$5:$P$1000,$R235-4))&amp;"."&amp;COUNTIFS($R$5:$R235,$R235,$S$5:$S235,"Sub"))))</f>
        <v/>
      </c>
      <c r="B235" s="63" t="n"/>
      <c r="C235" s="64" t="n"/>
      <c r="D235" s="65" t="n"/>
      <c r="E235" s="65" t="n"/>
      <c r="F235" s="66" t="n"/>
      <c r="G235" s="67" t="n"/>
      <c r="H235" s="67" t="n"/>
      <c r="I235" s="67" t="n"/>
      <c r="J235" s="67" t="n"/>
      <c r="K235" s="68">
        <f>IF(NOT((COUNTA($B235:$J235)+COUNTA($N235))&gt;0),"",IF(N($T235)&gt;0,$AB235,IFERROR(LOOKUP(2,1/(G235:J235&lt;&gt;""),G235:J235),0)))</f>
        <v/>
      </c>
      <c r="L235" s="62">
        <f>IF(K235="","",IF(K235&gt;=1,"Completado",IF(K235&gt;0,"En curso","Pendiente")))</f>
        <v/>
      </c>
      <c r="M235" s="62">
        <f>IF(NOT((COUNTA($B235:$J235)+COUNTA($N235))&gt;0),"",IF(N($K235)&gt;=1,"Cumplida",IF(NOT(ISNUMBER($E235)),"Sin fecha límite",IF($E235&lt;FechaRef,"Vencida hace "&amp;(FechaRef-$E235)&amp;IF(FechaRef-$E235=1," día"," días"),IF($E235=FechaRef,"Vence hoy",IF($E235-FechaRef&lt;=DiasAlerta,"Vence en "&amp;($E235-FechaRef)&amp;IF($E235-FechaRef=1," día"," días"),"En plazo"))))))</f>
        <v/>
      </c>
      <c r="N235" s="64" t="n"/>
      <c r="O235" s="69">
        <f>IF(NOT((COUNTA($B235:$J235)+COUNTA($N235))&gt;0),"",IF((IF($C235="","Falta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",""))="","✔ OK","⚠ "&amp;LEFT(IF($C235="","Falta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",""),LEN(IF($C235="","Falta el nombre de la actividad"&amp;" · ","")&amp;IF(AND($S235="Sub",N($R235)=0),"Subactividad sin macroactividad arriba"&amp;" · ","")&amp;IF($D235="","Sin fecha de inicio"&amp;" · ","")&amp;IF($E235="","Sin fecha límite"&amp;" · ","")&amp;IF(OR(AND($D235&lt;&gt;"",NOT(ISNUMBER($D235))),AND($E235&lt;&gt;"",NOT(ISNUMBER($E235)))),"Fecha no válida"&amp;" · ","")&amp;IF(AND(ISNUMBER($D235),ISNUMBER($E235),$D235&gt;$E235),"Inicio posterior a fecha límite"&amp;" · ","")&amp;IF(AND($S235="Macro",$F235=""),"Peso vacío"&amp;" · ","")&amp;IF(AND($S235="Macro",$F235&lt;&gt;"",OR(NOT(ISNUMBER($F235)),$F235&lt;=0,$F235&gt;1)),"Peso fuera de rango"&amp;" · ","")&amp;IF(AND($S235="Sub",$F235&lt;&gt;"",OR(NOT(ISNUMBER($F235)),$F235&lt;0,$F235&gt;1)),"Peso fuera de rango"&amp;" · ","")&amp;IF(AND($S235="Sub",$F235="",IFERROR(N(INDEX($AG$5:$AG$1000,$R235-4)),0)&gt;0),"Falta el peso de la subactividad"&amp;" · ","")&amp;IF(AND(N($T235)&gt;0,N($AG235)&gt;0,ABS(N($AG235)-N($F235))&gt;0.0001),"Pesos de sus subactividades suman "&amp;TEXT(N($AG235),"0%")&amp;" (deben sumar "&amp;TEXT(N($F235),"0%")&amp;")"&amp;" · ","")&amp;IF(AND($S235="Macro",ABS(SUMIFS($F$5:$F$1000,$P$5:$P$1000,$P235,$S$5:$S$1000,"Macro")-1)&gt;0.0001),"Pesos del mes suman "&amp;TEXT(SUMIFS($F$5:$F$1000,$P$5:$P$1000,$P235,$S$5:$S$1000,"Macro"),"0%")&amp;" · ","")&amp;IF(AND(N($T235)&gt;0,COUNT($G235:$J235)&gt;0),"Con subactividades: deje vacías las semanas (se calculan solas)"&amp;" · ","")&amp;IF((COUNTIF($G235:$J235,"&gt;1")+COUNTIF($G235:$J235,"&lt;0")+COUNTA($G235:$J235)-COUNT($G235:$J235))&gt;0,"Avance fuera de rango 0-100%"&amp;" · ","")&amp;IF(OR(AND($H235&lt;&gt;"",$H235&lt;$G235),AND($I235&lt;&gt;"",$I235&lt;MAX($G235:$H235)),AND($J235&lt;&gt;"",$J235&lt;MAX($G235:$I235))),"Avance semanal decreciente"&amp;" · ","")&amp;IF(AND(ISNUMBER($E235),$E235&lt;FechaRef,N($K235)&lt;1),"Vencida"&amp;" · ","")&amp;IF(AND(ObsObligatoria="Sí",ISNUMBER($E235),$E235&lt;FechaRef,N($K235)&lt;1,$N235=""),"Vencida sin observación"&amp;" · ",""))-3)))</f>
        <v/>
      </c>
      <c r="P235" s="70">
        <f>IF(NOT((COUNTA($B235:$J235)+COUNTA($N235))&gt;0),"",IF(AND($S235="Sub",N($R235)&gt;0),IF(ISNUMBER(INDEX($D$5:$D$1000,$R235-4)),DATE(YEAR(INDEX($D$5:$D$1000,$R235-4)),MONTH(INDEX($D$5:$D$1000,$R235-4)),1),IF(ISNUMBER(INDEX($E$5:$E$1000,$R235-4)),DATE(YEAR(INDEX($E$5:$E$1000,$R235-4)),MONTH(INDEX($E$5:$E$1000,$R235-4)),1),MesCiclo)),IF(ISNUMBER($D235),DATE(YEAR($D235),MONTH($D235),1),IF(ISNUMBER($E235),DATE(YEAR($E235),MONTH($E235),1),MesCiclo))))</f>
        <v/>
      </c>
      <c r="Q235" s="71">
        <f>IF(OR($P235="",$P235&lt;&gt;MesCiclo),"",COUNTIF($P$5:$P235,MesCiclo))</f>
        <v/>
      </c>
      <c r="R235" s="71">
        <f>IF($S235="","",IF($S235="Macro",ROW(),IFERROR(LOOKUP(2,1/($S$5:$S235="Macro"),ROW($S$5:$S235)),0)))</f>
        <v/>
      </c>
      <c r="S235" s="71">
        <f>IF(NOT((COUNTA($B235:$J235)+COUNTA($N235))&gt;0),"",IF($B235="Subactividad","Sub","Macro"))</f>
        <v/>
      </c>
      <c r="T235" s="71">
        <f>IF($S235="Macro",COUNTIFS($R$5:$R$1000,ROW(),$S$5:$S$1000,"Sub"),"")</f>
        <v/>
      </c>
      <c r="U235" s="71">
        <f>IF($S235="","",IF(ISNUMBER($G235),$G235,0))</f>
        <v/>
      </c>
      <c r="V235" s="71">
        <f>IF($S235="","",IF(ISNUMBER($H235),$H235,$U235))</f>
        <v/>
      </c>
      <c r="W235" s="71">
        <f>IF($S235="","",IF(ISNUMBER($I235),$I235,$V235))</f>
        <v/>
      </c>
      <c r="X235" s="71">
        <f>IF($S235="","",IF(ISNUMBER($J235),$J235,$W235))</f>
        <v/>
      </c>
      <c r="Y235" s="71">
        <f>IF($S235="","",IF(N($T235)&gt;0,IF(N($AG235)&gt;0,SUMIFS($AC$5:$AC$1000,$R$5:$R$1000,ROW(),$S$5:$S$1000,"Sub")/$AG235,AVERAGEIFS($U$5:$U$1000,$R$5:$R$1000,ROW(),$S$5:$S$1000,"Sub")),$U235))</f>
        <v/>
      </c>
      <c r="Z235" s="71">
        <f>IF($S235="","",IF(N($T235)&gt;0,IF(N($AG235)&gt;0,SUMIFS($AD$5:$AD$1000,$R$5:$R$1000,ROW(),$S$5:$S$1000,"Sub")/$AG235,AVERAGEIFS($V$5:$V$1000,$R$5:$R$1000,ROW(),$S$5:$S$1000,"Sub")),$V235))</f>
        <v/>
      </c>
      <c r="AA235" s="71">
        <f>IF($S235="","",IF(N($T235)&gt;0,IF(N($AG235)&gt;0,SUMIFS($AE$5:$AE$1000,$R$5:$R$1000,ROW(),$S$5:$S$1000,"Sub")/$AG235,AVERAGEIFS($W$5:$W$1000,$R$5:$R$1000,ROW(),$S$5:$S$1000,"Sub")),$W235))</f>
        <v/>
      </c>
      <c r="AB235" s="71">
        <f>IF($S235="","",IF(N($T235)&gt;0,IF(N($AG235)&gt;0,SUMIFS($AF$5:$AF$1000,$R$5:$R$1000,ROW(),$S$5:$S$1000,"Sub")/$AG235,AVERAGEIFS($X$5:$X$1000,$R$5:$R$1000,ROW(),$S$5:$S$1000,"Sub")),$X235))</f>
        <v/>
      </c>
      <c r="AC235" s="71">
        <f>IF($S235="Sub",N($F235)*N($U235),"")</f>
        <v/>
      </c>
      <c r="AD235" s="71">
        <f>IF($S235="Sub",N($F235)*N($V235),"")</f>
        <v/>
      </c>
      <c r="AE235" s="71">
        <f>IF($S235="Sub",N($F235)*N($W235),"")</f>
        <v/>
      </c>
      <c r="AF235" s="71">
        <f>IF($S235="Sub",N($F235)*N($X235),"")</f>
        <v/>
      </c>
      <c r="AG235" s="71">
        <f>IF(N($T235)&gt;0,SUMIFS($F$5:$F$1000,$R$5:$R$1000,ROW(),$S$5:$S$1000,"Sub"),"")</f>
        <v/>
      </c>
    </row>
    <row r="236">
      <c r="A236" s="62">
        <f>IF(NOT((COUNTA($B236:$J236)+COUNTA($N236))&gt;0),"",IF($S236="Macro",COUNTIFS($S$5:$S236,"Macro",$P$5:$P236,$P236),IF(N($R236)=0,"?",COUNTIFS(INDEX($S$5:$S$1000,1):INDEX($S$5:$S$1000,$R236-4),"Macro",INDEX($P$5:$P$1000,1):INDEX($P$5:$P$1000,$R236-4),INDEX($P$5:$P$1000,$R236-4))&amp;"."&amp;COUNTIFS($R$5:$R236,$R236,$S$5:$S236,"Sub"))))</f>
        <v/>
      </c>
      <c r="B236" s="63" t="n"/>
      <c r="C236" s="64" t="n"/>
      <c r="D236" s="65" t="n"/>
      <c r="E236" s="65" t="n"/>
      <c r="F236" s="66" t="n"/>
      <c r="G236" s="67" t="n"/>
      <c r="H236" s="67" t="n"/>
      <c r="I236" s="67" t="n"/>
      <c r="J236" s="67" t="n"/>
      <c r="K236" s="68">
        <f>IF(NOT((COUNTA($B236:$J236)+COUNTA($N236))&gt;0),"",IF(N($T236)&gt;0,$AB236,IFERROR(LOOKUP(2,1/(G236:J236&lt;&gt;""),G236:J236),0)))</f>
        <v/>
      </c>
      <c r="L236" s="62">
        <f>IF(K236="","",IF(K236&gt;=1,"Completado",IF(K236&gt;0,"En curso","Pendiente")))</f>
        <v/>
      </c>
      <c r="M236" s="62">
        <f>IF(NOT((COUNTA($B236:$J236)+COUNTA($N236))&gt;0),"",IF(N($K236)&gt;=1,"Cumplida",IF(NOT(ISNUMBER($E236)),"Sin fecha límite",IF($E236&lt;FechaRef,"Vencida hace "&amp;(FechaRef-$E236)&amp;IF(FechaRef-$E236=1," día"," días"),IF($E236=FechaRef,"Vence hoy",IF($E236-FechaRef&lt;=DiasAlerta,"Vence en "&amp;($E236-FechaRef)&amp;IF($E236-FechaRef=1," día"," días"),"En plazo"))))))</f>
        <v/>
      </c>
      <c r="N236" s="64" t="n"/>
      <c r="O236" s="69">
        <f>IF(NOT((COUNTA($B236:$J236)+COUNTA($N236))&gt;0),"",IF((IF($C236="","Falta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",""))="","✔ OK","⚠ "&amp;LEFT(IF($C236="","Falta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",""),LEN(IF($C236="","Falta el nombre de la actividad"&amp;" · ","")&amp;IF(AND($S236="Sub",N($R236)=0),"Subactividad sin macroactividad arriba"&amp;" · ","")&amp;IF($D236="","Sin fecha de inicio"&amp;" · ","")&amp;IF($E236="","Sin fecha límite"&amp;" · ","")&amp;IF(OR(AND($D236&lt;&gt;"",NOT(ISNUMBER($D236))),AND($E236&lt;&gt;"",NOT(ISNUMBER($E236)))),"Fecha no válida"&amp;" · ","")&amp;IF(AND(ISNUMBER($D236),ISNUMBER($E236),$D236&gt;$E236),"Inicio posterior a fecha límite"&amp;" · ","")&amp;IF(AND($S236="Macro",$F236=""),"Peso vacío"&amp;" · ","")&amp;IF(AND($S236="Macro",$F236&lt;&gt;"",OR(NOT(ISNUMBER($F236)),$F236&lt;=0,$F236&gt;1)),"Peso fuera de rango"&amp;" · ","")&amp;IF(AND($S236="Sub",$F236&lt;&gt;"",OR(NOT(ISNUMBER($F236)),$F236&lt;0,$F236&gt;1)),"Peso fuera de rango"&amp;" · ","")&amp;IF(AND($S236="Sub",$F236="",IFERROR(N(INDEX($AG$5:$AG$1000,$R236-4)),0)&gt;0),"Falta el peso de la subactividad"&amp;" · ","")&amp;IF(AND(N($T236)&gt;0,N($AG236)&gt;0,ABS(N($AG236)-N($F236))&gt;0.0001),"Pesos de sus subactividades suman "&amp;TEXT(N($AG236),"0%")&amp;" (deben sumar "&amp;TEXT(N($F236),"0%")&amp;")"&amp;" · ","")&amp;IF(AND($S236="Macro",ABS(SUMIFS($F$5:$F$1000,$P$5:$P$1000,$P236,$S$5:$S$1000,"Macro")-1)&gt;0.0001),"Pesos del mes suman "&amp;TEXT(SUMIFS($F$5:$F$1000,$P$5:$P$1000,$P236,$S$5:$S$1000,"Macro"),"0%")&amp;" · ","")&amp;IF(AND(N($T236)&gt;0,COUNT($G236:$J236)&gt;0),"Con subactividades: deje vacías las semanas (se calculan solas)"&amp;" · ","")&amp;IF((COUNTIF($G236:$J236,"&gt;1")+COUNTIF($G236:$J236,"&lt;0")+COUNTA($G236:$J236)-COUNT($G236:$J236))&gt;0,"Avance fuera de rango 0-100%"&amp;" · ","")&amp;IF(OR(AND($H236&lt;&gt;"",$H236&lt;$G236),AND($I236&lt;&gt;"",$I236&lt;MAX($G236:$H236)),AND($J236&lt;&gt;"",$J236&lt;MAX($G236:$I236))),"Avance semanal decreciente"&amp;" · ","")&amp;IF(AND(ISNUMBER($E236),$E236&lt;FechaRef,N($K236)&lt;1),"Vencida"&amp;" · ","")&amp;IF(AND(ObsObligatoria="Sí",ISNUMBER($E236),$E236&lt;FechaRef,N($K236)&lt;1,$N236=""),"Vencida sin observación"&amp;" · ",""))-3)))</f>
        <v/>
      </c>
      <c r="P236" s="70">
        <f>IF(NOT((COUNTA($B236:$J236)+COUNTA($N236))&gt;0),"",IF(AND($S236="Sub",N($R236)&gt;0),IF(ISNUMBER(INDEX($D$5:$D$1000,$R236-4)),DATE(YEAR(INDEX($D$5:$D$1000,$R236-4)),MONTH(INDEX($D$5:$D$1000,$R236-4)),1),IF(ISNUMBER(INDEX($E$5:$E$1000,$R236-4)),DATE(YEAR(INDEX($E$5:$E$1000,$R236-4)),MONTH(INDEX($E$5:$E$1000,$R236-4)),1),MesCiclo)),IF(ISNUMBER($D236),DATE(YEAR($D236),MONTH($D236),1),IF(ISNUMBER($E236),DATE(YEAR($E236),MONTH($E236),1),MesCiclo))))</f>
        <v/>
      </c>
      <c r="Q236" s="71">
        <f>IF(OR($P236="",$P236&lt;&gt;MesCiclo),"",COUNTIF($P$5:$P236,MesCiclo))</f>
        <v/>
      </c>
      <c r="R236" s="71">
        <f>IF($S236="","",IF($S236="Macro",ROW(),IFERROR(LOOKUP(2,1/($S$5:$S236="Macro"),ROW($S$5:$S236)),0)))</f>
        <v/>
      </c>
      <c r="S236" s="71">
        <f>IF(NOT((COUNTA($B236:$J236)+COUNTA($N236))&gt;0),"",IF($B236="Subactividad","Sub","Macro"))</f>
        <v/>
      </c>
      <c r="T236" s="71">
        <f>IF($S236="Macro",COUNTIFS($R$5:$R$1000,ROW(),$S$5:$S$1000,"Sub"),"")</f>
        <v/>
      </c>
      <c r="U236" s="71">
        <f>IF($S236="","",IF(ISNUMBER($G236),$G236,0))</f>
        <v/>
      </c>
      <c r="V236" s="71">
        <f>IF($S236="","",IF(ISNUMBER($H236),$H236,$U236))</f>
        <v/>
      </c>
      <c r="W236" s="71">
        <f>IF($S236="","",IF(ISNUMBER($I236),$I236,$V236))</f>
        <v/>
      </c>
      <c r="X236" s="71">
        <f>IF($S236="","",IF(ISNUMBER($J236),$J236,$W236))</f>
        <v/>
      </c>
      <c r="Y236" s="71">
        <f>IF($S236="","",IF(N($T236)&gt;0,IF(N($AG236)&gt;0,SUMIFS($AC$5:$AC$1000,$R$5:$R$1000,ROW(),$S$5:$S$1000,"Sub")/$AG236,AVERAGEIFS($U$5:$U$1000,$R$5:$R$1000,ROW(),$S$5:$S$1000,"Sub")),$U236))</f>
        <v/>
      </c>
      <c r="Z236" s="71">
        <f>IF($S236="","",IF(N($T236)&gt;0,IF(N($AG236)&gt;0,SUMIFS($AD$5:$AD$1000,$R$5:$R$1000,ROW(),$S$5:$S$1000,"Sub")/$AG236,AVERAGEIFS($V$5:$V$1000,$R$5:$R$1000,ROW(),$S$5:$S$1000,"Sub")),$V236))</f>
        <v/>
      </c>
      <c r="AA236" s="71">
        <f>IF($S236="","",IF(N($T236)&gt;0,IF(N($AG236)&gt;0,SUMIFS($AE$5:$AE$1000,$R$5:$R$1000,ROW(),$S$5:$S$1000,"Sub")/$AG236,AVERAGEIFS($W$5:$W$1000,$R$5:$R$1000,ROW(),$S$5:$S$1000,"Sub")),$W236))</f>
        <v/>
      </c>
      <c r="AB236" s="71">
        <f>IF($S236="","",IF(N($T236)&gt;0,IF(N($AG236)&gt;0,SUMIFS($AF$5:$AF$1000,$R$5:$R$1000,ROW(),$S$5:$S$1000,"Sub")/$AG236,AVERAGEIFS($X$5:$X$1000,$R$5:$R$1000,ROW(),$S$5:$S$1000,"Sub")),$X236))</f>
        <v/>
      </c>
      <c r="AC236" s="71">
        <f>IF($S236="Sub",N($F236)*N($U236),"")</f>
        <v/>
      </c>
      <c r="AD236" s="71">
        <f>IF($S236="Sub",N($F236)*N($V236),"")</f>
        <v/>
      </c>
      <c r="AE236" s="71">
        <f>IF($S236="Sub",N($F236)*N($W236),"")</f>
        <v/>
      </c>
      <c r="AF236" s="71">
        <f>IF($S236="Sub",N($F236)*N($X236),"")</f>
        <v/>
      </c>
      <c r="AG236" s="71">
        <f>IF(N($T236)&gt;0,SUMIFS($F$5:$F$1000,$R$5:$R$1000,ROW(),$S$5:$S$1000,"Sub"),"")</f>
        <v/>
      </c>
    </row>
    <row r="237">
      <c r="A237" s="62">
        <f>IF(NOT((COUNTA($B237:$J237)+COUNTA($N237))&gt;0),"",IF($S237="Macro",COUNTIFS($S$5:$S237,"Macro",$P$5:$P237,$P237),IF(N($R237)=0,"?",COUNTIFS(INDEX($S$5:$S$1000,1):INDEX($S$5:$S$1000,$R237-4),"Macro",INDEX($P$5:$P$1000,1):INDEX($P$5:$P$1000,$R237-4),INDEX($P$5:$P$1000,$R237-4))&amp;"."&amp;COUNTIFS($R$5:$R237,$R237,$S$5:$S237,"Sub"))))</f>
        <v/>
      </c>
      <c r="B237" s="63" t="n"/>
      <c r="C237" s="64" t="n"/>
      <c r="D237" s="65" t="n"/>
      <c r="E237" s="65" t="n"/>
      <c r="F237" s="66" t="n"/>
      <c r="G237" s="67" t="n"/>
      <c r="H237" s="67" t="n"/>
      <c r="I237" s="67" t="n"/>
      <c r="J237" s="67" t="n"/>
      <c r="K237" s="68">
        <f>IF(NOT((COUNTA($B237:$J237)+COUNTA($N237))&gt;0),"",IF(N($T237)&gt;0,$AB237,IFERROR(LOOKUP(2,1/(G237:J237&lt;&gt;""),G237:J237),0)))</f>
        <v/>
      </c>
      <c r="L237" s="62">
        <f>IF(K237="","",IF(K237&gt;=1,"Completado",IF(K237&gt;0,"En curso","Pendiente")))</f>
        <v/>
      </c>
      <c r="M237" s="62">
        <f>IF(NOT((COUNTA($B237:$J237)+COUNTA($N237))&gt;0),"",IF(N($K237)&gt;=1,"Cumplida",IF(NOT(ISNUMBER($E237)),"Sin fecha límite",IF($E237&lt;FechaRef,"Vencida hace "&amp;(FechaRef-$E237)&amp;IF(FechaRef-$E237=1," día"," días"),IF($E237=FechaRef,"Vence hoy",IF($E237-FechaRef&lt;=DiasAlerta,"Vence en "&amp;($E237-FechaRef)&amp;IF($E237-FechaRef=1," día"," días"),"En plazo"))))))</f>
        <v/>
      </c>
      <c r="N237" s="64" t="n"/>
      <c r="O237" s="69">
        <f>IF(NOT((COUNTA($B237:$J237)+COUNTA($N237))&gt;0),"",IF((IF($C237="","Falta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",""))="","✔ OK","⚠ "&amp;LEFT(IF($C237="","Falta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",""),LEN(IF($C237="","Falta el nombre de la actividad"&amp;" · ","")&amp;IF(AND($S237="Sub",N($R237)=0),"Subactividad sin macroactividad arriba"&amp;" · ","")&amp;IF($D237="","Sin fecha de inicio"&amp;" · ","")&amp;IF($E237="","Sin fecha límite"&amp;" · ","")&amp;IF(OR(AND($D237&lt;&gt;"",NOT(ISNUMBER($D237))),AND($E237&lt;&gt;"",NOT(ISNUMBER($E237)))),"Fecha no válida"&amp;" · ","")&amp;IF(AND(ISNUMBER($D237),ISNUMBER($E237),$D237&gt;$E237),"Inicio posterior a fecha límite"&amp;" · ","")&amp;IF(AND($S237="Macro",$F237=""),"Peso vacío"&amp;" · ","")&amp;IF(AND($S237="Macro",$F237&lt;&gt;"",OR(NOT(ISNUMBER($F237)),$F237&lt;=0,$F237&gt;1)),"Peso fuera de rango"&amp;" · ","")&amp;IF(AND($S237="Sub",$F237&lt;&gt;"",OR(NOT(ISNUMBER($F237)),$F237&lt;0,$F237&gt;1)),"Peso fuera de rango"&amp;" · ","")&amp;IF(AND($S237="Sub",$F237="",IFERROR(N(INDEX($AG$5:$AG$1000,$R237-4)),0)&gt;0),"Falta el peso de la subactividad"&amp;" · ","")&amp;IF(AND(N($T237)&gt;0,N($AG237)&gt;0,ABS(N($AG237)-N($F237))&gt;0.0001),"Pesos de sus subactividades suman "&amp;TEXT(N($AG237),"0%")&amp;" (deben sumar "&amp;TEXT(N($F237),"0%")&amp;")"&amp;" · ","")&amp;IF(AND($S237="Macro",ABS(SUMIFS($F$5:$F$1000,$P$5:$P$1000,$P237,$S$5:$S$1000,"Macro")-1)&gt;0.0001),"Pesos del mes suman "&amp;TEXT(SUMIFS($F$5:$F$1000,$P$5:$P$1000,$P237,$S$5:$S$1000,"Macro"),"0%")&amp;" · ","")&amp;IF(AND(N($T237)&gt;0,COUNT($G237:$J237)&gt;0),"Con subactividades: deje vacías las semanas (se calculan solas)"&amp;" · ","")&amp;IF((COUNTIF($G237:$J237,"&gt;1")+COUNTIF($G237:$J237,"&lt;0")+COUNTA($G237:$J237)-COUNT($G237:$J237))&gt;0,"Avance fuera de rango 0-100%"&amp;" · ","")&amp;IF(OR(AND($H237&lt;&gt;"",$H237&lt;$G237),AND($I237&lt;&gt;"",$I237&lt;MAX($G237:$H237)),AND($J237&lt;&gt;"",$J237&lt;MAX($G237:$I237))),"Avance semanal decreciente"&amp;" · ","")&amp;IF(AND(ISNUMBER($E237),$E237&lt;FechaRef,N($K237)&lt;1),"Vencida"&amp;" · ","")&amp;IF(AND(ObsObligatoria="Sí",ISNUMBER($E237),$E237&lt;FechaRef,N($K237)&lt;1,$N237=""),"Vencida sin observación"&amp;" · ",""))-3)))</f>
        <v/>
      </c>
      <c r="P237" s="70">
        <f>IF(NOT((COUNTA($B237:$J237)+COUNTA($N237))&gt;0),"",IF(AND($S237="Sub",N($R237)&gt;0),IF(ISNUMBER(INDEX($D$5:$D$1000,$R237-4)),DATE(YEAR(INDEX($D$5:$D$1000,$R237-4)),MONTH(INDEX($D$5:$D$1000,$R237-4)),1),IF(ISNUMBER(INDEX($E$5:$E$1000,$R237-4)),DATE(YEAR(INDEX($E$5:$E$1000,$R237-4)),MONTH(INDEX($E$5:$E$1000,$R237-4)),1),MesCiclo)),IF(ISNUMBER($D237),DATE(YEAR($D237),MONTH($D237),1),IF(ISNUMBER($E237),DATE(YEAR($E237),MONTH($E237),1),MesCiclo))))</f>
        <v/>
      </c>
      <c r="Q237" s="71">
        <f>IF(OR($P237="",$P237&lt;&gt;MesCiclo),"",COUNTIF($P$5:$P237,MesCiclo))</f>
        <v/>
      </c>
      <c r="R237" s="71">
        <f>IF($S237="","",IF($S237="Macro",ROW(),IFERROR(LOOKUP(2,1/($S$5:$S237="Macro"),ROW($S$5:$S237)),0)))</f>
        <v/>
      </c>
      <c r="S237" s="71">
        <f>IF(NOT((COUNTA($B237:$J237)+COUNTA($N237))&gt;0),"",IF($B237="Subactividad","Sub","Macro"))</f>
        <v/>
      </c>
      <c r="T237" s="71">
        <f>IF($S237="Macro",COUNTIFS($R$5:$R$1000,ROW(),$S$5:$S$1000,"Sub"),"")</f>
        <v/>
      </c>
      <c r="U237" s="71">
        <f>IF($S237="","",IF(ISNUMBER($G237),$G237,0))</f>
        <v/>
      </c>
      <c r="V237" s="71">
        <f>IF($S237="","",IF(ISNUMBER($H237),$H237,$U237))</f>
        <v/>
      </c>
      <c r="W237" s="71">
        <f>IF($S237="","",IF(ISNUMBER($I237),$I237,$V237))</f>
        <v/>
      </c>
      <c r="X237" s="71">
        <f>IF($S237="","",IF(ISNUMBER($J237),$J237,$W237))</f>
        <v/>
      </c>
      <c r="Y237" s="71">
        <f>IF($S237="","",IF(N($T237)&gt;0,IF(N($AG237)&gt;0,SUMIFS($AC$5:$AC$1000,$R$5:$R$1000,ROW(),$S$5:$S$1000,"Sub")/$AG237,AVERAGEIFS($U$5:$U$1000,$R$5:$R$1000,ROW(),$S$5:$S$1000,"Sub")),$U237))</f>
        <v/>
      </c>
      <c r="Z237" s="71">
        <f>IF($S237="","",IF(N($T237)&gt;0,IF(N($AG237)&gt;0,SUMIFS($AD$5:$AD$1000,$R$5:$R$1000,ROW(),$S$5:$S$1000,"Sub")/$AG237,AVERAGEIFS($V$5:$V$1000,$R$5:$R$1000,ROW(),$S$5:$S$1000,"Sub")),$V237))</f>
        <v/>
      </c>
      <c r="AA237" s="71">
        <f>IF($S237="","",IF(N($T237)&gt;0,IF(N($AG237)&gt;0,SUMIFS($AE$5:$AE$1000,$R$5:$R$1000,ROW(),$S$5:$S$1000,"Sub")/$AG237,AVERAGEIFS($W$5:$W$1000,$R$5:$R$1000,ROW(),$S$5:$S$1000,"Sub")),$W237))</f>
        <v/>
      </c>
      <c r="AB237" s="71">
        <f>IF($S237="","",IF(N($T237)&gt;0,IF(N($AG237)&gt;0,SUMIFS($AF$5:$AF$1000,$R$5:$R$1000,ROW(),$S$5:$S$1000,"Sub")/$AG237,AVERAGEIFS($X$5:$X$1000,$R$5:$R$1000,ROW(),$S$5:$S$1000,"Sub")),$X237))</f>
        <v/>
      </c>
      <c r="AC237" s="71">
        <f>IF($S237="Sub",N($F237)*N($U237),"")</f>
        <v/>
      </c>
      <c r="AD237" s="71">
        <f>IF($S237="Sub",N($F237)*N($V237),"")</f>
        <v/>
      </c>
      <c r="AE237" s="71">
        <f>IF($S237="Sub",N($F237)*N($W237),"")</f>
        <v/>
      </c>
      <c r="AF237" s="71">
        <f>IF($S237="Sub",N($F237)*N($X237),"")</f>
        <v/>
      </c>
      <c r="AG237" s="71">
        <f>IF(N($T237)&gt;0,SUMIFS($F$5:$F$1000,$R$5:$R$1000,ROW(),$S$5:$S$1000,"Sub"),"")</f>
        <v/>
      </c>
    </row>
    <row r="238">
      <c r="A238" s="62">
        <f>IF(NOT((COUNTA($B238:$J238)+COUNTA($N238))&gt;0),"",IF($S238="Macro",COUNTIFS($S$5:$S238,"Macro",$P$5:$P238,$P238),IF(N($R238)=0,"?",COUNTIFS(INDEX($S$5:$S$1000,1):INDEX($S$5:$S$1000,$R238-4),"Macro",INDEX($P$5:$P$1000,1):INDEX($P$5:$P$1000,$R238-4),INDEX($P$5:$P$1000,$R238-4))&amp;"."&amp;COUNTIFS($R$5:$R238,$R238,$S$5:$S238,"Sub"))))</f>
        <v/>
      </c>
      <c r="B238" s="63" t="n"/>
      <c r="C238" s="64" t="n"/>
      <c r="D238" s="65" t="n"/>
      <c r="E238" s="65" t="n"/>
      <c r="F238" s="66" t="n"/>
      <c r="G238" s="67" t="n"/>
      <c r="H238" s="67" t="n"/>
      <c r="I238" s="67" t="n"/>
      <c r="J238" s="67" t="n"/>
      <c r="K238" s="68">
        <f>IF(NOT((COUNTA($B238:$J238)+COUNTA($N238))&gt;0),"",IF(N($T238)&gt;0,$AB238,IFERROR(LOOKUP(2,1/(G238:J238&lt;&gt;""),G238:J238),0)))</f>
        <v/>
      </c>
      <c r="L238" s="62">
        <f>IF(K238="","",IF(K238&gt;=1,"Completado",IF(K238&gt;0,"En curso","Pendiente")))</f>
        <v/>
      </c>
      <c r="M238" s="62">
        <f>IF(NOT((COUNTA($B238:$J238)+COUNTA($N238))&gt;0),"",IF(N($K238)&gt;=1,"Cumplida",IF(NOT(ISNUMBER($E238)),"Sin fecha límite",IF($E238&lt;FechaRef,"Vencida hace "&amp;(FechaRef-$E238)&amp;IF(FechaRef-$E238=1," día"," días"),IF($E238=FechaRef,"Vence hoy",IF($E238-FechaRef&lt;=DiasAlerta,"Vence en "&amp;($E238-FechaRef)&amp;IF($E238-FechaRef=1," día"," días"),"En plazo"))))))</f>
        <v/>
      </c>
      <c r="N238" s="64" t="n"/>
      <c r="O238" s="69">
        <f>IF(NOT((COUNTA($B238:$J238)+COUNTA($N238))&gt;0),"",IF((IF($C238="","Falta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",""))="","✔ OK","⚠ "&amp;LEFT(IF($C238="","Falta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",""),LEN(IF($C238="","Falta el nombre de la actividad"&amp;" · ","")&amp;IF(AND($S238="Sub",N($R238)=0),"Subactividad sin macroactividad arriba"&amp;" · ","")&amp;IF($D238="","Sin fecha de inicio"&amp;" · ","")&amp;IF($E238="","Sin fecha límite"&amp;" · ","")&amp;IF(OR(AND($D238&lt;&gt;"",NOT(ISNUMBER($D238))),AND($E238&lt;&gt;"",NOT(ISNUMBER($E238)))),"Fecha no válida"&amp;" · ","")&amp;IF(AND(ISNUMBER($D238),ISNUMBER($E238),$D238&gt;$E238),"Inicio posterior a fecha límite"&amp;" · ","")&amp;IF(AND($S238="Macro",$F238=""),"Peso vacío"&amp;" · ","")&amp;IF(AND($S238="Macro",$F238&lt;&gt;"",OR(NOT(ISNUMBER($F238)),$F238&lt;=0,$F238&gt;1)),"Peso fuera de rango"&amp;" · ","")&amp;IF(AND($S238="Sub",$F238&lt;&gt;"",OR(NOT(ISNUMBER($F238)),$F238&lt;0,$F238&gt;1)),"Peso fuera de rango"&amp;" · ","")&amp;IF(AND($S238="Sub",$F238="",IFERROR(N(INDEX($AG$5:$AG$1000,$R238-4)),0)&gt;0),"Falta el peso de la subactividad"&amp;" · ","")&amp;IF(AND(N($T238)&gt;0,N($AG238)&gt;0,ABS(N($AG238)-N($F238))&gt;0.0001),"Pesos de sus subactividades suman "&amp;TEXT(N($AG238),"0%")&amp;" (deben sumar "&amp;TEXT(N($F238),"0%")&amp;")"&amp;" · ","")&amp;IF(AND($S238="Macro",ABS(SUMIFS($F$5:$F$1000,$P$5:$P$1000,$P238,$S$5:$S$1000,"Macro")-1)&gt;0.0001),"Pesos del mes suman "&amp;TEXT(SUMIFS($F$5:$F$1000,$P$5:$P$1000,$P238,$S$5:$S$1000,"Macro"),"0%")&amp;" · ","")&amp;IF(AND(N($T238)&gt;0,COUNT($G238:$J238)&gt;0),"Con subactividades: deje vacías las semanas (se calculan solas)"&amp;" · ","")&amp;IF((COUNTIF($G238:$J238,"&gt;1")+COUNTIF($G238:$J238,"&lt;0")+COUNTA($G238:$J238)-COUNT($G238:$J238))&gt;0,"Avance fuera de rango 0-100%"&amp;" · ","")&amp;IF(OR(AND($H238&lt;&gt;"",$H238&lt;$G238),AND($I238&lt;&gt;"",$I238&lt;MAX($G238:$H238)),AND($J238&lt;&gt;"",$J238&lt;MAX($G238:$I238))),"Avance semanal decreciente"&amp;" · ","")&amp;IF(AND(ISNUMBER($E238),$E238&lt;FechaRef,N($K238)&lt;1),"Vencida"&amp;" · ","")&amp;IF(AND(ObsObligatoria="Sí",ISNUMBER($E238),$E238&lt;FechaRef,N($K238)&lt;1,$N238=""),"Vencida sin observación"&amp;" · ",""))-3)))</f>
        <v/>
      </c>
      <c r="P238" s="70">
        <f>IF(NOT((COUNTA($B238:$J238)+COUNTA($N238))&gt;0),"",IF(AND($S238="Sub",N($R238)&gt;0),IF(ISNUMBER(INDEX($D$5:$D$1000,$R238-4)),DATE(YEAR(INDEX($D$5:$D$1000,$R238-4)),MONTH(INDEX($D$5:$D$1000,$R238-4)),1),IF(ISNUMBER(INDEX($E$5:$E$1000,$R238-4)),DATE(YEAR(INDEX($E$5:$E$1000,$R238-4)),MONTH(INDEX($E$5:$E$1000,$R238-4)),1),MesCiclo)),IF(ISNUMBER($D238),DATE(YEAR($D238),MONTH($D238),1),IF(ISNUMBER($E238),DATE(YEAR($E238),MONTH($E238),1),MesCiclo))))</f>
        <v/>
      </c>
      <c r="Q238" s="71">
        <f>IF(OR($P238="",$P238&lt;&gt;MesCiclo),"",COUNTIF($P$5:$P238,MesCiclo))</f>
        <v/>
      </c>
      <c r="R238" s="71">
        <f>IF($S238="","",IF($S238="Macro",ROW(),IFERROR(LOOKUP(2,1/($S$5:$S238="Macro"),ROW($S$5:$S238)),0)))</f>
        <v/>
      </c>
      <c r="S238" s="71">
        <f>IF(NOT((COUNTA($B238:$J238)+COUNTA($N238))&gt;0),"",IF($B238="Subactividad","Sub","Macro"))</f>
        <v/>
      </c>
      <c r="T238" s="71">
        <f>IF($S238="Macro",COUNTIFS($R$5:$R$1000,ROW(),$S$5:$S$1000,"Sub"),"")</f>
        <v/>
      </c>
      <c r="U238" s="71">
        <f>IF($S238="","",IF(ISNUMBER($G238),$G238,0))</f>
        <v/>
      </c>
      <c r="V238" s="71">
        <f>IF($S238="","",IF(ISNUMBER($H238),$H238,$U238))</f>
        <v/>
      </c>
      <c r="W238" s="71">
        <f>IF($S238="","",IF(ISNUMBER($I238),$I238,$V238))</f>
        <v/>
      </c>
      <c r="X238" s="71">
        <f>IF($S238="","",IF(ISNUMBER($J238),$J238,$W238))</f>
        <v/>
      </c>
      <c r="Y238" s="71">
        <f>IF($S238="","",IF(N($T238)&gt;0,IF(N($AG238)&gt;0,SUMIFS($AC$5:$AC$1000,$R$5:$R$1000,ROW(),$S$5:$S$1000,"Sub")/$AG238,AVERAGEIFS($U$5:$U$1000,$R$5:$R$1000,ROW(),$S$5:$S$1000,"Sub")),$U238))</f>
        <v/>
      </c>
      <c r="Z238" s="71">
        <f>IF($S238="","",IF(N($T238)&gt;0,IF(N($AG238)&gt;0,SUMIFS($AD$5:$AD$1000,$R$5:$R$1000,ROW(),$S$5:$S$1000,"Sub")/$AG238,AVERAGEIFS($V$5:$V$1000,$R$5:$R$1000,ROW(),$S$5:$S$1000,"Sub")),$V238))</f>
        <v/>
      </c>
      <c r="AA238" s="71">
        <f>IF($S238="","",IF(N($T238)&gt;0,IF(N($AG238)&gt;0,SUMIFS($AE$5:$AE$1000,$R$5:$R$1000,ROW(),$S$5:$S$1000,"Sub")/$AG238,AVERAGEIFS($W$5:$W$1000,$R$5:$R$1000,ROW(),$S$5:$S$1000,"Sub")),$W238))</f>
        <v/>
      </c>
      <c r="AB238" s="71">
        <f>IF($S238="","",IF(N($T238)&gt;0,IF(N($AG238)&gt;0,SUMIFS($AF$5:$AF$1000,$R$5:$R$1000,ROW(),$S$5:$S$1000,"Sub")/$AG238,AVERAGEIFS($X$5:$X$1000,$R$5:$R$1000,ROW(),$S$5:$S$1000,"Sub")),$X238))</f>
        <v/>
      </c>
      <c r="AC238" s="71">
        <f>IF($S238="Sub",N($F238)*N($U238),"")</f>
        <v/>
      </c>
      <c r="AD238" s="71">
        <f>IF($S238="Sub",N($F238)*N($V238),"")</f>
        <v/>
      </c>
      <c r="AE238" s="71">
        <f>IF($S238="Sub",N($F238)*N($W238),"")</f>
        <v/>
      </c>
      <c r="AF238" s="71">
        <f>IF($S238="Sub",N($F238)*N($X238),"")</f>
        <v/>
      </c>
      <c r="AG238" s="71">
        <f>IF(N($T238)&gt;0,SUMIFS($F$5:$F$1000,$R$5:$R$1000,ROW(),$S$5:$S$1000,"Sub"),"")</f>
        <v/>
      </c>
    </row>
    <row r="239">
      <c r="A239" s="62">
        <f>IF(NOT((COUNTA($B239:$J239)+COUNTA($N239))&gt;0),"",IF($S239="Macro",COUNTIFS($S$5:$S239,"Macro",$P$5:$P239,$P239),IF(N($R239)=0,"?",COUNTIFS(INDEX($S$5:$S$1000,1):INDEX($S$5:$S$1000,$R239-4),"Macro",INDEX($P$5:$P$1000,1):INDEX($P$5:$P$1000,$R239-4),INDEX($P$5:$P$1000,$R239-4))&amp;"."&amp;COUNTIFS($R$5:$R239,$R239,$S$5:$S239,"Sub"))))</f>
        <v/>
      </c>
      <c r="B239" s="63" t="n"/>
      <c r="C239" s="64" t="n"/>
      <c r="D239" s="65" t="n"/>
      <c r="E239" s="65" t="n"/>
      <c r="F239" s="66" t="n"/>
      <c r="G239" s="67" t="n"/>
      <c r="H239" s="67" t="n"/>
      <c r="I239" s="67" t="n"/>
      <c r="J239" s="67" t="n"/>
      <c r="K239" s="68">
        <f>IF(NOT((COUNTA($B239:$J239)+COUNTA($N239))&gt;0),"",IF(N($T239)&gt;0,$AB239,IFERROR(LOOKUP(2,1/(G239:J239&lt;&gt;""),G239:J239),0)))</f>
        <v/>
      </c>
      <c r="L239" s="62">
        <f>IF(K239="","",IF(K239&gt;=1,"Completado",IF(K239&gt;0,"En curso","Pendiente")))</f>
        <v/>
      </c>
      <c r="M239" s="62">
        <f>IF(NOT((COUNTA($B239:$J239)+COUNTA($N239))&gt;0),"",IF(N($K239)&gt;=1,"Cumplida",IF(NOT(ISNUMBER($E239)),"Sin fecha límite",IF($E239&lt;FechaRef,"Vencida hace "&amp;(FechaRef-$E239)&amp;IF(FechaRef-$E239=1," día"," días"),IF($E239=FechaRef,"Vence hoy",IF($E239-FechaRef&lt;=DiasAlerta,"Vence en "&amp;($E239-FechaRef)&amp;IF($E239-FechaRef=1," día"," días"),"En plazo"))))))</f>
        <v/>
      </c>
      <c r="N239" s="64" t="n"/>
      <c r="O239" s="69">
        <f>IF(NOT((COUNTA($B239:$J239)+COUNTA($N239))&gt;0),"",IF((IF($C239="","Falta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",""))="","✔ OK","⚠ "&amp;LEFT(IF($C239="","Falta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",""),LEN(IF($C239="","Falta el nombre de la actividad"&amp;" · ","")&amp;IF(AND($S239="Sub",N($R239)=0),"Subactividad sin macroactividad arriba"&amp;" · ","")&amp;IF($D239="","Sin fecha de inicio"&amp;" · ","")&amp;IF($E239="","Sin fecha límite"&amp;" · ","")&amp;IF(OR(AND($D239&lt;&gt;"",NOT(ISNUMBER($D239))),AND($E239&lt;&gt;"",NOT(ISNUMBER($E239)))),"Fecha no válida"&amp;" · ","")&amp;IF(AND(ISNUMBER($D239),ISNUMBER($E239),$D239&gt;$E239),"Inicio posterior a fecha límite"&amp;" · ","")&amp;IF(AND($S239="Macro",$F239=""),"Peso vacío"&amp;" · ","")&amp;IF(AND($S239="Macro",$F239&lt;&gt;"",OR(NOT(ISNUMBER($F239)),$F239&lt;=0,$F239&gt;1)),"Peso fuera de rango"&amp;" · ","")&amp;IF(AND($S239="Sub",$F239&lt;&gt;"",OR(NOT(ISNUMBER($F239)),$F239&lt;0,$F239&gt;1)),"Peso fuera de rango"&amp;" · ","")&amp;IF(AND($S239="Sub",$F239="",IFERROR(N(INDEX($AG$5:$AG$1000,$R239-4)),0)&gt;0),"Falta el peso de la subactividad"&amp;" · ","")&amp;IF(AND(N($T239)&gt;0,N($AG239)&gt;0,ABS(N($AG239)-N($F239))&gt;0.0001),"Pesos de sus subactividades suman "&amp;TEXT(N($AG239),"0%")&amp;" (deben sumar "&amp;TEXT(N($F239),"0%")&amp;")"&amp;" · ","")&amp;IF(AND($S239="Macro",ABS(SUMIFS($F$5:$F$1000,$P$5:$P$1000,$P239,$S$5:$S$1000,"Macro")-1)&gt;0.0001),"Pesos del mes suman "&amp;TEXT(SUMIFS($F$5:$F$1000,$P$5:$P$1000,$P239,$S$5:$S$1000,"Macro"),"0%")&amp;" · ","")&amp;IF(AND(N($T239)&gt;0,COUNT($G239:$J239)&gt;0),"Con subactividades: deje vacías las semanas (se calculan solas)"&amp;" · ","")&amp;IF((COUNTIF($G239:$J239,"&gt;1")+COUNTIF($G239:$J239,"&lt;0")+COUNTA($G239:$J239)-COUNT($G239:$J239))&gt;0,"Avance fuera de rango 0-100%"&amp;" · ","")&amp;IF(OR(AND($H239&lt;&gt;"",$H239&lt;$G239),AND($I239&lt;&gt;"",$I239&lt;MAX($G239:$H239)),AND($J239&lt;&gt;"",$J239&lt;MAX($G239:$I239))),"Avance semanal decreciente"&amp;" · ","")&amp;IF(AND(ISNUMBER($E239),$E239&lt;FechaRef,N($K239)&lt;1),"Vencida"&amp;" · ","")&amp;IF(AND(ObsObligatoria="Sí",ISNUMBER($E239),$E239&lt;FechaRef,N($K239)&lt;1,$N239=""),"Vencida sin observación"&amp;" · ",""))-3)))</f>
        <v/>
      </c>
      <c r="P239" s="70">
        <f>IF(NOT((COUNTA($B239:$J239)+COUNTA($N239))&gt;0),"",IF(AND($S239="Sub",N($R239)&gt;0),IF(ISNUMBER(INDEX($D$5:$D$1000,$R239-4)),DATE(YEAR(INDEX($D$5:$D$1000,$R239-4)),MONTH(INDEX($D$5:$D$1000,$R239-4)),1),IF(ISNUMBER(INDEX($E$5:$E$1000,$R239-4)),DATE(YEAR(INDEX($E$5:$E$1000,$R239-4)),MONTH(INDEX($E$5:$E$1000,$R239-4)),1),MesCiclo)),IF(ISNUMBER($D239),DATE(YEAR($D239),MONTH($D239),1),IF(ISNUMBER($E239),DATE(YEAR($E239),MONTH($E239),1),MesCiclo))))</f>
        <v/>
      </c>
      <c r="Q239" s="71">
        <f>IF(OR($P239="",$P239&lt;&gt;MesCiclo),"",COUNTIF($P$5:$P239,MesCiclo))</f>
        <v/>
      </c>
      <c r="R239" s="71">
        <f>IF($S239="","",IF($S239="Macro",ROW(),IFERROR(LOOKUP(2,1/($S$5:$S239="Macro"),ROW($S$5:$S239)),0)))</f>
        <v/>
      </c>
      <c r="S239" s="71">
        <f>IF(NOT((COUNTA($B239:$J239)+COUNTA($N239))&gt;0),"",IF($B239="Subactividad","Sub","Macro"))</f>
        <v/>
      </c>
      <c r="T239" s="71">
        <f>IF($S239="Macro",COUNTIFS($R$5:$R$1000,ROW(),$S$5:$S$1000,"Sub"),"")</f>
        <v/>
      </c>
      <c r="U239" s="71">
        <f>IF($S239="","",IF(ISNUMBER($G239),$G239,0))</f>
        <v/>
      </c>
      <c r="V239" s="71">
        <f>IF($S239="","",IF(ISNUMBER($H239),$H239,$U239))</f>
        <v/>
      </c>
      <c r="W239" s="71">
        <f>IF($S239="","",IF(ISNUMBER($I239),$I239,$V239))</f>
        <v/>
      </c>
      <c r="X239" s="71">
        <f>IF($S239="","",IF(ISNUMBER($J239),$J239,$W239))</f>
        <v/>
      </c>
      <c r="Y239" s="71">
        <f>IF($S239="","",IF(N($T239)&gt;0,IF(N($AG239)&gt;0,SUMIFS($AC$5:$AC$1000,$R$5:$R$1000,ROW(),$S$5:$S$1000,"Sub")/$AG239,AVERAGEIFS($U$5:$U$1000,$R$5:$R$1000,ROW(),$S$5:$S$1000,"Sub")),$U239))</f>
        <v/>
      </c>
      <c r="Z239" s="71">
        <f>IF($S239="","",IF(N($T239)&gt;0,IF(N($AG239)&gt;0,SUMIFS($AD$5:$AD$1000,$R$5:$R$1000,ROW(),$S$5:$S$1000,"Sub")/$AG239,AVERAGEIFS($V$5:$V$1000,$R$5:$R$1000,ROW(),$S$5:$S$1000,"Sub")),$V239))</f>
        <v/>
      </c>
      <c r="AA239" s="71">
        <f>IF($S239="","",IF(N($T239)&gt;0,IF(N($AG239)&gt;0,SUMIFS($AE$5:$AE$1000,$R$5:$R$1000,ROW(),$S$5:$S$1000,"Sub")/$AG239,AVERAGEIFS($W$5:$W$1000,$R$5:$R$1000,ROW(),$S$5:$S$1000,"Sub")),$W239))</f>
        <v/>
      </c>
      <c r="AB239" s="71">
        <f>IF($S239="","",IF(N($T239)&gt;0,IF(N($AG239)&gt;0,SUMIFS($AF$5:$AF$1000,$R$5:$R$1000,ROW(),$S$5:$S$1000,"Sub")/$AG239,AVERAGEIFS($X$5:$X$1000,$R$5:$R$1000,ROW(),$S$5:$S$1000,"Sub")),$X239))</f>
        <v/>
      </c>
      <c r="AC239" s="71">
        <f>IF($S239="Sub",N($F239)*N($U239),"")</f>
        <v/>
      </c>
      <c r="AD239" s="71">
        <f>IF($S239="Sub",N($F239)*N($V239),"")</f>
        <v/>
      </c>
      <c r="AE239" s="71">
        <f>IF($S239="Sub",N($F239)*N($W239),"")</f>
        <v/>
      </c>
      <c r="AF239" s="71">
        <f>IF($S239="Sub",N($F239)*N($X239),"")</f>
        <v/>
      </c>
      <c r="AG239" s="71">
        <f>IF(N($T239)&gt;0,SUMIFS($F$5:$F$1000,$R$5:$R$1000,ROW(),$S$5:$S$1000,"Sub"),"")</f>
        <v/>
      </c>
    </row>
    <row r="240">
      <c r="A240" s="62">
        <f>IF(NOT((COUNTA($B240:$J240)+COUNTA($N240))&gt;0),"",IF($S240="Macro",COUNTIFS($S$5:$S240,"Macro",$P$5:$P240,$P240),IF(N($R240)=0,"?",COUNTIFS(INDEX($S$5:$S$1000,1):INDEX($S$5:$S$1000,$R240-4),"Macro",INDEX($P$5:$P$1000,1):INDEX($P$5:$P$1000,$R240-4),INDEX($P$5:$P$1000,$R240-4))&amp;"."&amp;COUNTIFS($R$5:$R240,$R240,$S$5:$S240,"Sub"))))</f>
        <v/>
      </c>
      <c r="B240" s="63" t="n"/>
      <c r="C240" s="64" t="n"/>
      <c r="D240" s="65" t="n"/>
      <c r="E240" s="65" t="n"/>
      <c r="F240" s="66" t="n"/>
      <c r="G240" s="67" t="n"/>
      <c r="H240" s="67" t="n"/>
      <c r="I240" s="67" t="n"/>
      <c r="J240" s="67" t="n"/>
      <c r="K240" s="68">
        <f>IF(NOT((COUNTA($B240:$J240)+COUNTA($N240))&gt;0),"",IF(N($T240)&gt;0,$AB240,IFERROR(LOOKUP(2,1/(G240:J240&lt;&gt;""),G240:J240),0)))</f>
        <v/>
      </c>
      <c r="L240" s="62">
        <f>IF(K240="","",IF(K240&gt;=1,"Completado",IF(K240&gt;0,"En curso","Pendiente")))</f>
        <v/>
      </c>
      <c r="M240" s="62">
        <f>IF(NOT((COUNTA($B240:$J240)+COUNTA($N240))&gt;0),"",IF(N($K240)&gt;=1,"Cumplida",IF(NOT(ISNUMBER($E240)),"Sin fecha límite",IF($E240&lt;FechaRef,"Vencida hace "&amp;(FechaRef-$E240)&amp;IF(FechaRef-$E240=1," día"," días"),IF($E240=FechaRef,"Vence hoy",IF($E240-FechaRef&lt;=DiasAlerta,"Vence en "&amp;($E240-FechaRef)&amp;IF($E240-FechaRef=1," día"," días"),"En plazo"))))))</f>
        <v/>
      </c>
      <c r="N240" s="64" t="n"/>
      <c r="O240" s="69">
        <f>IF(NOT((COUNTA($B240:$J240)+COUNTA($N240))&gt;0),"",IF((IF($C240="","Falta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",""))="","✔ OK","⚠ "&amp;LEFT(IF($C240="","Falta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",""),LEN(IF($C240="","Falta el nombre de la actividad"&amp;" · ","")&amp;IF(AND($S240="Sub",N($R240)=0),"Subactividad sin macroactividad arriba"&amp;" · ","")&amp;IF($D240="","Sin fecha de inicio"&amp;" · ","")&amp;IF($E240="","Sin fecha límite"&amp;" · ","")&amp;IF(OR(AND($D240&lt;&gt;"",NOT(ISNUMBER($D240))),AND($E240&lt;&gt;"",NOT(ISNUMBER($E240)))),"Fecha no válida"&amp;" · ","")&amp;IF(AND(ISNUMBER($D240),ISNUMBER($E240),$D240&gt;$E240),"Inicio posterior a fecha límite"&amp;" · ","")&amp;IF(AND($S240="Macro",$F240=""),"Peso vacío"&amp;" · ","")&amp;IF(AND($S240="Macro",$F240&lt;&gt;"",OR(NOT(ISNUMBER($F240)),$F240&lt;=0,$F240&gt;1)),"Peso fuera de rango"&amp;" · ","")&amp;IF(AND($S240="Sub",$F240&lt;&gt;"",OR(NOT(ISNUMBER($F240)),$F240&lt;0,$F240&gt;1)),"Peso fuera de rango"&amp;" · ","")&amp;IF(AND($S240="Sub",$F240="",IFERROR(N(INDEX($AG$5:$AG$1000,$R240-4)),0)&gt;0),"Falta el peso de la subactividad"&amp;" · ","")&amp;IF(AND(N($T240)&gt;0,N($AG240)&gt;0,ABS(N($AG240)-N($F240))&gt;0.0001),"Pesos de sus subactividades suman "&amp;TEXT(N($AG240),"0%")&amp;" (deben sumar "&amp;TEXT(N($F240),"0%")&amp;")"&amp;" · ","")&amp;IF(AND($S240="Macro",ABS(SUMIFS($F$5:$F$1000,$P$5:$P$1000,$P240,$S$5:$S$1000,"Macro")-1)&gt;0.0001),"Pesos del mes suman "&amp;TEXT(SUMIFS($F$5:$F$1000,$P$5:$P$1000,$P240,$S$5:$S$1000,"Macro"),"0%")&amp;" · ","")&amp;IF(AND(N($T240)&gt;0,COUNT($G240:$J240)&gt;0),"Con subactividades: deje vacías las semanas (se calculan solas)"&amp;" · ","")&amp;IF((COUNTIF($G240:$J240,"&gt;1")+COUNTIF($G240:$J240,"&lt;0")+COUNTA($G240:$J240)-COUNT($G240:$J240))&gt;0,"Avance fuera de rango 0-100%"&amp;" · ","")&amp;IF(OR(AND($H240&lt;&gt;"",$H240&lt;$G240),AND($I240&lt;&gt;"",$I240&lt;MAX($G240:$H240)),AND($J240&lt;&gt;"",$J240&lt;MAX($G240:$I240))),"Avance semanal decreciente"&amp;" · ","")&amp;IF(AND(ISNUMBER($E240),$E240&lt;FechaRef,N($K240)&lt;1),"Vencida"&amp;" · ","")&amp;IF(AND(ObsObligatoria="Sí",ISNUMBER($E240),$E240&lt;FechaRef,N($K240)&lt;1,$N240=""),"Vencida sin observación"&amp;" · ",""))-3)))</f>
        <v/>
      </c>
      <c r="P240" s="70">
        <f>IF(NOT((COUNTA($B240:$J240)+COUNTA($N240))&gt;0),"",IF(AND($S240="Sub",N($R240)&gt;0),IF(ISNUMBER(INDEX($D$5:$D$1000,$R240-4)),DATE(YEAR(INDEX($D$5:$D$1000,$R240-4)),MONTH(INDEX($D$5:$D$1000,$R240-4)),1),IF(ISNUMBER(INDEX($E$5:$E$1000,$R240-4)),DATE(YEAR(INDEX($E$5:$E$1000,$R240-4)),MONTH(INDEX($E$5:$E$1000,$R240-4)),1),MesCiclo)),IF(ISNUMBER($D240),DATE(YEAR($D240),MONTH($D240),1),IF(ISNUMBER($E240),DATE(YEAR($E240),MONTH($E240),1),MesCiclo))))</f>
        <v/>
      </c>
      <c r="Q240" s="71">
        <f>IF(OR($P240="",$P240&lt;&gt;MesCiclo),"",COUNTIF($P$5:$P240,MesCiclo))</f>
        <v/>
      </c>
      <c r="R240" s="71">
        <f>IF($S240="","",IF($S240="Macro",ROW(),IFERROR(LOOKUP(2,1/($S$5:$S240="Macro"),ROW($S$5:$S240)),0)))</f>
        <v/>
      </c>
      <c r="S240" s="71">
        <f>IF(NOT((COUNTA($B240:$J240)+COUNTA($N240))&gt;0),"",IF($B240="Subactividad","Sub","Macro"))</f>
        <v/>
      </c>
      <c r="T240" s="71">
        <f>IF($S240="Macro",COUNTIFS($R$5:$R$1000,ROW(),$S$5:$S$1000,"Sub"),"")</f>
        <v/>
      </c>
      <c r="U240" s="71">
        <f>IF($S240="","",IF(ISNUMBER($G240),$G240,0))</f>
        <v/>
      </c>
      <c r="V240" s="71">
        <f>IF($S240="","",IF(ISNUMBER($H240),$H240,$U240))</f>
        <v/>
      </c>
      <c r="W240" s="71">
        <f>IF($S240="","",IF(ISNUMBER($I240),$I240,$V240))</f>
        <v/>
      </c>
      <c r="X240" s="71">
        <f>IF($S240="","",IF(ISNUMBER($J240),$J240,$W240))</f>
        <v/>
      </c>
      <c r="Y240" s="71">
        <f>IF($S240="","",IF(N($T240)&gt;0,IF(N($AG240)&gt;0,SUMIFS($AC$5:$AC$1000,$R$5:$R$1000,ROW(),$S$5:$S$1000,"Sub")/$AG240,AVERAGEIFS($U$5:$U$1000,$R$5:$R$1000,ROW(),$S$5:$S$1000,"Sub")),$U240))</f>
        <v/>
      </c>
      <c r="Z240" s="71">
        <f>IF($S240="","",IF(N($T240)&gt;0,IF(N($AG240)&gt;0,SUMIFS($AD$5:$AD$1000,$R$5:$R$1000,ROW(),$S$5:$S$1000,"Sub")/$AG240,AVERAGEIFS($V$5:$V$1000,$R$5:$R$1000,ROW(),$S$5:$S$1000,"Sub")),$V240))</f>
        <v/>
      </c>
      <c r="AA240" s="71">
        <f>IF($S240="","",IF(N($T240)&gt;0,IF(N($AG240)&gt;0,SUMIFS($AE$5:$AE$1000,$R$5:$R$1000,ROW(),$S$5:$S$1000,"Sub")/$AG240,AVERAGEIFS($W$5:$W$1000,$R$5:$R$1000,ROW(),$S$5:$S$1000,"Sub")),$W240))</f>
        <v/>
      </c>
      <c r="AB240" s="71">
        <f>IF($S240="","",IF(N($T240)&gt;0,IF(N($AG240)&gt;0,SUMIFS($AF$5:$AF$1000,$R$5:$R$1000,ROW(),$S$5:$S$1000,"Sub")/$AG240,AVERAGEIFS($X$5:$X$1000,$R$5:$R$1000,ROW(),$S$5:$S$1000,"Sub")),$X240))</f>
        <v/>
      </c>
      <c r="AC240" s="71">
        <f>IF($S240="Sub",N($F240)*N($U240),"")</f>
        <v/>
      </c>
      <c r="AD240" s="71">
        <f>IF($S240="Sub",N($F240)*N($V240),"")</f>
        <v/>
      </c>
      <c r="AE240" s="71">
        <f>IF($S240="Sub",N($F240)*N($W240),"")</f>
        <v/>
      </c>
      <c r="AF240" s="71">
        <f>IF($S240="Sub",N($F240)*N($X240),"")</f>
        <v/>
      </c>
      <c r="AG240" s="71">
        <f>IF(N($T240)&gt;0,SUMIFS($F$5:$F$1000,$R$5:$R$1000,ROW(),$S$5:$S$1000,"Sub"),"")</f>
        <v/>
      </c>
    </row>
    <row r="241">
      <c r="A241" s="62">
        <f>IF(NOT((COUNTA($B241:$J241)+COUNTA($N241))&gt;0),"",IF($S241="Macro",COUNTIFS($S$5:$S241,"Macro",$P$5:$P241,$P241),IF(N($R241)=0,"?",COUNTIFS(INDEX($S$5:$S$1000,1):INDEX($S$5:$S$1000,$R241-4),"Macro",INDEX($P$5:$P$1000,1):INDEX($P$5:$P$1000,$R241-4),INDEX($P$5:$P$1000,$R241-4))&amp;"."&amp;COUNTIFS($R$5:$R241,$R241,$S$5:$S241,"Sub"))))</f>
        <v/>
      </c>
      <c r="B241" s="63" t="n"/>
      <c r="C241" s="64" t="n"/>
      <c r="D241" s="65" t="n"/>
      <c r="E241" s="65" t="n"/>
      <c r="F241" s="66" t="n"/>
      <c r="G241" s="67" t="n"/>
      <c r="H241" s="67" t="n"/>
      <c r="I241" s="67" t="n"/>
      <c r="J241" s="67" t="n"/>
      <c r="K241" s="68">
        <f>IF(NOT((COUNTA($B241:$J241)+COUNTA($N241))&gt;0),"",IF(N($T241)&gt;0,$AB241,IFERROR(LOOKUP(2,1/(G241:J241&lt;&gt;""),G241:J241),0)))</f>
        <v/>
      </c>
      <c r="L241" s="62">
        <f>IF(K241="","",IF(K241&gt;=1,"Completado",IF(K241&gt;0,"En curso","Pendiente")))</f>
        <v/>
      </c>
      <c r="M241" s="62">
        <f>IF(NOT((COUNTA($B241:$J241)+COUNTA($N241))&gt;0),"",IF(N($K241)&gt;=1,"Cumplida",IF(NOT(ISNUMBER($E241)),"Sin fecha límite",IF($E241&lt;FechaRef,"Vencida hace "&amp;(FechaRef-$E241)&amp;IF(FechaRef-$E241=1," día"," días"),IF($E241=FechaRef,"Vence hoy",IF($E241-FechaRef&lt;=DiasAlerta,"Vence en "&amp;($E241-FechaRef)&amp;IF($E241-FechaRef=1," día"," días"),"En plazo"))))))</f>
        <v/>
      </c>
      <c r="N241" s="64" t="n"/>
      <c r="O241" s="69">
        <f>IF(NOT((COUNTA($B241:$J241)+COUNTA($N241))&gt;0),"",IF((IF($C241="","Falta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",""))="","✔ OK","⚠ "&amp;LEFT(IF($C241="","Falta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",""),LEN(IF($C241="","Falta el nombre de la actividad"&amp;" · ","")&amp;IF(AND($S241="Sub",N($R241)=0),"Subactividad sin macroactividad arriba"&amp;" · ","")&amp;IF($D241="","Sin fecha de inicio"&amp;" · ","")&amp;IF($E241="","Sin fecha límite"&amp;" · ","")&amp;IF(OR(AND($D241&lt;&gt;"",NOT(ISNUMBER($D241))),AND($E241&lt;&gt;"",NOT(ISNUMBER($E241)))),"Fecha no válida"&amp;" · ","")&amp;IF(AND(ISNUMBER($D241),ISNUMBER($E241),$D241&gt;$E241),"Inicio posterior a fecha límite"&amp;" · ","")&amp;IF(AND($S241="Macro",$F241=""),"Peso vacío"&amp;" · ","")&amp;IF(AND($S241="Macro",$F241&lt;&gt;"",OR(NOT(ISNUMBER($F241)),$F241&lt;=0,$F241&gt;1)),"Peso fuera de rango"&amp;" · ","")&amp;IF(AND($S241="Sub",$F241&lt;&gt;"",OR(NOT(ISNUMBER($F241)),$F241&lt;0,$F241&gt;1)),"Peso fuera de rango"&amp;" · ","")&amp;IF(AND($S241="Sub",$F241="",IFERROR(N(INDEX($AG$5:$AG$1000,$R241-4)),0)&gt;0),"Falta el peso de la subactividad"&amp;" · ","")&amp;IF(AND(N($T241)&gt;0,N($AG241)&gt;0,ABS(N($AG241)-N($F241))&gt;0.0001),"Pesos de sus subactividades suman "&amp;TEXT(N($AG241),"0%")&amp;" (deben sumar "&amp;TEXT(N($F241),"0%")&amp;")"&amp;" · ","")&amp;IF(AND($S241="Macro",ABS(SUMIFS($F$5:$F$1000,$P$5:$P$1000,$P241,$S$5:$S$1000,"Macro")-1)&gt;0.0001),"Pesos del mes suman "&amp;TEXT(SUMIFS($F$5:$F$1000,$P$5:$P$1000,$P241,$S$5:$S$1000,"Macro"),"0%")&amp;" · ","")&amp;IF(AND(N($T241)&gt;0,COUNT($G241:$J241)&gt;0),"Con subactividades: deje vacías las semanas (se calculan solas)"&amp;" · ","")&amp;IF((COUNTIF($G241:$J241,"&gt;1")+COUNTIF($G241:$J241,"&lt;0")+COUNTA($G241:$J241)-COUNT($G241:$J241))&gt;0,"Avance fuera de rango 0-100%"&amp;" · ","")&amp;IF(OR(AND($H241&lt;&gt;"",$H241&lt;$G241),AND($I241&lt;&gt;"",$I241&lt;MAX($G241:$H241)),AND($J241&lt;&gt;"",$J241&lt;MAX($G241:$I241))),"Avance semanal decreciente"&amp;" · ","")&amp;IF(AND(ISNUMBER($E241),$E241&lt;FechaRef,N($K241)&lt;1),"Vencida"&amp;" · ","")&amp;IF(AND(ObsObligatoria="Sí",ISNUMBER($E241),$E241&lt;FechaRef,N($K241)&lt;1,$N241=""),"Vencida sin observación"&amp;" · ",""))-3)))</f>
        <v/>
      </c>
      <c r="P241" s="70">
        <f>IF(NOT((COUNTA($B241:$J241)+COUNTA($N241))&gt;0),"",IF(AND($S241="Sub",N($R241)&gt;0),IF(ISNUMBER(INDEX($D$5:$D$1000,$R241-4)),DATE(YEAR(INDEX($D$5:$D$1000,$R241-4)),MONTH(INDEX($D$5:$D$1000,$R241-4)),1),IF(ISNUMBER(INDEX($E$5:$E$1000,$R241-4)),DATE(YEAR(INDEX($E$5:$E$1000,$R241-4)),MONTH(INDEX($E$5:$E$1000,$R241-4)),1),MesCiclo)),IF(ISNUMBER($D241),DATE(YEAR($D241),MONTH($D241),1),IF(ISNUMBER($E241),DATE(YEAR($E241),MONTH($E241),1),MesCiclo))))</f>
        <v/>
      </c>
      <c r="Q241" s="71">
        <f>IF(OR($P241="",$P241&lt;&gt;MesCiclo),"",COUNTIF($P$5:$P241,MesCiclo))</f>
        <v/>
      </c>
      <c r="R241" s="71">
        <f>IF($S241="","",IF($S241="Macro",ROW(),IFERROR(LOOKUP(2,1/($S$5:$S241="Macro"),ROW($S$5:$S241)),0)))</f>
        <v/>
      </c>
      <c r="S241" s="71">
        <f>IF(NOT((COUNTA($B241:$J241)+COUNTA($N241))&gt;0),"",IF($B241="Subactividad","Sub","Macro"))</f>
        <v/>
      </c>
      <c r="T241" s="71">
        <f>IF($S241="Macro",COUNTIFS($R$5:$R$1000,ROW(),$S$5:$S$1000,"Sub"),"")</f>
        <v/>
      </c>
      <c r="U241" s="71">
        <f>IF($S241="","",IF(ISNUMBER($G241),$G241,0))</f>
        <v/>
      </c>
      <c r="V241" s="71">
        <f>IF($S241="","",IF(ISNUMBER($H241),$H241,$U241))</f>
        <v/>
      </c>
      <c r="W241" s="71">
        <f>IF($S241="","",IF(ISNUMBER($I241),$I241,$V241))</f>
        <v/>
      </c>
      <c r="X241" s="71">
        <f>IF($S241="","",IF(ISNUMBER($J241),$J241,$W241))</f>
        <v/>
      </c>
      <c r="Y241" s="71">
        <f>IF($S241="","",IF(N($T241)&gt;0,IF(N($AG241)&gt;0,SUMIFS($AC$5:$AC$1000,$R$5:$R$1000,ROW(),$S$5:$S$1000,"Sub")/$AG241,AVERAGEIFS($U$5:$U$1000,$R$5:$R$1000,ROW(),$S$5:$S$1000,"Sub")),$U241))</f>
        <v/>
      </c>
      <c r="Z241" s="71">
        <f>IF($S241="","",IF(N($T241)&gt;0,IF(N($AG241)&gt;0,SUMIFS($AD$5:$AD$1000,$R$5:$R$1000,ROW(),$S$5:$S$1000,"Sub")/$AG241,AVERAGEIFS($V$5:$V$1000,$R$5:$R$1000,ROW(),$S$5:$S$1000,"Sub")),$V241))</f>
        <v/>
      </c>
      <c r="AA241" s="71">
        <f>IF($S241="","",IF(N($T241)&gt;0,IF(N($AG241)&gt;0,SUMIFS($AE$5:$AE$1000,$R$5:$R$1000,ROW(),$S$5:$S$1000,"Sub")/$AG241,AVERAGEIFS($W$5:$W$1000,$R$5:$R$1000,ROW(),$S$5:$S$1000,"Sub")),$W241))</f>
        <v/>
      </c>
      <c r="AB241" s="71">
        <f>IF($S241="","",IF(N($T241)&gt;0,IF(N($AG241)&gt;0,SUMIFS($AF$5:$AF$1000,$R$5:$R$1000,ROW(),$S$5:$S$1000,"Sub")/$AG241,AVERAGEIFS($X$5:$X$1000,$R$5:$R$1000,ROW(),$S$5:$S$1000,"Sub")),$X241))</f>
        <v/>
      </c>
      <c r="AC241" s="71">
        <f>IF($S241="Sub",N($F241)*N($U241),"")</f>
        <v/>
      </c>
      <c r="AD241" s="71">
        <f>IF($S241="Sub",N($F241)*N($V241),"")</f>
        <v/>
      </c>
      <c r="AE241" s="71">
        <f>IF($S241="Sub",N($F241)*N($W241),"")</f>
        <v/>
      </c>
      <c r="AF241" s="71">
        <f>IF($S241="Sub",N($F241)*N($X241),"")</f>
        <v/>
      </c>
      <c r="AG241" s="71">
        <f>IF(N($T241)&gt;0,SUMIFS($F$5:$F$1000,$R$5:$R$1000,ROW(),$S$5:$S$1000,"Sub"),"")</f>
        <v/>
      </c>
    </row>
    <row r="242">
      <c r="A242" s="62">
        <f>IF(NOT((COUNTA($B242:$J242)+COUNTA($N242))&gt;0),"",IF($S242="Macro",COUNTIFS($S$5:$S242,"Macro",$P$5:$P242,$P242),IF(N($R242)=0,"?",COUNTIFS(INDEX($S$5:$S$1000,1):INDEX($S$5:$S$1000,$R242-4),"Macro",INDEX($P$5:$P$1000,1):INDEX($P$5:$P$1000,$R242-4),INDEX($P$5:$P$1000,$R242-4))&amp;"."&amp;COUNTIFS($R$5:$R242,$R242,$S$5:$S242,"Sub"))))</f>
        <v/>
      </c>
      <c r="B242" s="63" t="n"/>
      <c r="C242" s="64" t="n"/>
      <c r="D242" s="65" t="n"/>
      <c r="E242" s="65" t="n"/>
      <c r="F242" s="66" t="n"/>
      <c r="G242" s="67" t="n"/>
      <c r="H242" s="67" t="n"/>
      <c r="I242" s="67" t="n"/>
      <c r="J242" s="67" t="n"/>
      <c r="K242" s="68">
        <f>IF(NOT((COUNTA($B242:$J242)+COUNTA($N242))&gt;0),"",IF(N($T242)&gt;0,$AB242,IFERROR(LOOKUP(2,1/(G242:J242&lt;&gt;""),G242:J242),0)))</f>
        <v/>
      </c>
      <c r="L242" s="62">
        <f>IF(K242="","",IF(K242&gt;=1,"Completado",IF(K242&gt;0,"En curso","Pendiente")))</f>
        <v/>
      </c>
      <c r="M242" s="62">
        <f>IF(NOT((COUNTA($B242:$J242)+COUNTA($N242))&gt;0),"",IF(N($K242)&gt;=1,"Cumplida",IF(NOT(ISNUMBER($E242)),"Sin fecha límite",IF($E242&lt;FechaRef,"Vencida hace "&amp;(FechaRef-$E242)&amp;IF(FechaRef-$E242=1," día"," días"),IF($E242=FechaRef,"Vence hoy",IF($E242-FechaRef&lt;=DiasAlerta,"Vence en "&amp;($E242-FechaRef)&amp;IF($E242-FechaRef=1," día"," días"),"En plazo"))))))</f>
        <v/>
      </c>
      <c r="N242" s="64" t="n"/>
      <c r="O242" s="69">
        <f>IF(NOT((COUNTA($B242:$J242)+COUNTA($N242))&gt;0),"",IF((IF($C242="","Falta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",""))="","✔ OK","⚠ "&amp;LEFT(IF($C242="","Falta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",""),LEN(IF($C242="","Falta el nombre de la actividad"&amp;" · ","")&amp;IF(AND($S242="Sub",N($R242)=0),"Subactividad sin macroactividad arriba"&amp;" · ","")&amp;IF($D242="","Sin fecha de inicio"&amp;" · ","")&amp;IF($E242="","Sin fecha límite"&amp;" · ","")&amp;IF(OR(AND($D242&lt;&gt;"",NOT(ISNUMBER($D242))),AND($E242&lt;&gt;"",NOT(ISNUMBER($E242)))),"Fecha no válida"&amp;" · ","")&amp;IF(AND(ISNUMBER($D242),ISNUMBER($E242),$D242&gt;$E242),"Inicio posterior a fecha límite"&amp;" · ","")&amp;IF(AND($S242="Macro",$F242=""),"Peso vacío"&amp;" · ","")&amp;IF(AND($S242="Macro",$F242&lt;&gt;"",OR(NOT(ISNUMBER($F242)),$F242&lt;=0,$F242&gt;1)),"Peso fuera de rango"&amp;" · ","")&amp;IF(AND($S242="Sub",$F242&lt;&gt;"",OR(NOT(ISNUMBER($F242)),$F242&lt;0,$F242&gt;1)),"Peso fuera de rango"&amp;" · ","")&amp;IF(AND($S242="Sub",$F242="",IFERROR(N(INDEX($AG$5:$AG$1000,$R242-4)),0)&gt;0),"Falta el peso de la subactividad"&amp;" · ","")&amp;IF(AND(N($T242)&gt;0,N($AG242)&gt;0,ABS(N($AG242)-N($F242))&gt;0.0001),"Pesos de sus subactividades suman "&amp;TEXT(N($AG242),"0%")&amp;" (deben sumar "&amp;TEXT(N($F242),"0%")&amp;")"&amp;" · ","")&amp;IF(AND($S242="Macro",ABS(SUMIFS($F$5:$F$1000,$P$5:$P$1000,$P242,$S$5:$S$1000,"Macro")-1)&gt;0.0001),"Pesos del mes suman "&amp;TEXT(SUMIFS($F$5:$F$1000,$P$5:$P$1000,$P242,$S$5:$S$1000,"Macro"),"0%")&amp;" · ","")&amp;IF(AND(N($T242)&gt;0,COUNT($G242:$J242)&gt;0),"Con subactividades: deje vacías las semanas (se calculan solas)"&amp;" · ","")&amp;IF((COUNTIF($G242:$J242,"&gt;1")+COUNTIF($G242:$J242,"&lt;0")+COUNTA($G242:$J242)-COUNT($G242:$J242))&gt;0,"Avance fuera de rango 0-100%"&amp;" · ","")&amp;IF(OR(AND($H242&lt;&gt;"",$H242&lt;$G242),AND($I242&lt;&gt;"",$I242&lt;MAX($G242:$H242)),AND($J242&lt;&gt;"",$J242&lt;MAX($G242:$I242))),"Avance semanal decreciente"&amp;" · ","")&amp;IF(AND(ISNUMBER($E242),$E242&lt;FechaRef,N($K242)&lt;1),"Vencida"&amp;" · ","")&amp;IF(AND(ObsObligatoria="Sí",ISNUMBER($E242),$E242&lt;FechaRef,N($K242)&lt;1,$N242=""),"Vencida sin observación"&amp;" · ",""))-3)))</f>
        <v/>
      </c>
      <c r="P242" s="70">
        <f>IF(NOT((COUNTA($B242:$J242)+COUNTA($N242))&gt;0),"",IF(AND($S242="Sub",N($R242)&gt;0),IF(ISNUMBER(INDEX($D$5:$D$1000,$R242-4)),DATE(YEAR(INDEX($D$5:$D$1000,$R242-4)),MONTH(INDEX($D$5:$D$1000,$R242-4)),1),IF(ISNUMBER(INDEX($E$5:$E$1000,$R242-4)),DATE(YEAR(INDEX($E$5:$E$1000,$R242-4)),MONTH(INDEX($E$5:$E$1000,$R242-4)),1),MesCiclo)),IF(ISNUMBER($D242),DATE(YEAR($D242),MONTH($D242),1),IF(ISNUMBER($E242),DATE(YEAR($E242),MONTH($E242),1),MesCiclo))))</f>
        <v/>
      </c>
      <c r="Q242" s="71">
        <f>IF(OR($P242="",$P242&lt;&gt;MesCiclo),"",COUNTIF($P$5:$P242,MesCiclo))</f>
        <v/>
      </c>
      <c r="R242" s="71">
        <f>IF($S242="","",IF($S242="Macro",ROW(),IFERROR(LOOKUP(2,1/($S$5:$S242="Macro"),ROW($S$5:$S242)),0)))</f>
        <v/>
      </c>
      <c r="S242" s="71">
        <f>IF(NOT((COUNTA($B242:$J242)+COUNTA($N242))&gt;0),"",IF($B242="Subactividad","Sub","Macro"))</f>
        <v/>
      </c>
      <c r="T242" s="71">
        <f>IF($S242="Macro",COUNTIFS($R$5:$R$1000,ROW(),$S$5:$S$1000,"Sub"),"")</f>
        <v/>
      </c>
      <c r="U242" s="71">
        <f>IF($S242="","",IF(ISNUMBER($G242),$G242,0))</f>
        <v/>
      </c>
      <c r="V242" s="71">
        <f>IF($S242="","",IF(ISNUMBER($H242),$H242,$U242))</f>
        <v/>
      </c>
      <c r="W242" s="71">
        <f>IF($S242="","",IF(ISNUMBER($I242),$I242,$V242))</f>
        <v/>
      </c>
      <c r="X242" s="71">
        <f>IF($S242="","",IF(ISNUMBER($J242),$J242,$W242))</f>
        <v/>
      </c>
      <c r="Y242" s="71">
        <f>IF($S242="","",IF(N($T242)&gt;0,IF(N($AG242)&gt;0,SUMIFS($AC$5:$AC$1000,$R$5:$R$1000,ROW(),$S$5:$S$1000,"Sub")/$AG242,AVERAGEIFS($U$5:$U$1000,$R$5:$R$1000,ROW(),$S$5:$S$1000,"Sub")),$U242))</f>
        <v/>
      </c>
      <c r="Z242" s="71">
        <f>IF($S242="","",IF(N($T242)&gt;0,IF(N($AG242)&gt;0,SUMIFS($AD$5:$AD$1000,$R$5:$R$1000,ROW(),$S$5:$S$1000,"Sub")/$AG242,AVERAGEIFS($V$5:$V$1000,$R$5:$R$1000,ROW(),$S$5:$S$1000,"Sub")),$V242))</f>
        <v/>
      </c>
      <c r="AA242" s="71">
        <f>IF($S242="","",IF(N($T242)&gt;0,IF(N($AG242)&gt;0,SUMIFS($AE$5:$AE$1000,$R$5:$R$1000,ROW(),$S$5:$S$1000,"Sub")/$AG242,AVERAGEIFS($W$5:$W$1000,$R$5:$R$1000,ROW(),$S$5:$S$1000,"Sub")),$W242))</f>
        <v/>
      </c>
      <c r="AB242" s="71">
        <f>IF($S242="","",IF(N($T242)&gt;0,IF(N($AG242)&gt;0,SUMIFS($AF$5:$AF$1000,$R$5:$R$1000,ROW(),$S$5:$S$1000,"Sub")/$AG242,AVERAGEIFS($X$5:$X$1000,$R$5:$R$1000,ROW(),$S$5:$S$1000,"Sub")),$X242))</f>
        <v/>
      </c>
      <c r="AC242" s="71">
        <f>IF($S242="Sub",N($F242)*N($U242),"")</f>
        <v/>
      </c>
      <c r="AD242" s="71">
        <f>IF($S242="Sub",N($F242)*N($V242),"")</f>
        <v/>
      </c>
      <c r="AE242" s="71">
        <f>IF($S242="Sub",N($F242)*N($W242),"")</f>
        <v/>
      </c>
      <c r="AF242" s="71">
        <f>IF($S242="Sub",N($F242)*N($X242),"")</f>
        <v/>
      </c>
      <c r="AG242" s="71">
        <f>IF(N($T242)&gt;0,SUMIFS($F$5:$F$1000,$R$5:$R$1000,ROW(),$S$5:$S$1000,"Sub"),"")</f>
        <v/>
      </c>
    </row>
    <row r="243">
      <c r="A243" s="62">
        <f>IF(NOT((COUNTA($B243:$J243)+COUNTA($N243))&gt;0),"",IF($S243="Macro",COUNTIFS($S$5:$S243,"Macro",$P$5:$P243,$P243),IF(N($R243)=0,"?",COUNTIFS(INDEX($S$5:$S$1000,1):INDEX($S$5:$S$1000,$R243-4),"Macro",INDEX($P$5:$P$1000,1):INDEX($P$5:$P$1000,$R243-4),INDEX($P$5:$P$1000,$R243-4))&amp;"."&amp;COUNTIFS($R$5:$R243,$R243,$S$5:$S243,"Sub"))))</f>
        <v/>
      </c>
      <c r="B243" s="63" t="n"/>
      <c r="C243" s="64" t="n"/>
      <c r="D243" s="65" t="n"/>
      <c r="E243" s="65" t="n"/>
      <c r="F243" s="66" t="n"/>
      <c r="G243" s="67" t="n"/>
      <c r="H243" s="67" t="n"/>
      <c r="I243" s="67" t="n"/>
      <c r="J243" s="67" t="n"/>
      <c r="K243" s="68">
        <f>IF(NOT((COUNTA($B243:$J243)+COUNTA($N243))&gt;0),"",IF(N($T243)&gt;0,$AB243,IFERROR(LOOKUP(2,1/(G243:J243&lt;&gt;""),G243:J243),0)))</f>
        <v/>
      </c>
      <c r="L243" s="62">
        <f>IF(K243="","",IF(K243&gt;=1,"Completado",IF(K243&gt;0,"En curso","Pendiente")))</f>
        <v/>
      </c>
      <c r="M243" s="62">
        <f>IF(NOT((COUNTA($B243:$J243)+COUNTA($N243))&gt;0),"",IF(N($K243)&gt;=1,"Cumplida",IF(NOT(ISNUMBER($E243)),"Sin fecha límite",IF($E243&lt;FechaRef,"Vencida hace "&amp;(FechaRef-$E243)&amp;IF(FechaRef-$E243=1," día"," días"),IF($E243=FechaRef,"Vence hoy",IF($E243-FechaRef&lt;=DiasAlerta,"Vence en "&amp;($E243-FechaRef)&amp;IF($E243-FechaRef=1," día"," días"),"En plazo"))))))</f>
        <v/>
      </c>
      <c r="N243" s="64" t="n"/>
      <c r="O243" s="69">
        <f>IF(NOT((COUNTA($B243:$J243)+COUNTA($N243))&gt;0),"",IF((IF($C243="","Falta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",""))="","✔ OK","⚠ "&amp;LEFT(IF($C243="","Falta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",""),LEN(IF($C243="","Falta el nombre de la actividad"&amp;" · ","")&amp;IF(AND($S243="Sub",N($R243)=0),"Subactividad sin macroactividad arriba"&amp;" · ","")&amp;IF($D243="","Sin fecha de inicio"&amp;" · ","")&amp;IF($E243="","Sin fecha límite"&amp;" · ","")&amp;IF(OR(AND($D243&lt;&gt;"",NOT(ISNUMBER($D243))),AND($E243&lt;&gt;"",NOT(ISNUMBER($E243)))),"Fecha no válida"&amp;" · ","")&amp;IF(AND(ISNUMBER($D243),ISNUMBER($E243),$D243&gt;$E243),"Inicio posterior a fecha límite"&amp;" · ","")&amp;IF(AND($S243="Macro",$F243=""),"Peso vacío"&amp;" · ","")&amp;IF(AND($S243="Macro",$F243&lt;&gt;"",OR(NOT(ISNUMBER($F243)),$F243&lt;=0,$F243&gt;1)),"Peso fuera de rango"&amp;" · ","")&amp;IF(AND($S243="Sub",$F243&lt;&gt;"",OR(NOT(ISNUMBER($F243)),$F243&lt;0,$F243&gt;1)),"Peso fuera de rango"&amp;" · ","")&amp;IF(AND($S243="Sub",$F243="",IFERROR(N(INDEX($AG$5:$AG$1000,$R243-4)),0)&gt;0),"Falta el peso de la subactividad"&amp;" · ","")&amp;IF(AND(N($T243)&gt;0,N($AG243)&gt;0,ABS(N($AG243)-N($F243))&gt;0.0001),"Pesos de sus subactividades suman "&amp;TEXT(N($AG243),"0%")&amp;" (deben sumar "&amp;TEXT(N($F243),"0%")&amp;")"&amp;" · ","")&amp;IF(AND($S243="Macro",ABS(SUMIFS($F$5:$F$1000,$P$5:$P$1000,$P243,$S$5:$S$1000,"Macro")-1)&gt;0.0001),"Pesos del mes suman "&amp;TEXT(SUMIFS($F$5:$F$1000,$P$5:$P$1000,$P243,$S$5:$S$1000,"Macro"),"0%")&amp;" · ","")&amp;IF(AND(N($T243)&gt;0,COUNT($G243:$J243)&gt;0),"Con subactividades: deje vacías las semanas (se calculan solas)"&amp;" · ","")&amp;IF((COUNTIF($G243:$J243,"&gt;1")+COUNTIF($G243:$J243,"&lt;0")+COUNTA($G243:$J243)-COUNT($G243:$J243))&gt;0,"Avance fuera de rango 0-100%"&amp;" · ","")&amp;IF(OR(AND($H243&lt;&gt;"",$H243&lt;$G243),AND($I243&lt;&gt;"",$I243&lt;MAX($G243:$H243)),AND($J243&lt;&gt;"",$J243&lt;MAX($G243:$I243))),"Avance semanal decreciente"&amp;" · ","")&amp;IF(AND(ISNUMBER($E243),$E243&lt;FechaRef,N($K243)&lt;1),"Vencida"&amp;" · ","")&amp;IF(AND(ObsObligatoria="Sí",ISNUMBER($E243),$E243&lt;FechaRef,N($K243)&lt;1,$N243=""),"Vencida sin observación"&amp;" · ",""))-3)))</f>
        <v/>
      </c>
      <c r="P243" s="70">
        <f>IF(NOT((COUNTA($B243:$J243)+COUNTA($N243))&gt;0),"",IF(AND($S243="Sub",N($R243)&gt;0),IF(ISNUMBER(INDEX($D$5:$D$1000,$R243-4)),DATE(YEAR(INDEX($D$5:$D$1000,$R243-4)),MONTH(INDEX($D$5:$D$1000,$R243-4)),1),IF(ISNUMBER(INDEX($E$5:$E$1000,$R243-4)),DATE(YEAR(INDEX($E$5:$E$1000,$R243-4)),MONTH(INDEX($E$5:$E$1000,$R243-4)),1),MesCiclo)),IF(ISNUMBER($D243),DATE(YEAR($D243),MONTH($D243),1),IF(ISNUMBER($E243),DATE(YEAR($E243),MONTH($E243),1),MesCiclo))))</f>
        <v/>
      </c>
      <c r="Q243" s="71">
        <f>IF(OR($P243="",$P243&lt;&gt;MesCiclo),"",COUNTIF($P$5:$P243,MesCiclo))</f>
        <v/>
      </c>
      <c r="R243" s="71">
        <f>IF($S243="","",IF($S243="Macro",ROW(),IFERROR(LOOKUP(2,1/($S$5:$S243="Macro"),ROW($S$5:$S243)),0)))</f>
        <v/>
      </c>
      <c r="S243" s="71">
        <f>IF(NOT((COUNTA($B243:$J243)+COUNTA($N243))&gt;0),"",IF($B243="Subactividad","Sub","Macro"))</f>
        <v/>
      </c>
      <c r="T243" s="71">
        <f>IF($S243="Macro",COUNTIFS($R$5:$R$1000,ROW(),$S$5:$S$1000,"Sub"),"")</f>
        <v/>
      </c>
      <c r="U243" s="71">
        <f>IF($S243="","",IF(ISNUMBER($G243),$G243,0))</f>
        <v/>
      </c>
      <c r="V243" s="71">
        <f>IF($S243="","",IF(ISNUMBER($H243),$H243,$U243))</f>
        <v/>
      </c>
      <c r="W243" s="71">
        <f>IF($S243="","",IF(ISNUMBER($I243),$I243,$V243))</f>
        <v/>
      </c>
      <c r="X243" s="71">
        <f>IF($S243="","",IF(ISNUMBER($J243),$J243,$W243))</f>
        <v/>
      </c>
      <c r="Y243" s="71">
        <f>IF($S243="","",IF(N($T243)&gt;0,IF(N($AG243)&gt;0,SUMIFS($AC$5:$AC$1000,$R$5:$R$1000,ROW(),$S$5:$S$1000,"Sub")/$AG243,AVERAGEIFS($U$5:$U$1000,$R$5:$R$1000,ROW(),$S$5:$S$1000,"Sub")),$U243))</f>
        <v/>
      </c>
      <c r="Z243" s="71">
        <f>IF($S243="","",IF(N($T243)&gt;0,IF(N($AG243)&gt;0,SUMIFS($AD$5:$AD$1000,$R$5:$R$1000,ROW(),$S$5:$S$1000,"Sub")/$AG243,AVERAGEIFS($V$5:$V$1000,$R$5:$R$1000,ROW(),$S$5:$S$1000,"Sub")),$V243))</f>
        <v/>
      </c>
      <c r="AA243" s="71">
        <f>IF($S243="","",IF(N($T243)&gt;0,IF(N($AG243)&gt;0,SUMIFS($AE$5:$AE$1000,$R$5:$R$1000,ROW(),$S$5:$S$1000,"Sub")/$AG243,AVERAGEIFS($W$5:$W$1000,$R$5:$R$1000,ROW(),$S$5:$S$1000,"Sub")),$W243))</f>
        <v/>
      </c>
      <c r="AB243" s="71">
        <f>IF($S243="","",IF(N($T243)&gt;0,IF(N($AG243)&gt;0,SUMIFS($AF$5:$AF$1000,$R$5:$R$1000,ROW(),$S$5:$S$1000,"Sub")/$AG243,AVERAGEIFS($X$5:$X$1000,$R$5:$R$1000,ROW(),$S$5:$S$1000,"Sub")),$X243))</f>
        <v/>
      </c>
      <c r="AC243" s="71">
        <f>IF($S243="Sub",N($F243)*N($U243),"")</f>
        <v/>
      </c>
      <c r="AD243" s="71">
        <f>IF($S243="Sub",N($F243)*N($V243),"")</f>
        <v/>
      </c>
      <c r="AE243" s="71">
        <f>IF($S243="Sub",N($F243)*N($W243),"")</f>
        <v/>
      </c>
      <c r="AF243" s="71">
        <f>IF($S243="Sub",N($F243)*N($X243),"")</f>
        <v/>
      </c>
      <c r="AG243" s="71">
        <f>IF(N($T243)&gt;0,SUMIFS($F$5:$F$1000,$R$5:$R$1000,ROW(),$S$5:$S$1000,"Sub"),"")</f>
        <v/>
      </c>
    </row>
    <row r="244">
      <c r="A244" s="62">
        <f>IF(NOT((COUNTA($B244:$J244)+COUNTA($N244))&gt;0),"",IF($S244="Macro",COUNTIFS($S$5:$S244,"Macro",$P$5:$P244,$P244),IF(N($R244)=0,"?",COUNTIFS(INDEX($S$5:$S$1000,1):INDEX($S$5:$S$1000,$R244-4),"Macro",INDEX($P$5:$P$1000,1):INDEX($P$5:$P$1000,$R244-4),INDEX($P$5:$P$1000,$R244-4))&amp;"."&amp;COUNTIFS($R$5:$R244,$R244,$S$5:$S244,"Sub"))))</f>
        <v/>
      </c>
      <c r="B244" s="63" t="n"/>
      <c r="C244" s="64" t="n"/>
      <c r="D244" s="65" t="n"/>
      <c r="E244" s="65" t="n"/>
      <c r="F244" s="66" t="n"/>
      <c r="G244" s="67" t="n"/>
      <c r="H244" s="67" t="n"/>
      <c r="I244" s="67" t="n"/>
      <c r="J244" s="67" t="n"/>
      <c r="K244" s="68">
        <f>IF(NOT((COUNTA($B244:$J244)+COUNTA($N244))&gt;0),"",IF(N($T244)&gt;0,$AB244,IFERROR(LOOKUP(2,1/(G244:J244&lt;&gt;""),G244:J244),0)))</f>
        <v/>
      </c>
      <c r="L244" s="62">
        <f>IF(K244="","",IF(K244&gt;=1,"Completado",IF(K244&gt;0,"En curso","Pendiente")))</f>
        <v/>
      </c>
      <c r="M244" s="62">
        <f>IF(NOT((COUNTA($B244:$J244)+COUNTA($N244))&gt;0),"",IF(N($K244)&gt;=1,"Cumplida",IF(NOT(ISNUMBER($E244)),"Sin fecha límite",IF($E244&lt;FechaRef,"Vencida hace "&amp;(FechaRef-$E244)&amp;IF(FechaRef-$E244=1," día"," días"),IF($E244=FechaRef,"Vence hoy",IF($E244-FechaRef&lt;=DiasAlerta,"Vence en "&amp;($E244-FechaRef)&amp;IF($E244-FechaRef=1," día"," días"),"En plazo"))))))</f>
        <v/>
      </c>
      <c r="N244" s="64" t="n"/>
      <c r="O244" s="69">
        <f>IF(NOT((COUNTA($B244:$J244)+COUNTA($N244))&gt;0),"",IF((IF($C244="","Falta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",""))="","✔ OK","⚠ "&amp;LEFT(IF($C244="","Falta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",""),LEN(IF($C244="","Falta el nombre de la actividad"&amp;" · ","")&amp;IF(AND($S244="Sub",N($R244)=0),"Subactividad sin macroactividad arriba"&amp;" · ","")&amp;IF($D244="","Sin fecha de inicio"&amp;" · ","")&amp;IF($E244="","Sin fecha límite"&amp;" · ","")&amp;IF(OR(AND($D244&lt;&gt;"",NOT(ISNUMBER($D244))),AND($E244&lt;&gt;"",NOT(ISNUMBER($E244)))),"Fecha no válida"&amp;" · ","")&amp;IF(AND(ISNUMBER($D244),ISNUMBER($E244),$D244&gt;$E244),"Inicio posterior a fecha límite"&amp;" · ","")&amp;IF(AND($S244="Macro",$F244=""),"Peso vacío"&amp;" · ","")&amp;IF(AND($S244="Macro",$F244&lt;&gt;"",OR(NOT(ISNUMBER($F244)),$F244&lt;=0,$F244&gt;1)),"Peso fuera de rango"&amp;" · ","")&amp;IF(AND($S244="Sub",$F244&lt;&gt;"",OR(NOT(ISNUMBER($F244)),$F244&lt;0,$F244&gt;1)),"Peso fuera de rango"&amp;" · ","")&amp;IF(AND($S244="Sub",$F244="",IFERROR(N(INDEX($AG$5:$AG$1000,$R244-4)),0)&gt;0),"Falta el peso de la subactividad"&amp;" · ","")&amp;IF(AND(N($T244)&gt;0,N($AG244)&gt;0,ABS(N($AG244)-N($F244))&gt;0.0001),"Pesos de sus subactividades suman "&amp;TEXT(N($AG244),"0%")&amp;" (deben sumar "&amp;TEXT(N($F244),"0%")&amp;")"&amp;" · ","")&amp;IF(AND($S244="Macro",ABS(SUMIFS($F$5:$F$1000,$P$5:$P$1000,$P244,$S$5:$S$1000,"Macro")-1)&gt;0.0001),"Pesos del mes suman "&amp;TEXT(SUMIFS($F$5:$F$1000,$P$5:$P$1000,$P244,$S$5:$S$1000,"Macro"),"0%")&amp;" · ","")&amp;IF(AND(N($T244)&gt;0,COUNT($G244:$J244)&gt;0),"Con subactividades: deje vacías las semanas (se calculan solas)"&amp;" · ","")&amp;IF((COUNTIF($G244:$J244,"&gt;1")+COUNTIF($G244:$J244,"&lt;0")+COUNTA($G244:$J244)-COUNT($G244:$J244))&gt;0,"Avance fuera de rango 0-100%"&amp;" · ","")&amp;IF(OR(AND($H244&lt;&gt;"",$H244&lt;$G244),AND($I244&lt;&gt;"",$I244&lt;MAX($G244:$H244)),AND($J244&lt;&gt;"",$J244&lt;MAX($G244:$I244))),"Avance semanal decreciente"&amp;" · ","")&amp;IF(AND(ISNUMBER($E244),$E244&lt;FechaRef,N($K244)&lt;1),"Vencida"&amp;" · ","")&amp;IF(AND(ObsObligatoria="Sí",ISNUMBER($E244),$E244&lt;FechaRef,N($K244)&lt;1,$N244=""),"Vencida sin observación"&amp;" · ",""))-3)))</f>
        <v/>
      </c>
      <c r="P244" s="70">
        <f>IF(NOT((COUNTA($B244:$J244)+COUNTA($N244))&gt;0),"",IF(AND($S244="Sub",N($R244)&gt;0),IF(ISNUMBER(INDEX($D$5:$D$1000,$R244-4)),DATE(YEAR(INDEX($D$5:$D$1000,$R244-4)),MONTH(INDEX($D$5:$D$1000,$R244-4)),1),IF(ISNUMBER(INDEX($E$5:$E$1000,$R244-4)),DATE(YEAR(INDEX($E$5:$E$1000,$R244-4)),MONTH(INDEX($E$5:$E$1000,$R244-4)),1),MesCiclo)),IF(ISNUMBER($D244),DATE(YEAR($D244),MONTH($D244),1),IF(ISNUMBER($E244),DATE(YEAR($E244),MONTH($E244),1),MesCiclo))))</f>
        <v/>
      </c>
      <c r="Q244" s="71">
        <f>IF(OR($P244="",$P244&lt;&gt;MesCiclo),"",COUNTIF($P$5:$P244,MesCiclo))</f>
        <v/>
      </c>
      <c r="R244" s="71">
        <f>IF($S244="","",IF($S244="Macro",ROW(),IFERROR(LOOKUP(2,1/($S$5:$S244="Macro"),ROW($S$5:$S244)),0)))</f>
        <v/>
      </c>
      <c r="S244" s="71">
        <f>IF(NOT((COUNTA($B244:$J244)+COUNTA($N244))&gt;0),"",IF($B244="Subactividad","Sub","Macro"))</f>
        <v/>
      </c>
      <c r="T244" s="71">
        <f>IF($S244="Macro",COUNTIFS($R$5:$R$1000,ROW(),$S$5:$S$1000,"Sub"),"")</f>
        <v/>
      </c>
      <c r="U244" s="71">
        <f>IF($S244="","",IF(ISNUMBER($G244),$G244,0))</f>
        <v/>
      </c>
      <c r="V244" s="71">
        <f>IF($S244="","",IF(ISNUMBER($H244),$H244,$U244))</f>
        <v/>
      </c>
      <c r="W244" s="71">
        <f>IF($S244="","",IF(ISNUMBER($I244),$I244,$V244))</f>
        <v/>
      </c>
      <c r="X244" s="71">
        <f>IF($S244="","",IF(ISNUMBER($J244),$J244,$W244))</f>
        <v/>
      </c>
      <c r="Y244" s="71">
        <f>IF($S244="","",IF(N($T244)&gt;0,IF(N($AG244)&gt;0,SUMIFS($AC$5:$AC$1000,$R$5:$R$1000,ROW(),$S$5:$S$1000,"Sub")/$AG244,AVERAGEIFS($U$5:$U$1000,$R$5:$R$1000,ROW(),$S$5:$S$1000,"Sub")),$U244))</f>
        <v/>
      </c>
      <c r="Z244" s="71">
        <f>IF($S244="","",IF(N($T244)&gt;0,IF(N($AG244)&gt;0,SUMIFS($AD$5:$AD$1000,$R$5:$R$1000,ROW(),$S$5:$S$1000,"Sub")/$AG244,AVERAGEIFS($V$5:$V$1000,$R$5:$R$1000,ROW(),$S$5:$S$1000,"Sub")),$V244))</f>
        <v/>
      </c>
      <c r="AA244" s="71">
        <f>IF($S244="","",IF(N($T244)&gt;0,IF(N($AG244)&gt;0,SUMIFS($AE$5:$AE$1000,$R$5:$R$1000,ROW(),$S$5:$S$1000,"Sub")/$AG244,AVERAGEIFS($W$5:$W$1000,$R$5:$R$1000,ROW(),$S$5:$S$1000,"Sub")),$W244))</f>
        <v/>
      </c>
      <c r="AB244" s="71">
        <f>IF($S244="","",IF(N($T244)&gt;0,IF(N($AG244)&gt;0,SUMIFS($AF$5:$AF$1000,$R$5:$R$1000,ROW(),$S$5:$S$1000,"Sub")/$AG244,AVERAGEIFS($X$5:$X$1000,$R$5:$R$1000,ROW(),$S$5:$S$1000,"Sub")),$X244))</f>
        <v/>
      </c>
      <c r="AC244" s="71">
        <f>IF($S244="Sub",N($F244)*N($U244),"")</f>
        <v/>
      </c>
      <c r="AD244" s="71">
        <f>IF($S244="Sub",N($F244)*N($V244),"")</f>
        <v/>
      </c>
      <c r="AE244" s="71">
        <f>IF($S244="Sub",N($F244)*N($W244),"")</f>
        <v/>
      </c>
      <c r="AF244" s="71">
        <f>IF($S244="Sub",N($F244)*N($X244),"")</f>
        <v/>
      </c>
      <c r="AG244" s="71">
        <f>IF(N($T244)&gt;0,SUMIFS($F$5:$F$1000,$R$5:$R$1000,ROW(),$S$5:$S$1000,"Sub"),"")</f>
        <v/>
      </c>
    </row>
    <row r="245">
      <c r="A245" s="62">
        <f>IF(NOT((COUNTA($B245:$J245)+COUNTA($N245))&gt;0),"",IF($S245="Macro",COUNTIFS($S$5:$S245,"Macro",$P$5:$P245,$P245),IF(N($R245)=0,"?",COUNTIFS(INDEX($S$5:$S$1000,1):INDEX($S$5:$S$1000,$R245-4),"Macro",INDEX($P$5:$P$1000,1):INDEX($P$5:$P$1000,$R245-4),INDEX($P$5:$P$1000,$R245-4))&amp;"."&amp;COUNTIFS($R$5:$R245,$R245,$S$5:$S245,"Sub"))))</f>
        <v/>
      </c>
      <c r="B245" s="63" t="n"/>
      <c r="C245" s="64" t="n"/>
      <c r="D245" s="65" t="n"/>
      <c r="E245" s="65" t="n"/>
      <c r="F245" s="66" t="n"/>
      <c r="G245" s="67" t="n"/>
      <c r="H245" s="67" t="n"/>
      <c r="I245" s="67" t="n"/>
      <c r="J245" s="67" t="n"/>
      <c r="K245" s="68">
        <f>IF(NOT((COUNTA($B245:$J245)+COUNTA($N245))&gt;0),"",IF(N($T245)&gt;0,$AB245,IFERROR(LOOKUP(2,1/(G245:J245&lt;&gt;""),G245:J245),0)))</f>
        <v/>
      </c>
      <c r="L245" s="62">
        <f>IF(K245="","",IF(K245&gt;=1,"Completado",IF(K245&gt;0,"En curso","Pendiente")))</f>
        <v/>
      </c>
      <c r="M245" s="62">
        <f>IF(NOT((COUNTA($B245:$J245)+COUNTA($N245))&gt;0),"",IF(N($K245)&gt;=1,"Cumplida",IF(NOT(ISNUMBER($E245)),"Sin fecha límite",IF($E245&lt;FechaRef,"Vencida hace "&amp;(FechaRef-$E245)&amp;IF(FechaRef-$E245=1," día"," días"),IF($E245=FechaRef,"Vence hoy",IF($E245-FechaRef&lt;=DiasAlerta,"Vence en "&amp;($E245-FechaRef)&amp;IF($E245-FechaRef=1," día"," días"),"En plazo"))))))</f>
        <v/>
      </c>
      <c r="N245" s="64" t="n"/>
      <c r="O245" s="69">
        <f>IF(NOT((COUNTA($B245:$J245)+COUNTA($N245))&gt;0),"",IF((IF($C245="","Falta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",""))="","✔ OK","⚠ "&amp;LEFT(IF($C245="","Falta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",""),LEN(IF($C245="","Falta el nombre de la actividad"&amp;" · ","")&amp;IF(AND($S245="Sub",N($R245)=0),"Subactividad sin macroactividad arriba"&amp;" · ","")&amp;IF($D245="","Sin fecha de inicio"&amp;" · ","")&amp;IF($E245="","Sin fecha límite"&amp;" · ","")&amp;IF(OR(AND($D245&lt;&gt;"",NOT(ISNUMBER($D245))),AND($E245&lt;&gt;"",NOT(ISNUMBER($E245)))),"Fecha no válida"&amp;" · ","")&amp;IF(AND(ISNUMBER($D245),ISNUMBER($E245),$D245&gt;$E245),"Inicio posterior a fecha límite"&amp;" · ","")&amp;IF(AND($S245="Macro",$F245=""),"Peso vacío"&amp;" · ","")&amp;IF(AND($S245="Macro",$F245&lt;&gt;"",OR(NOT(ISNUMBER($F245)),$F245&lt;=0,$F245&gt;1)),"Peso fuera de rango"&amp;" · ","")&amp;IF(AND($S245="Sub",$F245&lt;&gt;"",OR(NOT(ISNUMBER($F245)),$F245&lt;0,$F245&gt;1)),"Peso fuera de rango"&amp;" · ","")&amp;IF(AND($S245="Sub",$F245="",IFERROR(N(INDEX($AG$5:$AG$1000,$R245-4)),0)&gt;0),"Falta el peso de la subactividad"&amp;" · ","")&amp;IF(AND(N($T245)&gt;0,N($AG245)&gt;0,ABS(N($AG245)-N($F245))&gt;0.0001),"Pesos de sus subactividades suman "&amp;TEXT(N($AG245),"0%")&amp;" (deben sumar "&amp;TEXT(N($F245),"0%")&amp;")"&amp;" · ","")&amp;IF(AND($S245="Macro",ABS(SUMIFS($F$5:$F$1000,$P$5:$P$1000,$P245,$S$5:$S$1000,"Macro")-1)&gt;0.0001),"Pesos del mes suman "&amp;TEXT(SUMIFS($F$5:$F$1000,$P$5:$P$1000,$P245,$S$5:$S$1000,"Macro"),"0%")&amp;" · ","")&amp;IF(AND(N($T245)&gt;0,COUNT($G245:$J245)&gt;0),"Con subactividades: deje vacías las semanas (se calculan solas)"&amp;" · ","")&amp;IF((COUNTIF($G245:$J245,"&gt;1")+COUNTIF($G245:$J245,"&lt;0")+COUNTA($G245:$J245)-COUNT($G245:$J245))&gt;0,"Avance fuera de rango 0-100%"&amp;" · ","")&amp;IF(OR(AND($H245&lt;&gt;"",$H245&lt;$G245),AND($I245&lt;&gt;"",$I245&lt;MAX($G245:$H245)),AND($J245&lt;&gt;"",$J245&lt;MAX($G245:$I245))),"Avance semanal decreciente"&amp;" · ","")&amp;IF(AND(ISNUMBER($E245),$E245&lt;FechaRef,N($K245)&lt;1),"Vencida"&amp;" · ","")&amp;IF(AND(ObsObligatoria="Sí",ISNUMBER($E245),$E245&lt;FechaRef,N($K245)&lt;1,$N245=""),"Vencida sin observación"&amp;" · ",""))-3)))</f>
        <v/>
      </c>
      <c r="P245" s="70">
        <f>IF(NOT((COUNTA($B245:$J245)+COUNTA($N245))&gt;0),"",IF(AND($S245="Sub",N($R245)&gt;0),IF(ISNUMBER(INDEX($D$5:$D$1000,$R245-4)),DATE(YEAR(INDEX($D$5:$D$1000,$R245-4)),MONTH(INDEX($D$5:$D$1000,$R245-4)),1),IF(ISNUMBER(INDEX($E$5:$E$1000,$R245-4)),DATE(YEAR(INDEX($E$5:$E$1000,$R245-4)),MONTH(INDEX($E$5:$E$1000,$R245-4)),1),MesCiclo)),IF(ISNUMBER($D245),DATE(YEAR($D245),MONTH($D245),1),IF(ISNUMBER($E245),DATE(YEAR($E245),MONTH($E245),1),MesCiclo))))</f>
        <v/>
      </c>
      <c r="Q245" s="71">
        <f>IF(OR($P245="",$P245&lt;&gt;MesCiclo),"",COUNTIF($P$5:$P245,MesCiclo))</f>
        <v/>
      </c>
      <c r="R245" s="71">
        <f>IF($S245="","",IF($S245="Macro",ROW(),IFERROR(LOOKUP(2,1/($S$5:$S245="Macro"),ROW($S$5:$S245)),0)))</f>
        <v/>
      </c>
      <c r="S245" s="71">
        <f>IF(NOT((COUNTA($B245:$J245)+COUNTA($N245))&gt;0),"",IF($B245="Subactividad","Sub","Macro"))</f>
        <v/>
      </c>
      <c r="T245" s="71">
        <f>IF($S245="Macro",COUNTIFS($R$5:$R$1000,ROW(),$S$5:$S$1000,"Sub"),"")</f>
        <v/>
      </c>
      <c r="U245" s="71">
        <f>IF($S245="","",IF(ISNUMBER($G245),$G245,0))</f>
        <v/>
      </c>
      <c r="V245" s="71">
        <f>IF($S245="","",IF(ISNUMBER($H245),$H245,$U245))</f>
        <v/>
      </c>
      <c r="W245" s="71">
        <f>IF($S245="","",IF(ISNUMBER($I245),$I245,$V245))</f>
        <v/>
      </c>
      <c r="X245" s="71">
        <f>IF($S245="","",IF(ISNUMBER($J245),$J245,$W245))</f>
        <v/>
      </c>
      <c r="Y245" s="71">
        <f>IF($S245="","",IF(N($T245)&gt;0,IF(N($AG245)&gt;0,SUMIFS($AC$5:$AC$1000,$R$5:$R$1000,ROW(),$S$5:$S$1000,"Sub")/$AG245,AVERAGEIFS($U$5:$U$1000,$R$5:$R$1000,ROW(),$S$5:$S$1000,"Sub")),$U245))</f>
        <v/>
      </c>
      <c r="Z245" s="71">
        <f>IF($S245="","",IF(N($T245)&gt;0,IF(N($AG245)&gt;0,SUMIFS($AD$5:$AD$1000,$R$5:$R$1000,ROW(),$S$5:$S$1000,"Sub")/$AG245,AVERAGEIFS($V$5:$V$1000,$R$5:$R$1000,ROW(),$S$5:$S$1000,"Sub")),$V245))</f>
        <v/>
      </c>
      <c r="AA245" s="71">
        <f>IF($S245="","",IF(N($T245)&gt;0,IF(N($AG245)&gt;0,SUMIFS($AE$5:$AE$1000,$R$5:$R$1000,ROW(),$S$5:$S$1000,"Sub")/$AG245,AVERAGEIFS($W$5:$W$1000,$R$5:$R$1000,ROW(),$S$5:$S$1000,"Sub")),$W245))</f>
        <v/>
      </c>
      <c r="AB245" s="71">
        <f>IF($S245="","",IF(N($T245)&gt;0,IF(N($AG245)&gt;0,SUMIFS($AF$5:$AF$1000,$R$5:$R$1000,ROW(),$S$5:$S$1000,"Sub")/$AG245,AVERAGEIFS($X$5:$X$1000,$R$5:$R$1000,ROW(),$S$5:$S$1000,"Sub")),$X245))</f>
        <v/>
      </c>
      <c r="AC245" s="71">
        <f>IF($S245="Sub",N($F245)*N($U245),"")</f>
        <v/>
      </c>
      <c r="AD245" s="71">
        <f>IF($S245="Sub",N($F245)*N($V245),"")</f>
        <v/>
      </c>
      <c r="AE245" s="71">
        <f>IF($S245="Sub",N($F245)*N($W245),"")</f>
        <v/>
      </c>
      <c r="AF245" s="71">
        <f>IF($S245="Sub",N($F245)*N($X245),"")</f>
        <v/>
      </c>
      <c r="AG245" s="71">
        <f>IF(N($T245)&gt;0,SUMIFS($F$5:$F$1000,$R$5:$R$1000,ROW(),$S$5:$S$1000,"Sub"),"")</f>
        <v/>
      </c>
    </row>
    <row r="246">
      <c r="A246" s="62">
        <f>IF(NOT((COUNTA($B246:$J246)+COUNTA($N246))&gt;0),"",IF($S246="Macro",COUNTIFS($S$5:$S246,"Macro",$P$5:$P246,$P246),IF(N($R246)=0,"?",COUNTIFS(INDEX($S$5:$S$1000,1):INDEX($S$5:$S$1000,$R246-4),"Macro",INDEX($P$5:$P$1000,1):INDEX($P$5:$P$1000,$R246-4),INDEX($P$5:$P$1000,$R246-4))&amp;"."&amp;COUNTIFS($R$5:$R246,$R246,$S$5:$S246,"Sub"))))</f>
        <v/>
      </c>
      <c r="B246" s="63" t="n"/>
      <c r="C246" s="64" t="n"/>
      <c r="D246" s="65" t="n"/>
      <c r="E246" s="65" t="n"/>
      <c r="F246" s="66" t="n"/>
      <c r="G246" s="67" t="n"/>
      <c r="H246" s="67" t="n"/>
      <c r="I246" s="67" t="n"/>
      <c r="J246" s="67" t="n"/>
      <c r="K246" s="68">
        <f>IF(NOT((COUNTA($B246:$J246)+COUNTA($N246))&gt;0),"",IF(N($T246)&gt;0,$AB246,IFERROR(LOOKUP(2,1/(G246:J246&lt;&gt;""),G246:J246),0)))</f>
        <v/>
      </c>
      <c r="L246" s="62">
        <f>IF(K246="","",IF(K246&gt;=1,"Completado",IF(K246&gt;0,"En curso","Pendiente")))</f>
        <v/>
      </c>
      <c r="M246" s="62">
        <f>IF(NOT((COUNTA($B246:$J246)+COUNTA($N246))&gt;0),"",IF(N($K246)&gt;=1,"Cumplida",IF(NOT(ISNUMBER($E246)),"Sin fecha límite",IF($E246&lt;FechaRef,"Vencida hace "&amp;(FechaRef-$E246)&amp;IF(FechaRef-$E246=1," día"," días"),IF($E246=FechaRef,"Vence hoy",IF($E246-FechaRef&lt;=DiasAlerta,"Vence en "&amp;($E246-FechaRef)&amp;IF($E246-FechaRef=1," día"," días"),"En plazo"))))))</f>
        <v/>
      </c>
      <c r="N246" s="64" t="n"/>
      <c r="O246" s="69">
        <f>IF(NOT((COUNTA($B246:$J246)+COUNTA($N246))&gt;0),"",IF((IF($C246="","Falta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",""))="","✔ OK","⚠ "&amp;LEFT(IF($C246="","Falta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",""),LEN(IF($C246="","Falta el nombre de la actividad"&amp;" · ","")&amp;IF(AND($S246="Sub",N($R246)=0),"Subactividad sin macroactividad arriba"&amp;" · ","")&amp;IF($D246="","Sin fecha de inicio"&amp;" · ","")&amp;IF($E246="","Sin fecha límite"&amp;" · ","")&amp;IF(OR(AND($D246&lt;&gt;"",NOT(ISNUMBER($D246))),AND($E246&lt;&gt;"",NOT(ISNUMBER($E246)))),"Fecha no válida"&amp;" · ","")&amp;IF(AND(ISNUMBER($D246),ISNUMBER($E246),$D246&gt;$E246),"Inicio posterior a fecha límite"&amp;" · ","")&amp;IF(AND($S246="Macro",$F246=""),"Peso vacío"&amp;" · ","")&amp;IF(AND($S246="Macro",$F246&lt;&gt;"",OR(NOT(ISNUMBER($F246)),$F246&lt;=0,$F246&gt;1)),"Peso fuera de rango"&amp;" · ","")&amp;IF(AND($S246="Sub",$F246&lt;&gt;"",OR(NOT(ISNUMBER($F246)),$F246&lt;0,$F246&gt;1)),"Peso fuera de rango"&amp;" · ","")&amp;IF(AND($S246="Sub",$F246="",IFERROR(N(INDEX($AG$5:$AG$1000,$R246-4)),0)&gt;0),"Falta el peso de la subactividad"&amp;" · ","")&amp;IF(AND(N($T246)&gt;0,N($AG246)&gt;0,ABS(N($AG246)-N($F246))&gt;0.0001),"Pesos de sus subactividades suman "&amp;TEXT(N($AG246),"0%")&amp;" (deben sumar "&amp;TEXT(N($F246),"0%")&amp;")"&amp;" · ","")&amp;IF(AND($S246="Macro",ABS(SUMIFS($F$5:$F$1000,$P$5:$P$1000,$P246,$S$5:$S$1000,"Macro")-1)&gt;0.0001),"Pesos del mes suman "&amp;TEXT(SUMIFS($F$5:$F$1000,$P$5:$P$1000,$P246,$S$5:$S$1000,"Macro"),"0%")&amp;" · ","")&amp;IF(AND(N($T246)&gt;0,COUNT($G246:$J246)&gt;0),"Con subactividades: deje vacías las semanas (se calculan solas)"&amp;" · ","")&amp;IF((COUNTIF($G246:$J246,"&gt;1")+COUNTIF($G246:$J246,"&lt;0")+COUNTA($G246:$J246)-COUNT($G246:$J246))&gt;0,"Avance fuera de rango 0-100%"&amp;" · ","")&amp;IF(OR(AND($H246&lt;&gt;"",$H246&lt;$G246),AND($I246&lt;&gt;"",$I246&lt;MAX($G246:$H246)),AND($J246&lt;&gt;"",$J246&lt;MAX($G246:$I246))),"Avance semanal decreciente"&amp;" · ","")&amp;IF(AND(ISNUMBER($E246),$E246&lt;FechaRef,N($K246)&lt;1),"Vencida"&amp;" · ","")&amp;IF(AND(ObsObligatoria="Sí",ISNUMBER($E246),$E246&lt;FechaRef,N($K246)&lt;1,$N246=""),"Vencida sin observación"&amp;" · ",""))-3)))</f>
        <v/>
      </c>
      <c r="P246" s="70">
        <f>IF(NOT((COUNTA($B246:$J246)+COUNTA($N246))&gt;0),"",IF(AND($S246="Sub",N($R246)&gt;0),IF(ISNUMBER(INDEX($D$5:$D$1000,$R246-4)),DATE(YEAR(INDEX($D$5:$D$1000,$R246-4)),MONTH(INDEX($D$5:$D$1000,$R246-4)),1),IF(ISNUMBER(INDEX($E$5:$E$1000,$R246-4)),DATE(YEAR(INDEX($E$5:$E$1000,$R246-4)),MONTH(INDEX($E$5:$E$1000,$R246-4)),1),MesCiclo)),IF(ISNUMBER($D246),DATE(YEAR($D246),MONTH($D246),1),IF(ISNUMBER($E246),DATE(YEAR($E246),MONTH($E246),1),MesCiclo))))</f>
        <v/>
      </c>
      <c r="Q246" s="71">
        <f>IF(OR($P246="",$P246&lt;&gt;MesCiclo),"",COUNTIF($P$5:$P246,MesCiclo))</f>
        <v/>
      </c>
      <c r="R246" s="71">
        <f>IF($S246="","",IF($S246="Macro",ROW(),IFERROR(LOOKUP(2,1/($S$5:$S246="Macro"),ROW($S$5:$S246)),0)))</f>
        <v/>
      </c>
      <c r="S246" s="71">
        <f>IF(NOT((COUNTA($B246:$J246)+COUNTA($N246))&gt;0),"",IF($B246="Subactividad","Sub","Macro"))</f>
        <v/>
      </c>
      <c r="T246" s="71">
        <f>IF($S246="Macro",COUNTIFS($R$5:$R$1000,ROW(),$S$5:$S$1000,"Sub"),"")</f>
        <v/>
      </c>
      <c r="U246" s="71">
        <f>IF($S246="","",IF(ISNUMBER($G246),$G246,0))</f>
        <v/>
      </c>
      <c r="V246" s="71">
        <f>IF($S246="","",IF(ISNUMBER($H246),$H246,$U246))</f>
        <v/>
      </c>
      <c r="W246" s="71">
        <f>IF($S246="","",IF(ISNUMBER($I246),$I246,$V246))</f>
        <v/>
      </c>
      <c r="X246" s="71">
        <f>IF($S246="","",IF(ISNUMBER($J246),$J246,$W246))</f>
        <v/>
      </c>
      <c r="Y246" s="71">
        <f>IF($S246="","",IF(N($T246)&gt;0,IF(N($AG246)&gt;0,SUMIFS($AC$5:$AC$1000,$R$5:$R$1000,ROW(),$S$5:$S$1000,"Sub")/$AG246,AVERAGEIFS($U$5:$U$1000,$R$5:$R$1000,ROW(),$S$5:$S$1000,"Sub")),$U246))</f>
        <v/>
      </c>
      <c r="Z246" s="71">
        <f>IF($S246="","",IF(N($T246)&gt;0,IF(N($AG246)&gt;0,SUMIFS($AD$5:$AD$1000,$R$5:$R$1000,ROW(),$S$5:$S$1000,"Sub")/$AG246,AVERAGEIFS($V$5:$V$1000,$R$5:$R$1000,ROW(),$S$5:$S$1000,"Sub")),$V246))</f>
        <v/>
      </c>
      <c r="AA246" s="71">
        <f>IF($S246="","",IF(N($T246)&gt;0,IF(N($AG246)&gt;0,SUMIFS($AE$5:$AE$1000,$R$5:$R$1000,ROW(),$S$5:$S$1000,"Sub")/$AG246,AVERAGEIFS($W$5:$W$1000,$R$5:$R$1000,ROW(),$S$5:$S$1000,"Sub")),$W246))</f>
        <v/>
      </c>
      <c r="AB246" s="71">
        <f>IF($S246="","",IF(N($T246)&gt;0,IF(N($AG246)&gt;0,SUMIFS($AF$5:$AF$1000,$R$5:$R$1000,ROW(),$S$5:$S$1000,"Sub")/$AG246,AVERAGEIFS($X$5:$X$1000,$R$5:$R$1000,ROW(),$S$5:$S$1000,"Sub")),$X246))</f>
        <v/>
      </c>
      <c r="AC246" s="71">
        <f>IF($S246="Sub",N($F246)*N($U246),"")</f>
        <v/>
      </c>
      <c r="AD246" s="71">
        <f>IF($S246="Sub",N($F246)*N($V246),"")</f>
        <v/>
      </c>
      <c r="AE246" s="71">
        <f>IF($S246="Sub",N($F246)*N($W246),"")</f>
        <v/>
      </c>
      <c r="AF246" s="71">
        <f>IF($S246="Sub",N($F246)*N($X246),"")</f>
        <v/>
      </c>
      <c r="AG246" s="71">
        <f>IF(N($T246)&gt;0,SUMIFS($F$5:$F$1000,$R$5:$R$1000,ROW(),$S$5:$S$1000,"Sub"),"")</f>
        <v/>
      </c>
    </row>
    <row r="247">
      <c r="A247" s="62">
        <f>IF(NOT((COUNTA($B247:$J247)+COUNTA($N247))&gt;0),"",IF($S247="Macro",COUNTIFS($S$5:$S247,"Macro",$P$5:$P247,$P247),IF(N($R247)=0,"?",COUNTIFS(INDEX($S$5:$S$1000,1):INDEX($S$5:$S$1000,$R247-4),"Macro",INDEX($P$5:$P$1000,1):INDEX($P$5:$P$1000,$R247-4),INDEX($P$5:$P$1000,$R247-4))&amp;"."&amp;COUNTIFS($R$5:$R247,$R247,$S$5:$S247,"Sub"))))</f>
        <v/>
      </c>
      <c r="B247" s="63" t="n"/>
      <c r="C247" s="64" t="n"/>
      <c r="D247" s="65" t="n"/>
      <c r="E247" s="65" t="n"/>
      <c r="F247" s="66" t="n"/>
      <c r="G247" s="67" t="n"/>
      <c r="H247" s="67" t="n"/>
      <c r="I247" s="67" t="n"/>
      <c r="J247" s="67" t="n"/>
      <c r="K247" s="68">
        <f>IF(NOT((COUNTA($B247:$J247)+COUNTA($N247))&gt;0),"",IF(N($T247)&gt;0,$AB247,IFERROR(LOOKUP(2,1/(G247:J247&lt;&gt;""),G247:J247),0)))</f>
        <v/>
      </c>
      <c r="L247" s="62">
        <f>IF(K247="","",IF(K247&gt;=1,"Completado",IF(K247&gt;0,"En curso","Pendiente")))</f>
        <v/>
      </c>
      <c r="M247" s="62">
        <f>IF(NOT((COUNTA($B247:$J247)+COUNTA($N247))&gt;0),"",IF(N($K247)&gt;=1,"Cumplida",IF(NOT(ISNUMBER($E247)),"Sin fecha límite",IF($E247&lt;FechaRef,"Vencida hace "&amp;(FechaRef-$E247)&amp;IF(FechaRef-$E247=1," día"," días"),IF($E247=FechaRef,"Vence hoy",IF($E247-FechaRef&lt;=DiasAlerta,"Vence en "&amp;($E247-FechaRef)&amp;IF($E247-FechaRef=1," día"," días"),"En plazo"))))))</f>
        <v/>
      </c>
      <c r="N247" s="64" t="n"/>
      <c r="O247" s="69">
        <f>IF(NOT((COUNTA($B247:$J247)+COUNTA($N247))&gt;0),"",IF((IF($C247="","Falta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",""))="","✔ OK","⚠ "&amp;LEFT(IF($C247="","Falta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",""),LEN(IF($C247="","Falta el nombre de la actividad"&amp;" · ","")&amp;IF(AND($S247="Sub",N($R247)=0),"Subactividad sin macroactividad arriba"&amp;" · ","")&amp;IF($D247="","Sin fecha de inicio"&amp;" · ","")&amp;IF($E247="","Sin fecha límite"&amp;" · ","")&amp;IF(OR(AND($D247&lt;&gt;"",NOT(ISNUMBER($D247))),AND($E247&lt;&gt;"",NOT(ISNUMBER($E247)))),"Fecha no válida"&amp;" · ","")&amp;IF(AND(ISNUMBER($D247),ISNUMBER($E247),$D247&gt;$E247),"Inicio posterior a fecha límite"&amp;" · ","")&amp;IF(AND($S247="Macro",$F247=""),"Peso vacío"&amp;" · ","")&amp;IF(AND($S247="Macro",$F247&lt;&gt;"",OR(NOT(ISNUMBER($F247)),$F247&lt;=0,$F247&gt;1)),"Peso fuera de rango"&amp;" · ","")&amp;IF(AND($S247="Sub",$F247&lt;&gt;"",OR(NOT(ISNUMBER($F247)),$F247&lt;0,$F247&gt;1)),"Peso fuera de rango"&amp;" · ","")&amp;IF(AND($S247="Sub",$F247="",IFERROR(N(INDEX($AG$5:$AG$1000,$R247-4)),0)&gt;0),"Falta el peso de la subactividad"&amp;" · ","")&amp;IF(AND(N($T247)&gt;0,N($AG247)&gt;0,ABS(N($AG247)-N($F247))&gt;0.0001),"Pesos de sus subactividades suman "&amp;TEXT(N($AG247),"0%")&amp;" (deben sumar "&amp;TEXT(N($F247),"0%")&amp;")"&amp;" · ","")&amp;IF(AND($S247="Macro",ABS(SUMIFS($F$5:$F$1000,$P$5:$P$1000,$P247,$S$5:$S$1000,"Macro")-1)&gt;0.0001),"Pesos del mes suman "&amp;TEXT(SUMIFS($F$5:$F$1000,$P$5:$P$1000,$P247,$S$5:$S$1000,"Macro"),"0%")&amp;" · ","")&amp;IF(AND(N($T247)&gt;0,COUNT($G247:$J247)&gt;0),"Con subactividades: deje vacías las semanas (se calculan solas)"&amp;" · ","")&amp;IF((COUNTIF($G247:$J247,"&gt;1")+COUNTIF($G247:$J247,"&lt;0")+COUNTA($G247:$J247)-COUNT($G247:$J247))&gt;0,"Avance fuera de rango 0-100%"&amp;" · ","")&amp;IF(OR(AND($H247&lt;&gt;"",$H247&lt;$G247),AND($I247&lt;&gt;"",$I247&lt;MAX($G247:$H247)),AND($J247&lt;&gt;"",$J247&lt;MAX($G247:$I247))),"Avance semanal decreciente"&amp;" · ","")&amp;IF(AND(ISNUMBER($E247),$E247&lt;FechaRef,N($K247)&lt;1),"Vencida"&amp;" · ","")&amp;IF(AND(ObsObligatoria="Sí",ISNUMBER($E247),$E247&lt;FechaRef,N($K247)&lt;1,$N247=""),"Vencida sin observación"&amp;" · ",""))-3)))</f>
        <v/>
      </c>
      <c r="P247" s="70">
        <f>IF(NOT((COUNTA($B247:$J247)+COUNTA($N247))&gt;0),"",IF(AND($S247="Sub",N($R247)&gt;0),IF(ISNUMBER(INDEX($D$5:$D$1000,$R247-4)),DATE(YEAR(INDEX($D$5:$D$1000,$R247-4)),MONTH(INDEX($D$5:$D$1000,$R247-4)),1),IF(ISNUMBER(INDEX($E$5:$E$1000,$R247-4)),DATE(YEAR(INDEX($E$5:$E$1000,$R247-4)),MONTH(INDEX($E$5:$E$1000,$R247-4)),1),MesCiclo)),IF(ISNUMBER($D247),DATE(YEAR($D247),MONTH($D247),1),IF(ISNUMBER($E247),DATE(YEAR($E247),MONTH($E247),1),MesCiclo))))</f>
        <v/>
      </c>
      <c r="Q247" s="71">
        <f>IF(OR($P247="",$P247&lt;&gt;MesCiclo),"",COUNTIF($P$5:$P247,MesCiclo))</f>
        <v/>
      </c>
      <c r="R247" s="71">
        <f>IF($S247="","",IF($S247="Macro",ROW(),IFERROR(LOOKUP(2,1/($S$5:$S247="Macro"),ROW($S$5:$S247)),0)))</f>
        <v/>
      </c>
      <c r="S247" s="71">
        <f>IF(NOT((COUNTA($B247:$J247)+COUNTA($N247))&gt;0),"",IF($B247="Subactividad","Sub","Macro"))</f>
        <v/>
      </c>
      <c r="T247" s="71">
        <f>IF($S247="Macro",COUNTIFS($R$5:$R$1000,ROW(),$S$5:$S$1000,"Sub"),"")</f>
        <v/>
      </c>
      <c r="U247" s="71">
        <f>IF($S247="","",IF(ISNUMBER($G247),$G247,0))</f>
        <v/>
      </c>
      <c r="V247" s="71">
        <f>IF($S247="","",IF(ISNUMBER($H247),$H247,$U247))</f>
        <v/>
      </c>
      <c r="W247" s="71">
        <f>IF($S247="","",IF(ISNUMBER($I247),$I247,$V247))</f>
        <v/>
      </c>
      <c r="X247" s="71">
        <f>IF($S247="","",IF(ISNUMBER($J247),$J247,$W247))</f>
        <v/>
      </c>
      <c r="Y247" s="71">
        <f>IF($S247="","",IF(N($T247)&gt;0,IF(N($AG247)&gt;0,SUMIFS($AC$5:$AC$1000,$R$5:$R$1000,ROW(),$S$5:$S$1000,"Sub")/$AG247,AVERAGEIFS($U$5:$U$1000,$R$5:$R$1000,ROW(),$S$5:$S$1000,"Sub")),$U247))</f>
        <v/>
      </c>
      <c r="Z247" s="71">
        <f>IF($S247="","",IF(N($T247)&gt;0,IF(N($AG247)&gt;0,SUMIFS($AD$5:$AD$1000,$R$5:$R$1000,ROW(),$S$5:$S$1000,"Sub")/$AG247,AVERAGEIFS($V$5:$V$1000,$R$5:$R$1000,ROW(),$S$5:$S$1000,"Sub")),$V247))</f>
        <v/>
      </c>
      <c r="AA247" s="71">
        <f>IF($S247="","",IF(N($T247)&gt;0,IF(N($AG247)&gt;0,SUMIFS($AE$5:$AE$1000,$R$5:$R$1000,ROW(),$S$5:$S$1000,"Sub")/$AG247,AVERAGEIFS($W$5:$W$1000,$R$5:$R$1000,ROW(),$S$5:$S$1000,"Sub")),$W247))</f>
        <v/>
      </c>
      <c r="AB247" s="71">
        <f>IF($S247="","",IF(N($T247)&gt;0,IF(N($AG247)&gt;0,SUMIFS($AF$5:$AF$1000,$R$5:$R$1000,ROW(),$S$5:$S$1000,"Sub")/$AG247,AVERAGEIFS($X$5:$X$1000,$R$5:$R$1000,ROW(),$S$5:$S$1000,"Sub")),$X247))</f>
        <v/>
      </c>
      <c r="AC247" s="71">
        <f>IF($S247="Sub",N($F247)*N($U247),"")</f>
        <v/>
      </c>
      <c r="AD247" s="71">
        <f>IF($S247="Sub",N($F247)*N($V247),"")</f>
        <v/>
      </c>
      <c r="AE247" s="71">
        <f>IF($S247="Sub",N($F247)*N($W247),"")</f>
        <v/>
      </c>
      <c r="AF247" s="71">
        <f>IF($S247="Sub",N($F247)*N($X247),"")</f>
        <v/>
      </c>
      <c r="AG247" s="71">
        <f>IF(N($T247)&gt;0,SUMIFS($F$5:$F$1000,$R$5:$R$1000,ROW(),$S$5:$S$1000,"Sub"),"")</f>
        <v/>
      </c>
    </row>
    <row r="248">
      <c r="A248" s="62">
        <f>IF(NOT((COUNTA($B248:$J248)+COUNTA($N248))&gt;0),"",IF($S248="Macro",COUNTIFS($S$5:$S248,"Macro",$P$5:$P248,$P248),IF(N($R248)=0,"?",COUNTIFS(INDEX($S$5:$S$1000,1):INDEX($S$5:$S$1000,$R248-4),"Macro",INDEX($P$5:$P$1000,1):INDEX($P$5:$P$1000,$R248-4),INDEX($P$5:$P$1000,$R248-4))&amp;"."&amp;COUNTIFS($R$5:$R248,$R248,$S$5:$S248,"Sub"))))</f>
        <v/>
      </c>
      <c r="B248" s="63" t="n"/>
      <c r="C248" s="64" t="n"/>
      <c r="D248" s="65" t="n"/>
      <c r="E248" s="65" t="n"/>
      <c r="F248" s="66" t="n"/>
      <c r="G248" s="67" t="n"/>
      <c r="H248" s="67" t="n"/>
      <c r="I248" s="67" t="n"/>
      <c r="J248" s="67" t="n"/>
      <c r="K248" s="68">
        <f>IF(NOT((COUNTA($B248:$J248)+COUNTA($N248))&gt;0),"",IF(N($T248)&gt;0,$AB248,IFERROR(LOOKUP(2,1/(G248:J248&lt;&gt;""),G248:J248),0)))</f>
        <v/>
      </c>
      <c r="L248" s="62">
        <f>IF(K248="","",IF(K248&gt;=1,"Completado",IF(K248&gt;0,"En curso","Pendiente")))</f>
        <v/>
      </c>
      <c r="M248" s="62">
        <f>IF(NOT((COUNTA($B248:$J248)+COUNTA($N248))&gt;0),"",IF(N($K248)&gt;=1,"Cumplida",IF(NOT(ISNUMBER($E248)),"Sin fecha límite",IF($E248&lt;FechaRef,"Vencida hace "&amp;(FechaRef-$E248)&amp;IF(FechaRef-$E248=1," día"," días"),IF($E248=FechaRef,"Vence hoy",IF($E248-FechaRef&lt;=DiasAlerta,"Vence en "&amp;($E248-FechaRef)&amp;IF($E248-FechaRef=1," día"," días"),"En plazo"))))))</f>
        <v/>
      </c>
      <c r="N248" s="64" t="n"/>
      <c r="O248" s="69">
        <f>IF(NOT((COUNTA($B248:$J248)+COUNTA($N248))&gt;0),"",IF((IF($C248="","Falta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",""))="","✔ OK","⚠ "&amp;LEFT(IF($C248="","Falta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",""),LEN(IF($C248="","Falta el nombre de la actividad"&amp;" · ","")&amp;IF(AND($S248="Sub",N($R248)=0),"Subactividad sin macroactividad arriba"&amp;" · ","")&amp;IF($D248="","Sin fecha de inicio"&amp;" · ","")&amp;IF($E248="","Sin fecha límite"&amp;" · ","")&amp;IF(OR(AND($D248&lt;&gt;"",NOT(ISNUMBER($D248))),AND($E248&lt;&gt;"",NOT(ISNUMBER($E248)))),"Fecha no válida"&amp;" · ","")&amp;IF(AND(ISNUMBER($D248),ISNUMBER($E248),$D248&gt;$E248),"Inicio posterior a fecha límite"&amp;" · ","")&amp;IF(AND($S248="Macro",$F248=""),"Peso vacío"&amp;" · ","")&amp;IF(AND($S248="Macro",$F248&lt;&gt;"",OR(NOT(ISNUMBER($F248)),$F248&lt;=0,$F248&gt;1)),"Peso fuera de rango"&amp;" · ","")&amp;IF(AND($S248="Sub",$F248&lt;&gt;"",OR(NOT(ISNUMBER($F248)),$F248&lt;0,$F248&gt;1)),"Peso fuera de rango"&amp;" · ","")&amp;IF(AND($S248="Sub",$F248="",IFERROR(N(INDEX($AG$5:$AG$1000,$R248-4)),0)&gt;0),"Falta el peso de la subactividad"&amp;" · ","")&amp;IF(AND(N($T248)&gt;0,N($AG248)&gt;0,ABS(N($AG248)-N($F248))&gt;0.0001),"Pesos de sus subactividades suman "&amp;TEXT(N($AG248),"0%")&amp;" (deben sumar "&amp;TEXT(N($F248),"0%")&amp;")"&amp;" · ","")&amp;IF(AND($S248="Macro",ABS(SUMIFS($F$5:$F$1000,$P$5:$P$1000,$P248,$S$5:$S$1000,"Macro")-1)&gt;0.0001),"Pesos del mes suman "&amp;TEXT(SUMIFS($F$5:$F$1000,$P$5:$P$1000,$P248,$S$5:$S$1000,"Macro"),"0%")&amp;" · ","")&amp;IF(AND(N($T248)&gt;0,COUNT($G248:$J248)&gt;0),"Con subactividades: deje vacías las semanas (se calculan solas)"&amp;" · ","")&amp;IF((COUNTIF($G248:$J248,"&gt;1")+COUNTIF($G248:$J248,"&lt;0")+COUNTA($G248:$J248)-COUNT($G248:$J248))&gt;0,"Avance fuera de rango 0-100%"&amp;" · ","")&amp;IF(OR(AND($H248&lt;&gt;"",$H248&lt;$G248),AND($I248&lt;&gt;"",$I248&lt;MAX($G248:$H248)),AND($J248&lt;&gt;"",$J248&lt;MAX($G248:$I248))),"Avance semanal decreciente"&amp;" · ","")&amp;IF(AND(ISNUMBER($E248),$E248&lt;FechaRef,N($K248)&lt;1),"Vencida"&amp;" · ","")&amp;IF(AND(ObsObligatoria="Sí",ISNUMBER($E248),$E248&lt;FechaRef,N($K248)&lt;1,$N248=""),"Vencida sin observación"&amp;" · ",""))-3)))</f>
        <v/>
      </c>
      <c r="P248" s="70">
        <f>IF(NOT((COUNTA($B248:$J248)+COUNTA($N248))&gt;0),"",IF(AND($S248="Sub",N($R248)&gt;0),IF(ISNUMBER(INDEX($D$5:$D$1000,$R248-4)),DATE(YEAR(INDEX($D$5:$D$1000,$R248-4)),MONTH(INDEX($D$5:$D$1000,$R248-4)),1),IF(ISNUMBER(INDEX($E$5:$E$1000,$R248-4)),DATE(YEAR(INDEX($E$5:$E$1000,$R248-4)),MONTH(INDEX($E$5:$E$1000,$R248-4)),1),MesCiclo)),IF(ISNUMBER($D248),DATE(YEAR($D248),MONTH($D248),1),IF(ISNUMBER($E248),DATE(YEAR($E248),MONTH($E248),1),MesCiclo))))</f>
        <v/>
      </c>
      <c r="Q248" s="71">
        <f>IF(OR($P248="",$P248&lt;&gt;MesCiclo),"",COUNTIF($P$5:$P248,MesCiclo))</f>
        <v/>
      </c>
      <c r="R248" s="71">
        <f>IF($S248="","",IF($S248="Macro",ROW(),IFERROR(LOOKUP(2,1/($S$5:$S248="Macro"),ROW($S$5:$S248)),0)))</f>
        <v/>
      </c>
      <c r="S248" s="71">
        <f>IF(NOT((COUNTA($B248:$J248)+COUNTA($N248))&gt;0),"",IF($B248="Subactividad","Sub","Macro"))</f>
        <v/>
      </c>
      <c r="T248" s="71">
        <f>IF($S248="Macro",COUNTIFS($R$5:$R$1000,ROW(),$S$5:$S$1000,"Sub"),"")</f>
        <v/>
      </c>
      <c r="U248" s="71">
        <f>IF($S248="","",IF(ISNUMBER($G248),$G248,0))</f>
        <v/>
      </c>
      <c r="V248" s="71">
        <f>IF($S248="","",IF(ISNUMBER($H248),$H248,$U248))</f>
        <v/>
      </c>
      <c r="W248" s="71">
        <f>IF($S248="","",IF(ISNUMBER($I248),$I248,$V248))</f>
        <v/>
      </c>
      <c r="X248" s="71">
        <f>IF($S248="","",IF(ISNUMBER($J248),$J248,$W248))</f>
        <v/>
      </c>
      <c r="Y248" s="71">
        <f>IF($S248="","",IF(N($T248)&gt;0,IF(N($AG248)&gt;0,SUMIFS($AC$5:$AC$1000,$R$5:$R$1000,ROW(),$S$5:$S$1000,"Sub")/$AG248,AVERAGEIFS($U$5:$U$1000,$R$5:$R$1000,ROW(),$S$5:$S$1000,"Sub")),$U248))</f>
        <v/>
      </c>
      <c r="Z248" s="71">
        <f>IF($S248="","",IF(N($T248)&gt;0,IF(N($AG248)&gt;0,SUMIFS($AD$5:$AD$1000,$R$5:$R$1000,ROW(),$S$5:$S$1000,"Sub")/$AG248,AVERAGEIFS($V$5:$V$1000,$R$5:$R$1000,ROW(),$S$5:$S$1000,"Sub")),$V248))</f>
        <v/>
      </c>
      <c r="AA248" s="71">
        <f>IF($S248="","",IF(N($T248)&gt;0,IF(N($AG248)&gt;0,SUMIFS($AE$5:$AE$1000,$R$5:$R$1000,ROW(),$S$5:$S$1000,"Sub")/$AG248,AVERAGEIFS($W$5:$W$1000,$R$5:$R$1000,ROW(),$S$5:$S$1000,"Sub")),$W248))</f>
        <v/>
      </c>
      <c r="AB248" s="71">
        <f>IF($S248="","",IF(N($T248)&gt;0,IF(N($AG248)&gt;0,SUMIFS($AF$5:$AF$1000,$R$5:$R$1000,ROW(),$S$5:$S$1000,"Sub")/$AG248,AVERAGEIFS($X$5:$X$1000,$R$5:$R$1000,ROW(),$S$5:$S$1000,"Sub")),$X248))</f>
        <v/>
      </c>
      <c r="AC248" s="71">
        <f>IF($S248="Sub",N($F248)*N($U248),"")</f>
        <v/>
      </c>
      <c r="AD248" s="71">
        <f>IF($S248="Sub",N($F248)*N($V248),"")</f>
        <v/>
      </c>
      <c r="AE248" s="71">
        <f>IF($S248="Sub",N($F248)*N($W248),"")</f>
        <v/>
      </c>
      <c r="AF248" s="71">
        <f>IF($S248="Sub",N($F248)*N($X248),"")</f>
        <v/>
      </c>
      <c r="AG248" s="71">
        <f>IF(N($T248)&gt;0,SUMIFS($F$5:$F$1000,$R$5:$R$1000,ROW(),$S$5:$S$1000,"Sub"),"")</f>
        <v/>
      </c>
    </row>
    <row r="249">
      <c r="A249" s="62">
        <f>IF(NOT((COUNTA($B249:$J249)+COUNTA($N249))&gt;0),"",IF($S249="Macro",COUNTIFS($S$5:$S249,"Macro",$P$5:$P249,$P249),IF(N($R249)=0,"?",COUNTIFS(INDEX($S$5:$S$1000,1):INDEX($S$5:$S$1000,$R249-4),"Macro",INDEX($P$5:$P$1000,1):INDEX($P$5:$P$1000,$R249-4),INDEX($P$5:$P$1000,$R249-4))&amp;"."&amp;COUNTIFS($R$5:$R249,$R249,$S$5:$S249,"Sub"))))</f>
        <v/>
      </c>
      <c r="B249" s="63" t="n"/>
      <c r="C249" s="64" t="n"/>
      <c r="D249" s="65" t="n"/>
      <c r="E249" s="65" t="n"/>
      <c r="F249" s="66" t="n"/>
      <c r="G249" s="67" t="n"/>
      <c r="H249" s="67" t="n"/>
      <c r="I249" s="67" t="n"/>
      <c r="J249" s="67" t="n"/>
      <c r="K249" s="68">
        <f>IF(NOT((COUNTA($B249:$J249)+COUNTA($N249))&gt;0),"",IF(N($T249)&gt;0,$AB249,IFERROR(LOOKUP(2,1/(G249:J249&lt;&gt;""),G249:J249),0)))</f>
        <v/>
      </c>
      <c r="L249" s="62">
        <f>IF(K249="","",IF(K249&gt;=1,"Completado",IF(K249&gt;0,"En curso","Pendiente")))</f>
        <v/>
      </c>
      <c r="M249" s="62">
        <f>IF(NOT((COUNTA($B249:$J249)+COUNTA($N249))&gt;0),"",IF(N($K249)&gt;=1,"Cumplida",IF(NOT(ISNUMBER($E249)),"Sin fecha límite",IF($E249&lt;FechaRef,"Vencida hace "&amp;(FechaRef-$E249)&amp;IF(FechaRef-$E249=1," día"," días"),IF($E249=FechaRef,"Vence hoy",IF($E249-FechaRef&lt;=DiasAlerta,"Vence en "&amp;($E249-FechaRef)&amp;IF($E249-FechaRef=1," día"," días"),"En plazo"))))))</f>
        <v/>
      </c>
      <c r="N249" s="64" t="n"/>
      <c r="O249" s="69">
        <f>IF(NOT((COUNTA($B249:$J249)+COUNTA($N249))&gt;0),"",IF((IF($C249="","Falta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",""))="","✔ OK","⚠ "&amp;LEFT(IF($C249="","Falta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",""),LEN(IF($C249="","Falta el nombre de la actividad"&amp;" · ","")&amp;IF(AND($S249="Sub",N($R249)=0),"Subactividad sin macroactividad arriba"&amp;" · ","")&amp;IF($D249="","Sin fecha de inicio"&amp;" · ","")&amp;IF($E249="","Sin fecha límite"&amp;" · ","")&amp;IF(OR(AND($D249&lt;&gt;"",NOT(ISNUMBER($D249))),AND($E249&lt;&gt;"",NOT(ISNUMBER($E249)))),"Fecha no válida"&amp;" · ","")&amp;IF(AND(ISNUMBER($D249),ISNUMBER($E249),$D249&gt;$E249),"Inicio posterior a fecha límite"&amp;" · ","")&amp;IF(AND($S249="Macro",$F249=""),"Peso vacío"&amp;" · ","")&amp;IF(AND($S249="Macro",$F249&lt;&gt;"",OR(NOT(ISNUMBER($F249)),$F249&lt;=0,$F249&gt;1)),"Peso fuera de rango"&amp;" · ","")&amp;IF(AND($S249="Sub",$F249&lt;&gt;"",OR(NOT(ISNUMBER($F249)),$F249&lt;0,$F249&gt;1)),"Peso fuera de rango"&amp;" · ","")&amp;IF(AND($S249="Sub",$F249="",IFERROR(N(INDEX($AG$5:$AG$1000,$R249-4)),0)&gt;0),"Falta el peso de la subactividad"&amp;" · ","")&amp;IF(AND(N($T249)&gt;0,N($AG249)&gt;0,ABS(N($AG249)-N($F249))&gt;0.0001),"Pesos de sus subactividades suman "&amp;TEXT(N($AG249),"0%")&amp;" (deben sumar "&amp;TEXT(N($F249),"0%")&amp;")"&amp;" · ","")&amp;IF(AND($S249="Macro",ABS(SUMIFS($F$5:$F$1000,$P$5:$P$1000,$P249,$S$5:$S$1000,"Macro")-1)&gt;0.0001),"Pesos del mes suman "&amp;TEXT(SUMIFS($F$5:$F$1000,$P$5:$P$1000,$P249,$S$5:$S$1000,"Macro"),"0%")&amp;" · ","")&amp;IF(AND(N($T249)&gt;0,COUNT($G249:$J249)&gt;0),"Con subactividades: deje vacías las semanas (se calculan solas)"&amp;" · ","")&amp;IF((COUNTIF($G249:$J249,"&gt;1")+COUNTIF($G249:$J249,"&lt;0")+COUNTA($G249:$J249)-COUNT($G249:$J249))&gt;0,"Avance fuera de rango 0-100%"&amp;" · ","")&amp;IF(OR(AND($H249&lt;&gt;"",$H249&lt;$G249),AND($I249&lt;&gt;"",$I249&lt;MAX($G249:$H249)),AND($J249&lt;&gt;"",$J249&lt;MAX($G249:$I249))),"Avance semanal decreciente"&amp;" · ","")&amp;IF(AND(ISNUMBER($E249),$E249&lt;FechaRef,N($K249)&lt;1),"Vencida"&amp;" · ","")&amp;IF(AND(ObsObligatoria="Sí",ISNUMBER($E249),$E249&lt;FechaRef,N($K249)&lt;1,$N249=""),"Vencida sin observación"&amp;" · ",""))-3)))</f>
        <v/>
      </c>
      <c r="P249" s="70">
        <f>IF(NOT((COUNTA($B249:$J249)+COUNTA($N249))&gt;0),"",IF(AND($S249="Sub",N($R249)&gt;0),IF(ISNUMBER(INDEX($D$5:$D$1000,$R249-4)),DATE(YEAR(INDEX($D$5:$D$1000,$R249-4)),MONTH(INDEX($D$5:$D$1000,$R249-4)),1),IF(ISNUMBER(INDEX($E$5:$E$1000,$R249-4)),DATE(YEAR(INDEX($E$5:$E$1000,$R249-4)),MONTH(INDEX($E$5:$E$1000,$R249-4)),1),MesCiclo)),IF(ISNUMBER($D249),DATE(YEAR($D249),MONTH($D249),1),IF(ISNUMBER($E249),DATE(YEAR($E249),MONTH($E249),1),MesCiclo))))</f>
        <v/>
      </c>
      <c r="Q249" s="71">
        <f>IF(OR($P249="",$P249&lt;&gt;MesCiclo),"",COUNTIF($P$5:$P249,MesCiclo))</f>
        <v/>
      </c>
      <c r="R249" s="71">
        <f>IF($S249="","",IF($S249="Macro",ROW(),IFERROR(LOOKUP(2,1/($S$5:$S249="Macro"),ROW($S$5:$S249)),0)))</f>
        <v/>
      </c>
      <c r="S249" s="71">
        <f>IF(NOT((COUNTA($B249:$J249)+COUNTA($N249))&gt;0),"",IF($B249="Subactividad","Sub","Macro"))</f>
        <v/>
      </c>
      <c r="T249" s="71">
        <f>IF($S249="Macro",COUNTIFS($R$5:$R$1000,ROW(),$S$5:$S$1000,"Sub"),"")</f>
        <v/>
      </c>
      <c r="U249" s="71">
        <f>IF($S249="","",IF(ISNUMBER($G249),$G249,0))</f>
        <v/>
      </c>
      <c r="V249" s="71">
        <f>IF($S249="","",IF(ISNUMBER($H249),$H249,$U249))</f>
        <v/>
      </c>
      <c r="W249" s="71">
        <f>IF($S249="","",IF(ISNUMBER($I249),$I249,$V249))</f>
        <v/>
      </c>
      <c r="X249" s="71">
        <f>IF($S249="","",IF(ISNUMBER($J249),$J249,$W249))</f>
        <v/>
      </c>
      <c r="Y249" s="71">
        <f>IF($S249="","",IF(N($T249)&gt;0,IF(N($AG249)&gt;0,SUMIFS($AC$5:$AC$1000,$R$5:$R$1000,ROW(),$S$5:$S$1000,"Sub")/$AG249,AVERAGEIFS($U$5:$U$1000,$R$5:$R$1000,ROW(),$S$5:$S$1000,"Sub")),$U249))</f>
        <v/>
      </c>
      <c r="Z249" s="71">
        <f>IF($S249="","",IF(N($T249)&gt;0,IF(N($AG249)&gt;0,SUMIFS($AD$5:$AD$1000,$R$5:$R$1000,ROW(),$S$5:$S$1000,"Sub")/$AG249,AVERAGEIFS($V$5:$V$1000,$R$5:$R$1000,ROW(),$S$5:$S$1000,"Sub")),$V249))</f>
        <v/>
      </c>
      <c r="AA249" s="71">
        <f>IF($S249="","",IF(N($T249)&gt;0,IF(N($AG249)&gt;0,SUMIFS($AE$5:$AE$1000,$R$5:$R$1000,ROW(),$S$5:$S$1000,"Sub")/$AG249,AVERAGEIFS($W$5:$W$1000,$R$5:$R$1000,ROW(),$S$5:$S$1000,"Sub")),$W249))</f>
        <v/>
      </c>
      <c r="AB249" s="71">
        <f>IF($S249="","",IF(N($T249)&gt;0,IF(N($AG249)&gt;0,SUMIFS($AF$5:$AF$1000,$R$5:$R$1000,ROW(),$S$5:$S$1000,"Sub")/$AG249,AVERAGEIFS($X$5:$X$1000,$R$5:$R$1000,ROW(),$S$5:$S$1000,"Sub")),$X249))</f>
        <v/>
      </c>
      <c r="AC249" s="71">
        <f>IF($S249="Sub",N($F249)*N($U249),"")</f>
        <v/>
      </c>
      <c r="AD249" s="71">
        <f>IF($S249="Sub",N($F249)*N($V249),"")</f>
        <v/>
      </c>
      <c r="AE249" s="71">
        <f>IF($S249="Sub",N($F249)*N($W249),"")</f>
        <v/>
      </c>
      <c r="AF249" s="71">
        <f>IF($S249="Sub",N($F249)*N($X249),"")</f>
        <v/>
      </c>
      <c r="AG249" s="71">
        <f>IF(N($T249)&gt;0,SUMIFS($F$5:$F$1000,$R$5:$R$1000,ROW(),$S$5:$S$1000,"Sub"),"")</f>
        <v/>
      </c>
    </row>
    <row r="250">
      <c r="A250" s="62">
        <f>IF(NOT((COUNTA($B250:$J250)+COUNTA($N250))&gt;0),"",IF($S250="Macro",COUNTIFS($S$5:$S250,"Macro",$P$5:$P250,$P250),IF(N($R250)=0,"?",COUNTIFS(INDEX($S$5:$S$1000,1):INDEX($S$5:$S$1000,$R250-4),"Macro",INDEX($P$5:$P$1000,1):INDEX($P$5:$P$1000,$R250-4),INDEX($P$5:$P$1000,$R250-4))&amp;"."&amp;COUNTIFS($R$5:$R250,$R250,$S$5:$S250,"Sub"))))</f>
        <v/>
      </c>
      <c r="B250" s="63" t="n"/>
      <c r="C250" s="64" t="n"/>
      <c r="D250" s="65" t="n"/>
      <c r="E250" s="65" t="n"/>
      <c r="F250" s="66" t="n"/>
      <c r="G250" s="67" t="n"/>
      <c r="H250" s="67" t="n"/>
      <c r="I250" s="67" t="n"/>
      <c r="J250" s="67" t="n"/>
      <c r="K250" s="68">
        <f>IF(NOT((COUNTA($B250:$J250)+COUNTA($N250))&gt;0),"",IF(N($T250)&gt;0,$AB250,IFERROR(LOOKUP(2,1/(G250:J250&lt;&gt;""),G250:J250),0)))</f>
        <v/>
      </c>
      <c r="L250" s="62">
        <f>IF(K250="","",IF(K250&gt;=1,"Completado",IF(K250&gt;0,"En curso","Pendiente")))</f>
        <v/>
      </c>
      <c r="M250" s="62">
        <f>IF(NOT((COUNTA($B250:$J250)+COUNTA($N250))&gt;0),"",IF(N($K250)&gt;=1,"Cumplida",IF(NOT(ISNUMBER($E250)),"Sin fecha límite",IF($E250&lt;FechaRef,"Vencida hace "&amp;(FechaRef-$E250)&amp;IF(FechaRef-$E250=1," día"," días"),IF($E250=FechaRef,"Vence hoy",IF($E250-FechaRef&lt;=DiasAlerta,"Vence en "&amp;($E250-FechaRef)&amp;IF($E250-FechaRef=1," día"," días"),"En plazo"))))))</f>
        <v/>
      </c>
      <c r="N250" s="64" t="n"/>
      <c r="O250" s="69">
        <f>IF(NOT((COUNTA($B250:$J250)+COUNTA($N250))&gt;0),"",IF((IF($C250="","Falta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",""))="","✔ OK","⚠ "&amp;LEFT(IF($C250="","Falta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",""),LEN(IF($C250="","Falta el nombre de la actividad"&amp;" · ","")&amp;IF(AND($S250="Sub",N($R250)=0),"Subactividad sin macroactividad arriba"&amp;" · ","")&amp;IF($D250="","Sin fecha de inicio"&amp;" · ","")&amp;IF($E250="","Sin fecha límite"&amp;" · ","")&amp;IF(OR(AND($D250&lt;&gt;"",NOT(ISNUMBER($D250))),AND($E250&lt;&gt;"",NOT(ISNUMBER($E250)))),"Fecha no válida"&amp;" · ","")&amp;IF(AND(ISNUMBER($D250),ISNUMBER($E250),$D250&gt;$E250),"Inicio posterior a fecha límite"&amp;" · ","")&amp;IF(AND($S250="Macro",$F250=""),"Peso vacío"&amp;" · ","")&amp;IF(AND($S250="Macro",$F250&lt;&gt;"",OR(NOT(ISNUMBER($F250)),$F250&lt;=0,$F250&gt;1)),"Peso fuera de rango"&amp;" · ","")&amp;IF(AND($S250="Sub",$F250&lt;&gt;"",OR(NOT(ISNUMBER($F250)),$F250&lt;0,$F250&gt;1)),"Peso fuera de rango"&amp;" · ","")&amp;IF(AND($S250="Sub",$F250="",IFERROR(N(INDEX($AG$5:$AG$1000,$R250-4)),0)&gt;0),"Falta el peso de la subactividad"&amp;" · ","")&amp;IF(AND(N($T250)&gt;0,N($AG250)&gt;0,ABS(N($AG250)-N($F250))&gt;0.0001),"Pesos de sus subactividades suman "&amp;TEXT(N($AG250),"0%")&amp;" (deben sumar "&amp;TEXT(N($F250),"0%")&amp;")"&amp;" · ","")&amp;IF(AND($S250="Macro",ABS(SUMIFS($F$5:$F$1000,$P$5:$P$1000,$P250,$S$5:$S$1000,"Macro")-1)&gt;0.0001),"Pesos del mes suman "&amp;TEXT(SUMIFS($F$5:$F$1000,$P$5:$P$1000,$P250,$S$5:$S$1000,"Macro"),"0%")&amp;" · ","")&amp;IF(AND(N($T250)&gt;0,COUNT($G250:$J250)&gt;0),"Con subactividades: deje vacías las semanas (se calculan solas)"&amp;" · ","")&amp;IF((COUNTIF($G250:$J250,"&gt;1")+COUNTIF($G250:$J250,"&lt;0")+COUNTA($G250:$J250)-COUNT($G250:$J250))&gt;0,"Avance fuera de rango 0-100%"&amp;" · ","")&amp;IF(OR(AND($H250&lt;&gt;"",$H250&lt;$G250),AND($I250&lt;&gt;"",$I250&lt;MAX($G250:$H250)),AND($J250&lt;&gt;"",$J250&lt;MAX($G250:$I250))),"Avance semanal decreciente"&amp;" · ","")&amp;IF(AND(ISNUMBER($E250),$E250&lt;FechaRef,N($K250)&lt;1),"Vencida"&amp;" · ","")&amp;IF(AND(ObsObligatoria="Sí",ISNUMBER($E250),$E250&lt;FechaRef,N($K250)&lt;1,$N250=""),"Vencida sin observación"&amp;" · ",""))-3)))</f>
        <v/>
      </c>
      <c r="P250" s="70">
        <f>IF(NOT((COUNTA($B250:$J250)+COUNTA($N250))&gt;0),"",IF(AND($S250="Sub",N($R250)&gt;0),IF(ISNUMBER(INDEX($D$5:$D$1000,$R250-4)),DATE(YEAR(INDEX($D$5:$D$1000,$R250-4)),MONTH(INDEX($D$5:$D$1000,$R250-4)),1),IF(ISNUMBER(INDEX($E$5:$E$1000,$R250-4)),DATE(YEAR(INDEX($E$5:$E$1000,$R250-4)),MONTH(INDEX($E$5:$E$1000,$R250-4)),1),MesCiclo)),IF(ISNUMBER($D250),DATE(YEAR($D250),MONTH($D250),1),IF(ISNUMBER($E250),DATE(YEAR($E250),MONTH($E250),1),MesCiclo))))</f>
        <v/>
      </c>
      <c r="Q250" s="71">
        <f>IF(OR($P250="",$P250&lt;&gt;MesCiclo),"",COUNTIF($P$5:$P250,MesCiclo))</f>
        <v/>
      </c>
      <c r="R250" s="71">
        <f>IF($S250="","",IF($S250="Macro",ROW(),IFERROR(LOOKUP(2,1/($S$5:$S250="Macro"),ROW($S$5:$S250)),0)))</f>
        <v/>
      </c>
      <c r="S250" s="71">
        <f>IF(NOT((COUNTA($B250:$J250)+COUNTA($N250))&gt;0),"",IF($B250="Subactividad","Sub","Macro"))</f>
        <v/>
      </c>
      <c r="T250" s="71">
        <f>IF($S250="Macro",COUNTIFS($R$5:$R$1000,ROW(),$S$5:$S$1000,"Sub"),"")</f>
        <v/>
      </c>
      <c r="U250" s="71">
        <f>IF($S250="","",IF(ISNUMBER($G250),$G250,0))</f>
        <v/>
      </c>
      <c r="V250" s="71">
        <f>IF($S250="","",IF(ISNUMBER($H250),$H250,$U250))</f>
        <v/>
      </c>
      <c r="W250" s="71">
        <f>IF($S250="","",IF(ISNUMBER($I250),$I250,$V250))</f>
        <v/>
      </c>
      <c r="X250" s="71">
        <f>IF($S250="","",IF(ISNUMBER($J250),$J250,$W250))</f>
        <v/>
      </c>
      <c r="Y250" s="71">
        <f>IF($S250="","",IF(N($T250)&gt;0,IF(N($AG250)&gt;0,SUMIFS($AC$5:$AC$1000,$R$5:$R$1000,ROW(),$S$5:$S$1000,"Sub")/$AG250,AVERAGEIFS($U$5:$U$1000,$R$5:$R$1000,ROW(),$S$5:$S$1000,"Sub")),$U250))</f>
        <v/>
      </c>
      <c r="Z250" s="71">
        <f>IF($S250="","",IF(N($T250)&gt;0,IF(N($AG250)&gt;0,SUMIFS($AD$5:$AD$1000,$R$5:$R$1000,ROW(),$S$5:$S$1000,"Sub")/$AG250,AVERAGEIFS($V$5:$V$1000,$R$5:$R$1000,ROW(),$S$5:$S$1000,"Sub")),$V250))</f>
        <v/>
      </c>
      <c r="AA250" s="71">
        <f>IF($S250="","",IF(N($T250)&gt;0,IF(N($AG250)&gt;0,SUMIFS($AE$5:$AE$1000,$R$5:$R$1000,ROW(),$S$5:$S$1000,"Sub")/$AG250,AVERAGEIFS($W$5:$W$1000,$R$5:$R$1000,ROW(),$S$5:$S$1000,"Sub")),$W250))</f>
        <v/>
      </c>
      <c r="AB250" s="71">
        <f>IF($S250="","",IF(N($T250)&gt;0,IF(N($AG250)&gt;0,SUMIFS($AF$5:$AF$1000,$R$5:$R$1000,ROW(),$S$5:$S$1000,"Sub")/$AG250,AVERAGEIFS($X$5:$X$1000,$R$5:$R$1000,ROW(),$S$5:$S$1000,"Sub")),$X250))</f>
        <v/>
      </c>
      <c r="AC250" s="71">
        <f>IF($S250="Sub",N($F250)*N($U250),"")</f>
        <v/>
      </c>
      <c r="AD250" s="71">
        <f>IF($S250="Sub",N($F250)*N($V250),"")</f>
        <v/>
      </c>
      <c r="AE250" s="71">
        <f>IF($S250="Sub",N($F250)*N($W250),"")</f>
        <v/>
      </c>
      <c r="AF250" s="71">
        <f>IF($S250="Sub",N($F250)*N($X250),"")</f>
        <v/>
      </c>
      <c r="AG250" s="71">
        <f>IF(N($T250)&gt;0,SUMIFS($F$5:$F$1000,$R$5:$R$1000,ROW(),$S$5:$S$1000,"Sub"),"")</f>
        <v/>
      </c>
    </row>
    <row r="251">
      <c r="A251" s="62">
        <f>IF(NOT((COUNTA($B251:$J251)+COUNTA($N251))&gt;0),"",IF($S251="Macro",COUNTIFS($S$5:$S251,"Macro",$P$5:$P251,$P251),IF(N($R251)=0,"?",COUNTIFS(INDEX($S$5:$S$1000,1):INDEX($S$5:$S$1000,$R251-4),"Macro",INDEX($P$5:$P$1000,1):INDEX($P$5:$P$1000,$R251-4),INDEX($P$5:$P$1000,$R251-4))&amp;"."&amp;COUNTIFS($R$5:$R251,$R251,$S$5:$S251,"Sub"))))</f>
        <v/>
      </c>
      <c r="B251" s="63" t="n"/>
      <c r="C251" s="64" t="n"/>
      <c r="D251" s="65" t="n"/>
      <c r="E251" s="65" t="n"/>
      <c r="F251" s="66" t="n"/>
      <c r="G251" s="67" t="n"/>
      <c r="H251" s="67" t="n"/>
      <c r="I251" s="67" t="n"/>
      <c r="J251" s="67" t="n"/>
      <c r="K251" s="68">
        <f>IF(NOT((COUNTA($B251:$J251)+COUNTA($N251))&gt;0),"",IF(N($T251)&gt;0,$AB251,IFERROR(LOOKUP(2,1/(G251:J251&lt;&gt;""),G251:J251),0)))</f>
        <v/>
      </c>
      <c r="L251" s="62">
        <f>IF(K251="","",IF(K251&gt;=1,"Completado",IF(K251&gt;0,"En curso","Pendiente")))</f>
        <v/>
      </c>
      <c r="M251" s="62">
        <f>IF(NOT((COUNTA($B251:$J251)+COUNTA($N251))&gt;0),"",IF(N($K251)&gt;=1,"Cumplida",IF(NOT(ISNUMBER($E251)),"Sin fecha límite",IF($E251&lt;FechaRef,"Vencida hace "&amp;(FechaRef-$E251)&amp;IF(FechaRef-$E251=1," día"," días"),IF($E251=FechaRef,"Vence hoy",IF($E251-FechaRef&lt;=DiasAlerta,"Vence en "&amp;($E251-FechaRef)&amp;IF($E251-FechaRef=1," día"," días"),"En plazo"))))))</f>
        <v/>
      </c>
      <c r="N251" s="64" t="n"/>
      <c r="O251" s="69">
        <f>IF(NOT((COUNTA($B251:$J251)+COUNTA($N251))&gt;0),"",IF((IF($C251="","Falta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",""))="","✔ OK","⚠ "&amp;LEFT(IF($C251="","Falta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",""),LEN(IF($C251="","Falta el nombre de la actividad"&amp;" · ","")&amp;IF(AND($S251="Sub",N($R251)=0),"Subactividad sin macroactividad arriba"&amp;" · ","")&amp;IF($D251="","Sin fecha de inicio"&amp;" · ","")&amp;IF($E251="","Sin fecha límite"&amp;" · ","")&amp;IF(OR(AND($D251&lt;&gt;"",NOT(ISNUMBER($D251))),AND($E251&lt;&gt;"",NOT(ISNUMBER($E251)))),"Fecha no válida"&amp;" · ","")&amp;IF(AND(ISNUMBER($D251),ISNUMBER($E251),$D251&gt;$E251),"Inicio posterior a fecha límite"&amp;" · ","")&amp;IF(AND($S251="Macro",$F251=""),"Peso vacío"&amp;" · ","")&amp;IF(AND($S251="Macro",$F251&lt;&gt;"",OR(NOT(ISNUMBER($F251)),$F251&lt;=0,$F251&gt;1)),"Peso fuera de rango"&amp;" · ","")&amp;IF(AND($S251="Sub",$F251&lt;&gt;"",OR(NOT(ISNUMBER($F251)),$F251&lt;0,$F251&gt;1)),"Peso fuera de rango"&amp;" · ","")&amp;IF(AND($S251="Sub",$F251="",IFERROR(N(INDEX($AG$5:$AG$1000,$R251-4)),0)&gt;0),"Falta el peso de la subactividad"&amp;" · ","")&amp;IF(AND(N($T251)&gt;0,N($AG251)&gt;0,ABS(N($AG251)-N($F251))&gt;0.0001),"Pesos de sus subactividades suman "&amp;TEXT(N($AG251),"0%")&amp;" (deben sumar "&amp;TEXT(N($F251),"0%")&amp;")"&amp;" · ","")&amp;IF(AND($S251="Macro",ABS(SUMIFS($F$5:$F$1000,$P$5:$P$1000,$P251,$S$5:$S$1000,"Macro")-1)&gt;0.0001),"Pesos del mes suman "&amp;TEXT(SUMIFS($F$5:$F$1000,$P$5:$P$1000,$P251,$S$5:$S$1000,"Macro"),"0%")&amp;" · ","")&amp;IF(AND(N($T251)&gt;0,COUNT($G251:$J251)&gt;0),"Con subactividades: deje vacías las semanas (se calculan solas)"&amp;" · ","")&amp;IF((COUNTIF($G251:$J251,"&gt;1")+COUNTIF($G251:$J251,"&lt;0")+COUNTA($G251:$J251)-COUNT($G251:$J251))&gt;0,"Avance fuera de rango 0-100%"&amp;" · ","")&amp;IF(OR(AND($H251&lt;&gt;"",$H251&lt;$G251),AND($I251&lt;&gt;"",$I251&lt;MAX($G251:$H251)),AND($J251&lt;&gt;"",$J251&lt;MAX($G251:$I251))),"Avance semanal decreciente"&amp;" · ","")&amp;IF(AND(ISNUMBER($E251),$E251&lt;FechaRef,N($K251)&lt;1),"Vencida"&amp;" · ","")&amp;IF(AND(ObsObligatoria="Sí",ISNUMBER($E251),$E251&lt;FechaRef,N($K251)&lt;1,$N251=""),"Vencida sin observación"&amp;" · ",""))-3)))</f>
        <v/>
      </c>
      <c r="P251" s="70">
        <f>IF(NOT((COUNTA($B251:$J251)+COUNTA($N251))&gt;0),"",IF(AND($S251="Sub",N($R251)&gt;0),IF(ISNUMBER(INDEX($D$5:$D$1000,$R251-4)),DATE(YEAR(INDEX($D$5:$D$1000,$R251-4)),MONTH(INDEX($D$5:$D$1000,$R251-4)),1),IF(ISNUMBER(INDEX($E$5:$E$1000,$R251-4)),DATE(YEAR(INDEX($E$5:$E$1000,$R251-4)),MONTH(INDEX($E$5:$E$1000,$R251-4)),1),MesCiclo)),IF(ISNUMBER($D251),DATE(YEAR($D251),MONTH($D251),1),IF(ISNUMBER($E251),DATE(YEAR($E251),MONTH($E251),1),MesCiclo))))</f>
        <v/>
      </c>
      <c r="Q251" s="71">
        <f>IF(OR($P251="",$P251&lt;&gt;MesCiclo),"",COUNTIF($P$5:$P251,MesCiclo))</f>
        <v/>
      </c>
      <c r="R251" s="71">
        <f>IF($S251="","",IF($S251="Macro",ROW(),IFERROR(LOOKUP(2,1/($S$5:$S251="Macro"),ROW($S$5:$S251)),0)))</f>
        <v/>
      </c>
      <c r="S251" s="71">
        <f>IF(NOT((COUNTA($B251:$J251)+COUNTA($N251))&gt;0),"",IF($B251="Subactividad","Sub","Macro"))</f>
        <v/>
      </c>
      <c r="T251" s="71">
        <f>IF($S251="Macro",COUNTIFS($R$5:$R$1000,ROW(),$S$5:$S$1000,"Sub"),"")</f>
        <v/>
      </c>
      <c r="U251" s="71">
        <f>IF($S251="","",IF(ISNUMBER($G251),$G251,0))</f>
        <v/>
      </c>
      <c r="V251" s="71">
        <f>IF($S251="","",IF(ISNUMBER($H251),$H251,$U251))</f>
        <v/>
      </c>
      <c r="W251" s="71">
        <f>IF($S251="","",IF(ISNUMBER($I251),$I251,$V251))</f>
        <v/>
      </c>
      <c r="X251" s="71">
        <f>IF($S251="","",IF(ISNUMBER($J251),$J251,$W251))</f>
        <v/>
      </c>
      <c r="Y251" s="71">
        <f>IF($S251="","",IF(N($T251)&gt;0,IF(N($AG251)&gt;0,SUMIFS($AC$5:$AC$1000,$R$5:$R$1000,ROW(),$S$5:$S$1000,"Sub")/$AG251,AVERAGEIFS($U$5:$U$1000,$R$5:$R$1000,ROW(),$S$5:$S$1000,"Sub")),$U251))</f>
        <v/>
      </c>
      <c r="Z251" s="71">
        <f>IF($S251="","",IF(N($T251)&gt;0,IF(N($AG251)&gt;0,SUMIFS($AD$5:$AD$1000,$R$5:$R$1000,ROW(),$S$5:$S$1000,"Sub")/$AG251,AVERAGEIFS($V$5:$V$1000,$R$5:$R$1000,ROW(),$S$5:$S$1000,"Sub")),$V251))</f>
        <v/>
      </c>
      <c r="AA251" s="71">
        <f>IF($S251="","",IF(N($T251)&gt;0,IF(N($AG251)&gt;0,SUMIFS($AE$5:$AE$1000,$R$5:$R$1000,ROW(),$S$5:$S$1000,"Sub")/$AG251,AVERAGEIFS($W$5:$W$1000,$R$5:$R$1000,ROW(),$S$5:$S$1000,"Sub")),$W251))</f>
        <v/>
      </c>
      <c r="AB251" s="71">
        <f>IF($S251="","",IF(N($T251)&gt;0,IF(N($AG251)&gt;0,SUMIFS($AF$5:$AF$1000,$R$5:$R$1000,ROW(),$S$5:$S$1000,"Sub")/$AG251,AVERAGEIFS($X$5:$X$1000,$R$5:$R$1000,ROW(),$S$5:$S$1000,"Sub")),$X251))</f>
        <v/>
      </c>
      <c r="AC251" s="71">
        <f>IF($S251="Sub",N($F251)*N($U251),"")</f>
        <v/>
      </c>
      <c r="AD251" s="71">
        <f>IF($S251="Sub",N($F251)*N($V251),"")</f>
        <v/>
      </c>
      <c r="AE251" s="71">
        <f>IF($S251="Sub",N($F251)*N($W251),"")</f>
        <v/>
      </c>
      <c r="AF251" s="71">
        <f>IF($S251="Sub",N($F251)*N($X251),"")</f>
        <v/>
      </c>
      <c r="AG251" s="71">
        <f>IF(N($T251)&gt;0,SUMIFS($F$5:$F$1000,$R$5:$R$1000,ROW(),$S$5:$S$1000,"Sub"),"")</f>
        <v/>
      </c>
    </row>
    <row r="252">
      <c r="A252" s="62">
        <f>IF(NOT((COUNTA($B252:$J252)+COUNTA($N252))&gt;0),"",IF($S252="Macro",COUNTIFS($S$5:$S252,"Macro",$P$5:$P252,$P252),IF(N($R252)=0,"?",COUNTIFS(INDEX($S$5:$S$1000,1):INDEX($S$5:$S$1000,$R252-4),"Macro",INDEX($P$5:$P$1000,1):INDEX($P$5:$P$1000,$R252-4),INDEX($P$5:$P$1000,$R252-4))&amp;"."&amp;COUNTIFS($R$5:$R252,$R252,$S$5:$S252,"Sub"))))</f>
        <v/>
      </c>
      <c r="B252" s="63" t="n"/>
      <c r="C252" s="64" t="n"/>
      <c r="D252" s="65" t="n"/>
      <c r="E252" s="65" t="n"/>
      <c r="F252" s="66" t="n"/>
      <c r="G252" s="67" t="n"/>
      <c r="H252" s="67" t="n"/>
      <c r="I252" s="67" t="n"/>
      <c r="J252" s="67" t="n"/>
      <c r="K252" s="68">
        <f>IF(NOT((COUNTA($B252:$J252)+COUNTA($N252))&gt;0),"",IF(N($T252)&gt;0,$AB252,IFERROR(LOOKUP(2,1/(G252:J252&lt;&gt;""),G252:J252),0)))</f>
        <v/>
      </c>
      <c r="L252" s="62">
        <f>IF(K252="","",IF(K252&gt;=1,"Completado",IF(K252&gt;0,"En curso","Pendiente")))</f>
        <v/>
      </c>
      <c r="M252" s="62">
        <f>IF(NOT((COUNTA($B252:$J252)+COUNTA($N252))&gt;0),"",IF(N($K252)&gt;=1,"Cumplida",IF(NOT(ISNUMBER($E252)),"Sin fecha límite",IF($E252&lt;FechaRef,"Vencida hace "&amp;(FechaRef-$E252)&amp;IF(FechaRef-$E252=1," día"," días"),IF($E252=FechaRef,"Vence hoy",IF($E252-FechaRef&lt;=DiasAlerta,"Vence en "&amp;($E252-FechaRef)&amp;IF($E252-FechaRef=1," día"," días"),"En plazo"))))))</f>
        <v/>
      </c>
      <c r="N252" s="64" t="n"/>
      <c r="O252" s="69">
        <f>IF(NOT((COUNTA($B252:$J252)+COUNTA($N252))&gt;0),"",IF((IF($C252="","Falta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",""))="","✔ OK","⚠ "&amp;LEFT(IF($C252="","Falta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",""),LEN(IF($C252="","Falta el nombre de la actividad"&amp;" · ","")&amp;IF(AND($S252="Sub",N($R252)=0),"Subactividad sin macroactividad arriba"&amp;" · ","")&amp;IF($D252="","Sin fecha de inicio"&amp;" · ","")&amp;IF($E252="","Sin fecha límite"&amp;" · ","")&amp;IF(OR(AND($D252&lt;&gt;"",NOT(ISNUMBER($D252))),AND($E252&lt;&gt;"",NOT(ISNUMBER($E252)))),"Fecha no válida"&amp;" · ","")&amp;IF(AND(ISNUMBER($D252),ISNUMBER($E252),$D252&gt;$E252),"Inicio posterior a fecha límite"&amp;" · ","")&amp;IF(AND($S252="Macro",$F252=""),"Peso vacío"&amp;" · ","")&amp;IF(AND($S252="Macro",$F252&lt;&gt;"",OR(NOT(ISNUMBER($F252)),$F252&lt;=0,$F252&gt;1)),"Peso fuera de rango"&amp;" · ","")&amp;IF(AND($S252="Sub",$F252&lt;&gt;"",OR(NOT(ISNUMBER($F252)),$F252&lt;0,$F252&gt;1)),"Peso fuera de rango"&amp;" · ","")&amp;IF(AND($S252="Sub",$F252="",IFERROR(N(INDEX($AG$5:$AG$1000,$R252-4)),0)&gt;0),"Falta el peso de la subactividad"&amp;" · ","")&amp;IF(AND(N($T252)&gt;0,N($AG252)&gt;0,ABS(N($AG252)-N($F252))&gt;0.0001),"Pesos de sus subactividades suman "&amp;TEXT(N($AG252),"0%")&amp;" (deben sumar "&amp;TEXT(N($F252),"0%")&amp;")"&amp;" · ","")&amp;IF(AND($S252="Macro",ABS(SUMIFS($F$5:$F$1000,$P$5:$P$1000,$P252,$S$5:$S$1000,"Macro")-1)&gt;0.0001),"Pesos del mes suman "&amp;TEXT(SUMIFS($F$5:$F$1000,$P$5:$P$1000,$P252,$S$5:$S$1000,"Macro"),"0%")&amp;" · ","")&amp;IF(AND(N($T252)&gt;0,COUNT($G252:$J252)&gt;0),"Con subactividades: deje vacías las semanas (se calculan solas)"&amp;" · ","")&amp;IF((COUNTIF($G252:$J252,"&gt;1")+COUNTIF($G252:$J252,"&lt;0")+COUNTA($G252:$J252)-COUNT($G252:$J252))&gt;0,"Avance fuera de rango 0-100%"&amp;" · ","")&amp;IF(OR(AND($H252&lt;&gt;"",$H252&lt;$G252),AND($I252&lt;&gt;"",$I252&lt;MAX($G252:$H252)),AND($J252&lt;&gt;"",$J252&lt;MAX($G252:$I252))),"Avance semanal decreciente"&amp;" · ","")&amp;IF(AND(ISNUMBER($E252),$E252&lt;FechaRef,N($K252)&lt;1),"Vencida"&amp;" · ","")&amp;IF(AND(ObsObligatoria="Sí",ISNUMBER($E252),$E252&lt;FechaRef,N($K252)&lt;1,$N252=""),"Vencida sin observación"&amp;" · ",""))-3)))</f>
        <v/>
      </c>
      <c r="P252" s="70">
        <f>IF(NOT((COUNTA($B252:$J252)+COUNTA($N252))&gt;0),"",IF(AND($S252="Sub",N($R252)&gt;0),IF(ISNUMBER(INDEX($D$5:$D$1000,$R252-4)),DATE(YEAR(INDEX($D$5:$D$1000,$R252-4)),MONTH(INDEX($D$5:$D$1000,$R252-4)),1),IF(ISNUMBER(INDEX($E$5:$E$1000,$R252-4)),DATE(YEAR(INDEX($E$5:$E$1000,$R252-4)),MONTH(INDEX($E$5:$E$1000,$R252-4)),1),MesCiclo)),IF(ISNUMBER($D252),DATE(YEAR($D252),MONTH($D252),1),IF(ISNUMBER($E252),DATE(YEAR($E252),MONTH($E252),1),MesCiclo))))</f>
        <v/>
      </c>
      <c r="Q252" s="71">
        <f>IF(OR($P252="",$P252&lt;&gt;MesCiclo),"",COUNTIF($P$5:$P252,MesCiclo))</f>
        <v/>
      </c>
      <c r="R252" s="71">
        <f>IF($S252="","",IF($S252="Macro",ROW(),IFERROR(LOOKUP(2,1/($S$5:$S252="Macro"),ROW($S$5:$S252)),0)))</f>
        <v/>
      </c>
      <c r="S252" s="71">
        <f>IF(NOT((COUNTA($B252:$J252)+COUNTA($N252))&gt;0),"",IF($B252="Subactividad","Sub","Macro"))</f>
        <v/>
      </c>
      <c r="T252" s="71">
        <f>IF($S252="Macro",COUNTIFS($R$5:$R$1000,ROW(),$S$5:$S$1000,"Sub"),"")</f>
        <v/>
      </c>
      <c r="U252" s="71">
        <f>IF($S252="","",IF(ISNUMBER($G252),$G252,0))</f>
        <v/>
      </c>
      <c r="V252" s="71">
        <f>IF($S252="","",IF(ISNUMBER($H252),$H252,$U252))</f>
        <v/>
      </c>
      <c r="W252" s="71">
        <f>IF($S252="","",IF(ISNUMBER($I252),$I252,$V252))</f>
        <v/>
      </c>
      <c r="X252" s="71">
        <f>IF($S252="","",IF(ISNUMBER($J252),$J252,$W252))</f>
        <v/>
      </c>
      <c r="Y252" s="71">
        <f>IF($S252="","",IF(N($T252)&gt;0,IF(N($AG252)&gt;0,SUMIFS($AC$5:$AC$1000,$R$5:$R$1000,ROW(),$S$5:$S$1000,"Sub")/$AG252,AVERAGEIFS($U$5:$U$1000,$R$5:$R$1000,ROW(),$S$5:$S$1000,"Sub")),$U252))</f>
        <v/>
      </c>
      <c r="Z252" s="71">
        <f>IF($S252="","",IF(N($T252)&gt;0,IF(N($AG252)&gt;0,SUMIFS($AD$5:$AD$1000,$R$5:$R$1000,ROW(),$S$5:$S$1000,"Sub")/$AG252,AVERAGEIFS($V$5:$V$1000,$R$5:$R$1000,ROW(),$S$5:$S$1000,"Sub")),$V252))</f>
        <v/>
      </c>
      <c r="AA252" s="71">
        <f>IF($S252="","",IF(N($T252)&gt;0,IF(N($AG252)&gt;0,SUMIFS($AE$5:$AE$1000,$R$5:$R$1000,ROW(),$S$5:$S$1000,"Sub")/$AG252,AVERAGEIFS($W$5:$W$1000,$R$5:$R$1000,ROW(),$S$5:$S$1000,"Sub")),$W252))</f>
        <v/>
      </c>
      <c r="AB252" s="71">
        <f>IF($S252="","",IF(N($T252)&gt;0,IF(N($AG252)&gt;0,SUMIFS($AF$5:$AF$1000,$R$5:$R$1000,ROW(),$S$5:$S$1000,"Sub")/$AG252,AVERAGEIFS($X$5:$X$1000,$R$5:$R$1000,ROW(),$S$5:$S$1000,"Sub")),$X252))</f>
        <v/>
      </c>
      <c r="AC252" s="71">
        <f>IF($S252="Sub",N($F252)*N($U252),"")</f>
        <v/>
      </c>
      <c r="AD252" s="71">
        <f>IF($S252="Sub",N($F252)*N($V252),"")</f>
        <v/>
      </c>
      <c r="AE252" s="71">
        <f>IF($S252="Sub",N($F252)*N($W252),"")</f>
        <v/>
      </c>
      <c r="AF252" s="71">
        <f>IF($S252="Sub",N($F252)*N($X252),"")</f>
        <v/>
      </c>
      <c r="AG252" s="71">
        <f>IF(N($T252)&gt;0,SUMIFS($F$5:$F$1000,$R$5:$R$1000,ROW(),$S$5:$S$1000,"Sub"),"")</f>
        <v/>
      </c>
    </row>
    <row r="253">
      <c r="A253" s="62">
        <f>IF(NOT((COUNTA($B253:$J253)+COUNTA($N253))&gt;0),"",IF($S253="Macro",COUNTIFS($S$5:$S253,"Macro",$P$5:$P253,$P253),IF(N($R253)=0,"?",COUNTIFS(INDEX($S$5:$S$1000,1):INDEX($S$5:$S$1000,$R253-4),"Macro",INDEX($P$5:$P$1000,1):INDEX($P$5:$P$1000,$R253-4),INDEX($P$5:$P$1000,$R253-4))&amp;"."&amp;COUNTIFS($R$5:$R253,$R253,$S$5:$S253,"Sub"))))</f>
        <v/>
      </c>
      <c r="B253" s="63" t="n"/>
      <c r="C253" s="64" t="n"/>
      <c r="D253" s="65" t="n"/>
      <c r="E253" s="65" t="n"/>
      <c r="F253" s="66" t="n"/>
      <c r="G253" s="67" t="n"/>
      <c r="H253" s="67" t="n"/>
      <c r="I253" s="67" t="n"/>
      <c r="J253" s="67" t="n"/>
      <c r="K253" s="68">
        <f>IF(NOT((COUNTA($B253:$J253)+COUNTA($N253))&gt;0),"",IF(N($T253)&gt;0,$AB253,IFERROR(LOOKUP(2,1/(G253:J253&lt;&gt;""),G253:J253),0)))</f>
        <v/>
      </c>
      <c r="L253" s="62">
        <f>IF(K253="","",IF(K253&gt;=1,"Completado",IF(K253&gt;0,"En curso","Pendiente")))</f>
        <v/>
      </c>
      <c r="M253" s="62">
        <f>IF(NOT((COUNTA($B253:$J253)+COUNTA($N253))&gt;0),"",IF(N($K253)&gt;=1,"Cumplida",IF(NOT(ISNUMBER($E253)),"Sin fecha límite",IF($E253&lt;FechaRef,"Vencida hace "&amp;(FechaRef-$E253)&amp;IF(FechaRef-$E253=1," día"," días"),IF($E253=FechaRef,"Vence hoy",IF($E253-FechaRef&lt;=DiasAlerta,"Vence en "&amp;($E253-FechaRef)&amp;IF($E253-FechaRef=1," día"," días"),"En plazo"))))))</f>
        <v/>
      </c>
      <c r="N253" s="64" t="n"/>
      <c r="O253" s="69">
        <f>IF(NOT((COUNTA($B253:$J253)+COUNTA($N253))&gt;0),"",IF((IF($C253="","Falta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",""))="","✔ OK","⚠ "&amp;LEFT(IF($C253="","Falta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",""),LEN(IF($C253="","Falta el nombre de la actividad"&amp;" · ","")&amp;IF(AND($S253="Sub",N($R253)=0),"Subactividad sin macroactividad arriba"&amp;" · ","")&amp;IF($D253="","Sin fecha de inicio"&amp;" · ","")&amp;IF($E253="","Sin fecha límite"&amp;" · ","")&amp;IF(OR(AND($D253&lt;&gt;"",NOT(ISNUMBER($D253))),AND($E253&lt;&gt;"",NOT(ISNUMBER($E253)))),"Fecha no válida"&amp;" · ","")&amp;IF(AND(ISNUMBER($D253),ISNUMBER($E253),$D253&gt;$E253),"Inicio posterior a fecha límite"&amp;" · ","")&amp;IF(AND($S253="Macro",$F253=""),"Peso vacío"&amp;" · ","")&amp;IF(AND($S253="Macro",$F253&lt;&gt;"",OR(NOT(ISNUMBER($F253)),$F253&lt;=0,$F253&gt;1)),"Peso fuera de rango"&amp;" · ","")&amp;IF(AND($S253="Sub",$F253&lt;&gt;"",OR(NOT(ISNUMBER($F253)),$F253&lt;0,$F253&gt;1)),"Peso fuera de rango"&amp;" · ","")&amp;IF(AND($S253="Sub",$F253="",IFERROR(N(INDEX($AG$5:$AG$1000,$R253-4)),0)&gt;0),"Falta el peso de la subactividad"&amp;" · ","")&amp;IF(AND(N($T253)&gt;0,N($AG253)&gt;0,ABS(N($AG253)-N($F253))&gt;0.0001),"Pesos de sus subactividades suman "&amp;TEXT(N($AG253),"0%")&amp;" (deben sumar "&amp;TEXT(N($F253),"0%")&amp;")"&amp;" · ","")&amp;IF(AND($S253="Macro",ABS(SUMIFS($F$5:$F$1000,$P$5:$P$1000,$P253,$S$5:$S$1000,"Macro")-1)&gt;0.0001),"Pesos del mes suman "&amp;TEXT(SUMIFS($F$5:$F$1000,$P$5:$P$1000,$P253,$S$5:$S$1000,"Macro"),"0%")&amp;" · ","")&amp;IF(AND(N($T253)&gt;0,COUNT($G253:$J253)&gt;0),"Con subactividades: deje vacías las semanas (se calculan solas)"&amp;" · ","")&amp;IF((COUNTIF($G253:$J253,"&gt;1")+COUNTIF($G253:$J253,"&lt;0")+COUNTA($G253:$J253)-COUNT($G253:$J253))&gt;0,"Avance fuera de rango 0-100%"&amp;" · ","")&amp;IF(OR(AND($H253&lt;&gt;"",$H253&lt;$G253),AND($I253&lt;&gt;"",$I253&lt;MAX($G253:$H253)),AND($J253&lt;&gt;"",$J253&lt;MAX($G253:$I253))),"Avance semanal decreciente"&amp;" · ","")&amp;IF(AND(ISNUMBER($E253),$E253&lt;FechaRef,N($K253)&lt;1),"Vencida"&amp;" · ","")&amp;IF(AND(ObsObligatoria="Sí",ISNUMBER($E253),$E253&lt;FechaRef,N($K253)&lt;1,$N253=""),"Vencida sin observación"&amp;" · ",""))-3)))</f>
        <v/>
      </c>
      <c r="P253" s="70">
        <f>IF(NOT((COUNTA($B253:$J253)+COUNTA($N253))&gt;0),"",IF(AND($S253="Sub",N($R253)&gt;0),IF(ISNUMBER(INDEX($D$5:$D$1000,$R253-4)),DATE(YEAR(INDEX($D$5:$D$1000,$R253-4)),MONTH(INDEX($D$5:$D$1000,$R253-4)),1),IF(ISNUMBER(INDEX($E$5:$E$1000,$R253-4)),DATE(YEAR(INDEX($E$5:$E$1000,$R253-4)),MONTH(INDEX($E$5:$E$1000,$R253-4)),1),MesCiclo)),IF(ISNUMBER($D253),DATE(YEAR($D253),MONTH($D253),1),IF(ISNUMBER($E253),DATE(YEAR($E253),MONTH($E253),1),MesCiclo))))</f>
        <v/>
      </c>
      <c r="Q253" s="71">
        <f>IF(OR($P253="",$P253&lt;&gt;MesCiclo),"",COUNTIF($P$5:$P253,MesCiclo))</f>
        <v/>
      </c>
      <c r="R253" s="71">
        <f>IF($S253="","",IF($S253="Macro",ROW(),IFERROR(LOOKUP(2,1/($S$5:$S253="Macro"),ROW($S$5:$S253)),0)))</f>
        <v/>
      </c>
      <c r="S253" s="71">
        <f>IF(NOT((COUNTA($B253:$J253)+COUNTA($N253))&gt;0),"",IF($B253="Subactividad","Sub","Macro"))</f>
        <v/>
      </c>
      <c r="T253" s="71">
        <f>IF($S253="Macro",COUNTIFS($R$5:$R$1000,ROW(),$S$5:$S$1000,"Sub"),"")</f>
        <v/>
      </c>
      <c r="U253" s="71">
        <f>IF($S253="","",IF(ISNUMBER($G253),$G253,0))</f>
        <v/>
      </c>
      <c r="V253" s="71">
        <f>IF($S253="","",IF(ISNUMBER($H253),$H253,$U253))</f>
        <v/>
      </c>
      <c r="W253" s="71">
        <f>IF($S253="","",IF(ISNUMBER($I253),$I253,$V253))</f>
        <v/>
      </c>
      <c r="X253" s="71">
        <f>IF($S253="","",IF(ISNUMBER($J253),$J253,$W253))</f>
        <v/>
      </c>
      <c r="Y253" s="71">
        <f>IF($S253="","",IF(N($T253)&gt;0,IF(N($AG253)&gt;0,SUMIFS($AC$5:$AC$1000,$R$5:$R$1000,ROW(),$S$5:$S$1000,"Sub")/$AG253,AVERAGEIFS($U$5:$U$1000,$R$5:$R$1000,ROW(),$S$5:$S$1000,"Sub")),$U253))</f>
        <v/>
      </c>
      <c r="Z253" s="71">
        <f>IF($S253="","",IF(N($T253)&gt;0,IF(N($AG253)&gt;0,SUMIFS($AD$5:$AD$1000,$R$5:$R$1000,ROW(),$S$5:$S$1000,"Sub")/$AG253,AVERAGEIFS($V$5:$V$1000,$R$5:$R$1000,ROW(),$S$5:$S$1000,"Sub")),$V253))</f>
        <v/>
      </c>
      <c r="AA253" s="71">
        <f>IF($S253="","",IF(N($T253)&gt;0,IF(N($AG253)&gt;0,SUMIFS($AE$5:$AE$1000,$R$5:$R$1000,ROW(),$S$5:$S$1000,"Sub")/$AG253,AVERAGEIFS($W$5:$W$1000,$R$5:$R$1000,ROW(),$S$5:$S$1000,"Sub")),$W253))</f>
        <v/>
      </c>
      <c r="AB253" s="71">
        <f>IF($S253="","",IF(N($T253)&gt;0,IF(N($AG253)&gt;0,SUMIFS($AF$5:$AF$1000,$R$5:$R$1000,ROW(),$S$5:$S$1000,"Sub")/$AG253,AVERAGEIFS($X$5:$X$1000,$R$5:$R$1000,ROW(),$S$5:$S$1000,"Sub")),$X253))</f>
        <v/>
      </c>
      <c r="AC253" s="71">
        <f>IF($S253="Sub",N($F253)*N($U253),"")</f>
        <v/>
      </c>
      <c r="AD253" s="71">
        <f>IF($S253="Sub",N($F253)*N($V253),"")</f>
        <v/>
      </c>
      <c r="AE253" s="71">
        <f>IF($S253="Sub",N($F253)*N($W253),"")</f>
        <v/>
      </c>
      <c r="AF253" s="71">
        <f>IF($S253="Sub",N($F253)*N($X253),"")</f>
        <v/>
      </c>
      <c r="AG253" s="71">
        <f>IF(N($T253)&gt;0,SUMIFS($F$5:$F$1000,$R$5:$R$1000,ROW(),$S$5:$S$1000,"Sub"),"")</f>
        <v/>
      </c>
    </row>
    <row r="254">
      <c r="A254" s="62">
        <f>IF(NOT((COUNTA($B254:$J254)+COUNTA($N254))&gt;0),"",IF($S254="Macro",COUNTIFS($S$5:$S254,"Macro",$P$5:$P254,$P254),IF(N($R254)=0,"?",COUNTIFS(INDEX($S$5:$S$1000,1):INDEX($S$5:$S$1000,$R254-4),"Macro",INDEX($P$5:$P$1000,1):INDEX($P$5:$P$1000,$R254-4),INDEX($P$5:$P$1000,$R254-4))&amp;"."&amp;COUNTIFS($R$5:$R254,$R254,$S$5:$S254,"Sub"))))</f>
        <v/>
      </c>
      <c r="B254" s="63" t="n"/>
      <c r="C254" s="64" t="n"/>
      <c r="D254" s="65" t="n"/>
      <c r="E254" s="65" t="n"/>
      <c r="F254" s="66" t="n"/>
      <c r="G254" s="67" t="n"/>
      <c r="H254" s="67" t="n"/>
      <c r="I254" s="67" t="n"/>
      <c r="J254" s="67" t="n"/>
      <c r="K254" s="68">
        <f>IF(NOT((COUNTA($B254:$J254)+COUNTA($N254))&gt;0),"",IF(N($T254)&gt;0,$AB254,IFERROR(LOOKUP(2,1/(G254:J254&lt;&gt;""),G254:J254),0)))</f>
        <v/>
      </c>
      <c r="L254" s="62">
        <f>IF(K254="","",IF(K254&gt;=1,"Completado",IF(K254&gt;0,"En curso","Pendiente")))</f>
        <v/>
      </c>
      <c r="M254" s="62">
        <f>IF(NOT((COUNTA($B254:$J254)+COUNTA($N254))&gt;0),"",IF(N($K254)&gt;=1,"Cumplida",IF(NOT(ISNUMBER($E254)),"Sin fecha límite",IF($E254&lt;FechaRef,"Vencida hace "&amp;(FechaRef-$E254)&amp;IF(FechaRef-$E254=1," día"," días"),IF($E254=FechaRef,"Vence hoy",IF($E254-FechaRef&lt;=DiasAlerta,"Vence en "&amp;($E254-FechaRef)&amp;IF($E254-FechaRef=1," día"," días"),"En plazo"))))))</f>
        <v/>
      </c>
      <c r="N254" s="64" t="n"/>
      <c r="O254" s="69">
        <f>IF(NOT((COUNTA($B254:$J254)+COUNTA($N254))&gt;0),"",IF((IF($C254="","Falta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",""))="","✔ OK","⚠ "&amp;LEFT(IF($C254="","Falta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",""),LEN(IF($C254="","Falta el nombre de la actividad"&amp;" · ","")&amp;IF(AND($S254="Sub",N($R254)=0),"Subactividad sin macroactividad arriba"&amp;" · ","")&amp;IF($D254="","Sin fecha de inicio"&amp;" · ","")&amp;IF($E254="","Sin fecha límite"&amp;" · ","")&amp;IF(OR(AND($D254&lt;&gt;"",NOT(ISNUMBER($D254))),AND($E254&lt;&gt;"",NOT(ISNUMBER($E254)))),"Fecha no válida"&amp;" · ","")&amp;IF(AND(ISNUMBER($D254),ISNUMBER($E254),$D254&gt;$E254),"Inicio posterior a fecha límite"&amp;" · ","")&amp;IF(AND($S254="Macro",$F254=""),"Peso vacío"&amp;" · ","")&amp;IF(AND($S254="Macro",$F254&lt;&gt;"",OR(NOT(ISNUMBER($F254)),$F254&lt;=0,$F254&gt;1)),"Peso fuera de rango"&amp;" · ","")&amp;IF(AND($S254="Sub",$F254&lt;&gt;"",OR(NOT(ISNUMBER($F254)),$F254&lt;0,$F254&gt;1)),"Peso fuera de rango"&amp;" · ","")&amp;IF(AND($S254="Sub",$F254="",IFERROR(N(INDEX($AG$5:$AG$1000,$R254-4)),0)&gt;0),"Falta el peso de la subactividad"&amp;" · ","")&amp;IF(AND(N($T254)&gt;0,N($AG254)&gt;0,ABS(N($AG254)-N($F254))&gt;0.0001),"Pesos de sus subactividades suman "&amp;TEXT(N($AG254),"0%")&amp;" (deben sumar "&amp;TEXT(N($F254),"0%")&amp;")"&amp;" · ","")&amp;IF(AND($S254="Macro",ABS(SUMIFS($F$5:$F$1000,$P$5:$P$1000,$P254,$S$5:$S$1000,"Macro")-1)&gt;0.0001),"Pesos del mes suman "&amp;TEXT(SUMIFS($F$5:$F$1000,$P$5:$P$1000,$P254,$S$5:$S$1000,"Macro"),"0%")&amp;" · ","")&amp;IF(AND(N($T254)&gt;0,COUNT($G254:$J254)&gt;0),"Con subactividades: deje vacías las semanas (se calculan solas)"&amp;" · ","")&amp;IF((COUNTIF($G254:$J254,"&gt;1")+COUNTIF($G254:$J254,"&lt;0")+COUNTA($G254:$J254)-COUNT($G254:$J254))&gt;0,"Avance fuera de rango 0-100%"&amp;" · ","")&amp;IF(OR(AND($H254&lt;&gt;"",$H254&lt;$G254),AND($I254&lt;&gt;"",$I254&lt;MAX($G254:$H254)),AND($J254&lt;&gt;"",$J254&lt;MAX($G254:$I254))),"Avance semanal decreciente"&amp;" · ","")&amp;IF(AND(ISNUMBER($E254),$E254&lt;FechaRef,N($K254)&lt;1),"Vencida"&amp;" · ","")&amp;IF(AND(ObsObligatoria="Sí",ISNUMBER($E254),$E254&lt;FechaRef,N($K254)&lt;1,$N254=""),"Vencida sin observación"&amp;" · ",""))-3)))</f>
        <v/>
      </c>
      <c r="P254" s="70">
        <f>IF(NOT((COUNTA($B254:$J254)+COUNTA($N254))&gt;0),"",IF(AND($S254="Sub",N($R254)&gt;0),IF(ISNUMBER(INDEX($D$5:$D$1000,$R254-4)),DATE(YEAR(INDEX($D$5:$D$1000,$R254-4)),MONTH(INDEX($D$5:$D$1000,$R254-4)),1),IF(ISNUMBER(INDEX($E$5:$E$1000,$R254-4)),DATE(YEAR(INDEX($E$5:$E$1000,$R254-4)),MONTH(INDEX($E$5:$E$1000,$R254-4)),1),MesCiclo)),IF(ISNUMBER($D254),DATE(YEAR($D254),MONTH($D254),1),IF(ISNUMBER($E254),DATE(YEAR($E254),MONTH($E254),1),MesCiclo))))</f>
        <v/>
      </c>
      <c r="Q254" s="71">
        <f>IF(OR($P254="",$P254&lt;&gt;MesCiclo),"",COUNTIF($P$5:$P254,MesCiclo))</f>
        <v/>
      </c>
      <c r="R254" s="71">
        <f>IF($S254="","",IF($S254="Macro",ROW(),IFERROR(LOOKUP(2,1/($S$5:$S254="Macro"),ROW($S$5:$S254)),0)))</f>
        <v/>
      </c>
      <c r="S254" s="71">
        <f>IF(NOT((COUNTA($B254:$J254)+COUNTA($N254))&gt;0),"",IF($B254="Subactividad","Sub","Macro"))</f>
        <v/>
      </c>
      <c r="T254" s="71">
        <f>IF($S254="Macro",COUNTIFS($R$5:$R$1000,ROW(),$S$5:$S$1000,"Sub"),"")</f>
        <v/>
      </c>
      <c r="U254" s="71">
        <f>IF($S254="","",IF(ISNUMBER($G254),$G254,0))</f>
        <v/>
      </c>
      <c r="V254" s="71">
        <f>IF($S254="","",IF(ISNUMBER($H254),$H254,$U254))</f>
        <v/>
      </c>
      <c r="W254" s="71">
        <f>IF($S254="","",IF(ISNUMBER($I254),$I254,$V254))</f>
        <v/>
      </c>
      <c r="X254" s="71">
        <f>IF($S254="","",IF(ISNUMBER($J254),$J254,$W254))</f>
        <v/>
      </c>
      <c r="Y254" s="71">
        <f>IF($S254="","",IF(N($T254)&gt;0,IF(N($AG254)&gt;0,SUMIFS($AC$5:$AC$1000,$R$5:$R$1000,ROW(),$S$5:$S$1000,"Sub")/$AG254,AVERAGEIFS($U$5:$U$1000,$R$5:$R$1000,ROW(),$S$5:$S$1000,"Sub")),$U254))</f>
        <v/>
      </c>
      <c r="Z254" s="71">
        <f>IF($S254="","",IF(N($T254)&gt;0,IF(N($AG254)&gt;0,SUMIFS($AD$5:$AD$1000,$R$5:$R$1000,ROW(),$S$5:$S$1000,"Sub")/$AG254,AVERAGEIFS($V$5:$V$1000,$R$5:$R$1000,ROW(),$S$5:$S$1000,"Sub")),$V254))</f>
        <v/>
      </c>
      <c r="AA254" s="71">
        <f>IF($S254="","",IF(N($T254)&gt;0,IF(N($AG254)&gt;0,SUMIFS($AE$5:$AE$1000,$R$5:$R$1000,ROW(),$S$5:$S$1000,"Sub")/$AG254,AVERAGEIFS($W$5:$W$1000,$R$5:$R$1000,ROW(),$S$5:$S$1000,"Sub")),$W254))</f>
        <v/>
      </c>
      <c r="AB254" s="71">
        <f>IF($S254="","",IF(N($T254)&gt;0,IF(N($AG254)&gt;0,SUMIFS($AF$5:$AF$1000,$R$5:$R$1000,ROW(),$S$5:$S$1000,"Sub")/$AG254,AVERAGEIFS($X$5:$X$1000,$R$5:$R$1000,ROW(),$S$5:$S$1000,"Sub")),$X254))</f>
        <v/>
      </c>
      <c r="AC254" s="71">
        <f>IF($S254="Sub",N($F254)*N($U254),"")</f>
        <v/>
      </c>
      <c r="AD254" s="71">
        <f>IF($S254="Sub",N($F254)*N($V254),"")</f>
        <v/>
      </c>
      <c r="AE254" s="71">
        <f>IF($S254="Sub",N($F254)*N($W254),"")</f>
        <v/>
      </c>
      <c r="AF254" s="71">
        <f>IF($S254="Sub",N($F254)*N($X254),"")</f>
        <v/>
      </c>
      <c r="AG254" s="71">
        <f>IF(N($T254)&gt;0,SUMIFS($F$5:$F$1000,$R$5:$R$1000,ROW(),$S$5:$S$1000,"Sub"),"")</f>
        <v/>
      </c>
    </row>
    <row r="255">
      <c r="A255" s="62">
        <f>IF(NOT((COUNTA($B255:$J255)+COUNTA($N255))&gt;0),"",IF($S255="Macro",COUNTIFS($S$5:$S255,"Macro",$P$5:$P255,$P255),IF(N($R255)=0,"?",COUNTIFS(INDEX($S$5:$S$1000,1):INDEX($S$5:$S$1000,$R255-4),"Macro",INDEX($P$5:$P$1000,1):INDEX($P$5:$P$1000,$R255-4),INDEX($P$5:$P$1000,$R255-4))&amp;"."&amp;COUNTIFS($R$5:$R255,$R255,$S$5:$S255,"Sub"))))</f>
        <v/>
      </c>
      <c r="B255" s="63" t="n"/>
      <c r="C255" s="64" t="n"/>
      <c r="D255" s="65" t="n"/>
      <c r="E255" s="65" t="n"/>
      <c r="F255" s="66" t="n"/>
      <c r="G255" s="67" t="n"/>
      <c r="H255" s="67" t="n"/>
      <c r="I255" s="67" t="n"/>
      <c r="J255" s="67" t="n"/>
      <c r="K255" s="68">
        <f>IF(NOT((COUNTA($B255:$J255)+COUNTA($N255))&gt;0),"",IF(N($T255)&gt;0,$AB255,IFERROR(LOOKUP(2,1/(G255:J255&lt;&gt;""),G255:J255),0)))</f>
        <v/>
      </c>
      <c r="L255" s="62">
        <f>IF(K255="","",IF(K255&gt;=1,"Completado",IF(K255&gt;0,"En curso","Pendiente")))</f>
        <v/>
      </c>
      <c r="M255" s="62">
        <f>IF(NOT((COUNTA($B255:$J255)+COUNTA($N255))&gt;0),"",IF(N($K255)&gt;=1,"Cumplida",IF(NOT(ISNUMBER($E255)),"Sin fecha límite",IF($E255&lt;FechaRef,"Vencida hace "&amp;(FechaRef-$E255)&amp;IF(FechaRef-$E255=1," día"," días"),IF($E255=FechaRef,"Vence hoy",IF($E255-FechaRef&lt;=DiasAlerta,"Vence en "&amp;($E255-FechaRef)&amp;IF($E255-FechaRef=1," día"," días"),"En plazo"))))))</f>
        <v/>
      </c>
      <c r="N255" s="64" t="n"/>
      <c r="O255" s="69">
        <f>IF(NOT((COUNTA($B255:$J255)+COUNTA($N255))&gt;0),"",IF((IF($C255="","Falta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",""))="","✔ OK","⚠ "&amp;LEFT(IF($C255="","Falta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",""),LEN(IF($C255="","Falta el nombre de la actividad"&amp;" · ","")&amp;IF(AND($S255="Sub",N($R255)=0),"Subactividad sin macroactividad arriba"&amp;" · ","")&amp;IF($D255="","Sin fecha de inicio"&amp;" · ","")&amp;IF($E255="","Sin fecha límite"&amp;" · ","")&amp;IF(OR(AND($D255&lt;&gt;"",NOT(ISNUMBER($D255))),AND($E255&lt;&gt;"",NOT(ISNUMBER($E255)))),"Fecha no válida"&amp;" · ","")&amp;IF(AND(ISNUMBER($D255),ISNUMBER($E255),$D255&gt;$E255),"Inicio posterior a fecha límite"&amp;" · ","")&amp;IF(AND($S255="Macro",$F255=""),"Peso vacío"&amp;" · ","")&amp;IF(AND($S255="Macro",$F255&lt;&gt;"",OR(NOT(ISNUMBER($F255)),$F255&lt;=0,$F255&gt;1)),"Peso fuera de rango"&amp;" · ","")&amp;IF(AND($S255="Sub",$F255&lt;&gt;"",OR(NOT(ISNUMBER($F255)),$F255&lt;0,$F255&gt;1)),"Peso fuera de rango"&amp;" · ","")&amp;IF(AND($S255="Sub",$F255="",IFERROR(N(INDEX($AG$5:$AG$1000,$R255-4)),0)&gt;0),"Falta el peso de la subactividad"&amp;" · ","")&amp;IF(AND(N($T255)&gt;0,N($AG255)&gt;0,ABS(N($AG255)-N($F255))&gt;0.0001),"Pesos de sus subactividades suman "&amp;TEXT(N($AG255),"0%")&amp;" (deben sumar "&amp;TEXT(N($F255),"0%")&amp;")"&amp;" · ","")&amp;IF(AND($S255="Macro",ABS(SUMIFS($F$5:$F$1000,$P$5:$P$1000,$P255,$S$5:$S$1000,"Macro")-1)&gt;0.0001),"Pesos del mes suman "&amp;TEXT(SUMIFS($F$5:$F$1000,$P$5:$P$1000,$P255,$S$5:$S$1000,"Macro"),"0%")&amp;" · ","")&amp;IF(AND(N($T255)&gt;0,COUNT($G255:$J255)&gt;0),"Con subactividades: deje vacías las semanas (se calculan solas)"&amp;" · ","")&amp;IF((COUNTIF($G255:$J255,"&gt;1")+COUNTIF($G255:$J255,"&lt;0")+COUNTA($G255:$J255)-COUNT($G255:$J255))&gt;0,"Avance fuera de rango 0-100%"&amp;" · ","")&amp;IF(OR(AND($H255&lt;&gt;"",$H255&lt;$G255),AND($I255&lt;&gt;"",$I255&lt;MAX($G255:$H255)),AND($J255&lt;&gt;"",$J255&lt;MAX($G255:$I255))),"Avance semanal decreciente"&amp;" · ","")&amp;IF(AND(ISNUMBER($E255),$E255&lt;FechaRef,N($K255)&lt;1),"Vencida"&amp;" · ","")&amp;IF(AND(ObsObligatoria="Sí",ISNUMBER($E255),$E255&lt;FechaRef,N($K255)&lt;1,$N255=""),"Vencida sin observación"&amp;" · ",""))-3)))</f>
        <v/>
      </c>
      <c r="P255" s="70">
        <f>IF(NOT((COUNTA($B255:$J255)+COUNTA($N255))&gt;0),"",IF(AND($S255="Sub",N($R255)&gt;0),IF(ISNUMBER(INDEX($D$5:$D$1000,$R255-4)),DATE(YEAR(INDEX($D$5:$D$1000,$R255-4)),MONTH(INDEX($D$5:$D$1000,$R255-4)),1),IF(ISNUMBER(INDEX($E$5:$E$1000,$R255-4)),DATE(YEAR(INDEX($E$5:$E$1000,$R255-4)),MONTH(INDEX($E$5:$E$1000,$R255-4)),1),MesCiclo)),IF(ISNUMBER($D255),DATE(YEAR($D255),MONTH($D255),1),IF(ISNUMBER($E255),DATE(YEAR($E255),MONTH($E255),1),MesCiclo))))</f>
        <v/>
      </c>
      <c r="Q255" s="71">
        <f>IF(OR($P255="",$P255&lt;&gt;MesCiclo),"",COUNTIF($P$5:$P255,MesCiclo))</f>
        <v/>
      </c>
      <c r="R255" s="71">
        <f>IF($S255="","",IF($S255="Macro",ROW(),IFERROR(LOOKUP(2,1/($S$5:$S255="Macro"),ROW($S$5:$S255)),0)))</f>
        <v/>
      </c>
      <c r="S255" s="71">
        <f>IF(NOT((COUNTA($B255:$J255)+COUNTA($N255))&gt;0),"",IF($B255="Subactividad","Sub","Macro"))</f>
        <v/>
      </c>
      <c r="T255" s="71">
        <f>IF($S255="Macro",COUNTIFS($R$5:$R$1000,ROW(),$S$5:$S$1000,"Sub"),"")</f>
        <v/>
      </c>
      <c r="U255" s="71">
        <f>IF($S255="","",IF(ISNUMBER($G255),$G255,0))</f>
        <v/>
      </c>
      <c r="V255" s="71">
        <f>IF($S255="","",IF(ISNUMBER($H255),$H255,$U255))</f>
        <v/>
      </c>
      <c r="W255" s="71">
        <f>IF($S255="","",IF(ISNUMBER($I255),$I255,$V255))</f>
        <v/>
      </c>
      <c r="X255" s="71">
        <f>IF($S255="","",IF(ISNUMBER($J255),$J255,$W255))</f>
        <v/>
      </c>
      <c r="Y255" s="71">
        <f>IF($S255="","",IF(N($T255)&gt;0,IF(N($AG255)&gt;0,SUMIFS($AC$5:$AC$1000,$R$5:$R$1000,ROW(),$S$5:$S$1000,"Sub")/$AG255,AVERAGEIFS($U$5:$U$1000,$R$5:$R$1000,ROW(),$S$5:$S$1000,"Sub")),$U255))</f>
        <v/>
      </c>
      <c r="Z255" s="71">
        <f>IF($S255="","",IF(N($T255)&gt;0,IF(N($AG255)&gt;0,SUMIFS($AD$5:$AD$1000,$R$5:$R$1000,ROW(),$S$5:$S$1000,"Sub")/$AG255,AVERAGEIFS($V$5:$V$1000,$R$5:$R$1000,ROW(),$S$5:$S$1000,"Sub")),$V255))</f>
        <v/>
      </c>
      <c r="AA255" s="71">
        <f>IF($S255="","",IF(N($T255)&gt;0,IF(N($AG255)&gt;0,SUMIFS($AE$5:$AE$1000,$R$5:$R$1000,ROW(),$S$5:$S$1000,"Sub")/$AG255,AVERAGEIFS($W$5:$W$1000,$R$5:$R$1000,ROW(),$S$5:$S$1000,"Sub")),$W255))</f>
        <v/>
      </c>
      <c r="AB255" s="71">
        <f>IF($S255="","",IF(N($T255)&gt;0,IF(N($AG255)&gt;0,SUMIFS($AF$5:$AF$1000,$R$5:$R$1000,ROW(),$S$5:$S$1000,"Sub")/$AG255,AVERAGEIFS($X$5:$X$1000,$R$5:$R$1000,ROW(),$S$5:$S$1000,"Sub")),$X255))</f>
        <v/>
      </c>
      <c r="AC255" s="71">
        <f>IF($S255="Sub",N($F255)*N($U255),"")</f>
        <v/>
      </c>
      <c r="AD255" s="71">
        <f>IF($S255="Sub",N($F255)*N($V255),"")</f>
        <v/>
      </c>
      <c r="AE255" s="71">
        <f>IF($S255="Sub",N($F255)*N($W255),"")</f>
        <v/>
      </c>
      <c r="AF255" s="71">
        <f>IF($S255="Sub",N($F255)*N($X255),"")</f>
        <v/>
      </c>
      <c r="AG255" s="71">
        <f>IF(N($T255)&gt;0,SUMIFS($F$5:$F$1000,$R$5:$R$1000,ROW(),$S$5:$S$1000,"Sub"),"")</f>
        <v/>
      </c>
    </row>
    <row r="256">
      <c r="A256" s="62">
        <f>IF(NOT((COUNTA($B256:$J256)+COUNTA($N256))&gt;0),"",IF($S256="Macro",COUNTIFS($S$5:$S256,"Macro",$P$5:$P256,$P256),IF(N($R256)=0,"?",COUNTIFS(INDEX($S$5:$S$1000,1):INDEX($S$5:$S$1000,$R256-4),"Macro",INDEX($P$5:$P$1000,1):INDEX($P$5:$P$1000,$R256-4),INDEX($P$5:$P$1000,$R256-4))&amp;"."&amp;COUNTIFS($R$5:$R256,$R256,$S$5:$S256,"Sub"))))</f>
        <v/>
      </c>
      <c r="B256" s="63" t="n"/>
      <c r="C256" s="64" t="n"/>
      <c r="D256" s="65" t="n"/>
      <c r="E256" s="65" t="n"/>
      <c r="F256" s="66" t="n"/>
      <c r="G256" s="67" t="n"/>
      <c r="H256" s="67" t="n"/>
      <c r="I256" s="67" t="n"/>
      <c r="J256" s="67" t="n"/>
      <c r="K256" s="68">
        <f>IF(NOT((COUNTA($B256:$J256)+COUNTA($N256))&gt;0),"",IF(N($T256)&gt;0,$AB256,IFERROR(LOOKUP(2,1/(G256:J256&lt;&gt;""),G256:J256),0)))</f>
        <v/>
      </c>
      <c r="L256" s="62">
        <f>IF(K256="","",IF(K256&gt;=1,"Completado",IF(K256&gt;0,"En curso","Pendiente")))</f>
        <v/>
      </c>
      <c r="M256" s="62">
        <f>IF(NOT((COUNTA($B256:$J256)+COUNTA($N256))&gt;0),"",IF(N($K256)&gt;=1,"Cumplida",IF(NOT(ISNUMBER($E256)),"Sin fecha límite",IF($E256&lt;FechaRef,"Vencida hace "&amp;(FechaRef-$E256)&amp;IF(FechaRef-$E256=1," día"," días"),IF($E256=FechaRef,"Vence hoy",IF($E256-FechaRef&lt;=DiasAlerta,"Vence en "&amp;($E256-FechaRef)&amp;IF($E256-FechaRef=1," día"," días"),"En plazo"))))))</f>
        <v/>
      </c>
      <c r="N256" s="64" t="n"/>
      <c r="O256" s="69">
        <f>IF(NOT((COUNTA($B256:$J256)+COUNTA($N256))&gt;0),"",IF((IF($C256="","Falta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",""))="","✔ OK","⚠ "&amp;LEFT(IF($C256="","Falta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",""),LEN(IF($C256="","Falta el nombre de la actividad"&amp;" · ","")&amp;IF(AND($S256="Sub",N($R256)=0),"Subactividad sin macroactividad arriba"&amp;" · ","")&amp;IF($D256="","Sin fecha de inicio"&amp;" · ","")&amp;IF($E256="","Sin fecha límite"&amp;" · ","")&amp;IF(OR(AND($D256&lt;&gt;"",NOT(ISNUMBER($D256))),AND($E256&lt;&gt;"",NOT(ISNUMBER($E256)))),"Fecha no válida"&amp;" · ","")&amp;IF(AND(ISNUMBER($D256),ISNUMBER($E256),$D256&gt;$E256),"Inicio posterior a fecha límite"&amp;" · ","")&amp;IF(AND($S256="Macro",$F256=""),"Peso vacío"&amp;" · ","")&amp;IF(AND($S256="Macro",$F256&lt;&gt;"",OR(NOT(ISNUMBER($F256)),$F256&lt;=0,$F256&gt;1)),"Peso fuera de rango"&amp;" · ","")&amp;IF(AND($S256="Sub",$F256&lt;&gt;"",OR(NOT(ISNUMBER($F256)),$F256&lt;0,$F256&gt;1)),"Peso fuera de rango"&amp;" · ","")&amp;IF(AND($S256="Sub",$F256="",IFERROR(N(INDEX($AG$5:$AG$1000,$R256-4)),0)&gt;0),"Falta el peso de la subactividad"&amp;" · ","")&amp;IF(AND(N($T256)&gt;0,N($AG256)&gt;0,ABS(N($AG256)-N($F256))&gt;0.0001),"Pesos de sus subactividades suman "&amp;TEXT(N($AG256),"0%")&amp;" (deben sumar "&amp;TEXT(N($F256),"0%")&amp;")"&amp;" · ","")&amp;IF(AND($S256="Macro",ABS(SUMIFS($F$5:$F$1000,$P$5:$P$1000,$P256,$S$5:$S$1000,"Macro")-1)&gt;0.0001),"Pesos del mes suman "&amp;TEXT(SUMIFS($F$5:$F$1000,$P$5:$P$1000,$P256,$S$5:$S$1000,"Macro"),"0%")&amp;" · ","")&amp;IF(AND(N($T256)&gt;0,COUNT($G256:$J256)&gt;0),"Con subactividades: deje vacías las semanas (se calculan solas)"&amp;" · ","")&amp;IF((COUNTIF($G256:$J256,"&gt;1")+COUNTIF($G256:$J256,"&lt;0")+COUNTA($G256:$J256)-COUNT($G256:$J256))&gt;0,"Avance fuera de rango 0-100%"&amp;" · ","")&amp;IF(OR(AND($H256&lt;&gt;"",$H256&lt;$G256),AND($I256&lt;&gt;"",$I256&lt;MAX($G256:$H256)),AND($J256&lt;&gt;"",$J256&lt;MAX($G256:$I256))),"Avance semanal decreciente"&amp;" · ","")&amp;IF(AND(ISNUMBER($E256),$E256&lt;FechaRef,N($K256)&lt;1),"Vencida"&amp;" · ","")&amp;IF(AND(ObsObligatoria="Sí",ISNUMBER($E256),$E256&lt;FechaRef,N($K256)&lt;1,$N256=""),"Vencida sin observación"&amp;" · ",""))-3)))</f>
        <v/>
      </c>
      <c r="P256" s="70">
        <f>IF(NOT((COUNTA($B256:$J256)+COUNTA($N256))&gt;0),"",IF(AND($S256="Sub",N($R256)&gt;0),IF(ISNUMBER(INDEX($D$5:$D$1000,$R256-4)),DATE(YEAR(INDEX($D$5:$D$1000,$R256-4)),MONTH(INDEX($D$5:$D$1000,$R256-4)),1),IF(ISNUMBER(INDEX($E$5:$E$1000,$R256-4)),DATE(YEAR(INDEX($E$5:$E$1000,$R256-4)),MONTH(INDEX($E$5:$E$1000,$R256-4)),1),MesCiclo)),IF(ISNUMBER($D256),DATE(YEAR($D256),MONTH($D256),1),IF(ISNUMBER($E256),DATE(YEAR($E256),MONTH($E256),1),MesCiclo))))</f>
        <v/>
      </c>
      <c r="Q256" s="71">
        <f>IF(OR($P256="",$P256&lt;&gt;MesCiclo),"",COUNTIF($P$5:$P256,MesCiclo))</f>
        <v/>
      </c>
      <c r="R256" s="71">
        <f>IF($S256="","",IF($S256="Macro",ROW(),IFERROR(LOOKUP(2,1/($S$5:$S256="Macro"),ROW($S$5:$S256)),0)))</f>
        <v/>
      </c>
      <c r="S256" s="71">
        <f>IF(NOT((COUNTA($B256:$J256)+COUNTA($N256))&gt;0),"",IF($B256="Subactividad","Sub","Macro"))</f>
        <v/>
      </c>
      <c r="T256" s="71">
        <f>IF($S256="Macro",COUNTIFS($R$5:$R$1000,ROW(),$S$5:$S$1000,"Sub"),"")</f>
        <v/>
      </c>
      <c r="U256" s="71">
        <f>IF($S256="","",IF(ISNUMBER($G256),$G256,0))</f>
        <v/>
      </c>
      <c r="V256" s="71">
        <f>IF($S256="","",IF(ISNUMBER($H256),$H256,$U256))</f>
        <v/>
      </c>
      <c r="W256" s="71">
        <f>IF($S256="","",IF(ISNUMBER($I256),$I256,$V256))</f>
        <v/>
      </c>
      <c r="X256" s="71">
        <f>IF($S256="","",IF(ISNUMBER($J256),$J256,$W256))</f>
        <v/>
      </c>
      <c r="Y256" s="71">
        <f>IF($S256="","",IF(N($T256)&gt;0,IF(N($AG256)&gt;0,SUMIFS($AC$5:$AC$1000,$R$5:$R$1000,ROW(),$S$5:$S$1000,"Sub")/$AG256,AVERAGEIFS($U$5:$U$1000,$R$5:$R$1000,ROW(),$S$5:$S$1000,"Sub")),$U256))</f>
        <v/>
      </c>
      <c r="Z256" s="71">
        <f>IF($S256="","",IF(N($T256)&gt;0,IF(N($AG256)&gt;0,SUMIFS($AD$5:$AD$1000,$R$5:$R$1000,ROW(),$S$5:$S$1000,"Sub")/$AG256,AVERAGEIFS($V$5:$V$1000,$R$5:$R$1000,ROW(),$S$5:$S$1000,"Sub")),$V256))</f>
        <v/>
      </c>
      <c r="AA256" s="71">
        <f>IF($S256="","",IF(N($T256)&gt;0,IF(N($AG256)&gt;0,SUMIFS($AE$5:$AE$1000,$R$5:$R$1000,ROW(),$S$5:$S$1000,"Sub")/$AG256,AVERAGEIFS($W$5:$W$1000,$R$5:$R$1000,ROW(),$S$5:$S$1000,"Sub")),$W256))</f>
        <v/>
      </c>
      <c r="AB256" s="71">
        <f>IF($S256="","",IF(N($T256)&gt;0,IF(N($AG256)&gt;0,SUMIFS($AF$5:$AF$1000,$R$5:$R$1000,ROW(),$S$5:$S$1000,"Sub")/$AG256,AVERAGEIFS($X$5:$X$1000,$R$5:$R$1000,ROW(),$S$5:$S$1000,"Sub")),$X256))</f>
        <v/>
      </c>
      <c r="AC256" s="71">
        <f>IF($S256="Sub",N($F256)*N($U256),"")</f>
        <v/>
      </c>
      <c r="AD256" s="71">
        <f>IF($S256="Sub",N($F256)*N($V256),"")</f>
        <v/>
      </c>
      <c r="AE256" s="71">
        <f>IF($S256="Sub",N($F256)*N($W256),"")</f>
        <v/>
      </c>
      <c r="AF256" s="71">
        <f>IF($S256="Sub",N($F256)*N($X256),"")</f>
        <v/>
      </c>
      <c r="AG256" s="71">
        <f>IF(N($T256)&gt;0,SUMIFS($F$5:$F$1000,$R$5:$R$1000,ROW(),$S$5:$S$1000,"Sub"),"")</f>
        <v/>
      </c>
    </row>
    <row r="257">
      <c r="A257" s="62">
        <f>IF(NOT((COUNTA($B257:$J257)+COUNTA($N257))&gt;0),"",IF($S257="Macro",COUNTIFS($S$5:$S257,"Macro",$P$5:$P257,$P257),IF(N($R257)=0,"?",COUNTIFS(INDEX($S$5:$S$1000,1):INDEX($S$5:$S$1000,$R257-4),"Macro",INDEX($P$5:$P$1000,1):INDEX($P$5:$P$1000,$R257-4),INDEX($P$5:$P$1000,$R257-4))&amp;"."&amp;COUNTIFS($R$5:$R257,$R257,$S$5:$S257,"Sub"))))</f>
        <v/>
      </c>
      <c r="B257" s="63" t="n"/>
      <c r="C257" s="64" t="n"/>
      <c r="D257" s="65" t="n"/>
      <c r="E257" s="65" t="n"/>
      <c r="F257" s="66" t="n"/>
      <c r="G257" s="67" t="n"/>
      <c r="H257" s="67" t="n"/>
      <c r="I257" s="67" t="n"/>
      <c r="J257" s="67" t="n"/>
      <c r="K257" s="68">
        <f>IF(NOT((COUNTA($B257:$J257)+COUNTA($N257))&gt;0),"",IF(N($T257)&gt;0,$AB257,IFERROR(LOOKUP(2,1/(G257:J257&lt;&gt;""),G257:J257),0)))</f>
        <v/>
      </c>
      <c r="L257" s="62">
        <f>IF(K257="","",IF(K257&gt;=1,"Completado",IF(K257&gt;0,"En curso","Pendiente")))</f>
        <v/>
      </c>
      <c r="M257" s="62">
        <f>IF(NOT((COUNTA($B257:$J257)+COUNTA($N257))&gt;0),"",IF(N($K257)&gt;=1,"Cumplida",IF(NOT(ISNUMBER($E257)),"Sin fecha límite",IF($E257&lt;FechaRef,"Vencida hace "&amp;(FechaRef-$E257)&amp;IF(FechaRef-$E257=1," día"," días"),IF($E257=FechaRef,"Vence hoy",IF($E257-FechaRef&lt;=DiasAlerta,"Vence en "&amp;($E257-FechaRef)&amp;IF($E257-FechaRef=1," día"," días"),"En plazo"))))))</f>
        <v/>
      </c>
      <c r="N257" s="64" t="n"/>
      <c r="O257" s="69">
        <f>IF(NOT((COUNTA($B257:$J257)+COUNTA($N257))&gt;0),"",IF((IF($C257="","Falta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",""))="","✔ OK","⚠ "&amp;LEFT(IF($C257="","Falta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",""),LEN(IF($C257="","Falta el nombre de la actividad"&amp;" · ","")&amp;IF(AND($S257="Sub",N($R257)=0),"Subactividad sin macroactividad arriba"&amp;" · ","")&amp;IF($D257="","Sin fecha de inicio"&amp;" · ","")&amp;IF($E257="","Sin fecha límite"&amp;" · ","")&amp;IF(OR(AND($D257&lt;&gt;"",NOT(ISNUMBER($D257))),AND($E257&lt;&gt;"",NOT(ISNUMBER($E257)))),"Fecha no válida"&amp;" · ","")&amp;IF(AND(ISNUMBER($D257),ISNUMBER($E257),$D257&gt;$E257),"Inicio posterior a fecha límite"&amp;" · ","")&amp;IF(AND($S257="Macro",$F257=""),"Peso vacío"&amp;" · ","")&amp;IF(AND($S257="Macro",$F257&lt;&gt;"",OR(NOT(ISNUMBER($F257)),$F257&lt;=0,$F257&gt;1)),"Peso fuera de rango"&amp;" · ","")&amp;IF(AND($S257="Sub",$F257&lt;&gt;"",OR(NOT(ISNUMBER($F257)),$F257&lt;0,$F257&gt;1)),"Peso fuera de rango"&amp;" · ","")&amp;IF(AND($S257="Sub",$F257="",IFERROR(N(INDEX($AG$5:$AG$1000,$R257-4)),0)&gt;0),"Falta el peso de la subactividad"&amp;" · ","")&amp;IF(AND(N($T257)&gt;0,N($AG257)&gt;0,ABS(N($AG257)-N($F257))&gt;0.0001),"Pesos de sus subactividades suman "&amp;TEXT(N($AG257),"0%")&amp;" (deben sumar "&amp;TEXT(N($F257),"0%")&amp;")"&amp;" · ","")&amp;IF(AND($S257="Macro",ABS(SUMIFS($F$5:$F$1000,$P$5:$P$1000,$P257,$S$5:$S$1000,"Macro")-1)&gt;0.0001),"Pesos del mes suman "&amp;TEXT(SUMIFS($F$5:$F$1000,$P$5:$P$1000,$P257,$S$5:$S$1000,"Macro"),"0%")&amp;" · ","")&amp;IF(AND(N($T257)&gt;0,COUNT($G257:$J257)&gt;0),"Con subactividades: deje vacías las semanas (se calculan solas)"&amp;" · ","")&amp;IF((COUNTIF($G257:$J257,"&gt;1")+COUNTIF($G257:$J257,"&lt;0")+COUNTA($G257:$J257)-COUNT($G257:$J257))&gt;0,"Avance fuera de rango 0-100%"&amp;" · ","")&amp;IF(OR(AND($H257&lt;&gt;"",$H257&lt;$G257),AND($I257&lt;&gt;"",$I257&lt;MAX($G257:$H257)),AND($J257&lt;&gt;"",$J257&lt;MAX($G257:$I257))),"Avance semanal decreciente"&amp;" · ","")&amp;IF(AND(ISNUMBER($E257),$E257&lt;FechaRef,N($K257)&lt;1),"Vencida"&amp;" · ","")&amp;IF(AND(ObsObligatoria="Sí",ISNUMBER($E257),$E257&lt;FechaRef,N($K257)&lt;1,$N257=""),"Vencida sin observación"&amp;" · ",""))-3)))</f>
        <v/>
      </c>
      <c r="P257" s="70">
        <f>IF(NOT((COUNTA($B257:$J257)+COUNTA($N257))&gt;0),"",IF(AND($S257="Sub",N($R257)&gt;0),IF(ISNUMBER(INDEX($D$5:$D$1000,$R257-4)),DATE(YEAR(INDEX($D$5:$D$1000,$R257-4)),MONTH(INDEX($D$5:$D$1000,$R257-4)),1),IF(ISNUMBER(INDEX($E$5:$E$1000,$R257-4)),DATE(YEAR(INDEX($E$5:$E$1000,$R257-4)),MONTH(INDEX($E$5:$E$1000,$R257-4)),1),MesCiclo)),IF(ISNUMBER($D257),DATE(YEAR($D257),MONTH($D257),1),IF(ISNUMBER($E257),DATE(YEAR($E257),MONTH($E257),1),MesCiclo))))</f>
        <v/>
      </c>
      <c r="Q257" s="71">
        <f>IF(OR($P257="",$P257&lt;&gt;MesCiclo),"",COUNTIF($P$5:$P257,MesCiclo))</f>
        <v/>
      </c>
      <c r="R257" s="71">
        <f>IF($S257="","",IF($S257="Macro",ROW(),IFERROR(LOOKUP(2,1/($S$5:$S257="Macro"),ROW($S$5:$S257)),0)))</f>
        <v/>
      </c>
      <c r="S257" s="71">
        <f>IF(NOT((COUNTA($B257:$J257)+COUNTA($N257))&gt;0),"",IF($B257="Subactividad","Sub","Macro"))</f>
        <v/>
      </c>
      <c r="T257" s="71">
        <f>IF($S257="Macro",COUNTIFS($R$5:$R$1000,ROW(),$S$5:$S$1000,"Sub"),"")</f>
        <v/>
      </c>
      <c r="U257" s="71">
        <f>IF($S257="","",IF(ISNUMBER($G257),$G257,0))</f>
        <v/>
      </c>
      <c r="V257" s="71">
        <f>IF($S257="","",IF(ISNUMBER($H257),$H257,$U257))</f>
        <v/>
      </c>
      <c r="W257" s="71">
        <f>IF($S257="","",IF(ISNUMBER($I257),$I257,$V257))</f>
        <v/>
      </c>
      <c r="X257" s="71">
        <f>IF($S257="","",IF(ISNUMBER($J257),$J257,$W257))</f>
        <v/>
      </c>
      <c r="Y257" s="71">
        <f>IF($S257="","",IF(N($T257)&gt;0,IF(N($AG257)&gt;0,SUMIFS($AC$5:$AC$1000,$R$5:$R$1000,ROW(),$S$5:$S$1000,"Sub")/$AG257,AVERAGEIFS($U$5:$U$1000,$R$5:$R$1000,ROW(),$S$5:$S$1000,"Sub")),$U257))</f>
        <v/>
      </c>
      <c r="Z257" s="71">
        <f>IF($S257="","",IF(N($T257)&gt;0,IF(N($AG257)&gt;0,SUMIFS($AD$5:$AD$1000,$R$5:$R$1000,ROW(),$S$5:$S$1000,"Sub")/$AG257,AVERAGEIFS($V$5:$V$1000,$R$5:$R$1000,ROW(),$S$5:$S$1000,"Sub")),$V257))</f>
        <v/>
      </c>
      <c r="AA257" s="71">
        <f>IF($S257="","",IF(N($T257)&gt;0,IF(N($AG257)&gt;0,SUMIFS($AE$5:$AE$1000,$R$5:$R$1000,ROW(),$S$5:$S$1000,"Sub")/$AG257,AVERAGEIFS($W$5:$W$1000,$R$5:$R$1000,ROW(),$S$5:$S$1000,"Sub")),$W257))</f>
        <v/>
      </c>
      <c r="AB257" s="71">
        <f>IF($S257="","",IF(N($T257)&gt;0,IF(N($AG257)&gt;0,SUMIFS($AF$5:$AF$1000,$R$5:$R$1000,ROW(),$S$5:$S$1000,"Sub")/$AG257,AVERAGEIFS($X$5:$X$1000,$R$5:$R$1000,ROW(),$S$5:$S$1000,"Sub")),$X257))</f>
        <v/>
      </c>
      <c r="AC257" s="71">
        <f>IF($S257="Sub",N($F257)*N($U257),"")</f>
        <v/>
      </c>
      <c r="AD257" s="71">
        <f>IF($S257="Sub",N($F257)*N($V257),"")</f>
        <v/>
      </c>
      <c r="AE257" s="71">
        <f>IF($S257="Sub",N($F257)*N($W257),"")</f>
        <v/>
      </c>
      <c r="AF257" s="71">
        <f>IF($S257="Sub",N($F257)*N($X257),"")</f>
        <v/>
      </c>
      <c r="AG257" s="71">
        <f>IF(N($T257)&gt;0,SUMIFS($F$5:$F$1000,$R$5:$R$1000,ROW(),$S$5:$S$1000,"Sub"),"")</f>
        <v/>
      </c>
    </row>
    <row r="258">
      <c r="A258" s="62">
        <f>IF(NOT((COUNTA($B258:$J258)+COUNTA($N258))&gt;0),"",IF($S258="Macro",COUNTIFS($S$5:$S258,"Macro",$P$5:$P258,$P258),IF(N($R258)=0,"?",COUNTIFS(INDEX($S$5:$S$1000,1):INDEX($S$5:$S$1000,$R258-4),"Macro",INDEX($P$5:$P$1000,1):INDEX($P$5:$P$1000,$R258-4),INDEX($P$5:$P$1000,$R258-4))&amp;"."&amp;COUNTIFS($R$5:$R258,$R258,$S$5:$S258,"Sub"))))</f>
        <v/>
      </c>
      <c r="B258" s="63" t="n"/>
      <c r="C258" s="64" t="n"/>
      <c r="D258" s="65" t="n"/>
      <c r="E258" s="65" t="n"/>
      <c r="F258" s="66" t="n"/>
      <c r="G258" s="67" t="n"/>
      <c r="H258" s="67" t="n"/>
      <c r="I258" s="67" t="n"/>
      <c r="J258" s="67" t="n"/>
      <c r="K258" s="68">
        <f>IF(NOT((COUNTA($B258:$J258)+COUNTA($N258))&gt;0),"",IF(N($T258)&gt;0,$AB258,IFERROR(LOOKUP(2,1/(G258:J258&lt;&gt;""),G258:J258),0)))</f>
        <v/>
      </c>
      <c r="L258" s="62">
        <f>IF(K258="","",IF(K258&gt;=1,"Completado",IF(K258&gt;0,"En curso","Pendiente")))</f>
        <v/>
      </c>
      <c r="M258" s="62">
        <f>IF(NOT((COUNTA($B258:$J258)+COUNTA($N258))&gt;0),"",IF(N($K258)&gt;=1,"Cumplida",IF(NOT(ISNUMBER($E258)),"Sin fecha límite",IF($E258&lt;FechaRef,"Vencida hace "&amp;(FechaRef-$E258)&amp;IF(FechaRef-$E258=1," día"," días"),IF($E258=FechaRef,"Vence hoy",IF($E258-FechaRef&lt;=DiasAlerta,"Vence en "&amp;($E258-FechaRef)&amp;IF($E258-FechaRef=1," día"," días"),"En plazo"))))))</f>
        <v/>
      </c>
      <c r="N258" s="64" t="n"/>
      <c r="O258" s="69">
        <f>IF(NOT((COUNTA($B258:$J258)+COUNTA($N258))&gt;0),"",IF((IF($C258="","Falta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",""))="","✔ OK","⚠ "&amp;LEFT(IF($C258="","Falta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",""),LEN(IF($C258="","Falta el nombre de la actividad"&amp;" · ","")&amp;IF(AND($S258="Sub",N($R258)=0),"Subactividad sin macroactividad arriba"&amp;" · ","")&amp;IF($D258="","Sin fecha de inicio"&amp;" · ","")&amp;IF($E258="","Sin fecha límite"&amp;" · ","")&amp;IF(OR(AND($D258&lt;&gt;"",NOT(ISNUMBER($D258))),AND($E258&lt;&gt;"",NOT(ISNUMBER($E258)))),"Fecha no válida"&amp;" · ","")&amp;IF(AND(ISNUMBER($D258),ISNUMBER($E258),$D258&gt;$E258),"Inicio posterior a fecha límite"&amp;" · ","")&amp;IF(AND($S258="Macro",$F258=""),"Peso vacío"&amp;" · ","")&amp;IF(AND($S258="Macro",$F258&lt;&gt;"",OR(NOT(ISNUMBER($F258)),$F258&lt;=0,$F258&gt;1)),"Peso fuera de rango"&amp;" · ","")&amp;IF(AND($S258="Sub",$F258&lt;&gt;"",OR(NOT(ISNUMBER($F258)),$F258&lt;0,$F258&gt;1)),"Peso fuera de rango"&amp;" · ","")&amp;IF(AND($S258="Sub",$F258="",IFERROR(N(INDEX($AG$5:$AG$1000,$R258-4)),0)&gt;0),"Falta el peso de la subactividad"&amp;" · ","")&amp;IF(AND(N($T258)&gt;0,N($AG258)&gt;0,ABS(N($AG258)-N($F258))&gt;0.0001),"Pesos de sus subactividades suman "&amp;TEXT(N($AG258),"0%")&amp;" (deben sumar "&amp;TEXT(N($F258),"0%")&amp;")"&amp;" · ","")&amp;IF(AND($S258="Macro",ABS(SUMIFS($F$5:$F$1000,$P$5:$P$1000,$P258,$S$5:$S$1000,"Macro")-1)&gt;0.0001),"Pesos del mes suman "&amp;TEXT(SUMIFS($F$5:$F$1000,$P$5:$P$1000,$P258,$S$5:$S$1000,"Macro"),"0%")&amp;" · ","")&amp;IF(AND(N($T258)&gt;0,COUNT($G258:$J258)&gt;0),"Con subactividades: deje vacías las semanas (se calculan solas)"&amp;" · ","")&amp;IF((COUNTIF($G258:$J258,"&gt;1")+COUNTIF($G258:$J258,"&lt;0")+COUNTA($G258:$J258)-COUNT($G258:$J258))&gt;0,"Avance fuera de rango 0-100%"&amp;" · ","")&amp;IF(OR(AND($H258&lt;&gt;"",$H258&lt;$G258),AND($I258&lt;&gt;"",$I258&lt;MAX($G258:$H258)),AND($J258&lt;&gt;"",$J258&lt;MAX($G258:$I258))),"Avance semanal decreciente"&amp;" · ","")&amp;IF(AND(ISNUMBER($E258),$E258&lt;FechaRef,N($K258)&lt;1),"Vencida"&amp;" · ","")&amp;IF(AND(ObsObligatoria="Sí",ISNUMBER($E258),$E258&lt;FechaRef,N($K258)&lt;1,$N258=""),"Vencida sin observación"&amp;" · ",""))-3)))</f>
        <v/>
      </c>
      <c r="P258" s="70">
        <f>IF(NOT((COUNTA($B258:$J258)+COUNTA($N258))&gt;0),"",IF(AND($S258="Sub",N($R258)&gt;0),IF(ISNUMBER(INDEX($D$5:$D$1000,$R258-4)),DATE(YEAR(INDEX($D$5:$D$1000,$R258-4)),MONTH(INDEX($D$5:$D$1000,$R258-4)),1),IF(ISNUMBER(INDEX($E$5:$E$1000,$R258-4)),DATE(YEAR(INDEX($E$5:$E$1000,$R258-4)),MONTH(INDEX($E$5:$E$1000,$R258-4)),1),MesCiclo)),IF(ISNUMBER($D258),DATE(YEAR($D258),MONTH($D258),1),IF(ISNUMBER($E258),DATE(YEAR($E258),MONTH($E258),1),MesCiclo))))</f>
        <v/>
      </c>
      <c r="Q258" s="71">
        <f>IF(OR($P258="",$P258&lt;&gt;MesCiclo),"",COUNTIF($P$5:$P258,MesCiclo))</f>
        <v/>
      </c>
      <c r="R258" s="71">
        <f>IF($S258="","",IF($S258="Macro",ROW(),IFERROR(LOOKUP(2,1/($S$5:$S258="Macro"),ROW($S$5:$S258)),0)))</f>
        <v/>
      </c>
      <c r="S258" s="71">
        <f>IF(NOT((COUNTA($B258:$J258)+COUNTA($N258))&gt;0),"",IF($B258="Subactividad","Sub","Macro"))</f>
        <v/>
      </c>
      <c r="T258" s="71">
        <f>IF($S258="Macro",COUNTIFS($R$5:$R$1000,ROW(),$S$5:$S$1000,"Sub"),"")</f>
        <v/>
      </c>
      <c r="U258" s="71">
        <f>IF($S258="","",IF(ISNUMBER($G258),$G258,0))</f>
        <v/>
      </c>
      <c r="V258" s="71">
        <f>IF($S258="","",IF(ISNUMBER($H258),$H258,$U258))</f>
        <v/>
      </c>
      <c r="W258" s="71">
        <f>IF($S258="","",IF(ISNUMBER($I258),$I258,$V258))</f>
        <v/>
      </c>
      <c r="X258" s="71">
        <f>IF($S258="","",IF(ISNUMBER($J258),$J258,$W258))</f>
        <v/>
      </c>
      <c r="Y258" s="71">
        <f>IF($S258="","",IF(N($T258)&gt;0,IF(N($AG258)&gt;0,SUMIFS($AC$5:$AC$1000,$R$5:$R$1000,ROW(),$S$5:$S$1000,"Sub")/$AG258,AVERAGEIFS($U$5:$U$1000,$R$5:$R$1000,ROW(),$S$5:$S$1000,"Sub")),$U258))</f>
        <v/>
      </c>
      <c r="Z258" s="71">
        <f>IF($S258="","",IF(N($T258)&gt;0,IF(N($AG258)&gt;0,SUMIFS($AD$5:$AD$1000,$R$5:$R$1000,ROW(),$S$5:$S$1000,"Sub")/$AG258,AVERAGEIFS($V$5:$V$1000,$R$5:$R$1000,ROW(),$S$5:$S$1000,"Sub")),$V258))</f>
        <v/>
      </c>
      <c r="AA258" s="71">
        <f>IF($S258="","",IF(N($T258)&gt;0,IF(N($AG258)&gt;0,SUMIFS($AE$5:$AE$1000,$R$5:$R$1000,ROW(),$S$5:$S$1000,"Sub")/$AG258,AVERAGEIFS($W$5:$W$1000,$R$5:$R$1000,ROW(),$S$5:$S$1000,"Sub")),$W258))</f>
        <v/>
      </c>
      <c r="AB258" s="71">
        <f>IF($S258="","",IF(N($T258)&gt;0,IF(N($AG258)&gt;0,SUMIFS($AF$5:$AF$1000,$R$5:$R$1000,ROW(),$S$5:$S$1000,"Sub")/$AG258,AVERAGEIFS($X$5:$X$1000,$R$5:$R$1000,ROW(),$S$5:$S$1000,"Sub")),$X258))</f>
        <v/>
      </c>
      <c r="AC258" s="71">
        <f>IF($S258="Sub",N($F258)*N($U258),"")</f>
        <v/>
      </c>
      <c r="AD258" s="71">
        <f>IF($S258="Sub",N($F258)*N($V258),"")</f>
        <v/>
      </c>
      <c r="AE258" s="71">
        <f>IF($S258="Sub",N($F258)*N($W258),"")</f>
        <v/>
      </c>
      <c r="AF258" s="71">
        <f>IF($S258="Sub",N($F258)*N($X258),"")</f>
        <v/>
      </c>
      <c r="AG258" s="71">
        <f>IF(N($T258)&gt;0,SUMIFS($F$5:$F$1000,$R$5:$R$1000,ROW(),$S$5:$S$1000,"Sub"),"")</f>
        <v/>
      </c>
    </row>
    <row r="259">
      <c r="A259" s="62">
        <f>IF(NOT((COUNTA($B259:$J259)+COUNTA($N259))&gt;0),"",IF($S259="Macro",COUNTIFS($S$5:$S259,"Macro",$P$5:$P259,$P259),IF(N($R259)=0,"?",COUNTIFS(INDEX($S$5:$S$1000,1):INDEX($S$5:$S$1000,$R259-4),"Macro",INDEX($P$5:$P$1000,1):INDEX($P$5:$P$1000,$R259-4),INDEX($P$5:$P$1000,$R259-4))&amp;"."&amp;COUNTIFS($R$5:$R259,$R259,$S$5:$S259,"Sub"))))</f>
        <v/>
      </c>
      <c r="B259" s="63" t="n"/>
      <c r="C259" s="64" t="n"/>
      <c r="D259" s="65" t="n"/>
      <c r="E259" s="65" t="n"/>
      <c r="F259" s="66" t="n"/>
      <c r="G259" s="67" t="n"/>
      <c r="H259" s="67" t="n"/>
      <c r="I259" s="67" t="n"/>
      <c r="J259" s="67" t="n"/>
      <c r="K259" s="68">
        <f>IF(NOT((COUNTA($B259:$J259)+COUNTA($N259))&gt;0),"",IF(N($T259)&gt;0,$AB259,IFERROR(LOOKUP(2,1/(G259:J259&lt;&gt;""),G259:J259),0)))</f>
        <v/>
      </c>
      <c r="L259" s="62">
        <f>IF(K259="","",IF(K259&gt;=1,"Completado",IF(K259&gt;0,"En curso","Pendiente")))</f>
        <v/>
      </c>
      <c r="M259" s="62">
        <f>IF(NOT((COUNTA($B259:$J259)+COUNTA($N259))&gt;0),"",IF(N($K259)&gt;=1,"Cumplida",IF(NOT(ISNUMBER($E259)),"Sin fecha límite",IF($E259&lt;FechaRef,"Vencida hace "&amp;(FechaRef-$E259)&amp;IF(FechaRef-$E259=1," día"," días"),IF($E259=FechaRef,"Vence hoy",IF($E259-FechaRef&lt;=DiasAlerta,"Vence en "&amp;($E259-FechaRef)&amp;IF($E259-FechaRef=1," día"," días"),"En plazo"))))))</f>
        <v/>
      </c>
      <c r="N259" s="64" t="n"/>
      <c r="O259" s="69">
        <f>IF(NOT((COUNTA($B259:$J259)+COUNTA($N259))&gt;0),"",IF((IF($C259="","Falta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",""))="","✔ OK","⚠ "&amp;LEFT(IF($C259="","Falta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",""),LEN(IF($C259="","Falta el nombre de la actividad"&amp;" · ","")&amp;IF(AND($S259="Sub",N($R259)=0),"Subactividad sin macroactividad arriba"&amp;" · ","")&amp;IF($D259="","Sin fecha de inicio"&amp;" · ","")&amp;IF($E259="","Sin fecha límite"&amp;" · ","")&amp;IF(OR(AND($D259&lt;&gt;"",NOT(ISNUMBER($D259))),AND($E259&lt;&gt;"",NOT(ISNUMBER($E259)))),"Fecha no válida"&amp;" · ","")&amp;IF(AND(ISNUMBER($D259),ISNUMBER($E259),$D259&gt;$E259),"Inicio posterior a fecha límite"&amp;" · ","")&amp;IF(AND($S259="Macro",$F259=""),"Peso vacío"&amp;" · ","")&amp;IF(AND($S259="Macro",$F259&lt;&gt;"",OR(NOT(ISNUMBER($F259)),$F259&lt;=0,$F259&gt;1)),"Peso fuera de rango"&amp;" · ","")&amp;IF(AND($S259="Sub",$F259&lt;&gt;"",OR(NOT(ISNUMBER($F259)),$F259&lt;0,$F259&gt;1)),"Peso fuera de rango"&amp;" · ","")&amp;IF(AND($S259="Sub",$F259="",IFERROR(N(INDEX($AG$5:$AG$1000,$R259-4)),0)&gt;0),"Falta el peso de la subactividad"&amp;" · ","")&amp;IF(AND(N($T259)&gt;0,N($AG259)&gt;0,ABS(N($AG259)-N($F259))&gt;0.0001),"Pesos de sus subactividades suman "&amp;TEXT(N($AG259),"0%")&amp;" (deben sumar "&amp;TEXT(N($F259),"0%")&amp;")"&amp;" · ","")&amp;IF(AND($S259="Macro",ABS(SUMIFS($F$5:$F$1000,$P$5:$P$1000,$P259,$S$5:$S$1000,"Macro")-1)&gt;0.0001),"Pesos del mes suman "&amp;TEXT(SUMIFS($F$5:$F$1000,$P$5:$P$1000,$P259,$S$5:$S$1000,"Macro"),"0%")&amp;" · ","")&amp;IF(AND(N($T259)&gt;0,COUNT($G259:$J259)&gt;0),"Con subactividades: deje vacías las semanas (se calculan solas)"&amp;" · ","")&amp;IF((COUNTIF($G259:$J259,"&gt;1")+COUNTIF($G259:$J259,"&lt;0")+COUNTA($G259:$J259)-COUNT($G259:$J259))&gt;0,"Avance fuera de rango 0-100%"&amp;" · ","")&amp;IF(OR(AND($H259&lt;&gt;"",$H259&lt;$G259),AND($I259&lt;&gt;"",$I259&lt;MAX($G259:$H259)),AND($J259&lt;&gt;"",$J259&lt;MAX($G259:$I259))),"Avance semanal decreciente"&amp;" · ","")&amp;IF(AND(ISNUMBER($E259),$E259&lt;FechaRef,N($K259)&lt;1),"Vencida"&amp;" · ","")&amp;IF(AND(ObsObligatoria="Sí",ISNUMBER($E259),$E259&lt;FechaRef,N($K259)&lt;1,$N259=""),"Vencida sin observación"&amp;" · ",""))-3)))</f>
        <v/>
      </c>
      <c r="P259" s="70">
        <f>IF(NOT((COUNTA($B259:$J259)+COUNTA($N259))&gt;0),"",IF(AND($S259="Sub",N($R259)&gt;0),IF(ISNUMBER(INDEX($D$5:$D$1000,$R259-4)),DATE(YEAR(INDEX($D$5:$D$1000,$R259-4)),MONTH(INDEX($D$5:$D$1000,$R259-4)),1),IF(ISNUMBER(INDEX($E$5:$E$1000,$R259-4)),DATE(YEAR(INDEX($E$5:$E$1000,$R259-4)),MONTH(INDEX($E$5:$E$1000,$R259-4)),1),MesCiclo)),IF(ISNUMBER($D259),DATE(YEAR($D259),MONTH($D259),1),IF(ISNUMBER($E259),DATE(YEAR($E259),MONTH($E259),1),MesCiclo))))</f>
        <v/>
      </c>
      <c r="Q259" s="71">
        <f>IF(OR($P259="",$P259&lt;&gt;MesCiclo),"",COUNTIF($P$5:$P259,MesCiclo))</f>
        <v/>
      </c>
      <c r="R259" s="71">
        <f>IF($S259="","",IF($S259="Macro",ROW(),IFERROR(LOOKUP(2,1/($S$5:$S259="Macro"),ROW($S$5:$S259)),0)))</f>
        <v/>
      </c>
      <c r="S259" s="71">
        <f>IF(NOT((COUNTA($B259:$J259)+COUNTA($N259))&gt;0),"",IF($B259="Subactividad","Sub","Macro"))</f>
        <v/>
      </c>
      <c r="T259" s="71">
        <f>IF($S259="Macro",COUNTIFS($R$5:$R$1000,ROW(),$S$5:$S$1000,"Sub"),"")</f>
        <v/>
      </c>
      <c r="U259" s="71">
        <f>IF($S259="","",IF(ISNUMBER($G259),$G259,0))</f>
        <v/>
      </c>
      <c r="V259" s="71">
        <f>IF($S259="","",IF(ISNUMBER($H259),$H259,$U259))</f>
        <v/>
      </c>
      <c r="W259" s="71">
        <f>IF($S259="","",IF(ISNUMBER($I259),$I259,$V259))</f>
        <v/>
      </c>
      <c r="X259" s="71">
        <f>IF($S259="","",IF(ISNUMBER($J259),$J259,$W259))</f>
        <v/>
      </c>
      <c r="Y259" s="71">
        <f>IF($S259="","",IF(N($T259)&gt;0,IF(N($AG259)&gt;0,SUMIFS($AC$5:$AC$1000,$R$5:$R$1000,ROW(),$S$5:$S$1000,"Sub")/$AG259,AVERAGEIFS($U$5:$U$1000,$R$5:$R$1000,ROW(),$S$5:$S$1000,"Sub")),$U259))</f>
        <v/>
      </c>
      <c r="Z259" s="71">
        <f>IF($S259="","",IF(N($T259)&gt;0,IF(N($AG259)&gt;0,SUMIFS($AD$5:$AD$1000,$R$5:$R$1000,ROW(),$S$5:$S$1000,"Sub")/$AG259,AVERAGEIFS($V$5:$V$1000,$R$5:$R$1000,ROW(),$S$5:$S$1000,"Sub")),$V259))</f>
        <v/>
      </c>
      <c r="AA259" s="71">
        <f>IF($S259="","",IF(N($T259)&gt;0,IF(N($AG259)&gt;0,SUMIFS($AE$5:$AE$1000,$R$5:$R$1000,ROW(),$S$5:$S$1000,"Sub")/$AG259,AVERAGEIFS($W$5:$W$1000,$R$5:$R$1000,ROW(),$S$5:$S$1000,"Sub")),$W259))</f>
        <v/>
      </c>
      <c r="AB259" s="71">
        <f>IF($S259="","",IF(N($T259)&gt;0,IF(N($AG259)&gt;0,SUMIFS($AF$5:$AF$1000,$R$5:$R$1000,ROW(),$S$5:$S$1000,"Sub")/$AG259,AVERAGEIFS($X$5:$X$1000,$R$5:$R$1000,ROW(),$S$5:$S$1000,"Sub")),$X259))</f>
        <v/>
      </c>
      <c r="AC259" s="71">
        <f>IF($S259="Sub",N($F259)*N($U259),"")</f>
        <v/>
      </c>
      <c r="AD259" s="71">
        <f>IF($S259="Sub",N($F259)*N($V259),"")</f>
        <v/>
      </c>
      <c r="AE259" s="71">
        <f>IF($S259="Sub",N($F259)*N($W259),"")</f>
        <v/>
      </c>
      <c r="AF259" s="71">
        <f>IF($S259="Sub",N($F259)*N($X259),"")</f>
        <v/>
      </c>
      <c r="AG259" s="71">
        <f>IF(N($T259)&gt;0,SUMIFS($F$5:$F$1000,$R$5:$R$1000,ROW(),$S$5:$S$1000,"Sub"),"")</f>
        <v/>
      </c>
    </row>
    <row r="260">
      <c r="A260" s="62">
        <f>IF(NOT((COUNTA($B260:$J260)+COUNTA($N260))&gt;0),"",IF($S260="Macro",COUNTIFS($S$5:$S260,"Macro",$P$5:$P260,$P260),IF(N($R260)=0,"?",COUNTIFS(INDEX($S$5:$S$1000,1):INDEX($S$5:$S$1000,$R260-4),"Macro",INDEX($P$5:$P$1000,1):INDEX($P$5:$P$1000,$R260-4),INDEX($P$5:$P$1000,$R260-4))&amp;"."&amp;COUNTIFS($R$5:$R260,$R260,$S$5:$S260,"Sub"))))</f>
        <v/>
      </c>
      <c r="B260" s="63" t="n"/>
      <c r="C260" s="64" t="n"/>
      <c r="D260" s="65" t="n"/>
      <c r="E260" s="65" t="n"/>
      <c r="F260" s="66" t="n"/>
      <c r="G260" s="67" t="n"/>
      <c r="H260" s="67" t="n"/>
      <c r="I260" s="67" t="n"/>
      <c r="J260" s="67" t="n"/>
      <c r="K260" s="68">
        <f>IF(NOT((COUNTA($B260:$J260)+COUNTA($N260))&gt;0),"",IF(N($T260)&gt;0,$AB260,IFERROR(LOOKUP(2,1/(G260:J260&lt;&gt;""),G260:J260),0)))</f>
        <v/>
      </c>
      <c r="L260" s="62">
        <f>IF(K260="","",IF(K260&gt;=1,"Completado",IF(K260&gt;0,"En curso","Pendiente")))</f>
        <v/>
      </c>
      <c r="M260" s="62">
        <f>IF(NOT((COUNTA($B260:$J260)+COUNTA($N260))&gt;0),"",IF(N($K260)&gt;=1,"Cumplida",IF(NOT(ISNUMBER($E260)),"Sin fecha límite",IF($E260&lt;FechaRef,"Vencida hace "&amp;(FechaRef-$E260)&amp;IF(FechaRef-$E260=1," día"," días"),IF($E260=FechaRef,"Vence hoy",IF($E260-FechaRef&lt;=DiasAlerta,"Vence en "&amp;($E260-FechaRef)&amp;IF($E260-FechaRef=1," día"," días"),"En plazo"))))))</f>
        <v/>
      </c>
      <c r="N260" s="64" t="n"/>
      <c r="O260" s="69">
        <f>IF(NOT((COUNTA($B260:$J260)+COUNTA($N260))&gt;0),"",IF((IF($C260="","Falta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",""))="","✔ OK","⚠ "&amp;LEFT(IF($C260="","Falta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",""),LEN(IF($C260="","Falta el nombre de la actividad"&amp;" · ","")&amp;IF(AND($S260="Sub",N($R260)=0),"Subactividad sin macroactividad arriba"&amp;" · ","")&amp;IF($D260="","Sin fecha de inicio"&amp;" · ","")&amp;IF($E260="","Sin fecha límite"&amp;" · ","")&amp;IF(OR(AND($D260&lt;&gt;"",NOT(ISNUMBER($D260))),AND($E260&lt;&gt;"",NOT(ISNUMBER($E260)))),"Fecha no válida"&amp;" · ","")&amp;IF(AND(ISNUMBER($D260),ISNUMBER($E260),$D260&gt;$E260),"Inicio posterior a fecha límite"&amp;" · ","")&amp;IF(AND($S260="Macro",$F260=""),"Peso vacío"&amp;" · ","")&amp;IF(AND($S260="Macro",$F260&lt;&gt;"",OR(NOT(ISNUMBER($F260)),$F260&lt;=0,$F260&gt;1)),"Peso fuera de rango"&amp;" · ","")&amp;IF(AND($S260="Sub",$F260&lt;&gt;"",OR(NOT(ISNUMBER($F260)),$F260&lt;0,$F260&gt;1)),"Peso fuera de rango"&amp;" · ","")&amp;IF(AND($S260="Sub",$F260="",IFERROR(N(INDEX($AG$5:$AG$1000,$R260-4)),0)&gt;0),"Falta el peso de la subactividad"&amp;" · ","")&amp;IF(AND(N($T260)&gt;0,N($AG260)&gt;0,ABS(N($AG260)-N($F260))&gt;0.0001),"Pesos de sus subactividades suman "&amp;TEXT(N($AG260),"0%")&amp;" (deben sumar "&amp;TEXT(N($F260),"0%")&amp;")"&amp;" · ","")&amp;IF(AND($S260="Macro",ABS(SUMIFS($F$5:$F$1000,$P$5:$P$1000,$P260,$S$5:$S$1000,"Macro")-1)&gt;0.0001),"Pesos del mes suman "&amp;TEXT(SUMIFS($F$5:$F$1000,$P$5:$P$1000,$P260,$S$5:$S$1000,"Macro"),"0%")&amp;" · ","")&amp;IF(AND(N($T260)&gt;0,COUNT($G260:$J260)&gt;0),"Con subactividades: deje vacías las semanas (se calculan solas)"&amp;" · ","")&amp;IF((COUNTIF($G260:$J260,"&gt;1")+COUNTIF($G260:$J260,"&lt;0")+COUNTA($G260:$J260)-COUNT($G260:$J260))&gt;0,"Avance fuera de rango 0-100%"&amp;" · ","")&amp;IF(OR(AND($H260&lt;&gt;"",$H260&lt;$G260),AND($I260&lt;&gt;"",$I260&lt;MAX($G260:$H260)),AND($J260&lt;&gt;"",$J260&lt;MAX($G260:$I260))),"Avance semanal decreciente"&amp;" · ","")&amp;IF(AND(ISNUMBER($E260),$E260&lt;FechaRef,N($K260)&lt;1),"Vencida"&amp;" · ","")&amp;IF(AND(ObsObligatoria="Sí",ISNUMBER($E260),$E260&lt;FechaRef,N($K260)&lt;1,$N260=""),"Vencida sin observación"&amp;" · ",""))-3)))</f>
        <v/>
      </c>
      <c r="P260" s="70">
        <f>IF(NOT((COUNTA($B260:$J260)+COUNTA($N260))&gt;0),"",IF(AND($S260="Sub",N($R260)&gt;0),IF(ISNUMBER(INDEX($D$5:$D$1000,$R260-4)),DATE(YEAR(INDEX($D$5:$D$1000,$R260-4)),MONTH(INDEX($D$5:$D$1000,$R260-4)),1),IF(ISNUMBER(INDEX($E$5:$E$1000,$R260-4)),DATE(YEAR(INDEX($E$5:$E$1000,$R260-4)),MONTH(INDEX($E$5:$E$1000,$R260-4)),1),MesCiclo)),IF(ISNUMBER($D260),DATE(YEAR($D260),MONTH($D260),1),IF(ISNUMBER($E260),DATE(YEAR($E260),MONTH($E260),1),MesCiclo))))</f>
        <v/>
      </c>
      <c r="Q260" s="71">
        <f>IF(OR($P260="",$P260&lt;&gt;MesCiclo),"",COUNTIF($P$5:$P260,MesCiclo))</f>
        <v/>
      </c>
      <c r="R260" s="71">
        <f>IF($S260="","",IF($S260="Macro",ROW(),IFERROR(LOOKUP(2,1/($S$5:$S260="Macro"),ROW($S$5:$S260)),0)))</f>
        <v/>
      </c>
      <c r="S260" s="71">
        <f>IF(NOT((COUNTA($B260:$J260)+COUNTA($N260))&gt;0),"",IF($B260="Subactividad","Sub","Macro"))</f>
        <v/>
      </c>
      <c r="T260" s="71">
        <f>IF($S260="Macro",COUNTIFS($R$5:$R$1000,ROW(),$S$5:$S$1000,"Sub"),"")</f>
        <v/>
      </c>
      <c r="U260" s="71">
        <f>IF($S260="","",IF(ISNUMBER($G260),$G260,0))</f>
        <v/>
      </c>
      <c r="V260" s="71">
        <f>IF($S260="","",IF(ISNUMBER($H260),$H260,$U260))</f>
        <v/>
      </c>
      <c r="W260" s="71">
        <f>IF($S260="","",IF(ISNUMBER($I260),$I260,$V260))</f>
        <v/>
      </c>
      <c r="X260" s="71">
        <f>IF($S260="","",IF(ISNUMBER($J260),$J260,$W260))</f>
        <v/>
      </c>
      <c r="Y260" s="71">
        <f>IF($S260="","",IF(N($T260)&gt;0,IF(N($AG260)&gt;0,SUMIFS($AC$5:$AC$1000,$R$5:$R$1000,ROW(),$S$5:$S$1000,"Sub")/$AG260,AVERAGEIFS($U$5:$U$1000,$R$5:$R$1000,ROW(),$S$5:$S$1000,"Sub")),$U260))</f>
        <v/>
      </c>
      <c r="Z260" s="71">
        <f>IF($S260="","",IF(N($T260)&gt;0,IF(N($AG260)&gt;0,SUMIFS($AD$5:$AD$1000,$R$5:$R$1000,ROW(),$S$5:$S$1000,"Sub")/$AG260,AVERAGEIFS($V$5:$V$1000,$R$5:$R$1000,ROW(),$S$5:$S$1000,"Sub")),$V260))</f>
        <v/>
      </c>
      <c r="AA260" s="71">
        <f>IF($S260="","",IF(N($T260)&gt;0,IF(N($AG260)&gt;0,SUMIFS($AE$5:$AE$1000,$R$5:$R$1000,ROW(),$S$5:$S$1000,"Sub")/$AG260,AVERAGEIFS($W$5:$W$1000,$R$5:$R$1000,ROW(),$S$5:$S$1000,"Sub")),$W260))</f>
        <v/>
      </c>
      <c r="AB260" s="71">
        <f>IF($S260="","",IF(N($T260)&gt;0,IF(N($AG260)&gt;0,SUMIFS($AF$5:$AF$1000,$R$5:$R$1000,ROW(),$S$5:$S$1000,"Sub")/$AG260,AVERAGEIFS($X$5:$X$1000,$R$5:$R$1000,ROW(),$S$5:$S$1000,"Sub")),$X260))</f>
        <v/>
      </c>
      <c r="AC260" s="71">
        <f>IF($S260="Sub",N($F260)*N($U260),"")</f>
        <v/>
      </c>
      <c r="AD260" s="71">
        <f>IF($S260="Sub",N($F260)*N($V260),"")</f>
        <v/>
      </c>
      <c r="AE260" s="71">
        <f>IF($S260="Sub",N($F260)*N($W260),"")</f>
        <v/>
      </c>
      <c r="AF260" s="71">
        <f>IF($S260="Sub",N($F260)*N($X260),"")</f>
        <v/>
      </c>
      <c r="AG260" s="71">
        <f>IF(N($T260)&gt;0,SUMIFS($F$5:$F$1000,$R$5:$R$1000,ROW(),$S$5:$S$1000,"Sub"),"")</f>
        <v/>
      </c>
    </row>
    <row r="261">
      <c r="A261" s="62">
        <f>IF(NOT((COUNTA($B261:$J261)+COUNTA($N261))&gt;0),"",IF($S261="Macro",COUNTIFS($S$5:$S261,"Macro",$P$5:$P261,$P261),IF(N($R261)=0,"?",COUNTIFS(INDEX($S$5:$S$1000,1):INDEX($S$5:$S$1000,$R261-4),"Macro",INDEX($P$5:$P$1000,1):INDEX($P$5:$P$1000,$R261-4),INDEX($P$5:$P$1000,$R261-4))&amp;"."&amp;COUNTIFS($R$5:$R261,$R261,$S$5:$S261,"Sub"))))</f>
        <v/>
      </c>
      <c r="B261" s="63" t="n"/>
      <c r="C261" s="64" t="n"/>
      <c r="D261" s="65" t="n"/>
      <c r="E261" s="65" t="n"/>
      <c r="F261" s="66" t="n"/>
      <c r="G261" s="67" t="n"/>
      <c r="H261" s="67" t="n"/>
      <c r="I261" s="67" t="n"/>
      <c r="J261" s="67" t="n"/>
      <c r="K261" s="68">
        <f>IF(NOT((COUNTA($B261:$J261)+COUNTA($N261))&gt;0),"",IF(N($T261)&gt;0,$AB261,IFERROR(LOOKUP(2,1/(G261:J261&lt;&gt;""),G261:J261),0)))</f>
        <v/>
      </c>
      <c r="L261" s="62">
        <f>IF(K261="","",IF(K261&gt;=1,"Completado",IF(K261&gt;0,"En curso","Pendiente")))</f>
        <v/>
      </c>
      <c r="M261" s="62">
        <f>IF(NOT((COUNTA($B261:$J261)+COUNTA($N261))&gt;0),"",IF(N($K261)&gt;=1,"Cumplida",IF(NOT(ISNUMBER($E261)),"Sin fecha límite",IF($E261&lt;FechaRef,"Vencida hace "&amp;(FechaRef-$E261)&amp;IF(FechaRef-$E261=1," día"," días"),IF($E261=FechaRef,"Vence hoy",IF($E261-FechaRef&lt;=DiasAlerta,"Vence en "&amp;($E261-FechaRef)&amp;IF($E261-FechaRef=1," día"," días"),"En plazo"))))))</f>
        <v/>
      </c>
      <c r="N261" s="64" t="n"/>
      <c r="O261" s="69">
        <f>IF(NOT((COUNTA($B261:$J261)+COUNTA($N261))&gt;0),"",IF((IF($C261="","Falta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",""))="","✔ OK","⚠ "&amp;LEFT(IF($C261="","Falta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",""),LEN(IF($C261="","Falta el nombre de la actividad"&amp;" · ","")&amp;IF(AND($S261="Sub",N($R261)=0),"Subactividad sin macroactividad arriba"&amp;" · ","")&amp;IF($D261="","Sin fecha de inicio"&amp;" · ","")&amp;IF($E261="","Sin fecha límite"&amp;" · ","")&amp;IF(OR(AND($D261&lt;&gt;"",NOT(ISNUMBER($D261))),AND($E261&lt;&gt;"",NOT(ISNUMBER($E261)))),"Fecha no válida"&amp;" · ","")&amp;IF(AND(ISNUMBER($D261),ISNUMBER($E261),$D261&gt;$E261),"Inicio posterior a fecha límite"&amp;" · ","")&amp;IF(AND($S261="Macro",$F261=""),"Peso vacío"&amp;" · ","")&amp;IF(AND($S261="Macro",$F261&lt;&gt;"",OR(NOT(ISNUMBER($F261)),$F261&lt;=0,$F261&gt;1)),"Peso fuera de rango"&amp;" · ","")&amp;IF(AND($S261="Sub",$F261&lt;&gt;"",OR(NOT(ISNUMBER($F261)),$F261&lt;0,$F261&gt;1)),"Peso fuera de rango"&amp;" · ","")&amp;IF(AND($S261="Sub",$F261="",IFERROR(N(INDEX($AG$5:$AG$1000,$R261-4)),0)&gt;0),"Falta el peso de la subactividad"&amp;" · ","")&amp;IF(AND(N($T261)&gt;0,N($AG261)&gt;0,ABS(N($AG261)-N($F261))&gt;0.0001),"Pesos de sus subactividades suman "&amp;TEXT(N($AG261),"0%")&amp;" (deben sumar "&amp;TEXT(N($F261),"0%")&amp;")"&amp;" · ","")&amp;IF(AND($S261="Macro",ABS(SUMIFS($F$5:$F$1000,$P$5:$P$1000,$P261,$S$5:$S$1000,"Macro")-1)&gt;0.0001),"Pesos del mes suman "&amp;TEXT(SUMIFS($F$5:$F$1000,$P$5:$P$1000,$P261,$S$5:$S$1000,"Macro"),"0%")&amp;" · ","")&amp;IF(AND(N($T261)&gt;0,COUNT($G261:$J261)&gt;0),"Con subactividades: deje vacías las semanas (se calculan solas)"&amp;" · ","")&amp;IF((COUNTIF($G261:$J261,"&gt;1")+COUNTIF($G261:$J261,"&lt;0")+COUNTA($G261:$J261)-COUNT($G261:$J261))&gt;0,"Avance fuera de rango 0-100%"&amp;" · ","")&amp;IF(OR(AND($H261&lt;&gt;"",$H261&lt;$G261),AND($I261&lt;&gt;"",$I261&lt;MAX($G261:$H261)),AND($J261&lt;&gt;"",$J261&lt;MAX($G261:$I261))),"Avance semanal decreciente"&amp;" · ","")&amp;IF(AND(ISNUMBER($E261),$E261&lt;FechaRef,N($K261)&lt;1),"Vencida"&amp;" · ","")&amp;IF(AND(ObsObligatoria="Sí",ISNUMBER($E261),$E261&lt;FechaRef,N($K261)&lt;1,$N261=""),"Vencida sin observación"&amp;" · ",""))-3)))</f>
        <v/>
      </c>
      <c r="P261" s="70">
        <f>IF(NOT((COUNTA($B261:$J261)+COUNTA($N261))&gt;0),"",IF(AND($S261="Sub",N($R261)&gt;0),IF(ISNUMBER(INDEX($D$5:$D$1000,$R261-4)),DATE(YEAR(INDEX($D$5:$D$1000,$R261-4)),MONTH(INDEX($D$5:$D$1000,$R261-4)),1),IF(ISNUMBER(INDEX($E$5:$E$1000,$R261-4)),DATE(YEAR(INDEX($E$5:$E$1000,$R261-4)),MONTH(INDEX($E$5:$E$1000,$R261-4)),1),MesCiclo)),IF(ISNUMBER($D261),DATE(YEAR($D261),MONTH($D261),1),IF(ISNUMBER($E261),DATE(YEAR($E261),MONTH($E261),1),MesCiclo))))</f>
        <v/>
      </c>
      <c r="Q261" s="71">
        <f>IF(OR($P261="",$P261&lt;&gt;MesCiclo),"",COUNTIF($P$5:$P261,MesCiclo))</f>
        <v/>
      </c>
      <c r="R261" s="71">
        <f>IF($S261="","",IF($S261="Macro",ROW(),IFERROR(LOOKUP(2,1/($S$5:$S261="Macro"),ROW($S$5:$S261)),0)))</f>
        <v/>
      </c>
      <c r="S261" s="71">
        <f>IF(NOT((COUNTA($B261:$J261)+COUNTA($N261))&gt;0),"",IF($B261="Subactividad","Sub","Macro"))</f>
        <v/>
      </c>
      <c r="T261" s="71">
        <f>IF($S261="Macro",COUNTIFS($R$5:$R$1000,ROW(),$S$5:$S$1000,"Sub"),"")</f>
        <v/>
      </c>
      <c r="U261" s="71">
        <f>IF($S261="","",IF(ISNUMBER($G261),$G261,0))</f>
        <v/>
      </c>
      <c r="V261" s="71">
        <f>IF($S261="","",IF(ISNUMBER($H261),$H261,$U261))</f>
        <v/>
      </c>
      <c r="W261" s="71">
        <f>IF($S261="","",IF(ISNUMBER($I261),$I261,$V261))</f>
        <v/>
      </c>
      <c r="X261" s="71">
        <f>IF($S261="","",IF(ISNUMBER($J261),$J261,$W261))</f>
        <v/>
      </c>
      <c r="Y261" s="71">
        <f>IF($S261="","",IF(N($T261)&gt;0,IF(N($AG261)&gt;0,SUMIFS($AC$5:$AC$1000,$R$5:$R$1000,ROW(),$S$5:$S$1000,"Sub")/$AG261,AVERAGEIFS($U$5:$U$1000,$R$5:$R$1000,ROW(),$S$5:$S$1000,"Sub")),$U261))</f>
        <v/>
      </c>
      <c r="Z261" s="71">
        <f>IF($S261="","",IF(N($T261)&gt;0,IF(N($AG261)&gt;0,SUMIFS($AD$5:$AD$1000,$R$5:$R$1000,ROW(),$S$5:$S$1000,"Sub")/$AG261,AVERAGEIFS($V$5:$V$1000,$R$5:$R$1000,ROW(),$S$5:$S$1000,"Sub")),$V261))</f>
        <v/>
      </c>
      <c r="AA261" s="71">
        <f>IF($S261="","",IF(N($T261)&gt;0,IF(N($AG261)&gt;0,SUMIFS($AE$5:$AE$1000,$R$5:$R$1000,ROW(),$S$5:$S$1000,"Sub")/$AG261,AVERAGEIFS($W$5:$W$1000,$R$5:$R$1000,ROW(),$S$5:$S$1000,"Sub")),$W261))</f>
        <v/>
      </c>
      <c r="AB261" s="71">
        <f>IF($S261="","",IF(N($T261)&gt;0,IF(N($AG261)&gt;0,SUMIFS($AF$5:$AF$1000,$R$5:$R$1000,ROW(),$S$5:$S$1000,"Sub")/$AG261,AVERAGEIFS($X$5:$X$1000,$R$5:$R$1000,ROW(),$S$5:$S$1000,"Sub")),$X261))</f>
        <v/>
      </c>
      <c r="AC261" s="71">
        <f>IF($S261="Sub",N($F261)*N($U261),"")</f>
        <v/>
      </c>
      <c r="AD261" s="71">
        <f>IF($S261="Sub",N($F261)*N($V261),"")</f>
        <v/>
      </c>
      <c r="AE261" s="71">
        <f>IF($S261="Sub",N($F261)*N($W261),"")</f>
        <v/>
      </c>
      <c r="AF261" s="71">
        <f>IF($S261="Sub",N($F261)*N($X261),"")</f>
        <v/>
      </c>
      <c r="AG261" s="71">
        <f>IF(N($T261)&gt;0,SUMIFS($F$5:$F$1000,$R$5:$R$1000,ROW(),$S$5:$S$1000,"Sub"),"")</f>
        <v/>
      </c>
    </row>
    <row r="262">
      <c r="A262" s="62">
        <f>IF(NOT((COUNTA($B262:$J262)+COUNTA($N262))&gt;0),"",IF($S262="Macro",COUNTIFS($S$5:$S262,"Macro",$P$5:$P262,$P262),IF(N($R262)=0,"?",COUNTIFS(INDEX($S$5:$S$1000,1):INDEX($S$5:$S$1000,$R262-4),"Macro",INDEX($P$5:$P$1000,1):INDEX($P$5:$P$1000,$R262-4),INDEX($P$5:$P$1000,$R262-4))&amp;"."&amp;COUNTIFS($R$5:$R262,$R262,$S$5:$S262,"Sub"))))</f>
        <v/>
      </c>
      <c r="B262" s="63" t="n"/>
      <c r="C262" s="64" t="n"/>
      <c r="D262" s="65" t="n"/>
      <c r="E262" s="65" t="n"/>
      <c r="F262" s="66" t="n"/>
      <c r="G262" s="67" t="n"/>
      <c r="H262" s="67" t="n"/>
      <c r="I262" s="67" t="n"/>
      <c r="J262" s="67" t="n"/>
      <c r="K262" s="68">
        <f>IF(NOT((COUNTA($B262:$J262)+COUNTA($N262))&gt;0),"",IF(N($T262)&gt;0,$AB262,IFERROR(LOOKUP(2,1/(G262:J262&lt;&gt;""),G262:J262),0)))</f>
        <v/>
      </c>
      <c r="L262" s="62">
        <f>IF(K262="","",IF(K262&gt;=1,"Completado",IF(K262&gt;0,"En curso","Pendiente")))</f>
        <v/>
      </c>
      <c r="M262" s="62">
        <f>IF(NOT((COUNTA($B262:$J262)+COUNTA($N262))&gt;0),"",IF(N($K262)&gt;=1,"Cumplida",IF(NOT(ISNUMBER($E262)),"Sin fecha límite",IF($E262&lt;FechaRef,"Vencida hace "&amp;(FechaRef-$E262)&amp;IF(FechaRef-$E262=1," día"," días"),IF($E262=FechaRef,"Vence hoy",IF($E262-FechaRef&lt;=DiasAlerta,"Vence en "&amp;($E262-FechaRef)&amp;IF($E262-FechaRef=1," día"," días"),"En plazo"))))))</f>
        <v/>
      </c>
      <c r="N262" s="64" t="n"/>
      <c r="O262" s="69">
        <f>IF(NOT((COUNTA($B262:$J262)+COUNTA($N262))&gt;0),"",IF((IF($C262="","Falta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",""))="","✔ OK","⚠ "&amp;LEFT(IF($C262="","Falta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",""),LEN(IF($C262="","Falta el nombre de la actividad"&amp;" · ","")&amp;IF(AND($S262="Sub",N($R262)=0),"Subactividad sin macroactividad arriba"&amp;" · ","")&amp;IF($D262="","Sin fecha de inicio"&amp;" · ","")&amp;IF($E262="","Sin fecha límite"&amp;" · ","")&amp;IF(OR(AND($D262&lt;&gt;"",NOT(ISNUMBER($D262))),AND($E262&lt;&gt;"",NOT(ISNUMBER($E262)))),"Fecha no válida"&amp;" · ","")&amp;IF(AND(ISNUMBER($D262),ISNUMBER($E262),$D262&gt;$E262),"Inicio posterior a fecha límite"&amp;" · ","")&amp;IF(AND($S262="Macro",$F262=""),"Peso vacío"&amp;" · ","")&amp;IF(AND($S262="Macro",$F262&lt;&gt;"",OR(NOT(ISNUMBER($F262)),$F262&lt;=0,$F262&gt;1)),"Peso fuera de rango"&amp;" · ","")&amp;IF(AND($S262="Sub",$F262&lt;&gt;"",OR(NOT(ISNUMBER($F262)),$F262&lt;0,$F262&gt;1)),"Peso fuera de rango"&amp;" · ","")&amp;IF(AND($S262="Sub",$F262="",IFERROR(N(INDEX($AG$5:$AG$1000,$R262-4)),0)&gt;0),"Falta el peso de la subactividad"&amp;" · ","")&amp;IF(AND(N($T262)&gt;0,N($AG262)&gt;0,ABS(N($AG262)-N($F262))&gt;0.0001),"Pesos de sus subactividades suman "&amp;TEXT(N($AG262),"0%")&amp;" (deben sumar "&amp;TEXT(N($F262),"0%")&amp;")"&amp;" · ","")&amp;IF(AND($S262="Macro",ABS(SUMIFS($F$5:$F$1000,$P$5:$P$1000,$P262,$S$5:$S$1000,"Macro")-1)&gt;0.0001),"Pesos del mes suman "&amp;TEXT(SUMIFS($F$5:$F$1000,$P$5:$P$1000,$P262,$S$5:$S$1000,"Macro"),"0%")&amp;" · ","")&amp;IF(AND(N($T262)&gt;0,COUNT($G262:$J262)&gt;0),"Con subactividades: deje vacías las semanas (se calculan solas)"&amp;" · ","")&amp;IF((COUNTIF($G262:$J262,"&gt;1")+COUNTIF($G262:$J262,"&lt;0")+COUNTA($G262:$J262)-COUNT($G262:$J262))&gt;0,"Avance fuera de rango 0-100%"&amp;" · ","")&amp;IF(OR(AND($H262&lt;&gt;"",$H262&lt;$G262),AND($I262&lt;&gt;"",$I262&lt;MAX($G262:$H262)),AND($J262&lt;&gt;"",$J262&lt;MAX($G262:$I262))),"Avance semanal decreciente"&amp;" · ","")&amp;IF(AND(ISNUMBER($E262),$E262&lt;FechaRef,N($K262)&lt;1),"Vencida"&amp;" · ","")&amp;IF(AND(ObsObligatoria="Sí",ISNUMBER($E262),$E262&lt;FechaRef,N($K262)&lt;1,$N262=""),"Vencida sin observación"&amp;" · ",""))-3)))</f>
        <v/>
      </c>
      <c r="P262" s="70">
        <f>IF(NOT((COUNTA($B262:$J262)+COUNTA($N262))&gt;0),"",IF(AND($S262="Sub",N($R262)&gt;0),IF(ISNUMBER(INDEX($D$5:$D$1000,$R262-4)),DATE(YEAR(INDEX($D$5:$D$1000,$R262-4)),MONTH(INDEX($D$5:$D$1000,$R262-4)),1),IF(ISNUMBER(INDEX($E$5:$E$1000,$R262-4)),DATE(YEAR(INDEX($E$5:$E$1000,$R262-4)),MONTH(INDEX($E$5:$E$1000,$R262-4)),1),MesCiclo)),IF(ISNUMBER($D262),DATE(YEAR($D262),MONTH($D262),1),IF(ISNUMBER($E262),DATE(YEAR($E262),MONTH($E262),1),MesCiclo))))</f>
        <v/>
      </c>
      <c r="Q262" s="71">
        <f>IF(OR($P262="",$P262&lt;&gt;MesCiclo),"",COUNTIF($P$5:$P262,MesCiclo))</f>
        <v/>
      </c>
      <c r="R262" s="71">
        <f>IF($S262="","",IF($S262="Macro",ROW(),IFERROR(LOOKUP(2,1/($S$5:$S262="Macro"),ROW($S$5:$S262)),0)))</f>
        <v/>
      </c>
      <c r="S262" s="71">
        <f>IF(NOT((COUNTA($B262:$J262)+COUNTA($N262))&gt;0),"",IF($B262="Subactividad","Sub","Macro"))</f>
        <v/>
      </c>
      <c r="T262" s="71">
        <f>IF($S262="Macro",COUNTIFS($R$5:$R$1000,ROW(),$S$5:$S$1000,"Sub"),"")</f>
        <v/>
      </c>
      <c r="U262" s="71">
        <f>IF($S262="","",IF(ISNUMBER($G262),$G262,0))</f>
        <v/>
      </c>
      <c r="V262" s="71">
        <f>IF($S262="","",IF(ISNUMBER($H262),$H262,$U262))</f>
        <v/>
      </c>
      <c r="W262" s="71">
        <f>IF($S262="","",IF(ISNUMBER($I262),$I262,$V262))</f>
        <v/>
      </c>
      <c r="X262" s="71">
        <f>IF($S262="","",IF(ISNUMBER($J262),$J262,$W262))</f>
        <v/>
      </c>
      <c r="Y262" s="71">
        <f>IF($S262="","",IF(N($T262)&gt;0,IF(N($AG262)&gt;0,SUMIFS($AC$5:$AC$1000,$R$5:$R$1000,ROW(),$S$5:$S$1000,"Sub")/$AG262,AVERAGEIFS($U$5:$U$1000,$R$5:$R$1000,ROW(),$S$5:$S$1000,"Sub")),$U262))</f>
        <v/>
      </c>
      <c r="Z262" s="71">
        <f>IF($S262="","",IF(N($T262)&gt;0,IF(N($AG262)&gt;0,SUMIFS($AD$5:$AD$1000,$R$5:$R$1000,ROW(),$S$5:$S$1000,"Sub")/$AG262,AVERAGEIFS($V$5:$V$1000,$R$5:$R$1000,ROW(),$S$5:$S$1000,"Sub")),$V262))</f>
        <v/>
      </c>
      <c r="AA262" s="71">
        <f>IF($S262="","",IF(N($T262)&gt;0,IF(N($AG262)&gt;0,SUMIFS($AE$5:$AE$1000,$R$5:$R$1000,ROW(),$S$5:$S$1000,"Sub")/$AG262,AVERAGEIFS($W$5:$W$1000,$R$5:$R$1000,ROW(),$S$5:$S$1000,"Sub")),$W262))</f>
        <v/>
      </c>
      <c r="AB262" s="71">
        <f>IF($S262="","",IF(N($T262)&gt;0,IF(N($AG262)&gt;0,SUMIFS($AF$5:$AF$1000,$R$5:$R$1000,ROW(),$S$5:$S$1000,"Sub")/$AG262,AVERAGEIFS($X$5:$X$1000,$R$5:$R$1000,ROW(),$S$5:$S$1000,"Sub")),$X262))</f>
        <v/>
      </c>
      <c r="AC262" s="71">
        <f>IF($S262="Sub",N($F262)*N($U262),"")</f>
        <v/>
      </c>
      <c r="AD262" s="71">
        <f>IF($S262="Sub",N($F262)*N($V262),"")</f>
        <v/>
      </c>
      <c r="AE262" s="71">
        <f>IF($S262="Sub",N($F262)*N($W262),"")</f>
        <v/>
      </c>
      <c r="AF262" s="71">
        <f>IF($S262="Sub",N($F262)*N($X262),"")</f>
        <v/>
      </c>
      <c r="AG262" s="71">
        <f>IF(N($T262)&gt;0,SUMIFS($F$5:$F$1000,$R$5:$R$1000,ROW(),$S$5:$S$1000,"Sub"),"")</f>
        <v/>
      </c>
    </row>
    <row r="263">
      <c r="A263" s="62">
        <f>IF(NOT((COUNTA($B263:$J263)+COUNTA($N263))&gt;0),"",IF($S263="Macro",COUNTIFS($S$5:$S263,"Macro",$P$5:$P263,$P263),IF(N($R263)=0,"?",COUNTIFS(INDEX($S$5:$S$1000,1):INDEX($S$5:$S$1000,$R263-4),"Macro",INDEX($P$5:$P$1000,1):INDEX($P$5:$P$1000,$R263-4),INDEX($P$5:$P$1000,$R263-4))&amp;"."&amp;COUNTIFS($R$5:$R263,$R263,$S$5:$S263,"Sub"))))</f>
        <v/>
      </c>
      <c r="B263" s="63" t="n"/>
      <c r="C263" s="64" t="n"/>
      <c r="D263" s="65" t="n"/>
      <c r="E263" s="65" t="n"/>
      <c r="F263" s="66" t="n"/>
      <c r="G263" s="67" t="n"/>
      <c r="H263" s="67" t="n"/>
      <c r="I263" s="67" t="n"/>
      <c r="J263" s="67" t="n"/>
      <c r="K263" s="68">
        <f>IF(NOT((COUNTA($B263:$J263)+COUNTA($N263))&gt;0),"",IF(N($T263)&gt;0,$AB263,IFERROR(LOOKUP(2,1/(G263:J263&lt;&gt;""),G263:J263),0)))</f>
        <v/>
      </c>
      <c r="L263" s="62">
        <f>IF(K263="","",IF(K263&gt;=1,"Completado",IF(K263&gt;0,"En curso","Pendiente")))</f>
        <v/>
      </c>
      <c r="M263" s="62">
        <f>IF(NOT((COUNTA($B263:$J263)+COUNTA($N263))&gt;0),"",IF(N($K263)&gt;=1,"Cumplida",IF(NOT(ISNUMBER($E263)),"Sin fecha límite",IF($E263&lt;FechaRef,"Vencida hace "&amp;(FechaRef-$E263)&amp;IF(FechaRef-$E263=1," día"," días"),IF($E263=FechaRef,"Vence hoy",IF($E263-FechaRef&lt;=DiasAlerta,"Vence en "&amp;($E263-FechaRef)&amp;IF($E263-FechaRef=1," día"," días"),"En plazo"))))))</f>
        <v/>
      </c>
      <c r="N263" s="64" t="n"/>
      <c r="O263" s="69">
        <f>IF(NOT((COUNTA($B263:$J263)+COUNTA($N263))&gt;0),"",IF((IF($C263="","Falta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",""))="","✔ OK","⚠ "&amp;LEFT(IF($C263="","Falta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",""),LEN(IF($C263="","Falta el nombre de la actividad"&amp;" · ","")&amp;IF(AND($S263="Sub",N($R263)=0),"Subactividad sin macroactividad arriba"&amp;" · ","")&amp;IF($D263="","Sin fecha de inicio"&amp;" · ","")&amp;IF($E263="","Sin fecha límite"&amp;" · ","")&amp;IF(OR(AND($D263&lt;&gt;"",NOT(ISNUMBER($D263))),AND($E263&lt;&gt;"",NOT(ISNUMBER($E263)))),"Fecha no válida"&amp;" · ","")&amp;IF(AND(ISNUMBER($D263),ISNUMBER($E263),$D263&gt;$E263),"Inicio posterior a fecha límite"&amp;" · ","")&amp;IF(AND($S263="Macro",$F263=""),"Peso vacío"&amp;" · ","")&amp;IF(AND($S263="Macro",$F263&lt;&gt;"",OR(NOT(ISNUMBER($F263)),$F263&lt;=0,$F263&gt;1)),"Peso fuera de rango"&amp;" · ","")&amp;IF(AND($S263="Sub",$F263&lt;&gt;"",OR(NOT(ISNUMBER($F263)),$F263&lt;0,$F263&gt;1)),"Peso fuera de rango"&amp;" · ","")&amp;IF(AND($S263="Sub",$F263="",IFERROR(N(INDEX($AG$5:$AG$1000,$R263-4)),0)&gt;0),"Falta el peso de la subactividad"&amp;" · ","")&amp;IF(AND(N($T263)&gt;0,N($AG263)&gt;0,ABS(N($AG263)-N($F263))&gt;0.0001),"Pesos de sus subactividades suman "&amp;TEXT(N($AG263),"0%")&amp;" (deben sumar "&amp;TEXT(N($F263),"0%")&amp;")"&amp;" · ","")&amp;IF(AND($S263="Macro",ABS(SUMIFS($F$5:$F$1000,$P$5:$P$1000,$P263,$S$5:$S$1000,"Macro")-1)&gt;0.0001),"Pesos del mes suman "&amp;TEXT(SUMIFS($F$5:$F$1000,$P$5:$P$1000,$P263,$S$5:$S$1000,"Macro"),"0%")&amp;" · ","")&amp;IF(AND(N($T263)&gt;0,COUNT($G263:$J263)&gt;0),"Con subactividades: deje vacías las semanas (se calculan solas)"&amp;" · ","")&amp;IF((COUNTIF($G263:$J263,"&gt;1")+COUNTIF($G263:$J263,"&lt;0")+COUNTA($G263:$J263)-COUNT($G263:$J263))&gt;0,"Avance fuera de rango 0-100%"&amp;" · ","")&amp;IF(OR(AND($H263&lt;&gt;"",$H263&lt;$G263),AND($I263&lt;&gt;"",$I263&lt;MAX($G263:$H263)),AND($J263&lt;&gt;"",$J263&lt;MAX($G263:$I263))),"Avance semanal decreciente"&amp;" · ","")&amp;IF(AND(ISNUMBER($E263),$E263&lt;FechaRef,N($K263)&lt;1),"Vencida"&amp;" · ","")&amp;IF(AND(ObsObligatoria="Sí",ISNUMBER($E263),$E263&lt;FechaRef,N($K263)&lt;1,$N263=""),"Vencida sin observación"&amp;" · ",""))-3)))</f>
        <v/>
      </c>
      <c r="P263" s="70">
        <f>IF(NOT((COUNTA($B263:$J263)+COUNTA($N263))&gt;0),"",IF(AND($S263="Sub",N($R263)&gt;0),IF(ISNUMBER(INDEX($D$5:$D$1000,$R263-4)),DATE(YEAR(INDEX($D$5:$D$1000,$R263-4)),MONTH(INDEX($D$5:$D$1000,$R263-4)),1),IF(ISNUMBER(INDEX($E$5:$E$1000,$R263-4)),DATE(YEAR(INDEX($E$5:$E$1000,$R263-4)),MONTH(INDEX($E$5:$E$1000,$R263-4)),1),MesCiclo)),IF(ISNUMBER($D263),DATE(YEAR($D263),MONTH($D263),1),IF(ISNUMBER($E263),DATE(YEAR($E263),MONTH($E263),1),MesCiclo))))</f>
        <v/>
      </c>
      <c r="Q263" s="71">
        <f>IF(OR($P263="",$P263&lt;&gt;MesCiclo),"",COUNTIF($P$5:$P263,MesCiclo))</f>
        <v/>
      </c>
      <c r="R263" s="71">
        <f>IF($S263="","",IF($S263="Macro",ROW(),IFERROR(LOOKUP(2,1/($S$5:$S263="Macro"),ROW($S$5:$S263)),0)))</f>
        <v/>
      </c>
      <c r="S263" s="71">
        <f>IF(NOT((COUNTA($B263:$J263)+COUNTA($N263))&gt;0),"",IF($B263="Subactividad","Sub","Macro"))</f>
        <v/>
      </c>
      <c r="T263" s="71">
        <f>IF($S263="Macro",COUNTIFS($R$5:$R$1000,ROW(),$S$5:$S$1000,"Sub"),"")</f>
        <v/>
      </c>
      <c r="U263" s="71">
        <f>IF($S263="","",IF(ISNUMBER($G263),$G263,0))</f>
        <v/>
      </c>
      <c r="V263" s="71">
        <f>IF($S263="","",IF(ISNUMBER($H263),$H263,$U263))</f>
        <v/>
      </c>
      <c r="W263" s="71">
        <f>IF($S263="","",IF(ISNUMBER($I263),$I263,$V263))</f>
        <v/>
      </c>
      <c r="X263" s="71">
        <f>IF($S263="","",IF(ISNUMBER($J263),$J263,$W263))</f>
        <v/>
      </c>
      <c r="Y263" s="71">
        <f>IF($S263="","",IF(N($T263)&gt;0,IF(N($AG263)&gt;0,SUMIFS($AC$5:$AC$1000,$R$5:$R$1000,ROW(),$S$5:$S$1000,"Sub")/$AG263,AVERAGEIFS($U$5:$U$1000,$R$5:$R$1000,ROW(),$S$5:$S$1000,"Sub")),$U263))</f>
        <v/>
      </c>
      <c r="Z263" s="71">
        <f>IF($S263="","",IF(N($T263)&gt;0,IF(N($AG263)&gt;0,SUMIFS($AD$5:$AD$1000,$R$5:$R$1000,ROW(),$S$5:$S$1000,"Sub")/$AG263,AVERAGEIFS($V$5:$V$1000,$R$5:$R$1000,ROW(),$S$5:$S$1000,"Sub")),$V263))</f>
        <v/>
      </c>
      <c r="AA263" s="71">
        <f>IF($S263="","",IF(N($T263)&gt;0,IF(N($AG263)&gt;0,SUMIFS($AE$5:$AE$1000,$R$5:$R$1000,ROW(),$S$5:$S$1000,"Sub")/$AG263,AVERAGEIFS($W$5:$W$1000,$R$5:$R$1000,ROW(),$S$5:$S$1000,"Sub")),$W263))</f>
        <v/>
      </c>
      <c r="AB263" s="71">
        <f>IF($S263="","",IF(N($T263)&gt;0,IF(N($AG263)&gt;0,SUMIFS($AF$5:$AF$1000,$R$5:$R$1000,ROW(),$S$5:$S$1000,"Sub")/$AG263,AVERAGEIFS($X$5:$X$1000,$R$5:$R$1000,ROW(),$S$5:$S$1000,"Sub")),$X263))</f>
        <v/>
      </c>
      <c r="AC263" s="71">
        <f>IF($S263="Sub",N($F263)*N($U263),"")</f>
        <v/>
      </c>
      <c r="AD263" s="71">
        <f>IF($S263="Sub",N($F263)*N($V263),"")</f>
        <v/>
      </c>
      <c r="AE263" s="71">
        <f>IF($S263="Sub",N($F263)*N($W263),"")</f>
        <v/>
      </c>
      <c r="AF263" s="71">
        <f>IF($S263="Sub",N($F263)*N($X263),"")</f>
        <v/>
      </c>
      <c r="AG263" s="71">
        <f>IF(N($T263)&gt;0,SUMIFS($F$5:$F$1000,$R$5:$R$1000,ROW(),$S$5:$S$1000,"Sub"),"")</f>
        <v/>
      </c>
    </row>
    <row r="264">
      <c r="A264" s="62">
        <f>IF(NOT((COUNTA($B264:$J264)+COUNTA($N264))&gt;0),"",IF($S264="Macro",COUNTIFS($S$5:$S264,"Macro",$P$5:$P264,$P264),IF(N($R264)=0,"?",COUNTIFS(INDEX($S$5:$S$1000,1):INDEX($S$5:$S$1000,$R264-4),"Macro",INDEX($P$5:$P$1000,1):INDEX($P$5:$P$1000,$R264-4),INDEX($P$5:$P$1000,$R264-4))&amp;"."&amp;COUNTIFS($R$5:$R264,$R264,$S$5:$S264,"Sub"))))</f>
        <v/>
      </c>
      <c r="B264" s="63" t="n"/>
      <c r="C264" s="64" t="n"/>
      <c r="D264" s="65" t="n"/>
      <c r="E264" s="65" t="n"/>
      <c r="F264" s="66" t="n"/>
      <c r="G264" s="67" t="n"/>
      <c r="H264" s="67" t="n"/>
      <c r="I264" s="67" t="n"/>
      <c r="J264" s="67" t="n"/>
      <c r="K264" s="68">
        <f>IF(NOT((COUNTA($B264:$J264)+COUNTA($N264))&gt;0),"",IF(N($T264)&gt;0,$AB264,IFERROR(LOOKUP(2,1/(G264:J264&lt;&gt;""),G264:J264),0)))</f>
        <v/>
      </c>
      <c r="L264" s="62">
        <f>IF(K264="","",IF(K264&gt;=1,"Completado",IF(K264&gt;0,"En curso","Pendiente")))</f>
        <v/>
      </c>
      <c r="M264" s="62">
        <f>IF(NOT((COUNTA($B264:$J264)+COUNTA($N264))&gt;0),"",IF(N($K264)&gt;=1,"Cumplida",IF(NOT(ISNUMBER($E264)),"Sin fecha límite",IF($E264&lt;FechaRef,"Vencida hace "&amp;(FechaRef-$E264)&amp;IF(FechaRef-$E264=1," día"," días"),IF($E264=FechaRef,"Vence hoy",IF($E264-FechaRef&lt;=DiasAlerta,"Vence en "&amp;($E264-FechaRef)&amp;IF($E264-FechaRef=1," día"," días"),"En plazo"))))))</f>
        <v/>
      </c>
      <c r="N264" s="64" t="n"/>
      <c r="O264" s="69">
        <f>IF(NOT((COUNTA($B264:$J264)+COUNTA($N264))&gt;0),"",IF((IF($C264="","Falta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",""))="","✔ OK","⚠ "&amp;LEFT(IF($C264="","Falta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",""),LEN(IF($C264="","Falta el nombre de la actividad"&amp;" · ","")&amp;IF(AND($S264="Sub",N($R264)=0),"Subactividad sin macroactividad arriba"&amp;" · ","")&amp;IF($D264="","Sin fecha de inicio"&amp;" · ","")&amp;IF($E264="","Sin fecha límite"&amp;" · ","")&amp;IF(OR(AND($D264&lt;&gt;"",NOT(ISNUMBER($D264))),AND($E264&lt;&gt;"",NOT(ISNUMBER($E264)))),"Fecha no válida"&amp;" · ","")&amp;IF(AND(ISNUMBER($D264),ISNUMBER($E264),$D264&gt;$E264),"Inicio posterior a fecha límite"&amp;" · ","")&amp;IF(AND($S264="Macro",$F264=""),"Peso vacío"&amp;" · ","")&amp;IF(AND($S264="Macro",$F264&lt;&gt;"",OR(NOT(ISNUMBER($F264)),$F264&lt;=0,$F264&gt;1)),"Peso fuera de rango"&amp;" · ","")&amp;IF(AND($S264="Sub",$F264&lt;&gt;"",OR(NOT(ISNUMBER($F264)),$F264&lt;0,$F264&gt;1)),"Peso fuera de rango"&amp;" · ","")&amp;IF(AND($S264="Sub",$F264="",IFERROR(N(INDEX($AG$5:$AG$1000,$R264-4)),0)&gt;0),"Falta el peso de la subactividad"&amp;" · ","")&amp;IF(AND(N($T264)&gt;0,N($AG264)&gt;0,ABS(N($AG264)-N($F264))&gt;0.0001),"Pesos de sus subactividades suman "&amp;TEXT(N($AG264),"0%")&amp;" (deben sumar "&amp;TEXT(N($F264),"0%")&amp;")"&amp;" · ","")&amp;IF(AND($S264="Macro",ABS(SUMIFS($F$5:$F$1000,$P$5:$P$1000,$P264,$S$5:$S$1000,"Macro")-1)&gt;0.0001),"Pesos del mes suman "&amp;TEXT(SUMIFS($F$5:$F$1000,$P$5:$P$1000,$P264,$S$5:$S$1000,"Macro"),"0%")&amp;" · ","")&amp;IF(AND(N($T264)&gt;0,COUNT($G264:$J264)&gt;0),"Con subactividades: deje vacías las semanas (se calculan solas)"&amp;" · ","")&amp;IF((COUNTIF($G264:$J264,"&gt;1")+COUNTIF($G264:$J264,"&lt;0")+COUNTA($G264:$J264)-COUNT($G264:$J264))&gt;0,"Avance fuera de rango 0-100%"&amp;" · ","")&amp;IF(OR(AND($H264&lt;&gt;"",$H264&lt;$G264),AND($I264&lt;&gt;"",$I264&lt;MAX($G264:$H264)),AND($J264&lt;&gt;"",$J264&lt;MAX($G264:$I264))),"Avance semanal decreciente"&amp;" · ","")&amp;IF(AND(ISNUMBER($E264),$E264&lt;FechaRef,N($K264)&lt;1),"Vencida"&amp;" · ","")&amp;IF(AND(ObsObligatoria="Sí",ISNUMBER($E264),$E264&lt;FechaRef,N($K264)&lt;1,$N264=""),"Vencida sin observación"&amp;" · ",""))-3)))</f>
        <v/>
      </c>
      <c r="P264" s="70">
        <f>IF(NOT((COUNTA($B264:$J264)+COUNTA($N264))&gt;0),"",IF(AND($S264="Sub",N($R264)&gt;0),IF(ISNUMBER(INDEX($D$5:$D$1000,$R264-4)),DATE(YEAR(INDEX($D$5:$D$1000,$R264-4)),MONTH(INDEX($D$5:$D$1000,$R264-4)),1),IF(ISNUMBER(INDEX($E$5:$E$1000,$R264-4)),DATE(YEAR(INDEX($E$5:$E$1000,$R264-4)),MONTH(INDEX($E$5:$E$1000,$R264-4)),1),MesCiclo)),IF(ISNUMBER($D264),DATE(YEAR($D264),MONTH($D264),1),IF(ISNUMBER($E264),DATE(YEAR($E264),MONTH($E264),1),MesCiclo))))</f>
        <v/>
      </c>
      <c r="Q264" s="71">
        <f>IF(OR($P264="",$P264&lt;&gt;MesCiclo),"",COUNTIF($P$5:$P264,MesCiclo))</f>
        <v/>
      </c>
      <c r="R264" s="71">
        <f>IF($S264="","",IF($S264="Macro",ROW(),IFERROR(LOOKUP(2,1/($S$5:$S264="Macro"),ROW($S$5:$S264)),0)))</f>
        <v/>
      </c>
      <c r="S264" s="71">
        <f>IF(NOT((COUNTA($B264:$J264)+COUNTA($N264))&gt;0),"",IF($B264="Subactividad","Sub","Macro"))</f>
        <v/>
      </c>
      <c r="T264" s="71">
        <f>IF($S264="Macro",COUNTIFS($R$5:$R$1000,ROW(),$S$5:$S$1000,"Sub"),"")</f>
        <v/>
      </c>
      <c r="U264" s="71">
        <f>IF($S264="","",IF(ISNUMBER($G264),$G264,0))</f>
        <v/>
      </c>
      <c r="V264" s="71">
        <f>IF($S264="","",IF(ISNUMBER($H264),$H264,$U264))</f>
        <v/>
      </c>
      <c r="W264" s="71">
        <f>IF($S264="","",IF(ISNUMBER($I264),$I264,$V264))</f>
        <v/>
      </c>
      <c r="X264" s="71">
        <f>IF($S264="","",IF(ISNUMBER($J264),$J264,$W264))</f>
        <v/>
      </c>
      <c r="Y264" s="71">
        <f>IF($S264="","",IF(N($T264)&gt;0,IF(N($AG264)&gt;0,SUMIFS($AC$5:$AC$1000,$R$5:$R$1000,ROW(),$S$5:$S$1000,"Sub")/$AG264,AVERAGEIFS($U$5:$U$1000,$R$5:$R$1000,ROW(),$S$5:$S$1000,"Sub")),$U264))</f>
        <v/>
      </c>
      <c r="Z264" s="71">
        <f>IF($S264="","",IF(N($T264)&gt;0,IF(N($AG264)&gt;0,SUMIFS($AD$5:$AD$1000,$R$5:$R$1000,ROW(),$S$5:$S$1000,"Sub")/$AG264,AVERAGEIFS($V$5:$V$1000,$R$5:$R$1000,ROW(),$S$5:$S$1000,"Sub")),$V264))</f>
        <v/>
      </c>
      <c r="AA264" s="71">
        <f>IF($S264="","",IF(N($T264)&gt;0,IF(N($AG264)&gt;0,SUMIFS($AE$5:$AE$1000,$R$5:$R$1000,ROW(),$S$5:$S$1000,"Sub")/$AG264,AVERAGEIFS($W$5:$W$1000,$R$5:$R$1000,ROW(),$S$5:$S$1000,"Sub")),$W264))</f>
        <v/>
      </c>
      <c r="AB264" s="71">
        <f>IF($S264="","",IF(N($T264)&gt;0,IF(N($AG264)&gt;0,SUMIFS($AF$5:$AF$1000,$R$5:$R$1000,ROW(),$S$5:$S$1000,"Sub")/$AG264,AVERAGEIFS($X$5:$X$1000,$R$5:$R$1000,ROW(),$S$5:$S$1000,"Sub")),$X264))</f>
        <v/>
      </c>
      <c r="AC264" s="71">
        <f>IF($S264="Sub",N($F264)*N($U264),"")</f>
        <v/>
      </c>
      <c r="AD264" s="71">
        <f>IF($S264="Sub",N($F264)*N($V264),"")</f>
        <v/>
      </c>
      <c r="AE264" s="71">
        <f>IF($S264="Sub",N($F264)*N($W264),"")</f>
        <v/>
      </c>
      <c r="AF264" s="71">
        <f>IF($S264="Sub",N($F264)*N($X264),"")</f>
        <v/>
      </c>
      <c r="AG264" s="71">
        <f>IF(N($T264)&gt;0,SUMIFS($F$5:$F$1000,$R$5:$R$1000,ROW(),$S$5:$S$1000,"Sub"),"")</f>
        <v/>
      </c>
    </row>
    <row r="265">
      <c r="A265" s="62">
        <f>IF(NOT((COUNTA($B265:$J265)+COUNTA($N265))&gt;0),"",IF($S265="Macro",COUNTIFS($S$5:$S265,"Macro",$P$5:$P265,$P265),IF(N($R265)=0,"?",COUNTIFS(INDEX($S$5:$S$1000,1):INDEX($S$5:$S$1000,$R265-4),"Macro",INDEX($P$5:$P$1000,1):INDEX($P$5:$P$1000,$R265-4),INDEX($P$5:$P$1000,$R265-4))&amp;"."&amp;COUNTIFS($R$5:$R265,$R265,$S$5:$S265,"Sub"))))</f>
        <v/>
      </c>
      <c r="B265" s="63" t="n"/>
      <c r="C265" s="64" t="n"/>
      <c r="D265" s="65" t="n"/>
      <c r="E265" s="65" t="n"/>
      <c r="F265" s="66" t="n"/>
      <c r="G265" s="67" t="n"/>
      <c r="H265" s="67" t="n"/>
      <c r="I265" s="67" t="n"/>
      <c r="J265" s="67" t="n"/>
      <c r="K265" s="68">
        <f>IF(NOT((COUNTA($B265:$J265)+COUNTA($N265))&gt;0),"",IF(N($T265)&gt;0,$AB265,IFERROR(LOOKUP(2,1/(G265:J265&lt;&gt;""),G265:J265),0)))</f>
        <v/>
      </c>
      <c r="L265" s="62">
        <f>IF(K265="","",IF(K265&gt;=1,"Completado",IF(K265&gt;0,"En curso","Pendiente")))</f>
        <v/>
      </c>
      <c r="M265" s="62">
        <f>IF(NOT((COUNTA($B265:$J265)+COUNTA($N265))&gt;0),"",IF(N($K265)&gt;=1,"Cumplida",IF(NOT(ISNUMBER($E265)),"Sin fecha límite",IF($E265&lt;FechaRef,"Vencida hace "&amp;(FechaRef-$E265)&amp;IF(FechaRef-$E265=1," día"," días"),IF($E265=FechaRef,"Vence hoy",IF($E265-FechaRef&lt;=DiasAlerta,"Vence en "&amp;($E265-FechaRef)&amp;IF($E265-FechaRef=1," día"," días"),"En plazo"))))))</f>
        <v/>
      </c>
      <c r="N265" s="64" t="n"/>
      <c r="O265" s="69">
        <f>IF(NOT((COUNTA($B265:$J265)+COUNTA($N265))&gt;0),"",IF((IF($C265="","Falta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",""))="","✔ OK","⚠ "&amp;LEFT(IF($C265="","Falta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",""),LEN(IF($C265="","Falta el nombre de la actividad"&amp;" · ","")&amp;IF(AND($S265="Sub",N($R265)=0),"Subactividad sin macroactividad arriba"&amp;" · ","")&amp;IF($D265="","Sin fecha de inicio"&amp;" · ","")&amp;IF($E265="","Sin fecha límite"&amp;" · ","")&amp;IF(OR(AND($D265&lt;&gt;"",NOT(ISNUMBER($D265))),AND($E265&lt;&gt;"",NOT(ISNUMBER($E265)))),"Fecha no válida"&amp;" · ","")&amp;IF(AND(ISNUMBER($D265),ISNUMBER($E265),$D265&gt;$E265),"Inicio posterior a fecha límite"&amp;" · ","")&amp;IF(AND($S265="Macro",$F265=""),"Peso vacío"&amp;" · ","")&amp;IF(AND($S265="Macro",$F265&lt;&gt;"",OR(NOT(ISNUMBER($F265)),$F265&lt;=0,$F265&gt;1)),"Peso fuera de rango"&amp;" · ","")&amp;IF(AND($S265="Sub",$F265&lt;&gt;"",OR(NOT(ISNUMBER($F265)),$F265&lt;0,$F265&gt;1)),"Peso fuera de rango"&amp;" · ","")&amp;IF(AND($S265="Sub",$F265="",IFERROR(N(INDEX($AG$5:$AG$1000,$R265-4)),0)&gt;0),"Falta el peso de la subactividad"&amp;" · ","")&amp;IF(AND(N($T265)&gt;0,N($AG265)&gt;0,ABS(N($AG265)-N($F265))&gt;0.0001),"Pesos de sus subactividades suman "&amp;TEXT(N($AG265),"0%")&amp;" (deben sumar "&amp;TEXT(N($F265),"0%")&amp;")"&amp;" · ","")&amp;IF(AND($S265="Macro",ABS(SUMIFS($F$5:$F$1000,$P$5:$P$1000,$P265,$S$5:$S$1000,"Macro")-1)&gt;0.0001),"Pesos del mes suman "&amp;TEXT(SUMIFS($F$5:$F$1000,$P$5:$P$1000,$P265,$S$5:$S$1000,"Macro"),"0%")&amp;" · ","")&amp;IF(AND(N($T265)&gt;0,COUNT($G265:$J265)&gt;0),"Con subactividades: deje vacías las semanas (se calculan solas)"&amp;" · ","")&amp;IF((COUNTIF($G265:$J265,"&gt;1")+COUNTIF($G265:$J265,"&lt;0")+COUNTA($G265:$J265)-COUNT($G265:$J265))&gt;0,"Avance fuera de rango 0-100%"&amp;" · ","")&amp;IF(OR(AND($H265&lt;&gt;"",$H265&lt;$G265),AND($I265&lt;&gt;"",$I265&lt;MAX($G265:$H265)),AND($J265&lt;&gt;"",$J265&lt;MAX($G265:$I265))),"Avance semanal decreciente"&amp;" · ","")&amp;IF(AND(ISNUMBER($E265),$E265&lt;FechaRef,N($K265)&lt;1),"Vencida"&amp;" · ","")&amp;IF(AND(ObsObligatoria="Sí",ISNUMBER($E265),$E265&lt;FechaRef,N($K265)&lt;1,$N265=""),"Vencida sin observación"&amp;" · ",""))-3)))</f>
        <v/>
      </c>
      <c r="P265" s="70">
        <f>IF(NOT((COUNTA($B265:$J265)+COUNTA($N265))&gt;0),"",IF(AND($S265="Sub",N($R265)&gt;0),IF(ISNUMBER(INDEX($D$5:$D$1000,$R265-4)),DATE(YEAR(INDEX($D$5:$D$1000,$R265-4)),MONTH(INDEX($D$5:$D$1000,$R265-4)),1),IF(ISNUMBER(INDEX($E$5:$E$1000,$R265-4)),DATE(YEAR(INDEX($E$5:$E$1000,$R265-4)),MONTH(INDEX($E$5:$E$1000,$R265-4)),1),MesCiclo)),IF(ISNUMBER($D265),DATE(YEAR($D265),MONTH($D265),1),IF(ISNUMBER($E265),DATE(YEAR($E265),MONTH($E265),1),MesCiclo))))</f>
        <v/>
      </c>
      <c r="Q265" s="71">
        <f>IF(OR($P265="",$P265&lt;&gt;MesCiclo),"",COUNTIF($P$5:$P265,MesCiclo))</f>
        <v/>
      </c>
      <c r="R265" s="71">
        <f>IF($S265="","",IF($S265="Macro",ROW(),IFERROR(LOOKUP(2,1/($S$5:$S265="Macro"),ROW($S$5:$S265)),0)))</f>
        <v/>
      </c>
      <c r="S265" s="71">
        <f>IF(NOT((COUNTA($B265:$J265)+COUNTA($N265))&gt;0),"",IF($B265="Subactividad","Sub","Macro"))</f>
        <v/>
      </c>
      <c r="T265" s="71">
        <f>IF($S265="Macro",COUNTIFS($R$5:$R$1000,ROW(),$S$5:$S$1000,"Sub"),"")</f>
        <v/>
      </c>
      <c r="U265" s="71">
        <f>IF($S265="","",IF(ISNUMBER($G265),$G265,0))</f>
        <v/>
      </c>
      <c r="V265" s="71">
        <f>IF($S265="","",IF(ISNUMBER($H265),$H265,$U265))</f>
        <v/>
      </c>
      <c r="W265" s="71">
        <f>IF($S265="","",IF(ISNUMBER($I265),$I265,$V265))</f>
        <v/>
      </c>
      <c r="X265" s="71">
        <f>IF($S265="","",IF(ISNUMBER($J265),$J265,$W265))</f>
        <v/>
      </c>
      <c r="Y265" s="71">
        <f>IF($S265="","",IF(N($T265)&gt;0,IF(N($AG265)&gt;0,SUMIFS($AC$5:$AC$1000,$R$5:$R$1000,ROW(),$S$5:$S$1000,"Sub")/$AG265,AVERAGEIFS($U$5:$U$1000,$R$5:$R$1000,ROW(),$S$5:$S$1000,"Sub")),$U265))</f>
        <v/>
      </c>
      <c r="Z265" s="71">
        <f>IF($S265="","",IF(N($T265)&gt;0,IF(N($AG265)&gt;0,SUMIFS($AD$5:$AD$1000,$R$5:$R$1000,ROW(),$S$5:$S$1000,"Sub")/$AG265,AVERAGEIFS($V$5:$V$1000,$R$5:$R$1000,ROW(),$S$5:$S$1000,"Sub")),$V265))</f>
        <v/>
      </c>
      <c r="AA265" s="71">
        <f>IF($S265="","",IF(N($T265)&gt;0,IF(N($AG265)&gt;0,SUMIFS($AE$5:$AE$1000,$R$5:$R$1000,ROW(),$S$5:$S$1000,"Sub")/$AG265,AVERAGEIFS($W$5:$W$1000,$R$5:$R$1000,ROW(),$S$5:$S$1000,"Sub")),$W265))</f>
        <v/>
      </c>
      <c r="AB265" s="71">
        <f>IF($S265="","",IF(N($T265)&gt;0,IF(N($AG265)&gt;0,SUMIFS($AF$5:$AF$1000,$R$5:$R$1000,ROW(),$S$5:$S$1000,"Sub")/$AG265,AVERAGEIFS($X$5:$X$1000,$R$5:$R$1000,ROW(),$S$5:$S$1000,"Sub")),$X265))</f>
        <v/>
      </c>
      <c r="AC265" s="71">
        <f>IF($S265="Sub",N($F265)*N($U265),"")</f>
        <v/>
      </c>
      <c r="AD265" s="71">
        <f>IF($S265="Sub",N($F265)*N($V265),"")</f>
        <v/>
      </c>
      <c r="AE265" s="71">
        <f>IF($S265="Sub",N($F265)*N($W265),"")</f>
        <v/>
      </c>
      <c r="AF265" s="71">
        <f>IF($S265="Sub",N($F265)*N($X265),"")</f>
        <v/>
      </c>
      <c r="AG265" s="71">
        <f>IF(N($T265)&gt;0,SUMIFS($F$5:$F$1000,$R$5:$R$1000,ROW(),$S$5:$S$1000,"Sub"),"")</f>
        <v/>
      </c>
    </row>
    <row r="266">
      <c r="A266" s="62">
        <f>IF(NOT((COUNTA($B266:$J266)+COUNTA($N266))&gt;0),"",IF($S266="Macro",COUNTIFS($S$5:$S266,"Macro",$P$5:$P266,$P266),IF(N($R266)=0,"?",COUNTIFS(INDEX($S$5:$S$1000,1):INDEX($S$5:$S$1000,$R266-4),"Macro",INDEX($P$5:$P$1000,1):INDEX($P$5:$P$1000,$R266-4),INDEX($P$5:$P$1000,$R266-4))&amp;"."&amp;COUNTIFS($R$5:$R266,$R266,$S$5:$S266,"Sub"))))</f>
        <v/>
      </c>
      <c r="B266" s="63" t="n"/>
      <c r="C266" s="64" t="n"/>
      <c r="D266" s="65" t="n"/>
      <c r="E266" s="65" t="n"/>
      <c r="F266" s="66" t="n"/>
      <c r="G266" s="67" t="n"/>
      <c r="H266" s="67" t="n"/>
      <c r="I266" s="67" t="n"/>
      <c r="J266" s="67" t="n"/>
      <c r="K266" s="68">
        <f>IF(NOT((COUNTA($B266:$J266)+COUNTA($N266))&gt;0),"",IF(N($T266)&gt;0,$AB266,IFERROR(LOOKUP(2,1/(G266:J266&lt;&gt;""),G266:J266),0)))</f>
        <v/>
      </c>
      <c r="L266" s="62">
        <f>IF(K266="","",IF(K266&gt;=1,"Completado",IF(K266&gt;0,"En curso","Pendiente")))</f>
        <v/>
      </c>
      <c r="M266" s="62">
        <f>IF(NOT((COUNTA($B266:$J266)+COUNTA($N266))&gt;0),"",IF(N($K266)&gt;=1,"Cumplida",IF(NOT(ISNUMBER($E266)),"Sin fecha límite",IF($E266&lt;FechaRef,"Vencida hace "&amp;(FechaRef-$E266)&amp;IF(FechaRef-$E266=1," día"," días"),IF($E266=FechaRef,"Vence hoy",IF($E266-FechaRef&lt;=DiasAlerta,"Vence en "&amp;($E266-FechaRef)&amp;IF($E266-FechaRef=1," día"," días"),"En plazo"))))))</f>
        <v/>
      </c>
      <c r="N266" s="64" t="n"/>
      <c r="O266" s="69">
        <f>IF(NOT((COUNTA($B266:$J266)+COUNTA($N266))&gt;0),"",IF((IF($C266="","Falta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",""))="","✔ OK","⚠ "&amp;LEFT(IF($C266="","Falta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",""),LEN(IF($C266="","Falta el nombre de la actividad"&amp;" · ","")&amp;IF(AND($S266="Sub",N($R266)=0),"Subactividad sin macroactividad arriba"&amp;" · ","")&amp;IF($D266="","Sin fecha de inicio"&amp;" · ","")&amp;IF($E266="","Sin fecha límite"&amp;" · ","")&amp;IF(OR(AND($D266&lt;&gt;"",NOT(ISNUMBER($D266))),AND($E266&lt;&gt;"",NOT(ISNUMBER($E266)))),"Fecha no válida"&amp;" · ","")&amp;IF(AND(ISNUMBER($D266),ISNUMBER($E266),$D266&gt;$E266),"Inicio posterior a fecha límite"&amp;" · ","")&amp;IF(AND($S266="Macro",$F266=""),"Peso vacío"&amp;" · ","")&amp;IF(AND($S266="Macro",$F266&lt;&gt;"",OR(NOT(ISNUMBER($F266)),$F266&lt;=0,$F266&gt;1)),"Peso fuera de rango"&amp;" · ","")&amp;IF(AND($S266="Sub",$F266&lt;&gt;"",OR(NOT(ISNUMBER($F266)),$F266&lt;0,$F266&gt;1)),"Peso fuera de rango"&amp;" · ","")&amp;IF(AND($S266="Sub",$F266="",IFERROR(N(INDEX($AG$5:$AG$1000,$R266-4)),0)&gt;0),"Falta el peso de la subactividad"&amp;" · ","")&amp;IF(AND(N($T266)&gt;0,N($AG266)&gt;0,ABS(N($AG266)-N($F266))&gt;0.0001),"Pesos de sus subactividades suman "&amp;TEXT(N($AG266),"0%")&amp;" (deben sumar "&amp;TEXT(N($F266),"0%")&amp;")"&amp;" · ","")&amp;IF(AND($S266="Macro",ABS(SUMIFS($F$5:$F$1000,$P$5:$P$1000,$P266,$S$5:$S$1000,"Macro")-1)&gt;0.0001),"Pesos del mes suman "&amp;TEXT(SUMIFS($F$5:$F$1000,$P$5:$P$1000,$P266,$S$5:$S$1000,"Macro"),"0%")&amp;" · ","")&amp;IF(AND(N($T266)&gt;0,COUNT($G266:$J266)&gt;0),"Con subactividades: deje vacías las semanas (se calculan solas)"&amp;" · ","")&amp;IF((COUNTIF($G266:$J266,"&gt;1")+COUNTIF($G266:$J266,"&lt;0")+COUNTA($G266:$J266)-COUNT($G266:$J266))&gt;0,"Avance fuera de rango 0-100%"&amp;" · ","")&amp;IF(OR(AND($H266&lt;&gt;"",$H266&lt;$G266),AND($I266&lt;&gt;"",$I266&lt;MAX($G266:$H266)),AND($J266&lt;&gt;"",$J266&lt;MAX($G266:$I266))),"Avance semanal decreciente"&amp;" · ","")&amp;IF(AND(ISNUMBER($E266),$E266&lt;FechaRef,N($K266)&lt;1),"Vencida"&amp;" · ","")&amp;IF(AND(ObsObligatoria="Sí",ISNUMBER($E266),$E266&lt;FechaRef,N($K266)&lt;1,$N266=""),"Vencida sin observación"&amp;" · ",""))-3)))</f>
        <v/>
      </c>
      <c r="P266" s="70">
        <f>IF(NOT((COUNTA($B266:$J266)+COUNTA($N266))&gt;0),"",IF(AND($S266="Sub",N($R266)&gt;0),IF(ISNUMBER(INDEX($D$5:$D$1000,$R266-4)),DATE(YEAR(INDEX($D$5:$D$1000,$R266-4)),MONTH(INDEX($D$5:$D$1000,$R266-4)),1),IF(ISNUMBER(INDEX($E$5:$E$1000,$R266-4)),DATE(YEAR(INDEX($E$5:$E$1000,$R266-4)),MONTH(INDEX($E$5:$E$1000,$R266-4)),1),MesCiclo)),IF(ISNUMBER($D266),DATE(YEAR($D266),MONTH($D266),1),IF(ISNUMBER($E266),DATE(YEAR($E266),MONTH($E266),1),MesCiclo))))</f>
        <v/>
      </c>
      <c r="Q266" s="71">
        <f>IF(OR($P266="",$P266&lt;&gt;MesCiclo),"",COUNTIF($P$5:$P266,MesCiclo))</f>
        <v/>
      </c>
      <c r="R266" s="71">
        <f>IF($S266="","",IF($S266="Macro",ROW(),IFERROR(LOOKUP(2,1/($S$5:$S266="Macro"),ROW($S$5:$S266)),0)))</f>
        <v/>
      </c>
      <c r="S266" s="71">
        <f>IF(NOT((COUNTA($B266:$J266)+COUNTA($N266))&gt;0),"",IF($B266="Subactividad","Sub","Macro"))</f>
        <v/>
      </c>
      <c r="T266" s="71">
        <f>IF($S266="Macro",COUNTIFS($R$5:$R$1000,ROW(),$S$5:$S$1000,"Sub"),"")</f>
        <v/>
      </c>
      <c r="U266" s="71">
        <f>IF($S266="","",IF(ISNUMBER($G266),$G266,0))</f>
        <v/>
      </c>
      <c r="V266" s="71">
        <f>IF($S266="","",IF(ISNUMBER($H266),$H266,$U266))</f>
        <v/>
      </c>
      <c r="W266" s="71">
        <f>IF($S266="","",IF(ISNUMBER($I266),$I266,$V266))</f>
        <v/>
      </c>
      <c r="X266" s="71">
        <f>IF($S266="","",IF(ISNUMBER($J266),$J266,$W266))</f>
        <v/>
      </c>
      <c r="Y266" s="71">
        <f>IF($S266="","",IF(N($T266)&gt;0,IF(N($AG266)&gt;0,SUMIFS($AC$5:$AC$1000,$R$5:$R$1000,ROW(),$S$5:$S$1000,"Sub")/$AG266,AVERAGEIFS($U$5:$U$1000,$R$5:$R$1000,ROW(),$S$5:$S$1000,"Sub")),$U266))</f>
        <v/>
      </c>
      <c r="Z266" s="71">
        <f>IF($S266="","",IF(N($T266)&gt;0,IF(N($AG266)&gt;0,SUMIFS($AD$5:$AD$1000,$R$5:$R$1000,ROW(),$S$5:$S$1000,"Sub")/$AG266,AVERAGEIFS($V$5:$V$1000,$R$5:$R$1000,ROW(),$S$5:$S$1000,"Sub")),$V266))</f>
        <v/>
      </c>
      <c r="AA266" s="71">
        <f>IF($S266="","",IF(N($T266)&gt;0,IF(N($AG266)&gt;0,SUMIFS($AE$5:$AE$1000,$R$5:$R$1000,ROW(),$S$5:$S$1000,"Sub")/$AG266,AVERAGEIFS($W$5:$W$1000,$R$5:$R$1000,ROW(),$S$5:$S$1000,"Sub")),$W266))</f>
        <v/>
      </c>
      <c r="AB266" s="71">
        <f>IF($S266="","",IF(N($T266)&gt;0,IF(N($AG266)&gt;0,SUMIFS($AF$5:$AF$1000,$R$5:$R$1000,ROW(),$S$5:$S$1000,"Sub")/$AG266,AVERAGEIFS($X$5:$X$1000,$R$5:$R$1000,ROW(),$S$5:$S$1000,"Sub")),$X266))</f>
        <v/>
      </c>
      <c r="AC266" s="71">
        <f>IF($S266="Sub",N($F266)*N($U266),"")</f>
        <v/>
      </c>
      <c r="AD266" s="71">
        <f>IF($S266="Sub",N($F266)*N($V266),"")</f>
        <v/>
      </c>
      <c r="AE266" s="71">
        <f>IF($S266="Sub",N($F266)*N($W266),"")</f>
        <v/>
      </c>
      <c r="AF266" s="71">
        <f>IF($S266="Sub",N($F266)*N($X266),"")</f>
        <v/>
      </c>
      <c r="AG266" s="71">
        <f>IF(N($T266)&gt;0,SUMIFS($F$5:$F$1000,$R$5:$R$1000,ROW(),$S$5:$S$1000,"Sub"),"")</f>
        <v/>
      </c>
    </row>
    <row r="267">
      <c r="A267" s="62">
        <f>IF(NOT((COUNTA($B267:$J267)+COUNTA($N267))&gt;0),"",IF($S267="Macro",COUNTIFS($S$5:$S267,"Macro",$P$5:$P267,$P267),IF(N($R267)=0,"?",COUNTIFS(INDEX($S$5:$S$1000,1):INDEX($S$5:$S$1000,$R267-4),"Macro",INDEX($P$5:$P$1000,1):INDEX($P$5:$P$1000,$R267-4),INDEX($P$5:$P$1000,$R267-4))&amp;"."&amp;COUNTIFS($R$5:$R267,$R267,$S$5:$S267,"Sub"))))</f>
        <v/>
      </c>
      <c r="B267" s="63" t="n"/>
      <c r="C267" s="64" t="n"/>
      <c r="D267" s="65" t="n"/>
      <c r="E267" s="65" t="n"/>
      <c r="F267" s="66" t="n"/>
      <c r="G267" s="67" t="n"/>
      <c r="H267" s="67" t="n"/>
      <c r="I267" s="67" t="n"/>
      <c r="J267" s="67" t="n"/>
      <c r="K267" s="68">
        <f>IF(NOT((COUNTA($B267:$J267)+COUNTA($N267))&gt;0),"",IF(N($T267)&gt;0,$AB267,IFERROR(LOOKUP(2,1/(G267:J267&lt;&gt;""),G267:J267),0)))</f>
        <v/>
      </c>
      <c r="L267" s="62">
        <f>IF(K267="","",IF(K267&gt;=1,"Completado",IF(K267&gt;0,"En curso","Pendiente")))</f>
        <v/>
      </c>
      <c r="M267" s="62">
        <f>IF(NOT((COUNTA($B267:$J267)+COUNTA($N267))&gt;0),"",IF(N($K267)&gt;=1,"Cumplida",IF(NOT(ISNUMBER($E267)),"Sin fecha límite",IF($E267&lt;FechaRef,"Vencida hace "&amp;(FechaRef-$E267)&amp;IF(FechaRef-$E267=1," día"," días"),IF($E267=FechaRef,"Vence hoy",IF($E267-FechaRef&lt;=DiasAlerta,"Vence en "&amp;($E267-FechaRef)&amp;IF($E267-FechaRef=1," día"," días"),"En plazo"))))))</f>
        <v/>
      </c>
      <c r="N267" s="64" t="n"/>
      <c r="O267" s="69">
        <f>IF(NOT((COUNTA($B267:$J267)+COUNTA($N267))&gt;0),"",IF((IF($C267="","Falta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",""))="","✔ OK","⚠ "&amp;LEFT(IF($C267="","Falta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",""),LEN(IF($C267="","Falta el nombre de la actividad"&amp;" · ","")&amp;IF(AND($S267="Sub",N($R267)=0),"Subactividad sin macroactividad arriba"&amp;" · ","")&amp;IF($D267="","Sin fecha de inicio"&amp;" · ","")&amp;IF($E267="","Sin fecha límite"&amp;" · ","")&amp;IF(OR(AND($D267&lt;&gt;"",NOT(ISNUMBER($D267))),AND($E267&lt;&gt;"",NOT(ISNUMBER($E267)))),"Fecha no válida"&amp;" · ","")&amp;IF(AND(ISNUMBER($D267),ISNUMBER($E267),$D267&gt;$E267),"Inicio posterior a fecha límite"&amp;" · ","")&amp;IF(AND($S267="Macro",$F267=""),"Peso vacío"&amp;" · ","")&amp;IF(AND($S267="Macro",$F267&lt;&gt;"",OR(NOT(ISNUMBER($F267)),$F267&lt;=0,$F267&gt;1)),"Peso fuera de rango"&amp;" · ","")&amp;IF(AND($S267="Sub",$F267&lt;&gt;"",OR(NOT(ISNUMBER($F267)),$F267&lt;0,$F267&gt;1)),"Peso fuera de rango"&amp;" · ","")&amp;IF(AND($S267="Sub",$F267="",IFERROR(N(INDEX($AG$5:$AG$1000,$R267-4)),0)&gt;0),"Falta el peso de la subactividad"&amp;" · ","")&amp;IF(AND(N($T267)&gt;0,N($AG267)&gt;0,ABS(N($AG267)-N($F267))&gt;0.0001),"Pesos de sus subactividades suman "&amp;TEXT(N($AG267),"0%")&amp;" (deben sumar "&amp;TEXT(N($F267),"0%")&amp;")"&amp;" · ","")&amp;IF(AND($S267="Macro",ABS(SUMIFS($F$5:$F$1000,$P$5:$P$1000,$P267,$S$5:$S$1000,"Macro")-1)&gt;0.0001),"Pesos del mes suman "&amp;TEXT(SUMIFS($F$5:$F$1000,$P$5:$P$1000,$P267,$S$5:$S$1000,"Macro"),"0%")&amp;" · ","")&amp;IF(AND(N($T267)&gt;0,COUNT($G267:$J267)&gt;0),"Con subactividades: deje vacías las semanas (se calculan solas)"&amp;" · ","")&amp;IF((COUNTIF($G267:$J267,"&gt;1")+COUNTIF($G267:$J267,"&lt;0")+COUNTA($G267:$J267)-COUNT($G267:$J267))&gt;0,"Avance fuera de rango 0-100%"&amp;" · ","")&amp;IF(OR(AND($H267&lt;&gt;"",$H267&lt;$G267),AND($I267&lt;&gt;"",$I267&lt;MAX($G267:$H267)),AND($J267&lt;&gt;"",$J267&lt;MAX($G267:$I267))),"Avance semanal decreciente"&amp;" · ","")&amp;IF(AND(ISNUMBER($E267),$E267&lt;FechaRef,N($K267)&lt;1),"Vencida"&amp;" · ","")&amp;IF(AND(ObsObligatoria="Sí",ISNUMBER($E267),$E267&lt;FechaRef,N($K267)&lt;1,$N267=""),"Vencida sin observación"&amp;" · ",""))-3)))</f>
        <v/>
      </c>
      <c r="P267" s="70">
        <f>IF(NOT((COUNTA($B267:$J267)+COUNTA($N267))&gt;0),"",IF(AND($S267="Sub",N($R267)&gt;0),IF(ISNUMBER(INDEX($D$5:$D$1000,$R267-4)),DATE(YEAR(INDEX($D$5:$D$1000,$R267-4)),MONTH(INDEX($D$5:$D$1000,$R267-4)),1),IF(ISNUMBER(INDEX($E$5:$E$1000,$R267-4)),DATE(YEAR(INDEX($E$5:$E$1000,$R267-4)),MONTH(INDEX($E$5:$E$1000,$R267-4)),1),MesCiclo)),IF(ISNUMBER($D267),DATE(YEAR($D267),MONTH($D267),1),IF(ISNUMBER($E267),DATE(YEAR($E267),MONTH($E267),1),MesCiclo))))</f>
        <v/>
      </c>
      <c r="Q267" s="71">
        <f>IF(OR($P267="",$P267&lt;&gt;MesCiclo),"",COUNTIF($P$5:$P267,MesCiclo))</f>
        <v/>
      </c>
      <c r="R267" s="71">
        <f>IF($S267="","",IF($S267="Macro",ROW(),IFERROR(LOOKUP(2,1/($S$5:$S267="Macro"),ROW($S$5:$S267)),0)))</f>
        <v/>
      </c>
      <c r="S267" s="71">
        <f>IF(NOT((COUNTA($B267:$J267)+COUNTA($N267))&gt;0),"",IF($B267="Subactividad","Sub","Macro"))</f>
        <v/>
      </c>
      <c r="T267" s="71">
        <f>IF($S267="Macro",COUNTIFS($R$5:$R$1000,ROW(),$S$5:$S$1000,"Sub"),"")</f>
        <v/>
      </c>
      <c r="U267" s="71">
        <f>IF($S267="","",IF(ISNUMBER($G267),$G267,0))</f>
        <v/>
      </c>
      <c r="V267" s="71">
        <f>IF($S267="","",IF(ISNUMBER($H267),$H267,$U267))</f>
        <v/>
      </c>
      <c r="W267" s="71">
        <f>IF($S267="","",IF(ISNUMBER($I267),$I267,$V267))</f>
        <v/>
      </c>
      <c r="X267" s="71">
        <f>IF($S267="","",IF(ISNUMBER($J267),$J267,$W267))</f>
        <v/>
      </c>
      <c r="Y267" s="71">
        <f>IF($S267="","",IF(N($T267)&gt;0,IF(N($AG267)&gt;0,SUMIFS($AC$5:$AC$1000,$R$5:$R$1000,ROW(),$S$5:$S$1000,"Sub")/$AG267,AVERAGEIFS($U$5:$U$1000,$R$5:$R$1000,ROW(),$S$5:$S$1000,"Sub")),$U267))</f>
        <v/>
      </c>
      <c r="Z267" s="71">
        <f>IF($S267="","",IF(N($T267)&gt;0,IF(N($AG267)&gt;0,SUMIFS($AD$5:$AD$1000,$R$5:$R$1000,ROW(),$S$5:$S$1000,"Sub")/$AG267,AVERAGEIFS($V$5:$V$1000,$R$5:$R$1000,ROW(),$S$5:$S$1000,"Sub")),$V267))</f>
        <v/>
      </c>
      <c r="AA267" s="71">
        <f>IF($S267="","",IF(N($T267)&gt;0,IF(N($AG267)&gt;0,SUMIFS($AE$5:$AE$1000,$R$5:$R$1000,ROW(),$S$5:$S$1000,"Sub")/$AG267,AVERAGEIFS($W$5:$W$1000,$R$5:$R$1000,ROW(),$S$5:$S$1000,"Sub")),$W267))</f>
        <v/>
      </c>
      <c r="AB267" s="71">
        <f>IF($S267="","",IF(N($T267)&gt;0,IF(N($AG267)&gt;0,SUMIFS($AF$5:$AF$1000,$R$5:$R$1000,ROW(),$S$5:$S$1000,"Sub")/$AG267,AVERAGEIFS($X$5:$X$1000,$R$5:$R$1000,ROW(),$S$5:$S$1000,"Sub")),$X267))</f>
        <v/>
      </c>
      <c r="AC267" s="71">
        <f>IF($S267="Sub",N($F267)*N($U267),"")</f>
        <v/>
      </c>
      <c r="AD267" s="71">
        <f>IF($S267="Sub",N($F267)*N($V267),"")</f>
        <v/>
      </c>
      <c r="AE267" s="71">
        <f>IF($S267="Sub",N($F267)*N($W267),"")</f>
        <v/>
      </c>
      <c r="AF267" s="71">
        <f>IF($S267="Sub",N($F267)*N($X267),"")</f>
        <v/>
      </c>
      <c r="AG267" s="71">
        <f>IF(N($T267)&gt;0,SUMIFS($F$5:$F$1000,$R$5:$R$1000,ROW(),$S$5:$S$1000,"Sub"),"")</f>
        <v/>
      </c>
    </row>
    <row r="268">
      <c r="A268" s="62">
        <f>IF(NOT((COUNTA($B268:$J268)+COUNTA($N268))&gt;0),"",IF($S268="Macro",COUNTIFS($S$5:$S268,"Macro",$P$5:$P268,$P268),IF(N($R268)=0,"?",COUNTIFS(INDEX($S$5:$S$1000,1):INDEX($S$5:$S$1000,$R268-4),"Macro",INDEX($P$5:$P$1000,1):INDEX($P$5:$P$1000,$R268-4),INDEX($P$5:$P$1000,$R268-4))&amp;"."&amp;COUNTIFS($R$5:$R268,$R268,$S$5:$S268,"Sub"))))</f>
        <v/>
      </c>
      <c r="B268" s="63" t="n"/>
      <c r="C268" s="64" t="n"/>
      <c r="D268" s="65" t="n"/>
      <c r="E268" s="65" t="n"/>
      <c r="F268" s="66" t="n"/>
      <c r="G268" s="67" t="n"/>
      <c r="H268" s="67" t="n"/>
      <c r="I268" s="67" t="n"/>
      <c r="J268" s="67" t="n"/>
      <c r="K268" s="68">
        <f>IF(NOT((COUNTA($B268:$J268)+COUNTA($N268))&gt;0),"",IF(N($T268)&gt;0,$AB268,IFERROR(LOOKUP(2,1/(G268:J268&lt;&gt;""),G268:J268),0)))</f>
        <v/>
      </c>
      <c r="L268" s="62">
        <f>IF(K268="","",IF(K268&gt;=1,"Completado",IF(K268&gt;0,"En curso","Pendiente")))</f>
        <v/>
      </c>
      <c r="M268" s="62">
        <f>IF(NOT((COUNTA($B268:$J268)+COUNTA($N268))&gt;0),"",IF(N($K268)&gt;=1,"Cumplida",IF(NOT(ISNUMBER($E268)),"Sin fecha límite",IF($E268&lt;FechaRef,"Vencida hace "&amp;(FechaRef-$E268)&amp;IF(FechaRef-$E268=1," día"," días"),IF($E268=FechaRef,"Vence hoy",IF($E268-FechaRef&lt;=DiasAlerta,"Vence en "&amp;($E268-FechaRef)&amp;IF($E268-FechaRef=1," día"," días"),"En plazo"))))))</f>
        <v/>
      </c>
      <c r="N268" s="64" t="n"/>
      <c r="O268" s="69">
        <f>IF(NOT((COUNTA($B268:$J268)+COUNTA($N268))&gt;0),"",IF((IF($C268="","Falta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",""))="","✔ OK","⚠ "&amp;LEFT(IF($C268="","Falta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",""),LEN(IF($C268="","Falta el nombre de la actividad"&amp;" · ","")&amp;IF(AND($S268="Sub",N($R268)=0),"Subactividad sin macroactividad arriba"&amp;" · ","")&amp;IF($D268="","Sin fecha de inicio"&amp;" · ","")&amp;IF($E268="","Sin fecha límite"&amp;" · ","")&amp;IF(OR(AND($D268&lt;&gt;"",NOT(ISNUMBER($D268))),AND($E268&lt;&gt;"",NOT(ISNUMBER($E268)))),"Fecha no válida"&amp;" · ","")&amp;IF(AND(ISNUMBER($D268),ISNUMBER($E268),$D268&gt;$E268),"Inicio posterior a fecha límite"&amp;" · ","")&amp;IF(AND($S268="Macro",$F268=""),"Peso vacío"&amp;" · ","")&amp;IF(AND($S268="Macro",$F268&lt;&gt;"",OR(NOT(ISNUMBER($F268)),$F268&lt;=0,$F268&gt;1)),"Peso fuera de rango"&amp;" · ","")&amp;IF(AND($S268="Sub",$F268&lt;&gt;"",OR(NOT(ISNUMBER($F268)),$F268&lt;0,$F268&gt;1)),"Peso fuera de rango"&amp;" · ","")&amp;IF(AND($S268="Sub",$F268="",IFERROR(N(INDEX($AG$5:$AG$1000,$R268-4)),0)&gt;0),"Falta el peso de la subactividad"&amp;" · ","")&amp;IF(AND(N($T268)&gt;0,N($AG268)&gt;0,ABS(N($AG268)-N($F268))&gt;0.0001),"Pesos de sus subactividades suman "&amp;TEXT(N($AG268),"0%")&amp;" (deben sumar "&amp;TEXT(N($F268),"0%")&amp;")"&amp;" · ","")&amp;IF(AND($S268="Macro",ABS(SUMIFS($F$5:$F$1000,$P$5:$P$1000,$P268,$S$5:$S$1000,"Macro")-1)&gt;0.0001),"Pesos del mes suman "&amp;TEXT(SUMIFS($F$5:$F$1000,$P$5:$P$1000,$P268,$S$5:$S$1000,"Macro"),"0%")&amp;" · ","")&amp;IF(AND(N($T268)&gt;0,COUNT($G268:$J268)&gt;0),"Con subactividades: deje vacías las semanas (se calculan solas)"&amp;" · ","")&amp;IF((COUNTIF($G268:$J268,"&gt;1")+COUNTIF($G268:$J268,"&lt;0")+COUNTA($G268:$J268)-COUNT($G268:$J268))&gt;0,"Avance fuera de rango 0-100%"&amp;" · ","")&amp;IF(OR(AND($H268&lt;&gt;"",$H268&lt;$G268),AND($I268&lt;&gt;"",$I268&lt;MAX($G268:$H268)),AND($J268&lt;&gt;"",$J268&lt;MAX($G268:$I268))),"Avance semanal decreciente"&amp;" · ","")&amp;IF(AND(ISNUMBER($E268),$E268&lt;FechaRef,N($K268)&lt;1),"Vencida"&amp;" · ","")&amp;IF(AND(ObsObligatoria="Sí",ISNUMBER($E268),$E268&lt;FechaRef,N($K268)&lt;1,$N268=""),"Vencida sin observación"&amp;" · ",""))-3)))</f>
        <v/>
      </c>
      <c r="P268" s="70">
        <f>IF(NOT((COUNTA($B268:$J268)+COUNTA($N268))&gt;0),"",IF(AND($S268="Sub",N($R268)&gt;0),IF(ISNUMBER(INDEX($D$5:$D$1000,$R268-4)),DATE(YEAR(INDEX($D$5:$D$1000,$R268-4)),MONTH(INDEX($D$5:$D$1000,$R268-4)),1),IF(ISNUMBER(INDEX($E$5:$E$1000,$R268-4)),DATE(YEAR(INDEX($E$5:$E$1000,$R268-4)),MONTH(INDEX($E$5:$E$1000,$R268-4)),1),MesCiclo)),IF(ISNUMBER($D268),DATE(YEAR($D268),MONTH($D268),1),IF(ISNUMBER($E268),DATE(YEAR($E268),MONTH($E268),1),MesCiclo))))</f>
        <v/>
      </c>
      <c r="Q268" s="71">
        <f>IF(OR($P268="",$P268&lt;&gt;MesCiclo),"",COUNTIF($P$5:$P268,MesCiclo))</f>
        <v/>
      </c>
      <c r="R268" s="71">
        <f>IF($S268="","",IF($S268="Macro",ROW(),IFERROR(LOOKUP(2,1/($S$5:$S268="Macro"),ROW($S$5:$S268)),0)))</f>
        <v/>
      </c>
      <c r="S268" s="71">
        <f>IF(NOT((COUNTA($B268:$J268)+COUNTA($N268))&gt;0),"",IF($B268="Subactividad","Sub","Macro"))</f>
        <v/>
      </c>
      <c r="T268" s="71">
        <f>IF($S268="Macro",COUNTIFS($R$5:$R$1000,ROW(),$S$5:$S$1000,"Sub"),"")</f>
        <v/>
      </c>
      <c r="U268" s="71">
        <f>IF($S268="","",IF(ISNUMBER($G268),$G268,0))</f>
        <v/>
      </c>
      <c r="V268" s="71">
        <f>IF($S268="","",IF(ISNUMBER($H268),$H268,$U268))</f>
        <v/>
      </c>
      <c r="W268" s="71">
        <f>IF($S268="","",IF(ISNUMBER($I268),$I268,$V268))</f>
        <v/>
      </c>
      <c r="X268" s="71">
        <f>IF($S268="","",IF(ISNUMBER($J268),$J268,$W268))</f>
        <v/>
      </c>
      <c r="Y268" s="71">
        <f>IF($S268="","",IF(N($T268)&gt;0,IF(N($AG268)&gt;0,SUMIFS($AC$5:$AC$1000,$R$5:$R$1000,ROW(),$S$5:$S$1000,"Sub")/$AG268,AVERAGEIFS($U$5:$U$1000,$R$5:$R$1000,ROW(),$S$5:$S$1000,"Sub")),$U268))</f>
        <v/>
      </c>
      <c r="Z268" s="71">
        <f>IF($S268="","",IF(N($T268)&gt;0,IF(N($AG268)&gt;0,SUMIFS($AD$5:$AD$1000,$R$5:$R$1000,ROW(),$S$5:$S$1000,"Sub")/$AG268,AVERAGEIFS($V$5:$V$1000,$R$5:$R$1000,ROW(),$S$5:$S$1000,"Sub")),$V268))</f>
        <v/>
      </c>
      <c r="AA268" s="71">
        <f>IF($S268="","",IF(N($T268)&gt;0,IF(N($AG268)&gt;0,SUMIFS($AE$5:$AE$1000,$R$5:$R$1000,ROW(),$S$5:$S$1000,"Sub")/$AG268,AVERAGEIFS($W$5:$W$1000,$R$5:$R$1000,ROW(),$S$5:$S$1000,"Sub")),$W268))</f>
        <v/>
      </c>
      <c r="AB268" s="71">
        <f>IF($S268="","",IF(N($T268)&gt;0,IF(N($AG268)&gt;0,SUMIFS($AF$5:$AF$1000,$R$5:$R$1000,ROW(),$S$5:$S$1000,"Sub")/$AG268,AVERAGEIFS($X$5:$X$1000,$R$5:$R$1000,ROW(),$S$5:$S$1000,"Sub")),$X268))</f>
        <v/>
      </c>
      <c r="AC268" s="71">
        <f>IF($S268="Sub",N($F268)*N($U268),"")</f>
        <v/>
      </c>
      <c r="AD268" s="71">
        <f>IF($S268="Sub",N($F268)*N($V268),"")</f>
        <v/>
      </c>
      <c r="AE268" s="71">
        <f>IF($S268="Sub",N($F268)*N($W268),"")</f>
        <v/>
      </c>
      <c r="AF268" s="71">
        <f>IF($S268="Sub",N($F268)*N($X268),"")</f>
        <v/>
      </c>
      <c r="AG268" s="71">
        <f>IF(N($T268)&gt;0,SUMIFS($F$5:$F$1000,$R$5:$R$1000,ROW(),$S$5:$S$1000,"Sub"),"")</f>
        <v/>
      </c>
    </row>
    <row r="269">
      <c r="A269" s="62">
        <f>IF(NOT((COUNTA($B269:$J269)+COUNTA($N269))&gt;0),"",IF($S269="Macro",COUNTIFS($S$5:$S269,"Macro",$P$5:$P269,$P269),IF(N($R269)=0,"?",COUNTIFS(INDEX($S$5:$S$1000,1):INDEX($S$5:$S$1000,$R269-4),"Macro",INDEX($P$5:$P$1000,1):INDEX($P$5:$P$1000,$R269-4),INDEX($P$5:$P$1000,$R269-4))&amp;"."&amp;COUNTIFS($R$5:$R269,$R269,$S$5:$S269,"Sub"))))</f>
        <v/>
      </c>
      <c r="B269" s="63" t="n"/>
      <c r="C269" s="64" t="n"/>
      <c r="D269" s="65" t="n"/>
      <c r="E269" s="65" t="n"/>
      <c r="F269" s="66" t="n"/>
      <c r="G269" s="67" t="n"/>
      <c r="H269" s="67" t="n"/>
      <c r="I269" s="67" t="n"/>
      <c r="J269" s="67" t="n"/>
      <c r="K269" s="68">
        <f>IF(NOT((COUNTA($B269:$J269)+COUNTA($N269))&gt;0),"",IF(N($T269)&gt;0,$AB269,IFERROR(LOOKUP(2,1/(G269:J269&lt;&gt;""),G269:J269),0)))</f>
        <v/>
      </c>
      <c r="L269" s="62">
        <f>IF(K269="","",IF(K269&gt;=1,"Completado",IF(K269&gt;0,"En curso","Pendiente")))</f>
        <v/>
      </c>
      <c r="M269" s="62">
        <f>IF(NOT((COUNTA($B269:$J269)+COUNTA($N269))&gt;0),"",IF(N($K269)&gt;=1,"Cumplida",IF(NOT(ISNUMBER($E269)),"Sin fecha límite",IF($E269&lt;FechaRef,"Vencida hace "&amp;(FechaRef-$E269)&amp;IF(FechaRef-$E269=1," día"," días"),IF($E269=FechaRef,"Vence hoy",IF($E269-FechaRef&lt;=DiasAlerta,"Vence en "&amp;($E269-FechaRef)&amp;IF($E269-FechaRef=1," día"," días"),"En plazo"))))))</f>
        <v/>
      </c>
      <c r="N269" s="64" t="n"/>
      <c r="O269" s="69">
        <f>IF(NOT((COUNTA($B269:$J269)+COUNTA($N269))&gt;0),"",IF((IF($C269="","Falta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",""))="","✔ OK","⚠ "&amp;LEFT(IF($C269="","Falta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",""),LEN(IF($C269="","Falta el nombre de la actividad"&amp;" · ","")&amp;IF(AND($S269="Sub",N($R269)=0),"Subactividad sin macroactividad arriba"&amp;" · ","")&amp;IF($D269="","Sin fecha de inicio"&amp;" · ","")&amp;IF($E269="","Sin fecha límite"&amp;" · ","")&amp;IF(OR(AND($D269&lt;&gt;"",NOT(ISNUMBER($D269))),AND($E269&lt;&gt;"",NOT(ISNUMBER($E269)))),"Fecha no válida"&amp;" · ","")&amp;IF(AND(ISNUMBER($D269),ISNUMBER($E269),$D269&gt;$E269),"Inicio posterior a fecha límite"&amp;" · ","")&amp;IF(AND($S269="Macro",$F269=""),"Peso vacío"&amp;" · ","")&amp;IF(AND($S269="Macro",$F269&lt;&gt;"",OR(NOT(ISNUMBER($F269)),$F269&lt;=0,$F269&gt;1)),"Peso fuera de rango"&amp;" · ","")&amp;IF(AND($S269="Sub",$F269&lt;&gt;"",OR(NOT(ISNUMBER($F269)),$F269&lt;0,$F269&gt;1)),"Peso fuera de rango"&amp;" · ","")&amp;IF(AND($S269="Sub",$F269="",IFERROR(N(INDEX($AG$5:$AG$1000,$R269-4)),0)&gt;0),"Falta el peso de la subactividad"&amp;" · ","")&amp;IF(AND(N($T269)&gt;0,N($AG269)&gt;0,ABS(N($AG269)-N($F269))&gt;0.0001),"Pesos de sus subactividades suman "&amp;TEXT(N($AG269),"0%")&amp;" (deben sumar "&amp;TEXT(N($F269),"0%")&amp;")"&amp;" · ","")&amp;IF(AND($S269="Macro",ABS(SUMIFS($F$5:$F$1000,$P$5:$P$1000,$P269,$S$5:$S$1000,"Macro")-1)&gt;0.0001),"Pesos del mes suman "&amp;TEXT(SUMIFS($F$5:$F$1000,$P$5:$P$1000,$P269,$S$5:$S$1000,"Macro"),"0%")&amp;" · ","")&amp;IF(AND(N($T269)&gt;0,COUNT($G269:$J269)&gt;0),"Con subactividades: deje vacías las semanas (se calculan solas)"&amp;" · ","")&amp;IF((COUNTIF($G269:$J269,"&gt;1")+COUNTIF($G269:$J269,"&lt;0")+COUNTA($G269:$J269)-COUNT($G269:$J269))&gt;0,"Avance fuera de rango 0-100%"&amp;" · ","")&amp;IF(OR(AND($H269&lt;&gt;"",$H269&lt;$G269),AND($I269&lt;&gt;"",$I269&lt;MAX($G269:$H269)),AND($J269&lt;&gt;"",$J269&lt;MAX($G269:$I269))),"Avance semanal decreciente"&amp;" · ","")&amp;IF(AND(ISNUMBER($E269),$E269&lt;FechaRef,N($K269)&lt;1),"Vencida"&amp;" · ","")&amp;IF(AND(ObsObligatoria="Sí",ISNUMBER($E269),$E269&lt;FechaRef,N($K269)&lt;1,$N269=""),"Vencida sin observación"&amp;" · ",""))-3)))</f>
        <v/>
      </c>
      <c r="P269" s="70">
        <f>IF(NOT((COUNTA($B269:$J269)+COUNTA($N269))&gt;0),"",IF(AND($S269="Sub",N($R269)&gt;0),IF(ISNUMBER(INDEX($D$5:$D$1000,$R269-4)),DATE(YEAR(INDEX($D$5:$D$1000,$R269-4)),MONTH(INDEX($D$5:$D$1000,$R269-4)),1),IF(ISNUMBER(INDEX($E$5:$E$1000,$R269-4)),DATE(YEAR(INDEX($E$5:$E$1000,$R269-4)),MONTH(INDEX($E$5:$E$1000,$R269-4)),1),MesCiclo)),IF(ISNUMBER($D269),DATE(YEAR($D269),MONTH($D269),1),IF(ISNUMBER($E269),DATE(YEAR($E269),MONTH($E269),1),MesCiclo))))</f>
        <v/>
      </c>
      <c r="Q269" s="71">
        <f>IF(OR($P269="",$P269&lt;&gt;MesCiclo),"",COUNTIF($P$5:$P269,MesCiclo))</f>
        <v/>
      </c>
      <c r="R269" s="71">
        <f>IF($S269="","",IF($S269="Macro",ROW(),IFERROR(LOOKUP(2,1/($S$5:$S269="Macro"),ROW($S$5:$S269)),0)))</f>
        <v/>
      </c>
      <c r="S269" s="71">
        <f>IF(NOT((COUNTA($B269:$J269)+COUNTA($N269))&gt;0),"",IF($B269="Subactividad","Sub","Macro"))</f>
        <v/>
      </c>
      <c r="T269" s="71">
        <f>IF($S269="Macro",COUNTIFS($R$5:$R$1000,ROW(),$S$5:$S$1000,"Sub"),"")</f>
        <v/>
      </c>
      <c r="U269" s="71">
        <f>IF($S269="","",IF(ISNUMBER($G269),$G269,0))</f>
        <v/>
      </c>
      <c r="V269" s="71">
        <f>IF($S269="","",IF(ISNUMBER($H269),$H269,$U269))</f>
        <v/>
      </c>
      <c r="W269" s="71">
        <f>IF($S269="","",IF(ISNUMBER($I269),$I269,$V269))</f>
        <v/>
      </c>
      <c r="X269" s="71">
        <f>IF($S269="","",IF(ISNUMBER($J269),$J269,$W269))</f>
        <v/>
      </c>
      <c r="Y269" s="71">
        <f>IF($S269="","",IF(N($T269)&gt;0,IF(N($AG269)&gt;0,SUMIFS($AC$5:$AC$1000,$R$5:$R$1000,ROW(),$S$5:$S$1000,"Sub")/$AG269,AVERAGEIFS($U$5:$U$1000,$R$5:$R$1000,ROW(),$S$5:$S$1000,"Sub")),$U269))</f>
        <v/>
      </c>
      <c r="Z269" s="71">
        <f>IF($S269="","",IF(N($T269)&gt;0,IF(N($AG269)&gt;0,SUMIFS($AD$5:$AD$1000,$R$5:$R$1000,ROW(),$S$5:$S$1000,"Sub")/$AG269,AVERAGEIFS($V$5:$V$1000,$R$5:$R$1000,ROW(),$S$5:$S$1000,"Sub")),$V269))</f>
        <v/>
      </c>
      <c r="AA269" s="71">
        <f>IF($S269="","",IF(N($T269)&gt;0,IF(N($AG269)&gt;0,SUMIFS($AE$5:$AE$1000,$R$5:$R$1000,ROW(),$S$5:$S$1000,"Sub")/$AG269,AVERAGEIFS($W$5:$W$1000,$R$5:$R$1000,ROW(),$S$5:$S$1000,"Sub")),$W269))</f>
        <v/>
      </c>
      <c r="AB269" s="71">
        <f>IF($S269="","",IF(N($T269)&gt;0,IF(N($AG269)&gt;0,SUMIFS($AF$5:$AF$1000,$R$5:$R$1000,ROW(),$S$5:$S$1000,"Sub")/$AG269,AVERAGEIFS($X$5:$X$1000,$R$5:$R$1000,ROW(),$S$5:$S$1000,"Sub")),$X269))</f>
        <v/>
      </c>
      <c r="AC269" s="71">
        <f>IF($S269="Sub",N($F269)*N($U269),"")</f>
        <v/>
      </c>
      <c r="AD269" s="71">
        <f>IF($S269="Sub",N($F269)*N($V269),"")</f>
        <v/>
      </c>
      <c r="AE269" s="71">
        <f>IF($S269="Sub",N($F269)*N($W269),"")</f>
        <v/>
      </c>
      <c r="AF269" s="71">
        <f>IF($S269="Sub",N($F269)*N($X269),"")</f>
        <v/>
      </c>
      <c r="AG269" s="71">
        <f>IF(N($T269)&gt;0,SUMIFS($F$5:$F$1000,$R$5:$R$1000,ROW(),$S$5:$S$1000,"Sub"),"")</f>
        <v/>
      </c>
    </row>
    <row r="270">
      <c r="A270" s="62">
        <f>IF(NOT((COUNTA($B270:$J270)+COUNTA($N270))&gt;0),"",IF($S270="Macro",COUNTIFS($S$5:$S270,"Macro",$P$5:$P270,$P270),IF(N($R270)=0,"?",COUNTIFS(INDEX($S$5:$S$1000,1):INDEX($S$5:$S$1000,$R270-4),"Macro",INDEX($P$5:$P$1000,1):INDEX($P$5:$P$1000,$R270-4),INDEX($P$5:$P$1000,$R270-4))&amp;"."&amp;COUNTIFS($R$5:$R270,$R270,$S$5:$S270,"Sub"))))</f>
        <v/>
      </c>
      <c r="B270" s="63" t="n"/>
      <c r="C270" s="64" t="n"/>
      <c r="D270" s="65" t="n"/>
      <c r="E270" s="65" t="n"/>
      <c r="F270" s="66" t="n"/>
      <c r="G270" s="67" t="n"/>
      <c r="H270" s="67" t="n"/>
      <c r="I270" s="67" t="n"/>
      <c r="J270" s="67" t="n"/>
      <c r="K270" s="68">
        <f>IF(NOT((COUNTA($B270:$J270)+COUNTA($N270))&gt;0),"",IF(N($T270)&gt;0,$AB270,IFERROR(LOOKUP(2,1/(G270:J270&lt;&gt;""),G270:J270),0)))</f>
        <v/>
      </c>
      <c r="L270" s="62">
        <f>IF(K270="","",IF(K270&gt;=1,"Completado",IF(K270&gt;0,"En curso","Pendiente")))</f>
        <v/>
      </c>
      <c r="M270" s="62">
        <f>IF(NOT((COUNTA($B270:$J270)+COUNTA($N270))&gt;0),"",IF(N($K270)&gt;=1,"Cumplida",IF(NOT(ISNUMBER($E270)),"Sin fecha límite",IF($E270&lt;FechaRef,"Vencida hace "&amp;(FechaRef-$E270)&amp;IF(FechaRef-$E270=1," día"," días"),IF($E270=FechaRef,"Vence hoy",IF($E270-FechaRef&lt;=DiasAlerta,"Vence en "&amp;($E270-FechaRef)&amp;IF($E270-FechaRef=1," día"," días"),"En plazo"))))))</f>
        <v/>
      </c>
      <c r="N270" s="64" t="n"/>
      <c r="O270" s="69">
        <f>IF(NOT((COUNTA($B270:$J270)+COUNTA($N270))&gt;0),"",IF((IF($C270="","Falta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",""))="","✔ OK","⚠ "&amp;LEFT(IF($C270="","Falta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",""),LEN(IF($C270="","Falta el nombre de la actividad"&amp;" · ","")&amp;IF(AND($S270="Sub",N($R270)=0),"Subactividad sin macroactividad arriba"&amp;" · ","")&amp;IF($D270="","Sin fecha de inicio"&amp;" · ","")&amp;IF($E270="","Sin fecha límite"&amp;" · ","")&amp;IF(OR(AND($D270&lt;&gt;"",NOT(ISNUMBER($D270))),AND($E270&lt;&gt;"",NOT(ISNUMBER($E270)))),"Fecha no válida"&amp;" · ","")&amp;IF(AND(ISNUMBER($D270),ISNUMBER($E270),$D270&gt;$E270),"Inicio posterior a fecha límite"&amp;" · ","")&amp;IF(AND($S270="Macro",$F270=""),"Peso vacío"&amp;" · ","")&amp;IF(AND($S270="Macro",$F270&lt;&gt;"",OR(NOT(ISNUMBER($F270)),$F270&lt;=0,$F270&gt;1)),"Peso fuera de rango"&amp;" · ","")&amp;IF(AND($S270="Sub",$F270&lt;&gt;"",OR(NOT(ISNUMBER($F270)),$F270&lt;0,$F270&gt;1)),"Peso fuera de rango"&amp;" · ","")&amp;IF(AND($S270="Sub",$F270="",IFERROR(N(INDEX($AG$5:$AG$1000,$R270-4)),0)&gt;0),"Falta el peso de la subactividad"&amp;" · ","")&amp;IF(AND(N($T270)&gt;0,N($AG270)&gt;0,ABS(N($AG270)-N($F270))&gt;0.0001),"Pesos de sus subactividades suman "&amp;TEXT(N($AG270),"0%")&amp;" (deben sumar "&amp;TEXT(N($F270),"0%")&amp;")"&amp;" · ","")&amp;IF(AND($S270="Macro",ABS(SUMIFS($F$5:$F$1000,$P$5:$P$1000,$P270,$S$5:$S$1000,"Macro")-1)&gt;0.0001),"Pesos del mes suman "&amp;TEXT(SUMIFS($F$5:$F$1000,$P$5:$P$1000,$P270,$S$5:$S$1000,"Macro"),"0%")&amp;" · ","")&amp;IF(AND(N($T270)&gt;0,COUNT($G270:$J270)&gt;0),"Con subactividades: deje vacías las semanas (se calculan solas)"&amp;" · ","")&amp;IF((COUNTIF($G270:$J270,"&gt;1")+COUNTIF($G270:$J270,"&lt;0")+COUNTA($G270:$J270)-COUNT($G270:$J270))&gt;0,"Avance fuera de rango 0-100%"&amp;" · ","")&amp;IF(OR(AND($H270&lt;&gt;"",$H270&lt;$G270),AND($I270&lt;&gt;"",$I270&lt;MAX($G270:$H270)),AND($J270&lt;&gt;"",$J270&lt;MAX($G270:$I270))),"Avance semanal decreciente"&amp;" · ","")&amp;IF(AND(ISNUMBER($E270),$E270&lt;FechaRef,N($K270)&lt;1),"Vencida"&amp;" · ","")&amp;IF(AND(ObsObligatoria="Sí",ISNUMBER($E270),$E270&lt;FechaRef,N($K270)&lt;1,$N270=""),"Vencida sin observación"&amp;" · ",""))-3)))</f>
        <v/>
      </c>
      <c r="P270" s="70">
        <f>IF(NOT((COUNTA($B270:$J270)+COUNTA($N270))&gt;0),"",IF(AND($S270="Sub",N($R270)&gt;0),IF(ISNUMBER(INDEX($D$5:$D$1000,$R270-4)),DATE(YEAR(INDEX($D$5:$D$1000,$R270-4)),MONTH(INDEX($D$5:$D$1000,$R270-4)),1),IF(ISNUMBER(INDEX($E$5:$E$1000,$R270-4)),DATE(YEAR(INDEX($E$5:$E$1000,$R270-4)),MONTH(INDEX($E$5:$E$1000,$R270-4)),1),MesCiclo)),IF(ISNUMBER($D270),DATE(YEAR($D270),MONTH($D270),1),IF(ISNUMBER($E270),DATE(YEAR($E270),MONTH($E270),1),MesCiclo))))</f>
        <v/>
      </c>
      <c r="Q270" s="71">
        <f>IF(OR($P270="",$P270&lt;&gt;MesCiclo),"",COUNTIF($P$5:$P270,MesCiclo))</f>
        <v/>
      </c>
      <c r="R270" s="71">
        <f>IF($S270="","",IF($S270="Macro",ROW(),IFERROR(LOOKUP(2,1/($S$5:$S270="Macro"),ROW($S$5:$S270)),0)))</f>
        <v/>
      </c>
      <c r="S270" s="71">
        <f>IF(NOT((COUNTA($B270:$J270)+COUNTA($N270))&gt;0),"",IF($B270="Subactividad","Sub","Macro"))</f>
        <v/>
      </c>
      <c r="T270" s="71">
        <f>IF($S270="Macro",COUNTIFS($R$5:$R$1000,ROW(),$S$5:$S$1000,"Sub"),"")</f>
        <v/>
      </c>
      <c r="U270" s="71">
        <f>IF($S270="","",IF(ISNUMBER($G270),$G270,0))</f>
        <v/>
      </c>
      <c r="V270" s="71">
        <f>IF($S270="","",IF(ISNUMBER($H270),$H270,$U270))</f>
        <v/>
      </c>
      <c r="W270" s="71">
        <f>IF($S270="","",IF(ISNUMBER($I270),$I270,$V270))</f>
        <v/>
      </c>
      <c r="X270" s="71">
        <f>IF($S270="","",IF(ISNUMBER($J270),$J270,$W270))</f>
        <v/>
      </c>
      <c r="Y270" s="71">
        <f>IF($S270="","",IF(N($T270)&gt;0,IF(N($AG270)&gt;0,SUMIFS($AC$5:$AC$1000,$R$5:$R$1000,ROW(),$S$5:$S$1000,"Sub")/$AG270,AVERAGEIFS($U$5:$U$1000,$R$5:$R$1000,ROW(),$S$5:$S$1000,"Sub")),$U270))</f>
        <v/>
      </c>
      <c r="Z270" s="71">
        <f>IF($S270="","",IF(N($T270)&gt;0,IF(N($AG270)&gt;0,SUMIFS($AD$5:$AD$1000,$R$5:$R$1000,ROW(),$S$5:$S$1000,"Sub")/$AG270,AVERAGEIFS($V$5:$V$1000,$R$5:$R$1000,ROW(),$S$5:$S$1000,"Sub")),$V270))</f>
        <v/>
      </c>
      <c r="AA270" s="71">
        <f>IF($S270="","",IF(N($T270)&gt;0,IF(N($AG270)&gt;0,SUMIFS($AE$5:$AE$1000,$R$5:$R$1000,ROW(),$S$5:$S$1000,"Sub")/$AG270,AVERAGEIFS($W$5:$W$1000,$R$5:$R$1000,ROW(),$S$5:$S$1000,"Sub")),$W270))</f>
        <v/>
      </c>
      <c r="AB270" s="71">
        <f>IF($S270="","",IF(N($T270)&gt;0,IF(N($AG270)&gt;0,SUMIFS($AF$5:$AF$1000,$R$5:$R$1000,ROW(),$S$5:$S$1000,"Sub")/$AG270,AVERAGEIFS($X$5:$X$1000,$R$5:$R$1000,ROW(),$S$5:$S$1000,"Sub")),$X270))</f>
        <v/>
      </c>
      <c r="AC270" s="71">
        <f>IF($S270="Sub",N($F270)*N($U270),"")</f>
        <v/>
      </c>
      <c r="AD270" s="71">
        <f>IF($S270="Sub",N($F270)*N($V270),"")</f>
        <v/>
      </c>
      <c r="AE270" s="71">
        <f>IF($S270="Sub",N($F270)*N($W270),"")</f>
        <v/>
      </c>
      <c r="AF270" s="71">
        <f>IF($S270="Sub",N($F270)*N($X270),"")</f>
        <v/>
      </c>
      <c r="AG270" s="71">
        <f>IF(N($T270)&gt;0,SUMIFS($F$5:$F$1000,$R$5:$R$1000,ROW(),$S$5:$S$1000,"Sub"),"")</f>
        <v/>
      </c>
    </row>
    <row r="271">
      <c r="A271" s="62">
        <f>IF(NOT((COUNTA($B271:$J271)+COUNTA($N271))&gt;0),"",IF($S271="Macro",COUNTIFS($S$5:$S271,"Macro",$P$5:$P271,$P271),IF(N($R271)=0,"?",COUNTIFS(INDEX($S$5:$S$1000,1):INDEX($S$5:$S$1000,$R271-4),"Macro",INDEX($P$5:$P$1000,1):INDEX($P$5:$P$1000,$R271-4),INDEX($P$5:$P$1000,$R271-4))&amp;"."&amp;COUNTIFS($R$5:$R271,$R271,$S$5:$S271,"Sub"))))</f>
        <v/>
      </c>
      <c r="B271" s="63" t="n"/>
      <c r="C271" s="64" t="n"/>
      <c r="D271" s="65" t="n"/>
      <c r="E271" s="65" t="n"/>
      <c r="F271" s="66" t="n"/>
      <c r="G271" s="67" t="n"/>
      <c r="H271" s="67" t="n"/>
      <c r="I271" s="67" t="n"/>
      <c r="J271" s="67" t="n"/>
      <c r="K271" s="68">
        <f>IF(NOT((COUNTA($B271:$J271)+COUNTA($N271))&gt;0),"",IF(N($T271)&gt;0,$AB271,IFERROR(LOOKUP(2,1/(G271:J271&lt;&gt;""),G271:J271),0)))</f>
        <v/>
      </c>
      <c r="L271" s="62">
        <f>IF(K271="","",IF(K271&gt;=1,"Completado",IF(K271&gt;0,"En curso","Pendiente")))</f>
        <v/>
      </c>
      <c r="M271" s="62">
        <f>IF(NOT((COUNTA($B271:$J271)+COUNTA($N271))&gt;0),"",IF(N($K271)&gt;=1,"Cumplida",IF(NOT(ISNUMBER($E271)),"Sin fecha límite",IF($E271&lt;FechaRef,"Vencida hace "&amp;(FechaRef-$E271)&amp;IF(FechaRef-$E271=1," día"," días"),IF($E271=FechaRef,"Vence hoy",IF($E271-FechaRef&lt;=DiasAlerta,"Vence en "&amp;($E271-FechaRef)&amp;IF($E271-FechaRef=1," día"," días"),"En plazo"))))))</f>
        <v/>
      </c>
      <c r="N271" s="64" t="n"/>
      <c r="O271" s="69">
        <f>IF(NOT((COUNTA($B271:$J271)+COUNTA($N271))&gt;0),"",IF((IF($C271="","Falta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",""))="","✔ OK","⚠ "&amp;LEFT(IF($C271="","Falta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",""),LEN(IF($C271="","Falta el nombre de la actividad"&amp;" · ","")&amp;IF(AND($S271="Sub",N($R271)=0),"Subactividad sin macroactividad arriba"&amp;" · ","")&amp;IF($D271="","Sin fecha de inicio"&amp;" · ","")&amp;IF($E271="","Sin fecha límite"&amp;" · ","")&amp;IF(OR(AND($D271&lt;&gt;"",NOT(ISNUMBER($D271))),AND($E271&lt;&gt;"",NOT(ISNUMBER($E271)))),"Fecha no válida"&amp;" · ","")&amp;IF(AND(ISNUMBER($D271),ISNUMBER($E271),$D271&gt;$E271),"Inicio posterior a fecha límite"&amp;" · ","")&amp;IF(AND($S271="Macro",$F271=""),"Peso vacío"&amp;" · ","")&amp;IF(AND($S271="Macro",$F271&lt;&gt;"",OR(NOT(ISNUMBER($F271)),$F271&lt;=0,$F271&gt;1)),"Peso fuera de rango"&amp;" · ","")&amp;IF(AND($S271="Sub",$F271&lt;&gt;"",OR(NOT(ISNUMBER($F271)),$F271&lt;0,$F271&gt;1)),"Peso fuera de rango"&amp;" · ","")&amp;IF(AND($S271="Sub",$F271="",IFERROR(N(INDEX($AG$5:$AG$1000,$R271-4)),0)&gt;0),"Falta el peso de la subactividad"&amp;" · ","")&amp;IF(AND(N($T271)&gt;0,N($AG271)&gt;0,ABS(N($AG271)-N($F271))&gt;0.0001),"Pesos de sus subactividades suman "&amp;TEXT(N($AG271),"0%")&amp;" (deben sumar "&amp;TEXT(N($F271),"0%")&amp;")"&amp;" · ","")&amp;IF(AND($S271="Macro",ABS(SUMIFS($F$5:$F$1000,$P$5:$P$1000,$P271,$S$5:$S$1000,"Macro")-1)&gt;0.0001),"Pesos del mes suman "&amp;TEXT(SUMIFS($F$5:$F$1000,$P$5:$P$1000,$P271,$S$5:$S$1000,"Macro"),"0%")&amp;" · ","")&amp;IF(AND(N($T271)&gt;0,COUNT($G271:$J271)&gt;0),"Con subactividades: deje vacías las semanas (se calculan solas)"&amp;" · ","")&amp;IF((COUNTIF($G271:$J271,"&gt;1")+COUNTIF($G271:$J271,"&lt;0")+COUNTA($G271:$J271)-COUNT($G271:$J271))&gt;0,"Avance fuera de rango 0-100%"&amp;" · ","")&amp;IF(OR(AND($H271&lt;&gt;"",$H271&lt;$G271),AND($I271&lt;&gt;"",$I271&lt;MAX($G271:$H271)),AND($J271&lt;&gt;"",$J271&lt;MAX($G271:$I271))),"Avance semanal decreciente"&amp;" · ","")&amp;IF(AND(ISNUMBER($E271),$E271&lt;FechaRef,N($K271)&lt;1),"Vencida"&amp;" · ","")&amp;IF(AND(ObsObligatoria="Sí",ISNUMBER($E271),$E271&lt;FechaRef,N($K271)&lt;1,$N271=""),"Vencida sin observación"&amp;" · ",""))-3)))</f>
        <v/>
      </c>
      <c r="P271" s="70">
        <f>IF(NOT((COUNTA($B271:$J271)+COUNTA($N271))&gt;0),"",IF(AND($S271="Sub",N($R271)&gt;0),IF(ISNUMBER(INDEX($D$5:$D$1000,$R271-4)),DATE(YEAR(INDEX($D$5:$D$1000,$R271-4)),MONTH(INDEX($D$5:$D$1000,$R271-4)),1),IF(ISNUMBER(INDEX($E$5:$E$1000,$R271-4)),DATE(YEAR(INDEX($E$5:$E$1000,$R271-4)),MONTH(INDEX($E$5:$E$1000,$R271-4)),1),MesCiclo)),IF(ISNUMBER($D271),DATE(YEAR($D271),MONTH($D271),1),IF(ISNUMBER($E271),DATE(YEAR($E271),MONTH($E271),1),MesCiclo))))</f>
        <v/>
      </c>
      <c r="Q271" s="71">
        <f>IF(OR($P271="",$P271&lt;&gt;MesCiclo),"",COUNTIF($P$5:$P271,MesCiclo))</f>
        <v/>
      </c>
      <c r="R271" s="71">
        <f>IF($S271="","",IF($S271="Macro",ROW(),IFERROR(LOOKUP(2,1/($S$5:$S271="Macro"),ROW($S$5:$S271)),0)))</f>
        <v/>
      </c>
      <c r="S271" s="71">
        <f>IF(NOT((COUNTA($B271:$J271)+COUNTA($N271))&gt;0),"",IF($B271="Subactividad","Sub","Macro"))</f>
        <v/>
      </c>
      <c r="T271" s="71">
        <f>IF($S271="Macro",COUNTIFS($R$5:$R$1000,ROW(),$S$5:$S$1000,"Sub"),"")</f>
        <v/>
      </c>
      <c r="U271" s="71">
        <f>IF($S271="","",IF(ISNUMBER($G271),$G271,0))</f>
        <v/>
      </c>
      <c r="V271" s="71">
        <f>IF($S271="","",IF(ISNUMBER($H271),$H271,$U271))</f>
        <v/>
      </c>
      <c r="W271" s="71">
        <f>IF($S271="","",IF(ISNUMBER($I271),$I271,$V271))</f>
        <v/>
      </c>
      <c r="X271" s="71">
        <f>IF($S271="","",IF(ISNUMBER($J271),$J271,$W271))</f>
        <v/>
      </c>
      <c r="Y271" s="71">
        <f>IF($S271="","",IF(N($T271)&gt;0,IF(N($AG271)&gt;0,SUMIFS($AC$5:$AC$1000,$R$5:$R$1000,ROW(),$S$5:$S$1000,"Sub")/$AG271,AVERAGEIFS($U$5:$U$1000,$R$5:$R$1000,ROW(),$S$5:$S$1000,"Sub")),$U271))</f>
        <v/>
      </c>
      <c r="Z271" s="71">
        <f>IF($S271="","",IF(N($T271)&gt;0,IF(N($AG271)&gt;0,SUMIFS($AD$5:$AD$1000,$R$5:$R$1000,ROW(),$S$5:$S$1000,"Sub")/$AG271,AVERAGEIFS($V$5:$V$1000,$R$5:$R$1000,ROW(),$S$5:$S$1000,"Sub")),$V271))</f>
        <v/>
      </c>
      <c r="AA271" s="71">
        <f>IF($S271="","",IF(N($T271)&gt;0,IF(N($AG271)&gt;0,SUMIFS($AE$5:$AE$1000,$R$5:$R$1000,ROW(),$S$5:$S$1000,"Sub")/$AG271,AVERAGEIFS($W$5:$W$1000,$R$5:$R$1000,ROW(),$S$5:$S$1000,"Sub")),$W271))</f>
        <v/>
      </c>
      <c r="AB271" s="71">
        <f>IF($S271="","",IF(N($T271)&gt;0,IF(N($AG271)&gt;0,SUMIFS($AF$5:$AF$1000,$R$5:$R$1000,ROW(),$S$5:$S$1000,"Sub")/$AG271,AVERAGEIFS($X$5:$X$1000,$R$5:$R$1000,ROW(),$S$5:$S$1000,"Sub")),$X271))</f>
        <v/>
      </c>
      <c r="AC271" s="71">
        <f>IF($S271="Sub",N($F271)*N($U271),"")</f>
        <v/>
      </c>
      <c r="AD271" s="71">
        <f>IF($S271="Sub",N($F271)*N($V271),"")</f>
        <v/>
      </c>
      <c r="AE271" s="71">
        <f>IF($S271="Sub",N($F271)*N($W271),"")</f>
        <v/>
      </c>
      <c r="AF271" s="71">
        <f>IF($S271="Sub",N($F271)*N($X271),"")</f>
        <v/>
      </c>
      <c r="AG271" s="71">
        <f>IF(N($T271)&gt;0,SUMIFS($F$5:$F$1000,$R$5:$R$1000,ROW(),$S$5:$S$1000,"Sub"),"")</f>
        <v/>
      </c>
    </row>
    <row r="272">
      <c r="A272" s="62">
        <f>IF(NOT((COUNTA($B272:$J272)+COUNTA($N272))&gt;0),"",IF($S272="Macro",COUNTIFS($S$5:$S272,"Macro",$P$5:$P272,$P272),IF(N($R272)=0,"?",COUNTIFS(INDEX($S$5:$S$1000,1):INDEX($S$5:$S$1000,$R272-4),"Macro",INDEX($P$5:$P$1000,1):INDEX($P$5:$P$1000,$R272-4),INDEX($P$5:$P$1000,$R272-4))&amp;"."&amp;COUNTIFS($R$5:$R272,$R272,$S$5:$S272,"Sub"))))</f>
        <v/>
      </c>
      <c r="B272" s="63" t="n"/>
      <c r="C272" s="64" t="n"/>
      <c r="D272" s="65" t="n"/>
      <c r="E272" s="65" t="n"/>
      <c r="F272" s="66" t="n"/>
      <c r="G272" s="67" t="n"/>
      <c r="H272" s="67" t="n"/>
      <c r="I272" s="67" t="n"/>
      <c r="J272" s="67" t="n"/>
      <c r="K272" s="68">
        <f>IF(NOT((COUNTA($B272:$J272)+COUNTA($N272))&gt;0),"",IF(N($T272)&gt;0,$AB272,IFERROR(LOOKUP(2,1/(G272:J272&lt;&gt;""),G272:J272),0)))</f>
        <v/>
      </c>
      <c r="L272" s="62">
        <f>IF(K272="","",IF(K272&gt;=1,"Completado",IF(K272&gt;0,"En curso","Pendiente")))</f>
        <v/>
      </c>
      <c r="M272" s="62">
        <f>IF(NOT((COUNTA($B272:$J272)+COUNTA($N272))&gt;0),"",IF(N($K272)&gt;=1,"Cumplida",IF(NOT(ISNUMBER($E272)),"Sin fecha límite",IF($E272&lt;FechaRef,"Vencida hace "&amp;(FechaRef-$E272)&amp;IF(FechaRef-$E272=1," día"," días"),IF($E272=FechaRef,"Vence hoy",IF($E272-FechaRef&lt;=DiasAlerta,"Vence en "&amp;($E272-FechaRef)&amp;IF($E272-FechaRef=1," día"," días"),"En plazo"))))))</f>
        <v/>
      </c>
      <c r="N272" s="64" t="n"/>
      <c r="O272" s="69">
        <f>IF(NOT((COUNTA($B272:$J272)+COUNTA($N272))&gt;0),"",IF((IF($C272="","Falta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",""))="","✔ OK","⚠ "&amp;LEFT(IF($C272="","Falta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",""),LEN(IF($C272="","Falta el nombre de la actividad"&amp;" · ","")&amp;IF(AND($S272="Sub",N($R272)=0),"Subactividad sin macroactividad arriba"&amp;" · ","")&amp;IF($D272="","Sin fecha de inicio"&amp;" · ","")&amp;IF($E272="","Sin fecha límite"&amp;" · ","")&amp;IF(OR(AND($D272&lt;&gt;"",NOT(ISNUMBER($D272))),AND($E272&lt;&gt;"",NOT(ISNUMBER($E272)))),"Fecha no válida"&amp;" · ","")&amp;IF(AND(ISNUMBER($D272),ISNUMBER($E272),$D272&gt;$E272),"Inicio posterior a fecha límite"&amp;" · ","")&amp;IF(AND($S272="Macro",$F272=""),"Peso vacío"&amp;" · ","")&amp;IF(AND($S272="Macro",$F272&lt;&gt;"",OR(NOT(ISNUMBER($F272)),$F272&lt;=0,$F272&gt;1)),"Peso fuera de rango"&amp;" · ","")&amp;IF(AND($S272="Sub",$F272&lt;&gt;"",OR(NOT(ISNUMBER($F272)),$F272&lt;0,$F272&gt;1)),"Peso fuera de rango"&amp;" · ","")&amp;IF(AND($S272="Sub",$F272="",IFERROR(N(INDEX($AG$5:$AG$1000,$R272-4)),0)&gt;0),"Falta el peso de la subactividad"&amp;" · ","")&amp;IF(AND(N($T272)&gt;0,N($AG272)&gt;0,ABS(N($AG272)-N($F272))&gt;0.0001),"Pesos de sus subactividades suman "&amp;TEXT(N($AG272),"0%")&amp;" (deben sumar "&amp;TEXT(N($F272),"0%")&amp;")"&amp;" · ","")&amp;IF(AND($S272="Macro",ABS(SUMIFS($F$5:$F$1000,$P$5:$P$1000,$P272,$S$5:$S$1000,"Macro")-1)&gt;0.0001),"Pesos del mes suman "&amp;TEXT(SUMIFS($F$5:$F$1000,$P$5:$P$1000,$P272,$S$5:$S$1000,"Macro"),"0%")&amp;" · ","")&amp;IF(AND(N($T272)&gt;0,COUNT($G272:$J272)&gt;0),"Con subactividades: deje vacías las semanas (se calculan solas)"&amp;" · ","")&amp;IF((COUNTIF($G272:$J272,"&gt;1")+COUNTIF($G272:$J272,"&lt;0")+COUNTA($G272:$J272)-COUNT($G272:$J272))&gt;0,"Avance fuera de rango 0-100%"&amp;" · ","")&amp;IF(OR(AND($H272&lt;&gt;"",$H272&lt;$G272),AND($I272&lt;&gt;"",$I272&lt;MAX($G272:$H272)),AND($J272&lt;&gt;"",$J272&lt;MAX($G272:$I272))),"Avance semanal decreciente"&amp;" · ","")&amp;IF(AND(ISNUMBER($E272),$E272&lt;FechaRef,N($K272)&lt;1),"Vencida"&amp;" · ","")&amp;IF(AND(ObsObligatoria="Sí",ISNUMBER($E272),$E272&lt;FechaRef,N($K272)&lt;1,$N272=""),"Vencida sin observación"&amp;" · ",""))-3)))</f>
        <v/>
      </c>
      <c r="P272" s="70">
        <f>IF(NOT((COUNTA($B272:$J272)+COUNTA($N272))&gt;0),"",IF(AND($S272="Sub",N($R272)&gt;0),IF(ISNUMBER(INDEX($D$5:$D$1000,$R272-4)),DATE(YEAR(INDEX($D$5:$D$1000,$R272-4)),MONTH(INDEX($D$5:$D$1000,$R272-4)),1),IF(ISNUMBER(INDEX($E$5:$E$1000,$R272-4)),DATE(YEAR(INDEX($E$5:$E$1000,$R272-4)),MONTH(INDEX($E$5:$E$1000,$R272-4)),1),MesCiclo)),IF(ISNUMBER($D272),DATE(YEAR($D272),MONTH($D272),1),IF(ISNUMBER($E272),DATE(YEAR($E272),MONTH($E272),1),MesCiclo))))</f>
        <v/>
      </c>
      <c r="Q272" s="71">
        <f>IF(OR($P272="",$P272&lt;&gt;MesCiclo),"",COUNTIF($P$5:$P272,MesCiclo))</f>
        <v/>
      </c>
      <c r="R272" s="71">
        <f>IF($S272="","",IF($S272="Macro",ROW(),IFERROR(LOOKUP(2,1/($S$5:$S272="Macro"),ROW($S$5:$S272)),0)))</f>
        <v/>
      </c>
      <c r="S272" s="71">
        <f>IF(NOT((COUNTA($B272:$J272)+COUNTA($N272))&gt;0),"",IF($B272="Subactividad","Sub","Macro"))</f>
        <v/>
      </c>
      <c r="T272" s="71">
        <f>IF($S272="Macro",COUNTIFS($R$5:$R$1000,ROW(),$S$5:$S$1000,"Sub"),"")</f>
        <v/>
      </c>
      <c r="U272" s="71">
        <f>IF($S272="","",IF(ISNUMBER($G272),$G272,0))</f>
        <v/>
      </c>
      <c r="V272" s="71">
        <f>IF($S272="","",IF(ISNUMBER($H272),$H272,$U272))</f>
        <v/>
      </c>
      <c r="W272" s="71">
        <f>IF($S272="","",IF(ISNUMBER($I272),$I272,$V272))</f>
        <v/>
      </c>
      <c r="X272" s="71">
        <f>IF($S272="","",IF(ISNUMBER($J272),$J272,$W272))</f>
        <v/>
      </c>
      <c r="Y272" s="71">
        <f>IF($S272="","",IF(N($T272)&gt;0,IF(N($AG272)&gt;0,SUMIFS($AC$5:$AC$1000,$R$5:$R$1000,ROW(),$S$5:$S$1000,"Sub")/$AG272,AVERAGEIFS($U$5:$U$1000,$R$5:$R$1000,ROW(),$S$5:$S$1000,"Sub")),$U272))</f>
        <v/>
      </c>
      <c r="Z272" s="71">
        <f>IF($S272="","",IF(N($T272)&gt;0,IF(N($AG272)&gt;0,SUMIFS($AD$5:$AD$1000,$R$5:$R$1000,ROW(),$S$5:$S$1000,"Sub")/$AG272,AVERAGEIFS($V$5:$V$1000,$R$5:$R$1000,ROW(),$S$5:$S$1000,"Sub")),$V272))</f>
        <v/>
      </c>
      <c r="AA272" s="71">
        <f>IF($S272="","",IF(N($T272)&gt;0,IF(N($AG272)&gt;0,SUMIFS($AE$5:$AE$1000,$R$5:$R$1000,ROW(),$S$5:$S$1000,"Sub")/$AG272,AVERAGEIFS($W$5:$W$1000,$R$5:$R$1000,ROW(),$S$5:$S$1000,"Sub")),$W272))</f>
        <v/>
      </c>
      <c r="AB272" s="71">
        <f>IF($S272="","",IF(N($T272)&gt;0,IF(N($AG272)&gt;0,SUMIFS($AF$5:$AF$1000,$R$5:$R$1000,ROW(),$S$5:$S$1000,"Sub")/$AG272,AVERAGEIFS($X$5:$X$1000,$R$5:$R$1000,ROW(),$S$5:$S$1000,"Sub")),$X272))</f>
        <v/>
      </c>
      <c r="AC272" s="71">
        <f>IF($S272="Sub",N($F272)*N($U272),"")</f>
        <v/>
      </c>
      <c r="AD272" s="71">
        <f>IF($S272="Sub",N($F272)*N($V272),"")</f>
        <v/>
      </c>
      <c r="AE272" s="71">
        <f>IF($S272="Sub",N($F272)*N($W272),"")</f>
        <v/>
      </c>
      <c r="AF272" s="71">
        <f>IF($S272="Sub",N($F272)*N($X272),"")</f>
        <v/>
      </c>
      <c r="AG272" s="71">
        <f>IF(N($T272)&gt;0,SUMIFS($F$5:$F$1000,$R$5:$R$1000,ROW(),$S$5:$S$1000,"Sub"),"")</f>
        <v/>
      </c>
    </row>
    <row r="273">
      <c r="A273" s="62">
        <f>IF(NOT((COUNTA($B273:$J273)+COUNTA($N273))&gt;0),"",IF($S273="Macro",COUNTIFS($S$5:$S273,"Macro",$P$5:$P273,$P273),IF(N($R273)=0,"?",COUNTIFS(INDEX($S$5:$S$1000,1):INDEX($S$5:$S$1000,$R273-4),"Macro",INDEX($P$5:$P$1000,1):INDEX($P$5:$P$1000,$R273-4),INDEX($P$5:$P$1000,$R273-4))&amp;"."&amp;COUNTIFS($R$5:$R273,$R273,$S$5:$S273,"Sub"))))</f>
        <v/>
      </c>
      <c r="B273" s="63" t="n"/>
      <c r="C273" s="64" t="n"/>
      <c r="D273" s="65" t="n"/>
      <c r="E273" s="65" t="n"/>
      <c r="F273" s="66" t="n"/>
      <c r="G273" s="67" t="n"/>
      <c r="H273" s="67" t="n"/>
      <c r="I273" s="67" t="n"/>
      <c r="J273" s="67" t="n"/>
      <c r="K273" s="68">
        <f>IF(NOT((COUNTA($B273:$J273)+COUNTA($N273))&gt;0),"",IF(N($T273)&gt;0,$AB273,IFERROR(LOOKUP(2,1/(G273:J273&lt;&gt;""),G273:J273),0)))</f>
        <v/>
      </c>
      <c r="L273" s="62">
        <f>IF(K273="","",IF(K273&gt;=1,"Completado",IF(K273&gt;0,"En curso","Pendiente")))</f>
        <v/>
      </c>
      <c r="M273" s="62">
        <f>IF(NOT((COUNTA($B273:$J273)+COUNTA($N273))&gt;0),"",IF(N($K273)&gt;=1,"Cumplida",IF(NOT(ISNUMBER($E273)),"Sin fecha límite",IF($E273&lt;FechaRef,"Vencida hace "&amp;(FechaRef-$E273)&amp;IF(FechaRef-$E273=1," día"," días"),IF($E273=FechaRef,"Vence hoy",IF($E273-FechaRef&lt;=DiasAlerta,"Vence en "&amp;($E273-FechaRef)&amp;IF($E273-FechaRef=1," día"," días"),"En plazo"))))))</f>
        <v/>
      </c>
      <c r="N273" s="64" t="n"/>
      <c r="O273" s="69">
        <f>IF(NOT((COUNTA($B273:$J273)+COUNTA($N273))&gt;0),"",IF((IF($C273="","Falta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",""))="","✔ OK","⚠ "&amp;LEFT(IF($C273="","Falta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",""),LEN(IF($C273="","Falta el nombre de la actividad"&amp;" · ","")&amp;IF(AND($S273="Sub",N($R273)=0),"Subactividad sin macroactividad arriba"&amp;" · ","")&amp;IF($D273="","Sin fecha de inicio"&amp;" · ","")&amp;IF($E273="","Sin fecha límite"&amp;" · ","")&amp;IF(OR(AND($D273&lt;&gt;"",NOT(ISNUMBER($D273))),AND($E273&lt;&gt;"",NOT(ISNUMBER($E273)))),"Fecha no válida"&amp;" · ","")&amp;IF(AND(ISNUMBER($D273),ISNUMBER($E273),$D273&gt;$E273),"Inicio posterior a fecha límite"&amp;" · ","")&amp;IF(AND($S273="Macro",$F273=""),"Peso vacío"&amp;" · ","")&amp;IF(AND($S273="Macro",$F273&lt;&gt;"",OR(NOT(ISNUMBER($F273)),$F273&lt;=0,$F273&gt;1)),"Peso fuera de rango"&amp;" · ","")&amp;IF(AND($S273="Sub",$F273&lt;&gt;"",OR(NOT(ISNUMBER($F273)),$F273&lt;0,$F273&gt;1)),"Peso fuera de rango"&amp;" · ","")&amp;IF(AND($S273="Sub",$F273="",IFERROR(N(INDEX($AG$5:$AG$1000,$R273-4)),0)&gt;0),"Falta el peso de la subactividad"&amp;" · ","")&amp;IF(AND(N($T273)&gt;0,N($AG273)&gt;0,ABS(N($AG273)-N($F273))&gt;0.0001),"Pesos de sus subactividades suman "&amp;TEXT(N($AG273),"0%")&amp;" (deben sumar "&amp;TEXT(N($F273),"0%")&amp;")"&amp;" · ","")&amp;IF(AND($S273="Macro",ABS(SUMIFS($F$5:$F$1000,$P$5:$P$1000,$P273,$S$5:$S$1000,"Macro")-1)&gt;0.0001),"Pesos del mes suman "&amp;TEXT(SUMIFS($F$5:$F$1000,$P$5:$P$1000,$P273,$S$5:$S$1000,"Macro"),"0%")&amp;" · ","")&amp;IF(AND(N($T273)&gt;0,COUNT($G273:$J273)&gt;0),"Con subactividades: deje vacías las semanas (se calculan solas)"&amp;" · ","")&amp;IF((COUNTIF($G273:$J273,"&gt;1")+COUNTIF($G273:$J273,"&lt;0")+COUNTA($G273:$J273)-COUNT($G273:$J273))&gt;0,"Avance fuera de rango 0-100%"&amp;" · ","")&amp;IF(OR(AND($H273&lt;&gt;"",$H273&lt;$G273),AND($I273&lt;&gt;"",$I273&lt;MAX($G273:$H273)),AND($J273&lt;&gt;"",$J273&lt;MAX($G273:$I273))),"Avance semanal decreciente"&amp;" · ","")&amp;IF(AND(ISNUMBER($E273),$E273&lt;FechaRef,N($K273)&lt;1),"Vencida"&amp;" · ","")&amp;IF(AND(ObsObligatoria="Sí",ISNUMBER($E273),$E273&lt;FechaRef,N($K273)&lt;1,$N273=""),"Vencida sin observación"&amp;" · ",""))-3)))</f>
        <v/>
      </c>
      <c r="P273" s="70">
        <f>IF(NOT((COUNTA($B273:$J273)+COUNTA($N273))&gt;0),"",IF(AND($S273="Sub",N($R273)&gt;0),IF(ISNUMBER(INDEX($D$5:$D$1000,$R273-4)),DATE(YEAR(INDEX($D$5:$D$1000,$R273-4)),MONTH(INDEX($D$5:$D$1000,$R273-4)),1),IF(ISNUMBER(INDEX($E$5:$E$1000,$R273-4)),DATE(YEAR(INDEX($E$5:$E$1000,$R273-4)),MONTH(INDEX($E$5:$E$1000,$R273-4)),1),MesCiclo)),IF(ISNUMBER($D273),DATE(YEAR($D273),MONTH($D273),1),IF(ISNUMBER($E273),DATE(YEAR($E273),MONTH($E273),1),MesCiclo))))</f>
        <v/>
      </c>
      <c r="Q273" s="71">
        <f>IF(OR($P273="",$P273&lt;&gt;MesCiclo),"",COUNTIF($P$5:$P273,MesCiclo))</f>
        <v/>
      </c>
      <c r="R273" s="71">
        <f>IF($S273="","",IF($S273="Macro",ROW(),IFERROR(LOOKUP(2,1/($S$5:$S273="Macro"),ROW($S$5:$S273)),0)))</f>
        <v/>
      </c>
      <c r="S273" s="71">
        <f>IF(NOT((COUNTA($B273:$J273)+COUNTA($N273))&gt;0),"",IF($B273="Subactividad","Sub","Macro"))</f>
        <v/>
      </c>
      <c r="T273" s="71">
        <f>IF($S273="Macro",COUNTIFS($R$5:$R$1000,ROW(),$S$5:$S$1000,"Sub"),"")</f>
        <v/>
      </c>
      <c r="U273" s="71">
        <f>IF($S273="","",IF(ISNUMBER($G273),$G273,0))</f>
        <v/>
      </c>
      <c r="V273" s="71">
        <f>IF($S273="","",IF(ISNUMBER($H273),$H273,$U273))</f>
        <v/>
      </c>
      <c r="W273" s="71">
        <f>IF($S273="","",IF(ISNUMBER($I273),$I273,$V273))</f>
        <v/>
      </c>
      <c r="X273" s="71">
        <f>IF($S273="","",IF(ISNUMBER($J273),$J273,$W273))</f>
        <v/>
      </c>
      <c r="Y273" s="71">
        <f>IF($S273="","",IF(N($T273)&gt;0,IF(N($AG273)&gt;0,SUMIFS($AC$5:$AC$1000,$R$5:$R$1000,ROW(),$S$5:$S$1000,"Sub")/$AG273,AVERAGEIFS($U$5:$U$1000,$R$5:$R$1000,ROW(),$S$5:$S$1000,"Sub")),$U273))</f>
        <v/>
      </c>
      <c r="Z273" s="71">
        <f>IF($S273="","",IF(N($T273)&gt;0,IF(N($AG273)&gt;0,SUMIFS($AD$5:$AD$1000,$R$5:$R$1000,ROW(),$S$5:$S$1000,"Sub")/$AG273,AVERAGEIFS($V$5:$V$1000,$R$5:$R$1000,ROW(),$S$5:$S$1000,"Sub")),$V273))</f>
        <v/>
      </c>
      <c r="AA273" s="71">
        <f>IF($S273="","",IF(N($T273)&gt;0,IF(N($AG273)&gt;0,SUMIFS($AE$5:$AE$1000,$R$5:$R$1000,ROW(),$S$5:$S$1000,"Sub")/$AG273,AVERAGEIFS($W$5:$W$1000,$R$5:$R$1000,ROW(),$S$5:$S$1000,"Sub")),$W273))</f>
        <v/>
      </c>
      <c r="AB273" s="71">
        <f>IF($S273="","",IF(N($T273)&gt;0,IF(N($AG273)&gt;0,SUMIFS($AF$5:$AF$1000,$R$5:$R$1000,ROW(),$S$5:$S$1000,"Sub")/$AG273,AVERAGEIFS($X$5:$X$1000,$R$5:$R$1000,ROW(),$S$5:$S$1000,"Sub")),$X273))</f>
        <v/>
      </c>
      <c r="AC273" s="71">
        <f>IF($S273="Sub",N($F273)*N($U273),"")</f>
        <v/>
      </c>
      <c r="AD273" s="71">
        <f>IF($S273="Sub",N($F273)*N($V273),"")</f>
        <v/>
      </c>
      <c r="AE273" s="71">
        <f>IF($S273="Sub",N($F273)*N($W273),"")</f>
        <v/>
      </c>
      <c r="AF273" s="71">
        <f>IF($S273="Sub",N($F273)*N($X273),"")</f>
        <v/>
      </c>
      <c r="AG273" s="71">
        <f>IF(N($T273)&gt;0,SUMIFS($F$5:$F$1000,$R$5:$R$1000,ROW(),$S$5:$S$1000,"Sub"),"")</f>
        <v/>
      </c>
    </row>
    <row r="274">
      <c r="A274" s="62">
        <f>IF(NOT((COUNTA($B274:$J274)+COUNTA($N274))&gt;0),"",IF($S274="Macro",COUNTIFS($S$5:$S274,"Macro",$P$5:$P274,$P274),IF(N($R274)=0,"?",COUNTIFS(INDEX($S$5:$S$1000,1):INDEX($S$5:$S$1000,$R274-4),"Macro",INDEX($P$5:$P$1000,1):INDEX($P$5:$P$1000,$R274-4),INDEX($P$5:$P$1000,$R274-4))&amp;"."&amp;COUNTIFS($R$5:$R274,$R274,$S$5:$S274,"Sub"))))</f>
        <v/>
      </c>
      <c r="B274" s="63" t="n"/>
      <c r="C274" s="64" t="n"/>
      <c r="D274" s="65" t="n"/>
      <c r="E274" s="65" t="n"/>
      <c r="F274" s="66" t="n"/>
      <c r="G274" s="67" t="n"/>
      <c r="H274" s="67" t="n"/>
      <c r="I274" s="67" t="n"/>
      <c r="J274" s="67" t="n"/>
      <c r="K274" s="68">
        <f>IF(NOT((COUNTA($B274:$J274)+COUNTA($N274))&gt;0),"",IF(N($T274)&gt;0,$AB274,IFERROR(LOOKUP(2,1/(G274:J274&lt;&gt;""),G274:J274),0)))</f>
        <v/>
      </c>
      <c r="L274" s="62">
        <f>IF(K274="","",IF(K274&gt;=1,"Completado",IF(K274&gt;0,"En curso","Pendiente")))</f>
        <v/>
      </c>
      <c r="M274" s="62">
        <f>IF(NOT((COUNTA($B274:$J274)+COUNTA($N274))&gt;0),"",IF(N($K274)&gt;=1,"Cumplida",IF(NOT(ISNUMBER($E274)),"Sin fecha límite",IF($E274&lt;FechaRef,"Vencida hace "&amp;(FechaRef-$E274)&amp;IF(FechaRef-$E274=1," día"," días"),IF($E274=FechaRef,"Vence hoy",IF($E274-FechaRef&lt;=DiasAlerta,"Vence en "&amp;($E274-FechaRef)&amp;IF($E274-FechaRef=1," día"," días"),"En plazo"))))))</f>
        <v/>
      </c>
      <c r="N274" s="64" t="n"/>
      <c r="O274" s="69">
        <f>IF(NOT((COUNTA($B274:$J274)+COUNTA($N274))&gt;0),"",IF((IF($C274="","Falta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",""))="","✔ OK","⚠ "&amp;LEFT(IF($C274="","Falta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",""),LEN(IF($C274="","Falta el nombre de la actividad"&amp;" · ","")&amp;IF(AND($S274="Sub",N($R274)=0),"Subactividad sin macroactividad arriba"&amp;" · ","")&amp;IF($D274="","Sin fecha de inicio"&amp;" · ","")&amp;IF($E274="","Sin fecha límite"&amp;" · ","")&amp;IF(OR(AND($D274&lt;&gt;"",NOT(ISNUMBER($D274))),AND($E274&lt;&gt;"",NOT(ISNUMBER($E274)))),"Fecha no válida"&amp;" · ","")&amp;IF(AND(ISNUMBER($D274),ISNUMBER($E274),$D274&gt;$E274),"Inicio posterior a fecha límite"&amp;" · ","")&amp;IF(AND($S274="Macro",$F274=""),"Peso vacío"&amp;" · ","")&amp;IF(AND($S274="Macro",$F274&lt;&gt;"",OR(NOT(ISNUMBER($F274)),$F274&lt;=0,$F274&gt;1)),"Peso fuera de rango"&amp;" · ","")&amp;IF(AND($S274="Sub",$F274&lt;&gt;"",OR(NOT(ISNUMBER($F274)),$F274&lt;0,$F274&gt;1)),"Peso fuera de rango"&amp;" · ","")&amp;IF(AND($S274="Sub",$F274="",IFERROR(N(INDEX($AG$5:$AG$1000,$R274-4)),0)&gt;0),"Falta el peso de la subactividad"&amp;" · ","")&amp;IF(AND(N($T274)&gt;0,N($AG274)&gt;0,ABS(N($AG274)-N($F274))&gt;0.0001),"Pesos de sus subactividades suman "&amp;TEXT(N($AG274),"0%")&amp;" (deben sumar "&amp;TEXT(N($F274),"0%")&amp;")"&amp;" · ","")&amp;IF(AND($S274="Macro",ABS(SUMIFS($F$5:$F$1000,$P$5:$P$1000,$P274,$S$5:$S$1000,"Macro")-1)&gt;0.0001),"Pesos del mes suman "&amp;TEXT(SUMIFS($F$5:$F$1000,$P$5:$P$1000,$P274,$S$5:$S$1000,"Macro"),"0%")&amp;" · ","")&amp;IF(AND(N($T274)&gt;0,COUNT($G274:$J274)&gt;0),"Con subactividades: deje vacías las semanas (se calculan solas)"&amp;" · ","")&amp;IF((COUNTIF($G274:$J274,"&gt;1")+COUNTIF($G274:$J274,"&lt;0")+COUNTA($G274:$J274)-COUNT($G274:$J274))&gt;0,"Avance fuera de rango 0-100%"&amp;" · ","")&amp;IF(OR(AND($H274&lt;&gt;"",$H274&lt;$G274),AND($I274&lt;&gt;"",$I274&lt;MAX($G274:$H274)),AND($J274&lt;&gt;"",$J274&lt;MAX($G274:$I274))),"Avance semanal decreciente"&amp;" · ","")&amp;IF(AND(ISNUMBER($E274),$E274&lt;FechaRef,N($K274)&lt;1),"Vencida"&amp;" · ","")&amp;IF(AND(ObsObligatoria="Sí",ISNUMBER($E274),$E274&lt;FechaRef,N($K274)&lt;1,$N274=""),"Vencida sin observación"&amp;" · ",""))-3)))</f>
        <v/>
      </c>
      <c r="P274" s="70">
        <f>IF(NOT((COUNTA($B274:$J274)+COUNTA($N274))&gt;0),"",IF(AND($S274="Sub",N($R274)&gt;0),IF(ISNUMBER(INDEX($D$5:$D$1000,$R274-4)),DATE(YEAR(INDEX($D$5:$D$1000,$R274-4)),MONTH(INDEX($D$5:$D$1000,$R274-4)),1),IF(ISNUMBER(INDEX($E$5:$E$1000,$R274-4)),DATE(YEAR(INDEX($E$5:$E$1000,$R274-4)),MONTH(INDEX($E$5:$E$1000,$R274-4)),1),MesCiclo)),IF(ISNUMBER($D274),DATE(YEAR($D274),MONTH($D274),1),IF(ISNUMBER($E274),DATE(YEAR($E274),MONTH($E274),1),MesCiclo))))</f>
        <v/>
      </c>
      <c r="Q274" s="71">
        <f>IF(OR($P274="",$P274&lt;&gt;MesCiclo),"",COUNTIF($P$5:$P274,MesCiclo))</f>
        <v/>
      </c>
      <c r="R274" s="71">
        <f>IF($S274="","",IF($S274="Macro",ROW(),IFERROR(LOOKUP(2,1/($S$5:$S274="Macro"),ROW($S$5:$S274)),0)))</f>
        <v/>
      </c>
      <c r="S274" s="71">
        <f>IF(NOT((COUNTA($B274:$J274)+COUNTA($N274))&gt;0),"",IF($B274="Subactividad","Sub","Macro"))</f>
        <v/>
      </c>
      <c r="T274" s="71">
        <f>IF($S274="Macro",COUNTIFS($R$5:$R$1000,ROW(),$S$5:$S$1000,"Sub"),"")</f>
        <v/>
      </c>
      <c r="U274" s="71">
        <f>IF($S274="","",IF(ISNUMBER($G274),$G274,0))</f>
        <v/>
      </c>
      <c r="V274" s="71">
        <f>IF($S274="","",IF(ISNUMBER($H274),$H274,$U274))</f>
        <v/>
      </c>
      <c r="W274" s="71">
        <f>IF($S274="","",IF(ISNUMBER($I274),$I274,$V274))</f>
        <v/>
      </c>
      <c r="X274" s="71">
        <f>IF($S274="","",IF(ISNUMBER($J274),$J274,$W274))</f>
        <v/>
      </c>
      <c r="Y274" s="71">
        <f>IF($S274="","",IF(N($T274)&gt;0,IF(N($AG274)&gt;0,SUMIFS($AC$5:$AC$1000,$R$5:$R$1000,ROW(),$S$5:$S$1000,"Sub")/$AG274,AVERAGEIFS($U$5:$U$1000,$R$5:$R$1000,ROW(),$S$5:$S$1000,"Sub")),$U274))</f>
        <v/>
      </c>
      <c r="Z274" s="71">
        <f>IF($S274="","",IF(N($T274)&gt;0,IF(N($AG274)&gt;0,SUMIFS($AD$5:$AD$1000,$R$5:$R$1000,ROW(),$S$5:$S$1000,"Sub")/$AG274,AVERAGEIFS($V$5:$V$1000,$R$5:$R$1000,ROW(),$S$5:$S$1000,"Sub")),$V274))</f>
        <v/>
      </c>
      <c r="AA274" s="71">
        <f>IF($S274="","",IF(N($T274)&gt;0,IF(N($AG274)&gt;0,SUMIFS($AE$5:$AE$1000,$R$5:$R$1000,ROW(),$S$5:$S$1000,"Sub")/$AG274,AVERAGEIFS($W$5:$W$1000,$R$5:$R$1000,ROW(),$S$5:$S$1000,"Sub")),$W274))</f>
        <v/>
      </c>
      <c r="AB274" s="71">
        <f>IF($S274="","",IF(N($T274)&gt;0,IF(N($AG274)&gt;0,SUMIFS($AF$5:$AF$1000,$R$5:$R$1000,ROW(),$S$5:$S$1000,"Sub")/$AG274,AVERAGEIFS($X$5:$X$1000,$R$5:$R$1000,ROW(),$S$5:$S$1000,"Sub")),$X274))</f>
        <v/>
      </c>
      <c r="AC274" s="71">
        <f>IF($S274="Sub",N($F274)*N($U274),"")</f>
        <v/>
      </c>
      <c r="AD274" s="71">
        <f>IF($S274="Sub",N($F274)*N($V274),"")</f>
        <v/>
      </c>
      <c r="AE274" s="71">
        <f>IF($S274="Sub",N($F274)*N($W274),"")</f>
        <v/>
      </c>
      <c r="AF274" s="71">
        <f>IF($S274="Sub",N($F274)*N($X274),"")</f>
        <v/>
      </c>
      <c r="AG274" s="71">
        <f>IF(N($T274)&gt;0,SUMIFS($F$5:$F$1000,$R$5:$R$1000,ROW(),$S$5:$S$1000,"Sub"),"")</f>
        <v/>
      </c>
    </row>
    <row r="275">
      <c r="A275" s="62">
        <f>IF(NOT((COUNTA($B275:$J275)+COUNTA($N275))&gt;0),"",IF($S275="Macro",COUNTIFS($S$5:$S275,"Macro",$P$5:$P275,$P275),IF(N($R275)=0,"?",COUNTIFS(INDEX($S$5:$S$1000,1):INDEX($S$5:$S$1000,$R275-4),"Macro",INDEX($P$5:$P$1000,1):INDEX($P$5:$P$1000,$R275-4),INDEX($P$5:$P$1000,$R275-4))&amp;"."&amp;COUNTIFS($R$5:$R275,$R275,$S$5:$S275,"Sub"))))</f>
        <v/>
      </c>
      <c r="B275" s="63" t="n"/>
      <c r="C275" s="64" t="n"/>
      <c r="D275" s="65" t="n"/>
      <c r="E275" s="65" t="n"/>
      <c r="F275" s="66" t="n"/>
      <c r="G275" s="67" t="n"/>
      <c r="H275" s="67" t="n"/>
      <c r="I275" s="67" t="n"/>
      <c r="J275" s="67" t="n"/>
      <c r="K275" s="68">
        <f>IF(NOT((COUNTA($B275:$J275)+COUNTA($N275))&gt;0),"",IF(N($T275)&gt;0,$AB275,IFERROR(LOOKUP(2,1/(G275:J275&lt;&gt;""),G275:J275),0)))</f>
        <v/>
      </c>
      <c r="L275" s="62">
        <f>IF(K275="","",IF(K275&gt;=1,"Completado",IF(K275&gt;0,"En curso","Pendiente")))</f>
        <v/>
      </c>
      <c r="M275" s="62">
        <f>IF(NOT((COUNTA($B275:$J275)+COUNTA($N275))&gt;0),"",IF(N($K275)&gt;=1,"Cumplida",IF(NOT(ISNUMBER($E275)),"Sin fecha límite",IF($E275&lt;FechaRef,"Vencida hace "&amp;(FechaRef-$E275)&amp;IF(FechaRef-$E275=1," día"," días"),IF($E275=FechaRef,"Vence hoy",IF($E275-FechaRef&lt;=DiasAlerta,"Vence en "&amp;($E275-FechaRef)&amp;IF($E275-FechaRef=1," día"," días"),"En plazo"))))))</f>
        <v/>
      </c>
      <c r="N275" s="64" t="n"/>
      <c r="O275" s="69">
        <f>IF(NOT((COUNTA($B275:$J275)+COUNTA($N275))&gt;0),"",IF((IF($C275="","Falta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",""))="","✔ OK","⚠ "&amp;LEFT(IF($C275="","Falta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",""),LEN(IF($C275="","Falta el nombre de la actividad"&amp;" · ","")&amp;IF(AND($S275="Sub",N($R275)=0),"Subactividad sin macroactividad arriba"&amp;" · ","")&amp;IF($D275="","Sin fecha de inicio"&amp;" · ","")&amp;IF($E275="","Sin fecha límite"&amp;" · ","")&amp;IF(OR(AND($D275&lt;&gt;"",NOT(ISNUMBER($D275))),AND($E275&lt;&gt;"",NOT(ISNUMBER($E275)))),"Fecha no válida"&amp;" · ","")&amp;IF(AND(ISNUMBER($D275),ISNUMBER($E275),$D275&gt;$E275),"Inicio posterior a fecha límite"&amp;" · ","")&amp;IF(AND($S275="Macro",$F275=""),"Peso vacío"&amp;" · ","")&amp;IF(AND($S275="Macro",$F275&lt;&gt;"",OR(NOT(ISNUMBER($F275)),$F275&lt;=0,$F275&gt;1)),"Peso fuera de rango"&amp;" · ","")&amp;IF(AND($S275="Sub",$F275&lt;&gt;"",OR(NOT(ISNUMBER($F275)),$F275&lt;0,$F275&gt;1)),"Peso fuera de rango"&amp;" · ","")&amp;IF(AND($S275="Sub",$F275="",IFERROR(N(INDEX($AG$5:$AG$1000,$R275-4)),0)&gt;0),"Falta el peso de la subactividad"&amp;" · ","")&amp;IF(AND(N($T275)&gt;0,N($AG275)&gt;0,ABS(N($AG275)-N($F275))&gt;0.0001),"Pesos de sus subactividades suman "&amp;TEXT(N($AG275),"0%")&amp;" (deben sumar "&amp;TEXT(N($F275),"0%")&amp;")"&amp;" · ","")&amp;IF(AND($S275="Macro",ABS(SUMIFS($F$5:$F$1000,$P$5:$P$1000,$P275,$S$5:$S$1000,"Macro")-1)&gt;0.0001),"Pesos del mes suman "&amp;TEXT(SUMIFS($F$5:$F$1000,$P$5:$P$1000,$P275,$S$5:$S$1000,"Macro"),"0%")&amp;" · ","")&amp;IF(AND(N($T275)&gt;0,COUNT($G275:$J275)&gt;0),"Con subactividades: deje vacías las semanas (se calculan solas)"&amp;" · ","")&amp;IF((COUNTIF($G275:$J275,"&gt;1")+COUNTIF($G275:$J275,"&lt;0")+COUNTA($G275:$J275)-COUNT($G275:$J275))&gt;0,"Avance fuera de rango 0-100%"&amp;" · ","")&amp;IF(OR(AND($H275&lt;&gt;"",$H275&lt;$G275),AND($I275&lt;&gt;"",$I275&lt;MAX($G275:$H275)),AND($J275&lt;&gt;"",$J275&lt;MAX($G275:$I275))),"Avance semanal decreciente"&amp;" · ","")&amp;IF(AND(ISNUMBER($E275),$E275&lt;FechaRef,N($K275)&lt;1),"Vencida"&amp;" · ","")&amp;IF(AND(ObsObligatoria="Sí",ISNUMBER($E275),$E275&lt;FechaRef,N($K275)&lt;1,$N275=""),"Vencida sin observación"&amp;" · ",""))-3)))</f>
        <v/>
      </c>
      <c r="P275" s="70">
        <f>IF(NOT((COUNTA($B275:$J275)+COUNTA($N275))&gt;0),"",IF(AND($S275="Sub",N($R275)&gt;0),IF(ISNUMBER(INDEX($D$5:$D$1000,$R275-4)),DATE(YEAR(INDEX($D$5:$D$1000,$R275-4)),MONTH(INDEX($D$5:$D$1000,$R275-4)),1),IF(ISNUMBER(INDEX($E$5:$E$1000,$R275-4)),DATE(YEAR(INDEX($E$5:$E$1000,$R275-4)),MONTH(INDEX($E$5:$E$1000,$R275-4)),1),MesCiclo)),IF(ISNUMBER($D275),DATE(YEAR($D275),MONTH($D275),1),IF(ISNUMBER($E275),DATE(YEAR($E275),MONTH($E275),1),MesCiclo))))</f>
        <v/>
      </c>
      <c r="Q275" s="71">
        <f>IF(OR($P275="",$P275&lt;&gt;MesCiclo),"",COUNTIF($P$5:$P275,MesCiclo))</f>
        <v/>
      </c>
      <c r="R275" s="71">
        <f>IF($S275="","",IF($S275="Macro",ROW(),IFERROR(LOOKUP(2,1/($S$5:$S275="Macro"),ROW($S$5:$S275)),0)))</f>
        <v/>
      </c>
      <c r="S275" s="71">
        <f>IF(NOT((COUNTA($B275:$J275)+COUNTA($N275))&gt;0),"",IF($B275="Subactividad","Sub","Macro"))</f>
        <v/>
      </c>
      <c r="T275" s="71">
        <f>IF($S275="Macro",COUNTIFS($R$5:$R$1000,ROW(),$S$5:$S$1000,"Sub"),"")</f>
        <v/>
      </c>
      <c r="U275" s="71">
        <f>IF($S275="","",IF(ISNUMBER($G275),$G275,0))</f>
        <v/>
      </c>
      <c r="V275" s="71">
        <f>IF($S275="","",IF(ISNUMBER($H275),$H275,$U275))</f>
        <v/>
      </c>
      <c r="W275" s="71">
        <f>IF($S275="","",IF(ISNUMBER($I275),$I275,$V275))</f>
        <v/>
      </c>
      <c r="X275" s="71">
        <f>IF($S275="","",IF(ISNUMBER($J275),$J275,$W275))</f>
        <v/>
      </c>
      <c r="Y275" s="71">
        <f>IF($S275="","",IF(N($T275)&gt;0,IF(N($AG275)&gt;0,SUMIFS($AC$5:$AC$1000,$R$5:$R$1000,ROW(),$S$5:$S$1000,"Sub")/$AG275,AVERAGEIFS($U$5:$U$1000,$R$5:$R$1000,ROW(),$S$5:$S$1000,"Sub")),$U275))</f>
        <v/>
      </c>
      <c r="Z275" s="71">
        <f>IF($S275="","",IF(N($T275)&gt;0,IF(N($AG275)&gt;0,SUMIFS($AD$5:$AD$1000,$R$5:$R$1000,ROW(),$S$5:$S$1000,"Sub")/$AG275,AVERAGEIFS($V$5:$V$1000,$R$5:$R$1000,ROW(),$S$5:$S$1000,"Sub")),$V275))</f>
        <v/>
      </c>
      <c r="AA275" s="71">
        <f>IF($S275="","",IF(N($T275)&gt;0,IF(N($AG275)&gt;0,SUMIFS($AE$5:$AE$1000,$R$5:$R$1000,ROW(),$S$5:$S$1000,"Sub")/$AG275,AVERAGEIFS($W$5:$W$1000,$R$5:$R$1000,ROW(),$S$5:$S$1000,"Sub")),$W275))</f>
        <v/>
      </c>
      <c r="AB275" s="71">
        <f>IF($S275="","",IF(N($T275)&gt;0,IF(N($AG275)&gt;0,SUMIFS($AF$5:$AF$1000,$R$5:$R$1000,ROW(),$S$5:$S$1000,"Sub")/$AG275,AVERAGEIFS($X$5:$X$1000,$R$5:$R$1000,ROW(),$S$5:$S$1000,"Sub")),$X275))</f>
        <v/>
      </c>
      <c r="AC275" s="71">
        <f>IF($S275="Sub",N($F275)*N($U275),"")</f>
        <v/>
      </c>
      <c r="AD275" s="71">
        <f>IF($S275="Sub",N($F275)*N($V275),"")</f>
        <v/>
      </c>
      <c r="AE275" s="71">
        <f>IF($S275="Sub",N($F275)*N($W275),"")</f>
        <v/>
      </c>
      <c r="AF275" s="71">
        <f>IF($S275="Sub",N($F275)*N($X275),"")</f>
        <v/>
      </c>
      <c r="AG275" s="71">
        <f>IF(N($T275)&gt;0,SUMIFS($F$5:$F$1000,$R$5:$R$1000,ROW(),$S$5:$S$1000,"Sub"),"")</f>
        <v/>
      </c>
    </row>
    <row r="276">
      <c r="A276" s="62">
        <f>IF(NOT((COUNTA($B276:$J276)+COUNTA($N276))&gt;0),"",IF($S276="Macro",COUNTIFS($S$5:$S276,"Macro",$P$5:$P276,$P276),IF(N($R276)=0,"?",COUNTIFS(INDEX($S$5:$S$1000,1):INDEX($S$5:$S$1000,$R276-4),"Macro",INDEX($P$5:$P$1000,1):INDEX($P$5:$P$1000,$R276-4),INDEX($P$5:$P$1000,$R276-4))&amp;"."&amp;COUNTIFS($R$5:$R276,$R276,$S$5:$S276,"Sub"))))</f>
        <v/>
      </c>
      <c r="B276" s="63" t="n"/>
      <c r="C276" s="64" t="n"/>
      <c r="D276" s="65" t="n"/>
      <c r="E276" s="65" t="n"/>
      <c r="F276" s="66" t="n"/>
      <c r="G276" s="67" t="n"/>
      <c r="H276" s="67" t="n"/>
      <c r="I276" s="67" t="n"/>
      <c r="J276" s="67" t="n"/>
      <c r="K276" s="68">
        <f>IF(NOT((COUNTA($B276:$J276)+COUNTA($N276))&gt;0),"",IF(N($T276)&gt;0,$AB276,IFERROR(LOOKUP(2,1/(G276:J276&lt;&gt;""),G276:J276),0)))</f>
        <v/>
      </c>
      <c r="L276" s="62">
        <f>IF(K276="","",IF(K276&gt;=1,"Completado",IF(K276&gt;0,"En curso","Pendiente")))</f>
        <v/>
      </c>
      <c r="M276" s="62">
        <f>IF(NOT((COUNTA($B276:$J276)+COUNTA($N276))&gt;0),"",IF(N($K276)&gt;=1,"Cumplida",IF(NOT(ISNUMBER($E276)),"Sin fecha límite",IF($E276&lt;FechaRef,"Vencida hace "&amp;(FechaRef-$E276)&amp;IF(FechaRef-$E276=1," día"," días"),IF($E276=FechaRef,"Vence hoy",IF($E276-FechaRef&lt;=DiasAlerta,"Vence en "&amp;($E276-FechaRef)&amp;IF($E276-FechaRef=1," día"," días"),"En plazo"))))))</f>
        <v/>
      </c>
      <c r="N276" s="64" t="n"/>
      <c r="O276" s="69">
        <f>IF(NOT((COUNTA($B276:$J276)+COUNTA($N276))&gt;0),"",IF((IF($C276="","Falta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",""))="","✔ OK","⚠ "&amp;LEFT(IF($C276="","Falta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",""),LEN(IF($C276="","Falta el nombre de la actividad"&amp;" · ","")&amp;IF(AND($S276="Sub",N($R276)=0),"Subactividad sin macroactividad arriba"&amp;" · ","")&amp;IF($D276="","Sin fecha de inicio"&amp;" · ","")&amp;IF($E276="","Sin fecha límite"&amp;" · ","")&amp;IF(OR(AND($D276&lt;&gt;"",NOT(ISNUMBER($D276))),AND($E276&lt;&gt;"",NOT(ISNUMBER($E276)))),"Fecha no válida"&amp;" · ","")&amp;IF(AND(ISNUMBER($D276),ISNUMBER($E276),$D276&gt;$E276),"Inicio posterior a fecha límite"&amp;" · ","")&amp;IF(AND($S276="Macro",$F276=""),"Peso vacío"&amp;" · ","")&amp;IF(AND($S276="Macro",$F276&lt;&gt;"",OR(NOT(ISNUMBER($F276)),$F276&lt;=0,$F276&gt;1)),"Peso fuera de rango"&amp;" · ","")&amp;IF(AND($S276="Sub",$F276&lt;&gt;"",OR(NOT(ISNUMBER($F276)),$F276&lt;0,$F276&gt;1)),"Peso fuera de rango"&amp;" · ","")&amp;IF(AND($S276="Sub",$F276="",IFERROR(N(INDEX($AG$5:$AG$1000,$R276-4)),0)&gt;0),"Falta el peso de la subactividad"&amp;" · ","")&amp;IF(AND(N($T276)&gt;0,N($AG276)&gt;0,ABS(N($AG276)-N($F276))&gt;0.0001),"Pesos de sus subactividades suman "&amp;TEXT(N($AG276),"0%")&amp;" (deben sumar "&amp;TEXT(N($F276),"0%")&amp;")"&amp;" · ","")&amp;IF(AND($S276="Macro",ABS(SUMIFS($F$5:$F$1000,$P$5:$P$1000,$P276,$S$5:$S$1000,"Macro")-1)&gt;0.0001),"Pesos del mes suman "&amp;TEXT(SUMIFS($F$5:$F$1000,$P$5:$P$1000,$P276,$S$5:$S$1000,"Macro"),"0%")&amp;" · ","")&amp;IF(AND(N($T276)&gt;0,COUNT($G276:$J276)&gt;0),"Con subactividades: deje vacías las semanas (se calculan solas)"&amp;" · ","")&amp;IF((COUNTIF($G276:$J276,"&gt;1")+COUNTIF($G276:$J276,"&lt;0")+COUNTA($G276:$J276)-COUNT($G276:$J276))&gt;0,"Avance fuera de rango 0-100%"&amp;" · ","")&amp;IF(OR(AND($H276&lt;&gt;"",$H276&lt;$G276),AND($I276&lt;&gt;"",$I276&lt;MAX($G276:$H276)),AND($J276&lt;&gt;"",$J276&lt;MAX($G276:$I276))),"Avance semanal decreciente"&amp;" · ","")&amp;IF(AND(ISNUMBER($E276),$E276&lt;FechaRef,N($K276)&lt;1),"Vencida"&amp;" · ","")&amp;IF(AND(ObsObligatoria="Sí",ISNUMBER($E276),$E276&lt;FechaRef,N($K276)&lt;1,$N276=""),"Vencida sin observación"&amp;" · ",""))-3)))</f>
        <v/>
      </c>
      <c r="P276" s="70">
        <f>IF(NOT((COUNTA($B276:$J276)+COUNTA($N276))&gt;0),"",IF(AND($S276="Sub",N($R276)&gt;0),IF(ISNUMBER(INDEX($D$5:$D$1000,$R276-4)),DATE(YEAR(INDEX($D$5:$D$1000,$R276-4)),MONTH(INDEX($D$5:$D$1000,$R276-4)),1),IF(ISNUMBER(INDEX($E$5:$E$1000,$R276-4)),DATE(YEAR(INDEX($E$5:$E$1000,$R276-4)),MONTH(INDEX($E$5:$E$1000,$R276-4)),1),MesCiclo)),IF(ISNUMBER($D276),DATE(YEAR($D276),MONTH($D276),1),IF(ISNUMBER($E276),DATE(YEAR($E276),MONTH($E276),1),MesCiclo))))</f>
        <v/>
      </c>
      <c r="Q276" s="71">
        <f>IF(OR($P276="",$P276&lt;&gt;MesCiclo),"",COUNTIF($P$5:$P276,MesCiclo))</f>
        <v/>
      </c>
      <c r="R276" s="71">
        <f>IF($S276="","",IF($S276="Macro",ROW(),IFERROR(LOOKUP(2,1/($S$5:$S276="Macro"),ROW($S$5:$S276)),0)))</f>
        <v/>
      </c>
      <c r="S276" s="71">
        <f>IF(NOT((COUNTA($B276:$J276)+COUNTA($N276))&gt;0),"",IF($B276="Subactividad","Sub","Macro"))</f>
        <v/>
      </c>
      <c r="T276" s="71">
        <f>IF($S276="Macro",COUNTIFS($R$5:$R$1000,ROW(),$S$5:$S$1000,"Sub"),"")</f>
        <v/>
      </c>
      <c r="U276" s="71">
        <f>IF($S276="","",IF(ISNUMBER($G276),$G276,0))</f>
        <v/>
      </c>
      <c r="V276" s="71">
        <f>IF($S276="","",IF(ISNUMBER($H276),$H276,$U276))</f>
        <v/>
      </c>
      <c r="W276" s="71">
        <f>IF($S276="","",IF(ISNUMBER($I276),$I276,$V276))</f>
        <v/>
      </c>
      <c r="X276" s="71">
        <f>IF($S276="","",IF(ISNUMBER($J276),$J276,$W276))</f>
        <v/>
      </c>
      <c r="Y276" s="71">
        <f>IF($S276="","",IF(N($T276)&gt;0,IF(N($AG276)&gt;0,SUMIFS($AC$5:$AC$1000,$R$5:$R$1000,ROW(),$S$5:$S$1000,"Sub")/$AG276,AVERAGEIFS($U$5:$U$1000,$R$5:$R$1000,ROW(),$S$5:$S$1000,"Sub")),$U276))</f>
        <v/>
      </c>
      <c r="Z276" s="71">
        <f>IF($S276="","",IF(N($T276)&gt;0,IF(N($AG276)&gt;0,SUMIFS($AD$5:$AD$1000,$R$5:$R$1000,ROW(),$S$5:$S$1000,"Sub")/$AG276,AVERAGEIFS($V$5:$V$1000,$R$5:$R$1000,ROW(),$S$5:$S$1000,"Sub")),$V276))</f>
        <v/>
      </c>
      <c r="AA276" s="71">
        <f>IF($S276="","",IF(N($T276)&gt;0,IF(N($AG276)&gt;0,SUMIFS($AE$5:$AE$1000,$R$5:$R$1000,ROW(),$S$5:$S$1000,"Sub")/$AG276,AVERAGEIFS($W$5:$W$1000,$R$5:$R$1000,ROW(),$S$5:$S$1000,"Sub")),$W276))</f>
        <v/>
      </c>
      <c r="AB276" s="71">
        <f>IF($S276="","",IF(N($T276)&gt;0,IF(N($AG276)&gt;0,SUMIFS($AF$5:$AF$1000,$R$5:$R$1000,ROW(),$S$5:$S$1000,"Sub")/$AG276,AVERAGEIFS($X$5:$X$1000,$R$5:$R$1000,ROW(),$S$5:$S$1000,"Sub")),$X276))</f>
        <v/>
      </c>
      <c r="AC276" s="71">
        <f>IF($S276="Sub",N($F276)*N($U276),"")</f>
        <v/>
      </c>
      <c r="AD276" s="71">
        <f>IF($S276="Sub",N($F276)*N($V276),"")</f>
        <v/>
      </c>
      <c r="AE276" s="71">
        <f>IF($S276="Sub",N($F276)*N($W276),"")</f>
        <v/>
      </c>
      <c r="AF276" s="71">
        <f>IF($S276="Sub",N($F276)*N($X276),"")</f>
        <v/>
      </c>
      <c r="AG276" s="71">
        <f>IF(N($T276)&gt;0,SUMIFS($F$5:$F$1000,$R$5:$R$1000,ROW(),$S$5:$S$1000,"Sub"),"")</f>
        <v/>
      </c>
    </row>
    <row r="277">
      <c r="A277" s="62">
        <f>IF(NOT((COUNTA($B277:$J277)+COUNTA($N277))&gt;0),"",IF($S277="Macro",COUNTIFS($S$5:$S277,"Macro",$P$5:$P277,$P277),IF(N($R277)=0,"?",COUNTIFS(INDEX($S$5:$S$1000,1):INDEX($S$5:$S$1000,$R277-4),"Macro",INDEX($P$5:$P$1000,1):INDEX($P$5:$P$1000,$R277-4),INDEX($P$5:$P$1000,$R277-4))&amp;"."&amp;COUNTIFS($R$5:$R277,$R277,$S$5:$S277,"Sub"))))</f>
        <v/>
      </c>
      <c r="B277" s="63" t="n"/>
      <c r="C277" s="64" t="n"/>
      <c r="D277" s="65" t="n"/>
      <c r="E277" s="65" t="n"/>
      <c r="F277" s="66" t="n"/>
      <c r="G277" s="67" t="n"/>
      <c r="H277" s="67" t="n"/>
      <c r="I277" s="67" t="n"/>
      <c r="J277" s="67" t="n"/>
      <c r="K277" s="68">
        <f>IF(NOT((COUNTA($B277:$J277)+COUNTA($N277))&gt;0),"",IF(N($T277)&gt;0,$AB277,IFERROR(LOOKUP(2,1/(G277:J277&lt;&gt;""),G277:J277),0)))</f>
        <v/>
      </c>
      <c r="L277" s="62">
        <f>IF(K277="","",IF(K277&gt;=1,"Completado",IF(K277&gt;0,"En curso","Pendiente")))</f>
        <v/>
      </c>
      <c r="M277" s="62">
        <f>IF(NOT((COUNTA($B277:$J277)+COUNTA($N277))&gt;0),"",IF(N($K277)&gt;=1,"Cumplida",IF(NOT(ISNUMBER($E277)),"Sin fecha límite",IF($E277&lt;FechaRef,"Vencida hace "&amp;(FechaRef-$E277)&amp;IF(FechaRef-$E277=1," día"," días"),IF($E277=FechaRef,"Vence hoy",IF($E277-FechaRef&lt;=DiasAlerta,"Vence en "&amp;($E277-FechaRef)&amp;IF($E277-FechaRef=1," día"," días"),"En plazo"))))))</f>
        <v/>
      </c>
      <c r="N277" s="64" t="n"/>
      <c r="O277" s="69">
        <f>IF(NOT((COUNTA($B277:$J277)+COUNTA($N277))&gt;0),"",IF((IF($C277="","Falta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",""))="","✔ OK","⚠ "&amp;LEFT(IF($C277="","Falta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",""),LEN(IF($C277="","Falta el nombre de la actividad"&amp;" · ","")&amp;IF(AND($S277="Sub",N($R277)=0),"Subactividad sin macroactividad arriba"&amp;" · ","")&amp;IF($D277="","Sin fecha de inicio"&amp;" · ","")&amp;IF($E277="","Sin fecha límite"&amp;" · ","")&amp;IF(OR(AND($D277&lt;&gt;"",NOT(ISNUMBER($D277))),AND($E277&lt;&gt;"",NOT(ISNUMBER($E277)))),"Fecha no válida"&amp;" · ","")&amp;IF(AND(ISNUMBER($D277),ISNUMBER($E277),$D277&gt;$E277),"Inicio posterior a fecha límite"&amp;" · ","")&amp;IF(AND($S277="Macro",$F277=""),"Peso vacío"&amp;" · ","")&amp;IF(AND($S277="Macro",$F277&lt;&gt;"",OR(NOT(ISNUMBER($F277)),$F277&lt;=0,$F277&gt;1)),"Peso fuera de rango"&amp;" · ","")&amp;IF(AND($S277="Sub",$F277&lt;&gt;"",OR(NOT(ISNUMBER($F277)),$F277&lt;0,$F277&gt;1)),"Peso fuera de rango"&amp;" · ","")&amp;IF(AND($S277="Sub",$F277="",IFERROR(N(INDEX($AG$5:$AG$1000,$R277-4)),0)&gt;0),"Falta el peso de la subactividad"&amp;" · ","")&amp;IF(AND(N($T277)&gt;0,N($AG277)&gt;0,ABS(N($AG277)-N($F277))&gt;0.0001),"Pesos de sus subactividades suman "&amp;TEXT(N($AG277),"0%")&amp;" (deben sumar "&amp;TEXT(N($F277),"0%")&amp;")"&amp;" · ","")&amp;IF(AND($S277="Macro",ABS(SUMIFS($F$5:$F$1000,$P$5:$P$1000,$P277,$S$5:$S$1000,"Macro")-1)&gt;0.0001),"Pesos del mes suman "&amp;TEXT(SUMIFS($F$5:$F$1000,$P$5:$P$1000,$P277,$S$5:$S$1000,"Macro"),"0%")&amp;" · ","")&amp;IF(AND(N($T277)&gt;0,COUNT($G277:$J277)&gt;0),"Con subactividades: deje vacías las semanas (se calculan solas)"&amp;" · ","")&amp;IF((COUNTIF($G277:$J277,"&gt;1")+COUNTIF($G277:$J277,"&lt;0")+COUNTA($G277:$J277)-COUNT($G277:$J277))&gt;0,"Avance fuera de rango 0-100%"&amp;" · ","")&amp;IF(OR(AND($H277&lt;&gt;"",$H277&lt;$G277),AND($I277&lt;&gt;"",$I277&lt;MAX($G277:$H277)),AND($J277&lt;&gt;"",$J277&lt;MAX($G277:$I277))),"Avance semanal decreciente"&amp;" · ","")&amp;IF(AND(ISNUMBER($E277),$E277&lt;FechaRef,N($K277)&lt;1),"Vencida"&amp;" · ","")&amp;IF(AND(ObsObligatoria="Sí",ISNUMBER($E277),$E277&lt;FechaRef,N($K277)&lt;1,$N277=""),"Vencida sin observación"&amp;" · ",""))-3)))</f>
        <v/>
      </c>
      <c r="P277" s="70">
        <f>IF(NOT((COUNTA($B277:$J277)+COUNTA($N277))&gt;0),"",IF(AND($S277="Sub",N($R277)&gt;0),IF(ISNUMBER(INDEX($D$5:$D$1000,$R277-4)),DATE(YEAR(INDEX($D$5:$D$1000,$R277-4)),MONTH(INDEX($D$5:$D$1000,$R277-4)),1),IF(ISNUMBER(INDEX($E$5:$E$1000,$R277-4)),DATE(YEAR(INDEX($E$5:$E$1000,$R277-4)),MONTH(INDEX($E$5:$E$1000,$R277-4)),1),MesCiclo)),IF(ISNUMBER($D277),DATE(YEAR($D277),MONTH($D277),1),IF(ISNUMBER($E277),DATE(YEAR($E277),MONTH($E277),1),MesCiclo))))</f>
        <v/>
      </c>
      <c r="Q277" s="71">
        <f>IF(OR($P277="",$P277&lt;&gt;MesCiclo),"",COUNTIF($P$5:$P277,MesCiclo))</f>
        <v/>
      </c>
      <c r="R277" s="71">
        <f>IF($S277="","",IF($S277="Macro",ROW(),IFERROR(LOOKUP(2,1/($S$5:$S277="Macro"),ROW($S$5:$S277)),0)))</f>
        <v/>
      </c>
      <c r="S277" s="71">
        <f>IF(NOT((COUNTA($B277:$J277)+COUNTA($N277))&gt;0),"",IF($B277="Subactividad","Sub","Macro"))</f>
        <v/>
      </c>
      <c r="T277" s="71">
        <f>IF($S277="Macro",COUNTIFS($R$5:$R$1000,ROW(),$S$5:$S$1000,"Sub"),"")</f>
        <v/>
      </c>
      <c r="U277" s="71">
        <f>IF($S277="","",IF(ISNUMBER($G277),$G277,0))</f>
        <v/>
      </c>
      <c r="V277" s="71">
        <f>IF($S277="","",IF(ISNUMBER($H277),$H277,$U277))</f>
        <v/>
      </c>
      <c r="W277" s="71">
        <f>IF($S277="","",IF(ISNUMBER($I277),$I277,$V277))</f>
        <v/>
      </c>
      <c r="X277" s="71">
        <f>IF($S277="","",IF(ISNUMBER($J277),$J277,$W277))</f>
        <v/>
      </c>
      <c r="Y277" s="71">
        <f>IF($S277="","",IF(N($T277)&gt;0,IF(N($AG277)&gt;0,SUMIFS($AC$5:$AC$1000,$R$5:$R$1000,ROW(),$S$5:$S$1000,"Sub")/$AG277,AVERAGEIFS($U$5:$U$1000,$R$5:$R$1000,ROW(),$S$5:$S$1000,"Sub")),$U277))</f>
        <v/>
      </c>
      <c r="Z277" s="71">
        <f>IF($S277="","",IF(N($T277)&gt;0,IF(N($AG277)&gt;0,SUMIFS($AD$5:$AD$1000,$R$5:$R$1000,ROW(),$S$5:$S$1000,"Sub")/$AG277,AVERAGEIFS($V$5:$V$1000,$R$5:$R$1000,ROW(),$S$5:$S$1000,"Sub")),$V277))</f>
        <v/>
      </c>
      <c r="AA277" s="71">
        <f>IF($S277="","",IF(N($T277)&gt;0,IF(N($AG277)&gt;0,SUMIFS($AE$5:$AE$1000,$R$5:$R$1000,ROW(),$S$5:$S$1000,"Sub")/$AG277,AVERAGEIFS($W$5:$W$1000,$R$5:$R$1000,ROW(),$S$5:$S$1000,"Sub")),$W277))</f>
        <v/>
      </c>
      <c r="AB277" s="71">
        <f>IF($S277="","",IF(N($T277)&gt;0,IF(N($AG277)&gt;0,SUMIFS($AF$5:$AF$1000,$R$5:$R$1000,ROW(),$S$5:$S$1000,"Sub")/$AG277,AVERAGEIFS($X$5:$X$1000,$R$5:$R$1000,ROW(),$S$5:$S$1000,"Sub")),$X277))</f>
        <v/>
      </c>
      <c r="AC277" s="71">
        <f>IF($S277="Sub",N($F277)*N($U277),"")</f>
        <v/>
      </c>
      <c r="AD277" s="71">
        <f>IF($S277="Sub",N($F277)*N($V277),"")</f>
        <v/>
      </c>
      <c r="AE277" s="71">
        <f>IF($S277="Sub",N($F277)*N($W277),"")</f>
        <v/>
      </c>
      <c r="AF277" s="71">
        <f>IF($S277="Sub",N($F277)*N($X277),"")</f>
        <v/>
      </c>
      <c r="AG277" s="71">
        <f>IF(N($T277)&gt;0,SUMIFS($F$5:$F$1000,$R$5:$R$1000,ROW(),$S$5:$S$1000,"Sub"),"")</f>
        <v/>
      </c>
    </row>
    <row r="278">
      <c r="A278" s="62">
        <f>IF(NOT((COUNTA($B278:$J278)+COUNTA($N278))&gt;0),"",IF($S278="Macro",COUNTIFS($S$5:$S278,"Macro",$P$5:$P278,$P278),IF(N($R278)=0,"?",COUNTIFS(INDEX($S$5:$S$1000,1):INDEX($S$5:$S$1000,$R278-4),"Macro",INDEX($P$5:$P$1000,1):INDEX($P$5:$P$1000,$R278-4),INDEX($P$5:$P$1000,$R278-4))&amp;"."&amp;COUNTIFS($R$5:$R278,$R278,$S$5:$S278,"Sub"))))</f>
        <v/>
      </c>
      <c r="B278" s="63" t="n"/>
      <c r="C278" s="64" t="n"/>
      <c r="D278" s="65" t="n"/>
      <c r="E278" s="65" t="n"/>
      <c r="F278" s="66" t="n"/>
      <c r="G278" s="67" t="n"/>
      <c r="H278" s="67" t="n"/>
      <c r="I278" s="67" t="n"/>
      <c r="J278" s="67" t="n"/>
      <c r="K278" s="68">
        <f>IF(NOT((COUNTA($B278:$J278)+COUNTA($N278))&gt;0),"",IF(N($T278)&gt;0,$AB278,IFERROR(LOOKUP(2,1/(G278:J278&lt;&gt;""),G278:J278),0)))</f>
        <v/>
      </c>
      <c r="L278" s="62">
        <f>IF(K278="","",IF(K278&gt;=1,"Completado",IF(K278&gt;0,"En curso","Pendiente")))</f>
        <v/>
      </c>
      <c r="M278" s="62">
        <f>IF(NOT((COUNTA($B278:$J278)+COUNTA($N278))&gt;0),"",IF(N($K278)&gt;=1,"Cumplida",IF(NOT(ISNUMBER($E278)),"Sin fecha límite",IF($E278&lt;FechaRef,"Vencida hace "&amp;(FechaRef-$E278)&amp;IF(FechaRef-$E278=1," día"," días"),IF($E278=FechaRef,"Vence hoy",IF($E278-FechaRef&lt;=DiasAlerta,"Vence en "&amp;($E278-FechaRef)&amp;IF($E278-FechaRef=1," día"," días"),"En plazo"))))))</f>
        <v/>
      </c>
      <c r="N278" s="64" t="n"/>
      <c r="O278" s="69">
        <f>IF(NOT((COUNTA($B278:$J278)+COUNTA($N278))&gt;0),"",IF((IF($C278="","Falta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",""))="","✔ OK","⚠ "&amp;LEFT(IF($C278="","Falta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",""),LEN(IF($C278="","Falta el nombre de la actividad"&amp;" · ","")&amp;IF(AND($S278="Sub",N($R278)=0),"Subactividad sin macroactividad arriba"&amp;" · ","")&amp;IF($D278="","Sin fecha de inicio"&amp;" · ","")&amp;IF($E278="","Sin fecha límite"&amp;" · ","")&amp;IF(OR(AND($D278&lt;&gt;"",NOT(ISNUMBER($D278))),AND($E278&lt;&gt;"",NOT(ISNUMBER($E278)))),"Fecha no válida"&amp;" · ","")&amp;IF(AND(ISNUMBER($D278),ISNUMBER($E278),$D278&gt;$E278),"Inicio posterior a fecha límite"&amp;" · ","")&amp;IF(AND($S278="Macro",$F278=""),"Peso vacío"&amp;" · ","")&amp;IF(AND($S278="Macro",$F278&lt;&gt;"",OR(NOT(ISNUMBER($F278)),$F278&lt;=0,$F278&gt;1)),"Peso fuera de rango"&amp;" · ","")&amp;IF(AND($S278="Sub",$F278&lt;&gt;"",OR(NOT(ISNUMBER($F278)),$F278&lt;0,$F278&gt;1)),"Peso fuera de rango"&amp;" · ","")&amp;IF(AND($S278="Sub",$F278="",IFERROR(N(INDEX($AG$5:$AG$1000,$R278-4)),0)&gt;0),"Falta el peso de la subactividad"&amp;" · ","")&amp;IF(AND(N($T278)&gt;0,N($AG278)&gt;0,ABS(N($AG278)-N($F278))&gt;0.0001),"Pesos de sus subactividades suman "&amp;TEXT(N($AG278),"0%")&amp;" (deben sumar "&amp;TEXT(N($F278),"0%")&amp;")"&amp;" · ","")&amp;IF(AND($S278="Macro",ABS(SUMIFS($F$5:$F$1000,$P$5:$P$1000,$P278,$S$5:$S$1000,"Macro")-1)&gt;0.0001),"Pesos del mes suman "&amp;TEXT(SUMIFS($F$5:$F$1000,$P$5:$P$1000,$P278,$S$5:$S$1000,"Macro"),"0%")&amp;" · ","")&amp;IF(AND(N($T278)&gt;0,COUNT($G278:$J278)&gt;0),"Con subactividades: deje vacías las semanas (se calculan solas)"&amp;" · ","")&amp;IF((COUNTIF($G278:$J278,"&gt;1")+COUNTIF($G278:$J278,"&lt;0")+COUNTA($G278:$J278)-COUNT($G278:$J278))&gt;0,"Avance fuera de rango 0-100%"&amp;" · ","")&amp;IF(OR(AND($H278&lt;&gt;"",$H278&lt;$G278),AND($I278&lt;&gt;"",$I278&lt;MAX($G278:$H278)),AND($J278&lt;&gt;"",$J278&lt;MAX($G278:$I278))),"Avance semanal decreciente"&amp;" · ","")&amp;IF(AND(ISNUMBER($E278),$E278&lt;FechaRef,N($K278)&lt;1),"Vencida"&amp;" · ","")&amp;IF(AND(ObsObligatoria="Sí",ISNUMBER($E278),$E278&lt;FechaRef,N($K278)&lt;1,$N278=""),"Vencida sin observación"&amp;" · ",""))-3)))</f>
        <v/>
      </c>
      <c r="P278" s="70">
        <f>IF(NOT((COUNTA($B278:$J278)+COUNTA($N278))&gt;0),"",IF(AND($S278="Sub",N($R278)&gt;0),IF(ISNUMBER(INDEX($D$5:$D$1000,$R278-4)),DATE(YEAR(INDEX($D$5:$D$1000,$R278-4)),MONTH(INDEX($D$5:$D$1000,$R278-4)),1),IF(ISNUMBER(INDEX($E$5:$E$1000,$R278-4)),DATE(YEAR(INDEX($E$5:$E$1000,$R278-4)),MONTH(INDEX($E$5:$E$1000,$R278-4)),1),MesCiclo)),IF(ISNUMBER($D278),DATE(YEAR($D278),MONTH($D278),1),IF(ISNUMBER($E278),DATE(YEAR($E278),MONTH($E278),1),MesCiclo))))</f>
        <v/>
      </c>
      <c r="Q278" s="71">
        <f>IF(OR($P278="",$P278&lt;&gt;MesCiclo),"",COUNTIF($P$5:$P278,MesCiclo))</f>
        <v/>
      </c>
      <c r="R278" s="71">
        <f>IF($S278="","",IF($S278="Macro",ROW(),IFERROR(LOOKUP(2,1/($S$5:$S278="Macro"),ROW($S$5:$S278)),0)))</f>
        <v/>
      </c>
      <c r="S278" s="71">
        <f>IF(NOT((COUNTA($B278:$J278)+COUNTA($N278))&gt;0),"",IF($B278="Subactividad","Sub","Macro"))</f>
        <v/>
      </c>
      <c r="T278" s="71">
        <f>IF($S278="Macro",COUNTIFS($R$5:$R$1000,ROW(),$S$5:$S$1000,"Sub"),"")</f>
        <v/>
      </c>
      <c r="U278" s="71">
        <f>IF($S278="","",IF(ISNUMBER($G278),$G278,0))</f>
        <v/>
      </c>
      <c r="V278" s="71">
        <f>IF($S278="","",IF(ISNUMBER($H278),$H278,$U278))</f>
        <v/>
      </c>
      <c r="W278" s="71">
        <f>IF($S278="","",IF(ISNUMBER($I278),$I278,$V278))</f>
        <v/>
      </c>
      <c r="X278" s="71">
        <f>IF($S278="","",IF(ISNUMBER($J278),$J278,$W278))</f>
        <v/>
      </c>
      <c r="Y278" s="71">
        <f>IF($S278="","",IF(N($T278)&gt;0,IF(N($AG278)&gt;0,SUMIFS($AC$5:$AC$1000,$R$5:$R$1000,ROW(),$S$5:$S$1000,"Sub")/$AG278,AVERAGEIFS($U$5:$U$1000,$R$5:$R$1000,ROW(),$S$5:$S$1000,"Sub")),$U278))</f>
        <v/>
      </c>
      <c r="Z278" s="71">
        <f>IF($S278="","",IF(N($T278)&gt;0,IF(N($AG278)&gt;0,SUMIFS($AD$5:$AD$1000,$R$5:$R$1000,ROW(),$S$5:$S$1000,"Sub")/$AG278,AVERAGEIFS($V$5:$V$1000,$R$5:$R$1000,ROW(),$S$5:$S$1000,"Sub")),$V278))</f>
        <v/>
      </c>
      <c r="AA278" s="71">
        <f>IF($S278="","",IF(N($T278)&gt;0,IF(N($AG278)&gt;0,SUMIFS($AE$5:$AE$1000,$R$5:$R$1000,ROW(),$S$5:$S$1000,"Sub")/$AG278,AVERAGEIFS($W$5:$W$1000,$R$5:$R$1000,ROW(),$S$5:$S$1000,"Sub")),$W278))</f>
        <v/>
      </c>
      <c r="AB278" s="71">
        <f>IF($S278="","",IF(N($T278)&gt;0,IF(N($AG278)&gt;0,SUMIFS($AF$5:$AF$1000,$R$5:$R$1000,ROW(),$S$5:$S$1000,"Sub")/$AG278,AVERAGEIFS($X$5:$X$1000,$R$5:$R$1000,ROW(),$S$5:$S$1000,"Sub")),$X278))</f>
        <v/>
      </c>
      <c r="AC278" s="71">
        <f>IF($S278="Sub",N($F278)*N($U278),"")</f>
        <v/>
      </c>
      <c r="AD278" s="71">
        <f>IF($S278="Sub",N($F278)*N($V278),"")</f>
        <v/>
      </c>
      <c r="AE278" s="71">
        <f>IF($S278="Sub",N($F278)*N($W278),"")</f>
        <v/>
      </c>
      <c r="AF278" s="71">
        <f>IF($S278="Sub",N($F278)*N($X278),"")</f>
        <v/>
      </c>
      <c r="AG278" s="71">
        <f>IF(N($T278)&gt;0,SUMIFS($F$5:$F$1000,$R$5:$R$1000,ROW(),$S$5:$S$1000,"Sub"),"")</f>
        <v/>
      </c>
    </row>
    <row r="279">
      <c r="A279" s="62">
        <f>IF(NOT((COUNTA($B279:$J279)+COUNTA($N279))&gt;0),"",IF($S279="Macro",COUNTIFS($S$5:$S279,"Macro",$P$5:$P279,$P279),IF(N($R279)=0,"?",COUNTIFS(INDEX($S$5:$S$1000,1):INDEX($S$5:$S$1000,$R279-4),"Macro",INDEX($P$5:$P$1000,1):INDEX($P$5:$P$1000,$R279-4),INDEX($P$5:$P$1000,$R279-4))&amp;"."&amp;COUNTIFS($R$5:$R279,$R279,$S$5:$S279,"Sub"))))</f>
        <v/>
      </c>
      <c r="B279" s="63" t="n"/>
      <c r="C279" s="64" t="n"/>
      <c r="D279" s="65" t="n"/>
      <c r="E279" s="65" t="n"/>
      <c r="F279" s="66" t="n"/>
      <c r="G279" s="67" t="n"/>
      <c r="H279" s="67" t="n"/>
      <c r="I279" s="67" t="n"/>
      <c r="J279" s="67" t="n"/>
      <c r="K279" s="68">
        <f>IF(NOT((COUNTA($B279:$J279)+COUNTA($N279))&gt;0),"",IF(N($T279)&gt;0,$AB279,IFERROR(LOOKUP(2,1/(G279:J279&lt;&gt;""),G279:J279),0)))</f>
        <v/>
      </c>
      <c r="L279" s="62">
        <f>IF(K279="","",IF(K279&gt;=1,"Completado",IF(K279&gt;0,"En curso","Pendiente")))</f>
        <v/>
      </c>
      <c r="M279" s="62">
        <f>IF(NOT((COUNTA($B279:$J279)+COUNTA($N279))&gt;0),"",IF(N($K279)&gt;=1,"Cumplida",IF(NOT(ISNUMBER($E279)),"Sin fecha límite",IF($E279&lt;FechaRef,"Vencida hace "&amp;(FechaRef-$E279)&amp;IF(FechaRef-$E279=1," día"," días"),IF($E279=FechaRef,"Vence hoy",IF($E279-FechaRef&lt;=DiasAlerta,"Vence en "&amp;($E279-FechaRef)&amp;IF($E279-FechaRef=1," día"," días"),"En plazo"))))))</f>
        <v/>
      </c>
      <c r="N279" s="64" t="n"/>
      <c r="O279" s="69">
        <f>IF(NOT((COUNTA($B279:$J279)+COUNTA($N279))&gt;0),"",IF((IF($C279="","Falta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",""))="","✔ OK","⚠ "&amp;LEFT(IF($C279="","Falta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",""),LEN(IF($C279="","Falta el nombre de la actividad"&amp;" · ","")&amp;IF(AND($S279="Sub",N($R279)=0),"Subactividad sin macroactividad arriba"&amp;" · ","")&amp;IF($D279="","Sin fecha de inicio"&amp;" · ","")&amp;IF($E279="","Sin fecha límite"&amp;" · ","")&amp;IF(OR(AND($D279&lt;&gt;"",NOT(ISNUMBER($D279))),AND($E279&lt;&gt;"",NOT(ISNUMBER($E279)))),"Fecha no válida"&amp;" · ","")&amp;IF(AND(ISNUMBER($D279),ISNUMBER($E279),$D279&gt;$E279),"Inicio posterior a fecha límite"&amp;" · ","")&amp;IF(AND($S279="Macro",$F279=""),"Peso vacío"&amp;" · ","")&amp;IF(AND($S279="Macro",$F279&lt;&gt;"",OR(NOT(ISNUMBER($F279)),$F279&lt;=0,$F279&gt;1)),"Peso fuera de rango"&amp;" · ","")&amp;IF(AND($S279="Sub",$F279&lt;&gt;"",OR(NOT(ISNUMBER($F279)),$F279&lt;0,$F279&gt;1)),"Peso fuera de rango"&amp;" · ","")&amp;IF(AND($S279="Sub",$F279="",IFERROR(N(INDEX($AG$5:$AG$1000,$R279-4)),0)&gt;0),"Falta el peso de la subactividad"&amp;" · ","")&amp;IF(AND(N($T279)&gt;0,N($AG279)&gt;0,ABS(N($AG279)-N($F279))&gt;0.0001),"Pesos de sus subactividades suman "&amp;TEXT(N($AG279),"0%")&amp;" (deben sumar "&amp;TEXT(N($F279),"0%")&amp;")"&amp;" · ","")&amp;IF(AND($S279="Macro",ABS(SUMIFS($F$5:$F$1000,$P$5:$P$1000,$P279,$S$5:$S$1000,"Macro")-1)&gt;0.0001),"Pesos del mes suman "&amp;TEXT(SUMIFS($F$5:$F$1000,$P$5:$P$1000,$P279,$S$5:$S$1000,"Macro"),"0%")&amp;" · ","")&amp;IF(AND(N($T279)&gt;0,COUNT($G279:$J279)&gt;0),"Con subactividades: deje vacías las semanas (se calculan solas)"&amp;" · ","")&amp;IF((COUNTIF($G279:$J279,"&gt;1")+COUNTIF($G279:$J279,"&lt;0")+COUNTA($G279:$J279)-COUNT($G279:$J279))&gt;0,"Avance fuera de rango 0-100%"&amp;" · ","")&amp;IF(OR(AND($H279&lt;&gt;"",$H279&lt;$G279),AND($I279&lt;&gt;"",$I279&lt;MAX($G279:$H279)),AND($J279&lt;&gt;"",$J279&lt;MAX($G279:$I279))),"Avance semanal decreciente"&amp;" · ","")&amp;IF(AND(ISNUMBER($E279),$E279&lt;FechaRef,N($K279)&lt;1),"Vencida"&amp;" · ","")&amp;IF(AND(ObsObligatoria="Sí",ISNUMBER($E279),$E279&lt;FechaRef,N($K279)&lt;1,$N279=""),"Vencida sin observación"&amp;" · ",""))-3)))</f>
        <v/>
      </c>
      <c r="P279" s="70">
        <f>IF(NOT((COUNTA($B279:$J279)+COUNTA($N279))&gt;0),"",IF(AND($S279="Sub",N($R279)&gt;0),IF(ISNUMBER(INDEX($D$5:$D$1000,$R279-4)),DATE(YEAR(INDEX($D$5:$D$1000,$R279-4)),MONTH(INDEX($D$5:$D$1000,$R279-4)),1),IF(ISNUMBER(INDEX($E$5:$E$1000,$R279-4)),DATE(YEAR(INDEX($E$5:$E$1000,$R279-4)),MONTH(INDEX($E$5:$E$1000,$R279-4)),1),MesCiclo)),IF(ISNUMBER($D279),DATE(YEAR($D279),MONTH($D279),1),IF(ISNUMBER($E279),DATE(YEAR($E279),MONTH($E279),1),MesCiclo))))</f>
        <v/>
      </c>
      <c r="Q279" s="71">
        <f>IF(OR($P279="",$P279&lt;&gt;MesCiclo),"",COUNTIF($P$5:$P279,MesCiclo))</f>
        <v/>
      </c>
      <c r="R279" s="71">
        <f>IF($S279="","",IF($S279="Macro",ROW(),IFERROR(LOOKUP(2,1/($S$5:$S279="Macro"),ROW($S$5:$S279)),0)))</f>
        <v/>
      </c>
      <c r="S279" s="71">
        <f>IF(NOT((COUNTA($B279:$J279)+COUNTA($N279))&gt;0),"",IF($B279="Subactividad","Sub","Macro"))</f>
        <v/>
      </c>
      <c r="T279" s="71">
        <f>IF($S279="Macro",COUNTIFS($R$5:$R$1000,ROW(),$S$5:$S$1000,"Sub"),"")</f>
        <v/>
      </c>
      <c r="U279" s="71">
        <f>IF($S279="","",IF(ISNUMBER($G279),$G279,0))</f>
        <v/>
      </c>
      <c r="V279" s="71">
        <f>IF($S279="","",IF(ISNUMBER($H279),$H279,$U279))</f>
        <v/>
      </c>
      <c r="W279" s="71">
        <f>IF($S279="","",IF(ISNUMBER($I279),$I279,$V279))</f>
        <v/>
      </c>
      <c r="X279" s="71">
        <f>IF($S279="","",IF(ISNUMBER($J279),$J279,$W279))</f>
        <v/>
      </c>
      <c r="Y279" s="71">
        <f>IF($S279="","",IF(N($T279)&gt;0,IF(N($AG279)&gt;0,SUMIFS($AC$5:$AC$1000,$R$5:$R$1000,ROW(),$S$5:$S$1000,"Sub")/$AG279,AVERAGEIFS($U$5:$U$1000,$R$5:$R$1000,ROW(),$S$5:$S$1000,"Sub")),$U279))</f>
        <v/>
      </c>
      <c r="Z279" s="71">
        <f>IF($S279="","",IF(N($T279)&gt;0,IF(N($AG279)&gt;0,SUMIFS($AD$5:$AD$1000,$R$5:$R$1000,ROW(),$S$5:$S$1000,"Sub")/$AG279,AVERAGEIFS($V$5:$V$1000,$R$5:$R$1000,ROW(),$S$5:$S$1000,"Sub")),$V279))</f>
        <v/>
      </c>
      <c r="AA279" s="71">
        <f>IF($S279="","",IF(N($T279)&gt;0,IF(N($AG279)&gt;0,SUMIFS($AE$5:$AE$1000,$R$5:$R$1000,ROW(),$S$5:$S$1000,"Sub")/$AG279,AVERAGEIFS($W$5:$W$1000,$R$5:$R$1000,ROW(),$S$5:$S$1000,"Sub")),$W279))</f>
        <v/>
      </c>
      <c r="AB279" s="71">
        <f>IF($S279="","",IF(N($T279)&gt;0,IF(N($AG279)&gt;0,SUMIFS($AF$5:$AF$1000,$R$5:$R$1000,ROW(),$S$5:$S$1000,"Sub")/$AG279,AVERAGEIFS($X$5:$X$1000,$R$5:$R$1000,ROW(),$S$5:$S$1000,"Sub")),$X279))</f>
        <v/>
      </c>
      <c r="AC279" s="71">
        <f>IF($S279="Sub",N($F279)*N($U279),"")</f>
        <v/>
      </c>
      <c r="AD279" s="71">
        <f>IF($S279="Sub",N($F279)*N($V279),"")</f>
        <v/>
      </c>
      <c r="AE279" s="71">
        <f>IF($S279="Sub",N($F279)*N($W279),"")</f>
        <v/>
      </c>
      <c r="AF279" s="71">
        <f>IF($S279="Sub",N($F279)*N($X279),"")</f>
        <v/>
      </c>
      <c r="AG279" s="71">
        <f>IF(N($T279)&gt;0,SUMIFS($F$5:$F$1000,$R$5:$R$1000,ROW(),$S$5:$S$1000,"Sub"),"")</f>
        <v/>
      </c>
    </row>
    <row r="280">
      <c r="A280" s="62">
        <f>IF(NOT((COUNTA($B280:$J280)+COUNTA($N280))&gt;0),"",IF($S280="Macro",COUNTIFS($S$5:$S280,"Macro",$P$5:$P280,$P280),IF(N($R280)=0,"?",COUNTIFS(INDEX($S$5:$S$1000,1):INDEX($S$5:$S$1000,$R280-4),"Macro",INDEX($P$5:$P$1000,1):INDEX($P$5:$P$1000,$R280-4),INDEX($P$5:$P$1000,$R280-4))&amp;"."&amp;COUNTIFS($R$5:$R280,$R280,$S$5:$S280,"Sub"))))</f>
        <v/>
      </c>
      <c r="B280" s="63" t="n"/>
      <c r="C280" s="64" t="n"/>
      <c r="D280" s="65" t="n"/>
      <c r="E280" s="65" t="n"/>
      <c r="F280" s="66" t="n"/>
      <c r="G280" s="67" t="n"/>
      <c r="H280" s="67" t="n"/>
      <c r="I280" s="67" t="n"/>
      <c r="J280" s="67" t="n"/>
      <c r="K280" s="68">
        <f>IF(NOT((COUNTA($B280:$J280)+COUNTA($N280))&gt;0),"",IF(N($T280)&gt;0,$AB280,IFERROR(LOOKUP(2,1/(G280:J280&lt;&gt;""),G280:J280),0)))</f>
        <v/>
      </c>
      <c r="L280" s="62">
        <f>IF(K280="","",IF(K280&gt;=1,"Completado",IF(K280&gt;0,"En curso","Pendiente")))</f>
        <v/>
      </c>
      <c r="M280" s="62">
        <f>IF(NOT((COUNTA($B280:$J280)+COUNTA($N280))&gt;0),"",IF(N($K280)&gt;=1,"Cumplida",IF(NOT(ISNUMBER($E280)),"Sin fecha límite",IF($E280&lt;FechaRef,"Vencida hace "&amp;(FechaRef-$E280)&amp;IF(FechaRef-$E280=1," día"," días"),IF($E280=FechaRef,"Vence hoy",IF($E280-FechaRef&lt;=DiasAlerta,"Vence en "&amp;($E280-FechaRef)&amp;IF($E280-FechaRef=1," día"," días"),"En plazo"))))))</f>
        <v/>
      </c>
      <c r="N280" s="64" t="n"/>
      <c r="O280" s="69">
        <f>IF(NOT((COUNTA($B280:$J280)+COUNTA($N280))&gt;0),"",IF((IF($C280="","Falta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",""))="","✔ OK","⚠ "&amp;LEFT(IF($C280="","Falta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",""),LEN(IF($C280="","Falta el nombre de la actividad"&amp;" · ","")&amp;IF(AND($S280="Sub",N($R280)=0),"Subactividad sin macroactividad arriba"&amp;" · ","")&amp;IF($D280="","Sin fecha de inicio"&amp;" · ","")&amp;IF($E280="","Sin fecha límite"&amp;" · ","")&amp;IF(OR(AND($D280&lt;&gt;"",NOT(ISNUMBER($D280))),AND($E280&lt;&gt;"",NOT(ISNUMBER($E280)))),"Fecha no válida"&amp;" · ","")&amp;IF(AND(ISNUMBER($D280),ISNUMBER($E280),$D280&gt;$E280),"Inicio posterior a fecha límite"&amp;" · ","")&amp;IF(AND($S280="Macro",$F280=""),"Peso vacío"&amp;" · ","")&amp;IF(AND($S280="Macro",$F280&lt;&gt;"",OR(NOT(ISNUMBER($F280)),$F280&lt;=0,$F280&gt;1)),"Peso fuera de rango"&amp;" · ","")&amp;IF(AND($S280="Sub",$F280&lt;&gt;"",OR(NOT(ISNUMBER($F280)),$F280&lt;0,$F280&gt;1)),"Peso fuera de rango"&amp;" · ","")&amp;IF(AND($S280="Sub",$F280="",IFERROR(N(INDEX($AG$5:$AG$1000,$R280-4)),0)&gt;0),"Falta el peso de la subactividad"&amp;" · ","")&amp;IF(AND(N($T280)&gt;0,N($AG280)&gt;0,ABS(N($AG280)-N($F280))&gt;0.0001),"Pesos de sus subactividades suman "&amp;TEXT(N($AG280),"0%")&amp;" (deben sumar "&amp;TEXT(N($F280),"0%")&amp;")"&amp;" · ","")&amp;IF(AND($S280="Macro",ABS(SUMIFS($F$5:$F$1000,$P$5:$P$1000,$P280,$S$5:$S$1000,"Macro")-1)&gt;0.0001),"Pesos del mes suman "&amp;TEXT(SUMIFS($F$5:$F$1000,$P$5:$P$1000,$P280,$S$5:$S$1000,"Macro"),"0%")&amp;" · ","")&amp;IF(AND(N($T280)&gt;0,COUNT($G280:$J280)&gt;0),"Con subactividades: deje vacías las semanas (se calculan solas)"&amp;" · ","")&amp;IF((COUNTIF($G280:$J280,"&gt;1")+COUNTIF($G280:$J280,"&lt;0")+COUNTA($G280:$J280)-COUNT($G280:$J280))&gt;0,"Avance fuera de rango 0-100%"&amp;" · ","")&amp;IF(OR(AND($H280&lt;&gt;"",$H280&lt;$G280),AND($I280&lt;&gt;"",$I280&lt;MAX($G280:$H280)),AND($J280&lt;&gt;"",$J280&lt;MAX($G280:$I280))),"Avance semanal decreciente"&amp;" · ","")&amp;IF(AND(ISNUMBER($E280),$E280&lt;FechaRef,N($K280)&lt;1),"Vencida"&amp;" · ","")&amp;IF(AND(ObsObligatoria="Sí",ISNUMBER($E280),$E280&lt;FechaRef,N($K280)&lt;1,$N280=""),"Vencida sin observación"&amp;" · ",""))-3)))</f>
        <v/>
      </c>
      <c r="P280" s="70">
        <f>IF(NOT((COUNTA($B280:$J280)+COUNTA($N280))&gt;0),"",IF(AND($S280="Sub",N($R280)&gt;0),IF(ISNUMBER(INDEX($D$5:$D$1000,$R280-4)),DATE(YEAR(INDEX($D$5:$D$1000,$R280-4)),MONTH(INDEX($D$5:$D$1000,$R280-4)),1),IF(ISNUMBER(INDEX($E$5:$E$1000,$R280-4)),DATE(YEAR(INDEX($E$5:$E$1000,$R280-4)),MONTH(INDEX($E$5:$E$1000,$R280-4)),1),MesCiclo)),IF(ISNUMBER($D280),DATE(YEAR($D280),MONTH($D280),1),IF(ISNUMBER($E280),DATE(YEAR($E280),MONTH($E280),1),MesCiclo))))</f>
        <v/>
      </c>
      <c r="Q280" s="71">
        <f>IF(OR($P280="",$P280&lt;&gt;MesCiclo),"",COUNTIF($P$5:$P280,MesCiclo))</f>
        <v/>
      </c>
      <c r="R280" s="71">
        <f>IF($S280="","",IF($S280="Macro",ROW(),IFERROR(LOOKUP(2,1/($S$5:$S280="Macro"),ROW($S$5:$S280)),0)))</f>
        <v/>
      </c>
      <c r="S280" s="71">
        <f>IF(NOT((COUNTA($B280:$J280)+COUNTA($N280))&gt;0),"",IF($B280="Subactividad","Sub","Macro"))</f>
        <v/>
      </c>
      <c r="T280" s="71">
        <f>IF($S280="Macro",COUNTIFS($R$5:$R$1000,ROW(),$S$5:$S$1000,"Sub"),"")</f>
        <v/>
      </c>
      <c r="U280" s="71">
        <f>IF($S280="","",IF(ISNUMBER($G280),$G280,0))</f>
        <v/>
      </c>
      <c r="V280" s="71">
        <f>IF($S280="","",IF(ISNUMBER($H280),$H280,$U280))</f>
        <v/>
      </c>
      <c r="W280" s="71">
        <f>IF($S280="","",IF(ISNUMBER($I280),$I280,$V280))</f>
        <v/>
      </c>
      <c r="X280" s="71">
        <f>IF($S280="","",IF(ISNUMBER($J280),$J280,$W280))</f>
        <v/>
      </c>
      <c r="Y280" s="71">
        <f>IF($S280="","",IF(N($T280)&gt;0,IF(N($AG280)&gt;0,SUMIFS($AC$5:$AC$1000,$R$5:$R$1000,ROW(),$S$5:$S$1000,"Sub")/$AG280,AVERAGEIFS($U$5:$U$1000,$R$5:$R$1000,ROW(),$S$5:$S$1000,"Sub")),$U280))</f>
        <v/>
      </c>
      <c r="Z280" s="71">
        <f>IF($S280="","",IF(N($T280)&gt;0,IF(N($AG280)&gt;0,SUMIFS($AD$5:$AD$1000,$R$5:$R$1000,ROW(),$S$5:$S$1000,"Sub")/$AG280,AVERAGEIFS($V$5:$V$1000,$R$5:$R$1000,ROW(),$S$5:$S$1000,"Sub")),$V280))</f>
        <v/>
      </c>
      <c r="AA280" s="71">
        <f>IF($S280="","",IF(N($T280)&gt;0,IF(N($AG280)&gt;0,SUMIFS($AE$5:$AE$1000,$R$5:$R$1000,ROW(),$S$5:$S$1000,"Sub")/$AG280,AVERAGEIFS($W$5:$W$1000,$R$5:$R$1000,ROW(),$S$5:$S$1000,"Sub")),$W280))</f>
        <v/>
      </c>
      <c r="AB280" s="71">
        <f>IF($S280="","",IF(N($T280)&gt;0,IF(N($AG280)&gt;0,SUMIFS($AF$5:$AF$1000,$R$5:$R$1000,ROW(),$S$5:$S$1000,"Sub")/$AG280,AVERAGEIFS($X$5:$X$1000,$R$5:$R$1000,ROW(),$S$5:$S$1000,"Sub")),$X280))</f>
        <v/>
      </c>
      <c r="AC280" s="71">
        <f>IF($S280="Sub",N($F280)*N($U280),"")</f>
        <v/>
      </c>
      <c r="AD280" s="71">
        <f>IF($S280="Sub",N($F280)*N($V280),"")</f>
        <v/>
      </c>
      <c r="AE280" s="71">
        <f>IF($S280="Sub",N($F280)*N($W280),"")</f>
        <v/>
      </c>
      <c r="AF280" s="71">
        <f>IF($S280="Sub",N($F280)*N($X280),"")</f>
        <v/>
      </c>
      <c r="AG280" s="71">
        <f>IF(N($T280)&gt;0,SUMIFS($F$5:$F$1000,$R$5:$R$1000,ROW(),$S$5:$S$1000,"Sub"),"")</f>
        <v/>
      </c>
    </row>
    <row r="281">
      <c r="A281" s="62">
        <f>IF(NOT((COUNTA($B281:$J281)+COUNTA($N281))&gt;0),"",IF($S281="Macro",COUNTIFS($S$5:$S281,"Macro",$P$5:$P281,$P281),IF(N($R281)=0,"?",COUNTIFS(INDEX($S$5:$S$1000,1):INDEX($S$5:$S$1000,$R281-4),"Macro",INDEX($P$5:$P$1000,1):INDEX($P$5:$P$1000,$R281-4),INDEX($P$5:$P$1000,$R281-4))&amp;"."&amp;COUNTIFS($R$5:$R281,$R281,$S$5:$S281,"Sub"))))</f>
        <v/>
      </c>
      <c r="B281" s="63" t="n"/>
      <c r="C281" s="64" t="n"/>
      <c r="D281" s="65" t="n"/>
      <c r="E281" s="65" t="n"/>
      <c r="F281" s="66" t="n"/>
      <c r="G281" s="67" t="n"/>
      <c r="H281" s="67" t="n"/>
      <c r="I281" s="67" t="n"/>
      <c r="J281" s="67" t="n"/>
      <c r="K281" s="68">
        <f>IF(NOT((COUNTA($B281:$J281)+COUNTA($N281))&gt;0),"",IF(N($T281)&gt;0,$AB281,IFERROR(LOOKUP(2,1/(G281:J281&lt;&gt;""),G281:J281),0)))</f>
        <v/>
      </c>
      <c r="L281" s="62">
        <f>IF(K281="","",IF(K281&gt;=1,"Completado",IF(K281&gt;0,"En curso","Pendiente")))</f>
        <v/>
      </c>
      <c r="M281" s="62">
        <f>IF(NOT((COUNTA($B281:$J281)+COUNTA($N281))&gt;0),"",IF(N($K281)&gt;=1,"Cumplida",IF(NOT(ISNUMBER($E281)),"Sin fecha límite",IF($E281&lt;FechaRef,"Vencida hace "&amp;(FechaRef-$E281)&amp;IF(FechaRef-$E281=1," día"," días"),IF($E281=FechaRef,"Vence hoy",IF($E281-FechaRef&lt;=DiasAlerta,"Vence en "&amp;($E281-FechaRef)&amp;IF($E281-FechaRef=1," día"," días"),"En plazo"))))))</f>
        <v/>
      </c>
      <c r="N281" s="64" t="n"/>
      <c r="O281" s="69">
        <f>IF(NOT((COUNTA($B281:$J281)+COUNTA($N281))&gt;0),"",IF((IF($C281="","Falta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",""))="","✔ OK","⚠ "&amp;LEFT(IF($C281="","Falta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",""),LEN(IF($C281="","Falta el nombre de la actividad"&amp;" · ","")&amp;IF(AND($S281="Sub",N($R281)=0),"Subactividad sin macroactividad arriba"&amp;" · ","")&amp;IF($D281="","Sin fecha de inicio"&amp;" · ","")&amp;IF($E281="","Sin fecha límite"&amp;" · ","")&amp;IF(OR(AND($D281&lt;&gt;"",NOT(ISNUMBER($D281))),AND($E281&lt;&gt;"",NOT(ISNUMBER($E281)))),"Fecha no válida"&amp;" · ","")&amp;IF(AND(ISNUMBER($D281),ISNUMBER($E281),$D281&gt;$E281),"Inicio posterior a fecha límite"&amp;" · ","")&amp;IF(AND($S281="Macro",$F281=""),"Peso vacío"&amp;" · ","")&amp;IF(AND($S281="Macro",$F281&lt;&gt;"",OR(NOT(ISNUMBER($F281)),$F281&lt;=0,$F281&gt;1)),"Peso fuera de rango"&amp;" · ","")&amp;IF(AND($S281="Sub",$F281&lt;&gt;"",OR(NOT(ISNUMBER($F281)),$F281&lt;0,$F281&gt;1)),"Peso fuera de rango"&amp;" · ","")&amp;IF(AND($S281="Sub",$F281="",IFERROR(N(INDEX($AG$5:$AG$1000,$R281-4)),0)&gt;0),"Falta el peso de la subactividad"&amp;" · ","")&amp;IF(AND(N($T281)&gt;0,N($AG281)&gt;0,ABS(N($AG281)-N($F281))&gt;0.0001),"Pesos de sus subactividades suman "&amp;TEXT(N($AG281),"0%")&amp;" (deben sumar "&amp;TEXT(N($F281),"0%")&amp;")"&amp;" · ","")&amp;IF(AND($S281="Macro",ABS(SUMIFS($F$5:$F$1000,$P$5:$P$1000,$P281,$S$5:$S$1000,"Macro")-1)&gt;0.0001),"Pesos del mes suman "&amp;TEXT(SUMIFS($F$5:$F$1000,$P$5:$P$1000,$P281,$S$5:$S$1000,"Macro"),"0%")&amp;" · ","")&amp;IF(AND(N($T281)&gt;0,COUNT($G281:$J281)&gt;0),"Con subactividades: deje vacías las semanas (se calculan solas)"&amp;" · ","")&amp;IF((COUNTIF($G281:$J281,"&gt;1")+COUNTIF($G281:$J281,"&lt;0")+COUNTA($G281:$J281)-COUNT($G281:$J281))&gt;0,"Avance fuera de rango 0-100%"&amp;" · ","")&amp;IF(OR(AND($H281&lt;&gt;"",$H281&lt;$G281),AND($I281&lt;&gt;"",$I281&lt;MAX($G281:$H281)),AND($J281&lt;&gt;"",$J281&lt;MAX($G281:$I281))),"Avance semanal decreciente"&amp;" · ","")&amp;IF(AND(ISNUMBER($E281),$E281&lt;FechaRef,N($K281)&lt;1),"Vencida"&amp;" · ","")&amp;IF(AND(ObsObligatoria="Sí",ISNUMBER($E281),$E281&lt;FechaRef,N($K281)&lt;1,$N281=""),"Vencida sin observación"&amp;" · ",""))-3)))</f>
        <v/>
      </c>
      <c r="P281" s="70">
        <f>IF(NOT((COUNTA($B281:$J281)+COUNTA($N281))&gt;0),"",IF(AND($S281="Sub",N($R281)&gt;0),IF(ISNUMBER(INDEX($D$5:$D$1000,$R281-4)),DATE(YEAR(INDEX($D$5:$D$1000,$R281-4)),MONTH(INDEX($D$5:$D$1000,$R281-4)),1),IF(ISNUMBER(INDEX($E$5:$E$1000,$R281-4)),DATE(YEAR(INDEX($E$5:$E$1000,$R281-4)),MONTH(INDEX($E$5:$E$1000,$R281-4)),1),MesCiclo)),IF(ISNUMBER($D281),DATE(YEAR($D281),MONTH($D281),1),IF(ISNUMBER($E281),DATE(YEAR($E281),MONTH($E281),1),MesCiclo))))</f>
        <v/>
      </c>
      <c r="Q281" s="71">
        <f>IF(OR($P281="",$P281&lt;&gt;MesCiclo),"",COUNTIF($P$5:$P281,MesCiclo))</f>
        <v/>
      </c>
      <c r="R281" s="71">
        <f>IF($S281="","",IF($S281="Macro",ROW(),IFERROR(LOOKUP(2,1/($S$5:$S281="Macro"),ROW($S$5:$S281)),0)))</f>
        <v/>
      </c>
      <c r="S281" s="71">
        <f>IF(NOT((COUNTA($B281:$J281)+COUNTA($N281))&gt;0),"",IF($B281="Subactividad","Sub","Macro"))</f>
        <v/>
      </c>
      <c r="T281" s="71">
        <f>IF($S281="Macro",COUNTIFS($R$5:$R$1000,ROW(),$S$5:$S$1000,"Sub"),"")</f>
        <v/>
      </c>
      <c r="U281" s="71">
        <f>IF($S281="","",IF(ISNUMBER($G281),$G281,0))</f>
        <v/>
      </c>
      <c r="V281" s="71">
        <f>IF($S281="","",IF(ISNUMBER($H281),$H281,$U281))</f>
        <v/>
      </c>
      <c r="W281" s="71">
        <f>IF($S281="","",IF(ISNUMBER($I281),$I281,$V281))</f>
        <v/>
      </c>
      <c r="X281" s="71">
        <f>IF($S281="","",IF(ISNUMBER($J281),$J281,$W281))</f>
        <v/>
      </c>
      <c r="Y281" s="71">
        <f>IF($S281="","",IF(N($T281)&gt;0,IF(N($AG281)&gt;0,SUMIFS($AC$5:$AC$1000,$R$5:$R$1000,ROW(),$S$5:$S$1000,"Sub")/$AG281,AVERAGEIFS($U$5:$U$1000,$R$5:$R$1000,ROW(),$S$5:$S$1000,"Sub")),$U281))</f>
        <v/>
      </c>
      <c r="Z281" s="71">
        <f>IF($S281="","",IF(N($T281)&gt;0,IF(N($AG281)&gt;0,SUMIFS($AD$5:$AD$1000,$R$5:$R$1000,ROW(),$S$5:$S$1000,"Sub")/$AG281,AVERAGEIFS($V$5:$V$1000,$R$5:$R$1000,ROW(),$S$5:$S$1000,"Sub")),$V281))</f>
        <v/>
      </c>
      <c r="AA281" s="71">
        <f>IF($S281="","",IF(N($T281)&gt;0,IF(N($AG281)&gt;0,SUMIFS($AE$5:$AE$1000,$R$5:$R$1000,ROW(),$S$5:$S$1000,"Sub")/$AG281,AVERAGEIFS($W$5:$W$1000,$R$5:$R$1000,ROW(),$S$5:$S$1000,"Sub")),$W281))</f>
        <v/>
      </c>
      <c r="AB281" s="71">
        <f>IF($S281="","",IF(N($T281)&gt;0,IF(N($AG281)&gt;0,SUMIFS($AF$5:$AF$1000,$R$5:$R$1000,ROW(),$S$5:$S$1000,"Sub")/$AG281,AVERAGEIFS($X$5:$X$1000,$R$5:$R$1000,ROW(),$S$5:$S$1000,"Sub")),$X281))</f>
        <v/>
      </c>
      <c r="AC281" s="71">
        <f>IF($S281="Sub",N($F281)*N($U281),"")</f>
        <v/>
      </c>
      <c r="AD281" s="71">
        <f>IF($S281="Sub",N($F281)*N($V281),"")</f>
        <v/>
      </c>
      <c r="AE281" s="71">
        <f>IF($S281="Sub",N($F281)*N($W281),"")</f>
        <v/>
      </c>
      <c r="AF281" s="71">
        <f>IF($S281="Sub",N($F281)*N($X281),"")</f>
        <v/>
      </c>
      <c r="AG281" s="71">
        <f>IF(N($T281)&gt;0,SUMIFS($F$5:$F$1000,$R$5:$R$1000,ROW(),$S$5:$S$1000,"Sub"),"")</f>
        <v/>
      </c>
    </row>
    <row r="282">
      <c r="A282" s="62">
        <f>IF(NOT((COUNTA($B282:$J282)+COUNTA($N282))&gt;0),"",IF($S282="Macro",COUNTIFS($S$5:$S282,"Macro",$P$5:$P282,$P282),IF(N($R282)=0,"?",COUNTIFS(INDEX($S$5:$S$1000,1):INDEX($S$5:$S$1000,$R282-4),"Macro",INDEX($P$5:$P$1000,1):INDEX($P$5:$P$1000,$R282-4),INDEX($P$5:$P$1000,$R282-4))&amp;"."&amp;COUNTIFS($R$5:$R282,$R282,$S$5:$S282,"Sub"))))</f>
        <v/>
      </c>
      <c r="B282" s="63" t="n"/>
      <c r="C282" s="64" t="n"/>
      <c r="D282" s="65" t="n"/>
      <c r="E282" s="65" t="n"/>
      <c r="F282" s="66" t="n"/>
      <c r="G282" s="67" t="n"/>
      <c r="H282" s="67" t="n"/>
      <c r="I282" s="67" t="n"/>
      <c r="J282" s="67" t="n"/>
      <c r="K282" s="68">
        <f>IF(NOT((COUNTA($B282:$J282)+COUNTA($N282))&gt;0),"",IF(N($T282)&gt;0,$AB282,IFERROR(LOOKUP(2,1/(G282:J282&lt;&gt;""),G282:J282),0)))</f>
        <v/>
      </c>
      <c r="L282" s="62">
        <f>IF(K282="","",IF(K282&gt;=1,"Completado",IF(K282&gt;0,"En curso","Pendiente")))</f>
        <v/>
      </c>
      <c r="M282" s="62">
        <f>IF(NOT((COUNTA($B282:$J282)+COUNTA($N282))&gt;0),"",IF(N($K282)&gt;=1,"Cumplida",IF(NOT(ISNUMBER($E282)),"Sin fecha límite",IF($E282&lt;FechaRef,"Vencida hace "&amp;(FechaRef-$E282)&amp;IF(FechaRef-$E282=1," día"," días"),IF($E282=FechaRef,"Vence hoy",IF($E282-FechaRef&lt;=DiasAlerta,"Vence en "&amp;($E282-FechaRef)&amp;IF($E282-FechaRef=1," día"," días"),"En plazo"))))))</f>
        <v/>
      </c>
      <c r="N282" s="64" t="n"/>
      <c r="O282" s="69">
        <f>IF(NOT((COUNTA($B282:$J282)+COUNTA($N282))&gt;0),"",IF((IF($C282="","Falta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",""))="","✔ OK","⚠ "&amp;LEFT(IF($C282="","Falta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",""),LEN(IF($C282="","Falta el nombre de la actividad"&amp;" · ","")&amp;IF(AND($S282="Sub",N($R282)=0),"Subactividad sin macroactividad arriba"&amp;" · ","")&amp;IF($D282="","Sin fecha de inicio"&amp;" · ","")&amp;IF($E282="","Sin fecha límite"&amp;" · ","")&amp;IF(OR(AND($D282&lt;&gt;"",NOT(ISNUMBER($D282))),AND($E282&lt;&gt;"",NOT(ISNUMBER($E282)))),"Fecha no válida"&amp;" · ","")&amp;IF(AND(ISNUMBER($D282),ISNUMBER($E282),$D282&gt;$E282),"Inicio posterior a fecha límite"&amp;" · ","")&amp;IF(AND($S282="Macro",$F282=""),"Peso vacío"&amp;" · ","")&amp;IF(AND($S282="Macro",$F282&lt;&gt;"",OR(NOT(ISNUMBER($F282)),$F282&lt;=0,$F282&gt;1)),"Peso fuera de rango"&amp;" · ","")&amp;IF(AND($S282="Sub",$F282&lt;&gt;"",OR(NOT(ISNUMBER($F282)),$F282&lt;0,$F282&gt;1)),"Peso fuera de rango"&amp;" · ","")&amp;IF(AND($S282="Sub",$F282="",IFERROR(N(INDEX($AG$5:$AG$1000,$R282-4)),0)&gt;0),"Falta el peso de la subactividad"&amp;" · ","")&amp;IF(AND(N($T282)&gt;0,N($AG282)&gt;0,ABS(N($AG282)-N($F282))&gt;0.0001),"Pesos de sus subactividades suman "&amp;TEXT(N($AG282),"0%")&amp;" (deben sumar "&amp;TEXT(N($F282),"0%")&amp;")"&amp;" · ","")&amp;IF(AND($S282="Macro",ABS(SUMIFS($F$5:$F$1000,$P$5:$P$1000,$P282,$S$5:$S$1000,"Macro")-1)&gt;0.0001),"Pesos del mes suman "&amp;TEXT(SUMIFS($F$5:$F$1000,$P$5:$P$1000,$P282,$S$5:$S$1000,"Macro"),"0%")&amp;" · ","")&amp;IF(AND(N($T282)&gt;0,COUNT($G282:$J282)&gt;0),"Con subactividades: deje vacías las semanas (se calculan solas)"&amp;" · ","")&amp;IF((COUNTIF($G282:$J282,"&gt;1")+COUNTIF($G282:$J282,"&lt;0")+COUNTA($G282:$J282)-COUNT($G282:$J282))&gt;0,"Avance fuera de rango 0-100%"&amp;" · ","")&amp;IF(OR(AND($H282&lt;&gt;"",$H282&lt;$G282),AND($I282&lt;&gt;"",$I282&lt;MAX($G282:$H282)),AND($J282&lt;&gt;"",$J282&lt;MAX($G282:$I282))),"Avance semanal decreciente"&amp;" · ","")&amp;IF(AND(ISNUMBER($E282),$E282&lt;FechaRef,N($K282)&lt;1),"Vencida"&amp;" · ","")&amp;IF(AND(ObsObligatoria="Sí",ISNUMBER($E282),$E282&lt;FechaRef,N($K282)&lt;1,$N282=""),"Vencida sin observación"&amp;" · ",""))-3)))</f>
        <v/>
      </c>
      <c r="P282" s="70">
        <f>IF(NOT((COUNTA($B282:$J282)+COUNTA($N282))&gt;0),"",IF(AND($S282="Sub",N($R282)&gt;0),IF(ISNUMBER(INDEX($D$5:$D$1000,$R282-4)),DATE(YEAR(INDEX($D$5:$D$1000,$R282-4)),MONTH(INDEX($D$5:$D$1000,$R282-4)),1),IF(ISNUMBER(INDEX($E$5:$E$1000,$R282-4)),DATE(YEAR(INDEX($E$5:$E$1000,$R282-4)),MONTH(INDEX($E$5:$E$1000,$R282-4)),1),MesCiclo)),IF(ISNUMBER($D282),DATE(YEAR($D282),MONTH($D282),1),IF(ISNUMBER($E282),DATE(YEAR($E282),MONTH($E282),1),MesCiclo))))</f>
        <v/>
      </c>
      <c r="Q282" s="71">
        <f>IF(OR($P282="",$P282&lt;&gt;MesCiclo),"",COUNTIF($P$5:$P282,MesCiclo))</f>
        <v/>
      </c>
      <c r="R282" s="71">
        <f>IF($S282="","",IF($S282="Macro",ROW(),IFERROR(LOOKUP(2,1/($S$5:$S282="Macro"),ROW($S$5:$S282)),0)))</f>
        <v/>
      </c>
      <c r="S282" s="71">
        <f>IF(NOT((COUNTA($B282:$J282)+COUNTA($N282))&gt;0),"",IF($B282="Subactividad","Sub","Macro"))</f>
        <v/>
      </c>
      <c r="T282" s="71">
        <f>IF($S282="Macro",COUNTIFS($R$5:$R$1000,ROW(),$S$5:$S$1000,"Sub"),"")</f>
        <v/>
      </c>
      <c r="U282" s="71">
        <f>IF($S282="","",IF(ISNUMBER($G282),$G282,0))</f>
        <v/>
      </c>
      <c r="V282" s="71">
        <f>IF($S282="","",IF(ISNUMBER($H282),$H282,$U282))</f>
        <v/>
      </c>
      <c r="W282" s="71">
        <f>IF($S282="","",IF(ISNUMBER($I282),$I282,$V282))</f>
        <v/>
      </c>
      <c r="X282" s="71">
        <f>IF($S282="","",IF(ISNUMBER($J282),$J282,$W282))</f>
        <v/>
      </c>
      <c r="Y282" s="71">
        <f>IF($S282="","",IF(N($T282)&gt;0,IF(N($AG282)&gt;0,SUMIFS($AC$5:$AC$1000,$R$5:$R$1000,ROW(),$S$5:$S$1000,"Sub")/$AG282,AVERAGEIFS($U$5:$U$1000,$R$5:$R$1000,ROW(),$S$5:$S$1000,"Sub")),$U282))</f>
        <v/>
      </c>
      <c r="Z282" s="71">
        <f>IF($S282="","",IF(N($T282)&gt;0,IF(N($AG282)&gt;0,SUMIFS($AD$5:$AD$1000,$R$5:$R$1000,ROW(),$S$5:$S$1000,"Sub")/$AG282,AVERAGEIFS($V$5:$V$1000,$R$5:$R$1000,ROW(),$S$5:$S$1000,"Sub")),$V282))</f>
        <v/>
      </c>
      <c r="AA282" s="71">
        <f>IF($S282="","",IF(N($T282)&gt;0,IF(N($AG282)&gt;0,SUMIFS($AE$5:$AE$1000,$R$5:$R$1000,ROW(),$S$5:$S$1000,"Sub")/$AG282,AVERAGEIFS($W$5:$W$1000,$R$5:$R$1000,ROW(),$S$5:$S$1000,"Sub")),$W282))</f>
        <v/>
      </c>
      <c r="AB282" s="71">
        <f>IF($S282="","",IF(N($T282)&gt;0,IF(N($AG282)&gt;0,SUMIFS($AF$5:$AF$1000,$R$5:$R$1000,ROW(),$S$5:$S$1000,"Sub")/$AG282,AVERAGEIFS($X$5:$X$1000,$R$5:$R$1000,ROW(),$S$5:$S$1000,"Sub")),$X282))</f>
        <v/>
      </c>
      <c r="AC282" s="71">
        <f>IF($S282="Sub",N($F282)*N($U282),"")</f>
        <v/>
      </c>
      <c r="AD282" s="71">
        <f>IF($S282="Sub",N($F282)*N($V282),"")</f>
        <v/>
      </c>
      <c r="AE282" s="71">
        <f>IF($S282="Sub",N($F282)*N($W282),"")</f>
        <v/>
      </c>
      <c r="AF282" s="71">
        <f>IF($S282="Sub",N($F282)*N($X282),"")</f>
        <v/>
      </c>
      <c r="AG282" s="71">
        <f>IF(N($T282)&gt;0,SUMIFS($F$5:$F$1000,$R$5:$R$1000,ROW(),$S$5:$S$1000,"Sub"),"")</f>
        <v/>
      </c>
    </row>
    <row r="283">
      <c r="A283" s="62">
        <f>IF(NOT((COUNTA($B283:$J283)+COUNTA($N283))&gt;0),"",IF($S283="Macro",COUNTIFS($S$5:$S283,"Macro",$P$5:$P283,$P283),IF(N($R283)=0,"?",COUNTIFS(INDEX($S$5:$S$1000,1):INDEX($S$5:$S$1000,$R283-4),"Macro",INDEX($P$5:$P$1000,1):INDEX($P$5:$P$1000,$R283-4),INDEX($P$5:$P$1000,$R283-4))&amp;"."&amp;COUNTIFS($R$5:$R283,$R283,$S$5:$S283,"Sub"))))</f>
        <v/>
      </c>
      <c r="B283" s="63" t="n"/>
      <c r="C283" s="64" t="n"/>
      <c r="D283" s="65" t="n"/>
      <c r="E283" s="65" t="n"/>
      <c r="F283" s="66" t="n"/>
      <c r="G283" s="67" t="n"/>
      <c r="H283" s="67" t="n"/>
      <c r="I283" s="67" t="n"/>
      <c r="J283" s="67" t="n"/>
      <c r="K283" s="68">
        <f>IF(NOT((COUNTA($B283:$J283)+COUNTA($N283))&gt;0),"",IF(N($T283)&gt;0,$AB283,IFERROR(LOOKUP(2,1/(G283:J283&lt;&gt;""),G283:J283),0)))</f>
        <v/>
      </c>
      <c r="L283" s="62">
        <f>IF(K283="","",IF(K283&gt;=1,"Completado",IF(K283&gt;0,"En curso","Pendiente")))</f>
        <v/>
      </c>
      <c r="M283" s="62">
        <f>IF(NOT((COUNTA($B283:$J283)+COUNTA($N283))&gt;0),"",IF(N($K283)&gt;=1,"Cumplida",IF(NOT(ISNUMBER($E283)),"Sin fecha límite",IF($E283&lt;FechaRef,"Vencida hace "&amp;(FechaRef-$E283)&amp;IF(FechaRef-$E283=1," día"," días"),IF($E283=FechaRef,"Vence hoy",IF($E283-FechaRef&lt;=DiasAlerta,"Vence en "&amp;($E283-FechaRef)&amp;IF($E283-FechaRef=1," día"," días"),"En plazo"))))))</f>
        <v/>
      </c>
      <c r="N283" s="64" t="n"/>
      <c r="O283" s="69">
        <f>IF(NOT((COUNTA($B283:$J283)+COUNTA($N283))&gt;0),"",IF((IF($C283="","Falta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",""))="","✔ OK","⚠ "&amp;LEFT(IF($C283="","Falta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",""),LEN(IF($C283="","Falta el nombre de la actividad"&amp;" · ","")&amp;IF(AND($S283="Sub",N($R283)=0),"Subactividad sin macroactividad arriba"&amp;" · ","")&amp;IF($D283="","Sin fecha de inicio"&amp;" · ","")&amp;IF($E283="","Sin fecha límite"&amp;" · ","")&amp;IF(OR(AND($D283&lt;&gt;"",NOT(ISNUMBER($D283))),AND($E283&lt;&gt;"",NOT(ISNUMBER($E283)))),"Fecha no válida"&amp;" · ","")&amp;IF(AND(ISNUMBER($D283),ISNUMBER($E283),$D283&gt;$E283),"Inicio posterior a fecha límite"&amp;" · ","")&amp;IF(AND($S283="Macro",$F283=""),"Peso vacío"&amp;" · ","")&amp;IF(AND($S283="Macro",$F283&lt;&gt;"",OR(NOT(ISNUMBER($F283)),$F283&lt;=0,$F283&gt;1)),"Peso fuera de rango"&amp;" · ","")&amp;IF(AND($S283="Sub",$F283&lt;&gt;"",OR(NOT(ISNUMBER($F283)),$F283&lt;0,$F283&gt;1)),"Peso fuera de rango"&amp;" · ","")&amp;IF(AND($S283="Sub",$F283="",IFERROR(N(INDEX($AG$5:$AG$1000,$R283-4)),0)&gt;0),"Falta el peso de la subactividad"&amp;" · ","")&amp;IF(AND(N($T283)&gt;0,N($AG283)&gt;0,ABS(N($AG283)-N($F283))&gt;0.0001),"Pesos de sus subactividades suman "&amp;TEXT(N($AG283),"0%")&amp;" (deben sumar "&amp;TEXT(N($F283),"0%")&amp;")"&amp;" · ","")&amp;IF(AND($S283="Macro",ABS(SUMIFS($F$5:$F$1000,$P$5:$P$1000,$P283,$S$5:$S$1000,"Macro")-1)&gt;0.0001),"Pesos del mes suman "&amp;TEXT(SUMIFS($F$5:$F$1000,$P$5:$P$1000,$P283,$S$5:$S$1000,"Macro"),"0%")&amp;" · ","")&amp;IF(AND(N($T283)&gt;0,COUNT($G283:$J283)&gt;0),"Con subactividades: deje vacías las semanas (se calculan solas)"&amp;" · ","")&amp;IF((COUNTIF($G283:$J283,"&gt;1")+COUNTIF($G283:$J283,"&lt;0")+COUNTA($G283:$J283)-COUNT($G283:$J283))&gt;0,"Avance fuera de rango 0-100%"&amp;" · ","")&amp;IF(OR(AND($H283&lt;&gt;"",$H283&lt;$G283),AND($I283&lt;&gt;"",$I283&lt;MAX($G283:$H283)),AND($J283&lt;&gt;"",$J283&lt;MAX($G283:$I283))),"Avance semanal decreciente"&amp;" · ","")&amp;IF(AND(ISNUMBER($E283),$E283&lt;FechaRef,N($K283)&lt;1),"Vencida"&amp;" · ","")&amp;IF(AND(ObsObligatoria="Sí",ISNUMBER($E283),$E283&lt;FechaRef,N($K283)&lt;1,$N283=""),"Vencida sin observación"&amp;" · ",""))-3)))</f>
        <v/>
      </c>
      <c r="P283" s="70">
        <f>IF(NOT((COUNTA($B283:$J283)+COUNTA($N283))&gt;0),"",IF(AND($S283="Sub",N($R283)&gt;0),IF(ISNUMBER(INDEX($D$5:$D$1000,$R283-4)),DATE(YEAR(INDEX($D$5:$D$1000,$R283-4)),MONTH(INDEX($D$5:$D$1000,$R283-4)),1),IF(ISNUMBER(INDEX($E$5:$E$1000,$R283-4)),DATE(YEAR(INDEX($E$5:$E$1000,$R283-4)),MONTH(INDEX($E$5:$E$1000,$R283-4)),1),MesCiclo)),IF(ISNUMBER($D283),DATE(YEAR($D283),MONTH($D283),1),IF(ISNUMBER($E283),DATE(YEAR($E283),MONTH($E283),1),MesCiclo))))</f>
        <v/>
      </c>
      <c r="Q283" s="71">
        <f>IF(OR($P283="",$P283&lt;&gt;MesCiclo),"",COUNTIF($P$5:$P283,MesCiclo))</f>
        <v/>
      </c>
      <c r="R283" s="71">
        <f>IF($S283="","",IF($S283="Macro",ROW(),IFERROR(LOOKUP(2,1/($S$5:$S283="Macro"),ROW($S$5:$S283)),0)))</f>
        <v/>
      </c>
      <c r="S283" s="71">
        <f>IF(NOT((COUNTA($B283:$J283)+COUNTA($N283))&gt;0),"",IF($B283="Subactividad","Sub","Macro"))</f>
        <v/>
      </c>
      <c r="T283" s="71">
        <f>IF($S283="Macro",COUNTIFS($R$5:$R$1000,ROW(),$S$5:$S$1000,"Sub"),"")</f>
        <v/>
      </c>
      <c r="U283" s="71">
        <f>IF($S283="","",IF(ISNUMBER($G283),$G283,0))</f>
        <v/>
      </c>
      <c r="V283" s="71">
        <f>IF($S283="","",IF(ISNUMBER($H283),$H283,$U283))</f>
        <v/>
      </c>
      <c r="W283" s="71">
        <f>IF($S283="","",IF(ISNUMBER($I283),$I283,$V283))</f>
        <v/>
      </c>
      <c r="X283" s="71">
        <f>IF($S283="","",IF(ISNUMBER($J283),$J283,$W283))</f>
        <v/>
      </c>
      <c r="Y283" s="71">
        <f>IF($S283="","",IF(N($T283)&gt;0,IF(N($AG283)&gt;0,SUMIFS($AC$5:$AC$1000,$R$5:$R$1000,ROW(),$S$5:$S$1000,"Sub")/$AG283,AVERAGEIFS($U$5:$U$1000,$R$5:$R$1000,ROW(),$S$5:$S$1000,"Sub")),$U283))</f>
        <v/>
      </c>
      <c r="Z283" s="71">
        <f>IF($S283="","",IF(N($T283)&gt;0,IF(N($AG283)&gt;0,SUMIFS($AD$5:$AD$1000,$R$5:$R$1000,ROW(),$S$5:$S$1000,"Sub")/$AG283,AVERAGEIFS($V$5:$V$1000,$R$5:$R$1000,ROW(),$S$5:$S$1000,"Sub")),$V283))</f>
        <v/>
      </c>
      <c r="AA283" s="71">
        <f>IF($S283="","",IF(N($T283)&gt;0,IF(N($AG283)&gt;0,SUMIFS($AE$5:$AE$1000,$R$5:$R$1000,ROW(),$S$5:$S$1000,"Sub")/$AG283,AVERAGEIFS($W$5:$W$1000,$R$5:$R$1000,ROW(),$S$5:$S$1000,"Sub")),$W283))</f>
        <v/>
      </c>
      <c r="AB283" s="71">
        <f>IF($S283="","",IF(N($T283)&gt;0,IF(N($AG283)&gt;0,SUMIFS($AF$5:$AF$1000,$R$5:$R$1000,ROW(),$S$5:$S$1000,"Sub")/$AG283,AVERAGEIFS($X$5:$X$1000,$R$5:$R$1000,ROW(),$S$5:$S$1000,"Sub")),$X283))</f>
        <v/>
      </c>
      <c r="AC283" s="71">
        <f>IF($S283="Sub",N($F283)*N($U283),"")</f>
        <v/>
      </c>
      <c r="AD283" s="71">
        <f>IF($S283="Sub",N($F283)*N($V283),"")</f>
        <v/>
      </c>
      <c r="AE283" s="71">
        <f>IF($S283="Sub",N($F283)*N($W283),"")</f>
        <v/>
      </c>
      <c r="AF283" s="71">
        <f>IF($S283="Sub",N($F283)*N($X283),"")</f>
        <v/>
      </c>
      <c r="AG283" s="71">
        <f>IF(N($T283)&gt;0,SUMIFS($F$5:$F$1000,$R$5:$R$1000,ROW(),$S$5:$S$1000,"Sub"),"")</f>
        <v/>
      </c>
    </row>
    <row r="284">
      <c r="A284" s="62">
        <f>IF(NOT((COUNTA($B284:$J284)+COUNTA($N284))&gt;0),"",IF($S284="Macro",COUNTIFS($S$5:$S284,"Macro",$P$5:$P284,$P284),IF(N($R284)=0,"?",COUNTIFS(INDEX($S$5:$S$1000,1):INDEX($S$5:$S$1000,$R284-4),"Macro",INDEX($P$5:$P$1000,1):INDEX($P$5:$P$1000,$R284-4),INDEX($P$5:$P$1000,$R284-4))&amp;"."&amp;COUNTIFS($R$5:$R284,$R284,$S$5:$S284,"Sub"))))</f>
        <v/>
      </c>
      <c r="B284" s="63" t="n"/>
      <c r="C284" s="64" t="n"/>
      <c r="D284" s="65" t="n"/>
      <c r="E284" s="65" t="n"/>
      <c r="F284" s="66" t="n"/>
      <c r="G284" s="67" t="n"/>
      <c r="H284" s="67" t="n"/>
      <c r="I284" s="67" t="n"/>
      <c r="J284" s="67" t="n"/>
      <c r="K284" s="68">
        <f>IF(NOT((COUNTA($B284:$J284)+COUNTA($N284))&gt;0),"",IF(N($T284)&gt;0,$AB284,IFERROR(LOOKUP(2,1/(G284:J284&lt;&gt;""),G284:J284),0)))</f>
        <v/>
      </c>
      <c r="L284" s="62">
        <f>IF(K284="","",IF(K284&gt;=1,"Completado",IF(K284&gt;0,"En curso","Pendiente")))</f>
        <v/>
      </c>
      <c r="M284" s="62">
        <f>IF(NOT((COUNTA($B284:$J284)+COUNTA($N284))&gt;0),"",IF(N($K284)&gt;=1,"Cumplida",IF(NOT(ISNUMBER($E284)),"Sin fecha límite",IF($E284&lt;FechaRef,"Vencida hace "&amp;(FechaRef-$E284)&amp;IF(FechaRef-$E284=1," día"," días"),IF($E284=FechaRef,"Vence hoy",IF($E284-FechaRef&lt;=DiasAlerta,"Vence en "&amp;($E284-FechaRef)&amp;IF($E284-FechaRef=1," día"," días"),"En plazo"))))))</f>
        <v/>
      </c>
      <c r="N284" s="64" t="n"/>
      <c r="O284" s="69">
        <f>IF(NOT((COUNTA($B284:$J284)+COUNTA($N284))&gt;0),"",IF((IF($C284="","Falta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",""))="","✔ OK","⚠ "&amp;LEFT(IF($C284="","Falta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",""),LEN(IF($C284="","Falta el nombre de la actividad"&amp;" · ","")&amp;IF(AND($S284="Sub",N($R284)=0),"Subactividad sin macroactividad arriba"&amp;" · ","")&amp;IF($D284="","Sin fecha de inicio"&amp;" · ","")&amp;IF($E284="","Sin fecha límite"&amp;" · ","")&amp;IF(OR(AND($D284&lt;&gt;"",NOT(ISNUMBER($D284))),AND($E284&lt;&gt;"",NOT(ISNUMBER($E284)))),"Fecha no válida"&amp;" · ","")&amp;IF(AND(ISNUMBER($D284),ISNUMBER($E284),$D284&gt;$E284),"Inicio posterior a fecha límite"&amp;" · ","")&amp;IF(AND($S284="Macro",$F284=""),"Peso vacío"&amp;" · ","")&amp;IF(AND($S284="Macro",$F284&lt;&gt;"",OR(NOT(ISNUMBER($F284)),$F284&lt;=0,$F284&gt;1)),"Peso fuera de rango"&amp;" · ","")&amp;IF(AND($S284="Sub",$F284&lt;&gt;"",OR(NOT(ISNUMBER($F284)),$F284&lt;0,$F284&gt;1)),"Peso fuera de rango"&amp;" · ","")&amp;IF(AND($S284="Sub",$F284="",IFERROR(N(INDEX($AG$5:$AG$1000,$R284-4)),0)&gt;0),"Falta el peso de la subactividad"&amp;" · ","")&amp;IF(AND(N($T284)&gt;0,N($AG284)&gt;0,ABS(N($AG284)-N($F284))&gt;0.0001),"Pesos de sus subactividades suman "&amp;TEXT(N($AG284),"0%")&amp;" (deben sumar "&amp;TEXT(N($F284),"0%")&amp;")"&amp;" · ","")&amp;IF(AND($S284="Macro",ABS(SUMIFS($F$5:$F$1000,$P$5:$P$1000,$P284,$S$5:$S$1000,"Macro")-1)&gt;0.0001),"Pesos del mes suman "&amp;TEXT(SUMIFS($F$5:$F$1000,$P$5:$P$1000,$P284,$S$5:$S$1000,"Macro"),"0%")&amp;" · ","")&amp;IF(AND(N($T284)&gt;0,COUNT($G284:$J284)&gt;0),"Con subactividades: deje vacías las semanas (se calculan solas)"&amp;" · ","")&amp;IF((COUNTIF($G284:$J284,"&gt;1")+COUNTIF($G284:$J284,"&lt;0")+COUNTA($G284:$J284)-COUNT($G284:$J284))&gt;0,"Avance fuera de rango 0-100%"&amp;" · ","")&amp;IF(OR(AND($H284&lt;&gt;"",$H284&lt;$G284),AND($I284&lt;&gt;"",$I284&lt;MAX($G284:$H284)),AND($J284&lt;&gt;"",$J284&lt;MAX($G284:$I284))),"Avance semanal decreciente"&amp;" · ","")&amp;IF(AND(ISNUMBER($E284),$E284&lt;FechaRef,N($K284)&lt;1),"Vencida"&amp;" · ","")&amp;IF(AND(ObsObligatoria="Sí",ISNUMBER($E284),$E284&lt;FechaRef,N($K284)&lt;1,$N284=""),"Vencida sin observación"&amp;" · ",""))-3)))</f>
        <v/>
      </c>
      <c r="P284" s="70">
        <f>IF(NOT((COUNTA($B284:$J284)+COUNTA($N284))&gt;0),"",IF(AND($S284="Sub",N($R284)&gt;0),IF(ISNUMBER(INDEX($D$5:$D$1000,$R284-4)),DATE(YEAR(INDEX($D$5:$D$1000,$R284-4)),MONTH(INDEX($D$5:$D$1000,$R284-4)),1),IF(ISNUMBER(INDEX($E$5:$E$1000,$R284-4)),DATE(YEAR(INDEX($E$5:$E$1000,$R284-4)),MONTH(INDEX($E$5:$E$1000,$R284-4)),1),MesCiclo)),IF(ISNUMBER($D284),DATE(YEAR($D284),MONTH($D284),1),IF(ISNUMBER($E284),DATE(YEAR($E284),MONTH($E284),1),MesCiclo))))</f>
        <v/>
      </c>
      <c r="Q284" s="71">
        <f>IF(OR($P284="",$P284&lt;&gt;MesCiclo),"",COUNTIF($P$5:$P284,MesCiclo))</f>
        <v/>
      </c>
      <c r="R284" s="71">
        <f>IF($S284="","",IF($S284="Macro",ROW(),IFERROR(LOOKUP(2,1/($S$5:$S284="Macro"),ROW($S$5:$S284)),0)))</f>
        <v/>
      </c>
      <c r="S284" s="71">
        <f>IF(NOT((COUNTA($B284:$J284)+COUNTA($N284))&gt;0),"",IF($B284="Subactividad","Sub","Macro"))</f>
        <v/>
      </c>
      <c r="T284" s="71">
        <f>IF($S284="Macro",COUNTIFS($R$5:$R$1000,ROW(),$S$5:$S$1000,"Sub"),"")</f>
        <v/>
      </c>
      <c r="U284" s="71">
        <f>IF($S284="","",IF(ISNUMBER($G284),$G284,0))</f>
        <v/>
      </c>
      <c r="V284" s="71">
        <f>IF($S284="","",IF(ISNUMBER($H284),$H284,$U284))</f>
        <v/>
      </c>
      <c r="W284" s="71">
        <f>IF($S284="","",IF(ISNUMBER($I284),$I284,$V284))</f>
        <v/>
      </c>
      <c r="X284" s="71">
        <f>IF($S284="","",IF(ISNUMBER($J284),$J284,$W284))</f>
        <v/>
      </c>
      <c r="Y284" s="71">
        <f>IF($S284="","",IF(N($T284)&gt;0,IF(N($AG284)&gt;0,SUMIFS($AC$5:$AC$1000,$R$5:$R$1000,ROW(),$S$5:$S$1000,"Sub")/$AG284,AVERAGEIFS($U$5:$U$1000,$R$5:$R$1000,ROW(),$S$5:$S$1000,"Sub")),$U284))</f>
        <v/>
      </c>
      <c r="Z284" s="71">
        <f>IF($S284="","",IF(N($T284)&gt;0,IF(N($AG284)&gt;0,SUMIFS($AD$5:$AD$1000,$R$5:$R$1000,ROW(),$S$5:$S$1000,"Sub")/$AG284,AVERAGEIFS($V$5:$V$1000,$R$5:$R$1000,ROW(),$S$5:$S$1000,"Sub")),$V284))</f>
        <v/>
      </c>
      <c r="AA284" s="71">
        <f>IF($S284="","",IF(N($T284)&gt;0,IF(N($AG284)&gt;0,SUMIFS($AE$5:$AE$1000,$R$5:$R$1000,ROW(),$S$5:$S$1000,"Sub")/$AG284,AVERAGEIFS($W$5:$W$1000,$R$5:$R$1000,ROW(),$S$5:$S$1000,"Sub")),$W284))</f>
        <v/>
      </c>
      <c r="AB284" s="71">
        <f>IF($S284="","",IF(N($T284)&gt;0,IF(N($AG284)&gt;0,SUMIFS($AF$5:$AF$1000,$R$5:$R$1000,ROW(),$S$5:$S$1000,"Sub")/$AG284,AVERAGEIFS($X$5:$X$1000,$R$5:$R$1000,ROW(),$S$5:$S$1000,"Sub")),$X284))</f>
        <v/>
      </c>
      <c r="AC284" s="71">
        <f>IF($S284="Sub",N($F284)*N($U284),"")</f>
        <v/>
      </c>
      <c r="AD284" s="71">
        <f>IF($S284="Sub",N($F284)*N($V284),"")</f>
        <v/>
      </c>
      <c r="AE284" s="71">
        <f>IF($S284="Sub",N($F284)*N($W284),"")</f>
        <v/>
      </c>
      <c r="AF284" s="71">
        <f>IF($S284="Sub",N($F284)*N($X284),"")</f>
        <v/>
      </c>
      <c r="AG284" s="71">
        <f>IF(N($T284)&gt;0,SUMIFS($F$5:$F$1000,$R$5:$R$1000,ROW(),$S$5:$S$1000,"Sub"),"")</f>
        <v/>
      </c>
    </row>
    <row r="285">
      <c r="A285" s="62">
        <f>IF(NOT((COUNTA($B285:$J285)+COUNTA($N285))&gt;0),"",IF($S285="Macro",COUNTIFS($S$5:$S285,"Macro",$P$5:$P285,$P285),IF(N($R285)=0,"?",COUNTIFS(INDEX($S$5:$S$1000,1):INDEX($S$5:$S$1000,$R285-4),"Macro",INDEX($P$5:$P$1000,1):INDEX($P$5:$P$1000,$R285-4),INDEX($P$5:$P$1000,$R285-4))&amp;"."&amp;COUNTIFS($R$5:$R285,$R285,$S$5:$S285,"Sub"))))</f>
        <v/>
      </c>
      <c r="B285" s="63" t="n"/>
      <c r="C285" s="64" t="n"/>
      <c r="D285" s="65" t="n"/>
      <c r="E285" s="65" t="n"/>
      <c r="F285" s="66" t="n"/>
      <c r="G285" s="67" t="n"/>
      <c r="H285" s="67" t="n"/>
      <c r="I285" s="67" t="n"/>
      <c r="J285" s="67" t="n"/>
      <c r="K285" s="68">
        <f>IF(NOT((COUNTA($B285:$J285)+COUNTA($N285))&gt;0),"",IF(N($T285)&gt;0,$AB285,IFERROR(LOOKUP(2,1/(G285:J285&lt;&gt;""),G285:J285),0)))</f>
        <v/>
      </c>
      <c r="L285" s="62">
        <f>IF(K285="","",IF(K285&gt;=1,"Completado",IF(K285&gt;0,"En curso","Pendiente")))</f>
        <v/>
      </c>
      <c r="M285" s="62">
        <f>IF(NOT((COUNTA($B285:$J285)+COUNTA($N285))&gt;0),"",IF(N($K285)&gt;=1,"Cumplida",IF(NOT(ISNUMBER($E285)),"Sin fecha límite",IF($E285&lt;FechaRef,"Vencida hace "&amp;(FechaRef-$E285)&amp;IF(FechaRef-$E285=1," día"," días"),IF($E285=FechaRef,"Vence hoy",IF($E285-FechaRef&lt;=DiasAlerta,"Vence en "&amp;($E285-FechaRef)&amp;IF($E285-FechaRef=1," día"," días"),"En plazo"))))))</f>
        <v/>
      </c>
      <c r="N285" s="64" t="n"/>
      <c r="O285" s="69">
        <f>IF(NOT((COUNTA($B285:$J285)+COUNTA($N285))&gt;0),"",IF((IF($C285="","Falta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",""))="","✔ OK","⚠ "&amp;LEFT(IF($C285="","Falta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",""),LEN(IF($C285="","Falta el nombre de la actividad"&amp;" · ","")&amp;IF(AND($S285="Sub",N($R285)=0),"Subactividad sin macroactividad arriba"&amp;" · ","")&amp;IF($D285="","Sin fecha de inicio"&amp;" · ","")&amp;IF($E285="","Sin fecha límite"&amp;" · ","")&amp;IF(OR(AND($D285&lt;&gt;"",NOT(ISNUMBER($D285))),AND($E285&lt;&gt;"",NOT(ISNUMBER($E285)))),"Fecha no válida"&amp;" · ","")&amp;IF(AND(ISNUMBER($D285),ISNUMBER($E285),$D285&gt;$E285),"Inicio posterior a fecha límite"&amp;" · ","")&amp;IF(AND($S285="Macro",$F285=""),"Peso vacío"&amp;" · ","")&amp;IF(AND($S285="Macro",$F285&lt;&gt;"",OR(NOT(ISNUMBER($F285)),$F285&lt;=0,$F285&gt;1)),"Peso fuera de rango"&amp;" · ","")&amp;IF(AND($S285="Sub",$F285&lt;&gt;"",OR(NOT(ISNUMBER($F285)),$F285&lt;0,$F285&gt;1)),"Peso fuera de rango"&amp;" · ","")&amp;IF(AND($S285="Sub",$F285="",IFERROR(N(INDEX($AG$5:$AG$1000,$R285-4)),0)&gt;0),"Falta el peso de la subactividad"&amp;" · ","")&amp;IF(AND(N($T285)&gt;0,N($AG285)&gt;0,ABS(N($AG285)-N($F285))&gt;0.0001),"Pesos de sus subactividades suman "&amp;TEXT(N($AG285),"0%")&amp;" (deben sumar "&amp;TEXT(N($F285),"0%")&amp;")"&amp;" · ","")&amp;IF(AND($S285="Macro",ABS(SUMIFS($F$5:$F$1000,$P$5:$P$1000,$P285,$S$5:$S$1000,"Macro")-1)&gt;0.0001),"Pesos del mes suman "&amp;TEXT(SUMIFS($F$5:$F$1000,$P$5:$P$1000,$P285,$S$5:$S$1000,"Macro"),"0%")&amp;" · ","")&amp;IF(AND(N($T285)&gt;0,COUNT($G285:$J285)&gt;0),"Con subactividades: deje vacías las semanas (se calculan solas)"&amp;" · ","")&amp;IF((COUNTIF($G285:$J285,"&gt;1")+COUNTIF($G285:$J285,"&lt;0")+COUNTA($G285:$J285)-COUNT($G285:$J285))&gt;0,"Avance fuera de rango 0-100%"&amp;" · ","")&amp;IF(OR(AND($H285&lt;&gt;"",$H285&lt;$G285),AND($I285&lt;&gt;"",$I285&lt;MAX($G285:$H285)),AND($J285&lt;&gt;"",$J285&lt;MAX($G285:$I285))),"Avance semanal decreciente"&amp;" · ","")&amp;IF(AND(ISNUMBER($E285),$E285&lt;FechaRef,N($K285)&lt;1),"Vencida"&amp;" · ","")&amp;IF(AND(ObsObligatoria="Sí",ISNUMBER($E285),$E285&lt;FechaRef,N($K285)&lt;1,$N285=""),"Vencida sin observación"&amp;" · ",""))-3)))</f>
        <v/>
      </c>
      <c r="P285" s="70">
        <f>IF(NOT((COUNTA($B285:$J285)+COUNTA($N285))&gt;0),"",IF(AND($S285="Sub",N($R285)&gt;0),IF(ISNUMBER(INDEX($D$5:$D$1000,$R285-4)),DATE(YEAR(INDEX($D$5:$D$1000,$R285-4)),MONTH(INDEX($D$5:$D$1000,$R285-4)),1),IF(ISNUMBER(INDEX($E$5:$E$1000,$R285-4)),DATE(YEAR(INDEX($E$5:$E$1000,$R285-4)),MONTH(INDEX($E$5:$E$1000,$R285-4)),1),MesCiclo)),IF(ISNUMBER($D285),DATE(YEAR($D285),MONTH($D285),1),IF(ISNUMBER($E285),DATE(YEAR($E285),MONTH($E285),1),MesCiclo))))</f>
        <v/>
      </c>
      <c r="Q285" s="71">
        <f>IF(OR($P285="",$P285&lt;&gt;MesCiclo),"",COUNTIF($P$5:$P285,MesCiclo))</f>
        <v/>
      </c>
      <c r="R285" s="71">
        <f>IF($S285="","",IF($S285="Macro",ROW(),IFERROR(LOOKUP(2,1/($S$5:$S285="Macro"),ROW($S$5:$S285)),0)))</f>
        <v/>
      </c>
      <c r="S285" s="71">
        <f>IF(NOT((COUNTA($B285:$J285)+COUNTA($N285))&gt;0),"",IF($B285="Subactividad","Sub","Macro"))</f>
        <v/>
      </c>
      <c r="T285" s="71">
        <f>IF($S285="Macro",COUNTIFS($R$5:$R$1000,ROW(),$S$5:$S$1000,"Sub"),"")</f>
        <v/>
      </c>
      <c r="U285" s="71">
        <f>IF($S285="","",IF(ISNUMBER($G285),$G285,0))</f>
        <v/>
      </c>
      <c r="V285" s="71">
        <f>IF($S285="","",IF(ISNUMBER($H285),$H285,$U285))</f>
        <v/>
      </c>
      <c r="W285" s="71">
        <f>IF($S285="","",IF(ISNUMBER($I285),$I285,$V285))</f>
        <v/>
      </c>
      <c r="X285" s="71">
        <f>IF($S285="","",IF(ISNUMBER($J285),$J285,$W285))</f>
        <v/>
      </c>
      <c r="Y285" s="71">
        <f>IF($S285="","",IF(N($T285)&gt;0,IF(N($AG285)&gt;0,SUMIFS($AC$5:$AC$1000,$R$5:$R$1000,ROW(),$S$5:$S$1000,"Sub")/$AG285,AVERAGEIFS($U$5:$U$1000,$R$5:$R$1000,ROW(),$S$5:$S$1000,"Sub")),$U285))</f>
        <v/>
      </c>
      <c r="Z285" s="71">
        <f>IF($S285="","",IF(N($T285)&gt;0,IF(N($AG285)&gt;0,SUMIFS($AD$5:$AD$1000,$R$5:$R$1000,ROW(),$S$5:$S$1000,"Sub")/$AG285,AVERAGEIFS($V$5:$V$1000,$R$5:$R$1000,ROW(),$S$5:$S$1000,"Sub")),$V285))</f>
        <v/>
      </c>
      <c r="AA285" s="71">
        <f>IF($S285="","",IF(N($T285)&gt;0,IF(N($AG285)&gt;0,SUMIFS($AE$5:$AE$1000,$R$5:$R$1000,ROW(),$S$5:$S$1000,"Sub")/$AG285,AVERAGEIFS($W$5:$W$1000,$R$5:$R$1000,ROW(),$S$5:$S$1000,"Sub")),$W285))</f>
        <v/>
      </c>
      <c r="AB285" s="71">
        <f>IF($S285="","",IF(N($T285)&gt;0,IF(N($AG285)&gt;0,SUMIFS($AF$5:$AF$1000,$R$5:$R$1000,ROW(),$S$5:$S$1000,"Sub")/$AG285,AVERAGEIFS($X$5:$X$1000,$R$5:$R$1000,ROW(),$S$5:$S$1000,"Sub")),$X285))</f>
        <v/>
      </c>
      <c r="AC285" s="71">
        <f>IF($S285="Sub",N($F285)*N($U285),"")</f>
        <v/>
      </c>
      <c r="AD285" s="71">
        <f>IF($S285="Sub",N($F285)*N($V285),"")</f>
        <v/>
      </c>
      <c r="AE285" s="71">
        <f>IF($S285="Sub",N($F285)*N($W285),"")</f>
        <v/>
      </c>
      <c r="AF285" s="71">
        <f>IF($S285="Sub",N($F285)*N($X285),"")</f>
        <v/>
      </c>
      <c r="AG285" s="71">
        <f>IF(N($T285)&gt;0,SUMIFS($F$5:$F$1000,$R$5:$R$1000,ROW(),$S$5:$S$1000,"Sub"),"")</f>
        <v/>
      </c>
    </row>
    <row r="286">
      <c r="A286" s="62">
        <f>IF(NOT((COUNTA($B286:$J286)+COUNTA($N286))&gt;0),"",IF($S286="Macro",COUNTIFS($S$5:$S286,"Macro",$P$5:$P286,$P286),IF(N($R286)=0,"?",COUNTIFS(INDEX($S$5:$S$1000,1):INDEX($S$5:$S$1000,$R286-4),"Macro",INDEX($P$5:$P$1000,1):INDEX($P$5:$P$1000,$R286-4),INDEX($P$5:$P$1000,$R286-4))&amp;"."&amp;COUNTIFS($R$5:$R286,$R286,$S$5:$S286,"Sub"))))</f>
        <v/>
      </c>
      <c r="B286" s="63" t="n"/>
      <c r="C286" s="64" t="n"/>
      <c r="D286" s="65" t="n"/>
      <c r="E286" s="65" t="n"/>
      <c r="F286" s="66" t="n"/>
      <c r="G286" s="67" t="n"/>
      <c r="H286" s="67" t="n"/>
      <c r="I286" s="67" t="n"/>
      <c r="J286" s="67" t="n"/>
      <c r="K286" s="68">
        <f>IF(NOT((COUNTA($B286:$J286)+COUNTA($N286))&gt;0),"",IF(N($T286)&gt;0,$AB286,IFERROR(LOOKUP(2,1/(G286:J286&lt;&gt;""),G286:J286),0)))</f>
        <v/>
      </c>
      <c r="L286" s="62">
        <f>IF(K286="","",IF(K286&gt;=1,"Completado",IF(K286&gt;0,"En curso","Pendiente")))</f>
        <v/>
      </c>
      <c r="M286" s="62">
        <f>IF(NOT((COUNTA($B286:$J286)+COUNTA($N286))&gt;0),"",IF(N($K286)&gt;=1,"Cumplida",IF(NOT(ISNUMBER($E286)),"Sin fecha límite",IF($E286&lt;FechaRef,"Vencida hace "&amp;(FechaRef-$E286)&amp;IF(FechaRef-$E286=1," día"," días"),IF($E286=FechaRef,"Vence hoy",IF($E286-FechaRef&lt;=DiasAlerta,"Vence en "&amp;($E286-FechaRef)&amp;IF($E286-FechaRef=1," día"," días"),"En plazo"))))))</f>
        <v/>
      </c>
      <c r="N286" s="64" t="n"/>
      <c r="O286" s="69">
        <f>IF(NOT((COUNTA($B286:$J286)+COUNTA($N286))&gt;0),"",IF((IF($C286="","Falta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",""))="","✔ OK","⚠ "&amp;LEFT(IF($C286="","Falta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",""),LEN(IF($C286="","Falta el nombre de la actividad"&amp;" · ","")&amp;IF(AND($S286="Sub",N($R286)=0),"Subactividad sin macroactividad arriba"&amp;" · ","")&amp;IF($D286="","Sin fecha de inicio"&amp;" · ","")&amp;IF($E286="","Sin fecha límite"&amp;" · ","")&amp;IF(OR(AND($D286&lt;&gt;"",NOT(ISNUMBER($D286))),AND($E286&lt;&gt;"",NOT(ISNUMBER($E286)))),"Fecha no válida"&amp;" · ","")&amp;IF(AND(ISNUMBER($D286),ISNUMBER($E286),$D286&gt;$E286),"Inicio posterior a fecha límite"&amp;" · ","")&amp;IF(AND($S286="Macro",$F286=""),"Peso vacío"&amp;" · ","")&amp;IF(AND($S286="Macro",$F286&lt;&gt;"",OR(NOT(ISNUMBER($F286)),$F286&lt;=0,$F286&gt;1)),"Peso fuera de rango"&amp;" · ","")&amp;IF(AND($S286="Sub",$F286&lt;&gt;"",OR(NOT(ISNUMBER($F286)),$F286&lt;0,$F286&gt;1)),"Peso fuera de rango"&amp;" · ","")&amp;IF(AND($S286="Sub",$F286="",IFERROR(N(INDEX($AG$5:$AG$1000,$R286-4)),0)&gt;0),"Falta el peso de la subactividad"&amp;" · ","")&amp;IF(AND(N($T286)&gt;0,N($AG286)&gt;0,ABS(N($AG286)-N($F286))&gt;0.0001),"Pesos de sus subactividades suman "&amp;TEXT(N($AG286),"0%")&amp;" (deben sumar "&amp;TEXT(N($F286),"0%")&amp;")"&amp;" · ","")&amp;IF(AND($S286="Macro",ABS(SUMIFS($F$5:$F$1000,$P$5:$P$1000,$P286,$S$5:$S$1000,"Macro")-1)&gt;0.0001),"Pesos del mes suman "&amp;TEXT(SUMIFS($F$5:$F$1000,$P$5:$P$1000,$P286,$S$5:$S$1000,"Macro"),"0%")&amp;" · ","")&amp;IF(AND(N($T286)&gt;0,COUNT($G286:$J286)&gt;0),"Con subactividades: deje vacías las semanas (se calculan solas)"&amp;" · ","")&amp;IF((COUNTIF($G286:$J286,"&gt;1")+COUNTIF($G286:$J286,"&lt;0")+COUNTA($G286:$J286)-COUNT($G286:$J286))&gt;0,"Avance fuera de rango 0-100%"&amp;" · ","")&amp;IF(OR(AND($H286&lt;&gt;"",$H286&lt;$G286),AND($I286&lt;&gt;"",$I286&lt;MAX($G286:$H286)),AND($J286&lt;&gt;"",$J286&lt;MAX($G286:$I286))),"Avance semanal decreciente"&amp;" · ","")&amp;IF(AND(ISNUMBER($E286),$E286&lt;FechaRef,N($K286)&lt;1),"Vencida"&amp;" · ","")&amp;IF(AND(ObsObligatoria="Sí",ISNUMBER($E286),$E286&lt;FechaRef,N($K286)&lt;1,$N286=""),"Vencida sin observación"&amp;" · ",""))-3)))</f>
        <v/>
      </c>
      <c r="P286" s="70">
        <f>IF(NOT((COUNTA($B286:$J286)+COUNTA($N286))&gt;0),"",IF(AND($S286="Sub",N($R286)&gt;0),IF(ISNUMBER(INDEX($D$5:$D$1000,$R286-4)),DATE(YEAR(INDEX($D$5:$D$1000,$R286-4)),MONTH(INDEX($D$5:$D$1000,$R286-4)),1),IF(ISNUMBER(INDEX($E$5:$E$1000,$R286-4)),DATE(YEAR(INDEX($E$5:$E$1000,$R286-4)),MONTH(INDEX($E$5:$E$1000,$R286-4)),1),MesCiclo)),IF(ISNUMBER($D286),DATE(YEAR($D286),MONTH($D286),1),IF(ISNUMBER($E286),DATE(YEAR($E286),MONTH($E286),1),MesCiclo))))</f>
        <v/>
      </c>
      <c r="Q286" s="71">
        <f>IF(OR($P286="",$P286&lt;&gt;MesCiclo),"",COUNTIF($P$5:$P286,MesCiclo))</f>
        <v/>
      </c>
      <c r="R286" s="71">
        <f>IF($S286="","",IF($S286="Macro",ROW(),IFERROR(LOOKUP(2,1/($S$5:$S286="Macro"),ROW($S$5:$S286)),0)))</f>
        <v/>
      </c>
      <c r="S286" s="71">
        <f>IF(NOT((COUNTA($B286:$J286)+COUNTA($N286))&gt;0),"",IF($B286="Subactividad","Sub","Macro"))</f>
        <v/>
      </c>
      <c r="T286" s="71">
        <f>IF($S286="Macro",COUNTIFS($R$5:$R$1000,ROW(),$S$5:$S$1000,"Sub"),"")</f>
        <v/>
      </c>
      <c r="U286" s="71">
        <f>IF($S286="","",IF(ISNUMBER($G286),$G286,0))</f>
        <v/>
      </c>
      <c r="V286" s="71">
        <f>IF($S286="","",IF(ISNUMBER($H286),$H286,$U286))</f>
        <v/>
      </c>
      <c r="W286" s="71">
        <f>IF($S286="","",IF(ISNUMBER($I286),$I286,$V286))</f>
        <v/>
      </c>
      <c r="X286" s="71">
        <f>IF($S286="","",IF(ISNUMBER($J286),$J286,$W286))</f>
        <v/>
      </c>
      <c r="Y286" s="71">
        <f>IF($S286="","",IF(N($T286)&gt;0,IF(N($AG286)&gt;0,SUMIFS($AC$5:$AC$1000,$R$5:$R$1000,ROW(),$S$5:$S$1000,"Sub")/$AG286,AVERAGEIFS($U$5:$U$1000,$R$5:$R$1000,ROW(),$S$5:$S$1000,"Sub")),$U286))</f>
        <v/>
      </c>
      <c r="Z286" s="71">
        <f>IF($S286="","",IF(N($T286)&gt;0,IF(N($AG286)&gt;0,SUMIFS($AD$5:$AD$1000,$R$5:$R$1000,ROW(),$S$5:$S$1000,"Sub")/$AG286,AVERAGEIFS($V$5:$V$1000,$R$5:$R$1000,ROW(),$S$5:$S$1000,"Sub")),$V286))</f>
        <v/>
      </c>
      <c r="AA286" s="71">
        <f>IF($S286="","",IF(N($T286)&gt;0,IF(N($AG286)&gt;0,SUMIFS($AE$5:$AE$1000,$R$5:$R$1000,ROW(),$S$5:$S$1000,"Sub")/$AG286,AVERAGEIFS($W$5:$W$1000,$R$5:$R$1000,ROW(),$S$5:$S$1000,"Sub")),$W286))</f>
        <v/>
      </c>
      <c r="AB286" s="71">
        <f>IF($S286="","",IF(N($T286)&gt;0,IF(N($AG286)&gt;0,SUMIFS($AF$5:$AF$1000,$R$5:$R$1000,ROW(),$S$5:$S$1000,"Sub")/$AG286,AVERAGEIFS($X$5:$X$1000,$R$5:$R$1000,ROW(),$S$5:$S$1000,"Sub")),$X286))</f>
        <v/>
      </c>
      <c r="AC286" s="71">
        <f>IF($S286="Sub",N($F286)*N($U286),"")</f>
        <v/>
      </c>
      <c r="AD286" s="71">
        <f>IF($S286="Sub",N($F286)*N($V286),"")</f>
        <v/>
      </c>
      <c r="AE286" s="71">
        <f>IF($S286="Sub",N($F286)*N($W286),"")</f>
        <v/>
      </c>
      <c r="AF286" s="71">
        <f>IF($S286="Sub",N($F286)*N($X286),"")</f>
        <v/>
      </c>
      <c r="AG286" s="71">
        <f>IF(N($T286)&gt;0,SUMIFS($F$5:$F$1000,$R$5:$R$1000,ROW(),$S$5:$S$1000,"Sub"),"")</f>
        <v/>
      </c>
    </row>
    <row r="287">
      <c r="A287" s="62">
        <f>IF(NOT((COUNTA($B287:$J287)+COUNTA($N287))&gt;0),"",IF($S287="Macro",COUNTIFS($S$5:$S287,"Macro",$P$5:$P287,$P287),IF(N($R287)=0,"?",COUNTIFS(INDEX($S$5:$S$1000,1):INDEX($S$5:$S$1000,$R287-4),"Macro",INDEX($P$5:$P$1000,1):INDEX($P$5:$P$1000,$R287-4),INDEX($P$5:$P$1000,$R287-4))&amp;"."&amp;COUNTIFS($R$5:$R287,$R287,$S$5:$S287,"Sub"))))</f>
        <v/>
      </c>
      <c r="B287" s="63" t="n"/>
      <c r="C287" s="64" t="n"/>
      <c r="D287" s="65" t="n"/>
      <c r="E287" s="65" t="n"/>
      <c r="F287" s="66" t="n"/>
      <c r="G287" s="67" t="n"/>
      <c r="H287" s="67" t="n"/>
      <c r="I287" s="67" t="n"/>
      <c r="J287" s="67" t="n"/>
      <c r="K287" s="68">
        <f>IF(NOT((COUNTA($B287:$J287)+COUNTA($N287))&gt;0),"",IF(N($T287)&gt;0,$AB287,IFERROR(LOOKUP(2,1/(G287:J287&lt;&gt;""),G287:J287),0)))</f>
        <v/>
      </c>
      <c r="L287" s="62">
        <f>IF(K287="","",IF(K287&gt;=1,"Completado",IF(K287&gt;0,"En curso","Pendiente")))</f>
        <v/>
      </c>
      <c r="M287" s="62">
        <f>IF(NOT((COUNTA($B287:$J287)+COUNTA($N287))&gt;0),"",IF(N($K287)&gt;=1,"Cumplida",IF(NOT(ISNUMBER($E287)),"Sin fecha límite",IF($E287&lt;FechaRef,"Vencida hace "&amp;(FechaRef-$E287)&amp;IF(FechaRef-$E287=1," día"," días"),IF($E287=FechaRef,"Vence hoy",IF($E287-FechaRef&lt;=DiasAlerta,"Vence en "&amp;($E287-FechaRef)&amp;IF($E287-FechaRef=1," día"," días"),"En plazo"))))))</f>
        <v/>
      </c>
      <c r="N287" s="64" t="n"/>
      <c r="O287" s="69">
        <f>IF(NOT((COUNTA($B287:$J287)+COUNTA($N287))&gt;0),"",IF((IF($C287="","Falta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",""))="","✔ OK","⚠ "&amp;LEFT(IF($C287="","Falta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",""),LEN(IF($C287="","Falta el nombre de la actividad"&amp;" · ","")&amp;IF(AND($S287="Sub",N($R287)=0),"Subactividad sin macroactividad arriba"&amp;" · ","")&amp;IF($D287="","Sin fecha de inicio"&amp;" · ","")&amp;IF($E287="","Sin fecha límite"&amp;" · ","")&amp;IF(OR(AND($D287&lt;&gt;"",NOT(ISNUMBER($D287))),AND($E287&lt;&gt;"",NOT(ISNUMBER($E287)))),"Fecha no válida"&amp;" · ","")&amp;IF(AND(ISNUMBER($D287),ISNUMBER($E287),$D287&gt;$E287),"Inicio posterior a fecha límite"&amp;" · ","")&amp;IF(AND($S287="Macro",$F287=""),"Peso vacío"&amp;" · ","")&amp;IF(AND($S287="Macro",$F287&lt;&gt;"",OR(NOT(ISNUMBER($F287)),$F287&lt;=0,$F287&gt;1)),"Peso fuera de rango"&amp;" · ","")&amp;IF(AND($S287="Sub",$F287&lt;&gt;"",OR(NOT(ISNUMBER($F287)),$F287&lt;0,$F287&gt;1)),"Peso fuera de rango"&amp;" · ","")&amp;IF(AND($S287="Sub",$F287="",IFERROR(N(INDEX($AG$5:$AG$1000,$R287-4)),0)&gt;0),"Falta el peso de la subactividad"&amp;" · ","")&amp;IF(AND(N($T287)&gt;0,N($AG287)&gt;0,ABS(N($AG287)-N($F287))&gt;0.0001),"Pesos de sus subactividades suman "&amp;TEXT(N($AG287),"0%")&amp;" (deben sumar "&amp;TEXT(N($F287),"0%")&amp;")"&amp;" · ","")&amp;IF(AND($S287="Macro",ABS(SUMIFS($F$5:$F$1000,$P$5:$P$1000,$P287,$S$5:$S$1000,"Macro")-1)&gt;0.0001),"Pesos del mes suman "&amp;TEXT(SUMIFS($F$5:$F$1000,$P$5:$P$1000,$P287,$S$5:$S$1000,"Macro"),"0%")&amp;" · ","")&amp;IF(AND(N($T287)&gt;0,COUNT($G287:$J287)&gt;0),"Con subactividades: deje vacías las semanas (se calculan solas)"&amp;" · ","")&amp;IF((COUNTIF($G287:$J287,"&gt;1")+COUNTIF($G287:$J287,"&lt;0")+COUNTA($G287:$J287)-COUNT($G287:$J287))&gt;0,"Avance fuera de rango 0-100%"&amp;" · ","")&amp;IF(OR(AND($H287&lt;&gt;"",$H287&lt;$G287),AND($I287&lt;&gt;"",$I287&lt;MAX($G287:$H287)),AND($J287&lt;&gt;"",$J287&lt;MAX($G287:$I287))),"Avance semanal decreciente"&amp;" · ","")&amp;IF(AND(ISNUMBER($E287),$E287&lt;FechaRef,N($K287)&lt;1),"Vencida"&amp;" · ","")&amp;IF(AND(ObsObligatoria="Sí",ISNUMBER($E287),$E287&lt;FechaRef,N($K287)&lt;1,$N287=""),"Vencida sin observación"&amp;" · ",""))-3)))</f>
        <v/>
      </c>
      <c r="P287" s="70">
        <f>IF(NOT((COUNTA($B287:$J287)+COUNTA($N287))&gt;0),"",IF(AND($S287="Sub",N($R287)&gt;0),IF(ISNUMBER(INDEX($D$5:$D$1000,$R287-4)),DATE(YEAR(INDEX($D$5:$D$1000,$R287-4)),MONTH(INDEX($D$5:$D$1000,$R287-4)),1),IF(ISNUMBER(INDEX($E$5:$E$1000,$R287-4)),DATE(YEAR(INDEX($E$5:$E$1000,$R287-4)),MONTH(INDEX($E$5:$E$1000,$R287-4)),1),MesCiclo)),IF(ISNUMBER($D287),DATE(YEAR($D287),MONTH($D287),1),IF(ISNUMBER($E287),DATE(YEAR($E287),MONTH($E287),1),MesCiclo))))</f>
        <v/>
      </c>
      <c r="Q287" s="71">
        <f>IF(OR($P287="",$P287&lt;&gt;MesCiclo),"",COUNTIF($P$5:$P287,MesCiclo))</f>
        <v/>
      </c>
      <c r="R287" s="71">
        <f>IF($S287="","",IF($S287="Macro",ROW(),IFERROR(LOOKUP(2,1/($S$5:$S287="Macro"),ROW($S$5:$S287)),0)))</f>
        <v/>
      </c>
      <c r="S287" s="71">
        <f>IF(NOT((COUNTA($B287:$J287)+COUNTA($N287))&gt;0),"",IF($B287="Subactividad","Sub","Macro"))</f>
        <v/>
      </c>
      <c r="T287" s="71">
        <f>IF($S287="Macro",COUNTIFS($R$5:$R$1000,ROW(),$S$5:$S$1000,"Sub"),"")</f>
        <v/>
      </c>
      <c r="U287" s="71">
        <f>IF($S287="","",IF(ISNUMBER($G287),$G287,0))</f>
        <v/>
      </c>
      <c r="V287" s="71">
        <f>IF($S287="","",IF(ISNUMBER($H287),$H287,$U287))</f>
        <v/>
      </c>
      <c r="W287" s="71">
        <f>IF($S287="","",IF(ISNUMBER($I287),$I287,$V287))</f>
        <v/>
      </c>
      <c r="X287" s="71">
        <f>IF($S287="","",IF(ISNUMBER($J287),$J287,$W287))</f>
        <v/>
      </c>
      <c r="Y287" s="71">
        <f>IF($S287="","",IF(N($T287)&gt;0,IF(N($AG287)&gt;0,SUMIFS($AC$5:$AC$1000,$R$5:$R$1000,ROW(),$S$5:$S$1000,"Sub")/$AG287,AVERAGEIFS($U$5:$U$1000,$R$5:$R$1000,ROW(),$S$5:$S$1000,"Sub")),$U287))</f>
        <v/>
      </c>
      <c r="Z287" s="71">
        <f>IF($S287="","",IF(N($T287)&gt;0,IF(N($AG287)&gt;0,SUMIFS($AD$5:$AD$1000,$R$5:$R$1000,ROW(),$S$5:$S$1000,"Sub")/$AG287,AVERAGEIFS($V$5:$V$1000,$R$5:$R$1000,ROW(),$S$5:$S$1000,"Sub")),$V287))</f>
        <v/>
      </c>
      <c r="AA287" s="71">
        <f>IF($S287="","",IF(N($T287)&gt;0,IF(N($AG287)&gt;0,SUMIFS($AE$5:$AE$1000,$R$5:$R$1000,ROW(),$S$5:$S$1000,"Sub")/$AG287,AVERAGEIFS($W$5:$W$1000,$R$5:$R$1000,ROW(),$S$5:$S$1000,"Sub")),$W287))</f>
        <v/>
      </c>
      <c r="AB287" s="71">
        <f>IF($S287="","",IF(N($T287)&gt;0,IF(N($AG287)&gt;0,SUMIFS($AF$5:$AF$1000,$R$5:$R$1000,ROW(),$S$5:$S$1000,"Sub")/$AG287,AVERAGEIFS($X$5:$X$1000,$R$5:$R$1000,ROW(),$S$5:$S$1000,"Sub")),$X287))</f>
        <v/>
      </c>
      <c r="AC287" s="71">
        <f>IF($S287="Sub",N($F287)*N($U287),"")</f>
        <v/>
      </c>
      <c r="AD287" s="71">
        <f>IF($S287="Sub",N($F287)*N($V287),"")</f>
        <v/>
      </c>
      <c r="AE287" s="71">
        <f>IF($S287="Sub",N($F287)*N($W287),"")</f>
        <v/>
      </c>
      <c r="AF287" s="71">
        <f>IF($S287="Sub",N($F287)*N($X287),"")</f>
        <v/>
      </c>
      <c r="AG287" s="71">
        <f>IF(N($T287)&gt;0,SUMIFS($F$5:$F$1000,$R$5:$R$1000,ROW(),$S$5:$S$1000,"Sub"),"")</f>
        <v/>
      </c>
    </row>
    <row r="288">
      <c r="A288" s="62">
        <f>IF(NOT((COUNTA($B288:$J288)+COUNTA($N288))&gt;0),"",IF($S288="Macro",COUNTIFS($S$5:$S288,"Macro",$P$5:$P288,$P288),IF(N($R288)=0,"?",COUNTIFS(INDEX($S$5:$S$1000,1):INDEX($S$5:$S$1000,$R288-4),"Macro",INDEX($P$5:$P$1000,1):INDEX($P$5:$P$1000,$R288-4),INDEX($P$5:$P$1000,$R288-4))&amp;"."&amp;COUNTIFS($R$5:$R288,$R288,$S$5:$S288,"Sub"))))</f>
        <v/>
      </c>
      <c r="B288" s="63" t="n"/>
      <c r="C288" s="64" t="n"/>
      <c r="D288" s="65" t="n"/>
      <c r="E288" s="65" t="n"/>
      <c r="F288" s="66" t="n"/>
      <c r="G288" s="67" t="n"/>
      <c r="H288" s="67" t="n"/>
      <c r="I288" s="67" t="n"/>
      <c r="J288" s="67" t="n"/>
      <c r="K288" s="68">
        <f>IF(NOT((COUNTA($B288:$J288)+COUNTA($N288))&gt;0),"",IF(N($T288)&gt;0,$AB288,IFERROR(LOOKUP(2,1/(G288:J288&lt;&gt;""),G288:J288),0)))</f>
        <v/>
      </c>
      <c r="L288" s="62">
        <f>IF(K288="","",IF(K288&gt;=1,"Completado",IF(K288&gt;0,"En curso","Pendiente")))</f>
        <v/>
      </c>
      <c r="M288" s="62">
        <f>IF(NOT((COUNTA($B288:$J288)+COUNTA($N288))&gt;0),"",IF(N($K288)&gt;=1,"Cumplida",IF(NOT(ISNUMBER($E288)),"Sin fecha límite",IF($E288&lt;FechaRef,"Vencida hace "&amp;(FechaRef-$E288)&amp;IF(FechaRef-$E288=1," día"," días"),IF($E288=FechaRef,"Vence hoy",IF($E288-FechaRef&lt;=DiasAlerta,"Vence en "&amp;($E288-FechaRef)&amp;IF($E288-FechaRef=1," día"," días"),"En plazo"))))))</f>
        <v/>
      </c>
      <c r="N288" s="64" t="n"/>
      <c r="O288" s="69">
        <f>IF(NOT((COUNTA($B288:$J288)+COUNTA($N288))&gt;0),"",IF((IF($C288="","Falta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",""))="","✔ OK","⚠ "&amp;LEFT(IF($C288="","Falta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",""),LEN(IF($C288="","Falta el nombre de la actividad"&amp;" · ","")&amp;IF(AND($S288="Sub",N($R288)=0),"Subactividad sin macroactividad arriba"&amp;" · ","")&amp;IF($D288="","Sin fecha de inicio"&amp;" · ","")&amp;IF($E288="","Sin fecha límite"&amp;" · ","")&amp;IF(OR(AND($D288&lt;&gt;"",NOT(ISNUMBER($D288))),AND($E288&lt;&gt;"",NOT(ISNUMBER($E288)))),"Fecha no válida"&amp;" · ","")&amp;IF(AND(ISNUMBER($D288),ISNUMBER($E288),$D288&gt;$E288),"Inicio posterior a fecha límite"&amp;" · ","")&amp;IF(AND($S288="Macro",$F288=""),"Peso vacío"&amp;" · ","")&amp;IF(AND($S288="Macro",$F288&lt;&gt;"",OR(NOT(ISNUMBER($F288)),$F288&lt;=0,$F288&gt;1)),"Peso fuera de rango"&amp;" · ","")&amp;IF(AND($S288="Sub",$F288&lt;&gt;"",OR(NOT(ISNUMBER($F288)),$F288&lt;0,$F288&gt;1)),"Peso fuera de rango"&amp;" · ","")&amp;IF(AND($S288="Sub",$F288="",IFERROR(N(INDEX($AG$5:$AG$1000,$R288-4)),0)&gt;0),"Falta el peso de la subactividad"&amp;" · ","")&amp;IF(AND(N($T288)&gt;0,N($AG288)&gt;0,ABS(N($AG288)-N($F288))&gt;0.0001),"Pesos de sus subactividades suman "&amp;TEXT(N($AG288),"0%")&amp;" (deben sumar "&amp;TEXT(N($F288),"0%")&amp;")"&amp;" · ","")&amp;IF(AND($S288="Macro",ABS(SUMIFS($F$5:$F$1000,$P$5:$P$1000,$P288,$S$5:$S$1000,"Macro")-1)&gt;0.0001),"Pesos del mes suman "&amp;TEXT(SUMIFS($F$5:$F$1000,$P$5:$P$1000,$P288,$S$5:$S$1000,"Macro"),"0%")&amp;" · ","")&amp;IF(AND(N($T288)&gt;0,COUNT($G288:$J288)&gt;0),"Con subactividades: deje vacías las semanas (se calculan solas)"&amp;" · ","")&amp;IF((COUNTIF($G288:$J288,"&gt;1")+COUNTIF($G288:$J288,"&lt;0")+COUNTA($G288:$J288)-COUNT($G288:$J288))&gt;0,"Avance fuera de rango 0-100%"&amp;" · ","")&amp;IF(OR(AND($H288&lt;&gt;"",$H288&lt;$G288),AND($I288&lt;&gt;"",$I288&lt;MAX($G288:$H288)),AND($J288&lt;&gt;"",$J288&lt;MAX($G288:$I288))),"Avance semanal decreciente"&amp;" · ","")&amp;IF(AND(ISNUMBER($E288),$E288&lt;FechaRef,N($K288)&lt;1),"Vencida"&amp;" · ","")&amp;IF(AND(ObsObligatoria="Sí",ISNUMBER($E288),$E288&lt;FechaRef,N($K288)&lt;1,$N288=""),"Vencida sin observación"&amp;" · ",""))-3)))</f>
        <v/>
      </c>
      <c r="P288" s="70">
        <f>IF(NOT((COUNTA($B288:$J288)+COUNTA($N288))&gt;0),"",IF(AND($S288="Sub",N($R288)&gt;0),IF(ISNUMBER(INDEX($D$5:$D$1000,$R288-4)),DATE(YEAR(INDEX($D$5:$D$1000,$R288-4)),MONTH(INDEX($D$5:$D$1000,$R288-4)),1),IF(ISNUMBER(INDEX($E$5:$E$1000,$R288-4)),DATE(YEAR(INDEX($E$5:$E$1000,$R288-4)),MONTH(INDEX($E$5:$E$1000,$R288-4)),1),MesCiclo)),IF(ISNUMBER($D288),DATE(YEAR($D288),MONTH($D288),1),IF(ISNUMBER($E288),DATE(YEAR($E288),MONTH($E288),1),MesCiclo))))</f>
        <v/>
      </c>
      <c r="Q288" s="71">
        <f>IF(OR($P288="",$P288&lt;&gt;MesCiclo),"",COUNTIF($P$5:$P288,MesCiclo))</f>
        <v/>
      </c>
      <c r="R288" s="71">
        <f>IF($S288="","",IF($S288="Macro",ROW(),IFERROR(LOOKUP(2,1/($S$5:$S288="Macro"),ROW($S$5:$S288)),0)))</f>
        <v/>
      </c>
      <c r="S288" s="71">
        <f>IF(NOT((COUNTA($B288:$J288)+COUNTA($N288))&gt;0),"",IF($B288="Subactividad","Sub","Macro"))</f>
        <v/>
      </c>
      <c r="T288" s="71">
        <f>IF($S288="Macro",COUNTIFS($R$5:$R$1000,ROW(),$S$5:$S$1000,"Sub"),"")</f>
        <v/>
      </c>
      <c r="U288" s="71">
        <f>IF($S288="","",IF(ISNUMBER($G288),$G288,0))</f>
        <v/>
      </c>
      <c r="V288" s="71">
        <f>IF($S288="","",IF(ISNUMBER($H288),$H288,$U288))</f>
        <v/>
      </c>
      <c r="W288" s="71">
        <f>IF($S288="","",IF(ISNUMBER($I288),$I288,$V288))</f>
        <v/>
      </c>
      <c r="X288" s="71">
        <f>IF($S288="","",IF(ISNUMBER($J288),$J288,$W288))</f>
        <v/>
      </c>
      <c r="Y288" s="71">
        <f>IF($S288="","",IF(N($T288)&gt;0,IF(N($AG288)&gt;0,SUMIFS($AC$5:$AC$1000,$R$5:$R$1000,ROW(),$S$5:$S$1000,"Sub")/$AG288,AVERAGEIFS($U$5:$U$1000,$R$5:$R$1000,ROW(),$S$5:$S$1000,"Sub")),$U288))</f>
        <v/>
      </c>
      <c r="Z288" s="71">
        <f>IF($S288="","",IF(N($T288)&gt;0,IF(N($AG288)&gt;0,SUMIFS($AD$5:$AD$1000,$R$5:$R$1000,ROW(),$S$5:$S$1000,"Sub")/$AG288,AVERAGEIFS($V$5:$V$1000,$R$5:$R$1000,ROW(),$S$5:$S$1000,"Sub")),$V288))</f>
        <v/>
      </c>
      <c r="AA288" s="71">
        <f>IF($S288="","",IF(N($T288)&gt;0,IF(N($AG288)&gt;0,SUMIFS($AE$5:$AE$1000,$R$5:$R$1000,ROW(),$S$5:$S$1000,"Sub")/$AG288,AVERAGEIFS($W$5:$W$1000,$R$5:$R$1000,ROW(),$S$5:$S$1000,"Sub")),$W288))</f>
        <v/>
      </c>
      <c r="AB288" s="71">
        <f>IF($S288="","",IF(N($T288)&gt;0,IF(N($AG288)&gt;0,SUMIFS($AF$5:$AF$1000,$R$5:$R$1000,ROW(),$S$5:$S$1000,"Sub")/$AG288,AVERAGEIFS($X$5:$X$1000,$R$5:$R$1000,ROW(),$S$5:$S$1000,"Sub")),$X288))</f>
        <v/>
      </c>
      <c r="AC288" s="71">
        <f>IF($S288="Sub",N($F288)*N($U288),"")</f>
        <v/>
      </c>
      <c r="AD288" s="71">
        <f>IF($S288="Sub",N($F288)*N($V288),"")</f>
        <v/>
      </c>
      <c r="AE288" s="71">
        <f>IF($S288="Sub",N($F288)*N($W288),"")</f>
        <v/>
      </c>
      <c r="AF288" s="71">
        <f>IF($S288="Sub",N($F288)*N($X288),"")</f>
        <v/>
      </c>
      <c r="AG288" s="71">
        <f>IF(N($T288)&gt;0,SUMIFS($F$5:$F$1000,$R$5:$R$1000,ROW(),$S$5:$S$1000,"Sub"),"")</f>
        <v/>
      </c>
    </row>
    <row r="289">
      <c r="A289" s="62">
        <f>IF(NOT((COUNTA($B289:$J289)+COUNTA($N289))&gt;0),"",IF($S289="Macro",COUNTIFS($S$5:$S289,"Macro",$P$5:$P289,$P289),IF(N($R289)=0,"?",COUNTIFS(INDEX($S$5:$S$1000,1):INDEX($S$5:$S$1000,$R289-4),"Macro",INDEX($P$5:$P$1000,1):INDEX($P$5:$P$1000,$R289-4),INDEX($P$5:$P$1000,$R289-4))&amp;"."&amp;COUNTIFS($R$5:$R289,$R289,$S$5:$S289,"Sub"))))</f>
        <v/>
      </c>
      <c r="B289" s="63" t="n"/>
      <c r="C289" s="64" t="n"/>
      <c r="D289" s="65" t="n"/>
      <c r="E289" s="65" t="n"/>
      <c r="F289" s="66" t="n"/>
      <c r="G289" s="67" t="n"/>
      <c r="H289" s="67" t="n"/>
      <c r="I289" s="67" t="n"/>
      <c r="J289" s="67" t="n"/>
      <c r="K289" s="68">
        <f>IF(NOT((COUNTA($B289:$J289)+COUNTA($N289))&gt;0),"",IF(N($T289)&gt;0,$AB289,IFERROR(LOOKUP(2,1/(G289:J289&lt;&gt;""),G289:J289),0)))</f>
        <v/>
      </c>
      <c r="L289" s="62">
        <f>IF(K289="","",IF(K289&gt;=1,"Completado",IF(K289&gt;0,"En curso","Pendiente")))</f>
        <v/>
      </c>
      <c r="M289" s="62">
        <f>IF(NOT((COUNTA($B289:$J289)+COUNTA($N289))&gt;0),"",IF(N($K289)&gt;=1,"Cumplida",IF(NOT(ISNUMBER($E289)),"Sin fecha límite",IF($E289&lt;FechaRef,"Vencida hace "&amp;(FechaRef-$E289)&amp;IF(FechaRef-$E289=1," día"," días"),IF($E289=FechaRef,"Vence hoy",IF($E289-FechaRef&lt;=DiasAlerta,"Vence en "&amp;($E289-FechaRef)&amp;IF($E289-FechaRef=1," día"," días"),"En plazo"))))))</f>
        <v/>
      </c>
      <c r="N289" s="64" t="n"/>
      <c r="O289" s="69">
        <f>IF(NOT((COUNTA($B289:$J289)+COUNTA($N289))&gt;0),"",IF((IF($C289="","Falta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",""))="","✔ OK","⚠ "&amp;LEFT(IF($C289="","Falta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",""),LEN(IF($C289="","Falta el nombre de la actividad"&amp;" · ","")&amp;IF(AND($S289="Sub",N($R289)=0),"Subactividad sin macroactividad arriba"&amp;" · ","")&amp;IF($D289="","Sin fecha de inicio"&amp;" · ","")&amp;IF($E289="","Sin fecha límite"&amp;" · ","")&amp;IF(OR(AND($D289&lt;&gt;"",NOT(ISNUMBER($D289))),AND($E289&lt;&gt;"",NOT(ISNUMBER($E289)))),"Fecha no válida"&amp;" · ","")&amp;IF(AND(ISNUMBER($D289),ISNUMBER($E289),$D289&gt;$E289),"Inicio posterior a fecha límite"&amp;" · ","")&amp;IF(AND($S289="Macro",$F289=""),"Peso vacío"&amp;" · ","")&amp;IF(AND($S289="Macro",$F289&lt;&gt;"",OR(NOT(ISNUMBER($F289)),$F289&lt;=0,$F289&gt;1)),"Peso fuera de rango"&amp;" · ","")&amp;IF(AND($S289="Sub",$F289&lt;&gt;"",OR(NOT(ISNUMBER($F289)),$F289&lt;0,$F289&gt;1)),"Peso fuera de rango"&amp;" · ","")&amp;IF(AND($S289="Sub",$F289="",IFERROR(N(INDEX($AG$5:$AG$1000,$R289-4)),0)&gt;0),"Falta el peso de la subactividad"&amp;" · ","")&amp;IF(AND(N($T289)&gt;0,N($AG289)&gt;0,ABS(N($AG289)-N($F289))&gt;0.0001),"Pesos de sus subactividades suman "&amp;TEXT(N($AG289),"0%")&amp;" (deben sumar "&amp;TEXT(N($F289),"0%")&amp;")"&amp;" · ","")&amp;IF(AND($S289="Macro",ABS(SUMIFS($F$5:$F$1000,$P$5:$P$1000,$P289,$S$5:$S$1000,"Macro")-1)&gt;0.0001),"Pesos del mes suman "&amp;TEXT(SUMIFS($F$5:$F$1000,$P$5:$P$1000,$P289,$S$5:$S$1000,"Macro"),"0%")&amp;" · ","")&amp;IF(AND(N($T289)&gt;0,COUNT($G289:$J289)&gt;0),"Con subactividades: deje vacías las semanas (se calculan solas)"&amp;" · ","")&amp;IF((COUNTIF($G289:$J289,"&gt;1")+COUNTIF($G289:$J289,"&lt;0")+COUNTA($G289:$J289)-COUNT($G289:$J289))&gt;0,"Avance fuera de rango 0-100%"&amp;" · ","")&amp;IF(OR(AND($H289&lt;&gt;"",$H289&lt;$G289),AND($I289&lt;&gt;"",$I289&lt;MAX($G289:$H289)),AND($J289&lt;&gt;"",$J289&lt;MAX($G289:$I289))),"Avance semanal decreciente"&amp;" · ","")&amp;IF(AND(ISNUMBER($E289),$E289&lt;FechaRef,N($K289)&lt;1),"Vencida"&amp;" · ","")&amp;IF(AND(ObsObligatoria="Sí",ISNUMBER($E289),$E289&lt;FechaRef,N($K289)&lt;1,$N289=""),"Vencida sin observación"&amp;" · ",""))-3)))</f>
        <v/>
      </c>
      <c r="P289" s="70">
        <f>IF(NOT((COUNTA($B289:$J289)+COUNTA($N289))&gt;0),"",IF(AND($S289="Sub",N($R289)&gt;0),IF(ISNUMBER(INDEX($D$5:$D$1000,$R289-4)),DATE(YEAR(INDEX($D$5:$D$1000,$R289-4)),MONTH(INDEX($D$5:$D$1000,$R289-4)),1),IF(ISNUMBER(INDEX($E$5:$E$1000,$R289-4)),DATE(YEAR(INDEX($E$5:$E$1000,$R289-4)),MONTH(INDEX($E$5:$E$1000,$R289-4)),1),MesCiclo)),IF(ISNUMBER($D289),DATE(YEAR($D289),MONTH($D289),1),IF(ISNUMBER($E289),DATE(YEAR($E289),MONTH($E289),1),MesCiclo))))</f>
        <v/>
      </c>
      <c r="Q289" s="71">
        <f>IF(OR($P289="",$P289&lt;&gt;MesCiclo),"",COUNTIF($P$5:$P289,MesCiclo))</f>
        <v/>
      </c>
      <c r="R289" s="71">
        <f>IF($S289="","",IF($S289="Macro",ROW(),IFERROR(LOOKUP(2,1/($S$5:$S289="Macro"),ROW($S$5:$S289)),0)))</f>
        <v/>
      </c>
      <c r="S289" s="71">
        <f>IF(NOT((COUNTA($B289:$J289)+COUNTA($N289))&gt;0),"",IF($B289="Subactividad","Sub","Macro"))</f>
        <v/>
      </c>
      <c r="T289" s="71">
        <f>IF($S289="Macro",COUNTIFS($R$5:$R$1000,ROW(),$S$5:$S$1000,"Sub"),"")</f>
        <v/>
      </c>
      <c r="U289" s="71">
        <f>IF($S289="","",IF(ISNUMBER($G289),$G289,0))</f>
        <v/>
      </c>
      <c r="V289" s="71">
        <f>IF($S289="","",IF(ISNUMBER($H289),$H289,$U289))</f>
        <v/>
      </c>
      <c r="W289" s="71">
        <f>IF($S289="","",IF(ISNUMBER($I289),$I289,$V289))</f>
        <v/>
      </c>
      <c r="X289" s="71">
        <f>IF($S289="","",IF(ISNUMBER($J289),$J289,$W289))</f>
        <v/>
      </c>
      <c r="Y289" s="71">
        <f>IF($S289="","",IF(N($T289)&gt;0,IF(N($AG289)&gt;0,SUMIFS($AC$5:$AC$1000,$R$5:$R$1000,ROW(),$S$5:$S$1000,"Sub")/$AG289,AVERAGEIFS($U$5:$U$1000,$R$5:$R$1000,ROW(),$S$5:$S$1000,"Sub")),$U289))</f>
        <v/>
      </c>
      <c r="Z289" s="71">
        <f>IF($S289="","",IF(N($T289)&gt;0,IF(N($AG289)&gt;0,SUMIFS($AD$5:$AD$1000,$R$5:$R$1000,ROW(),$S$5:$S$1000,"Sub")/$AG289,AVERAGEIFS($V$5:$V$1000,$R$5:$R$1000,ROW(),$S$5:$S$1000,"Sub")),$V289))</f>
        <v/>
      </c>
      <c r="AA289" s="71">
        <f>IF($S289="","",IF(N($T289)&gt;0,IF(N($AG289)&gt;0,SUMIFS($AE$5:$AE$1000,$R$5:$R$1000,ROW(),$S$5:$S$1000,"Sub")/$AG289,AVERAGEIFS($W$5:$W$1000,$R$5:$R$1000,ROW(),$S$5:$S$1000,"Sub")),$W289))</f>
        <v/>
      </c>
      <c r="AB289" s="71">
        <f>IF($S289="","",IF(N($T289)&gt;0,IF(N($AG289)&gt;0,SUMIFS($AF$5:$AF$1000,$R$5:$R$1000,ROW(),$S$5:$S$1000,"Sub")/$AG289,AVERAGEIFS($X$5:$X$1000,$R$5:$R$1000,ROW(),$S$5:$S$1000,"Sub")),$X289))</f>
        <v/>
      </c>
      <c r="AC289" s="71">
        <f>IF($S289="Sub",N($F289)*N($U289),"")</f>
        <v/>
      </c>
      <c r="AD289" s="71">
        <f>IF($S289="Sub",N($F289)*N($V289),"")</f>
        <v/>
      </c>
      <c r="AE289" s="71">
        <f>IF($S289="Sub",N($F289)*N($W289),"")</f>
        <v/>
      </c>
      <c r="AF289" s="71">
        <f>IF($S289="Sub",N($F289)*N($X289),"")</f>
        <v/>
      </c>
      <c r="AG289" s="71">
        <f>IF(N($T289)&gt;0,SUMIFS($F$5:$F$1000,$R$5:$R$1000,ROW(),$S$5:$S$1000,"Sub"),"")</f>
        <v/>
      </c>
    </row>
    <row r="290">
      <c r="A290" s="62">
        <f>IF(NOT((COUNTA($B290:$J290)+COUNTA($N290))&gt;0),"",IF($S290="Macro",COUNTIFS($S$5:$S290,"Macro",$P$5:$P290,$P290),IF(N($R290)=0,"?",COUNTIFS(INDEX($S$5:$S$1000,1):INDEX($S$5:$S$1000,$R290-4),"Macro",INDEX($P$5:$P$1000,1):INDEX($P$5:$P$1000,$R290-4),INDEX($P$5:$P$1000,$R290-4))&amp;"."&amp;COUNTIFS($R$5:$R290,$R290,$S$5:$S290,"Sub"))))</f>
        <v/>
      </c>
      <c r="B290" s="63" t="n"/>
      <c r="C290" s="64" t="n"/>
      <c r="D290" s="65" t="n"/>
      <c r="E290" s="65" t="n"/>
      <c r="F290" s="66" t="n"/>
      <c r="G290" s="67" t="n"/>
      <c r="H290" s="67" t="n"/>
      <c r="I290" s="67" t="n"/>
      <c r="J290" s="67" t="n"/>
      <c r="K290" s="68">
        <f>IF(NOT((COUNTA($B290:$J290)+COUNTA($N290))&gt;0),"",IF(N($T290)&gt;0,$AB290,IFERROR(LOOKUP(2,1/(G290:J290&lt;&gt;""),G290:J290),0)))</f>
        <v/>
      </c>
      <c r="L290" s="62">
        <f>IF(K290="","",IF(K290&gt;=1,"Completado",IF(K290&gt;0,"En curso","Pendiente")))</f>
        <v/>
      </c>
      <c r="M290" s="62">
        <f>IF(NOT((COUNTA($B290:$J290)+COUNTA($N290))&gt;0),"",IF(N($K290)&gt;=1,"Cumplida",IF(NOT(ISNUMBER($E290)),"Sin fecha límite",IF($E290&lt;FechaRef,"Vencida hace "&amp;(FechaRef-$E290)&amp;IF(FechaRef-$E290=1," día"," días"),IF($E290=FechaRef,"Vence hoy",IF($E290-FechaRef&lt;=DiasAlerta,"Vence en "&amp;($E290-FechaRef)&amp;IF($E290-FechaRef=1," día"," días"),"En plazo"))))))</f>
        <v/>
      </c>
      <c r="N290" s="64" t="n"/>
      <c r="O290" s="69">
        <f>IF(NOT((COUNTA($B290:$J290)+COUNTA($N290))&gt;0),"",IF((IF($C290="","Falta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",""))="","✔ OK","⚠ "&amp;LEFT(IF($C290="","Falta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",""),LEN(IF($C290="","Falta el nombre de la actividad"&amp;" · ","")&amp;IF(AND($S290="Sub",N($R290)=0),"Subactividad sin macroactividad arriba"&amp;" · ","")&amp;IF($D290="","Sin fecha de inicio"&amp;" · ","")&amp;IF($E290="","Sin fecha límite"&amp;" · ","")&amp;IF(OR(AND($D290&lt;&gt;"",NOT(ISNUMBER($D290))),AND($E290&lt;&gt;"",NOT(ISNUMBER($E290)))),"Fecha no válida"&amp;" · ","")&amp;IF(AND(ISNUMBER($D290),ISNUMBER($E290),$D290&gt;$E290),"Inicio posterior a fecha límite"&amp;" · ","")&amp;IF(AND($S290="Macro",$F290=""),"Peso vacío"&amp;" · ","")&amp;IF(AND($S290="Macro",$F290&lt;&gt;"",OR(NOT(ISNUMBER($F290)),$F290&lt;=0,$F290&gt;1)),"Peso fuera de rango"&amp;" · ","")&amp;IF(AND($S290="Sub",$F290&lt;&gt;"",OR(NOT(ISNUMBER($F290)),$F290&lt;0,$F290&gt;1)),"Peso fuera de rango"&amp;" · ","")&amp;IF(AND($S290="Sub",$F290="",IFERROR(N(INDEX($AG$5:$AG$1000,$R290-4)),0)&gt;0),"Falta el peso de la subactividad"&amp;" · ","")&amp;IF(AND(N($T290)&gt;0,N($AG290)&gt;0,ABS(N($AG290)-N($F290))&gt;0.0001),"Pesos de sus subactividades suman "&amp;TEXT(N($AG290),"0%")&amp;" (deben sumar "&amp;TEXT(N($F290),"0%")&amp;")"&amp;" · ","")&amp;IF(AND($S290="Macro",ABS(SUMIFS($F$5:$F$1000,$P$5:$P$1000,$P290,$S$5:$S$1000,"Macro")-1)&gt;0.0001),"Pesos del mes suman "&amp;TEXT(SUMIFS($F$5:$F$1000,$P$5:$P$1000,$P290,$S$5:$S$1000,"Macro"),"0%")&amp;" · ","")&amp;IF(AND(N($T290)&gt;0,COUNT($G290:$J290)&gt;0),"Con subactividades: deje vacías las semanas (se calculan solas)"&amp;" · ","")&amp;IF((COUNTIF($G290:$J290,"&gt;1")+COUNTIF($G290:$J290,"&lt;0")+COUNTA($G290:$J290)-COUNT($G290:$J290))&gt;0,"Avance fuera de rango 0-100%"&amp;" · ","")&amp;IF(OR(AND($H290&lt;&gt;"",$H290&lt;$G290),AND($I290&lt;&gt;"",$I290&lt;MAX($G290:$H290)),AND($J290&lt;&gt;"",$J290&lt;MAX($G290:$I290))),"Avance semanal decreciente"&amp;" · ","")&amp;IF(AND(ISNUMBER($E290),$E290&lt;FechaRef,N($K290)&lt;1),"Vencida"&amp;" · ","")&amp;IF(AND(ObsObligatoria="Sí",ISNUMBER($E290),$E290&lt;FechaRef,N($K290)&lt;1,$N290=""),"Vencida sin observación"&amp;" · ",""))-3)))</f>
        <v/>
      </c>
      <c r="P290" s="70">
        <f>IF(NOT((COUNTA($B290:$J290)+COUNTA($N290))&gt;0),"",IF(AND($S290="Sub",N($R290)&gt;0),IF(ISNUMBER(INDEX($D$5:$D$1000,$R290-4)),DATE(YEAR(INDEX($D$5:$D$1000,$R290-4)),MONTH(INDEX($D$5:$D$1000,$R290-4)),1),IF(ISNUMBER(INDEX($E$5:$E$1000,$R290-4)),DATE(YEAR(INDEX($E$5:$E$1000,$R290-4)),MONTH(INDEX($E$5:$E$1000,$R290-4)),1),MesCiclo)),IF(ISNUMBER($D290),DATE(YEAR($D290),MONTH($D290),1),IF(ISNUMBER($E290),DATE(YEAR($E290),MONTH($E290),1),MesCiclo))))</f>
        <v/>
      </c>
      <c r="Q290" s="71">
        <f>IF(OR($P290="",$P290&lt;&gt;MesCiclo),"",COUNTIF($P$5:$P290,MesCiclo))</f>
        <v/>
      </c>
      <c r="R290" s="71">
        <f>IF($S290="","",IF($S290="Macro",ROW(),IFERROR(LOOKUP(2,1/($S$5:$S290="Macro"),ROW($S$5:$S290)),0)))</f>
        <v/>
      </c>
      <c r="S290" s="71">
        <f>IF(NOT((COUNTA($B290:$J290)+COUNTA($N290))&gt;0),"",IF($B290="Subactividad","Sub","Macro"))</f>
        <v/>
      </c>
      <c r="T290" s="71">
        <f>IF($S290="Macro",COUNTIFS($R$5:$R$1000,ROW(),$S$5:$S$1000,"Sub"),"")</f>
        <v/>
      </c>
      <c r="U290" s="71">
        <f>IF($S290="","",IF(ISNUMBER($G290),$G290,0))</f>
        <v/>
      </c>
      <c r="V290" s="71">
        <f>IF($S290="","",IF(ISNUMBER($H290),$H290,$U290))</f>
        <v/>
      </c>
      <c r="W290" s="71">
        <f>IF($S290="","",IF(ISNUMBER($I290),$I290,$V290))</f>
        <v/>
      </c>
      <c r="X290" s="71">
        <f>IF($S290="","",IF(ISNUMBER($J290),$J290,$W290))</f>
        <v/>
      </c>
      <c r="Y290" s="71">
        <f>IF($S290="","",IF(N($T290)&gt;0,IF(N($AG290)&gt;0,SUMIFS($AC$5:$AC$1000,$R$5:$R$1000,ROW(),$S$5:$S$1000,"Sub")/$AG290,AVERAGEIFS($U$5:$U$1000,$R$5:$R$1000,ROW(),$S$5:$S$1000,"Sub")),$U290))</f>
        <v/>
      </c>
      <c r="Z290" s="71">
        <f>IF($S290="","",IF(N($T290)&gt;0,IF(N($AG290)&gt;0,SUMIFS($AD$5:$AD$1000,$R$5:$R$1000,ROW(),$S$5:$S$1000,"Sub")/$AG290,AVERAGEIFS($V$5:$V$1000,$R$5:$R$1000,ROW(),$S$5:$S$1000,"Sub")),$V290))</f>
        <v/>
      </c>
      <c r="AA290" s="71">
        <f>IF($S290="","",IF(N($T290)&gt;0,IF(N($AG290)&gt;0,SUMIFS($AE$5:$AE$1000,$R$5:$R$1000,ROW(),$S$5:$S$1000,"Sub")/$AG290,AVERAGEIFS($W$5:$W$1000,$R$5:$R$1000,ROW(),$S$5:$S$1000,"Sub")),$W290))</f>
        <v/>
      </c>
      <c r="AB290" s="71">
        <f>IF($S290="","",IF(N($T290)&gt;0,IF(N($AG290)&gt;0,SUMIFS($AF$5:$AF$1000,$R$5:$R$1000,ROW(),$S$5:$S$1000,"Sub")/$AG290,AVERAGEIFS($X$5:$X$1000,$R$5:$R$1000,ROW(),$S$5:$S$1000,"Sub")),$X290))</f>
        <v/>
      </c>
      <c r="AC290" s="71">
        <f>IF($S290="Sub",N($F290)*N($U290),"")</f>
        <v/>
      </c>
      <c r="AD290" s="71">
        <f>IF($S290="Sub",N($F290)*N($V290),"")</f>
        <v/>
      </c>
      <c r="AE290" s="71">
        <f>IF($S290="Sub",N($F290)*N($W290),"")</f>
        <v/>
      </c>
      <c r="AF290" s="71">
        <f>IF($S290="Sub",N($F290)*N($X290),"")</f>
        <v/>
      </c>
      <c r="AG290" s="71">
        <f>IF(N($T290)&gt;0,SUMIFS($F$5:$F$1000,$R$5:$R$1000,ROW(),$S$5:$S$1000,"Sub"),"")</f>
        <v/>
      </c>
    </row>
    <row r="291">
      <c r="A291" s="62">
        <f>IF(NOT((COUNTA($B291:$J291)+COUNTA($N291))&gt;0),"",IF($S291="Macro",COUNTIFS($S$5:$S291,"Macro",$P$5:$P291,$P291),IF(N($R291)=0,"?",COUNTIFS(INDEX($S$5:$S$1000,1):INDEX($S$5:$S$1000,$R291-4),"Macro",INDEX($P$5:$P$1000,1):INDEX($P$5:$P$1000,$R291-4),INDEX($P$5:$P$1000,$R291-4))&amp;"."&amp;COUNTIFS($R$5:$R291,$R291,$S$5:$S291,"Sub"))))</f>
        <v/>
      </c>
      <c r="B291" s="63" t="n"/>
      <c r="C291" s="64" t="n"/>
      <c r="D291" s="65" t="n"/>
      <c r="E291" s="65" t="n"/>
      <c r="F291" s="66" t="n"/>
      <c r="G291" s="67" t="n"/>
      <c r="H291" s="67" t="n"/>
      <c r="I291" s="67" t="n"/>
      <c r="J291" s="67" t="n"/>
      <c r="K291" s="68">
        <f>IF(NOT((COUNTA($B291:$J291)+COUNTA($N291))&gt;0),"",IF(N($T291)&gt;0,$AB291,IFERROR(LOOKUP(2,1/(G291:J291&lt;&gt;""),G291:J291),0)))</f>
        <v/>
      </c>
      <c r="L291" s="62">
        <f>IF(K291="","",IF(K291&gt;=1,"Completado",IF(K291&gt;0,"En curso","Pendiente")))</f>
        <v/>
      </c>
      <c r="M291" s="62">
        <f>IF(NOT((COUNTA($B291:$J291)+COUNTA($N291))&gt;0),"",IF(N($K291)&gt;=1,"Cumplida",IF(NOT(ISNUMBER($E291)),"Sin fecha límite",IF($E291&lt;FechaRef,"Vencida hace "&amp;(FechaRef-$E291)&amp;IF(FechaRef-$E291=1," día"," días"),IF($E291=FechaRef,"Vence hoy",IF($E291-FechaRef&lt;=DiasAlerta,"Vence en "&amp;($E291-FechaRef)&amp;IF($E291-FechaRef=1," día"," días"),"En plazo"))))))</f>
        <v/>
      </c>
      <c r="N291" s="64" t="n"/>
      <c r="O291" s="69">
        <f>IF(NOT((COUNTA($B291:$J291)+COUNTA($N291))&gt;0),"",IF((IF($C291="","Falta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",""))="","✔ OK","⚠ "&amp;LEFT(IF($C291="","Falta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",""),LEN(IF($C291="","Falta el nombre de la actividad"&amp;" · ","")&amp;IF(AND($S291="Sub",N($R291)=0),"Subactividad sin macroactividad arriba"&amp;" · ","")&amp;IF($D291="","Sin fecha de inicio"&amp;" · ","")&amp;IF($E291="","Sin fecha límite"&amp;" · ","")&amp;IF(OR(AND($D291&lt;&gt;"",NOT(ISNUMBER($D291))),AND($E291&lt;&gt;"",NOT(ISNUMBER($E291)))),"Fecha no válida"&amp;" · ","")&amp;IF(AND(ISNUMBER($D291),ISNUMBER($E291),$D291&gt;$E291),"Inicio posterior a fecha límite"&amp;" · ","")&amp;IF(AND($S291="Macro",$F291=""),"Peso vacío"&amp;" · ","")&amp;IF(AND($S291="Macro",$F291&lt;&gt;"",OR(NOT(ISNUMBER($F291)),$F291&lt;=0,$F291&gt;1)),"Peso fuera de rango"&amp;" · ","")&amp;IF(AND($S291="Sub",$F291&lt;&gt;"",OR(NOT(ISNUMBER($F291)),$F291&lt;0,$F291&gt;1)),"Peso fuera de rango"&amp;" · ","")&amp;IF(AND($S291="Sub",$F291="",IFERROR(N(INDEX($AG$5:$AG$1000,$R291-4)),0)&gt;0),"Falta el peso de la subactividad"&amp;" · ","")&amp;IF(AND(N($T291)&gt;0,N($AG291)&gt;0,ABS(N($AG291)-N($F291))&gt;0.0001),"Pesos de sus subactividades suman "&amp;TEXT(N($AG291),"0%")&amp;" (deben sumar "&amp;TEXT(N($F291),"0%")&amp;")"&amp;" · ","")&amp;IF(AND($S291="Macro",ABS(SUMIFS($F$5:$F$1000,$P$5:$P$1000,$P291,$S$5:$S$1000,"Macro")-1)&gt;0.0001),"Pesos del mes suman "&amp;TEXT(SUMIFS($F$5:$F$1000,$P$5:$P$1000,$P291,$S$5:$S$1000,"Macro"),"0%")&amp;" · ","")&amp;IF(AND(N($T291)&gt;0,COUNT($G291:$J291)&gt;0),"Con subactividades: deje vacías las semanas (se calculan solas)"&amp;" · ","")&amp;IF((COUNTIF($G291:$J291,"&gt;1")+COUNTIF($G291:$J291,"&lt;0")+COUNTA($G291:$J291)-COUNT($G291:$J291))&gt;0,"Avance fuera de rango 0-100%"&amp;" · ","")&amp;IF(OR(AND($H291&lt;&gt;"",$H291&lt;$G291),AND($I291&lt;&gt;"",$I291&lt;MAX($G291:$H291)),AND($J291&lt;&gt;"",$J291&lt;MAX($G291:$I291))),"Avance semanal decreciente"&amp;" · ","")&amp;IF(AND(ISNUMBER($E291),$E291&lt;FechaRef,N($K291)&lt;1),"Vencida"&amp;" · ","")&amp;IF(AND(ObsObligatoria="Sí",ISNUMBER($E291),$E291&lt;FechaRef,N($K291)&lt;1,$N291=""),"Vencida sin observación"&amp;" · ",""))-3)))</f>
        <v/>
      </c>
      <c r="P291" s="70">
        <f>IF(NOT((COUNTA($B291:$J291)+COUNTA($N291))&gt;0),"",IF(AND($S291="Sub",N($R291)&gt;0),IF(ISNUMBER(INDEX($D$5:$D$1000,$R291-4)),DATE(YEAR(INDEX($D$5:$D$1000,$R291-4)),MONTH(INDEX($D$5:$D$1000,$R291-4)),1),IF(ISNUMBER(INDEX($E$5:$E$1000,$R291-4)),DATE(YEAR(INDEX($E$5:$E$1000,$R291-4)),MONTH(INDEX($E$5:$E$1000,$R291-4)),1),MesCiclo)),IF(ISNUMBER($D291),DATE(YEAR($D291),MONTH($D291),1),IF(ISNUMBER($E291),DATE(YEAR($E291),MONTH($E291),1),MesCiclo))))</f>
        <v/>
      </c>
      <c r="Q291" s="71">
        <f>IF(OR($P291="",$P291&lt;&gt;MesCiclo),"",COUNTIF($P$5:$P291,MesCiclo))</f>
        <v/>
      </c>
      <c r="R291" s="71">
        <f>IF($S291="","",IF($S291="Macro",ROW(),IFERROR(LOOKUP(2,1/($S$5:$S291="Macro"),ROW($S$5:$S291)),0)))</f>
        <v/>
      </c>
      <c r="S291" s="71">
        <f>IF(NOT((COUNTA($B291:$J291)+COUNTA($N291))&gt;0),"",IF($B291="Subactividad","Sub","Macro"))</f>
        <v/>
      </c>
      <c r="T291" s="71">
        <f>IF($S291="Macro",COUNTIFS($R$5:$R$1000,ROW(),$S$5:$S$1000,"Sub"),"")</f>
        <v/>
      </c>
      <c r="U291" s="71">
        <f>IF($S291="","",IF(ISNUMBER($G291),$G291,0))</f>
        <v/>
      </c>
      <c r="V291" s="71">
        <f>IF($S291="","",IF(ISNUMBER($H291),$H291,$U291))</f>
        <v/>
      </c>
      <c r="W291" s="71">
        <f>IF($S291="","",IF(ISNUMBER($I291),$I291,$V291))</f>
        <v/>
      </c>
      <c r="X291" s="71">
        <f>IF($S291="","",IF(ISNUMBER($J291),$J291,$W291))</f>
        <v/>
      </c>
      <c r="Y291" s="71">
        <f>IF($S291="","",IF(N($T291)&gt;0,IF(N($AG291)&gt;0,SUMIFS($AC$5:$AC$1000,$R$5:$R$1000,ROW(),$S$5:$S$1000,"Sub")/$AG291,AVERAGEIFS($U$5:$U$1000,$R$5:$R$1000,ROW(),$S$5:$S$1000,"Sub")),$U291))</f>
        <v/>
      </c>
      <c r="Z291" s="71">
        <f>IF($S291="","",IF(N($T291)&gt;0,IF(N($AG291)&gt;0,SUMIFS($AD$5:$AD$1000,$R$5:$R$1000,ROW(),$S$5:$S$1000,"Sub")/$AG291,AVERAGEIFS($V$5:$V$1000,$R$5:$R$1000,ROW(),$S$5:$S$1000,"Sub")),$V291))</f>
        <v/>
      </c>
      <c r="AA291" s="71">
        <f>IF($S291="","",IF(N($T291)&gt;0,IF(N($AG291)&gt;0,SUMIFS($AE$5:$AE$1000,$R$5:$R$1000,ROW(),$S$5:$S$1000,"Sub")/$AG291,AVERAGEIFS($W$5:$W$1000,$R$5:$R$1000,ROW(),$S$5:$S$1000,"Sub")),$W291))</f>
        <v/>
      </c>
      <c r="AB291" s="71">
        <f>IF($S291="","",IF(N($T291)&gt;0,IF(N($AG291)&gt;0,SUMIFS($AF$5:$AF$1000,$R$5:$R$1000,ROW(),$S$5:$S$1000,"Sub")/$AG291,AVERAGEIFS($X$5:$X$1000,$R$5:$R$1000,ROW(),$S$5:$S$1000,"Sub")),$X291))</f>
        <v/>
      </c>
      <c r="AC291" s="71">
        <f>IF($S291="Sub",N($F291)*N($U291),"")</f>
        <v/>
      </c>
      <c r="AD291" s="71">
        <f>IF($S291="Sub",N($F291)*N($V291),"")</f>
        <v/>
      </c>
      <c r="AE291" s="71">
        <f>IF($S291="Sub",N($F291)*N($W291),"")</f>
        <v/>
      </c>
      <c r="AF291" s="71">
        <f>IF($S291="Sub",N($F291)*N($X291),"")</f>
        <v/>
      </c>
      <c r="AG291" s="71">
        <f>IF(N($T291)&gt;0,SUMIFS($F$5:$F$1000,$R$5:$R$1000,ROW(),$S$5:$S$1000,"Sub"),"")</f>
        <v/>
      </c>
    </row>
    <row r="292">
      <c r="A292" s="62">
        <f>IF(NOT((COUNTA($B292:$J292)+COUNTA($N292))&gt;0),"",IF($S292="Macro",COUNTIFS($S$5:$S292,"Macro",$P$5:$P292,$P292),IF(N($R292)=0,"?",COUNTIFS(INDEX($S$5:$S$1000,1):INDEX($S$5:$S$1000,$R292-4),"Macro",INDEX($P$5:$P$1000,1):INDEX($P$5:$P$1000,$R292-4),INDEX($P$5:$P$1000,$R292-4))&amp;"."&amp;COUNTIFS($R$5:$R292,$R292,$S$5:$S292,"Sub"))))</f>
        <v/>
      </c>
      <c r="B292" s="63" t="n"/>
      <c r="C292" s="64" t="n"/>
      <c r="D292" s="65" t="n"/>
      <c r="E292" s="65" t="n"/>
      <c r="F292" s="66" t="n"/>
      <c r="G292" s="67" t="n"/>
      <c r="H292" s="67" t="n"/>
      <c r="I292" s="67" t="n"/>
      <c r="J292" s="67" t="n"/>
      <c r="K292" s="68">
        <f>IF(NOT((COUNTA($B292:$J292)+COUNTA($N292))&gt;0),"",IF(N($T292)&gt;0,$AB292,IFERROR(LOOKUP(2,1/(G292:J292&lt;&gt;""),G292:J292),0)))</f>
        <v/>
      </c>
      <c r="L292" s="62">
        <f>IF(K292="","",IF(K292&gt;=1,"Completado",IF(K292&gt;0,"En curso","Pendiente")))</f>
        <v/>
      </c>
      <c r="M292" s="62">
        <f>IF(NOT((COUNTA($B292:$J292)+COUNTA($N292))&gt;0),"",IF(N($K292)&gt;=1,"Cumplida",IF(NOT(ISNUMBER($E292)),"Sin fecha límite",IF($E292&lt;FechaRef,"Vencida hace "&amp;(FechaRef-$E292)&amp;IF(FechaRef-$E292=1," día"," días"),IF($E292=FechaRef,"Vence hoy",IF($E292-FechaRef&lt;=DiasAlerta,"Vence en "&amp;($E292-FechaRef)&amp;IF($E292-FechaRef=1," día"," días"),"En plazo"))))))</f>
        <v/>
      </c>
      <c r="N292" s="64" t="n"/>
      <c r="O292" s="69">
        <f>IF(NOT((COUNTA($B292:$J292)+COUNTA($N292))&gt;0),"",IF((IF($C292="","Falta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",""))="","✔ OK","⚠ "&amp;LEFT(IF($C292="","Falta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",""),LEN(IF($C292="","Falta el nombre de la actividad"&amp;" · ","")&amp;IF(AND($S292="Sub",N($R292)=0),"Subactividad sin macroactividad arriba"&amp;" · ","")&amp;IF($D292="","Sin fecha de inicio"&amp;" · ","")&amp;IF($E292="","Sin fecha límite"&amp;" · ","")&amp;IF(OR(AND($D292&lt;&gt;"",NOT(ISNUMBER($D292))),AND($E292&lt;&gt;"",NOT(ISNUMBER($E292)))),"Fecha no válida"&amp;" · ","")&amp;IF(AND(ISNUMBER($D292),ISNUMBER($E292),$D292&gt;$E292),"Inicio posterior a fecha límite"&amp;" · ","")&amp;IF(AND($S292="Macro",$F292=""),"Peso vacío"&amp;" · ","")&amp;IF(AND($S292="Macro",$F292&lt;&gt;"",OR(NOT(ISNUMBER($F292)),$F292&lt;=0,$F292&gt;1)),"Peso fuera de rango"&amp;" · ","")&amp;IF(AND($S292="Sub",$F292&lt;&gt;"",OR(NOT(ISNUMBER($F292)),$F292&lt;0,$F292&gt;1)),"Peso fuera de rango"&amp;" · ","")&amp;IF(AND($S292="Sub",$F292="",IFERROR(N(INDEX($AG$5:$AG$1000,$R292-4)),0)&gt;0),"Falta el peso de la subactividad"&amp;" · ","")&amp;IF(AND(N($T292)&gt;0,N($AG292)&gt;0,ABS(N($AG292)-N($F292))&gt;0.0001),"Pesos de sus subactividades suman "&amp;TEXT(N($AG292),"0%")&amp;" (deben sumar "&amp;TEXT(N($F292),"0%")&amp;")"&amp;" · ","")&amp;IF(AND($S292="Macro",ABS(SUMIFS($F$5:$F$1000,$P$5:$P$1000,$P292,$S$5:$S$1000,"Macro")-1)&gt;0.0001),"Pesos del mes suman "&amp;TEXT(SUMIFS($F$5:$F$1000,$P$5:$P$1000,$P292,$S$5:$S$1000,"Macro"),"0%")&amp;" · ","")&amp;IF(AND(N($T292)&gt;0,COUNT($G292:$J292)&gt;0),"Con subactividades: deje vacías las semanas (se calculan solas)"&amp;" · ","")&amp;IF((COUNTIF($G292:$J292,"&gt;1")+COUNTIF($G292:$J292,"&lt;0")+COUNTA($G292:$J292)-COUNT($G292:$J292))&gt;0,"Avance fuera de rango 0-100%"&amp;" · ","")&amp;IF(OR(AND($H292&lt;&gt;"",$H292&lt;$G292),AND($I292&lt;&gt;"",$I292&lt;MAX($G292:$H292)),AND($J292&lt;&gt;"",$J292&lt;MAX($G292:$I292))),"Avance semanal decreciente"&amp;" · ","")&amp;IF(AND(ISNUMBER($E292),$E292&lt;FechaRef,N($K292)&lt;1),"Vencida"&amp;" · ","")&amp;IF(AND(ObsObligatoria="Sí",ISNUMBER($E292),$E292&lt;FechaRef,N($K292)&lt;1,$N292=""),"Vencida sin observación"&amp;" · ",""))-3)))</f>
        <v/>
      </c>
      <c r="P292" s="70">
        <f>IF(NOT((COUNTA($B292:$J292)+COUNTA($N292))&gt;0),"",IF(AND($S292="Sub",N($R292)&gt;0),IF(ISNUMBER(INDEX($D$5:$D$1000,$R292-4)),DATE(YEAR(INDEX($D$5:$D$1000,$R292-4)),MONTH(INDEX($D$5:$D$1000,$R292-4)),1),IF(ISNUMBER(INDEX($E$5:$E$1000,$R292-4)),DATE(YEAR(INDEX($E$5:$E$1000,$R292-4)),MONTH(INDEX($E$5:$E$1000,$R292-4)),1),MesCiclo)),IF(ISNUMBER($D292),DATE(YEAR($D292),MONTH($D292),1),IF(ISNUMBER($E292),DATE(YEAR($E292),MONTH($E292),1),MesCiclo))))</f>
        <v/>
      </c>
      <c r="Q292" s="71">
        <f>IF(OR($P292="",$P292&lt;&gt;MesCiclo),"",COUNTIF($P$5:$P292,MesCiclo))</f>
        <v/>
      </c>
      <c r="R292" s="71">
        <f>IF($S292="","",IF($S292="Macro",ROW(),IFERROR(LOOKUP(2,1/($S$5:$S292="Macro"),ROW($S$5:$S292)),0)))</f>
        <v/>
      </c>
      <c r="S292" s="71">
        <f>IF(NOT((COUNTA($B292:$J292)+COUNTA($N292))&gt;0),"",IF($B292="Subactividad","Sub","Macro"))</f>
        <v/>
      </c>
      <c r="T292" s="71">
        <f>IF($S292="Macro",COUNTIFS($R$5:$R$1000,ROW(),$S$5:$S$1000,"Sub"),"")</f>
        <v/>
      </c>
      <c r="U292" s="71">
        <f>IF($S292="","",IF(ISNUMBER($G292),$G292,0))</f>
        <v/>
      </c>
      <c r="V292" s="71">
        <f>IF($S292="","",IF(ISNUMBER($H292),$H292,$U292))</f>
        <v/>
      </c>
      <c r="W292" s="71">
        <f>IF($S292="","",IF(ISNUMBER($I292),$I292,$V292))</f>
        <v/>
      </c>
      <c r="X292" s="71">
        <f>IF($S292="","",IF(ISNUMBER($J292),$J292,$W292))</f>
        <v/>
      </c>
      <c r="Y292" s="71">
        <f>IF($S292="","",IF(N($T292)&gt;0,IF(N($AG292)&gt;0,SUMIFS($AC$5:$AC$1000,$R$5:$R$1000,ROW(),$S$5:$S$1000,"Sub")/$AG292,AVERAGEIFS($U$5:$U$1000,$R$5:$R$1000,ROW(),$S$5:$S$1000,"Sub")),$U292))</f>
        <v/>
      </c>
      <c r="Z292" s="71">
        <f>IF($S292="","",IF(N($T292)&gt;0,IF(N($AG292)&gt;0,SUMIFS($AD$5:$AD$1000,$R$5:$R$1000,ROW(),$S$5:$S$1000,"Sub")/$AG292,AVERAGEIFS($V$5:$V$1000,$R$5:$R$1000,ROW(),$S$5:$S$1000,"Sub")),$V292))</f>
        <v/>
      </c>
      <c r="AA292" s="71">
        <f>IF($S292="","",IF(N($T292)&gt;0,IF(N($AG292)&gt;0,SUMIFS($AE$5:$AE$1000,$R$5:$R$1000,ROW(),$S$5:$S$1000,"Sub")/$AG292,AVERAGEIFS($W$5:$W$1000,$R$5:$R$1000,ROW(),$S$5:$S$1000,"Sub")),$W292))</f>
        <v/>
      </c>
      <c r="AB292" s="71">
        <f>IF($S292="","",IF(N($T292)&gt;0,IF(N($AG292)&gt;0,SUMIFS($AF$5:$AF$1000,$R$5:$R$1000,ROW(),$S$5:$S$1000,"Sub")/$AG292,AVERAGEIFS($X$5:$X$1000,$R$5:$R$1000,ROW(),$S$5:$S$1000,"Sub")),$X292))</f>
        <v/>
      </c>
      <c r="AC292" s="71">
        <f>IF($S292="Sub",N($F292)*N($U292),"")</f>
        <v/>
      </c>
      <c r="AD292" s="71">
        <f>IF($S292="Sub",N($F292)*N($V292),"")</f>
        <v/>
      </c>
      <c r="AE292" s="71">
        <f>IF($S292="Sub",N($F292)*N($W292),"")</f>
        <v/>
      </c>
      <c r="AF292" s="71">
        <f>IF($S292="Sub",N($F292)*N($X292),"")</f>
        <v/>
      </c>
      <c r="AG292" s="71">
        <f>IF(N($T292)&gt;0,SUMIFS($F$5:$F$1000,$R$5:$R$1000,ROW(),$S$5:$S$1000,"Sub"),"")</f>
        <v/>
      </c>
    </row>
    <row r="293">
      <c r="A293" s="62">
        <f>IF(NOT((COUNTA($B293:$J293)+COUNTA($N293))&gt;0),"",IF($S293="Macro",COUNTIFS($S$5:$S293,"Macro",$P$5:$P293,$P293),IF(N($R293)=0,"?",COUNTIFS(INDEX($S$5:$S$1000,1):INDEX($S$5:$S$1000,$R293-4),"Macro",INDEX($P$5:$P$1000,1):INDEX($P$5:$P$1000,$R293-4),INDEX($P$5:$P$1000,$R293-4))&amp;"."&amp;COUNTIFS($R$5:$R293,$R293,$S$5:$S293,"Sub"))))</f>
        <v/>
      </c>
      <c r="B293" s="63" t="n"/>
      <c r="C293" s="64" t="n"/>
      <c r="D293" s="65" t="n"/>
      <c r="E293" s="65" t="n"/>
      <c r="F293" s="66" t="n"/>
      <c r="G293" s="67" t="n"/>
      <c r="H293" s="67" t="n"/>
      <c r="I293" s="67" t="n"/>
      <c r="J293" s="67" t="n"/>
      <c r="K293" s="68">
        <f>IF(NOT((COUNTA($B293:$J293)+COUNTA($N293))&gt;0),"",IF(N($T293)&gt;0,$AB293,IFERROR(LOOKUP(2,1/(G293:J293&lt;&gt;""),G293:J293),0)))</f>
        <v/>
      </c>
      <c r="L293" s="62">
        <f>IF(K293="","",IF(K293&gt;=1,"Completado",IF(K293&gt;0,"En curso","Pendiente")))</f>
        <v/>
      </c>
      <c r="M293" s="62">
        <f>IF(NOT((COUNTA($B293:$J293)+COUNTA($N293))&gt;0),"",IF(N($K293)&gt;=1,"Cumplida",IF(NOT(ISNUMBER($E293)),"Sin fecha límite",IF($E293&lt;FechaRef,"Vencida hace "&amp;(FechaRef-$E293)&amp;IF(FechaRef-$E293=1," día"," días"),IF($E293=FechaRef,"Vence hoy",IF($E293-FechaRef&lt;=DiasAlerta,"Vence en "&amp;($E293-FechaRef)&amp;IF($E293-FechaRef=1," día"," días"),"En plazo"))))))</f>
        <v/>
      </c>
      <c r="N293" s="64" t="n"/>
      <c r="O293" s="69">
        <f>IF(NOT((COUNTA($B293:$J293)+COUNTA($N293))&gt;0),"",IF((IF($C293="","Falta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",""))="","✔ OK","⚠ "&amp;LEFT(IF($C293="","Falta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",""),LEN(IF($C293="","Falta el nombre de la actividad"&amp;" · ","")&amp;IF(AND($S293="Sub",N($R293)=0),"Subactividad sin macroactividad arriba"&amp;" · ","")&amp;IF($D293="","Sin fecha de inicio"&amp;" · ","")&amp;IF($E293="","Sin fecha límite"&amp;" · ","")&amp;IF(OR(AND($D293&lt;&gt;"",NOT(ISNUMBER($D293))),AND($E293&lt;&gt;"",NOT(ISNUMBER($E293)))),"Fecha no válida"&amp;" · ","")&amp;IF(AND(ISNUMBER($D293),ISNUMBER($E293),$D293&gt;$E293),"Inicio posterior a fecha límite"&amp;" · ","")&amp;IF(AND($S293="Macro",$F293=""),"Peso vacío"&amp;" · ","")&amp;IF(AND($S293="Macro",$F293&lt;&gt;"",OR(NOT(ISNUMBER($F293)),$F293&lt;=0,$F293&gt;1)),"Peso fuera de rango"&amp;" · ","")&amp;IF(AND($S293="Sub",$F293&lt;&gt;"",OR(NOT(ISNUMBER($F293)),$F293&lt;0,$F293&gt;1)),"Peso fuera de rango"&amp;" · ","")&amp;IF(AND($S293="Sub",$F293="",IFERROR(N(INDEX($AG$5:$AG$1000,$R293-4)),0)&gt;0),"Falta el peso de la subactividad"&amp;" · ","")&amp;IF(AND(N($T293)&gt;0,N($AG293)&gt;0,ABS(N($AG293)-N($F293))&gt;0.0001),"Pesos de sus subactividades suman "&amp;TEXT(N($AG293),"0%")&amp;" (deben sumar "&amp;TEXT(N($F293),"0%")&amp;")"&amp;" · ","")&amp;IF(AND($S293="Macro",ABS(SUMIFS($F$5:$F$1000,$P$5:$P$1000,$P293,$S$5:$S$1000,"Macro")-1)&gt;0.0001),"Pesos del mes suman "&amp;TEXT(SUMIFS($F$5:$F$1000,$P$5:$P$1000,$P293,$S$5:$S$1000,"Macro"),"0%")&amp;" · ","")&amp;IF(AND(N($T293)&gt;0,COUNT($G293:$J293)&gt;0),"Con subactividades: deje vacías las semanas (se calculan solas)"&amp;" · ","")&amp;IF((COUNTIF($G293:$J293,"&gt;1")+COUNTIF($G293:$J293,"&lt;0")+COUNTA($G293:$J293)-COUNT($G293:$J293))&gt;0,"Avance fuera de rango 0-100%"&amp;" · ","")&amp;IF(OR(AND($H293&lt;&gt;"",$H293&lt;$G293),AND($I293&lt;&gt;"",$I293&lt;MAX($G293:$H293)),AND($J293&lt;&gt;"",$J293&lt;MAX($G293:$I293))),"Avance semanal decreciente"&amp;" · ","")&amp;IF(AND(ISNUMBER($E293),$E293&lt;FechaRef,N($K293)&lt;1),"Vencida"&amp;" · ","")&amp;IF(AND(ObsObligatoria="Sí",ISNUMBER($E293),$E293&lt;FechaRef,N($K293)&lt;1,$N293=""),"Vencida sin observación"&amp;" · ",""))-3)))</f>
        <v/>
      </c>
      <c r="P293" s="70">
        <f>IF(NOT((COUNTA($B293:$J293)+COUNTA($N293))&gt;0),"",IF(AND($S293="Sub",N($R293)&gt;0),IF(ISNUMBER(INDEX($D$5:$D$1000,$R293-4)),DATE(YEAR(INDEX($D$5:$D$1000,$R293-4)),MONTH(INDEX($D$5:$D$1000,$R293-4)),1),IF(ISNUMBER(INDEX($E$5:$E$1000,$R293-4)),DATE(YEAR(INDEX($E$5:$E$1000,$R293-4)),MONTH(INDEX($E$5:$E$1000,$R293-4)),1),MesCiclo)),IF(ISNUMBER($D293),DATE(YEAR($D293),MONTH($D293),1),IF(ISNUMBER($E293),DATE(YEAR($E293),MONTH($E293),1),MesCiclo))))</f>
        <v/>
      </c>
      <c r="Q293" s="71">
        <f>IF(OR($P293="",$P293&lt;&gt;MesCiclo),"",COUNTIF($P$5:$P293,MesCiclo))</f>
        <v/>
      </c>
      <c r="R293" s="71">
        <f>IF($S293="","",IF($S293="Macro",ROW(),IFERROR(LOOKUP(2,1/($S$5:$S293="Macro"),ROW($S$5:$S293)),0)))</f>
        <v/>
      </c>
      <c r="S293" s="71">
        <f>IF(NOT((COUNTA($B293:$J293)+COUNTA($N293))&gt;0),"",IF($B293="Subactividad","Sub","Macro"))</f>
        <v/>
      </c>
      <c r="T293" s="71">
        <f>IF($S293="Macro",COUNTIFS($R$5:$R$1000,ROW(),$S$5:$S$1000,"Sub"),"")</f>
        <v/>
      </c>
      <c r="U293" s="71">
        <f>IF($S293="","",IF(ISNUMBER($G293),$G293,0))</f>
        <v/>
      </c>
      <c r="V293" s="71">
        <f>IF($S293="","",IF(ISNUMBER($H293),$H293,$U293))</f>
        <v/>
      </c>
      <c r="W293" s="71">
        <f>IF($S293="","",IF(ISNUMBER($I293),$I293,$V293))</f>
        <v/>
      </c>
      <c r="X293" s="71">
        <f>IF($S293="","",IF(ISNUMBER($J293),$J293,$W293))</f>
        <v/>
      </c>
      <c r="Y293" s="71">
        <f>IF($S293="","",IF(N($T293)&gt;0,IF(N($AG293)&gt;0,SUMIFS($AC$5:$AC$1000,$R$5:$R$1000,ROW(),$S$5:$S$1000,"Sub")/$AG293,AVERAGEIFS($U$5:$U$1000,$R$5:$R$1000,ROW(),$S$5:$S$1000,"Sub")),$U293))</f>
        <v/>
      </c>
      <c r="Z293" s="71">
        <f>IF($S293="","",IF(N($T293)&gt;0,IF(N($AG293)&gt;0,SUMIFS($AD$5:$AD$1000,$R$5:$R$1000,ROW(),$S$5:$S$1000,"Sub")/$AG293,AVERAGEIFS($V$5:$V$1000,$R$5:$R$1000,ROW(),$S$5:$S$1000,"Sub")),$V293))</f>
        <v/>
      </c>
      <c r="AA293" s="71">
        <f>IF($S293="","",IF(N($T293)&gt;0,IF(N($AG293)&gt;0,SUMIFS($AE$5:$AE$1000,$R$5:$R$1000,ROW(),$S$5:$S$1000,"Sub")/$AG293,AVERAGEIFS($W$5:$W$1000,$R$5:$R$1000,ROW(),$S$5:$S$1000,"Sub")),$W293))</f>
        <v/>
      </c>
      <c r="AB293" s="71">
        <f>IF($S293="","",IF(N($T293)&gt;0,IF(N($AG293)&gt;0,SUMIFS($AF$5:$AF$1000,$R$5:$R$1000,ROW(),$S$5:$S$1000,"Sub")/$AG293,AVERAGEIFS($X$5:$X$1000,$R$5:$R$1000,ROW(),$S$5:$S$1000,"Sub")),$X293))</f>
        <v/>
      </c>
      <c r="AC293" s="71">
        <f>IF($S293="Sub",N($F293)*N($U293),"")</f>
        <v/>
      </c>
      <c r="AD293" s="71">
        <f>IF($S293="Sub",N($F293)*N($V293),"")</f>
        <v/>
      </c>
      <c r="AE293" s="71">
        <f>IF($S293="Sub",N($F293)*N($W293),"")</f>
        <v/>
      </c>
      <c r="AF293" s="71">
        <f>IF($S293="Sub",N($F293)*N($X293),"")</f>
        <v/>
      </c>
      <c r="AG293" s="71">
        <f>IF(N($T293)&gt;0,SUMIFS($F$5:$F$1000,$R$5:$R$1000,ROW(),$S$5:$S$1000,"Sub"),"")</f>
        <v/>
      </c>
    </row>
    <row r="294">
      <c r="A294" s="62">
        <f>IF(NOT((COUNTA($B294:$J294)+COUNTA($N294))&gt;0),"",IF($S294="Macro",COUNTIFS($S$5:$S294,"Macro",$P$5:$P294,$P294),IF(N($R294)=0,"?",COUNTIFS(INDEX($S$5:$S$1000,1):INDEX($S$5:$S$1000,$R294-4),"Macro",INDEX($P$5:$P$1000,1):INDEX($P$5:$P$1000,$R294-4),INDEX($P$5:$P$1000,$R294-4))&amp;"."&amp;COUNTIFS($R$5:$R294,$R294,$S$5:$S294,"Sub"))))</f>
        <v/>
      </c>
      <c r="B294" s="63" t="n"/>
      <c r="C294" s="64" t="n"/>
      <c r="D294" s="65" t="n"/>
      <c r="E294" s="65" t="n"/>
      <c r="F294" s="66" t="n"/>
      <c r="G294" s="67" t="n"/>
      <c r="H294" s="67" t="n"/>
      <c r="I294" s="67" t="n"/>
      <c r="J294" s="67" t="n"/>
      <c r="K294" s="68">
        <f>IF(NOT((COUNTA($B294:$J294)+COUNTA($N294))&gt;0),"",IF(N($T294)&gt;0,$AB294,IFERROR(LOOKUP(2,1/(G294:J294&lt;&gt;""),G294:J294),0)))</f>
        <v/>
      </c>
      <c r="L294" s="62">
        <f>IF(K294="","",IF(K294&gt;=1,"Completado",IF(K294&gt;0,"En curso","Pendiente")))</f>
        <v/>
      </c>
      <c r="M294" s="62">
        <f>IF(NOT((COUNTA($B294:$J294)+COUNTA($N294))&gt;0),"",IF(N($K294)&gt;=1,"Cumplida",IF(NOT(ISNUMBER($E294)),"Sin fecha límite",IF($E294&lt;FechaRef,"Vencida hace "&amp;(FechaRef-$E294)&amp;IF(FechaRef-$E294=1," día"," días"),IF($E294=FechaRef,"Vence hoy",IF($E294-FechaRef&lt;=DiasAlerta,"Vence en "&amp;($E294-FechaRef)&amp;IF($E294-FechaRef=1," día"," días"),"En plazo"))))))</f>
        <v/>
      </c>
      <c r="N294" s="64" t="n"/>
      <c r="O294" s="69">
        <f>IF(NOT((COUNTA($B294:$J294)+COUNTA($N294))&gt;0),"",IF((IF($C294="","Falta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",""))="","✔ OK","⚠ "&amp;LEFT(IF($C294="","Falta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",""),LEN(IF($C294="","Falta el nombre de la actividad"&amp;" · ","")&amp;IF(AND($S294="Sub",N($R294)=0),"Subactividad sin macroactividad arriba"&amp;" · ","")&amp;IF($D294="","Sin fecha de inicio"&amp;" · ","")&amp;IF($E294="","Sin fecha límite"&amp;" · ","")&amp;IF(OR(AND($D294&lt;&gt;"",NOT(ISNUMBER($D294))),AND($E294&lt;&gt;"",NOT(ISNUMBER($E294)))),"Fecha no válida"&amp;" · ","")&amp;IF(AND(ISNUMBER($D294),ISNUMBER($E294),$D294&gt;$E294),"Inicio posterior a fecha límite"&amp;" · ","")&amp;IF(AND($S294="Macro",$F294=""),"Peso vacío"&amp;" · ","")&amp;IF(AND($S294="Macro",$F294&lt;&gt;"",OR(NOT(ISNUMBER($F294)),$F294&lt;=0,$F294&gt;1)),"Peso fuera de rango"&amp;" · ","")&amp;IF(AND($S294="Sub",$F294&lt;&gt;"",OR(NOT(ISNUMBER($F294)),$F294&lt;0,$F294&gt;1)),"Peso fuera de rango"&amp;" · ","")&amp;IF(AND($S294="Sub",$F294="",IFERROR(N(INDEX($AG$5:$AG$1000,$R294-4)),0)&gt;0),"Falta el peso de la subactividad"&amp;" · ","")&amp;IF(AND(N($T294)&gt;0,N($AG294)&gt;0,ABS(N($AG294)-N($F294))&gt;0.0001),"Pesos de sus subactividades suman "&amp;TEXT(N($AG294),"0%")&amp;" (deben sumar "&amp;TEXT(N($F294),"0%")&amp;")"&amp;" · ","")&amp;IF(AND($S294="Macro",ABS(SUMIFS($F$5:$F$1000,$P$5:$P$1000,$P294,$S$5:$S$1000,"Macro")-1)&gt;0.0001),"Pesos del mes suman "&amp;TEXT(SUMIFS($F$5:$F$1000,$P$5:$P$1000,$P294,$S$5:$S$1000,"Macro"),"0%")&amp;" · ","")&amp;IF(AND(N($T294)&gt;0,COUNT($G294:$J294)&gt;0),"Con subactividades: deje vacías las semanas (se calculan solas)"&amp;" · ","")&amp;IF((COUNTIF($G294:$J294,"&gt;1")+COUNTIF($G294:$J294,"&lt;0")+COUNTA($G294:$J294)-COUNT($G294:$J294))&gt;0,"Avance fuera de rango 0-100%"&amp;" · ","")&amp;IF(OR(AND($H294&lt;&gt;"",$H294&lt;$G294),AND($I294&lt;&gt;"",$I294&lt;MAX($G294:$H294)),AND($J294&lt;&gt;"",$J294&lt;MAX($G294:$I294))),"Avance semanal decreciente"&amp;" · ","")&amp;IF(AND(ISNUMBER($E294),$E294&lt;FechaRef,N($K294)&lt;1),"Vencida"&amp;" · ","")&amp;IF(AND(ObsObligatoria="Sí",ISNUMBER($E294),$E294&lt;FechaRef,N($K294)&lt;1,$N294=""),"Vencida sin observación"&amp;" · ",""))-3)))</f>
        <v/>
      </c>
      <c r="P294" s="70">
        <f>IF(NOT((COUNTA($B294:$J294)+COUNTA($N294))&gt;0),"",IF(AND($S294="Sub",N($R294)&gt;0),IF(ISNUMBER(INDEX($D$5:$D$1000,$R294-4)),DATE(YEAR(INDEX($D$5:$D$1000,$R294-4)),MONTH(INDEX($D$5:$D$1000,$R294-4)),1),IF(ISNUMBER(INDEX($E$5:$E$1000,$R294-4)),DATE(YEAR(INDEX($E$5:$E$1000,$R294-4)),MONTH(INDEX($E$5:$E$1000,$R294-4)),1),MesCiclo)),IF(ISNUMBER($D294),DATE(YEAR($D294),MONTH($D294),1),IF(ISNUMBER($E294),DATE(YEAR($E294),MONTH($E294),1),MesCiclo))))</f>
        <v/>
      </c>
      <c r="Q294" s="71">
        <f>IF(OR($P294="",$P294&lt;&gt;MesCiclo),"",COUNTIF($P$5:$P294,MesCiclo))</f>
        <v/>
      </c>
      <c r="R294" s="71">
        <f>IF($S294="","",IF($S294="Macro",ROW(),IFERROR(LOOKUP(2,1/($S$5:$S294="Macro"),ROW($S$5:$S294)),0)))</f>
        <v/>
      </c>
      <c r="S294" s="71">
        <f>IF(NOT((COUNTA($B294:$J294)+COUNTA($N294))&gt;0),"",IF($B294="Subactividad","Sub","Macro"))</f>
        <v/>
      </c>
      <c r="T294" s="71">
        <f>IF($S294="Macro",COUNTIFS($R$5:$R$1000,ROW(),$S$5:$S$1000,"Sub"),"")</f>
        <v/>
      </c>
      <c r="U294" s="71">
        <f>IF($S294="","",IF(ISNUMBER($G294),$G294,0))</f>
        <v/>
      </c>
      <c r="V294" s="71">
        <f>IF($S294="","",IF(ISNUMBER($H294),$H294,$U294))</f>
        <v/>
      </c>
      <c r="W294" s="71">
        <f>IF($S294="","",IF(ISNUMBER($I294),$I294,$V294))</f>
        <v/>
      </c>
      <c r="X294" s="71">
        <f>IF($S294="","",IF(ISNUMBER($J294),$J294,$W294))</f>
        <v/>
      </c>
      <c r="Y294" s="71">
        <f>IF($S294="","",IF(N($T294)&gt;0,IF(N($AG294)&gt;0,SUMIFS($AC$5:$AC$1000,$R$5:$R$1000,ROW(),$S$5:$S$1000,"Sub")/$AG294,AVERAGEIFS($U$5:$U$1000,$R$5:$R$1000,ROW(),$S$5:$S$1000,"Sub")),$U294))</f>
        <v/>
      </c>
      <c r="Z294" s="71">
        <f>IF($S294="","",IF(N($T294)&gt;0,IF(N($AG294)&gt;0,SUMIFS($AD$5:$AD$1000,$R$5:$R$1000,ROW(),$S$5:$S$1000,"Sub")/$AG294,AVERAGEIFS($V$5:$V$1000,$R$5:$R$1000,ROW(),$S$5:$S$1000,"Sub")),$V294))</f>
        <v/>
      </c>
      <c r="AA294" s="71">
        <f>IF($S294="","",IF(N($T294)&gt;0,IF(N($AG294)&gt;0,SUMIFS($AE$5:$AE$1000,$R$5:$R$1000,ROW(),$S$5:$S$1000,"Sub")/$AG294,AVERAGEIFS($W$5:$W$1000,$R$5:$R$1000,ROW(),$S$5:$S$1000,"Sub")),$W294))</f>
        <v/>
      </c>
      <c r="AB294" s="71">
        <f>IF($S294="","",IF(N($T294)&gt;0,IF(N($AG294)&gt;0,SUMIFS($AF$5:$AF$1000,$R$5:$R$1000,ROW(),$S$5:$S$1000,"Sub")/$AG294,AVERAGEIFS($X$5:$X$1000,$R$5:$R$1000,ROW(),$S$5:$S$1000,"Sub")),$X294))</f>
        <v/>
      </c>
      <c r="AC294" s="71">
        <f>IF($S294="Sub",N($F294)*N($U294),"")</f>
        <v/>
      </c>
      <c r="AD294" s="71">
        <f>IF($S294="Sub",N($F294)*N($V294),"")</f>
        <v/>
      </c>
      <c r="AE294" s="71">
        <f>IF($S294="Sub",N($F294)*N($W294),"")</f>
        <v/>
      </c>
      <c r="AF294" s="71">
        <f>IF($S294="Sub",N($F294)*N($X294),"")</f>
        <v/>
      </c>
      <c r="AG294" s="71">
        <f>IF(N($T294)&gt;0,SUMIFS($F$5:$F$1000,$R$5:$R$1000,ROW(),$S$5:$S$1000,"Sub"),"")</f>
        <v/>
      </c>
    </row>
    <row r="295">
      <c r="A295" s="62">
        <f>IF(NOT((COUNTA($B295:$J295)+COUNTA($N295))&gt;0),"",IF($S295="Macro",COUNTIFS($S$5:$S295,"Macro",$P$5:$P295,$P295),IF(N($R295)=0,"?",COUNTIFS(INDEX($S$5:$S$1000,1):INDEX($S$5:$S$1000,$R295-4),"Macro",INDEX($P$5:$P$1000,1):INDEX($P$5:$P$1000,$R295-4),INDEX($P$5:$P$1000,$R295-4))&amp;"."&amp;COUNTIFS($R$5:$R295,$R295,$S$5:$S295,"Sub"))))</f>
        <v/>
      </c>
      <c r="B295" s="63" t="n"/>
      <c r="C295" s="64" t="n"/>
      <c r="D295" s="65" t="n"/>
      <c r="E295" s="65" t="n"/>
      <c r="F295" s="66" t="n"/>
      <c r="G295" s="67" t="n"/>
      <c r="H295" s="67" t="n"/>
      <c r="I295" s="67" t="n"/>
      <c r="J295" s="67" t="n"/>
      <c r="K295" s="68">
        <f>IF(NOT((COUNTA($B295:$J295)+COUNTA($N295))&gt;0),"",IF(N($T295)&gt;0,$AB295,IFERROR(LOOKUP(2,1/(G295:J295&lt;&gt;""),G295:J295),0)))</f>
        <v/>
      </c>
      <c r="L295" s="62">
        <f>IF(K295="","",IF(K295&gt;=1,"Completado",IF(K295&gt;0,"En curso","Pendiente")))</f>
        <v/>
      </c>
      <c r="M295" s="62">
        <f>IF(NOT((COUNTA($B295:$J295)+COUNTA($N295))&gt;0),"",IF(N($K295)&gt;=1,"Cumplida",IF(NOT(ISNUMBER($E295)),"Sin fecha límite",IF($E295&lt;FechaRef,"Vencida hace "&amp;(FechaRef-$E295)&amp;IF(FechaRef-$E295=1," día"," días"),IF($E295=FechaRef,"Vence hoy",IF($E295-FechaRef&lt;=DiasAlerta,"Vence en "&amp;($E295-FechaRef)&amp;IF($E295-FechaRef=1," día"," días"),"En plazo"))))))</f>
        <v/>
      </c>
      <c r="N295" s="64" t="n"/>
      <c r="O295" s="69">
        <f>IF(NOT((COUNTA($B295:$J295)+COUNTA($N295))&gt;0),"",IF((IF($C295="","Falta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",""))="","✔ OK","⚠ "&amp;LEFT(IF($C295="","Falta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",""),LEN(IF($C295="","Falta el nombre de la actividad"&amp;" · ","")&amp;IF(AND($S295="Sub",N($R295)=0),"Subactividad sin macroactividad arriba"&amp;" · ","")&amp;IF($D295="","Sin fecha de inicio"&amp;" · ","")&amp;IF($E295="","Sin fecha límite"&amp;" · ","")&amp;IF(OR(AND($D295&lt;&gt;"",NOT(ISNUMBER($D295))),AND($E295&lt;&gt;"",NOT(ISNUMBER($E295)))),"Fecha no válida"&amp;" · ","")&amp;IF(AND(ISNUMBER($D295),ISNUMBER($E295),$D295&gt;$E295),"Inicio posterior a fecha límite"&amp;" · ","")&amp;IF(AND($S295="Macro",$F295=""),"Peso vacío"&amp;" · ","")&amp;IF(AND($S295="Macro",$F295&lt;&gt;"",OR(NOT(ISNUMBER($F295)),$F295&lt;=0,$F295&gt;1)),"Peso fuera de rango"&amp;" · ","")&amp;IF(AND($S295="Sub",$F295&lt;&gt;"",OR(NOT(ISNUMBER($F295)),$F295&lt;0,$F295&gt;1)),"Peso fuera de rango"&amp;" · ","")&amp;IF(AND($S295="Sub",$F295="",IFERROR(N(INDEX($AG$5:$AG$1000,$R295-4)),0)&gt;0),"Falta el peso de la subactividad"&amp;" · ","")&amp;IF(AND(N($T295)&gt;0,N($AG295)&gt;0,ABS(N($AG295)-N($F295))&gt;0.0001),"Pesos de sus subactividades suman "&amp;TEXT(N($AG295),"0%")&amp;" (deben sumar "&amp;TEXT(N($F295),"0%")&amp;")"&amp;" · ","")&amp;IF(AND($S295="Macro",ABS(SUMIFS($F$5:$F$1000,$P$5:$P$1000,$P295,$S$5:$S$1000,"Macro")-1)&gt;0.0001),"Pesos del mes suman "&amp;TEXT(SUMIFS($F$5:$F$1000,$P$5:$P$1000,$P295,$S$5:$S$1000,"Macro"),"0%")&amp;" · ","")&amp;IF(AND(N($T295)&gt;0,COUNT($G295:$J295)&gt;0),"Con subactividades: deje vacías las semanas (se calculan solas)"&amp;" · ","")&amp;IF((COUNTIF($G295:$J295,"&gt;1")+COUNTIF($G295:$J295,"&lt;0")+COUNTA($G295:$J295)-COUNT($G295:$J295))&gt;0,"Avance fuera de rango 0-100%"&amp;" · ","")&amp;IF(OR(AND($H295&lt;&gt;"",$H295&lt;$G295),AND($I295&lt;&gt;"",$I295&lt;MAX($G295:$H295)),AND($J295&lt;&gt;"",$J295&lt;MAX($G295:$I295))),"Avance semanal decreciente"&amp;" · ","")&amp;IF(AND(ISNUMBER($E295),$E295&lt;FechaRef,N($K295)&lt;1),"Vencida"&amp;" · ","")&amp;IF(AND(ObsObligatoria="Sí",ISNUMBER($E295),$E295&lt;FechaRef,N($K295)&lt;1,$N295=""),"Vencida sin observación"&amp;" · ",""))-3)))</f>
        <v/>
      </c>
      <c r="P295" s="70">
        <f>IF(NOT((COUNTA($B295:$J295)+COUNTA($N295))&gt;0),"",IF(AND($S295="Sub",N($R295)&gt;0),IF(ISNUMBER(INDEX($D$5:$D$1000,$R295-4)),DATE(YEAR(INDEX($D$5:$D$1000,$R295-4)),MONTH(INDEX($D$5:$D$1000,$R295-4)),1),IF(ISNUMBER(INDEX($E$5:$E$1000,$R295-4)),DATE(YEAR(INDEX($E$5:$E$1000,$R295-4)),MONTH(INDEX($E$5:$E$1000,$R295-4)),1),MesCiclo)),IF(ISNUMBER($D295),DATE(YEAR($D295),MONTH($D295),1),IF(ISNUMBER($E295),DATE(YEAR($E295),MONTH($E295),1),MesCiclo))))</f>
        <v/>
      </c>
      <c r="Q295" s="71">
        <f>IF(OR($P295="",$P295&lt;&gt;MesCiclo),"",COUNTIF($P$5:$P295,MesCiclo))</f>
        <v/>
      </c>
      <c r="R295" s="71">
        <f>IF($S295="","",IF($S295="Macro",ROW(),IFERROR(LOOKUP(2,1/($S$5:$S295="Macro"),ROW($S$5:$S295)),0)))</f>
        <v/>
      </c>
      <c r="S295" s="71">
        <f>IF(NOT((COUNTA($B295:$J295)+COUNTA($N295))&gt;0),"",IF($B295="Subactividad","Sub","Macro"))</f>
        <v/>
      </c>
      <c r="T295" s="71">
        <f>IF($S295="Macro",COUNTIFS($R$5:$R$1000,ROW(),$S$5:$S$1000,"Sub"),"")</f>
        <v/>
      </c>
      <c r="U295" s="71">
        <f>IF($S295="","",IF(ISNUMBER($G295),$G295,0))</f>
        <v/>
      </c>
      <c r="V295" s="71">
        <f>IF($S295="","",IF(ISNUMBER($H295),$H295,$U295))</f>
        <v/>
      </c>
      <c r="W295" s="71">
        <f>IF($S295="","",IF(ISNUMBER($I295),$I295,$V295))</f>
        <v/>
      </c>
      <c r="X295" s="71">
        <f>IF($S295="","",IF(ISNUMBER($J295),$J295,$W295))</f>
        <v/>
      </c>
      <c r="Y295" s="71">
        <f>IF($S295="","",IF(N($T295)&gt;0,IF(N($AG295)&gt;0,SUMIFS($AC$5:$AC$1000,$R$5:$R$1000,ROW(),$S$5:$S$1000,"Sub")/$AG295,AVERAGEIFS($U$5:$U$1000,$R$5:$R$1000,ROW(),$S$5:$S$1000,"Sub")),$U295))</f>
        <v/>
      </c>
      <c r="Z295" s="71">
        <f>IF($S295="","",IF(N($T295)&gt;0,IF(N($AG295)&gt;0,SUMIFS($AD$5:$AD$1000,$R$5:$R$1000,ROW(),$S$5:$S$1000,"Sub")/$AG295,AVERAGEIFS($V$5:$V$1000,$R$5:$R$1000,ROW(),$S$5:$S$1000,"Sub")),$V295))</f>
        <v/>
      </c>
      <c r="AA295" s="71">
        <f>IF($S295="","",IF(N($T295)&gt;0,IF(N($AG295)&gt;0,SUMIFS($AE$5:$AE$1000,$R$5:$R$1000,ROW(),$S$5:$S$1000,"Sub")/$AG295,AVERAGEIFS($W$5:$W$1000,$R$5:$R$1000,ROW(),$S$5:$S$1000,"Sub")),$W295))</f>
        <v/>
      </c>
      <c r="AB295" s="71">
        <f>IF($S295="","",IF(N($T295)&gt;0,IF(N($AG295)&gt;0,SUMIFS($AF$5:$AF$1000,$R$5:$R$1000,ROW(),$S$5:$S$1000,"Sub")/$AG295,AVERAGEIFS($X$5:$X$1000,$R$5:$R$1000,ROW(),$S$5:$S$1000,"Sub")),$X295))</f>
        <v/>
      </c>
      <c r="AC295" s="71">
        <f>IF($S295="Sub",N($F295)*N($U295),"")</f>
        <v/>
      </c>
      <c r="AD295" s="71">
        <f>IF($S295="Sub",N($F295)*N($V295),"")</f>
        <v/>
      </c>
      <c r="AE295" s="71">
        <f>IF($S295="Sub",N($F295)*N($W295),"")</f>
        <v/>
      </c>
      <c r="AF295" s="71">
        <f>IF($S295="Sub",N($F295)*N($X295),"")</f>
        <v/>
      </c>
      <c r="AG295" s="71">
        <f>IF(N($T295)&gt;0,SUMIFS($F$5:$F$1000,$R$5:$R$1000,ROW(),$S$5:$S$1000,"Sub"),"")</f>
        <v/>
      </c>
    </row>
    <row r="296">
      <c r="A296" s="62">
        <f>IF(NOT((COUNTA($B296:$J296)+COUNTA($N296))&gt;0),"",IF($S296="Macro",COUNTIFS($S$5:$S296,"Macro",$P$5:$P296,$P296),IF(N($R296)=0,"?",COUNTIFS(INDEX($S$5:$S$1000,1):INDEX($S$5:$S$1000,$R296-4),"Macro",INDEX($P$5:$P$1000,1):INDEX($P$5:$P$1000,$R296-4),INDEX($P$5:$P$1000,$R296-4))&amp;"."&amp;COUNTIFS($R$5:$R296,$R296,$S$5:$S296,"Sub"))))</f>
        <v/>
      </c>
      <c r="B296" s="63" t="n"/>
      <c r="C296" s="64" t="n"/>
      <c r="D296" s="65" t="n"/>
      <c r="E296" s="65" t="n"/>
      <c r="F296" s="66" t="n"/>
      <c r="G296" s="67" t="n"/>
      <c r="H296" s="67" t="n"/>
      <c r="I296" s="67" t="n"/>
      <c r="J296" s="67" t="n"/>
      <c r="K296" s="68">
        <f>IF(NOT((COUNTA($B296:$J296)+COUNTA($N296))&gt;0),"",IF(N($T296)&gt;0,$AB296,IFERROR(LOOKUP(2,1/(G296:J296&lt;&gt;""),G296:J296),0)))</f>
        <v/>
      </c>
      <c r="L296" s="62">
        <f>IF(K296="","",IF(K296&gt;=1,"Completado",IF(K296&gt;0,"En curso","Pendiente")))</f>
        <v/>
      </c>
      <c r="M296" s="62">
        <f>IF(NOT((COUNTA($B296:$J296)+COUNTA($N296))&gt;0),"",IF(N($K296)&gt;=1,"Cumplida",IF(NOT(ISNUMBER($E296)),"Sin fecha límite",IF($E296&lt;FechaRef,"Vencida hace "&amp;(FechaRef-$E296)&amp;IF(FechaRef-$E296=1," día"," días"),IF($E296=FechaRef,"Vence hoy",IF($E296-FechaRef&lt;=DiasAlerta,"Vence en "&amp;($E296-FechaRef)&amp;IF($E296-FechaRef=1," día"," días"),"En plazo"))))))</f>
        <v/>
      </c>
      <c r="N296" s="64" t="n"/>
      <c r="O296" s="69">
        <f>IF(NOT((COUNTA($B296:$J296)+COUNTA($N296))&gt;0),"",IF((IF($C296="","Falta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",""))="","✔ OK","⚠ "&amp;LEFT(IF($C296="","Falta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",""),LEN(IF($C296="","Falta el nombre de la actividad"&amp;" · ","")&amp;IF(AND($S296="Sub",N($R296)=0),"Subactividad sin macroactividad arriba"&amp;" · ","")&amp;IF($D296="","Sin fecha de inicio"&amp;" · ","")&amp;IF($E296="","Sin fecha límite"&amp;" · ","")&amp;IF(OR(AND($D296&lt;&gt;"",NOT(ISNUMBER($D296))),AND($E296&lt;&gt;"",NOT(ISNUMBER($E296)))),"Fecha no válida"&amp;" · ","")&amp;IF(AND(ISNUMBER($D296),ISNUMBER($E296),$D296&gt;$E296),"Inicio posterior a fecha límite"&amp;" · ","")&amp;IF(AND($S296="Macro",$F296=""),"Peso vacío"&amp;" · ","")&amp;IF(AND($S296="Macro",$F296&lt;&gt;"",OR(NOT(ISNUMBER($F296)),$F296&lt;=0,$F296&gt;1)),"Peso fuera de rango"&amp;" · ","")&amp;IF(AND($S296="Sub",$F296&lt;&gt;"",OR(NOT(ISNUMBER($F296)),$F296&lt;0,$F296&gt;1)),"Peso fuera de rango"&amp;" · ","")&amp;IF(AND($S296="Sub",$F296="",IFERROR(N(INDEX($AG$5:$AG$1000,$R296-4)),0)&gt;0),"Falta el peso de la subactividad"&amp;" · ","")&amp;IF(AND(N($T296)&gt;0,N($AG296)&gt;0,ABS(N($AG296)-N($F296))&gt;0.0001),"Pesos de sus subactividades suman "&amp;TEXT(N($AG296),"0%")&amp;" (deben sumar "&amp;TEXT(N($F296),"0%")&amp;")"&amp;" · ","")&amp;IF(AND($S296="Macro",ABS(SUMIFS($F$5:$F$1000,$P$5:$P$1000,$P296,$S$5:$S$1000,"Macro")-1)&gt;0.0001),"Pesos del mes suman "&amp;TEXT(SUMIFS($F$5:$F$1000,$P$5:$P$1000,$P296,$S$5:$S$1000,"Macro"),"0%")&amp;" · ","")&amp;IF(AND(N($T296)&gt;0,COUNT($G296:$J296)&gt;0),"Con subactividades: deje vacías las semanas (se calculan solas)"&amp;" · ","")&amp;IF((COUNTIF($G296:$J296,"&gt;1")+COUNTIF($G296:$J296,"&lt;0")+COUNTA($G296:$J296)-COUNT($G296:$J296))&gt;0,"Avance fuera de rango 0-100%"&amp;" · ","")&amp;IF(OR(AND($H296&lt;&gt;"",$H296&lt;$G296),AND($I296&lt;&gt;"",$I296&lt;MAX($G296:$H296)),AND($J296&lt;&gt;"",$J296&lt;MAX($G296:$I296))),"Avance semanal decreciente"&amp;" · ","")&amp;IF(AND(ISNUMBER($E296),$E296&lt;FechaRef,N($K296)&lt;1),"Vencida"&amp;" · ","")&amp;IF(AND(ObsObligatoria="Sí",ISNUMBER($E296),$E296&lt;FechaRef,N($K296)&lt;1,$N296=""),"Vencida sin observación"&amp;" · ",""))-3)))</f>
        <v/>
      </c>
      <c r="P296" s="70">
        <f>IF(NOT((COUNTA($B296:$J296)+COUNTA($N296))&gt;0),"",IF(AND($S296="Sub",N($R296)&gt;0),IF(ISNUMBER(INDEX($D$5:$D$1000,$R296-4)),DATE(YEAR(INDEX($D$5:$D$1000,$R296-4)),MONTH(INDEX($D$5:$D$1000,$R296-4)),1),IF(ISNUMBER(INDEX($E$5:$E$1000,$R296-4)),DATE(YEAR(INDEX($E$5:$E$1000,$R296-4)),MONTH(INDEX($E$5:$E$1000,$R296-4)),1),MesCiclo)),IF(ISNUMBER($D296),DATE(YEAR($D296),MONTH($D296),1),IF(ISNUMBER($E296),DATE(YEAR($E296),MONTH($E296),1),MesCiclo))))</f>
        <v/>
      </c>
      <c r="Q296" s="71">
        <f>IF(OR($P296="",$P296&lt;&gt;MesCiclo),"",COUNTIF($P$5:$P296,MesCiclo))</f>
        <v/>
      </c>
      <c r="R296" s="71">
        <f>IF($S296="","",IF($S296="Macro",ROW(),IFERROR(LOOKUP(2,1/($S$5:$S296="Macro"),ROW($S$5:$S296)),0)))</f>
        <v/>
      </c>
      <c r="S296" s="71">
        <f>IF(NOT((COUNTA($B296:$J296)+COUNTA($N296))&gt;0),"",IF($B296="Subactividad","Sub","Macro"))</f>
        <v/>
      </c>
      <c r="T296" s="71">
        <f>IF($S296="Macro",COUNTIFS($R$5:$R$1000,ROW(),$S$5:$S$1000,"Sub"),"")</f>
        <v/>
      </c>
      <c r="U296" s="71">
        <f>IF($S296="","",IF(ISNUMBER($G296),$G296,0))</f>
        <v/>
      </c>
      <c r="V296" s="71">
        <f>IF($S296="","",IF(ISNUMBER($H296),$H296,$U296))</f>
        <v/>
      </c>
      <c r="W296" s="71">
        <f>IF($S296="","",IF(ISNUMBER($I296),$I296,$V296))</f>
        <v/>
      </c>
      <c r="X296" s="71">
        <f>IF($S296="","",IF(ISNUMBER($J296),$J296,$W296))</f>
        <v/>
      </c>
      <c r="Y296" s="71">
        <f>IF($S296="","",IF(N($T296)&gt;0,IF(N($AG296)&gt;0,SUMIFS($AC$5:$AC$1000,$R$5:$R$1000,ROW(),$S$5:$S$1000,"Sub")/$AG296,AVERAGEIFS($U$5:$U$1000,$R$5:$R$1000,ROW(),$S$5:$S$1000,"Sub")),$U296))</f>
        <v/>
      </c>
      <c r="Z296" s="71">
        <f>IF($S296="","",IF(N($T296)&gt;0,IF(N($AG296)&gt;0,SUMIFS($AD$5:$AD$1000,$R$5:$R$1000,ROW(),$S$5:$S$1000,"Sub")/$AG296,AVERAGEIFS($V$5:$V$1000,$R$5:$R$1000,ROW(),$S$5:$S$1000,"Sub")),$V296))</f>
        <v/>
      </c>
      <c r="AA296" s="71">
        <f>IF($S296="","",IF(N($T296)&gt;0,IF(N($AG296)&gt;0,SUMIFS($AE$5:$AE$1000,$R$5:$R$1000,ROW(),$S$5:$S$1000,"Sub")/$AG296,AVERAGEIFS($W$5:$W$1000,$R$5:$R$1000,ROW(),$S$5:$S$1000,"Sub")),$W296))</f>
        <v/>
      </c>
      <c r="AB296" s="71">
        <f>IF($S296="","",IF(N($T296)&gt;0,IF(N($AG296)&gt;0,SUMIFS($AF$5:$AF$1000,$R$5:$R$1000,ROW(),$S$5:$S$1000,"Sub")/$AG296,AVERAGEIFS($X$5:$X$1000,$R$5:$R$1000,ROW(),$S$5:$S$1000,"Sub")),$X296))</f>
        <v/>
      </c>
      <c r="AC296" s="71">
        <f>IF($S296="Sub",N($F296)*N($U296),"")</f>
        <v/>
      </c>
      <c r="AD296" s="71">
        <f>IF($S296="Sub",N($F296)*N($V296),"")</f>
        <v/>
      </c>
      <c r="AE296" s="71">
        <f>IF($S296="Sub",N($F296)*N($W296),"")</f>
        <v/>
      </c>
      <c r="AF296" s="71">
        <f>IF($S296="Sub",N($F296)*N($X296),"")</f>
        <v/>
      </c>
      <c r="AG296" s="71">
        <f>IF(N($T296)&gt;0,SUMIFS($F$5:$F$1000,$R$5:$R$1000,ROW(),$S$5:$S$1000,"Sub"),"")</f>
        <v/>
      </c>
    </row>
    <row r="297">
      <c r="A297" s="62">
        <f>IF(NOT((COUNTA($B297:$J297)+COUNTA($N297))&gt;0),"",IF($S297="Macro",COUNTIFS($S$5:$S297,"Macro",$P$5:$P297,$P297),IF(N($R297)=0,"?",COUNTIFS(INDEX($S$5:$S$1000,1):INDEX($S$5:$S$1000,$R297-4),"Macro",INDEX($P$5:$P$1000,1):INDEX($P$5:$P$1000,$R297-4),INDEX($P$5:$P$1000,$R297-4))&amp;"."&amp;COUNTIFS($R$5:$R297,$R297,$S$5:$S297,"Sub"))))</f>
        <v/>
      </c>
      <c r="B297" s="63" t="n"/>
      <c r="C297" s="64" t="n"/>
      <c r="D297" s="65" t="n"/>
      <c r="E297" s="65" t="n"/>
      <c r="F297" s="66" t="n"/>
      <c r="G297" s="67" t="n"/>
      <c r="H297" s="67" t="n"/>
      <c r="I297" s="67" t="n"/>
      <c r="J297" s="67" t="n"/>
      <c r="K297" s="68">
        <f>IF(NOT((COUNTA($B297:$J297)+COUNTA($N297))&gt;0),"",IF(N($T297)&gt;0,$AB297,IFERROR(LOOKUP(2,1/(G297:J297&lt;&gt;""),G297:J297),0)))</f>
        <v/>
      </c>
      <c r="L297" s="62">
        <f>IF(K297="","",IF(K297&gt;=1,"Completado",IF(K297&gt;0,"En curso","Pendiente")))</f>
        <v/>
      </c>
      <c r="M297" s="62">
        <f>IF(NOT((COUNTA($B297:$J297)+COUNTA($N297))&gt;0),"",IF(N($K297)&gt;=1,"Cumplida",IF(NOT(ISNUMBER($E297)),"Sin fecha límite",IF($E297&lt;FechaRef,"Vencida hace "&amp;(FechaRef-$E297)&amp;IF(FechaRef-$E297=1," día"," días"),IF($E297=FechaRef,"Vence hoy",IF($E297-FechaRef&lt;=DiasAlerta,"Vence en "&amp;($E297-FechaRef)&amp;IF($E297-FechaRef=1," día"," días"),"En plazo"))))))</f>
        <v/>
      </c>
      <c r="N297" s="64" t="n"/>
      <c r="O297" s="69">
        <f>IF(NOT((COUNTA($B297:$J297)+COUNTA($N297))&gt;0),"",IF((IF($C297="","Falta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",""))="","✔ OK","⚠ "&amp;LEFT(IF($C297="","Falta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",""),LEN(IF($C297="","Falta el nombre de la actividad"&amp;" · ","")&amp;IF(AND($S297="Sub",N($R297)=0),"Subactividad sin macroactividad arriba"&amp;" · ","")&amp;IF($D297="","Sin fecha de inicio"&amp;" · ","")&amp;IF($E297="","Sin fecha límite"&amp;" · ","")&amp;IF(OR(AND($D297&lt;&gt;"",NOT(ISNUMBER($D297))),AND($E297&lt;&gt;"",NOT(ISNUMBER($E297)))),"Fecha no válida"&amp;" · ","")&amp;IF(AND(ISNUMBER($D297),ISNUMBER($E297),$D297&gt;$E297),"Inicio posterior a fecha límite"&amp;" · ","")&amp;IF(AND($S297="Macro",$F297=""),"Peso vacío"&amp;" · ","")&amp;IF(AND($S297="Macro",$F297&lt;&gt;"",OR(NOT(ISNUMBER($F297)),$F297&lt;=0,$F297&gt;1)),"Peso fuera de rango"&amp;" · ","")&amp;IF(AND($S297="Sub",$F297&lt;&gt;"",OR(NOT(ISNUMBER($F297)),$F297&lt;0,$F297&gt;1)),"Peso fuera de rango"&amp;" · ","")&amp;IF(AND($S297="Sub",$F297="",IFERROR(N(INDEX($AG$5:$AG$1000,$R297-4)),0)&gt;0),"Falta el peso de la subactividad"&amp;" · ","")&amp;IF(AND(N($T297)&gt;0,N($AG297)&gt;0,ABS(N($AG297)-N($F297))&gt;0.0001),"Pesos de sus subactividades suman "&amp;TEXT(N($AG297),"0%")&amp;" (deben sumar "&amp;TEXT(N($F297),"0%")&amp;")"&amp;" · ","")&amp;IF(AND($S297="Macro",ABS(SUMIFS($F$5:$F$1000,$P$5:$P$1000,$P297,$S$5:$S$1000,"Macro")-1)&gt;0.0001),"Pesos del mes suman "&amp;TEXT(SUMIFS($F$5:$F$1000,$P$5:$P$1000,$P297,$S$5:$S$1000,"Macro"),"0%")&amp;" · ","")&amp;IF(AND(N($T297)&gt;0,COUNT($G297:$J297)&gt;0),"Con subactividades: deje vacías las semanas (se calculan solas)"&amp;" · ","")&amp;IF((COUNTIF($G297:$J297,"&gt;1")+COUNTIF($G297:$J297,"&lt;0")+COUNTA($G297:$J297)-COUNT($G297:$J297))&gt;0,"Avance fuera de rango 0-100%"&amp;" · ","")&amp;IF(OR(AND($H297&lt;&gt;"",$H297&lt;$G297),AND($I297&lt;&gt;"",$I297&lt;MAX($G297:$H297)),AND($J297&lt;&gt;"",$J297&lt;MAX($G297:$I297))),"Avance semanal decreciente"&amp;" · ","")&amp;IF(AND(ISNUMBER($E297),$E297&lt;FechaRef,N($K297)&lt;1),"Vencida"&amp;" · ","")&amp;IF(AND(ObsObligatoria="Sí",ISNUMBER($E297),$E297&lt;FechaRef,N($K297)&lt;1,$N297=""),"Vencida sin observación"&amp;" · ",""))-3)))</f>
        <v/>
      </c>
      <c r="P297" s="70">
        <f>IF(NOT((COUNTA($B297:$J297)+COUNTA($N297))&gt;0),"",IF(AND($S297="Sub",N($R297)&gt;0),IF(ISNUMBER(INDEX($D$5:$D$1000,$R297-4)),DATE(YEAR(INDEX($D$5:$D$1000,$R297-4)),MONTH(INDEX($D$5:$D$1000,$R297-4)),1),IF(ISNUMBER(INDEX($E$5:$E$1000,$R297-4)),DATE(YEAR(INDEX($E$5:$E$1000,$R297-4)),MONTH(INDEX($E$5:$E$1000,$R297-4)),1),MesCiclo)),IF(ISNUMBER($D297),DATE(YEAR($D297),MONTH($D297),1),IF(ISNUMBER($E297),DATE(YEAR($E297),MONTH($E297),1),MesCiclo))))</f>
        <v/>
      </c>
      <c r="Q297" s="71">
        <f>IF(OR($P297="",$P297&lt;&gt;MesCiclo),"",COUNTIF($P$5:$P297,MesCiclo))</f>
        <v/>
      </c>
      <c r="R297" s="71">
        <f>IF($S297="","",IF($S297="Macro",ROW(),IFERROR(LOOKUP(2,1/($S$5:$S297="Macro"),ROW($S$5:$S297)),0)))</f>
        <v/>
      </c>
      <c r="S297" s="71">
        <f>IF(NOT((COUNTA($B297:$J297)+COUNTA($N297))&gt;0),"",IF($B297="Subactividad","Sub","Macro"))</f>
        <v/>
      </c>
      <c r="T297" s="71">
        <f>IF($S297="Macro",COUNTIFS($R$5:$R$1000,ROW(),$S$5:$S$1000,"Sub"),"")</f>
        <v/>
      </c>
      <c r="U297" s="71">
        <f>IF($S297="","",IF(ISNUMBER($G297),$G297,0))</f>
        <v/>
      </c>
      <c r="V297" s="71">
        <f>IF($S297="","",IF(ISNUMBER($H297),$H297,$U297))</f>
        <v/>
      </c>
      <c r="W297" s="71">
        <f>IF($S297="","",IF(ISNUMBER($I297),$I297,$V297))</f>
        <v/>
      </c>
      <c r="X297" s="71">
        <f>IF($S297="","",IF(ISNUMBER($J297),$J297,$W297))</f>
        <v/>
      </c>
      <c r="Y297" s="71">
        <f>IF($S297="","",IF(N($T297)&gt;0,IF(N($AG297)&gt;0,SUMIFS($AC$5:$AC$1000,$R$5:$R$1000,ROW(),$S$5:$S$1000,"Sub")/$AG297,AVERAGEIFS($U$5:$U$1000,$R$5:$R$1000,ROW(),$S$5:$S$1000,"Sub")),$U297))</f>
        <v/>
      </c>
      <c r="Z297" s="71">
        <f>IF($S297="","",IF(N($T297)&gt;0,IF(N($AG297)&gt;0,SUMIFS($AD$5:$AD$1000,$R$5:$R$1000,ROW(),$S$5:$S$1000,"Sub")/$AG297,AVERAGEIFS($V$5:$V$1000,$R$5:$R$1000,ROW(),$S$5:$S$1000,"Sub")),$V297))</f>
        <v/>
      </c>
      <c r="AA297" s="71">
        <f>IF($S297="","",IF(N($T297)&gt;0,IF(N($AG297)&gt;0,SUMIFS($AE$5:$AE$1000,$R$5:$R$1000,ROW(),$S$5:$S$1000,"Sub")/$AG297,AVERAGEIFS($W$5:$W$1000,$R$5:$R$1000,ROW(),$S$5:$S$1000,"Sub")),$W297))</f>
        <v/>
      </c>
      <c r="AB297" s="71">
        <f>IF($S297="","",IF(N($T297)&gt;0,IF(N($AG297)&gt;0,SUMIFS($AF$5:$AF$1000,$R$5:$R$1000,ROW(),$S$5:$S$1000,"Sub")/$AG297,AVERAGEIFS($X$5:$X$1000,$R$5:$R$1000,ROW(),$S$5:$S$1000,"Sub")),$X297))</f>
        <v/>
      </c>
      <c r="AC297" s="71">
        <f>IF($S297="Sub",N($F297)*N($U297),"")</f>
        <v/>
      </c>
      <c r="AD297" s="71">
        <f>IF($S297="Sub",N($F297)*N($V297),"")</f>
        <v/>
      </c>
      <c r="AE297" s="71">
        <f>IF($S297="Sub",N($F297)*N($W297),"")</f>
        <v/>
      </c>
      <c r="AF297" s="71">
        <f>IF($S297="Sub",N($F297)*N($X297),"")</f>
        <v/>
      </c>
      <c r="AG297" s="71">
        <f>IF(N($T297)&gt;0,SUMIFS($F$5:$F$1000,$R$5:$R$1000,ROW(),$S$5:$S$1000,"Sub"),"")</f>
        <v/>
      </c>
    </row>
    <row r="298">
      <c r="A298" s="62">
        <f>IF(NOT((COUNTA($B298:$J298)+COUNTA($N298))&gt;0),"",IF($S298="Macro",COUNTIFS($S$5:$S298,"Macro",$P$5:$P298,$P298),IF(N($R298)=0,"?",COUNTIFS(INDEX($S$5:$S$1000,1):INDEX($S$5:$S$1000,$R298-4),"Macro",INDEX($P$5:$P$1000,1):INDEX($P$5:$P$1000,$R298-4),INDEX($P$5:$P$1000,$R298-4))&amp;"."&amp;COUNTIFS($R$5:$R298,$R298,$S$5:$S298,"Sub"))))</f>
        <v/>
      </c>
      <c r="B298" s="63" t="n"/>
      <c r="C298" s="64" t="n"/>
      <c r="D298" s="65" t="n"/>
      <c r="E298" s="65" t="n"/>
      <c r="F298" s="66" t="n"/>
      <c r="G298" s="67" t="n"/>
      <c r="H298" s="67" t="n"/>
      <c r="I298" s="67" t="n"/>
      <c r="J298" s="67" t="n"/>
      <c r="K298" s="68">
        <f>IF(NOT((COUNTA($B298:$J298)+COUNTA($N298))&gt;0),"",IF(N($T298)&gt;0,$AB298,IFERROR(LOOKUP(2,1/(G298:J298&lt;&gt;""),G298:J298),0)))</f>
        <v/>
      </c>
      <c r="L298" s="62">
        <f>IF(K298="","",IF(K298&gt;=1,"Completado",IF(K298&gt;0,"En curso","Pendiente")))</f>
        <v/>
      </c>
      <c r="M298" s="62">
        <f>IF(NOT((COUNTA($B298:$J298)+COUNTA($N298))&gt;0),"",IF(N($K298)&gt;=1,"Cumplida",IF(NOT(ISNUMBER($E298)),"Sin fecha límite",IF($E298&lt;FechaRef,"Vencida hace "&amp;(FechaRef-$E298)&amp;IF(FechaRef-$E298=1," día"," días"),IF($E298=FechaRef,"Vence hoy",IF($E298-FechaRef&lt;=DiasAlerta,"Vence en "&amp;($E298-FechaRef)&amp;IF($E298-FechaRef=1," día"," días"),"En plazo"))))))</f>
        <v/>
      </c>
      <c r="N298" s="64" t="n"/>
      <c r="O298" s="69">
        <f>IF(NOT((COUNTA($B298:$J298)+COUNTA($N298))&gt;0),"",IF((IF($C298="","Falta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",""))="","✔ OK","⚠ "&amp;LEFT(IF($C298="","Falta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",""),LEN(IF($C298="","Falta el nombre de la actividad"&amp;" · ","")&amp;IF(AND($S298="Sub",N($R298)=0),"Subactividad sin macroactividad arriba"&amp;" · ","")&amp;IF($D298="","Sin fecha de inicio"&amp;" · ","")&amp;IF($E298="","Sin fecha límite"&amp;" · ","")&amp;IF(OR(AND($D298&lt;&gt;"",NOT(ISNUMBER($D298))),AND($E298&lt;&gt;"",NOT(ISNUMBER($E298)))),"Fecha no válida"&amp;" · ","")&amp;IF(AND(ISNUMBER($D298),ISNUMBER($E298),$D298&gt;$E298),"Inicio posterior a fecha límite"&amp;" · ","")&amp;IF(AND($S298="Macro",$F298=""),"Peso vacío"&amp;" · ","")&amp;IF(AND($S298="Macro",$F298&lt;&gt;"",OR(NOT(ISNUMBER($F298)),$F298&lt;=0,$F298&gt;1)),"Peso fuera de rango"&amp;" · ","")&amp;IF(AND($S298="Sub",$F298&lt;&gt;"",OR(NOT(ISNUMBER($F298)),$F298&lt;0,$F298&gt;1)),"Peso fuera de rango"&amp;" · ","")&amp;IF(AND($S298="Sub",$F298="",IFERROR(N(INDEX($AG$5:$AG$1000,$R298-4)),0)&gt;0),"Falta el peso de la subactividad"&amp;" · ","")&amp;IF(AND(N($T298)&gt;0,N($AG298)&gt;0,ABS(N($AG298)-N($F298))&gt;0.0001),"Pesos de sus subactividades suman "&amp;TEXT(N($AG298),"0%")&amp;" (deben sumar "&amp;TEXT(N($F298),"0%")&amp;")"&amp;" · ","")&amp;IF(AND($S298="Macro",ABS(SUMIFS($F$5:$F$1000,$P$5:$P$1000,$P298,$S$5:$S$1000,"Macro")-1)&gt;0.0001),"Pesos del mes suman "&amp;TEXT(SUMIFS($F$5:$F$1000,$P$5:$P$1000,$P298,$S$5:$S$1000,"Macro"),"0%")&amp;" · ","")&amp;IF(AND(N($T298)&gt;0,COUNT($G298:$J298)&gt;0),"Con subactividades: deje vacías las semanas (se calculan solas)"&amp;" · ","")&amp;IF((COUNTIF($G298:$J298,"&gt;1")+COUNTIF($G298:$J298,"&lt;0")+COUNTA($G298:$J298)-COUNT($G298:$J298))&gt;0,"Avance fuera de rango 0-100%"&amp;" · ","")&amp;IF(OR(AND($H298&lt;&gt;"",$H298&lt;$G298),AND($I298&lt;&gt;"",$I298&lt;MAX($G298:$H298)),AND($J298&lt;&gt;"",$J298&lt;MAX($G298:$I298))),"Avance semanal decreciente"&amp;" · ","")&amp;IF(AND(ISNUMBER($E298),$E298&lt;FechaRef,N($K298)&lt;1),"Vencida"&amp;" · ","")&amp;IF(AND(ObsObligatoria="Sí",ISNUMBER($E298),$E298&lt;FechaRef,N($K298)&lt;1,$N298=""),"Vencida sin observación"&amp;" · ",""))-3)))</f>
        <v/>
      </c>
      <c r="P298" s="70">
        <f>IF(NOT((COUNTA($B298:$J298)+COUNTA($N298))&gt;0),"",IF(AND($S298="Sub",N($R298)&gt;0),IF(ISNUMBER(INDEX($D$5:$D$1000,$R298-4)),DATE(YEAR(INDEX($D$5:$D$1000,$R298-4)),MONTH(INDEX($D$5:$D$1000,$R298-4)),1),IF(ISNUMBER(INDEX($E$5:$E$1000,$R298-4)),DATE(YEAR(INDEX($E$5:$E$1000,$R298-4)),MONTH(INDEX($E$5:$E$1000,$R298-4)),1),MesCiclo)),IF(ISNUMBER($D298),DATE(YEAR($D298),MONTH($D298),1),IF(ISNUMBER($E298),DATE(YEAR($E298),MONTH($E298),1),MesCiclo))))</f>
        <v/>
      </c>
      <c r="Q298" s="71">
        <f>IF(OR($P298="",$P298&lt;&gt;MesCiclo),"",COUNTIF($P$5:$P298,MesCiclo))</f>
        <v/>
      </c>
      <c r="R298" s="71">
        <f>IF($S298="","",IF($S298="Macro",ROW(),IFERROR(LOOKUP(2,1/($S$5:$S298="Macro"),ROW($S$5:$S298)),0)))</f>
        <v/>
      </c>
      <c r="S298" s="71">
        <f>IF(NOT((COUNTA($B298:$J298)+COUNTA($N298))&gt;0),"",IF($B298="Subactividad","Sub","Macro"))</f>
        <v/>
      </c>
      <c r="T298" s="71">
        <f>IF($S298="Macro",COUNTIFS($R$5:$R$1000,ROW(),$S$5:$S$1000,"Sub"),"")</f>
        <v/>
      </c>
      <c r="U298" s="71">
        <f>IF($S298="","",IF(ISNUMBER($G298),$G298,0))</f>
        <v/>
      </c>
      <c r="V298" s="71">
        <f>IF($S298="","",IF(ISNUMBER($H298),$H298,$U298))</f>
        <v/>
      </c>
      <c r="W298" s="71">
        <f>IF($S298="","",IF(ISNUMBER($I298),$I298,$V298))</f>
        <v/>
      </c>
      <c r="X298" s="71">
        <f>IF($S298="","",IF(ISNUMBER($J298),$J298,$W298))</f>
        <v/>
      </c>
      <c r="Y298" s="71">
        <f>IF($S298="","",IF(N($T298)&gt;0,IF(N($AG298)&gt;0,SUMIFS($AC$5:$AC$1000,$R$5:$R$1000,ROW(),$S$5:$S$1000,"Sub")/$AG298,AVERAGEIFS($U$5:$U$1000,$R$5:$R$1000,ROW(),$S$5:$S$1000,"Sub")),$U298))</f>
        <v/>
      </c>
      <c r="Z298" s="71">
        <f>IF($S298="","",IF(N($T298)&gt;0,IF(N($AG298)&gt;0,SUMIFS($AD$5:$AD$1000,$R$5:$R$1000,ROW(),$S$5:$S$1000,"Sub")/$AG298,AVERAGEIFS($V$5:$V$1000,$R$5:$R$1000,ROW(),$S$5:$S$1000,"Sub")),$V298))</f>
        <v/>
      </c>
      <c r="AA298" s="71">
        <f>IF($S298="","",IF(N($T298)&gt;0,IF(N($AG298)&gt;0,SUMIFS($AE$5:$AE$1000,$R$5:$R$1000,ROW(),$S$5:$S$1000,"Sub")/$AG298,AVERAGEIFS($W$5:$W$1000,$R$5:$R$1000,ROW(),$S$5:$S$1000,"Sub")),$W298))</f>
        <v/>
      </c>
      <c r="AB298" s="71">
        <f>IF($S298="","",IF(N($T298)&gt;0,IF(N($AG298)&gt;0,SUMIFS($AF$5:$AF$1000,$R$5:$R$1000,ROW(),$S$5:$S$1000,"Sub")/$AG298,AVERAGEIFS($X$5:$X$1000,$R$5:$R$1000,ROW(),$S$5:$S$1000,"Sub")),$X298))</f>
        <v/>
      </c>
      <c r="AC298" s="71">
        <f>IF($S298="Sub",N($F298)*N($U298),"")</f>
        <v/>
      </c>
      <c r="AD298" s="71">
        <f>IF($S298="Sub",N($F298)*N($V298),"")</f>
        <v/>
      </c>
      <c r="AE298" s="71">
        <f>IF($S298="Sub",N($F298)*N($W298),"")</f>
        <v/>
      </c>
      <c r="AF298" s="71">
        <f>IF($S298="Sub",N($F298)*N($X298),"")</f>
        <v/>
      </c>
      <c r="AG298" s="71">
        <f>IF(N($T298)&gt;0,SUMIFS($F$5:$F$1000,$R$5:$R$1000,ROW(),$S$5:$S$1000,"Sub"),"")</f>
        <v/>
      </c>
    </row>
    <row r="299">
      <c r="A299" s="62">
        <f>IF(NOT((COUNTA($B299:$J299)+COUNTA($N299))&gt;0),"",IF($S299="Macro",COUNTIFS($S$5:$S299,"Macro",$P$5:$P299,$P299),IF(N($R299)=0,"?",COUNTIFS(INDEX($S$5:$S$1000,1):INDEX($S$5:$S$1000,$R299-4),"Macro",INDEX($P$5:$P$1000,1):INDEX($P$5:$P$1000,$R299-4),INDEX($P$5:$P$1000,$R299-4))&amp;"."&amp;COUNTIFS($R$5:$R299,$R299,$S$5:$S299,"Sub"))))</f>
        <v/>
      </c>
      <c r="B299" s="63" t="n"/>
      <c r="C299" s="64" t="n"/>
      <c r="D299" s="65" t="n"/>
      <c r="E299" s="65" t="n"/>
      <c r="F299" s="66" t="n"/>
      <c r="G299" s="67" t="n"/>
      <c r="H299" s="67" t="n"/>
      <c r="I299" s="67" t="n"/>
      <c r="J299" s="67" t="n"/>
      <c r="K299" s="68">
        <f>IF(NOT((COUNTA($B299:$J299)+COUNTA($N299))&gt;0),"",IF(N($T299)&gt;0,$AB299,IFERROR(LOOKUP(2,1/(G299:J299&lt;&gt;""),G299:J299),0)))</f>
        <v/>
      </c>
      <c r="L299" s="62">
        <f>IF(K299="","",IF(K299&gt;=1,"Completado",IF(K299&gt;0,"En curso","Pendiente")))</f>
        <v/>
      </c>
      <c r="M299" s="62">
        <f>IF(NOT((COUNTA($B299:$J299)+COUNTA($N299))&gt;0),"",IF(N($K299)&gt;=1,"Cumplida",IF(NOT(ISNUMBER($E299)),"Sin fecha límite",IF($E299&lt;FechaRef,"Vencida hace "&amp;(FechaRef-$E299)&amp;IF(FechaRef-$E299=1," día"," días"),IF($E299=FechaRef,"Vence hoy",IF($E299-FechaRef&lt;=DiasAlerta,"Vence en "&amp;($E299-FechaRef)&amp;IF($E299-FechaRef=1," día"," días"),"En plazo"))))))</f>
        <v/>
      </c>
      <c r="N299" s="64" t="n"/>
      <c r="O299" s="69">
        <f>IF(NOT((COUNTA($B299:$J299)+COUNTA($N299))&gt;0),"",IF((IF($C299="","Falta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",""))="","✔ OK","⚠ "&amp;LEFT(IF($C299="","Falta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",""),LEN(IF($C299="","Falta el nombre de la actividad"&amp;" · ","")&amp;IF(AND($S299="Sub",N($R299)=0),"Subactividad sin macroactividad arriba"&amp;" · ","")&amp;IF($D299="","Sin fecha de inicio"&amp;" · ","")&amp;IF($E299="","Sin fecha límite"&amp;" · ","")&amp;IF(OR(AND($D299&lt;&gt;"",NOT(ISNUMBER($D299))),AND($E299&lt;&gt;"",NOT(ISNUMBER($E299)))),"Fecha no válida"&amp;" · ","")&amp;IF(AND(ISNUMBER($D299),ISNUMBER($E299),$D299&gt;$E299),"Inicio posterior a fecha límite"&amp;" · ","")&amp;IF(AND($S299="Macro",$F299=""),"Peso vacío"&amp;" · ","")&amp;IF(AND($S299="Macro",$F299&lt;&gt;"",OR(NOT(ISNUMBER($F299)),$F299&lt;=0,$F299&gt;1)),"Peso fuera de rango"&amp;" · ","")&amp;IF(AND($S299="Sub",$F299&lt;&gt;"",OR(NOT(ISNUMBER($F299)),$F299&lt;0,$F299&gt;1)),"Peso fuera de rango"&amp;" · ","")&amp;IF(AND($S299="Sub",$F299="",IFERROR(N(INDEX($AG$5:$AG$1000,$R299-4)),0)&gt;0),"Falta el peso de la subactividad"&amp;" · ","")&amp;IF(AND(N($T299)&gt;0,N($AG299)&gt;0,ABS(N($AG299)-N($F299))&gt;0.0001),"Pesos de sus subactividades suman "&amp;TEXT(N($AG299),"0%")&amp;" (deben sumar "&amp;TEXT(N($F299),"0%")&amp;")"&amp;" · ","")&amp;IF(AND($S299="Macro",ABS(SUMIFS($F$5:$F$1000,$P$5:$P$1000,$P299,$S$5:$S$1000,"Macro")-1)&gt;0.0001),"Pesos del mes suman "&amp;TEXT(SUMIFS($F$5:$F$1000,$P$5:$P$1000,$P299,$S$5:$S$1000,"Macro"),"0%")&amp;" · ","")&amp;IF(AND(N($T299)&gt;0,COUNT($G299:$J299)&gt;0),"Con subactividades: deje vacías las semanas (se calculan solas)"&amp;" · ","")&amp;IF((COUNTIF($G299:$J299,"&gt;1")+COUNTIF($G299:$J299,"&lt;0")+COUNTA($G299:$J299)-COUNT($G299:$J299))&gt;0,"Avance fuera de rango 0-100%"&amp;" · ","")&amp;IF(OR(AND($H299&lt;&gt;"",$H299&lt;$G299),AND($I299&lt;&gt;"",$I299&lt;MAX($G299:$H299)),AND($J299&lt;&gt;"",$J299&lt;MAX($G299:$I299))),"Avance semanal decreciente"&amp;" · ","")&amp;IF(AND(ISNUMBER($E299),$E299&lt;FechaRef,N($K299)&lt;1),"Vencida"&amp;" · ","")&amp;IF(AND(ObsObligatoria="Sí",ISNUMBER($E299),$E299&lt;FechaRef,N($K299)&lt;1,$N299=""),"Vencida sin observación"&amp;" · ",""))-3)))</f>
        <v/>
      </c>
      <c r="P299" s="70">
        <f>IF(NOT((COUNTA($B299:$J299)+COUNTA($N299))&gt;0),"",IF(AND($S299="Sub",N($R299)&gt;0),IF(ISNUMBER(INDEX($D$5:$D$1000,$R299-4)),DATE(YEAR(INDEX($D$5:$D$1000,$R299-4)),MONTH(INDEX($D$5:$D$1000,$R299-4)),1),IF(ISNUMBER(INDEX($E$5:$E$1000,$R299-4)),DATE(YEAR(INDEX($E$5:$E$1000,$R299-4)),MONTH(INDEX($E$5:$E$1000,$R299-4)),1),MesCiclo)),IF(ISNUMBER($D299),DATE(YEAR($D299),MONTH($D299),1),IF(ISNUMBER($E299),DATE(YEAR($E299),MONTH($E299),1),MesCiclo))))</f>
        <v/>
      </c>
      <c r="Q299" s="71">
        <f>IF(OR($P299="",$P299&lt;&gt;MesCiclo),"",COUNTIF($P$5:$P299,MesCiclo))</f>
        <v/>
      </c>
      <c r="R299" s="71">
        <f>IF($S299="","",IF($S299="Macro",ROW(),IFERROR(LOOKUP(2,1/($S$5:$S299="Macro"),ROW($S$5:$S299)),0)))</f>
        <v/>
      </c>
      <c r="S299" s="71">
        <f>IF(NOT((COUNTA($B299:$J299)+COUNTA($N299))&gt;0),"",IF($B299="Subactividad","Sub","Macro"))</f>
        <v/>
      </c>
      <c r="T299" s="71">
        <f>IF($S299="Macro",COUNTIFS($R$5:$R$1000,ROW(),$S$5:$S$1000,"Sub"),"")</f>
        <v/>
      </c>
      <c r="U299" s="71">
        <f>IF($S299="","",IF(ISNUMBER($G299),$G299,0))</f>
        <v/>
      </c>
      <c r="V299" s="71">
        <f>IF($S299="","",IF(ISNUMBER($H299),$H299,$U299))</f>
        <v/>
      </c>
      <c r="W299" s="71">
        <f>IF($S299="","",IF(ISNUMBER($I299),$I299,$V299))</f>
        <v/>
      </c>
      <c r="X299" s="71">
        <f>IF($S299="","",IF(ISNUMBER($J299),$J299,$W299))</f>
        <v/>
      </c>
      <c r="Y299" s="71">
        <f>IF($S299="","",IF(N($T299)&gt;0,IF(N($AG299)&gt;0,SUMIFS($AC$5:$AC$1000,$R$5:$R$1000,ROW(),$S$5:$S$1000,"Sub")/$AG299,AVERAGEIFS($U$5:$U$1000,$R$5:$R$1000,ROW(),$S$5:$S$1000,"Sub")),$U299))</f>
        <v/>
      </c>
      <c r="Z299" s="71">
        <f>IF($S299="","",IF(N($T299)&gt;0,IF(N($AG299)&gt;0,SUMIFS($AD$5:$AD$1000,$R$5:$R$1000,ROW(),$S$5:$S$1000,"Sub")/$AG299,AVERAGEIFS($V$5:$V$1000,$R$5:$R$1000,ROW(),$S$5:$S$1000,"Sub")),$V299))</f>
        <v/>
      </c>
      <c r="AA299" s="71">
        <f>IF($S299="","",IF(N($T299)&gt;0,IF(N($AG299)&gt;0,SUMIFS($AE$5:$AE$1000,$R$5:$R$1000,ROW(),$S$5:$S$1000,"Sub")/$AG299,AVERAGEIFS($W$5:$W$1000,$R$5:$R$1000,ROW(),$S$5:$S$1000,"Sub")),$W299))</f>
        <v/>
      </c>
      <c r="AB299" s="71">
        <f>IF($S299="","",IF(N($T299)&gt;0,IF(N($AG299)&gt;0,SUMIFS($AF$5:$AF$1000,$R$5:$R$1000,ROW(),$S$5:$S$1000,"Sub")/$AG299,AVERAGEIFS($X$5:$X$1000,$R$5:$R$1000,ROW(),$S$5:$S$1000,"Sub")),$X299))</f>
        <v/>
      </c>
      <c r="AC299" s="71">
        <f>IF($S299="Sub",N($F299)*N($U299),"")</f>
        <v/>
      </c>
      <c r="AD299" s="71">
        <f>IF($S299="Sub",N($F299)*N($V299),"")</f>
        <v/>
      </c>
      <c r="AE299" s="71">
        <f>IF($S299="Sub",N($F299)*N($W299),"")</f>
        <v/>
      </c>
      <c r="AF299" s="71">
        <f>IF($S299="Sub",N($F299)*N($X299),"")</f>
        <v/>
      </c>
      <c r="AG299" s="71">
        <f>IF(N($T299)&gt;0,SUMIFS($F$5:$F$1000,$R$5:$R$1000,ROW(),$S$5:$S$1000,"Sub"),"")</f>
        <v/>
      </c>
    </row>
    <row r="300">
      <c r="A300" s="62">
        <f>IF(NOT((COUNTA($B300:$J300)+COUNTA($N300))&gt;0),"",IF($S300="Macro",COUNTIFS($S$5:$S300,"Macro",$P$5:$P300,$P300),IF(N($R300)=0,"?",COUNTIFS(INDEX($S$5:$S$1000,1):INDEX($S$5:$S$1000,$R300-4),"Macro",INDEX($P$5:$P$1000,1):INDEX($P$5:$P$1000,$R300-4),INDEX($P$5:$P$1000,$R300-4))&amp;"."&amp;COUNTIFS($R$5:$R300,$R300,$S$5:$S300,"Sub"))))</f>
        <v/>
      </c>
      <c r="B300" s="63" t="n"/>
      <c r="C300" s="64" t="n"/>
      <c r="D300" s="65" t="n"/>
      <c r="E300" s="65" t="n"/>
      <c r="F300" s="66" t="n"/>
      <c r="G300" s="67" t="n"/>
      <c r="H300" s="67" t="n"/>
      <c r="I300" s="67" t="n"/>
      <c r="J300" s="67" t="n"/>
      <c r="K300" s="68">
        <f>IF(NOT((COUNTA($B300:$J300)+COUNTA($N300))&gt;0),"",IF(N($T300)&gt;0,$AB300,IFERROR(LOOKUP(2,1/(G300:J300&lt;&gt;""),G300:J300),0)))</f>
        <v/>
      </c>
      <c r="L300" s="62">
        <f>IF(K300="","",IF(K300&gt;=1,"Completado",IF(K300&gt;0,"En curso","Pendiente")))</f>
        <v/>
      </c>
      <c r="M300" s="62">
        <f>IF(NOT((COUNTA($B300:$J300)+COUNTA($N300))&gt;0),"",IF(N($K300)&gt;=1,"Cumplida",IF(NOT(ISNUMBER($E300)),"Sin fecha límite",IF($E300&lt;FechaRef,"Vencida hace "&amp;(FechaRef-$E300)&amp;IF(FechaRef-$E300=1," día"," días"),IF($E300=FechaRef,"Vence hoy",IF($E300-FechaRef&lt;=DiasAlerta,"Vence en "&amp;($E300-FechaRef)&amp;IF($E300-FechaRef=1," día"," días"),"En plazo"))))))</f>
        <v/>
      </c>
      <c r="N300" s="64" t="n"/>
      <c r="O300" s="69">
        <f>IF(NOT((COUNTA($B300:$J300)+COUNTA($N300))&gt;0),"",IF((IF($C300="","Falta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",""))="","✔ OK","⚠ "&amp;LEFT(IF($C300="","Falta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",""),LEN(IF($C300="","Falta el nombre de la actividad"&amp;" · ","")&amp;IF(AND($S300="Sub",N($R300)=0),"Subactividad sin macroactividad arriba"&amp;" · ","")&amp;IF($D300="","Sin fecha de inicio"&amp;" · ","")&amp;IF($E300="","Sin fecha límite"&amp;" · ","")&amp;IF(OR(AND($D300&lt;&gt;"",NOT(ISNUMBER($D300))),AND($E300&lt;&gt;"",NOT(ISNUMBER($E300)))),"Fecha no válida"&amp;" · ","")&amp;IF(AND(ISNUMBER($D300),ISNUMBER($E300),$D300&gt;$E300),"Inicio posterior a fecha límite"&amp;" · ","")&amp;IF(AND($S300="Macro",$F300=""),"Peso vacío"&amp;" · ","")&amp;IF(AND($S300="Macro",$F300&lt;&gt;"",OR(NOT(ISNUMBER($F300)),$F300&lt;=0,$F300&gt;1)),"Peso fuera de rango"&amp;" · ","")&amp;IF(AND($S300="Sub",$F300&lt;&gt;"",OR(NOT(ISNUMBER($F300)),$F300&lt;0,$F300&gt;1)),"Peso fuera de rango"&amp;" · ","")&amp;IF(AND($S300="Sub",$F300="",IFERROR(N(INDEX($AG$5:$AG$1000,$R300-4)),0)&gt;0),"Falta el peso de la subactividad"&amp;" · ","")&amp;IF(AND(N($T300)&gt;0,N($AG300)&gt;0,ABS(N($AG300)-N($F300))&gt;0.0001),"Pesos de sus subactividades suman "&amp;TEXT(N($AG300),"0%")&amp;" (deben sumar "&amp;TEXT(N($F300),"0%")&amp;")"&amp;" · ","")&amp;IF(AND($S300="Macro",ABS(SUMIFS($F$5:$F$1000,$P$5:$P$1000,$P300,$S$5:$S$1000,"Macro")-1)&gt;0.0001),"Pesos del mes suman "&amp;TEXT(SUMIFS($F$5:$F$1000,$P$5:$P$1000,$P300,$S$5:$S$1000,"Macro"),"0%")&amp;" · ","")&amp;IF(AND(N($T300)&gt;0,COUNT($G300:$J300)&gt;0),"Con subactividades: deje vacías las semanas (se calculan solas)"&amp;" · ","")&amp;IF((COUNTIF($G300:$J300,"&gt;1")+COUNTIF($G300:$J300,"&lt;0")+COUNTA($G300:$J300)-COUNT($G300:$J300))&gt;0,"Avance fuera de rango 0-100%"&amp;" · ","")&amp;IF(OR(AND($H300&lt;&gt;"",$H300&lt;$G300),AND($I300&lt;&gt;"",$I300&lt;MAX($G300:$H300)),AND($J300&lt;&gt;"",$J300&lt;MAX($G300:$I300))),"Avance semanal decreciente"&amp;" · ","")&amp;IF(AND(ISNUMBER($E300),$E300&lt;FechaRef,N($K300)&lt;1),"Vencida"&amp;" · ","")&amp;IF(AND(ObsObligatoria="Sí",ISNUMBER($E300),$E300&lt;FechaRef,N($K300)&lt;1,$N300=""),"Vencida sin observación"&amp;" · ",""))-3)))</f>
        <v/>
      </c>
      <c r="P300" s="70">
        <f>IF(NOT((COUNTA($B300:$J300)+COUNTA($N300))&gt;0),"",IF(AND($S300="Sub",N($R300)&gt;0),IF(ISNUMBER(INDEX($D$5:$D$1000,$R300-4)),DATE(YEAR(INDEX($D$5:$D$1000,$R300-4)),MONTH(INDEX($D$5:$D$1000,$R300-4)),1),IF(ISNUMBER(INDEX($E$5:$E$1000,$R300-4)),DATE(YEAR(INDEX($E$5:$E$1000,$R300-4)),MONTH(INDEX($E$5:$E$1000,$R300-4)),1),MesCiclo)),IF(ISNUMBER($D300),DATE(YEAR($D300),MONTH($D300),1),IF(ISNUMBER($E300),DATE(YEAR($E300),MONTH($E300),1),MesCiclo))))</f>
        <v/>
      </c>
      <c r="Q300" s="71">
        <f>IF(OR($P300="",$P300&lt;&gt;MesCiclo),"",COUNTIF($P$5:$P300,MesCiclo))</f>
        <v/>
      </c>
      <c r="R300" s="71">
        <f>IF($S300="","",IF($S300="Macro",ROW(),IFERROR(LOOKUP(2,1/($S$5:$S300="Macro"),ROW($S$5:$S300)),0)))</f>
        <v/>
      </c>
      <c r="S300" s="71">
        <f>IF(NOT((COUNTA($B300:$J300)+COUNTA($N300))&gt;0),"",IF($B300="Subactividad","Sub","Macro"))</f>
        <v/>
      </c>
      <c r="T300" s="71">
        <f>IF($S300="Macro",COUNTIFS($R$5:$R$1000,ROW(),$S$5:$S$1000,"Sub"),"")</f>
        <v/>
      </c>
      <c r="U300" s="71">
        <f>IF($S300="","",IF(ISNUMBER($G300),$G300,0))</f>
        <v/>
      </c>
      <c r="V300" s="71">
        <f>IF($S300="","",IF(ISNUMBER($H300),$H300,$U300))</f>
        <v/>
      </c>
      <c r="W300" s="71">
        <f>IF($S300="","",IF(ISNUMBER($I300),$I300,$V300))</f>
        <v/>
      </c>
      <c r="X300" s="71">
        <f>IF($S300="","",IF(ISNUMBER($J300),$J300,$W300))</f>
        <v/>
      </c>
      <c r="Y300" s="71">
        <f>IF($S300="","",IF(N($T300)&gt;0,IF(N($AG300)&gt;0,SUMIFS($AC$5:$AC$1000,$R$5:$R$1000,ROW(),$S$5:$S$1000,"Sub")/$AG300,AVERAGEIFS($U$5:$U$1000,$R$5:$R$1000,ROW(),$S$5:$S$1000,"Sub")),$U300))</f>
        <v/>
      </c>
      <c r="Z300" s="71">
        <f>IF($S300="","",IF(N($T300)&gt;0,IF(N($AG300)&gt;0,SUMIFS($AD$5:$AD$1000,$R$5:$R$1000,ROW(),$S$5:$S$1000,"Sub")/$AG300,AVERAGEIFS($V$5:$V$1000,$R$5:$R$1000,ROW(),$S$5:$S$1000,"Sub")),$V300))</f>
        <v/>
      </c>
      <c r="AA300" s="71">
        <f>IF($S300="","",IF(N($T300)&gt;0,IF(N($AG300)&gt;0,SUMIFS($AE$5:$AE$1000,$R$5:$R$1000,ROW(),$S$5:$S$1000,"Sub")/$AG300,AVERAGEIFS($W$5:$W$1000,$R$5:$R$1000,ROW(),$S$5:$S$1000,"Sub")),$W300))</f>
        <v/>
      </c>
      <c r="AB300" s="71">
        <f>IF($S300="","",IF(N($T300)&gt;0,IF(N($AG300)&gt;0,SUMIFS($AF$5:$AF$1000,$R$5:$R$1000,ROW(),$S$5:$S$1000,"Sub")/$AG300,AVERAGEIFS($X$5:$X$1000,$R$5:$R$1000,ROW(),$S$5:$S$1000,"Sub")),$X300))</f>
        <v/>
      </c>
      <c r="AC300" s="71">
        <f>IF($S300="Sub",N($F300)*N($U300),"")</f>
        <v/>
      </c>
      <c r="AD300" s="71">
        <f>IF($S300="Sub",N($F300)*N($V300),"")</f>
        <v/>
      </c>
      <c r="AE300" s="71">
        <f>IF($S300="Sub",N($F300)*N($W300),"")</f>
        <v/>
      </c>
      <c r="AF300" s="71">
        <f>IF($S300="Sub",N($F300)*N($X300),"")</f>
        <v/>
      </c>
      <c r="AG300" s="71">
        <f>IF(N($T300)&gt;0,SUMIFS($F$5:$F$1000,$R$5:$R$1000,ROW(),$S$5:$S$1000,"Sub"),"")</f>
        <v/>
      </c>
    </row>
    <row r="301">
      <c r="A301" s="62">
        <f>IF(NOT((COUNTA($B301:$J301)+COUNTA($N301))&gt;0),"",IF($S301="Macro",COUNTIFS($S$5:$S301,"Macro",$P$5:$P301,$P301),IF(N($R301)=0,"?",COUNTIFS(INDEX($S$5:$S$1000,1):INDEX($S$5:$S$1000,$R301-4),"Macro",INDEX($P$5:$P$1000,1):INDEX($P$5:$P$1000,$R301-4),INDEX($P$5:$P$1000,$R301-4))&amp;"."&amp;COUNTIFS($R$5:$R301,$R301,$S$5:$S301,"Sub"))))</f>
        <v/>
      </c>
      <c r="B301" s="63" t="n"/>
      <c r="C301" s="64" t="n"/>
      <c r="D301" s="65" t="n"/>
      <c r="E301" s="65" t="n"/>
      <c r="F301" s="66" t="n"/>
      <c r="G301" s="67" t="n"/>
      <c r="H301" s="67" t="n"/>
      <c r="I301" s="67" t="n"/>
      <c r="J301" s="67" t="n"/>
      <c r="K301" s="68">
        <f>IF(NOT((COUNTA($B301:$J301)+COUNTA($N301))&gt;0),"",IF(N($T301)&gt;0,$AB301,IFERROR(LOOKUP(2,1/(G301:J301&lt;&gt;""),G301:J301),0)))</f>
        <v/>
      </c>
      <c r="L301" s="62">
        <f>IF(K301="","",IF(K301&gt;=1,"Completado",IF(K301&gt;0,"En curso","Pendiente")))</f>
        <v/>
      </c>
      <c r="M301" s="62">
        <f>IF(NOT((COUNTA($B301:$J301)+COUNTA($N301))&gt;0),"",IF(N($K301)&gt;=1,"Cumplida",IF(NOT(ISNUMBER($E301)),"Sin fecha límite",IF($E301&lt;FechaRef,"Vencida hace "&amp;(FechaRef-$E301)&amp;IF(FechaRef-$E301=1," día"," días"),IF($E301=FechaRef,"Vence hoy",IF($E301-FechaRef&lt;=DiasAlerta,"Vence en "&amp;($E301-FechaRef)&amp;IF($E301-FechaRef=1," día"," días"),"En plazo"))))))</f>
        <v/>
      </c>
      <c r="N301" s="64" t="n"/>
      <c r="O301" s="69">
        <f>IF(NOT((COUNTA($B301:$J301)+COUNTA($N301))&gt;0),"",IF((IF($C301="","Falta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",""))="","✔ OK","⚠ "&amp;LEFT(IF($C301="","Falta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",""),LEN(IF($C301="","Falta el nombre de la actividad"&amp;" · ","")&amp;IF(AND($S301="Sub",N($R301)=0),"Subactividad sin macroactividad arriba"&amp;" · ","")&amp;IF($D301="","Sin fecha de inicio"&amp;" · ","")&amp;IF($E301="","Sin fecha límite"&amp;" · ","")&amp;IF(OR(AND($D301&lt;&gt;"",NOT(ISNUMBER($D301))),AND($E301&lt;&gt;"",NOT(ISNUMBER($E301)))),"Fecha no válida"&amp;" · ","")&amp;IF(AND(ISNUMBER($D301),ISNUMBER($E301),$D301&gt;$E301),"Inicio posterior a fecha límite"&amp;" · ","")&amp;IF(AND($S301="Macro",$F301=""),"Peso vacío"&amp;" · ","")&amp;IF(AND($S301="Macro",$F301&lt;&gt;"",OR(NOT(ISNUMBER($F301)),$F301&lt;=0,$F301&gt;1)),"Peso fuera de rango"&amp;" · ","")&amp;IF(AND($S301="Sub",$F301&lt;&gt;"",OR(NOT(ISNUMBER($F301)),$F301&lt;0,$F301&gt;1)),"Peso fuera de rango"&amp;" · ","")&amp;IF(AND($S301="Sub",$F301="",IFERROR(N(INDEX($AG$5:$AG$1000,$R301-4)),0)&gt;0),"Falta el peso de la subactividad"&amp;" · ","")&amp;IF(AND(N($T301)&gt;0,N($AG301)&gt;0,ABS(N($AG301)-N($F301))&gt;0.0001),"Pesos de sus subactividades suman "&amp;TEXT(N($AG301),"0%")&amp;" (deben sumar "&amp;TEXT(N($F301),"0%")&amp;")"&amp;" · ","")&amp;IF(AND($S301="Macro",ABS(SUMIFS($F$5:$F$1000,$P$5:$P$1000,$P301,$S$5:$S$1000,"Macro")-1)&gt;0.0001),"Pesos del mes suman "&amp;TEXT(SUMIFS($F$5:$F$1000,$P$5:$P$1000,$P301,$S$5:$S$1000,"Macro"),"0%")&amp;" · ","")&amp;IF(AND(N($T301)&gt;0,COUNT($G301:$J301)&gt;0),"Con subactividades: deje vacías las semanas (se calculan solas)"&amp;" · ","")&amp;IF((COUNTIF($G301:$J301,"&gt;1")+COUNTIF($G301:$J301,"&lt;0")+COUNTA($G301:$J301)-COUNT($G301:$J301))&gt;0,"Avance fuera de rango 0-100%"&amp;" · ","")&amp;IF(OR(AND($H301&lt;&gt;"",$H301&lt;$G301),AND($I301&lt;&gt;"",$I301&lt;MAX($G301:$H301)),AND($J301&lt;&gt;"",$J301&lt;MAX($G301:$I301))),"Avance semanal decreciente"&amp;" · ","")&amp;IF(AND(ISNUMBER($E301),$E301&lt;FechaRef,N($K301)&lt;1),"Vencida"&amp;" · ","")&amp;IF(AND(ObsObligatoria="Sí",ISNUMBER($E301),$E301&lt;FechaRef,N($K301)&lt;1,$N301=""),"Vencida sin observación"&amp;" · ",""))-3)))</f>
        <v/>
      </c>
      <c r="P301" s="70">
        <f>IF(NOT((COUNTA($B301:$J301)+COUNTA($N301))&gt;0),"",IF(AND($S301="Sub",N($R301)&gt;0),IF(ISNUMBER(INDEX($D$5:$D$1000,$R301-4)),DATE(YEAR(INDEX($D$5:$D$1000,$R301-4)),MONTH(INDEX($D$5:$D$1000,$R301-4)),1),IF(ISNUMBER(INDEX($E$5:$E$1000,$R301-4)),DATE(YEAR(INDEX($E$5:$E$1000,$R301-4)),MONTH(INDEX($E$5:$E$1000,$R301-4)),1),MesCiclo)),IF(ISNUMBER($D301),DATE(YEAR($D301),MONTH($D301),1),IF(ISNUMBER($E301),DATE(YEAR($E301),MONTH($E301),1),MesCiclo))))</f>
        <v/>
      </c>
      <c r="Q301" s="71">
        <f>IF(OR($P301="",$P301&lt;&gt;MesCiclo),"",COUNTIF($P$5:$P301,MesCiclo))</f>
        <v/>
      </c>
      <c r="R301" s="71">
        <f>IF($S301="","",IF($S301="Macro",ROW(),IFERROR(LOOKUP(2,1/($S$5:$S301="Macro"),ROW($S$5:$S301)),0)))</f>
        <v/>
      </c>
      <c r="S301" s="71">
        <f>IF(NOT((COUNTA($B301:$J301)+COUNTA($N301))&gt;0),"",IF($B301="Subactividad","Sub","Macro"))</f>
        <v/>
      </c>
      <c r="T301" s="71">
        <f>IF($S301="Macro",COUNTIFS($R$5:$R$1000,ROW(),$S$5:$S$1000,"Sub"),"")</f>
        <v/>
      </c>
      <c r="U301" s="71">
        <f>IF($S301="","",IF(ISNUMBER($G301),$G301,0))</f>
        <v/>
      </c>
      <c r="V301" s="71">
        <f>IF($S301="","",IF(ISNUMBER($H301),$H301,$U301))</f>
        <v/>
      </c>
      <c r="W301" s="71">
        <f>IF($S301="","",IF(ISNUMBER($I301),$I301,$V301))</f>
        <v/>
      </c>
      <c r="X301" s="71">
        <f>IF($S301="","",IF(ISNUMBER($J301),$J301,$W301))</f>
        <v/>
      </c>
      <c r="Y301" s="71">
        <f>IF($S301="","",IF(N($T301)&gt;0,IF(N($AG301)&gt;0,SUMIFS($AC$5:$AC$1000,$R$5:$R$1000,ROW(),$S$5:$S$1000,"Sub")/$AG301,AVERAGEIFS($U$5:$U$1000,$R$5:$R$1000,ROW(),$S$5:$S$1000,"Sub")),$U301))</f>
        <v/>
      </c>
      <c r="Z301" s="71">
        <f>IF($S301="","",IF(N($T301)&gt;0,IF(N($AG301)&gt;0,SUMIFS($AD$5:$AD$1000,$R$5:$R$1000,ROW(),$S$5:$S$1000,"Sub")/$AG301,AVERAGEIFS($V$5:$V$1000,$R$5:$R$1000,ROW(),$S$5:$S$1000,"Sub")),$V301))</f>
        <v/>
      </c>
      <c r="AA301" s="71">
        <f>IF($S301="","",IF(N($T301)&gt;0,IF(N($AG301)&gt;0,SUMIFS($AE$5:$AE$1000,$R$5:$R$1000,ROW(),$S$5:$S$1000,"Sub")/$AG301,AVERAGEIFS($W$5:$W$1000,$R$5:$R$1000,ROW(),$S$5:$S$1000,"Sub")),$W301))</f>
        <v/>
      </c>
      <c r="AB301" s="71">
        <f>IF($S301="","",IF(N($T301)&gt;0,IF(N($AG301)&gt;0,SUMIFS($AF$5:$AF$1000,$R$5:$R$1000,ROW(),$S$5:$S$1000,"Sub")/$AG301,AVERAGEIFS($X$5:$X$1000,$R$5:$R$1000,ROW(),$S$5:$S$1000,"Sub")),$X301))</f>
        <v/>
      </c>
      <c r="AC301" s="71">
        <f>IF($S301="Sub",N($F301)*N($U301),"")</f>
        <v/>
      </c>
      <c r="AD301" s="71">
        <f>IF($S301="Sub",N($F301)*N($V301),"")</f>
        <v/>
      </c>
      <c r="AE301" s="71">
        <f>IF($S301="Sub",N($F301)*N($W301),"")</f>
        <v/>
      </c>
      <c r="AF301" s="71">
        <f>IF($S301="Sub",N($F301)*N($X301),"")</f>
        <v/>
      </c>
      <c r="AG301" s="71">
        <f>IF(N($T301)&gt;0,SUMIFS($F$5:$F$1000,$R$5:$R$1000,ROW(),$S$5:$S$1000,"Sub"),"")</f>
        <v/>
      </c>
    </row>
    <row r="302">
      <c r="A302" s="62">
        <f>IF(NOT((COUNTA($B302:$J302)+COUNTA($N302))&gt;0),"",IF($S302="Macro",COUNTIFS($S$5:$S302,"Macro",$P$5:$P302,$P302),IF(N($R302)=0,"?",COUNTIFS(INDEX($S$5:$S$1000,1):INDEX($S$5:$S$1000,$R302-4),"Macro",INDEX($P$5:$P$1000,1):INDEX($P$5:$P$1000,$R302-4),INDEX($P$5:$P$1000,$R302-4))&amp;"."&amp;COUNTIFS($R$5:$R302,$R302,$S$5:$S302,"Sub"))))</f>
        <v/>
      </c>
      <c r="B302" s="63" t="n"/>
      <c r="C302" s="64" t="n"/>
      <c r="D302" s="65" t="n"/>
      <c r="E302" s="65" t="n"/>
      <c r="F302" s="66" t="n"/>
      <c r="G302" s="67" t="n"/>
      <c r="H302" s="67" t="n"/>
      <c r="I302" s="67" t="n"/>
      <c r="J302" s="67" t="n"/>
      <c r="K302" s="68">
        <f>IF(NOT((COUNTA($B302:$J302)+COUNTA($N302))&gt;0),"",IF(N($T302)&gt;0,$AB302,IFERROR(LOOKUP(2,1/(G302:J302&lt;&gt;""),G302:J302),0)))</f>
        <v/>
      </c>
      <c r="L302" s="62">
        <f>IF(K302="","",IF(K302&gt;=1,"Completado",IF(K302&gt;0,"En curso","Pendiente")))</f>
        <v/>
      </c>
      <c r="M302" s="62">
        <f>IF(NOT((COUNTA($B302:$J302)+COUNTA($N302))&gt;0),"",IF(N($K302)&gt;=1,"Cumplida",IF(NOT(ISNUMBER($E302)),"Sin fecha límite",IF($E302&lt;FechaRef,"Vencida hace "&amp;(FechaRef-$E302)&amp;IF(FechaRef-$E302=1," día"," días"),IF($E302=FechaRef,"Vence hoy",IF($E302-FechaRef&lt;=DiasAlerta,"Vence en "&amp;($E302-FechaRef)&amp;IF($E302-FechaRef=1," día"," días"),"En plazo"))))))</f>
        <v/>
      </c>
      <c r="N302" s="64" t="n"/>
      <c r="O302" s="69">
        <f>IF(NOT((COUNTA($B302:$J302)+COUNTA($N302))&gt;0),"",IF((IF($C302="","Falta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",""))="","✔ OK","⚠ "&amp;LEFT(IF($C302="","Falta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",""),LEN(IF($C302="","Falta el nombre de la actividad"&amp;" · ","")&amp;IF(AND($S302="Sub",N($R302)=0),"Subactividad sin macroactividad arriba"&amp;" · ","")&amp;IF($D302="","Sin fecha de inicio"&amp;" · ","")&amp;IF($E302="","Sin fecha límite"&amp;" · ","")&amp;IF(OR(AND($D302&lt;&gt;"",NOT(ISNUMBER($D302))),AND($E302&lt;&gt;"",NOT(ISNUMBER($E302)))),"Fecha no válida"&amp;" · ","")&amp;IF(AND(ISNUMBER($D302),ISNUMBER($E302),$D302&gt;$E302),"Inicio posterior a fecha límite"&amp;" · ","")&amp;IF(AND($S302="Macro",$F302=""),"Peso vacío"&amp;" · ","")&amp;IF(AND($S302="Macro",$F302&lt;&gt;"",OR(NOT(ISNUMBER($F302)),$F302&lt;=0,$F302&gt;1)),"Peso fuera de rango"&amp;" · ","")&amp;IF(AND($S302="Sub",$F302&lt;&gt;"",OR(NOT(ISNUMBER($F302)),$F302&lt;0,$F302&gt;1)),"Peso fuera de rango"&amp;" · ","")&amp;IF(AND($S302="Sub",$F302="",IFERROR(N(INDEX($AG$5:$AG$1000,$R302-4)),0)&gt;0),"Falta el peso de la subactividad"&amp;" · ","")&amp;IF(AND(N($T302)&gt;0,N($AG302)&gt;0,ABS(N($AG302)-N($F302))&gt;0.0001),"Pesos de sus subactividades suman "&amp;TEXT(N($AG302),"0%")&amp;" (deben sumar "&amp;TEXT(N($F302),"0%")&amp;")"&amp;" · ","")&amp;IF(AND($S302="Macro",ABS(SUMIFS($F$5:$F$1000,$P$5:$P$1000,$P302,$S$5:$S$1000,"Macro")-1)&gt;0.0001),"Pesos del mes suman "&amp;TEXT(SUMIFS($F$5:$F$1000,$P$5:$P$1000,$P302,$S$5:$S$1000,"Macro"),"0%")&amp;" · ","")&amp;IF(AND(N($T302)&gt;0,COUNT($G302:$J302)&gt;0),"Con subactividades: deje vacías las semanas (se calculan solas)"&amp;" · ","")&amp;IF((COUNTIF($G302:$J302,"&gt;1")+COUNTIF($G302:$J302,"&lt;0")+COUNTA($G302:$J302)-COUNT($G302:$J302))&gt;0,"Avance fuera de rango 0-100%"&amp;" · ","")&amp;IF(OR(AND($H302&lt;&gt;"",$H302&lt;$G302),AND($I302&lt;&gt;"",$I302&lt;MAX($G302:$H302)),AND($J302&lt;&gt;"",$J302&lt;MAX($G302:$I302))),"Avance semanal decreciente"&amp;" · ","")&amp;IF(AND(ISNUMBER($E302),$E302&lt;FechaRef,N($K302)&lt;1),"Vencida"&amp;" · ","")&amp;IF(AND(ObsObligatoria="Sí",ISNUMBER($E302),$E302&lt;FechaRef,N($K302)&lt;1,$N302=""),"Vencida sin observación"&amp;" · ",""))-3)))</f>
        <v/>
      </c>
      <c r="P302" s="70">
        <f>IF(NOT((COUNTA($B302:$J302)+COUNTA($N302))&gt;0),"",IF(AND($S302="Sub",N($R302)&gt;0),IF(ISNUMBER(INDEX($D$5:$D$1000,$R302-4)),DATE(YEAR(INDEX($D$5:$D$1000,$R302-4)),MONTH(INDEX($D$5:$D$1000,$R302-4)),1),IF(ISNUMBER(INDEX($E$5:$E$1000,$R302-4)),DATE(YEAR(INDEX($E$5:$E$1000,$R302-4)),MONTH(INDEX($E$5:$E$1000,$R302-4)),1),MesCiclo)),IF(ISNUMBER($D302),DATE(YEAR($D302),MONTH($D302),1),IF(ISNUMBER($E302),DATE(YEAR($E302),MONTH($E302),1),MesCiclo))))</f>
        <v/>
      </c>
      <c r="Q302" s="71">
        <f>IF(OR($P302="",$P302&lt;&gt;MesCiclo),"",COUNTIF($P$5:$P302,MesCiclo))</f>
        <v/>
      </c>
      <c r="R302" s="71">
        <f>IF($S302="","",IF($S302="Macro",ROW(),IFERROR(LOOKUP(2,1/($S$5:$S302="Macro"),ROW($S$5:$S302)),0)))</f>
        <v/>
      </c>
      <c r="S302" s="71">
        <f>IF(NOT((COUNTA($B302:$J302)+COUNTA($N302))&gt;0),"",IF($B302="Subactividad","Sub","Macro"))</f>
        <v/>
      </c>
      <c r="T302" s="71">
        <f>IF($S302="Macro",COUNTIFS($R$5:$R$1000,ROW(),$S$5:$S$1000,"Sub"),"")</f>
        <v/>
      </c>
      <c r="U302" s="71">
        <f>IF($S302="","",IF(ISNUMBER($G302),$G302,0))</f>
        <v/>
      </c>
      <c r="V302" s="71">
        <f>IF($S302="","",IF(ISNUMBER($H302),$H302,$U302))</f>
        <v/>
      </c>
      <c r="W302" s="71">
        <f>IF($S302="","",IF(ISNUMBER($I302),$I302,$V302))</f>
        <v/>
      </c>
      <c r="X302" s="71">
        <f>IF($S302="","",IF(ISNUMBER($J302),$J302,$W302))</f>
        <v/>
      </c>
      <c r="Y302" s="71">
        <f>IF($S302="","",IF(N($T302)&gt;0,IF(N($AG302)&gt;0,SUMIFS($AC$5:$AC$1000,$R$5:$R$1000,ROW(),$S$5:$S$1000,"Sub")/$AG302,AVERAGEIFS($U$5:$U$1000,$R$5:$R$1000,ROW(),$S$5:$S$1000,"Sub")),$U302))</f>
        <v/>
      </c>
      <c r="Z302" s="71">
        <f>IF($S302="","",IF(N($T302)&gt;0,IF(N($AG302)&gt;0,SUMIFS($AD$5:$AD$1000,$R$5:$R$1000,ROW(),$S$5:$S$1000,"Sub")/$AG302,AVERAGEIFS($V$5:$V$1000,$R$5:$R$1000,ROW(),$S$5:$S$1000,"Sub")),$V302))</f>
        <v/>
      </c>
      <c r="AA302" s="71">
        <f>IF($S302="","",IF(N($T302)&gt;0,IF(N($AG302)&gt;0,SUMIFS($AE$5:$AE$1000,$R$5:$R$1000,ROW(),$S$5:$S$1000,"Sub")/$AG302,AVERAGEIFS($W$5:$W$1000,$R$5:$R$1000,ROW(),$S$5:$S$1000,"Sub")),$W302))</f>
        <v/>
      </c>
      <c r="AB302" s="71">
        <f>IF($S302="","",IF(N($T302)&gt;0,IF(N($AG302)&gt;0,SUMIFS($AF$5:$AF$1000,$R$5:$R$1000,ROW(),$S$5:$S$1000,"Sub")/$AG302,AVERAGEIFS($X$5:$X$1000,$R$5:$R$1000,ROW(),$S$5:$S$1000,"Sub")),$X302))</f>
        <v/>
      </c>
      <c r="AC302" s="71">
        <f>IF($S302="Sub",N($F302)*N($U302),"")</f>
        <v/>
      </c>
      <c r="AD302" s="71">
        <f>IF($S302="Sub",N($F302)*N($V302),"")</f>
        <v/>
      </c>
      <c r="AE302" s="71">
        <f>IF($S302="Sub",N($F302)*N($W302),"")</f>
        <v/>
      </c>
      <c r="AF302" s="71">
        <f>IF($S302="Sub",N($F302)*N($X302),"")</f>
        <v/>
      </c>
      <c r="AG302" s="71">
        <f>IF(N($T302)&gt;0,SUMIFS($F$5:$F$1000,$R$5:$R$1000,ROW(),$S$5:$S$1000,"Sub"),"")</f>
        <v/>
      </c>
    </row>
    <row r="303">
      <c r="A303" s="62">
        <f>IF(NOT((COUNTA($B303:$J303)+COUNTA($N303))&gt;0),"",IF($S303="Macro",COUNTIFS($S$5:$S303,"Macro",$P$5:$P303,$P303),IF(N($R303)=0,"?",COUNTIFS(INDEX($S$5:$S$1000,1):INDEX($S$5:$S$1000,$R303-4),"Macro",INDEX($P$5:$P$1000,1):INDEX($P$5:$P$1000,$R303-4),INDEX($P$5:$P$1000,$R303-4))&amp;"."&amp;COUNTIFS($R$5:$R303,$R303,$S$5:$S303,"Sub"))))</f>
        <v/>
      </c>
      <c r="B303" s="63" t="n"/>
      <c r="C303" s="64" t="n"/>
      <c r="D303" s="65" t="n"/>
      <c r="E303" s="65" t="n"/>
      <c r="F303" s="66" t="n"/>
      <c r="G303" s="67" t="n"/>
      <c r="H303" s="67" t="n"/>
      <c r="I303" s="67" t="n"/>
      <c r="J303" s="67" t="n"/>
      <c r="K303" s="68">
        <f>IF(NOT((COUNTA($B303:$J303)+COUNTA($N303))&gt;0),"",IF(N($T303)&gt;0,$AB303,IFERROR(LOOKUP(2,1/(G303:J303&lt;&gt;""),G303:J303),0)))</f>
        <v/>
      </c>
      <c r="L303" s="62">
        <f>IF(K303="","",IF(K303&gt;=1,"Completado",IF(K303&gt;0,"En curso","Pendiente")))</f>
        <v/>
      </c>
      <c r="M303" s="62">
        <f>IF(NOT((COUNTA($B303:$J303)+COUNTA($N303))&gt;0),"",IF(N($K303)&gt;=1,"Cumplida",IF(NOT(ISNUMBER($E303)),"Sin fecha límite",IF($E303&lt;FechaRef,"Vencida hace "&amp;(FechaRef-$E303)&amp;IF(FechaRef-$E303=1," día"," días"),IF($E303=FechaRef,"Vence hoy",IF($E303-FechaRef&lt;=DiasAlerta,"Vence en "&amp;($E303-FechaRef)&amp;IF($E303-FechaRef=1," día"," días"),"En plazo"))))))</f>
        <v/>
      </c>
      <c r="N303" s="64" t="n"/>
      <c r="O303" s="69">
        <f>IF(NOT((COUNTA($B303:$J303)+COUNTA($N303))&gt;0),"",IF((IF($C303="","Falta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",""))="","✔ OK","⚠ "&amp;LEFT(IF($C303="","Falta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",""),LEN(IF($C303="","Falta el nombre de la actividad"&amp;" · ","")&amp;IF(AND($S303="Sub",N($R303)=0),"Subactividad sin macroactividad arriba"&amp;" · ","")&amp;IF($D303="","Sin fecha de inicio"&amp;" · ","")&amp;IF($E303="","Sin fecha límite"&amp;" · ","")&amp;IF(OR(AND($D303&lt;&gt;"",NOT(ISNUMBER($D303))),AND($E303&lt;&gt;"",NOT(ISNUMBER($E303)))),"Fecha no válida"&amp;" · ","")&amp;IF(AND(ISNUMBER($D303),ISNUMBER($E303),$D303&gt;$E303),"Inicio posterior a fecha límite"&amp;" · ","")&amp;IF(AND($S303="Macro",$F303=""),"Peso vacío"&amp;" · ","")&amp;IF(AND($S303="Macro",$F303&lt;&gt;"",OR(NOT(ISNUMBER($F303)),$F303&lt;=0,$F303&gt;1)),"Peso fuera de rango"&amp;" · ","")&amp;IF(AND($S303="Sub",$F303&lt;&gt;"",OR(NOT(ISNUMBER($F303)),$F303&lt;0,$F303&gt;1)),"Peso fuera de rango"&amp;" · ","")&amp;IF(AND($S303="Sub",$F303="",IFERROR(N(INDEX($AG$5:$AG$1000,$R303-4)),0)&gt;0),"Falta el peso de la subactividad"&amp;" · ","")&amp;IF(AND(N($T303)&gt;0,N($AG303)&gt;0,ABS(N($AG303)-N($F303))&gt;0.0001),"Pesos de sus subactividades suman "&amp;TEXT(N($AG303),"0%")&amp;" (deben sumar "&amp;TEXT(N($F303),"0%")&amp;")"&amp;" · ","")&amp;IF(AND($S303="Macro",ABS(SUMIFS($F$5:$F$1000,$P$5:$P$1000,$P303,$S$5:$S$1000,"Macro")-1)&gt;0.0001),"Pesos del mes suman "&amp;TEXT(SUMIFS($F$5:$F$1000,$P$5:$P$1000,$P303,$S$5:$S$1000,"Macro"),"0%")&amp;" · ","")&amp;IF(AND(N($T303)&gt;0,COUNT($G303:$J303)&gt;0),"Con subactividades: deje vacías las semanas (se calculan solas)"&amp;" · ","")&amp;IF((COUNTIF($G303:$J303,"&gt;1")+COUNTIF($G303:$J303,"&lt;0")+COUNTA($G303:$J303)-COUNT($G303:$J303))&gt;0,"Avance fuera de rango 0-100%"&amp;" · ","")&amp;IF(OR(AND($H303&lt;&gt;"",$H303&lt;$G303),AND($I303&lt;&gt;"",$I303&lt;MAX($G303:$H303)),AND($J303&lt;&gt;"",$J303&lt;MAX($G303:$I303))),"Avance semanal decreciente"&amp;" · ","")&amp;IF(AND(ISNUMBER($E303),$E303&lt;FechaRef,N($K303)&lt;1),"Vencida"&amp;" · ","")&amp;IF(AND(ObsObligatoria="Sí",ISNUMBER($E303),$E303&lt;FechaRef,N($K303)&lt;1,$N303=""),"Vencida sin observación"&amp;" · ",""))-3)))</f>
        <v/>
      </c>
      <c r="P303" s="70">
        <f>IF(NOT((COUNTA($B303:$J303)+COUNTA($N303))&gt;0),"",IF(AND($S303="Sub",N($R303)&gt;0),IF(ISNUMBER(INDEX($D$5:$D$1000,$R303-4)),DATE(YEAR(INDEX($D$5:$D$1000,$R303-4)),MONTH(INDEX($D$5:$D$1000,$R303-4)),1),IF(ISNUMBER(INDEX($E$5:$E$1000,$R303-4)),DATE(YEAR(INDEX($E$5:$E$1000,$R303-4)),MONTH(INDEX($E$5:$E$1000,$R303-4)),1),MesCiclo)),IF(ISNUMBER($D303),DATE(YEAR($D303),MONTH($D303),1),IF(ISNUMBER($E303),DATE(YEAR($E303),MONTH($E303),1),MesCiclo))))</f>
        <v/>
      </c>
      <c r="Q303" s="71">
        <f>IF(OR($P303="",$P303&lt;&gt;MesCiclo),"",COUNTIF($P$5:$P303,MesCiclo))</f>
        <v/>
      </c>
      <c r="R303" s="71">
        <f>IF($S303="","",IF($S303="Macro",ROW(),IFERROR(LOOKUP(2,1/($S$5:$S303="Macro"),ROW($S$5:$S303)),0)))</f>
        <v/>
      </c>
      <c r="S303" s="71">
        <f>IF(NOT((COUNTA($B303:$J303)+COUNTA($N303))&gt;0),"",IF($B303="Subactividad","Sub","Macro"))</f>
        <v/>
      </c>
      <c r="T303" s="71">
        <f>IF($S303="Macro",COUNTIFS($R$5:$R$1000,ROW(),$S$5:$S$1000,"Sub"),"")</f>
        <v/>
      </c>
      <c r="U303" s="71">
        <f>IF($S303="","",IF(ISNUMBER($G303),$G303,0))</f>
        <v/>
      </c>
      <c r="V303" s="71">
        <f>IF($S303="","",IF(ISNUMBER($H303),$H303,$U303))</f>
        <v/>
      </c>
      <c r="W303" s="71">
        <f>IF($S303="","",IF(ISNUMBER($I303),$I303,$V303))</f>
        <v/>
      </c>
      <c r="X303" s="71">
        <f>IF($S303="","",IF(ISNUMBER($J303),$J303,$W303))</f>
        <v/>
      </c>
      <c r="Y303" s="71">
        <f>IF($S303="","",IF(N($T303)&gt;0,IF(N($AG303)&gt;0,SUMIFS($AC$5:$AC$1000,$R$5:$R$1000,ROW(),$S$5:$S$1000,"Sub")/$AG303,AVERAGEIFS($U$5:$U$1000,$R$5:$R$1000,ROW(),$S$5:$S$1000,"Sub")),$U303))</f>
        <v/>
      </c>
      <c r="Z303" s="71">
        <f>IF($S303="","",IF(N($T303)&gt;0,IF(N($AG303)&gt;0,SUMIFS($AD$5:$AD$1000,$R$5:$R$1000,ROW(),$S$5:$S$1000,"Sub")/$AG303,AVERAGEIFS($V$5:$V$1000,$R$5:$R$1000,ROW(),$S$5:$S$1000,"Sub")),$V303))</f>
        <v/>
      </c>
      <c r="AA303" s="71">
        <f>IF($S303="","",IF(N($T303)&gt;0,IF(N($AG303)&gt;0,SUMIFS($AE$5:$AE$1000,$R$5:$R$1000,ROW(),$S$5:$S$1000,"Sub")/$AG303,AVERAGEIFS($W$5:$W$1000,$R$5:$R$1000,ROW(),$S$5:$S$1000,"Sub")),$W303))</f>
        <v/>
      </c>
      <c r="AB303" s="71">
        <f>IF($S303="","",IF(N($T303)&gt;0,IF(N($AG303)&gt;0,SUMIFS($AF$5:$AF$1000,$R$5:$R$1000,ROW(),$S$5:$S$1000,"Sub")/$AG303,AVERAGEIFS($X$5:$X$1000,$R$5:$R$1000,ROW(),$S$5:$S$1000,"Sub")),$X303))</f>
        <v/>
      </c>
      <c r="AC303" s="71">
        <f>IF($S303="Sub",N($F303)*N($U303),"")</f>
        <v/>
      </c>
      <c r="AD303" s="71">
        <f>IF($S303="Sub",N($F303)*N($V303),"")</f>
        <v/>
      </c>
      <c r="AE303" s="71">
        <f>IF($S303="Sub",N($F303)*N($W303),"")</f>
        <v/>
      </c>
      <c r="AF303" s="71">
        <f>IF($S303="Sub",N($F303)*N($X303),"")</f>
        <v/>
      </c>
      <c r="AG303" s="71">
        <f>IF(N($T303)&gt;0,SUMIFS($F$5:$F$1000,$R$5:$R$1000,ROW(),$S$5:$S$1000,"Sub"),"")</f>
        <v/>
      </c>
    </row>
    <row r="304">
      <c r="A304" s="62">
        <f>IF(NOT((COUNTA($B304:$J304)+COUNTA($N304))&gt;0),"",IF($S304="Macro",COUNTIFS($S$5:$S304,"Macro",$P$5:$P304,$P304),IF(N($R304)=0,"?",COUNTIFS(INDEX($S$5:$S$1000,1):INDEX($S$5:$S$1000,$R304-4),"Macro",INDEX($P$5:$P$1000,1):INDEX($P$5:$P$1000,$R304-4),INDEX($P$5:$P$1000,$R304-4))&amp;"."&amp;COUNTIFS($R$5:$R304,$R304,$S$5:$S304,"Sub"))))</f>
        <v/>
      </c>
      <c r="B304" s="63" t="n"/>
      <c r="C304" s="64" t="n"/>
      <c r="D304" s="65" t="n"/>
      <c r="E304" s="65" t="n"/>
      <c r="F304" s="66" t="n"/>
      <c r="G304" s="67" t="n"/>
      <c r="H304" s="67" t="n"/>
      <c r="I304" s="67" t="n"/>
      <c r="J304" s="67" t="n"/>
      <c r="K304" s="68">
        <f>IF(NOT((COUNTA($B304:$J304)+COUNTA($N304))&gt;0),"",IF(N($T304)&gt;0,$AB304,IFERROR(LOOKUP(2,1/(G304:J304&lt;&gt;""),G304:J304),0)))</f>
        <v/>
      </c>
      <c r="L304" s="62">
        <f>IF(K304="","",IF(K304&gt;=1,"Completado",IF(K304&gt;0,"En curso","Pendiente")))</f>
        <v/>
      </c>
      <c r="M304" s="62">
        <f>IF(NOT((COUNTA($B304:$J304)+COUNTA($N304))&gt;0),"",IF(N($K304)&gt;=1,"Cumplida",IF(NOT(ISNUMBER($E304)),"Sin fecha límite",IF($E304&lt;FechaRef,"Vencida hace "&amp;(FechaRef-$E304)&amp;IF(FechaRef-$E304=1," día"," días"),IF($E304=FechaRef,"Vence hoy",IF($E304-FechaRef&lt;=DiasAlerta,"Vence en "&amp;($E304-FechaRef)&amp;IF($E304-FechaRef=1," día"," días"),"En plazo"))))))</f>
        <v/>
      </c>
      <c r="N304" s="64" t="n"/>
      <c r="O304" s="69">
        <f>IF(NOT((COUNTA($B304:$J304)+COUNTA($N304))&gt;0),"",IF((IF($C304="","Falta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",""))="","✔ OK","⚠ "&amp;LEFT(IF($C304="","Falta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",""),LEN(IF($C304="","Falta el nombre de la actividad"&amp;" · ","")&amp;IF(AND($S304="Sub",N($R304)=0),"Subactividad sin macroactividad arriba"&amp;" · ","")&amp;IF($D304="","Sin fecha de inicio"&amp;" · ","")&amp;IF($E304="","Sin fecha límite"&amp;" · ","")&amp;IF(OR(AND($D304&lt;&gt;"",NOT(ISNUMBER($D304))),AND($E304&lt;&gt;"",NOT(ISNUMBER($E304)))),"Fecha no válida"&amp;" · ","")&amp;IF(AND(ISNUMBER($D304),ISNUMBER($E304),$D304&gt;$E304),"Inicio posterior a fecha límite"&amp;" · ","")&amp;IF(AND($S304="Macro",$F304=""),"Peso vacío"&amp;" · ","")&amp;IF(AND($S304="Macro",$F304&lt;&gt;"",OR(NOT(ISNUMBER($F304)),$F304&lt;=0,$F304&gt;1)),"Peso fuera de rango"&amp;" · ","")&amp;IF(AND($S304="Sub",$F304&lt;&gt;"",OR(NOT(ISNUMBER($F304)),$F304&lt;0,$F304&gt;1)),"Peso fuera de rango"&amp;" · ","")&amp;IF(AND($S304="Sub",$F304="",IFERROR(N(INDEX($AG$5:$AG$1000,$R304-4)),0)&gt;0),"Falta el peso de la subactividad"&amp;" · ","")&amp;IF(AND(N($T304)&gt;0,N($AG304)&gt;0,ABS(N($AG304)-N($F304))&gt;0.0001),"Pesos de sus subactividades suman "&amp;TEXT(N($AG304),"0%")&amp;" (deben sumar "&amp;TEXT(N($F304),"0%")&amp;")"&amp;" · ","")&amp;IF(AND($S304="Macro",ABS(SUMIFS($F$5:$F$1000,$P$5:$P$1000,$P304,$S$5:$S$1000,"Macro")-1)&gt;0.0001),"Pesos del mes suman "&amp;TEXT(SUMIFS($F$5:$F$1000,$P$5:$P$1000,$P304,$S$5:$S$1000,"Macro"),"0%")&amp;" · ","")&amp;IF(AND(N($T304)&gt;0,COUNT($G304:$J304)&gt;0),"Con subactividades: deje vacías las semanas (se calculan solas)"&amp;" · ","")&amp;IF((COUNTIF($G304:$J304,"&gt;1")+COUNTIF($G304:$J304,"&lt;0")+COUNTA($G304:$J304)-COUNT($G304:$J304))&gt;0,"Avance fuera de rango 0-100%"&amp;" · ","")&amp;IF(OR(AND($H304&lt;&gt;"",$H304&lt;$G304),AND($I304&lt;&gt;"",$I304&lt;MAX($G304:$H304)),AND($J304&lt;&gt;"",$J304&lt;MAX($G304:$I304))),"Avance semanal decreciente"&amp;" · ","")&amp;IF(AND(ISNUMBER($E304),$E304&lt;FechaRef,N($K304)&lt;1),"Vencida"&amp;" · ","")&amp;IF(AND(ObsObligatoria="Sí",ISNUMBER($E304),$E304&lt;FechaRef,N($K304)&lt;1,$N304=""),"Vencida sin observación"&amp;" · ",""))-3)))</f>
        <v/>
      </c>
      <c r="P304" s="70">
        <f>IF(NOT((COUNTA($B304:$J304)+COUNTA($N304))&gt;0),"",IF(AND($S304="Sub",N($R304)&gt;0),IF(ISNUMBER(INDEX($D$5:$D$1000,$R304-4)),DATE(YEAR(INDEX($D$5:$D$1000,$R304-4)),MONTH(INDEX($D$5:$D$1000,$R304-4)),1),IF(ISNUMBER(INDEX($E$5:$E$1000,$R304-4)),DATE(YEAR(INDEX($E$5:$E$1000,$R304-4)),MONTH(INDEX($E$5:$E$1000,$R304-4)),1),MesCiclo)),IF(ISNUMBER($D304),DATE(YEAR($D304),MONTH($D304),1),IF(ISNUMBER($E304),DATE(YEAR($E304),MONTH($E304),1),MesCiclo))))</f>
        <v/>
      </c>
      <c r="Q304" s="71">
        <f>IF(OR($P304="",$P304&lt;&gt;MesCiclo),"",COUNTIF($P$5:$P304,MesCiclo))</f>
        <v/>
      </c>
      <c r="R304" s="71">
        <f>IF($S304="","",IF($S304="Macro",ROW(),IFERROR(LOOKUP(2,1/($S$5:$S304="Macro"),ROW($S$5:$S304)),0)))</f>
        <v/>
      </c>
      <c r="S304" s="71">
        <f>IF(NOT((COUNTA($B304:$J304)+COUNTA($N304))&gt;0),"",IF($B304="Subactividad","Sub","Macro"))</f>
        <v/>
      </c>
      <c r="T304" s="71">
        <f>IF($S304="Macro",COUNTIFS($R$5:$R$1000,ROW(),$S$5:$S$1000,"Sub"),"")</f>
        <v/>
      </c>
      <c r="U304" s="71">
        <f>IF($S304="","",IF(ISNUMBER($G304),$G304,0))</f>
        <v/>
      </c>
      <c r="V304" s="71">
        <f>IF($S304="","",IF(ISNUMBER($H304),$H304,$U304))</f>
        <v/>
      </c>
      <c r="W304" s="71">
        <f>IF($S304="","",IF(ISNUMBER($I304),$I304,$V304))</f>
        <v/>
      </c>
      <c r="X304" s="71">
        <f>IF($S304="","",IF(ISNUMBER($J304),$J304,$W304))</f>
        <v/>
      </c>
      <c r="Y304" s="71">
        <f>IF($S304="","",IF(N($T304)&gt;0,IF(N($AG304)&gt;0,SUMIFS($AC$5:$AC$1000,$R$5:$R$1000,ROW(),$S$5:$S$1000,"Sub")/$AG304,AVERAGEIFS($U$5:$U$1000,$R$5:$R$1000,ROW(),$S$5:$S$1000,"Sub")),$U304))</f>
        <v/>
      </c>
      <c r="Z304" s="71">
        <f>IF($S304="","",IF(N($T304)&gt;0,IF(N($AG304)&gt;0,SUMIFS($AD$5:$AD$1000,$R$5:$R$1000,ROW(),$S$5:$S$1000,"Sub")/$AG304,AVERAGEIFS($V$5:$V$1000,$R$5:$R$1000,ROW(),$S$5:$S$1000,"Sub")),$V304))</f>
        <v/>
      </c>
      <c r="AA304" s="71">
        <f>IF($S304="","",IF(N($T304)&gt;0,IF(N($AG304)&gt;0,SUMIFS($AE$5:$AE$1000,$R$5:$R$1000,ROW(),$S$5:$S$1000,"Sub")/$AG304,AVERAGEIFS($W$5:$W$1000,$R$5:$R$1000,ROW(),$S$5:$S$1000,"Sub")),$W304))</f>
        <v/>
      </c>
      <c r="AB304" s="71">
        <f>IF($S304="","",IF(N($T304)&gt;0,IF(N($AG304)&gt;0,SUMIFS($AF$5:$AF$1000,$R$5:$R$1000,ROW(),$S$5:$S$1000,"Sub")/$AG304,AVERAGEIFS($X$5:$X$1000,$R$5:$R$1000,ROW(),$S$5:$S$1000,"Sub")),$X304))</f>
        <v/>
      </c>
      <c r="AC304" s="71">
        <f>IF($S304="Sub",N($F304)*N($U304),"")</f>
        <v/>
      </c>
      <c r="AD304" s="71">
        <f>IF($S304="Sub",N($F304)*N($V304),"")</f>
        <v/>
      </c>
      <c r="AE304" s="71">
        <f>IF($S304="Sub",N($F304)*N($W304),"")</f>
        <v/>
      </c>
      <c r="AF304" s="71">
        <f>IF($S304="Sub",N($F304)*N($X304),"")</f>
        <v/>
      </c>
      <c r="AG304" s="71">
        <f>IF(N($T304)&gt;0,SUMIFS($F$5:$F$1000,$R$5:$R$1000,ROW(),$S$5:$S$1000,"Sub"),"")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A1:P1"/>
    <mergeCell ref="A2:P2"/>
    <mergeCell ref="K3:M3"/>
    <mergeCell ref="D3:E3"/>
    <mergeCell ref="G3:H3"/>
    <mergeCell ref="I3:J3"/>
  </mergeCells>
  <conditionalFormatting sqref="G3:H3">
    <cfRule type="expression" priority="1" dxfId="1">
      <formula>LEFT($G$3,1)="⚠"</formula>
    </cfRule>
    <cfRule type="expression" priority="2" dxfId="0">
      <formula>LEFT($G$3,1)="✔"</formula>
    </cfRule>
  </conditionalFormatting>
  <conditionalFormatting sqref="K3:M3">
    <cfRule type="expression" priority="3" dxfId="8" stopIfTrue="1">
      <formula>COUNTIFS($P$5:$P$1000,MesCiclo,$M$5:$M$1000,"Vencida*")&gt;0</formula>
    </cfRule>
    <cfRule type="expression" priority="4" dxfId="9" stopIfTrue="1">
      <formula>COUNTIFS($P$5:$P$1000,MesCiclo,$M$5:$M$1000,"Vence*")&gt;0</formula>
    </cfRule>
    <cfRule type="expression" priority="5" dxfId="0">
      <formula>TRUE</formula>
    </cfRule>
  </conditionalFormatting>
  <conditionalFormatting sqref="A5:C1000">
    <cfRule type="expression" priority="6" dxfId="5" stopIfTrue="1">
      <formula>AND($S5="Macro",$C5="")</formula>
    </cfRule>
    <cfRule type="expression" priority="7" dxfId="23">
      <formula>$S5="Macro"</formula>
    </cfRule>
  </conditionalFormatting>
  <conditionalFormatting sqref="C5:C1000">
    <cfRule type="expression" priority="8" dxfId="13">
      <formula>$S5="Sub"</formula>
    </cfRule>
  </conditionalFormatting>
  <conditionalFormatting sqref="L5:L1000">
    <cfRule type="expression" priority="9" dxfId="0">
      <formula>$L5="Completado"</formula>
    </cfRule>
    <cfRule type="expression" priority="10" dxfId="4">
      <formula>$L5="En curso"</formula>
    </cfRule>
    <cfRule type="expression" priority="11" dxfId="5">
      <formula>$L5="Pendiente"</formula>
    </cfRule>
  </conditionalFormatting>
  <conditionalFormatting sqref="M5:M1000">
    <cfRule type="expression" priority="12" dxfId="8" stopIfTrue="1">
      <formula>LEFT($M5,7)="Vencida"</formula>
    </cfRule>
    <cfRule type="expression" priority="13" dxfId="9" stopIfTrue="1">
      <formula>LEFT($M5,5)="Vence"</formula>
    </cfRule>
    <cfRule type="expression" priority="14" dxfId="0" stopIfTrue="1">
      <formula>$M5="Cumplida"</formula>
    </cfRule>
    <cfRule type="expression" priority="15" dxfId="14" stopIfTrue="1">
      <formula>$M5="En plazo"</formula>
    </cfRule>
    <cfRule type="expression" priority="16" dxfId="5">
      <formula>$M5="Sin fecha límite"</formula>
    </cfRule>
  </conditionalFormatting>
  <conditionalFormatting sqref="K5:K1000">
    <cfRule type="expression" priority="17" dxfId="0">
      <formula>AND(ISNUMBER($K5),$K5&gt;=1)</formula>
    </cfRule>
    <cfRule type="dataBar" priority="18">
      <dataBar showValue="1">
        <cfvo type="num" val="0"/>
        <cfvo type="num" val="1"/>
        <color rgb="005B9BD5"/>
      </dataBar>
    </cfRule>
  </conditionalFormatting>
  <conditionalFormatting sqref="E5:E1000">
    <cfRule type="expression" priority="19" dxfId="6" stopIfTrue="1">
      <formula>AND(ISNUMBER($E5),$E5&lt;FechaRef,N($K5)&lt;1)</formula>
    </cfRule>
    <cfRule type="expression" priority="20" dxfId="7">
      <formula>AND(ISNUMBER($E5),$E5&gt;=FechaRef,$E5-FechaRef&lt;=DiasAlerta,N($K5)&lt;1)</formula>
    </cfRule>
  </conditionalFormatting>
  <conditionalFormatting sqref="D5:E1000">
    <cfRule type="expression" priority="21" dxfId="5" stopIfTrue="1">
      <formula>AND((COUNTA($B5:$J5)+COUNTA($N5))&gt;0,D5="")</formula>
    </cfRule>
    <cfRule type="expression" priority="22" dxfId="6">
      <formula>AND(ISNUMBER($D5),ISNUMBER($E5),$D5&gt;$E5)</formula>
    </cfRule>
  </conditionalFormatting>
  <conditionalFormatting sqref="F5:F1000">
    <cfRule type="expression" priority="23" dxfId="15" stopIfTrue="1">
      <formula>$S5="Sub"</formula>
    </cfRule>
    <cfRule type="expression" priority="24" dxfId="5" stopIfTrue="1">
      <formula>AND($S5="Macro",F5="")</formula>
    </cfRule>
    <cfRule type="expression" priority="25" dxfId="7">
      <formula>AND($S5="Macro",ABS(SUMIFS($F$5:$F$1000,$P$5:$P$1000,$P5,$S$5:$S$1000,"Macro")-1)&gt;0.0001)</formula>
    </cfRule>
  </conditionalFormatting>
  <conditionalFormatting sqref="G5:J1000">
    <cfRule type="expression" priority="26" dxfId="5" stopIfTrue="1">
      <formula>AND(N($T5)&gt;0,G5&lt;&gt;"")</formula>
    </cfRule>
    <cfRule type="expression" priority="27" dxfId="16" stopIfTrue="1">
      <formula>N($T5)&gt;0</formula>
    </cfRule>
    <cfRule type="expression" priority="28" dxfId="5" stopIfTrue="1">
      <formula>AND(G5&lt;&gt;"",OR(NOT(ISNUMBER(G5)),G5&gt;1,G5&lt;0))</formula>
    </cfRule>
  </conditionalFormatting>
  <conditionalFormatting sqref="H5:J1000">
    <cfRule type="expression" priority="29" dxfId="6">
      <formula>AND(H5&lt;&gt;"",H5&lt;MAX($G5:G5))</formula>
    </cfRule>
  </conditionalFormatting>
  <conditionalFormatting sqref="N5:N1000">
    <cfRule type="expression" priority="30" dxfId="5">
      <formula>AND(ObsObligatoria="Sí",ISNUMBER($E5),$E5&lt;FechaRef,N($K5)&lt;1,$N5="")</formula>
    </cfRule>
  </conditionalFormatting>
  <conditionalFormatting sqref="O5:O1000">
    <cfRule type="expression" priority="31" dxfId="5">
      <formula>LEFT($O5,1)="⚠"</formula>
    </cfRule>
    <cfRule type="expression" priority="32" dxfId="17">
      <formula>LEFT($O5,1)="✔"</formula>
    </cfRule>
  </conditionalFormatting>
  <conditionalFormatting sqref="P5:P1000">
    <cfRule type="expression" priority="33" dxfId="1">
      <formula>AND($P5&lt;&gt;"",$P5=MesCiclo)</formula>
    </cfRule>
  </conditionalFormatting>
  <dataValidations count="4">
    <dataValidation sqref="B5:B1000" showDropDown="0" showInputMessage="1" showErrorMessage="1" allowBlank="1" errorTitle="Tipo no válido" error="Elija Macroactividad o Subactividad." promptTitle="Tipo" prompt="Macroactividad (lleva peso) o Subactividad (va debajo de su macroactividad, sin peso). Vacío = Macroactividad." type="list">
      <formula1>"Macroactividad,Subactividad"</formula1>
    </dataValidation>
    <dataValidation sqref="D5:D1000 E5:E1000" showDropDown="0" showInputMessage="0" showErrorMessage="1" allowBlank="1" errorTitle="Fecha no válida" error="Ingrese una fecha válida (dd/mm/aaaa)." type="date" operator="greaterThan">
      <formula1>36526</formula1>
    </dataValidation>
    <dataValidation sqref="F5:F1000" showDropDown="0" showInputMessage="1" showErrorMessage="1" allowBlank="1" errorTitle="Peso no válido" error="Ingrese un porcentaje entre 0% y 100% (por ejemplo 25%)." promptTitle="Peso" prompt="Macroactividad: cuánto vale en el mes (las macroactividades suman 100%). Subactividad: qué parte del peso de su macroactividad le toca (sus pesos suman el peso de la macroactividad). Si las subactividades quedan sin peso, se reparten en partes iguales." type="decimal" operator="between">
      <formula1>0</formula1>
      <formula2>1</formula2>
    </dataValidation>
    <dataValidation sqref="G5:J1000" showDropDown="0" showInputMessage="1" showErrorMessage="1" allowBlank="1" errorTitle="Avance no válido" error="Ingrese un porcentaje entre 0% y 100%. Deje la celda vacía si la semana no ha llegado." promptTitle="Avance acumulado" prompt="% TOTAL logrado hasta esta semana. Si la macroactividad tiene subactividades, déjelo vacío: se calcula solo." type="decimal" operator="between">
      <formula1>0</formula1>
      <formula2>1</formula2>
    </dataValidation>
  </dataValidations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P104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2" customWidth="1" min="3" max="3"/>
    <col width="12" customWidth="1" min="4" max="4"/>
    <col width="16" customWidth="1" min="5" max="5"/>
    <col width="11" customWidth="1" min="6" max="6"/>
    <col width="11" customWidth="1" min="7" max="7"/>
    <col width="11" customWidth="1" min="8" max="8"/>
    <col width="11" customWidth="1" min="9" max="9"/>
    <col width="12" customWidth="1" min="10" max="10"/>
    <col width="13" customWidth="1" min="11" max="11"/>
    <col width="20" customWidth="1" min="12" max="12"/>
    <col width="46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8" customHeight="1">
      <c r="A1" s="82" t="inlineStr">
        <is>
          <t>Actividades del mes por semana – Asistente Técnico de Riesgo</t>
        </is>
      </c>
      <c r="B1" s="82" t="n"/>
      <c r="C1" s="82" t="n"/>
      <c r="D1" s="82" t="n"/>
      <c r="E1" s="82" t="n"/>
      <c r="F1" s="82" t="n"/>
      <c r="G1" s="82" t="n"/>
      <c r="H1" s="82" t="n"/>
      <c r="I1" s="82" t="n"/>
      <c r="J1" s="82" t="n"/>
      <c r="K1" s="82" t="n"/>
      <c r="L1" s="82" t="n"/>
      <c r="M1" s="82" t="n"/>
    </row>
    <row r="2" ht="34" customHeight="1">
      <c r="A2" s="72" t="inlineStr">
        <is>
          <t>HOJA AUTOMÁTICA Y BLOQUEADA: muestra solo las actividades del mes indicado abajo, tomadas de «Cronograma Asistente Técnico». No hay que escribir nada aquí. Cada macroactividad (resaltada) va seguida de sus subactividades (↳). La barra de color marca las semanas en que cada actividad está programada y dentro aparece el avance de esa semana. La columna «Alerta de plazo» indica lo vencido y lo que está por vencer.</t>
        </is>
      </c>
      <c r="B2" s="72" t="n"/>
      <c r="C2" s="72" t="n"/>
      <c r="D2" s="72" t="n"/>
      <c r="E2" s="72" t="n"/>
      <c r="F2" s="72" t="n"/>
      <c r="G2" s="72" t="n"/>
      <c r="H2" s="72" t="n"/>
      <c r="I2" s="72" t="n"/>
      <c r="J2" s="72" t="n"/>
      <c r="K2" s="72" t="n"/>
      <c r="L2" s="72" t="n"/>
      <c r="M2" s="72" t="n"/>
    </row>
    <row r="3">
      <c r="A3" s="73" t="inlineStr">
        <is>
          <t>Mes:</t>
        </is>
      </c>
      <c r="B3" s="74">
        <f>MesCiclo</f>
        <v/>
      </c>
      <c r="E3" s="75" t="inlineStr">
        <is>
          <t>Semana del:</t>
        </is>
      </c>
      <c r="F3" s="76">
        <f>(InicioCiclo+0)</f>
        <v/>
      </c>
      <c r="G3" s="76">
        <f>(InicioCiclo+7)</f>
        <v/>
      </c>
      <c r="H3" s="76">
        <f>(InicioCiclo+14)</f>
        <v/>
      </c>
      <c r="I3" s="76">
        <f>(InicioCiclo+21)</f>
        <v/>
      </c>
    </row>
    <row r="4" ht="34" customHeight="1">
      <c r="A4" s="61" t="inlineStr">
        <is>
          <t>N°</t>
        </is>
      </c>
      <c r="B4" s="61" t="inlineStr">
        <is>
          <t>Actividad</t>
        </is>
      </c>
      <c r="C4" s="61" t="inlineStr">
        <is>
          <t>Fecha de inicio</t>
        </is>
      </c>
      <c r="D4" s="61" t="inlineStr">
        <is>
          <t>Fecha límite</t>
        </is>
      </c>
      <c r="E4" s="61" t="inlineStr">
        <is>
          <t>Semana de entrega</t>
        </is>
      </c>
      <c r="F4" s="7" t="inlineStr">
        <is>
          <t>Semana 1</t>
        </is>
      </c>
      <c r="G4" s="7" t="inlineStr">
        <is>
          <t>Semana 2</t>
        </is>
      </c>
      <c r="H4" s="7" t="inlineStr">
        <is>
          <t>Semana 3</t>
        </is>
      </c>
      <c r="I4" s="7" t="inlineStr">
        <is>
          <t>Semana 4</t>
        </is>
      </c>
      <c r="J4" s="61" t="inlineStr">
        <is>
          <t>% Avance actual</t>
        </is>
      </c>
      <c r="K4" s="61" t="inlineStr">
        <is>
          <t>Estado</t>
        </is>
      </c>
      <c r="L4" s="61" t="inlineStr">
        <is>
          <t>Alerta de plazo</t>
        </is>
      </c>
      <c r="M4" s="61" t="inlineStr">
        <is>
          <t>Observaciones</t>
        </is>
      </c>
      <c r="N4" t="inlineStr">
        <is>
          <t>Fila origen (aux)</t>
        </is>
      </c>
      <c r="O4" t="inlineStr">
        <is>
          <t>Tipo (aux)</t>
        </is>
      </c>
      <c r="P4" t="inlineStr">
        <is>
          <t>N subactividades (aux)</t>
        </is>
      </c>
    </row>
    <row r="5">
      <c r="A5" s="62">
        <f>IF($N5="","",INDEX('Cronograma Asistente Técnico'!$A$5:$A$1000,$N5))</f>
        <v/>
      </c>
      <c r="B5" s="71">
        <f>IF($N5="","",IF($O5="Sub","      ↳  "&amp;INDEX('Cronograma Asistente Técnico'!$C$5:$C$1000,$N5),INDEX('Cronograma Asistente Técnico'!$C$5:$C$1000,$N5)&amp;""))</f>
        <v/>
      </c>
      <c r="C5" s="77">
        <f>IF($N5="","",IF(INDEX('Cronograma Asistente Técnico'!$D$5:$D$1000,$N5)="","",INDEX('Cronograma Asistente Técnico'!$D$5:$D$1000,$N5)))</f>
        <v/>
      </c>
      <c r="D5" s="77">
        <f>IF($N5="","",IF(INDEX('Cronograma Asistente Técnico'!$E$5:$E$1000,$N5)="","",INDEX('Cronograma Asistente Técnico'!$E$5:$E$1000,$N5)))</f>
        <v/>
      </c>
      <c r="E5" s="62">
        <f>IF($N5="","",IF(NOT(ISNUMBER($D5)),"",IF($D5&lt;InicioCiclo,"Antes del ciclo",IF($D5&gt;=InicioCiclo+28,"Después del ciclo","Semana "&amp;(INT(($D5-InicioCiclo)/7)+1)))))</f>
        <v/>
      </c>
      <c r="F5" s="68">
        <f>IF($N5="","",IF($P5&gt;0,IF(1&lt;=SemanaActual,INDEX('Cronograma Asistente Técnico'!$Y$5:$Y$1000,$N5),""),IF(INDEX('Cronograma Asistente Técnico'!$G$5:$G$1000,$N5)="","",INDEX('Cronograma Asistente Técnico'!$G$5:$G$1000,$N5))))</f>
        <v/>
      </c>
      <c r="G5" s="68">
        <f>IF($N5="","",IF($P5&gt;0,IF(2&lt;=SemanaActual,INDEX('Cronograma Asistente Técnico'!$Z$5:$Z$1000,$N5),""),IF(INDEX('Cronograma Asistente Técnico'!$H$5:$H$1000,$N5)="","",INDEX('Cronograma Asistente Técnico'!$H$5:$H$1000,$N5))))</f>
        <v/>
      </c>
      <c r="H5" s="68">
        <f>IF($N5="","",IF($P5&gt;0,IF(3&lt;=SemanaActual,INDEX('Cronograma Asistente Técnico'!$AA$5:$AA$1000,$N5),""),IF(INDEX('Cronograma Asistente Técnico'!$I$5:$I$1000,$N5)="","",INDEX('Cronograma Asistente Técnico'!$I$5:$I$1000,$N5))))</f>
        <v/>
      </c>
      <c r="I5" s="68">
        <f>IF($N5="","",IF($P5&gt;0,IF(4&lt;=SemanaActual,INDEX('Cronograma Asistente Técnico'!$AB$5:$AB$1000,$N5),""),IF(INDEX('Cronograma Asistente Técnico'!$J$5:$J$1000,$N5)="","",INDEX('Cronograma Asistente Técnico'!$J$5:$J$1000,$N5))))</f>
        <v/>
      </c>
      <c r="J5" s="68">
        <f>IF($N5="","",INDEX('Cronograma Asistente Técnico'!$K$5:$K$1000,$N5))</f>
        <v/>
      </c>
      <c r="K5" s="62">
        <f>IF($N5="","",IF(N($J5)&gt;=1,"Completado",IF(AND(ISNUMBER($D5),$D5&lt;FechaRef),"Vencida",IF(N($J5)&gt;0,"En curso","Pendiente"))))</f>
        <v/>
      </c>
      <c r="L5" s="62">
        <f>IF($N5="","",INDEX('Cronograma Asistente Técnico'!$M$5:$M$1000,$N5)&amp;"")</f>
        <v/>
      </c>
      <c r="M5" s="71">
        <f>IF($N5="","",INDEX('Cronograma Asistente Técnico'!$N$5:$N$1000,$N5)&amp;"")</f>
        <v/>
      </c>
      <c r="N5">
        <f>IFERROR(MATCH(ROW()-4,rOrden_ATR,0),"")</f>
        <v/>
      </c>
      <c r="O5">
        <f>IF($N5="","",INDEX('Cronograma Asistente Técnico'!$S$5:$S$1000,$N5))</f>
        <v/>
      </c>
      <c r="P5">
        <f>IF($N5="","",N(INDEX('Cronograma Asistente Técnico'!$T$5:$T$1000,$N5)))</f>
        <v/>
      </c>
    </row>
    <row r="6">
      <c r="A6" s="62">
        <f>IF($N6="","",INDEX('Cronograma Asistente Técnico'!$A$5:$A$1000,$N6))</f>
        <v/>
      </c>
      <c r="B6" s="71">
        <f>IF($N6="","",IF($O6="Sub","      ↳  "&amp;INDEX('Cronograma Asistente Técnico'!$C$5:$C$1000,$N6),INDEX('Cronograma Asistente Técnico'!$C$5:$C$1000,$N6)&amp;""))</f>
        <v/>
      </c>
      <c r="C6" s="77">
        <f>IF($N6="","",IF(INDEX('Cronograma Asistente Técnico'!$D$5:$D$1000,$N6)="","",INDEX('Cronograma Asistente Técnico'!$D$5:$D$1000,$N6)))</f>
        <v/>
      </c>
      <c r="D6" s="77">
        <f>IF($N6="","",IF(INDEX('Cronograma Asistente Técnico'!$E$5:$E$1000,$N6)="","",INDEX('Cronograma Asistente Técnico'!$E$5:$E$1000,$N6)))</f>
        <v/>
      </c>
      <c r="E6" s="62">
        <f>IF($N6="","",IF(NOT(ISNUMBER($D6)),"",IF($D6&lt;InicioCiclo,"Antes del ciclo",IF($D6&gt;=InicioCiclo+28,"Después del ciclo","Semana "&amp;(INT(($D6-InicioCiclo)/7)+1)))))</f>
        <v/>
      </c>
      <c r="F6" s="68">
        <f>IF($N6="","",IF($P6&gt;0,IF(1&lt;=SemanaActual,INDEX('Cronograma Asistente Técnico'!$Y$5:$Y$1000,$N6),""),IF(INDEX('Cronograma Asistente Técnico'!$G$5:$G$1000,$N6)="","",INDEX('Cronograma Asistente Técnico'!$G$5:$G$1000,$N6))))</f>
        <v/>
      </c>
      <c r="G6" s="68">
        <f>IF($N6="","",IF($P6&gt;0,IF(2&lt;=SemanaActual,INDEX('Cronograma Asistente Técnico'!$Z$5:$Z$1000,$N6),""),IF(INDEX('Cronograma Asistente Técnico'!$H$5:$H$1000,$N6)="","",INDEX('Cronograma Asistente Técnico'!$H$5:$H$1000,$N6))))</f>
        <v/>
      </c>
      <c r="H6" s="68">
        <f>IF($N6="","",IF($P6&gt;0,IF(3&lt;=SemanaActual,INDEX('Cronograma Asistente Técnico'!$AA$5:$AA$1000,$N6),""),IF(INDEX('Cronograma Asistente Técnico'!$I$5:$I$1000,$N6)="","",INDEX('Cronograma Asistente Técnico'!$I$5:$I$1000,$N6))))</f>
        <v/>
      </c>
      <c r="I6" s="68">
        <f>IF($N6="","",IF($P6&gt;0,IF(4&lt;=SemanaActual,INDEX('Cronograma Asistente Técnico'!$AB$5:$AB$1000,$N6),""),IF(INDEX('Cronograma Asistente Técnico'!$J$5:$J$1000,$N6)="","",INDEX('Cronograma Asistente Técnico'!$J$5:$J$1000,$N6))))</f>
        <v/>
      </c>
      <c r="J6" s="68">
        <f>IF($N6="","",INDEX('Cronograma Asistente Técnico'!$K$5:$K$1000,$N6))</f>
        <v/>
      </c>
      <c r="K6" s="62">
        <f>IF($N6="","",IF(N($J6)&gt;=1,"Completado",IF(AND(ISNUMBER($D6),$D6&lt;FechaRef),"Vencida",IF(N($J6)&gt;0,"En curso","Pendiente"))))</f>
        <v/>
      </c>
      <c r="L6" s="62">
        <f>IF($N6="","",INDEX('Cronograma Asistente Técnico'!$M$5:$M$1000,$N6)&amp;"")</f>
        <v/>
      </c>
      <c r="M6" s="71">
        <f>IF($N6="","",INDEX('Cronograma Asistente Técnico'!$N$5:$N$1000,$N6)&amp;"")</f>
        <v/>
      </c>
      <c r="N6">
        <f>IFERROR(MATCH(ROW()-4,rOrden_ATR,0),"")</f>
        <v/>
      </c>
      <c r="O6">
        <f>IF($N6="","",INDEX('Cronograma Asistente Técnico'!$S$5:$S$1000,$N6))</f>
        <v/>
      </c>
      <c r="P6">
        <f>IF($N6="","",N(INDEX('Cronograma Asistente Técnico'!$T$5:$T$1000,$N6)))</f>
        <v/>
      </c>
    </row>
    <row r="7">
      <c r="A7" s="62">
        <f>IF($N7="","",INDEX('Cronograma Asistente Técnico'!$A$5:$A$1000,$N7))</f>
        <v/>
      </c>
      <c r="B7" s="71">
        <f>IF($N7="","",IF($O7="Sub","      ↳  "&amp;INDEX('Cronograma Asistente Técnico'!$C$5:$C$1000,$N7),INDEX('Cronograma Asistente Técnico'!$C$5:$C$1000,$N7)&amp;""))</f>
        <v/>
      </c>
      <c r="C7" s="77">
        <f>IF($N7="","",IF(INDEX('Cronograma Asistente Técnico'!$D$5:$D$1000,$N7)="","",INDEX('Cronograma Asistente Técnico'!$D$5:$D$1000,$N7)))</f>
        <v/>
      </c>
      <c r="D7" s="77">
        <f>IF($N7="","",IF(INDEX('Cronograma Asistente Técnico'!$E$5:$E$1000,$N7)="","",INDEX('Cronograma Asistente Técnico'!$E$5:$E$1000,$N7)))</f>
        <v/>
      </c>
      <c r="E7" s="62">
        <f>IF($N7="","",IF(NOT(ISNUMBER($D7)),"",IF($D7&lt;InicioCiclo,"Antes del ciclo",IF($D7&gt;=InicioCiclo+28,"Después del ciclo","Semana "&amp;(INT(($D7-InicioCiclo)/7)+1)))))</f>
        <v/>
      </c>
      <c r="F7" s="68">
        <f>IF($N7="","",IF($P7&gt;0,IF(1&lt;=SemanaActual,INDEX('Cronograma Asistente Técnico'!$Y$5:$Y$1000,$N7),""),IF(INDEX('Cronograma Asistente Técnico'!$G$5:$G$1000,$N7)="","",INDEX('Cronograma Asistente Técnico'!$G$5:$G$1000,$N7))))</f>
        <v/>
      </c>
      <c r="G7" s="68">
        <f>IF($N7="","",IF($P7&gt;0,IF(2&lt;=SemanaActual,INDEX('Cronograma Asistente Técnico'!$Z$5:$Z$1000,$N7),""),IF(INDEX('Cronograma Asistente Técnico'!$H$5:$H$1000,$N7)="","",INDEX('Cronograma Asistente Técnico'!$H$5:$H$1000,$N7))))</f>
        <v/>
      </c>
      <c r="H7" s="68">
        <f>IF($N7="","",IF($P7&gt;0,IF(3&lt;=SemanaActual,INDEX('Cronograma Asistente Técnico'!$AA$5:$AA$1000,$N7),""),IF(INDEX('Cronograma Asistente Técnico'!$I$5:$I$1000,$N7)="","",INDEX('Cronograma Asistente Técnico'!$I$5:$I$1000,$N7))))</f>
        <v/>
      </c>
      <c r="I7" s="68">
        <f>IF($N7="","",IF($P7&gt;0,IF(4&lt;=SemanaActual,INDEX('Cronograma Asistente Técnico'!$AB$5:$AB$1000,$N7),""),IF(INDEX('Cronograma Asistente Técnico'!$J$5:$J$1000,$N7)="","",INDEX('Cronograma Asistente Técnico'!$J$5:$J$1000,$N7))))</f>
        <v/>
      </c>
      <c r="J7" s="68">
        <f>IF($N7="","",INDEX('Cronograma Asistente Técnico'!$K$5:$K$1000,$N7))</f>
        <v/>
      </c>
      <c r="K7" s="62">
        <f>IF($N7="","",IF(N($J7)&gt;=1,"Completado",IF(AND(ISNUMBER($D7),$D7&lt;FechaRef),"Vencida",IF(N($J7)&gt;0,"En curso","Pendiente"))))</f>
        <v/>
      </c>
      <c r="L7" s="62">
        <f>IF($N7="","",INDEX('Cronograma Asistente Técnico'!$M$5:$M$1000,$N7)&amp;"")</f>
        <v/>
      </c>
      <c r="M7" s="71">
        <f>IF($N7="","",INDEX('Cronograma Asistente Técnico'!$N$5:$N$1000,$N7)&amp;"")</f>
        <v/>
      </c>
      <c r="N7">
        <f>IFERROR(MATCH(ROW()-4,rOrden_ATR,0),"")</f>
        <v/>
      </c>
      <c r="O7">
        <f>IF($N7="","",INDEX('Cronograma Asistente Técnico'!$S$5:$S$1000,$N7))</f>
        <v/>
      </c>
      <c r="P7">
        <f>IF($N7="","",N(INDEX('Cronograma Asistente Técnico'!$T$5:$T$1000,$N7)))</f>
        <v/>
      </c>
    </row>
    <row r="8">
      <c r="A8" s="62">
        <f>IF($N8="","",INDEX('Cronograma Asistente Técnico'!$A$5:$A$1000,$N8))</f>
        <v/>
      </c>
      <c r="B8" s="71">
        <f>IF($N8="","",IF($O8="Sub","      ↳  "&amp;INDEX('Cronograma Asistente Técnico'!$C$5:$C$1000,$N8),INDEX('Cronograma Asistente Técnico'!$C$5:$C$1000,$N8)&amp;""))</f>
        <v/>
      </c>
      <c r="C8" s="77">
        <f>IF($N8="","",IF(INDEX('Cronograma Asistente Técnico'!$D$5:$D$1000,$N8)="","",INDEX('Cronograma Asistente Técnico'!$D$5:$D$1000,$N8)))</f>
        <v/>
      </c>
      <c r="D8" s="77">
        <f>IF($N8="","",IF(INDEX('Cronograma Asistente Técnico'!$E$5:$E$1000,$N8)="","",INDEX('Cronograma Asistente Técnico'!$E$5:$E$1000,$N8)))</f>
        <v/>
      </c>
      <c r="E8" s="62">
        <f>IF($N8="","",IF(NOT(ISNUMBER($D8)),"",IF($D8&lt;InicioCiclo,"Antes del ciclo",IF($D8&gt;=InicioCiclo+28,"Después del ciclo","Semana "&amp;(INT(($D8-InicioCiclo)/7)+1)))))</f>
        <v/>
      </c>
      <c r="F8" s="68">
        <f>IF($N8="","",IF($P8&gt;0,IF(1&lt;=SemanaActual,INDEX('Cronograma Asistente Técnico'!$Y$5:$Y$1000,$N8),""),IF(INDEX('Cronograma Asistente Técnico'!$G$5:$G$1000,$N8)="","",INDEX('Cronograma Asistente Técnico'!$G$5:$G$1000,$N8))))</f>
        <v/>
      </c>
      <c r="G8" s="68">
        <f>IF($N8="","",IF($P8&gt;0,IF(2&lt;=SemanaActual,INDEX('Cronograma Asistente Técnico'!$Z$5:$Z$1000,$N8),""),IF(INDEX('Cronograma Asistente Técnico'!$H$5:$H$1000,$N8)="","",INDEX('Cronograma Asistente Técnico'!$H$5:$H$1000,$N8))))</f>
        <v/>
      </c>
      <c r="H8" s="68">
        <f>IF($N8="","",IF($P8&gt;0,IF(3&lt;=SemanaActual,INDEX('Cronograma Asistente Técnico'!$AA$5:$AA$1000,$N8),""),IF(INDEX('Cronograma Asistente Técnico'!$I$5:$I$1000,$N8)="","",INDEX('Cronograma Asistente Técnico'!$I$5:$I$1000,$N8))))</f>
        <v/>
      </c>
      <c r="I8" s="68">
        <f>IF($N8="","",IF($P8&gt;0,IF(4&lt;=SemanaActual,INDEX('Cronograma Asistente Técnico'!$AB$5:$AB$1000,$N8),""),IF(INDEX('Cronograma Asistente Técnico'!$J$5:$J$1000,$N8)="","",INDEX('Cronograma Asistente Técnico'!$J$5:$J$1000,$N8))))</f>
        <v/>
      </c>
      <c r="J8" s="68">
        <f>IF($N8="","",INDEX('Cronograma Asistente Técnico'!$K$5:$K$1000,$N8))</f>
        <v/>
      </c>
      <c r="K8" s="62">
        <f>IF($N8="","",IF(N($J8)&gt;=1,"Completado",IF(AND(ISNUMBER($D8),$D8&lt;FechaRef),"Vencida",IF(N($J8)&gt;0,"En curso","Pendiente"))))</f>
        <v/>
      </c>
      <c r="L8" s="62">
        <f>IF($N8="","",INDEX('Cronograma Asistente Técnico'!$M$5:$M$1000,$N8)&amp;"")</f>
        <v/>
      </c>
      <c r="M8" s="71">
        <f>IF($N8="","",INDEX('Cronograma Asistente Técnico'!$N$5:$N$1000,$N8)&amp;"")</f>
        <v/>
      </c>
      <c r="N8">
        <f>IFERROR(MATCH(ROW()-4,rOrden_ATR,0),"")</f>
        <v/>
      </c>
      <c r="O8">
        <f>IF($N8="","",INDEX('Cronograma Asistente Técnico'!$S$5:$S$1000,$N8))</f>
        <v/>
      </c>
      <c r="P8">
        <f>IF($N8="","",N(INDEX('Cronograma Asistente Técnico'!$T$5:$T$1000,$N8)))</f>
        <v/>
      </c>
    </row>
    <row r="9">
      <c r="A9" s="62">
        <f>IF($N9="","",INDEX('Cronograma Asistente Técnico'!$A$5:$A$1000,$N9))</f>
        <v/>
      </c>
      <c r="B9" s="71">
        <f>IF($N9="","",IF($O9="Sub","      ↳  "&amp;INDEX('Cronograma Asistente Técnico'!$C$5:$C$1000,$N9),INDEX('Cronograma Asistente Técnico'!$C$5:$C$1000,$N9)&amp;""))</f>
        <v/>
      </c>
      <c r="C9" s="77">
        <f>IF($N9="","",IF(INDEX('Cronograma Asistente Técnico'!$D$5:$D$1000,$N9)="","",INDEX('Cronograma Asistente Técnico'!$D$5:$D$1000,$N9)))</f>
        <v/>
      </c>
      <c r="D9" s="77">
        <f>IF($N9="","",IF(INDEX('Cronograma Asistente Técnico'!$E$5:$E$1000,$N9)="","",INDEX('Cronograma Asistente Técnico'!$E$5:$E$1000,$N9)))</f>
        <v/>
      </c>
      <c r="E9" s="62">
        <f>IF($N9="","",IF(NOT(ISNUMBER($D9)),"",IF($D9&lt;InicioCiclo,"Antes del ciclo",IF($D9&gt;=InicioCiclo+28,"Después del ciclo","Semana "&amp;(INT(($D9-InicioCiclo)/7)+1)))))</f>
        <v/>
      </c>
      <c r="F9" s="68">
        <f>IF($N9="","",IF($P9&gt;0,IF(1&lt;=SemanaActual,INDEX('Cronograma Asistente Técnico'!$Y$5:$Y$1000,$N9),""),IF(INDEX('Cronograma Asistente Técnico'!$G$5:$G$1000,$N9)="","",INDEX('Cronograma Asistente Técnico'!$G$5:$G$1000,$N9))))</f>
        <v/>
      </c>
      <c r="G9" s="68">
        <f>IF($N9="","",IF($P9&gt;0,IF(2&lt;=SemanaActual,INDEX('Cronograma Asistente Técnico'!$Z$5:$Z$1000,$N9),""),IF(INDEX('Cronograma Asistente Técnico'!$H$5:$H$1000,$N9)="","",INDEX('Cronograma Asistente Técnico'!$H$5:$H$1000,$N9))))</f>
        <v/>
      </c>
      <c r="H9" s="68">
        <f>IF($N9="","",IF($P9&gt;0,IF(3&lt;=SemanaActual,INDEX('Cronograma Asistente Técnico'!$AA$5:$AA$1000,$N9),""),IF(INDEX('Cronograma Asistente Técnico'!$I$5:$I$1000,$N9)="","",INDEX('Cronograma Asistente Técnico'!$I$5:$I$1000,$N9))))</f>
        <v/>
      </c>
      <c r="I9" s="68">
        <f>IF($N9="","",IF($P9&gt;0,IF(4&lt;=SemanaActual,INDEX('Cronograma Asistente Técnico'!$AB$5:$AB$1000,$N9),""),IF(INDEX('Cronograma Asistente Técnico'!$J$5:$J$1000,$N9)="","",INDEX('Cronograma Asistente Técnico'!$J$5:$J$1000,$N9))))</f>
        <v/>
      </c>
      <c r="J9" s="68">
        <f>IF($N9="","",INDEX('Cronograma Asistente Técnico'!$K$5:$K$1000,$N9))</f>
        <v/>
      </c>
      <c r="K9" s="62">
        <f>IF($N9="","",IF(N($J9)&gt;=1,"Completado",IF(AND(ISNUMBER($D9),$D9&lt;FechaRef),"Vencida",IF(N($J9)&gt;0,"En curso","Pendiente"))))</f>
        <v/>
      </c>
      <c r="L9" s="62">
        <f>IF($N9="","",INDEX('Cronograma Asistente Técnico'!$M$5:$M$1000,$N9)&amp;"")</f>
        <v/>
      </c>
      <c r="M9" s="71">
        <f>IF($N9="","",INDEX('Cronograma Asistente Técnico'!$N$5:$N$1000,$N9)&amp;"")</f>
        <v/>
      </c>
      <c r="N9">
        <f>IFERROR(MATCH(ROW()-4,rOrden_ATR,0),"")</f>
        <v/>
      </c>
      <c r="O9">
        <f>IF($N9="","",INDEX('Cronograma Asistente Técnico'!$S$5:$S$1000,$N9))</f>
        <v/>
      </c>
      <c r="P9">
        <f>IF($N9="","",N(INDEX('Cronograma Asistente Técnico'!$T$5:$T$1000,$N9)))</f>
        <v/>
      </c>
    </row>
    <row r="10">
      <c r="A10" s="62">
        <f>IF($N10="","",INDEX('Cronograma Asistente Técnico'!$A$5:$A$1000,$N10))</f>
        <v/>
      </c>
      <c r="B10" s="71">
        <f>IF($N10="","",IF($O10="Sub","      ↳  "&amp;INDEX('Cronograma Asistente Técnico'!$C$5:$C$1000,$N10),INDEX('Cronograma Asistente Técnico'!$C$5:$C$1000,$N10)&amp;""))</f>
        <v/>
      </c>
      <c r="C10" s="77">
        <f>IF($N10="","",IF(INDEX('Cronograma Asistente Técnico'!$D$5:$D$1000,$N10)="","",INDEX('Cronograma Asistente Técnico'!$D$5:$D$1000,$N10)))</f>
        <v/>
      </c>
      <c r="D10" s="77">
        <f>IF($N10="","",IF(INDEX('Cronograma Asistente Técnico'!$E$5:$E$1000,$N10)="","",INDEX('Cronograma Asistente Técnico'!$E$5:$E$1000,$N10)))</f>
        <v/>
      </c>
      <c r="E10" s="62">
        <f>IF($N10="","",IF(NOT(ISNUMBER($D10)),"",IF($D10&lt;InicioCiclo,"Antes del ciclo",IF($D10&gt;=InicioCiclo+28,"Después del ciclo","Semana "&amp;(INT(($D10-InicioCiclo)/7)+1)))))</f>
        <v/>
      </c>
      <c r="F10" s="68">
        <f>IF($N10="","",IF($P10&gt;0,IF(1&lt;=SemanaActual,INDEX('Cronograma Asistente Técnico'!$Y$5:$Y$1000,$N10),""),IF(INDEX('Cronograma Asistente Técnico'!$G$5:$G$1000,$N10)="","",INDEX('Cronograma Asistente Técnico'!$G$5:$G$1000,$N10))))</f>
        <v/>
      </c>
      <c r="G10" s="68">
        <f>IF($N10="","",IF($P10&gt;0,IF(2&lt;=SemanaActual,INDEX('Cronograma Asistente Técnico'!$Z$5:$Z$1000,$N10),""),IF(INDEX('Cronograma Asistente Técnico'!$H$5:$H$1000,$N10)="","",INDEX('Cronograma Asistente Técnico'!$H$5:$H$1000,$N10))))</f>
        <v/>
      </c>
      <c r="H10" s="68">
        <f>IF($N10="","",IF($P10&gt;0,IF(3&lt;=SemanaActual,INDEX('Cronograma Asistente Técnico'!$AA$5:$AA$1000,$N10),""),IF(INDEX('Cronograma Asistente Técnico'!$I$5:$I$1000,$N10)="","",INDEX('Cronograma Asistente Técnico'!$I$5:$I$1000,$N10))))</f>
        <v/>
      </c>
      <c r="I10" s="68">
        <f>IF($N10="","",IF($P10&gt;0,IF(4&lt;=SemanaActual,INDEX('Cronograma Asistente Técnico'!$AB$5:$AB$1000,$N10),""),IF(INDEX('Cronograma Asistente Técnico'!$J$5:$J$1000,$N10)="","",INDEX('Cronograma Asistente Técnico'!$J$5:$J$1000,$N10))))</f>
        <v/>
      </c>
      <c r="J10" s="68">
        <f>IF($N10="","",INDEX('Cronograma Asistente Técnico'!$K$5:$K$1000,$N10))</f>
        <v/>
      </c>
      <c r="K10" s="62">
        <f>IF($N10="","",IF(N($J10)&gt;=1,"Completado",IF(AND(ISNUMBER($D10),$D10&lt;FechaRef),"Vencida",IF(N($J10)&gt;0,"En curso","Pendiente"))))</f>
        <v/>
      </c>
      <c r="L10" s="62">
        <f>IF($N10="","",INDEX('Cronograma Asistente Técnico'!$M$5:$M$1000,$N10)&amp;"")</f>
        <v/>
      </c>
      <c r="M10" s="71">
        <f>IF($N10="","",INDEX('Cronograma Asistente Técnico'!$N$5:$N$1000,$N10)&amp;"")</f>
        <v/>
      </c>
      <c r="N10">
        <f>IFERROR(MATCH(ROW()-4,rOrden_ATR,0),"")</f>
        <v/>
      </c>
      <c r="O10">
        <f>IF($N10="","",INDEX('Cronograma Asistente Técnico'!$S$5:$S$1000,$N10))</f>
        <v/>
      </c>
      <c r="P10">
        <f>IF($N10="","",N(INDEX('Cronograma Asistente Técnico'!$T$5:$T$1000,$N10)))</f>
        <v/>
      </c>
    </row>
    <row r="11">
      <c r="A11" s="62">
        <f>IF($N11="","",INDEX('Cronograma Asistente Técnico'!$A$5:$A$1000,$N11))</f>
        <v/>
      </c>
      <c r="B11" s="71">
        <f>IF($N11="","",IF($O11="Sub","      ↳  "&amp;INDEX('Cronograma Asistente Técnico'!$C$5:$C$1000,$N11),INDEX('Cronograma Asistente Técnico'!$C$5:$C$1000,$N11)&amp;""))</f>
        <v/>
      </c>
      <c r="C11" s="77">
        <f>IF($N11="","",IF(INDEX('Cronograma Asistente Técnico'!$D$5:$D$1000,$N11)="","",INDEX('Cronograma Asistente Técnico'!$D$5:$D$1000,$N11)))</f>
        <v/>
      </c>
      <c r="D11" s="77">
        <f>IF($N11="","",IF(INDEX('Cronograma Asistente Técnico'!$E$5:$E$1000,$N11)="","",INDEX('Cronograma Asistente Técnico'!$E$5:$E$1000,$N11)))</f>
        <v/>
      </c>
      <c r="E11" s="62">
        <f>IF($N11="","",IF(NOT(ISNUMBER($D11)),"",IF($D11&lt;InicioCiclo,"Antes del ciclo",IF($D11&gt;=InicioCiclo+28,"Después del ciclo","Semana "&amp;(INT(($D11-InicioCiclo)/7)+1)))))</f>
        <v/>
      </c>
      <c r="F11" s="68">
        <f>IF($N11="","",IF($P11&gt;0,IF(1&lt;=SemanaActual,INDEX('Cronograma Asistente Técnico'!$Y$5:$Y$1000,$N11),""),IF(INDEX('Cronograma Asistente Técnico'!$G$5:$G$1000,$N11)="","",INDEX('Cronograma Asistente Técnico'!$G$5:$G$1000,$N11))))</f>
        <v/>
      </c>
      <c r="G11" s="68">
        <f>IF($N11="","",IF($P11&gt;0,IF(2&lt;=SemanaActual,INDEX('Cronograma Asistente Técnico'!$Z$5:$Z$1000,$N11),""),IF(INDEX('Cronograma Asistente Técnico'!$H$5:$H$1000,$N11)="","",INDEX('Cronograma Asistente Técnico'!$H$5:$H$1000,$N11))))</f>
        <v/>
      </c>
      <c r="H11" s="68">
        <f>IF($N11="","",IF($P11&gt;0,IF(3&lt;=SemanaActual,INDEX('Cronograma Asistente Técnico'!$AA$5:$AA$1000,$N11),""),IF(INDEX('Cronograma Asistente Técnico'!$I$5:$I$1000,$N11)="","",INDEX('Cronograma Asistente Técnico'!$I$5:$I$1000,$N11))))</f>
        <v/>
      </c>
      <c r="I11" s="68">
        <f>IF($N11="","",IF($P11&gt;0,IF(4&lt;=SemanaActual,INDEX('Cronograma Asistente Técnico'!$AB$5:$AB$1000,$N11),""),IF(INDEX('Cronograma Asistente Técnico'!$J$5:$J$1000,$N11)="","",INDEX('Cronograma Asistente Técnico'!$J$5:$J$1000,$N11))))</f>
        <v/>
      </c>
      <c r="J11" s="68">
        <f>IF($N11="","",INDEX('Cronograma Asistente Técnico'!$K$5:$K$1000,$N11))</f>
        <v/>
      </c>
      <c r="K11" s="62">
        <f>IF($N11="","",IF(N($J11)&gt;=1,"Completado",IF(AND(ISNUMBER($D11),$D11&lt;FechaRef),"Vencida",IF(N($J11)&gt;0,"En curso","Pendiente"))))</f>
        <v/>
      </c>
      <c r="L11" s="62">
        <f>IF($N11="","",INDEX('Cronograma Asistente Técnico'!$M$5:$M$1000,$N11)&amp;"")</f>
        <v/>
      </c>
      <c r="M11" s="71">
        <f>IF($N11="","",INDEX('Cronograma Asistente Técnico'!$N$5:$N$1000,$N11)&amp;"")</f>
        <v/>
      </c>
      <c r="N11">
        <f>IFERROR(MATCH(ROW()-4,rOrden_ATR,0),"")</f>
        <v/>
      </c>
      <c r="O11">
        <f>IF($N11="","",INDEX('Cronograma Asistente Técnico'!$S$5:$S$1000,$N11))</f>
        <v/>
      </c>
      <c r="P11">
        <f>IF($N11="","",N(INDEX('Cronograma Asistente Técnico'!$T$5:$T$1000,$N11)))</f>
        <v/>
      </c>
    </row>
    <row r="12">
      <c r="A12" s="62">
        <f>IF($N12="","",INDEX('Cronograma Asistente Técnico'!$A$5:$A$1000,$N12))</f>
        <v/>
      </c>
      <c r="B12" s="71">
        <f>IF($N12="","",IF($O12="Sub","      ↳  "&amp;INDEX('Cronograma Asistente Técnico'!$C$5:$C$1000,$N12),INDEX('Cronograma Asistente Técnico'!$C$5:$C$1000,$N12)&amp;""))</f>
        <v/>
      </c>
      <c r="C12" s="77">
        <f>IF($N12="","",IF(INDEX('Cronograma Asistente Técnico'!$D$5:$D$1000,$N12)="","",INDEX('Cronograma Asistente Técnico'!$D$5:$D$1000,$N12)))</f>
        <v/>
      </c>
      <c r="D12" s="77">
        <f>IF($N12="","",IF(INDEX('Cronograma Asistente Técnico'!$E$5:$E$1000,$N12)="","",INDEX('Cronograma Asistente Técnico'!$E$5:$E$1000,$N12)))</f>
        <v/>
      </c>
      <c r="E12" s="62">
        <f>IF($N12="","",IF(NOT(ISNUMBER($D12)),"",IF($D12&lt;InicioCiclo,"Antes del ciclo",IF($D12&gt;=InicioCiclo+28,"Después del ciclo","Semana "&amp;(INT(($D12-InicioCiclo)/7)+1)))))</f>
        <v/>
      </c>
      <c r="F12" s="68">
        <f>IF($N12="","",IF($P12&gt;0,IF(1&lt;=SemanaActual,INDEX('Cronograma Asistente Técnico'!$Y$5:$Y$1000,$N12),""),IF(INDEX('Cronograma Asistente Técnico'!$G$5:$G$1000,$N12)="","",INDEX('Cronograma Asistente Técnico'!$G$5:$G$1000,$N12))))</f>
        <v/>
      </c>
      <c r="G12" s="68">
        <f>IF($N12="","",IF($P12&gt;0,IF(2&lt;=SemanaActual,INDEX('Cronograma Asistente Técnico'!$Z$5:$Z$1000,$N12),""),IF(INDEX('Cronograma Asistente Técnico'!$H$5:$H$1000,$N12)="","",INDEX('Cronograma Asistente Técnico'!$H$5:$H$1000,$N12))))</f>
        <v/>
      </c>
      <c r="H12" s="68">
        <f>IF($N12="","",IF($P12&gt;0,IF(3&lt;=SemanaActual,INDEX('Cronograma Asistente Técnico'!$AA$5:$AA$1000,$N12),""),IF(INDEX('Cronograma Asistente Técnico'!$I$5:$I$1000,$N12)="","",INDEX('Cronograma Asistente Técnico'!$I$5:$I$1000,$N12))))</f>
        <v/>
      </c>
      <c r="I12" s="68">
        <f>IF($N12="","",IF($P12&gt;0,IF(4&lt;=SemanaActual,INDEX('Cronograma Asistente Técnico'!$AB$5:$AB$1000,$N12),""),IF(INDEX('Cronograma Asistente Técnico'!$J$5:$J$1000,$N12)="","",INDEX('Cronograma Asistente Técnico'!$J$5:$J$1000,$N12))))</f>
        <v/>
      </c>
      <c r="J12" s="68">
        <f>IF($N12="","",INDEX('Cronograma Asistente Técnico'!$K$5:$K$1000,$N12))</f>
        <v/>
      </c>
      <c r="K12" s="62">
        <f>IF($N12="","",IF(N($J12)&gt;=1,"Completado",IF(AND(ISNUMBER($D12),$D12&lt;FechaRef),"Vencida",IF(N($J12)&gt;0,"En curso","Pendiente"))))</f>
        <v/>
      </c>
      <c r="L12" s="62">
        <f>IF($N12="","",INDEX('Cronograma Asistente Técnico'!$M$5:$M$1000,$N12)&amp;"")</f>
        <v/>
      </c>
      <c r="M12" s="71">
        <f>IF($N12="","",INDEX('Cronograma Asistente Técnico'!$N$5:$N$1000,$N12)&amp;"")</f>
        <v/>
      </c>
      <c r="N12">
        <f>IFERROR(MATCH(ROW()-4,rOrden_ATR,0),"")</f>
        <v/>
      </c>
      <c r="O12">
        <f>IF($N12="","",INDEX('Cronograma Asistente Técnico'!$S$5:$S$1000,$N12))</f>
        <v/>
      </c>
      <c r="P12">
        <f>IF($N12="","",N(INDEX('Cronograma Asistente Técnico'!$T$5:$T$1000,$N12)))</f>
        <v/>
      </c>
    </row>
    <row r="13">
      <c r="A13" s="62">
        <f>IF($N13="","",INDEX('Cronograma Asistente Técnico'!$A$5:$A$1000,$N13))</f>
        <v/>
      </c>
      <c r="B13" s="71">
        <f>IF($N13="","",IF($O13="Sub","      ↳  "&amp;INDEX('Cronograma Asistente Técnico'!$C$5:$C$1000,$N13),INDEX('Cronograma Asistente Técnico'!$C$5:$C$1000,$N13)&amp;""))</f>
        <v/>
      </c>
      <c r="C13" s="77">
        <f>IF($N13="","",IF(INDEX('Cronograma Asistente Técnico'!$D$5:$D$1000,$N13)="","",INDEX('Cronograma Asistente Técnico'!$D$5:$D$1000,$N13)))</f>
        <v/>
      </c>
      <c r="D13" s="77">
        <f>IF($N13="","",IF(INDEX('Cronograma Asistente Técnico'!$E$5:$E$1000,$N13)="","",INDEX('Cronograma Asistente Técnico'!$E$5:$E$1000,$N13)))</f>
        <v/>
      </c>
      <c r="E13" s="62">
        <f>IF($N13="","",IF(NOT(ISNUMBER($D13)),"",IF($D13&lt;InicioCiclo,"Antes del ciclo",IF($D13&gt;=InicioCiclo+28,"Después del ciclo","Semana "&amp;(INT(($D13-InicioCiclo)/7)+1)))))</f>
        <v/>
      </c>
      <c r="F13" s="68">
        <f>IF($N13="","",IF($P13&gt;0,IF(1&lt;=SemanaActual,INDEX('Cronograma Asistente Técnico'!$Y$5:$Y$1000,$N13),""),IF(INDEX('Cronograma Asistente Técnico'!$G$5:$G$1000,$N13)="","",INDEX('Cronograma Asistente Técnico'!$G$5:$G$1000,$N13))))</f>
        <v/>
      </c>
      <c r="G13" s="68">
        <f>IF($N13="","",IF($P13&gt;0,IF(2&lt;=SemanaActual,INDEX('Cronograma Asistente Técnico'!$Z$5:$Z$1000,$N13),""),IF(INDEX('Cronograma Asistente Técnico'!$H$5:$H$1000,$N13)="","",INDEX('Cronograma Asistente Técnico'!$H$5:$H$1000,$N13))))</f>
        <v/>
      </c>
      <c r="H13" s="68">
        <f>IF($N13="","",IF($P13&gt;0,IF(3&lt;=SemanaActual,INDEX('Cronograma Asistente Técnico'!$AA$5:$AA$1000,$N13),""),IF(INDEX('Cronograma Asistente Técnico'!$I$5:$I$1000,$N13)="","",INDEX('Cronograma Asistente Técnico'!$I$5:$I$1000,$N13))))</f>
        <v/>
      </c>
      <c r="I13" s="68">
        <f>IF($N13="","",IF($P13&gt;0,IF(4&lt;=SemanaActual,INDEX('Cronograma Asistente Técnico'!$AB$5:$AB$1000,$N13),""),IF(INDEX('Cronograma Asistente Técnico'!$J$5:$J$1000,$N13)="","",INDEX('Cronograma Asistente Técnico'!$J$5:$J$1000,$N13))))</f>
        <v/>
      </c>
      <c r="J13" s="68">
        <f>IF($N13="","",INDEX('Cronograma Asistente Técnico'!$K$5:$K$1000,$N13))</f>
        <v/>
      </c>
      <c r="K13" s="62">
        <f>IF($N13="","",IF(N($J13)&gt;=1,"Completado",IF(AND(ISNUMBER($D13),$D13&lt;FechaRef),"Vencida",IF(N($J13)&gt;0,"En curso","Pendiente"))))</f>
        <v/>
      </c>
      <c r="L13" s="62">
        <f>IF($N13="","",INDEX('Cronograma Asistente Técnico'!$M$5:$M$1000,$N13)&amp;"")</f>
        <v/>
      </c>
      <c r="M13" s="71">
        <f>IF($N13="","",INDEX('Cronograma Asistente Técnico'!$N$5:$N$1000,$N13)&amp;"")</f>
        <v/>
      </c>
      <c r="N13">
        <f>IFERROR(MATCH(ROW()-4,rOrden_ATR,0),"")</f>
        <v/>
      </c>
      <c r="O13">
        <f>IF($N13="","",INDEX('Cronograma Asistente Técnico'!$S$5:$S$1000,$N13))</f>
        <v/>
      </c>
      <c r="P13">
        <f>IF($N13="","",N(INDEX('Cronograma Asistente Técnico'!$T$5:$T$1000,$N13)))</f>
        <v/>
      </c>
    </row>
    <row r="14">
      <c r="A14" s="62">
        <f>IF($N14="","",INDEX('Cronograma Asistente Técnico'!$A$5:$A$1000,$N14))</f>
        <v/>
      </c>
      <c r="B14" s="71">
        <f>IF($N14="","",IF($O14="Sub","      ↳  "&amp;INDEX('Cronograma Asistente Técnico'!$C$5:$C$1000,$N14),INDEX('Cronograma Asistente Técnico'!$C$5:$C$1000,$N14)&amp;""))</f>
        <v/>
      </c>
      <c r="C14" s="77">
        <f>IF($N14="","",IF(INDEX('Cronograma Asistente Técnico'!$D$5:$D$1000,$N14)="","",INDEX('Cronograma Asistente Técnico'!$D$5:$D$1000,$N14)))</f>
        <v/>
      </c>
      <c r="D14" s="77">
        <f>IF($N14="","",IF(INDEX('Cronograma Asistente Técnico'!$E$5:$E$1000,$N14)="","",INDEX('Cronograma Asistente Técnico'!$E$5:$E$1000,$N14)))</f>
        <v/>
      </c>
      <c r="E14" s="62">
        <f>IF($N14="","",IF(NOT(ISNUMBER($D14)),"",IF($D14&lt;InicioCiclo,"Antes del ciclo",IF($D14&gt;=InicioCiclo+28,"Después del ciclo","Semana "&amp;(INT(($D14-InicioCiclo)/7)+1)))))</f>
        <v/>
      </c>
      <c r="F14" s="68">
        <f>IF($N14="","",IF($P14&gt;0,IF(1&lt;=SemanaActual,INDEX('Cronograma Asistente Técnico'!$Y$5:$Y$1000,$N14),""),IF(INDEX('Cronograma Asistente Técnico'!$G$5:$G$1000,$N14)="","",INDEX('Cronograma Asistente Técnico'!$G$5:$G$1000,$N14))))</f>
        <v/>
      </c>
      <c r="G14" s="68">
        <f>IF($N14="","",IF($P14&gt;0,IF(2&lt;=SemanaActual,INDEX('Cronograma Asistente Técnico'!$Z$5:$Z$1000,$N14),""),IF(INDEX('Cronograma Asistente Técnico'!$H$5:$H$1000,$N14)="","",INDEX('Cronograma Asistente Técnico'!$H$5:$H$1000,$N14))))</f>
        <v/>
      </c>
      <c r="H14" s="68">
        <f>IF($N14="","",IF($P14&gt;0,IF(3&lt;=SemanaActual,INDEX('Cronograma Asistente Técnico'!$AA$5:$AA$1000,$N14),""),IF(INDEX('Cronograma Asistente Técnico'!$I$5:$I$1000,$N14)="","",INDEX('Cronograma Asistente Técnico'!$I$5:$I$1000,$N14))))</f>
        <v/>
      </c>
      <c r="I14" s="68">
        <f>IF($N14="","",IF($P14&gt;0,IF(4&lt;=SemanaActual,INDEX('Cronograma Asistente Técnico'!$AB$5:$AB$1000,$N14),""),IF(INDEX('Cronograma Asistente Técnico'!$J$5:$J$1000,$N14)="","",INDEX('Cronograma Asistente Técnico'!$J$5:$J$1000,$N14))))</f>
        <v/>
      </c>
      <c r="J14" s="68">
        <f>IF($N14="","",INDEX('Cronograma Asistente Técnico'!$K$5:$K$1000,$N14))</f>
        <v/>
      </c>
      <c r="K14" s="62">
        <f>IF($N14="","",IF(N($J14)&gt;=1,"Completado",IF(AND(ISNUMBER($D14),$D14&lt;FechaRef),"Vencida",IF(N($J14)&gt;0,"En curso","Pendiente"))))</f>
        <v/>
      </c>
      <c r="L14" s="62">
        <f>IF($N14="","",INDEX('Cronograma Asistente Técnico'!$M$5:$M$1000,$N14)&amp;"")</f>
        <v/>
      </c>
      <c r="M14" s="71">
        <f>IF($N14="","",INDEX('Cronograma Asistente Técnico'!$N$5:$N$1000,$N14)&amp;"")</f>
        <v/>
      </c>
      <c r="N14">
        <f>IFERROR(MATCH(ROW()-4,rOrden_ATR,0),"")</f>
        <v/>
      </c>
      <c r="O14">
        <f>IF($N14="","",INDEX('Cronograma Asistente Técnico'!$S$5:$S$1000,$N14))</f>
        <v/>
      </c>
      <c r="P14">
        <f>IF($N14="","",N(INDEX('Cronograma Asistente Técnico'!$T$5:$T$1000,$N14)))</f>
        <v/>
      </c>
    </row>
    <row r="15">
      <c r="A15" s="62">
        <f>IF($N15="","",INDEX('Cronograma Asistente Técnico'!$A$5:$A$1000,$N15))</f>
        <v/>
      </c>
      <c r="B15" s="71">
        <f>IF($N15="","",IF($O15="Sub","      ↳  "&amp;INDEX('Cronograma Asistente Técnico'!$C$5:$C$1000,$N15),INDEX('Cronograma Asistente Técnico'!$C$5:$C$1000,$N15)&amp;""))</f>
        <v/>
      </c>
      <c r="C15" s="77">
        <f>IF($N15="","",IF(INDEX('Cronograma Asistente Técnico'!$D$5:$D$1000,$N15)="","",INDEX('Cronograma Asistente Técnico'!$D$5:$D$1000,$N15)))</f>
        <v/>
      </c>
      <c r="D15" s="77">
        <f>IF($N15="","",IF(INDEX('Cronograma Asistente Técnico'!$E$5:$E$1000,$N15)="","",INDEX('Cronograma Asistente Técnico'!$E$5:$E$1000,$N15)))</f>
        <v/>
      </c>
      <c r="E15" s="62">
        <f>IF($N15="","",IF(NOT(ISNUMBER($D15)),"",IF($D15&lt;InicioCiclo,"Antes del ciclo",IF($D15&gt;=InicioCiclo+28,"Después del ciclo","Semana "&amp;(INT(($D15-InicioCiclo)/7)+1)))))</f>
        <v/>
      </c>
      <c r="F15" s="68">
        <f>IF($N15="","",IF($P15&gt;0,IF(1&lt;=SemanaActual,INDEX('Cronograma Asistente Técnico'!$Y$5:$Y$1000,$N15),""),IF(INDEX('Cronograma Asistente Técnico'!$G$5:$G$1000,$N15)="","",INDEX('Cronograma Asistente Técnico'!$G$5:$G$1000,$N15))))</f>
        <v/>
      </c>
      <c r="G15" s="68">
        <f>IF($N15="","",IF($P15&gt;0,IF(2&lt;=SemanaActual,INDEX('Cronograma Asistente Técnico'!$Z$5:$Z$1000,$N15),""),IF(INDEX('Cronograma Asistente Técnico'!$H$5:$H$1000,$N15)="","",INDEX('Cronograma Asistente Técnico'!$H$5:$H$1000,$N15))))</f>
        <v/>
      </c>
      <c r="H15" s="68">
        <f>IF($N15="","",IF($P15&gt;0,IF(3&lt;=SemanaActual,INDEX('Cronograma Asistente Técnico'!$AA$5:$AA$1000,$N15),""),IF(INDEX('Cronograma Asistente Técnico'!$I$5:$I$1000,$N15)="","",INDEX('Cronograma Asistente Técnico'!$I$5:$I$1000,$N15))))</f>
        <v/>
      </c>
      <c r="I15" s="68">
        <f>IF($N15="","",IF($P15&gt;0,IF(4&lt;=SemanaActual,INDEX('Cronograma Asistente Técnico'!$AB$5:$AB$1000,$N15),""),IF(INDEX('Cronograma Asistente Técnico'!$J$5:$J$1000,$N15)="","",INDEX('Cronograma Asistente Técnico'!$J$5:$J$1000,$N15))))</f>
        <v/>
      </c>
      <c r="J15" s="68">
        <f>IF($N15="","",INDEX('Cronograma Asistente Técnico'!$K$5:$K$1000,$N15))</f>
        <v/>
      </c>
      <c r="K15" s="62">
        <f>IF($N15="","",IF(N($J15)&gt;=1,"Completado",IF(AND(ISNUMBER($D15),$D15&lt;FechaRef),"Vencida",IF(N($J15)&gt;0,"En curso","Pendiente"))))</f>
        <v/>
      </c>
      <c r="L15" s="62">
        <f>IF($N15="","",INDEX('Cronograma Asistente Técnico'!$M$5:$M$1000,$N15)&amp;"")</f>
        <v/>
      </c>
      <c r="M15" s="71">
        <f>IF($N15="","",INDEX('Cronograma Asistente Técnico'!$N$5:$N$1000,$N15)&amp;"")</f>
        <v/>
      </c>
      <c r="N15">
        <f>IFERROR(MATCH(ROW()-4,rOrden_ATR,0),"")</f>
        <v/>
      </c>
      <c r="O15">
        <f>IF($N15="","",INDEX('Cronograma Asistente Técnico'!$S$5:$S$1000,$N15))</f>
        <v/>
      </c>
      <c r="P15">
        <f>IF($N15="","",N(INDEX('Cronograma Asistente Técnico'!$T$5:$T$1000,$N15)))</f>
        <v/>
      </c>
    </row>
    <row r="16">
      <c r="A16" s="62">
        <f>IF($N16="","",INDEX('Cronograma Asistente Técnico'!$A$5:$A$1000,$N16))</f>
        <v/>
      </c>
      <c r="B16" s="71">
        <f>IF($N16="","",IF($O16="Sub","      ↳  "&amp;INDEX('Cronograma Asistente Técnico'!$C$5:$C$1000,$N16),INDEX('Cronograma Asistente Técnico'!$C$5:$C$1000,$N16)&amp;""))</f>
        <v/>
      </c>
      <c r="C16" s="77">
        <f>IF($N16="","",IF(INDEX('Cronograma Asistente Técnico'!$D$5:$D$1000,$N16)="","",INDEX('Cronograma Asistente Técnico'!$D$5:$D$1000,$N16)))</f>
        <v/>
      </c>
      <c r="D16" s="77">
        <f>IF($N16="","",IF(INDEX('Cronograma Asistente Técnico'!$E$5:$E$1000,$N16)="","",INDEX('Cronograma Asistente Técnico'!$E$5:$E$1000,$N16)))</f>
        <v/>
      </c>
      <c r="E16" s="62">
        <f>IF($N16="","",IF(NOT(ISNUMBER($D16)),"",IF($D16&lt;InicioCiclo,"Antes del ciclo",IF($D16&gt;=InicioCiclo+28,"Después del ciclo","Semana "&amp;(INT(($D16-InicioCiclo)/7)+1)))))</f>
        <v/>
      </c>
      <c r="F16" s="68">
        <f>IF($N16="","",IF($P16&gt;0,IF(1&lt;=SemanaActual,INDEX('Cronograma Asistente Técnico'!$Y$5:$Y$1000,$N16),""),IF(INDEX('Cronograma Asistente Técnico'!$G$5:$G$1000,$N16)="","",INDEX('Cronograma Asistente Técnico'!$G$5:$G$1000,$N16))))</f>
        <v/>
      </c>
      <c r="G16" s="68">
        <f>IF($N16="","",IF($P16&gt;0,IF(2&lt;=SemanaActual,INDEX('Cronograma Asistente Técnico'!$Z$5:$Z$1000,$N16),""),IF(INDEX('Cronograma Asistente Técnico'!$H$5:$H$1000,$N16)="","",INDEX('Cronograma Asistente Técnico'!$H$5:$H$1000,$N16))))</f>
        <v/>
      </c>
      <c r="H16" s="68">
        <f>IF($N16="","",IF($P16&gt;0,IF(3&lt;=SemanaActual,INDEX('Cronograma Asistente Técnico'!$AA$5:$AA$1000,$N16),""),IF(INDEX('Cronograma Asistente Técnico'!$I$5:$I$1000,$N16)="","",INDEX('Cronograma Asistente Técnico'!$I$5:$I$1000,$N16))))</f>
        <v/>
      </c>
      <c r="I16" s="68">
        <f>IF($N16="","",IF($P16&gt;0,IF(4&lt;=SemanaActual,INDEX('Cronograma Asistente Técnico'!$AB$5:$AB$1000,$N16),""),IF(INDEX('Cronograma Asistente Técnico'!$J$5:$J$1000,$N16)="","",INDEX('Cronograma Asistente Técnico'!$J$5:$J$1000,$N16))))</f>
        <v/>
      </c>
      <c r="J16" s="68">
        <f>IF($N16="","",INDEX('Cronograma Asistente Técnico'!$K$5:$K$1000,$N16))</f>
        <v/>
      </c>
      <c r="K16" s="62">
        <f>IF($N16="","",IF(N($J16)&gt;=1,"Completado",IF(AND(ISNUMBER($D16),$D16&lt;FechaRef),"Vencida",IF(N($J16)&gt;0,"En curso","Pendiente"))))</f>
        <v/>
      </c>
      <c r="L16" s="62">
        <f>IF($N16="","",INDEX('Cronograma Asistente Técnico'!$M$5:$M$1000,$N16)&amp;"")</f>
        <v/>
      </c>
      <c r="M16" s="71">
        <f>IF($N16="","",INDEX('Cronograma Asistente Técnico'!$N$5:$N$1000,$N16)&amp;"")</f>
        <v/>
      </c>
      <c r="N16">
        <f>IFERROR(MATCH(ROW()-4,rOrden_ATR,0),"")</f>
        <v/>
      </c>
      <c r="O16">
        <f>IF($N16="","",INDEX('Cronograma Asistente Técnico'!$S$5:$S$1000,$N16))</f>
        <v/>
      </c>
      <c r="P16">
        <f>IF($N16="","",N(INDEX('Cronograma Asistente Técnico'!$T$5:$T$1000,$N16)))</f>
        <v/>
      </c>
    </row>
    <row r="17">
      <c r="A17" s="62">
        <f>IF($N17="","",INDEX('Cronograma Asistente Técnico'!$A$5:$A$1000,$N17))</f>
        <v/>
      </c>
      <c r="B17" s="71">
        <f>IF($N17="","",IF($O17="Sub","      ↳  "&amp;INDEX('Cronograma Asistente Técnico'!$C$5:$C$1000,$N17),INDEX('Cronograma Asistente Técnico'!$C$5:$C$1000,$N17)&amp;""))</f>
        <v/>
      </c>
      <c r="C17" s="77">
        <f>IF($N17="","",IF(INDEX('Cronograma Asistente Técnico'!$D$5:$D$1000,$N17)="","",INDEX('Cronograma Asistente Técnico'!$D$5:$D$1000,$N17)))</f>
        <v/>
      </c>
      <c r="D17" s="77">
        <f>IF($N17="","",IF(INDEX('Cronograma Asistente Técnico'!$E$5:$E$1000,$N17)="","",INDEX('Cronograma Asistente Técnico'!$E$5:$E$1000,$N17)))</f>
        <v/>
      </c>
      <c r="E17" s="62">
        <f>IF($N17="","",IF(NOT(ISNUMBER($D17)),"",IF($D17&lt;InicioCiclo,"Antes del ciclo",IF($D17&gt;=InicioCiclo+28,"Después del ciclo","Semana "&amp;(INT(($D17-InicioCiclo)/7)+1)))))</f>
        <v/>
      </c>
      <c r="F17" s="68">
        <f>IF($N17="","",IF($P17&gt;0,IF(1&lt;=SemanaActual,INDEX('Cronograma Asistente Técnico'!$Y$5:$Y$1000,$N17),""),IF(INDEX('Cronograma Asistente Técnico'!$G$5:$G$1000,$N17)="","",INDEX('Cronograma Asistente Técnico'!$G$5:$G$1000,$N17))))</f>
        <v/>
      </c>
      <c r="G17" s="68">
        <f>IF($N17="","",IF($P17&gt;0,IF(2&lt;=SemanaActual,INDEX('Cronograma Asistente Técnico'!$Z$5:$Z$1000,$N17),""),IF(INDEX('Cronograma Asistente Técnico'!$H$5:$H$1000,$N17)="","",INDEX('Cronograma Asistente Técnico'!$H$5:$H$1000,$N17))))</f>
        <v/>
      </c>
      <c r="H17" s="68">
        <f>IF($N17="","",IF($P17&gt;0,IF(3&lt;=SemanaActual,INDEX('Cronograma Asistente Técnico'!$AA$5:$AA$1000,$N17),""),IF(INDEX('Cronograma Asistente Técnico'!$I$5:$I$1000,$N17)="","",INDEX('Cronograma Asistente Técnico'!$I$5:$I$1000,$N17))))</f>
        <v/>
      </c>
      <c r="I17" s="68">
        <f>IF($N17="","",IF($P17&gt;0,IF(4&lt;=SemanaActual,INDEX('Cronograma Asistente Técnico'!$AB$5:$AB$1000,$N17),""),IF(INDEX('Cronograma Asistente Técnico'!$J$5:$J$1000,$N17)="","",INDEX('Cronograma Asistente Técnico'!$J$5:$J$1000,$N17))))</f>
        <v/>
      </c>
      <c r="J17" s="68">
        <f>IF($N17="","",INDEX('Cronograma Asistente Técnico'!$K$5:$K$1000,$N17))</f>
        <v/>
      </c>
      <c r="K17" s="62">
        <f>IF($N17="","",IF(N($J17)&gt;=1,"Completado",IF(AND(ISNUMBER($D17),$D17&lt;FechaRef),"Vencida",IF(N($J17)&gt;0,"En curso","Pendiente"))))</f>
        <v/>
      </c>
      <c r="L17" s="62">
        <f>IF($N17="","",INDEX('Cronograma Asistente Técnico'!$M$5:$M$1000,$N17)&amp;"")</f>
        <v/>
      </c>
      <c r="M17" s="71">
        <f>IF($N17="","",INDEX('Cronograma Asistente Técnico'!$N$5:$N$1000,$N17)&amp;"")</f>
        <v/>
      </c>
      <c r="N17">
        <f>IFERROR(MATCH(ROW()-4,rOrden_ATR,0),"")</f>
        <v/>
      </c>
      <c r="O17">
        <f>IF($N17="","",INDEX('Cronograma Asistente Técnico'!$S$5:$S$1000,$N17))</f>
        <v/>
      </c>
      <c r="P17">
        <f>IF($N17="","",N(INDEX('Cronograma Asistente Técnico'!$T$5:$T$1000,$N17)))</f>
        <v/>
      </c>
    </row>
    <row r="18">
      <c r="A18" s="62">
        <f>IF($N18="","",INDEX('Cronograma Asistente Técnico'!$A$5:$A$1000,$N18))</f>
        <v/>
      </c>
      <c r="B18" s="71">
        <f>IF($N18="","",IF($O18="Sub","      ↳  "&amp;INDEX('Cronograma Asistente Técnico'!$C$5:$C$1000,$N18),INDEX('Cronograma Asistente Técnico'!$C$5:$C$1000,$N18)&amp;""))</f>
        <v/>
      </c>
      <c r="C18" s="77">
        <f>IF($N18="","",IF(INDEX('Cronograma Asistente Técnico'!$D$5:$D$1000,$N18)="","",INDEX('Cronograma Asistente Técnico'!$D$5:$D$1000,$N18)))</f>
        <v/>
      </c>
      <c r="D18" s="77">
        <f>IF($N18="","",IF(INDEX('Cronograma Asistente Técnico'!$E$5:$E$1000,$N18)="","",INDEX('Cronograma Asistente Técnico'!$E$5:$E$1000,$N18)))</f>
        <v/>
      </c>
      <c r="E18" s="62">
        <f>IF($N18="","",IF(NOT(ISNUMBER($D18)),"",IF($D18&lt;InicioCiclo,"Antes del ciclo",IF($D18&gt;=InicioCiclo+28,"Después del ciclo","Semana "&amp;(INT(($D18-InicioCiclo)/7)+1)))))</f>
        <v/>
      </c>
      <c r="F18" s="68">
        <f>IF($N18="","",IF($P18&gt;0,IF(1&lt;=SemanaActual,INDEX('Cronograma Asistente Técnico'!$Y$5:$Y$1000,$N18),""),IF(INDEX('Cronograma Asistente Técnico'!$G$5:$G$1000,$N18)="","",INDEX('Cronograma Asistente Técnico'!$G$5:$G$1000,$N18))))</f>
        <v/>
      </c>
      <c r="G18" s="68">
        <f>IF($N18="","",IF($P18&gt;0,IF(2&lt;=SemanaActual,INDEX('Cronograma Asistente Técnico'!$Z$5:$Z$1000,$N18),""),IF(INDEX('Cronograma Asistente Técnico'!$H$5:$H$1000,$N18)="","",INDEX('Cronograma Asistente Técnico'!$H$5:$H$1000,$N18))))</f>
        <v/>
      </c>
      <c r="H18" s="68">
        <f>IF($N18="","",IF($P18&gt;0,IF(3&lt;=SemanaActual,INDEX('Cronograma Asistente Técnico'!$AA$5:$AA$1000,$N18),""),IF(INDEX('Cronograma Asistente Técnico'!$I$5:$I$1000,$N18)="","",INDEX('Cronograma Asistente Técnico'!$I$5:$I$1000,$N18))))</f>
        <v/>
      </c>
      <c r="I18" s="68">
        <f>IF($N18="","",IF($P18&gt;0,IF(4&lt;=SemanaActual,INDEX('Cronograma Asistente Técnico'!$AB$5:$AB$1000,$N18),""),IF(INDEX('Cronograma Asistente Técnico'!$J$5:$J$1000,$N18)="","",INDEX('Cronograma Asistente Técnico'!$J$5:$J$1000,$N18))))</f>
        <v/>
      </c>
      <c r="J18" s="68">
        <f>IF($N18="","",INDEX('Cronograma Asistente Técnico'!$K$5:$K$1000,$N18))</f>
        <v/>
      </c>
      <c r="K18" s="62">
        <f>IF($N18="","",IF(N($J18)&gt;=1,"Completado",IF(AND(ISNUMBER($D18),$D18&lt;FechaRef),"Vencida",IF(N($J18)&gt;0,"En curso","Pendiente"))))</f>
        <v/>
      </c>
      <c r="L18" s="62">
        <f>IF($N18="","",INDEX('Cronograma Asistente Técnico'!$M$5:$M$1000,$N18)&amp;"")</f>
        <v/>
      </c>
      <c r="M18" s="71">
        <f>IF($N18="","",INDEX('Cronograma Asistente Técnico'!$N$5:$N$1000,$N18)&amp;"")</f>
        <v/>
      </c>
      <c r="N18">
        <f>IFERROR(MATCH(ROW()-4,rOrden_ATR,0),"")</f>
        <v/>
      </c>
      <c r="O18">
        <f>IF($N18="","",INDEX('Cronograma Asistente Técnico'!$S$5:$S$1000,$N18))</f>
        <v/>
      </c>
      <c r="P18">
        <f>IF($N18="","",N(INDEX('Cronograma Asistente Técnico'!$T$5:$T$1000,$N18)))</f>
        <v/>
      </c>
    </row>
    <row r="19">
      <c r="A19" s="62">
        <f>IF($N19="","",INDEX('Cronograma Asistente Técnico'!$A$5:$A$1000,$N19))</f>
        <v/>
      </c>
      <c r="B19" s="71">
        <f>IF($N19="","",IF($O19="Sub","      ↳  "&amp;INDEX('Cronograma Asistente Técnico'!$C$5:$C$1000,$N19),INDEX('Cronograma Asistente Técnico'!$C$5:$C$1000,$N19)&amp;""))</f>
        <v/>
      </c>
      <c r="C19" s="77">
        <f>IF($N19="","",IF(INDEX('Cronograma Asistente Técnico'!$D$5:$D$1000,$N19)="","",INDEX('Cronograma Asistente Técnico'!$D$5:$D$1000,$N19)))</f>
        <v/>
      </c>
      <c r="D19" s="77">
        <f>IF($N19="","",IF(INDEX('Cronograma Asistente Técnico'!$E$5:$E$1000,$N19)="","",INDEX('Cronograma Asistente Técnico'!$E$5:$E$1000,$N19)))</f>
        <v/>
      </c>
      <c r="E19" s="62">
        <f>IF($N19="","",IF(NOT(ISNUMBER($D19)),"",IF($D19&lt;InicioCiclo,"Antes del ciclo",IF($D19&gt;=InicioCiclo+28,"Después del ciclo","Semana "&amp;(INT(($D19-InicioCiclo)/7)+1)))))</f>
        <v/>
      </c>
      <c r="F19" s="68">
        <f>IF($N19="","",IF($P19&gt;0,IF(1&lt;=SemanaActual,INDEX('Cronograma Asistente Técnico'!$Y$5:$Y$1000,$N19),""),IF(INDEX('Cronograma Asistente Técnico'!$G$5:$G$1000,$N19)="","",INDEX('Cronograma Asistente Técnico'!$G$5:$G$1000,$N19))))</f>
        <v/>
      </c>
      <c r="G19" s="68">
        <f>IF($N19="","",IF($P19&gt;0,IF(2&lt;=SemanaActual,INDEX('Cronograma Asistente Técnico'!$Z$5:$Z$1000,$N19),""),IF(INDEX('Cronograma Asistente Técnico'!$H$5:$H$1000,$N19)="","",INDEX('Cronograma Asistente Técnico'!$H$5:$H$1000,$N19))))</f>
        <v/>
      </c>
      <c r="H19" s="68">
        <f>IF($N19="","",IF($P19&gt;0,IF(3&lt;=SemanaActual,INDEX('Cronograma Asistente Técnico'!$AA$5:$AA$1000,$N19),""),IF(INDEX('Cronograma Asistente Técnico'!$I$5:$I$1000,$N19)="","",INDEX('Cronograma Asistente Técnico'!$I$5:$I$1000,$N19))))</f>
        <v/>
      </c>
      <c r="I19" s="68">
        <f>IF($N19="","",IF($P19&gt;0,IF(4&lt;=SemanaActual,INDEX('Cronograma Asistente Técnico'!$AB$5:$AB$1000,$N19),""),IF(INDEX('Cronograma Asistente Técnico'!$J$5:$J$1000,$N19)="","",INDEX('Cronograma Asistente Técnico'!$J$5:$J$1000,$N19))))</f>
        <v/>
      </c>
      <c r="J19" s="68">
        <f>IF($N19="","",INDEX('Cronograma Asistente Técnico'!$K$5:$K$1000,$N19))</f>
        <v/>
      </c>
      <c r="K19" s="62">
        <f>IF($N19="","",IF(N($J19)&gt;=1,"Completado",IF(AND(ISNUMBER($D19),$D19&lt;FechaRef),"Vencida",IF(N($J19)&gt;0,"En curso","Pendiente"))))</f>
        <v/>
      </c>
      <c r="L19" s="62">
        <f>IF($N19="","",INDEX('Cronograma Asistente Técnico'!$M$5:$M$1000,$N19)&amp;"")</f>
        <v/>
      </c>
      <c r="M19" s="71">
        <f>IF($N19="","",INDEX('Cronograma Asistente Técnico'!$N$5:$N$1000,$N19)&amp;"")</f>
        <v/>
      </c>
      <c r="N19">
        <f>IFERROR(MATCH(ROW()-4,rOrden_ATR,0),"")</f>
        <v/>
      </c>
      <c r="O19">
        <f>IF($N19="","",INDEX('Cronograma Asistente Técnico'!$S$5:$S$1000,$N19))</f>
        <v/>
      </c>
      <c r="P19">
        <f>IF($N19="","",N(INDEX('Cronograma Asistente Técnico'!$T$5:$T$1000,$N19)))</f>
        <v/>
      </c>
    </row>
    <row r="20">
      <c r="A20" s="62">
        <f>IF($N20="","",INDEX('Cronograma Asistente Técnico'!$A$5:$A$1000,$N20))</f>
        <v/>
      </c>
      <c r="B20" s="71">
        <f>IF($N20="","",IF($O20="Sub","      ↳  "&amp;INDEX('Cronograma Asistente Técnico'!$C$5:$C$1000,$N20),INDEX('Cronograma Asistente Técnico'!$C$5:$C$1000,$N20)&amp;""))</f>
        <v/>
      </c>
      <c r="C20" s="77">
        <f>IF($N20="","",IF(INDEX('Cronograma Asistente Técnico'!$D$5:$D$1000,$N20)="","",INDEX('Cronograma Asistente Técnico'!$D$5:$D$1000,$N20)))</f>
        <v/>
      </c>
      <c r="D20" s="77">
        <f>IF($N20="","",IF(INDEX('Cronograma Asistente Técnico'!$E$5:$E$1000,$N20)="","",INDEX('Cronograma Asistente Técnico'!$E$5:$E$1000,$N20)))</f>
        <v/>
      </c>
      <c r="E20" s="62">
        <f>IF($N20="","",IF(NOT(ISNUMBER($D20)),"",IF($D20&lt;InicioCiclo,"Antes del ciclo",IF($D20&gt;=InicioCiclo+28,"Después del ciclo","Semana "&amp;(INT(($D20-InicioCiclo)/7)+1)))))</f>
        <v/>
      </c>
      <c r="F20" s="68">
        <f>IF($N20="","",IF($P20&gt;0,IF(1&lt;=SemanaActual,INDEX('Cronograma Asistente Técnico'!$Y$5:$Y$1000,$N20),""),IF(INDEX('Cronograma Asistente Técnico'!$G$5:$G$1000,$N20)="","",INDEX('Cronograma Asistente Técnico'!$G$5:$G$1000,$N20))))</f>
        <v/>
      </c>
      <c r="G20" s="68">
        <f>IF($N20="","",IF($P20&gt;0,IF(2&lt;=SemanaActual,INDEX('Cronograma Asistente Técnico'!$Z$5:$Z$1000,$N20),""),IF(INDEX('Cronograma Asistente Técnico'!$H$5:$H$1000,$N20)="","",INDEX('Cronograma Asistente Técnico'!$H$5:$H$1000,$N20))))</f>
        <v/>
      </c>
      <c r="H20" s="68">
        <f>IF($N20="","",IF($P20&gt;0,IF(3&lt;=SemanaActual,INDEX('Cronograma Asistente Técnico'!$AA$5:$AA$1000,$N20),""),IF(INDEX('Cronograma Asistente Técnico'!$I$5:$I$1000,$N20)="","",INDEX('Cronograma Asistente Técnico'!$I$5:$I$1000,$N20))))</f>
        <v/>
      </c>
      <c r="I20" s="68">
        <f>IF($N20="","",IF($P20&gt;0,IF(4&lt;=SemanaActual,INDEX('Cronograma Asistente Técnico'!$AB$5:$AB$1000,$N20),""),IF(INDEX('Cronograma Asistente Técnico'!$J$5:$J$1000,$N20)="","",INDEX('Cronograma Asistente Técnico'!$J$5:$J$1000,$N20))))</f>
        <v/>
      </c>
      <c r="J20" s="68">
        <f>IF($N20="","",INDEX('Cronograma Asistente Técnico'!$K$5:$K$1000,$N20))</f>
        <v/>
      </c>
      <c r="K20" s="62">
        <f>IF($N20="","",IF(N($J20)&gt;=1,"Completado",IF(AND(ISNUMBER($D20),$D20&lt;FechaRef),"Vencida",IF(N($J20)&gt;0,"En curso","Pendiente"))))</f>
        <v/>
      </c>
      <c r="L20" s="62">
        <f>IF($N20="","",INDEX('Cronograma Asistente Técnico'!$M$5:$M$1000,$N20)&amp;"")</f>
        <v/>
      </c>
      <c r="M20" s="71">
        <f>IF($N20="","",INDEX('Cronograma Asistente Técnico'!$N$5:$N$1000,$N20)&amp;"")</f>
        <v/>
      </c>
      <c r="N20">
        <f>IFERROR(MATCH(ROW()-4,rOrden_ATR,0),"")</f>
        <v/>
      </c>
      <c r="O20">
        <f>IF($N20="","",INDEX('Cronograma Asistente Técnico'!$S$5:$S$1000,$N20))</f>
        <v/>
      </c>
      <c r="P20">
        <f>IF($N20="","",N(INDEX('Cronograma Asistente Técnico'!$T$5:$T$1000,$N20)))</f>
        <v/>
      </c>
    </row>
    <row r="21">
      <c r="A21" s="62">
        <f>IF($N21="","",INDEX('Cronograma Asistente Técnico'!$A$5:$A$1000,$N21))</f>
        <v/>
      </c>
      <c r="B21" s="71">
        <f>IF($N21="","",IF($O21="Sub","      ↳  "&amp;INDEX('Cronograma Asistente Técnico'!$C$5:$C$1000,$N21),INDEX('Cronograma Asistente Técnico'!$C$5:$C$1000,$N21)&amp;""))</f>
        <v/>
      </c>
      <c r="C21" s="77">
        <f>IF($N21="","",IF(INDEX('Cronograma Asistente Técnico'!$D$5:$D$1000,$N21)="","",INDEX('Cronograma Asistente Técnico'!$D$5:$D$1000,$N21)))</f>
        <v/>
      </c>
      <c r="D21" s="77">
        <f>IF($N21="","",IF(INDEX('Cronograma Asistente Técnico'!$E$5:$E$1000,$N21)="","",INDEX('Cronograma Asistente Técnico'!$E$5:$E$1000,$N21)))</f>
        <v/>
      </c>
      <c r="E21" s="62">
        <f>IF($N21="","",IF(NOT(ISNUMBER($D21)),"",IF($D21&lt;InicioCiclo,"Antes del ciclo",IF($D21&gt;=InicioCiclo+28,"Después del ciclo","Semana "&amp;(INT(($D21-InicioCiclo)/7)+1)))))</f>
        <v/>
      </c>
      <c r="F21" s="68">
        <f>IF($N21="","",IF($P21&gt;0,IF(1&lt;=SemanaActual,INDEX('Cronograma Asistente Técnico'!$Y$5:$Y$1000,$N21),""),IF(INDEX('Cronograma Asistente Técnico'!$G$5:$G$1000,$N21)="","",INDEX('Cronograma Asistente Técnico'!$G$5:$G$1000,$N21))))</f>
        <v/>
      </c>
      <c r="G21" s="68">
        <f>IF($N21="","",IF($P21&gt;0,IF(2&lt;=SemanaActual,INDEX('Cronograma Asistente Técnico'!$Z$5:$Z$1000,$N21),""),IF(INDEX('Cronograma Asistente Técnico'!$H$5:$H$1000,$N21)="","",INDEX('Cronograma Asistente Técnico'!$H$5:$H$1000,$N21))))</f>
        <v/>
      </c>
      <c r="H21" s="68">
        <f>IF($N21="","",IF($P21&gt;0,IF(3&lt;=SemanaActual,INDEX('Cronograma Asistente Técnico'!$AA$5:$AA$1000,$N21),""),IF(INDEX('Cronograma Asistente Técnico'!$I$5:$I$1000,$N21)="","",INDEX('Cronograma Asistente Técnico'!$I$5:$I$1000,$N21))))</f>
        <v/>
      </c>
      <c r="I21" s="68">
        <f>IF($N21="","",IF($P21&gt;0,IF(4&lt;=SemanaActual,INDEX('Cronograma Asistente Técnico'!$AB$5:$AB$1000,$N21),""),IF(INDEX('Cronograma Asistente Técnico'!$J$5:$J$1000,$N21)="","",INDEX('Cronograma Asistente Técnico'!$J$5:$J$1000,$N21))))</f>
        <v/>
      </c>
      <c r="J21" s="68">
        <f>IF($N21="","",INDEX('Cronograma Asistente Técnico'!$K$5:$K$1000,$N21))</f>
        <v/>
      </c>
      <c r="K21" s="62">
        <f>IF($N21="","",IF(N($J21)&gt;=1,"Completado",IF(AND(ISNUMBER($D21),$D21&lt;FechaRef),"Vencida",IF(N($J21)&gt;0,"En curso","Pendiente"))))</f>
        <v/>
      </c>
      <c r="L21" s="62">
        <f>IF($N21="","",INDEX('Cronograma Asistente Técnico'!$M$5:$M$1000,$N21)&amp;"")</f>
        <v/>
      </c>
      <c r="M21" s="71">
        <f>IF($N21="","",INDEX('Cronograma Asistente Técnico'!$N$5:$N$1000,$N21)&amp;"")</f>
        <v/>
      </c>
      <c r="N21">
        <f>IFERROR(MATCH(ROW()-4,rOrden_ATR,0),"")</f>
        <v/>
      </c>
      <c r="O21">
        <f>IF($N21="","",INDEX('Cronograma Asistente Técnico'!$S$5:$S$1000,$N21))</f>
        <v/>
      </c>
      <c r="P21">
        <f>IF($N21="","",N(INDEX('Cronograma Asistente Técnico'!$T$5:$T$1000,$N21)))</f>
        <v/>
      </c>
    </row>
    <row r="22">
      <c r="A22" s="62">
        <f>IF($N22="","",INDEX('Cronograma Asistente Técnico'!$A$5:$A$1000,$N22))</f>
        <v/>
      </c>
      <c r="B22" s="71">
        <f>IF($N22="","",IF($O22="Sub","      ↳  "&amp;INDEX('Cronograma Asistente Técnico'!$C$5:$C$1000,$N22),INDEX('Cronograma Asistente Técnico'!$C$5:$C$1000,$N22)&amp;""))</f>
        <v/>
      </c>
      <c r="C22" s="77">
        <f>IF($N22="","",IF(INDEX('Cronograma Asistente Técnico'!$D$5:$D$1000,$N22)="","",INDEX('Cronograma Asistente Técnico'!$D$5:$D$1000,$N22)))</f>
        <v/>
      </c>
      <c r="D22" s="77">
        <f>IF($N22="","",IF(INDEX('Cronograma Asistente Técnico'!$E$5:$E$1000,$N22)="","",INDEX('Cronograma Asistente Técnico'!$E$5:$E$1000,$N22)))</f>
        <v/>
      </c>
      <c r="E22" s="62">
        <f>IF($N22="","",IF(NOT(ISNUMBER($D22)),"",IF($D22&lt;InicioCiclo,"Antes del ciclo",IF($D22&gt;=InicioCiclo+28,"Después del ciclo","Semana "&amp;(INT(($D22-InicioCiclo)/7)+1)))))</f>
        <v/>
      </c>
      <c r="F22" s="68">
        <f>IF($N22="","",IF($P22&gt;0,IF(1&lt;=SemanaActual,INDEX('Cronograma Asistente Técnico'!$Y$5:$Y$1000,$N22),""),IF(INDEX('Cronograma Asistente Técnico'!$G$5:$G$1000,$N22)="","",INDEX('Cronograma Asistente Técnico'!$G$5:$G$1000,$N22))))</f>
        <v/>
      </c>
      <c r="G22" s="68">
        <f>IF($N22="","",IF($P22&gt;0,IF(2&lt;=SemanaActual,INDEX('Cronograma Asistente Técnico'!$Z$5:$Z$1000,$N22),""),IF(INDEX('Cronograma Asistente Técnico'!$H$5:$H$1000,$N22)="","",INDEX('Cronograma Asistente Técnico'!$H$5:$H$1000,$N22))))</f>
        <v/>
      </c>
      <c r="H22" s="68">
        <f>IF($N22="","",IF($P22&gt;0,IF(3&lt;=SemanaActual,INDEX('Cronograma Asistente Técnico'!$AA$5:$AA$1000,$N22),""),IF(INDEX('Cronograma Asistente Técnico'!$I$5:$I$1000,$N22)="","",INDEX('Cronograma Asistente Técnico'!$I$5:$I$1000,$N22))))</f>
        <v/>
      </c>
      <c r="I22" s="68">
        <f>IF($N22="","",IF($P22&gt;0,IF(4&lt;=SemanaActual,INDEX('Cronograma Asistente Técnico'!$AB$5:$AB$1000,$N22),""),IF(INDEX('Cronograma Asistente Técnico'!$J$5:$J$1000,$N22)="","",INDEX('Cronograma Asistente Técnico'!$J$5:$J$1000,$N22))))</f>
        <v/>
      </c>
      <c r="J22" s="68">
        <f>IF($N22="","",INDEX('Cronograma Asistente Técnico'!$K$5:$K$1000,$N22))</f>
        <v/>
      </c>
      <c r="K22" s="62">
        <f>IF($N22="","",IF(N($J22)&gt;=1,"Completado",IF(AND(ISNUMBER($D22),$D22&lt;FechaRef),"Vencida",IF(N($J22)&gt;0,"En curso","Pendiente"))))</f>
        <v/>
      </c>
      <c r="L22" s="62">
        <f>IF($N22="","",INDEX('Cronograma Asistente Técnico'!$M$5:$M$1000,$N22)&amp;"")</f>
        <v/>
      </c>
      <c r="M22" s="71">
        <f>IF($N22="","",INDEX('Cronograma Asistente Técnico'!$N$5:$N$1000,$N22)&amp;"")</f>
        <v/>
      </c>
      <c r="N22">
        <f>IFERROR(MATCH(ROW()-4,rOrden_ATR,0),"")</f>
        <v/>
      </c>
      <c r="O22">
        <f>IF($N22="","",INDEX('Cronograma Asistente Técnico'!$S$5:$S$1000,$N22))</f>
        <v/>
      </c>
      <c r="P22">
        <f>IF($N22="","",N(INDEX('Cronograma Asistente Técnico'!$T$5:$T$1000,$N22)))</f>
        <v/>
      </c>
    </row>
    <row r="23">
      <c r="A23" s="62">
        <f>IF($N23="","",INDEX('Cronograma Asistente Técnico'!$A$5:$A$1000,$N23))</f>
        <v/>
      </c>
      <c r="B23" s="71">
        <f>IF($N23="","",IF($O23="Sub","      ↳  "&amp;INDEX('Cronograma Asistente Técnico'!$C$5:$C$1000,$N23),INDEX('Cronograma Asistente Técnico'!$C$5:$C$1000,$N23)&amp;""))</f>
        <v/>
      </c>
      <c r="C23" s="77">
        <f>IF($N23="","",IF(INDEX('Cronograma Asistente Técnico'!$D$5:$D$1000,$N23)="","",INDEX('Cronograma Asistente Técnico'!$D$5:$D$1000,$N23)))</f>
        <v/>
      </c>
      <c r="D23" s="77">
        <f>IF($N23="","",IF(INDEX('Cronograma Asistente Técnico'!$E$5:$E$1000,$N23)="","",INDEX('Cronograma Asistente Técnico'!$E$5:$E$1000,$N23)))</f>
        <v/>
      </c>
      <c r="E23" s="62">
        <f>IF($N23="","",IF(NOT(ISNUMBER($D23)),"",IF($D23&lt;InicioCiclo,"Antes del ciclo",IF($D23&gt;=InicioCiclo+28,"Después del ciclo","Semana "&amp;(INT(($D23-InicioCiclo)/7)+1)))))</f>
        <v/>
      </c>
      <c r="F23" s="68">
        <f>IF($N23="","",IF($P23&gt;0,IF(1&lt;=SemanaActual,INDEX('Cronograma Asistente Técnico'!$Y$5:$Y$1000,$N23),""),IF(INDEX('Cronograma Asistente Técnico'!$G$5:$G$1000,$N23)="","",INDEX('Cronograma Asistente Técnico'!$G$5:$G$1000,$N23))))</f>
        <v/>
      </c>
      <c r="G23" s="68">
        <f>IF($N23="","",IF($P23&gt;0,IF(2&lt;=SemanaActual,INDEX('Cronograma Asistente Técnico'!$Z$5:$Z$1000,$N23),""),IF(INDEX('Cronograma Asistente Técnico'!$H$5:$H$1000,$N23)="","",INDEX('Cronograma Asistente Técnico'!$H$5:$H$1000,$N23))))</f>
        <v/>
      </c>
      <c r="H23" s="68">
        <f>IF($N23="","",IF($P23&gt;0,IF(3&lt;=SemanaActual,INDEX('Cronograma Asistente Técnico'!$AA$5:$AA$1000,$N23),""),IF(INDEX('Cronograma Asistente Técnico'!$I$5:$I$1000,$N23)="","",INDEX('Cronograma Asistente Técnico'!$I$5:$I$1000,$N23))))</f>
        <v/>
      </c>
      <c r="I23" s="68">
        <f>IF($N23="","",IF($P23&gt;0,IF(4&lt;=SemanaActual,INDEX('Cronograma Asistente Técnico'!$AB$5:$AB$1000,$N23),""),IF(INDEX('Cronograma Asistente Técnico'!$J$5:$J$1000,$N23)="","",INDEX('Cronograma Asistente Técnico'!$J$5:$J$1000,$N23))))</f>
        <v/>
      </c>
      <c r="J23" s="68">
        <f>IF($N23="","",INDEX('Cronograma Asistente Técnico'!$K$5:$K$1000,$N23))</f>
        <v/>
      </c>
      <c r="K23" s="62">
        <f>IF($N23="","",IF(N($J23)&gt;=1,"Completado",IF(AND(ISNUMBER($D23),$D23&lt;FechaRef),"Vencida",IF(N($J23)&gt;0,"En curso","Pendiente"))))</f>
        <v/>
      </c>
      <c r="L23" s="62">
        <f>IF($N23="","",INDEX('Cronograma Asistente Técnico'!$M$5:$M$1000,$N23)&amp;"")</f>
        <v/>
      </c>
      <c r="M23" s="71">
        <f>IF($N23="","",INDEX('Cronograma Asistente Técnico'!$N$5:$N$1000,$N23)&amp;"")</f>
        <v/>
      </c>
      <c r="N23">
        <f>IFERROR(MATCH(ROW()-4,rOrden_ATR,0),"")</f>
        <v/>
      </c>
      <c r="O23">
        <f>IF($N23="","",INDEX('Cronograma Asistente Técnico'!$S$5:$S$1000,$N23))</f>
        <v/>
      </c>
      <c r="P23">
        <f>IF($N23="","",N(INDEX('Cronograma Asistente Técnico'!$T$5:$T$1000,$N23)))</f>
        <v/>
      </c>
    </row>
    <row r="24">
      <c r="A24" s="62">
        <f>IF($N24="","",INDEX('Cronograma Asistente Técnico'!$A$5:$A$1000,$N24))</f>
        <v/>
      </c>
      <c r="B24" s="71">
        <f>IF($N24="","",IF($O24="Sub","      ↳  "&amp;INDEX('Cronograma Asistente Técnico'!$C$5:$C$1000,$N24),INDEX('Cronograma Asistente Técnico'!$C$5:$C$1000,$N24)&amp;""))</f>
        <v/>
      </c>
      <c r="C24" s="77">
        <f>IF($N24="","",IF(INDEX('Cronograma Asistente Técnico'!$D$5:$D$1000,$N24)="","",INDEX('Cronograma Asistente Técnico'!$D$5:$D$1000,$N24)))</f>
        <v/>
      </c>
      <c r="D24" s="77">
        <f>IF($N24="","",IF(INDEX('Cronograma Asistente Técnico'!$E$5:$E$1000,$N24)="","",INDEX('Cronograma Asistente Técnico'!$E$5:$E$1000,$N24)))</f>
        <v/>
      </c>
      <c r="E24" s="62">
        <f>IF($N24="","",IF(NOT(ISNUMBER($D24)),"",IF($D24&lt;InicioCiclo,"Antes del ciclo",IF($D24&gt;=InicioCiclo+28,"Después del ciclo","Semana "&amp;(INT(($D24-InicioCiclo)/7)+1)))))</f>
        <v/>
      </c>
      <c r="F24" s="68">
        <f>IF($N24="","",IF($P24&gt;0,IF(1&lt;=SemanaActual,INDEX('Cronograma Asistente Técnico'!$Y$5:$Y$1000,$N24),""),IF(INDEX('Cronograma Asistente Técnico'!$G$5:$G$1000,$N24)="","",INDEX('Cronograma Asistente Técnico'!$G$5:$G$1000,$N24))))</f>
        <v/>
      </c>
      <c r="G24" s="68">
        <f>IF($N24="","",IF($P24&gt;0,IF(2&lt;=SemanaActual,INDEX('Cronograma Asistente Técnico'!$Z$5:$Z$1000,$N24),""),IF(INDEX('Cronograma Asistente Técnico'!$H$5:$H$1000,$N24)="","",INDEX('Cronograma Asistente Técnico'!$H$5:$H$1000,$N24))))</f>
        <v/>
      </c>
      <c r="H24" s="68">
        <f>IF($N24="","",IF($P24&gt;0,IF(3&lt;=SemanaActual,INDEX('Cronograma Asistente Técnico'!$AA$5:$AA$1000,$N24),""),IF(INDEX('Cronograma Asistente Técnico'!$I$5:$I$1000,$N24)="","",INDEX('Cronograma Asistente Técnico'!$I$5:$I$1000,$N24))))</f>
        <v/>
      </c>
      <c r="I24" s="68">
        <f>IF($N24="","",IF($P24&gt;0,IF(4&lt;=SemanaActual,INDEX('Cronograma Asistente Técnico'!$AB$5:$AB$1000,$N24),""),IF(INDEX('Cronograma Asistente Técnico'!$J$5:$J$1000,$N24)="","",INDEX('Cronograma Asistente Técnico'!$J$5:$J$1000,$N24))))</f>
        <v/>
      </c>
      <c r="J24" s="68">
        <f>IF($N24="","",INDEX('Cronograma Asistente Técnico'!$K$5:$K$1000,$N24))</f>
        <v/>
      </c>
      <c r="K24" s="62">
        <f>IF($N24="","",IF(N($J24)&gt;=1,"Completado",IF(AND(ISNUMBER($D24),$D24&lt;FechaRef),"Vencida",IF(N($J24)&gt;0,"En curso","Pendiente"))))</f>
        <v/>
      </c>
      <c r="L24" s="62">
        <f>IF($N24="","",INDEX('Cronograma Asistente Técnico'!$M$5:$M$1000,$N24)&amp;"")</f>
        <v/>
      </c>
      <c r="M24" s="71">
        <f>IF($N24="","",INDEX('Cronograma Asistente Técnico'!$N$5:$N$1000,$N24)&amp;"")</f>
        <v/>
      </c>
      <c r="N24">
        <f>IFERROR(MATCH(ROW()-4,rOrden_ATR,0),"")</f>
        <v/>
      </c>
      <c r="O24">
        <f>IF($N24="","",INDEX('Cronograma Asistente Técnico'!$S$5:$S$1000,$N24))</f>
        <v/>
      </c>
      <c r="P24">
        <f>IF($N24="","",N(INDEX('Cronograma Asistente Técnico'!$T$5:$T$1000,$N24)))</f>
        <v/>
      </c>
    </row>
    <row r="25">
      <c r="A25" s="62">
        <f>IF($N25="","",INDEX('Cronograma Asistente Técnico'!$A$5:$A$1000,$N25))</f>
        <v/>
      </c>
      <c r="B25" s="71">
        <f>IF($N25="","",IF($O25="Sub","      ↳  "&amp;INDEX('Cronograma Asistente Técnico'!$C$5:$C$1000,$N25),INDEX('Cronograma Asistente Técnico'!$C$5:$C$1000,$N25)&amp;""))</f>
        <v/>
      </c>
      <c r="C25" s="77">
        <f>IF($N25="","",IF(INDEX('Cronograma Asistente Técnico'!$D$5:$D$1000,$N25)="","",INDEX('Cronograma Asistente Técnico'!$D$5:$D$1000,$N25)))</f>
        <v/>
      </c>
      <c r="D25" s="77">
        <f>IF($N25="","",IF(INDEX('Cronograma Asistente Técnico'!$E$5:$E$1000,$N25)="","",INDEX('Cronograma Asistente Técnico'!$E$5:$E$1000,$N25)))</f>
        <v/>
      </c>
      <c r="E25" s="62">
        <f>IF($N25="","",IF(NOT(ISNUMBER($D25)),"",IF($D25&lt;InicioCiclo,"Antes del ciclo",IF($D25&gt;=InicioCiclo+28,"Después del ciclo","Semana "&amp;(INT(($D25-InicioCiclo)/7)+1)))))</f>
        <v/>
      </c>
      <c r="F25" s="68">
        <f>IF($N25="","",IF($P25&gt;0,IF(1&lt;=SemanaActual,INDEX('Cronograma Asistente Técnico'!$Y$5:$Y$1000,$N25),""),IF(INDEX('Cronograma Asistente Técnico'!$G$5:$G$1000,$N25)="","",INDEX('Cronograma Asistente Técnico'!$G$5:$G$1000,$N25))))</f>
        <v/>
      </c>
      <c r="G25" s="68">
        <f>IF($N25="","",IF($P25&gt;0,IF(2&lt;=SemanaActual,INDEX('Cronograma Asistente Técnico'!$Z$5:$Z$1000,$N25),""),IF(INDEX('Cronograma Asistente Técnico'!$H$5:$H$1000,$N25)="","",INDEX('Cronograma Asistente Técnico'!$H$5:$H$1000,$N25))))</f>
        <v/>
      </c>
      <c r="H25" s="68">
        <f>IF($N25="","",IF($P25&gt;0,IF(3&lt;=SemanaActual,INDEX('Cronograma Asistente Técnico'!$AA$5:$AA$1000,$N25),""),IF(INDEX('Cronograma Asistente Técnico'!$I$5:$I$1000,$N25)="","",INDEX('Cronograma Asistente Técnico'!$I$5:$I$1000,$N25))))</f>
        <v/>
      </c>
      <c r="I25" s="68">
        <f>IF($N25="","",IF($P25&gt;0,IF(4&lt;=SemanaActual,INDEX('Cronograma Asistente Técnico'!$AB$5:$AB$1000,$N25),""),IF(INDEX('Cronograma Asistente Técnico'!$J$5:$J$1000,$N25)="","",INDEX('Cronograma Asistente Técnico'!$J$5:$J$1000,$N25))))</f>
        <v/>
      </c>
      <c r="J25" s="68">
        <f>IF($N25="","",INDEX('Cronograma Asistente Técnico'!$K$5:$K$1000,$N25))</f>
        <v/>
      </c>
      <c r="K25" s="62">
        <f>IF($N25="","",IF(N($J25)&gt;=1,"Completado",IF(AND(ISNUMBER($D25),$D25&lt;FechaRef),"Vencida",IF(N($J25)&gt;0,"En curso","Pendiente"))))</f>
        <v/>
      </c>
      <c r="L25" s="62">
        <f>IF($N25="","",INDEX('Cronograma Asistente Técnico'!$M$5:$M$1000,$N25)&amp;"")</f>
        <v/>
      </c>
      <c r="M25" s="71">
        <f>IF($N25="","",INDEX('Cronograma Asistente Técnico'!$N$5:$N$1000,$N25)&amp;"")</f>
        <v/>
      </c>
      <c r="N25">
        <f>IFERROR(MATCH(ROW()-4,rOrden_ATR,0),"")</f>
        <v/>
      </c>
      <c r="O25">
        <f>IF($N25="","",INDEX('Cronograma Asistente Técnico'!$S$5:$S$1000,$N25))</f>
        <v/>
      </c>
      <c r="P25">
        <f>IF($N25="","",N(INDEX('Cronograma Asistente Técnico'!$T$5:$T$1000,$N25)))</f>
        <v/>
      </c>
    </row>
    <row r="26">
      <c r="A26" s="62">
        <f>IF($N26="","",INDEX('Cronograma Asistente Técnico'!$A$5:$A$1000,$N26))</f>
        <v/>
      </c>
      <c r="B26" s="71">
        <f>IF($N26="","",IF($O26="Sub","      ↳  "&amp;INDEX('Cronograma Asistente Técnico'!$C$5:$C$1000,$N26),INDEX('Cronograma Asistente Técnico'!$C$5:$C$1000,$N26)&amp;""))</f>
        <v/>
      </c>
      <c r="C26" s="77">
        <f>IF($N26="","",IF(INDEX('Cronograma Asistente Técnico'!$D$5:$D$1000,$N26)="","",INDEX('Cronograma Asistente Técnico'!$D$5:$D$1000,$N26)))</f>
        <v/>
      </c>
      <c r="D26" s="77">
        <f>IF($N26="","",IF(INDEX('Cronograma Asistente Técnico'!$E$5:$E$1000,$N26)="","",INDEX('Cronograma Asistente Técnico'!$E$5:$E$1000,$N26)))</f>
        <v/>
      </c>
      <c r="E26" s="62">
        <f>IF($N26="","",IF(NOT(ISNUMBER($D26)),"",IF($D26&lt;InicioCiclo,"Antes del ciclo",IF($D26&gt;=InicioCiclo+28,"Después del ciclo","Semana "&amp;(INT(($D26-InicioCiclo)/7)+1)))))</f>
        <v/>
      </c>
      <c r="F26" s="68">
        <f>IF($N26="","",IF($P26&gt;0,IF(1&lt;=SemanaActual,INDEX('Cronograma Asistente Técnico'!$Y$5:$Y$1000,$N26),""),IF(INDEX('Cronograma Asistente Técnico'!$G$5:$G$1000,$N26)="","",INDEX('Cronograma Asistente Técnico'!$G$5:$G$1000,$N26))))</f>
        <v/>
      </c>
      <c r="G26" s="68">
        <f>IF($N26="","",IF($P26&gt;0,IF(2&lt;=SemanaActual,INDEX('Cronograma Asistente Técnico'!$Z$5:$Z$1000,$N26),""),IF(INDEX('Cronograma Asistente Técnico'!$H$5:$H$1000,$N26)="","",INDEX('Cronograma Asistente Técnico'!$H$5:$H$1000,$N26))))</f>
        <v/>
      </c>
      <c r="H26" s="68">
        <f>IF($N26="","",IF($P26&gt;0,IF(3&lt;=SemanaActual,INDEX('Cronograma Asistente Técnico'!$AA$5:$AA$1000,$N26),""),IF(INDEX('Cronograma Asistente Técnico'!$I$5:$I$1000,$N26)="","",INDEX('Cronograma Asistente Técnico'!$I$5:$I$1000,$N26))))</f>
        <v/>
      </c>
      <c r="I26" s="68">
        <f>IF($N26="","",IF($P26&gt;0,IF(4&lt;=SemanaActual,INDEX('Cronograma Asistente Técnico'!$AB$5:$AB$1000,$N26),""),IF(INDEX('Cronograma Asistente Técnico'!$J$5:$J$1000,$N26)="","",INDEX('Cronograma Asistente Técnico'!$J$5:$J$1000,$N26))))</f>
        <v/>
      </c>
      <c r="J26" s="68">
        <f>IF($N26="","",INDEX('Cronograma Asistente Técnico'!$K$5:$K$1000,$N26))</f>
        <v/>
      </c>
      <c r="K26" s="62">
        <f>IF($N26="","",IF(N($J26)&gt;=1,"Completado",IF(AND(ISNUMBER($D26),$D26&lt;FechaRef),"Vencida",IF(N($J26)&gt;0,"En curso","Pendiente"))))</f>
        <v/>
      </c>
      <c r="L26" s="62">
        <f>IF($N26="","",INDEX('Cronograma Asistente Técnico'!$M$5:$M$1000,$N26)&amp;"")</f>
        <v/>
      </c>
      <c r="M26" s="71">
        <f>IF($N26="","",INDEX('Cronograma Asistente Técnico'!$N$5:$N$1000,$N26)&amp;"")</f>
        <v/>
      </c>
      <c r="N26">
        <f>IFERROR(MATCH(ROW()-4,rOrden_ATR,0),"")</f>
        <v/>
      </c>
      <c r="O26">
        <f>IF($N26="","",INDEX('Cronograma Asistente Técnico'!$S$5:$S$1000,$N26))</f>
        <v/>
      </c>
      <c r="P26">
        <f>IF($N26="","",N(INDEX('Cronograma Asistente Técnico'!$T$5:$T$1000,$N26)))</f>
        <v/>
      </c>
    </row>
    <row r="27">
      <c r="A27" s="62">
        <f>IF($N27="","",INDEX('Cronograma Asistente Técnico'!$A$5:$A$1000,$N27))</f>
        <v/>
      </c>
      <c r="B27" s="71">
        <f>IF($N27="","",IF($O27="Sub","      ↳  "&amp;INDEX('Cronograma Asistente Técnico'!$C$5:$C$1000,$N27),INDEX('Cronograma Asistente Técnico'!$C$5:$C$1000,$N27)&amp;""))</f>
        <v/>
      </c>
      <c r="C27" s="77">
        <f>IF($N27="","",IF(INDEX('Cronograma Asistente Técnico'!$D$5:$D$1000,$N27)="","",INDEX('Cronograma Asistente Técnico'!$D$5:$D$1000,$N27)))</f>
        <v/>
      </c>
      <c r="D27" s="77">
        <f>IF($N27="","",IF(INDEX('Cronograma Asistente Técnico'!$E$5:$E$1000,$N27)="","",INDEX('Cronograma Asistente Técnico'!$E$5:$E$1000,$N27)))</f>
        <v/>
      </c>
      <c r="E27" s="62">
        <f>IF($N27="","",IF(NOT(ISNUMBER($D27)),"",IF($D27&lt;InicioCiclo,"Antes del ciclo",IF($D27&gt;=InicioCiclo+28,"Después del ciclo","Semana "&amp;(INT(($D27-InicioCiclo)/7)+1)))))</f>
        <v/>
      </c>
      <c r="F27" s="68">
        <f>IF($N27="","",IF($P27&gt;0,IF(1&lt;=SemanaActual,INDEX('Cronograma Asistente Técnico'!$Y$5:$Y$1000,$N27),""),IF(INDEX('Cronograma Asistente Técnico'!$G$5:$G$1000,$N27)="","",INDEX('Cronograma Asistente Técnico'!$G$5:$G$1000,$N27))))</f>
        <v/>
      </c>
      <c r="G27" s="68">
        <f>IF($N27="","",IF($P27&gt;0,IF(2&lt;=SemanaActual,INDEX('Cronograma Asistente Técnico'!$Z$5:$Z$1000,$N27),""),IF(INDEX('Cronograma Asistente Técnico'!$H$5:$H$1000,$N27)="","",INDEX('Cronograma Asistente Técnico'!$H$5:$H$1000,$N27))))</f>
        <v/>
      </c>
      <c r="H27" s="68">
        <f>IF($N27="","",IF($P27&gt;0,IF(3&lt;=SemanaActual,INDEX('Cronograma Asistente Técnico'!$AA$5:$AA$1000,$N27),""),IF(INDEX('Cronograma Asistente Técnico'!$I$5:$I$1000,$N27)="","",INDEX('Cronograma Asistente Técnico'!$I$5:$I$1000,$N27))))</f>
        <v/>
      </c>
      <c r="I27" s="68">
        <f>IF($N27="","",IF($P27&gt;0,IF(4&lt;=SemanaActual,INDEX('Cronograma Asistente Técnico'!$AB$5:$AB$1000,$N27),""),IF(INDEX('Cronograma Asistente Técnico'!$J$5:$J$1000,$N27)="","",INDEX('Cronograma Asistente Técnico'!$J$5:$J$1000,$N27))))</f>
        <v/>
      </c>
      <c r="J27" s="68">
        <f>IF($N27="","",INDEX('Cronograma Asistente Técnico'!$K$5:$K$1000,$N27))</f>
        <v/>
      </c>
      <c r="K27" s="62">
        <f>IF($N27="","",IF(N($J27)&gt;=1,"Completado",IF(AND(ISNUMBER($D27),$D27&lt;FechaRef),"Vencida",IF(N($J27)&gt;0,"En curso","Pendiente"))))</f>
        <v/>
      </c>
      <c r="L27" s="62">
        <f>IF($N27="","",INDEX('Cronograma Asistente Técnico'!$M$5:$M$1000,$N27)&amp;"")</f>
        <v/>
      </c>
      <c r="M27" s="71">
        <f>IF($N27="","",INDEX('Cronograma Asistente Técnico'!$N$5:$N$1000,$N27)&amp;"")</f>
        <v/>
      </c>
      <c r="N27">
        <f>IFERROR(MATCH(ROW()-4,rOrden_ATR,0),"")</f>
        <v/>
      </c>
      <c r="O27">
        <f>IF($N27="","",INDEX('Cronograma Asistente Técnico'!$S$5:$S$1000,$N27))</f>
        <v/>
      </c>
      <c r="P27">
        <f>IF($N27="","",N(INDEX('Cronograma Asistente Técnico'!$T$5:$T$1000,$N27)))</f>
        <v/>
      </c>
    </row>
    <row r="28">
      <c r="A28" s="62">
        <f>IF($N28="","",INDEX('Cronograma Asistente Técnico'!$A$5:$A$1000,$N28))</f>
        <v/>
      </c>
      <c r="B28" s="71">
        <f>IF($N28="","",IF($O28="Sub","      ↳  "&amp;INDEX('Cronograma Asistente Técnico'!$C$5:$C$1000,$N28),INDEX('Cronograma Asistente Técnico'!$C$5:$C$1000,$N28)&amp;""))</f>
        <v/>
      </c>
      <c r="C28" s="77">
        <f>IF($N28="","",IF(INDEX('Cronograma Asistente Técnico'!$D$5:$D$1000,$N28)="","",INDEX('Cronograma Asistente Técnico'!$D$5:$D$1000,$N28)))</f>
        <v/>
      </c>
      <c r="D28" s="77">
        <f>IF($N28="","",IF(INDEX('Cronograma Asistente Técnico'!$E$5:$E$1000,$N28)="","",INDEX('Cronograma Asistente Técnico'!$E$5:$E$1000,$N28)))</f>
        <v/>
      </c>
      <c r="E28" s="62">
        <f>IF($N28="","",IF(NOT(ISNUMBER($D28)),"",IF($D28&lt;InicioCiclo,"Antes del ciclo",IF($D28&gt;=InicioCiclo+28,"Después del ciclo","Semana "&amp;(INT(($D28-InicioCiclo)/7)+1)))))</f>
        <v/>
      </c>
      <c r="F28" s="68">
        <f>IF($N28="","",IF($P28&gt;0,IF(1&lt;=SemanaActual,INDEX('Cronograma Asistente Técnico'!$Y$5:$Y$1000,$N28),""),IF(INDEX('Cronograma Asistente Técnico'!$G$5:$G$1000,$N28)="","",INDEX('Cronograma Asistente Técnico'!$G$5:$G$1000,$N28))))</f>
        <v/>
      </c>
      <c r="G28" s="68">
        <f>IF($N28="","",IF($P28&gt;0,IF(2&lt;=SemanaActual,INDEX('Cronograma Asistente Técnico'!$Z$5:$Z$1000,$N28),""),IF(INDEX('Cronograma Asistente Técnico'!$H$5:$H$1000,$N28)="","",INDEX('Cronograma Asistente Técnico'!$H$5:$H$1000,$N28))))</f>
        <v/>
      </c>
      <c r="H28" s="68">
        <f>IF($N28="","",IF($P28&gt;0,IF(3&lt;=SemanaActual,INDEX('Cronograma Asistente Técnico'!$AA$5:$AA$1000,$N28),""),IF(INDEX('Cronograma Asistente Técnico'!$I$5:$I$1000,$N28)="","",INDEX('Cronograma Asistente Técnico'!$I$5:$I$1000,$N28))))</f>
        <v/>
      </c>
      <c r="I28" s="68">
        <f>IF($N28="","",IF($P28&gt;0,IF(4&lt;=SemanaActual,INDEX('Cronograma Asistente Técnico'!$AB$5:$AB$1000,$N28),""),IF(INDEX('Cronograma Asistente Técnico'!$J$5:$J$1000,$N28)="","",INDEX('Cronograma Asistente Técnico'!$J$5:$J$1000,$N28))))</f>
        <v/>
      </c>
      <c r="J28" s="68">
        <f>IF($N28="","",INDEX('Cronograma Asistente Técnico'!$K$5:$K$1000,$N28))</f>
        <v/>
      </c>
      <c r="K28" s="62">
        <f>IF($N28="","",IF(N($J28)&gt;=1,"Completado",IF(AND(ISNUMBER($D28),$D28&lt;FechaRef),"Vencida",IF(N($J28)&gt;0,"En curso","Pendiente"))))</f>
        <v/>
      </c>
      <c r="L28" s="62">
        <f>IF($N28="","",INDEX('Cronograma Asistente Técnico'!$M$5:$M$1000,$N28)&amp;"")</f>
        <v/>
      </c>
      <c r="M28" s="71">
        <f>IF($N28="","",INDEX('Cronograma Asistente Técnico'!$N$5:$N$1000,$N28)&amp;"")</f>
        <v/>
      </c>
      <c r="N28">
        <f>IFERROR(MATCH(ROW()-4,rOrden_ATR,0),"")</f>
        <v/>
      </c>
      <c r="O28">
        <f>IF($N28="","",INDEX('Cronograma Asistente Técnico'!$S$5:$S$1000,$N28))</f>
        <v/>
      </c>
      <c r="P28">
        <f>IF($N28="","",N(INDEX('Cronograma Asistente Técnico'!$T$5:$T$1000,$N28)))</f>
        <v/>
      </c>
    </row>
    <row r="29">
      <c r="A29" s="62">
        <f>IF($N29="","",INDEX('Cronograma Asistente Técnico'!$A$5:$A$1000,$N29))</f>
        <v/>
      </c>
      <c r="B29" s="71">
        <f>IF($N29="","",IF($O29="Sub","      ↳  "&amp;INDEX('Cronograma Asistente Técnico'!$C$5:$C$1000,$N29),INDEX('Cronograma Asistente Técnico'!$C$5:$C$1000,$N29)&amp;""))</f>
        <v/>
      </c>
      <c r="C29" s="77">
        <f>IF($N29="","",IF(INDEX('Cronograma Asistente Técnico'!$D$5:$D$1000,$N29)="","",INDEX('Cronograma Asistente Técnico'!$D$5:$D$1000,$N29)))</f>
        <v/>
      </c>
      <c r="D29" s="77">
        <f>IF($N29="","",IF(INDEX('Cronograma Asistente Técnico'!$E$5:$E$1000,$N29)="","",INDEX('Cronograma Asistente Técnico'!$E$5:$E$1000,$N29)))</f>
        <v/>
      </c>
      <c r="E29" s="62">
        <f>IF($N29="","",IF(NOT(ISNUMBER($D29)),"",IF($D29&lt;InicioCiclo,"Antes del ciclo",IF($D29&gt;=InicioCiclo+28,"Después del ciclo","Semana "&amp;(INT(($D29-InicioCiclo)/7)+1)))))</f>
        <v/>
      </c>
      <c r="F29" s="68">
        <f>IF($N29="","",IF($P29&gt;0,IF(1&lt;=SemanaActual,INDEX('Cronograma Asistente Técnico'!$Y$5:$Y$1000,$N29),""),IF(INDEX('Cronograma Asistente Técnico'!$G$5:$G$1000,$N29)="","",INDEX('Cronograma Asistente Técnico'!$G$5:$G$1000,$N29))))</f>
        <v/>
      </c>
      <c r="G29" s="68">
        <f>IF($N29="","",IF($P29&gt;0,IF(2&lt;=SemanaActual,INDEX('Cronograma Asistente Técnico'!$Z$5:$Z$1000,$N29),""),IF(INDEX('Cronograma Asistente Técnico'!$H$5:$H$1000,$N29)="","",INDEX('Cronograma Asistente Técnico'!$H$5:$H$1000,$N29))))</f>
        <v/>
      </c>
      <c r="H29" s="68">
        <f>IF($N29="","",IF($P29&gt;0,IF(3&lt;=SemanaActual,INDEX('Cronograma Asistente Técnico'!$AA$5:$AA$1000,$N29),""),IF(INDEX('Cronograma Asistente Técnico'!$I$5:$I$1000,$N29)="","",INDEX('Cronograma Asistente Técnico'!$I$5:$I$1000,$N29))))</f>
        <v/>
      </c>
      <c r="I29" s="68">
        <f>IF($N29="","",IF($P29&gt;0,IF(4&lt;=SemanaActual,INDEX('Cronograma Asistente Técnico'!$AB$5:$AB$1000,$N29),""),IF(INDEX('Cronograma Asistente Técnico'!$J$5:$J$1000,$N29)="","",INDEX('Cronograma Asistente Técnico'!$J$5:$J$1000,$N29))))</f>
        <v/>
      </c>
      <c r="J29" s="68">
        <f>IF($N29="","",INDEX('Cronograma Asistente Técnico'!$K$5:$K$1000,$N29))</f>
        <v/>
      </c>
      <c r="K29" s="62">
        <f>IF($N29="","",IF(N($J29)&gt;=1,"Completado",IF(AND(ISNUMBER($D29),$D29&lt;FechaRef),"Vencida",IF(N($J29)&gt;0,"En curso","Pendiente"))))</f>
        <v/>
      </c>
      <c r="L29" s="62">
        <f>IF($N29="","",INDEX('Cronograma Asistente Técnico'!$M$5:$M$1000,$N29)&amp;"")</f>
        <v/>
      </c>
      <c r="M29" s="71">
        <f>IF($N29="","",INDEX('Cronograma Asistente Técnico'!$N$5:$N$1000,$N29)&amp;"")</f>
        <v/>
      </c>
      <c r="N29">
        <f>IFERROR(MATCH(ROW()-4,rOrden_ATR,0),"")</f>
        <v/>
      </c>
      <c r="O29">
        <f>IF($N29="","",INDEX('Cronograma Asistente Técnico'!$S$5:$S$1000,$N29))</f>
        <v/>
      </c>
      <c r="P29">
        <f>IF($N29="","",N(INDEX('Cronograma Asistente Técnico'!$T$5:$T$1000,$N29)))</f>
        <v/>
      </c>
    </row>
    <row r="30">
      <c r="A30" s="62">
        <f>IF($N30="","",INDEX('Cronograma Asistente Técnico'!$A$5:$A$1000,$N30))</f>
        <v/>
      </c>
      <c r="B30" s="71">
        <f>IF($N30="","",IF($O30="Sub","      ↳  "&amp;INDEX('Cronograma Asistente Técnico'!$C$5:$C$1000,$N30),INDEX('Cronograma Asistente Técnico'!$C$5:$C$1000,$N30)&amp;""))</f>
        <v/>
      </c>
      <c r="C30" s="77">
        <f>IF($N30="","",IF(INDEX('Cronograma Asistente Técnico'!$D$5:$D$1000,$N30)="","",INDEX('Cronograma Asistente Técnico'!$D$5:$D$1000,$N30)))</f>
        <v/>
      </c>
      <c r="D30" s="77">
        <f>IF($N30="","",IF(INDEX('Cronograma Asistente Técnico'!$E$5:$E$1000,$N30)="","",INDEX('Cronograma Asistente Técnico'!$E$5:$E$1000,$N30)))</f>
        <v/>
      </c>
      <c r="E30" s="62">
        <f>IF($N30="","",IF(NOT(ISNUMBER($D30)),"",IF($D30&lt;InicioCiclo,"Antes del ciclo",IF($D30&gt;=InicioCiclo+28,"Después del ciclo","Semana "&amp;(INT(($D30-InicioCiclo)/7)+1)))))</f>
        <v/>
      </c>
      <c r="F30" s="68">
        <f>IF($N30="","",IF($P30&gt;0,IF(1&lt;=SemanaActual,INDEX('Cronograma Asistente Técnico'!$Y$5:$Y$1000,$N30),""),IF(INDEX('Cronograma Asistente Técnico'!$G$5:$G$1000,$N30)="","",INDEX('Cronograma Asistente Técnico'!$G$5:$G$1000,$N30))))</f>
        <v/>
      </c>
      <c r="G30" s="68">
        <f>IF($N30="","",IF($P30&gt;0,IF(2&lt;=SemanaActual,INDEX('Cronograma Asistente Técnico'!$Z$5:$Z$1000,$N30),""),IF(INDEX('Cronograma Asistente Técnico'!$H$5:$H$1000,$N30)="","",INDEX('Cronograma Asistente Técnico'!$H$5:$H$1000,$N30))))</f>
        <v/>
      </c>
      <c r="H30" s="68">
        <f>IF($N30="","",IF($P30&gt;0,IF(3&lt;=SemanaActual,INDEX('Cronograma Asistente Técnico'!$AA$5:$AA$1000,$N30),""),IF(INDEX('Cronograma Asistente Técnico'!$I$5:$I$1000,$N30)="","",INDEX('Cronograma Asistente Técnico'!$I$5:$I$1000,$N30))))</f>
        <v/>
      </c>
      <c r="I30" s="68">
        <f>IF($N30="","",IF($P30&gt;0,IF(4&lt;=SemanaActual,INDEX('Cronograma Asistente Técnico'!$AB$5:$AB$1000,$N30),""),IF(INDEX('Cronograma Asistente Técnico'!$J$5:$J$1000,$N30)="","",INDEX('Cronograma Asistente Técnico'!$J$5:$J$1000,$N30))))</f>
        <v/>
      </c>
      <c r="J30" s="68">
        <f>IF($N30="","",INDEX('Cronograma Asistente Técnico'!$K$5:$K$1000,$N30))</f>
        <v/>
      </c>
      <c r="K30" s="62">
        <f>IF($N30="","",IF(N($J30)&gt;=1,"Completado",IF(AND(ISNUMBER($D30),$D30&lt;FechaRef),"Vencida",IF(N($J30)&gt;0,"En curso","Pendiente"))))</f>
        <v/>
      </c>
      <c r="L30" s="62">
        <f>IF($N30="","",INDEX('Cronograma Asistente Técnico'!$M$5:$M$1000,$N30)&amp;"")</f>
        <v/>
      </c>
      <c r="M30" s="71">
        <f>IF($N30="","",INDEX('Cronograma Asistente Técnico'!$N$5:$N$1000,$N30)&amp;"")</f>
        <v/>
      </c>
      <c r="N30">
        <f>IFERROR(MATCH(ROW()-4,rOrden_ATR,0),"")</f>
        <v/>
      </c>
      <c r="O30">
        <f>IF($N30="","",INDEX('Cronograma Asistente Técnico'!$S$5:$S$1000,$N30))</f>
        <v/>
      </c>
      <c r="P30">
        <f>IF($N30="","",N(INDEX('Cronograma Asistente Técnico'!$T$5:$T$1000,$N30)))</f>
        <v/>
      </c>
    </row>
    <row r="31">
      <c r="A31" s="62">
        <f>IF($N31="","",INDEX('Cronograma Asistente Técnico'!$A$5:$A$1000,$N31))</f>
        <v/>
      </c>
      <c r="B31" s="71">
        <f>IF($N31="","",IF($O31="Sub","      ↳  "&amp;INDEX('Cronograma Asistente Técnico'!$C$5:$C$1000,$N31),INDEX('Cronograma Asistente Técnico'!$C$5:$C$1000,$N31)&amp;""))</f>
        <v/>
      </c>
      <c r="C31" s="77">
        <f>IF($N31="","",IF(INDEX('Cronograma Asistente Técnico'!$D$5:$D$1000,$N31)="","",INDEX('Cronograma Asistente Técnico'!$D$5:$D$1000,$N31)))</f>
        <v/>
      </c>
      <c r="D31" s="77">
        <f>IF($N31="","",IF(INDEX('Cronograma Asistente Técnico'!$E$5:$E$1000,$N31)="","",INDEX('Cronograma Asistente Técnico'!$E$5:$E$1000,$N31)))</f>
        <v/>
      </c>
      <c r="E31" s="62">
        <f>IF($N31="","",IF(NOT(ISNUMBER($D31)),"",IF($D31&lt;InicioCiclo,"Antes del ciclo",IF($D31&gt;=InicioCiclo+28,"Después del ciclo","Semana "&amp;(INT(($D31-InicioCiclo)/7)+1)))))</f>
        <v/>
      </c>
      <c r="F31" s="68">
        <f>IF($N31="","",IF($P31&gt;0,IF(1&lt;=SemanaActual,INDEX('Cronograma Asistente Técnico'!$Y$5:$Y$1000,$N31),""),IF(INDEX('Cronograma Asistente Técnico'!$G$5:$G$1000,$N31)="","",INDEX('Cronograma Asistente Técnico'!$G$5:$G$1000,$N31))))</f>
        <v/>
      </c>
      <c r="G31" s="68">
        <f>IF($N31="","",IF($P31&gt;0,IF(2&lt;=SemanaActual,INDEX('Cronograma Asistente Técnico'!$Z$5:$Z$1000,$N31),""),IF(INDEX('Cronograma Asistente Técnico'!$H$5:$H$1000,$N31)="","",INDEX('Cronograma Asistente Técnico'!$H$5:$H$1000,$N31))))</f>
        <v/>
      </c>
      <c r="H31" s="68">
        <f>IF($N31="","",IF($P31&gt;0,IF(3&lt;=SemanaActual,INDEX('Cronograma Asistente Técnico'!$AA$5:$AA$1000,$N31),""),IF(INDEX('Cronograma Asistente Técnico'!$I$5:$I$1000,$N31)="","",INDEX('Cronograma Asistente Técnico'!$I$5:$I$1000,$N31))))</f>
        <v/>
      </c>
      <c r="I31" s="68">
        <f>IF($N31="","",IF($P31&gt;0,IF(4&lt;=SemanaActual,INDEX('Cronograma Asistente Técnico'!$AB$5:$AB$1000,$N31),""),IF(INDEX('Cronograma Asistente Técnico'!$J$5:$J$1000,$N31)="","",INDEX('Cronograma Asistente Técnico'!$J$5:$J$1000,$N31))))</f>
        <v/>
      </c>
      <c r="J31" s="68">
        <f>IF($N31="","",INDEX('Cronograma Asistente Técnico'!$K$5:$K$1000,$N31))</f>
        <v/>
      </c>
      <c r="K31" s="62">
        <f>IF($N31="","",IF(N($J31)&gt;=1,"Completado",IF(AND(ISNUMBER($D31),$D31&lt;FechaRef),"Vencida",IF(N($J31)&gt;0,"En curso","Pendiente"))))</f>
        <v/>
      </c>
      <c r="L31" s="62">
        <f>IF($N31="","",INDEX('Cronograma Asistente Técnico'!$M$5:$M$1000,$N31)&amp;"")</f>
        <v/>
      </c>
      <c r="M31" s="71">
        <f>IF($N31="","",INDEX('Cronograma Asistente Técnico'!$N$5:$N$1000,$N31)&amp;"")</f>
        <v/>
      </c>
      <c r="N31">
        <f>IFERROR(MATCH(ROW()-4,rOrden_ATR,0),"")</f>
        <v/>
      </c>
      <c r="O31">
        <f>IF($N31="","",INDEX('Cronograma Asistente Técnico'!$S$5:$S$1000,$N31))</f>
        <v/>
      </c>
      <c r="P31">
        <f>IF($N31="","",N(INDEX('Cronograma Asistente Técnico'!$T$5:$T$1000,$N31)))</f>
        <v/>
      </c>
    </row>
    <row r="32">
      <c r="A32" s="62">
        <f>IF($N32="","",INDEX('Cronograma Asistente Técnico'!$A$5:$A$1000,$N32))</f>
        <v/>
      </c>
      <c r="B32" s="71">
        <f>IF($N32="","",IF($O32="Sub","      ↳  "&amp;INDEX('Cronograma Asistente Técnico'!$C$5:$C$1000,$N32),INDEX('Cronograma Asistente Técnico'!$C$5:$C$1000,$N32)&amp;""))</f>
        <v/>
      </c>
      <c r="C32" s="77">
        <f>IF($N32="","",IF(INDEX('Cronograma Asistente Técnico'!$D$5:$D$1000,$N32)="","",INDEX('Cronograma Asistente Técnico'!$D$5:$D$1000,$N32)))</f>
        <v/>
      </c>
      <c r="D32" s="77">
        <f>IF($N32="","",IF(INDEX('Cronograma Asistente Técnico'!$E$5:$E$1000,$N32)="","",INDEX('Cronograma Asistente Técnico'!$E$5:$E$1000,$N32)))</f>
        <v/>
      </c>
      <c r="E32" s="62">
        <f>IF($N32="","",IF(NOT(ISNUMBER($D32)),"",IF($D32&lt;InicioCiclo,"Antes del ciclo",IF($D32&gt;=InicioCiclo+28,"Después del ciclo","Semana "&amp;(INT(($D32-InicioCiclo)/7)+1)))))</f>
        <v/>
      </c>
      <c r="F32" s="68">
        <f>IF($N32="","",IF($P32&gt;0,IF(1&lt;=SemanaActual,INDEX('Cronograma Asistente Técnico'!$Y$5:$Y$1000,$N32),""),IF(INDEX('Cronograma Asistente Técnico'!$G$5:$G$1000,$N32)="","",INDEX('Cronograma Asistente Técnico'!$G$5:$G$1000,$N32))))</f>
        <v/>
      </c>
      <c r="G32" s="68">
        <f>IF($N32="","",IF($P32&gt;0,IF(2&lt;=SemanaActual,INDEX('Cronograma Asistente Técnico'!$Z$5:$Z$1000,$N32),""),IF(INDEX('Cronograma Asistente Técnico'!$H$5:$H$1000,$N32)="","",INDEX('Cronograma Asistente Técnico'!$H$5:$H$1000,$N32))))</f>
        <v/>
      </c>
      <c r="H32" s="68">
        <f>IF($N32="","",IF($P32&gt;0,IF(3&lt;=SemanaActual,INDEX('Cronograma Asistente Técnico'!$AA$5:$AA$1000,$N32),""),IF(INDEX('Cronograma Asistente Técnico'!$I$5:$I$1000,$N32)="","",INDEX('Cronograma Asistente Técnico'!$I$5:$I$1000,$N32))))</f>
        <v/>
      </c>
      <c r="I32" s="68">
        <f>IF($N32="","",IF($P32&gt;0,IF(4&lt;=SemanaActual,INDEX('Cronograma Asistente Técnico'!$AB$5:$AB$1000,$N32),""),IF(INDEX('Cronograma Asistente Técnico'!$J$5:$J$1000,$N32)="","",INDEX('Cronograma Asistente Técnico'!$J$5:$J$1000,$N32))))</f>
        <v/>
      </c>
      <c r="J32" s="68">
        <f>IF($N32="","",INDEX('Cronograma Asistente Técnico'!$K$5:$K$1000,$N32))</f>
        <v/>
      </c>
      <c r="K32" s="62">
        <f>IF($N32="","",IF(N($J32)&gt;=1,"Completado",IF(AND(ISNUMBER($D32),$D32&lt;FechaRef),"Vencida",IF(N($J32)&gt;0,"En curso","Pendiente"))))</f>
        <v/>
      </c>
      <c r="L32" s="62">
        <f>IF($N32="","",INDEX('Cronograma Asistente Técnico'!$M$5:$M$1000,$N32)&amp;"")</f>
        <v/>
      </c>
      <c r="M32" s="71">
        <f>IF($N32="","",INDEX('Cronograma Asistente Técnico'!$N$5:$N$1000,$N32)&amp;"")</f>
        <v/>
      </c>
      <c r="N32">
        <f>IFERROR(MATCH(ROW()-4,rOrden_ATR,0),"")</f>
        <v/>
      </c>
      <c r="O32">
        <f>IF($N32="","",INDEX('Cronograma Asistente Técnico'!$S$5:$S$1000,$N32))</f>
        <v/>
      </c>
      <c r="P32">
        <f>IF($N32="","",N(INDEX('Cronograma Asistente Técnico'!$T$5:$T$1000,$N32)))</f>
        <v/>
      </c>
    </row>
    <row r="33">
      <c r="A33" s="62">
        <f>IF($N33="","",INDEX('Cronograma Asistente Técnico'!$A$5:$A$1000,$N33))</f>
        <v/>
      </c>
      <c r="B33" s="71">
        <f>IF($N33="","",IF($O33="Sub","      ↳  "&amp;INDEX('Cronograma Asistente Técnico'!$C$5:$C$1000,$N33),INDEX('Cronograma Asistente Técnico'!$C$5:$C$1000,$N33)&amp;""))</f>
        <v/>
      </c>
      <c r="C33" s="77">
        <f>IF($N33="","",IF(INDEX('Cronograma Asistente Técnico'!$D$5:$D$1000,$N33)="","",INDEX('Cronograma Asistente Técnico'!$D$5:$D$1000,$N33)))</f>
        <v/>
      </c>
      <c r="D33" s="77">
        <f>IF($N33="","",IF(INDEX('Cronograma Asistente Técnico'!$E$5:$E$1000,$N33)="","",INDEX('Cronograma Asistente Técnico'!$E$5:$E$1000,$N33)))</f>
        <v/>
      </c>
      <c r="E33" s="62">
        <f>IF($N33="","",IF(NOT(ISNUMBER($D33)),"",IF($D33&lt;InicioCiclo,"Antes del ciclo",IF($D33&gt;=InicioCiclo+28,"Después del ciclo","Semana "&amp;(INT(($D33-InicioCiclo)/7)+1)))))</f>
        <v/>
      </c>
      <c r="F33" s="68">
        <f>IF($N33="","",IF($P33&gt;0,IF(1&lt;=SemanaActual,INDEX('Cronograma Asistente Técnico'!$Y$5:$Y$1000,$N33),""),IF(INDEX('Cronograma Asistente Técnico'!$G$5:$G$1000,$N33)="","",INDEX('Cronograma Asistente Técnico'!$G$5:$G$1000,$N33))))</f>
        <v/>
      </c>
      <c r="G33" s="68">
        <f>IF($N33="","",IF($P33&gt;0,IF(2&lt;=SemanaActual,INDEX('Cronograma Asistente Técnico'!$Z$5:$Z$1000,$N33),""),IF(INDEX('Cronograma Asistente Técnico'!$H$5:$H$1000,$N33)="","",INDEX('Cronograma Asistente Técnico'!$H$5:$H$1000,$N33))))</f>
        <v/>
      </c>
      <c r="H33" s="68">
        <f>IF($N33="","",IF($P33&gt;0,IF(3&lt;=SemanaActual,INDEX('Cronograma Asistente Técnico'!$AA$5:$AA$1000,$N33),""),IF(INDEX('Cronograma Asistente Técnico'!$I$5:$I$1000,$N33)="","",INDEX('Cronograma Asistente Técnico'!$I$5:$I$1000,$N33))))</f>
        <v/>
      </c>
      <c r="I33" s="68">
        <f>IF($N33="","",IF($P33&gt;0,IF(4&lt;=SemanaActual,INDEX('Cronograma Asistente Técnico'!$AB$5:$AB$1000,$N33),""),IF(INDEX('Cronograma Asistente Técnico'!$J$5:$J$1000,$N33)="","",INDEX('Cronograma Asistente Técnico'!$J$5:$J$1000,$N33))))</f>
        <v/>
      </c>
      <c r="J33" s="68">
        <f>IF($N33="","",INDEX('Cronograma Asistente Técnico'!$K$5:$K$1000,$N33))</f>
        <v/>
      </c>
      <c r="K33" s="62">
        <f>IF($N33="","",IF(N($J33)&gt;=1,"Completado",IF(AND(ISNUMBER($D33),$D33&lt;FechaRef),"Vencida",IF(N($J33)&gt;0,"En curso","Pendiente"))))</f>
        <v/>
      </c>
      <c r="L33" s="62">
        <f>IF($N33="","",INDEX('Cronograma Asistente Técnico'!$M$5:$M$1000,$N33)&amp;"")</f>
        <v/>
      </c>
      <c r="M33" s="71">
        <f>IF($N33="","",INDEX('Cronograma Asistente Técnico'!$N$5:$N$1000,$N33)&amp;"")</f>
        <v/>
      </c>
      <c r="N33">
        <f>IFERROR(MATCH(ROW()-4,rOrden_ATR,0),"")</f>
        <v/>
      </c>
      <c r="O33">
        <f>IF($N33="","",INDEX('Cronograma Asistente Técnico'!$S$5:$S$1000,$N33))</f>
        <v/>
      </c>
      <c r="P33">
        <f>IF($N33="","",N(INDEX('Cronograma Asistente Técnico'!$T$5:$T$1000,$N33)))</f>
        <v/>
      </c>
    </row>
    <row r="34">
      <c r="A34" s="62">
        <f>IF($N34="","",INDEX('Cronograma Asistente Técnico'!$A$5:$A$1000,$N34))</f>
        <v/>
      </c>
      <c r="B34" s="71">
        <f>IF($N34="","",IF($O34="Sub","      ↳  "&amp;INDEX('Cronograma Asistente Técnico'!$C$5:$C$1000,$N34),INDEX('Cronograma Asistente Técnico'!$C$5:$C$1000,$N34)&amp;""))</f>
        <v/>
      </c>
      <c r="C34" s="77">
        <f>IF($N34="","",IF(INDEX('Cronograma Asistente Técnico'!$D$5:$D$1000,$N34)="","",INDEX('Cronograma Asistente Técnico'!$D$5:$D$1000,$N34)))</f>
        <v/>
      </c>
      <c r="D34" s="77">
        <f>IF($N34="","",IF(INDEX('Cronograma Asistente Técnico'!$E$5:$E$1000,$N34)="","",INDEX('Cronograma Asistente Técnico'!$E$5:$E$1000,$N34)))</f>
        <v/>
      </c>
      <c r="E34" s="62">
        <f>IF($N34="","",IF(NOT(ISNUMBER($D34)),"",IF($D34&lt;InicioCiclo,"Antes del ciclo",IF($D34&gt;=InicioCiclo+28,"Después del ciclo","Semana "&amp;(INT(($D34-InicioCiclo)/7)+1)))))</f>
        <v/>
      </c>
      <c r="F34" s="68">
        <f>IF($N34="","",IF($P34&gt;0,IF(1&lt;=SemanaActual,INDEX('Cronograma Asistente Técnico'!$Y$5:$Y$1000,$N34),""),IF(INDEX('Cronograma Asistente Técnico'!$G$5:$G$1000,$N34)="","",INDEX('Cronograma Asistente Técnico'!$G$5:$G$1000,$N34))))</f>
        <v/>
      </c>
      <c r="G34" s="68">
        <f>IF($N34="","",IF($P34&gt;0,IF(2&lt;=SemanaActual,INDEX('Cronograma Asistente Técnico'!$Z$5:$Z$1000,$N34),""),IF(INDEX('Cronograma Asistente Técnico'!$H$5:$H$1000,$N34)="","",INDEX('Cronograma Asistente Técnico'!$H$5:$H$1000,$N34))))</f>
        <v/>
      </c>
      <c r="H34" s="68">
        <f>IF($N34="","",IF($P34&gt;0,IF(3&lt;=SemanaActual,INDEX('Cronograma Asistente Técnico'!$AA$5:$AA$1000,$N34),""),IF(INDEX('Cronograma Asistente Técnico'!$I$5:$I$1000,$N34)="","",INDEX('Cronograma Asistente Técnico'!$I$5:$I$1000,$N34))))</f>
        <v/>
      </c>
      <c r="I34" s="68">
        <f>IF($N34="","",IF($P34&gt;0,IF(4&lt;=SemanaActual,INDEX('Cronograma Asistente Técnico'!$AB$5:$AB$1000,$N34),""),IF(INDEX('Cronograma Asistente Técnico'!$J$5:$J$1000,$N34)="","",INDEX('Cronograma Asistente Técnico'!$J$5:$J$1000,$N34))))</f>
        <v/>
      </c>
      <c r="J34" s="68">
        <f>IF($N34="","",INDEX('Cronograma Asistente Técnico'!$K$5:$K$1000,$N34))</f>
        <v/>
      </c>
      <c r="K34" s="62">
        <f>IF($N34="","",IF(N($J34)&gt;=1,"Completado",IF(AND(ISNUMBER($D34),$D34&lt;FechaRef),"Vencida",IF(N($J34)&gt;0,"En curso","Pendiente"))))</f>
        <v/>
      </c>
      <c r="L34" s="62">
        <f>IF($N34="","",INDEX('Cronograma Asistente Técnico'!$M$5:$M$1000,$N34)&amp;"")</f>
        <v/>
      </c>
      <c r="M34" s="71">
        <f>IF($N34="","",INDEX('Cronograma Asistente Técnico'!$N$5:$N$1000,$N34)&amp;"")</f>
        <v/>
      </c>
      <c r="N34">
        <f>IFERROR(MATCH(ROW()-4,rOrden_ATR,0),"")</f>
        <v/>
      </c>
      <c r="O34">
        <f>IF($N34="","",INDEX('Cronograma Asistente Técnico'!$S$5:$S$1000,$N34))</f>
        <v/>
      </c>
      <c r="P34">
        <f>IF($N34="","",N(INDEX('Cronograma Asistente Técnico'!$T$5:$T$1000,$N34)))</f>
        <v/>
      </c>
    </row>
    <row r="35">
      <c r="A35" s="62">
        <f>IF($N35="","",INDEX('Cronograma Asistente Técnico'!$A$5:$A$1000,$N35))</f>
        <v/>
      </c>
      <c r="B35" s="71">
        <f>IF($N35="","",IF($O35="Sub","      ↳  "&amp;INDEX('Cronograma Asistente Técnico'!$C$5:$C$1000,$N35),INDEX('Cronograma Asistente Técnico'!$C$5:$C$1000,$N35)&amp;""))</f>
        <v/>
      </c>
      <c r="C35" s="77">
        <f>IF($N35="","",IF(INDEX('Cronograma Asistente Técnico'!$D$5:$D$1000,$N35)="","",INDEX('Cronograma Asistente Técnico'!$D$5:$D$1000,$N35)))</f>
        <v/>
      </c>
      <c r="D35" s="77">
        <f>IF($N35="","",IF(INDEX('Cronograma Asistente Técnico'!$E$5:$E$1000,$N35)="","",INDEX('Cronograma Asistente Técnico'!$E$5:$E$1000,$N35)))</f>
        <v/>
      </c>
      <c r="E35" s="62">
        <f>IF($N35="","",IF(NOT(ISNUMBER($D35)),"",IF($D35&lt;InicioCiclo,"Antes del ciclo",IF($D35&gt;=InicioCiclo+28,"Después del ciclo","Semana "&amp;(INT(($D35-InicioCiclo)/7)+1)))))</f>
        <v/>
      </c>
      <c r="F35" s="68">
        <f>IF($N35="","",IF($P35&gt;0,IF(1&lt;=SemanaActual,INDEX('Cronograma Asistente Técnico'!$Y$5:$Y$1000,$N35),""),IF(INDEX('Cronograma Asistente Técnico'!$G$5:$G$1000,$N35)="","",INDEX('Cronograma Asistente Técnico'!$G$5:$G$1000,$N35))))</f>
        <v/>
      </c>
      <c r="G35" s="68">
        <f>IF($N35="","",IF($P35&gt;0,IF(2&lt;=SemanaActual,INDEX('Cronograma Asistente Técnico'!$Z$5:$Z$1000,$N35),""),IF(INDEX('Cronograma Asistente Técnico'!$H$5:$H$1000,$N35)="","",INDEX('Cronograma Asistente Técnico'!$H$5:$H$1000,$N35))))</f>
        <v/>
      </c>
      <c r="H35" s="68">
        <f>IF($N35="","",IF($P35&gt;0,IF(3&lt;=SemanaActual,INDEX('Cronograma Asistente Técnico'!$AA$5:$AA$1000,$N35),""),IF(INDEX('Cronograma Asistente Técnico'!$I$5:$I$1000,$N35)="","",INDEX('Cronograma Asistente Técnico'!$I$5:$I$1000,$N35))))</f>
        <v/>
      </c>
      <c r="I35" s="68">
        <f>IF($N35="","",IF($P35&gt;0,IF(4&lt;=SemanaActual,INDEX('Cronograma Asistente Técnico'!$AB$5:$AB$1000,$N35),""),IF(INDEX('Cronograma Asistente Técnico'!$J$5:$J$1000,$N35)="","",INDEX('Cronograma Asistente Técnico'!$J$5:$J$1000,$N35))))</f>
        <v/>
      </c>
      <c r="J35" s="68">
        <f>IF($N35="","",INDEX('Cronograma Asistente Técnico'!$K$5:$K$1000,$N35))</f>
        <v/>
      </c>
      <c r="K35" s="62">
        <f>IF($N35="","",IF(N($J35)&gt;=1,"Completado",IF(AND(ISNUMBER($D35),$D35&lt;FechaRef),"Vencida",IF(N($J35)&gt;0,"En curso","Pendiente"))))</f>
        <v/>
      </c>
      <c r="L35" s="62">
        <f>IF($N35="","",INDEX('Cronograma Asistente Técnico'!$M$5:$M$1000,$N35)&amp;"")</f>
        <v/>
      </c>
      <c r="M35" s="71">
        <f>IF($N35="","",INDEX('Cronograma Asistente Técnico'!$N$5:$N$1000,$N35)&amp;"")</f>
        <v/>
      </c>
      <c r="N35">
        <f>IFERROR(MATCH(ROW()-4,rOrden_ATR,0),"")</f>
        <v/>
      </c>
      <c r="O35">
        <f>IF($N35="","",INDEX('Cronograma Asistente Técnico'!$S$5:$S$1000,$N35))</f>
        <v/>
      </c>
      <c r="P35">
        <f>IF($N35="","",N(INDEX('Cronograma Asistente Técnico'!$T$5:$T$1000,$N35)))</f>
        <v/>
      </c>
    </row>
    <row r="36">
      <c r="A36" s="62">
        <f>IF($N36="","",INDEX('Cronograma Asistente Técnico'!$A$5:$A$1000,$N36))</f>
        <v/>
      </c>
      <c r="B36" s="71">
        <f>IF($N36="","",IF($O36="Sub","      ↳  "&amp;INDEX('Cronograma Asistente Técnico'!$C$5:$C$1000,$N36),INDEX('Cronograma Asistente Técnico'!$C$5:$C$1000,$N36)&amp;""))</f>
        <v/>
      </c>
      <c r="C36" s="77">
        <f>IF($N36="","",IF(INDEX('Cronograma Asistente Técnico'!$D$5:$D$1000,$N36)="","",INDEX('Cronograma Asistente Técnico'!$D$5:$D$1000,$N36)))</f>
        <v/>
      </c>
      <c r="D36" s="77">
        <f>IF($N36="","",IF(INDEX('Cronograma Asistente Técnico'!$E$5:$E$1000,$N36)="","",INDEX('Cronograma Asistente Técnico'!$E$5:$E$1000,$N36)))</f>
        <v/>
      </c>
      <c r="E36" s="62">
        <f>IF($N36="","",IF(NOT(ISNUMBER($D36)),"",IF($D36&lt;InicioCiclo,"Antes del ciclo",IF($D36&gt;=InicioCiclo+28,"Después del ciclo","Semana "&amp;(INT(($D36-InicioCiclo)/7)+1)))))</f>
        <v/>
      </c>
      <c r="F36" s="68">
        <f>IF($N36="","",IF($P36&gt;0,IF(1&lt;=SemanaActual,INDEX('Cronograma Asistente Técnico'!$Y$5:$Y$1000,$N36),""),IF(INDEX('Cronograma Asistente Técnico'!$G$5:$G$1000,$N36)="","",INDEX('Cronograma Asistente Técnico'!$G$5:$G$1000,$N36))))</f>
        <v/>
      </c>
      <c r="G36" s="68">
        <f>IF($N36="","",IF($P36&gt;0,IF(2&lt;=SemanaActual,INDEX('Cronograma Asistente Técnico'!$Z$5:$Z$1000,$N36),""),IF(INDEX('Cronograma Asistente Técnico'!$H$5:$H$1000,$N36)="","",INDEX('Cronograma Asistente Técnico'!$H$5:$H$1000,$N36))))</f>
        <v/>
      </c>
      <c r="H36" s="68">
        <f>IF($N36="","",IF($P36&gt;0,IF(3&lt;=SemanaActual,INDEX('Cronograma Asistente Técnico'!$AA$5:$AA$1000,$N36),""),IF(INDEX('Cronograma Asistente Técnico'!$I$5:$I$1000,$N36)="","",INDEX('Cronograma Asistente Técnico'!$I$5:$I$1000,$N36))))</f>
        <v/>
      </c>
      <c r="I36" s="68">
        <f>IF($N36="","",IF($P36&gt;0,IF(4&lt;=SemanaActual,INDEX('Cronograma Asistente Técnico'!$AB$5:$AB$1000,$N36),""),IF(INDEX('Cronograma Asistente Técnico'!$J$5:$J$1000,$N36)="","",INDEX('Cronograma Asistente Técnico'!$J$5:$J$1000,$N36))))</f>
        <v/>
      </c>
      <c r="J36" s="68">
        <f>IF($N36="","",INDEX('Cronograma Asistente Técnico'!$K$5:$K$1000,$N36))</f>
        <v/>
      </c>
      <c r="K36" s="62">
        <f>IF($N36="","",IF(N($J36)&gt;=1,"Completado",IF(AND(ISNUMBER($D36),$D36&lt;FechaRef),"Vencida",IF(N($J36)&gt;0,"En curso","Pendiente"))))</f>
        <v/>
      </c>
      <c r="L36" s="62">
        <f>IF($N36="","",INDEX('Cronograma Asistente Técnico'!$M$5:$M$1000,$N36)&amp;"")</f>
        <v/>
      </c>
      <c r="M36" s="71">
        <f>IF($N36="","",INDEX('Cronograma Asistente Técnico'!$N$5:$N$1000,$N36)&amp;"")</f>
        <v/>
      </c>
      <c r="N36">
        <f>IFERROR(MATCH(ROW()-4,rOrden_ATR,0),"")</f>
        <v/>
      </c>
      <c r="O36">
        <f>IF($N36="","",INDEX('Cronograma Asistente Técnico'!$S$5:$S$1000,$N36))</f>
        <v/>
      </c>
      <c r="P36">
        <f>IF($N36="","",N(INDEX('Cronograma Asistente Técnico'!$T$5:$T$1000,$N36)))</f>
        <v/>
      </c>
    </row>
    <row r="37">
      <c r="A37" s="62">
        <f>IF($N37="","",INDEX('Cronograma Asistente Técnico'!$A$5:$A$1000,$N37))</f>
        <v/>
      </c>
      <c r="B37" s="71">
        <f>IF($N37="","",IF($O37="Sub","      ↳  "&amp;INDEX('Cronograma Asistente Técnico'!$C$5:$C$1000,$N37),INDEX('Cronograma Asistente Técnico'!$C$5:$C$1000,$N37)&amp;""))</f>
        <v/>
      </c>
      <c r="C37" s="77">
        <f>IF($N37="","",IF(INDEX('Cronograma Asistente Técnico'!$D$5:$D$1000,$N37)="","",INDEX('Cronograma Asistente Técnico'!$D$5:$D$1000,$N37)))</f>
        <v/>
      </c>
      <c r="D37" s="77">
        <f>IF($N37="","",IF(INDEX('Cronograma Asistente Técnico'!$E$5:$E$1000,$N37)="","",INDEX('Cronograma Asistente Técnico'!$E$5:$E$1000,$N37)))</f>
        <v/>
      </c>
      <c r="E37" s="62">
        <f>IF($N37="","",IF(NOT(ISNUMBER($D37)),"",IF($D37&lt;InicioCiclo,"Antes del ciclo",IF($D37&gt;=InicioCiclo+28,"Después del ciclo","Semana "&amp;(INT(($D37-InicioCiclo)/7)+1)))))</f>
        <v/>
      </c>
      <c r="F37" s="68">
        <f>IF($N37="","",IF($P37&gt;0,IF(1&lt;=SemanaActual,INDEX('Cronograma Asistente Técnico'!$Y$5:$Y$1000,$N37),""),IF(INDEX('Cronograma Asistente Técnico'!$G$5:$G$1000,$N37)="","",INDEX('Cronograma Asistente Técnico'!$G$5:$G$1000,$N37))))</f>
        <v/>
      </c>
      <c r="G37" s="68">
        <f>IF($N37="","",IF($P37&gt;0,IF(2&lt;=SemanaActual,INDEX('Cronograma Asistente Técnico'!$Z$5:$Z$1000,$N37),""),IF(INDEX('Cronograma Asistente Técnico'!$H$5:$H$1000,$N37)="","",INDEX('Cronograma Asistente Técnico'!$H$5:$H$1000,$N37))))</f>
        <v/>
      </c>
      <c r="H37" s="68">
        <f>IF($N37="","",IF($P37&gt;0,IF(3&lt;=SemanaActual,INDEX('Cronograma Asistente Técnico'!$AA$5:$AA$1000,$N37),""),IF(INDEX('Cronograma Asistente Técnico'!$I$5:$I$1000,$N37)="","",INDEX('Cronograma Asistente Técnico'!$I$5:$I$1000,$N37))))</f>
        <v/>
      </c>
      <c r="I37" s="68">
        <f>IF($N37="","",IF($P37&gt;0,IF(4&lt;=SemanaActual,INDEX('Cronograma Asistente Técnico'!$AB$5:$AB$1000,$N37),""),IF(INDEX('Cronograma Asistente Técnico'!$J$5:$J$1000,$N37)="","",INDEX('Cronograma Asistente Técnico'!$J$5:$J$1000,$N37))))</f>
        <v/>
      </c>
      <c r="J37" s="68">
        <f>IF($N37="","",INDEX('Cronograma Asistente Técnico'!$K$5:$K$1000,$N37))</f>
        <v/>
      </c>
      <c r="K37" s="62">
        <f>IF($N37="","",IF(N($J37)&gt;=1,"Completado",IF(AND(ISNUMBER($D37),$D37&lt;FechaRef),"Vencida",IF(N($J37)&gt;0,"En curso","Pendiente"))))</f>
        <v/>
      </c>
      <c r="L37" s="62">
        <f>IF($N37="","",INDEX('Cronograma Asistente Técnico'!$M$5:$M$1000,$N37)&amp;"")</f>
        <v/>
      </c>
      <c r="M37" s="71">
        <f>IF($N37="","",INDEX('Cronograma Asistente Técnico'!$N$5:$N$1000,$N37)&amp;"")</f>
        <v/>
      </c>
      <c r="N37">
        <f>IFERROR(MATCH(ROW()-4,rOrden_ATR,0),"")</f>
        <v/>
      </c>
      <c r="O37">
        <f>IF($N37="","",INDEX('Cronograma Asistente Técnico'!$S$5:$S$1000,$N37))</f>
        <v/>
      </c>
      <c r="P37">
        <f>IF($N37="","",N(INDEX('Cronograma Asistente Técnico'!$T$5:$T$1000,$N37)))</f>
        <v/>
      </c>
    </row>
    <row r="38">
      <c r="A38" s="62">
        <f>IF($N38="","",INDEX('Cronograma Asistente Técnico'!$A$5:$A$1000,$N38))</f>
        <v/>
      </c>
      <c r="B38" s="71">
        <f>IF($N38="","",IF($O38="Sub","      ↳  "&amp;INDEX('Cronograma Asistente Técnico'!$C$5:$C$1000,$N38),INDEX('Cronograma Asistente Técnico'!$C$5:$C$1000,$N38)&amp;""))</f>
        <v/>
      </c>
      <c r="C38" s="77">
        <f>IF($N38="","",IF(INDEX('Cronograma Asistente Técnico'!$D$5:$D$1000,$N38)="","",INDEX('Cronograma Asistente Técnico'!$D$5:$D$1000,$N38)))</f>
        <v/>
      </c>
      <c r="D38" s="77">
        <f>IF($N38="","",IF(INDEX('Cronograma Asistente Técnico'!$E$5:$E$1000,$N38)="","",INDEX('Cronograma Asistente Técnico'!$E$5:$E$1000,$N38)))</f>
        <v/>
      </c>
      <c r="E38" s="62">
        <f>IF($N38="","",IF(NOT(ISNUMBER($D38)),"",IF($D38&lt;InicioCiclo,"Antes del ciclo",IF($D38&gt;=InicioCiclo+28,"Después del ciclo","Semana "&amp;(INT(($D38-InicioCiclo)/7)+1)))))</f>
        <v/>
      </c>
      <c r="F38" s="68">
        <f>IF($N38="","",IF($P38&gt;0,IF(1&lt;=SemanaActual,INDEX('Cronograma Asistente Técnico'!$Y$5:$Y$1000,$N38),""),IF(INDEX('Cronograma Asistente Técnico'!$G$5:$G$1000,$N38)="","",INDEX('Cronograma Asistente Técnico'!$G$5:$G$1000,$N38))))</f>
        <v/>
      </c>
      <c r="G38" s="68">
        <f>IF($N38="","",IF($P38&gt;0,IF(2&lt;=SemanaActual,INDEX('Cronograma Asistente Técnico'!$Z$5:$Z$1000,$N38),""),IF(INDEX('Cronograma Asistente Técnico'!$H$5:$H$1000,$N38)="","",INDEX('Cronograma Asistente Técnico'!$H$5:$H$1000,$N38))))</f>
        <v/>
      </c>
      <c r="H38" s="68">
        <f>IF($N38="","",IF($P38&gt;0,IF(3&lt;=SemanaActual,INDEX('Cronograma Asistente Técnico'!$AA$5:$AA$1000,$N38),""),IF(INDEX('Cronograma Asistente Técnico'!$I$5:$I$1000,$N38)="","",INDEX('Cronograma Asistente Técnico'!$I$5:$I$1000,$N38))))</f>
        <v/>
      </c>
      <c r="I38" s="68">
        <f>IF($N38="","",IF($P38&gt;0,IF(4&lt;=SemanaActual,INDEX('Cronograma Asistente Técnico'!$AB$5:$AB$1000,$N38),""),IF(INDEX('Cronograma Asistente Técnico'!$J$5:$J$1000,$N38)="","",INDEX('Cronograma Asistente Técnico'!$J$5:$J$1000,$N38))))</f>
        <v/>
      </c>
      <c r="J38" s="68">
        <f>IF($N38="","",INDEX('Cronograma Asistente Técnico'!$K$5:$K$1000,$N38))</f>
        <v/>
      </c>
      <c r="K38" s="62">
        <f>IF($N38="","",IF(N($J38)&gt;=1,"Completado",IF(AND(ISNUMBER($D38),$D38&lt;FechaRef),"Vencida",IF(N($J38)&gt;0,"En curso","Pendiente"))))</f>
        <v/>
      </c>
      <c r="L38" s="62">
        <f>IF($N38="","",INDEX('Cronograma Asistente Técnico'!$M$5:$M$1000,$N38)&amp;"")</f>
        <v/>
      </c>
      <c r="M38" s="71">
        <f>IF($N38="","",INDEX('Cronograma Asistente Técnico'!$N$5:$N$1000,$N38)&amp;"")</f>
        <v/>
      </c>
      <c r="N38">
        <f>IFERROR(MATCH(ROW()-4,rOrden_ATR,0),"")</f>
        <v/>
      </c>
      <c r="O38">
        <f>IF($N38="","",INDEX('Cronograma Asistente Técnico'!$S$5:$S$1000,$N38))</f>
        <v/>
      </c>
      <c r="P38">
        <f>IF($N38="","",N(INDEX('Cronograma Asistente Técnico'!$T$5:$T$1000,$N38)))</f>
        <v/>
      </c>
    </row>
    <row r="39">
      <c r="A39" s="62">
        <f>IF($N39="","",INDEX('Cronograma Asistente Técnico'!$A$5:$A$1000,$N39))</f>
        <v/>
      </c>
      <c r="B39" s="71">
        <f>IF($N39="","",IF($O39="Sub","      ↳  "&amp;INDEX('Cronograma Asistente Técnico'!$C$5:$C$1000,$N39),INDEX('Cronograma Asistente Técnico'!$C$5:$C$1000,$N39)&amp;""))</f>
        <v/>
      </c>
      <c r="C39" s="77">
        <f>IF($N39="","",IF(INDEX('Cronograma Asistente Técnico'!$D$5:$D$1000,$N39)="","",INDEX('Cronograma Asistente Técnico'!$D$5:$D$1000,$N39)))</f>
        <v/>
      </c>
      <c r="D39" s="77">
        <f>IF($N39="","",IF(INDEX('Cronograma Asistente Técnico'!$E$5:$E$1000,$N39)="","",INDEX('Cronograma Asistente Técnico'!$E$5:$E$1000,$N39)))</f>
        <v/>
      </c>
      <c r="E39" s="62">
        <f>IF($N39="","",IF(NOT(ISNUMBER($D39)),"",IF($D39&lt;InicioCiclo,"Antes del ciclo",IF($D39&gt;=InicioCiclo+28,"Después del ciclo","Semana "&amp;(INT(($D39-InicioCiclo)/7)+1)))))</f>
        <v/>
      </c>
      <c r="F39" s="68">
        <f>IF($N39="","",IF($P39&gt;0,IF(1&lt;=SemanaActual,INDEX('Cronograma Asistente Técnico'!$Y$5:$Y$1000,$N39),""),IF(INDEX('Cronograma Asistente Técnico'!$G$5:$G$1000,$N39)="","",INDEX('Cronograma Asistente Técnico'!$G$5:$G$1000,$N39))))</f>
        <v/>
      </c>
      <c r="G39" s="68">
        <f>IF($N39="","",IF($P39&gt;0,IF(2&lt;=SemanaActual,INDEX('Cronograma Asistente Técnico'!$Z$5:$Z$1000,$N39),""),IF(INDEX('Cronograma Asistente Técnico'!$H$5:$H$1000,$N39)="","",INDEX('Cronograma Asistente Técnico'!$H$5:$H$1000,$N39))))</f>
        <v/>
      </c>
      <c r="H39" s="68">
        <f>IF($N39="","",IF($P39&gt;0,IF(3&lt;=SemanaActual,INDEX('Cronograma Asistente Técnico'!$AA$5:$AA$1000,$N39),""),IF(INDEX('Cronograma Asistente Técnico'!$I$5:$I$1000,$N39)="","",INDEX('Cronograma Asistente Técnico'!$I$5:$I$1000,$N39))))</f>
        <v/>
      </c>
      <c r="I39" s="68">
        <f>IF($N39="","",IF($P39&gt;0,IF(4&lt;=SemanaActual,INDEX('Cronograma Asistente Técnico'!$AB$5:$AB$1000,$N39),""),IF(INDEX('Cronograma Asistente Técnico'!$J$5:$J$1000,$N39)="","",INDEX('Cronograma Asistente Técnico'!$J$5:$J$1000,$N39))))</f>
        <v/>
      </c>
      <c r="J39" s="68">
        <f>IF($N39="","",INDEX('Cronograma Asistente Técnico'!$K$5:$K$1000,$N39))</f>
        <v/>
      </c>
      <c r="K39" s="62">
        <f>IF($N39="","",IF(N($J39)&gt;=1,"Completado",IF(AND(ISNUMBER($D39),$D39&lt;FechaRef),"Vencida",IF(N($J39)&gt;0,"En curso","Pendiente"))))</f>
        <v/>
      </c>
      <c r="L39" s="62">
        <f>IF($N39="","",INDEX('Cronograma Asistente Técnico'!$M$5:$M$1000,$N39)&amp;"")</f>
        <v/>
      </c>
      <c r="M39" s="71">
        <f>IF($N39="","",INDEX('Cronograma Asistente Técnico'!$N$5:$N$1000,$N39)&amp;"")</f>
        <v/>
      </c>
      <c r="N39">
        <f>IFERROR(MATCH(ROW()-4,rOrden_ATR,0),"")</f>
        <v/>
      </c>
      <c r="O39">
        <f>IF($N39="","",INDEX('Cronograma Asistente Técnico'!$S$5:$S$1000,$N39))</f>
        <v/>
      </c>
      <c r="P39">
        <f>IF($N39="","",N(INDEX('Cronograma Asistente Técnico'!$T$5:$T$1000,$N39)))</f>
        <v/>
      </c>
    </row>
    <row r="40">
      <c r="A40" s="62">
        <f>IF($N40="","",INDEX('Cronograma Asistente Técnico'!$A$5:$A$1000,$N40))</f>
        <v/>
      </c>
      <c r="B40" s="71">
        <f>IF($N40="","",IF($O40="Sub","      ↳  "&amp;INDEX('Cronograma Asistente Técnico'!$C$5:$C$1000,$N40),INDEX('Cronograma Asistente Técnico'!$C$5:$C$1000,$N40)&amp;""))</f>
        <v/>
      </c>
      <c r="C40" s="77">
        <f>IF($N40="","",IF(INDEX('Cronograma Asistente Técnico'!$D$5:$D$1000,$N40)="","",INDEX('Cronograma Asistente Técnico'!$D$5:$D$1000,$N40)))</f>
        <v/>
      </c>
      <c r="D40" s="77">
        <f>IF($N40="","",IF(INDEX('Cronograma Asistente Técnico'!$E$5:$E$1000,$N40)="","",INDEX('Cronograma Asistente Técnico'!$E$5:$E$1000,$N40)))</f>
        <v/>
      </c>
      <c r="E40" s="62">
        <f>IF($N40="","",IF(NOT(ISNUMBER($D40)),"",IF($D40&lt;InicioCiclo,"Antes del ciclo",IF($D40&gt;=InicioCiclo+28,"Después del ciclo","Semana "&amp;(INT(($D40-InicioCiclo)/7)+1)))))</f>
        <v/>
      </c>
      <c r="F40" s="68">
        <f>IF($N40="","",IF($P40&gt;0,IF(1&lt;=SemanaActual,INDEX('Cronograma Asistente Técnico'!$Y$5:$Y$1000,$N40),""),IF(INDEX('Cronograma Asistente Técnico'!$G$5:$G$1000,$N40)="","",INDEX('Cronograma Asistente Técnico'!$G$5:$G$1000,$N40))))</f>
        <v/>
      </c>
      <c r="G40" s="68">
        <f>IF($N40="","",IF($P40&gt;0,IF(2&lt;=SemanaActual,INDEX('Cronograma Asistente Técnico'!$Z$5:$Z$1000,$N40),""),IF(INDEX('Cronograma Asistente Técnico'!$H$5:$H$1000,$N40)="","",INDEX('Cronograma Asistente Técnico'!$H$5:$H$1000,$N40))))</f>
        <v/>
      </c>
      <c r="H40" s="68">
        <f>IF($N40="","",IF($P40&gt;0,IF(3&lt;=SemanaActual,INDEX('Cronograma Asistente Técnico'!$AA$5:$AA$1000,$N40),""),IF(INDEX('Cronograma Asistente Técnico'!$I$5:$I$1000,$N40)="","",INDEX('Cronograma Asistente Técnico'!$I$5:$I$1000,$N40))))</f>
        <v/>
      </c>
      <c r="I40" s="68">
        <f>IF($N40="","",IF($P40&gt;0,IF(4&lt;=SemanaActual,INDEX('Cronograma Asistente Técnico'!$AB$5:$AB$1000,$N40),""),IF(INDEX('Cronograma Asistente Técnico'!$J$5:$J$1000,$N40)="","",INDEX('Cronograma Asistente Técnico'!$J$5:$J$1000,$N40))))</f>
        <v/>
      </c>
      <c r="J40" s="68">
        <f>IF($N40="","",INDEX('Cronograma Asistente Técnico'!$K$5:$K$1000,$N40))</f>
        <v/>
      </c>
      <c r="K40" s="62">
        <f>IF($N40="","",IF(N($J40)&gt;=1,"Completado",IF(AND(ISNUMBER($D40),$D40&lt;FechaRef),"Vencida",IF(N($J40)&gt;0,"En curso","Pendiente"))))</f>
        <v/>
      </c>
      <c r="L40" s="62">
        <f>IF($N40="","",INDEX('Cronograma Asistente Técnico'!$M$5:$M$1000,$N40)&amp;"")</f>
        <v/>
      </c>
      <c r="M40" s="71">
        <f>IF($N40="","",INDEX('Cronograma Asistente Técnico'!$N$5:$N$1000,$N40)&amp;"")</f>
        <v/>
      </c>
      <c r="N40">
        <f>IFERROR(MATCH(ROW()-4,rOrden_ATR,0),"")</f>
        <v/>
      </c>
      <c r="O40">
        <f>IF($N40="","",INDEX('Cronograma Asistente Técnico'!$S$5:$S$1000,$N40))</f>
        <v/>
      </c>
      <c r="P40">
        <f>IF($N40="","",N(INDEX('Cronograma Asistente Técnico'!$T$5:$T$1000,$N40)))</f>
        <v/>
      </c>
    </row>
    <row r="41">
      <c r="A41" s="62">
        <f>IF($N41="","",INDEX('Cronograma Asistente Técnico'!$A$5:$A$1000,$N41))</f>
        <v/>
      </c>
      <c r="B41" s="71">
        <f>IF($N41="","",IF($O41="Sub","      ↳  "&amp;INDEX('Cronograma Asistente Técnico'!$C$5:$C$1000,$N41),INDEX('Cronograma Asistente Técnico'!$C$5:$C$1000,$N41)&amp;""))</f>
        <v/>
      </c>
      <c r="C41" s="77">
        <f>IF($N41="","",IF(INDEX('Cronograma Asistente Técnico'!$D$5:$D$1000,$N41)="","",INDEX('Cronograma Asistente Técnico'!$D$5:$D$1000,$N41)))</f>
        <v/>
      </c>
      <c r="D41" s="77">
        <f>IF($N41="","",IF(INDEX('Cronograma Asistente Técnico'!$E$5:$E$1000,$N41)="","",INDEX('Cronograma Asistente Técnico'!$E$5:$E$1000,$N41)))</f>
        <v/>
      </c>
      <c r="E41" s="62">
        <f>IF($N41="","",IF(NOT(ISNUMBER($D41)),"",IF($D41&lt;InicioCiclo,"Antes del ciclo",IF($D41&gt;=InicioCiclo+28,"Después del ciclo","Semana "&amp;(INT(($D41-InicioCiclo)/7)+1)))))</f>
        <v/>
      </c>
      <c r="F41" s="68">
        <f>IF($N41="","",IF($P41&gt;0,IF(1&lt;=SemanaActual,INDEX('Cronograma Asistente Técnico'!$Y$5:$Y$1000,$N41),""),IF(INDEX('Cronograma Asistente Técnico'!$G$5:$G$1000,$N41)="","",INDEX('Cronograma Asistente Técnico'!$G$5:$G$1000,$N41))))</f>
        <v/>
      </c>
      <c r="G41" s="68">
        <f>IF($N41="","",IF($P41&gt;0,IF(2&lt;=SemanaActual,INDEX('Cronograma Asistente Técnico'!$Z$5:$Z$1000,$N41),""),IF(INDEX('Cronograma Asistente Técnico'!$H$5:$H$1000,$N41)="","",INDEX('Cronograma Asistente Técnico'!$H$5:$H$1000,$N41))))</f>
        <v/>
      </c>
      <c r="H41" s="68">
        <f>IF($N41="","",IF($P41&gt;0,IF(3&lt;=SemanaActual,INDEX('Cronograma Asistente Técnico'!$AA$5:$AA$1000,$N41),""),IF(INDEX('Cronograma Asistente Técnico'!$I$5:$I$1000,$N41)="","",INDEX('Cronograma Asistente Técnico'!$I$5:$I$1000,$N41))))</f>
        <v/>
      </c>
      <c r="I41" s="68">
        <f>IF($N41="","",IF($P41&gt;0,IF(4&lt;=SemanaActual,INDEX('Cronograma Asistente Técnico'!$AB$5:$AB$1000,$N41),""),IF(INDEX('Cronograma Asistente Técnico'!$J$5:$J$1000,$N41)="","",INDEX('Cronograma Asistente Técnico'!$J$5:$J$1000,$N41))))</f>
        <v/>
      </c>
      <c r="J41" s="68">
        <f>IF($N41="","",INDEX('Cronograma Asistente Técnico'!$K$5:$K$1000,$N41))</f>
        <v/>
      </c>
      <c r="K41" s="62">
        <f>IF($N41="","",IF(N($J41)&gt;=1,"Completado",IF(AND(ISNUMBER($D41),$D41&lt;FechaRef),"Vencida",IF(N($J41)&gt;0,"En curso","Pendiente"))))</f>
        <v/>
      </c>
      <c r="L41" s="62">
        <f>IF($N41="","",INDEX('Cronograma Asistente Técnico'!$M$5:$M$1000,$N41)&amp;"")</f>
        <v/>
      </c>
      <c r="M41" s="71">
        <f>IF($N41="","",INDEX('Cronograma Asistente Técnico'!$N$5:$N$1000,$N41)&amp;"")</f>
        <v/>
      </c>
      <c r="N41">
        <f>IFERROR(MATCH(ROW()-4,rOrden_ATR,0),"")</f>
        <v/>
      </c>
      <c r="O41">
        <f>IF($N41="","",INDEX('Cronograma Asistente Técnico'!$S$5:$S$1000,$N41))</f>
        <v/>
      </c>
      <c r="P41">
        <f>IF($N41="","",N(INDEX('Cronograma Asistente Técnico'!$T$5:$T$1000,$N41)))</f>
        <v/>
      </c>
    </row>
    <row r="42">
      <c r="A42" s="62">
        <f>IF($N42="","",INDEX('Cronograma Asistente Técnico'!$A$5:$A$1000,$N42))</f>
        <v/>
      </c>
      <c r="B42" s="71">
        <f>IF($N42="","",IF($O42="Sub","      ↳  "&amp;INDEX('Cronograma Asistente Técnico'!$C$5:$C$1000,$N42),INDEX('Cronograma Asistente Técnico'!$C$5:$C$1000,$N42)&amp;""))</f>
        <v/>
      </c>
      <c r="C42" s="77">
        <f>IF($N42="","",IF(INDEX('Cronograma Asistente Técnico'!$D$5:$D$1000,$N42)="","",INDEX('Cronograma Asistente Técnico'!$D$5:$D$1000,$N42)))</f>
        <v/>
      </c>
      <c r="D42" s="77">
        <f>IF($N42="","",IF(INDEX('Cronograma Asistente Técnico'!$E$5:$E$1000,$N42)="","",INDEX('Cronograma Asistente Técnico'!$E$5:$E$1000,$N42)))</f>
        <v/>
      </c>
      <c r="E42" s="62">
        <f>IF($N42="","",IF(NOT(ISNUMBER($D42)),"",IF($D42&lt;InicioCiclo,"Antes del ciclo",IF($D42&gt;=InicioCiclo+28,"Después del ciclo","Semana "&amp;(INT(($D42-InicioCiclo)/7)+1)))))</f>
        <v/>
      </c>
      <c r="F42" s="68">
        <f>IF($N42="","",IF($P42&gt;0,IF(1&lt;=SemanaActual,INDEX('Cronograma Asistente Técnico'!$Y$5:$Y$1000,$N42),""),IF(INDEX('Cronograma Asistente Técnico'!$G$5:$G$1000,$N42)="","",INDEX('Cronograma Asistente Técnico'!$G$5:$G$1000,$N42))))</f>
        <v/>
      </c>
      <c r="G42" s="68">
        <f>IF($N42="","",IF($P42&gt;0,IF(2&lt;=SemanaActual,INDEX('Cronograma Asistente Técnico'!$Z$5:$Z$1000,$N42),""),IF(INDEX('Cronograma Asistente Técnico'!$H$5:$H$1000,$N42)="","",INDEX('Cronograma Asistente Técnico'!$H$5:$H$1000,$N42))))</f>
        <v/>
      </c>
      <c r="H42" s="68">
        <f>IF($N42="","",IF($P42&gt;0,IF(3&lt;=SemanaActual,INDEX('Cronograma Asistente Técnico'!$AA$5:$AA$1000,$N42),""),IF(INDEX('Cronograma Asistente Técnico'!$I$5:$I$1000,$N42)="","",INDEX('Cronograma Asistente Técnico'!$I$5:$I$1000,$N42))))</f>
        <v/>
      </c>
      <c r="I42" s="68">
        <f>IF($N42="","",IF($P42&gt;0,IF(4&lt;=SemanaActual,INDEX('Cronograma Asistente Técnico'!$AB$5:$AB$1000,$N42),""),IF(INDEX('Cronograma Asistente Técnico'!$J$5:$J$1000,$N42)="","",INDEX('Cronograma Asistente Técnico'!$J$5:$J$1000,$N42))))</f>
        <v/>
      </c>
      <c r="J42" s="68">
        <f>IF($N42="","",INDEX('Cronograma Asistente Técnico'!$K$5:$K$1000,$N42))</f>
        <v/>
      </c>
      <c r="K42" s="62">
        <f>IF($N42="","",IF(N($J42)&gt;=1,"Completado",IF(AND(ISNUMBER($D42),$D42&lt;FechaRef),"Vencida",IF(N($J42)&gt;0,"En curso","Pendiente"))))</f>
        <v/>
      </c>
      <c r="L42" s="62">
        <f>IF($N42="","",INDEX('Cronograma Asistente Técnico'!$M$5:$M$1000,$N42)&amp;"")</f>
        <v/>
      </c>
      <c r="M42" s="71">
        <f>IF($N42="","",INDEX('Cronograma Asistente Técnico'!$N$5:$N$1000,$N42)&amp;"")</f>
        <v/>
      </c>
      <c r="N42">
        <f>IFERROR(MATCH(ROW()-4,rOrden_ATR,0),"")</f>
        <v/>
      </c>
      <c r="O42">
        <f>IF($N42="","",INDEX('Cronograma Asistente Técnico'!$S$5:$S$1000,$N42))</f>
        <v/>
      </c>
      <c r="P42">
        <f>IF($N42="","",N(INDEX('Cronograma Asistente Técnico'!$T$5:$T$1000,$N42)))</f>
        <v/>
      </c>
    </row>
    <row r="43">
      <c r="A43" s="62">
        <f>IF($N43="","",INDEX('Cronograma Asistente Técnico'!$A$5:$A$1000,$N43))</f>
        <v/>
      </c>
      <c r="B43" s="71">
        <f>IF($N43="","",IF($O43="Sub","      ↳  "&amp;INDEX('Cronograma Asistente Técnico'!$C$5:$C$1000,$N43),INDEX('Cronograma Asistente Técnico'!$C$5:$C$1000,$N43)&amp;""))</f>
        <v/>
      </c>
      <c r="C43" s="77">
        <f>IF($N43="","",IF(INDEX('Cronograma Asistente Técnico'!$D$5:$D$1000,$N43)="","",INDEX('Cronograma Asistente Técnico'!$D$5:$D$1000,$N43)))</f>
        <v/>
      </c>
      <c r="D43" s="77">
        <f>IF($N43="","",IF(INDEX('Cronograma Asistente Técnico'!$E$5:$E$1000,$N43)="","",INDEX('Cronograma Asistente Técnico'!$E$5:$E$1000,$N43)))</f>
        <v/>
      </c>
      <c r="E43" s="62">
        <f>IF($N43="","",IF(NOT(ISNUMBER($D43)),"",IF($D43&lt;InicioCiclo,"Antes del ciclo",IF($D43&gt;=InicioCiclo+28,"Después del ciclo","Semana "&amp;(INT(($D43-InicioCiclo)/7)+1)))))</f>
        <v/>
      </c>
      <c r="F43" s="68">
        <f>IF($N43="","",IF($P43&gt;0,IF(1&lt;=SemanaActual,INDEX('Cronograma Asistente Técnico'!$Y$5:$Y$1000,$N43),""),IF(INDEX('Cronograma Asistente Técnico'!$G$5:$G$1000,$N43)="","",INDEX('Cronograma Asistente Técnico'!$G$5:$G$1000,$N43))))</f>
        <v/>
      </c>
      <c r="G43" s="68">
        <f>IF($N43="","",IF($P43&gt;0,IF(2&lt;=SemanaActual,INDEX('Cronograma Asistente Técnico'!$Z$5:$Z$1000,$N43),""),IF(INDEX('Cronograma Asistente Técnico'!$H$5:$H$1000,$N43)="","",INDEX('Cronograma Asistente Técnico'!$H$5:$H$1000,$N43))))</f>
        <v/>
      </c>
      <c r="H43" s="68">
        <f>IF($N43="","",IF($P43&gt;0,IF(3&lt;=SemanaActual,INDEX('Cronograma Asistente Técnico'!$AA$5:$AA$1000,$N43),""),IF(INDEX('Cronograma Asistente Técnico'!$I$5:$I$1000,$N43)="","",INDEX('Cronograma Asistente Técnico'!$I$5:$I$1000,$N43))))</f>
        <v/>
      </c>
      <c r="I43" s="68">
        <f>IF($N43="","",IF($P43&gt;0,IF(4&lt;=SemanaActual,INDEX('Cronograma Asistente Técnico'!$AB$5:$AB$1000,$N43),""),IF(INDEX('Cronograma Asistente Técnico'!$J$5:$J$1000,$N43)="","",INDEX('Cronograma Asistente Técnico'!$J$5:$J$1000,$N43))))</f>
        <v/>
      </c>
      <c r="J43" s="68">
        <f>IF($N43="","",INDEX('Cronograma Asistente Técnico'!$K$5:$K$1000,$N43))</f>
        <v/>
      </c>
      <c r="K43" s="62">
        <f>IF($N43="","",IF(N($J43)&gt;=1,"Completado",IF(AND(ISNUMBER($D43),$D43&lt;FechaRef),"Vencida",IF(N($J43)&gt;0,"En curso","Pendiente"))))</f>
        <v/>
      </c>
      <c r="L43" s="62">
        <f>IF($N43="","",INDEX('Cronograma Asistente Técnico'!$M$5:$M$1000,$N43)&amp;"")</f>
        <v/>
      </c>
      <c r="M43" s="71">
        <f>IF($N43="","",INDEX('Cronograma Asistente Técnico'!$N$5:$N$1000,$N43)&amp;"")</f>
        <v/>
      </c>
      <c r="N43">
        <f>IFERROR(MATCH(ROW()-4,rOrden_ATR,0),"")</f>
        <v/>
      </c>
      <c r="O43">
        <f>IF($N43="","",INDEX('Cronograma Asistente Técnico'!$S$5:$S$1000,$N43))</f>
        <v/>
      </c>
      <c r="P43">
        <f>IF($N43="","",N(INDEX('Cronograma Asistente Técnico'!$T$5:$T$1000,$N43)))</f>
        <v/>
      </c>
    </row>
    <row r="44">
      <c r="A44" s="62">
        <f>IF($N44="","",INDEX('Cronograma Asistente Técnico'!$A$5:$A$1000,$N44))</f>
        <v/>
      </c>
      <c r="B44" s="71">
        <f>IF($N44="","",IF($O44="Sub","      ↳  "&amp;INDEX('Cronograma Asistente Técnico'!$C$5:$C$1000,$N44),INDEX('Cronograma Asistente Técnico'!$C$5:$C$1000,$N44)&amp;""))</f>
        <v/>
      </c>
      <c r="C44" s="77">
        <f>IF($N44="","",IF(INDEX('Cronograma Asistente Técnico'!$D$5:$D$1000,$N44)="","",INDEX('Cronograma Asistente Técnico'!$D$5:$D$1000,$N44)))</f>
        <v/>
      </c>
      <c r="D44" s="77">
        <f>IF($N44="","",IF(INDEX('Cronograma Asistente Técnico'!$E$5:$E$1000,$N44)="","",INDEX('Cronograma Asistente Técnico'!$E$5:$E$1000,$N44)))</f>
        <v/>
      </c>
      <c r="E44" s="62">
        <f>IF($N44="","",IF(NOT(ISNUMBER($D44)),"",IF($D44&lt;InicioCiclo,"Antes del ciclo",IF($D44&gt;=InicioCiclo+28,"Después del ciclo","Semana "&amp;(INT(($D44-InicioCiclo)/7)+1)))))</f>
        <v/>
      </c>
      <c r="F44" s="68">
        <f>IF($N44="","",IF($P44&gt;0,IF(1&lt;=SemanaActual,INDEX('Cronograma Asistente Técnico'!$Y$5:$Y$1000,$N44),""),IF(INDEX('Cronograma Asistente Técnico'!$G$5:$G$1000,$N44)="","",INDEX('Cronograma Asistente Técnico'!$G$5:$G$1000,$N44))))</f>
        <v/>
      </c>
      <c r="G44" s="68">
        <f>IF($N44="","",IF($P44&gt;0,IF(2&lt;=SemanaActual,INDEX('Cronograma Asistente Técnico'!$Z$5:$Z$1000,$N44),""),IF(INDEX('Cronograma Asistente Técnico'!$H$5:$H$1000,$N44)="","",INDEX('Cronograma Asistente Técnico'!$H$5:$H$1000,$N44))))</f>
        <v/>
      </c>
      <c r="H44" s="68">
        <f>IF($N44="","",IF($P44&gt;0,IF(3&lt;=SemanaActual,INDEX('Cronograma Asistente Técnico'!$AA$5:$AA$1000,$N44),""),IF(INDEX('Cronograma Asistente Técnico'!$I$5:$I$1000,$N44)="","",INDEX('Cronograma Asistente Técnico'!$I$5:$I$1000,$N44))))</f>
        <v/>
      </c>
      <c r="I44" s="68">
        <f>IF($N44="","",IF($P44&gt;0,IF(4&lt;=SemanaActual,INDEX('Cronograma Asistente Técnico'!$AB$5:$AB$1000,$N44),""),IF(INDEX('Cronograma Asistente Técnico'!$J$5:$J$1000,$N44)="","",INDEX('Cronograma Asistente Técnico'!$J$5:$J$1000,$N44))))</f>
        <v/>
      </c>
      <c r="J44" s="68">
        <f>IF($N44="","",INDEX('Cronograma Asistente Técnico'!$K$5:$K$1000,$N44))</f>
        <v/>
      </c>
      <c r="K44" s="62">
        <f>IF($N44="","",IF(N($J44)&gt;=1,"Completado",IF(AND(ISNUMBER($D44),$D44&lt;FechaRef),"Vencida",IF(N($J44)&gt;0,"En curso","Pendiente"))))</f>
        <v/>
      </c>
      <c r="L44" s="62">
        <f>IF($N44="","",INDEX('Cronograma Asistente Técnico'!$M$5:$M$1000,$N44)&amp;"")</f>
        <v/>
      </c>
      <c r="M44" s="71">
        <f>IF($N44="","",INDEX('Cronograma Asistente Técnico'!$N$5:$N$1000,$N44)&amp;"")</f>
        <v/>
      </c>
      <c r="N44">
        <f>IFERROR(MATCH(ROW()-4,rOrden_ATR,0),"")</f>
        <v/>
      </c>
      <c r="O44">
        <f>IF($N44="","",INDEX('Cronograma Asistente Técnico'!$S$5:$S$1000,$N44))</f>
        <v/>
      </c>
      <c r="P44">
        <f>IF($N44="","",N(INDEX('Cronograma Asistente Técnico'!$T$5:$T$1000,$N44)))</f>
        <v/>
      </c>
    </row>
    <row r="45">
      <c r="A45" s="62">
        <f>IF($N45="","",INDEX('Cronograma Asistente Técnico'!$A$5:$A$1000,$N45))</f>
        <v/>
      </c>
      <c r="B45" s="71">
        <f>IF($N45="","",IF($O45="Sub","      ↳  "&amp;INDEX('Cronograma Asistente Técnico'!$C$5:$C$1000,$N45),INDEX('Cronograma Asistente Técnico'!$C$5:$C$1000,$N45)&amp;""))</f>
        <v/>
      </c>
      <c r="C45" s="77">
        <f>IF($N45="","",IF(INDEX('Cronograma Asistente Técnico'!$D$5:$D$1000,$N45)="","",INDEX('Cronograma Asistente Técnico'!$D$5:$D$1000,$N45)))</f>
        <v/>
      </c>
      <c r="D45" s="77">
        <f>IF($N45="","",IF(INDEX('Cronograma Asistente Técnico'!$E$5:$E$1000,$N45)="","",INDEX('Cronograma Asistente Técnico'!$E$5:$E$1000,$N45)))</f>
        <v/>
      </c>
      <c r="E45" s="62">
        <f>IF($N45="","",IF(NOT(ISNUMBER($D45)),"",IF($D45&lt;InicioCiclo,"Antes del ciclo",IF($D45&gt;=InicioCiclo+28,"Después del ciclo","Semana "&amp;(INT(($D45-InicioCiclo)/7)+1)))))</f>
        <v/>
      </c>
      <c r="F45" s="68">
        <f>IF($N45="","",IF($P45&gt;0,IF(1&lt;=SemanaActual,INDEX('Cronograma Asistente Técnico'!$Y$5:$Y$1000,$N45),""),IF(INDEX('Cronograma Asistente Técnico'!$G$5:$G$1000,$N45)="","",INDEX('Cronograma Asistente Técnico'!$G$5:$G$1000,$N45))))</f>
        <v/>
      </c>
      <c r="G45" s="68">
        <f>IF($N45="","",IF($P45&gt;0,IF(2&lt;=SemanaActual,INDEX('Cronograma Asistente Técnico'!$Z$5:$Z$1000,$N45),""),IF(INDEX('Cronograma Asistente Técnico'!$H$5:$H$1000,$N45)="","",INDEX('Cronograma Asistente Técnico'!$H$5:$H$1000,$N45))))</f>
        <v/>
      </c>
      <c r="H45" s="68">
        <f>IF($N45="","",IF($P45&gt;0,IF(3&lt;=SemanaActual,INDEX('Cronograma Asistente Técnico'!$AA$5:$AA$1000,$N45),""),IF(INDEX('Cronograma Asistente Técnico'!$I$5:$I$1000,$N45)="","",INDEX('Cronograma Asistente Técnico'!$I$5:$I$1000,$N45))))</f>
        <v/>
      </c>
      <c r="I45" s="68">
        <f>IF($N45="","",IF($P45&gt;0,IF(4&lt;=SemanaActual,INDEX('Cronograma Asistente Técnico'!$AB$5:$AB$1000,$N45),""),IF(INDEX('Cronograma Asistente Técnico'!$J$5:$J$1000,$N45)="","",INDEX('Cronograma Asistente Técnico'!$J$5:$J$1000,$N45))))</f>
        <v/>
      </c>
      <c r="J45" s="68">
        <f>IF($N45="","",INDEX('Cronograma Asistente Técnico'!$K$5:$K$1000,$N45))</f>
        <v/>
      </c>
      <c r="K45" s="62">
        <f>IF($N45="","",IF(N($J45)&gt;=1,"Completado",IF(AND(ISNUMBER($D45),$D45&lt;FechaRef),"Vencida",IF(N($J45)&gt;0,"En curso","Pendiente"))))</f>
        <v/>
      </c>
      <c r="L45" s="62">
        <f>IF($N45="","",INDEX('Cronograma Asistente Técnico'!$M$5:$M$1000,$N45)&amp;"")</f>
        <v/>
      </c>
      <c r="M45" s="71">
        <f>IF($N45="","",INDEX('Cronograma Asistente Técnico'!$N$5:$N$1000,$N45)&amp;"")</f>
        <v/>
      </c>
      <c r="N45">
        <f>IFERROR(MATCH(ROW()-4,rOrden_ATR,0),"")</f>
        <v/>
      </c>
      <c r="O45">
        <f>IF($N45="","",INDEX('Cronograma Asistente Técnico'!$S$5:$S$1000,$N45))</f>
        <v/>
      </c>
      <c r="P45">
        <f>IF($N45="","",N(INDEX('Cronograma Asistente Técnico'!$T$5:$T$1000,$N45)))</f>
        <v/>
      </c>
    </row>
    <row r="46">
      <c r="A46" s="62">
        <f>IF($N46="","",INDEX('Cronograma Asistente Técnico'!$A$5:$A$1000,$N46))</f>
        <v/>
      </c>
      <c r="B46" s="71">
        <f>IF($N46="","",IF($O46="Sub","      ↳  "&amp;INDEX('Cronograma Asistente Técnico'!$C$5:$C$1000,$N46),INDEX('Cronograma Asistente Técnico'!$C$5:$C$1000,$N46)&amp;""))</f>
        <v/>
      </c>
      <c r="C46" s="77">
        <f>IF($N46="","",IF(INDEX('Cronograma Asistente Técnico'!$D$5:$D$1000,$N46)="","",INDEX('Cronograma Asistente Técnico'!$D$5:$D$1000,$N46)))</f>
        <v/>
      </c>
      <c r="D46" s="77">
        <f>IF($N46="","",IF(INDEX('Cronograma Asistente Técnico'!$E$5:$E$1000,$N46)="","",INDEX('Cronograma Asistente Técnico'!$E$5:$E$1000,$N46)))</f>
        <v/>
      </c>
      <c r="E46" s="62">
        <f>IF($N46="","",IF(NOT(ISNUMBER($D46)),"",IF($D46&lt;InicioCiclo,"Antes del ciclo",IF($D46&gt;=InicioCiclo+28,"Después del ciclo","Semana "&amp;(INT(($D46-InicioCiclo)/7)+1)))))</f>
        <v/>
      </c>
      <c r="F46" s="68">
        <f>IF($N46="","",IF($P46&gt;0,IF(1&lt;=SemanaActual,INDEX('Cronograma Asistente Técnico'!$Y$5:$Y$1000,$N46),""),IF(INDEX('Cronograma Asistente Técnico'!$G$5:$G$1000,$N46)="","",INDEX('Cronograma Asistente Técnico'!$G$5:$G$1000,$N46))))</f>
        <v/>
      </c>
      <c r="G46" s="68">
        <f>IF($N46="","",IF($P46&gt;0,IF(2&lt;=SemanaActual,INDEX('Cronograma Asistente Técnico'!$Z$5:$Z$1000,$N46),""),IF(INDEX('Cronograma Asistente Técnico'!$H$5:$H$1000,$N46)="","",INDEX('Cronograma Asistente Técnico'!$H$5:$H$1000,$N46))))</f>
        <v/>
      </c>
      <c r="H46" s="68">
        <f>IF($N46="","",IF($P46&gt;0,IF(3&lt;=SemanaActual,INDEX('Cronograma Asistente Técnico'!$AA$5:$AA$1000,$N46),""),IF(INDEX('Cronograma Asistente Técnico'!$I$5:$I$1000,$N46)="","",INDEX('Cronograma Asistente Técnico'!$I$5:$I$1000,$N46))))</f>
        <v/>
      </c>
      <c r="I46" s="68">
        <f>IF($N46="","",IF($P46&gt;0,IF(4&lt;=SemanaActual,INDEX('Cronograma Asistente Técnico'!$AB$5:$AB$1000,$N46),""),IF(INDEX('Cronograma Asistente Técnico'!$J$5:$J$1000,$N46)="","",INDEX('Cronograma Asistente Técnico'!$J$5:$J$1000,$N46))))</f>
        <v/>
      </c>
      <c r="J46" s="68">
        <f>IF($N46="","",INDEX('Cronograma Asistente Técnico'!$K$5:$K$1000,$N46))</f>
        <v/>
      </c>
      <c r="K46" s="62">
        <f>IF($N46="","",IF(N($J46)&gt;=1,"Completado",IF(AND(ISNUMBER($D46),$D46&lt;FechaRef),"Vencida",IF(N($J46)&gt;0,"En curso","Pendiente"))))</f>
        <v/>
      </c>
      <c r="L46" s="62">
        <f>IF($N46="","",INDEX('Cronograma Asistente Técnico'!$M$5:$M$1000,$N46)&amp;"")</f>
        <v/>
      </c>
      <c r="M46" s="71">
        <f>IF($N46="","",INDEX('Cronograma Asistente Técnico'!$N$5:$N$1000,$N46)&amp;"")</f>
        <v/>
      </c>
      <c r="N46">
        <f>IFERROR(MATCH(ROW()-4,rOrden_ATR,0),"")</f>
        <v/>
      </c>
      <c r="O46">
        <f>IF($N46="","",INDEX('Cronograma Asistente Técnico'!$S$5:$S$1000,$N46))</f>
        <v/>
      </c>
      <c r="P46">
        <f>IF($N46="","",N(INDEX('Cronograma Asistente Técnico'!$T$5:$T$1000,$N46)))</f>
        <v/>
      </c>
    </row>
    <row r="47">
      <c r="A47" s="62">
        <f>IF($N47="","",INDEX('Cronograma Asistente Técnico'!$A$5:$A$1000,$N47))</f>
        <v/>
      </c>
      <c r="B47" s="71">
        <f>IF($N47="","",IF($O47="Sub","      ↳  "&amp;INDEX('Cronograma Asistente Técnico'!$C$5:$C$1000,$N47),INDEX('Cronograma Asistente Técnico'!$C$5:$C$1000,$N47)&amp;""))</f>
        <v/>
      </c>
      <c r="C47" s="77">
        <f>IF($N47="","",IF(INDEX('Cronograma Asistente Técnico'!$D$5:$D$1000,$N47)="","",INDEX('Cronograma Asistente Técnico'!$D$5:$D$1000,$N47)))</f>
        <v/>
      </c>
      <c r="D47" s="77">
        <f>IF($N47="","",IF(INDEX('Cronograma Asistente Técnico'!$E$5:$E$1000,$N47)="","",INDEX('Cronograma Asistente Técnico'!$E$5:$E$1000,$N47)))</f>
        <v/>
      </c>
      <c r="E47" s="62">
        <f>IF($N47="","",IF(NOT(ISNUMBER($D47)),"",IF($D47&lt;InicioCiclo,"Antes del ciclo",IF($D47&gt;=InicioCiclo+28,"Después del ciclo","Semana "&amp;(INT(($D47-InicioCiclo)/7)+1)))))</f>
        <v/>
      </c>
      <c r="F47" s="68">
        <f>IF($N47="","",IF($P47&gt;0,IF(1&lt;=SemanaActual,INDEX('Cronograma Asistente Técnico'!$Y$5:$Y$1000,$N47),""),IF(INDEX('Cronograma Asistente Técnico'!$G$5:$G$1000,$N47)="","",INDEX('Cronograma Asistente Técnico'!$G$5:$G$1000,$N47))))</f>
        <v/>
      </c>
      <c r="G47" s="68">
        <f>IF($N47="","",IF($P47&gt;0,IF(2&lt;=SemanaActual,INDEX('Cronograma Asistente Técnico'!$Z$5:$Z$1000,$N47),""),IF(INDEX('Cronograma Asistente Técnico'!$H$5:$H$1000,$N47)="","",INDEX('Cronograma Asistente Técnico'!$H$5:$H$1000,$N47))))</f>
        <v/>
      </c>
      <c r="H47" s="68">
        <f>IF($N47="","",IF($P47&gt;0,IF(3&lt;=SemanaActual,INDEX('Cronograma Asistente Técnico'!$AA$5:$AA$1000,$N47),""),IF(INDEX('Cronograma Asistente Técnico'!$I$5:$I$1000,$N47)="","",INDEX('Cronograma Asistente Técnico'!$I$5:$I$1000,$N47))))</f>
        <v/>
      </c>
      <c r="I47" s="68">
        <f>IF($N47="","",IF($P47&gt;0,IF(4&lt;=SemanaActual,INDEX('Cronograma Asistente Técnico'!$AB$5:$AB$1000,$N47),""),IF(INDEX('Cronograma Asistente Técnico'!$J$5:$J$1000,$N47)="","",INDEX('Cronograma Asistente Técnico'!$J$5:$J$1000,$N47))))</f>
        <v/>
      </c>
      <c r="J47" s="68">
        <f>IF($N47="","",INDEX('Cronograma Asistente Técnico'!$K$5:$K$1000,$N47))</f>
        <v/>
      </c>
      <c r="K47" s="62">
        <f>IF($N47="","",IF(N($J47)&gt;=1,"Completado",IF(AND(ISNUMBER($D47),$D47&lt;FechaRef),"Vencida",IF(N($J47)&gt;0,"En curso","Pendiente"))))</f>
        <v/>
      </c>
      <c r="L47" s="62">
        <f>IF($N47="","",INDEX('Cronograma Asistente Técnico'!$M$5:$M$1000,$N47)&amp;"")</f>
        <v/>
      </c>
      <c r="M47" s="71">
        <f>IF($N47="","",INDEX('Cronograma Asistente Técnico'!$N$5:$N$1000,$N47)&amp;"")</f>
        <v/>
      </c>
      <c r="N47">
        <f>IFERROR(MATCH(ROW()-4,rOrden_ATR,0),"")</f>
        <v/>
      </c>
      <c r="O47">
        <f>IF($N47="","",INDEX('Cronograma Asistente Técnico'!$S$5:$S$1000,$N47))</f>
        <v/>
      </c>
      <c r="P47">
        <f>IF($N47="","",N(INDEX('Cronograma Asistente Técnico'!$T$5:$T$1000,$N47)))</f>
        <v/>
      </c>
    </row>
    <row r="48">
      <c r="A48" s="62">
        <f>IF($N48="","",INDEX('Cronograma Asistente Técnico'!$A$5:$A$1000,$N48))</f>
        <v/>
      </c>
      <c r="B48" s="71">
        <f>IF($N48="","",IF($O48="Sub","      ↳  "&amp;INDEX('Cronograma Asistente Técnico'!$C$5:$C$1000,$N48),INDEX('Cronograma Asistente Técnico'!$C$5:$C$1000,$N48)&amp;""))</f>
        <v/>
      </c>
      <c r="C48" s="77">
        <f>IF($N48="","",IF(INDEX('Cronograma Asistente Técnico'!$D$5:$D$1000,$N48)="","",INDEX('Cronograma Asistente Técnico'!$D$5:$D$1000,$N48)))</f>
        <v/>
      </c>
      <c r="D48" s="77">
        <f>IF($N48="","",IF(INDEX('Cronograma Asistente Técnico'!$E$5:$E$1000,$N48)="","",INDEX('Cronograma Asistente Técnico'!$E$5:$E$1000,$N48)))</f>
        <v/>
      </c>
      <c r="E48" s="62">
        <f>IF($N48="","",IF(NOT(ISNUMBER($D48)),"",IF($D48&lt;InicioCiclo,"Antes del ciclo",IF($D48&gt;=InicioCiclo+28,"Después del ciclo","Semana "&amp;(INT(($D48-InicioCiclo)/7)+1)))))</f>
        <v/>
      </c>
      <c r="F48" s="68">
        <f>IF($N48="","",IF($P48&gt;0,IF(1&lt;=SemanaActual,INDEX('Cronograma Asistente Técnico'!$Y$5:$Y$1000,$N48),""),IF(INDEX('Cronograma Asistente Técnico'!$G$5:$G$1000,$N48)="","",INDEX('Cronograma Asistente Técnico'!$G$5:$G$1000,$N48))))</f>
        <v/>
      </c>
      <c r="G48" s="68">
        <f>IF($N48="","",IF($P48&gt;0,IF(2&lt;=SemanaActual,INDEX('Cronograma Asistente Técnico'!$Z$5:$Z$1000,$N48),""),IF(INDEX('Cronograma Asistente Técnico'!$H$5:$H$1000,$N48)="","",INDEX('Cronograma Asistente Técnico'!$H$5:$H$1000,$N48))))</f>
        <v/>
      </c>
      <c r="H48" s="68">
        <f>IF($N48="","",IF($P48&gt;0,IF(3&lt;=SemanaActual,INDEX('Cronograma Asistente Técnico'!$AA$5:$AA$1000,$N48),""),IF(INDEX('Cronograma Asistente Técnico'!$I$5:$I$1000,$N48)="","",INDEX('Cronograma Asistente Técnico'!$I$5:$I$1000,$N48))))</f>
        <v/>
      </c>
      <c r="I48" s="68">
        <f>IF($N48="","",IF($P48&gt;0,IF(4&lt;=SemanaActual,INDEX('Cronograma Asistente Técnico'!$AB$5:$AB$1000,$N48),""),IF(INDEX('Cronograma Asistente Técnico'!$J$5:$J$1000,$N48)="","",INDEX('Cronograma Asistente Técnico'!$J$5:$J$1000,$N48))))</f>
        <v/>
      </c>
      <c r="J48" s="68">
        <f>IF($N48="","",INDEX('Cronograma Asistente Técnico'!$K$5:$K$1000,$N48))</f>
        <v/>
      </c>
      <c r="K48" s="62">
        <f>IF($N48="","",IF(N($J48)&gt;=1,"Completado",IF(AND(ISNUMBER($D48),$D48&lt;FechaRef),"Vencida",IF(N($J48)&gt;0,"En curso","Pendiente"))))</f>
        <v/>
      </c>
      <c r="L48" s="62">
        <f>IF($N48="","",INDEX('Cronograma Asistente Técnico'!$M$5:$M$1000,$N48)&amp;"")</f>
        <v/>
      </c>
      <c r="M48" s="71">
        <f>IF($N48="","",INDEX('Cronograma Asistente Técnico'!$N$5:$N$1000,$N48)&amp;"")</f>
        <v/>
      </c>
      <c r="N48">
        <f>IFERROR(MATCH(ROW()-4,rOrden_ATR,0),"")</f>
        <v/>
      </c>
      <c r="O48">
        <f>IF($N48="","",INDEX('Cronograma Asistente Técnico'!$S$5:$S$1000,$N48))</f>
        <v/>
      </c>
      <c r="P48">
        <f>IF($N48="","",N(INDEX('Cronograma Asistente Técnico'!$T$5:$T$1000,$N48)))</f>
        <v/>
      </c>
    </row>
    <row r="49">
      <c r="A49" s="62">
        <f>IF($N49="","",INDEX('Cronograma Asistente Técnico'!$A$5:$A$1000,$N49))</f>
        <v/>
      </c>
      <c r="B49" s="71">
        <f>IF($N49="","",IF($O49="Sub","      ↳  "&amp;INDEX('Cronograma Asistente Técnico'!$C$5:$C$1000,$N49),INDEX('Cronograma Asistente Técnico'!$C$5:$C$1000,$N49)&amp;""))</f>
        <v/>
      </c>
      <c r="C49" s="77">
        <f>IF($N49="","",IF(INDEX('Cronograma Asistente Técnico'!$D$5:$D$1000,$N49)="","",INDEX('Cronograma Asistente Técnico'!$D$5:$D$1000,$N49)))</f>
        <v/>
      </c>
      <c r="D49" s="77">
        <f>IF($N49="","",IF(INDEX('Cronograma Asistente Técnico'!$E$5:$E$1000,$N49)="","",INDEX('Cronograma Asistente Técnico'!$E$5:$E$1000,$N49)))</f>
        <v/>
      </c>
      <c r="E49" s="62">
        <f>IF($N49="","",IF(NOT(ISNUMBER($D49)),"",IF($D49&lt;InicioCiclo,"Antes del ciclo",IF($D49&gt;=InicioCiclo+28,"Después del ciclo","Semana "&amp;(INT(($D49-InicioCiclo)/7)+1)))))</f>
        <v/>
      </c>
      <c r="F49" s="68">
        <f>IF($N49="","",IF($P49&gt;0,IF(1&lt;=SemanaActual,INDEX('Cronograma Asistente Técnico'!$Y$5:$Y$1000,$N49),""),IF(INDEX('Cronograma Asistente Técnico'!$G$5:$G$1000,$N49)="","",INDEX('Cronograma Asistente Técnico'!$G$5:$G$1000,$N49))))</f>
        <v/>
      </c>
      <c r="G49" s="68">
        <f>IF($N49="","",IF($P49&gt;0,IF(2&lt;=SemanaActual,INDEX('Cronograma Asistente Técnico'!$Z$5:$Z$1000,$N49),""),IF(INDEX('Cronograma Asistente Técnico'!$H$5:$H$1000,$N49)="","",INDEX('Cronograma Asistente Técnico'!$H$5:$H$1000,$N49))))</f>
        <v/>
      </c>
      <c r="H49" s="68">
        <f>IF($N49="","",IF($P49&gt;0,IF(3&lt;=SemanaActual,INDEX('Cronograma Asistente Técnico'!$AA$5:$AA$1000,$N49),""),IF(INDEX('Cronograma Asistente Técnico'!$I$5:$I$1000,$N49)="","",INDEX('Cronograma Asistente Técnico'!$I$5:$I$1000,$N49))))</f>
        <v/>
      </c>
      <c r="I49" s="68">
        <f>IF($N49="","",IF($P49&gt;0,IF(4&lt;=SemanaActual,INDEX('Cronograma Asistente Técnico'!$AB$5:$AB$1000,$N49),""),IF(INDEX('Cronograma Asistente Técnico'!$J$5:$J$1000,$N49)="","",INDEX('Cronograma Asistente Técnico'!$J$5:$J$1000,$N49))))</f>
        <v/>
      </c>
      <c r="J49" s="68">
        <f>IF($N49="","",INDEX('Cronograma Asistente Técnico'!$K$5:$K$1000,$N49))</f>
        <v/>
      </c>
      <c r="K49" s="62">
        <f>IF($N49="","",IF(N($J49)&gt;=1,"Completado",IF(AND(ISNUMBER($D49),$D49&lt;FechaRef),"Vencida",IF(N($J49)&gt;0,"En curso","Pendiente"))))</f>
        <v/>
      </c>
      <c r="L49" s="62">
        <f>IF($N49="","",INDEX('Cronograma Asistente Técnico'!$M$5:$M$1000,$N49)&amp;"")</f>
        <v/>
      </c>
      <c r="M49" s="71">
        <f>IF($N49="","",INDEX('Cronograma Asistente Técnico'!$N$5:$N$1000,$N49)&amp;"")</f>
        <v/>
      </c>
      <c r="N49">
        <f>IFERROR(MATCH(ROW()-4,rOrden_ATR,0),"")</f>
        <v/>
      </c>
      <c r="O49">
        <f>IF($N49="","",INDEX('Cronograma Asistente Técnico'!$S$5:$S$1000,$N49))</f>
        <v/>
      </c>
      <c r="P49">
        <f>IF($N49="","",N(INDEX('Cronograma Asistente Técnico'!$T$5:$T$1000,$N49)))</f>
        <v/>
      </c>
    </row>
    <row r="50">
      <c r="A50" s="62">
        <f>IF($N50="","",INDEX('Cronograma Asistente Técnico'!$A$5:$A$1000,$N50))</f>
        <v/>
      </c>
      <c r="B50" s="71">
        <f>IF($N50="","",IF($O50="Sub","      ↳  "&amp;INDEX('Cronograma Asistente Técnico'!$C$5:$C$1000,$N50),INDEX('Cronograma Asistente Técnico'!$C$5:$C$1000,$N50)&amp;""))</f>
        <v/>
      </c>
      <c r="C50" s="77">
        <f>IF($N50="","",IF(INDEX('Cronograma Asistente Técnico'!$D$5:$D$1000,$N50)="","",INDEX('Cronograma Asistente Técnico'!$D$5:$D$1000,$N50)))</f>
        <v/>
      </c>
      <c r="D50" s="77">
        <f>IF($N50="","",IF(INDEX('Cronograma Asistente Técnico'!$E$5:$E$1000,$N50)="","",INDEX('Cronograma Asistente Técnico'!$E$5:$E$1000,$N50)))</f>
        <v/>
      </c>
      <c r="E50" s="62">
        <f>IF($N50="","",IF(NOT(ISNUMBER($D50)),"",IF($D50&lt;InicioCiclo,"Antes del ciclo",IF($D50&gt;=InicioCiclo+28,"Después del ciclo","Semana "&amp;(INT(($D50-InicioCiclo)/7)+1)))))</f>
        <v/>
      </c>
      <c r="F50" s="68">
        <f>IF($N50="","",IF($P50&gt;0,IF(1&lt;=SemanaActual,INDEX('Cronograma Asistente Técnico'!$Y$5:$Y$1000,$N50),""),IF(INDEX('Cronograma Asistente Técnico'!$G$5:$G$1000,$N50)="","",INDEX('Cronograma Asistente Técnico'!$G$5:$G$1000,$N50))))</f>
        <v/>
      </c>
      <c r="G50" s="68">
        <f>IF($N50="","",IF($P50&gt;0,IF(2&lt;=SemanaActual,INDEX('Cronograma Asistente Técnico'!$Z$5:$Z$1000,$N50),""),IF(INDEX('Cronograma Asistente Técnico'!$H$5:$H$1000,$N50)="","",INDEX('Cronograma Asistente Técnico'!$H$5:$H$1000,$N50))))</f>
        <v/>
      </c>
      <c r="H50" s="68">
        <f>IF($N50="","",IF($P50&gt;0,IF(3&lt;=SemanaActual,INDEX('Cronograma Asistente Técnico'!$AA$5:$AA$1000,$N50),""),IF(INDEX('Cronograma Asistente Técnico'!$I$5:$I$1000,$N50)="","",INDEX('Cronograma Asistente Técnico'!$I$5:$I$1000,$N50))))</f>
        <v/>
      </c>
      <c r="I50" s="68">
        <f>IF($N50="","",IF($P50&gt;0,IF(4&lt;=SemanaActual,INDEX('Cronograma Asistente Técnico'!$AB$5:$AB$1000,$N50),""),IF(INDEX('Cronograma Asistente Técnico'!$J$5:$J$1000,$N50)="","",INDEX('Cronograma Asistente Técnico'!$J$5:$J$1000,$N50))))</f>
        <v/>
      </c>
      <c r="J50" s="68">
        <f>IF($N50="","",INDEX('Cronograma Asistente Técnico'!$K$5:$K$1000,$N50))</f>
        <v/>
      </c>
      <c r="K50" s="62">
        <f>IF($N50="","",IF(N($J50)&gt;=1,"Completado",IF(AND(ISNUMBER($D50),$D50&lt;FechaRef),"Vencida",IF(N($J50)&gt;0,"En curso","Pendiente"))))</f>
        <v/>
      </c>
      <c r="L50" s="62">
        <f>IF($N50="","",INDEX('Cronograma Asistente Técnico'!$M$5:$M$1000,$N50)&amp;"")</f>
        <v/>
      </c>
      <c r="M50" s="71">
        <f>IF($N50="","",INDEX('Cronograma Asistente Técnico'!$N$5:$N$1000,$N50)&amp;"")</f>
        <v/>
      </c>
      <c r="N50">
        <f>IFERROR(MATCH(ROW()-4,rOrden_ATR,0),"")</f>
        <v/>
      </c>
      <c r="O50">
        <f>IF($N50="","",INDEX('Cronograma Asistente Técnico'!$S$5:$S$1000,$N50))</f>
        <v/>
      </c>
      <c r="P50">
        <f>IF($N50="","",N(INDEX('Cronograma Asistente Técnico'!$T$5:$T$1000,$N50)))</f>
        <v/>
      </c>
    </row>
    <row r="51">
      <c r="A51" s="62">
        <f>IF($N51="","",INDEX('Cronograma Asistente Técnico'!$A$5:$A$1000,$N51))</f>
        <v/>
      </c>
      <c r="B51" s="71">
        <f>IF($N51="","",IF($O51="Sub","      ↳  "&amp;INDEX('Cronograma Asistente Técnico'!$C$5:$C$1000,$N51),INDEX('Cronograma Asistente Técnico'!$C$5:$C$1000,$N51)&amp;""))</f>
        <v/>
      </c>
      <c r="C51" s="77">
        <f>IF($N51="","",IF(INDEX('Cronograma Asistente Técnico'!$D$5:$D$1000,$N51)="","",INDEX('Cronograma Asistente Técnico'!$D$5:$D$1000,$N51)))</f>
        <v/>
      </c>
      <c r="D51" s="77">
        <f>IF($N51="","",IF(INDEX('Cronograma Asistente Técnico'!$E$5:$E$1000,$N51)="","",INDEX('Cronograma Asistente Técnico'!$E$5:$E$1000,$N51)))</f>
        <v/>
      </c>
      <c r="E51" s="62">
        <f>IF($N51="","",IF(NOT(ISNUMBER($D51)),"",IF($D51&lt;InicioCiclo,"Antes del ciclo",IF($D51&gt;=InicioCiclo+28,"Después del ciclo","Semana "&amp;(INT(($D51-InicioCiclo)/7)+1)))))</f>
        <v/>
      </c>
      <c r="F51" s="68">
        <f>IF($N51="","",IF($P51&gt;0,IF(1&lt;=SemanaActual,INDEX('Cronograma Asistente Técnico'!$Y$5:$Y$1000,$N51),""),IF(INDEX('Cronograma Asistente Técnico'!$G$5:$G$1000,$N51)="","",INDEX('Cronograma Asistente Técnico'!$G$5:$G$1000,$N51))))</f>
        <v/>
      </c>
      <c r="G51" s="68">
        <f>IF($N51="","",IF($P51&gt;0,IF(2&lt;=SemanaActual,INDEX('Cronograma Asistente Técnico'!$Z$5:$Z$1000,$N51),""),IF(INDEX('Cronograma Asistente Técnico'!$H$5:$H$1000,$N51)="","",INDEX('Cronograma Asistente Técnico'!$H$5:$H$1000,$N51))))</f>
        <v/>
      </c>
      <c r="H51" s="68">
        <f>IF($N51="","",IF($P51&gt;0,IF(3&lt;=SemanaActual,INDEX('Cronograma Asistente Técnico'!$AA$5:$AA$1000,$N51),""),IF(INDEX('Cronograma Asistente Técnico'!$I$5:$I$1000,$N51)="","",INDEX('Cronograma Asistente Técnico'!$I$5:$I$1000,$N51))))</f>
        <v/>
      </c>
      <c r="I51" s="68">
        <f>IF($N51="","",IF($P51&gt;0,IF(4&lt;=SemanaActual,INDEX('Cronograma Asistente Técnico'!$AB$5:$AB$1000,$N51),""),IF(INDEX('Cronograma Asistente Técnico'!$J$5:$J$1000,$N51)="","",INDEX('Cronograma Asistente Técnico'!$J$5:$J$1000,$N51))))</f>
        <v/>
      </c>
      <c r="J51" s="68">
        <f>IF($N51="","",INDEX('Cronograma Asistente Técnico'!$K$5:$K$1000,$N51))</f>
        <v/>
      </c>
      <c r="K51" s="62">
        <f>IF($N51="","",IF(N($J51)&gt;=1,"Completado",IF(AND(ISNUMBER($D51),$D51&lt;FechaRef),"Vencida",IF(N($J51)&gt;0,"En curso","Pendiente"))))</f>
        <v/>
      </c>
      <c r="L51" s="62">
        <f>IF($N51="","",INDEX('Cronograma Asistente Técnico'!$M$5:$M$1000,$N51)&amp;"")</f>
        <v/>
      </c>
      <c r="M51" s="71">
        <f>IF($N51="","",INDEX('Cronograma Asistente Técnico'!$N$5:$N$1000,$N51)&amp;"")</f>
        <v/>
      </c>
      <c r="N51">
        <f>IFERROR(MATCH(ROW()-4,rOrden_ATR,0),"")</f>
        <v/>
      </c>
      <c r="O51">
        <f>IF($N51="","",INDEX('Cronograma Asistente Técnico'!$S$5:$S$1000,$N51))</f>
        <v/>
      </c>
      <c r="P51">
        <f>IF($N51="","",N(INDEX('Cronograma Asistente Técnico'!$T$5:$T$1000,$N51)))</f>
        <v/>
      </c>
    </row>
    <row r="52">
      <c r="A52" s="62">
        <f>IF($N52="","",INDEX('Cronograma Asistente Técnico'!$A$5:$A$1000,$N52))</f>
        <v/>
      </c>
      <c r="B52" s="71">
        <f>IF($N52="","",IF($O52="Sub","      ↳  "&amp;INDEX('Cronograma Asistente Técnico'!$C$5:$C$1000,$N52),INDEX('Cronograma Asistente Técnico'!$C$5:$C$1000,$N52)&amp;""))</f>
        <v/>
      </c>
      <c r="C52" s="77">
        <f>IF($N52="","",IF(INDEX('Cronograma Asistente Técnico'!$D$5:$D$1000,$N52)="","",INDEX('Cronograma Asistente Técnico'!$D$5:$D$1000,$N52)))</f>
        <v/>
      </c>
      <c r="D52" s="77">
        <f>IF($N52="","",IF(INDEX('Cronograma Asistente Técnico'!$E$5:$E$1000,$N52)="","",INDEX('Cronograma Asistente Técnico'!$E$5:$E$1000,$N52)))</f>
        <v/>
      </c>
      <c r="E52" s="62">
        <f>IF($N52="","",IF(NOT(ISNUMBER($D52)),"",IF($D52&lt;InicioCiclo,"Antes del ciclo",IF($D52&gt;=InicioCiclo+28,"Después del ciclo","Semana "&amp;(INT(($D52-InicioCiclo)/7)+1)))))</f>
        <v/>
      </c>
      <c r="F52" s="68">
        <f>IF($N52="","",IF($P52&gt;0,IF(1&lt;=SemanaActual,INDEX('Cronograma Asistente Técnico'!$Y$5:$Y$1000,$N52),""),IF(INDEX('Cronograma Asistente Técnico'!$G$5:$G$1000,$N52)="","",INDEX('Cronograma Asistente Técnico'!$G$5:$G$1000,$N52))))</f>
        <v/>
      </c>
      <c r="G52" s="68">
        <f>IF($N52="","",IF($P52&gt;0,IF(2&lt;=SemanaActual,INDEX('Cronograma Asistente Técnico'!$Z$5:$Z$1000,$N52),""),IF(INDEX('Cronograma Asistente Técnico'!$H$5:$H$1000,$N52)="","",INDEX('Cronograma Asistente Técnico'!$H$5:$H$1000,$N52))))</f>
        <v/>
      </c>
      <c r="H52" s="68">
        <f>IF($N52="","",IF($P52&gt;0,IF(3&lt;=SemanaActual,INDEX('Cronograma Asistente Técnico'!$AA$5:$AA$1000,$N52),""),IF(INDEX('Cronograma Asistente Técnico'!$I$5:$I$1000,$N52)="","",INDEX('Cronograma Asistente Técnico'!$I$5:$I$1000,$N52))))</f>
        <v/>
      </c>
      <c r="I52" s="68">
        <f>IF($N52="","",IF($P52&gt;0,IF(4&lt;=SemanaActual,INDEX('Cronograma Asistente Técnico'!$AB$5:$AB$1000,$N52),""),IF(INDEX('Cronograma Asistente Técnico'!$J$5:$J$1000,$N52)="","",INDEX('Cronograma Asistente Técnico'!$J$5:$J$1000,$N52))))</f>
        <v/>
      </c>
      <c r="J52" s="68">
        <f>IF($N52="","",INDEX('Cronograma Asistente Técnico'!$K$5:$K$1000,$N52))</f>
        <v/>
      </c>
      <c r="K52" s="62">
        <f>IF($N52="","",IF(N($J52)&gt;=1,"Completado",IF(AND(ISNUMBER($D52),$D52&lt;FechaRef),"Vencida",IF(N($J52)&gt;0,"En curso","Pendiente"))))</f>
        <v/>
      </c>
      <c r="L52" s="62">
        <f>IF($N52="","",INDEX('Cronograma Asistente Técnico'!$M$5:$M$1000,$N52)&amp;"")</f>
        <v/>
      </c>
      <c r="M52" s="71">
        <f>IF($N52="","",INDEX('Cronograma Asistente Técnico'!$N$5:$N$1000,$N52)&amp;"")</f>
        <v/>
      </c>
      <c r="N52">
        <f>IFERROR(MATCH(ROW()-4,rOrden_ATR,0),"")</f>
        <v/>
      </c>
      <c r="O52">
        <f>IF($N52="","",INDEX('Cronograma Asistente Técnico'!$S$5:$S$1000,$N52))</f>
        <v/>
      </c>
      <c r="P52">
        <f>IF($N52="","",N(INDEX('Cronograma Asistente Técnico'!$T$5:$T$1000,$N52)))</f>
        <v/>
      </c>
    </row>
    <row r="53">
      <c r="A53" s="62">
        <f>IF($N53="","",INDEX('Cronograma Asistente Técnico'!$A$5:$A$1000,$N53))</f>
        <v/>
      </c>
      <c r="B53" s="71">
        <f>IF($N53="","",IF($O53="Sub","      ↳  "&amp;INDEX('Cronograma Asistente Técnico'!$C$5:$C$1000,$N53),INDEX('Cronograma Asistente Técnico'!$C$5:$C$1000,$N53)&amp;""))</f>
        <v/>
      </c>
      <c r="C53" s="77">
        <f>IF($N53="","",IF(INDEX('Cronograma Asistente Técnico'!$D$5:$D$1000,$N53)="","",INDEX('Cronograma Asistente Técnico'!$D$5:$D$1000,$N53)))</f>
        <v/>
      </c>
      <c r="D53" s="77">
        <f>IF($N53="","",IF(INDEX('Cronograma Asistente Técnico'!$E$5:$E$1000,$N53)="","",INDEX('Cronograma Asistente Técnico'!$E$5:$E$1000,$N53)))</f>
        <v/>
      </c>
      <c r="E53" s="62">
        <f>IF($N53="","",IF(NOT(ISNUMBER($D53)),"",IF($D53&lt;InicioCiclo,"Antes del ciclo",IF($D53&gt;=InicioCiclo+28,"Después del ciclo","Semana "&amp;(INT(($D53-InicioCiclo)/7)+1)))))</f>
        <v/>
      </c>
      <c r="F53" s="68">
        <f>IF($N53="","",IF($P53&gt;0,IF(1&lt;=SemanaActual,INDEX('Cronograma Asistente Técnico'!$Y$5:$Y$1000,$N53),""),IF(INDEX('Cronograma Asistente Técnico'!$G$5:$G$1000,$N53)="","",INDEX('Cronograma Asistente Técnico'!$G$5:$G$1000,$N53))))</f>
        <v/>
      </c>
      <c r="G53" s="68">
        <f>IF($N53="","",IF($P53&gt;0,IF(2&lt;=SemanaActual,INDEX('Cronograma Asistente Técnico'!$Z$5:$Z$1000,$N53),""),IF(INDEX('Cronograma Asistente Técnico'!$H$5:$H$1000,$N53)="","",INDEX('Cronograma Asistente Técnico'!$H$5:$H$1000,$N53))))</f>
        <v/>
      </c>
      <c r="H53" s="68">
        <f>IF($N53="","",IF($P53&gt;0,IF(3&lt;=SemanaActual,INDEX('Cronograma Asistente Técnico'!$AA$5:$AA$1000,$N53),""),IF(INDEX('Cronograma Asistente Técnico'!$I$5:$I$1000,$N53)="","",INDEX('Cronograma Asistente Técnico'!$I$5:$I$1000,$N53))))</f>
        <v/>
      </c>
      <c r="I53" s="68">
        <f>IF($N53="","",IF($P53&gt;0,IF(4&lt;=SemanaActual,INDEX('Cronograma Asistente Técnico'!$AB$5:$AB$1000,$N53),""),IF(INDEX('Cronograma Asistente Técnico'!$J$5:$J$1000,$N53)="","",INDEX('Cronograma Asistente Técnico'!$J$5:$J$1000,$N53))))</f>
        <v/>
      </c>
      <c r="J53" s="68">
        <f>IF($N53="","",INDEX('Cronograma Asistente Técnico'!$K$5:$K$1000,$N53))</f>
        <v/>
      </c>
      <c r="K53" s="62">
        <f>IF($N53="","",IF(N($J53)&gt;=1,"Completado",IF(AND(ISNUMBER($D53),$D53&lt;FechaRef),"Vencida",IF(N($J53)&gt;0,"En curso","Pendiente"))))</f>
        <v/>
      </c>
      <c r="L53" s="62">
        <f>IF($N53="","",INDEX('Cronograma Asistente Técnico'!$M$5:$M$1000,$N53)&amp;"")</f>
        <v/>
      </c>
      <c r="M53" s="71">
        <f>IF($N53="","",INDEX('Cronograma Asistente Técnico'!$N$5:$N$1000,$N53)&amp;"")</f>
        <v/>
      </c>
      <c r="N53">
        <f>IFERROR(MATCH(ROW()-4,rOrden_ATR,0),"")</f>
        <v/>
      </c>
      <c r="O53">
        <f>IF($N53="","",INDEX('Cronograma Asistente Técnico'!$S$5:$S$1000,$N53))</f>
        <v/>
      </c>
      <c r="P53">
        <f>IF($N53="","",N(INDEX('Cronograma Asistente Técnico'!$T$5:$T$1000,$N53)))</f>
        <v/>
      </c>
    </row>
    <row r="54">
      <c r="A54" s="62">
        <f>IF($N54="","",INDEX('Cronograma Asistente Técnico'!$A$5:$A$1000,$N54))</f>
        <v/>
      </c>
      <c r="B54" s="71">
        <f>IF($N54="","",IF($O54="Sub","      ↳  "&amp;INDEX('Cronograma Asistente Técnico'!$C$5:$C$1000,$N54),INDEX('Cronograma Asistente Técnico'!$C$5:$C$1000,$N54)&amp;""))</f>
        <v/>
      </c>
      <c r="C54" s="77">
        <f>IF($N54="","",IF(INDEX('Cronograma Asistente Técnico'!$D$5:$D$1000,$N54)="","",INDEX('Cronograma Asistente Técnico'!$D$5:$D$1000,$N54)))</f>
        <v/>
      </c>
      <c r="D54" s="77">
        <f>IF($N54="","",IF(INDEX('Cronograma Asistente Técnico'!$E$5:$E$1000,$N54)="","",INDEX('Cronograma Asistente Técnico'!$E$5:$E$1000,$N54)))</f>
        <v/>
      </c>
      <c r="E54" s="62">
        <f>IF($N54="","",IF(NOT(ISNUMBER($D54)),"",IF($D54&lt;InicioCiclo,"Antes del ciclo",IF($D54&gt;=InicioCiclo+28,"Después del ciclo","Semana "&amp;(INT(($D54-InicioCiclo)/7)+1)))))</f>
        <v/>
      </c>
      <c r="F54" s="68">
        <f>IF($N54="","",IF($P54&gt;0,IF(1&lt;=SemanaActual,INDEX('Cronograma Asistente Técnico'!$Y$5:$Y$1000,$N54),""),IF(INDEX('Cronograma Asistente Técnico'!$G$5:$G$1000,$N54)="","",INDEX('Cronograma Asistente Técnico'!$G$5:$G$1000,$N54))))</f>
        <v/>
      </c>
      <c r="G54" s="68">
        <f>IF($N54="","",IF($P54&gt;0,IF(2&lt;=SemanaActual,INDEX('Cronograma Asistente Técnico'!$Z$5:$Z$1000,$N54),""),IF(INDEX('Cronograma Asistente Técnico'!$H$5:$H$1000,$N54)="","",INDEX('Cronograma Asistente Técnico'!$H$5:$H$1000,$N54))))</f>
        <v/>
      </c>
      <c r="H54" s="68">
        <f>IF($N54="","",IF($P54&gt;0,IF(3&lt;=SemanaActual,INDEX('Cronograma Asistente Técnico'!$AA$5:$AA$1000,$N54),""),IF(INDEX('Cronograma Asistente Técnico'!$I$5:$I$1000,$N54)="","",INDEX('Cronograma Asistente Técnico'!$I$5:$I$1000,$N54))))</f>
        <v/>
      </c>
      <c r="I54" s="68">
        <f>IF($N54="","",IF($P54&gt;0,IF(4&lt;=SemanaActual,INDEX('Cronograma Asistente Técnico'!$AB$5:$AB$1000,$N54),""),IF(INDEX('Cronograma Asistente Técnico'!$J$5:$J$1000,$N54)="","",INDEX('Cronograma Asistente Técnico'!$J$5:$J$1000,$N54))))</f>
        <v/>
      </c>
      <c r="J54" s="68">
        <f>IF($N54="","",INDEX('Cronograma Asistente Técnico'!$K$5:$K$1000,$N54))</f>
        <v/>
      </c>
      <c r="K54" s="62">
        <f>IF($N54="","",IF(N($J54)&gt;=1,"Completado",IF(AND(ISNUMBER($D54),$D54&lt;FechaRef),"Vencida",IF(N($J54)&gt;0,"En curso","Pendiente"))))</f>
        <v/>
      </c>
      <c r="L54" s="62">
        <f>IF($N54="","",INDEX('Cronograma Asistente Técnico'!$M$5:$M$1000,$N54)&amp;"")</f>
        <v/>
      </c>
      <c r="M54" s="71">
        <f>IF($N54="","",INDEX('Cronograma Asistente Técnico'!$N$5:$N$1000,$N54)&amp;"")</f>
        <v/>
      </c>
      <c r="N54">
        <f>IFERROR(MATCH(ROW()-4,rOrden_ATR,0),"")</f>
        <v/>
      </c>
      <c r="O54">
        <f>IF($N54="","",INDEX('Cronograma Asistente Técnico'!$S$5:$S$1000,$N54))</f>
        <v/>
      </c>
      <c r="P54">
        <f>IF($N54="","",N(INDEX('Cronograma Asistente Técnico'!$T$5:$T$1000,$N54)))</f>
        <v/>
      </c>
    </row>
    <row r="55">
      <c r="A55" s="62">
        <f>IF($N55="","",INDEX('Cronograma Asistente Técnico'!$A$5:$A$1000,$N55))</f>
        <v/>
      </c>
      <c r="B55" s="71">
        <f>IF($N55="","",IF($O55="Sub","      ↳  "&amp;INDEX('Cronograma Asistente Técnico'!$C$5:$C$1000,$N55),INDEX('Cronograma Asistente Técnico'!$C$5:$C$1000,$N55)&amp;""))</f>
        <v/>
      </c>
      <c r="C55" s="77">
        <f>IF($N55="","",IF(INDEX('Cronograma Asistente Técnico'!$D$5:$D$1000,$N55)="","",INDEX('Cronograma Asistente Técnico'!$D$5:$D$1000,$N55)))</f>
        <v/>
      </c>
      <c r="D55" s="77">
        <f>IF($N55="","",IF(INDEX('Cronograma Asistente Técnico'!$E$5:$E$1000,$N55)="","",INDEX('Cronograma Asistente Técnico'!$E$5:$E$1000,$N55)))</f>
        <v/>
      </c>
      <c r="E55" s="62">
        <f>IF($N55="","",IF(NOT(ISNUMBER($D55)),"",IF($D55&lt;InicioCiclo,"Antes del ciclo",IF($D55&gt;=InicioCiclo+28,"Después del ciclo","Semana "&amp;(INT(($D55-InicioCiclo)/7)+1)))))</f>
        <v/>
      </c>
      <c r="F55" s="68">
        <f>IF($N55="","",IF($P55&gt;0,IF(1&lt;=SemanaActual,INDEX('Cronograma Asistente Técnico'!$Y$5:$Y$1000,$N55),""),IF(INDEX('Cronograma Asistente Técnico'!$G$5:$G$1000,$N55)="","",INDEX('Cronograma Asistente Técnico'!$G$5:$G$1000,$N55))))</f>
        <v/>
      </c>
      <c r="G55" s="68">
        <f>IF($N55="","",IF($P55&gt;0,IF(2&lt;=SemanaActual,INDEX('Cronograma Asistente Técnico'!$Z$5:$Z$1000,$N55),""),IF(INDEX('Cronograma Asistente Técnico'!$H$5:$H$1000,$N55)="","",INDEX('Cronograma Asistente Técnico'!$H$5:$H$1000,$N55))))</f>
        <v/>
      </c>
      <c r="H55" s="68">
        <f>IF($N55="","",IF($P55&gt;0,IF(3&lt;=SemanaActual,INDEX('Cronograma Asistente Técnico'!$AA$5:$AA$1000,$N55),""),IF(INDEX('Cronograma Asistente Técnico'!$I$5:$I$1000,$N55)="","",INDEX('Cronograma Asistente Técnico'!$I$5:$I$1000,$N55))))</f>
        <v/>
      </c>
      <c r="I55" s="68">
        <f>IF($N55="","",IF($P55&gt;0,IF(4&lt;=SemanaActual,INDEX('Cronograma Asistente Técnico'!$AB$5:$AB$1000,$N55),""),IF(INDEX('Cronograma Asistente Técnico'!$J$5:$J$1000,$N55)="","",INDEX('Cronograma Asistente Técnico'!$J$5:$J$1000,$N55))))</f>
        <v/>
      </c>
      <c r="J55" s="68">
        <f>IF($N55="","",INDEX('Cronograma Asistente Técnico'!$K$5:$K$1000,$N55))</f>
        <v/>
      </c>
      <c r="K55" s="62">
        <f>IF($N55="","",IF(N($J55)&gt;=1,"Completado",IF(AND(ISNUMBER($D55),$D55&lt;FechaRef),"Vencida",IF(N($J55)&gt;0,"En curso","Pendiente"))))</f>
        <v/>
      </c>
      <c r="L55" s="62">
        <f>IF($N55="","",INDEX('Cronograma Asistente Técnico'!$M$5:$M$1000,$N55)&amp;"")</f>
        <v/>
      </c>
      <c r="M55" s="71">
        <f>IF($N55="","",INDEX('Cronograma Asistente Técnico'!$N$5:$N$1000,$N55)&amp;"")</f>
        <v/>
      </c>
      <c r="N55">
        <f>IFERROR(MATCH(ROW()-4,rOrden_ATR,0),"")</f>
        <v/>
      </c>
      <c r="O55">
        <f>IF($N55="","",INDEX('Cronograma Asistente Técnico'!$S$5:$S$1000,$N55))</f>
        <v/>
      </c>
      <c r="P55">
        <f>IF($N55="","",N(INDEX('Cronograma Asistente Técnico'!$T$5:$T$1000,$N55)))</f>
        <v/>
      </c>
    </row>
    <row r="56">
      <c r="A56" s="62">
        <f>IF($N56="","",INDEX('Cronograma Asistente Técnico'!$A$5:$A$1000,$N56))</f>
        <v/>
      </c>
      <c r="B56" s="71">
        <f>IF($N56="","",IF($O56="Sub","      ↳  "&amp;INDEX('Cronograma Asistente Técnico'!$C$5:$C$1000,$N56),INDEX('Cronograma Asistente Técnico'!$C$5:$C$1000,$N56)&amp;""))</f>
        <v/>
      </c>
      <c r="C56" s="77">
        <f>IF($N56="","",IF(INDEX('Cronograma Asistente Técnico'!$D$5:$D$1000,$N56)="","",INDEX('Cronograma Asistente Técnico'!$D$5:$D$1000,$N56)))</f>
        <v/>
      </c>
      <c r="D56" s="77">
        <f>IF($N56="","",IF(INDEX('Cronograma Asistente Técnico'!$E$5:$E$1000,$N56)="","",INDEX('Cronograma Asistente Técnico'!$E$5:$E$1000,$N56)))</f>
        <v/>
      </c>
      <c r="E56" s="62">
        <f>IF($N56="","",IF(NOT(ISNUMBER($D56)),"",IF($D56&lt;InicioCiclo,"Antes del ciclo",IF($D56&gt;=InicioCiclo+28,"Después del ciclo","Semana "&amp;(INT(($D56-InicioCiclo)/7)+1)))))</f>
        <v/>
      </c>
      <c r="F56" s="68">
        <f>IF($N56="","",IF($P56&gt;0,IF(1&lt;=SemanaActual,INDEX('Cronograma Asistente Técnico'!$Y$5:$Y$1000,$N56),""),IF(INDEX('Cronograma Asistente Técnico'!$G$5:$G$1000,$N56)="","",INDEX('Cronograma Asistente Técnico'!$G$5:$G$1000,$N56))))</f>
        <v/>
      </c>
      <c r="G56" s="68">
        <f>IF($N56="","",IF($P56&gt;0,IF(2&lt;=SemanaActual,INDEX('Cronograma Asistente Técnico'!$Z$5:$Z$1000,$N56),""),IF(INDEX('Cronograma Asistente Técnico'!$H$5:$H$1000,$N56)="","",INDEX('Cronograma Asistente Técnico'!$H$5:$H$1000,$N56))))</f>
        <v/>
      </c>
      <c r="H56" s="68">
        <f>IF($N56="","",IF($P56&gt;0,IF(3&lt;=SemanaActual,INDEX('Cronograma Asistente Técnico'!$AA$5:$AA$1000,$N56),""),IF(INDEX('Cronograma Asistente Técnico'!$I$5:$I$1000,$N56)="","",INDEX('Cronograma Asistente Técnico'!$I$5:$I$1000,$N56))))</f>
        <v/>
      </c>
      <c r="I56" s="68">
        <f>IF($N56="","",IF($P56&gt;0,IF(4&lt;=SemanaActual,INDEX('Cronograma Asistente Técnico'!$AB$5:$AB$1000,$N56),""),IF(INDEX('Cronograma Asistente Técnico'!$J$5:$J$1000,$N56)="","",INDEX('Cronograma Asistente Técnico'!$J$5:$J$1000,$N56))))</f>
        <v/>
      </c>
      <c r="J56" s="68">
        <f>IF($N56="","",INDEX('Cronograma Asistente Técnico'!$K$5:$K$1000,$N56))</f>
        <v/>
      </c>
      <c r="K56" s="62">
        <f>IF($N56="","",IF(N($J56)&gt;=1,"Completado",IF(AND(ISNUMBER($D56),$D56&lt;FechaRef),"Vencida",IF(N($J56)&gt;0,"En curso","Pendiente"))))</f>
        <v/>
      </c>
      <c r="L56" s="62">
        <f>IF($N56="","",INDEX('Cronograma Asistente Técnico'!$M$5:$M$1000,$N56)&amp;"")</f>
        <v/>
      </c>
      <c r="M56" s="71">
        <f>IF($N56="","",INDEX('Cronograma Asistente Técnico'!$N$5:$N$1000,$N56)&amp;"")</f>
        <v/>
      </c>
      <c r="N56">
        <f>IFERROR(MATCH(ROW()-4,rOrden_ATR,0),"")</f>
        <v/>
      </c>
      <c r="O56">
        <f>IF($N56="","",INDEX('Cronograma Asistente Técnico'!$S$5:$S$1000,$N56))</f>
        <v/>
      </c>
      <c r="P56">
        <f>IF($N56="","",N(INDEX('Cronograma Asistente Técnico'!$T$5:$T$1000,$N56)))</f>
        <v/>
      </c>
    </row>
    <row r="57">
      <c r="A57" s="62">
        <f>IF($N57="","",INDEX('Cronograma Asistente Técnico'!$A$5:$A$1000,$N57))</f>
        <v/>
      </c>
      <c r="B57" s="71">
        <f>IF($N57="","",IF($O57="Sub","      ↳  "&amp;INDEX('Cronograma Asistente Técnico'!$C$5:$C$1000,$N57),INDEX('Cronograma Asistente Técnico'!$C$5:$C$1000,$N57)&amp;""))</f>
        <v/>
      </c>
      <c r="C57" s="77">
        <f>IF($N57="","",IF(INDEX('Cronograma Asistente Técnico'!$D$5:$D$1000,$N57)="","",INDEX('Cronograma Asistente Técnico'!$D$5:$D$1000,$N57)))</f>
        <v/>
      </c>
      <c r="D57" s="77">
        <f>IF($N57="","",IF(INDEX('Cronograma Asistente Técnico'!$E$5:$E$1000,$N57)="","",INDEX('Cronograma Asistente Técnico'!$E$5:$E$1000,$N57)))</f>
        <v/>
      </c>
      <c r="E57" s="62">
        <f>IF($N57="","",IF(NOT(ISNUMBER($D57)),"",IF($D57&lt;InicioCiclo,"Antes del ciclo",IF($D57&gt;=InicioCiclo+28,"Después del ciclo","Semana "&amp;(INT(($D57-InicioCiclo)/7)+1)))))</f>
        <v/>
      </c>
      <c r="F57" s="68">
        <f>IF($N57="","",IF($P57&gt;0,IF(1&lt;=SemanaActual,INDEX('Cronograma Asistente Técnico'!$Y$5:$Y$1000,$N57),""),IF(INDEX('Cronograma Asistente Técnico'!$G$5:$G$1000,$N57)="","",INDEX('Cronograma Asistente Técnico'!$G$5:$G$1000,$N57))))</f>
        <v/>
      </c>
      <c r="G57" s="68">
        <f>IF($N57="","",IF($P57&gt;0,IF(2&lt;=SemanaActual,INDEX('Cronograma Asistente Técnico'!$Z$5:$Z$1000,$N57),""),IF(INDEX('Cronograma Asistente Técnico'!$H$5:$H$1000,$N57)="","",INDEX('Cronograma Asistente Técnico'!$H$5:$H$1000,$N57))))</f>
        <v/>
      </c>
      <c r="H57" s="68">
        <f>IF($N57="","",IF($P57&gt;0,IF(3&lt;=SemanaActual,INDEX('Cronograma Asistente Técnico'!$AA$5:$AA$1000,$N57),""),IF(INDEX('Cronograma Asistente Técnico'!$I$5:$I$1000,$N57)="","",INDEX('Cronograma Asistente Técnico'!$I$5:$I$1000,$N57))))</f>
        <v/>
      </c>
      <c r="I57" s="68">
        <f>IF($N57="","",IF($P57&gt;0,IF(4&lt;=SemanaActual,INDEX('Cronograma Asistente Técnico'!$AB$5:$AB$1000,$N57),""),IF(INDEX('Cronograma Asistente Técnico'!$J$5:$J$1000,$N57)="","",INDEX('Cronograma Asistente Técnico'!$J$5:$J$1000,$N57))))</f>
        <v/>
      </c>
      <c r="J57" s="68">
        <f>IF($N57="","",INDEX('Cronograma Asistente Técnico'!$K$5:$K$1000,$N57))</f>
        <v/>
      </c>
      <c r="K57" s="62">
        <f>IF($N57="","",IF(N($J57)&gt;=1,"Completado",IF(AND(ISNUMBER($D57),$D57&lt;FechaRef),"Vencida",IF(N($J57)&gt;0,"En curso","Pendiente"))))</f>
        <v/>
      </c>
      <c r="L57" s="62">
        <f>IF($N57="","",INDEX('Cronograma Asistente Técnico'!$M$5:$M$1000,$N57)&amp;"")</f>
        <v/>
      </c>
      <c r="M57" s="71">
        <f>IF($N57="","",INDEX('Cronograma Asistente Técnico'!$N$5:$N$1000,$N57)&amp;"")</f>
        <v/>
      </c>
      <c r="N57">
        <f>IFERROR(MATCH(ROW()-4,rOrden_ATR,0),"")</f>
        <v/>
      </c>
      <c r="O57">
        <f>IF($N57="","",INDEX('Cronograma Asistente Técnico'!$S$5:$S$1000,$N57))</f>
        <v/>
      </c>
      <c r="P57">
        <f>IF($N57="","",N(INDEX('Cronograma Asistente Técnico'!$T$5:$T$1000,$N57)))</f>
        <v/>
      </c>
    </row>
    <row r="58">
      <c r="A58" s="62">
        <f>IF($N58="","",INDEX('Cronograma Asistente Técnico'!$A$5:$A$1000,$N58))</f>
        <v/>
      </c>
      <c r="B58" s="71">
        <f>IF($N58="","",IF($O58="Sub","      ↳  "&amp;INDEX('Cronograma Asistente Técnico'!$C$5:$C$1000,$N58),INDEX('Cronograma Asistente Técnico'!$C$5:$C$1000,$N58)&amp;""))</f>
        <v/>
      </c>
      <c r="C58" s="77">
        <f>IF($N58="","",IF(INDEX('Cronograma Asistente Técnico'!$D$5:$D$1000,$N58)="","",INDEX('Cronograma Asistente Técnico'!$D$5:$D$1000,$N58)))</f>
        <v/>
      </c>
      <c r="D58" s="77">
        <f>IF($N58="","",IF(INDEX('Cronograma Asistente Técnico'!$E$5:$E$1000,$N58)="","",INDEX('Cronograma Asistente Técnico'!$E$5:$E$1000,$N58)))</f>
        <v/>
      </c>
      <c r="E58" s="62">
        <f>IF($N58="","",IF(NOT(ISNUMBER($D58)),"",IF($D58&lt;InicioCiclo,"Antes del ciclo",IF($D58&gt;=InicioCiclo+28,"Después del ciclo","Semana "&amp;(INT(($D58-InicioCiclo)/7)+1)))))</f>
        <v/>
      </c>
      <c r="F58" s="68">
        <f>IF($N58="","",IF($P58&gt;0,IF(1&lt;=SemanaActual,INDEX('Cronograma Asistente Técnico'!$Y$5:$Y$1000,$N58),""),IF(INDEX('Cronograma Asistente Técnico'!$G$5:$G$1000,$N58)="","",INDEX('Cronograma Asistente Técnico'!$G$5:$G$1000,$N58))))</f>
        <v/>
      </c>
      <c r="G58" s="68">
        <f>IF($N58="","",IF($P58&gt;0,IF(2&lt;=SemanaActual,INDEX('Cronograma Asistente Técnico'!$Z$5:$Z$1000,$N58),""),IF(INDEX('Cronograma Asistente Técnico'!$H$5:$H$1000,$N58)="","",INDEX('Cronograma Asistente Técnico'!$H$5:$H$1000,$N58))))</f>
        <v/>
      </c>
      <c r="H58" s="68">
        <f>IF($N58="","",IF($P58&gt;0,IF(3&lt;=SemanaActual,INDEX('Cronograma Asistente Técnico'!$AA$5:$AA$1000,$N58),""),IF(INDEX('Cronograma Asistente Técnico'!$I$5:$I$1000,$N58)="","",INDEX('Cronograma Asistente Técnico'!$I$5:$I$1000,$N58))))</f>
        <v/>
      </c>
      <c r="I58" s="68">
        <f>IF($N58="","",IF($P58&gt;0,IF(4&lt;=SemanaActual,INDEX('Cronograma Asistente Técnico'!$AB$5:$AB$1000,$N58),""),IF(INDEX('Cronograma Asistente Técnico'!$J$5:$J$1000,$N58)="","",INDEX('Cronograma Asistente Técnico'!$J$5:$J$1000,$N58))))</f>
        <v/>
      </c>
      <c r="J58" s="68">
        <f>IF($N58="","",INDEX('Cronograma Asistente Técnico'!$K$5:$K$1000,$N58))</f>
        <v/>
      </c>
      <c r="K58" s="62">
        <f>IF($N58="","",IF(N($J58)&gt;=1,"Completado",IF(AND(ISNUMBER($D58),$D58&lt;FechaRef),"Vencida",IF(N($J58)&gt;0,"En curso","Pendiente"))))</f>
        <v/>
      </c>
      <c r="L58" s="62">
        <f>IF($N58="","",INDEX('Cronograma Asistente Técnico'!$M$5:$M$1000,$N58)&amp;"")</f>
        <v/>
      </c>
      <c r="M58" s="71">
        <f>IF($N58="","",INDEX('Cronograma Asistente Técnico'!$N$5:$N$1000,$N58)&amp;"")</f>
        <v/>
      </c>
      <c r="N58">
        <f>IFERROR(MATCH(ROW()-4,rOrden_ATR,0),"")</f>
        <v/>
      </c>
      <c r="O58">
        <f>IF($N58="","",INDEX('Cronograma Asistente Técnico'!$S$5:$S$1000,$N58))</f>
        <v/>
      </c>
      <c r="P58">
        <f>IF($N58="","",N(INDEX('Cronograma Asistente Técnico'!$T$5:$T$1000,$N58)))</f>
        <v/>
      </c>
    </row>
    <row r="59">
      <c r="A59" s="62">
        <f>IF($N59="","",INDEX('Cronograma Asistente Técnico'!$A$5:$A$1000,$N59))</f>
        <v/>
      </c>
      <c r="B59" s="71">
        <f>IF($N59="","",IF($O59="Sub","      ↳  "&amp;INDEX('Cronograma Asistente Técnico'!$C$5:$C$1000,$N59),INDEX('Cronograma Asistente Técnico'!$C$5:$C$1000,$N59)&amp;""))</f>
        <v/>
      </c>
      <c r="C59" s="77">
        <f>IF($N59="","",IF(INDEX('Cronograma Asistente Técnico'!$D$5:$D$1000,$N59)="","",INDEX('Cronograma Asistente Técnico'!$D$5:$D$1000,$N59)))</f>
        <v/>
      </c>
      <c r="D59" s="77">
        <f>IF($N59="","",IF(INDEX('Cronograma Asistente Técnico'!$E$5:$E$1000,$N59)="","",INDEX('Cronograma Asistente Técnico'!$E$5:$E$1000,$N59)))</f>
        <v/>
      </c>
      <c r="E59" s="62">
        <f>IF($N59="","",IF(NOT(ISNUMBER($D59)),"",IF($D59&lt;InicioCiclo,"Antes del ciclo",IF($D59&gt;=InicioCiclo+28,"Después del ciclo","Semana "&amp;(INT(($D59-InicioCiclo)/7)+1)))))</f>
        <v/>
      </c>
      <c r="F59" s="68">
        <f>IF($N59="","",IF($P59&gt;0,IF(1&lt;=SemanaActual,INDEX('Cronograma Asistente Técnico'!$Y$5:$Y$1000,$N59),""),IF(INDEX('Cronograma Asistente Técnico'!$G$5:$G$1000,$N59)="","",INDEX('Cronograma Asistente Técnico'!$G$5:$G$1000,$N59))))</f>
        <v/>
      </c>
      <c r="G59" s="68">
        <f>IF($N59="","",IF($P59&gt;0,IF(2&lt;=SemanaActual,INDEX('Cronograma Asistente Técnico'!$Z$5:$Z$1000,$N59),""),IF(INDEX('Cronograma Asistente Técnico'!$H$5:$H$1000,$N59)="","",INDEX('Cronograma Asistente Técnico'!$H$5:$H$1000,$N59))))</f>
        <v/>
      </c>
      <c r="H59" s="68">
        <f>IF($N59="","",IF($P59&gt;0,IF(3&lt;=SemanaActual,INDEX('Cronograma Asistente Técnico'!$AA$5:$AA$1000,$N59),""),IF(INDEX('Cronograma Asistente Técnico'!$I$5:$I$1000,$N59)="","",INDEX('Cronograma Asistente Técnico'!$I$5:$I$1000,$N59))))</f>
        <v/>
      </c>
      <c r="I59" s="68">
        <f>IF($N59="","",IF($P59&gt;0,IF(4&lt;=SemanaActual,INDEX('Cronograma Asistente Técnico'!$AB$5:$AB$1000,$N59),""),IF(INDEX('Cronograma Asistente Técnico'!$J$5:$J$1000,$N59)="","",INDEX('Cronograma Asistente Técnico'!$J$5:$J$1000,$N59))))</f>
        <v/>
      </c>
      <c r="J59" s="68">
        <f>IF($N59="","",INDEX('Cronograma Asistente Técnico'!$K$5:$K$1000,$N59))</f>
        <v/>
      </c>
      <c r="K59" s="62">
        <f>IF($N59="","",IF(N($J59)&gt;=1,"Completado",IF(AND(ISNUMBER($D59),$D59&lt;FechaRef),"Vencida",IF(N($J59)&gt;0,"En curso","Pendiente"))))</f>
        <v/>
      </c>
      <c r="L59" s="62">
        <f>IF($N59="","",INDEX('Cronograma Asistente Técnico'!$M$5:$M$1000,$N59)&amp;"")</f>
        <v/>
      </c>
      <c r="M59" s="71">
        <f>IF($N59="","",INDEX('Cronograma Asistente Técnico'!$N$5:$N$1000,$N59)&amp;"")</f>
        <v/>
      </c>
      <c r="N59">
        <f>IFERROR(MATCH(ROW()-4,rOrden_ATR,0),"")</f>
        <v/>
      </c>
      <c r="O59">
        <f>IF($N59="","",INDEX('Cronograma Asistente Técnico'!$S$5:$S$1000,$N59))</f>
        <v/>
      </c>
      <c r="P59">
        <f>IF($N59="","",N(INDEX('Cronograma Asistente Técnico'!$T$5:$T$1000,$N59)))</f>
        <v/>
      </c>
    </row>
    <row r="60">
      <c r="A60" s="62">
        <f>IF($N60="","",INDEX('Cronograma Asistente Técnico'!$A$5:$A$1000,$N60))</f>
        <v/>
      </c>
      <c r="B60" s="71">
        <f>IF($N60="","",IF($O60="Sub","      ↳  "&amp;INDEX('Cronograma Asistente Técnico'!$C$5:$C$1000,$N60),INDEX('Cronograma Asistente Técnico'!$C$5:$C$1000,$N60)&amp;""))</f>
        <v/>
      </c>
      <c r="C60" s="77">
        <f>IF($N60="","",IF(INDEX('Cronograma Asistente Técnico'!$D$5:$D$1000,$N60)="","",INDEX('Cronograma Asistente Técnico'!$D$5:$D$1000,$N60)))</f>
        <v/>
      </c>
      <c r="D60" s="77">
        <f>IF($N60="","",IF(INDEX('Cronograma Asistente Técnico'!$E$5:$E$1000,$N60)="","",INDEX('Cronograma Asistente Técnico'!$E$5:$E$1000,$N60)))</f>
        <v/>
      </c>
      <c r="E60" s="62">
        <f>IF($N60="","",IF(NOT(ISNUMBER($D60)),"",IF($D60&lt;InicioCiclo,"Antes del ciclo",IF($D60&gt;=InicioCiclo+28,"Después del ciclo","Semana "&amp;(INT(($D60-InicioCiclo)/7)+1)))))</f>
        <v/>
      </c>
      <c r="F60" s="68">
        <f>IF($N60="","",IF($P60&gt;0,IF(1&lt;=SemanaActual,INDEX('Cronograma Asistente Técnico'!$Y$5:$Y$1000,$N60),""),IF(INDEX('Cronograma Asistente Técnico'!$G$5:$G$1000,$N60)="","",INDEX('Cronograma Asistente Técnico'!$G$5:$G$1000,$N60))))</f>
        <v/>
      </c>
      <c r="G60" s="68">
        <f>IF($N60="","",IF($P60&gt;0,IF(2&lt;=SemanaActual,INDEX('Cronograma Asistente Técnico'!$Z$5:$Z$1000,$N60),""),IF(INDEX('Cronograma Asistente Técnico'!$H$5:$H$1000,$N60)="","",INDEX('Cronograma Asistente Técnico'!$H$5:$H$1000,$N60))))</f>
        <v/>
      </c>
      <c r="H60" s="68">
        <f>IF($N60="","",IF($P60&gt;0,IF(3&lt;=SemanaActual,INDEX('Cronograma Asistente Técnico'!$AA$5:$AA$1000,$N60),""),IF(INDEX('Cronograma Asistente Técnico'!$I$5:$I$1000,$N60)="","",INDEX('Cronograma Asistente Técnico'!$I$5:$I$1000,$N60))))</f>
        <v/>
      </c>
      <c r="I60" s="68">
        <f>IF($N60="","",IF($P60&gt;0,IF(4&lt;=SemanaActual,INDEX('Cronograma Asistente Técnico'!$AB$5:$AB$1000,$N60),""),IF(INDEX('Cronograma Asistente Técnico'!$J$5:$J$1000,$N60)="","",INDEX('Cronograma Asistente Técnico'!$J$5:$J$1000,$N60))))</f>
        <v/>
      </c>
      <c r="J60" s="68">
        <f>IF($N60="","",INDEX('Cronograma Asistente Técnico'!$K$5:$K$1000,$N60))</f>
        <v/>
      </c>
      <c r="K60" s="62">
        <f>IF($N60="","",IF(N($J60)&gt;=1,"Completado",IF(AND(ISNUMBER($D60),$D60&lt;FechaRef),"Vencida",IF(N($J60)&gt;0,"En curso","Pendiente"))))</f>
        <v/>
      </c>
      <c r="L60" s="62">
        <f>IF($N60="","",INDEX('Cronograma Asistente Técnico'!$M$5:$M$1000,$N60)&amp;"")</f>
        <v/>
      </c>
      <c r="M60" s="71">
        <f>IF($N60="","",INDEX('Cronograma Asistente Técnico'!$N$5:$N$1000,$N60)&amp;"")</f>
        <v/>
      </c>
      <c r="N60">
        <f>IFERROR(MATCH(ROW()-4,rOrden_ATR,0),"")</f>
        <v/>
      </c>
      <c r="O60">
        <f>IF($N60="","",INDEX('Cronograma Asistente Técnico'!$S$5:$S$1000,$N60))</f>
        <v/>
      </c>
      <c r="P60">
        <f>IF($N60="","",N(INDEX('Cronograma Asistente Técnico'!$T$5:$T$1000,$N60)))</f>
        <v/>
      </c>
    </row>
    <row r="61">
      <c r="A61" s="62">
        <f>IF($N61="","",INDEX('Cronograma Asistente Técnico'!$A$5:$A$1000,$N61))</f>
        <v/>
      </c>
      <c r="B61" s="71">
        <f>IF($N61="","",IF($O61="Sub","      ↳  "&amp;INDEX('Cronograma Asistente Técnico'!$C$5:$C$1000,$N61),INDEX('Cronograma Asistente Técnico'!$C$5:$C$1000,$N61)&amp;""))</f>
        <v/>
      </c>
      <c r="C61" s="77">
        <f>IF($N61="","",IF(INDEX('Cronograma Asistente Técnico'!$D$5:$D$1000,$N61)="","",INDEX('Cronograma Asistente Técnico'!$D$5:$D$1000,$N61)))</f>
        <v/>
      </c>
      <c r="D61" s="77">
        <f>IF($N61="","",IF(INDEX('Cronograma Asistente Técnico'!$E$5:$E$1000,$N61)="","",INDEX('Cronograma Asistente Técnico'!$E$5:$E$1000,$N61)))</f>
        <v/>
      </c>
      <c r="E61" s="62">
        <f>IF($N61="","",IF(NOT(ISNUMBER($D61)),"",IF($D61&lt;InicioCiclo,"Antes del ciclo",IF($D61&gt;=InicioCiclo+28,"Después del ciclo","Semana "&amp;(INT(($D61-InicioCiclo)/7)+1)))))</f>
        <v/>
      </c>
      <c r="F61" s="68">
        <f>IF($N61="","",IF($P61&gt;0,IF(1&lt;=SemanaActual,INDEX('Cronograma Asistente Técnico'!$Y$5:$Y$1000,$N61),""),IF(INDEX('Cronograma Asistente Técnico'!$G$5:$G$1000,$N61)="","",INDEX('Cronograma Asistente Técnico'!$G$5:$G$1000,$N61))))</f>
        <v/>
      </c>
      <c r="G61" s="68">
        <f>IF($N61="","",IF($P61&gt;0,IF(2&lt;=SemanaActual,INDEX('Cronograma Asistente Técnico'!$Z$5:$Z$1000,$N61),""),IF(INDEX('Cronograma Asistente Técnico'!$H$5:$H$1000,$N61)="","",INDEX('Cronograma Asistente Técnico'!$H$5:$H$1000,$N61))))</f>
        <v/>
      </c>
      <c r="H61" s="68">
        <f>IF($N61="","",IF($P61&gt;0,IF(3&lt;=SemanaActual,INDEX('Cronograma Asistente Técnico'!$AA$5:$AA$1000,$N61),""),IF(INDEX('Cronograma Asistente Técnico'!$I$5:$I$1000,$N61)="","",INDEX('Cronograma Asistente Técnico'!$I$5:$I$1000,$N61))))</f>
        <v/>
      </c>
      <c r="I61" s="68">
        <f>IF($N61="","",IF($P61&gt;0,IF(4&lt;=SemanaActual,INDEX('Cronograma Asistente Técnico'!$AB$5:$AB$1000,$N61),""),IF(INDEX('Cronograma Asistente Técnico'!$J$5:$J$1000,$N61)="","",INDEX('Cronograma Asistente Técnico'!$J$5:$J$1000,$N61))))</f>
        <v/>
      </c>
      <c r="J61" s="68">
        <f>IF($N61="","",INDEX('Cronograma Asistente Técnico'!$K$5:$K$1000,$N61))</f>
        <v/>
      </c>
      <c r="K61" s="62">
        <f>IF($N61="","",IF(N($J61)&gt;=1,"Completado",IF(AND(ISNUMBER($D61),$D61&lt;FechaRef),"Vencida",IF(N($J61)&gt;0,"En curso","Pendiente"))))</f>
        <v/>
      </c>
      <c r="L61" s="62">
        <f>IF($N61="","",INDEX('Cronograma Asistente Técnico'!$M$5:$M$1000,$N61)&amp;"")</f>
        <v/>
      </c>
      <c r="M61" s="71">
        <f>IF($N61="","",INDEX('Cronograma Asistente Técnico'!$N$5:$N$1000,$N61)&amp;"")</f>
        <v/>
      </c>
      <c r="N61">
        <f>IFERROR(MATCH(ROW()-4,rOrden_ATR,0),"")</f>
        <v/>
      </c>
      <c r="O61">
        <f>IF($N61="","",INDEX('Cronograma Asistente Técnico'!$S$5:$S$1000,$N61))</f>
        <v/>
      </c>
      <c r="P61">
        <f>IF($N61="","",N(INDEX('Cronograma Asistente Técnico'!$T$5:$T$1000,$N61)))</f>
        <v/>
      </c>
    </row>
    <row r="62">
      <c r="A62" s="62">
        <f>IF($N62="","",INDEX('Cronograma Asistente Técnico'!$A$5:$A$1000,$N62))</f>
        <v/>
      </c>
      <c r="B62" s="71">
        <f>IF($N62="","",IF($O62="Sub","      ↳  "&amp;INDEX('Cronograma Asistente Técnico'!$C$5:$C$1000,$N62),INDEX('Cronograma Asistente Técnico'!$C$5:$C$1000,$N62)&amp;""))</f>
        <v/>
      </c>
      <c r="C62" s="77">
        <f>IF($N62="","",IF(INDEX('Cronograma Asistente Técnico'!$D$5:$D$1000,$N62)="","",INDEX('Cronograma Asistente Técnico'!$D$5:$D$1000,$N62)))</f>
        <v/>
      </c>
      <c r="D62" s="77">
        <f>IF($N62="","",IF(INDEX('Cronograma Asistente Técnico'!$E$5:$E$1000,$N62)="","",INDEX('Cronograma Asistente Técnico'!$E$5:$E$1000,$N62)))</f>
        <v/>
      </c>
      <c r="E62" s="62">
        <f>IF($N62="","",IF(NOT(ISNUMBER($D62)),"",IF($D62&lt;InicioCiclo,"Antes del ciclo",IF($D62&gt;=InicioCiclo+28,"Después del ciclo","Semana "&amp;(INT(($D62-InicioCiclo)/7)+1)))))</f>
        <v/>
      </c>
      <c r="F62" s="68">
        <f>IF($N62="","",IF($P62&gt;0,IF(1&lt;=SemanaActual,INDEX('Cronograma Asistente Técnico'!$Y$5:$Y$1000,$N62),""),IF(INDEX('Cronograma Asistente Técnico'!$G$5:$G$1000,$N62)="","",INDEX('Cronograma Asistente Técnico'!$G$5:$G$1000,$N62))))</f>
        <v/>
      </c>
      <c r="G62" s="68">
        <f>IF($N62="","",IF($P62&gt;0,IF(2&lt;=SemanaActual,INDEX('Cronograma Asistente Técnico'!$Z$5:$Z$1000,$N62),""),IF(INDEX('Cronograma Asistente Técnico'!$H$5:$H$1000,$N62)="","",INDEX('Cronograma Asistente Técnico'!$H$5:$H$1000,$N62))))</f>
        <v/>
      </c>
      <c r="H62" s="68">
        <f>IF($N62="","",IF($P62&gt;0,IF(3&lt;=SemanaActual,INDEX('Cronograma Asistente Técnico'!$AA$5:$AA$1000,$N62),""),IF(INDEX('Cronograma Asistente Técnico'!$I$5:$I$1000,$N62)="","",INDEX('Cronograma Asistente Técnico'!$I$5:$I$1000,$N62))))</f>
        <v/>
      </c>
      <c r="I62" s="68">
        <f>IF($N62="","",IF($P62&gt;0,IF(4&lt;=SemanaActual,INDEX('Cronograma Asistente Técnico'!$AB$5:$AB$1000,$N62),""),IF(INDEX('Cronograma Asistente Técnico'!$J$5:$J$1000,$N62)="","",INDEX('Cronograma Asistente Técnico'!$J$5:$J$1000,$N62))))</f>
        <v/>
      </c>
      <c r="J62" s="68">
        <f>IF($N62="","",INDEX('Cronograma Asistente Técnico'!$K$5:$K$1000,$N62))</f>
        <v/>
      </c>
      <c r="K62" s="62">
        <f>IF($N62="","",IF(N($J62)&gt;=1,"Completado",IF(AND(ISNUMBER($D62),$D62&lt;FechaRef),"Vencida",IF(N($J62)&gt;0,"En curso","Pendiente"))))</f>
        <v/>
      </c>
      <c r="L62" s="62">
        <f>IF($N62="","",INDEX('Cronograma Asistente Técnico'!$M$5:$M$1000,$N62)&amp;"")</f>
        <v/>
      </c>
      <c r="M62" s="71">
        <f>IF($N62="","",INDEX('Cronograma Asistente Técnico'!$N$5:$N$1000,$N62)&amp;"")</f>
        <v/>
      </c>
      <c r="N62">
        <f>IFERROR(MATCH(ROW()-4,rOrden_ATR,0),"")</f>
        <v/>
      </c>
      <c r="O62">
        <f>IF($N62="","",INDEX('Cronograma Asistente Técnico'!$S$5:$S$1000,$N62))</f>
        <v/>
      </c>
      <c r="P62">
        <f>IF($N62="","",N(INDEX('Cronograma Asistente Técnico'!$T$5:$T$1000,$N62)))</f>
        <v/>
      </c>
    </row>
    <row r="63">
      <c r="A63" s="62">
        <f>IF($N63="","",INDEX('Cronograma Asistente Técnico'!$A$5:$A$1000,$N63))</f>
        <v/>
      </c>
      <c r="B63" s="71">
        <f>IF($N63="","",IF($O63="Sub","      ↳  "&amp;INDEX('Cronograma Asistente Técnico'!$C$5:$C$1000,$N63),INDEX('Cronograma Asistente Técnico'!$C$5:$C$1000,$N63)&amp;""))</f>
        <v/>
      </c>
      <c r="C63" s="77">
        <f>IF($N63="","",IF(INDEX('Cronograma Asistente Técnico'!$D$5:$D$1000,$N63)="","",INDEX('Cronograma Asistente Técnico'!$D$5:$D$1000,$N63)))</f>
        <v/>
      </c>
      <c r="D63" s="77">
        <f>IF($N63="","",IF(INDEX('Cronograma Asistente Técnico'!$E$5:$E$1000,$N63)="","",INDEX('Cronograma Asistente Técnico'!$E$5:$E$1000,$N63)))</f>
        <v/>
      </c>
      <c r="E63" s="62">
        <f>IF($N63="","",IF(NOT(ISNUMBER($D63)),"",IF($D63&lt;InicioCiclo,"Antes del ciclo",IF($D63&gt;=InicioCiclo+28,"Después del ciclo","Semana "&amp;(INT(($D63-InicioCiclo)/7)+1)))))</f>
        <v/>
      </c>
      <c r="F63" s="68">
        <f>IF($N63="","",IF($P63&gt;0,IF(1&lt;=SemanaActual,INDEX('Cronograma Asistente Técnico'!$Y$5:$Y$1000,$N63),""),IF(INDEX('Cronograma Asistente Técnico'!$G$5:$G$1000,$N63)="","",INDEX('Cronograma Asistente Técnico'!$G$5:$G$1000,$N63))))</f>
        <v/>
      </c>
      <c r="G63" s="68">
        <f>IF($N63="","",IF($P63&gt;0,IF(2&lt;=SemanaActual,INDEX('Cronograma Asistente Técnico'!$Z$5:$Z$1000,$N63),""),IF(INDEX('Cronograma Asistente Técnico'!$H$5:$H$1000,$N63)="","",INDEX('Cronograma Asistente Técnico'!$H$5:$H$1000,$N63))))</f>
        <v/>
      </c>
      <c r="H63" s="68">
        <f>IF($N63="","",IF($P63&gt;0,IF(3&lt;=SemanaActual,INDEX('Cronograma Asistente Técnico'!$AA$5:$AA$1000,$N63),""),IF(INDEX('Cronograma Asistente Técnico'!$I$5:$I$1000,$N63)="","",INDEX('Cronograma Asistente Técnico'!$I$5:$I$1000,$N63))))</f>
        <v/>
      </c>
      <c r="I63" s="68">
        <f>IF($N63="","",IF($P63&gt;0,IF(4&lt;=SemanaActual,INDEX('Cronograma Asistente Técnico'!$AB$5:$AB$1000,$N63),""),IF(INDEX('Cronograma Asistente Técnico'!$J$5:$J$1000,$N63)="","",INDEX('Cronograma Asistente Técnico'!$J$5:$J$1000,$N63))))</f>
        <v/>
      </c>
      <c r="J63" s="68">
        <f>IF($N63="","",INDEX('Cronograma Asistente Técnico'!$K$5:$K$1000,$N63))</f>
        <v/>
      </c>
      <c r="K63" s="62">
        <f>IF($N63="","",IF(N($J63)&gt;=1,"Completado",IF(AND(ISNUMBER($D63),$D63&lt;FechaRef),"Vencida",IF(N($J63)&gt;0,"En curso","Pendiente"))))</f>
        <v/>
      </c>
      <c r="L63" s="62">
        <f>IF($N63="","",INDEX('Cronograma Asistente Técnico'!$M$5:$M$1000,$N63)&amp;"")</f>
        <v/>
      </c>
      <c r="M63" s="71">
        <f>IF($N63="","",INDEX('Cronograma Asistente Técnico'!$N$5:$N$1000,$N63)&amp;"")</f>
        <v/>
      </c>
      <c r="N63">
        <f>IFERROR(MATCH(ROW()-4,rOrden_ATR,0),"")</f>
        <v/>
      </c>
      <c r="O63">
        <f>IF($N63="","",INDEX('Cronograma Asistente Técnico'!$S$5:$S$1000,$N63))</f>
        <v/>
      </c>
      <c r="P63">
        <f>IF($N63="","",N(INDEX('Cronograma Asistente Técnico'!$T$5:$T$1000,$N63)))</f>
        <v/>
      </c>
    </row>
    <row r="64">
      <c r="A64" s="62">
        <f>IF($N64="","",INDEX('Cronograma Asistente Técnico'!$A$5:$A$1000,$N64))</f>
        <v/>
      </c>
      <c r="B64" s="71">
        <f>IF($N64="","",IF($O64="Sub","      ↳  "&amp;INDEX('Cronograma Asistente Técnico'!$C$5:$C$1000,$N64),INDEX('Cronograma Asistente Técnico'!$C$5:$C$1000,$N64)&amp;""))</f>
        <v/>
      </c>
      <c r="C64" s="77">
        <f>IF($N64="","",IF(INDEX('Cronograma Asistente Técnico'!$D$5:$D$1000,$N64)="","",INDEX('Cronograma Asistente Técnico'!$D$5:$D$1000,$N64)))</f>
        <v/>
      </c>
      <c r="D64" s="77">
        <f>IF($N64="","",IF(INDEX('Cronograma Asistente Técnico'!$E$5:$E$1000,$N64)="","",INDEX('Cronograma Asistente Técnico'!$E$5:$E$1000,$N64)))</f>
        <v/>
      </c>
      <c r="E64" s="62">
        <f>IF($N64="","",IF(NOT(ISNUMBER($D64)),"",IF($D64&lt;InicioCiclo,"Antes del ciclo",IF($D64&gt;=InicioCiclo+28,"Después del ciclo","Semana "&amp;(INT(($D64-InicioCiclo)/7)+1)))))</f>
        <v/>
      </c>
      <c r="F64" s="68">
        <f>IF($N64="","",IF($P64&gt;0,IF(1&lt;=SemanaActual,INDEX('Cronograma Asistente Técnico'!$Y$5:$Y$1000,$N64),""),IF(INDEX('Cronograma Asistente Técnico'!$G$5:$G$1000,$N64)="","",INDEX('Cronograma Asistente Técnico'!$G$5:$G$1000,$N64))))</f>
        <v/>
      </c>
      <c r="G64" s="68">
        <f>IF($N64="","",IF($P64&gt;0,IF(2&lt;=SemanaActual,INDEX('Cronograma Asistente Técnico'!$Z$5:$Z$1000,$N64),""),IF(INDEX('Cronograma Asistente Técnico'!$H$5:$H$1000,$N64)="","",INDEX('Cronograma Asistente Técnico'!$H$5:$H$1000,$N64))))</f>
        <v/>
      </c>
      <c r="H64" s="68">
        <f>IF($N64="","",IF($P64&gt;0,IF(3&lt;=SemanaActual,INDEX('Cronograma Asistente Técnico'!$AA$5:$AA$1000,$N64),""),IF(INDEX('Cronograma Asistente Técnico'!$I$5:$I$1000,$N64)="","",INDEX('Cronograma Asistente Técnico'!$I$5:$I$1000,$N64))))</f>
        <v/>
      </c>
      <c r="I64" s="68">
        <f>IF($N64="","",IF($P64&gt;0,IF(4&lt;=SemanaActual,INDEX('Cronograma Asistente Técnico'!$AB$5:$AB$1000,$N64),""),IF(INDEX('Cronograma Asistente Técnico'!$J$5:$J$1000,$N64)="","",INDEX('Cronograma Asistente Técnico'!$J$5:$J$1000,$N64))))</f>
        <v/>
      </c>
      <c r="J64" s="68">
        <f>IF($N64="","",INDEX('Cronograma Asistente Técnico'!$K$5:$K$1000,$N64))</f>
        <v/>
      </c>
      <c r="K64" s="62">
        <f>IF($N64="","",IF(N($J64)&gt;=1,"Completado",IF(AND(ISNUMBER($D64),$D64&lt;FechaRef),"Vencida",IF(N($J64)&gt;0,"En curso","Pendiente"))))</f>
        <v/>
      </c>
      <c r="L64" s="62">
        <f>IF($N64="","",INDEX('Cronograma Asistente Técnico'!$M$5:$M$1000,$N64)&amp;"")</f>
        <v/>
      </c>
      <c r="M64" s="71">
        <f>IF($N64="","",INDEX('Cronograma Asistente Técnico'!$N$5:$N$1000,$N64)&amp;"")</f>
        <v/>
      </c>
      <c r="N64">
        <f>IFERROR(MATCH(ROW()-4,rOrden_ATR,0),"")</f>
        <v/>
      </c>
      <c r="O64">
        <f>IF($N64="","",INDEX('Cronograma Asistente Técnico'!$S$5:$S$1000,$N64))</f>
        <v/>
      </c>
      <c r="P64">
        <f>IF($N64="","",N(INDEX('Cronograma Asistente Técnico'!$T$5:$T$1000,$N64)))</f>
        <v/>
      </c>
    </row>
    <row r="65">
      <c r="A65" s="62">
        <f>IF($N65="","",INDEX('Cronograma Asistente Técnico'!$A$5:$A$1000,$N65))</f>
        <v/>
      </c>
      <c r="B65" s="71">
        <f>IF($N65="","",IF($O65="Sub","      ↳  "&amp;INDEX('Cronograma Asistente Técnico'!$C$5:$C$1000,$N65),INDEX('Cronograma Asistente Técnico'!$C$5:$C$1000,$N65)&amp;""))</f>
        <v/>
      </c>
      <c r="C65" s="77">
        <f>IF($N65="","",IF(INDEX('Cronograma Asistente Técnico'!$D$5:$D$1000,$N65)="","",INDEX('Cronograma Asistente Técnico'!$D$5:$D$1000,$N65)))</f>
        <v/>
      </c>
      <c r="D65" s="77">
        <f>IF($N65="","",IF(INDEX('Cronograma Asistente Técnico'!$E$5:$E$1000,$N65)="","",INDEX('Cronograma Asistente Técnico'!$E$5:$E$1000,$N65)))</f>
        <v/>
      </c>
      <c r="E65" s="62">
        <f>IF($N65="","",IF(NOT(ISNUMBER($D65)),"",IF($D65&lt;InicioCiclo,"Antes del ciclo",IF($D65&gt;=InicioCiclo+28,"Después del ciclo","Semana "&amp;(INT(($D65-InicioCiclo)/7)+1)))))</f>
        <v/>
      </c>
      <c r="F65" s="68">
        <f>IF($N65="","",IF($P65&gt;0,IF(1&lt;=SemanaActual,INDEX('Cronograma Asistente Técnico'!$Y$5:$Y$1000,$N65),""),IF(INDEX('Cronograma Asistente Técnico'!$G$5:$G$1000,$N65)="","",INDEX('Cronograma Asistente Técnico'!$G$5:$G$1000,$N65))))</f>
        <v/>
      </c>
      <c r="G65" s="68">
        <f>IF($N65="","",IF($P65&gt;0,IF(2&lt;=SemanaActual,INDEX('Cronograma Asistente Técnico'!$Z$5:$Z$1000,$N65),""),IF(INDEX('Cronograma Asistente Técnico'!$H$5:$H$1000,$N65)="","",INDEX('Cronograma Asistente Técnico'!$H$5:$H$1000,$N65))))</f>
        <v/>
      </c>
      <c r="H65" s="68">
        <f>IF($N65="","",IF($P65&gt;0,IF(3&lt;=SemanaActual,INDEX('Cronograma Asistente Técnico'!$AA$5:$AA$1000,$N65),""),IF(INDEX('Cronograma Asistente Técnico'!$I$5:$I$1000,$N65)="","",INDEX('Cronograma Asistente Técnico'!$I$5:$I$1000,$N65))))</f>
        <v/>
      </c>
      <c r="I65" s="68">
        <f>IF($N65="","",IF($P65&gt;0,IF(4&lt;=SemanaActual,INDEX('Cronograma Asistente Técnico'!$AB$5:$AB$1000,$N65),""),IF(INDEX('Cronograma Asistente Técnico'!$J$5:$J$1000,$N65)="","",INDEX('Cronograma Asistente Técnico'!$J$5:$J$1000,$N65))))</f>
        <v/>
      </c>
      <c r="J65" s="68">
        <f>IF($N65="","",INDEX('Cronograma Asistente Técnico'!$K$5:$K$1000,$N65))</f>
        <v/>
      </c>
      <c r="K65" s="62">
        <f>IF($N65="","",IF(N($J65)&gt;=1,"Completado",IF(AND(ISNUMBER($D65),$D65&lt;FechaRef),"Vencida",IF(N($J65)&gt;0,"En curso","Pendiente"))))</f>
        <v/>
      </c>
      <c r="L65" s="62">
        <f>IF($N65="","",INDEX('Cronograma Asistente Técnico'!$M$5:$M$1000,$N65)&amp;"")</f>
        <v/>
      </c>
      <c r="M65" s="71">
        <f>IF($N65="","",INDEX('Cronograma Asistente Técnico'!$N$5:$N$1000,$N65)&amp;"")</f>
        <v/>
      </c>
      <c r="N65">
        <f>IFERROR(MATCH(ROW()-4,rOrden_ATR,0),"")</f>
        <v/>
      </c>
      <c r="O65">
        <f>IF($N65="","",INDEX('Cronograma Asistente Técnico'!$S$5:$S$1000,$N65))</f>
        <v/>
      </c>
      <c r="P65">
        <f>IF($N65="","",N(INDEX('Cronograma Asistente Técnico'!$T$5:$T$1000,$N65)))</f>
        <v/>
      </c>
    </row>
    <row r="66">
      <c r="A66" s="62">
        <f>IF($N66="","",INDEX('Cronograma Asistente Técnico'!$A$5:$A$1000,$N66))</f>
        <v/>
      </c>
      <c r="B66" s="71">
        <f>IF($N66="","",IF($O66="Sub","      ↳  "&amp;INDEX('Cronograma Asistente Técnico'!$C$5:$C$1000,$N66),INDEX('Cronograma Asistente Técnico'!$C$5:$C$1000,$N66)&amp;""))</f>
        <v/>
      </c>
      <c r="C66" s="77">
        <f>IF($N66="","",IF(INDEX('Cronograma Asistente Técnico'!$D$5:$D$1000,$N66)="","",INDEX('Cronograma Asistente Técnico'!$D$5:$D$1000,$N66)))</f>
        <v/>
      </c>
      <c r="D66" s="77">
        <f>IF($N66="","",IF(INDEX('Cronograma Asistente Técnico'!$E$5:$E$1000,$N66)="","",INDEX('Cronograma Asistente Técnico'!$E$5:$E$1000,$N66)))</f>
        <v/>
      </c>
      <c r="E66" s="62">
        <f>IF($N66="","",IF(NOT(ISNUMBER($D66)),"",IF($D66&lt;InicioCiclo,"Antes del ciclo",IF($D66&gt;=InicioCiclo+28,"Después del ciclo","Semana "&amp;(INT(($D66-InicioCiclo)/7)+1)))))</f>
        <v/>
      </c>
      <c r="F66" s="68">
        <f>IF($N66="","",IF($P66&gt;0,IF(1&lt;=SemanaActual,INDEX('Cronograma Asistente Técnico'!$Y$5:$Y$1000,$N66),""),IF(INDEX('Cronograma Asistente Técnico'!$G$5:$G$1000,$N66)="","",INDEX('Cronograma Asistente Técnico'!$G$5:$G$1000,$N66))))</f>
        <v/>
      </c>
      <c r="G66" s="68">
        <f>IF($N66="","",IF($P66&gt;0,IF(2&lt;=SemanaActual,INDEX('Cronograma Asistente Técnico'!$Z$5:$Z$1000,$N66),""),IF(INDEX('Cronograma Asistente Técnico'!$H$5:$H$1000,$N66)="","",INDEX('Cronograma Asistente Técnico'!$H$5:$H$1000,$N66))))</f>
        <v/>
      </c>
      <c r="H66" s="68">
        <f>IF($N66="","",IF($P66&gt;0,IF(3&lt;=SemanaActual,INDEX('Cronograma Asistente Técnico'!$AA$5:$AA$1000,$N66),""),IF(INDEX('Cronograma Asistente Técnico'!$I$5:$I$1000,$N66)="","",INDEX('Cronograma Asistente Técnico'!$I$5:$I$1000,$N66))))</f>
        <v/>
      </c>
      <c r="I66" s="68">
        <f>IF($N66="","",IF($P66&gt;0,IF(4&lt;=SemanaActual,INDEX('Cronograma Asistente Técnico'!$AB$5:$AB$1000,$N66),""),IF(INDEX('Cronograma Asistente Técnico'!$J$5:$J$1000,$N66)="","",INDEX('Cronograma Asistente Técnico'!$J$5:$J$1000,$N66))))</f>
        <v/>
      </c>
      <c r="J66" s="68">
        <f>IF($N66="","",INDEX('Cronograma Asistente Técnico'!$K$5:$K$1000,$N66))</f>
        <v/>
      </c>
      <c r="K66" s="62">
        <f>IF($N66="","",IF(N($J66)&gt;=1,"Completado",IF(AND(ISNUMBER($D66),$D66&lt;FechaRef),"Vencida",IF(N($J66)&gt;0,"En curso","Pendiente"))))</f>
        <v/>
      </c>
      <c r="L66" s="62">
        <f>IF($N66="","",INDEX('Cronograma Asistente Técnico'!$M$5:$M$1000,$N66)&amp;"")</f>
        <v/>
      </c>
      <c r="M66" s="71">
        <f>IF($N66="","",INDEX('Cronograma Asistente Técnico'!$N$5:$N$1000,$N66)&amp;"")</f>
        <v/>
      </c>
      <c r="N66">
        <f>IFERROR(MATCH(ROW()-4,rOrden_ATR,0),"")</f>
        <v/>
      </c>
      <c r="O66">
        <f>IF($N66="","",INDEX('Cronograma Asistente Técnico'!$S$5:$S$1000,$N66))</f>
        <v/>
      </c>
      <c r="P66">
        <f>IF($N66="","",N(INDEX('Cronograma Asistente Técnico'!$T$5:$T$1000,$N66)))</f>
        <v/>
      </c>
    </row>
    <row r="67">
      <c r="A67" s="62">
        <f>IF($N67="","",INDEX('Cronograma Asistente Técnico'!$A$5:$A$1000,$N67))</f>
        <v/>
      </c>
      <c r="B67" s="71">
        <f>IF($N67="","",IF($O67="Sub","      ↳  "&amp;INDEX('Cronograma Asistente Técnico'!$C$5:$C$1000,$N67),INDEX('Cronograma Asistente Técnico'!$C$5:$C$1000,$N67)&amp;""))</f>
        <v/>
      </c>
      <c r="C67" s="77">
        <f>IF($N67="","",IF(INDEX('Cronograma Asistente Técnico'!$D$5:$D$1000,$N67)="","",INDEX('Cronograma Asistente Técnico'!$D$5:$D$1000,$N67)))</f>
        <v/>
      </c>
      <c r="D67" s="77">
        <f>IF($N67="","",IF(INDEX('Cronograma Asistente Técnico'!$E$5:$E$1000,$N67)="","",INDEX('Cronograma Asistente Técnico'!$E$5:$E$1000,$N67)))</f>
        <v/>
      </c>
      <c r="E67" s="62">
        <f>IF($N67="","",IF(NOT(ISNUMBER($D67)),"",IF($D67&lt;InicioCiclo,"Antes del ciclo",IF($D67&gt;=InicioCiclo+28,"Después del ciclo","Semana "&amp;(INT(($D67-InicioCiclo)/7)+1)))))</f>
        <v/>
      </c>
      <c r="F67" s="68">
        <f>IF($N67="","",IF($P67&gt;0,IF(1&lt;=SemanaActual,INDEX('Cronograma Asistente Técnico'!$Y$5:$Y$1000,$N67),""),IF(INDEX('Cronograma Asistente Técnico'!$G$5:$G$1000,$N67)="","",INDEX('Cronograma Asistente Técnico'!$G$5:$G$1000,$N67))))</f>
        <v/>
      </c>
      <c r="G67" s="68">
        <f>IF($N67="","",IF($P67&gt;0,IF(2&lt;=SemanaActual,INDEX('Cronograma Asistente Técnico'!$Z$5:$Z$1000,$N67),""),IF(INDEX('Cronograma Asistente Técnico'!$H$5:$H$1000,$N67)="","",INDEX('Cronograma Asistente Técnico'!$H$5:$H$1000,$N67))))</f>
        <v/>
      </c>
      <c r="H67" s="68">
        <f>IF($N67="","",IF($P67&gt;0,IF(3&lt;=SemanaActual,INDEX('Cronograma Asistente Técnico'!$AA$5:$AA$1000,$N67),""),IF(INDEX('Cronograma Asistente Técnico'!$I$5:$I$1000,$N67)="","",INDEX('Cronograma Asistente Técnico'!$I$5:$I$1000,$N67))))</f>
        <v/>
      </c>
      <c r="I67" s="68">
        <f>IF($N67="","",IF($P67&gt;0,IF(4&lt;=SemanaActual,INDEX('Cronograma Asistente Técnico'!$AB$5:$AB$1000,$N67),""),IF(INDEX('Cronograma Asistente Técnico'!$J$5:$J$1000,$N67)="","",INDEX('Cronograma Asistente Técnico'!$J$5:$J$1000,$N67))))</f>
        <v/>
      </c>
      <c r="J67" s="68">
        <f>IF($N67="","",INDEX('Cronograma Asistente Técnico'!$K$5:$K$1000,$N67))</f>
        <v/>
      </c>
      <c r="K67" s="62">
        <f>IF($N67="","",IF(N($J67)&gt;=1,"Completado",IF(AND(ISNUMBER($D67),$D67&lt;FechaRef),"Vencida",IF(N($J67)&gt;0,"En curso","Pendiente"))))</f>
        <v/>
      </c>
      <c r="L67" s="62">
        <f>IF($N67="","",INDEX('Cronograma Asistente Técnico'!$M$5:$M$1000,$N67)&amp;"")</f>
        <v/>
      </c>
      <c r="M67" s="71">
        <f>IF($N67="","",INDEX('Cronograma Asistente Técnico'!$N$5:$N$1000,$N67)&amp;"")</f>
        <v/>
      </c>
      <c r="N67">
        <f>IFERROR(MATCH(ROW()-4,rOrden_ATR,0),"")</f>
        <v/>
      </c>
      <c r="O67">
        <f>IF($N67="","",INDEX('Cronograma Asistente Técnico'!$S$5:$S$1000,$N67))</f>
        <v/>
      </c>
      <c r="P67">
        <f>IF($N67="","",N(INDEX('Cronograma Asistente Técnico'!$T$5:$T$1000,$N67)))</f>
        <v/>
      </c>
    </row>
    <row r="68">
      <c r="A68" s="62">
        <f>IF($N68="","",INDEX('Cronograma Asistente Técnico'!$A$5:$A$1000,$N68))</f>
        <v/>
      </c>
      <c r="B68" s="71">
        <f>IF($N68="","",IF($O68="Sub","      ↳  "&amp;INDEX('Cronograma Asistente Técnico'!$C$5:$C$1000,$N68),INDEX('Cronograma Asistente Técnico'!$C$5:$C$1000,$N68)&amp;""))</f>
        <v/>
      </c>
      <c r="C68" s="77">
        <f>IF($N68="","",IF(INDEX('Cronograma Asistente Técnico'!$D$5:$D$1000,$N68)="","",INDEX('Cronograma Asistente Técnico'!$D$5:$D$1000,$N68)))</f>
        <v/>
      </c>
      <c r="D68" s="77">
        <f>IF($N68="","",IF(INDEX('Cronograma Asistente Técnico'!$E$5:$E$1000,$N68)="","",INDEX('Cronograma Asistente Técnico'!$E$5:$E$1000,$N68)))</f>
        <v/>
      </c>
      <c r="E68" s="62">
        <f>IF($N68="","",IF(NOT(ISNUMBER($D68)),"",IF($D68&lt;InicioCiclo,"Antes del ciclo",IF($D68&gt;=InicioCiclo+28,"Después del ciclo","Semana "&amp;(INT(($D68-InicioCiclo)/7)+1)))))</f>
        <v/>
      </c>
      <c r="F68" s="68">
        <f>IF($N68="","",IF($P68&gt;0,IF(1&lt;=SemanaActual,INDEX('Cronograma Asistente Técnico'!$Y$5:$Y$1000,$N68),""),IF(INDEX('Cronograma Asistente Técnico'!$G$5:$G$1000,$N68)="","",INDEX('Cronograma Asistente Técnico'!$G$5:$G$1000,$N68))))</f>
        <v/>
      </c>
      <c r="G68" s="68">
        <f>IF($N68="","",IF($P68&gt;0,IF(2&lt;=SemanaActual,INDEX('Cronograma Asistente Técnico'!$Z$5:$Z$1000,$N68),""),IF(INDEX('Cronograma Asistente Técnico'!$H$5:$H$1000,$N68)="","",INDEX('Cronograma Asistente Técnico'!$H$5:$H$1000,$N68))))</f>
        <v/>
      </c>
      <c r="H68" s="68">
        <f>IF($N68="","",IF($P68&gt;0,IF(3&lt;=SemanaActual,INDEX('Cronograma Asistente Técnico'!$AA$5:$AA$1000,$N68),""),IF(INDEX('Cronograma Asistente Técnico'!$I$5:$I$1000,$N68)="","",INDEX('Cronograma Asistente Técnico'!$I$5:$I$1000,$N68))))</f>
        <v/>
      </c>
      <c r="I68" s="68">
        <f>IF($N68="","",IF($P68&gt;0,IF(4&lt;=SemanaActual,INDEX('Cronograma Asistente Técnico'!$AB$5:$AB$1000,$N68),""),IF(INDEX('Cronograma Asistente Técnico'!$J$5:$J$1000,$N68)="","",INDEX('Cronograma Asistente Técnico'!$J$5:$J$1000,$N68))))</f>
        <v/>
      </c>
      <c r="J68" s="68">
        <f>IF($N68="","",INDEX('Cronograma Asistente Técnico'!$K$5:$K$1000,$N68))</f>
        <v/>
      </c>
      <c r="K68" s="62">
        <f>IF($N68="","",IF(N($J68)&gt;=1,"Completado",IF(AND(ISNUMBER($D68),$D68&lt;FechaRef),"Vencida",IF(N($J68)&gt;0,"En curso","Pendiente"))))</f>
        <v/>
      </c>
      <c r="L68" s="62">
        <f>IF($N68="","",INDEX('Cronograma Asistente Técnico'!$M$5:$M$1000,$N68)&amp;"")</f>
        <v/>
      </c>
      <c r="M68" s="71">
        <f>IF($N68="","",INDEX('Cronograma Asistente Técnico'!$N$5:$N$1000,$N68)&amp;"")</f>
        <v/>
      </c>
      <c r="N68">
        <f>IFERROR(MATCH(ROW()-4,rOrden_ATR,0),"")</f>
        <v/>
      </c>
      <c r="O68">
        <f>IF($N68="","",INDEX('Cronograma Asistente Técnico'!$S$5:$S$1000,$N68))</f>
        <v/>
      </c>
      <c r="P68">
        <f>IF($N68="","",N(INDEX('Cronograma Asistente Técnico'!$T$5:$T$1000,$N68)))</f>
        <v/>
      </c>
    </row>
    <row r="69">
      <c r="A69" s="62">
        <f>IF($N69="","",INDEX('Cronograma Asistente Técnico'!$A$5:$A$1000,$N69))</f>
        <v/>
      </c>
      <c r="B69" s="71">
        <f>IF($N69="","",IF($O69="Sub","      ↳  "&amp;INDEX('Cronograma Asistente Técnico'!$C$5:$C$1000,$N69),INDEX('Cronograma Asistente Técnico'!$C$5:$C$1000,$N69)&amp;""))</f>
        <v/>
      </c>
      <c r="C69" s="77">
        <f>IF($N69="","",IF(INDEX('Cronograma Asistente Técnico'!$D$5:$D$1000,$N69)="","",INDEX('Cronograma Asistente Técnico'!$D$5:$D$1000,$N69)))</f>
        <v/>
      </c>
      <c r="D69" s="77">
        <f>IF($N69="","",IF(INDEX('Cronograma Asistente Técnico'!$E$5:$E$1000,$N69)="","",INDEX('Cronograma Asistente Técnico'!$E$5:$E$1000,$N69)))</f>
        <v/>
      </c>
      <c r="E69" s="62">
        <f>IF($N69="","",IF(NOT(ISNUMBER($D69)),"",IF($D69&lt;InicioCiclo,"Antes del ciclo",IF($D69&gt;=InicioCiclo+28,"Después del ciclo","Semana "&amp;(INT(($D69-InicioCiclo)/7)+1)))))</f>
        <v/>
      </c>
      <c r="F69" s="68">
        <f>IF($N69="","",IF($P69&gt;0,IF(1&lt;=SemanaActual,INDEX('Cronograma Asistente Técnico'!$Y$5:$Y$1000,$N69),""),IF(INDEX('Cronograma Asistente Técnico'!$G$5:$G$1000,$N69)="","",INDEX('Cronograma Asistente Técnico'!$G$5:$G$1000,$N69))))</f>
        <v/>
      </c>
      <c r="G69" s="68">
        <f>IF($N69="","",IF($P69&gt;0,IF(2&lt;=SemanaActual,INDEX('Cronograma Asistente Técnico'!$Z$5:$Z$1000,$N69),""),IF(INDEX('Cronograma Asistente Técnico'!$H$5:$H$1000,$N69)="","",INDEX('Cronograma Asistente Técnico'!$H$5:$H$1000,$N69))))</f>
        <v/>
      </c>
      <c r="H69" s="68">
        <f>IF($N69="","",IF($P69&gt;0,IF(3&lt;=SemanaActual,INDEX('Cronograma Asistente Técnico'!$AA$5:$AA$1000,$N69),""),IF(INDEX('Cronograma Asistente Técnico'!$I$5:$I$1000,$N69)="","",INDEX('Cronograma Asistente Técnico'!$I$5:$I$1000,$N69))))</f>
        <v/>
      </c>
      <c r="I69" s="68">
        <f>IF($N69="","",IF($P69&gt;0,IF(4&lt;=SemanaActual,INDEX('Cronograma Asistente Técnico'!$AB$5:$AB$1000,$N69),""),IF(INDEX('Cronograma Asistente Técnico'!$J$5:$J$1000,$N69)="","",INDEX('Cronograma Asistente Técnico'!$J$5:$J$1000,$N69))))</f>
        <v/>
      </c>
      <c r="J69" s="68">
        <f>IF($N69="","",INDEX('Cronograma Asistente Técnico'!$K$5:$K$1000,$N69))</f>
        <v/>
      </c>
      <c r="K69" s="62">
        <f>IF($N69="","",IF(N($J69)&gt;=1,"Completado",IF(AND(ISNUMBER($D69),$D69&lt;FechaRef),"Vencida",IF(N($J69)&gt;0,"En curso","Pendiente"))))</f>
        <v/>
      </c>
      <c r="L69" s="62">
        <f>IF($N69="","",INDEX('Cronograma Asistente Técnico'!$M$5:$M$1000,$N69)&amp;"")</f>
        <v/>
      </c>
      <c r="M69" s="71">
        <f>IF($N69="","",INDEX('Cronograma Asistente Técnico'!$N$5:$N$1000,$N69)&amp;"")</f>
        <v/>
      </c>
      <c r="N69">
        <f>IFERROR(MATCH(ROW()-4,rOrden_ATR,0),"")</f>
        <v/>
      </c>
      <c r="O69">
        <f>IF($N69="","",INDEX('Cronograma Asistente Técnico'!$S$5:$S$1000,$N69))</f>
        <v/>
      </c>
      <c r="P69">
        <f>IF($N69="","",N(INDEX('Cronograma Asistente Técnico'!$T$5:$T$1000,$N69)))</f>
        <v/>
      </c>
    </row>
    <row r="70">
      <c r="A70" s="62">
        <f>IF($N70="","",INDEX('Cronograma Asistente Técnico'!$A$5:$A$1000,$N70))</f>
        <v/>
      </c>
      <c r="B70" s="71">
        <f>IF($N70="","",IF($O70="Sub","      ↳  "&amp;INDEX('Cronograma Asistente Técnico'!$C$5:$C$1000,$N70),INDEX('Cronograma Asistente Técnico'!$C$5:$C$1000,$N70)&amp;""))</f>
        <v/>
      </c>
      <c r="C70" s="77">
        <f>IF($N70="","",IF(INDEX('Cronograma Asistente Técnico'!$D$5:$D$1000,$N70)="","",INDEX('Cronograma Asistente Técnico'!$D$5:$D$1000,$N70)))</f>
        <v/>
      </c>
      <c r="D70" s="77">
        <f>IF($N70="","",IF(INDEX('Cronograma Asistente Técnico'!$E$5:$E$1000,$N70)="","",INDEX('Cronograma Asistente Técnico'!$E$5:$E$1000,$N70)))</f>
        <v/>
      </c>
      <c r="E70" s="62">
        <f>IF($N70="","",IF(NOT(ISNUMBER($D70)),"",IF($D70&lt;InicioCiclo,"Antes del ciclo",IF($D70&gt;=InicioCiclo+28,"Después del ciclo","Semana "&amp;(INT(($D70-InicioCiclo)/7)+1)))))</f>
        <v/>
      </c>
      <c r="F70" s="68">
        <f>IF($N70="","",IF($P70&gt;0,IF(1&lt;=SemanaActual,INDEX('Cronograma Asistente Técnico'!$Y$5:$Y$1000,$N70),""),IF(INDEX('Cronograma Asistente Técnico'!$G$5:$G$1000,$N70)="","",INDEX('Cronograma Asistente Técnico'!$G$5:$G$1000,$N70))))</f>
        <v/>
      </c>
      <c r="G70" s="68">
        <f>IF($N70="","",IF($P70&gt;0,IF(2&lt;=SemanaActual,INDEX('Cronograma Asistente Técnico'!$Z$5:$Z$1000,$N70),""),IF(INDEX('Cronograma Asistente Técnico'!$H$5:$H$1000,$N70)="","",INDEX('Cronograma Asistente Técnico'!$H$5:$H$1000,$N70))))</f>
        <v/>
      </c>
      <c r="H70" s="68">
        <f>IF($N70="","",IF($P70&gt;0,IF(3&lt;=SemanaActual,INDEX('Cronograma Asistente Técnico'!$AA$5:$AA$1000,$N70),""),IF(INDEX('Cronograma Asistente Técnico'!$I$5:$I$1000,$N70)="","",INDEX('Cronograma Asistente Técnico'!$I$5:$I$1000,$N70))))</f>
        <v/>
      </c>
      <c r="I70" s="68">
        <f>IF($N70="","",IF($P70&gt;0,IF(4&lt;=SemanaActual,INDEX('Cronograma Asistente Técnico'!$AB$5:$AB$1000,$N70),""),IF(INDEX('Cronograma Asistente Técnico'!$J$5:$J$1000,$N70)="","",INDEX('Cronograma Asistente Técnico'!$J$5:$J$1000,$N70))))</f>
        <v/>
      </c>
      <c r="J70" s="68">
        <f>IF($N70="","",INDEX('Cronograma Asistente Técnico'!$K$5:$K$1000,$N70))</f>
        <v/>
      </c>
      <c r="K70" s="62">
        <f>IF($N70="","",IF(N($J70)&gt;=1,"Completado",IF(AND(ISNUMBER($D70),$D70&lt;FechaRef),"Vencida",IF(N($J70)&gt;0,"En curso","Pendiente"))))</f>
        <v/>
      </c>
      <c r="L70" s="62">
        <f>IF($N70="","",INDEX('Cronograma Asistente Técnico'!$M$5:$M$1000,$N70)&amp;"")</f>
        <v/>
      </c>
      <c r="M70" s="71">
        <f>IF($N70="","",INDEX('Cronograma Asistente Técnico'!$N$5:$N$1000,$N70)&amp;"")</f>
        <v/>
      </c>
      <c r="N70">
        <f>IFERROR(MATCH(ROW()-4,rOrden_ATR,0),"")</f>
        <v/>
      </c>
      <c r="O70">
        <f>IF($N70="","",INDEX('Cronograma Asistente Técnico'!$S$5:$S$1000,$N70))</f>
        <v/>
      </c>
      <c r="P70">
        <f>IF($N70="","",N(INDEX('Cronograma Asistente Técnico'!$T$5:$T$1000,$N70)))</f>
        <v/>
      </c>
    </row>
    <row r="71">
      <c r="A71" s="62">
        <f>IF($N71="","",INDEX('Cronograma Asistente Técnico'!$A$5:$A$1000,$N71))</f>
        <v/>
      </c>
      <c r="B71" s="71">
        <f>IF($N71="","",IF($O71="Sub","      ↳  "&amp;INDEX('Cronograma Asistente Técnico'!$C$5:$C$1000,$N71),INDEX('Cronograma Asistente Técnico'!$C$5:$C$1000,$N71)&amp;""))</f>
        <v/>
      </c>
      <c r="C71" s="77">
        <f>IF($N71="","",IF(INDEX('Cronograma Asistente Técnico'!$D$5:$D$1000,$N71)="","",INDEX('Cronograma Asistente Técnico'!$D$5:$D$1000,$N71)))</f>
        <v/>
      </c>
      <c r="D71" s="77">
        <f>IF($N71="","",IF(INDEX('Cronograma Asistente Técnico'!$E$5:$E$1000,$N71)="","",INDEX('Cronograma Asistente Técnico'!$E$5:$E$1000,$N71)))</f>
        <v/>
      </c>
      <c r="E71" s="62">
        <f>IF($N71="","",IF(NOT(ISNUMBER($D71)),"",IF($D71&lt;InicioCiclo,"Antes del ciclo",IF($D71&gt;=InicioCiclo+28,"Después del ciclo","Semana "&amp;(INT(($D71-InicioCiclo)/7)+1)))))</f>
        <v/>
      </c>
      <c r="F71" s="68">
        <f>IF($N71="","",IF($P71&gt;0,IF(1&lt;=SemanaActual,INDEX('Cronograma Asistente Técnico'!$Y$5:$Y$1000,$N71),""),IF(INDEX('Cronograma Asistente Técnico'!$G$5:$G$1000,$N71)="","",INDEX('Cronograma Asistente Técnico'!$G$5:$G$1000,$N71))))</f>
        <v/>
      </c>
      <c r="G71" s="68">
        <f>IF($N71="","",IF($P71&gt;0,IF(2&lt;=SemanaActual,INDEX('Cronograma Asistente Técnico'!$Z$5:$Z$1000,$N71),""),IF(INDEX('Cronograma Asistente Técnico'!$H$5:$H$1000,$N71)="","",INDEX('Cronograma Asistente Técnico'!$H$5:$H$1000,$N71))))</f>
        <v/>
      </c>
      <c r="H71" s="68">
        <f>IF($N71="","",IF($P71&gt;0,IF(3&lt;=SemanaActual,INDEX('Cronograma Asistente Técnico'!$AA$5:$AA$1000,$N71),""),IF(INDEX('Cronograma Asistente Técnico'!$I$5:$I$1000,$N71)="","",INDEX('Cronograma Asistente Técnico'!$I$5:$I$1000,$N71))))</f>
        <v/>
      </c>
      <c r="I71" s="68">
        <f>IF($N71="","",IF($P71&gt;0,IF(4&lt;=SemanaActual,INDEX('Cronograma Asistente Técnico'!$AB$5:$AB$1000,$N71),""),IF(INDEX('Cronograma Asistente Técnico'!$J$5:$J$1000,$N71)="","",INDEX('Cronograma Asistente Técnico'!$J$5:$J$1000,$N71))))</f>
        <v/>
      </c>
      <c r="J71" s="68">
        <f>IF($N71="","",INDEX('Cronograma Asistente Técnico'!$K$5:$K$1000,$N71))</f>
        <v/>
      </c>
      <c r="K71" s="62">
        <f>IF($N71="","",IF(N($J71)&gt;=1,"Completado",IF(AND(ISNUMBER($D71),$D71&lt;FechaRef),"Vencida",IF(N($J71)&gt;0,"En curso","Pendiente"))))</f>
        <v/>
      </c>
      <c r="L71" s="62">
        <f>IF($N71="","",INDEX('Cronograma Asistente Técnico'!$M$5:$M$1000,$N71)&amp;"")</f>
        <v/>
      </c>
      <c r="M71" s="71">
        <f>IF($N71="","",INDEX('Cronograma Asistente Técnico'!$N$5:$N$1000,$N71)&amp;"")</f>
        <v/>
      </c>
      <c r="N71">
        <f>IFERROR(MATCH(ROW()-4,rOrden_ATR,0),"")</f>
        <v/>
      </c>
      <c r="O71">
        <f>IF($N71="","",INDEX('Cronograma Asistente Técnico'!$S$5:$S$1000,$N71))</f>
        <v/>
      </c>
      <c r="P71">
        <f>IF($N71="","",N(INDEX('Cronograma Asistente Técnico'!$T$5:$T$1000,$N71)))</f>
        <v/>
      </c>
    </row>
    <row r="72">
      <c r="A72" s="62">
        <f>IF($N72="","",INDEX('Cronograma Asistente Técnico'!$A$5:$A$1000,$N72))</f>
        <v/>
      </c>
      <c r="B72" s="71">
        <f>IF($N72="","",IF($O72="Sub","      ↳  "&amp;INDEX('Cronograma Asistente Técnico'!$C$5:$C$1000,$N72),INDEX('Cronograma Asistente Técnico'!$C$5:$C$1000,$N72)&amp;""))</f>
        <v/>
      </c>
      <c r="C72" s="77">
        <f>IF($N72="","",IF(INDEX('Cronograma Asistente Técnico'!$D$5:$D$1000,$N72)="","",INDEX('Cronograma Asistente Técnico'!$D$5:$D$1000,$N72)))</f>
        <v/>
      </c>
      <c r="D72" s="77">
        <f>IF($N72="","",IF(INDEX('Cronograma Asistente Técnico'!$E$5:$E$1000,$N72)="","",INDEX('Cronograma Asistente Técnico'!$E$5:$E$1000,$N72)))</f>
        <v/>
      </c>
      <c r="E72" s="62">
        <f>IF($N72="","",IF(NOT(ISNUMBER($D72)),"",IF($D72&lt;InicioCiclo,"Antes del ciclo",IF($D72&gt;=InicioCiclo+28,"Después del ciclo","Semana "&amp;(INT(($D72-InicioCiclo)/7)+1)))))</f>
        <v/>
      </c>
      <c r="F72" s="68">
        <f>IF($N72="","",IF($P72&gt;0,IF(1&lt;=SemanaActual,INDEX('Cronograma Asistente Técnico'!$Y$5:$Y$1000,$N72),""),IF(INDEX('Cronograma Asistente Técnico'!$G$5:$G$1000,$N72)="","",INDEX('Cronograma Asistente Técnico'!$G$5:$G$1000,$N72))))</f>
        <v/>
      </c>
      <c r="G72" s="68">
        <f>IF($N72="","",IF($P72&gt;0,IF(2&lt;=SemanaActual,INDEX('Cronograma Asistente Técnico'!$Z$5:$Z$1000,$N72),""),IF(INDEX('Cronograma Asistente Técnico'!$H$5:$H$1000,$N72)="","",INDEX('Cronograma Asistente Técnico'!$H$5:$H$1000,$N72))))</f>
        <v/>
      </c>
      <c r="H72" s="68">
        <f>IF($N72="","",IF($P72&gt;0,IF(3&lt;=SemanaActual,INDEX('Cronograma Asistente Técnico'!$AA$5:$AA$1000,$N72),""),IF(INDEX('Cronograma Asistente Técnico'!$I$5:$I$1000,$N72)="","",INDEX('Cronograma Asistente Técnico'!$I$5:$I$1000,$N72))))</f>
        <v/>
      </c>
      <c r="I72" s="68">
        <f>IF($N72="","",IF($P72&gt;0,IF(4&lt;=SemanaActual,INDEX('Cronograma Asistente Técnico'!$AB$5:$AB$1000,$N72),""),IF(INDEX('Cronograma Asistente Técnico'!$J$5:$J$1000,$N72)="","",INDEX('Cronograma Asistente Técnico'!$J$5:$J$1000,$N72))))</f>
        <v/>
      </c>
      <c r="J72" s="68">
        <f>IF($N72="","",INDEX('Cronograma Asistente Técnico'!$K$5:$K$1000,$N72))</f>
        <v/>
      </c>
      <c r="K72" s="62">
        <f>IF($N72="","",IF(N($J72)&gt;=1,"Completado",IF(AND(ISNUMBER($D72),$D72&lt;FechaRef),"Vencida",IF(N($J72)&gt;0,"En curso","Pendiente"))))</f>
        <v/>
      </c>
      <c r="L72" s="62">
        <f>IF($N72="","",INDEX('Cronograma Asistente Técnico'!$M$5:$M$1000,$N72)&amp;"")</f>
        <v/>
      </c>
      <c r="M72" s="71">
        <f>IF($N72="","",INDEX('Cronograma Asistente Técnico'!$N$5:$N$1000,$N72)&amp;"")</f>
        <v/>
      </c>
      <c r="N72">
        <f>IFERROR(MATCH(ROW()-4,rOrden_ATR,0),"")</f>
        <v/>
      </c>
      <c r="O72">
        <f>IF($N72="","",INDEX('Cronograma Asistente Técnico'!$S$5:$S$1000,$N72))</f>
        <v/>
      </c>
      <c r="P72">
        <f>IF($N72="","",N(INDEX('Cronograma Asistente Técnico'!$T$5:$T$1000,$N72)))</f>
        <v/>
      </c>
    </row>
    <row r="73">
      <c r="A73" s="62">
        <f>IF($N73="","",INDEX('Cronograma Asistente Técnico'!$A$5:$A$1000,$N73))</f>
        <v/>
      </c>
      <c r="B73" s="71">
        <f>IF($N73="","",IF($O73="Sub","      ↳  "&amp;INDEX('Cronograma Asistente Técnico'!$C$5:$C$1000,$N73),INDEX('Cronograma Asistente Técnico'!$C$5:$C$1000,$N73)&amp;""))</f>
        <v/>
      </c>
      <c r="C73" s="77">
        <f>IF($N73="","",IF(INDEX('Cronograma Asistente Técnico'!$D$5:$D$1000,$N73)="","",INDEX('Cronograma Asistente Técnico'!$D$5:$D$1000,$N73)))</f>
        <v/>
      </c>
      <c r="D73" s="77">
        <f>IF($N73="","",IF(INDEX('Cronograma Asistente Técnico'!$E$5:$E$1000,$N73)="","",INDEX('Cronograma Asistente Técnico'!$E$5:$E$1000,$N73)))</f>
        <v/>
      </c>
      <c r="E73" s="62">
        <f>IF($N73="","",IF(NOT(ISNUMBER($D73)),"",IF($D73&lt;InicioCiclo,"Antes del ciclo",IF($D73&gt;=InicioCiclo+28,"Después del ciclo","Semana "&amp;(INT(($D73-InicioCiclo)/7)+1)))))</f>
        <v/>
      </c>
      <c r="F73" s="68">
        <f>IF($N73="","",IF($P73&gt;0,IF(1&lt;=SemanaActual,INDEX('Cronograma Asistente Técnico'!$Y$5:$Y$1000,$N73),""),IF(INDEX('Cronograma Asistente Técnico'!$G$5:$G$1000,$N73)="","",INDEX('Cronograma Asistente Técnico'!$G$5:$G$1000,$N73))))</f>
        <v/>
      </c>
      <c r="G73" s="68">
        <f>IF($N73="","",IF($P73&gt;0,IF(2&lt;=SemanaActual,INDEX('Cronograma Asistente Técnico'!$Z$5:$Z$1000,$N73),""),IF(INDEX('Cronograma Asistente Técnico'!$H$5:$H$1000,$N73)="","",INDEX('Cronograma Asistente Técnico'!$H$5:$H$1000,$N73))))</f>
        <v/>
      </c>
      <c r="H73" s="68">
        <f>IF($N73="","",IF($P73&gt;0,IF(3&lt;=SemanaActual,INDEX('Cronograma Asistente Técnico'!$AA$5:$AA$1000,$N73),""),IF(INDEX('Cronograma Asistente Técnico'!$I$5:$I$1000,$N73)="","",INDEX('Cronograma Asistente Técnico'!$I$5:$I$1000,$N73))))</f>
        <v/>
      </c>
      <c r="I73" s="68">
        <f>IF($N73="","",IF($P73&gt;0,IF(4&lt;=SemanaActual,INDEX('Cronograma Asistente Técnico'!$AB$5:$AB$1000,$N73),""),IF(INDEX('Cronograma Asistente Técnico'!$J$5:$J$1000,$N73)="","",INDEX('Cronograma Asistente Técnico'!$J$5:$J$1000,$N73))))</f>
        <v/>
      </c>
      <c r="J73" s="68">
        <f>IF($N73="","",INDEX('Cronograma Asistente Técnico'!$K$5:$K$1000,$N73))</f>
        <v/>
      </c>
      <c r="K73" s="62">
        <f>IF($N73="","",IF(N($J73)&gt;=1,"Completado",IF(AND(ISNUMBER($D73),$D73&lt;FechaRef),"Vencida",IF(N($J73)&gt;0,"En curso","Pendiente"))))</f>
        <v/>
      </c>
      <c r="L73" s="62">
        <f>IF($N73="","",INDEX('Cronograma Asistente Técnico'!$M$5:$M$1000,$N73)&amp;"")</f>
        <v/>
      </c>
      <c r="M73" s="71">
        <f>IF($N73="","",INDEX('Cronograma Asistente Técnico'!$N$5:$N$1000,$N73)&amp;"")</f>
        <v/>
      </c>
      <c r="N73">
        <f>IFERROR(MATCH(ROW()-4,rOrden_ATR,0),"")</f>
        <v/>
      </c>
      <c r="O73">
        <f>IF($N73="","",INDEX('Cronograma Asistente Técnico'!$S$5:$S$1000,$N73))</f>
        <v/>
      </c>
      <c r="P73">
        <f>IF($N73="","",N(INDEX('Cronograma Asistente Técnico'!$T$5:$T$1000,$N73)))</f>
        <v/>
      </c>
    </row>
    <row r="74">
      <c r="A74" s="62">
        <f>IF($N74="","",INDEX('Cronograma Asistente Técnico'!$A$5:$A$1000,$N74))</f>
        <v/>
      </c>
      <c r="B74" s="71">
        <f>IF($N74="","",IF($O74="Sub","      ↳  "&amp;INDEX('Cronograma Asistente Técnico'!$C$5:$C$1000,$N74),INDEX('Cronograma Asistente Técnico'!$C$5:$C$1000,$N74)&amp;""))</f>
        <v/>
      </c>
      <c r="C74" s="77">
        <f>IF($N74="","",IF(INDEX('Cronograma Asistente Técnico'!$D$5:$D$1000,$N74)="","",INDEX('Cronograma Asistente Técnico'!$D$5:$D$1000,$N74)))</f>
        <v/>
      </c>
      <c r="D74" s="77">
        <f>IF($N74="","",IF(INDEX('Cronograma Asistente Técnico'!$E$5:$E$1000,$N74)="","",INDEX('Cronograma Asistente Técnico'!$E$5:$E$1000,$N74)))</f>
        <v/>
      </c>
      <c r="E74" s="62">
        <f>IF($N74="","",IF(NOT(ISNUMBER($D74)),"",IF($D74&lt;InicioCiclo,"Antes del ciclo",IF($D74&gt;=InicioCiclo+28,"Después del ciclo","Semana "&amp;(INT(($D74-InicioCiclo)/7)+1)))))</f>
        <v/>
      </c>
      <c r="F74" s="68">
        <f>IF($N74="","",IF($P74&gt;0,IF(1&lt;=SemanaActual,INDEX('Cronograma Asistente Técnico'!$Y$5:$Y$1000,$N74),""),IF(INDEX('Cronograma Asistente Técnico'!$G$5:$G$1000,$N74)="","",INDEX('Cronograma Asistente Técnico'!$G$5:$G$1000,$N74))))</f>
        <v/>
      </c>
      <c r="G74" s="68">
        <f>IF($N74="","",IF($P74&gt;0,IF(2&lt;=SemanaActual,INDEX('Cronograma Asistente Técnico'!$Z$5:$Z$1000,$N74),""),IF(INDEX('Cronograma Asistente Técnico'!$H$5:$H$1000,$N74)="","",INDEX('Cronograma Asistente Técnico'!$H$5:$H$1000,$N74))))</f>
        <v/>
      </c>
      <c r="H74" s="68">
        <f>IF($N74="","",IF($P74&gt;0,IF(3&lt;=SemanaActual,INDEX('Cronograma Asistente Técnico'!$AA$5:$AA$1000,$N74),""),IF(INDEX('Cronograma Asistente Técnico'!$I$5:$I$1000,$N74)="","",INDEX('Cronograma Asistente Técnico'!$I$5:$I$1000,$N74))))</f>
        <v/>
      </c>
      <c r="I74" s="68">
        <f>IF($N74="","",IF($P74&gt;0,IF(4&lt;=SemanaActual,INDEX('Cronograma Asistente Técnico'!$AB$5:$AB$1000,$N74),""),IF(INDEX('Cronograma Asistente Técnico'!$J$5:$J$1000,$N74)="","",INDEX('Cronograma Asistente Técnico'!$J$5:$J$1000,$N74))))</f>
        <v/>
      </c>
      <c r="J74" s="68">
        <f>IF($N74="","",INDEX('Cronograma Asistente Técnico'!$K$5:$K$1000,$N74))</f>
        <v/>
      </c>
      <c r="K74" s="62">
        <f>IF($N74="","",IF(N($J74)&gt;=1,"Completado",IF(AND(ISNUMBER($D74),$D74&lt;FechaRef),"Vencida",IF(N($J74)&gt;0,"En curso","Pendiente"))))</f>
        <v/>
      </c>
      <c r="L74" s="62">
        <f>IF($N74="","",INDEX('Cronograma Asistente Técnico'!$M$5:$M$1000,$N74)&amp;"")</f>
        <v/>
      </c>
      <c r="M74" s="71">
        <f>IF($N74="","",INDEX('Cronograma Asistente Técnico'!$N$5:$N$1000,$N74)&amp;"")</f>
        <v/>
      </c>
      <c r="N74">
        <f>IFERROR(MATCH(ROW()-4,rOrden_ATR,0),"")</f>
        <v/>
      </c>
      <c r="O74">
        <f>IF($N74="","",INDEX('Cronograma Asistente Técnico'!$S$5:$S$1000,$N74))</f>
        <v/>
      </c>
      <c r="P74">
        <f>IF($N74="","",N(INDEX('Cronograma Asistente Técnico'!$T$5:$T$1000,$N74)))</f>
        <v/>
      </c>
    </row>
    <row r="75">
      <c r="A75" s="62">
        <f>IF($N75="","",INDEX('Cronograma Asistente Técnico'!$A$5:$A$1000,$N75))</f>
        <v/>
      </c>
      <c r="B75" s="71">
        <f>IF($N75="","",IF($O75="Sub","      ↳  "&amp;INDEX('Cronograma Asistente Técnico'!$C$5:$C$1000,$N75),INDEX('Cronograma Asistente Técnico'!$C$5:$C$1000,$N75)&amp;""))</f>
        <v/>
      </c>
      <c r="C75" s="77">
        <f>IF($N75="","",IF(INDEX('Cronograma Asistente Técnico'!$D$5:$D$1000,$N75)="","",INDEX('Cronograma Asistente Técnico'!$D$5:$D$1000,$N75)))</f>
        <v/>
      </c>
      <c r="D75" s="77">
        <f>IF($N75="","",IF(INDEX('Cronograma Asistente Técnico'!$E$5:$E$1000,$N75)="","",INDEX('Cronograma Asistente Técnico'!$E$5:$E$1000,$N75)))</f>
        <v/>
      </c>
      <c r="E75" s="62">
        <f>IF($N75="","",IF(NOT(ISNUMBER($D75)),"",IF($D75&lt;InicioCiclo,"Antes del ciclo",IF($D75&gt;=InicioCiclo+28,"Después del ciclo","Semana "&amp;(INT(($D75-InicioCiclo)/7)+1)))))</f>
        <v/>
      </c>
      <c r="F75" s="68">
        <f>IF($N75="","",IF($P75&gt;0,IF(1&lt;=SemanaActual,INDEX('Cronograma Asistente Técnico'!$Y$5:$Y$1000,$N75),""),IF(INDEX('Cronograma Asistente Técnico'!$G$5:$G$1000,$N75)="","",INDEX('Cronograma Asistente Técnico'!$G$5:$G$1000,$N75))))</f>
        <v/>
      </c>
      <c r="G75" s="68">
        <f>IF($N75="","",IF($P75&gt;0,IF(2&lt;=SemanaActual,INDEX('Cronograma Asistente Técnico'!$Z$5:$Z$1000,$N75),""),IF(INDEX('Cronograma Asistente Técnico'!$H$5:$H$1000,$N75)="","",INDEX('Cronograma Asistente Técnico'!$H$5:$H$1000,$N75))))</f>
        <v/>
      </c>
      <c r="H75" s="68">
        <f>IF($N75="","",IF($P75&gt;0,IF(3&lt;=SemanaActual,INDEX('Cronograma Asistente Técnico'!$AA$5:$AA$1000,$N75),""),IF(INDEX('Cronograma Asistente Técnico'!$I$5:$I$1000,$N75)="","",INDEX('Cronograma Asistente Técnico'!$I$5:$I$1000,$N75))))</f>
        <v/>
      </c>
      <c r="I75" s="68">
        <f>IF($N75="","",IF($P75&gt;0,IF(4&lt;=SemanaActual,INDEX('Cronograma Asistente Técnico'!$AB$5:$AB$1000,$N75),""),IF(INDEX('Cronograma Asistente Técnico'!$J$5:$J$1000,$N75)="","",INDEX('Cronograma Asistente Técnico'!$J$5:$J$1000,$N75))))</f>
        <v/>
      </c>
      <c r="J75" s="68">
        <f>IF($N75="","",INDEX('Cronograma Asistente Técnico'!$K$5:$K$1000,$N75))</f>
        <v/>
      </c>
      <c r="K75" s="62">
        <f>IF($N75="","",IF(N($J75)&gt;=1,"Completado",IF(AND(ISNUMBER($D75),$D75&lt;FechaRef),"Vencida",IF(N($J75)&gt;0,"En curso","Pendiente"))))</f>
        <v/>
      </c>
      <c r="L75" s="62">
        <f>IF($N75="","",INDEX('Cronograma Asistente Técnico'!$M$5:$M$1000,$N75)&amp;"")</f>
        <v/>
      </c>
      <c r="M75" s="71">
        <f>IF($N75="","",INDEX('Cronograma Asistente Técnico'!$N$5:$N$1000,$N75)&amp;"")</f>
        <v/>
      </c>
      <c r="N75">
        <f>IFERROR(MATCH(ROW()-4,rOrden_ATR,0),"")</f>
        <v/>
      </c>
      <c r="O75">
        <f>IF($N75="","",INDEX('Cronograma Asistente Técnico'!$S$5:$S$1000,$N75))</f>
        <v/>
      </c>
      <c r="P75">
        <f>IF($N75="","",N(INDEX('Cronograma Asistente Técnico'!$T$5:$T$1000,$N75)))</f>
        <v/>
      </c>
    </row>
    <row r="76">
      <c r="A76" s="62">
        <f>IF($N76="","",INDEX('Cronograma Asistente Técnico'!$A$5:$A$1000,$N76))</f>
        <v/>
      </c>
      <c r="B76" s="71">
        <f>IF($N76="","",IF($O76="Sub","      ↳  "&amp;INDEX('Cronograma Asistente Técnico'!$C$5:$C$1000,$N76),INDEX('Cronograma Asistente Técnico'!$C$5:$C$1000,$N76)&amp;""))</f>
        <v/>
      </c>
      <c r="C76" s="77">
        <f>IF($N76="","",IF(INDEX('Cronograma Asistente Técnico'!$D$5:$D$1000,$N76)="","",INDEX('Cronograma Asistente Técnico'!$D$5:$D$1000,$N76)))</f>
        <v/>
      </c>
      <c r="D76" s="77">
        <f>IF($N76="","",IF(INDEX('Cronograma Asistente Técnico'!$E$5:$E$1000,$N76)="","",INDEX('Cronograma Asistente Técnico'!$E$5:$E$1000,$N76)))</f>
        <v/>
      </c>
      <c r="E76" s="62">
        <f>IF($N76="","",IF(NOT(ISNUMBER($D76)),"",IF($D76&lt;InicioCiclo,"Antes del ciclo",IF($D76&gt;=InicioCiclo+28,"Después del ciclo","Semana "&amp;(INT(($D76-InicioCiclo)/7)+1)))))</f>
        <v/>
      </c>
      <c r="F76" s="68">
        <f>IF($N76="","",IF($P76&gt;0,IF(1&lt;=SemanaActual,INDEX('Cronograma Asistente Técnico'!$Y$5:$Y$1000,$N76),""),IF(INDEX('Cronograma Asistente Técnico'!$G$5:$G$1000,$N76)="","",INDEX('Cronograma Asistente Técnico'!$G$5:$G$1000,$N76))))</f>
        <v/>
      </c>
      <c r="G76" s="68">
        <f>IF($N76="","",IF($P76&gt;0,IF(2&lt;=SemanaActual,INDEX('Cronograma Asistente Técnico'!$Z$5:$Z$1000,$N76),""),IF(INDEX('Cronograma Asistente Técnico'!$H$5:$H$1000,$N76)="","",INDEX('Cronograma Asistente Técnico'!$H$5:$H$1000,$N76))))</f>
        <v/>
      </c>
      <c r="H76" s="68">
        <f>IF($N76="","",IF($P76&gt;0,IF(3&lt;=SemanaActual,INDEX('Cronograma Asistente Técnico'!$AA$5:$AA$1000,$N76),""),IF(INDEX('Cronograma Asistente Técnico'!$I$5:$I$1000,$N76)="","",INDEX('Cronograma Asistente Técnico'!$I$5:$I$1000,$N76))))</f>
        <v/>
      </c>
      <c r="I76" s="68">
        <f>IF($N76="","",IF($P76&gt;0,IF(4&lt;=SemanaActual,INDEX('Cronograma Asistente Técnico'!$AB$5:$AB$1000,$N76),""),IF(INDEX('Cronograma Asistente Técnico'!$J$5:$J$1000,$N76)="","",INDEX('Cronograma Asistente Técnico'!$J$5:$J$1000,$N76))))</f>
        <v/>
      </c>
      <c r="J76" s="68">
        <f>IF($N76="","",INDEX('Cronograma Asistente Técnico'!$K$5:$K$1000,$N76))</f>
        <v/>
      </c>
      <c r="K76" s="62">
        <f>IF($N76="","",IF(N($J76)&gt;=1,"Completado",IF(AND(ISNUMBER($D76),$D76&lt;FechaRef),"Vencida",IF(N($J76)&gt;0,"En curso","Pendiente"))))</f>
        <v/>
      </c>
      <c r="L76" s="62">
        <f>IF($N76="","",INDEX('Cronograma Asistente Técnico'!$M$5:$M$1000,$N76)&amp;"")</f>
        <v/>
      </c>
      <c r="M76" s="71">
        <f>IF($N76="","",INDEX('Cronograma Asistente Técnico'!$N$5:$N$1000,$N76)&amp;"")</f>
        <v/>
      </c>
      <c r="N76">
        <f>IFERROR(MATCH(ROW()-4,rOrden_ATR,0),"")</f>
        <v/>
      </c>
      <c r="O76">
        <f>IF($N76="","",INDEX('Cronograma Asistente Técnico'!$S$5:$S$1000,$N76))</f>
        <v/>
      </c>
      <c r="P76">
        <f>IF($N76="","",N(INDEX('Cronograma Asistente Técnico'!$T$5:$T$1000,$N76)))</f>
        <v/>
      </c>
    </row>
    <row r="77">
      <c r="A77" s="62">
        <f>IF($N77="","",INDEX('Cronograma Asistente Técnico'!$A$5:$A$1000,$N77))</f>
        <v/>
      </c>
      <c r="B77" s="71">
        <f>IF($N77="","",IF($O77="Sub","      ↳  "&amp;INDEX('Cronograma Asistente Técnico'!$C$5:$C$1000,$N77),INDEX('Cronograma Asistente Técnico'!$C$5:$C$1000,$N77)&amp;""))</f>
        <v/>
      </c>
      <c r="C77" s="77">
        <f>IF($N77="","",IF(INDEX('Cronograma Asistente Técnico'!$D$5:$D$1000,$N77)="","",INDEX('Cronograma Asistente Técnico'!$D$5:$D$1000,$N77)))</f>
        <v/>
      </c>
      <c r="D77" s="77">
        <f>IF($N77="","",IF(INDEX('Cronograma Asistente Técnico'!$E$5:$E$1000,$N77)="","",INDEX('Cronograma Asistente Técnico'!$E$5:$E$1000,$N77)))</f>
        <v/>
      </c>
      <c r="E77" s="62">
        <f>IF($N77="","",IF(NOT(ISNUMBER($D77)),"",IF($D77&lt;InicioCiclo,"Antes del ciclo",IF($D77&gt;=InicioCiclo+28,"Después del ciclo","Semana "&amp;(INT(($D77-InicioCiclo)/7)+1)))))</f>
        <v/>
      </c>
      <c r="F77" s="68">
        <f>IF($N77="","",IF($P77&gt;0,IF(1&lt;=SemanaActual,INDEX('Cronograma Asistente Técnico'!$Y$5:$Y$1000,$N77),""),IF(INDEX('Cronograma Asistente Técnico'!$G$5:$G$1000,$N77)="","",INDEX('Cronograma Asistente Técnico'!$G$5:$G$1000,$N77))))</f>
        <v/>
      </c>
      <c r="G77" s="68">
        <f>IF($N77="","",IF($P77&gt;0,IF(2&lt;=SemanaActual,INDEX('Cronograma Asistente Técnico'!$Z$5:$Z$1000,$N77),""),IF(INDEX('Cronograma Asistente Técnico'!$H$5:$H$1000,$N77)="","",INDEX('Cronograma Asistente Técnico'!$H$5:$H$1000,$N77))))</f>
        <v/>
      </c>
      <c r="H77" s="68">
        <f>IF($N77="","",IF($P77&gt;0,IF(3&lt;=SemanaActual,INDEX('Cronograma Asistente Técnico'!$AA$5:$AA$1000,$N77),""),IF(INDEX('Cronograma Asistente Técnico'!$I$5:$I$1000,$N77)="","",INDEX('Cronograma Asistente Técnico'!$I$5:$I$1000,$N77))))</f>
        <v/>
      </c>
      <c r="I77" s="68">
        <f>IF($N77="","",IF($P77&gt;0,IF(4&lt;=SemanaActual,INDEX('Cronograma Asistente Técnico'!$AB$5:$AB$1000,$N77),""),IF(INDEX('Cronograma Asistente Técnico'!$J$5:$J$1000,$N77)="","",INDEX('Cronograma Asistente Técnico'!$J$5:$J$1000,$N77))))</f>
        <v/>
      </c>
      <c r="J77" s="68">
        <f>IF($N77="","",INDEX('Cronograma Asistente Técnico'!$K$5:$K$1000,$N77))</f>
        <v/>
      </c>
      <c r="K77" s="62">
        <f>IF($N77="","",IF(N($J77)&gt;=1,"Completado",IF(AND(ISNUMBER($D77),$D77&lt;FechaRef),"Vencida",IF(N($J77)&gt;0,"En curso","Pendiente"))))</f>
        <v/>
      </c>
      <c r="L77" s="62">
        <f>IF($N77="","",INDEX('Cronograma Asistente Técnico'!$M$5:$M$1000,$N77)&amp;"")</f>
        <v/>
      </c>
      <c r="M77" s="71">
        <f>IF($N77="","",INDEX('Cronograma Asistente Técnico'!$N$5:$N$1000,$N77)&amp;"")</f>
        <v/>
      </c>
      <c r="N77">
        <f>IFERROR(MATCH(ROW()-4,rOrden_ATR,0),"")</f>
        <v/>
      </c>
      <c r="O77">
        <f>IF($N77="","",INDEX('Cronograma Asistente Técnico'!$S$5:$S$1000,$N77))</f>
        <v/>
      </c>
      <c r="P77">
        <f>IF($N77="","",N(INDEX('Cronograma Asistente Técnico'!$T$5:$T$1000,$N77)))</f>
        <v/>
      </c>
    </row>
    <row r="78">
      <c r="A78" s="62">
        <f>IF($N78="","",INDEX('Cronograma Asistente Técnico'!$A$5:$A$1000,$N78))</f>
        <v/>
      </c>
      <c r="B78" s="71">
        <f>IF($N78="","",IF($O78="Sub","      ↳  "&amp;INDEX('Cronograma Asistente Técnico'!$C$5:$C$1000,$N78),INDEX('Cronograma Asistente Técnico'!$C$5:$C$1000,$N78)&amp;""))</f>
        <v/>
      </c>
      <c r="C78" s="77">
        <f>IF($N78="","",IF(INDEX('Cronograma Asistente Técnico'!$D$5:$D$1000,$N78)="","",INDEX('Cronograma Asistente Técnico'!$D$5:$D$1000,$N78)))</f>
        <v/>
      </c>
      <c r="D78" s="77">
        <f>IF($N78="","",IF(INDEX('Cronograma Asistente Técnico'!$E$5:$E$1000,$N78)="","",INDEX('Cronograma Asistente Técnico'!$E$5:$E$1000,$N78)))</f>
        <v/>
      </c>
      <c r="E78" s="62">
        <f>IF($N78="","",IF(NOT(ISNUMBER($D78)),"",IF($D78&lt;InicioCiclo,"Antes del ciclo",IF($D78&gt;=InicioCiclo+28,"Después del ciclo","Semana "&amp;(INT(($D78-InicioCiclo)/7)+1)))))</f>
        <v/>
      </c>
      <c r="F78" s="68">
        <f>IF($N78="","",IF($P78&gt;0,IF(1&lt;=SemanaActual,INDEX('Cronograma Asistente Técnico'!$Y$5:$Y$1000,$N78),""),IF(INDEX('Cronograma Asistente Técnico'!$G$5:$G$1000,$N78)="","",INDEX('Cronograma Asistente Técnico'!$G$5:$G$1000,$N78))))</f>
        <v/>
      </c>
      <c r="G78" s="68">
        <f>IF($N78="","",IF($P78&gt;0,IF(2&lt;=SemanaActual,INDEX('Cronograma Asistente Técnico'!$Z$5:$Z$1000,$N78),""),IF(INDEX('Cronograma Asistente Técnico'!$H$5:$H$1000,$N78)="","",INDEX('Cronograma Asistente Técnico'!$H$5:$H$1000,$N78))))</f>
        <v/>
      </c>
      <c r="H78" s="68">
        <f>IF($N78="","",IF($P78&gt;0,IF(3&lt;=SemanaActual,INDEX('Cronograma Asistente Técnico'!$AA$5:$AA$1000,$N78),""),IF(INDEX('Cronograma Asistente Técnico'!$I$5:$I$1000,$N78)="","",INDEX('Cronograma Asistente Técnico'!$I$5:$I$1000,$N78))))</f>
        <v/>
      </c>
      <c r="I78" s="68">
        <f>IF($N78="","",IF($P78&gt;0,IF(4&lt;=SemanaActual,INDEX('Cronograma Asistente Técnico'!$AB$5:$AB$1000,$N78),""),IF(INDEX('Cronograma Asistente Técnico'!$J$5:$J$1000,$N78)="","",INDEX('Cronograma Asistente Técnico'!$J$5:$J$1000,$N78))))</f>
        <v/>
      </c>
      <c r="J78" s="68">
        <f>IF($N78="","",INDEX('Cronograma Asistente Técnico'!$K$5:$K$1000,$N78))</f>
        <v/>
      </c>
      <c r="K78" s="62">
        <f>IF($N78="","",IF(N($J78)&gt;=1,"Completado",IF(AND(ISNUMBER($D78),$D78&lt;FechaRef),"Vencida",IF(N($J78)&gt;0,"En curso","Pendiente"))))</f>
        <v/>
      </c>
      <c r="L78" s="62">
        <f>IF($N78="","",INDEX('Cronograma Asistente Técnico'!$M$5:$M$1000,$N78)&amp;"")</f>
        <v/>
      </c>
      <c r="M78" s="71">
        <f>IF($N78="","",INDEX('Cronograma Asistente Técnico'!$N$5:$N$1000,$N78)&amp;"")</f>
        <v/>
      </c>
      <c r="N78">
        <f>IFERROR(MATCH(ROW()-4,rOrden_ATR,0),"")</f>
        <v/>
      </c>
      <c r="O78">
        <f>IF($N78="","",INDEX('Cronograma Asistente Técnico'!$S$5:$S$1000,$N78))</f>
        <v/>
      </c>
      <c r="P78">
        <f>IF($N78="","",N(INDEX('Cronograma Asistente Técnico'!$T$5:$T$1000,$N78)))</f>
        <v/>
      </c>
    </row>
    <row r="79">
      <c r="A79" s="62">
        <f>IF($N79="","",INDEX('Cronograma Asistente Técnico'!$A$5:$A$1000,$N79))</f>
        <v/>
      </c>
      <c r="B79" s="71">
        <f>IF($N79="","",IF($O79="Sub","      ↳  "&amp;INDEX('Cronograma Asistente Técnico'!$C$5:$C$1000,$N79),INDEX('Cronograma Asistente Técnico'!$C$5:$C$1000,$N79)&amp;""))</f>
        <v/>
      </c>
      <c r="C79" s="77">
        <f>IF($N79="","",IF(INDEX('Cronograma Asistente Técnico'!$D$5:$D$1000,$N79)="","",INDEX('Cronograma Asistente Técnico'!$D$5:$D$1000,$N79)))</f>
        <v/>
      </c>
      <c r="D79" s="77">
        <f>IF($N79="","",IF(INDEX('Cronograma Asistente Técnico'!$E$5:$E$1000,$N79)="","",INDEX('Cronograma Asistente Técnico'!$E$5:$E$1000,$N79)))</f>
        <v/>
      </c>
      <c r="E79" s="62">
        <f>IF($N79="","",IF(NOT(ISNUMBER($D79)),"",IF($D79&lt;InicioCiclo,"Antes del ciclo",IF($D79&gt;=InicioCiclo+28,"Después del ciclo","Semana "&amp;(INT(($D79-InicioCiclo)/7)+1)))))</f>
        <v/>
      </c>
      <c r="F79" s="68">
        <f>IF($N79="","",IF($P79&gt;0,IF(1&lt;=SemanaActual,INDEX('Cronograma Asistente Técnico'!$Y$5:$Y$1000,$N79),""),IF(INDEX('Cronograma Asistente Técnico'!$G$5:$G$1000,$N79)="","",INDEX('Cronograma Asistente Técnico'!$G$5:$G$1000,$N79))))</f>
        <v/>
      </c>
      <c r="G79" s="68">
        <f>IF($N79="","",IF($P79&gt;0,IF(2&lt;=SemanaActual,INDEX('Cronograma Asistente Técnico'!$Z$5:$Z$1000,$N79),""),IF(INDEX('Cronograma Asistente Técnico'!$H$5:$H$1000,$N79)="","",INDEX('Cronograma Asistente Técnico'!$H$5:$H$1000,$N79))))</f>
        <v/>
      </c>
      <c r="H79" s="68">
        <f>IF($N79="","",IF($P79&gt;0,IF(3&lt;=SemanaActual,INDEX('Cronograma Asistente Técnico'!$AA$5:$AA$1000,$N79),""),IF(INDEX('Cronograma Asistente Técnico'!$I$5:$I$1000,$N79)="","",INDEX('Cronograma Asistente Técnico'!$I$5:$I$1000,$N79))))</f>
        <v/>
      </c>
      <c r="I79" s="68">
        <f>IF($N79="","",IF($P79&gt;0,IF(4&lt;=SemanaActual,INDEX('Cronograma Asistente Técnico'!$AB$5:$AB$1000,$N79),""),IF(INDEX('Cronograma Asistente Técnico'!$J$5:$J$1000,$N79)="","",INDEX('Cronograma Asistente Técnico'!$J$5:$J$1000,$N79))))</f>
        <v/>
      </c>
      <c r="J79" s="68">
        <f>IF($N79="","",INDEX('Cronograma Asistente Técnico'!$K$5:$K$1000,$N79))</f>
        <v/>
      </c>
      <c r="K79" s="62">
        <f>IF($N79="","",IF(N($J79)&gt;=1,"Completado",IF(AND(ISNUMBER($D79),$D79&lt;FechaRef),"Vencida",IF(N($J79)&gt;0,"En curso","Pendiente"))))</f>
        <v/>
      </c>
      <c r="L79" s="62">
        <f>IF($N79="","",INDEX('Cronograma Asistente Técnico'!$M$5:$M$1000,$N79)&amp;"")</f>
        <v/>
      </c>
      <c r="M79" s="71">
        <f>IF($N79="","",INDEX('Cronograma Asistente Técnico'!$N$5:$N$1000,$N79)&amp;"")</f>
        <v/>
      </c>
      <c r="N79">
        <f>IFERROR(MATCH(ROW()-4,rOrden_ATR,0),"")</f>
        <v/>
      </c>
      <c r="O79">
        <f>IF($N79="","",INDEX('Cronograma Asistente Técnico'!$S$5:$S$1000,$N79))</f>
        <v/>
      </c>
      <c r="P79">
        <f>IF($N79="","",N(INDEX('Cronograma Asistente Técnico'!$T$5:$T$1000,$N79)))</f>
        <v/>
      </c>
    </row>
    <row r="80">
      <c r="A80" s="62">
        <f>IF($N80="","",INDEX('Cronograma Asistente Técnico'!$A$5:$A$1000,$N80))</f>
        <v/>
      </c>
      <c r="B80" s="71">
        <f>IF($N80="","",IF($O80="Sub","      ↳  "&amp;INDEX('Cronograma Asistente Técnico'!$C$5:$C$1000,$N80),INDEX('Cronograma Asistente Técnico'!$C$5:$C$1000,$N80)&amp;""))</f>
        <v/>
      </c>
      <c r="C80" s="77">
        <f>IF($N80="","",IF(INDEX('Cronograma Asistente Técnico'!$D$5:$D$1000,$N80)="","",INDEX('Cronograma Asistente Técnico'!$D$5:$D$1000,$N80)))</f>
        <v/>
      </c>
      <c r="D80" s="77">
        <f>IF($N80="","",IF(INDEX('Cronograma Asistente Técnico'!$E$5:$E$1000,$N80)="","",INDEX('Cronograma Asistente Técnico'!$E$5:$E$1000,$N80)))</f>
        <v/>
      </c>
      <c r="E80" s="62">
        <f>IF($N80="","",IF(NOT(ISNUMBER($D80)),"",IF($D80&lt;InicioCiclo,"Antes del ciclo",IF($D80&gt;=InicioCiclo+28,"Después del ciclo","Semana "&amp;(INT(($D80-InicioCiclo)/7)+1)))))</f>
        <v/>
      </c>
      <c r="F80" s="68">
        <f>IF($N80="","",IF($P80&gt;0,IF(1&lt;=SemanaActual,INDEX('Cronograma Asistente Técnico'!$Y$5:$Y$1000,$N80),""),IF(INDEX('Cronograma Asistente Técnico'!$G$5:$G$1000,$N80)="","",INDEX('Cronograma Asistente Técnico'!$G$5:$G$1000,$N80))))</f>
        <v/>
      </c>
      <c r="G80" s="68">
        <f>IF($N80="","",IF($P80&gt;0,IF(2&lt;=SemanaActual,INDEX('Cronograma Asistente Técnico'!$Z$5:$Z$1000,$N80),""),IF(INDEX('Cronograma Asistente Técnico'!$H$5:$H$1000,$N80)="","",INDEX('Cronograma Asistente Técnico'!$H$5:$H$1000,$N80))))</f>
        <v/>
      </c>
      <c r="H80" s="68">
        <f>IF($N80="","",IF($P80&gt;0,IF(3&lt;=SemanaActual,INDEX('Cronograma Asistente Técnico'!$AA$5:$AA$1000,$N80),""),IF(INDEX('Cronograma Asistente Técnico'!$I$5:$I$1000,$N80)="","",INDEX('Cronograma Asistente Técnico'!$I$5:$I$1000,$N80))))</f>
        <v/>
      </c>
      <c r="I80" s="68">
        <f>IF($N80="","",IF($P80&gt;0,IF(4&lt;=SemanaActual,INDEX('Cronograma Asistente Técnico'!$AB$5:$AB$1000,$N80),""),IF(INDEX('Cronograma Asistente Técnico'!$J$5:$J$1000,$N80)="","",INDEX('Cronograma Asistente Técnico'!$J$5:$J$1000,$N80))))</f>
        <v/>
      </c>
      <c r="J80" s="68">
        <f>IF($N80="","",INDEX('Cronograma Asistente Técnico'!$K$5:$K$1000,$N80))</f>
        <v/>
      </c>
      <c r="K80" s="62">
        <f>IF($N80="","",IF(N($J80)&gt;=1,"Completado",IF(AND(ISNUMBER($D80),$D80&lt;FechaRef),"Vencida",IF(N($J80)&gt;0,"En curso","Pendiente"))))</f>
        <v/>
      </c>
      <c r="L80" s="62">
        <f>IF($N80="","",INDEX('Cronograma Asistente Técnico'!$M$5:$M$1000,$N80)&amp;"")</f>
        <v/>
      </c>
      <c r="M80" s="71">
        <f>IF($N80="","",INDEX('Cronograma Asistente Técnico'!$N$5:$N$1000,$N80)&amp;"")</f>
        <v/>
      </c>
      <c r="N80">
        <f>IFERROR(MATCH(ROW()-4,rOrden_ATR,0),"")</f>
        <v/>
      </c>
      <c r="O80">
        <f>IF($N80="","",INDEX('Cronograma Asistente Técnico'!$S$5:$S$1000,$N80))</f>
        <v/>
      </c>
      <c r="P80">
        <f>IF($N80="","",N(INDEX('Cronograma Asistente Técnico'!$T$5:$T$1000,$N80)))</f>
        <v/>
      </c>
    </row>
    <row r="81">
      <c r="A81" s="62">
        <f>IF($N81="","",INDEX('Cronograma Asistente Técnico'!$A$5:$A$1000,$N81))</f>
        <v/>
      </c>
      <c r="B81" s="71">
        <f>IF($N81="","",IF($O81="Sub","      ↳  "&amp;INDEX('Cronograma Asistente Técnico'!$C$5:$C$1000,$N81),INDEX('Cronograma Asistente Técnico'!$C$5:$C$1000,$N81)&amp;""))</f>
        <v/>
      </c>
      <c r="C81" s="77">
        <f>IF($N81="","",IF(INDEX('Cronograma Asistente Técnico'!$D$5:$D$1000,$N81)="","",INDEX('Cronograma Asistente Técnico'!$D$5:$D$1000,$N81)))</f>
        <v/>
      </c>
      <c r="D81" s="77">
        <f>IF($N81="","",IF(INDEX('Cronograma Asistente Técnico'!$E$5:$E$1000,$N81)="","",INDEX('Cronograma Asistente Técnico'!$E$5:$E$1000,$N81)))</f>
        <v/>
      </c>
      <c r="E81" s="62">
        <f>IF($N81="","",IF(NOT(ISNUMBER($D81)),"",IF($D81&lt;InicioCiclo,"Antes del ciclo",IF($D81&gt;=InicioCiclo+28,"Después del ciclo","Semana "&amp;(INT(($D81-InicioCiclo)/7)+1)))))</f>
        <v/>
      </c>
      <c r="F81" s="68">
        <f>IF($N81="","",IF($P81&gt;0,IF(1&lt;=SemanaActual,INDEX('Cronograma Asistente Técnico'!$Y$5:$Y$1000,$N81),""),IF(INDEX('Cronograma Asistente Técnico'!$G$5:$G$1000,$N81)="","",INDEX('Cronograma Asistente Técnico'!$G$5:$G$1000,$N81))))</f>
        <v/>
      </c>
      <c r="G81" s="68">
        <f>IF($N81="","",IF($P81&gt;0,IF(2&lt;=SemanaActual,INDEX('Cronograma Asistente Técnico'!$Z$5:$Z$1000,$N81),""),IF(INDEX('Cronograma Asistente Técnico'!$H$5:$H$1000,$N81)="","",INDEX('Cronograma Asistente Técnico'!$H$5:$H$1000,$N81))))</f>
        <v/>
      </c>
      <c r="H81" s="68">
        <f>IF($N81="","",IF($P81&gt;0,IF(3&lt;=SemanaActual,INDEX('Cronograma Asistente Técnico'!$AA$5:$AA$1000,$N81),""),IF(INDEX('Cronograma Asistente Técnico'!$I$5:$I$1000,$N81)="","",INDEX('Cronograma Asistente Técnico'!$I$5:$I$1000,$N81))))</f>
        <v/>
      </c>
      <c r="I81" s="68">
        <f>IF($N81="","",IF($P81&gt;0,IF(4&lt;=SemanaActual,INDEX('Cronograma Asistente Técnico'!$AB$5:$AB$1000,$N81),""),IF(INDEX('Cronograma Asistente Técnico'!$J$5:$J$1000,$N81)="","",INDEX('Cronograma Asistente Técnico'!$J$5:$J$1000,$N81))))</f>
        <v/>
      </c>
      <c r="J81" s="68">
        <f>IF($N81="","",INDEX('Cronograma Asistente Técnico'!$K$5:$K$1000,$N81))</f>
        <v/>
      </c>
      <c r="K81" s="62">
        <f>IF($N81="","",IF(N($J81)&gt;=1,"Completado",IF(AND(ISNUMBER($D81),$D81&lt;FechaRef),"Vencida",IF(N($J81)&gt;0,"En curso","Pendiente"))))</f>
        <v/>
      </c>
      <c r="L81" s="62">
        <f>IF($N81="","",INDEX('Cronograma Asistente Técnico'!$M$5:$M$1000,$N81)&amp;"")</f>
        <v/>
      </c>
      <c r="M81" s="71">
        <f>IF($N81="","",INDEX('Cronograma Asistente Técnico'!$N$5:$N$1000,$N81)&amp;"")</f>
        <v/>
      </c>
      <c r="N81">
        <f>IFERROR(MATCH(ROW()-4,rOrden_ATR,0),"")</f>
        <v/>
      </c>
      <c r="O81">
        <f>IF($N81="","",INDEX('Cronograma Asistente Técnico'!$S$5:$S$1000,$N81))</f>
        <v/>
      </c>
      <c r="P81">
        <f>IF($N81="","",N(INDEX('Cronograma Asistente Técnico'!$T$5:$T$1000,$N81)))</f>
        <v/>
      </c>
    </row>
    <row r="82">
      <c r="A82" s="62">
        <f>IF($N82="","",INDEX('Cronograma Asistente Técnico'!$A$5:$A$1000,$N82))</f>
        <v/>
      </c>
      <c r="B82" s="71">
        <f>IF($N82="","",IF($O82="Sub","      ↳  "&amp;INDEX('Cronograma Asistente Técnico'!$C$5:$C$1000,$N82),INDEX('Cronograma Asistente Técnico'!$C$5:$C$1000,$N82)&amp;""))</f>
        <v/>
      </c>
      <c r="C82" s="77">
        <f>IF($N82="","",IF(INDEX('Cronograma Asistente Técnico'!$D$5:$D$1000,$N82)="","",INDEX('Cronograma Asistente Técnico'!$D$5:$D$1000,$N82)))</f>
        <v/>
      </c>
      <c r="D82" s="77">
        <f>IF($N82="","",IF(INDEX('Cronograma Asistente Técnico'!$E$5:$E$1000,$N82)="","",INDEX('Cronograma Asistente Técnico'!$E$5:$E$1000,$N82)))</f>
        <v/>
      </c>
      <c r="E82" s="62">
        <f>IF($N82="","",IF(NOT(ISNUMBER($D82)),"",IF($D82&lt;InicioCiclo,"Antes del ciclo",IF($D82&gt;=InicioCiclo+28,"Después del ciclo","Semana "&amp;(INT(($D82-InicioCiclo)/7)+1)))))</f>
        <v/>
      </c>
      <c r="F82" s="68">
        <f>IF($N82="","",IF($P82&gt;0,IF(1&lt;=SemanaActual,INDEX('Cronograma Asistente Técnico'!$Y$5:$Y$1000,$N82),""),IF(INDEX('Cronograma Asistente Técnico'!$G$5:$G$1000,$N82)="","",INDEX('Cronograma Asistente Técnico'!$G$5:$G$1000,$N82))))</f>
        <v/>
      </c>
      <c r="G82" s="68">
        <f>IF($N82="","",IF($P82&gt;0,IF(2&lt;=SemanaActual,INDEX('Cronograma Asistente Técnico'!$Z$5:$Z$1000,$N82),""),IF(INDEX('Cronograma Asistente Técnico'!$H$5:$H$1000,$N82)="","",INDEX('Cronograma Asistente Técnico'!$H$5:$H$1000,$N82))))</f>
        <v/>
      </c>
      <c r="H82" s="68">
        <f>IF($N82="","",IF($P82&gt;0,IF(3&lt;=SemanaActual,INDEX('Cronograma Asistente Técnico'!$AA$5:$AA$1000,$N82),""),IF(INDEX('Cronograma Asistente Técnico'!$I$5:$I$1000,$N82)="","",INDEX('Cronograma Asistente Técnico'!$I$5:$I$1000,$N82))))</f>
        <v/>
      </c>
      <c r="I82" s="68">
        <f>IF($N82="","",IF($P82&gt;0,IF(4&lt;=SemanaActual,INDEX('Cronograma Asistente Técnico'!$AB$5:$AB$1000,$N82),""),IF(INDEX('Cronograma Asistente Técnico'!$J$5:$J$1000,$N82)="","",INDEX('Cronograma Asistente Técnico'!$J$5:$J$1000,$N82))))</f>
        <v/>
      </c>
      <c r="J82" s="68">
        <f>IF($N82="","",INDEX('Cronograma Asistente Técnico'!$K$5:$K$1000,$N82))</f>
        <v/>
      </c>
      <c r="K82" s="62">
        <f>IF($N82="","",IF(N($J82)&gt;=1,"Completado",IF(AND(ISNUMBER($D82),$D82&lt;FechaRef),"Vencida",IF(N($J82)&gt;0,"En curso","Pendiente"))))</f>
        <v/>
      </c>
      <c r="L82" s="62">
        <f>IF($N82="","",INDEX('Cronograma Asistente Técnico'!$M$5:$M$1000,$N82)&amp;"")</f>
        <v/>
      </c>
      <c r="M82" s="71">
        <f>IF($N82="","",INDEX('Cronograma Asistente Técnico'!$N$5:$N$1000,$N82)&amp;"")</f>
        <v/>
      </c>
      <c r="N82">
        <f>IFERROR(MATCH(ROW()-4,rOrden_ATR,0),"")</f>
        <v/>
      </c>
      <c r="O82">
        <f>IF($N82="","",INDEX('Cronograma Asistente Técnico'!$S$5:$S$1000,$N82))</f>
        <v/>
      </c>
      <c r="P82">
        <f>IF($N82="","",N(INDEX('Cronograma Asistente Técnico'!$T$5:$T$1000,$N82)))</f>
        <v/>
      </c>
    </row>
    <row r="83">
      <c r="A83" s="62">
        <f>IF($N83="","",INDEX('Cronograma Asistente Técnico'!$A$5:$A$1000,$N83))</f>
        <v/>
      </c>
      <c r="B83" s="71">
        <f>IF($N83="","",IF($O83="Sub","      ↳  "&amp;INDEX('Cronograma Asistente Técnico'!$C$5:$C$1000,$N83),INDEX('Cronograma Asistente Técnico'!$C$5:$C$1000,$N83)&amp;""))</f>
        <v/>
      </c>
      <c r="C83" s="77">
        <f>IF($N83="","",IF(INDEX('Cronograma Asistente Técnico'!$D$5:$D$1000,$N83)="","",INDEX('Cronograma Asistente Técnico'!$D$5:$D$1000,$N83)))</f>
        <v/>
      </c>
      <c r="D83" s="77">
        <f>IF($N83="","",IF(INDEX('Cronograma Asistente Técnico'!$E$5:$E$1000,$N83)="","",INDEX('Cronograma Asistente Técnico'!$E$5:$E$1000,$N83)))</f>
        <v/>
      </c>
      <c r="E83" s="62">
        <f>IF($N83="","",IF(NOT(ISNUMBER($D83)),"",IF($D83&lt;InicioCiclo,"Antes del ciclo",IF($D83&gt;=InicioCiclo+28,"Después del ciclo","Semana "&amp;(INT(($D83-InicioCiclo)/7)+1)))))</f>
        <v/>
      </c>
      <c r="F83" s="68">
        <f>IF($N83="","",IF($P83&gt;0,IF(1&lt;=SemanaActual,INDEX('Cronograma Asistente Técnico'!$Y$5:$Y$1000,$N83),""),IF(INDEX('Cronograma Asistente Técnico'!$G$5:$G$1000,$N83)="","",INDEX('Cronograma Asistente Técnico'!$G$5:$G$1000,$N83))))</f>
        <v/>
      </c>
      <c r="G83" s="68">
        <f>IF($N83="","",IF($P83&gt;0,IF(2&lt;=SemanaActual,INDEX('Cronograma Asistente Técnico'!$Z$5:$Z$1000,$N83),""),IF(INDEX('Cronograma Asistente Técnico'!$H$5:$H$1000,$N83)="","",INDEX('Cronograma Asistente Técnico'!$H$5:$H$1000,$N83))))</f>
        <v/>
      </c>
      <c r="H83" s="68">
        <f>IF($N83="","",IF($P83&gt;0,IF(3&lt;=SemanaActual,INDEX('Cronograma Asistente Técnico'!$AA$5:$AA$1000,$N83),""),IF(INDEX('Cronograma Asistente Técnico'!$I$5:$I$1000,$N83)="","",INDEX('Cronograma Asistente Técnico'!$I$5:$I$1000,$N83))))</f>
        <v/>
      </c>
      <c r="I83" s="68">
        <f>IF($N83="","",IF($P83&gt;0,IF(4&lt;=SemanaActual,INDEX('Cronograma Asistente Técnico'!$AB$5:$AB$1000,$N83),""),IF(INDEX('Cronograma Asistente Técnico'!$J$5:$J$1000,$N83)="","",INDEX('Cronograma Asistente Técnico'!$J$5:$J$1000,$N83))))</f>
        <v/>
      </c>
      <c r="J83" s="68">
        <f>IF($N83="","",INDEX('Cronograma Asistente Técnico'!$K$5:$K$1000,$N83))</f>
        <v/>
      </c>
      <c r="K83" s="62">
        <f>IF($N83="","",IF(N($J83)&gt;=1,"Completado",IF(AND(ISNUMBER($D83),$D83&lt;FechaRef),"Vencida",IF(N($J83)&gt;0,"En curso","Pendiente"))))</f>
        <v/>
      </c>
      <c r="L83" s="62">
        <f>IF($N83="","",INDEX('Cronograma Asistente Técnico'!$M$5:$M$1000,$N83)&amp;"")</f>
        <v/>
      </c>
      <c r="M83" s="71">
        <f>IF($N83="","",INDEX('Cronograma Asistente Técnico'!$N$5:$N$1000,$N83)&amp;"")</f>
        <v/>
      </c>
      <c r="N83">
        <f>IFERROR(MATCH(ROW()-4,rOrden_ATR,0),"")</f>
        <v/>
      </c>
      <c r="O83">
        <f>IF($N83="","",INDEX('Cronograma Asistente Técnico'!$S$5:$S$1000,$N83))</f>
        <v/>
      </c>
      <c r="P83">
        <f>IF($N83="","",N(INDEX('Cronograma Asistente Técnico'!$T$5:$T$1000,$N83)))</f>
        <v/>
      </c>
    </row>
    <row r="84">
      <c r="A84" s="62">
        <f>IF($N84="","",INDEX('Cronograma Asistente Técnico'!$A$5:$A$1000,$N84))</f>
        <v/>
      </c>
      <c r="B84" s="71">
        <f>IF($N84="","",IF($O84="Sub","      ↳  "&amp;INDEX('Cronograma Asistente Técnico'!$C$5:$C$1000,$N84),INDEX('Cronograma Asistente Técnico'!$C$5:$C$1000,$N84)&amp;""))</f>
        <v/>
      </c>
      <c r="C84" s="77">
        <f>IF($N84="","",IF(INDEX('Cronograma Asistente Técnico'!$D$5:$D$1000,$N84)="","",INDEX('Cronograma Asistente Técnico'!$D$5:$D$1000,$N84)))</f>
        <v/>
      </c>
      <c r="D84" s="77">
        <f>IF($N84="","",IF(INDEX('Cronograma Asistente Técnico'!$E$5:$E$1000,$N84)="","",INDEX('Cronograma Asistente Técnico'!$E$5:$E$1000,$N84)))</f>
        <v/>
      </c>
      <c r="E84" s="62">
        <f>IF($N84="","",IF(NOT(ISNUMBER($D84)),"",IF($D84&lt;InicioCiclo,"Antes del ciclo",IF($D84&gt;=InicioCiclo+28,"Después del ciclo","Semana "&amp;(INT(($D84-InicioCiclo)/7)+1)))))</f>
        <v/>
      </c>
      <c r="F84" s="68">
        <f>IF($N84="","",IF($P84&gt;0,IF(1&lt;=SemanaActual,INDEX('Cronograma Asistente Técnico'!$Y$5:$Y$1000,$N84),""),IF(INDEX('Cronograma Asistente Técnico'!$G$5:$G$1000,$N84)="","",INDEX('Cronograma Asistente Técnico'!$G$5:$G$1000,$N84))))</f>
        <v/>
      </c>
      <c r="G84" s="68">
        <f>IF($N84="","",IF($P84&gt;0,IF(2&lt;=SemanaActual,INDEX('Cronograma Asistente Técnico'!$Z$5:$Z$1000,$N84),""),IF(INDEX('Cronograma Asistente Técnico'!$H$5:$H$1000,$N84)="","",INDEX('Cronograma Asistente Técnico'!$H$5:$H$1000,$N84))))</f>
        <v/>
      </c>
      <c r="H84" s="68">
        <f>IF($N84="","",IF($P84&gt;0,IF(3&lt;=SemanaActual,INDEX('Cronograma Asistente Técnico'!$AA$5:$AA$1000,$N84),""),IF(INDEX('Cronograma Asistente Técnico'!$I$5:$I$1000,$N84)="","",INDEX('Cronograma Asistente Técnico'!$I$5:$I$1000,$N84))))</f>
        <v/>
      </c>
      <c r="I84" s="68">
        <f>IF($N84="","",IF($P84&gt;0,IF(4&lt;=SemanaActual,INDEX('Cronograma Asistente Técnico'!$AB$5:$AB$1000,$N84),""),IF(INDEX('Cronograma Asistente Técnico'!$J$5:$J$1000,$N84)="","",INDEX('Cronograma Asistente Técnico'!$J$5:$J$1000,$N84))))</f>
        <v/>
      </c>
      <c r="J84" s="68">
        <f>IF($N84="","",INDEX('Cronograma Asistente Técnico'!$K$5:$K$1000,$N84))</f>
        <v/>
      </c>
      <c r="K84" s="62">
        <f>IF($N84="","",IF(N($J84)&gt;=1,"Completado",IF(AND(ISNUMBER($D84),$D84&lt;FechaRef),"Vencida",IF(N($J84)&gt;0,"En curso","Pendiente"))))</f>
        <v/>
      </c>
      <c r="L84" s="62">
        <f>IF($N84="","",INDEX('Cronograma Asistente Técnico'!$M$5:$M$1000,$N84)&amp;"")</f>
        <v/>
      </c>
      <c r="M84" s="71">
        <f>IF($N84="","",INDEX('Cronograma Asistente Técnico'!$N$5:$N$1000,$N84)&amp;"")</f>
        <v/>
      </c>
      <c r="N84">
        <f>IFERROR(MATCH(ROW()-4,rOrden_ATR,0),"")</f>
        <v/>
      </c>
      <c r="O84">
        <f>IF($N84="","",INDEX('Cronograma Asistente Técnico'!$S$5:$S$1000,$N84))</f>
        <v/>
      </c>
      <c r="P84">
        <f>IF($N84="","",N(INDEX('Cronograma Asistente Técnico'!$T$5:$T$1000,$N84)))</f>
        <v/>
      </c>
    </row>
    <row r="85">
      <c r="A85" s="62">
        <f>IF($N85="","",INDEX('Cronograma Asistente Técnico'!$A$5:$A$1000,$N85))</f>
        <v/>
      </c>
      <c r="B85" s="71">
        <f>IF($N85="","",IF($O85="Sub","      ↳  "&amp;INDEX('Cronograma Asistente Técnico'!$C$5:$C$1000,$N85),INDEX('Cronograma Asistente Técnico'!$C$5:$C$1000,$N85)&amp;""))</f>
        <v/>
      </c>
      <c r="C85" s="77">
        <f>IF($N85="","",IF(INDEX('Cronograma Asistente Técnico'!$D$5:$D$1000,$N85)="","",INDEX('Cronograma Asistente Técnico'!$D$5:$D$1000,$N85)))</f>
        <v/>
      </c>
      <c r="D85" s="77">
        <f>IF($N85="","",IF(INDEX('Cronograma Asistente Técnico'!$E$5:$E$1000,$N85)="","",INDEX('Cronograma Asistente Técnico'!$E$5:$E$1000,$N85)))</f>
        <v/>
      </c>
      <c r="E85" s="62">
        <f>IF($N85="","",IF(NOT(ISNUMBER($D85)),"",IF($D85&lt;InicioCiclo,"Antes del ciclo",IF($D85&gt;=InicioCiclo+28,"Después del ciclo","Semana "&amp;(INT(($D85-InicioCiclo)/7)+1)))))</f>
        <v/>
      </c>
      <c r="F85" s="68">
        <f>IF($N85="","",IF($P85&gt;0,IF(1&lt;=SemanaActual,INDEX('Cronograma Asistente Técnico'!$Y$5:$Y$1000,$N85),""),IF(INDEX('Cronograma Asistente Técnico'!$G$5:$G$1000,$N85)="","",INDEX('Cronograma Asistente Técnico'!$G$5:$G$1000,$N85))))</f>
        <v/>
      </c>
      <c r="G85" s="68">
        <f>IF($N85="","",IF($P85&gt;0,IF(2&lt;=SemanaActual,INDEX('Cronograma Asistente Técnico'!$Z$5:$Z$1000,$N85),""),IF(INDEX('Cronograma Asistente Técnico'!$H$5:$H$1000,$N85)="","",INDEX('Cronograma Asistente Técnico'!$H$5:$H$1000,$N85))))</f>
        <v/>
      </c>
      <c r="H85" s="68">
        <f>IF($N85="","",IF($P85&gt;0,IF(3&lt;=SemanaActual,INDEX('Cronograma Asistente Técnico'!$AA$5:$AA$1000,$N85),""),IF(INDEX('Cronograma Asistente Técnico'!$I$5:$I$1000,$N85)="","",INDEX('Cronograma Asistente Técnico'!$I$5:$I$1000,$N85))))</f>
        <v/>
      </c>
      <c r="I85" s="68">
        <f>IF($N85="","",IF($P85&gt;0,IF(4&lt;=SemanaActual,INDEX('Cronograma Asistente Técnico'!$AB$5:$AB$1000,$N85),""),IF(INDEX('Cronograma Asistente Técnico'!$J$5:$J$1000,$N85)="","",INDEX('Cronograma Asistente Técnico'!$J$5:$J$1000,$N85))))</f>
        <v/>
      </c>
      <c r="J85" s="68">
        <f>IF($N85="","",INDEX('Cronograma Asistente Técnico'!$K$5:$K$1000,$N85))</f>
        <v/>
      </c>
      <c r="K85" s="62">
        <f>IF($N85="","",IF(N($J85)&gt;=1,"Completado",IF(AND(ISNUMBER($D85),$D85&lt;FechaRef),"Vencida",IF(N($J85)&gt;0,"En curso","Pendiente"))))</f>
        <v/>
      </c>
      <c r="L85" s="62">
        <f>IF($N85="","",INDEX('Cronograma Asistente Técnico'!$M$5:$M$1000,$N85)&amp;"")</f>
        <v/>
      </c>
      <c r="M85" s="71">
        <f>IF($N85="","",INDEX('Cronograma Asistente Técnico'!$N$5:$N$1000,$N85)&amp;"")</f>
        <v/>
      </c>
      <c r="N85">
        <f>IFERROR(MATCH(ROW()-4,rOrden_ATR,0),"")</f>
        <v/>
      </c>
      <c r="O85">
        <f>IF($N85="","",INDEX('Cronograma Asistente Técnico'!$S$5:$S$1000,$N85))</f>
        <v/>
      </c>
      <c r="P85">
        <f>IF($N85="","",N(INDEX('Cronograma Asistente Técnico'!$T$5:$T$1000,$N85)))</f>
        <v/>
      </c>
    </row>
    <row r="86">
      <c r="A86" s="62">
        <f>IF($N86="","",INDEX('Cronograma Asistente Técnico'!$A$5:$A$1000,$N86))</f>
        <v/>
      </c>
      <c r="B86" s="71">
        <f>IF($N86="","",IF($O86="Sub","      ↳  "&amp;INDEX('Cronograma Asistente Técnico'!$C$5:$C$1000,$N86),INDEX('Cronograma Asistente Técnico'!$C$5:$C$1000,$N86)&amp;""))</f>
        <v/>
      </c>
      <c r="C86" s="77">
        <f>IF($N86="","",IF(INDEX('Cronograma Asistente Técnico'!$D$5:$D$1000,$N86)="","",INDEX('Cronograma Asistente Técnico'!$D$5:$D$1000,$N86)))</f>
        <v/>
      </c>
      <c r="D86" s="77">
        <f>IF($N86="","",IF(INDEX('Cronograma Asistente Técnico'!$E$5:$E$1000,$N86)="","",INDEX('Cronograma Asistente Técnico'!$E$5:$E$1000,$N86)))</f>
        <v/>
      </c>
      <c r="E86" s="62">
        <f>IF($N86="","",IF(NOT(ISNUMBER($D86)),"",IF($D86&lt;InicioCiclo,"Antes del ciclo",IF($D86&gt;=InicioCiclo+28,"Después del ciclo","Semana "&amp;(INT(($D86-InicioCiclo)/7)+1)))))</f>
        <v/>
      </c>
      <c r="F86" s="68">
        <f>IF($N86="","",IF($P86&gt;0,IF(1&lt;=SemanaActual,INDEX('Cronograma Asistente Técnico'!$Y$5:$Y$1000,$N86),""),IF(INDEX('Cronograma Asistente Técnico'!$G$5:$G$1000,$N86)="","",INDEX('Cronograma Asistente Técnico'!$G$5:$G$1000,$N86))))</f>
        <v/>
      </c>
      <c r="G86" s="68">
        <f>IF($N86="","",IF($P86&gt;0,IF(2&lt;=SemanaActual,INDEX('Cronograma Asistente Técnico'!$Z$5:$Z$1000,$N86),""),IF(INDEX('Cronograma Asistente Técnico'!$H$5:$H$1000,$N86)="","",INDEX('Cronograma Asistente Técnico'!$H$5:$H$1000,$N86))))</f>
        <v/>
      </c>
      <c r="H86" s="68">
        <f>IF($N86="","",IF($P86&gt;0,IF(3&lt;=SemanaActual,INDEX('Cronograma Asistente Técnico'!$AA$5:$AA$1000,$N86),""),IF(INDEX('Cronograma Asistente Técnico'!$I$5:$I$1000,$N86)="","",INDEX('Cronograma Asistente Técnico'!$I$5:$I$1000,$N86))))</f>
        <v/>
      </c>
      <c r="I86" s="68">
        <f>IF($N86="","",IF($P86&gt;0,IF(4&lt;=SemanaActual,INDEX('Cronograma Asistente Técnico'!$AB$5:$AB$1000,$N86),""),IF(INDEX('Cronograma Asistente Técnico'!$J$5:$J$1000,$N86)="","",INDEX('Cronograma Asistente Técnico'!$J$5:$J$1000,$N86))))</f>
        <v/>
      </c>
      <c r="J86" s="68">
        <f>IF($N86="","",INDEX('Cronograma Asistente Técnico'!$K$5:$K$1000,$N86))</f>
        <v/>
      </c>
      <c r="K86" s="62">
        <f>IF($N86="","",IF(N($J86)&gt;=1,"Completado",IF(AND(ISNUMBER($D86),$D86&lt;FechaRef),"Vencida",IF(N($J86)&gt;0,"En curso","Pendiente"))))</f>
        <v/>
      </c>
      <c r="L86" s="62">
        <f>IF($N86="","",INDEX('Cronograma Asistente Técnico'!$M$5:$M$1000,$N86)&amp;"")</f>
        <v/>
      </c>
      <c r="M86" s="71">
        <f>IF($N86="","",INDEX('Cronograma Asistente Técnico'!$N$5:$N$1000,$N86)&amp;"")</f>
        <v/>
      </c>
      <c r="N86">
        <f>IFERROR(MATCH(ROW()-4,rOrden_ATR,0),"")</f>
        <v/>
      </c>
      <c r="O86">
        <f>IF($N86="","",INDEX('Cronograma Asistente Técnico'!$S$5:$S$1000,$N86))</f>
        <v/>
      </c>
      <c r="P86">
        <f>IF($N86="","",N(INDEX('Cronograma Asistente Técnico'!$T$5:$T$1000,$N86)))</f>
        <v/>
      </c>
    </row>
    <row r="87">
      <c r="A87" s="62">
        <f>IF($N87="","",INDEX('Cronograma Asistente Técnico'!$A$5:$A$1000,$N87))</f>
        <v/>
      </c>
      <c r="B87" s="71">
        <f>IF($N87="","",IF($O87="Sub","      ↳  "&amp;INDEX('Cronograma Asistente Técnico'!$C$5:$C$1000,$N87),INDEX('Cronograma Asistente Técnico'!$C$5:$C$1000,$N87)&amp;""))</f>
        <v/>
      </c>
      <c r="C87" s="77">
        <f>IF($N87="","",IF(INDEX('Cronograma Asistente Técnico'!$D$5:$D$1000,$N87)="","",INDEX('Cronograma Asistente Técnico'!$D$5:$D$1000,$N87)))</f>
        <v/>
      </c>
      <c r="D87" s="77">
        <f>IF($N87="","",IF(INDEX('Cronograma Asistente Técnico'!$E$5:$E$1000,$N87)="","",INDEX('Cronograma Asistente Técnico'!$E$5:$E$1000,$N87)))</f>
        <v/>
      </c>
      <c r="E87" s="62">
        <f>IF($N87="","",IF(NOT(ISNUMBER($D87)),"",IF($D87&lt;InicioCiclo,"Antes del ciclo",IF($D87&gt;=InicioCiclo+28,"Después del ciclo","Semana "&amp;(INT(($D87-InicioCiclo)/7)+1)))))</f>
        <v/>
      </c>
      <c r="F87" s="68">
        <f>IF($N87="","",IF($P87&gt;0,IF(1&lt;=SemanaActual,INDEX('Cronograma Asistente Técnico'!$Y$5:$Y$1000,$N87),""),IF(INDEX('Cronograma Asistente Técnico'!$G$5:$G$1000,$N87)="","",INDEX('Cronograma Asistente Técnico'!$G$5:$G$1000,$N87))))</f>
        <v/>
      </c>
      <c r="G87" s="68">
        <f>IF($N87="","",IF($P87&gt;0,IF(2&lt;=SemanaActual,INDEX('Cronograma Asistente Técnico'!$Z$5:$Z$1000,$N87),""),IF(INDEX('Cronograma Asistente Técnico'!$H$5:$H$1000,$N87)="","",INDEX('Cronograma Asistente Técnico'!$H$5:$H$1000,$N87))))</f>
        <v/>
      </c>
      <c r="H87" s="68">
        <f>IF($N87="","",IF($P87&gt;0,IF(3&lt;=SemanaActual,INDEX('Cronograma Asistente Técnico'!$AA$5:$AA$1000,$N87),""),IF(INDEX('Cronograma Asistente Técnico'!$I$5:$I$1000,$N87)="","",INDEX('Cronograma Asistente Técnico'!$I$5:$I$1000,$N87))))</f>
        <v/>
      </c>
      <c r="I87" s="68">
        <f>IF($N87="","",IF($P87&gt;0,IF(4&lt;=SemanaActual,INDEX('Cronograma Asistente Técnico'!$AB$5:$AB$1000,$N87),""),IF(INDEX('Cronograma Asistente Técnico'!$J$5:$J$1000,$N87)="","",INDEX('Cronograma Asistente Técnico'!$J$5:$J$1000,$N87))))</f>
        <v/>
      </c>
      <c r="J87" s="68">
        <f>IF($N87="","",INDEX('Cronograma Asistente Técnico'!$K$5:$K$1000,$N87))</f>
        <v/>
      </c>
      <c r="K87" s="62">
        <f>IF($N87="","",IF(N($J87)&gt;=1,"Completado",IF(AND(ISNUMBER($D87),$D87&lt;FechaRef),"Vencida",IF(N($J87)&gt;0,"En curso","Pendiente"))))</f>
        <v/>
      </c>
      <c r="L87" s="62">
        <f>IF($N87="","",INDEX('Cronograma Asistente Técnico'!$M$5:$M$1000,$N87)&amp;"")</f>
        <v/>
      </c>
      <c r="M87" s="71">
        <f>IF($N87="","",INDEX('Cronograma Asistente Técnico'!$N$5:$N$1000,$N87)&amp;"")</f>
        <v/>
      </c>
      <c r="N87">
        <f>IFERROR(MATCH(ROW()-4,rOrden_ATR,0),"")</f>
        <v/>
      </c>
      <c r="O87">
        <f>IF($N87="","",INDEX('Cronograma Asistente Técnico'!$S$5:$S$1000,$N87))</f>
        <v/>
      </c>
      <c r="P87">
        <f>IF($N87="","",N(INDEX('Cronograma Asistente Técnico'!$T$5:$T$1000,$N87)))</f>
        <v/>
      </c>
    </row>
    <row r="88">
      <c r="A88" s="62">
        <f>IF($N88="","",INDEX('Cronograma Asistente Técnico'!$A$5:$A$1000,$N88))</f>
        <v/>
      </c>
      <c r="B88" s="71">
        <f>IF($N88="","",IF($O88="Sub","      ↳  "&amp;INDEX('Cronograma Asistente Técnico'!$C$5:$C$1000,$N88),INDEX('Cronograma Asistente Técnico'!$C$5:$C$1000,$N88)&amp;""))</f>
        <v/>
      </c>
      <c r="C88" s="77">
        <f>IF($N88="","",IF(INDEX('Cronograma Asistente Técnico'!$D$5:$D$1000,$N88)="","",INDEX('Cronograma Asistente Técnico'!$D$5:$D$1000,$N88)))</f>
        <v/>
      </c>
      <c r="D88" s="77">
        <f>IF($N88="","",IF(INDEX('Cronograma Asistente Técnico'!$E$5:$E$1000,$N88)="","",INDEX('Cronograma Asistente Técnico'!$E$5:$E$1000,$N88)))</f>
        <v/>
      </c>
      <c r="E88" s="62">
        <f>IF($N88="","",IF(NOT(ISNUMBER($D88)),"",IF($D88&lt;InicioCiclo,"Antes del ciclo",IF($D88&gt;=InicioCiclo+28,"Después del ciclo","Semana "&amp;(INT(($D88-InicioCiclo)/7)+1)))))</f>
        <v/>
      </c>
      <c r="F88" s="68">
        <f>IF($N88="","",IF($P88&gt;0,IF(1&lt;=SemanaActual,INDEX('Cronograma Asistente Técnico'!$Y$5:$Y$1000,$N88),""),IF(INDEX('Cronograma Asistente Técnico'!$G$5:$G$1000,$N88)="","",INDEX('Cronograma Asistente Técnico'!$G$5:$G$1000,$N88))))</f>
        <v/>
      </c>
      <c r="G88" s="68">
        <f>IF($N88="","",IF($P88&gt;0,IF(2&lt;=SemanaActual,INDEX('Cronograma Asistente Técnico'!$Z$5:$Z$1000,$N88),""),IF(INDEX('Cronograma Asistente Técnico'!$H$5:$H$1000,$N88)="","",INDEX('Cronograma Asistente Técnico'!$H$5:$H$1000,$N88))))</f>
        <v/>
      </c>
      <c r="H88" s="68">
        <f>IF($N88="","",IF($P88&gt;0,IF(3&lt;=SemanaActual,INDEX('Cronograma Asistente Técnico'!$AA$5:$AA$1000,$N88),""),IF(INDEX('Cronograma Asistente Técnico'!$I$5:$I$1000,$N88)="","",INDEX('Cronograma Asistente Técnico'!$I$5:$I$1000,$N88))))</f>
        <v/>
      </c>
      <c r="I88" s="68">
        <f>IF($N88="","",IF($P88&gt;0,IF(4&lt;=SemanaActual,INDEX('Cronograma Asistente Técnico'!$AB$5:$AB$1000,$N88),""),IF(INDEX('Cronograma Asistente Técnico'!$J$5:$J$1000,$N88)="","",INDEX('Cronograma Asistente Técnico'!$J$5:$J$1000,$N88))))</f>
        <v/>
      </c>
      <c r="J88" s="68">
        <f>IF($N88="","",INDEX('Cronograma Asistente Técnico'!$K$5:$K$1000,$N88))</f>
        <v/>
      </c>
      <c r="K88" s="62">
        <f>IF($N88="","",IF(N($J88)&gt;=1,"Completado",IF(AND(ISNUMBER($D88),$D88&lt;FechaRef),"Vencida",IF(N($J88)&gt;0,"En curso","Pendiente"))))</f>
        <v/>
      </c>
      <c r="L88" s="62">
        <f>IF($N88="","",INDEX('Cronograma Asistente Técnico'!$M$5:$M$1000,$N88)&amp;"")</f>
        <v/>
      </c>
      <c r="M88" s="71">
        <f>IF($N88="","",INDEX('Cronograma Asistente Técnico'!$N$5:$N$1000,$N88)&amp;"")</f>
        <v/>
      </c>
      <c r="N88">
        <f>IFERROR(MATCH(ROW()-4,rOrden_ATR,0),"")</f>
        <v/>
      </c>
      <c r="O88">
        <f>IF($N88="","",INDEX('Cronograma Asistente Técnico'!$S$5:$S$1000,$N88))</f>
        <v/>
      </c>
      <c r="P88">
        <f>IF($N88="","",N(INDEX('Cronograma Asistente Técnico'!$T$5:$T$1000,$N88)))</f>
        <v/>
      </c>
    </row>
    <row r="89">
      <c r="A89" s="62">
        <f>IF($N89="","",INDEX('Cronograma Asistente Técnico'!$A$5:$A$1000,$N89))</f>
        <v/>
      </c>
      <c r="B89" s="71">
        <f>IF($N89="","",IF($O89="Sub","      ↳  "&amp;INDEX('Cronograma Asistente Técnico'!$C$5:$C$1000,$N89),INDEX('Cronograma Asistente Técnico'!$C$5:$C$1000,$N89)&amp;""))</f>
        <v/>
      </c>
      <c r="C89" s="77">
        <f>IF($N89="","",IF(INDEX('Cronograma Asistente Técnico'!$D$5:$D$1000,$N89)="","",INDEX('Cronograma Asistente Técnico'!$D$5:$D$1000,$N89)))</f>
        <v/>
      </c>
      <c r="D89" s="77">
        <f>IF($N89="","",IF(INDEX('Cronograma Asistente Técnico'!$E$5:$E$1000,$N89)="","",INDEX('Cronograma Asistente Técnico'!$E$5:$E$1000,$N89)))</f>
        <v/>
      </c>
      <c r="E89" s="62">
        <f>IF($N89="","",IF(NOT(ISNUMBER($D89)),"",IF($D89&lt;InicioCiclo,"Antes del ciclo",IF($D89&gt;=InicioCiclo+28,"Después del ciclo","Semana "&amp;(INT(($D89-InicioCiclo)/7)+1)))))</f>
        <v/>
      </c>
      <c r="F89" s="68">
        <f>IF($N89="","",IF($P89&gt;0,IF(1&lt;=SemanaActual,INDEX('Cronograma Asistente Técnico'!$Y$5:$Y$1000,$N89),""),IF(INDEX('Cronograma Asistente Técnico'!$G$5:$G$1000,$N89)="","",INDEX('Cronograma Asistente Técnico'!$G$5:$G$1000,$N89))))</f>
        <v/>
      </c>
      <c r="G89" s="68">
        <f>IF($N89="","",IF($P89&gt;0,IF(2&lt;=SemanaActual,INDEX('Cronograma Asistente Técnico'!$Z$5:$Z$1000,$N89),""),IF(INDEX('Cronograma Asistente Técnico'!$H$5:$H$1000,$N89)="","",INDEX('Cronograma Asistente Técnico'!$H$5:$H$1000,$N89))))</f>
        <v/>
      </c>
      <c r="H89" s="68">
        <f>IF($N89="","",IF($P89&gt;0,IF(3&lt;=SemanaActual,INDEX('Cronograma Asistente Técnico'!$AA$5:$AA$1000,$N89),""),IF(INDEX('Cronograma Asistente Técnico'!$I$5:$I$1000,$N89)="","",INDEX('Cronograma Asistente Técnico'!$I$5:$I$1000,$N89))))</f>
        <v/>
      </c>
      <c r="I89" s="68">
        <f>IF($N89="","",IF($P89&gt;0,IF(4&lt;=SemanaActual,INDEX('Cronograma Asistente Técnico'!$AB$5:$AB$1000,$N89),""),IF(INDEX('Cronograma Asistente Técnico'!$J$5:$J$1000,$N89)="","",INDEX('Cronograma Asistente Técnico'!$J$5:$J$1000,$N89))))</f>
        <v/>
      </c>
      <c r="J89" s="68">
        <f>IF($N89="","",INDEX('Cronograma Asistente Técnico'!$K$5:$K$1000,$N89))</f>
        <v/>
      </c>
      <c r="K89" s="62">
        <f>IF($N89="","",IF(N($J89)&gt;=1,"Completado",IF(AND(ISNUMBER($D89),$D89&lt;FechaRef),"Vencida",IF(N($J89)&gt;0,"En curso","Pendiente"))))</f>
        <v/>
      </c>
      <c r="L89" s="62">
        <f>IF($N89="","",INDEX('Cronograma Asistente Técnico'!$M$5:$M$1000,$N89)&amp;"")</f>
        <v/>
      </c>
      <c r="M89" s="71">
        <f>IF($N89="","",INDEX('Cronograma Asistente Técnico'!$N$5:$N$1000,$N89)&amp;"")</f>
        <v/>
      </c>
      <c r="N89">
        <f>IFERROR(MATCH(ROW()-4,rOrden_ATR,0),"")</f>
        <v/>
      </c>
      <c r="O89">
        <f>IF($N89="","",INDEX('Cronograma Asistente Técnico'!$S$5:$S$1000,$N89))</f>
        <v/>
      </c>
      <c r="P89">
        <f>IF($N89="","",N(INDEX('Cronograma Asistente Técnico'!$T$5:$T$1000,$N89)))</f>
        <v/>
      </c>
    </row>
    <row r="90">
      <c r="A90" s="62">
        <f>IF($N90="","",INDEX('Cronograma Asistente Técnico'!$A$5:$A$1000,$N90))</f>
        <v/>
      </c>
      <c r="B90" s="71">
        <f>IF($N90="","",IF($O90="Sub","      ↳  "&amp;INDEX('Cronograma Asistente Técnico'!$C$5:$C$1000,$N90),INDEX('Cronograma Asistente Técnico'!$C$5:$C$1000,$N90)&amp;""))</f>
        <v/>
      </c>
      <c r="C90" s="77">
        <f>IF($N90="","",IF(INDEX('Cronograma Asistente Técnico'!$D$5:$D$1000,$N90)="","",INDEX('Cronograma Asistente Técnico'!$D$5:$D$1000,$N90)))</f>
        <v/>
      </c>
      <c r="D90" s="77">
        <f>IF($N90="","",IF(INDEX('Cronograma Asistente Técnico'!$E$5:$E$1000,$N90)="","",INDEX('Cronograma Asistente Técnico'!$E$5:$E$1000,$N90)))</f>
        <v/>
      </c>
      <c r="E90" s="62">
        <f>IF($N90="","",IF(NOT(ISNUMBER($D90)),"",IF($D90&lt;InicioCiclo,"Antes del ciclo",IF($D90&gt;=InicioCiclo+28,"Después del ciclo","Semana "&amp;(INT(($D90-InicioCiclo)/7)+1)))))</f>
        <v/>
      </c>
      <c r="F90" s="68">
        <f>IF($N90="","",IF($P90&gt;0,IF(1&lt;=SemanaActual,INDEX('Cronograma Asistente Técnico'!$Y$5:$Y$1000,$N90),""),IF(INDEX('Cronograma Asistente Técnico'!$G$5:$G$1000,$N90)="","",INDEX('Cronograma Asistente Técnico'!$G$5:$G$1000,$N90))))</f>
        <v/>
      </c>
      <c r="G90" s="68">
        <f>IF($N90="","",IF($P90&gt;0,IF(2&lt;=SemanaActual,INDEX('Cronograma Asistente Técnico'!$Z$5:$Z$1000,$N90),""),IF(INDEX('Cronograma Asistente Técnico'!$H$5:$H$1000,$N90)="","",INDEX('Cronograma Asistente Técnico'!$H$5:$H$1000,$N90))))</f>
        <v/>
      </c>
      <c r="H90" s="68">
        <f>IF($N90="","",IF($P90&gt;0,IF(3&lt;=SemanaActual,INDEX('Cronograma Asistente Técnico'!$AA$5:$AA$1000,$N90),""),IF(INDEX('Cronograma Asistente Técnico'!$I$5:$I$1000,$N90)="","",INDEX('Cronograma Asistente Técnico'!$I$5:$I$1000,$N90))))</f>
        <v/>
      </c>
      <c r="I90" s="68">
        <f>IF($N90="","",IF($P90&gt;0,IF(4&lt;=SemanaActual,INDEX('Cronograma Asistente Técnico'!$AB$5:$AB$1000,$N90),""),IF(INDEX('Cronograma Asistente Técnico'!$J$5:$J$1000,$N90)="","",INDEX('Cronograma Asistente Técnico'!$J$5:$J$1000,$N90))))</f>
        <v/>
      </c>
      <c r="J90" s="68">
        <f>IF($N90="","",INDEX('Cronograma Asistente Técnico'!$K$5:$K$1000,$N90))</f>
        <v/>
      </c>
      <c r="K90" s="62">
        <f>IF($N90="","",IF(N($J90)&gt;=1,"Completado",IF(AND(ISNUMBER($D90),$D90&lt;FechaRef),"Vencida",IF(N($J90)&gt;0,"En curso","Pendiente"))))</f>
        <v/>
      </c>
      <c r="L90" s="62">
        <f>IF($N90="","",INDEX('Cronograma Asistente Técnico'!$M$5:$M$1000,$N90)&amp;"")</f>
        <v/>
      </c>
      <c r="M90" s="71">
        <f>IF($N90="","",INDEX('Cronograma Asistente Técnico'!$N$5:$N$1000,$N90)&amp;"")</f>
        <v/>
      </c>
      <c r="N90">
        <f>IFERROR(MATCH(ROW()-4,rOrden_ATR,0),"")</f>
        <v/>
      </c>
      <c r="O90">
        <f>IF($N90="","",INDEX('Cronograma Asistente Técnico'!$S$5:$S$1000,$N90))</f>
        <v/>
      </c>
      <c r="P90">
        <f>IF($N90="","",N(INDEX('Cronograma Asistente Técnico'!$T$5:$T$1000,$N90)))</f>
        <v/>
      </c>
    </row>
    <row r="91">
      <c r="A91" s="62">
        <f>IF($N91="","",INDEX('Cronograma Asistente Técnico'!$A$5:$A$1000,$N91))</f>
        <v/>
      </c>
      <c r="B91" s="71">
        <f>IF($N91="","",IF($O91="Sub","      ↳  "&amp;INDEX('Cronograma Asistente Técnico'!$C$5:$C$1000,$N91),INDEX('Cronograma Asistente Técnico'!$C$5:$C$1000,$N91)&amp;""))</f>
        <v/>
      </c>
      <c r="C91" s="77">
        <f>IF($N91="","",IF(INDEX('Cronograma Asistente Técnico'!$D$5:$D$1000,$N91)="","",INDEX('Cronograma Asistente Técnico'!$D$5:$D$1000,$N91)))</f>
        <v/>
      </c>
      <c r="D91" s="77">
        <f>IF($N91="","",IF(INDEX('Cronograma Asistente Técnico'!$E$5:$E$1000,$N91)="","",INDEX('Cronograma Asistente Técnico'!$E$5:$E$1000,$N91)))</f>
        <v/>
      </c>
      <c r="E91" s="62">
        <f>IF($N91="","",IF(NOT(ISNUMBER($D91)),"",IF($D91&lt;InicioCiclo,"Antes del ciclo",IF($D91&gt;=InicioCiclo+28,"Después del ciclo","Semana "&amp;(INT(($D91-InicioCiclo)/7)+1)))))</f>
        <v/>
      </c>
      <c r="F91" s="68">
        <f>IF($N91="","",IF($P91&gt;0,IF(1&lt;=SemanaActual,INDEX('Cronograma Asistente Técnico'!$Y$5:$Y$1000,$N91),""),IF(INDEX('Cronograma Asistente Técnico'!$G$5:$G$1000,$N91)="","",INDEX('Cronograma Asistente Técnico'!$G$5:$G$1000,$N91))))</f>
        <v/>
      </c>
      <c r="G91" s="68">
        <f>IF($N91="","",IF($P91&gt;0,IF(2&lt;=SemanaActual,INDEX('Cronograma Asistente Técnico'!$Z$5:$Z$1000,$N91),""),IF(INDEX('Cronograma Asistente Técnico'!$H$5:$H$1000,$N91)="","",INDEX('Cronograma Asistente Técnico'!$H$5:$H$1000,$N91))))</f>
        <v/>
      </c>
      <c r="H91" s="68">
        <f>IF($N91="","",IF($P91&gt;0,IF(3&lt;=SemanaActual,INDEX('Cronograma Asistente Técnico'!$AA$5:$AA$1000,$N91),""),IF(INDEX('Cronograma Asistente Técnico'!$I$5:$I$1000,$N91)="","",INDEX('Cronograma Asistente Técnico'!$I$5:$I$1000,$N91))))</f>
        <v/>
      </c>
      <c r="I91" s="68">
        <f>IF($N91="","",IF($P91&gt;0,IF(4&lt;=SemanaActual,INDEX('Cronograma Asistente Técnico'!$AB$5:$AB$1000,$N91),""),IF(INDEX('Cronograma Asistente Técnico'!$J$5:$J$1000,$N91)="","",INDEX('Cronograma Asistente Técnico'!$J$5:$J$1000,$N91))))</f>
        <v/>
      </c>
      <c r="J91" s="68">
        <f>IF($N91="","",INDEX('Cronograma Asistente Técnico'!$K$5:$K$1000,$N91))</f>
        <v/>
      </c>
      <c r="K91" s="62">
        <f>IF($N91="","",IF(N($J91)&gt;=1,"Completado",IF(AND(ISNUMBER($D91),$D91&lt;FechaRef),"Vencida",IF(N($J91)&gt;0,"En curso","Pendiente"))))</f>
        <v/>
      </c>
      <c r="L91" s="62">
        <f>IF($N91="","",INDEX('Cronograma Asistente Técnico'!$M$5:$M$1000,$N91)&amp;"")</f>
        <v/>
      </c>
      <c r="M91" s="71">
        <f>IF($N91="","",INDEX('Cronograma Asistente Técnico'!$N$5:$N$1000,$N91)&amp;"")</f>
        <v/>
      </c>
      <c r="N91">
        <f>IFERROR(MATCH(ROW()-4,rOrden_ATR,0),"")</f>
        <v/>
      </c>
      <c r="O91">
        <f>IF($N91="","",INDEX('Cronograma Asistente Técnico'!$S$5:$S$1000,$N91))</f>
        <v/>
      </c>
      <c r="P91">
        <f>IF($N91="","",N(INDEX('Cronograma Asistente Técnico'!$T$5:$T$1000,$N91)))</f>
        <v/>
      </c>
    </row>
    <row r="92">
      <c r="A92" s="62">
        <f>IF($N92="","",INDEX('Cronograma Asistente Técnico'!$A$5:$A$1000,$N92))</f>
        <v/>
      </c>
      <c r="B92" s="71">
        <f>IF($N92="","",IF($O92="Sub","      ↳  "&amp;INDEX('Cronograma Asistente Técnico'!$C$5:$C$1000,$N92),INDEX('Cronograma Asistente Técnico'!$C$5:$C$1000,$N92)&amp;""))</f>
        <v/>
      </c>
      <c r="C92" s="77">
        <f>IF($N92="","",IF(INDEX('Cronograma Asistente Técnico'!$D$5:$D$1000,$N92)="","",INDEX('Cronograma Asistente Técnico'!$D$5:$D$1000,$N92)))</f>
        <v/>
      </c>
      <c r="D92" s="77">
        <f>IF($N92="","",IF(INDEX('Cronograma Asistente Técnico'!$E$5:$E$1000,$N92)="","",INDEX('Cronograma Asistente Técnico'!$E$5:$E$1000,$N92)))</f>
        <v/>
      </c>
      <c r="E92" s="62">
        <f>IF($N92="","",IF(NOT(ISNUMBER($D92)),"",IF($D92&lt;InicioCiclo,"Antes del ciclo",IF($D92&gt;=InicioCiclo+28,"Después del ciclo","Semana "&amp;(INT(($D92-InicioCiclo)/7)+1)))))</f>
        <v/>
      </c>
      <c r="F92" s="68">
        <f>IF($N92="","",IF($P92&gt;0,IF(1&lt;=SemanaActual,INDEX('Cronograma Asistente Técnico'!$Y$5:$Y$1000,$N92),""),IF(INDEX('Cronograma Asistente Técnico'!$G$5:$G$1000,$N92)="","",INDEX('Cronograma Asistente Técnico'!$G$5:$G$1000,$N92))))</f>
        <v/>
      </c>
      <c r="G92" s="68">
        <f>IF($N92="","",IF($P92&gt;0,IF(2&lt;=SemanaActual,INDEX('Cronograma Asistente Técnico'!$Z$5:$Z$1000,$N92),""),IF(INDEX('Cronograma Asistente Técnico'!$H$5:$H$1000,$N92)="","",INDEX('Cronograma Asistente Técnico'!$H$5:$H$1000,$N92))))</f>
        <v/>
      </c>
      <c r="H92" s="68">
        <f>IF($N92="","",IF($P92&gt;0,IF(3&lt;=SemanaActual,INDEX('Cronograma Asistente Técnico'!$AA$5:$AA$1000,$N92),""),IF(INDEX('Cronograma Asistente Técnico'!$I$5:$I$1000,$N92)="","",INDEX('Cronograma Asistente Técnico'!$I$5:$I$1000,$N92))))</f>
        <v/>
      </c>
      <c r="I92" s="68">
        <f>IF($N92="","",IF($P92&gt;0,IF(4&lt;=SemanaActual,INDEX('Cronograma Asistente Técnico'!$AB$5:$AB$1000,$N92),""),IF(INDEX('Cronograma Asistente Técnico'!$J$5:$J$1000,$N92)="","",INDEX('Cronograma Asistente Técnico'!$J$5:$J$1000,$N92))))</f>
        <v/>
      </c>
      <c r="J92" s="68">
        <f>IF($N92="","",INDEX('Cronograma Asistente Técnico'!$K$5:$K$1000,$N92))</f>
        <v/>
      </c>
      <c r="K92" s="62">
        <f>IF($N92="","",IF(N($J92)&gt;=1,"Completado",IF(AND(ISNUMBER($D92),$D92&lt;FechaRef),"Vencida",IF(N($J92)&gt;0,"En curso","Pendiente"))))</f>
        <v/>
      </c>
      <c r="L92" s="62">
        <f>IF($N92="","",INDEX('Cronograma Asistente Técnico'!$M$5:$M$1000,$N92)&amp;"")</f>
        <v/>
      </c>
      <c r="M92" s="71">
        <f>IF($N92="","",INDEX('Cronograma Asistente Técnico'!$N$5:$N$1000,$N92)&amp;"")</f>
        <v/>
      </c>
      <c r="N92">
        <f>IFERROR(MATCH(ROW()-4,rOrden_ATR,0),"")</f>
        <v/>
      </c>
      <c r="O92">
        <f>IF($N92="","",INDEX('Cronograma Asistente Técnico'!$S$5:$S$1000,$N92))</f>
        <v/>
      </c>
      <c r="P92">
        <f>IF($N92="","",N(INDEX('Cronograma Asistente Técnico'!$T$5:$T$1000,$N92)))</f>
        <v/>
      </c>
    </row>
    <row r="93">
      <c r="A93" s="62">
        <f>IF($N93="","",INDEX('Cronograma Asistente Técnico'!$A$5:$A$1000,$N93))</f>
        <v/>
      </c>
      <c r="B93" s="71">
        <f>IF($N93="","",IF($O93="Sub","      ↳  "&amp;INDEX('Cronograma Asistente Técnico'!$C$5:$C$1000,$N93),INDEX('Cronograma Asistente Técnico'!$C$5:$C$1000,$N93)&amp;""))</f>
        <v/>
      </c>
      <c r="C93" s="77">
        <f>IF($N93="","",IF(INDEX('Cronograma Asistente Técnico'!$D$5:$D$1000,$N93)="","",INDEX('Cronograma Asistente Técnico'!$D$5:$D$1000,$N93)))</f>
        <v/>
      </c>
      <c r="D93" s="77">
        <f>IF($N93="","",IF(INDEX('Cronograma Asistente Técnico'!$E$5:$E$1000,$N93)="","",INDEX('Cronograma Asistente Técnico'!$E$5:$E$1000,$N93)))</f>
        <v/>
      </c>
      <c r="E93" s="62">
        <f>IF($N93="","",IF(NOT(ISNUMBER($D93)),"",IF($D93&lt;InicioCiclo,"Antes del ciclo",IF($D93&gt;=InicioCiclo+28,"Después del ciclo","Semana "&amp;(INT(($D93-InicioCiclo)/7)+1)))))</f>
        <v/>
      </c>
      <c r="F93" s="68">
        <f>IF($N93="","",IF($P93&gt;0,IF(1&lt;=SemanaActual,INDEX('Cronograma Asistente Técnico'!$Y$5:$Y$1000,$N93),""),IF(INDEX('Cronograma Asistente Técnico'!$G$5:$G$1000,$N93)="","",INDEX('Cronograma Asistente Técnico'!$G$5:$G$1000,$N93))))</f>
        <v/>
      </c>
      <c r="G93" s="68">
        <f>IF($N93="","",IF($P93&gt;0,IF(2&lt;=SemanaActual,INDEX('Cronograma Asistente Técnico'!$Z$5:$Z$1000,$N93),""),IF(INDEX('Cronograma Asistente Técnico'!$H$5:$H$1000,$N93)="","",INDEX('Cronograma Asistente Técnico'!$H$5:$H$1000,$N93))))</f>
        <v/>
      </c>
      <c r="H93" s="68">
        <f>IF($N93="","",IF($P93&gt;0,IF(3&lt;=SemanaActual,INDEX('Cronograma Asistente Técnico'!$AA$5:$AA$1000,$N93),""),IF(INDEX('Cronograma Asistente Técnico'!$I$5:$I$1000,$N93)="","",INDEX('Cronograma Asistente Técnico'!$I$5:$I$1000,$N93))))</f>
        <v/>
      </c>
      <c r="I93" s="68">
        <f>IF($N93="","",IF($P93&gt;0,IF(4&lt;=SemanaActual,INDEX('Cronograma Asistente Técnico'!$AB$5:$AB$1000,$N93),""),IF(INDEX('Cronograma Asistente Técnico'!$J$5:$J$1000,$N93)="","",INDEX('Cronograma Asistente Técnico'!$J$5:$J$1000,$N93))))</f>
        <v/>
      </c>
      <c r="J93" s="68">
        <f>IF($N93="","",INDEX('Cronograma Asistente Técnico'!$K$5:$K$1000,$N93))</f>
        <v/>
      </c>
      <c r="K93" s="62">
        <f>IF($N93="","",IF(N($J93)&gt;=1,"Completado",IF(AND(ISNUMBER($D93),$D93&lt;FechaRef),"Vencida",IF(N($J93)&gt;0,"En curso","Pendiente"))))</f>
        <v/>
      </c>
      <c r="L93" s="62">
        <f>IF($N93="","",INDEX('Cronograma Asistente Técnico'!$M$5:$M$1000,$N93)&amp;"")</f>
        <v/>
      </c>
      <c r="M93" s="71">
        <f>IF($N93="","",INDEX('Cronograma Asistente Técnico'!$N$5:$N$1000,$N93)&amp;"")</f>
        <v/>
      </c>
      <c r="N93">
        <f>IFERROR(MATCH(ROW()-4,rOrden_ATR,0),"")</f>
        <v/>
      </c>
      <c r="O93">
        <f>IF($N93="","",INDEX('Cronograma Asistente Técnico'!$S$5:$S$1000,$N93))</f>
        <v/>
      </c>
      <c r="P93">
        <f>IF($N93="","",N(INDEX('Cronograma Asistente Técnico'!$T$5:$T$1000,$N93)))</f>
        <v/>
      </c>
    </row>
    <row r="94">
      <c r="A94" s="62">
        <f>IF($N94="","",INDEX('Cronograma Asistente Técnico'!$A$5:$A$1000,$N94))</f>
        <v/>
      </c>
      <c r="B94" s="71">
        <f>IF($N94="","",IF($O94="Sub","      ↳  "&amp;INDEX('Cronograma Asistente Técnico'!$C$5:$C$1000,$N94),INDEX('Cronograma Asistente Técnico'!$C$5:$C$1000,$N94)&amp;""))</f>
        <v/>
      </c>
      <c r="C94" s="77">
        <f>IF($N94="","",IF(INDEX('Cronograma Asistente Técnico'!$D$5:$D$1000,$N94)="","",INDEX('Cronograma Asistente Técnico'!$D$5:$D$1000,$N94)))</f>
        <v/>
      </c>
      <c r="D94" s="77">
        <f>IF($N94="","",IF(INDEX('Cronograma Asistente Técnico'!$E$5:$E$1000,$N94)="","",INDEX('Cronograma Asistente Técnico'!$E$5:$E$1000,$N94)))</f>
        <v/>
      </c>
      <c r="E94" s="62">
        <f>IF($N94="","",IF(NOT(ISNUMBER($D94)),"",IF($D94&lt;InicioCiclo,"Antes del ciclo",IF($D94&gt;=InicioCiclo+28,"Después del ciclo","Semana "&amp;(INT(($D94-InicioCiclo)/7)+1)))))</f>
        <v/>
      </c>
      <c r="F94" s="68">
        <f>IF($N94="","",IF($P94&gt;0,IF(1&lt;=SemanaActual,INDEX('Cronograma Asistente Técnico'!$Y$5:$Y$1000,$N94),""),IF(INDEX('Cronograma Asistente Técnico'!$G$5:$G$1000,$N94)="","",INDEX('Cronograma Asistente Técnico'!$G$5:$G$1000,$N94))))</f>
        <v/>
      </c>
      <c r="G94" s="68">
        <f>IF($N94="","",IF($P94&gt;0,IF(2&lt;=SemanaActual,INDEX('Cronograma Asistente Técnico'!$Z$5:$Z$1000,$N94),""),IF(INDEX('Cronograma Asistente Técnico'!$H$5:$H$1000,$N94)="","",INDEX('Cronograma Asistente Técnico'!$H$5:$H$1000,$N94))))</f>
        <v/>
      </c>
      <c r="H94" s="68">
        <f>IF($N94="","",IF($P94&gt;0,IF(3&lt;=SemanaActual,INDEX('Cronograma Asistente Técnico'!$AA$5:$AA$1000,$N94),""),IF(INDEX('Cronograma Asistente Técnico'!$I$5:$I$1000,$N94)="","",INDEX('Cronograma Asistente Técnico'!$I$5:$I$1000,$N94))))</f>
        <v/>
      </c>
      <c r="I94" s="68">
        <f>IF($N94="","",IF($P94&gt;0,IF(4&lt;=SemanaActual,INDEX('Cronograma Asistente Técnico'!$AB$5:$AB$1000,$N94),""),IF(INDEX('Cronograma Asistente Técnico'!$J$5:$J$1000,$N94)="","",INDEX('Cronograma Asistente Técnico'!$J$5:$J$1000,$N94))))</f>
        <v/>
      </c>
      <c r="J94" s="68">
        <f>IF($N94="","",INDEX('Cronograma Asistente Técnico'!$K$5:$K$1000,$N94))</f>
        <v/>
      </c>
      <c r="K94" s="62">
        <f>IF($N94="","",IF(N($J94)&gt;=1,"Completado",IF(AND(ISNUMBER($D94),$D94&lt;FechaRef),"Vencida",IF(N($J94)&gt;0,"En curso","Pendiente"))))</f>
        <v/>
      </c>
      <c r="L94" s="62">
        <f>IF($N94="","",INDEX('Cronograma Asistente Técnico'!$M$5:$M$1000,$N94)&amp;"")</f>
        <v/>
      </c>
      <c r="M94" s="71">
        <f>IF($N94="","",INDEX('Cronograma Asistente Técnico'!$N$5:$N$1000,$N94)&amp;"")</f>
        <v/>
      </c>
      <c r="N94">
        <f>IFERROR(MATCH(ROW()-4,rOrden_ATR,0),"")</f>
        <v/>
      </c>
      <c r="O94">
        <f>IF($N94="","",INDEX('Cronograma Asistente Técnico'!$S$5:$S$1000,$N94))</f>
        <v/>
      </c>
      <c r="P94">
        <f>IF($N94="","",N(INDEX('Cronograma Asistente Técnico'!$T$5:$T$1000,$N94)))</f>
        <v/>
      </c>
    </row>
    <row r="95">
      <c r="A95" s="62">
        <f>IF($N95="","",INDEX('Cronograma Asistente Técnico'!$A$5:$A$1000,$N95))</f>
        <v/>
      </c>
      <c r="B95" s="71">
        <f>IF($N95="","",IF($O95="Sub","      ↳  "&amp;INDEX('Cronograma Asistente Técnico'!$C$5:$C$1000,$N95),INDEX('Cronograma Asistente Técnico'!$C$5:$C$1000,$N95)&amp;""))</f>
        <v/>
      </c>
      <c r="C95" s="77">
        <f>IF($N95="","",IF(INDEX('Cronograma Asistente Técnico'!$D$5:$D$1000,$N95)="","",INDEX('Cronograma Asistente Técnico'!$D$5:$D$1000,$N95)))</f>
        <v/>
      </c>
      <c r="D95" s="77">
        <f>IF($N95="","",IF(INDEX('Cronograma Asistente Técnico'!$E$5:$E$1000,$N95)="","",INDEX('Cronograma Asistente Técnico'!$E$5:$E$1000,$N95)))</f>
        <v/>
      </c>
      <c r="E95" s="62">
        <f>IF($N95="","",IF(NOT(ISNUMBER($D95)),"",IF($D95&lt;InicioCiclo,"Antes del ciclo",IF($D95&gt;=InicioCiclo+28,"Después del ciclo","Semana "&amp;(INT(($D95-InicioCiclo)/7)+1)))))</f>
        <v/>
      </c>
      <c r="F95" s="68">
        <f>IF($N95="","",IF($P95&gt;0,IF(1&lt;=SemanaActual,INDEX('Cronograma Asistente Técnico'!$Y$5:$Y$1000,$N95),""),IF(INDEX('Cronograma Asistente Técnico'!$G$5:$G$1000,$N95)="","",INDEX('Cronograma Asistente Técnico'!$G$5:$G$1000,$N95))))</f>
        <v/>
      </c>
      <c r="G95" s="68">
        <f>IF($N95="","",IF($P95&gt;0,IF(2&lt;=SemanaActual,INDEX('Cronograma Asistente Técnico'!$Z$5:$Z$1000,$N95),""),IF(INDEX('Cronograma Asistente Técnico'!$H$5:$H$1000,$N95)="","",INDEX('Cronograma Asistente Técnico'!$H$5:$H$1000,$N95))))</f>
        <v/>
      </c>
      <c r="H95" s="68">
        <f>IF($N95="","",IF($P95&gt;0,IF(3&lt;=SemanaActual,INDEX('Cronograma Asistente Técnico'!$AA$5:$AA$1000,$N95),""),IF(INDEX('Cronograma Asistente Técnico'!$I$5:$I$1000,$N95)="","",INDEX('Cronograma Asistente Técnico'!$I$5:$I$1000,$N95))))</f>
        <v/>
      </c>
      <c r="I95" s="68">
        <f>IF($N95="","",IF($P95&gt;0,IF(4&lt;=SemanaActual,INDEX('Cronograma Asistente Técnico'!$AB$5:$AB$1000,$N95),""),IF(INDEX('Cronograma Asistente Técnico'!$J$5:$J$1000,$N95)="","",INDEX('Cronograma Asistente Técnico'!$J$5:$J$1000,$N95))))</f>
        <v/>
      </c>
      <c r="J95" s="68">
        <f>IF($N95="","",INDEX('Cronograma Asistente Técnico'!$K$5:$K$1000,$N95))</f>
        <v/>
      </c>
      <c r="K95" s="62">
        <f>IF($N95="","",IF(N($J95)&gt;=1,"Completado",IF(AND(ISNUMBER($D95),$D95&lt;FechaRef),"Vencida",IF(N($J95)&gt;0,"En curso","Pendiente"))))</f>
        <v/>
      </c>
      <c r="L95" s="62">
        <f>IF($N95="","",INDEX('Cronograma Asistente Técnico'!$M$5:$M$1000,$N95)&amp;"")</f>
        <v/>
      </c>
      <c r="M95" s="71">
        <f>IF($N95="","",INDEX('Cronograma Asistente Técnico'!$N$5:$N$1000,$N95)&amp;"")</f>
        <v/>
      </c>
      <c r="N95">
        <f>IFERROR(MATCH(ROW()-4,rOrden_ATR,0),"")</f>
        <v/>
      </c>
      <c r="O95">
        <f>IF($N95="","",INDEX('Cronograma Asistente Técnico'!$S$5:$S$1000,$N95))</f>
        <v/>
      </c>
      <c r="P95">
        <f>IF($N95="","",N(INDEX('Cronograma Asistente Técnico'!$T$5:$T$1000,$N95)))</f>
        <v/>
      </c>
    </row>
    <row r="96">
      <c r="A96" s="62">
        <f>IF($N96="","",INDEX('Cronograma Asistente Técnico'!$A$5:$A$1000,$N96))</f>
        <v/>
      </c>
      <c r="B96" s="71">
        <f>IF($N96="","",IF($O96="Sub","      ↳  "&amp;INDEX('Cronograma Asistente Técnico'!$C$5:$C$1000,$N96),INDEX('Cronograma Asistente Técnico'!$C$5:$C$1000,$N96)&amp;""))</f>
        <v/>
      </c>
      <c r="C96" s="77">
        <f>IF($N96="","",IF(INDEX('Cronograma Asistente Técnico'!$D$5:$D$1000,$N96)="","",INDEX('Cronograma Asistente Técnico'!$D$5:$D$1000,$N96)))</f>
        <v/>
      </c>
      <c r="D96" s="77">
        <f>IF($N96="","",IF(INDEX('Cronograma Asistente Técnico'!$E$5:$E$1000,$N96)="","",INDEX('Cronograma Asistente Técnico'!$E$5:$E$1000,$N96)))</f>
        <v/>
      </c>
      <c r="E96" s="62">
        <f>IF($N96="","",IF(NOT(ISNUMBER($D96)),"",IF($D96&lt;InicioCiclo,"Antes del ciclo",IF($D96&gt;=InicioCiclo+28,"Después del ciclo","Semana "&amp;(INT(($D96-InicioCiclo)/7)+1)))))</f>
        <v/>
      </c>
      <c r="F96" s="68">
        <f>IF($N96="","",IF($P96&gt;0,IF(1&lt;=SemanaActual,INDEX('Cronograma Asistente Técnico'!$Y$5:$Y$1000,$N96),""),IF(INDEX('Cronograma Asistente Técnico'!$G$5:$G$1000,$N96)="","",INDEX('Cronograma Asistente Técnico'!$G$5:$G$1000,$N96))))</f>
        <v/>
      </c>
      <c r="G96" s="68">
        <f>IF($N96="","",IF($P96&gt;0,IF(2&lt;=SemanaActual,INDEX('Cronograma Asistente Técnico'!$Z$5:$Z$1000,$N96),""),IF(INDEX('Cronograma Asistente Técnico'!$H$5:$H$1000,$N96)="","",INDEX('Cronograma Asistente Técnico'!$H$5:$H$1000,$N96))))</f>
        <v/>
      </c>
      <c r="H96" s="68">
        <f>IF($N96="","",IF($P96&gt;0,IF(3&lt;=SemanaActual,INDEX('Cronograma Asistente Técnico'!$AA$5:$AA$1000,$N96),""),IF(INDEX('Cronograma Asistente Técnico'!$I$5:$I$1000,$N96)="","",INDEX('Cronograma Asistente Técnico'!$I$5:$I$1000,$N96))))</f>
        <v/>
      </c>
      <c r="I96" s="68">
        <f>IF($N96="","",IF($P96&gt;0,IF(4&lt;=SemanaActual,INDEX('Cronograma Asistente Técnico'!$AB$5:$AB$1000,$N96),""),IF(INDEX('Cronograma Asistente Técnico'!$J$5:$J$1000,$N96)="","",INDEX('Cronograma Asistente Técnico'!$J$5:$J$1000,$N96))))</f>
        <v/>
      </c>
      <c r="J96" s="68">
        <f>IF($N96="","",INDEX('Cronograma Asistente Técnico'!$K$5:$K$1000,$N96))</f>
        <v/>
      </c>
      <c r="K96" s="62">
        <f>IF($N96="","",IF(N($J96)&gt;=1,"Completado",IF(AND(ISNUMBER($D96),$D96&lt;FechaRef),"Vencida",IF(N($J96)&gt;0,"En curso","Pendiente"))))</f>
        <v/>
      </c>
      <c r="L96" s="62">
        <f>IF($N96="","",INDEX('Cronograma Asistente Técnico'!$M$5:$M$1000,$N96)&amp;"")</f>
        <v/>
      </c>
      <c r="M96" s="71">
        <f>IF($N96="","",INDEX('Cronograma Asistente Técnico'!$N$5:$N$1000,$N96)&amp;"")</f>
        <v/>
      </c>
      <c r="N96">
        <f>IFERROR(MATCH(ROW()-4,rOrden_ATR,0),"")</f>
        <v/>
      </c>
      <c r="O96">
        <f>IF($N96="","",INDEX('Cronograma Asistente Técnico'!$S$5:$S$1000,$N96))</f>
        <v/>
      </c>
      <c r="P96">
        <f>IF($N96="","",N(INDEX('Cronograma Asistente Técnico'!$T$5:$T$1000,$N96)))</f>
        <v/>
      </c>
    </row>
    <row r="97">
      <c r="A97" s="62">
        <f>IF($N97="","",INDEX('Cronograma Asistente Técnico'!$A$5:$A$1000,$N97))</f>
        <v/>
      </c>
      <c r="B97" s="71">
        <f>IF($N97="","",IF($O97="Sub","      ↳  "&amp;INDEX('Cronograma Asistente Técnico'!$C$5:$C$1000,$N97),INDEX('Cronograma Asistente Técnico'!$C$5:$C$1000,$N97)&amp;""))</f>
        <v/>
      </c>
      <c r="C97" s="77">
        <f>IF($N97="","",IF(INDEX('Cronograma Asistente Técnico'!$D$5:$D$1000,$N97)="","",INDEX('Cronograma Asistente Técnico'!$D$5:$D$1000,$N97)))</f>
        <v/>
      </c>
      <c r="D97" s="77">
        <f>IF($N97="","",IF(INDEX('Cronograma Asistente Técnico'!$E$5:$E$1000,$N97)="","",INDEX('Cronograma Asistente Técnico'!$E$5:$E$1000,$N97)))</f>
        <v/>
      </c>
      <c r="E97" s="62">
        <f>IF($N97="","",IF(NOT(ISNUMBER($D97)),"",IF($D97&lt;InicioCiclo,"Antes del ciclo",IF($D97&gt;=InicioCiclo+28,"Después del ciclo","Semana "&amp;(INT(($D97-InicioCiclo)/7)+1)))))</f>
        <v/>
      </c>
      <c r="F97" s="68">
        <f>IF($N97="","",IF($P97&gt;0,IF(1&lt;=SemanaActual,INDEX('Cronograma Asistente Técnico'!$Y$5:$Y$1000,$N97),""),IF(INDEX('Cronograma Asistente Técnico'!$G$5:$G$1000,$N97)="","",INDEX('Cronograma Asistente Técnico'!$G$5:$G$1000,$N97))))</f>
        <v/>
      </c>
      <c r="G97" s="68">
        <f>IF($N97="","",IF($P97&gt;0,IF(2&lt;=SemanaActual,INDEX('Cronograma Asistente Técnico'!$Z$5:$Z$1000,$N97),""),IF(INDEX('Cronograma Asistente Técnico'!$H$5:$H$1000,$N97)="","",INDEX('Cronograma Asistente Técnico'!$H$5:$H$1000,$N97))))</f>
        <v/>
      </c>
      <c r="H97" s="68">
        <f>IF($N97="","",IF($P97&gt;0,IF(3&lt;=SemanaActual,INDEX('Cronograma Asistente Técnico'!$AA$5:$AA$1000,$N97),""),IF(INDEX('Cronograma Asistente Técnico'!$I$5:$I$1000,$N97)="","",INDEX('Cronograma Asistente Técnico'!$I$5:$I$1000,$N97))))</f>
        <v/>
      </c>
      <c r="I97" s="68">
        <f>IF($N97="","",IF($P97&gt;0,IF(4&lt;=SemanaActual,INDEX('Cronograma Asistente Técnico'!$AB$5:$AB$1000,$N97),""),IF(INDEX('Cronograma Asistente Técnico'!$J$5:$J$1000,$N97)="","",INDEX('Cronograma Asistente Técnico'!$J$5:$J$1000,$N97))))</f>
        <v/>
      </c>
      <c r="J97" s="68">
        <f>IF($N97="","",INDEX('Cronograma Asistente Técnico'!$K$5:$K$1000,$N97))</f>
        <v/>
      </c>
      <c r="K97" s="62">
        <f>IF($N97="","",IF(N($J97)&gt;=1,"Completado",IF(AND(ISNUMBER($D97),$D97&lt;FechaRef),"Vencida",IF(N($J97)&gt;0,"En curso","Pendiente"))))</f>
        <v/>
      </c>
      <c r="L97" s="62">
        <f>IF($N97="","",INDEX('Cronograma Asistente Técnico'!$M$5:$M$1000,$N97)&amp;"")</f>
        <v/>
      </c>
      <c r="M97" s="71">
        <f>IF($N97="","",INDEX('Cronograma Asistente Técnico'!$N$5:$N$1000,$N97)&amp;"")</f>
        <v/>
      </c>
      <c r="N97">
        <f>IFERROR(MATCH(ROW()-4,rOrden_ATR,0),"")</f>
        <v/>
      </c>
      <c r="O97">
        <f>IF($N97="","",INDEX('Cronograma Asistente Técnico'!$S$5:$S$1000,$N97))</f>
        <v/>
      </c>
      <c r="P97">
        <f>IF($N97="","",N(INDEX('Cronograma Asistente Técnico'!$T$5:$T$1000,$N97)))</f>
        <v/>
      </c>
    </row>
    <row r="98">
      <c r="A98" s="62">
        <f>IF($N98="","",INDEX('Cronograma Asistente Técnico'!$A$5:$A$1000,$N98))</f>
        <v/>
      </c>
      <c r="B98" s="71">
        <f>IF($N98="","",IF($O98="Sub","      ↳  "&amp;INDEX('Cronograma Asistente Técnico'!$C$5:$C$1000,$N98),INDEX('Cronograma Asistente Técnico'!$C$5:$C$1000,$N98)&amp;""))</f>
        <v/>
      </c>
      <c r="C98" s="77">
        <f>IF($N98="","",IF(INDEX('Cronograma Asistente Técnico'!$D$5:$D$1000,$N98)="","",INDEX('Cronograma Asistente Técnico'!$D$5:$D$1000,$N98)))</f>
        <v/>
      </c>
      <c r="D98" s="77">
        <f>IF($N98="","",IF(INDEX('Cronograma Asistente Técnico'!$E$5:$E$1000,$N98)="","",INDEX('Cronograma Asistente Técnico'!$E$5:$E$1000,$N98)))</f>
        <v/>
      </c>
      <c r="E98" s="62">
        <f>IF($N98="","",IF(NOT(ISNUMBER($D98)),"",IF($D98&lt;InicioCiclo,"Antes del ciclo",IF($D98&gt;=InicioCiclo+28,"Después del ciclo","Semana "&amp;(INT(($D98-InicioCiclo)/7)+1)))))</f>
        <v/>
      </c>
      <c r="F98" s="68">
        <f>IF($N98="","",IF($P98&gt;0,IF(1&lt;=SemanaActual,INDEX('Cronograma Asistente Técnico'!$Y$5:$Y$1000,$N98),""),IF(INDEX('Cronograma Asistente Técnico'!$G$5:$G$1000,$N98)="","",INDEX('Cronograma Asistente Técnico'!$G$5:$G$1000,$N98))))</f>
        <v/>
      </c>
      <c r="G98" s="68">
        <f>IF($N98="","",IF($P98&gt;0,IF(2&lt;=SemanaActual,INDEX('Cronograma Asistente Técnico'!$Z$5:$Z$1000,$N98),""),IF(INDEX('Cronograma Asistente Técnico'!$H$5:$H$1000,$N98)="","",INDEX('Cronograma Asistente Técnico'!$H$5:$H$1000,$N98))))</f>
        <v/>
      </c>
      <c r="H98" s="68">
        <f>IF($N98="","",IF($P98&gt;0,IF(3&lt;=SemanaActual,INDEX('Cronograma Asistente Técnico'!$AA$5:$AA$1000,$N98),""),IF(INDEX('Cronograma Asistente Técnico'!$I$5:$I$1000,$N98)="","",INDEX('Cronograma Asistente Técnico'!$I$5:$I$1000,$N98))))</f>
        <v/>
      </c>
      <c r="I98" s="68">
        <f>IF($N98="","",IF($P98&gt;0,IF(4&lt;=SemanaActual,INDEX('Cronograma Asistente Técnico'!$AB$5:$AB$1000,$N98),""),IF(INDEX('Cronograma Asistente Técnico'!$J$5:$J$1000,$N98)="","",INDEX('Cronograma Asistente Técnico'!$J$5:$J$1000,$N98))))</f>
        <v/>
      </c>
      <c r="J98" s="68">
        <f>IF($N98="","",INDEX('Cronograma Asistente Técnico'!$K$5:$K$1000,$N98))</f>
        <v/>
      </c>
      <c r="K98" s="62">
        <f>IF($N98="","",IF(N($J98)&gt;=1,"Completado",IF(AND(ISNUMBER($D98),$D98&lt;FechaRef),"Vencida",IF(N($J98)&gt;0,"En curso","Pendiente"))))</f>
        <v/>
      </c>
      <c r="L98" s="62">
        <f>IF($N98="","",INDEX('Cronograma Asistente Técnico'!$M$5:$M$1000,$N98)&amp;"")</f>
        <v/>
      </c>
      <c r="M98" s="71">
        <f>IF($N98="","",INDEX('Cronograma Asistente Técnico'!$N$5:$N$1000,$N98)&amp;"")</f>
        <v/>
      </c>
      <c r="N98">
        <f>IFERROR(MATCH(ROW()-4,rOrden_ATR,0),"")</f>
        <v/>
      </c>
      <c r="O98">
        <f>IF($N98="","",INDEX('Cronograma Asistente Técnico'!$S$5:$S$1000,$N98))</f>
        <v/>
      </c>
      <c r="P98">
        <f>IF($N98="","",N(INDEX('Cronograma Asistente Técnico'!$T$5:$T$1000,$N98)))</f>
        <v/>
      </c>
    </row>
    <row r="99">
      <c r="A99" s="62">
        <f>IF($N99="","",INDEX('Cronograma Asistente Técnico'!$A$5:$A$1000,$N99))</f>
        <v/>
      </c>
      <c r="B99" s="71">
        <f>IF($N99="","",IF($O99="Sub","      ↳  "&amp;INDEX('Cronograma Asistente Técnico'!$C$5:$C$1000,$N99),INDEX('Cronograma Asistente Técnico'!$C$5:$C$1000,$N99)&amp;""))</f>
        <v/>
      </c>
      <c r="C99" s="77">
        <f>IF($N99="","",IF(INDEX('Cronograma Asistente Técnico'!$D$5:$D$1000,$N99)="","",INDEX('Cronograma Asistente Técnico'!$D$5:$D$1000,$N99)))</f>
        <v/>
      </c>
      <c r="D99" s="77">
        <f>IF($N99="","",IF(INDEX('Cronograma Asistente Técnico'!$E$5:$E$1000,$N99)="","",INDEX('Cronograma Asistente Técnico'!$E$5:$E$1000,$N99)))</f>
        <v/>
      </c>
      <c r="E99" s="62">
        <f>IF($N99="","",IF(NOT(ISNUMBER($D99)),"",IF($D99&lt;InicioCiclo,"Antes del ciclo",IF($D99&gt;=InicioCiclo+28,"Después del ciclo","Semana "&amp;(INT(($D99-InicioCiclo)/7)+1)))))</f>
        <v/>
      </c>
      <c r="F99" s="68">
        <f>IF($N99="","",IF($P99&gt;0,IF(1&lt;=SemanaActual,INDEX('Cronograma Asistente Técnico'!$Y$5:$Y$1000,$N99),""),IF(INDEX('Cronograma Asistente Técnico'!$G$5:$G$1000,$N99)="","",INDEX('Cronograma Asistente Técnico'!$G$5:$G$1000,$N99))))</f>
        <v/>
      </c>
      <c r="G99" s="68">
        <f>IF($N99="","",IF($P99&gt;0,IF(2&lt;=SemanaActual,INDEX('Cronograma Asistente Técnico'!$Z$5:$Z$1000,$N99),""),IF(INDEX('Cronograma Asistente Técnico'!$H$5:$H$1000,$N99)="","",INDEX('Cronograma Asistente Técnico'!$H$5:$H$1000,$N99))))</f>
        <v/>
      </c>
      <c r="H99" s="68">
        <f>IF($N99="","",IF($P99&gt;0,IF(3&lt;=SemanaActual,INDEX('Cronograma Asistente Técnico'!$AA$5:$AA$1000,$N99),""),IF(INDEX('Cronograma Asistente Técnico'!$I$5:$I$1000,$N99)="","",INDEX('Cronograma Asistente Técnico'!$I$5:$I$1000,$N99))))</f>
        <v/>
      </c>
      <c r="I99" s="68">
        <f>IF($N99="","",IF($P99&gt;0,IF(4&lt;=SemanaActual,INDEX('Cronograma Asistente Técnico'!$AB$5:$AB$1000,$N99),""),IF(INDEX('Cronograma Asistente Técnico'!$J$5:$J$1000,$N99)="","",INDEX('Cronograma Asistente Técnico'!$J$5:$J$1000,$N99))))</f>
        <v/>
      </c>
      <c r="J99" s="68">
        <f>IF($N99="","",INDEX('Cronograma Asistente Técnico'!$K$5:$K$1000,$N99))</f>
        <v/>
      </c>
      <c r="K99" s="62">
        <f>IF($N99="","",IF(N($J99)&gt;=1,"Completado",IF(AND(ISNUMBER($D99),$D99&lt;FechaRef),"Vencida",IF(N($J99)&gt;0,"En curso","Pendiente"))))</f>
        <v/>
      </c>
      <c r="L99" s="62">
        <f>IF($N99="","",INDEX('Cronograma Asistente Técnico'!$M$5:$M$1000,$N99)&amp;"")</f>
        <v/>
      </c>
      <c r="M99" s="71">
        <f>IF($N99="","",INDEX('Cronograma Asistente Técnico'!$N$5:$N$1000,$N99)&amp;"")</f>
        <v/>
      </c>
      <c r="N99">
        <f>IFERROR(MATCH(ROW()-4,rOrden_ATR,0),"")</f>
        <v/>
      </c>
      <c r="O99">
        <f>IF($N99="","",INDEX('Cronograma Asistente Técnico'!$S$5:$S$1000,$N99))</f>
        <v/>
      </c>
      <c r="P99">
        <f>IF($N99="","",N(INDEX('Cronograma Asistente Técnico'!$T$5:$T$1000,$N99)))</f>
        <v/>
      </c>
    </row>
    <row r="100">
      <c r="A100" s="62">
        <f>IF($N100="","",INDEX('Cronograma Asistente Técnico'!$A$5:$A$1000,$N100))</f>
        <v/>
      </c>
      <c r="B100" s="71">
        <f>IF($N100="","",IF($O100="Sub","      ↳  "&amp;INDEX('Cronograma Asistente Técnico'!$C$5:$C$1000,$N100),INDEX('Cronograma Asistente Técnico'!$C$5:$C$1000,$N100)&amp;""))</f>
        <v/>
      </c>
      <c r="C100" s="77">
        <f>IF($N100="","",IF(INDEX('Cronograma Asistente Técnico'!$D$5:$D$1000,$N100)="","",INDEX('Cronograma Asistente Técnico'!$D$5:$D$1000,$N100)))</f>
        <v/>
      </c>
      <c r="D100" s="77">
        <f>IF($N100="","",IF(INDEX('Cronograma Asistente Técnico'!$E$5:$E$1000,$N100)="","",INDEX('Cronograma Asistente Técnico'!$E$5:$E$1000,$N100)))</f>
        <v/>
      </c>
      <c r="E100" s="62">
        <f>IF($N100="","",IF(NOT(ISNUMBER($D100)),"",IF($D100&lt;InicioCiclo,"Antes del ciclo",IF($D100&gt;=InicioCiclo+28,"Después del ciclo","Semana "&amp;(INT(($D100-InicioCiclo)/7)+1)))))</f>
        <v/>
      </c>
      <c r="F100" s="68">
        <f>IF($N100="","",IF($P100&gt;0,IF(1&lt;=SemanaActual,INDEX('Cronograma Asistente Técnico'!$Y$5:$Y$1000,$N100),""),IF(INDEX('Cronograma Asistente Técnico'!$G$5:$G$1000,$N100)="","",INDEX('Cronograma Asistente Técnico'!$G$5:$G$1000,$N100))))</f>
        <v/>
      </c>
      <c r="G100" s="68">
        <f>IF($N100="","",IF($P100&gt;0,IF(2&lt;=SemanaActual,INDEX('Cronograma Asistente Técnico'!$Z$5:$Z$1000,$N100),""),IF(INDEX('Cronograma Asistente Técnico'!$H$5:$H$1000,$N100)="","",INDEX('Cronograma Asistente Técnico'!$H$5:$H$1000,$N100))))</f>
        <v/>
      </c>
      <c r="H100" s="68">
        <f>IF($N100="","",IF($P100&gt;0,IF(3&lt;=SemanaActual,INDEX('Cronograma Asistente Técnico'!$AA$5:$AA$1000,$N100),""),IF(INDEX('Cronograma Asistente Técnico'!$I$5:$I$1000,$N100)="","",INDEX('Cronograma Asistente Técnico'!$I$5:$I$1000,$N100))))</f>
        <v/>
      </c>
      <c r="I100" s="68">
        <f>IF($N100="","",IF($P100&gt;0,IF(4&lt;=SemanaActual,INDEX('Cronograma Asistente Técnico'!$AB$5:$AB$1000,$N100),""),IF(INDEX('Cronograma Asistente Técnico'!$J$5:$J$1000,$N100)="","",INDEX('Cronograma Asistente Técnico'!$J$5:$J$1000,$N100))))</f>
        <v/>
      </c>
      <c r="J100" s="68">
        <f>IF($N100="","",INDEX('Cronograma Asistente Técnico'!$K$5:$K$1000,$N100))</f>
        <v/>
      </c>
      <c r="K100" s="62">
        <f>IF($N100="","",IF(N($J100)&gt;=1,"Completado",IF(AND(ISNUMBER($D100),$D100&lt;FechaRef),"Vencida",IF(N($J100)&gt;0,"En curso","Pendiente"))))</f>
        <v/>
      </c>
      <c r="L100" s="62">
        <f>IF($N100="","",INDEX('Cronograma Asistente Técnico'!$M$5:$M$1000,$N100)&amp;"")</f>
        <v/>
      </c>
      <c r="M100" s="71">
        <f>IF($N100="","",INDEX('Cronograma Asistente Técnico'!$N$5:$N$1000,$N100)&amp;"")</f>
        <v/>
      </c>
      <c r="N100">
        <f>IFERROR(MATCH(ROW()-4,rOrden_ATR,0),"")</f>
        <v/>
      </c>
      <c r="O100">
        <f>IF($N100="","",INDEX('Cronograma Asistente Técnico'!$S$5:$S$1000,$N100))</f>
        <v/>
      </c>
      <c r="P100">
        <f>IF($N100="","",N(INDEX('Cronograma Asistente Técnico'!$T$5:$T$1000,$N100)))</f>
        <v/>
      </c>
    </row>
    <row r="101">
      <c r="A101" s="62">
        <f>IF($N101="","",INDEX('Cronograma Asistente Técnico'!$A$5:$A$1000,$N101))</f>
        <v/>
      </c>
      <c r="B101" s="71">
        <f>IF($N101="","",IF($O101="Sub","      ↳  "&amp;INDEX('Cronograma Asistente Técnico'!$C$5:$C$1000,$N101),INDEX('Cronograma Asistente Técnico'!$C$5:$C$1000,$N101)&amp;""))</f>
        <v/>
      </c>
      <c r="C101" s="77">
        <f>IF($N101="","",IF(INDEX('Cronograma Asistente Técnico'!$D$5:$D$1000,$N101)="","",INDEX('Cronograma Asistente Técnico'!$D$5:$D$1000,$N101)))</f>
        <v/>
      </c>
      <c r="D101" s="77">
        <f>IF($N101="","",IF(INDEX('Cronograma Asistente Técnico'!$E$5:$E$1000,$N101)="","",INDEX('Cronograma Asistente Técnico'!$E$5:$E$1000,$N101)))</f>
        <v/>
      </c>
      <c r="E101" s="62">
        <f>IF($N101="","",IF(NOT(ISNUMBER($D101)),"",IF($D101&lt;InicioCiclo,"Antes del ciclo",IF($D101&gt;=InicioCiclo+28,"Después del ciclo","Semana "&amp;(INT(($D101-InicioCiclo)/7)+1)))))</f>
        <v/>
      </c>
      <c r="F101" s="68">
        <f>IF($N101="","",IF($P101&gt;0,IF(1&lt;=SemanaActual,INDEX('Cronograma Asistente Técnico'!$Y$5:$Y$1000,$N101),""),IF(INDEX('Cronograma Asistente Técnico'!$G$5:$G$1000,$N101)="","",INDEX('Cronograma Asistente Técnico'!$G$5:$G$1000,$N101))))</f>
        <v/>
      </c>
      <c r="G101" s="68">
        <f>IF($N101="","",IF($P101&gt;0,IF(2&lt;=SemanaActual,INDEX('Cronograma Asistente Técnico'!$Z$5:$Z$1000,$N101),""),IF(INDEX('Cronograma Asistente Técnico'!$H$5:$H$1000,$N101)="","",INDEX('Cronograma Asistente Técnico'!$H$5:$H$1000,$N101))))</f>
        <v/>
      </c>
      <c r="H101" s="68">
        <f>IF($N101="","",IF($P101&gt;0,IF(3&lt;=SemanaActual,INDEX('Cronograma Asistente Técnico'!$AA$5:$AA$1000,$N101),""),IF(INDEX('Cronograma Asistente Técnico'!$I$5:$I$1000,$N101)="","",INDEX('Cronograma Asistente Técnico'!$I$5:$I$1000,$N101))))</f>
        <v/>
      </c>
      <c r="I101" s="68">
        <f>IF($N101="","",IF($P101&gt;0,IF(4&lt;=SemanaActual,INDEX('Cronograma Asistente Técnico'!$AB$5:$AB$1000,$N101),""),IF(INDEX('Cronograma Asistente Técnico'!$J$5:$J$1000,$N101)="","",INDEX('Cronograma Asistente Técnico'!$J$5:$J$1000,$N101))))</f>
        <v/>
      </c>
      <c r="J101" s="68">
        <f>IF($N101="","",INDEX('Cronograma Asistente Técnico'!$K$5:$K$1000,$N101))</f>
        <v/>
      </c>
      <c r="K101" s="62">
        <f>IF($N101="","",IF(N($J101)&gt;=1,"Completado",IF(AND(ISNUMBER($D101),$D101&lt;FechaRef),"Vencida",IF(N($J101)&gt;0,"En curso","Pendiente"))))</f>
        <v/>
      </c>
      <c r="L101" s="62">
        <f>IF($N101="","",INDEX('Cronograma Asistente Técnico'!$M$5:$M$1000,$N101)&amp;"")</f>
        <v/>
      </c>
      <c r="M101" s="71">
        <f>IF($N101="","",INDEX('Cronograma Asistente Técnico'!$N$5:$N$1000,$N101)&amp;"")</f>
        <v/>
      </c>
      <c r="N101">
        <f>IFERROR(MATCH(ROW()-4,rOrden_ATR,0),"")</f>
        <v/>
      </c>
      <c r="O101">
        <f>IF($N101="","",INDEX('Cronograma Asistente Técnico'!$S$5:$S$1000,$N101))</f>
        <v/>
      </c>
      <c r="P101">
        <f>IF($N101="","",N(INDEX('Cronograma Asistente Técnico'!$T$5:$T$1000,$N101)))</f>
        <v/>
      </c>
    </row>
    <row r="102">
      <c r="A102" s="62">
        <f>IF($N102="","",INDEX('Cronograma Asistente Técnico'!$A$5:$A$1000,$N102))</f>
        <v/>
      </c>
      <c r="B102" s="71">
        <f>IF($N102="","",IF($O102="Sub","      ↳  "&amp;INDEX('Cronograma Asistente Técnico'!$C$5:$C$1000,$N102),INDEX('Cronograma Asistente Técnico'!$C$5:$C$1000,$N102)&amp;""))</f>
        <v/>
      </c>
      <c r="C102" s="77">
        <f>IF($N102="","",IF(INDEX('Cronograma Asistente Técnico'!$D$5:$D$1000,$N102)="","",INDEX('Cronograma Asistente Técnico'!$D$5:$D$1000,$N102)))</f>
        <v/>
      </c>
      <c r="D102" s="77">
        <f>IF($N102="","",IF(INDEX('Cronograma Asistente Técnico'!$E$5:$E$1000,$N102)="","",INDEX('Cronograma Asistente Técnico'!$E$5:$E$1000,$N102)))</f>
        <v/>
      </c>
      <c r="E102" s="62">
        <f>IF($N102="","",IF(NOT(ISNUMBER($D102)),"",IF($D102&lt;InicioCiclo,"Antes del ciclo",IF($D102&gt;=InicioCiclo+28,"Después del ciclo","Semana "&amp;(INT(($D102-InicioCiclo)/7)+1)))))</f>
        <v/>
      </c>
      <c r="F102" s="68">
        <f>IF($N102="","",IF($P102&gt;0,IF(1&lt;=SemanaActual,INDEX('Cronograma Asistente Técnico'!$Y$5:$Y$1000,$N102),""),IF(INDEX('Cronograma Asistente Técnico'!$G$5:$G$1000,$N102)="","",INDEX('Cronograma Asistente Técnico'!$G$5:$G$1000,$N102))))</f>
        <v/>
      </c>
      <c r="G102" s="68">
        <f>IF($N102="","",IF($P102&gt;0,IF(2&lt;=SemanaActual,INDEX('Cronograma Asistente Técnico'!$Z$5:$Z$1000,$N102),""),IF(INDEX('Cronograma Asistente Técnico'!$H$5:$H$1000,$N102)="","",INDEX('Cronograma Asistente Técnico'!$H$5:$H$1000,$N102))))</f>
        <v/>
      </c>
      <c r="H102" s="68">
        <f>IF($N102="","",IF($P102&gt;0,IF(3&lt;=SemanaActual,INDEX('Cronograma Asistente Técnico'!$AA$5:$AA$1000,$N102),""),IF(INDEX('Cronograma Asistente Técnico'!$I$5:$I$1000,$N102)="","",INDEX('Cronograma Asistente Técnico'!$I$5:$I$1000,$N102))))</f>
        <v/>
      </c>
      <c r="I102" s="68">
        <f>IF($N102="","",IF($P102&gt;0,IF(4&lt;=SemanaActual,INDEX('Cronograma Asistente Técnico'!$AB$5:$AB$1000,$N102),""),IF(INDEX('Cronograma Asistente Técnico'!$J$5:$J$1000,$N102)="","",INDEX('Cronograma Asistente Técnico'!$J$5:$J$1000,$N102))))</f>
        <v/>
      </c>
      <c r="J102" s="68">
        <f>IF($N102="","",INDEX('Cronograma Asistente Técnico'!$K$5:$K$1000,$N102))</f>
        <v/>
      </c>
      <c r="K102" s="62">
        <f>IF($N102="","",IF(N($J102)&gt;=1,"Completado",IF(AND(ISNUMBER($D102),$D102&lt;FechaRef),"Vencida",IF(N($J102)&gt;0,"En curso","Pendiente"))))</f>
        <v/>
      </c>
      <c r="L102" s="62">
        <f>IF($N102="","",INDEX('Cronograma Asistente Técnico'!$M$5:$M$1000,$N102)&amp;"")</f>
        <v/>
      </c>
      <c r="M102" s="71">
        <f>IF($N102="","",INDEX('Cronograma Asistente Técnico'!$N$5:$N$1000,$N102)&amp;"")</f>
        <v/>
      </c>
      <c r="N102">
        <f>IFERROR(MATCH(ROW()-4,rOrden_ATR,0),"")</f>
        <v/>
      </c>
      <c r="O102">
        <f>IF($N102="","",INDEX('Cronograma Asistente Técnico'!$S$5:$S$1000,$N102))</f>
        <v/>
      </c>
      <c r="P102">
        <f>IF($N102="","",N(INDEX('Cronograma Asistente Técnico'!$T$5:$T$1000,$N102)))</f>
        <v/>
      </c>
    </row>
    <row r="103">
      <c r="A103" s="62">
        <f>IF($N103="","",INDEX('Cronograma Asistente Técnico'!$A$5:$A$1000,$N103))</f>
        <v/>
      </c>
      <c r="B103" s="71">
        <f>IF($N103="","",IF($O103="Sub","      ↳  "&amp;INDEX('Cronograma Asistente Técnico'!$C$5:$C$1000,$N103),INDEX('Cronograma Asistente Técnico'!$C$5:$C$1000,$N103)&amp;""))</f>
        <v/>
      </c>
      <c r="C103" s="77">
        <f>IF($N103="","",IF(INDEX('Cronograma Asistente Técnico'!$D$5:$D$1000,$N103)="","",INDEX('Cronograma Asistente Técnico'!$D$5:$D$1000,$N103)))</f>
        <v/>
      </c>
      <c r="D103" s="77">
        <f>IF($N103="","",IF(INDEX('Cronograma Asistente Técnico'!$E$5:$E$1000,$N103)="","",INDEX('Cronograma Asistente Técnico'!$E$5:$E$1000,$N103)))</f>
        <v/>
      </c>
      <c r="E103" s="62">
        <f>IF($N103="","",IF(NOT(ISNUMBER($D103)),"",IF($D103&lt;InicioCiclo,"Antes del ciclo",IF($D103&gt;=InicioCiclo+28,"Después del ciclo","Semana "&amp;(INT(($D103-InicioCiclo)/7)+1)))))</f>
        <v/>
      </c>
      <c r="F103" s="68">
        <f>IF($N103="","",IF($P103&gt;0,IF(1&lt;=SemanaActual,INDEX('Cronograma Asistente Técnico'!$Y$5:$Y$1000,$N103),""),IF(INDEX('Cronograma Asistente Técnico'!$G$5:$G$1000,$N103)="","",INDEX('Cronograma Asistente Técnico'!$G$5:$G$1000,$N103))))</f>
        <v/>
      </c>
      <c r="G103" s="68">
        <f>IF($N103="","",IF($P103&gt;0,IF(2&lt;=SemanaActual,INDEX('Cronograma Asistente Técnico'!$Z$5:$Z$1000,$N103),""),IF(INDEX('Cronograma Asistente Técnico'!$H$5:$H$1000,$N103)="","",INDEX('Cronograma Asistente Técnico'!$H$5:$H$1000,$N103))))</f>
        <v/>
      </c>
      <c r="H103" s="68">
        <f>IF($N103="","",IF($P103&gt;0,IF(3&lt;=SemanaActual,INDEX('Cronograma Asistente Técnico'!$AA$5:$AA$1000,$N103),""),IF(INDEX('Cronograma Asistente Técnico'!$I$5:$I$1000,$N103)="","",INDEX('Cronograma Asistente Técnico'!$I$5:$I$1000,$N103))))</f>
        <v/>
      </c>
      <c r="I103" s="68">
        <f>IF($N103="","",IF($P103&gt;0,IF(4&lt;=SemanaActual,INDEX('Cronograma Asistente Técnico'!$AB$5:$AB$1000,$N103),""),IF(INDEX('Cronograma Asistente Técnico'!$J$5:$J$1000,$N103)="","",INDEX('Cronograma Asistente Técnico'!$J$5:$J$1000,$N103))))</f>
        <v/>
      </c>
      <c r="J103" s="68">
        <f>IF($N103="","",INDEX('Cronograma Asistente Técnico'!$K$5:$K$1000,$N103))</f>
        <v/>
      </c>
      <c r="K103" s="62">
        <f>IF($N103="","",IF(N($J103)&gt;=1,"Completado",IF(AND(ISNUMBER($D103),$D103&lt;FechaRef),"Vencida",IF(N($J103)&gt;0,"En curso","Pendiente"))))</f>
        <v/>
      </c>
      <c r="L103" s="62">
        <f>IF($N103="","",INDEX('Cronograma Asistente Técnico'!$M$5:$M$1000,$N103)&amp;"")</f>
        <v/>
      </c>
      <c r="M103" s="71">
        <f>IF($N103="","",INDEX('Cronograma Asistente Técnico'!$N$5:$N$1000,$N103)&amp;"")</f>
        <v/>
      </c>
      <c r="N103">
        <f>IFERROR(MATCH(ROW()-4,rOrden_ATR,0),"")</f>
        <v/>
      </c>
      <c r="O103">
        <f>IF($N103="","",INDEX('Cronograma Asistente Técnico'!$S$5:$S$1000,$N103))</f>
        <v/>
      </c>
      <c r="P103">
        <f>IF($N103="","",N(INDEX('Cronograma Asistente Técnico'!$T$5:$T$1000,$N103)))</f>
        <v/>
      </c>
    </row>
    <row r="104">
      <c r="A104" s="62">
        <f>IF($N104="","",INDEX('Cronograma Asistente Técnico'!$A$5:$A$1000,$N104))</f>
        <v/>
      </c>
      <c r="B104" s="71">
        <f>IF($N104="","",IF($O104="Sub","      ↳  "&amp;INDEX('Cronograma Asistente Técnico'!$C$5:$C$1000,$N104),INDEX('Cronograma Asistente Técnico'!$C$5:$C$1000,$N104)&amp;""))</f>
        <v/>
      </c>
      <c r="C104" s="77">
        <f>IF($N104="","",IF(INDEX('Cronograma Asistente Técnico'!$D$5:$D$1000,$N104)="","",INDEX('Cronograma Asistente Técnico'!$D$5:$D$1000,$N104)))</f>
        <v/>
      </c>
      <c r="D104" s="77">
        <f>IF($N104="","",IF(INDEX('Cronograma Asistente Técnico'!$E$5:$E$1000,$N104)="","",INDEX('Cronograma Asistente Técnico'!$E$5:$E$1000,$N104)))</f>
        <v/>
      </c>
      <c r="E104" s="62">
        <f>IF($N104="","",IF(NOT(ISNUMBER($D104)),"",IF($D104&lt;InicioCiclo,"Antes del ciclo",IF($D104&gt;=InicioCiclo+28,"Después del ciclo","Semana "&amp;(INT(($D104-InicioCiclo)/7)+1)))))</f>
        <v/>
      </c>
      <c r="F104" s="68">
        <f>IF($N104="","",IF($P104&gt;0,IF(1&lt;=SemanaActual,INDEX('Cronograma Asistente Técnico'!$Y$5:$Y$1000,$N104),""),IF(INDEX('Cronograma Asistente Técnico'!$G$5:$G$1000,$N104)="","",INDEX('Cronograma Asistente Técnico'!$G$5:$G$1000,$N104))))</f>
        <v/>
      </c>
      <c r="G104" s="68">
        <f>IF($N104="","",IF($P104&gt;0,IF(2&lt;=SemanaActual,INDEX('Cronograma Asistente Técnico'!$Z$5:$Z$1000,$N104),""),IF(INDEX('Cronograma Asistente Técnico'!$H$5:$H$1000,$N104)="","",INDEX('Cronograma Asistente Técnico'!$H$5:$H$1000,$N104))))</f>
        <v/>
      </c>
      <c r="H104" s="68">
        <f>IF($N104="","",IF($P104&gt;0,IF(3&lt;=SemanaActual,INDEX('Cronograma Asistente Técnico'!$AA$5:$AA$1000,$N104),""),IF(INDEX('Cronograma Asistente Técnico'!$I$5:$I$1000,$N104)="","",INDEX('Cronograma Asistente Técnico'!$I$5:$I$1000,$N104))))</f>
        <v/>
      </c>
      <c r="I104" s="68">
        <f>IF($N104="","",IF($P104&gt;0,IF(4&lt;=SemanaActual,INDEX('Cronograma Asistente Técnico'!$AB$5:$AB$1000,$N104),""),IF(INDEX('Cronograma Asistente Técnico'!$J$5:$J$1000,$N104)="","",INDEX('Cronograma Asistente Técnico'!$J$5:$J$1000,$N104))))</f>
        <v/>
      </c>
      <c r="J104" s="68">
        <f>IF($N104="","",INDEX('Cronograma Asistente Técnico'!$K$5:$K$1000,$N104))</f>
        <v/>
      </c>
      <c r="K104" s="62">
        <f>IF($N104="","",IF(N($J104)&gt;=1,"Completado",IF(AND(ISNUMBER($D104),$D104&lt;FechaRef),"Vencida",IF(N($J104)&gt;0,"En curso","Pendiente"))))</f>
        <v/>
      </c>
      <c r="L104" s="62">
        <f>IF($N104="","",INDEX('Cronograma Asistente Técnico'!$M$5:$M$1000,$N104)&amp;"")</f>
        <v/>
      </c>
      <c r="M104" s="71">
        <f>IF($N104="","",INDEX('Cronograma Asistente Técnico'!$N$5:$N$1000,$N104)&amp;"")</f>
        <v/>
      </c>
      <c r="N104">
        <f>IFERROR(MATCH(ROW()-4,rOrden_ATR,0),"")</f>
        <v/>
      </c>
      <c r="O104">
        <f>IF($N104="","",INDEX('Cronograma Asistente Técnico'!$S$5:$S$1000,$N104))</f>
        <v/>
      </c>
      <c r="P104">
        <f>IF($N104="","",N(INDEX('Cronograma Asistente Técnico'!$T$5:$T$1000,$N104)))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M2"/>
    <mergeCell ref="A1:M1"/>
  </mergeCells>
  <conditionalFormatting sqref="F5:I104">
    <cfRule type="expression" priority="1" dxfId="6" stopIfTrue="1">
      <formula>AND(AND(ISNUMBER($C5),ISNUMBER($D5),$C5&lt;=InicioCiclo+7*(COLUMN(F5)-6)+6,$D5&gt;=InicioCiclo+7*(COLUMN(F5)-6)),$K5="Vencida")</formula>
    </cfRule>
    <cfRule type="expression" priority="2" dxfId="24">
      <formula>AND(ISNUMBER($C5),ISNUMBER($D5),$C5&lt;=InicioCiclo+7*(COLUMN(F5)-6)+6,$D5&gt;=InicioCiclo+7*(COLUMN(F5)-6))</formula>
    </cfRule>
  </conditionalFormatting>
  <conditionalFormatting sqref="A5:B104">
    <cfRule type="expression" priority="3" dxfId="23">
      <formula>$O5="Macro"</formula>
    </cfRule>
  </conditionalFormatting>
  <conditionalFormatting sqref="K5:K104">
    <cfRule type="expression" priority="4" dxfId="0">
      <formula>$K5="Completado"</formula>
    </cfRule>
    <cfRule type="expression" priority="5" dxfId="6">
      <formula>$K5="Vencida"</formula>
    </cfRule>
    <cfRule type="expression" priority="6" dxfId="4">
      <formula>$K5="En curso"</formula>
    </cfRule>
    <cfRule type="expression" priority="7" dxfId="5">
      <formula>$K5="Pendiente"</formula>
    </cfRule>
  </conditionalFormatting>
  <conditionalFormatting sqref="L5:L104">
    <cfRule type="expression" priority="8" dxfId="8" stopIfTrue="1">
      <formula>LEFT($L5,7)="Vencida"</formula>
    </cfRule>
    <cfRule type="expression" priority="9" dxfId="9" stopIfTrue="1">
      <formula>LEFT($L5,5)="Vence"</formula>
    </cfRule>
    <cfRule type="expression" priority="10" dxfId="0" stopIfTrue="1">
      <formula>$L5="Cumplida"</formula>
    </cfRule>
    <cfRule type="expression" priority="11" dxfId="14" stopIfTrue="1">
      <formula>$L5="En plazo"</formula>
    </cfRule>
    <cfRule type="expression" priority="12" dxfId="5">
      <formula>$L5="Sin fecha límite"</formula>
    </cfRule>
  </conditionalFormatting>
  <conditionalFormatting sqref="E5:E104">
    <cfRule type="expression" priority="13" dxfId="1">
      <formula>$E5="Semana "&amp;SemanaActual</formula>
    </cfRule>
  </conditionalFormatting>
  <conditionalFormatting sqref="J5:J104">
    <cfRule type="dataBar" priority="14">
      <dataBar showValue="1">
        <cfvo type="num" val="0"/>
        <cfvo type="num" val="1"/>
        <color rgb="005B9BD5"/>
      </dataBar>
    </cfRule>
  </conditionalFormatting>
  <conditionalFormatting sqref="F4:I4">
    <cfRule type="expression" priority="15" dxfId="1">
      <formula>COLUMN(F4)-5=SemanaActual</formula>
    </cfRule>
  </conditionalFormatting>
  <conditionalFormatting sqref="F3:I3">
    <cfRule type="expression" priority="16" dxfId="1">
      <formula>COLUMN(F3)-5=SemanaActual</formula>
    </cfRule>
  </conditionalFormatting>
  <pageMargins left="0.4" right="0.4" top="0.5" bottom="0.5" header="0.5" footer="0.5"/>
  <pageSetup orientation="landscape" paperSize="1" fitToHeight="0" fitToWidth="1"/>
  <headerFooter>
    <oddHeader/>
    <oddFooter>&amp;C&amp;A – Página &amp;P de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1:B85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 ht="28" customHeight="1">
      <c r="B1" s="46" t="inlineStr">
        <is>
          <t>Instrucciones – cómo usar este archivo</t>
        </is>
      </c>
    </row>
    <row r="3" ht="20" customHeight="1">
      <c r="B3" s="84" t="inlineStr">
        <is>
          <t>¿Para qué sirve este archivo?</t>
        </is>
      </c>
    </row>
    <row r="4" ht="45" customHeight="1">
      <c r="B4" s="85" t="inlineStr">
        <is>
          <t>Sirve para planificar y medir, MES A MES, las actividades de los cuatro puestos del área: Riesgo Operacional, Riesgo Normativo, Riesgo Financiero y Asistente Técnico de Riesgo. Cada mes se divide en 4 semanas y la meta es que las actividades lleguen al 100% al terminar la Semana 4. Todo lo de meses anteriores queda guardado como historial.</t>
        </is>
      </c>
    </row>
    <row r="6" ht="20" customHeight="1">
      <c r="B6" s="84" t="inlineStr">
        <is>
          <t>Colores: qué se llena y qué no</t>
        </is>
      </c>
    </row>
    <row r="7" ht="15" customHeight="1">
      <c r="B7" s="85" t="inlineStr">
        <is>
          <t>• GRIS SUAVE = celda que usted llena (desbloqueada).</t>
        </is>
      </c>
    </row>
    <row r="8" ht="15" customHeight="1">
      <c r="B8" s="85" t="inlineStr">
        <is>
          <t>• AZUL MUY CLARO = celda automática (bloqueada: no se puede escribir en ella).</t>
        </is>
      </c>
    </row>
    <row r="9" ht="30" customHeight="1">
      <c r="B9" s="85" t="inlineStr">
        <is>
          <t>• Cada puesto tiene su color: NARANJA = Riesgo Operacional · MORADO = Riesgo Normativo · VERDE = Riesgo Financiero · AZUL = Asistente Técnico de Riesgo.</t>
        </is>
      </c>
    </row>
    <row r="10" ht="30" customHeight="1">
      <c r="B10" s="85" t="inlineStr">
        <is>
          <t>• Colores de avisos: verde = completado · azul claro = en curso · rojo suave = pendiente o dato faltante · ámbar = por vencer o mes actual · naranja = vencida.</t>
        </is>
      </c>
    </row>
    <row r="12" ht="20" customHeight="1">
      <c r="B12" s="84" t="inlineStr">
        <is>
          <t>Las hojas del archivo</t>
        </is>
      </c>
    </row>
    <row r="13" ht="30" customHeight="1">
      <c r="B13" s="85" t="inlineStr">
        <is>
          <t>• Dashboard - Consolidado: resumen del MES ACTUAL con dos gráficas (avance de cada puesto y avance por semana vs plan). Se actualiza solo; no se llena.</t>
        </is>
      </c>
    </row>
    <row r="14" ht="30" customHeight="1">
      <c r="B14" s="85" t="inlineStr">
        <is>
          <t>• Historial mensual: tabla con el avance de cada puesto mes a mes desde octubre 2026 y gráfica de los últimos 6 meses. Se actualiza sola.</t>
        </is>
      </c>
    </row>
    <row r="15" ht="30" customHeight="1">
      <c r="B15" s="85" t="inlineStr">
        <is>
          <t>• Cronograma (una por puesto): la ÚNICA hoja donde cada responsable escribe sus actividades, pesos, avances y observaciones.</t>
        </is>
      </c>
    </row>
    <row r="16" ht="30" customHeight="1">
      <c r="B16" s="85" t="inlineStr">
        <is>
          <t>• Actividades (una por puesto, al lado de su cronograma): muestra sola las actividades del mes, semana por semana. Está bloqueada; no se escribe nada.</t>
        </is>
      </c>
    </row>
    <row r="17" ht="15" customHeight="1">
      <c r="B17" s="85" t="inlineStr">
        <is>
          <t>• Configuración: mes, semana y fecha de corte. Todo se calcula solo con la fecha de hoy.</t>
        </is>
      </c>
    </row>
    <row r="19" ht="20" customHeight="1">
      <c r="B19" s="84" t="inlineStr">
        <is>
          <t>Cómo llenar su hoja «Cronograma» (paso a paso)</t>
        </is>
      </c>
    </row>
    <row r="20" ht="15" customHeight="1">
      <c r="B20" s="85" t="inlineStr">
        <is>
          <t>1) Abra la pestaña «Cronograma» de SU puesto y escriba en la primera fila vacía (celdas gris suave).</t>
        </is>
      </c>
    </row>
    <row r="21" ht="15" customHeight="1">
      <c r="B21" s="85" t="inlineStr">
        <is>
          <t>2) En «Tipo» elija «Macroactividad» (si lo deja vacío, también cuenta como macroactividad).</t>
        </is>
      </c>
    </row>
    <row r="22" ht="30" customHeight="1">
      <c r="B22" s="85" t="inlineStr">
        <is>
          <t>3) Escriba el nombre en «Actividad», la Fecha de inicio, la Fecha límite y el Peso. El N° (1, 2, 3… por mes) y el Mes se llenan solos.</t>
        </is>
      </c>
    </row>
    <row r="23" ht="30" customHeight="1">
      <c r="B23" s="85" t="inlineStr">
        <is>
          <t>4) Peso (%): qué tanto vale esa macroactividad dentro de su puesto EN ESE MES. Las macroactividades del mes deben sumar 100% (ej. 40% + 35% + 25%). Arriba de la tabla verá si ya suman 100%.</t>
        </is>
      </c>
    </row>
    <row r="24" ht="30" customHeight="1">
      <c r="B24" s="85" t="inlineStr">
        <is>
          <t>5) Si la macroactividad NO tiene subactividades: cada viernes escriba en la columna de esa semana el avance TOTAL logrado hasta ese día (ej. Semana 1 = 20%, Semana 2 = 45%, Semana 3 = 75%, Semana 4 = 100%).</t>
        </is>
      </c>
    </row>
    <row r="25" ht="15" customHeight="1">
      <c r="B25" s="85" t="inlineStr">
        <is>
          <t>6) El «% de Avance Total Actual», el «Estado» y la «Alerta de plazo» se calculan solos.</t>
        </is>
      </c>
    </row>
    <row r="26" ht="15" customHeight="1">
      <c r="B26" s="85" t="inlineStr">
        <is>
          <t>7) Observaciones: si una actividad se atrasa o no se cumplió, escriba aquí el motivo y la nueva fecha.</t>
        </is>
      </c>
    </row>
    <row r="28" ht="20" customHeight="1">
      <c r="B28" s="84" t="inlineStr">
        <is>
          <t>Subactividades (puede agregar todas las que necesite)</t>
        </is>
      </c>
    </row>
    <row r="29" ht="30" customHeight="1">
      <c r="B29" s="85" t="inlineStr">
        <is>
          <t>1) Debajo de la macroactividad, en las filas siguientes, elija en «Tipo» la opción «Subactividad» y escriba su nombre en «Actividad», con sus fechas. Se verá con sangría (↳) justo debajo de su macroactividad.</t>
        </is>
      </c>
    </row>
    <row r="30" ht="15" customHeight="1">
      <c r="B30" s="85" t="inlineStr">
        <is>
          <t>2) El N° NO se escribe: sale solo 1.1, 1.2, 1.3… (la columna está bloqueada).</t>
        </is>
      </c>
    </row>
    <row r="31" ht="45" customHeight="1">
      <c r="B31" s="85" t="inlineStr">
        <is>
          <t>3) Peso de la subactividad: qué parte del peso de su macroactividad le corresponde. Los pesos de las subactividades deben SUMAR el peso de la macroactividad. Ejemplo: macroactividad 60% → subactividades 20% + 25% + 15% = 60%. Si deja los pesos de las subactividades vacíos, todas valen lo mismo.</t>
        </is>
      </c>
    </row>
    <row r="32" ht="30" customHeight="1">
      <c r="B32" s="85" t="inlineStr">
        <is>
          <t>4) Cada viernes escriba el avance de CADA SUBACTIVIDAD en la columna de esa semana (ej. 100% si ya terminó, 50% si va a la mitad).</t>
        </is>
      </c>
    </row>
    <row r="33" ht="60" customHeight="1">
      <c r="B33" s="85" t="inlineStr">
        <is>
          <t>5) El avance de la macroactividad se calcula SOLO, semana por semana, con sus subactividades según su peso. Ejemplo: subactividades de 20%, 25% y 15% (total 60%); si en la Semana 1 la primera llega al 100% y las otras están en 0%, la macroactividad va en 20/60 = 33%. Por eso, en la fila de la macroactividad deje VACÍAS las semanas (se ven en azul claro).</t>
        </is>
      </c>
    </row>
    <row r="34" ht="30" customHeight="1">
      <c r="B34" s="85" t="inlineStr">
        <is>
          <t>6) Para agregar otra subactividad más adelante, escríbala debajo de las demás subactividades de su macroactividad: siempre pertenece a la macroactividad que esté más arriba.</t>
        </is>
      </c>
    </row>
    <row r="36" ht="20" customHeight="1">
      <c r="B36" s="84" t="inlineStr">
        <is>
          <t>Alerta de plazo (vencidas y por vencer)</t>
        </is>
      </c>
    </row>
    <row r="37" ht="15" customHeight="1">
      <c r="B37" s="85" t="inlineStr">
        <is>
          <t>La columna «Alerta de plazo» (en el Cronograma y en la hoja Actividades) dice en cada actividad y subactividad:</t>
        </is>
      </c>
    </row>
    <row r="38" ht="30" customHeight="1">
      <c r="B38" s="85" t="inlineStr">
        <is>
          <t>• «Vencida hace X días» (rojo): pasó la fecha límite y no llegó al 100%. Escriba en Observaciones por qué no se cumplió.</t>
        </is>
      </c>
    </row>
    <row r="39" ht="30" customHeight="1">
      <c r="B39" s="85" t="inlineStr">
        <is>
          <t>• «Vence hoy» o «Vence en X días» (amarillo): la fecha límite está cerca (el número de días se cambia en Configuración).</t>
        </is>
      </c>
    </row>
    <row r="40" ht="15" customHeight="1">
      <c r="B40" s="85" t="inlineStr">
        <is>
          <t>• «En plazo» (verde claro) · «Cumplida» (verde): llegó al 100%.</t>
        </is>
      </c>
    </row>
    <row r="41" ht="30" customHeight="1">
      <c r="B41" s="85" t="inlineStr">
        <is>
          <t>Arriba de cada Cronograma aparece el total del mes («X vencida(s) · Y por vencer») y el Dashboard muestra lo mismo por puesto.</t>
        </is>
      </c>
    </row>
    <row r="43" ht="20" customHeight="1">
      <c r="B43" s="84" t="inlineStr">
        <is>
          <t>¿Qué es la columna «Revisión automática (alertas)»?</t>
        </is>
      </c>
    </row>
    <row r="44" ht="45" customHeight="1">
      <c r="B44" s="85" t="inlineStr">
        <is>
          <t>Es un revisor automático: revisa cada fila y avisa si algo falta o está mal. «✔ OK» = todo bien. «⚠» = hay algo que corregir y dice qué es, por ejemplo: «Sin fecha límite», «Pesos del mes suman 90%», «Pesos de sus subactividades suman 50% (deben sumar 60%)», «Avance semanal decreciente» o «Vencida».</t>
        </is>
      </c>
    </row>
    <row r="45" ht="15" customHeight="1">
      <c r="B45" s="85" t="inlineStr">
        <is>
          <t>No hay que escribir nada en esa columna. Corrija lo que indica y el aviso desaparece.</t>
        </is>
      </c>
    </row>
    <row r="47" ht="20" customHeight="1">
      <c r="B47" s="84" t="inlineStr">
        <is>
          <t>La hoja «Actividades» (automática y bloqueada)</t>
        </is>
      </c>
    </row>
    <row r="48" ht="30" customHeight="1">
      <c r="B48" s="85" t="inlineStr">
        <is>
          <t>1) Muestra solo las actividades del mes actual de su Cronograma, en orden: cada macroactividad (resaltada) seguida de sus subactividades (con «↳»), con su alerta de plazo. No se escribe nada en ella.</t>
        </is>
      </c>
    </row>
    <row r="49" ht="15" customHeight="1">
      <c r="B49" s="85" t="inlineStr">
        <is>
          <t>2) «Semana de entrega» indica en qué semana del mes cae la fecha límite (la semana actual se resalta en amarillo).</t>
        </is>
      </c>
    </row>
    <row r="50" ht="45" customHeight="1">
      <c r="B50" s="85" t="inlineStr">
        <is>
          <t>3) Las columnas Semana 1 a 4 muestran una barra del color del puesto en las semanas en que la actividad está programada (de la fecha de inicio a la fecha límite) y, dentro, el avance anotado esa semana. Si la actividad está vencida, la barra se pone naranja.</t>
        </is>
      </c>
    </row>
    <row r="51" ht="15" customHeight="1">
      <c r="B51" s="85" t="inlineStr">
        <is>
          <t>4) Para cambiar algo, corríjalo en el Cronograma: esta hoja se actualiza al instante.</t>
        </is>
      </c>
    </row>
    <row r="53" ht="20" customHeight="1">
      <c r="B53" s="84" t="inlineStr">
        <is>
          <t>Cada mes nuevo: NO se borra nada</t>
        </is>
      </c>
    </row>
    <row r="54" ht="30" customHeight="1">
      <c r="B54" s="85" t="inlineStr">
        <is>
          <t>1) Al empezar el mes, cada responsable escribe las actividades del nuevo mes en las filas vacías de su Cronograma, DEBAJO de las del mes anterior. No borre nada: los meses pasados quedan como historial.</t>
        </is>
      </c>
    </row>
    <row r="55" ht="30" customHeight="1">
      <c r="B55" s="85" t="inlineStr">
        <is>
          <t>2) El mes de cada actividad se asigna solo según su fecha de inicio. El Dashboard y las hojas Actividades muestran automáticamente el mes actual, con su Semana 1 a 4.</t>
        </is>
      </c>
    </row>
    <row r="56" ht="30" customHeight="1">
      <c r="B56" s="85" t="inlineStr">
        <is>
          <t>3) Si una actividad se repite cada mes, cópiela en una fila nueva y cambie sus fechas al nuevo mes (y borre los avances de la copia).</t>
        </is>
      </c>
    </row>
    <row r="57" ht="45" customHeight="1">
      <c r="B57" s="85" t="inlineStr">
        <is>
          <t>4) Para revisar un mes anterior: en Configuración, en «Mes que se muestra», escriba cualquier fecha de ese mes (ej. 01/09/2026). Dashboard y Actividades mostrarán ese mes. Para volver al mes actual escriba =FECHA(AÑO(HOY());MES(HOY());1).</t>
        </is>
      </c>
    </row>
    <row r="58" ht="15" customHeight="1">
      <c r="B58" s="85" t="inlineStr">
        <is>
          <t>5) La hoja «Historial mensual» muestra el avance de cada puesto mes a mes, desde octubre 2026 (24 meses).</t>
        </is>
      </c>
    </row>
    <row r="59" ht="30" customHeight="1">
      <c r="B59" s="85" t="inlineStr">
        <is>
          <t>6) Cada Cronograma tiene 300 filas (por ejemplo, 25 actividades al mes durante un año). Si se llena, vea «Necesito más filas» o guarde una copia anual del archivo (Archivo &gt; Guardar una copia).</t>
        </is>
      </c>
    </row>
    <row r="61" ht="20" customHeight="1">
      <c r="B61" s="84" t="inlineStr">
        <is>
          <t>El Dashboard (resumen automático del mes)</t>
        </is>
      </c>
    </row>
    <row r="62" ht="30" customHeight="1">
      <c r="B62" s="85" t="inlineStr">
        <is>
          <t>• Muestra el avance de cada puesto y el general, cuántas actividades están completadas, en curso, pendientes o vencidas, y el avance de cada semana del mes.</t>
        </is>
      </c>
    </row>
    <row r="63" ht="30" customHeight="1">
      <c r="B63" s="85" t="inlineStr">
        <is>
          <t>• Avance del puesto = suma de (peso × avance) de sus actividades del mes. Avance general = promedio de los 4 puestos (todos valen igual).</t>
        </is>
      </c>
    </row>
    <row r="64" ht="30" customHeight="1">
      <c r="B64" s="85" t="inlineStr">
        <is>
          <t>• Si un puesto llega al 100% antes de la Semana 4 aparece «¡Enhorabuena, completado anticipadamente!». Si llega en la Semana 4: «Completado».</t>
        </is>
      </c>
    </row>
    <row r="65" ht="30" customHeight="1">
      <c r="B65" s="85" t="inlineStr">
        <is>
          <t>• Si un puesto no tiene actividades en el mes o sus pesos no suman 100%, el avance general aparece como «No definitivo» hasta que se corrija.</t>
        </is>
      </c>
    </row>
    <row r="66" ht="15" customHeight="1">
      <c r="B66" s="85" t="inlineStr">
        <is>
          <t>• Haga clic en el nombre de un puesto para ir a su hoja.</t>
        </is>
      </c>
    </row>
    <row r="68" ht="20" customHeight="1">
      <c r="B68" s="84" t="inlineStr">
        <is>
          <t>Compartir el archivo con el equipo</t>
        </is>
      </c>
    </row>
    <row r="69" ht="15" customHeight="1">
      <c r="B69" s="85" t="inlineStr">
        <is>
          <t>1) Suba el archivo a OneDrive o SharePoint del área.</t>
        </is>
      </c>
    </row>
    <row r="70" ht="30" customHeight="1">
      <c r="B70" s="85" t="inlineStr">
        <is>
          <t>2) Botón Compartir &gt; invite a los cuatro responsables con permiso de edición, y a la jefatura con permiso de solo lectura.</t>
        </is>
      </c>
    </row>
    <row r="71" ht="30" customHeight="1">
      <c r="B71" s="85" t="inlineStr">
        <is>
          <t>3) Todos pueden trabajar al mismo tiempo, cada quien en su Cronograma (Excel en la Web o Microsoft 365, con Autoguardado activado).</t>
        </is>
      </c>
    </row>
    <row r="72" ht="30" customHeight="1">
      <c r="B72" s="85" t="inlineStr">
        <is>
          <t>4) Si alguien borra algo por error: Archivo &gt; Información &gt; Historial de versiones permite recuperar una versión anterior y ver quién cambió qué.</t>
        </is>
      </c>
    </row>
    <row r="74" ht="20" customHeight="1">
      <c r="B74" s="84" t="inlineStr">
        <is>
          <t>Protección</t>
        </is>
      </c>
    </row>
    <row r="75" ht="45" customHeight="1">
      <c r="B75" s="85" t="inlineStr">
        <is>
          <t>Las celdas automáticas (azul muy claro) están bloqueadas y las de llenar (gris suave) desbloqueadas. Las hojas Dashboard, Actividades, Historial y Configuración (salvo sus celdas gris suave) están completamente bloqueadas. La protección no tiene contraseña.</t>
        </is>
      </c>
    </row>
    <row r="76" ht="30" customHeight="1">
      <c r="B76" s="85" t="inlineStr">
        <is>
          <t>Para poner contraseña: Revisar &gt; Desproteger hoja y luego Revisar &gt; Proteger hoja; marque «Seleccionar celdas desbloqueadas», «Usar Autofiltro» y «Ordenar», y escriba la contraseña.</t>
        </is>
      </c>
    </row>
    <row r="77" ht="60" customHeight="1">
      <c r="B77" s="85" t="inlineStr">
        <is>
          <t>Importante: en un archivo compartido, cualquier persona con permiso de edición podría escribir en el Cronograma de otro puesto. Si se necesita impedirlo por completo, se usan cuatro archivos (uno por puesto) y este archivo los une con Power Query (Datos &gt; Obtener datos &gt; Desde SharePoint/carpeta, una consulta por tabla tblAct_XX, con «Actualizar al abrir»).</t>
        </is>
      </c>
    </row>
    <row r="79" ht="20" customHeight="1">
      <c r="B79" s="84" t="inlineStr">
        <is>
          <t>Necesito más filas</t>
        </is>
      </c>
    </row>
    <row r="80" ht="30" customHeight="1">
      <c r="B80" s="85" t="inlineStr">
        <is>
          <t>Revisar &gt; Desproteger hoja, colóquese en la última celda de la tabla del Cronograma y presione Tab; las fórmulas se copian solas. Luego vuelva a proteger la hoja. El Dashboard lee hasta la fila 1000.</t>
        </is>
      </c>
    </row>
    <row r="82" ht="20" customHeight="1">
      <c r="B82" s="84" t="inlineStr">
        <is>
          <t>Notas técnicas</t>
        </is>
      </c>
    </row>
    <row r="83" ht="30" customHeight="1">
      <c r="B83" s="85" t="inlineStr">
        <is>
          <t>• Archivo .xlsx sin macros, para Microsoft 365 en español (escritorio y Web). Las fórmulas se ven en español (BUSCAR, SI.ERROR, SUMAPRODUCTO, HOY…).</t>
        </is>
      </c>
    </row>
    <row r="84" ht="15" customHeight="1">
      <c r="B84" s="85" t="inlineStr">
        <is>
          <t>• Fórmula del avance actual: =SI.ERROR(BUSCAR(2;1/(G5:J5&lt;&gt;"");G5:J5);0) → toma el último avance semanal escrito.</t>
        </is>
      </c>
    </row>
    <row r="85" ht="30" customHeight="1">
      <c r="B85" s="85" t="inlineStr">
        <is>
          <t>• Mes de la actividad = mes de la fecha de inicio (si no hay, de la fecha límite). Semana actual = ENTERO((fecha de corte − primer lunes del mes) / 7) + 1, entre 1 y 4. Puede forzarse con «Semana manual» en Configuración.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B1"/>
  </mergeCells>
  <pageMargins left="0.75" right="0.75" top="1" bottom="1" header="0.5" footer="0.5"/>
  <pageSetup orientation="portrait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1:D55"/>
  <sheetViews>
    <sheetView showGridLines="0" zoomScale="9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70" customWidth="1" min="4" max="4"/>
  </cols>
  <sheetData>
    <row r="1" ht="28" customHeight="1">
      <c r="B1" s="46" t="inlineStr">
        <is>
          <t>Configuración del ciclo mensual</t>
        </is>
      </c>
      <c r="C1" s="46" t="n"/>
      <c r="D1" s="46" t="n"/>
    </row>
    <row r="2">
      <c r="B2" s="86" t="inlineStr">
        <is>
          <t>Todo se calcula solo a partir de la fecha de hoy. Celdas GRIS SUAVE = puede escribir encima si necesita fijar otro valor; celdas AZUL CLARO = automáticas y bloqueadas.</t>
        </is>
      </c>
    </row>
    <row r="3">
      <c r="B3" s="7" t="inlineStr">
        <is>
          <t>Parámetro</t>
        </is>
      </c>
      <c r="C3" s="7" t="inlineStr">
        <is>
          <t>Valor</t>
        </is>
      </c>
      <c r="D3" s="7" t="inlineStr">
        <is>
          <t>Uso / nota</t>
        </is>
      </c>
    </row>
    <row r="4" ht="30" customHeight="1">
      <c r="B4" s="87" t="inlineStr">
        <is>
          <t>Mes que se muestra</t>
        </is>
      </c>
      <c r="C4" s="88">
        <f>DATE(YEAR(TODAY()),MONTH(TODAY()),1)</f>
        <v/>
      </c>
      <c r="D4" s="44" t="inlineStr">
        <is>
          <t>AUTOMÁTICO: mes actual. Para revisar un mes anterior (historial) escriba cualquier fecha de ese mes (ej. 01/09/2026); para volver al mes actual escriba =FECHA(AÑO(HOY());MES(HOY());1).</t>
        </is>
      </c>
    </row>
    <row r="5" ht="30" customHeight="1">
      <c r="B5" s="87" t="inlineStr">
        <is>
          <t>Fecha de inicio del ciclo (lunes de la Semana 1)</t>
        </is>
      </c>
      <c r="C5" s="89">
        <f>MesCiclo+MOD(2-WEEKDAY(MesCiclo),7)</f>
        <v/>
      </c>
      <c r="D5" s="44" t="inlineStr">
        <is>
          <t>AUTOMÁTICO: primer lunes del mes. Puede escribir otra fecha. Define en qué semana cae cada actividad en las hojas «Actividades».</t>
        </is>
      </c>
    </row>
    <row r="6" ht="30" customHeight="1">
      <c r="B6" s="87" t="inlineStr">
        <is>
          <t>Fecha de corte</t>
        </is>
      </c>
      <c r="C6" s="89">
        <f>TODAY()</f>
        <v/>
      </c>
      <c r="D6" s="44" t="inlineStr">
        <is>
          <t>AUTOMÁTICO: hoy. Puede escribir una fecha fija para emitir un reporte de corte. Determina actividades vencidas.</t>
        </is>
      </c>
    </row>
    <row r="7" ht="30" customHeight="1">
      <c r="B7" s="87" t="inlineStr">
        <is>
          <t>Semana actual del ciclo (1 a 4)</t>
        </is>
      </c>
      <c r="C7" s="90">
        <f>IF(SemanaManual&lt;&gt;"",SemanaManual,MIN(4,MAX(1,INT((FechaRef-InicioCiclo)/7)+1)))</f>
        <v/>
      </c>
      <c r="D7" s="44" t="inlineStr">
        <is>
          <t>AUTOMÁTICA: se calcula con la fecha de inicio y la fecha de corte. Controla los mensajes de finalización anticipada.</t>
        </is>
      </c>
    </row>
    <row r="8" ht="30" customHeight="1">
      <c r="B8" s="87" t="inlineStr">
        <is>
          <t>Semana manual (opcional)</t>
        </is>
      </c>
      <c r="C8" s="91" t="n"/>
      <c r="D8" s="44" t="inlineStr">
        <is>
          <t>Déjela VACÍA para usar la semana automática. Escriba 1–4 solo si necesita forzar otra semana.</t>
        </is>
      </c>
    </row>
    <row r="9" ht="30" customHeight="1">
      <c r="B9" s="87" t="inlineStr">
        <is>
          <t>Días de anticipación para alerta «próxima a vencer»</t>
        </is>
      </c>
      <c r="C9" s="91" t="n">
        <v>3</v>
      </c>
      <c r="D9" s="44" t="inlineStr">
        <is>
          <t>Actividades no completadas cuya fecha límite cae dentro de este número de días se señalan en ámbar.</t>
        </is>
      </c>
    </row>
    <row r="10" ht="30" customHeight="1">
      <c r="B10" s="87" t="inlineStr">
        <is>
          <t>¿Observación obligatoria si una actividad vence sin cumplirse?</t>
        </is>
      </c>
      <c r="C10" s="92" t="inlineStr">
        <is>
          <t>Sí</t>
        </is>
      </c>
      <c r="D10" s="44" t="inlineStr">
        <is>
          <t>Si es «Sí», una actividad vencida sin texto en Observaciones genera alerta (explicar por qué no se cumplió).</t>
        </is>
      </c>
    </row>
    <row r="11" ht="30" customHeight="1">
      <c r="B11" s="87" t="inlineStr">
        <is>
          <t>Meta mensual</t>
        </is>
      </c>
      <c r="C11" s="93" t="n">
        <v>1</v>
      </c>
      <c r="D11" s="44" t="inlineStr">
        <is>
          <t>Meta de cumplimiento de las actividades al cierre de la Semana 4 de cada mes.</t>
        </is>
      </c>
    </row>
    <row r="12" ht="30" customHeight="1">
      <c r="B12" s="87" t="inlineStr">
        <is>
          <t>Primer mes del historial</t>
        </is>
      </c>
      <c r="C12" s="88" t="n">
        <v>46296</v>
      </c>
      <c r="D12" s="44" t="inlineStr">
        <is>
          <t>El Historial mensual empieza en este mes (octubre 2026) y muestra 24 meses seguidos.</t>
        </is>
      </c>
    </row>
    <row r="14">
      <c r="B14" s="94" t="inlineStr">
        <is>
          <t>Plan de referencia (avance esperado acumulado por semana) – supuesto editable</t>
        </is>
      </c>
      <c r="C14" s="94" t="n"/>
      <c r="D14" s="94" t="n"/>
    </row>
    <row r="15">
      <c r="B15" s="95" t="inlineStr">
        <is>
          <t>Semana 1</t>
        </is>
      </c>
      <c r="C15" s="96" t="n">
        <v>0.25</v>
      </c>
      <c r="D15" s="97" t="inlineStr">
        <is>
          <t>Referencia lineal solo para comparación visual; no afecta el cálculo del avance real.</t>
        </is>
      </c>
    </row>
    <row r="16">
      <c r="B16" s="95" t="inlineStr">
        <is>
          <t>Semana 2</t>
        </is>
      </c>
      <c r="C16" s="96" t="n">
        <v>0.5</v>
      </c>
      <c r="D16" s="97" t="inlineStr">
        <is>
          <t>Referencia lineal solo para comparación visual; no afecta el cálculo del avance real.</t>
        </is>
      </c>
    </row>
    <row r="17">
      <c r="B17" s="95" t="inlineStr">
        <is>
          <t>Semana 3</t>
        </is>
      </c>
      <c r="C17" s="96" t="n">
        <v>0.75</v>
      </c>
      <c r="D17" s="97" t="inlineStr">
        <is>
          <t>Referencia lineal solo para comparación visual; no afecta el cálculo del avance real.</t>
        </is>
      </c>
    </row>
    <row r="18">
      <c r="B18" s="95" t="inlineStr">
        <is>
          <t>Semana 4</t>
        </is>
      </c>
      <c r="C18" s="96" t="n">
        <v>1</v>
      </c>
      <c r="D18" s="97" t="inlineStr">
        <is>
          <t>Referencia lineal solo para comparación visual; no afecta el cálculo del avance real.</t>
        </is>
      </c>
    </row>
    <row r="20">
      <c r="B20" s="98" t="inlineStr">
        <is>
          <t>Listas desplegables (no editar sin actualizar las fórmulas)</t>
        </is>
      </c>
      <c r="C20" s="98" t="n"/>
      <c r="D20" s="98" t="n"/>
    </row>
    <row r="21">
      <c r="B21" s="99" t="inlineStr">
        <is>
          <t>Áreas / Puestos</t>
        </is>
      </c>
    </row>
    <row r="22">
      <c r="B22" s="100" t="inlineStr">
        <is>
          <t>Riesgo Operacional</t>
        </is>
      </c>
    </row>
    <row r="23">
      <c r="B23" s="100" t="inlineStr">
        <is>
          <t>Riesgo Normativo</t>
        </is>
      </c>
    </row>
    <row r="24">
      <c r="B24" s="100" t="inlineStr">
        <is>
          <t>Riesgo Financiero</t>
        </is>
      </c>
    </row>
    <row r="25">
      <c r="B25" s="100" t="inlineStr">
        <is>
          <t>Asistente Técnico de Riesgo</t>
        </is>
      </c>
    </row>
    <row r="27">
      <c r="B27" s="99" t="inlineStr">
        <is>
          <t>Estados</t>
        </is>
      </c>
    </row>
    <row r="28">
      <c r="B28" s="100" t="inlineStr">
        <is>
          <t>Pendiente</t>
        </is>
      </c>
    </row>
    <row r="29">
      <c r="B29" s="100" t="inlineStr">
        <is>
          <t>En curso</t>
        </is>
      </c>
    </row>
    <row r="30">
      <c r="B30" s="100" t="inlineStr">
        <is>
          <t>Completado</t>
        </is>
      </c>
    </row>
    <row r="32">
      <c r="B32" s="99" t="inlineStr">
        <is>
          <t>Semanas</t>
        </is>
      </c>
    </row>
    <row r="33">
      <c r="B33" s="100" t="inlineStr">
        <is>
          <t>Semana 1</t>
        </is>
      </c>
    </row>
    <row r="34">
      <c r="B34" s="100" t="inlineStr">
        <is>
          <t>Semana 2</t>
        </is>
      </c>
    </row>
    <row r="35">
      <c r="B35" s="100" t="inlineStr">
        <is>
          <t>Semana 3</t>
        </is>
      </c>
    </row>
    <row r="36">
      <c r="B36" s="100" t="inlineStr">
        <is>
          <t>Semana 4</t>
        </is>
      </c>
    </row>
    <row r="38">
      <c r="B38" s="99" t="inlineStr">
        <is>
          <t>Sí / No</t>
        </is>
      </c>
    </row>
    <row r="39">
      <c r="B39" s="100" t="inlineStr">
        <is>
          <t>Sí</t>
        </is>
      </c>
    </row>
    <row r="40">
      <c r="B40" s="100" t="inlineStr">
        <is>
          <t>No</t>
        </is>
      </c>
    </row>
    <row r="43">
      <c r="B43" s="98" t="inlineStr">
        <is>
          <t>Metodología de cálculo (documentación)</t>
        </is>
      </c>
      <c r="C43" s="98" t="n"/>
      <c r="D43" s="98" t="n"/>
    </row>
    <row r="44" ht="30" customHeight="1">
      <c r="B44" s="101" t="inlineStr">
        <is>
          <t>1. Avance de una actividad = último avance semanal acumulado registrado (Semana 4 → 1), ignorando semanas vacías. Los avances semanales NO se suman.</t>
        </is>
      </c>
      <c r="C44" s="101" t="n"/>
      <c r="D44" s="101" t="n"/>
    </row>
    <row r="45" ht="30" customHeight="1">
      <c r="B45" s="101" t="inlineStr">
        <is>
          <t>2. Estado automático: 0% = Pendiente; &gt;0% y &lt;100% = En curso; 100% = Completado.</t>
        </is>
      </c>
      <c r="C45" s="101" t="n"/>
      <c r="D45" s="101" t="n"/>
    </row>
    <row r="46" ht="30" customHeight="1">
      <c r="B46" s="101" t="inlineStr">
        <is>
          <t>3. Avance ponderado del puesto = Σ (peso de la actividad × avance actual) de las actividades del mes. Solo es válido si el puesto tiene ≥1 actividad en el mes, ningún peso vacío o fuera de 0–100% y los pesos del mes suman 100% (tolerancia ±0,01%).</t>
        </is>
      </c>
      <c r="C46" s="101" t="n"/>
      <c r="D46" s="101" t="n"/>
    </row>
    <row r="47" ht="30" customHeight="1">
      <c r="B47" s="101" t="inlineStr">
        <is>
          <t>0. Cada actividad pertenece al mes de su fecha de inicio (columna «Mes» del Cronograma). Dashboard, hojas Actividades y cálculos usan solo el mes mostrado; los meses anteriores quedan en el Historial mensual.</t>
        </is>
      </c>
      <c r="C47" s="101" t="n"/>
      <c r="D47" s="101" t="n"/>
    </row>
    <row r="48" ht="30" customHeight="1">
      <c r="B48" s="101" t="inlineStr">
        <is>
          <t>0b. Subactividades: filas con Tipo «Subactividad» pertenecen a la macroactividad más cercana hacia arriba. Avance semanal de la macroactividad = Σ(peso de la subactividad × su avance) / Σ pesos de sus subactividades (si no tienen peso: promedio simple). Los pesos de las subactividades deben sumar el peso de la macroactividad. Solo las macroactividades se cuentan en los indicadores del Dashboard y el Historial; las alertas de plazo incluyen subactividades.</t>
        </is>
      </c>
      <c r="C48" s="101" t="n"/>
      <c r="D48" s="101" t="n"/>
    </row>
    <row r="49" ht="30" customHeight="1">
      <c r="B49" s="101" t="inlineStr">
        <is>
          <t>4. Avance general de las actividades = promedio simple de los 4 puestos (cada puesto pesa 25%, sin importar cuántas actividades tenga). Si algún puesto no es válido, el Dashboard muestra «No definitivo» y un valor provisional rotulado como tal.</t>
        </is>
      </c>
      <c r="C49" s="101" t="n"/>
      <c r="D49" s="101" t="n"/>
    </row>
    <row r="50" ht="30" customHeight="1">
      <c r="B50" s="101" t="inlineStr">
        <is>
          <t>5. Avance semanal acumulado (Semana n) = Σ peso × último avance registrado hasta la Semana n. Incremento semanal = acumulado Semana n − acumulado Semana n−1.</t>
        </is>
      </c>
      <c r="C50" s="101" t="n"/>
      <c r="D50" s="101" t="n"/>
    </row>
    <row r="51" ht="30" customHeight="1">
      <c r="B51" s="101" t="inlineStr">
        <is>
          <t>6. «¡Enhorabuena, completado anticipadamente!»: el puesto (o el total de actividades del mes) es válido, llega al 100% y la semana en que lo alcanzó (la menor entre la primera semana con 100% registrada y la Semana actual) es anterior a la Semana 4. Si lo alcanza en la Semana 4: «Completado». Si no: «En ejecución».</t>
        </is>
      </c>
      <c r="C51" s="101" t="n"/>
      <c r="D51" s="101" t="n"/>
    </row>
    <row r="52" ht="30" customHeight="1">
      <c r="B52" s="101" t="inlineStr">
        <is>
          <t>7. Una semana se muestra en el seguimiento si es ≤ Semana actual o si ya tiene algún avance registrado.</t>
        </is>
      </c>
      <c r="C52" s="101" t="n"/>
      <c r="D52" s="101" t="n"/>
    </row>
    <row r="53" ht="30" customHeight="1">
      <c r="B53" s="101" t="inlineStr">
        <is>
          <t>8. Cada puesto tiene su propia hoja «Cronograma» y su hoja «Actividades» semanales. El Dashboard consolida los cuatro cronogramas (filas 5 a 1000) y las cuatro hojas de actividades (filas 5 a 500).</t>
        </is>
      </c>
      <c r="C53" s="101" t="n"/>
      <c r="D53" s="101" t="n"/>
    </row>
    <row r="54" ht="30" customHeight="1">
      <c r="B54" s="101" t="inlineStr">
        <is>
          <t>9. Semana actual = ENTERO((fecha de corte − fecha de inicio) / 7) + 1, limitada entre 1 y 4, salvo que se escriba una semana manual.</t>
        </is>
      </c>
      <c r="C54" s="101" t="n"/>
      <c r="D54" s="101" t="n"/>
    </row>
    <row r="55" ht="30" customHeight="1">
      <c r="B55" s="101" t="inlineStr">
        <is>
          <t>10. Hojas «Actividades»: se llenan solas desde el Cronograma del puesto. Semana de entrega = semana en que cae la fecha límite. Estado: Completado (100%), Vencida (pasó la fecha límite sin llegar a 100%), En curso o Pendiente.</t>
        </is>
      </c>
      <c r="C55" s="101" t="n"/>
      <c r="D55" s="10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1" sort="1"/>
  <mergeCells count="16">
    <mergeCell ref="B54:D54"/>
    <mergeCell ref="B14:D14"/>
    <mergeCell ref="B45:D45"/>
    <mergeCell ref="B46:D46"/>
    <mergeCell ref="B1:D1"/>
    <mergeCell ref="B49:D49"/>
    <mergeCell ref="B50:D50"/>
    <mergeCell ref="B52:D52"/>
    <mergeCell ref="B44:D44"/>
    <mergeCell ref="B53:D53"/>
    <mergeCell ref="B43:D43"/>
    <mergeCell ref="B55:D55"/>
    <mergeCell ref="B51:D51"/>
    <mergeCell ref="B47:D47"/>
    <mergeCell ref="B48:D48"/>
    <mergeCell ref="B20:D20"/>
  </mergeCells>
  <dataValidations count="4">
    <dataValidation sqref="C4 C5 C6 C12" showDropDown="0" showInputMessage="0" showErrorMessage="1" allowBlank="0" error="Ingrese una fecha válida (dd/mm/aaaa)." type="date" operator="greaterThan">
      <formula1>36526</formula1>
    </dataValidation>
    <dataValidation sqref="C8" showDropDown="0" showInputMessage="0" showErrorMessage="1" allowBlank="1" errorTitle="Semana no válida" error="Ingrese un número entero entre 1 y 4, o deje vacío para la semana automática." type="whole" operator="between">
      <formula1>1</formula1>
      <formula2>4</formula2>
    </dataValidation>
    <dataValidation sqref="C9" showDropDown="0" showInputMessage="0" showErrorMessage="1" allowBlank="0" error="Ingrese un número de días entre 0 y 30." type="whole" operator="between">
      <formula1>0</formula1>
      <formula2>30</formula2>
    </dataValidation>
    <dataValidation sqref="C10" showDropDown="0" showInputMessage="0" showErrorMessage="1" allowBlank="0" type="list">
      <formula1>ListaSiNo</formula1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02" t="inlineStr">
        <is>
          <t>Hoja auxiliar OCULTA: cálculos intermedios por puesto (cada fila lee la hoja de cronograma de su puesto) que alimentan el Dashboard. No editar. Ver metodología en Configuración.</t>
        </is>
      </c>
    </row>
    <row r="3">
      <c r="A3" s="103" t="inlineStr">
        <is>
          <t>Puesto</t>
        </is>
      </c>
      <c r="B3" s="103" t="inlineStr">
        <is>
          <t>N° actividades</t>
        </is>
      </c>
      <c r="C3" s="103" t="inlineStr">
        <is>
          <t>Suma de pesos</t>
        </is>
      </c>
      <c r="D3" s="103" t="inlineStr">
        <is>
          <t>Pesos vacíos o inválidos</t>
        </is>
      </c>
      <c r="E3" s="103" t="inlineStr">
        <is>
          <t>Configuración válida</t>
        </is>
      </c>
      <c r="F3" s="103" t="inlineStr">
        <is>
          <t>Avance ponderado actual</t>
        </is>
      </c>
      <c r="G3" s="103" t="inlineStr">
        <is>
          <t>Acum. Semana 1</t>
        </is>
      </c>
      <c r="H3" s="103" t="inlineStr">
        <is>
          <t>Acum. Semana 2</t>
        </is>
      </c>
      <c r="I3" s="103" t="inlineStr">
        <is>
          <t>Acum. Semana 3</t>
        </is>
      </c>
      <c r="J3" s="103" t="inlineStr">
        <is>
          <t>Acum. Semana 4</t>
        </is>
      </c>
      <c r="K3" s="103" t="inlineStr">
        <is>
          <t>Primera semana con 100%</t>
        </is>
      </c>
      <c r="L3" s="103" t="inlineStr">
        <is>
          <t>Completado (100%)</t>
        </is>
      </c>
      <c r="M3" s="103" t="inlineStr">
        <is>
          <t>Completado anticipadamente</t>
        </is>
      </c>
      <c r="N3" s="103" t="inlineStr">
        <is>
          <t>Completadas</t>
        </is>
      </c>
      <c r="O3" s="103" t="inlineStr">
        <is>
          <t>En curso</t>
        </is>
      </c>
      <c r="P3" s="103" t="inlineStr">
        <is>
          <t>Pendientes</t>
        </is>
      </c>
      <c r="Q3" s="103" t="inlineStr">
        <is>
          <t>Vencidas</t>
        </is>
      </c>
      <c r="R3" s="103" t="inlineStr">
        <is>
          <t>Con alertas</t>
        </is>
      </c>
      <c r="S3" s="103" t="inlineStr">
        <is>
          <t>Próximas a vencer</t>
        </is>
      </c>
      <c r="T3" s="103" t="inlineStr">
        <is>
          <t>Hoja de cronograma</t>
        </is>
      </c>
    </row>
    <row r="4">
      <c r="A4">
        <f>INDEX(ListaPuestos,1)</f>
        <v/>
      </c>
      <c r="B4">
        <f>COUNTIFS(rValid_RO,"?*",rMes_RO,MesCiclo,rTipo_RO,"Macro")</f>
        <v/>
      </c>
      <c r="C4" s="104">
        <f>SUMIFS(rPeso_RO,rMes_RO,MesCiclo,rTipo_RO,"Macro")</f>
        <v/>
      </c>
      <c r="D4" s="104">
        <f>COUNTIFS(rValid_RO,"?*",rPeso_RO,"",rMes_RO,MesCiclo,rTipo_RO,"Macro")+COUNTIFS(rPeso_RO,"&lt;=0",rMes_RO,MesCiclo,rTipo_RO,"Macro")+COUNTIFS(rPeso_RO,"&gt;1",rMes_RO,MesCiclo,rTipo_RO,"Macro")</f>
        <v/>
      </c>
      <c r="E4">
        <f>AND(B4&gt;0,D4=0,ABS(C4-1)&lt;=0.0001)</f>
        <v/>
      </c>
      <c r="F4" s="104">
        <f>IFERROR(SUMPRODUCT(--((rMes_RO=MesCiclo)*(rTipo_RO="Macro")),rPeso_RO,rAvance_RO),0)</f>
        <v/>
      </c>
      <c r="G4" s="104">
        <f>IFERROR(SUMPRODUCT(--((rMes_RO=MesCiclo)*(rTipo_RO="Macro")),rPeso_RO,rEf1_RO),0)</f>
        <v/>
      </c>
      <c r="H4" s="104">
        <f>IFERROR(SUMPRODUCT(--((rMes_RO=MesCiclo)*(rTipo_RO="Macro")),rPeso_RO,rEf2_RO),0)</f>
        <v/>
      </c>
      <c r="I4" s="104">
        <f>IFERROR(SUMPRODUCT(--((rMes_RO=MesCiclo)*(rTipo_RO="Macro")),rPeso_RO,rEf3_RO),0)</f>
        <v/>
      </c>
      <c r="J4" s="104">
        <f>IFERROR(SUMPRODUCT(--((rMes_RO=MesCiclo)*(rTipo_RO="Macro")),rPeso_RO,rEf4_RO),0)</f>
        <v/>
      </c>
      <c r="K4">
        <f>IF(ROUND(G4,4)&gt;=1,1,IF(ROUND(H4,4)&gt;=1,2,IF(ROUND(I4,4)&gt;=1,3,IF(ROUND(J4,4)&gt;=1,4,""))))</f>
        <v/>
      </c>
      <c r="L4">
        <f>AND(E4,ROUND(F4,4)&gt;=1)</f>
        <v/>
      </c>
      <c r="M4">
        <f>AND(L4,MIN(IF(K4="",4,K4),SemanaActual)&lt;4)</f>
        <v/>
      </c>
      <c r="N4">
        <f>COUNTIFS(rEstado_RO,"Completado",rMes_RO,MesCiclo,rTipo_RO,"Macro")</f>
        <v/>
      </c>
      <c r="O4">
        <f>COUNTIFS(rEstado_RO,"En curso",rMes_RO,MesCiclo,rTipo_RO,"Macro")</f>
        <v/>
      </c>
      <c r="P4">
        <f>COUNTIFS(rEstado_RO,"Pendiente",rMes_RO,MesCiclo,rTipo_RO,"Macro")</f>
        <v/>
      </c>
      <c r="Q4">
        <f>SUMPRODUCT((rMes_RO=MesCiclo)*(rTipo_RO="Macro")*ISNUMBER(SEARCH("Vencida",rValid_RO)))</f>
        <v/>
      </c>
      <c r="R4">
        <f>SUMPRODUCT((rMes_RO=MesCiclo)*(LEFT(rValid_RO,1)="⚠"))</f>
        <v/>
      </c>
      <c r="S4">
        <f>COUNTIFS(rFLim_RO,"&gt;="&amp;FechaRef,rFLim_RO,"&lt;="&amp;(FechaRef+DiasAlerta),rAvance_RO,"&lt;1",rMes_RO,MesCiclo,rTipo_RO,"Macro")</f>
        <v/>
      </c>
      <c r="T4" t="inlineStr">
        <is>
          <t>Cronograma R. Operacional</t>
        </is>
      </c>
    </row>
    <row r="5">
      <c r="A5">
        <f>INDEX(ListaPuestos,2)</f>
        <v/>
      </c>
      <c r="B5">
        <f>COUNTIFS(rValid_RN,"?*",rMes_RN,MesCiclo,rTipo_RN,"Macro")</f>
        <v/>
      </c>
      <c r="C5" s="104">
        <f>SUMIFS(rPeso_RN,rMes_RN,MesCiclo,rTipo_RN,"Macro")</f>
        <v/>
      </c>
      <c r="D5" s="104">
        <f>COUNTIFS(rValid_RN,"?*",rPeso_RN,"",rMes_RN,MesCiclo,rTipo_RN,"Macro")+COUNTIFS(rPeso_RN,"&lt;=0",rMes_RN,MesCiclo,rTipo_RN,"Macro")+COUNTIFS(rPeso_RN,"&gt;1",rMes_RN,MesCiclo,rTipo_RN,"Macro")</f>
        <v/>
      </c>
      <c r="E5">
        <f>AND(B5&gt;0,D5=0,ABS(C5-1)&lt;=0.0001)</f>
        <v/>
      </c>
      <c r="F5" s="104">
        <f>IFERROR(SUMPRODUCT(--((rMes_RN=MesCiclo)*(rTipo_RN="Macro")),rPeso_RN,rAvance_RN),0)</f>
        <v/>
      </c>
      <c r="G5" s="104">
        <f>IFERROR(SUMPRODUCT(--((rMes_RN=MesCiclo)*(rTipo_RN="Macro")),rPeso_RN,rEf1_RN),0)</f>
        <v/>
      </c>
      <c r="H5" s="104">
        <f>IFERROR(SUMPRODUCT(--((rMes_RN=MesCiclo)*(rTipo_RN="Macro")),rPeso_RN,rEf2_RN),0)</f>
        <v/>
      </c>
      <c r="I5" s="104">
        <f>IFERROR(SUMPRODUCT(--((rMes_RN=MesCiclo)*(rTipo_RN="Macro")),rPeso_RN,rEf3_RN),0)</f>
        <v/>
      </c>
      <c r="J5" s="104">
        <f>IFERROR(SUMPRODUCT(--((rMes_RN=MesCiclo)*(rTipo_RN="Macro")),rPeso_RN,rEf4_RN),0)</f>
        <v/>
      </c>
      <c r="K5">
        <f>IF(ROUND(G5,4)&gt;=1,1,IF(ROUND(H5,4)&gt;=1,2,IF(ROUND(I5,4)&gt;=1,3,IF(ROUND(J5,4)&gt;=1,4,""))))</f>
        <v/>
      </c>
      <c r="L5">
        <f>AND(E5,ROUND(F5,4)&gt;=1)</f>
        <v/>
      </c>
      <c r="M5">
        <f>AND(L5,MIN(IF(K5="",4,K5),SemanaActual)&lt;4)</f>
        <v/>
      </c>
      <c r="N5">
        <f>COUNTIFS(rEstado_RN,"Completado",rMes_RN,MesCiclo,rTipo_RN,"Macro")</f>
        <v/>
      </c>
      <c r="O5">
        <f>COUNTIFS(rEstado_RN,"En curso",rMes_RN,MesCiclo,rTipo_RN,"Macro")</f>
        <v/>
      </c>
      <c r="P5">
        <f>COUNTIFS(rEstado_RN,"Pendiente",rMes_RN,MesCiclo,rTipo_RN,"Macro")</f>
        <v/>
      </c>
      <c r="Q5">
        <f>SUMPRODUCT((rMes_RN=MesCiclo)*(rTipo_RN="Macro")*ISNUMBER(SEARCH("Vencida",rValid_RN)))</f>
        <v/>
      </c>
      <c r="R5">
        <f>SUMPRODUCT((rMes_RN=MesCiclo)*(LEFT(rValid_RN,1)="⚠"))</f>
        <v/>
      </c>
      <c r="S5">
        <f>COUNTIFS(rFLim_RN,"&gt;="&amp;FechaRef,rFLim_RN,"&lt;="&amp;(FechaRef+DiasAlerta),rAvance_RN,"&lt;1",rMes_RN,MesCiclo,rTipo_RN,"Macro")</f>
        <v/>
      </c>
      <c r="T5" t="inlineStr">
        <is>
          <t>Cronograma R. Normativo</t>
        </is>
      </c>
    </row>
    <row r="6">
      <c r="A6">
        <f>INDEX(ListaPuestos,3)</f>
        <v/>
      </c>
      <c r="B6">
        <f>COUNTIFS(rValid_RF,"?*",rMes_RF,MesCiclo,rTipo_RF,"Macro")</f>
        <v/>
      </c>
      <c r="C6" s="104">
        <f>SUMIFS(rPeso_RF,rMes_RF,MesCiclo,rTipo_RF,"Macro")</f>
        <v/>
      </c>
      <c r="D6" s="104">
        <f>COUNTIFS(rValid_RF,"?*",rPeso_RF,"",rMes_RF,MesCiclo,rTipo_RF,"Macro")+COUNTIFS(rPeso_RF,"&lt;=0",rMes_RF,MesCiclo,rTipo_RF,"Macro")+COUNTIFS(rPeso_RF,"&gt;1",rMes_RF,MesCiclo,rTipo_RF,"Macro")</f>
        <v/>
      </c>
      <c r="E6">
        <f>AND(B6&gt;0,D6=0,ABS(C6-1)&lt;=0.0001)</f>
        <v/>
      </c>
      <c r="F6" s="104">
        <f>IFERROR(SUMPRODUCT(--((rMes_RF=MesCiclo)*(rTipo_RF="Macro")),rPeso_RF,rAvance_RF),0)</f>
        <v/>
      </c>
      <c r="G6" s="104">
        <f>IFERROR(SUMPRODUCT(--((rMes_RF=MesCiclo)*(rTipo_RF="Macro")),rPeso_RF,rEf1_RF),0)</f>
        <v/>
      </c>
      <c r="H6" s="104">
        <f>IFERROR(SUMPRODUCT(--((rMes_RF=MesCiclo)*(rTipo_RF="Macro")),rPeso_RF,rEf2_RF),0)</f>
        <v/>
      </c>
      <c r="I6" s="104">
        <f>IFERROR(SUMPRODUCT(--((rMes_RF=MesCiclo)*(rTipo_RF="Macro")),rPeso_RF,rEf3_RF),0)</f>
        <v/>
      </c>
      <c r="J6" s="104">
        <f>IFERROR(SUMPRODUCT(--((rMes_RF=MesCiclo)*(rTipo_RF="Macro")),rPeso_RF,rEf4_RF),0)</f>
        <v/>
      </c>
      <c r="K6">
        <f>IF(ROUND(G6,4)&gt;=1,1,IF(ROUND(H6,4)&gt;=1,2,IF(ROUND(I6,4)&gt;=1,3,IF(ROUND(J6,4)&gt;=1,4,""))))</f>
        <v/>
      </c>
      <c r="L6">
        <f>AND(E6,ROUND(F6,4)&gt;=1)</f>
        <v/>
      </c>
      <c r="M6">
        <f>AND(L6,MIN(IF(K6="",4,K6),SemanaActual)&lt;4)</f>
        <v/>
      </c>
      <c r="N6">
        <f>COUNTIFS(rEstado_RF,"Completado",rMes_RF,MesCiclo,rTipo_RF,"Macro")</f>
        <v/>
      </c>
      <c r="O6">
        <f>COUNTIFS(rEstado_RF,"En curso",rMes_RF,MesCiclo,rTipo_RF,"Macro")</f>
        <v/>
      </c>
      <c r="P6">
        <f>COUNTIFS(rEstado_RF,"Pendiente",rMes_RF,MesCiclo,rTipo_RF,"Macro")</f>
        <v/>
      </c>
      <c r="Q6">
        <f>SUMPRODUCT((rMes_RF=MesCiclo)*(rTipo_RF="Macro")*ISNUMBER(SEARCH("Vencida",rValid_RF)))</f>
        <v/>
      </c>
      <c r="R6">
        <f>SUMPRODUCT((rMes_RF=MesCiclo)*(LEFT(rValid_RF,1)="⚠"))</f>
        <v/>
      </c>
      <c r="S6">
        <f>COUNTIFS(rFLim_RF,"&gt;="&amp;FechaRef,rFLim_RF,"&lt;="&amp;(FechaRef+DiasAlerta),rAvance_RF,"&lt;1",rMes_RF,MesCiclo,rTipo_RF,"Macro")</f>
        <v/>
      </c>
      <c r="T6" t="inlineStr">
        <is>
          <t>Cronograma R. Financiero</t>
        </is>
      </c>
    </row>
    <row r="7">
      <c r="A7">
        <f>INDEX(ListaPuestos,4)</f>
        <v/>
      </c>
      <c r="B7">
        <f>COUNTIFS(rValid_ATR,"?*",rMes_ATR,MesCiclo,rTipo_ATR,"Macro")</f>
        <v/>
      </c>
      <c r="C7" s="104">
        <f>SUMIFS(rPeso_ATR,rMes_ATR,MesCiclo,rTipo_ATR,"Macro")</f>
        <v/>
      </c>
      <c r="D7" s="104">
        <f>COUNTIFS(rValid_ATR,"?*",rPeso_ATR,"",rMes_ATR,MesCiclo,rTipo_ATR,"Macro")+COUNTIFS(rPeso_ATR,"&lt;=0",rMes_ATR,MesCiclo,rTipo_ATR,"Macro")+COUNTIFS(rPeso_ATR,"&gt;1",rMes_ATR,MesCiclo,rTipo_ATR,"Macro")</f>
        <v/>
      </c>
      <c r="E7">
        <f>AND(B7&gt;0,D7=0,ABS(C7-1)&lt;=0.0001)</f>
        <v/>
      </c>
      <c r="F7" s="104">
        <f>IFERROR(SUMPRODUCT(--((rMes_ATR=MesCiclo)*(rTipo_ATR="Macro")),rPeso_ATR,rAvance_ATR),0)</f>
        <v/>
      </c>
      <c r="G7" s="104">
        <f>IFERROR(SUMPRODUCT(--((rMes_ATR=MesCiclo)*(rTipo_ATR="Macro")),rPeso_ATR,rEf1_ATR),0)</f>
        <v/>
      </c>
      <c r="H7" s="104">
        <f>IFERROR(SUMPRODUCT(--((rMes_ATR=MesCiclo)*(rTipo_ATR="Macro")),rPeso_ATR,rEf2_ATR),0)</f>
        <v/>
      </c>
      <c r="I7" s="104">
        <f>IFERROR(SUMPRODUCT(--((rMes_ATR=MesCiclo)*(rTipo_ATR="Macro")),rPeso_ATR,rEf3_ATR),0)</f>
        <v/>
      </c>
      <c r="J7" s="104">
        <f>IFERROR(SUMPRODUCT(--((rMes_ATR=MesCiclo)*(rTipo_ATR="Macro")),rPeso_ATR,rEf4_ATR),0)</f>
        <v/>
      </c>
      <c r="K7">
        <f>IF(ROUND(G7,4)&gt;=1,1,IF(ROUND(H7,4)&gt;=1,2,IF(ROUND(I7,4)&gt;=1,3,IF(ROUND(J7,4)&gt;=1,4,""))))</f>
        <v/>
      </c>
      <c r="L7">
        <f>AND(E7,ROUND(F7,4)&gt;=1)</f>
        <v/>
      </c>
      <c r="M7">
        <f>AND(L7,MIN(IF(K7="",4,K7),SemanaActual)&lt;4)</f>
        <v/>
      </c>
      <c r="N7">
        <f>COUNTIFS(rEstado_ATR,"Completado",rMes_ATR,MesCiclo,rTipo_ATR,"Macro")</f>
        <v/>
      </c>
      <c r="O7">
        <f>COUNTIFS(rEstado_ATR,"En curso",rMes_ATR,MesCiclo,rTipo_ATR,"Macro")</f>
        <v/>
      </c>
      <c r="P7">
        <f>COUNTIFS(rEstado_ATR,"Pendiente",rMes_ATR,MesCiclo,rTipo_ATR,"Macro")</f>
        <v/>
      </c>
      <c r="Q7">
        <f>SUMPRODUCT((rMes_ATR=MesCiclo)*(rTipo_ATR="Macro")*ISNUMBER(SEARCH("Vencida",rValid_ATR)))</f>
        <v/>
      </c>
      <c r="R7">
        <f>SUMPRODUCT((rMes_ATR=MesCiclo)*(LEFT(rValid_ATR,1)="⚠"))</f>
        <v/>
      </c>
      <c r="S7">
        <f>COUNTIFS(rFLim_ATR,"&gt;="&amp;FechaRef,rFLim_ATR,"&lt;="&amp;(FechaRef+DiasAlerta),rAvance_ATR,"&lt;1",rMes_ATR,MesCiclo,rTipo_ATR,"Macro")</f>
        <v/>
      </c>
      <c r="T7" t="inlineStr">
        <is>
          <t>Cronograma Asistente Técnico</t>
        </is>
      </c>
    </row>
    <row r="8">
      <c r="A8" t="inlineStr">
        <is>
          <t>Total actividades del mes (promedio de 4 puestos)</t>
        </is>
      </c>
      <c r="B8">
        <f>SUM(B4:B7)</f>
        <v/>
      </c>
      <c r="C8" s="105">
        <f>COUNTIF(E4:E7,TRUE)</f>
        <v/>
      </c>
      <c r="D8" s="104">
        <f>IF(C8&gt;0,SUMPRODUCT(F4:F7*(E4:E7=TRUE))/C8,"")</f>
        <v/>
      </c>
      <c r="E8">
        <f>AND(E4,E5,E6,E7)</f>
        <v/>
      </c>
      <c r="F8" s="104">
        <f>IF(E8,AVERAGE(F4:F7),"")</f>
        <v/>
      </c>
      <c r="G8" s="104">
        <f>IF($E$8,AVERAGE(G4:G7),"")</f>
        <v/>
      </c>
      <c r="H8" s="104">
        <f>IF($E$8,AVERAGE(H4:H7),"")</f>
        <v/>
      </c>
      <c r="I8" s="104">
        <f>IF($E$8,AVERAGE(I4:I7),"")</f>
        <v/>
      </c>
      <c r="J8" s="104">
        <f>IF($E$8,AVERAGE(J4:J7),"")</f>
        <v/>
      </c>
      <c r="K8">
        <f>IF(NOT(E8),"",IF(ROUND(G8,4)&gt;=1,1,IF(ROUND(H8,4)&gt;=1,2,IF(ROUND(I8,4)&gt;=1,3,IF(ROUND(J8,4)&gt;=1,4,"")))))</f>
        <v/>
      </c>
      <c r="L8">
        <f>AND(E8,ROUND(N(F8),4)&gt;=1)</f>
        <v/>
      </c>
      <c r="M8">
        <f>AND(L8,MIN(IF(K8="",4,K8),SemanaActual)&lt;4)</f>
        <v/>
      </c>
      <c r="N8">
        <f>SUM(N4:N7)</f>
        <v/>
      </c>
      <c r="O8">
        <f>SUM(O4:O7)</f>
        <v/>
      </c>
      <c r="P8">
        <f>SUM(P4:P7)</f>
        <v/>
      </c>
      <c r="Q8">
        <f>SUM(Q4:Q7)</f>
        <v/>
      </c>
      <c r="R8">
        <f>SUM(R4:R7)</f>
        <v/>
      </c>
      <c r="S8">
        <f>SUM(S4:S7)</f>
        <v/>
      </c>
    </row>
    <row r="9">
      <c r="A9" s="106" t="inlineStr">
        <is>
          <t>Fila 8: C = n° puestos válidos; D = avance provisional (promedio solo de puestos válidos).</t>
        </is>
      </c>
    </row>
    <row r="10">
      <c r="A10" t="inlineStr">
        <is>
          <t>Semana visible en seguimiento</t>
        </is>
      </c>
      <c r="G10">
        <f>OR(1&lt;=SemanaActual,(COUNTIFS(rMes_RO,MesCiclo,rS1_RO,"&lt;&gt;")+COUNTIFS(rMes_RN,MesCiclo,rS1_RN,"&lt;&gt;")+COUNTIFS(rMes_RF,MesCiclo,rS1_RF,"&lt;&gt;")+COUNTIFS(rMes_ATR,MesCiclo,rS1_ATR,"&lt;&gt;"))&gt;0)</f>
        <v/>
      </c>
      <c r="H10">
        <f>OR(2&lt;=SemanaActual,(COUNTIFS(rMes_RO,MesCiclo,rS2_RO,"&lt;&gt;")+COUNTIFS(rMes_RN,MesCiclo,rS2_RN,"&lt;&gt;")+COUNTIFS(rMes_RF,MesCiclo,rS2_RF,"&lt;&gt;")+COUNTIFS(rMes_ATR,MesCiclo,rS2_ATR,"&lt;&gt;"))&gt;0)</f>
        <v/>
      </c>
      <c r="I10">
        <f>OR(3&lt;=SemanaActual,(COUNTIFS(rMes_RO,MesCiclo,rS3_RO,"&lt;&gt;")+COUNTIFS(rMes_RN,MesCiclo,rS3_RN,"&lt;&gt;")+COUNTIFS(rMes_RF,MesCiclo,rS3_RF,"&lt;&gt;")+COUNTIFS(rMes_ATR,MesCiclo,rS3_ATR,"&lt;&gt;"))&gt;0)</f>
        <v/>
      </c>
      <c r="J10">
        <f>OR(4&lt;=SemanaActual,(COUNTIFS(rMes_RO,MesCiclo,rS4_RO,"&lt;&gt;")+COUNTIFS(rMes_RN,MesCiclo,rS4_RN,"&lt;&gt;")+COUNTIFS(rMes_RF,MesCiclo,rS4_RF,"&lt;&gt;")+COUNTIFS(rMes_ATR,MesCiclo,rS4_ATR,"&lt;&gt;"))&gt;0)</f>
        <v/>
      </c>
    </row>
    <row r="11">
      <c r="A11" t="inlineStr">
        <is>
          <t>Total registros</t>
        </is>
      </c>
      <c r="B11">
        <f>B8</f>
        <v/>
      </c>
    </row>
    <row r="12">
      <c r="A12" t="inlineStr">
        <is>
          <t>Puestos al 100%</t>
        </is>
      </c>
      <c r="B12">
        <f>COUNTIF(L4:L7,TRUE)</f>
        <v/>
      </c>
    </row>
    <row r="13">
      <c r="A13" t="inlineStr">
        <is>
          <t>Próximas a vencer</t>
        </is>
      </c>
      <c r="B13">
        <f>S8</f>
        <v/>
      </c>
    </row>
    <row r="15">
      <c r="A15" t="inlineStr">
        <is>
          <t>Mes mostrado (día 1)</t>
        </is>
      </c>
      <c r="B15" s="107">
        <f>DATE(YEAR(MesEntrada),MONTH(MesEntrada),1)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2026-10-09T20:54:41Z</dcterms:created>
  <dcterms:modified xmlns:dcterms="http://purl.org/dc/terms/" xmlns:xsi="http://www.w3.org/2001/XMLSchema-instance" xsi:type="dcterms:W3CDTF">2026-10-09T20:54:45Z</dcterms:modified>
</cp:coreProperties>
</file>