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Cronograma R. Operacional" sheetId="2" state="visible" r:id="rId2"/>
    <sheet xmlns:r="http://schemas.openxmlformats.org/officeDocument/2006/relationships" name="Hitos R. Operacional" sheetId="3" state="visible" r:id="rId3"/>
    <sheet xmlns:r="http://schemas.openxmlformats.org/officeDocument/2006/relationships" name="Cronograma R. Legal y Normativo" sheetId="4" state="visible" r:id="rId4"/>
    <sheet xmlns:r="http://schemas.openxmlformats.org/officeDocument/2006/relationships" name="Hitos R. Legal y Normativo" sheetId="5" state="visible" r:id="rId5"/>
    <sheet xmlns:r="http://schemas.openxmlformats.org/officeDocument/2006/relationships" name="Cronograma R. Financiero" sheetId="6" state="visible" r:id="rId6"/>
    <sheet xmlns:r="http://schemas.openxmlformats.org/officeDocument/2006/relationships" name="Hitos R. Financiero" sheetId="7" state="visible" r:id="rId7"/>
    <sheet xmlns:r="http://schemas.openxmlformats.org/officeDocument/2006/relationships" name="Cronograma Asistente Técnico" sheetId="8" state="visible" r:id="rId8"/>
    <sheet xmlns:r="http://schemas.openxmlformats.org/officeDocument/2006/relationships" name="Hitos Asistente Técnico" sheetId="9" state="visible" r:id="rId9"/>
    <sheet xmlns:r="http://schemas.openxmlformats.org/officeDocument/2006/relationships" name="Instrucciones" sheetId="10" state="visible" r:id="rId10"/>
    <sheet xmlns:r="http://schemas.openxmlformats.org/officeDocument/2006/relationships" name="Configuración" sheetId="11" state="visible" r:id="rId11"/>
    <sheet xmlns:r="http://schemas.openxmlformats.org/officeDocument/2006/relationships" name="Calculos" sheetId="12" state="hidden" r:id="rId12"/>
  </sheets>
  <definedNames>
    <definedName name="SemanaActual">'Configuración'!$C$4</definedName>
    <definedName name="FechaRef">'Configuración'!$C$5</definedName>
    <definedName name="InicioCiclo">'Configuración'!$C$6</definedName>
    <definedName name="DiasAlerta">'Configuración'!$C$7</definedName>
    <definedName name="EvidenciaObligatoria">'Configuración'!$C$8</definedName>
    <definedName name="MetaFinal">'Configuración'!$C$9</definedName>
    <definedName name="PlanRef">'Configuración'!$C$12:$C$15</definedName>
    <definedName name="ListaPuestos">'Configuración'!$B$19:$B$22</definedName>
    <definedName name="ListaEstados">'Configuración'!$B$25:$B$27</definedName>
    <definedName name="ListaSemanas">'Configuración'!$B$30:$B$33</definedName>
    <definedName name="ListaSiNo">'Configuración'!$B$36:$B$37</definedName>
    <definedName name="rID_RO">'Cronograma R. Operacional'!$A$5:$A$1000</definedName>
    <definedName name="rFLim_RO">'Cronograma R. Operacional'!$F$5:$F$1000</definedName>
    <definedName name="rPeso_RO">'Cronograma R. Operacional'!$G$5:$G$1000</definedName>
    <definedName name="rS1_RO">'Cronograma R. Operacional'!$H$5:$H$1000</definedName>
    <definedName name="rS2_RO">'Cronograma R. Operacional'!$I$5:$I$1000</definedName>
    <definedName name="rS3_RO">'Cronograma R. Operacional'!$J$5:$J$1000</definedName>
    <definedName name="rS4_RO">'Cronograma R. Operacional'!$K$5:$K$1000</definedName>
    <definedName name="rAvance_RO">'Cronograma R. Operacional'!$L$5:$L$1000</definedName>
    <definedName name="rEstado_RO">'Cronograma R. Operacional'!$M$5:$M$1000</definedName>
    <definedName name="rValid_RO">'Cronograma R. Operacional'!$P$5:$P$1000</definedName>
    <definedName name="rID_RLN">'Cronograma R. Legal y Normativo'!$A$5:$A$1000</definedName>
    <definedName name="rFLim_RLN">'Cronograma R. Legal y Normativo'!$F$5:$F$1000</definedName>
    <definedName name="rPeso_RLN">'Cronograma R. Legal y Normativo'!$G$5:$G$1000</definedName>
    <definedName name="rS1_RLN">'Cronograma R. Legal y Normativo'!$H$5:$H$1000</definedName>
    <definedName name="rS2_RLN">'Cronograma R. Legal y Normativo'!$I$5:$I$1000</definedName>
    <definedName name="rS3_RLN">'Cronograma R. Legal y Normativo'!$J$5:$J$1000</definedName>
    <definedName name="rS4_RLN">'Cronograma R. Legal y Normativo'!$K$5:$K$1000</definedName>
    <definedName name="rAvance_RLN">'Cronograma R. Legal y Normativo'!$L$5:$L$1000</definedName>
    <definedName name="rEstado_RLN">'Cronograma R. Legal y Normativo'!$M$5:$M$1000</definedName>
    <definedName name="rValid_RLN">'Cronograma R. Legal y Normativo'!$P$5:$P$1000</definedName>
    <definedName name="rID_RF">'Cronograma R. Financiero'!$A$5:$A$1000</definedName>
    <definedName name="rFLim_RF">'Cronograma R. Financiero'!$F$5:$F$1000</definedName>
    <definedName name="rPeso_RF">'Cronograma R. Financiero'!$G$5:$G$1000</definedName>
    <definedName name="rS1_RF">'Cronograma R. Financiero'!$H$5:$H$1000</definedName>
    <definedName name="rS2_RF">'Cronograma R. Financiero'!$I$5:$I$1000</definedName>
    <definedName name="rS3_RF">'Cronograma R. Financiero'!$J$5:$J$1000</definedName>
    <definedName name="rS4_RF">'Cronograma R. Financiero'!$K$5:$K$1000</definedName>
    <definedName name="rAvance_RF">'Cronograma R. Financiero'!$L$5:$L$1000</definedName>
    <definedName name="rEstado_RF">'Cronograma R. Financiero'!$M$5:$M$1000</definedName>
    <definedName name="rValid_RF">'Cronograma R. Financiero'!$P$5:$P$1000</definedName>
    <definedName name="rID_ATR">'Cronograma Asistente Técnico'!$A$5:$A$1000</definedName>
    <definedName name="rFLim_ATR">'Cronograma Asistente Técnico'!$F$5:$F$1000</definedName>
    <definedName name="rPeso_ATR">'Cronograma Asistente Técnico'!$G$5:$G$1000</definedName>
    <definedName name="rS1_ATR">'Cronograma Asistente Técnico'!$H$5:$H$1000</definedName>
    <definedName name="rS2_ATR">'Cronograma Asistente Técnico'!$I$5:$I$1000</definedName>
    <definedName name="rS3_ATR">'Cronograma Asistente Técnico'!$J$5:$J$1000</definedName>
    <definedName name="rS4_ATR">'Cronograma Asistente Técnico'!$K$5:$K$1000</definedName>
    <definedName name="rAvance_ATR">'Cronograma Asistente Técnico'!$L$5:$L$1000</definedName>
    <definedName name="rEstado_ATR">'Cronograma Asistente Técnico'!$M$5:$M$1000</definedName>
    <definedName name="rValid_ATR">'Cronograma Asistente Técnico'!$P$5:$P$1000</definedName>
    <definedName name="hSemana_RO">'Hitos R. Operacional'!$B$5:$B$500</definedName>
    <definedName name="hFechaObj_RO">'Hitos R. Operacional'!$C$5:$C$500</definedName>
    <definedName name="hEstado_RO">'Hitos R. Operacional'!$H$5:$H$500</definedName>
    <definedName name="hSemana_RLN">'Hitos R. Legal y Normativo'!$B$5:$B$500</definedName>
    <definedName name="hFechaObj_RLN">'Hitos R. Legal y Normativo'!$C$5:$C$500</definedName>
    <definedName name="hEstado_RLN">'Hitos R. Legal y Normativo'!$H$5:$H$500</definedName>
    <definedName name="hSemana_RF">'Hitos R. Financiero'!$B$5:$B$500</definedName>
    <definedName name="hFechaObj_RF">'Hitos R. Financiero'!$C$5:$C$500</definedName>
    <definedName name="hEstado_RF">'Hitos R. Financiero'!$H$5:$H$500</definedName>
    <definedName name="hSemana_ATR">'Hitos Asistente Técnico'!$B$5:$B$500</definedName>
    <definedName name="hFechaObj_ATR">'Hitos Asistente Técnico'!$C$5:$C$500</definedName>
    <definedName name="hEstado_ATR">'Hitos Asistente Técnico'!$H$5:$H$500</definedName>
    <definedName name="_xlnm.Print_Titles" localSheetId="0">'Dashboard - Consolidado'!$1:$2</definedName>
    <definedName name="_xlnm.Print_Area" localSheetId="0">'Dashboard - Consolidado'!$A$1:$N$75</definedName>
    <definedName name="_xlnm.Print_Titles" localSheetId="1">'Cronograma R. Operacional'!$4:$4</definedName>
    <definedName name="_xlnm.Print_Area" localSheetId="1">'Cronograma R. Operacional'!$A$1:$P$104</definedName>
    <definedName name="_xlnm.Print_Titles" localSheetId="2">'Hitos R. Operacional'!$4:$4</definedName>
    <definedName name="_xlnm.Print_Area" localSheetId="2">'Hitos R. Operacional'!$A$1:$K$24</definedName>
    <definedName name="_xlnm.Print_Titles" localSheetId="3">'Cronograma R. Legal y Normativo'!$4:$4</definedName>
    <definedName name="_xlnm.Print_Area" localSheetId="3">'Cronograma R. Legal y Normativo'!$A$1:$P$104</definedName>
    <definedName name="_xlnm.Print_Titles" localSheetId="4">'Hitos R. Legal y Normativo'!$4:$4</definedName>
    <definedName name="_xlnm.Print_Area" localSheetId="4">'Hitos R. Legal y Normativo'!$A$1:$K$24</definedName>
    <definedName name="_xlnm.Print_Titles" localSheetId="5">'Cronograma R. Financiero'!$4:$4</definedName>
    <definedName name="_xlnm.Print_Area" localSheetId="5">'Cronograma R. Financiero'!$A$1:$P$104</definedName>
    <definedName name="_xlnm.Print_Titles" localSheetId="6">'Hitos R. Financiero'!$4:$4</definedName>
    <definedName name="_xlnm.Print_Area" localSheetId="6">'Hitos R. Financiero'!$A$1:$K$24</definedName>
    <definedName name="_xlnm.Print_Titles" localSheetId="7">'Cronograma Asistente Técnico'!$4:$4</definedName>
    <definedName name="_xlnm.Print_Area" localSheetId="7">'Cronograma Asistente Técnico'!$A$1:$P$104</definedName>
    <definedName name="_xlnm.Print_Titles" localSheetId="8">'Hitos Asistente Técnico'!$4:$4</definedName>
    <definedName name="_xlnm.Print_Area" localSheetId="8">'Hitos Asistente Técnico'!$A$1:$K$24</definedName>
  </definedNames>
  <calcPr calcId="124519" fullCalcOnLoad="1"/>
</workbook>
</file>

<file path=xl/styles.xml><?xml version="1.0" encoding="utf-8"?>
<styleSheet xmlns="http://schemas.openxmlformats.org/spreadsheetml/2006/main">
  <numFmts count="6">
    <numFmt numFmtId="164" formatCode="dd/mm/yyyy"/>
    <numFmt numFmtId="165" formatCode="yyyy-mm-dd"/>
    <numFmt numFmtId="166" formatCode="0.0%"/>
    <numFmt numFmtId="167" formatCode="0&quot; de 4&quot;"/>
    <numFmt numFmtId="168" formatCode="0%;;&quot;&quot;"/>
    <numFmt numFmtId="169" formatCode="+0%;-0%;0%"/>
  </numFmts>
  <fonts count="27">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F3864"/>
      <sz val="9"/>
    </font>
    <font>
      <name val="Arial"/>
      <b val="1"/>
      <color rgb="001A1A1A"/>
      <sz val="9"/>
    </font>
    <font>
      <name val="Arial"/>
      <b val="1"/>
      <color rgb="007F6000"/>
      <sz val="9"/>
    </font>
    <font>
      <name val="Arial"/>
      <i val="1"/>
      <color rgb="001A1A1A"/>
      <sz val="8"/>
    </font>
    <font>
      <name val="Arial"/>
      <b val="1"/>
      <color rgb="00FFFFFF"/>
      <sz val="9"/>
    </font>
    <font>
      <name val="Arial"/>
      <b val="1"/>
      <color rgb="00FFFFFF"/>
      <sz val="16"/>
    </font>
    <font>
      <name val="Arial"/>
      <b val="1"/>
      <color rgb="001F3864"/>
      <sz val="11"/>
    </font>
    <font>
      <name val="Arial"/>
      <i val="1"/>
      <color rgb="001F3864"/>
      <sz val="9"/>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9">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FFF7D6"/>
        <bgColor rgb="00FFF7D6"/>
      </patternFill>
    </fill>
    <fill>
      <patternFill patternType="solid">
        <fgColor rgb="00F2F2F2"/>
        <bgColor rgb="00F2F2F2"/>
      </patternFill>
    </fill>
    <fill>
      <patternFill patternType="solid">
        <fgColor rgb="00DDEBF7"/>
        <bgColor rgb="00DDEBF7"/>
      </patternFill>
    </fill>
    <fill>
      <patternFill patternType="solid">
        <fgColor rgb="00FFF2CC"/>
        <bgColor rgb="00FFF2CC"/>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8">
    <xf numFmtId="0" fontId="0" fillId="0" borderId="0" pivotButton="0" quotePrefix="0" xfId="0"/>
    <xf numFmtId="0" fontId="16" fillId="2" borderId="0" applyAlignment="1" pivotButton="0" quotePrefix="0" xfId="0">
      <alignment horizontal="left" vertical="center" wrapText="1"/>
    </xf>
    <xf numFmtId="0" fontId="5" fillId="0" borderId="0" applyAlignment="1" pivotButton="0" quotePrefix="0" xfId="0">
      <alignment horizontal="right"/>
    </xf>
    <xf numFmtId="167" fontId="17" fillId="0" borderId="0" applyAlignment="1" pivotButton="0" quotePrefix="0" xfId="0">
      <alignment horizontal="center" vertical="center" wrapText="1"/>
    </xf>
    <xf numFmtId="164" fontId="17" fillId="0" borderId="0" applyAlignment="1" pivotButton="0" quotePrefix="0" xfId="0">
      <alignment horizontal="center" vertical="center" wrapText="1"/>
    </xf>
    <xf numFmtId="0" fontId="18"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19" fillId="8" borderId="1" applyAlignment="1" pivotButton="0" quotePrefix="0" xfId="0">
      <alignment horizontal="center" vertical="center" wrapText="1"/>
    </xf>
    <xf numFmtId="0" fontId="19" fillId="8" borderId="1" applyAlignment="1" pivotButton="0" quotePrefix="0" xfId="0">
      <alignment horizontal="center" vertical="center" wrapText="1"/>
    </xf>
    <xf numFmtId="1" fontId="19" fillId="8" borderId="1" applyAlignment="1" pivotButton="0" quotePrefix="0" xfId="0">
      <alignment horizontal="center" vertical="center" wrapText="1"/>
    </xf>
    <xf numFmtId="0" fontId="9" fillId="6" borderId="1" applyAlignment="1" pivotButton="0" quotePrefix="0" xfId="0">
      <alignment horizontal="center" vertical="center" wrapText="1"/>
    </xf>
    <xf numFmtId="167" fontId="19" fillId="8"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7" fillId="0" borderId="1" applyAlignment="1" pivotButton="0" quotePrefix="0" xfId="0">
      <alignment horizontal="center" vertical="center" wrapText="1"/>
    </xf>
    <xf numFmtId="0" fontId="20" fillId="2" borderId="0" applyAlignment="1" pivotButton="0" quotePrefix="0" xfId="0">
      <alignment horizontal="left" vertical="center" wrapText="1"/>
    </xf>
    <xf numFmtId="0" fontId="0" fillId="0" borderId="1" pivotButton="0" quotePrefix="0" xfId="0"/>
    <xf numFmtId="0" fontId="4" fillId="0" borderId="1" applyAlignment="1" pivotButton="0" quotePrefix="0" xfId="0">
      <alignment horizontal="left" vertical="center" wrapText="1"/>
    </xf>
    <xf numFmtId="9" fontId="8" fillId="0" borderId="1" applyAlignment="1" pivotButton="0" quotePrefix="0" xfId="0">
      <alignment horizontal="center" vertical="center" wrapText="1"/>
    </xf>
    <xf numFmtId="168" fontId="2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6" borderId="1" applyAlignment="1" pivotButton="0" quotePrefix="0" xfId="0">
      <alignment horizontal="left" vertical="center" wrapText="1"/>
    </xf>
    <xf numFmtId="9" fontId="5" fillId="6" borderId="1" applyAlignment="1" pivotButton="0" quotePrefix="0" xfId="0">
      <alignment horizontal="center" vertical="center" wrapText="1"/>
    </xf>
    <xf numFmtId="168" fontId="22"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15" fillId="3" borderId="1" applyAlignment="1" pivotButton="0" quotePrefix="0" xfId="0">
      <alignment horizontal="center" vertical="center" wrapText="1"/>
    </xf>
    <xf numFmtId="0" fontId="11" fillId="6" borderId="1" applyAlignment="1" pivotButton="0" quotePrefix="0" xfId="0">
      <alignment horizontal="center" vertical="center" wrapText="1"/>
    </xf>
    <xf numFmtId="0" fontId="8" fillId="0" borderId="1" applyAlignment="1" pivotButton="0" quotePrefix="0" xfId="0">
      <alignment horizontal="left" vertical="center" wrapText="1"/>
    </xf>
    <xf numFmtId="169" fontId="8" fillId="0" borderId="1" applyAlignment="1" pivotButton="0" quotePrefix="0" xfId="0">
      <alignment horizontal="center" vertical="center" wrapText="1"/>
    </xf>
    <xf numFmtId="169" fontId="5" fillId="6" borderId="1" applyAlignment="1" pivotButton="0" quotePrefix="0" xfId="0">
      <alignment horizontal="center" vertical="center" wrapText="1"/>
    </xf>
    <xf numFmtId="0" fontId="23" fillId="8" borderId="1" applyAlignment="1" pivotButton="0" quotePrefix="0" xfId="0">
      <alignment horizontal="left" vertical="center" wrapText="1"/>
    </xf>
    <xf numFmtId="9" fontId="23" fillId="8" borderId="1" applyAlignment="1" pivotButton="0" quotePrefix="0" xfId="0">
      <alignment horizontal="center" vertical="center" wrapText="1"/>
    </xf>
    <xf numFmtId="169" fontId="5"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24" fillId="8" borderId="1" applyAlignment="1" pivotButton="0" quotePrefix="0" xfId="0">
      <alignment horizontal="left" vertical="center" wrapText="1"/>
    </xf>
    <xf numFmtId="9" fontId="24" fillId="8" borderId="1" applyAlignment="1" pivotButton="0" quotePrefix="0" xfId="0">
      <alignment horizontal="center" vertical="center" wrapText="1"/>
    </xf>
    <xf numFmtId="0" fontId="25" fillId="0" borderId="0"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2" borderId="0" applyAlignment="1" pivotButton="0" quotePrefix="0" xfId="0">
      <alignment horizontal="left" vertical="center" wrapText="1"/>
    </xf>
    <xf numFmtId="0" fontId="9"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0" borderId="0" applyAlignment="1" pivotButton="0" quotePrefix="0" xfId="0">
      <alignment horizontal="right" vertical="center"/>
    </xf>
    <xf numFmtId="166" fontId="5" fillId="0" borderId="1" applyAlignment="1" pivotButton="0" quotePrefix="0" xfId="0">
      <alignment horizontal="center" vertical="center" wrapText="1"/>
    </xf>
    <xf numFmtId="0" fontId="12" fillId="0" borderId="0" pivotButton="0" quotePrefix="0" xfId="0"/>
    <xf numFmtId="0" fontId="3" fillId="2"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5" borderId="1" applyAlignment="1" pivotButton="0" quotePrefix="0" xfId="0">
      <alignment horizontal="left" vertical="center" wrapText="1"/>
    </xf>
    <xf numFmtId="0" fontId="8" fillId="4" borderId="1" applyAlignment="1" applyProtection="1" pivotButton="0" quotePrefix="0" xfId="0">
      <alignment horizontal="left" vertical="center" wrapText="1"/>
      <protection locked="0" hidden="0"/>
    </xf>
    <xf numFmtId="164" fontId="8" fillId="4" borderId="1" applyAlignment="1" applyProtection="1" pivotButton="0" quotePrefix="0" xfId="0">
      <alignment horizontal="center" vertical="center" wrapText="1"/>
      <protection locked="0" hidden="0"/>
    </xf>
    <xf numFmtId="166"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13" fillId="7" borderId="0" applyAlignment="1" pivotButton="0" quotePrefix="0" xfId="0">
      <alignment horizontal="left" vertical="center" wrapText="1"/>
    </xf>
    <xf numFmtId="0" fontId="14" fillId="0" borderId="0" pivotButton="0" quotePrefix="0" xfId="0"/>
    <xf numFmtId="0" fontId="26"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1" fontId="5" fillId="4" borderId="1" applyAlignment="1" applyProtection="1" pivotButton="0" quotePrefix="0" xfId="0">
      <alignment horizontal="center" vertical="center" wrapText="1"/>
      <protection locked="0" hidden="0"/>
    </xf>
    <xf numFmtId="164"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5" fillId="2" borderId="0" applyAlignment="1" pivotButton="0" quotePrefix="0" xfId="0">
      <alignment horizontal="center" vertical="center" wrapText="1"/>
    </xf>
    <xf numFmtId="166" fontId="0" fillId="0" borderId="0" pivotButton="0" quotePrefix="0" xfId="0"/>
    <xf numFmtId="1" fontId="0" fillId="0" borderId="0" pivotButton="0" quotePrefix="0" xfId="0"/>
  </cellXfs>
  <cellStyles count="1">
    <cellStyle name="Normal" xfId="0" builtinId="0" hidden="0"/>
  </cellStyles>
  <dxfs count="9">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0061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Avance ponderado por puesto</a:t>
            </a:r>
          </a:p>
        </rich>
      </tx>
    </title>
    <plotArea>
      <barChart>
        <barDir val="bar"/>
        <grouping val="clustered"/>
        <ser>
          <idx val="0"/>
          <order val="0"/>
          <spPr>
            <a:solidFill xmlns:a="http://schemas.openxmlformats.org/drawingml/2006/main">
              <a:srgbClr val="2E75B6"/>
            </a:solidFill>
            <a:ln xmlns:a="http://schemas.openxmlformats.org/drawingml/2006/main">
              <a:solidFill>
                <a:srgbClr val="2E75B6"/>
              </a:solidFill>
              <a:prstDash val="solid"/>
            </a:ln>
          </spPr>
          <cat>
            <numRef>
              <f>'Dashboard - Consolidado'!$B$16:$B$19</f>
            </numRef>
          </cat>
          <val>
            <numRef>
              <f>'Dashboard - Consolidado'!$D$16:$D$19</f>
            </numRef>
          </val>
        </ser>
        <dLbls>
          <numFmt formatCode="0%"/>
          <showLegendKey val="0"/>
          <showVal val="1"/>
          <showCatName val="0"/>
          <showSerName val="0"/>
          <showPercent val="0"/>
        </dLbls>
        <gapWidth val="15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general acumulado vs plan de referencia</a:t>
            </a:r>
          </a:p>
        </rich>
      </tx>
    </title>
    <plotArea>
      <barChart>
        <barDir val="col"/>
        <grouping val="clustered"/>
        <ser>
          <idx val="0"/>
          <order val="0"/>
          <tx>
            <strRef>
              <f>'Dashboard - Consolidado'!B29</f>
            </strRef>
          </tx>
          <spPr>
            <a:solidFill xmlns:a="http://schemas.openxmlformats.org/drawingml/2006/main">
              <a:srgbClr val="1F3864"/>
            </a:solidFill>
            <a:ln xmlns:a="http://schemas.openxmlformats.org/drawingml/2006/main">
              <a:prstDash val="solid"/>
            </a:ln>
          </spPr>
          <cat>
            <numRef>
              <f>'Dashboard - Consolidado'!$C$24:$F$24</f>
            </numRef>
          </cat>
          <val>
            <numRef>
              <f>'Dashboard - Consolidado'!$C$29:$F$29</f>
            </numRef>
          </val>
        </ser>
        <ser>
          <idx val="1"/>
          <order val="1"/>
          <tx>
            <strRef>
              <f>'Dashboard - Consolidado'!B30</f>
            </strRef>
          </tx>
          <spPr>
            <a:solidFill xmlns:a="http://schemas.openxmlformats.org/drawingml/2006/main">
              <a:srgbClr val="BFBFBF"/>
            </a:solidFill>
            <a:ln xmlns:a="http://schemas.openxmlformats.org/drawingml/2006/main">
              <a:prstDash val="solid"/>
            </a:ln>
          </spPr>
          <cat>
            <numRef>
              <f>'Dashboard - Consolidado'!$C$24:$F$24</f>
            </numRef>
          </cat>
          <val>
            <numRef>
              <f>'Dashboard - Consolidado'!$C$30:$F$30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34</row>
      <rowOff>0</rowOff>
    </from>
    <ext cx="558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63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blAct_RO" displayName="tblAct_RO" ref="A4:P104" headerRowCount="1">
  <autoFilter ref="A4:P104"/>
  <tableColumns count="16">
    <tableColumn id="1" name="ID Actividad"/>
    <tableColumn id="2" name="Área / Puesto">
      <calculatedColumnFormula>IF((COUNTA(tblAct_RO[[#This Row],[ID Actividad]])+COUNTA(tblAct_RO[[#This Row],[Macro Actividad]:[Avance Semana 4 (%)]])+COUNTA(tblAct_RO[[#This Row],[Última actualización]:[Evidencia / Observaciones]]))&gt;0,"Riesgo Operacional","")</calculatedColumnFormula>
    </tableColumn>
    <tableColumn id="3" name="Macro 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IF(NOT((COUNTA(tblAct_RO[[#This Row],[ID Actividad]])+COUNTA(tblAct_RO[[#This Row],[Macro Actividad]:[Avance Semana 4 (%)]])+COUNTA(tblAct_RO[[#This Row],[Última actualización]:[Evidencia / Observaciones]]))&gt;0),"",IFERROR(LOOKUP(2,1/(tblAct_RO[[#This Row],[Avance Semana 1 (%)]:[Avance Semana 4 (%)]]&lt;&gt;""),tblAct_RO[[#This Row],[Avance Semana 1 (%)]:[Avance Semana 4 (%)]]),0))</calculatedColumnFormula>
    </tableColumn>
    <tableColumn id="13" name="Estado">
      <calculatedColumnFormula>IF(tblAct_RO[[#This Row],[% de Avance Total Actual]]="","",IF(tblAct_RO[[#This Row],[% de Avance Total Actual]]&gt;=1,"Completado",IF(tblAct_RO[[#This Row],[% de Avance Total Actual]]&gt;0,"En curso","Pendiente")))</calculatedColumnFormula>
    </tableColumn>
    <tableColumn id="14" name="Última actualización"/>
    <tableColumn id="15" name="Evidencia / Observaciones"/>
    <tableColumn id="16" name="Validación de datos">
      <calculatedColumnFormula>IF(NOT((COUNTA(tblAct_RO[[#This Row],[ID Actividad]])+COUNTA(tblAct_RO[[#This Row],[Macro Actividad]:[Avance Semana 4 (%)]])+COUNTA(tblAct_RO[[#This Row],[Última actualización]:[Evidencia / Observaciones]]))&gt;0),"",IF((IF(tblAct_RO[[#This Row],[ID Actividad]]="","Falta ID"&amp;" · ","")&amp;IF(AND(tblAct_RO[[#This Row],[ID Actividad]]&lt;&gt;"",(COUNTIF('Cronograma R. Operacional'!$A$5:$A$1000,tblAct_RO[[#This Row],[ID Actividad]])+COUNTIF('Cronograma R. Legal y Normativo'!$A$5:$A$1000,tblAct_RO[[#This Row],[ID Actividad]])+COUNTIF('Cronograma R. Financiero'!$A$5:$A$1000,tblAct_RO[[#This Row],[ID Actividad]])+COUNTIF('Cronograma Asistente Técnico'!$A$5:$A$1000,tblAct_RO[[#This Row],[ID Actividad]]))&gt;1),"ID duplicado"&amp;" · ","")&amp;IF(tblAct_RO[[#This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","")&amp;IF(ABS(SUM($G$5:$G$1000)-1)&gt;0.0001,"Pesos del puesto suman "&amp;TEXT(SUM($G$5:$G$1000),"0%")&amp;"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","")&amp;IF(AND(EvidenciaObligatoria="Sí",N(tblAct_RO[[#This Row],[% de Avance Total Actual]])&gt;=1,tblAct_RO[[#This Row],[Evidencia / Observaciones]]=""),"Completada sin evidencia"&amp;" · ",""))="","✔ OK","⚠ "&amp;LEFT(IF(tblAct_RO[[#This Row],[ID Actividad]]="","Falta ID"&amp;" · ","")&amp;IF(AND(tblAct_RO[[#This Row],[ID Actividad]]&lt;&gt;"",(COUNTIF('Cronograma R. Operacional'!$A$5:$A$1000,tblAct_RO[[#This Row],[ID Actividad]])+COUNTIF('Cronograma R. Legal y Normativo'!$A$5:$A$1000,tblAct_RO[[#This Row],[ID Actividad]])+COUNTIF('Cronograma R. Financiero'!$A$5:$A$1000,tblAct_RO[[#This Row],[ID Actividad]])+COUNTIF('Cronograma Asistente Técnico'!$A$5:$A$1000,tblAct_RO[[#This Row],[ID Actividad]]))&gt;1),"ID duplicado"&amp;" · ","")&amp;IF(tblAct_RO[[#This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","")&amp;IF(ABS(SUM($G$5:$G$1000)-1)&gt;0.0001,"Pesos del puesto suman "&amp;TEXT(SUM($G$5:$G$1000),"0%")&amp;"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","")&amp;IF(AND(EvidenciaObligatoria="Sí",N(tblAct_RO[[#This Row],[% de Avance Total Actual]])&gt;=1,tblAct_RO[[#This Row],[Evidencia / Observaciones]]=""),"Completada sin evidencia"&amp;" · ",""),LEN(IF(tblAct_RO[[#This Row],[ID Actividad]]="","Falta ID"&amp;" · ","")&amp;IF(AND(tblAct_RO[[#This Row],[ID Actividad]]&lt;&gt;"",(COUNTIF('Cronograma R. Operacional'!$A$5:$A$1000,tblAct_RO[[#This Row],[ID Actividad]])+COUNTIF('Cronograma R. Legal y Normativo'!$A$5:$A$1000,tblAct_RO[[#This Row],[ID Actividad]])+COUNTIF('Cronograma R. Financiero'!$A$5:$A$1000,tblAct_RO[[#This Row],[ID Actividad]])+COUNTIF('Cronograma Asistente Técnico'!$A$5:$A$1000,tblAct_RO[[#This Row],[ID Actividad]]))&gt;1),"ID duplicado"&amp;" · ","")&amp;IF(tblAct_RO[[#This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","")&amp;IF(ABS(SUM($G$5:$G$1000)-1)&gt;0.0001,"Pesos del puesto suman "&amp;TEXT(SUM($G$5:$G$1000),"0%")&amp;"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","")&amp;IF(AND(EvidenciaObligatoria="Sí",N(tblAct_RO[[#This Row],[% de Avance Total Actual]])&gt;=1,tblAct_RO[[#This Row],[Evidencia / Observaciones]]=""),"Completada sin evidencia"&amp;" · ",""))-3)))</calculatedColumnFormula>
    </tableColumn>
  </tableColumns>
  <tableStyleInfo name="TableStyleLight1" showRowStripes="0"/>
</table>
</file>

<file path=xl/tables/table2.xml><?xml version="1.0" encoding="utf-8"?>
<table xmlns="http://schemas.openxmlformats.org/spreadsheetml/2006/main" id="2" name="tblHitos_RO" displayName="tblHitos_RO" ref="A4:K24" headerRowCount="1">
  <autoFilter ref="A4:K24"/>
  <tableColumns count="11">
    <tableColumn id="1" name="ID Hito"/>
    <tableColumn id="2" name="Semana"/>
    <tableColumn id="3" name="Fecha objetivo"/>
    <tableColumn id="4" name="Área / Puesto"/>
    <tableColumn id="5" name="Entregable / Hito"/>
    <tableColumn id="6" name="Criterio de aceptación"/>
    <tableColumn id="7" name="Responsable"/>
    <tableColumn id="8" name="Estado"/>
    <tableColumn id="9" name="Fecha real de cumplimiento"/>
    <tableColumn id="10" name="Evidencia / Enlace"/>
    <tableColumn id="11" name="Observaciones"/>
  </tableColumns>
  <tableStyleInfo name="TableStyleLight1" showRowStripes="0"/>
</table>
</file>

<file path=xl/tables/table3.xml><?xml version="1.0" encoding="utf-8"?>
<table xmlns="http://schemas.openxmlformats.org/spreadsheetml/2006/main" id="3" name="tblAct_RLN" displayName="tblAct_RLN" ref="A4:P104" headerRowCount="1">
  <autoFilter ref="A4:P104"/>
  <tableColumns count="16">
    <tableColumn id="1" name="ID Actividad"/>
    <tableColumn id="2" name="Área / Puesto">
      <calculatedColumnFormula>IF((COUNTA(tblAct_RLN[[#This Row],[ID Actividad]])+COUNTA(tblAct_RLN[[#This Row],[Macro Actividad]:[Avance Semana 4 (%)]])+COUNTA(tblAct_RLN[[#This Row],[Última actualización]:[Evidencia / Observaciones]]))&gt;0,"Riesgo Legal y Normativo","")</calculatedColumnFormula>
    </tableColumn>
    <tableColumn id="3" name="Macro 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IF(NOT((COUNTA(tblAct_RLN[[#This Row],[ID Actividad]])+COUNTA(tblAct_RLN[[#This Row],[Macro Actividad]:[Avance Semana 4 (%)]])+COUNTA(tblAct_RLN[[#This Row],[Última actualización]:[Evidencia / Observaciones]]))&gt;0),"",IFERROR(LOOKUP(2,1/(tblAct_RLN[[#This Row],[Avance Semana 1 (%)]:[Avance Semana 4 (%)]]&lt;&gt;""),tblAct_RLN[[#This Row],[Avance Semana 1 (%)]:[Avance Semana 4 (%)]]),0))</calculatedColumnFormula>
    </tableColumn>
    <tableColumn id="13" name="Estado">
      <calculatedColumnFormula>IF(tblAct_RLN[[#This Row],[% de Avance Total Actual]]="","",IF(tblAct_RLN[[#This Row],[% de Avance Total Actual]]&gt;=1,"Completado",IF(tblAct_RLN[[#This Row],[% de Avance Total Actual]]&gt;0,"En curso","Pendiente")))</calculatedColumnFormula>
    </tableColumn>
    <tableColumn id="14" name="Última actualización"/>
    <tableColumn id="15" name="Evidencia / Observaciones"/>
    <tableColumn id="16" name="Validación de datos">
      <calculatedColumnFormula>IF(NOT((COUNTA(tblAct_RLN[[#This Row],[ID Actividad]])+COUNTA(tblAct_RLN[[#This Row],[Macro Actividad]:[Avance Semana 4 (%)]])+COUNTA(tblAct_RLN[[#This Row],[Última actualización]:[Evidencia / Observaciones]]))&gt;0),"",IF((IF(tblAct_RLN[[#This Row],[ID Actividad]]="","Falta ID"&amp;" · ","")&amp;IF(AND(tblAct_RLN[[#This Row],[ID Actividad]]&lt;&gt;"",(COUNTIF('Cronograma R. Operacional'!$A$5:$A$1000,tblAct_RLN[[#This Row],[ID Actividad]])+COUNTIF('Cronograma R. Legal y Normativo'!$A$5:$A$1000,tblAct_RLN[[#This Row],[ID Actividad]])+COUNTIF('Cronograma R. Financiero'!$A$5:$A$1000,tblAct_RLN[[#This Row],[ID Actividad]])+COUNTIF('Cronograma Asistente Técnico'!$A$5:$A$1000,tblAct_RLN[[#This Row],[ID Actividad]]))&gt;1),"ID duplicado"&amp;" · ","")&amp;IF(tblAct_RLN[[#This Row],[Macro Actividad]]="","Macroactividad vacía"&amp;" · ","")&amp;IF(tblAct_RLN[[#This Row],[Responsable]]="","Sin responsable"&amp;" · ","")&amp;IF(tblAct_RLN[[#This Row],[Fecha de inicio]]="","Sin fecha de inicio"&amp;" · ","")&amp;IF(tblAct_RLN[[#This Row],[Fecha límite]]="","Sin fecha límite"&amp;" · ","")&amp;IF(OR(AND(tblAct_RLN[[#This Row],[Fecha de inicio]]&lt;&gt;"",NOT(ISNUMBER(tblAct_RLN[[#This Row],[Fecha de inicio]]))),AND(tblAct_RLN[[#This Row],[Fecha límite]]&lt;&gt;"",NOT(ISNUMBER(tblAct_RLN[[#This Row],[Fecha límite]])))),"Fecha no válida"&amp;" · ","")&amp;IF(AND(ISNUMBER(tblAct_RLN[[#This Row],[Fecha de inicio]]),ISNUMBER(tblAct_RLN[[#This Row],[Fecha límite]]),tblAct_RLN[[#This Row],[Fecha de inicio]]&gt;tblAct_RLN[[#This Row],[Fecha límite]]),"Inicio posterior a fecha límite"&amp;" · ","")&amp;IF(tblAct_RLN[[#This Row],[Peso de actividad (%)]]="","Peso vacío"&amp;" · ","")&amp;IF(AND(tblAct_RLN[[#This Row],[Peso de actividad (%)]]&lt;&gt;"",OR(NOT(ISNUMBER(tblAct_RLN[[#This Row],[Peso de actividad (%)]])),tblAct_RLN[[#This Row],[Peso de actividad (%)]]&lt;=0,tblAct_RLN[[#This Row],[Peso de actividad (%)]]&gt;1)),"Peso fuera de rango"&amp;" · ","")&amp;IF(ABS(SUM($G$5:$G$1000)-1)&gt;0.0001,"Pesos del puesto suman "&amp;TEXT(SUM($G$5:$G$1000),"0%")&amp;" · ","")&amp;IF((COUNTIF(tblAct_RLN[[#This Row],[Avance Semana 1 (%)]:[Avance Semana 4 (%)]],"&gt;1")+COUNTIF(tblAct_RLN[[#This Row],[Avance Semana 1 (%)]:[Avance Semana 4 (%)]],"&lt;0")+COUNTA(tblAct_RLN[[#This Row],[Avance Semana 1 (%)]:[Avance Semana 4 (%)]])-COUNT(tblAct_RLN[[#This Row],[Avance Semana 1 (%)]:[Avance Semana 4 (%)]]))&gt;0,"Avance fuera de rango 0-100%"&amp;" · ","")&amp;IF(OR(AND(tblAct_RLN[[#This Row],[Avance Semana 2 (%)]]&lt;&gt;"",tblAct_RLN[[#This Row],[Avance Semana 2 (%)]]&lt;tblAct_RLN[[#This Row],[Avance Semana 1 (%)]]),AND(tblAct_RLN[[#This Row],[Avance Semana 3 (%)]]&lt;&gt;"",tblAct_RLN[[#This Row],[Avance Semana 3 (%)]]&lt;MAX(tblAct_RLN[[#This Row],[Avance Semana 1 (%)]:[Avance Semana 2 (%)]])),AND(tblAct_RLN[[#This Row],[Avance Semana 4 (%)]]&lt;&gt;"",tblAct_RLN[[#This Row],[Avance Semana 4 (%)]]&lt;MAX(tblAct_RLN[[#This Row],[Avance Semana 1 (%)]:[Avance Semana 3 (%)]]))),"Avance semanal decreciente"&amp;" · ","")&amp;IF(AND(ISNUMBER(tblAct_RLN[[#This Row],[Fecha límite]]),tblAct_RLN[[#This Row],[Fecha límite]]&lt;FechaRef,N(tblAct_RLN[[#This Row],[% de Avance Total Actual]])&lt;1),"Vencida"&amp;" · ","")&amp;IF(AND(EvidenciaObligatoria="Sí",N(tblAct_RLN[[#This Row],[% de Avance Total Actual]])&gt;=1,tblAct_RLN[[#This Row],[Evidencia / Observaciones]]=""),"Completada sin evidencia"&amp;" · ",""))="","✔ OK","⚠ "&amp;LEFT(IF(tblAct_RLN[[#This Row],[ID Actividad]]="","Falta ID"&amp;" · ","")&amp;IF(AND(tblAct_RLN[[#This Row],[ID Actividad]]&lt;&gt;"",(COUNTIF('Cronograma R. Operacional'!$A$5:$A$1000,tblAct_RLN[[#This Row],[ID Actividad]])+COUNTIF('Cronograma R. Legal y Normativo'!$A$5:$A$1000,tblAct_RLN[[#This Row],[ID Actividad]])+COUNTIF('Cronograma R. Financiero'!$A$5:$A$1000,tblAct_RLN[[#This Row],[ID Actividad]])+COUNTIF('Cronograma Asistente Técnico'!$A$5:$A$1000,tblAct_RLN[[#This Row],[ID Actividad]]))&gt;1),"ID duplicado"&amp;" · ","")&amp;IF(tblAct_RLN[[#This Row],[Macro Actividad]]="","Macroactividad vacía"&amp;" · ","")&amp;IF(tblAct_RLN[[#This Row],[Responsable]]="","Sin responsable"&amp;" · ","")&amp;IF(tblAct_RLN[[#This Row],[Fecha de inicio]]="","Sin fecha de inicio"&amp;" · ","")&amp;IF(tblAct_RLN[[#This Row],[Fecha límite]]="","Sin fecha límite"&amp;" · ","")&amp;IF(OR(AND(tblAct_RLN[[#This Row],[Fecha de inicio]]&lt;&gt;"",NOT(ISNUMBER(tblAct_RLN[[#This Row],[Fecha de inicio]]))),AND(tblAct_RLN[[#This Row],[Fecha límite]]&lt;&gt;"",NOT(ISNUMBER(tblAct_RLN[[#This Row],[Fecha límite]])))),"Fecha no válida"&amp;" · ","")&amp;IF(AND(ISNUMBER(tblAct_RLN[[#This Row],[Fecha de inicio]]),ISNUMBER(tblAct_RLN[[#This Row],[Fecha límite]]),tblAct_RLN[[#This Row],[Fecha de inicio]]&gt;tblAct_RLN[[#This Row],[Fecha límite]]),"Inicio posterior a fecha límite"&amp;" · ","")&amp;IF(tblAct_RLN[[#This Row],[Peso de actividad (%)]]="","Peso vacío"&amp;" · ","")&amp;IF(AND(tblAct_RLN[[#This Row],[Peso de actividad (%)]]&lt;&gt;"",OR(NOT(ISNUMBER(tblAct_RLN[[#This Row],[Peso de actividad (%)]])),tblAct_RLN[[#This Row],[Peso de actividad (%)]]&lt;=0,tblAct_RLN[[#This Row],[Peso de actividad (%)]]&gt;1)),"Peso fuera de rango"&amp;" · ","")&amp;IF(ABS(SUM($G$5:$G$1000)-1)&gt;0.0001,"Pesos del puesto suman "&amp;TEXT(SUM($G$5:$G$1000),"0%")&amp;" · ","")&amp;IF((COUNTIF(tblAct_RLN[[#This Row],[Avance Semana 1 (%)]:[Avance Semana 4 (%)]],"&gt;1")+COUNTIF(tblAct_RLN[[#This Row],[Avance Semana 1 (%)]:[Avance Semana 4 (%)]],"&lt;0")+COUNTA(tblAct_RLN[[#This Row],[Avance Semana 1 (%)]:[Avance Semana 4 (%)]])-COUNT(tblAct_RLN[[#This Row],[Avance Semana 1 (%)]:[Avance Semana 4 (%)]]))&gt;0,"Avance fuera de rango 0-100%"&amp;" · ","")&amp;IF(OR(AND(tblAct_RLN[[#This Row],[Avance Semana 2 (%)]]&lt;&gt;"",tblAct_RLN[[#This Row],[Avance Semana 2 (%)]]&lt;tblAct_RLN[[#This Row],[Avance Semana 1 (%)]]),AND(tblAct_RLN[[#This Row],[Avance Semana 3 (%)]]&lt;&gt;"",tblAct_RLN[[#This Row],[Avance Semana 3 (%)]]&lt;MAX(tblAct_RLN[[#This Row],[Avance Semana 1 (%)]:[Avance Semana 2 (%)]])),AND(tblAct_RLN[[#This Row],[Avance Semana 4 (%)]]&lt;&gt;"",tblAct_RLN[[#This Row],[Avance Semana 4 (%)]]&lt;MAX(tblAct_RLN[[#This Row],[Avance Semana 1 (%)]:[Avance Semana 3 (%)]]))),"Avance semanal decreciente"&amp;" · ","")&amp;IF(AND(ISNUMBER(tblAct_RLN[[#This Row],[Fecha límite]]),tblAct_RLN[[#This Row],[Fecha límite]]&lt;FechaRef,N(tblAct_RLN[[#This Row],[% de Avance Total Actual]])&lt;1),"Vencida"&amp;" · ","")&amp;IF(AND(EvidenciaObligatoria="Sí",N(tblAct_RLN[[#This Row],[% de Avance Total Actual]])&gt;=1,tblAct_RLN[[#This Row],[Evidencia / Observaciones]]=""),"Completada sin evidencia"&amp;" · ",""),LEN(IF(tblAct_RLN[[#This Row],[ID Actividad]]="","Falta ID"&amp;" · ","")&amp;IF(AND(tblAct_RLN[[#This Row],[ID Actividad]]&lt;&gt;"",(COUNTIF('Cronograma R. Operacional'!$A$5:$A$1000,tblAct_RLN[[#This Row],[ID Actividad]])+COUNTIF('Cronograma R. Legal y Normativo'!$A$5:$A$1000,tblAct_RLN[[#This Row],[ID Actividad]])+COUNTIF('Cronograma R. Financiero'!$A$5:$A$1000,tblAct_RLN[[#This Row],[ID Actividad]])+COUNTIF('Cronograma Asistente Técnico'!$A$5:$A$1000,tblAct_RLN[[#This Row],[ID Actividad]]))&gt;1),"ID duplicado"&amp;" · ","")&amp;IF(tblAct_RLN[[#This Row],[Macro Actividad]]="","Macroactividad vacía"&amp;" · ","")&amp;IF(tblAct_RLN[[#This Row],[Responsable]]="","Sin responsable"&amp;" · ","")&amp;IF(tblAct_RLN[[#This Row],[Fecha de inicio]]="","Sin fecha de inicio"&amp;" · ","")&amp;IF(tblAct_RLN[[#This Row],[Fecha límite]]="","Sin fecha límite"&amp;" · ","")&amp;IF(OR(AND(tblAct_RLN[[#This Row],[Fecha de inicio]]&lt;&gt;"",NOT(ISNUMBER(tblAct_RLN[[#This Row],[Fecha de inicio]]))),AND(tblAct_RLN[[#This Row],[Fecha límite]]&lt;&gt;"",NOT(ISNUMBER(tblAct_RLN[[#This Row],[Fecha límite]])))),"Fecha no válida"&amp;" · ","")&amp;IF(AND(ISNUMBER(tblAct_RLN[[#This Row],[Fecha de inicio]]),ISNUMBER(tblAct_RLN[[#This Row],[Fecha límite]]),tblAct_RLN[[#This Row],[Fecha de inicio]]&gt;tblAct_RLN[[#This Row],[Fecha límite]]),"Inicio posterior a fecha límite"&amp;" · ","")&amp;IF(tblAct_RLN[[#This Row],[Peso de actividad (%)]]="","Peso vacío"&amp;" · ","")&amp;IF(AND(tblAct_RLN[[#This Row],[Peso de actividad (%)]]&lt;&gt;"",OR(NOT(ISNUMBER(tblAct_RLN[[#This Row],[Peso de actividad (%)]])),tblAct_RLN[[#This Row],[Peso de actividad (%)]]&lt;=0,tblAct_RLN[[#This Row],[Peso de actividad (%)]]&gt;1)),"Peso fuera de rango"&amp;" · ","")&amp;IF(ABS(SUM($G$5:$G$1000)-1)&gt;0.0001,"Pesos del puesto suman "&amp;TEXT(SUM($G$5:$G$1000),"0%")&amp;" · ","")&amp;IF((COUNTIF(tblAct_RLN[[#This Row],[Avance Semana 1 (%)]:[Avance Semana 4 (%)]],"&gt;1")+COUNTIF(tblAct_RLN[[#This Row],[Avance Semana 1 (%)]:[Avance Semana 4 (%)]],"&lt;0")+COUNTA(tblAct_RLN[[#This Row],[Avance Semana 1 (%)]:[Avance Semana 4 (%)]])-COUNT(tblAct_RLN[[#This Row],[Avance Semana 1 (%)]:[Avance Semana 4 (%)]]))&gt;0,"Avance fuera de rango 0-100%"&amp;" · ","")&amp;IF(OR(AND(tblAct_RLN[[#This Row],[Avance Semana 2 (%)]]&lt;&gt;"",tblAct_RLN[[#This Row],[Avance Semana 2 (%)]]&lt;tblAct_RLN[[#This Row],[Avance Semana 1 (%)]]),AND(tblAct_RLN[[#This Row],[Avance Semana 3 (%)]]&lt;&gt;"",tblAct_RLN[[#This Row],[Avance Semana 3 (%)]]&lt;MAX(tblAct_RLN[[#This Row],[Avance Semana 1 (%)]:[Avance Semana 2 (%)]])),AND(tblAct_RLN[[#This Row],[Avance Semana 4 (%)]]&lt;&gt;"",tblAct_RLN[[#This Row],[Avance Semana 4 (%)]]&lt;MAX(tblAct_RLN[[#This Row],[Avance Semana 1 (%)]:[Avance Semana 3 (%)]]))),"Avance semanal decreciente"&amp;" · ","")&amp;IF(AND(ISNUMBER(tblAct_RLN[[#This Row],[Fecha límite]]),tblAct_RLN[[#This Row],[Fecha límite]]&lt;FechaRef,N(tblAct_RLN[[#This Row],[% de Avance Total Actual]])&lt;1),"Vencida"&amp;" · ","")&amp;IF(AND(EvidenciaObligatoria="Sí",N(tblAct_RLN[[#This Row],[% de Avance Total Actual]])&gt;=1,tblAct_RLN[[#This Row],[Evidencia / Observaciones]]=""),"Completada sin evidencia"&amp;" · ",""))-3)))</calculatedColumnFormula>
    </tableColumn>
  </tableColumns>
  <tableStyleInfo name="TableStyleLight1" showRowStripes="0"/>
</table>
</file>

<file path=xl/tables/table4.xml><?xml version="1.0" encoding="utf-8"?>
<table xmlns="http://schemas.openxmlformats.org/spreadsheetml/2006/main" id="4" name="tblHitos_RLN" displayName="tblHitos_RLN" ref="A4:K24" headerRowCount="1">
  <autoFilter ref="A4:K24"/>
  <tableColumns count="11">
    <tableColumn id="1" name="ID Hito"/>
    <tableColumn id="2" name="Semana"/>
    <tableColumn id="3" name="Fecha objetivo"/>
    <tableColumn id="4" name="Área / Puesto"/>
    <tableColumn id="5" name="Entregable / Hito"/>
    <tableColumn id="6" name="Criterio de aceptación"/>
    <tableColumn id="7" name="Responsable"/>
    <tableColumn id="8" name="Estado"/>
    <tableColumn id="9" name="Fecha real de cumplimiento"/>
    <tableColumn id="10" name="Evidencia / Enlace"/>
    <tableColumn id="11" name="Observaciones"/>
  </tableColumns>
  <tableStyleInfo name="TableStyleLight1" showRowStripes="0"/>
</table>
</file>

<file path=xl/tables/table5.xml><?xml version="1.0" encoding="utf-8"?>
<table xmlns="http://schemas.openxmlformats.org/spreadsheetml/2006/main" id="5" name="tblAct_RF" displayName="tblAct_RF" ref="A4:P104" headerRowCount="1">
  <autoFilter ref="A4:P104"/>
  <tableColumns count="16">
    <tableColumn id="1" name="ID Actividad"/>
    <tableColumn id="2" name="Área / Puesto">
      <calculatedColumnFormula>IF((COUNTA(tblAct_RF[[#This Row],[ID Actividad]])+COUNTA(tblAct_RF[[#This Row],[Macro Actividad]:[Avance Semana 4 (%)]])+COUNTA(tblAct_RF[[#This Row],[Última actualización]:[Evidencia / Observaciones]]))&gt;0,"Riesgo Financiero","")</calculatedColumnFormula>
    </tableColumn>
    <tableColumn id="3" name="Macro 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IF(NOT((COUNTA(tblAct_RF[[#This Row],[ID Actividad]])+COUNTA(tblAct_RF[[#This Row],[Macro Actividad]:[Avance Semana 4 (%)]])+COUNTA(tblAct_RF[[#This Row],[Última actualización]:[Evidencia / Observaciones]]))&gt;0),"",IFERROR(LOOKUP(2,1/(tblAct_RF[[#This Row],[Avance Semana 1 (%)]:[Avance Semana 4 (%)]]&lt;&gt;""),tblAct_RF[[#This Row],[Avance Semana 1 (%)]:[Avance Semana 4 (%)]]),0))</calculatedColumnFormula>
    </tableColumn>
    <tableColumn id="13" name="Estado">
      <calculatedColumnFormula>IF(tblAct_RF[[#This Row],[% de Avance Total Actual]]="","",IF(tblAct_RF[[#This Row],[% de Avance Total Actual]]&gt;=1,"Completado",IF(tblAct_RF[[#This Row],[% de Avance Total Actual]]&gt;0,"En curso","Pendiente")))</calculatedColumnFormula>
    </tableColumn>
    <tableColumn id="14" name="Última actualización"/>
    <tableColumn id="15" name="Evidencia / Observaciones"/>
    <tableColumn id="16" name="Validación de datos">
      <calculatedColumnFormula>IF(NOT((COUNTA(tblAct_RF[[#This Row],[ID Actividad]])+COUNTA(tblAct_RF[[#This Row],[Macro Actividad]:[Avance Semana 4 (%)]])+COUNTA(tblAct_RF[[#This Row],[Última actualización]:[Evidencia / Observaciones]]))&gt;0),"",IF((IF(tblAct_RF[[#This Row],[ID Actividad]]="","Falta ID"&amp;" · ","")&amp;IF(AND(tblAct_RF[[#This Row],[ID Actividad]]&lt;&gt;"",(COUNTIF('Cronograma R. Operacional'!$A$5:$A$1000,tblAct_RF[[#This Row],[ID Actividad]])+COUNTIF('Cronograma R. Legal y Normativo'!$A$5:$A$1000,tblAct_RF[[#This Row],[ID Actividad]])+COUNTIF('Cronograma R. Financiero'!$A$5:$A$1000,tblAct_RF[[#This Row],[ID Actividad]])+COUNTIF('Cronograma Asistente Técnico'!$A$5:$A$1000,tblAct_RF[[#This Row],[ID Actividad]]))&gt;1),"ID duplicado"&amp;" · ","")&amp;IF(tblAct_RF[[#This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","")&amp;IF(ABS(SUM($G$5:$G$1000)-1)&gt;0.0001,"Pesos del puesto suman "&amp;TEXT(SUM($G$5:$G$1000),"0%")&amp;"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","")&amp;IF(AND(EvidenciaObligatoria="Sí",N(tblAct_RF[[#This Row],[% de Avance Total Actual]])&gt;=1,tblAct_RF[[#This Row],[Evidencia / Observaciones]]=""),"Completada sin evidencia"&amp;" · ",""))="","✔ OK","⚠ "&amp;LEFT(IF(tblAct_RF[[#This Row],[ID Actividad]]="","Falta ID"&amp;" · ","")&amp;IF(AND(tblAct_RF[[#This Row],[ID Actividad]]&lt;&gt;"",(COUNTIF('Cronograma R. Operacional'!$A$5:$A$1000,tblAct_RF[[#This Row],[ID Actividad]])+COUNTIF('Cronograma R. Legal y Normativo'!$A$5:$A$1000,tblAct_RF[[#This Row],[ID Actividad]])+COUNTIF('Cronograma R. Financiero'!$A$5:$A$1000,tblAct_RF[[#This Row],[ID Actividad]])+COUNTIF('Cronograma Asistente Técnico'!$A$5:$A$1000,tblAct_RF[[#This Row],[ID Actividad]]))&gt;1),"ID duplicado"&amp;" · ","")&amp;IF(tblAct_RF[[#This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","")&amp;IF(ABS(SUM($G$5:$G$1000)-1)&gt;0.0001,"Pesos del puesto suman "&amp;TEXT(SUM($G$5:$G$1000),"0%")&amp;"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","")&amp;IF(AND(EvidenciaObligatoria="Sí",N(tblAct_RF[[#This Row],[% de Avance Total Actual]])&gt;=1,tblAct_RF[[#This Row],[Evidencia / Observaciones]]=""),"Completada sin evidencia"&amp;" · ",""),LEN(IF(tblAct_RF[[#This Row],[ID Actividad]]="","Falta ID"&amp;" · ","")&amp;IF(AND(tblAct_RF[[#This Row],[ID Actividad]]&lt;&gt;"",(COUNTIF('Cronograma R. Operacional'!$A$5:$A$1000,tblAct_RF[[#This Row],[ID Actividad]])+COUNTIF('Cronograma R. Legal y Normativo'!$A$5:$A$1000,tblAct_RF[[#This Row],[ID Actividad]])+COUNTIF('Cronograma R. Financiero'!$A$5:$A$1000,tblAct_RF[[#This Row],[ID Actividad]])+COUNTIF('Cronograma Asistente Técnico'!$A$5:$A$1000,tblAct_RF[[#This Row],[ID Actividad]]))&gt;1),"ID duplicado"&amp;" · ","")&amp;IF(tblAct_RF[[#This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","")&amp;IF(ABS(SUM($G$5:$G$1000)-1)&gt;0.0001,"Pesos del puesto suman "&amp;TEXT(SUM($G$5:$G$1000),"0%")&amp;"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","")&amp;IF(AND(EvidenciaObligatoria="Sí",N(tblAct_RF[[#This Row],[% de Avance Total Actual]])&gt;=1,tblAct_RF[[#This Row],[Evidencia / Observaciones]]=""),"Completada sin evidencia"&amp;" · ",""))-3)))</calculatedColumnFormula>
    </tableColumn>
  </tableColumns>
  <tableStyleInfo name="TableStyleLight1" showRowStripes="0"/>
</table>
</file>

<file path=xl/tables/table6.xml><?xml version="1.0" encoding="utf-8"?>
<table xmlns="http://schemas.openxmlformats.org/spreadsheetml/2006/main" id="6" name="tblHitos_RF" displayName="tblHitos_RF" ref="A4:K24" headerRowCount="1">
  <autoFilter ref="A4:K24"/>
  <tableColumns count="11">
    <tableColumn id="1" name="ID Hito"/>
    <tableColumn id="2" name="Semana"/>
    <tableColumn id="3" name="Fecha objetivo"/>
    <tableColumn id="4" name="Área / Puesto"/>
    <tableColumn id="5" name="Entregable / Hito"/>
    <tableColumn id="6" name="Criterio de aceptación"/>
    <tableColumn id="7" name="Responsable"/>
    <tableColumn id="8" name="Estado"/>
    <tableColumn id="9" name="Fecha real de cumplimiento"/>
    <tableColumn id="10" name="Evidencia / Enlace"/>
    <tableColumn id="11" name="Observaciones"/>
  </tableColumns>
  <tableStyleInfo name="TableStyleLight1" showRowStripes="0"/>
</table>
</file>

<file path=xl/tables/table7.xml><?xml version="1.0" encoding="utf-8"?>
<table xmlns="http://schemas.openxmlformats.org/spreadsheetml/2006/main" id="7" name="tblAct_ATR" displayName="tblAct_ATR" ref="A4:P104" headerRowCount="1">
  <autoFilter ref="A4:P104"/>
  <tableColumns count="16">
    <tableColumn id="1" name="ID Actividad"/>
    <tableColumn id="2" name="Área / Puesto">
      <calculatedColumnFormula>IF((COUNTA(tblAct_ATR[[#This Row],[ID Actividad]])+COUNTA(tblAct_ATR[[#This Row],[Macro Actividad]:[Avance Semana 4 (%)]])+COUNTA(tblAct_ATR[[#This Row],[Última actualización]:[Evidencia / Observaciones]]))&gt;0,"Asistente Técnico de Riesgo","")</calculatedColumnFormula>
    </tableColumn>
    <tableColumn id="3" name="Macro Actividad"/>
    <tableColumn id="4" name="Responsable"/>
    <tableColumn id="5" name="Fecha de inicio"/>
    <tableColumn id="6" name="Fecha límite"/>
    <tableColumn id="7" name="Peso de actividad (%)"/>
    <tableColumn id="8" name="Avance Semana 1 (%)"/>
    <tableColumn id="9" name="Avance Semana 2 (%)"/>
    <tableColumn id="10" name="Avance Semana 3 (%)"/>
    <tableColumn id="11" name="Avance Semana 4 (%)"/>
    <tableColumn id="12" name="% de Avance Total Actual">
      <calculatedColumnFormula>IF(NOT((COUNTA(tblAct_ATR[[#This Row],[ID Actividad]])+COUNTA(tblAct_ATR[[#This Row],[Macro Actividad]:[Avance Semana 4 (%)]])+COUNTA(tblAct_ATR[[#This Row],[Última actualización]:[Evidencia / Observaciones]]))&gt;0),"",IFERROR(LOOKUP(2,1/(tblAct_ATR[[#This Row],[Avance Semana 1 (%)]:[Avance Semana 4 (%)]]&lt;&gt;""),tblAct_ATR[[#This Row],[Avance Semana 1 (%)]:[Avance Semana 4 (%)]]),0))</calculatedColumnFormula>
    </tableColumn>
    <tableColumn id="13" name="Estado">
      <calculatedColumnFormula>IF(tblAct_ATR[[#This Row],[% de Avance Total Actual]]="","",IF(tblAct_ATR[[#This Row],[% de Avance Total Actual]]&gt;=1,"Completado",IF(tblAct_ATR[[#This Row],[% de Avance Total Actual]]&gt;0,"En curso","Pendiente")))</calculatedColumnFormula>
    </tableColumn>
    <tableColumn id="14" name="Última actualización"/>
    <tableColumn id="15" name="Evidencia / Observaciones"/>
    <tableColumn id="16" name="Validación de datos">
      <calculatedColumnFormula>IF(NOT((COUNTA(tblAct_ATR[[#This Row],[ID Actividad]])+COUNTA(tblAct_ATR[[#This Row],[Macro Actividad]:[Avance Semana 4 (%)]])+COUNTA(tblAct_ATR[[#This Row],[Última actualización]:[Evidencia / Observaciones]]))&gt;0),"",IF((IF(tblAct_ATR[[#This Row],[ID Actividad]]="","Falta ID"&amp;" · ","")&amp;IF(AND(tblAct_ATR[[#This Row],[ID Actividad]]&lt;&gt;"",(COUNTIF('Cronograma R. Operacional'!$A$5:$A$1000,tblAct_ATR[[#This Row],[ID Actividad]])+COUNTIF('Cronograma R. Legal y Normativo'!$A$5:$A$1000,tblAct_ATR[[#This Row],[ID Actividad]])+COUNTIF('Cronograma R. Financiero'!$A$5:$A$1000,tblAct_ATR[[#This Row],[ID Actividad]])+COUNTIF('Cronograma Asistente Técnico'!$A$5:$A$1000,tblAct_ATR[[#This Row],[ID Actividad]]))&gt;1),"ID duplicado"&amp;" · ","")&amp;IF(tblAct_ATR[[#This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","")&amp;IF(ABS(SUM($G$5:$G$1000)-1)&gt;0.0001,"Pesos del puesto suman "&amp;TEXT(SUM($G$5:$G$1000),"0%")&amp;"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","")&amp;IF(AND(EvidenciaObligatoria="Sí",N(tblAct_ATR[[#This Row],[% de Avance Total Actual]])&gt;=1,tblAct_ATR[[#This Row],[Evidencia / Observaciones]]=""),"Completada sin evidencia"&amp;" · ",""))="","✔ OK","⚠ "&amp;LEFT(IF(tblAct_ATR[[#This Row],[ID Actividad]]="","Falta ID"&amp;" · ","")&amp;IF(AND(tblAct_ATR[[#This Row],[ID Actividad]]&lt;&gt;"",(COUNTIF('Cronograma R. Operacional'!$A$5:$A$1000,tblAct_ATR[[#This Row],[ID Actividad]])+COUNTIF('Cronograma R. Legal y Normativo'!$A$5:$A$1000,tblAct_ATR[[#This Row],[ID Actividad]])+COUNTIF('Cronograma R. Financiero'!$A$5:$A$1000,tblAct_ATR[[#This Row],[ID Actividad]])+COUNTIF('Cronograma Asistente Técnico'!$A$5:$A$1000,tblAct_ATR[[#This Row],[ID Actividad]]))&gt;1),"ID duplicado"&amp;" · ","")&amp;IF(tblAct_ATR[[#This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","")&amp;IF(ABS(SUM($G$5:$G$1000)-1)&gt;0.0001,"Pesos del puesto suman "&amp;TEXT(SUM($G$5:$G$1000),"0%")&amp;"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","")&amp;IF(AND(EvidenciaObligatoria="Sí",N(tblAct_ATR[[#This Row],[% de Avance Total Actual]])&gt;=1,tblAct_ATR[[#This Row],[Evidencia / Observaciones]]=""),"Completada sin evidencia"&amp;" · ",""),LEN(IF(tblAct_ATR[[#This Row],[ID Actividad]]="","Falta ID"&amp;" · ","")&amp;IF(AND(tblAct_ATR[[#This Row],[ID Actividad]]&lt;&gt;"",(COUNTIF('Cronograma R. Operacional'!$A$5:$A$1000,tblAct_ATR[[#This Row],[ID Actividad]])+COUNTIF('Cronograma R. Legal y Normativo'!$A$5:$A$1000,tblAct_ATR[[#This Row],[ID Actividad]])+COUNTIF('Cronograma R. Financiero'!$A$5:$A$1000,tblAct_ATR[[#This Row],[ID Actividad]])+COUNTIF('Cronograma Asistente Técnico'!$A$5:$A$1000,tblAct_ATR[[#This Row],[ID Actividad]]))&gt;1),"ID duplicado"&amp;" · ","")&amp;IF(tblAct_ATR[[#This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","")&amp;IF(ABS(SUM($G$5:$G$1000)-1)&gt;0.0001,"Pesos del puesto suman "&amp;TEXT(SUM($G$5:$G$1000),"0%")&amp;"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","")&amp;IF(AND(EvidenciaObligatoria="Sí",N(tblAct_ATR[[#This Row],[% de Avance Total Actual]])&gt;=1,tblAct_ATR[[#This Row],[Evidencia / Observaciones]]=""),"Completada sin evidencia"&amp;" · ",""))-3)))</calculatedColumnFormula>
    </tableColumn>
  </tableColumns>
  <tableStyleInfo name="TableStyleLight1" showRowStripes="0"/>
</table>
</file>

<file path=xl/tables/table8.xml><?xml version="1.0" encoding="utf-8"?>
<table xmlns="http://schemas.openxmlformats.org/spreadsheetml/2006/main" id="8" name="tblHitos_ATR" displayName="tblHitos_ATR" ref="A4:K24" headerRowCount="1">
  <autoFilter ref="A4:K24"/>
  <tableColumns count="11">
    <tableColumn id="1" name="ID Hito"/>
    <tableColumn id="2" name="Semana"/>
    <tableColumn id="3" name="Fecha objetivo"/>
    <tableColumn id="4" name="Área / Puesto"/>
    <tableColumn id="5" name="Entregable / Hito"/>
    <tableColumn id="6" name="Criterio de aceptación"/>
    <tableColumn id="7" name="Responsable"/>
    <tableColumn id="8" name="Estado"/>
    <tableColumn id="9" name="Fecha real de cumplimiento"/>
    <tableColumn id="10" name="Evidencia / Enlace"/>
    <tableColumn id="11"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Legal y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Hitos R. Operacional'!A1" TargetMode="External" Id="rId5"/><Relationship Type="http://schemas.openxmlformats.org/officeDocument/2006/relationships/hyperlink" Target="#'Hitos R. Legal y Normativo'!A1" TargetMode="External" Id="rId6"/><Relationship Type="http://schemas.openxmlformats.org/officeDocument/2006/relationships/hyperlink" Target="#'Hitos R. Financiero'!A1" TargetMode="External" Id="rId7"/><Relationship Type="http://schemas.openxmlformats.org/officeDocument/2006/relationships/hyperlink" Target="#'Hitos Asistente T&#233;cnico'!A1" TargetMode="External" Id="rId8"/><Relationship Type="http://schemas.openxmlformats.org/officeDocument/2006/relationships/drawing" Target="/xl/drawings/drawing1.xml" Id="rId9"/></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B1:M74"/>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2"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s>
  <sheetData>
    <row r="1" ht="34" customHeight="1">
      <c r="B1" s="1" t="inlineStr">
        <is>
          <t>Dashboard Consolidado – Gestión de Riesgos · Ciclo de 4 semanas</t>
        </is>
      </c>
      <c r="C1" s="1" t="n"/>
      <c r="D1" s="1" t="n"/>
      <c r="E1" s="1" t="n"/>
      <c r="F1" s="1" t="n"/>
      <c r="G1" s="1" t="n"/>
      <c r="H1" s="1" t="n"/>
      <c r="I1" s="1" t="n"/>
      <c r="J1" s="1" t="n"/>
      <c r="K1" s="1" t="n"/>
      <c r="L1" s="1" t="n"/>
      <c r="M1" s="1" t="n"/>
    </row>
    <row r="2" ht="22" customHeight="1">
      <c r="B2" s="2" t="inlineStr">
        <is>
          <t>Semana actual:</t>
        </is>
      </c>
      <c r="C2" s="3">
        <f>SemanaActual</f>
        <v/>
      </c>
      <c r="D2" s="2" t="inlineStr">
        <is>
          <t>Fecha de corte:</t>
        </is>
      </c>
      <c r="E2" s="4">
        <f>FechaRef</f>
        <v/>
      </c>
      <c r="F2" s="5" t="inlineStr">
        <is>
          <t>Consolida automáticamente las 4 hojas «Cronograma …» y las 4 hojas «Hitos …». Semana y fecha de corte: hoja Configuración.</t>
        </is>
      </c>
      <c r="G2" s="5" t="n"/>
      <c r="H2" s="5" t="n"/>
      <c r="I2" s="5" t="n"/>
      <c r="J2" s="5" t="n"/>
      <c r="K2" s="5" t="n"/>
      <c r="L2" s="5" t="n"/>
      <c r="M2" s="5" t="n"/>
    </row>
    <row r="4" ht="20" customHeight="1">
      <c r="B4" s="6" t="inlineStr">
        <is>
          <t>Avance general del proyecto</t>
        </is>
      </c>
      <c r="C4" s="6" t="n"/>
      <c r="D4" s="6" t="n"/>
      <c r="E4" s="6" t="inlineStr">
        <is>
          <t>Meta de cumplimiento</t>
        </is>
      </c>
      <c r="F4" s="6" t="n"/>
      <c r="G4" s="6" t="n"/>
      <c r="H4" s="6" t="inlineStr">
        <is>
          <t>Macroactividades registradas</t>
        </is>
      </c>
      <c r="I4" s="6" t="n"/>
      <c r="J4" s="6" t="n"/>
      <c r="K4" s="6" t="inlineStr">
        <is>
          <t>Actividades completadas</t>
        </is>
      </c>
      <c r="L4" s="6" t="n"/>
      <c r="M4" s="6" t="n"/>
    </row>
    <row r="5" ht="38" customHeight="1">
      <c r="B5" s="7">
        <f>IF('Calculos'!$E$8,'Calculos'!$F$8,"No definitivo")</f>
        <v/>
      </c>
      <c r="C5" s="8" t="n"/>
      <c r="D5" s="8" t="n"/>
      <c r="E5" s="7">
        <f>MetaFinal</f>
        <v/>
      </c>
      <c r="F5" s="8" t="n"/>
      <c r="G5" s="8" t="n"/>
      <c r="H5" s="9">
        <f>'Calculos'!$B$11</f>
        <v/>
      </c>
      <c r="I5" s="8" t="n"/>
      <c r="J5" s="8" t="n"/>
      <c r="K5" s="9">
        <f>'Calculos'!$N$8</f>
        <v/>
      </c>
      <c r="L5" s="8" t="n"/>
      <c r="M5" s="8" t="n"/>
    </row>
    <row r="6" ht="18" customHeight="1">
      <c r="B6" s="10">
        <f>IF('Calculos'!$E$8,"Promedio simple de los 4 puestos",IF('Calculos'!$C$8=0,"Ningún puesto con datos válidos","Provisional "&amp;TEXT('Calculos'!$D$8,"0%")&amp;" ("&amp;'Calculos'!$C$8&amp;" de 4 puestos válidos)"))</f>
        <v/>
      </c>
      <c r="C6" s="10" t="n"/>
      <c r="D6" s="10" t="n"/>
      <c r="E6" s="10" t="inlineStr">
        <is>
          <t>Al cierre de la Semana 4</t>
        </is>
      </c>
      <c r="F6" s="10" t="n"/>
      <c r="G6" s="10" t="n"/>
      <c r="H6" s="10">
        <f>"Con área asignada: "&amp;'Calculos'!$B$8</f>
        <v/>
      </c>
      <c r="I6" s="10" t="n"/>
      <c r="J6" s="10" t="n"/>
      <c r="K6" s="10">
        <f>IF('Calculos'!$B$11=0,"—",TEXT('Calculos'!$N$8/'Calculos'!$B$11,"0%")&amp;" del total")</f>
        <v/>
      </c>
      <c r="L6" s="10" t="n"/>
      <c r="M6" s="10" t="n"/>
    </row>
    <row r="7" ht="8" customHeight="1"/>
    <row r="8" ht="20" customHeight="1">
      <c r="B8" s="6" t="inlineStr">
        <is>
          <t>Actividades en curso</t>
        </is>
      </c>
      <c r="C8" s="6" t="n"/>
      <c r="D8" s="6" t="n"/>
      <c r="E8" s="6" t="inlineStr">
        <is>
          <t>Actividades pendientes</t>
        </is>
      </c>
      <c r="F8" s="6" t="n"/>
      <c r="G8" s="6" t="n"/>
      <c r="H8" s="6" t="inlineStr">
        <is>
          <t>Puestos que alcanzaron el 100%</t>
        </is>
      </c>
      <c r="I8" s="6" t="n"/>
      <c r="J8" s="6" t="n"/>
      <c r="K8" s="6" t="inlineStr">
        <is>
          <t>Actividades con alertas</t>
        </is>
      </c>
      <c r="L8" s="6" t="n"/>
      <c r="M8" s="6" t="n"/>
    </row>
    <row r="9" ht="38" customHeight="1">
      <c r="B9" s="9">
        <f>'Calculos'!$O$8</f>
        <v/>
      </c>
      <c r="C9" s="8" t="n"/>
      <c r="D9" s="8" t="n"/>
      <c r="E9" s="9">
        <f>'Calculos'!$P$8</f>
        <v/>
      </c>
      <c r="F9" s="8" t="n"/>
      <c r="G9" s="8" t="n"/>
      <c r="H9" s="11">
        <f>'Calculos'!$B$12</f>
        <v/>
      </c>
      <c r="I9" s="8" t="n"/>
      <c r="J9" s="8" t="n"/>
      <c r="K9" s="9">
        <f>'Calculos'!$R$8</f>
        <v/>
      </c>
      <c r="L9" s="8" t="n"/>
      <c r="M9" s="8" t="n"/>
    </row>
    <row r="10" ht="18" customHeight="1">
      <c r="B10" s="10" t="inlineStr">
        <is>
          <t>Avance &gt; 0% y &lt; 100%</t>
        </is>
      </c>
      <c r="C10" s="10" t="n"/>
      <c r="D10" s="10" t="n"/>
      <c r="E10" s="10">
        <f>"De todas las actividades, vencidas: "&amp;'Calculos'!$Q$8</f>
        <v/>
      </c>
      <c r="F10" s="10" t="n"/>
      <c r="G10" s="10" t="n"/>
      <c r="H10" s="10" t="inlineStr">
        <is>
          <t>Con ponderación válida</t>
        </is>
      </c>
      <c r="I10" s="10" t="n"/>
      <c r="J10" s="10" t="n"/>
      <c r="K10" s="10">
        <f>"Próximas a vencer: "&amp;'Calculos'!$B$13</f>
        <v/>
      </c>
      <c r="L10" s="10" t="n"/>
      <c r="M10" s="10" t="n"/>
    </row>
    <row r="12" ht="30" customHeight="1">
      <c r="B12" s="12">
        <f>IF('Calculos'!$E$8,"Avance general vs meta 100%","Avance PROVISIONAL vs meta")</f>
        <v/>
      </c>
      <c r="C12" s="13">
        <f>IF('Calculos'!$E$8,'Calculos'!$F$8,N('Calculos'!$D$8))</f>
        <v/>
      </c>
      <c r="D12" s="14" t="n"/>
      <c r="E12" s="14" t="n"/>
      <c r="F12" s="14" t="n"/>
      <c r="G12" s="15">
        <f>IF('Calculos'!$B$11=0,"⚠ No hay actividades registradas. Cada puesto registra sus actividades y pesos en su hoja «Cronograma …».",IF(NOT('Calculos'!$E$8),"⚠ Avance global NO definitivo: "&amp;(4-'Calculos'!$C$8)&amp;" puesto(s) sin actividades válidas o con pesos que no suman 100%.",IF('Calculos'!$M$8,"Proyecto: ¡Enhorabuena, completado anticipadamente!",IF('Calculos'!$L$8,"Proyecto completado: meta del 100% alcanzada.","Proyecto en ejecución – Semana "&amp;SemanaActual&amp;" de 4."))))</f>
        <v/>
      </c>
      <c r="H12" s="15" t="n"/>
      <c r="I12" s="15" t="n"/>
      <c r="J12" s="15" t="n"/>
      <c r="K12" s="15" t="n"/>
      <c r="L12" s="15" t="n"/>
      <c r="M12" s="15" t="n"/>
    </row>
    <row r="14" ht="24" customHeight="1">
      <c r="B14" s="16" t="inlineStr">
        <is>
          <t>Avance individual por puesto (ponderado por el peso de cada actividad)</t>
        </is>
      </c>
      <c r="C14" s="16" t="n"/>
      <c r="D14" s="16" t="n"/>
      <c r="E14" s="16" t="n"/>
      <c r="F14" s="16" t="n"/>
      <c r="G14" s="16" t="n"/>
      <c r="H14" s="16" t="n"/>
      <c r="I14" s="16" t="n"/>
      <c r="J14" s="16" t="n"/>
      <c r="K14" s="16" t="n"/>
      <c r="L14" s="16" t="n"/>
      <c r="M14" s="16" t="n"/>
    </row>
    <row r="15" ht="30" customHeight="1">
      <c r="B15" s="6" t="inlineStr">
        <is>
          <t>Puesto</t>
        </is>
      </c>
      <c r="C15" s="6" t="inlineStr">
        <is>
          <t>Avance ponderado</t>
        </is>
      </c>
      <c r="D15" s="6" t="inlineStr">
        <is>
          <t>Progreso</t>
        </is>
      </c>
      <c r="E15" s="6" t="inlineStr">
        <is>
          <t>Total actividades</t>
        </is>
      </c>
      <c r="F15" s="6" t="inlineStr">
        <is>
          <t>Completadas</t>
        </is>
      </c>
      <c r="G15" s="6" t="inlineStr">
        <is>
          <t>En curso</t>
        </is>
      </c>
      <c r="H15" s="6" t="inlineStr">
        <is>
          <t>Pendientes</t>
        </is>
      </c>
      <c r="I15" s="6" t="inlineStr">
        <is>
          <t>Vencidas</t>
        </is>
      </c>
      <c r="J15" s="6" t="inlineStr">
        <is>
          <t>Con alertas</t>
        </is>
      </c>
      <c r="K15" s="6" t="inlineStr">
        <is>
          <t>Estado general</t>
        </is>
      </c>
      <c r="L15" s="6" t="inlineStr">
        <is>
          <t>Mensaje de finalización</t>
        </is>
      </c>
      <c r="M15" s="17" t="n"/>
    </row>
    <row r="16" ht="28" customHeight="1">
      <c r="B16" s="18">
        <f>'Calculos'!A4</f>
        <v/>
      </c>
      <c r="C16" s="19">
        <f>IF('Calculos'!B4=0,"Sin actividades",IF(NOT('Calculos'!E4),"Revisar pesos",'Calculos'!F4))</f>
        <v/>
      </c>
      <c r="D16" s="20">
        <f>IF(ISNUMBER(C16),C16,0)</f>
        <v/>
      </c>
      <c r="E16" s="21">
        <f>'Calculos'!B4</f>
        <v/>
      </c>
      <c r="F16" s="21">
        <f>'Calculos'!N4</f>
        <v/>
      </c>
      <c r="G16" s="21">
        <f>'Calculos'!O4</f>
        <v/>
      </c>
      <c r="H16" s="21">
        <f>'Calculos'!P4</f>
        <v/>
      </c>
      <c r="I16" s="21">
        <f>'Calculos'!Q4</f>
        <v/>
      </c>
      <c r="J16" s="21">
        <f>'Calculos'!R4</f>
        <v/>
      </c>
      <c r="K16" s="21">
        <f>IF('Calculos'!B4=0,"Sin actividades",IF(NOT('Calculos'!E4),"Pesos suman "&amp;TEXT('Calculos'!C4,"0%")&amp;IF('Calculos'!D4&gt;0," / "&amp;'Calculos'!D4&amp;" vacío(s)",""),IF('Calculos'!L4,"Completado",IF('Calculos'!F4&gt;0,"En curso","Pendiente"))))</f>
        <v/>
      </c>
      <c r="L16" s="21">
        <f>IF('Calculos'!B4=0,"⚠ Registrar actividades",IF(NOT('Calculos'!E4),"⚠ Configurar ponderación al 100%",IF('Calculos'!M4,"¡Enhorabuena, completado anticipadamente!",IF('Calculos'!L4,"Completado","En ejecución"))))</f>
        <v/>
      </c>
      <c r="M16" s="21" t="n"/>
    </row>
    <row r="17" ht="28" customHeight="1">
      <c r="B17" s="18">
        <f>'Calculos'!A5</f>
        <v/>
      </c>
      <c r="C17" s="19">
        <f>IF('Calculos'!B5=0,"Sin actividades",IF(NOT('Calculos'!E5),"Revisar pesos",'Calculos'!F5))</f>
        <v/>
      </c>
      <c r="D17" s="20">
        <f>IF(ISNUMBER(C17),C17,0)</f>
        <v/>
      </c>
      <c r="E17" s="21">
        <f>'Calculos'!B5</f>
        <v/>
      </c>
      <c r="F17" s="21">
        <f>'Calculos'!N5</f>
        <v/>
      </c>
      <c r="G17" s="21">
        <f>'Calculos'!O5</f>
        <v/>
      </c>
      <c r="H17" s="21">
        <f>'Calculos'!P5</f>
        <v/>
      </c>
      <c r="I17" s="21">
        <f>'Calculos'!Q5</f>
        <v/>
      </c>
      <c r="J17" s="21">
        <f>'Calculos'!R5</f>
        <v/>
      </c>
      <c r="K17" s="21">
        <f>IF('Calculos'!B5=0,"Sin actividades",IF(NOT('Calculos'!E5),"Pesos suman "&amp;TEXT('Calculos'!C5,"0%")&amp;IF('Calculos'!D5&gt;0," / "&amp;'Calculos'!D5&amp;" vacío(s)",""),IF('Calculos'!L5,"Completado",IF('Calculos'!F5&gt;0,"En curso","Pendiente"))))</f>
        <v/>
      </c>
      <c r="L17" s="21">
        <f>IF('Calculos'!B5=0,"⚠ Registrar actividades",IF(NOT('Calculos'!E5),"⚠ Configurar ponderación al 100%",IF('Calculos'!M5,"¡Enhorabuena, completado anticipadamente!",IF('Calculos'!L5,"Completado","En ejecución"))))</f>
        <v/>
      </c>
      <c r="M17" s="21" t="n"/>
    </row>
    <row r="18" ht="28" customHeight="1">
      <c r="B18" s="18">
        <f>'Calculos'!A6</f>
        <v/>
      </c>
      <c r="C18" s="19">
        <f>IF('Calculos'!B6=0,"Sin actividades",IF(NOT('Calculos'!E6),"Revisar pesos",'Calculos'!F6))</f>
        <v/>
      </c>
      <c r="D18" s="20">
        <f>IF(ISNUMBER(C18),C18,0)</f>
        <v/>
      </c>
      <c r="E18" s="21">
        <f>'Calculos'!B6</f>
        <v/>
      </c>
      <c r="F18" s="21">
        <f>'Calculos'!N6</f>
        <v/>
      </c>
      <c r="G18" s="21">
        <f>'Calculos'!O6</f>
        <v/>
      </c>
      <c r="H18" s="21">
        <f>'Calculos'!P6</f>
        <v/>
      </c>
      <c r="I18" s="21">
        <f>'Calculos'!Q6</f>
        <v/>
      </c>
      <c r="J18" s="21">
        <f>'Calculos'!R6</f>
        <v/>
      </c>
      <c r="K18" s="21">
        <f>IF('Calculos'!B6=0,"Sin actividades",IF(NOT('Calculos'!E6),"Pesos suman "&amp;TEXT('Calculos'!C6,"0%")&amp;IF('Calculos'!D6&gt;0," / "&amp;'Calculos'!D6&amp;" vacío(s)",""),IF('Calculos'!L6,"Completado",IF('Calculos'!F6&gt;0,"En curso","Pendiente"))))</f>
        <v/>
      </c>
      <c r="L18" s="21">
        <f>IF('Calculos'!B6=0,"⚠ Registrar actividades",IF(NOT('Calculos'!E6),"⚠ Configurar ponderación al 100%",IF('Calculos'!M6,"¡Enhorabuena, completado anticipadamente!",IF('Calculos'!L6,"Completado","En ejecución"))))</f>
        <v/>
      </c>
      <c r="M18" s="21" t="n"/>
    </row>
    <row r="19" ht="28" customHeight="1">
      <c r="B19" s="18">
        <f>'Calculos'!A7</f>
        <v/>
      </c>
      <c r="C19" s="19">
        <f>IF('Calculos'!B7=0,"Sin actividades",IF(NOT('Calculos'!E7),"Revisar pesos",'Calculos'!F7))</f>
        <v/>
      </c>
      <c r="D19" s="20">
        <f>IF(ISNUMBER(C19),C19,0)</f>
        <v/>
      </c>
      <c r="E19" s="21">
        <f>'Calculos'!B7</f>
        <v/>
      </c>
      <c r="F19" s="21">
        <f>'Calculos'!N7</f>
        <v/>
      </c>
      <c r="G19" s="21">
        <f>'Calculos'!O7</f>
        <v/>
      </c>
      <c r="H19" s="21">
        <f>'Calculos'!P7</f>
        <v/>
      </c>
      <c r="I19" s="21">
        <f>'Calculos'!Q7</f>
        <v/>
      </c>
      <c r="J19" s="21">
        <f>'Calculos'!R7</f>
        <v/>
      </c>
      <c r="K19" s="21">
        <f>IF('Calculos'!B7=0,"Sin actividades",IF(NOT('Calculos'!E7),"Pesos suman "&amp;TEXT('Calculos'!C7,"0%")&amp;IF('Calculos'!D7&gt;0," / "&amp;'Calculos'!D7&amp;" vacío(s)",""),IF('Calculos'!L7,"Completado",IF('Calculos'!F7&gt;0,"En curso","Pendiente"))))</f>
        <v/>
      </c>
      <c r="L19" s="21">
        <f>IF('Calculos'!B7=0,"⚠ Registrar actividades",IF(NOT('Calculos'!E7),"⚠ Configurar ponderación al 100%",IF('Calculos'!M7,"¡Enhorabuena, completado anticipadamente!",IF('Calculos'!L7,"Completado","En ejecución"))))</f>
        <v/>
      </c>
      <c r="M19" s="21" t="n"/>
    </row>
    <row r="20" ht="28" customHeight="1">
      <c r="B20" s="22" t="inlineStr">
        <is>
          <t>Total proyecto</t>
        </is>
      </c>
      <c r="C20" s="23">
        <f>IF('Calculos'!$E$8,'Calculos'!$F$8,"No definitivo")</f>
        <v/>
      </c>
      <c r="D20" s="24">
        <f>IF(ISNUMBER(C20),C20,0)</f>
        <v/>
      </c>
      <c r="E20" s="25">
        <f>'Calculos'!B11</f>
        <v/>
      </c>
      <c r="F20" s="25">
        <f>'Calculos'!N8</f>
        <v/>
      </c>
      <c r="G20" s="25">
        <f>'Calculos'!O8</f>
        <v/>
      </c>
      <c r="H20" s="25">
        <f>'Calculos'!P8</f>
        <v/>
      </c>
      <c r="I20" s="25">
        <f>'Calculos'!Q8</f>
        <v/>
      </c>
      <c r="J20" s="25">
        <f>'Calculos'!R8</f>
        <v/>
      </c>
      <c r="K20" s="25">
        <f>IF('Calculos'!$E$8,"Promedio 4 puestos","No definitivo")</f>
        <v/>
      </c>
      <c r="L20" s="25">
        <f>IF(NOT('Calculos'!$E$8),"⚠ Completar configuración de todos los puestos",IF('Calculos'!$M$8,"¡Enhorabuena, completado anticipadamente!",IF('Calculos'!$L$8,"Completado","En ejecución")))</f>
        <v/>
      </c>
      <c r="M20" s="25" t="n"/>
    </row>
    <row r="22" ht="24" customHeight="1">
      <c r="B22" s="16" t="inlineStr">
        <is>
          <t>Seguimiento semanal: avance acumulado ponderado e incremento semanal</t>
        </is>
      </c>
      <c r="C22" s="16" t="n"/>
      <c r="D22" s="16" t="n"/>
      <c r="E22" s="16" t="n"/>
      <c r="F22" s="16" t="n"/>
      <c r="G22" s="16" t="n"/>
      <c r="H22" s="16" t="n"/>
      <c r="I22" s="16" t="n"/>
      <c r="J22" s="16" t="n"/>
      <c r="K22" s="16" t="n"/>
      <c r="L22" s="16" t="n"/>
      <c r="M22" s="16" t="n"/>
    </row>
    <row r="23">
      <c r="C23" s="26" t="inlineStr">
        <is>
          <t>Avance ACUMULADO ponderado al cierre de cada semana</t>
        </is>
      </c>
      <c r="D23" s="26" t="n"/>
      <c r="E23" s="26" t="n"/>
      <c r="F23" s="26" t="n"/>
      <c r="H23" s="26" t="inlineStr">
        <is>
          <t>INCREMENTO respecto a la semana anterior (puntos %)</t>
        </is>
      </c>
      <c r="I23" s="26" t="n"/>
      <c r="J23" s="26" t="n"/>
      <c r="K23" s="26" t="n"/>
      <c r="L23" s="26" t="inlineStr">
        <is>
          <t>Brecha vs meta 100%</t>
        </is>
      </c>
      <c r="M23" s="26" t="n"/>
    </row>
    <row r="24">
      <c r="B24" s="27" t="inlineStr">
        <is>
          <t>Puesto / Indicador</t>
        </is>
      </c>
      <c r="C24" s="27" t="inlineStr">
        <is>
          <t>Semana 1</t>
        </is>
      </c>
      <c r="D24" s="27" t="inlineStr">
        <is>
          <t>Semana 2</t>
        </is>
      </c>
      <c r="E24" s="27" t="inlineStr">
        <is>
          <t>Semana 3</t>
        </is>
      </c>
      <c r="F24" s="27" t="inlineStr">
        <is>
          <t>Semana 4</t>
        </is>
      </c>
      <c r="H24" s="27" t="inlineStr">
        <is>
          <t>Semana 1</t>
        </is>
      </c>
      <c r="I24" s="27" t="inlineStr">
        <is>
          <t>Semana 2</t>
        </is>
      </c>
      <c r="J24" s="27" t="inlineStr">
        <is>
          <t>Semana 3</t>
        </is>
      </c>
      <c r="K24" s="27" t="inlineStr">
        <is>
          <t>Semana 4</t>
        </is>
      </c>
      <c r="L24" s="27" t="inlineStr">
        <is>
          <t>Pendiente para la meta</t>
        </is>
      </c>
      <c r="M24" s="27" t="n"/>
    </row>
    <row r="25">
      <c r="B25" s="28">
        <f>'Calculos'!A4</f>
        <v/>
      </c>
      <c r="C25" s="19">
        <f>IF(NOT('Calculos'!G$10),"",IF('Calculos'!$E4,'Calculos'!G4,"–"))</f>
        <v/>
      </c>
      <c r="D25" s="19">
        <f>IF(NOT('Calculos'!H$10),"",IF('Calculos'!$E4,'Calculos'!H4,"–"))</f>
        <v/>
      </c>
      <c r="E25" s="19">
        <f>IF(NOT('Calculos'!I$10),"",IF('Calculos'!$E4,'Calculos'!I4,"–"))</f>
        <v/>
      </c>
      <c r="F25" s="19">
        <f>IF(NOT('Calculos'!J$10),"",IF('Calculos'!$E4,'Calculos'!J4,"–"))</f>
        <v/>
      </c>
      <c r="H25" s="29">
        <f>IF(ISNUMBER(C25),C25,"")</f>
        <v/>
      </c>
      <c r="I25" s="29">
        <f>IF(AND(ISNUMBER(D25),ISNUMBER(C25)),D25-C25,"")</f>
        <v/>
      </c>
      <c r="J25" s="29">
        <f>IF(AND(ISNUMBER(E25),ISNUMBER(D25)),E25-D25,"")</f>
        <v/>
      </c>
      <c r="K25" s="29">
        <f>IF(AND(ISNUMBER(F25),ISNUMBER(E25)),F25-E25,"")</f>
        <v/>
      </c>
      <c r="L25" s="19">
        <f>IFERROR(MetaFinal-LOOKUP(2,1/ISNUMBER(C25:F25),C25:F25),"")</f>
        <v/>
      </c>
      <c r="M25" s="21" t="n"/>
    </row>
    <row r="26">
      <c r="B26" s="28">
        <f>'Calculos'!A5</f>
        <v/>
      </c>
      <c r="C26" s="19">
        <f>IF(NOT('Calculos'!G$10),"",IF('Calculos'!$E5,'Calculos'!G5,"–"))</f>
        <v/>
      </c>
      <c r="D26" s="19">
        <f>IF(NOT('Calculos'!H$10),"",IF('Calculos'!$E5,'Calculos'!H5,"–"))</f>
        <v/>
      </c>
      <c r="E26" s="19">
        <f>IF(NOT('Calculos'!I$10),"",IF('Calculos'!$E5,'Calculos'!I5,"–"))</f>
        <v/>
      </c>
      <c r="F26" s="19">
        <f>IF(NOT('Calculos'!J$10),"",IF('Calculos'!$E5,'Calculos'!J5,"–"))</f>
        <v/>
      </c>
      <c r="H26" s="29">
        <f>IF(ISNUMBER(C26),C26,"")</f>
        <v/>
      </c>
      <c r="I26" s="29">
        <f>IF(AND(ISNUMBER(D26),ISNUMBER(C26)),D26-C26,"")</f>
        <v/>
      </c>
      <c r="J26" s="29">
        <f>IF(AND(ISNUMBER(E26),ISNUMBER(D26)),E26-D26,"")</f>
        <v/>
      </c>
      <c r="K26" s="29">
        <f>IF(AND(ISNUMBER(F26),ISNUMBER(E26)),F26-E26,"")</f>
        <v/>
      </c>
      <c r="L26" s="19">
        <f>IFERROR(MetaFinal-LOOKUP(2,1/ISNUMBER(C26:F26),C26:F26),"")</f>
        <v/>
      </c>
      <c r="M26" s="21" t="n"/>
    </row>
    <row r="27">
      <c r="B27" s="28">
        <f>'Calculos'!A6</f>
        <v/>
      </c>
      <c r="C27" s="19">
        <f>IF(NOT('Calculos'!G$10),"",IF('Calculos'!$E6,'Calculos'!G6,"–"))</f>
        <v/>
      </c>
      <c r="D27" s="19">
        <f>IF(NOT('Calculos'!H$10),"",IF('Calculos'!$E6,'Calculos'!H6,"–"))</f>
        <v/>
      </c>
      <c r="E27" s="19">
        <f>IF(NOT('Calculos'!I$10),"",IF('Calculos'!$E6,'Calculos'!I6,"–"))</f>
        <v/>
      </c>
      <c r="F27" s="19">
        <f>IF(NOT('Calculos'!J$10),"",IF('Calculos'!$E6,'Calculos'!J6,"–"))</f>
        <v/>
      </c>
      <c r="H27" s="29">
        <f>IF(ISNUMBER(C27),C27,"")</f>
        <v/>
      </c>
      <c r="I27" s="29">
        <f>IF(AND(ISNUMBER(D27),ISNUMBER(C27)),D27-C27,"")</f>
        <v/>
      </c>
      <c r="J27" s="29">
        <f>IF(AND(ISNUMBER(E27),ISNUMBER(D27)),E27-D27,"")</f>
        <v/>
      </c>
      <c r="K27" s="29">
        <f>IF(AND(ISNUMBER(F27),ISNUMBER(E27)),F27-E27,"")</f>
        <v/>
      </c>
      <c r="L27" s="19">
        <f>IFERROR(MetaFinal-LOOKUP(2,1/ISNUMBER(C27:F27),C27:F27),"")</f>
        <v/>
      </c>
      <c r="M27" s="21" t="n"/>
    </row>
    <row r="28">
      <c r="B28" s="28">
        <f>'Calculos'!A7</f>
        <v/>
      </c>
      <c r="C28" s="19">
        <f>IF(NOT('Calculos'!G$10),"",IF('Calculos'!$E7,'Calculos'!G7,"–"))</f>
        <v/>
      </c>
      <c r="D28" s="19">
        <f>IF(NOT('Calculos'!H$10),"",IF('Calculos'!$E7,'Calculos'!H7,"–"))</f>
        <v/>
      </c>
      <c r="E28" s="19">
        <f>IF(NOT('Calculos'!I$10),"",IF('Calculos'!$E7,'Calculos'!I7,"–"))</f>
        <v/>
      </c>
      <c r="F28" s="19">
        <f>IF(NOT('Calculos'!J$10),"",IF('Calculos'!$E7,'Calculos'!J7,"–"))</f>
        <v/>
      </c>
      <c r="H28" s="29">
        <f>IF(ISNUMBER(C28),C28,"")</f>
        <v/>
      </c>
      <c r="I28" s="29">
        <f>IF(AND(ISNUMBER(D28),ISNUMBER(C28)),D28-C28,"")</f>
        <v/>
      </c>
      <c r="J28" s="29">
        <f>IF(AND(ISNUMBER(E28),ISNUMBER(D28)),E28-D28,"")</f>
        <v/>
      </c>
      <c r="K28" s="29">
        <f>IF(AND(ISNUMBER(F28),ISNUMBER(E28)),F28-E28,"")</f>
        <v/>
      </c>
      <c r="L28" s="19">
        <f>IFERROR(MetaFinal-LOOKUP(2,1/ISNUMBER(C28:F28),C28:F28),"")</f>
        <v/>
      </c>
      <c r="M28" s="21" t="n"/>
    </row>
    <row r="29">
      <c r="B29" s="22" t="inlineStr">
        <is>
          <t>Avance general del proyecto</t>
        </is>
      </c>
      <c r="C29" s="23">
        <f>IF(NOT('Calculos'!G$10),"",IF('Calculos'!$E$8,'Calculos'!G8,"n/d"))</f>
        <v/>
      </c>
      <c r="D29" s="23">
        <f>IF(NOT('Calculos'!H$10),"",IF('Calculos'!$E$8,'Calculos'!H8,"n/d"))</f>
        <v/>
      </c>
      <c r="E29" s="23">
        <f>IF(NOT('Calculos'!I$10),"",IF('Calculos'!$E$8,'Calculos'!I8,"n/d"))</f>
        <v/>
      </c>
      <c r="F29" s="23">
        <f>IF(NOT('Calculos'!J$10),"",IF('Calculos'!$E$8,'Calculos'!J8,"n/d"))</f>
        <v/>
      </c>
      <c r="H29" s="30">
        <f>IF(ISNUMBER(C29),C29,"")</f>
        <v/>
      </c>
      <c r="I29" s="30">
        <f>IF(AND(ISNUMBER(D29),ISNUMBER(C29)),D29-C29,"")</f>
        <v/>
      </c>
      <c r="J29" s="30">
        <f>IF(AND(ISNUMBER(E29),ISNUMBER(D29)),E29-D29,"")</f>
        <v/>
      </c>
      <c r="K29" s="30">
        <f>IF(AND(ISNUMBER(F29),ISNUMBER(E29)),F29-E29,"")</f>
        <v/>
      </c>
      <c r="L29" s="23">
        <f>IFERROR(MetaFinal-LOOKUP(2,1/ISNUMBER(C29:F29),C29:F29),"")</f>
        <v/>
      </c>
      <c r="M29" s="25" t="n"/>
    </row>
    <row r="30">
      <c r="B30" s="31" t="inlineStr">
        <is>
          <t>Plan de referencia (supuesto)</t>
        </is>
      </c>
      <c r="C30" s="32">
        <f>INDEX(PlanRef,1)</f>
        <v/>
      </c>
      <c r="D30" s="32">
        <f>INDEX(PlanRef,2)</f>
        <v/>
      </c>
      <c r="E30" s="32">
        <f>INDEX(PlanRef,3)</f>
        <v/>
      </c>
      <c r="F30" s="32">
        <f>INDEX(PlanRef,4)</f>
        <v/>
      </c>
      <c r="H30" s="33" t="n"/>
      <c r="I30" s="33" t="n"/>
      <c r="J30" s="33" t="n"/>
      <c r="K30" s="33" t="n"/>
      <c r="L30" s="34" t="n"/>
      <c r="M30" s="34" t="n"/>
    </row>
    <row r="31">
      <c r="B31" s="35" t="inlineStr">
        <is>
          <t>Meta final</t>
        </is>
      </c>
      <c r="C31" s="36">
        <f>MetaFinal</f>
        <v/>
      </c>
      <c r="D31" s="36">
        <f>MetaFinal</f>
        <v/>
      </c>
      <c r="E31" s="36">
        <f>MetaFinal</f>
        <v/>
      </c>
      <c r="F31" s="36">
        <f>MetaFinal</f>
        <v/>
      </c>
      <c r="H31" s="33" t="n"/>
      <c r="I31" s="33" t="n"/>
      <c r="J31" s="33" t="n"/>
      <c r="K31" s="33" t="n"/>
      <c r="L31" s="34" t="n"/>
      <c r="M31" s="34" t="n"/>
    </row>
    <row r="33" ht="26" customHeight="1">
      <c r="B33" s="37" t="inlineStr">
        <is>
          <t>Lectura: el acumulado NO se suma entre semanas; el incremento es la diferencia entre semanas consecutivas. «–» = puesto sin configuración válida; «n/d» = avance global no definitivo; celda vacía = semana aún no alcanzada. Ámbar = acumulado por debajo del plan de referencia.</t>
        </is>
      </c>
      <c r="C33" s="37" t="n"/>
      <c r="D33" s="37" t="n"/>
      <c r="E33" s="37" t="n"/>
      <c r="F33" s="37" t="n"/>
      <c r="G33" s="37" t="n"/>
      <c r="H33" s="37" t="n"/>
      <c r="I33" s="37" t="n"/>
      <c r="J33" s="37" t="n"/>
      <c r="K33" s="37" t="n"/>
      <c r="L33" s="37" t="n"/>
      <c r="M33" s="37" t="n"/>
    </row>
    <row r="51" ht="24" customHeight="1">
      <c r="B51" s="16" t="inlineStr">
        <is>
          <t>Control de calidad de datos</t>
        </is>
      </c>
      <c r="C51" s="16" t="n"/>
      <c r="D51" s="16" t="n"/>
      <c r="E51" s="16" t="n"/>
      <c r="F51" s="16" t="n"/>
      <c r="G51" s="16" t="n"/>
      <c r="H51" s="16" t="n"/>
      <c r="I51" s="16" t="n"/>
      <c r="J51" s="16" t="n"/>
      <c r="K51" s="16" t="n"/>
      <c r="L51" s="16" t="n"/>
      <c r="M51" s="16" t="n"/>
    </row>
    <row r="52">
      <c r="B52" s="6" t="inlineStr">
        <is>
          <t>Verificación</t>
        </is>
      </c>
      <c r="C52" s="6" t="n"/>
      <c r="D52" s="6" t="n"/>
      <c r="E52" s="6" t="n"/>
      <c r="F52" s="6" t="n"/>
      <c r="G52" s="6" t="inlineStr">
        <is>
          <t>Casos</t>
        </is>
      </c>
      <c r="H52" s="6" t="inlineStr">
        <is>
          <t>Resultado</t>
        </is>
      </c>
      <c r="I52" s="6" t="inlineStr">
        <is>
          <t>Acción sugerida</t>
        </is>
      </c>
      <c r="J52" s="6" t="n"/>
      <c r="K52" s="6" t="n"/>
      <c r="L52" s="6" t="n"/>
      <c r="M52" s="6" t="n"/>
    </row>
    <row r="53" ht="20" customHeight="1">
      <c r="B53" s="28" t="inlineStr">
        <is>
          <t>Puestos sin actividades registradas</t>
        </is>
      </c>
      <c r="C53" s="28" t="n"/>
      <c r="D53" s="28" t="n"/>
      <c r="E53" s="28" t="n"/>
      <c r="F53" s="28" t="n"/>
      <c r="G53" s="38">
        <f>COUNTIF('Calculos'!B4:B7,0)</f>
        <v/>
      </c>
      <c r="H53" s="39">
        <f>IF(G53=0,"✔ OK",IF("crit"="warn","● Atención","⚠ Revisar"))</f>
        <v/>
      </c>
      <c r="I53" s="40" t="inlineStr">
        <is>
          <t>Registrar al menos una macroactividad por puesto.</t>
        </is>
      </c>
      <c r="J53" s="40" t="n"/>
      <c r="K53" s="40" t="n"/>
      <c r="L53" s="40" t="n"/>
      <c r="M53" s="40" t="n"/>
    </row>
    <row r="54" ht="20" customHeight="1">
      <c r="B54" s="28" t="inlineStr">
        <is>
          <t>Puestos cuya ponderación no suma 100% (o con pesos vacíos)</t>
        </is>
      </c>
      <c r="C54" s="28" t="n"/>
      <c r="D54" s="28" t="n"/>
      <c r="E54" s="28" t="n"/>
      <c r="F54" s="28" t="n"/>
      <c r="G54" s="38">
        <f>COUNTIFS('Calculos'!B4:B7,"&gt;0",'Calculos'!E4:E7,FALSE)</f>
        <v/>
      </c>
      <c r="H54" s="39">
        <f>IF(G54=0,"✔ OK",IF("crit"="warn","● Atención","⚠ Revisar"))</f>
        <v/>
      </c>
      <c r="I54" s="40" t="inlineStr">
        <is>
          <t>Ajustar los pesos del puesto hasta sumar 100%.</t>
        </is>
      </c>
      <c r="J54" s="40" t="n"/>
      <c r="K54" s="40" t="n"/>
      <c r="L54" s="40" t="n"/>
      <c r="M54" s="40" t="n"/>
    </row>
    <row r="55" ht="20" customHeight="1">
      <c r="B55" s="28" t="inlineStr">
        <is>
          <t>Actividades con peso vacío o fuera de rango</t>
        </is>
      </c>
      <c r="C55" s="28" t="n"/>
      <c r="D55" s="28" t="n"/>
      <c r="E55" s="28" t="n"/>
      <c r="F55" s="28" t="n"/>
      <c r="G55" s="38">
        <f>SUMPRODUCT(--((ISNUMBER(SEARCH("Peso vacío",rValid_RO))+ISNUMBER(SEARCH("Peso fuera de rango",rValid_RO)))&gt;0))+SUMPRODUCT(--((ISNUMBER(SEARCH("Peso vacío",rValid_RLN))+ISNUMBER(SEARCH("Peso fuera de rango",rValid_RLN)))&gt;0))+SUMPRODUCT(--((ISNUMBER(SEARCH("Peso vacío",rValid_RF))+ISNUMBER(SEARCH("Peso fuera de rango",rValid_RF)))&gt;0))+SUMPRODUCT(--((ISNUMBER(SEARCH("Peso vacío",rValid_ATR))+ISNUMBER(SEARCH("Peso fuera de rango",rValid_ATR)))&gt;0))</f>
        <v/>
      </c>
      <c r="H55" s="39">
        <f>IF(G55=0,"✔ OK",IF("crit"="warn","● Atención","⚠ Revisar"))</f>
        <v/>
      </c>
      <c r="I55" s="40" t="inlineStr">
        <is>
          <t>Ingresar un peso entre 0% y 100% (mayor que 0).</t>
        </is>
      </c>
      <c r="J55" s="40" t="n"/>
      <c r="K55" s="40" t="n"/>
      <c r="L55" s="40" t="n"/>
      <c r="M55" s="40" t="n"/>
    </row>
    <row r="56" ht="20" customHeight="1">
      <c r="B56" s="28" t="inlineStr">
        <is>
          <t>Actividades sin responsable</t>
        </is>
      </c>
      <c r="C56" s="28" t="n"/>
      <c r="D56" s="28" t="n"/>
      <c r="E56" s="28" t="n"/>
      <c r="F56" s="28" t="n"/>
      <c r="G56" s="38">
        <f>SUMPRODUCT(--((ISNUMBER(SEARCH("Sin responsable",rValid_RO)))&gt;0))+SUMPRODUCT(--((ISNUMBER(SEARCH("Sin responsable",rValid_RLN)))&gt;0))+SUMPRODUCT(--((ISNUMBER(SEARCH("Sin responsable",rValid_RF)))&gt;0))+SUMPRODUCT(--((ISNUMBER(SEARCH("Sin responsable",rValid_ATR)))&gt;0))</f>
        <v/>
      </c>
      <c r="H56" s="39">
        <f>IF(G56=0,"✔ OK",IF("crit"="warn","● Atención","⚠ Revisar"))</f>
        <v/>
      </c>
      <c r="I56" s="40" t="inlineStr">
        <is>
          <t>Asignar responsable.</t>
        </is>
      </c>
      <c r="J56" s="40" t="n"/>
      <c r="K56" s="40" t="n"/>
      <c r="L56" s="40" t="n"/>
      <c r="M56" s="40" t="n"/>
    </row>
    <row r="57" ht="20" customHeight="1">
      <c r="B57" s="28" t="inlineStr">
        <is>
          <t>Actividades sin fecha límite</t>
        </is>
      </c>
      <c r="C57" s="28" t="n"/>
      <c r="D57" s="28" t="n"/>
      <c r="E57" s="28" t="n"/>
      <c r="F57" s="28" t="n"/>
      <c r="G57" s="38">
        <f>SUMPRODUCT(--((ISNUMBER(SEARCH("Sin fecha límite",rValid_RO)))&gt;0))+SUMPRODUCT(--((ISNUMBER(SEARCH("Sin fecha límite",rValid_RLN)))&gt;0))+SUMPRODUCT(--((ISNUMBER(SEARCH("Sin fecha límite",rValid_RF)))&gt;0))+SUMPRODUCT(--((ISNUMBER(SEARCH("Sin fecha límite",rValid_ATR)))&gt;0))</f>
        <v/>
      </c>
      <c r="H57" s="39">
        <f>IF(G57=0,"✔ OK",IF("crit"="warn","● Atención","⚠ Revisar"))</f>
        <v/>
      </c>
      <c r="I57" s="40" t="inlineStr">
        <is>
          <t>Registrar la fecha límite.</t>
        </is>
      </c>
      <c r="J57" s="40" t="n"/>
      <c r="K57" s="40" t="n"/>
      <c r="L57" s="40" t="n"/>
      <c r="M57" s="40" t="n"/>
    </row>
    <row r="58" ht="20" customHeight="1">
      <c r="B58" s="28" t="inlineStr">
        <is>
          <t>Fechas incoherentes o no válidas (incluye sin fecha de inicio)</t>
        </is>
      </c>
      <c r="C58" s="28" t="n"/>
      <c r="D58" s="28" t="n"/>
      <c r="E58" s="28" t="n"/>
      <c r="F58" s="28" t="n"/>
      <c r="G58" s="38">
        <f>SUMPRODUCT(--((ISNUMBER(SEARCH("Inicio posterior",rValid_RO))+ISNUMBER(SEARCH("Fecha no válida",rValid_RO))+ISNUMBER(SEARCH("Sin fecha de inicio",rValid_RO)))&gt;0))+SUMPRODUCT(--((ISNUMBER(SEARCH("Inicio posterior",rValid_RLN))+ISNUMBER(SEARCH("Fecha no válida",rValid_RLN))+ISNUMBER(SEARCH("Sin fecha de inicio",rValid_RLN)))&gt;0))+SUMPRODUCT(--((ISNUMBER(SEARCH("Inicio posterior",rValid_RF))+ISNUMBER(SEARCH("Fecha no válida",rValid_RF))+ISNUMBER(SEARCH("Sin fecha de inicio",rValid_RF)))&gt;0))+SUMPRODUCT(--((ISNUMBER(SEARCH("Inicio posterior",rValid_ATR))+ISNUMBER(SEARCH("Fecha no válida",rValid_ATR))+ISNUMBER(SEARCH("Sin fecha de inicio",rValid_ATR)))&gt;0))</f>
        <v/>
      </c>
      <c r="H58" s="39">
        <f>IF(G58=0,"✔ OK",IF("crit"="warn","● Atención","⚠ Revisar"))</f>
        <v/>
      </c>
      <c r="I58" s="40" t="inlineStr">
        <is>
          <t>La fecha de inicio debe ser anterior o igual a la fecha límite.</t>
        </is>
      </c>
      <c r="J58" s="40" t="n"/>
      <c r="K58" s="40" t="n"/>
      <c r="L58" s="40" t="n"/>
      <c r="M58" s="40" t="n"/>
    </row>
    <row r="59" ht="20" customHeight="1">
      <c r="B59" s="28" t="inlineStr">
        <is>
          <t>Porcentajes de avance &gt; 100%, &lt; 0% o no numéricos</t>
        </is>
      </c>
      <c r="C59" s="28" t="n"/>
      <c r="D59" s="28" t="n"/>
      <c r="E59" s="28" t="n"/>
      <c r="F59" s="28" t="n"/>
      <c r="G59" s="38">
        <f>SUMPRODUCT(--((ISNUMBER(SEARCH("Avance fuera de rango",rValid_RO)))&gt;0))+SUMPRODUCT(--((ISNUMBER(SEARCH("Avance fuera de rango",rValid_RLN)))&gt;0))+SUMPRODUCT(--((ISNUMBER(SEARCH("Avance fuera de rango",rValid_RF)))&gt;0))+SUMPRODUCT(--((ISNUMBER(SEARCH("Avance fuera de rango",rValid_ATR)))&gt;0))</f>
        <v/>
      </c>
      <c r="H59" s="39">
        <f>IF(G59=0,"✔ OK",IF("crit"="warn","● Atención","⚠ Revisar"))</f>
        <v/>
      </c>
      <c r="I59" s="40" t="inlineStr">
        <is>
          <t>Corregir: los avances deben estar entre 0% y 100%.</t>
        </is>
      </c>
      <c r="J59" s="40" t="n"/>
      <c r="K59" s="40" t="n"/>
      <c r="L59" s="40" t="n"/>
      <c r="M59" s="40" t="n"/>
    </row>
    <row r="60" ht="20" customHeight="1">
      <c r="B60" s="28" t="inlineStr">
        <is>
          <t>Avance semanal menor que el de una semana anterior</t>
        </is>
      </c>
      <c r="C60" s="28" t="n"/>
      <c r="D60" s="28" t="n"/>
      <c r="E60" s="28" t="n"/>
      <c r="F60" s="28" t="n"/>
      <c r="G60" s="38">
        <f>SUMPRODUCT(--((ISNUMBER(SEARCH("decreciente",rValid_RO)))&gt;0))+SUMPRODUCT(--((ISNUMBER(SEARCH("decreciente",rValid_RLN)))&gt;0))+SUMPRODUCT(--((ISNUMBER(SEARCH("decreciente",rValid_RF)))&gt;0))+SUMPRODUCT(--((ISNUMBER(SEARCH("decreciente",rValid_ATR)))&gt;0))</f>
        <v/>
      </c>
      <c r="H60" s="39">
        <f>IF(G60=0,"✔ OK",IF("crit"="warn","● Atención","⚠ Revisar"))</f>
        <v/>
      </c>
      <c r="I60" s="40" t="inlineStr">
        <is>
          <t>Revisar: el avance es acumulado y no debería disminuir.</t>
        </is>
      </c>
      <c r="J60" s="40" t="n"/>
      <c r="K60" s="40" t="n"/>
      <c r="L60" s="40" t="n"/>
      <c r="M60" s="40" t="n"/>
    </row>
    <row r="61" ht="20" customHeight="1">
      <c r="B61" s="28" t="inlineStr">
        <is>
          <t>Actividades vencidas no completadas</t>
        </is>
      </c>
      <c r="C61" s="28" t="n"/>
      <c r="D61" s="28" t="n"/>
      <c r="E61" s="28" t="n"/>
      <c r="F61" s="28" t="n"/>
      <c r="G61" s="38">
        <f>'Calculos'!Q8</f>
        <v/>
      </c>
      <c r="H61" s="39">
        <f>IF(G61=0,"✔ OK",IF("crit"="warn","● Atención","⚠ Revisar"))</f>
        <v/>
      </c>
      <c r="I61" s="40" t="inlineStr">
        <is>
          <t>Actualizar avance o reprogramar con justificación en Observaciones.</t>
        </is>
      </c>
      <c r="J61" s="40" t="n"/>
      <c r="K61" s="40" t="n"/>
      <c r="L61" s="40" t="n"/>
      <c r="M61" s="40" t="n"/>
    </row>
    <row r="62" ht="20" customHeight="1">
      <c r="B62" s="28" t="inlineStr">
        <is>
          <t>Actividades próximas a vencer (no completadas)</t>
        </is>
      </c>
      <c r="C62" s="28" t="n"/>
      <c r="D62" s="28" t="n"/>
      <c r="E62" s="28" t="n"/>
      <c r="F62" s="28" t="n"/>
      <c r="G62" s="38">
        <f>'Calculos'!B13</f>
        <v/>
      </c>
      <c r="H62" s="39">
        <f>IF(G62=0,"✔ OK",IF("warn"="warn","● Atención","⚠ Revisar"))</f>
        <v/>
      </c>
      <c r="I62" s="40" t="inlineStr">
        <is>
          <t>Alerta preventiva: priorizar seguimiento.</t>
        </is>
      </c>
      <c r="J62" s="40" t="n"/>
      <c r="K62" s="40" t="n"/>
      <c r="L62" s="40" t="n"/>
      <c r="M62" s="40" t="n"/>
    </row>
    <row r="63" ht="20" customHeight="1">
      <c r="B63" s="28" t="inlineStr">
        <is>
          <t>Datos obligatorios incompletos (ID o macroactividad)</t>
        </is>
      </c>
      <c r="C63" s="28" t="n"/>
      <c r="D63" s="28" t="n"/>
      <c r="E63" s="28" t="n"/>
      <c r="F63" s="28" t="n"/>
      <c r="G63" s="38">
        <f>SUMPRODUCT(--((ISNUMBER(SEARCH("Falta ID",rValid_RO))+ISNUMBER(SEARCH("Macroactividad vacía",rValid_RO)))&gt;0))+SUMPRODUCT(--((ISNUMBER(SEARCH("Falta ID",rValid_RLN))+ISNUMBER(SEARCH("Macroactividad vacía",rValid_RLN)))&gt;0))+SUMPRODUCT(--((ISNUMBER(SEARCH("Falta ID",rValid_RF))+ISNUMBER(SEARCH("Macroactividad vacía",rValid_RF)))&gt;0))+SUMPRODUCT(--((ISNUMBER(SEARCH("Falta ID",rValid_ATR))+ISNUMBER(SEARCH("Macroactividad vacía",rValid_ATR)))&gt;0))</f>
        <v/>
      </c>
      <c r="H63" s="39">
        <f>IF(G63=0,"✔ OK",IF("crit"="warn","● Atención","⚠ Revisar"))</f>
        <v/>
      </c>
      <c r="I63" s="40" t="inlineStr">
        <is>
          <t>Completar los campos obligatorios.</t>
        </is>
      </c>
      <c r="J63" s="40" t="n"/>
      <c r="K63" s="40" t="n"/>
      <c r="L63" s="40" t="n"/>
      <c r="M63" s="40" t="n"/>
    </row>
    <row r="64" ht="20" customHeight="1">
      <c r="B64" s="28" t="inlineStr">
        <is>
          <t>ID de actividad duplicados</t>
        </is>
      </c>
      <c r="C64" s="28" t="n"/>
      <c r="D64" s="28" t="n"/>
      <c r="E64" s="28" t="n"/>
      <c r="F64" s="28" t="n"/>
      <c r="G64" s="38">
        <f>SUMPRODUCT(--((ISNUMBER(SEARCH("ID duplicado",rValid_RO)))&gt;0))+SUMPRODUCT(--((ISNUMBER(SEARCH("ID duplicado",rValid_RLN)))&gt;0))+SUMPRODUCT(--((ISNUMBER(SEARCH("ID duplicado",rValid_RF)))&gt;0))+SUMPRODUCT(--((ISNUMBER(SEARCH("ID duplicado",rValid_ATR)))&gt;0))</f>
        <v/>
      </c>
      <c r="H64" s="39">
        <f>IF(G64=0,"✔ OK",IF("crit"="warn","● Atención","⚠ Revisar"))</f>
        <v/>
      </c>
      <c r="I64" s="40" t="inlineStr">
        <is>
          <t>Asignar un ID único a cada actividad.</t>
        </is>
      </c>
      <c r="J64" s="40" t="n"/>
      <c r="K64" s="40" t="n"/>
      <c r="L64" s="40" t="n"/>
      <c r="M64" s="40" t="n"/>
    </row>
    <row r="65" ht="20" customHeight="1">
      <c r="B65" s="28" t="inlineStr">
        <is>
          <t>Actividades completadas sin evidencia (si es obligatoria)</t>
        </is>
      </c>
      <c r="C65" s="28" t="n"/>
      <c r="D65" s="28" t="n"/>
      <c r="E65" s="28" t="n"/>
      <c r="F65" s="28" t="n"/>
      <c r="G65" s="38">
        <f>SUMPRODUCT(--((ISNUMBER(SEARCH("sin evidencia",rValid_RO)))&gt;0))+SUMPRODUCT(--((ISNUMBER(SEARCH("sin evidencia",rValid_RLN)))&gt;0))+SUMPRODUCT(--((ISNUMBER(SEARCH("sin evidencia",rValid_RF)))&gt;0))+SUMPRODUCT(--((ISNUMBER(SEARCH("sin evidencia",rValid_ATR)))&gt;0))</f>
        <v/>
      </c>
      <c r="H65" s="39">
        <f>IF(G65=0,"✔ OK",IF("crit"="warn","● Atención","⚠ Revisar"))</f>
        <v/>
      </c>
      <c r="I65" s="40" t="inlineStr">
        <is>
          <t>Registrar evidencia o enlace en Evidencia / Observaciones.</t>
        </is>
      </c>
      <c r="J65" s="40" t="n"/>
      <c r="K65" s="40" t="n"/>
      <c r="L65" s="40" t="n"/>
      <c r="M65" s="40" t="n"/>
    </row>
    <row r="66" ht="20" customHeight="1">
      <c r="B66" s="28" t="inlineStr">
        <is>
          <t>Avance global no definitivo (puestos no válidos)</t>
        </is>
      </c>
      <c r="C66" s="28" t="n"/>
      <c r="D66" s="28" t="n"/>
      <c r="E66" s="28" t="n"/>
      <c r="F66" s="28" t="n"/>
      <c r="G66" s="38">
        <f>4-'Calculos'!C8</f>
        <v/>
      </c>
      <c r="H66" s="39">
        <f>IF(G66=0,"✔ OK",IF("crit"="warn","● Atención","⚠ Revisar"))</f>
        <v/>
      </c>
      <c r="I66" s="40" t="inlineStr">
        <is>
          <t>El avance general solo es definitivo con los 4 puestos válidos.</t>
        </is>
      </c>
      <c r="J66" s="40" t="n"/>
      <c r="K66" s="40" t="n"/>
      <c r="L66" s="40" t="n"/>
      <c r="M66" s="40" t="n"/>
    </row>
    <row r="67" ht="26" customHeight="1">
      <c r="B67" s="37" t="inlineStr">
        <is>
          <t>Detalle por actividad: columna «Validación de datos» de la hoja «Cronograma …» de cada puesto (filtrar por «⚠»). Pendiente normal = sin avance y dentro de plazo; Vencida = fecha límite anterior a la fecha de corte sin llegar a 100%.</t>
        </is>
      </c>
      <c r="C67" s="37" t="n"/>
      <c r="D67" s="37" t="n"/>
      <c r="E67" s="37" t="n"/>
      <c r="F67" s="37" t="n"/>
      <c r="G67" s="37" t="n"/>
      <c r="H67" s="37" t="n"/>
      <c r="I67" s="37" t="n"/>
      <c r="J67" s="37" t="n"/>
      <c r="K67" s="37" t="n"/>
      <c r="L67" s="37" t="n"/>
      <c r="M67" s="37" t="n"/>
    </row>
    <row r="69" ht="24" customHeight="1">
      <c r="B69" s="16" t="inlineStr">
        <is>
          <t>Hitos por puesto y semana (completados / programados)</t>
        </is>
      </c>
      <c r="C69" s="16" t="n"/>
      <c r="D69" s="16" t="n"/>
      <c r="E69" s="16" t="n"/>
      <c r="F69" s="16" t="n"/>
      <c r="G69" s="16" t="n"/>
      <c r="H69" s="16" t="n"/>
      <c r="I69" s="16" t="n"/>
      <c r="J69" s="16" t="n"/>
      <c r="K69" s="16" t="n"/>
      <c r="L69" s="16" t="n"/>
      <c r="M69" s="16" t="n"/>
    </row>
    <row r="70">
      <c r="B70" s="6" t="inlineStr">
        <is>
          <t>Puesto</t>
        </is>
      </c>
      <c r="C70" s="6" t="inlineStr">
        <is>
          <t>Semana 1</t>
        </is>
      </c>
      <c r="D70" s="6" t="inlineStr">
        <is>
          <t>Semana 2</t>
        </is>
      </c>
      <c r="E70" s="6" t="inlineStr">
        <is>
          <t>Semana 3</t>
        </is>
      </c>
      <c r="F70" s="6" t="inlineStr">
        <is>
          <t>Semana 4</t>
        </is>
      </c>
      <c r="G70" s="6" t="inlineStr">
        <is>
          <t>Total</t>
        </is>
      </c>
      <c r="H70" s="6" t="inlineStr">
        <is>
          <t>Vencidos</t>
        </is>
      </c>
      <c r="I70" s="6" t="inlineStr">
        <is>
          <t>Lectura</t>
        </is>
      </c>
      <c r="J70" s="6" t="n"/>
      <c r="K70" s="6" t="n"/>
      <c r="L70" s="6" t="n"/>
      <c r="M70" s="6" t="n"/>
    </row>
    <row r="71">
      <c r="B71" s="18">
        <f>'Calculos'!A4</f>
        <v/>
      </c>
      <c r="C71" s="21">
        <f>COUNTIFS(hSemana_RO,"Semana 1",hEstado_RO,"Completado")&amp;" / "&amp;COUNTIF(hSemana_RO,"Semana 1")</f>
        <v/>
      </c>
      <c r="D71" s="21">
        <f>COUNTIFS(hSemana_RO,"Semana 2",hEstado_RO,"Completado")&amp;" / "&amp;COUNTIF(hSemana_RO,"Semana 2")</f>
        <v/>
      </c>
      <c r="E71" s="21">
        <f>COUNTIFS(hSemana_RO,"Semana 3",hEstado_RO,"Completado")&amp;" / "&amp;COUNTIF(hSemana_RO,"Semana 3")</f>
        <v/>
      </c>
      <c r="F71" s="21">
        <f>COUNTIFS(hSemana_RO,"Semana 4",hEstado_RO,"Completado")&amp;" / "&amp;COUNTIF(hSemana_RO,"Semana 4")</f>
        <v/>
      </c>
      <c r="G71" s="21">
        <f>COUNTIFS(hSemana_RO,"Semana*",hEstado_RO,"Completado")&amp;" / "&amp;COUNTIF(hSemana_RO,"Semana*")</f>
        <v/>
      </c>
      <c r="H71" s="21">
        <f>COUNTIFS(hEstado_RO,"&lt;&gt;Completado",hFechaObj_RO,"&lt;"&amp;FechaRef)</f>
        <v/>
      </c>
      <c r="I71" s="40">
        <f>IF(H71&gt;0,"⚠ "&amp;H71&amp;" hito(s) con fecha objetivo vencida sin completar","Sin hitos vencidos")</f>
        <v/>
      </c>
      <c r="J71" s="40" t="n"/>
      <c r="K71" s="40" t="n"/>
      <c r="L71" s="40" t="n"/>
      <c r="M71" s="40" t="n"/>
    </row>
    <row r="72">
      <c r="B72" s="18">
        <f>'Calculos'!A5</f>
        <v/>
      </c>
      <c r="C72" s="21">
        <f>COUNTIFS(hSemana_RLN,"Semana 1",hEstado_RLN,"Completado")&amp;" / "&amp;COUNTIF(hSemana_RLN,"Semana 1")</f>
        <v/>
      </c>
      <c r="D72" s="21">
        <f>COUNTIFS(hSemana_RLN,"Semana 2",hEstado_RLN,"Completado")&amp;" / "&amp;COUNTIF(hSemana_RLN,"Semana 2")</f>
        <v/>
      </c>
      <c r="E72" s="21">
        <f>COUNTIFS(hSemana_RLN,"Semana 3",hEstado_RLN,"Completado")&amp;" / "&amp;COUNTIF(hSemana_RLN,"Semana 3")</f>
        <v/>
      </c>
      <c r="F72" s="21">
        <f>COUNTIFS(hSemana_RLN,"Semana 4",hEstado_RLN,"Completado")&amp;" / "&amp;COUNTIF(hSemana_RLN,"Semana 4")</f>
        <v/>
      </c>
      <c r="G72" s="21">
        <f>COUNTIFS(hSemana_RLN,"Semana*",hEstado_RLN,"Completado")&amp;" / "&amp;COUNTIF(hSemana_RLN,"Semana*")</f>
        <v/>
      </c>
      <c r="H72" s="21">
        <f>COUNTIFS(hEstado_RLN,"&lt;&gt;Completado",hFechaObj_RLN,"&lt;"&amp;FechaRef)</f>
        <v/>
      </c>
      <c r="I72" s="40">
        <f>IF(H72&gt;0,"⚠ "&amp;H72&amp;" hito(s) con fecha objetivo vencida sin completar","Sin hitos vencidos")</f>
        <v/>
      </c>
      <c r="J72" s="40" t="n"/>
      <c r="K72" s="40" t="n"/>
      <c r="L72" s="40" t="n"/>
      <c r="M72" s="40" t="n"/>
    </row>
    <row r="73">
      <c r="B73" s="18">
        <f>'Calculos'!A6</f>
        <v/>
      </c>
      <c r="C73" s="21">
        <f>COUNTIFS(hSemana_RF,"Semana 1",hEstado_RF,"Completado")&amp;" / "&amp;COUNTIF(hSemana_RF,"Semana 1")</f>
        <v/>
      </c>
      <c r="D73" s="21">
        <f>COUNTIFS(hSemana_RF,"Semana 2",hEstado_RF,"Completado")&amp;" / "&amp;COUNTIF(hSemana_RF,"Semana 2")</f>
        <v/>
      </c>
      <c r="E73" s="21">
        <f>COUNTIFS(hSemana_RF,"Semana 3",hEstado_RF,"Completado")&amp;" / "&amp;COUNTIF(hSemana_RF,"Semana 3")</f>
        <v/>
      </c>
      <c r="F73" s="21">
        <f>COUNTIFS(hSemana_RF,"Semana 4",hEstado_RF,"Completado")&amp;" / "&amp;COUNTIF(hSemana_RF,"Semana 4")</f>
        <v/>
      </c>
      <c r="G73" s="21">
        <f>COUNTIFS(hSemana_RF,"Semana*",hEstado_RF,"Completado")&amp;" / "&amp;COUNTIF(hSemana_RF,"Semana*")</f>
        <v/>
      </c>
      <c r="H73" s="21">
        <f>COUNTIFS(hEstado_RF,"&lt;&gt;Completado",hFechaObj_RF,"&lt;"&amp;FechaRef)</f>
        <v/>
      </c>
      <c r="I73" s="40">
        <f>IF(H73&gt;0,"⚠ "&amp;H73&amp;" hito(s) con fecha objetivo vencida sin completar","Sin hitos vencidos")</f>
        <v/>
      </c>
      <c r="J73" s="40" t="n"/>
      <c r="K73" s="40" t="n"/>
      <c r="L73" s="40" t="n"/>
      <c r="M73" s="40" t="n"/>
    </row>
    <row r="74">
      <c r="B74" s="18">
        <f>'Calculos'!A7</f>
        <v/>
      </c>
      <c r="C74" s="21">
        <f>COUNTIFS(hSemana_ATR,"Semana 1",hEstado_ATR,"Completado")&amp;" / "&amp;COUNTIF(hSemana_ATR,"Semana 1")</f>
        <v/>
      </c>
      <c r="D74" s="21">
        <f>COUNTIFS(hSemana_ATR,"Semana 2",hEstado_ATR,"Completado")&amp;" / "&amp;COUNTIF(hSemana_ATR,"Semana 2")</f>
        <v/>
      </c>
      <c r="E74" s="21">
        <f>COUNTIFS(hSemana_ATR,"Semana 3",hEstado_ATR,"Completado")&amp;" / "&amp;COUNTIF(hSemana_ATR,"Semana 3")</f>
        <v/>
      </c>
      <c r="F74" s="21">
        <f>COUNTIFS(hSemana_ATR,"Semana 4",hEstado_ATR,"Completado")&amp;" / "&amp;COUNTIF(hSemana_ATR,"Semana 4")</f>
        <v/>
      </c>
      <c r="G74" s="21">
        <f>COUNTIFS(hSemana_ATR,"Semana*",hEstado_ATR,"Completado")&amp;" / "&amp;COUNTIF(hSemana_ATR,"Semana*")</f>
        <v/>
      </c>
      <c r="H74" s="21">
        <f>COUNTIFS(hEstado_ATR,"&lt;&gt;Completado",hFechaObj_ATR,"&lt;"&amp;FechaRef)</f>
        <v/>
      </c>
      <c r="I74" s="40">
        <f>IF(H74&gt;0,"⚠ "&amp;H74&amp;" hito(s) con fecha objetivo vencida sin completar","Sin hitos vencidos")</f>
        <v/>
      </c>
      <c r="J74" s="40" t="n"/>
      <c r="K74" s="40" t="n"/>
      <c r="L74" s="40" t="n"/>
      <c r="M74" s="40" t="n"/>
    </row>
  </sheetData>
  <sheetProtection selectLockedCells="0" selectUnlockedCells="0" sheet="1" objects="0" insertRows="1" insertHyperlinks="1" autoFilter="1" scenarios="0" formatColumns="1" deleteColumns="1" insertColumns="1" pivotTables="1" deleteRows="1" formatCells="1" formatRows="1" sort="1"/>
  <mergeCells count="86">
    <mergeCell ref="L17:M17"/>
    <mergeCell ref="L19:M19"/>
    <mergeCell ref="L28:M28"/>
    <mergeCell ref="B58:F58"/>
    <mergeCell ref="I61:M61"/>
    <mergeCell ref="B52:F52"/>
    <mergeCell ref="I70:M70"/>
    <mergeCell ref="I54:M54"/>
    <mergeCell ref="B60:F60"/>
    <mergeCell ref="I72:M72"/>
    <mergeCell ref="G12:M12"/>
    <mergeCell ref="B6:D6"/>
    <mergeCell ref="B53:F53"/>
    <mergeCell ref="I56:M56"/>
    <mergeCell ref="L29:M29"/>
    <mergeCell ref="K10:M10"/>
    <mergeCell ref="H5:J5"/>
    <mergeCell ref="B4:D4"/>
    <mergeCell ref="L31:M31"/>
    <mergeCell ref="I73:M73"/>
    <mergeCell ref="K9:M9"/>
    <mergeCell ref="K5:M5"/>
    <mergeCell ref="I63:M63"/>
    <mergeCell ref="I59:M59"/>
    <mergeCell ref="I65:M65"/>
    <mergeCell ref="I60:M60"/>
    <mergeCell ref="I74:M74"/>
    <mergeCell ref="B54:F54"/>
    <mergeCell ref="L16:M16"/>
    <mergeCell ref="B8:D8"/>
    <mergeCell ref="B56:F56"/>
    <mergeCell ref="E6:G6"/>
    <mergeCell ref="H23:K23"/>
    <mergeCell ref="B10:D10"/>
    <mergeCell ref="K8:M8"/>
    <mergeCell ref="B9:D9"/>
    <mergeCell ref="B57:F57"/>
    <mergeCell ref="L30:M30"/>
    <mergeCell ref="B5:D5"/>
    <mergeCell ref="L20:M20"/>
    <mergeCell ref="K4:M4"/>
    <mergeCell ref="I62:M62"/>
    <mergeCell ref="I64:M64"/>
    <mergeCell ref="E8:G8"/>
    <mergeCell ref="H4:J4"/>
    <mergeCell ref="H6:J6"/>
    <mergeCell ref="E10:G10"/>
    <mergeCell ref="B62:F62"/>
    <mergeCell ref="B59:F59"/>
    <mergeCell ref="E9:G9"/>
    <mergeCell ref="L24:M24"/>
    <mergeCell ref="L18:M18"/>
    <mergeCell ref="I66:M66"/>
    <mergeCell ref="I53:M53"/>
    <mergeCell ref="L26:M26"/>
    <mergeCell ref="I55:M55"/>
    <mergeCell ref="H8:J8"/>
    <mergeCell ref="L25:M25"/>
    <mergeCell ref="I52:M52"/>
    <mergeCell ref="B65:F65"/>
    <mergeCell ref="H10:J10"/>
    <mergeCell ref="C12:F12"/>
    <mergeCell ref="B22:M22"/>
    <mergeCell ref="B63:F63"/>
    <mergeCell ref="E4:G4"/>
    <mergeCell ref="H9:J9"/>
    <mergeCell ref="C23:F23"/>
    <mergeCell ref="B67:M67"/>
    <mergeCell ref="B66:F66"/>
    <mergeCell ref="B14:M14"/>
    <mergeCell ref="B1:M1"/>
    <mergeCell ref="I57:M57"/>
    <mergeCell ref="B69:M69"/>
    <mergeCell ref="L15:M15"/>
    <mergeCell ref="B61:F61"/>
    <mergeCell ref="L23:M23"/>
    <mergeCell ref="I71:M71"/>
    <mergeCell ref="I58:M58"/>
    <mergeCell ref="F2:M2"/>
    <mergeCell ref="B33:M33"/>
    <mergeCell ref="B51:M51"/>
    <mergeCell ref="K6:M6"/>
    <mergeCell ref="B55:F55"/>
    <mergeCell ref="B64:F64"/>
    <mergeCell ref="E5:G5"/>
    <mergeCell ref="L27:M27"/>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ISNUMBER(SEARCH("ompletado",$G$12))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ISNUMBER(SEARCH("ompletado",$L16))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53:H66">
    <cfRule type="expression" priority="28" dxfId="0">
      <formula>LEFT(H53,1)="✔"</formula>
    </cfRule>
    <cfRule type="expression" priority="29" dxfId="1">
      <formula>LEFT(H53,1)="●"</formula>
    </cfRule>
    <cfRule type="expression" priority="30" dxfId="2">
      <formula>LEFT(H53,1)="⚠"</formula>
    </cfRule>
  </conditionalFormatting>
  <conditionalFormatting sqref="H71:H74">
    <cfRule type="expression" priority="31" dxfId="6">
      <formula>H71&gt;0</formula>
    </cfRule>
  </conditionalFormatting>
  <conditionalFormatting sqref="I71:M74">
    <cfRule type="expression" priority="32" dxfId="1">
      <formula>LEFT($I71,1)="⚠"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71" r:id="rId5"/>
    <hyperlink xmlns:r="http://schemas.openxmlformats.org/officeDocument/2006/relationships" ref="B72" r:id="rId6"/>
    <hyperlink xmlns:r="http://schemas.openxmlformats.org/officeDocument/2006/relationships" ref="B73" r:id="rId7"/>
    <hyperlink xmlns:r="http://schemas.openxmlformats.org/officeDocument/2006/relationships" ref="B74" r:id="rId8"/>
  </hyperlinks>
  <pageMargins left="0.3" right="0.3" top="0.4" bottom="0.4" header="0.5" footer="0.5"/>
  <pageSetup orientation="landscape" paperSize="1" fitToHeight="0" fitToWidth="1"/>
  <headerFooter>
    <oddHeader/>
    <oddFooter>&amp;CPágina &amp;P de &amp;N</oddFooter>
    <evenHeader/>
    <evenFooter/>
    <firstHeader/>
    <firstFooter/>
  </headerFooter>
  <rowBreaks count="1" manualBreakCount="1">
    <brk id="34" min="0" max="16383" man="1"/>
  </rowBreaks>
  <drawing xmlns:r="http://schemas.openxmlformats.org/officeDocument/2006/relationships" r:id="rId9"/>
</worksheet>
</file>

<file path=xl/worksheets/sheet2.xml><?xml version="1.0" encoding="utf-8"?>
<worksheet xmlns="http://schemas.openxmlformats.org/spreadsheetml/2006/main">
  <sheetPr>
    <tabColor rgb="002E75B6"/>
    <outlinePr summaryBelow="1" summaryRight="1"/>
    <pageSetUpPr fitToPage="1"/>
  </sheetPr>
  <dimension ref="A1:P1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44" customWidth="1" min="3" max="3"/>
    <col width="22"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13" customWidth="1" min="14" max="14"/>
    <col width="36" customWidth="1" min="15" max="15"/>
    <col width="58" customWidth="1" min="16" max="16"/>
  </cols>
  <sheetData>
    <row r="1" ht="28" customHeight="1">
      <c r="A1" s="41" t="inlineStr">
        <is>
          <t>Cronograma y Actividades – Riesgo Operacional</t>
        </is>
      </c>
      <c r="B1" s="41" t="n"/>
      <c r="C1" s="41" t="n"/>
      <c r="D1" s="41" t="n"/>
      <c r="E1" s="41" t="n"/>
      <c r="F1" s="41" t="n"/>
      <c r="G1" s="41" t="n"/>
      <c r="H1" s="41" t="n"/>
      <c r="I1" s="41" t="n"/>
      <c r="J1" s="41" t="n"/>
      <c r="K1" s="41" t="n"/>
      <c r="L1" s="41" t="n"/>
      <c r="M1" s="41" t="n"/>
      <c r="N1" s="41" t="n"/>
      <c r="O1" s="41" t="n"/>
      <c r="P1" s="41" t="n"/>
    </row>
    <row r="2" ht="30" customHeight="1">
      <c r="A2" s="42" t="inlineStr">
        <is>
          <t>Hoja exclusiva de Riesgo Operacional: registre aquí SOLO las actividades de este puesto. Celdas amarillas: entrada de datos.  Celdas grises: cálculo automático (protegidas).  Avances semanales = % ACUMULADO al cierre de cada semana (deje vacía la semana aún no actualizada).  Los pesos de esta hoja deben sumar 100%.</t>
        </is>
      </c>
      <c r="B2" s="42" t="n"/>
      <c r="C2" s="42" t="n"/>
      <c r="D2" s="42" t="n"/>
      <c r="E2" s="42" t="n"/>
      <c r="F2" s="42" t="n"/>
      <c r="G2" s="42" t="n"/>
      <c r="H2" s="42" t="n"/>
      <c r="I2" s="42" t="n"/>
      <c r="J2" s="42" t="n"/>
      <c r="K2" s="42" t="n"/>
      <c r="L2" s="42" t="n"/>
      <c r="M2" s="42" t="n"/>
      <c r="N2" s="42" t="n"/>
      <c r="O2" s="42" t="n"/>
      <c r="P2" s="42" t="n"/>
    </row>
    <row r="3">
      <c r="A3" s="43" t="inlineStr">
        <is>
          <t>Entrada</t>
        </is>
      </c>
      <c r="B3" s="44" t="inlineStr">
        <is>
          <t>Cálculo automático</t>
        </is>
      </c>
      <c r="C3" s="45" t="inlineStr">
        <is>
          <t>Suma de pesos de la hoja:</t>
        </is>
      </c>
      <c r="D3" s="46">
        <f>SUM(G5:G1000)</f>
        <v/>
      </c>
      <c r="E3" s="47">
        <f>IF(COUNTIF(P5:P1000,"?*")=0,"",IF(ABS(D3-1)&lt;=0.0001,"✔ 100%","⚠ Debe sumar 100%"))</f>
        <v/>
      </c>
    </row>
    <row r="4" ht="42" customHeight="1">
      <c r="A4" s="48" t="inlineStr">
        <is>
          <t>ID Actividad</t>
        </is>
      </c>
      <c r="B4" s="6" t="inlineStr">
        <is>
          <t>Área / Puesto</t>
        </is>
      </c>
      <c r="C4" s="48" t="inlineStr">
        <is>
          <t>Macro Actividad</t>
        </is>
      </c>
      <c r="D4" s="48" t="inlineStr">
        <is>
          <t>Responsable</t>
        </is>
      </c>
      <c r="E4" s="48" t="inlineStr">
        <is>
          <t>Fecha de inicio</t>
        </is>
      </c>
      <c r="F4" s="48" t="inlineStr">
        <is>
          <t>Fecha límite</t>
        </is>
      </c>
      <c r="G4" s="48" t="inlineStr">
        <is>
          <t>Peso de actividad (%)</t>
        </is>
      </c>
      <c r="H4" s="48" t="inlineStr">
        <is>
          <t>Avance Semana 1 (%)</t>
        </is>
      </c>
      <c r="I4" s="48" t="inlineStr">
        <is>
          <t>Avance Semana 2 (%)</t>
        </is>
      </c>
      <c r="J4" s="48" t="inlineStr">
        <is>
          <t>Avance Semana 3 (%)</t>
        </is>
      </c>
      <c r="K4" s="48" t="inlineStr">
        <is>
          <t>Avance Semana 4 (%)</t>
        </is>
      </c>
      <c r="L4" s="6" t="inlineStr">
        <is>
          <t>% de Avance Total Actual</t>
        </is>
      </c>
      <c r="M4" s="6" t="inlineStr">
        <is>
          <t>Estado</t>
        </is>
      </c>
      <c r="N4" s="48" t="inlineStr">
        <is>
          <t>Última actualización</t>
        </is>
      </c>
      <c r="O4" s="48" t="inlineStr">
        <is>
          <t>Evidencia / Observaciones</t>
        </is>
      </c>
      <c r="P4" s="6" t="inlineStr">
        <is>
          <t>Validación de datos</t>
        </is>
      </c>
    </row>
    <row r="5">
      <c r="A5" s="49" t="n"/>
      <c r="B5" s="50">
        <f>IF((COUNTA($A5)+COUNTA($C5:$K5)+COUNTA($N5:$O5))&gt;0,"Riesgo Operacional","")</f>
        <v/>
      </c>
      <c r="C5" s="51" t="n"/>
      <c r="D5" s="51" t="n"/>
      <c r="E5" s="52" t="n"/>
      <c r="F5" s="52" t="n"/>
      <c r="G5" s="53" t="n"/>
      <c r="H5" s="54" t="n"/>
      <c r="I5" s="54" t="n"/>
      <c r="J5" s="54" t="n"/>
      <c r="K5" s="54" t="n"/>
      <c r="L5" s="55">
        <f>IF(NOT((COUNTA($A5)+COUNTA($C5:$K5)+COUNTA($N5:$O5))&gt;0),"",IFERROR(LOOKUP(2,1/(H5:K5&lt;&gt;""),H5:K5),0))</f>
        <v/>
      </c>
      <c r="M5" s="56">
        <f>IF(L5="","",IF(L5&gt;=1,"Completado",IF(L5&gt;0,"En curso","Pendiente")))</f>
        <v/>
      </c>
      <c r="N5" s="52" t="n"/>
      <c r="O5" s="51" t="n"/>
      <c r="P5" s="57">
        <f>IF(NOT((COUNTA($A5)+COUNTA($C5:$K5)+COUNTA($N5:$O5))&gt;0),"",IF((IF(A5="","Falta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 OK","⚠ "&amp;LEFT(IF(A5="","Falta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",""),LEN(IF(A5="","Falta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",""))-3)))</f>
        <v/>
      </c>
    </row>
    <row r="6">
      <c r="A6" s="49" t="n"/>
      <c r="B6" s="50">
        <f>IF((COUNTA($A6)+COUNTA($C6:$K6)+COUNTA($N6:$O6))&gt;0,"Riesgo Operacional","")</f>
        <v/>
      </c>
      <c r="C6" s="51" t="n"/>
      <c r="D6" s="51" t="n"/>
      <c r="E6" s="52" t="n"/>
      <c r="F6" s="52" t="n"/>
      <c r="G6" s="53" t="n"/>
      <c r="H6" s="54" t="n"/>
      <c r="I6" s="54" t="n"/>
      <c r="J6" s="54" t="n"/>
      <c r="K6" s="54" t="n"/>
      <c r="L6" s="55">
        <f>IF(NOT((COUNTA($A6)+COUNTA($C6:$K6)+COUNTA($N6:$O6))&gt;0),"",IFERROR(LOOKUP(2,1/(H6:K6&lt;&gt;""),H6:K6),0))</f>
        <v/>
      </c>
      <c r="M6" s="56">
        <f>IF(L6="","",IF(L6&gt;=1,"Completado",IF(L6&gt;0,"En curso","Pendiente")))</f>
        <v/>
      </c>
      <c r="N6" s="52" t="n"/>
      <c r="O6" s="51" t="n"/>
      <c r="P6" s="57">
        <f>IF(NOT((COUNTA($A6)+COUNTA($C6:$K6)+COUNTA($N6:$O6))&gt;0),"",IF((IF(A6="","Falta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 OK","⚠ "&amp;LEFT(IF(A6="","Falta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",""),LEN(IF(A6="","Falta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",""))-3)))</f>
        <v/>
      </c>
    </row>
    <row r="7">
      <c r="A7" s="49" t="n"/>
      <c r="B7" s="50">
        <f>IF((COUNTA($A7)+COUNTA($C7:$K7)+COUNTA($N7:$O7))&gt;0,"Riesgo Operacional","")</f>
        <v/>
      </c>
      <c r="C7" s="51" t="n"/>
      <c r="D7" s="51" t="n"/>
      <c r="E7" s="52" t="n"/>
      <c r="F7" s="52" t="n"/>
      <c r="G7" s="53" t="n"/>
      <c r="H7" s="54" t="n"/>
      <c r="I7" s="54" t="n"/>
      <c r="J7" s="54" t="n"/>
      <c r="K7" s="54" t="n"/>
      <c r="L7" s="55">
        <f>IF(NOT((COUNTA($A7)+COUNTA($C7:$K7)+COUNTA($N7:$O7))&gt;0),"",IFERROR(LOOKUP(2,1/(H7:K7&lt;&gt;""),H7:K7),0))</f>
        <v/>
      </c>
      <c r="M7" s="56">
        <f>IF(L7="","",IF(L7&gt;=1,"Completado",IF(L7&gt;0,"En curso","Pendiente")))</f>
        <v/>
      </c>
      <c r="N7" s="52" t="n"/>
      <c r="O7" s="51" t="n"/>
      <c r="P7" s="57">
        <f>IF(NOT((COUNTA($A7)+COUNTA($C7:$K7)+COUNTA($N7:$O7))&gt;0),"",IF((IF(A7="","Falta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 OK","⚠ "&amp;LEFT(IF(A7="","Falta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",""),LEN(IF(A7="","Falta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",""))-3)))</f>
        <v/>
      </c>
    </row>
    <row r="8">
      <c r="A8" s="49" t="n"/>
      <c r="B8" s="50">
        <f>IF((COUNTA($A8)+COUNTA($C8:$K8)+COUNTA($N8:$O8))&gt;0,"Riesgo Operacional","")</f>
        <v/>
      </c>
      <c r="C8" s="51" t="n"/>
      <c r="D8" s="51" t="n"/>
      <c r="E8" s="52" t="n"/>
      <c r="F8" s="52" t="n"/>
      <c r="G8" s="53" t="n"/>
      <c r="H8" s="54" t="n"/>
      <c r="I8" s="54" t="n"/>
      <c r="J8" s="54" t="n"/>
      <c r="K8" s="54" t="n"/>
      <c r="L8" s="55">
        <f>IF(NOT((COUNTA($A8)+COUNTA($C8:$K8)+COUNTA($N8:$O8))&gt;0),"",IFERROR(LOOKUP(2,1/(H8:K8&lt;&gt;""),H8:K8),0))</f>
        <v/>
      </c>
      <c r="M8" s="56">
        <f>IF(L8="","",IF(L8&gt;=1,"Completado",IF(L8&gt;0,"En curso","Pendiente")))</f>
        <v/>
      </c>
      <c r="N8" s="52" t="n"/>
      <c r="O8" s="51" t="n"/>
      <c r="P8" s="57">
        <f>IF(NOT((COUNTA($A8)+COUNTA($C8:$K8)+COUNTA($N8:$O8))&gt;0),"",IF((IF(A8="","Falta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 OK","⚠ "&amp;LEFT(IF(A8="","Falta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",""),LEN(IF(A8="","Falta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",""))-3)))</f>
        <v/>
      </c>
    </row>
    <row r="9">
      <c r="A9" s="49" t="n"/>
      <c r="B9" s="50">
        <f>IF((COUNTA($A9)+COUNTA($C9:$K9)+COUNTA($N9:$O9))&gt;0,"Riesgo Operacional","")</f>
        <v/>
      </c>
      <c r="C9" s="51" t="n"/>
      <c r="D9" s="51" t="n"/>
      <c r="E9" s="52" t="n"/>
      <c r="F9" s="52" t="n"/>
      <c r="G9" s="53" t="n"/>
      <c r="H9" s="54" t="n"/>
      <c r="I9" s="54" t="n"/>
      <c r="J9" s="54" t="n"/>
      <c r="K9" s="54" t="n"/>
      <c r="L9" s="55">
        <f>IF(NOT((COUNTA($A9)+COUNTA($C9:$K9)+COUNTA($N9:$O9))&gt;0),"",IFERROR(LOOKUP(2,1/(H9:K9&lt;&gt;""),H9:K9),0))</f>
        <v/>
      </c>
      <c r="M9" s="56">
        <f>IF(L9="","",IF(L9&gt;=1,"Completado",IF(L9&gt;0,"En curso","Pendiente")))</f>
        <v/>
      </c>
      <c r="N9" s="52" t="n"/>
      <c r="O9" s="51" t="n"/>
      <c r="P9" s="57">
        <f>IF(NOT((COUNTA($A9)+COUNTA($C9:$K9)+COUNTA($N9:$O9))&gt;0),"",IF((IF(A9="","Falta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 OK","⚠ "&amp;LEFT(IF(A9="","Falta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",""),LEN(IF(A9="","Falta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",""))-3)))</f>
        <v/>
      </c>
    </row>
    <row r="10">
      <c r="A10" s="49" t="n"/>
      <c r="B10" s="50">
        <f>IF((COUNTA($A10)+COUNTA($C10:$K10)+COUNTA($N10:$O10))&gt;0,"Riesgo Operacional","")</f>
        <v/>
      </c>
      <c r="C10" s="51" t="n"/>
      <c r="D10" s="51" t="n"/>
      <c r="E10" s="52" t="n"/>
      <c r="F10" s="52" t="n"/>
      <c r="G10" s="53" t="n"/>
      <c r="H10" s="54" t="n"/>
      <c r="I10" s="54" t="n"/>
      <c r="J10" s="54" t="n"/>
      <c r="K10" s="54" t="n"/>
      <c r="L10" s="55">
        <f>IF(NOT((COUNTA($A10)+COUNTA($C10:$K10)+COUNTA($N10:$O10))&gt;0),"",IFERROR(LOOKUP(2,1/(H10:K10&lt;&gt;""),H10:K10),0))</f>
        <v/>
      </c>
      <c r="M10" s="56">
        <f>IF(L10="","",IF(L10&gt;=1,"Completado",IF(L10&gt;0,"En curso","Pendiente")))</f>
        <v/>
      </c>
      <c r="N10" s="52" t="n"/>
      <c r="O10" s="51" t="n"/>
      <c r="P10" s="57">
        <f>IF(NOT((COUNTA($A10)+COUNTA($C10:$K10)+COUNTA($N10:$O10))&gt;0),"",IF((IF(A10="","Falta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 OK","⚠ "&amp;LEFT(IF(A10="","Falta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",""),LEN(IF(A10="","Falta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",""))-3)))</f>
        <v/>
      </c>
    </row>
    <row r="11">
      <c r="A11" s="49" t="n"/>
      <c r="B11" s="50">
        <f>IF((COUNTA($A11)+COUNTA($C11:$K11)+COUNTA($N11:$O11))&gt;0,"Riesgo Operacional","")</f>
        <v/>
      </c>
      <c r="C11" s="51" t="n"/>
      <c r="D11" s="51" t="n"/>
      <c r="E11" s="52" t="n"/>
      <c r="F11" s="52" t="n"/>
      <c r="G11" s="53" t="n"/>
      <c r="H11" s="54" t="n"/>
      <c r="I11" s="54" t="n"/>
      <c r="J11" s="54" t="n"/>
      <c r="K11" s="54" t="n"/>
      <c r="L11" s="55">
        <f>IF(NOT((COUNTA($A11)+COUNTA($C11:$K11)+COUNTA($N11:$O11))&gt;0),"",IFERROR(LOOKUP(2,1/(H11:K11&lt;&gt;""),H11:K11),0))</f>
        <v/>
      </c>
      <c r="M11" s="56">
        <f>IF(L11="","",IF(L11&gt;=1,"Completado",IF(L11&gt;0,"En curso","Pendiente")))</f>
        <v/>
      </c>
      <c r="N11" s="52" t="n"/>
      <c r="O11" s="51" t="n"/>
      <c r="P11" s="57">
        <f>IF(NOT((COUNTA($A11)+COUNTA($C11:$K11)+COUNTA($N11:$O11))&gt;0),"",IF((IF(A11="","Falta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 OK","⚠ "&amp;LEFT(IF(A11="","Falta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",""),LEN(IF(A11="","Falta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",""))-3)))</f>
        <v/>
      </c>
    </row>
    <row r="12">
      <c r="A12" s="49" t="n"/>
      <c r="B12" s="50">
        <f>IF((COUNTA($A12)+COUNTA($C12:$K12)+COUNTA($N12:$O12))&gt;0,"Riesgo Operacional","")</f>
        <v/>
      </c>
      <c r="C12" s="51" t="n"/>
      <c r="D12" s="51" t="n"/>
      <c r="E12" s="52" t="n"/>
      <c r="F12" s="52" t="n"/>
      <c r="G12" s="53" t="n"/>
      <c r="H12" s="54" t="n"/>
      <c r="I12" s="54" t="n"/>
      <c r="J12" s="54" t="n"/>
      <c r="K12" s="54" t="n"/>
      <c r="L12" s="55">
        <f>IF(NOT((COUNTA($A12)+COUNTA($C12:$K12)+COUNTA($N12:$O12))&gt;0),"",IFERROR(LOOKUP(2,1/(H12:K12&lt;&gt;""),H12:K12),0))</f>
        <v/>
      </c>
      <c r="M12" s="56">
        <f>IF(L12="","",IF(L12&gt;=1,"Completado",IF(L12&gt;0,"En curso","Pendiente")))</f>
        <v/>
      </c>
      <c r="N12" s="52" t="n"/>
      <c r="O12" s="51" t="n"/>
      <c r="P12" s="57">
        <f>IF(NOT((COUNTA($A12)+COUNTA($C12:$K12)+COUNTA($N12:$O12))&gt;0),"",IF((IF(A12="","Falta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 OK","⚠ "&amp;LEFT(IF(A12="","Falta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",""),LEN(IF(A12="","Falta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",""))-3)))</f>
        <v/>
      </c>
    </row>
    <row r="13">
      <c r="A13" s="49" t="n"/>
      <c r="B13" s="50">
        <f>IF((COUNTA($A13)+COUNTA($C13:$K13)+COUNTA($N13:$O13))&gt;0,"Riesgo Operacional","")</f>
        <v/>
      </c>
      <c r="C13" s="51" t="n"/>
      <c r="D13" s="51" t="n"/>
      <c r="E13" s="52" t="n"/>
      <c r="F13" s="52" t="n"/>
      <c r="G13" s="53" t="n"/>
      <c r="H13" s="54" t="n"/>
      <c r="I13" s="54" t="n"/>
      <c r="J13" s="54" t="n"/>
      <c r="K13" s="54" t="n"/>
      <c r="L13" s="55">
        <f>IF(NOT((COUNTA($A13)+COUNTA($C13:$K13)+COUNTA($N13:$O13))&gt;0),"",IFERROR(LOOKUP(2,1/(H13:K13&lt;&gt;""),H13:K13),0))</f>
        <v/>
      </c>
      <c r="M13" s="56">
        <f>IF(L13="","",IF(L13&gt;=1,"Completado",IF(L13&gt;0,"En curso","Pendiente")))</f>
        <v/>
      </c>
      <c r="N13" s="52" t="n"/>
      <c r="O13" s="51" t="n"/>
      <c r="P13" s="57">
        <f>IF(NOT((COUNTA($A13)+COUNTA($C13:$K13)+COUNTA($N13:$O13))&gt;0),"",IF((IF(A13="","Falta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 OK","⚠ "&amp;LEFT(IF(A13="","Falta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",""),LEN(IF(A13="","Falta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",""))-3)))</f>
        <v/>
      </c>
    </row>
    <row r="14">
      <c r="A14" s="49" t="n"/>
      <c r="B14" s="50">
        <f>IF((COUNTA($A14)+COUNTA($C14:$K14)+COUNTA($N14:$O14))&gt;0,"Riesgo Operacional","")</f>
        <v/>
      </c>
      <c r="C14" s="51" t="n"/>
      <c r="D14" s="51" t="n"/>
      <c r="E14" s="52" t="n"/>
      <c r="F14" s="52" t="n"/>
      <c r="G14" s="53" t="n"/>
      <c r="H14" s="54" t="n"/>
      <c r="I14" s="54" t="n"/>
      <c r="J14" s="54" t="n"/>
      <c r="K14" s="54" t="n"/>
      <c r="L14" s="55">
        <f>IF(NOT((COUNTA($A14)+COUNTA($C14:$K14)+COUNTA($N14:$O14))&gt;0),"",IFERROR(LOOKUP(2,1/(H14:K14&lt;&gt;""),H14:K14),0))</f>
        <v/>
      </c>
      <c r="M14" s="56">
        <f>IF(L14="","",IF(L14&gt;=1,"Completado",IF(L14&gt;0,"En curso","Pendiente")))</f>
        <v/>
      </c>
      <c r="N14" s="52" t="n"/>
      <c r="O14" s="51" t="n"/>
      <c r="P14" s="57">
        <f>IF(NOT((COUNTA($A14)+COUNTA($C14:$K14)+COUNTA($N14:$O14))&gt;0),"",IF((IF(A14="","Falta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 OK","⚠ "&amp;LEFT(IF(A14="","Falta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",""),LEN(IF(A14="","Falta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",""))-3)))</f>
        <v/>
      </c>
    </row>
    <row r="15">
      <c r="A15" s="49" t="n"/>
      <c r="B15" s="50">
        <f>IF((COUNTA($A15)+COUNTA($C15:$K15)+COUNTA($N15:$O15))&gt;0,"Riesgo Operacional","")</f>
        <v/>
      </c>
      <c r="C15" s="51" t="n"/>
      <c r="D15" s="51" t="n"/>
      <c r="E15" s="52" t="n"/>
      <c r="F15" s="52" t="n"/>
      <c r="G15" s="53" t="n"/>
      <c r="H15" s="54" t="n"/>
      <c r="I15" s="54" t="n"/>
      <c r="J15" s="54" t="n"/>
      <c r="K15" s="54" t="n"/>
      <c r="L15" s="55">
        <f>IF(NOT((COUNTA($A15)+COUNTA($C15:$K15)+COUNTA($N15:$O15))&gt;0),"",IFERROR(LOOKUP(2,1/(H15:K15&lt;&gt;""),H15:K15),0))</f>
        <v/>
      </c>
      <c r="M15" s="56">
        <f>IF(L15="","",IF(L15&gt;=1,"Completado",IF(L15&gt;0,"En curso","Pendiente")))</f>
        <v/>
      </c>
      <c r="N15" s="52" t="n"/>
      <c r="O15" s="51" t="n"/>
      <c r="P15" s="57">
        <f>IF(NOT((COUNTA($A15)+COUNTA($C15:$K15)+COUNTA($N15:$O15))&gt;0),"",IF((IF(A15="","Falta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 OK","⚠ "&amp;LEFT(IF(A15="","Falta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",""),LEN(IF(A15="","Falta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",""))-3)))</f>
        <v/>
      </c>
    </row>
    <row r="16">
      <c r="A16" s="49" t="n"/>
      <c r="B16" s="50">
        <f>IF((COUNTA($A16)+COUNTA($C16:$K16)+COUNTA($N16:$O16))&gt;0,"Riesgo Operacional","")</f>
        <v/>
      </c>
      <c r="C16" s="51" t="n"/>
      <c r="D16" s="51" t="n"/>
      <c r="E16" s="52" t="n"/>
      <c r="F16" s="52" t="n"/>
      <c r="G16" s="53" t="n"/>
      <c r="H16" s="54" t="n"/>
      <c r="I16" s="54" t="n"/>
      <c r="J16" s="54" t="n"/>
      <c r="K16" s="54" t="n"/>
      <c r="L16" s="55">
        <f>IF(NOT((COUNTA($A16)+COUNTA($C16:$K16)+COUNTA($N16:$O16))&gt;0),"",IFERROR(LOOKUP(2,1/(H16:K16&lt;&gt;""),H16:K16),0))</f>
        <v/>
      </c>
      <c r="M16" s="56">
        <f>IF(L16="","",IF(L16&gt;=1,"Completado",IF(L16&gt;0,"En curso","Pendiente")))</f>
        <v/>
      </c>
      <c r="N16" s="52" t="n"/>
      <c r="O16" s="51" t="n"/>
      <c r="P16" s="57">
        <f>IF(NOT((COUNTA($A16)+COUNTA($C16:$K16)+COUNTA($N16:$O16))&gt;0),"",IF((IF(A16="","Falta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 OK","⚠ "&amp;LEFT(IF(A16="","Falta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",""),LEN(IF(A16="","Falta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",""))-3)))</f>
        <v/>
      </c>
    </row>
    <row r="17">
      <c r="A17" s="49" t="n"/>
      <c r="B17" s="50">
        <f>IF((COUNTA($A17)+COUNTA($C17:$K17)+COUNTA($N17:$O17))&gt;0,"Riesgo Operacional","")</f>
        <v/>
      </c>
      <c r="C17" s="51" t="n"/>
      <c r="D17" s="51" t="n"/>
      <c r="E17" s="52" t="n"/>
      <c r="F17" s="52" t="n"/>
      <c r="G17" s="53" t="n"/>
      <c r="H17" s="54" t="n"/>
      <c r="I17" s="54" t="n"/>
      <c r="J17" s="54" t="n"/>
      <c r="K17" s="54" t="n"/>
      <c r="L17" s="55">
        <f>IF(NOT((COUNTA($A17)+COUNTA($C17:$K17)+COUNTA($N17:$O17))&gt;0),"",IFERROR(LOOKUP(2,1/(H17:K17&lt;&gt;""),H17:K17),0))</f>
        <v/>
      </c>
      <c r="M17" s="56">
        <f>IF(L17="","",IF(L17&gt;=1,"Completado",IF(L17&gt;0,"En curso","Pendiente")))</f>
        <v/>
      </c>
      <c r="N17" s="52" t="n"/>
      <c r="O17" s="51" t="n"/>
      <c r="P17" s="57">
        <f>IF(NOT((COUNTA($A17)+COUNTA($C17:$K17)+COUNTA($N17:$O17))&gt;0),"",IF((IF(A17="","Falta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 OK","⚠ "&amp;LEFT(IF(A17="","Falta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",""),LEN(IF(A17="","Falta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",""))-3)))</f>
        <v/>
      </c>
    </row>
    <row r="18">
      <c r="A18" s="49" t="n"/>
      <c r="B18" s="50">
        <f>IF((COUNTA($A18)+COUNTA($C18:$K18)+COUNTA($N18:$O18))&gt;0,"Riesgo Operacional","")</f>
        <v/>
      </c>
      <c r="C18" s="51" t="n"/>
      <c r="D18" s="51" t="n"/>
      <c r="E18" s="52" t="n"/>
      <c r="F18" s="52" t="n"/>
      <c r="G18" s="53" t="n"/>
      <c r="H18" s="54" t="n"/>
      <c r="I18" s="54" t="n"/>
      <c r="J18" s="54" t="n"/>
      <c r="K18" s="54" t="n"/>
      <c r="L18" s="55">
        <f>IF(NOT((COUNTA($A18)+COUNTA($C18:$K18)+COUNTA($N18:$O18))&gt;0),"",IFERROR(LOOKUP(2,1/(H18:K18&lt;&gt;""),H18:K18),0))</f>
        <v/>
      </c>
      <c r="M18" s="56">
        <f>IF(L18="","",IF(L18&gt;=1,"Completado",IF(L18&gt;0,"En curso","Pendiente")))</f>
        <v/>
      </c>
      <c r="N18" s="52" t="n"/>
      <c r="O18" s="51" t="n"/>
      <c r="P18" s="57">
        <f>IF(NOT((COUNTA($A18)+COUNTA($C18:$K18)+COUNTA($N18:$O18))&gt;0),"",IF((IF(A18="","Falta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 OK","⚠ "&amp;LEFT(IF(A18="","Falta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",""),LEN(IF(A18="","Falta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",""))-3)))</f>
        <v/>
      </c>
    </row>
    <row r="19">
      <c r="A19" s="49" t="n"/>
      <c r="B19" s="50">
        <f>IF((COUNTA($A19)+COUNTA($C19:$K19)+COUNTA($N19:$O19))&gt;0,"Riesgo Operacional","")</f>
        <v/>
      </c>
      <c r="C19" s="51" t="n"/>
      <c r="D19" s="51" t="n"/>
      <c r="E19" s="52" t="n"/>
      <c r="F19" s="52" t="n"/>
      <c r="G19" s="53" t="n"/>
      <c r="H19" s="54" t="n"/>
      <c r="I19" s="54" t="n"/>
      <c r="J19" s="54" t="n"/>
      <c r="K19" s="54" t="n"/>
      <c r="L19" s="55">
        <f>IF(NOT((COUNTA($A19)+COUNTA($C19:$K19)+COUNTA($N19:$O19))&gt;0),"",IFERROR(LOOKUP(2,1/(H19:K19&lt;&gt;""),H19:K19),0))</f>
        <v/>
      </c>
      <c r="M19" s="56">
        <f>IF(L19="","",IF(L19&gt;=1,"Completado",IF(L19&gt;0,"En curso","Pendiente")))</f>
        <v/>
      </c>
      <c r="N19" s="52" t="n"/>
      <c r="O19" s="51" t="n"/>
      <c r="P19" s="57">
        <f>IF(NOT((COUNTA($A19)+COUNTA($C19:$K19)+COUNTA($N19:$O19))&gt;0),"",IF((IF(A19="","Falta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 OK","⚠ "&amp;LEFT(IF(A19="","Falta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",""),LEN(IF(A19="","Falta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",""))-3)))</f>
        <v/>
      </c>
    </row>
    <row r="20">
      <c r="A20" s="49" t="n"/>
      <c r="B20" s="50">
        <f>IF((COUNTA($A20)+COUNTA($C20:$K20)+COUNTA($N20:$O20))&gt;0,"Riesgo Operacional","")</f>
        <v/>
      </c>
      <c r="C20" s="51" t="n"/>
      <c r="D20" s="51" t="n"/>
      <c r="E20" s="52" t="n"/>
      <c r="F20" s="52" t="n"/>
      <c r="G20" s="53" t="n"/>
      <c r="H20" s="54" t="n"/>
      <c r="I20" s="54" t="n"/>
      <c r="J20" s="54" t="n"/>
      <c r="K20" s="54" t="n"/>
      <c r="L20" s="55">
        <f>IF(NOT((COUNTA($A20)+COUNTA($C20:$K20)+COUNTA($N20:$O20))&gt;0),"",IFERROR(LOOKUP(2,1/(H20:K20&lt;&gt;""),H20:K20),0))</f>
        <v/>
      </c>
      <c r="M20" s="56">
        <f>IF(L20="","",IF(L20&gt;=1,"Completado",IF(L20&gt;0,"En curso","Pendiente")))</f>
        <v/>
      </c>
      <c r="N20" s="52" t="n"/>
      <c r="O20" s="51" t="n"/>
      <c r="P20" s="57">
        <f>IF(NOT((COUNTA($A20)+COUNTA($C20:$K20)+COUNTA($N20:$O20))&gt;0),"",IF((IF(A20="","Falta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 OK","⚠ "&amp;LEFT(IF(A20="","Falta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",""),LEN(IF(A20="","Falta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",""))-3)))</f>
        <v/>
      </c>
    </row>
    <row r="21">
      <c r="A21" s="49" t="n"/>
      <c r="B21" s="50">
        <f>IF((COUNTA($A21)+COUNTA($C21:$K21)+COUNTA($N21:$O21))&gt;0,"Riesgo Operacional","")</f>
        <v/>
      </c>
      <c r="C21" s="51" t="n"/>
      <c r="D21" s="51" t="n"/>
      <c r="E21" s="52" t="n"/>
      <c r="F21" s="52" t="n"/>
      <c r="G21" s="53" t="n"/>
      <c r="H21" s="54" t="n"/>
      <c r="I21" s="54" t="n"/>
      <c r="J21" s="54" t="n"/>
      <c r="K21" s="54" t="n"/>
      <c r="L21" s="55">
        <f>IF(NOT((COUNTA($A21)+COUNTA($C21:$K21)+COUNTA($N21:$O21))&gt;0),"",IFERROR(LOOKUP(2,1/(H21:K21&lt;&gt;""),H21:K21),0))</f>
        <v/>
      </c>
      <c r="M21" s="56">
        <f>IF(L21="","",IF(L21&gt;=1,"Completado",IF(L21&gt;0,"En curso","Pendiente")))</f>
        <v/>
      </c>
      <c r="N21" s="52" t="n"/>
      <c r="O21" s="51" t="n"/>
      <c r="P21" s="57">
        <f>IF(NOT((COUNTA($A21)+COUNTA($C21:$K21)+COUNTA($N21:$O21))&gt;0),"",IF((IF(A21="","Falta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 OK","⚠ "&amp;LEFT(IF(A21="","Falta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",""),LEN(IF(A21="","Falta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",""))-3)))</f>
        <v/>
      </c>
    </row>
    <row r="22">
      <c r="A22" s="49" t="n"/>
      <c r="B22" s="50">
        <f>IF((COUNTA($A22)+COUNTA($C22:$K22)+COUNTA($N22:$O22))&gt;0,"Riesgo Operacional","")</f>
        <v/>
      </c>
      <c r="C22" s="51" t="n"/>
      <c r="D22" s="51" t="n"/>
      <c r="E22" s="52" t="n"/>
      <c r="F22" s="52" t="n"/>
      <c r="G22" s="53" t="n"/>
      <c r="H22" s="54" t="n"/>
      <c r="I22" s="54" t="n"/>
      <c r="J22" s="54" t="n"/>
      <c r="K22" s="54" t="n"/>
      <c r="L22" s="55">
        <f>IF(NOT((COUNTA($A22)+COUNTA($C22:$K22)+COUNTA($N22:$O22))&gt;0),"",IFERROR(LOOKUP(2,1/(H22:K22&lt;&gt;""),H22:K22),0))</f>
        <v/>
      </c>
      <c r="M22" s="56">
        <f>IF(L22="","",IF(L22&gt;=1,"Completado",IF(L22&gt;0,"En curso","Pendiente")))</f>
        <v/>
      </c>
      <c r="N22" s="52" t="n"/>
      <c r="O22" s="51" t="n"/>
      <c r="P22" s="57">
        <f>IF(NOT((COUNTA($A22)+COUNTA($C22:$K22)+COUNTA($N22:$O22))&gt;0),"",IF((IF(A22="","Falta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 OK","⚠ "&amp;LEFT(IF(A22="","Falta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",""),LEN(IF(A22="","Falta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",""))-3)))</f>
        <v/>
      </c>
    </row>
    <row r="23">
      <c r="A23" s="49" t="n"/>
      <c r="B23" s="50">
        <f>IF((COUNTA($A23)+COUNTA($C23:$K23)+COUNTA($N23:$O23))&gt;0,"Riesgo Operacional","")</f>
        <v/>
      </c>
      <c r="C23" s="51" t="n"/>
      <c r="D23" s="51" t="n"/>
      <c r="E23" s="52" t="n"/>
      <c r="F23" s="52" t="n"/>
      <c r="G23" s="53" t="n"/>
      <c r="H23" s="54" t="n"/>
      <c r="I23" s="54" t="n"/>
      <c r="J23" s="54" t="n"/>
      <c r="K23" s="54" t="n"/>
      <c r="L23" s="55">
        <f>IF(NOT((COUNTA($A23)+COUNTA($C23:$K23)+COUNTA($N23:$O23))&gt;0),"",IFERROR(LOOKUP(2,1/(H23:K23&lt;&gt;""),H23:K23),0))</f>
        <v/>
      </c>
      <c r="M23" s="56">
        <f>IF(L23="","",IF(L23&gt;=1,"Completado",IF(L23&gt;0,"En curso","Pendiente")))</f>
        <v/>
      </c>
      <c r="N23" s="52" t="n"/>
      <c r="O23" s="51" t="n"/>
      <c r="P23" s="57">
        <f>IF(NOT((COUNTA($A23)+COUNTA($C23:$K23)+COUNTA($N23:$O23))&gt;0),"",IF((IF(A23="","Falta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 OK","⚠ "&amp;LEFT(IF(A23="","Falta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",""),LEN(IF(A23="","Falta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",""))-3)))</f>
        <v/>
      </c>
    </row>
    <row r="24">
      <c r="A24" s="49" t="n"/>
      <c r="B24" s="50">
        <f>IF((COUNTA($A24)+COUNTA($C24:$K24)+COUNTA($N24:$O24))&gt;0,"Riesgo Operacional","")</f>
        <v/>
      </c>
      <c r="C24" s="51" t="n"/>
      <c r="D24" s="51" t="n"/>
      <c r="E24" s="52" t="n"/>
      <c r="F24" s="52" t="n"/>
      <c r="G24" s="53" t="n"/>
      <c r="H24" s="54" t="n"/>
      <c r="I24" s="54" t="n"/>
      <c r="J24" s="54" t="n"/>
      <c r="K24" s="54" t="n"/>
      <c r="L24" s="55">
        <f>IF(NOT((COUNTA($A24)+COUNTA($C24:$K24)+COUNTA($N24:$O24))&gt;0),"",IFERROR(LOOKUP(2,1/(H24:K24&lt;&gt;""),H24:K24),0))</f>
        <v/>
      </c>
      <c r="M24" s="56">
        <f>IF(L24="","",IF(L24&gt;=1,"Completado",IF(L24&gt;0,"En curso","Pendiente")))</f>
        <v/>
      </c>
      <c r="N24" s="52" t="n"/>
      <c r="O24" s="51" t="n"/>
      <c r="P24" s="57">
        <f>IF(NOT((COUNTA($A24)+COUNTA($C24:$K24)+COUNTA($N24:$O24))&gt;0),"",IF((IF(A24="","Falta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 OK","⚠ "&amp;LEFT(IF(A24="","Falta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",""),LEN(IF(A24="","Falta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",""))-3)))</f>
        <v/>
      </c>
    </row>
    <row r="25">
      <c r="A25" s="49" t="n"/>
      <c r="B25" s="50">
        <f>IF((COUNTA($A25)+COUNTA($C25:$K25)+COUNTA($N25:$O25))&gt;0,"Riesgo Operacional","")</f>
        <v/>
      </c>
      <c r="C25" s="51" t="n"/>
      <c r="D25" s="51" t="n"/>
      <c r="E25" s="52" t="n"/>
      <c r="F25" s="52" t="n"/>
      <c r="G25" s="53" t="n"/>
      <c r="H25" s="54" t="n"/>
      <c r="I25" s="54" t="n"/>
      <c r="J25" s="54" t="n"/>
      <c r="K25" s="54" t="n"/>
      <c r="L25" s="55">
        <f>IF(NOT((COUNTA($A25)+COUNTA($C25:$K25)+COUNTA($N25:$O25))&gt;0),"",IFERROR(LOOKUP(2,1/(H25:K25&lt;&gt;""),H25:K25),0))</f>
        <v/>
      </c>
      <c r="M25" s="56">
        <f>IF(L25="","",IF(L25&gt;=1,"Completado",IF(L25&gt;0,"En curso","Pendiente")))</f>
        <v/>
      </c>
      <c r="N25" s="52" t="n"/>
      <c r="O25" s="51" t="n"/>
      <c r="P25" s="57">
        <f>IF(NOT((COUNTA($A25)+COUNTA($C25:$K25)+COUNTA($N25:$O25))&gt;0),"",IF((IF(A25="","Falta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 OK","⚠ "&amp;LEFT(IF(A25="","Falta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",""),LEN(IF(A25="","Falta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",""))-3)))</f>
        <v/>
      </c>
    </row>
    <row r="26">
      <c r="A26" s="49" t="n"/>
      <c r="B26" s="50">
        <f>IF((COUNTA($A26)+COUNTA($C26:$K26)+COUNTA($N26:$O26))&gt;0,"Riesgo Operacional","")</f>
        <v/>
      </c>
      <c r="C26" s="51" t="n"/>
      <c r="D26" s="51" t="n"/>
      <c r="E26" s="52" t="n"/>
      <c r="F26" s="52" t="n"/>
      <c r="G26" s="53" t="n"/>
      <c r="H26" s="54" t="n"/>
      <c r="I26" s="54" t="n"/>
      <c r="J26" s="54" t="n"/>
      <c r="K26" s="54" t="n"/>
      <c r="L26" s="55">
        <f>IF(NOT((COUNTA($A26)+COUNTA($C26:$K26)+COUNTA($N26:$O26))&gt;0),"",IFERROR(LOOKUP(2,1/(H26:K26&lt;&gt;""),H26:K26),0))</f>
        <v/>
      </c>
      <c r="M26" s="56">
        <f>IF(L26="","",IF(L26&gt;=1,"Completado",IF(L26&gt;0,"En curso","Pendiente")))</f>
        <v/>
      </c>
      <c r="N26" s="52" t="n"/>
      <c r="O26" s="51" t="n"/>
      <c r="P26" s="57">
        <f>IF(NOT((COUNTA($A26)+COUNTA($C26:$K26)+COUNTA($N26:$O26))&gt;0),"",IF((IF(A26="","Falta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 OK","⚠ "&amp;LEFT(IF(A26="","Falta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",""),LEN(IF(A26="","Falta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",""))-3)))</f>
        <v/>
      </c>
    </row>
    <row r="27">
      <c r="A27" s="49" t="n"/>
      <c r="B27" s="50">
        <f>IF((COUNTA($A27)+COUNTA($C27:$K27)+COUNTA($N27:$O27))&gt;0,"Riesgo Operacional","")</f>
        <v/>
      </c>
      <c r="C27" s="51" t="n"/>
      <c r="D27" s="51" t="n"/>
      <c r="E27" s="52" t="n"/>
      <c r="F27" s="52" t="n"/>
      <c r="G27" s="53" t="n"/>
      <c r="H27" s="54" t="n"/>
      <c r="I27" s="54" t="n"/>
      <c r="J27" s="54" t="n"/>
      <c r="K27" s="54" t="n"/>
      <c r="L27" s="55">
        <f>IF(NOT((COUNTA($A27)+COUNTA($C27:$K27)+COUNTA($N27:$O27))&gt;0),"",IFERROR(LOOKUP(2,1/(H27:K27&lt;&gt;""),H27:K27),0))</f>
        <v/>
      </c>
      <c r="M27" s="56">
        <f>IF(L27="","",IF(L27&gt;=1,"Completado",IF(L27&gt;0,"En curso","Pendiente")))</f>
        <v/>
      </c>
      <c r="N27" s="52" t="n"/>
      <c r="O27" s="51" t="n"/>
      <c r="P27" s="57">
        <f>IF(NOT((COUNTA($A27)+COUNTA($C27:$K27)+COUNTA($N27:$O27))&gt;0),"",IF((IF(A27="","Falta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 OK","⚠ "&amp;LEFT(IF(A27="","Falta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",""),LEN(IF(A27="","Falta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",""))-3)))</f>
        <v/>
      </c>
    </row>
    <row r="28">
      <c r="A28" s="49" t="n"/>
      <c r="B28" s="50">
        <f>IF((COUNTA($A28)+COUNTA($C28:$K28)+COUNTA($N28:$O28))&gt;0,"Riesgo Operacional","")</f>
        <v/>
      </c>
      <c r="C28" s="51" t="n"/>
      <c r="D28" s="51" t="n"/>
      <c r="E28" s="52" t="n"/>
      <c r="F28" s="52" t="n"/>
      <c r="G28" s="53" t="n"/>
      <c r="H28" s="54" t="n"/>
      <c r="I28" s="54" t="n"/>
      <c r="J28" s="54" t="n"/>
      <c r="K28" s="54" t="n"/>
      <c r="L28" s="55">
        <f>IF(NOT((COUNTA($A28)+COUNTA($C28:$K28)+COUNTA($N28:$O28))&gt;0),"",IFERROR(LOOKUP(2,1/(H28:K28&lt;&gt;""),H28:K28),0))</f>
        <v/>
      </c>
      <c r="M28" s="56">
        <f>IF(L28="","",IF(L28&gt;=1,"Completado",IF(L28&gt;0,"En curso","Pendiente")))</f>
        <v/>
      </c>
      <c r="N28" s="52" t="n"/>
      <c r="O28" s="51" t="n"/>
      <c r="P28" s="57">
        <f>IF(NOT((COUNTA($A28)+COUNTA($C28:$K28)+COUNTA($N28:$O28))&gt;0),"",IF((IF(A28="","Falta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 OK","⚠ "&amp;LEFT(IF(A28="","Falta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",""),LEN(IF(A28="","Falta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",""))-3)))</f>
        <v/>
      </c>
    </row>
    <row r="29">
      <c r="A29" s="49" t="n"/>
      <c r="B29" s="50">
        <f>IF((COUNTA($A29)+COUNTA($C29:$K29)+COUNTA($N29:$O29))&gt;0,"Riesgo Operacional","")</f>
        <v/>
      </c>
      <c r="C29" s="51" t="n"/>
      <c r="D29" s="51" t="n"/>
      <c r="E29" s="52" t="n"/>
      <c r="F29" s="52" t="n"/>
      <c r="G29" s="53" t="n"/>
      <c r="H29" s="54" t="n"/>
      <c r="I29" s="54" t="n"/>
      <c r="J29" s="54" t="n"/>
      <c r="K29" s="54" t="n"/>
      <c r="L29" s="55">
        <f>IF(NOT((COUNTA($A29)+COUNTA($C29:$K29)+COUNTA($N29:$O29))&gt;0),"",IFERROR(LOOKUP(2,1/(H29:K29&lt;&gt;""),H29:K29),0))</f>
        <v/>
      </c>
      <c r="M29" s="56">
        <f>IF(L29="","",IF(L29&gt;=1,"Completado",IF(L29&gt;0,"En curso","Pendiente")))</f>
        <v/>
      </c>
      <c r="N29" s="52" t="n"/>
      <c r="O29" s="51" t="n"/>
      <c r="P29" s="57">
        <f>IF(NOT((COUNTA($A29)+COUNTA($C29:$K29)+COUNTA($N29:$O29))&gt;0),"",IF((IF(A29="","Falta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 OK","⚠ "&amp;LEFT(IF(A29="","Falta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",""),LEN(IF(A29="","Falta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",""))-3)))</f>
        <v/>
      </c>
    </row>
    <row r="30">
      <c r="A30" s="49" t="n"/>
      <c r="B30" s="50">
        <f>IF((COUNTA($A30)+COUNTA($C30:$K30)+COUNTA($N30:$O30))&gt;0,"Riesgo Operacional","")</f>
        <v/>
      </c>
      <c r="C30" s="51" t="n"/>
      <c r="D30" s="51" t="n"/>
      <c r="E30" s="52" t="n"/>
      <c r="F30" s="52" t="n"/>
      <c r="G30" s="53" t="n"/>
      <c r="H30" s="54" t="n"/>
      <c r="I30" s="54" t="n"/>
      <c r="J30" s="54" t="n"/>
      <c r="K30" s="54" t="n"/>
      <c r="L30" s="55">
        <f>IF(NOT((COUNTA($A30)+COUNTA($C30:$K30)+COUNTA($N30:$O30))&gt;0),"",IFERROR(LOOKUP(2,1/(H30:K30&lt;&gt;""),H30:K30),0))</f>
        <v/>
      </c>
      <c r="M30" s="56">
        <f>IF(L30="","",IF(L30&gt;=1,"Completado",IF(L30&gt;0,"En curso","Pendiente")))</f>
        <v/>
      </c>
      <c r="N30" s="52" t="n"/>
      <c r="O30" s="51" t="n"/>
      <c r="P30" s="57">
        <f>IF(NOT((COUNTA($A30)+COUNTA($C30:$K30)+COUNTA($N30:$O30))&gt;0),"",IF((IF(A30="","Falta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 OK","⚠ "&amp;LEFT(IF(A30="","Falta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",""),LEN(IF(A30="","Falta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",""))-3)))</f>
        <v/>
      </c>
    </row>
    <row r="31">
      <c r="A31" s="49" t="n"/>
      <c r="B31" s="50">
        <f>IF((COUNTA($A31)+COUNTA($C31:$K31)+COUNTA($N31:$O31))&gt;0,"Riesgo Operacional","")</f>
        <v/>
      </c>
      <c r="C31" s="51" t="n"/>
      <c r="D31" s="51" t="n"/>
      <c r="E31" s="52" t="n"/>
      <c r="F31" s="52" t="n"/>
      <c r="G31" s="53" t="n"/>
      <c r="H31" s="54" t="n"/>
      <c r="I31" s="54" t="n"/>
      <c r="J31" s="54" t="n"/>
      <c r="K31" s="54" t="n"/>
      <c r="L31" s="55">
        <f>IF(NOT((COUNTA($A31)+COUNTA($C31:$K31)+COUNTA($N31:$O31))&gt;0),"",IFERROR(LOOKUP(2,1/(H31:K31&lt;&gt;""),H31:K31),0))</f>
        <v/>
      </c>
      <c r="M31" s="56">
        <f>IF(L31="","",IF(L31&gt;=1,"Completado",IF(L31&gt;0,"En curso","Pendiente")))</f>
        <v/>
      </c>
      <c r="N31" s="52" t="n"/>
      <c r="O31" s="51" t="n"/>
      <c r="P31" s="57">
        <f>IF(NOT((COUNTA($A31)+COUNTA($C31:$K31)+COUNTA($N31:$O31))&gt;0),"",IF((IF(A31="","Falta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 OK","⚠ "&amp;LEFT(IF(A31="","Falta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",""),LEN(IF(A31="","Falta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",""))-3)))</f>
        <v/>
      </c>
    </row>
    <row r="32">
      <c r="A32" s="49" t="n"/>
      <c r="B32" s="50">
        <f>IF((COUNTA($A32)+COUNTA($C32:$K32)+COUNTA($N32:$O32))&gt;0,"Riesgo Operacional","")</f>
        <v/>
      </c>
      <c r="C32" s="51" t="n"/>
      <c r="D32" s="51" t="n"/>
      <c r="E32" s="52" t="n"/>
      <c r="F32" s="52" t="n"/>
      <c r="G32" s="53" t="n"/>
      <c r="H32" s="54" t="n"/>
      <c r="I32" s="54" t="n"/>
      <c r="J32" s="54" t="n"/>
      <c r="K32" s="54" t="n"/>
      <c r="L32" s="55">
        <f>IF(NOT((COUNTA($A32)+COUNTA($C32:$K32)+COUNTA($N32:$O32))&gt;0),"",IFERROR(LOOKUP(2,1/(H32:K32&lt;&gt;""),H32:K32),0))</f>
        <v/>
      </c>
      <c r="M32" s="56">
        <f>IF(L32="","",IF(L32&gt;=1,"Completado",IF(L32&gt;0,"En curso","Pendiente")))</f>
        <v/>
      </c>
      <c r="N32" s="52" t="n"/>
      <c r="O32" s="51" t="n"/>
      <c r="P32" s="57">
        <f>IF(NOT((COUNTA($A32)+COUNTA($C32:$K32)+COUNTA($N32:$O32))&gt;0),"",IF((IF(A32="","Falta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 OK","⚠ "&amp;LEFT(IF(A32="","Falta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",""),LEN(IF(A32="","Falta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",""))-3)))</f>
        <v/>
      </c>
    </row>
    <row r="33">
      <c r="A33" s="49" t="n"/>
      <c r="B33" s="50">
        <f>IF((COUNTA($A33)+COUNTA($C33:$K33)+COUNTA($N33:$O33))&gt;0,"Riesgo Operacional","")</f>
        <v/>
      </c>
      <c r="C33" s="51" t="n"/>
      <c r="D33" s="51" t="n"/>
      <c r="E33" s="52" t="n"/>
      <c r="F33" s="52" t="n"/>
      <c r="G33" s="53" t="n"/>
      <c r="H33" s="54" t="n"/>
      <c r="I33" s="54" t="n"/>
      <c r="J33" s="54" t="n"/>
      <c r="K33" s="54" t="n"/>
      <c r="L33" s="55">
        <f>IF(NOT((COUNTA($A33)+COUNTA($C33:$K33)+COUNTA($N33:$O33))&gt;0),"",IFERROR(LOOKUP(2,1/(H33:K33&lt;&gt;""),H33:K33),0))</f>
        <v/>
      </c>
      <c r="M33" s="56">
        <f>IF(L33="","",IF(L33&gt;=1,"Completado",IF(L33&gt;0,"En curso","Pendiente")))</f>
        <v/>
      </c>
      <c r="N33" s="52" t="n"/>
      <c r="O33" s="51" t="n"/>
      <c r="P33" s="57">
        <f>IF(NOT((COUNTA($A33)+COUNTA($C33:$K33)+COUNTA($N33:$O33))&gt;0),"",IF((IF(A33="","Falta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 OK","⚠ "&amp;LEFT(IF(A33="","Falta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",""),LEN(IF(A33="","Falta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",""))-3)))</f>
        <v/>
      </c>
    </row>
    <row r="34">
      <c r="A34" s="49" t="n"/>
      <c r="B34" s="50">
        <f>IF((COUNTA($A34)+COUNTA($C34:$K34)+COUNTA($N34:$O34))&gt;0,"Riesgo Operacional","")</f>
        <v/>
      </c>
      <c r="C34" s="51" t="n"/>
      <c r="D34" s="51" t="n"/>
      <c r="E34" s="52" t="n"/>
      <c r="F34" s="52" t="n"/>
      <c r="G34" s="53" t="n"/>
      <c r="H34" s="54" t="n"/>
      <c r="I34" s="54" t="n"/>
      <c r="J34" s="54" t="n"/>
      <c r="K34" s="54" t="n"/>
      <c r="L34" s="55">
        <f>IF(NOT((COUNTA($A34)+COUNTA($C34:$K34)+COUNTA($N34:$O34))&gt;0),"",IFERROR(LOOKUP(2,1/(H34:K34&lt;&gt;""),H34:K34),0))</f>
        <v/>
      </c>
      <c r="M34" s="56">
        <f>IF(L34="","",IF(L34&gt;=1,"Completado",IF(L34&gt;0,"En curso","Pendiente")))</f>
        <v/>
      </c>
      <c r="N34" s="52" t="n"/>
      <c r="O34" s="51" t="n"/>
      <c r="P34" s="57">
        <f>IF(NOT((COUNTA($A34)+COUNTA($C34:$K34)+COUNTA($N34:$O34))&gt;0),"",IF((IF(A34="","Falta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 OK","⚠ "&amp;LEFT(IF(A34="","Falta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",""),LEN(IF(A34="","Falta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",""))-3)))</f>
        <v/>
      </c>
    </row>
    <row r="35">
      <c r="A35" s="49" t="n"/>
      <c r="B35" s="50">
        <f>IF((COUNTA($A35)+COUNTA($C35:$K35)+COUNTA($N35:$O35))&gt;0,"Riesgo Operacional","")</f>
        <v/>
      </c>
      <c r="C35" s="51" t="n"/>
      <c r="D35" s="51" t="n"/>
      <c r="E35" s="52" t="n"/>
      <c r="F35" s="52" t="n"/>
      <c r="G35" s="53" t="n"/>
      <c r="H35" s="54" t="n"/>
      <c r="I35" s="54" t="n"/>
      <c r="J35" s="54" t="n"/>
      <c r="K35" s="54" t="n"/>
      <c r="L35" s="55">
        <f>IF(NOT((COUNTA($A35)+COUNTA($C35:$K35)+COUNTA($N35:$O35))&gt;0),"",IFERROR(LOOKUP(2,1/(H35:K35&lt;&gt;""),H35:K35),0))</f>
        <v/>
      </c>
      <c r="M35" s="56">
        <f>IF(L35="","",IF(L35&gt;=1,"Completado",IF(L35&gt;0,"En curso","Pendiente")))</f>
        <v/>
      </c>
      <c r="N35" s="52" t="n"/>
      <c r="O35" s="51" t="n"/>
      <c r="P35" s="57">
        <f>IF(NOT((COUNTA($A35)+COUNTA($C35:$K35)+COUNTA($N35:$O35))&gt;0),"",IF((IF(A35="","Falta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 OK","⚠ "&amp;LEFT(IF(A35="","Falta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",""),LEN(IF(A35="","Falta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",""))-3)))</f>
        <v/>
      </c>
    </row>
    <row r="36">
      <c r="A36" s="49" t="n"/>
      <c r="B36" s="50">
        <f>IF((COUNTA($A36)+COUNTA($C36:$K36)+COUNTA($N36:$O36))&gt;0,"Riesgo Operacional","")</f>
        <v/>
      </c>
      <c r="C36" s="51" t="n"/>
      <c r="D36" s="51" t="n"/>
      <c r="E36" s="52" t="n"/>
      <c r="F36" s="52" t="n"/>
      <c r="G36" s="53" t="n"/>
      <c r="H36" s="54" t="n"/>
      <c r="I36" s="54" t="n"/>
      <c r="J36" s="54" t="n"/>
      <c r="K36" s="54" t="n"/>
      <c r="L36" s="55">
        <f>IF(NOT((COUNTA($A36)+COUNTA($C36:$K36)+COUNTA($N36:$O36))&gt;0),"",IFERROR(LOOKUP(2,1/(H36:K36&lt;&gt;""),H36:K36),0))</f>
        <v/>
      </c>
      <c r="M36" s="56">
        <f>IF(L36="","",IF(L36&gt;=1,"Completado",IF(L36&gt;0,"En curso","Pendiente")))</f>
        <v/>
      </c>
      <c r="N36" s="52" t="n"/>
      <c r="O36" s="51" t="n"/>
      <c r="P36" s="57">
        <f>IF(NOT((COUNTA($A36)+COUNTA($C36:$K36)+COUNTA($N36:$O36))&gt;0),"",IF((IF(A36="","Falta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 OK","⚠ "&amp;LEFT(IF(A36="","Falta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",""),LEN(IF(A36="","Falta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",""))-3)))</f>
        <v/>
      </c>
    </row>
    <row r="37">
      <c r="A37" s="49" t="n"/>
      <c r="B37" s="50">
        <f>IF((COUNTA($A37)+COUNTA($C37:$K37)+COUNTA($N37:$O37))&gt;0,"Riesgo Operacional","")</f>
        <v/>
      </c>
      <c r="C37" s="51" t="n"/>
      <c r="D37" s="51" t="n"/>
      <c r="E37" s="52" t="n"/>
      <c r="F37" s="52" t="n"/>
      <c r="G37" s="53" t="n"/>
      <c r="H37" s="54" t="n"/>
      <c r="I37" s="54" t="n"/>
      <c r="J37" s="54" t="n"/>
      <c r="K37" s="54" t="n"/>
      <c r="L37" s="55">
        <f>IF(NOT((COUNTA($A37)+COUNTA($C37:$K37)+COUNTA($N37:$O37))&gt;0),"",IFERROR(LOOKUP(2,1/(H37:K37&lt;&gt;""),H37:K37),0))</f>
        <v/>
      </c>
      <c r="M37" s="56">
        <f>IF(L37="","",IF(L37&gt;=1,"Completado",IF(L37&gt;0,"En curso","Pendiente")))</f>
        <v/>
      </c>
      <c r="N37" s="52" t="n"/>
      <c r="O37" s="51" t="n"/>
      <c r="P37" s="57">
        <f>IF(NOT((COUNTA($A37)+COUNTA($C37:$K37)+COUNTA($N37:$O37))&gt;0),"",IF((IF(A37="","Falta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 OK","⚠ "&amp;LEFT(IF(A37="","Falta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",""),LEN(IF(A37="","Falta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",""))-3)))</f>
        <v/>
      </c>
    </row>
    <row r="38">
      <c r="A38" s="49" t="n"/>
      <c r="B38" s="50">
        <f>IF((COUNTA($A38)+COUNTA($C38:$K38)+COUNTA($N38:$O38))&gt;0,"Riesgo Operacional","")</f>
        <v/>
      </c>
      <c r="C38" s="51" t="n"/>
      <c r="D38" s="51" t="n"/>
      <c r="E38" s="52" t="n"/>
      <c r="F38" s="52" t="n"/>
      <c r="G38" s="53" t="n"/>
      <c r="H38" s="54" t="n"/>
      <c r="I38" s="54" t="n"/>
      <c r="J38" s="54" t="n"/>
      <c r="K38" s="54" t="n"/>
      <c r="L38" s="55">
        <f>IF(NOT((COUNTA($A38)+COUNTA($C38:$K38)+COUNTA($N38:$O38))&gt;0),"",IFERROR(LOOKUP(2,1/(H38:K38&lt;&gt;""),H38:K38),0))</f>
        <v/>
      </c>
      <c r="M38" s="56">
        <f>IF(L38="","",IF(L38&gt;=1,"Completado",IF(L38&gt;0,"En curso","Pendiente")))</f>
        <v/>
      </c>
      <c r="N38" s="52" t="n"/>
      <c r="O38" s="51" t="n"/>
      <c r="P38" s="57">
        <f>IF(NOT((COUNTA($A38)+COUNTA($C38:$K38)+COUNTA($N38:$O38))&gt;0),"",IF((IF(A38="","Falta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 OK","⚠ "&amp;LEFT(IF(A38="","Falta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",""),LEN(IF(A38="","Falta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",""))-3)))</f>
        <v/>
      </c>
    </row>
    <row r="39">
      <c r="A39" s="49" t="n"/>
      <c r="B39" s="50">
        <f>IF((COUNTA($A39)+COUNTA($C39:$K39)+COUNTA($N39:$O39))&gt;0,"Riesgo Operacional","")</f>
        <v/>
      </c>
      <c r="C39" s="51" t="n"/>
      <c r="D39" s="51" t="n"/>
      <c r="E39" s="52" t="n"/>
      <c r="F39" s="52" t="n"/>
      <c r="G39" s="53" t="n"/>
      <c r="H39" s="54" t="n"/>
      <c r="I39" s="54" t="n"/>
      <c r="J39" s="54" t="n"/>
      <c r="K39" s="54" t="n"/>
      <c r="L39" s="55">
        <f>IF(NOT((COUNTA($A39)+COUNTA($C39:$K39)+COUNTA($N39:$O39))&gt;0),"",IFERROR(LOOKUP(2,1/(H39:K39&lt;&gt;""),H39:K39),0))</f>
        <v/>
      </c>
      <c r="M39" s="56">
        <f>IF(L39="","",IF(L39&gt;=1,"Completado",IF(L39&gt;0,"En curso","Pendiente")))</f>
        <v/>
      </c>
      <c r="N39" s="52" t="n"/>
      <c r="O39" s="51" t="n"/>
      <c r="P39" s="57">
        <f>IF(NOT((COUNTA($A39)+COUNTA($C39:$K39)+COUNTA($N39:$O39))&gt;0),"",IF((IF(A39="","Falta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 OK","⚠ "&amp;LEFT(IF(A39="","Falta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",""),LEN(IF(A39="","Falta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",""))-3)))</f>
        <v/>
      </c>
    </row>
    <row r="40">
      <c r="A40" s="49" t="n"/>
      <c r="B40" s="50">
        <f>IF((COUNTA($A40)+COUNTA($C40:$K40)+COUNTA($N40:$O40))&gt;0,"Riesgo Operacional","")</f>
        <v/>
      </c>
      <c r="C40" s="51" t="n"/>
      <c r="D40" s="51" t="n"/>
      <c r="E40" s="52" t="n"/>
      <c r="F40" s="52" t="n"/>
      <c r="G40" s="53" t="n"/>
      <c r="H40" s="54" t="n"/>
      <c r="I40" s="54" t="n"/>
      <c r="J40" s="54" t="n"/>
      <c r="K40" s="54" t="n"/>
      <c r="L40" s="55">
        <f>IF(NOT((COUNTA($A40)+COUNTA($C40:$K40)+COUNTA($N40:$O40))&gt;0),"",IFERROR(LOOKUP(2,1/(H40:K40&lt;&gt;""),H40:K40),0))</f>
        <v/>
      </c>
      <c r="M40" s="56">
        <f>IF(L40="","",IF(L40&gt;=1,"Completado",IF(L40&gt;0,"En curso","Pendiente")))</f>
        <v/>
      </c>
      <c r="N40" s="52" t="n"/>
      <c r="O40" s="51" t="n"/>
      <c r="P40" s="57">
        <f>IF(NOT((COUNTA($A40)+COUNTA($C40:$K40)+COUNTA($N40:$O40))&gt;0),"",IF((IF(A40="","Falta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 OK","⚠ "&amp;LEFT(IF(A40="","Falta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",""),LEN(IF(A40="","Falta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",""))-3)))</f>
        <v/>
      </c>
    </row>
    <row r="41">
      <c r="A41" s="49" t="n"/>
      <c r="B41" s="50">
        <f>IF((COUNTA($A41)+COUNTA($C41:$K41)+COUNTA($N41:$O41))&gt;0,"Riesgo Operacional","")</f>
        <v/>
      </c>
      <c r="C41" s="51" t="n"/>
      <c r="D41" s="51" t="n"/>
      <c r="E41" s="52" t="n"/>
      <c r="F41" s="52" t="n"/>
      <c r="G41" s="53" t="n"/>
      <c r="H41" s="54" t="n"/>
      <c r="I41" s="54" t="n"/>
      <c r="J41" s="54" t="n"/>
      <c r="K41" s="54" t="n"/>
      <c r="L41" s="55">
        <f>IF(NOT((COUNTA($A41)+COUNTA($C41:$K41)+COUNTA($N41:$O41))&gt;0),"",IFERROR(LOOKUP(2,1/(H41:K41&lt;&gt;""),H41:K41),0))</f>
        <v/>
      </c>
      <c r="M41" s="56">
        <f>IF(L41="","",IF(L41&gt;=1,"Completado",IF(L41&gt;0,"En curso","Pendiente")))</f>
        <v/>
      </c>
      <c r="N41" s="52" t="n"/>
      <c r="O41" s="51" t="n"/>
      <c r="P41" s="57">
        <f>IF(NOT((COUNTA($A41)+COUNTA($C41:$K41)+COUNTA($N41:$O41))&gt;0),"",IF((IF(A41="","Falta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 OK","⚠ "&amp;LEFT(IF(A41="","Falta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",""),LEN(IF(A41="","Falta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",""))-3)))</f>
        <v/>
      </c>
    </row>
    <row r="42">
      <c r="A42" s="49" t="n"/>
      <c r="B42" s="50">
        <f>IF((COUNTA($A42)+COUNTA($C42:$K42)+COUNTA($N42:$O42))&gt;0,"Riesgo Operacional","")</f>
        <v/>
      </c>
      <c r="C42" s="51" t="n"/>
      <c r="D42" s="51" t="n"/>
      <c r="E42" s="52" t="n"/>
      <c r="F42" s="52" t="n"/>
      <c r="G42" s="53" t="n"/>
      <c r="H42" s="54" t="n"/>
      <c r="I42" s="54" t="n"/>
      <c r="J42" s="54" t="n"/>
      <c r="K42" s="54" t="n"/>
      <c r="L42" s="55">
        <f>IF(NOT((COUNTA($A42)+COUNTA($C42:$K42)+COUNTA($N42:$O42))&gt;0),"",IFERROR(LOOKUP(2,1/(H42:K42&lt;&gt;""),H42:K42),0))</f>
        <v/>
      </c>
      <c r="M42" s="56">
        <f>IF(L42="","",IF(L42&gt;=1,"Completado",IF(L42&gt;0,"En curso","Pendiente")))</f>
        <v/>
      </c>
      <c r="N42" s="52" t="n"/>
      <c r="O42" s="51" t="n"/>
      <c r="P42" s="57">
        <f>IF(NOT((COUNTA($A42)+COUNTA($C42:$K42)+COUNTA($N42:$O42))&gt;0),"",IF((IF(A42="","Falta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 OK","⚠ "&amp;LEFT(IF(A42="","Falta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",""),LEN(IF(A42="","Falta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",""))-3)))</f>
        <v/>
      </c>
    </row>
    <row r="43">
      <c r="A43" s="49" t="n"/>
      <c r="B43" s="50">
        <f>IF((COUNTA($A43)+COUNTA($C43:$K43)+COUNTA($N43:$O43))&gt;0,"Riesgo Operacional","")</f>
        <v/>
      </c>
      <c r="C43" s="51" t="n"/>
      <c r="D43" s="51" t="n"/>
      <c r="E43" s="52" t="n"/>
      <c r="F43" s="52" t="n"/>
      <c r="G43" s="53" t="n"/>
      <c r="H43" s="54" t="n"/>
      <c r="I43" s="54" t="n"/>
      <c r="J43" s="54" t="n"/>
      <c r="K43" s="54" t="n"/>
      <c r="L43" s="55">
        <f>IF(NOT((COUNTA($A43)+COUNTA($C43:$K43)+COUNTA($N43:$O43))&gt;0),"",IFERROR(LOOKUP(2,1/(H43:K43&lt;&gt;""),H43:K43),0))</f>
        <v/>
      </c>
      <c r="M43" s="56">
        <f>IF(L43="","",IF(L43&gt;=1,"Completado",IF(L43&gt;0,"En curso","Pendiente")))</f>
        <v/>
      </c>
      <c r="N43" s="52" t="n"/>
      <c r="O43" s="51" t="n"/>
      <c r="P43" s="57">
        <f>IF(NOT((COUNTA($A43)+COUNTA($C43:$K43)+COUNTA($N43:$O43))&gt;0),"",IF((IF(A43="","Falta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 OK","⚠ "&amp;LEFT(IF(A43="","Falta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",""),LEN(IF(A43="","Falta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",""))-3)))</f>
        <v/>
      </c>
    </row>
    <row r="44">
      <c r="A44" s="49" t="n"/>
      <c r="B44" s="50">
        <f>IF((COUNTA($A44)+COUNTA($C44:$K44)+COUNTA($N44:$O44))&gt;0,"Riesgo Operacional","")</f>
        <v/>
      </c>
      <c r="C44" s="51" t="n"/>
      <c r="D44" s="51" t="n"/>
      <c r="E44" s="52" t="n"/>
      <c r="F44" s="52" t="n"/>
      <c r="G44" s="53" t="n"/>
      <c r="H44" s="54" t="n"/>
      <c r="I44" s="54" t="n"/>
      <c r="J44" s="54" t="n"/>
      <c r="K44" s="54" t="n"/>
      <c r="L44" s="55">
        <f>IF(NOT((COUNTA($A44)+COUNTA($C44:$K44)+COUNTA($N44:$O44))&gt;0),"",IFERROR(LOOKUP(2,1/(H44:K44&lt;&gt;""),H44:K44),0))</f>
        <v/>
      </c>
      <c r="M44" s="56">
        <f>IF(L44="","",IF(L44&gt;=1,"Completado",IF(L44&gt;0,"En curso","Pendiente")))</f>
        <v/>
      </c>
      <c r="N44" s="52" t="n"/>
      <c r="O44" s="51" t="n"/>
      <c r="P44" s="57">
        <f>IF(NOT((COUNTA($A44)+COUNTA($C44:$K44)+COUNTA($N44:$O44))&gt;0),"",IF((IF(A44="","Falta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 OK","⚠ "&amp;LEFT(IF(A44="","Falta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",""),LEN(IF(A44="","Falta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",""))-3)))</f>
        <v/>
      </c>
    </row>
    <row r="45">
      <c r="A45" s="49" t="n"/>
      <c r="B45" s="50">
        <f>IF((COUNTA($A45)+COUNTA($C45:$K45)+COUNTA($N45:$O45))&gt;0,"Riesgo Operacional","")</f>
        <v/>
      </c>
      <c r="C45" s="51" t="n"/>
      <c r="D45" s="51" t="n"/>
      <c r="E45" s="52" t="n"/>
      <c r="F45" s="52" t="n"/>
      <c r="G45" s="53" t="n"/>
      <c r="H45" s="54" t="n"/>
      <c r="I45" s="54" t="n"/>
      <c r="J45" s="54" t="n"/>
      <c r="K45" s="54" t="n"/>
      <c r="L45" s="55">
        <f>IF(NOT((COUNTA($A45)+COUNTA($C45:$K45)+COUNTA($N45:$O45))&gt;0),"",IFERROR(LOOKUP(2,1/(H45:K45&lt;&gt;""),H45:K45),0))</f>
        <v/>
      </c>
      <c r="M45" s="56">
        <f>IF(L45="","",IF(L45&gt;=1,"Completado",IF(L45&gt;0,"En curso","Pendiente")))</f>
        <v/>
      </c>
      <c r="N45" s="52" t="n"/>
      <c r="O45" s="51" t="n"/>
      <c r="P45" s="57">
        <f>IF(NOT((COUNTA($A45)+COUNTA($C45:$K45)+COUNTA($N45:$O45))&gt;0),"",IF((IF(A45="","Falta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 OK","⚠ "&amp;LEFT(IF(A45="","Falta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",""),LEN(IF(A45="","Falta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",""))-3)))</f>
        <v/>
      </c>
    </row>
    <row r="46">
      <c r="A46" s="49" t="n"/>
      <c r="B46" s="50">
        <f>IF((COUNTA($A46)+COUNTA($C46:$K46)+COUNTA($N46:$O46))&gt;0,"Riesgo Operacional","")</f>
        <v/>
      </c>
      <c r="C46" s="51" t="n"/>
      <c r="D46" s="51" t="n"/>
      <c r="E46" s="52" t="n"/>
      <c r="F46" s="52" t="n"/>
      <c r="G46" s="53" t="n"/>
      <c r="H46" s="54" t="n"/>
      <c r="I46" s="54" t="n"/>
      <c r="J46" s="54" t="n"/>
      <c r="K46" s="54" t="n"/>
      <c r="L46" s="55">
        <f>IF(NOT((COUNTA($A46)+COUNTA($C46:$K46)+COUNTA($N46:$O46))&gt;0),"",IFERROR(LOOKUP(2,1/(H46:K46&lt;&gt;""),H46:K46),0))</f>
        <v/>
      </c>
      <c r="M46" s="56">
        <f>IF(L46="","",IF(L46&gt;=1,"Completado",IF(L46&gt;0,"En curso","Pendiente")))</f>
        <v/>
      </c>
      <c r="N46" s="52" t="n"/>
      <c r="O46" s="51" t="n"/>
      <c r="P46" s="57">
        <f>IF(NOT((COUNTA($A46)+COUNTA($C46:$K46)+COUNTA($N46:$O46))&gt;0),"",IF((IF(A46="","Falta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 OK","⚠ "&amp;LEFT(IF(A46="","Falta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",""),LEN(IF(A46="","Falta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",""))-3)))</f>
        <v/>
      </c>
    </row>
    <row r="47">
      <c r="A47" s="49" t="n"/>
      <c r="B47" s="50">
        <f>IF((COUNTA($A47)+COUNTA($C47:$K47)+COUNTA($N47:$O47))&gt;0,"Riesgo Operacional","")</f>
        <v/>
      </c>
      <c r="C47" s="51" t="n"/>
      <c r="D47" s="51" t="n"/>
      <c r="E47" s="52" t="n"/>
      <c r="F47" s="52" t="n"/>
      <c r="G47" s="53" t="n"/>
      <c r="H47" s="54" t="n"/>
      <c r="I47" s="54" t="n"/>
      <c r="J47" s="54" t="n"/>
      <c r="K47" s="54" t="n"/>
      <c r="L47" s="55">
        <f>IF(NOT((COUNTA($A47)+COUNTA($C47:$K47)+COUNTA($N47:$O47))&gt;0),"",IFERROR(LOOKUP(2,1/(H47:K47&lt;&gt;""),H47:K47),0))</f>
        <v/>
      </c>
      <c r="M47" s="56">
        <f>IF(L47="","",IF(L47&gt;=1,"Completado",IF(L47&gt;0,"En curso","Pendiente")))</f>
        <v/>
      </c>
      <c r="N47" s="52" t="n"/>
      <c r="O47" s="51" t="n"/>
      <c r="P47" s="57">
        <f>IF(NOT((COUNTA($A47)+COUNTA($C47:$K47)+COUNTA($N47:$O47))&gt;0),"",IF((IF(A47="","Falta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 OK","⚠ "&amp;LEFT(IF(A47="","Falta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",""),LEN(IF(A47="","Falta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",""))-3)))</f>
        <v/>
      </c>
    </row>
    <row r="48">
      <c r="A48" s="49" t="n"/>
      <c r="B48" s="50">
        <f>IF((COUNTA($A48)+COUNTA($C48:$K48)+COUNTA($N48:$O48))&gt;0,"Riesgo Operacional","")</f>
        <v/>
      </c>
      <c r="C48" s="51" t="n"/>
      <c r="D48" s="51" t="n"/>
      <c r="E48" s="52" t="n"/>
      <c r="F48" s="52" t="n"/>
      <c r="G48" s="53" t="n"/>
      <c r="H48" s="54" t="n"/>
      <c r="I48" s="54" t="n"/>
      <c r="J48" s="54" t="n"/>
      <c r="K48" s="54" t="n"/>
      <c r="L48" s="55">
        <f>IF(NOT((COUNTA($A48)+COUNTA($C48:$K48)+COUNTA($N48:$O48))&gt;0),"",IFERROR(LOOKUP(2,1/(H48:K48&lt;&gt;""),H48:K48),0))</f>
        <v/>
      </c>
      <c r="M48" s="56">
        <f>IF(L48="","",IF(L48&gt;=1,"Completado",IF(L48&gt;0,"En curso","Pendiente")))</f>
        <v/>
      </c>
      <c r="N48" s="52" t="n"/>
      <c r="O48" s="51" t="n"/>
      <c r="P48" s="57">
        <f>IF(NOT((COUNTA($A48)+COUNTA($C48:$K48)+COUNTA($N48:$O48))&gt;0),"",IF((IF(A48="","Falta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 OK","⚠ "&amp;LEFT(IF(A48="","Falta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",""),LEN(IF(A48="","Falta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",""))-3)))</f>
        <v/>
      </c>
    </row>
    <row r="49">
      <c r="A49" s="49" t="n"/>
      <c r="B49" s="50">
        <f>IF((COUNTA($A49)+COUNTA($C49:$K49)+COUNTA($N49:$O49))&gt;0,"Riesgo Operacional","")</f>
        <v/>
      </c>
      <c r="C49" s="51" t="n"/>
      <c r="D49" s="51" t="n"/>
      <c r="E49" s="52" t="n"/>
      <c r="F49" s="52" t="n"/>
      <c r="G49" s="53" t="n"/>
      <c r="H49" s="54" t="n"/>
      <c r="I49" s="54" t="n"/>
      <c r="J49" s="54" t="n"/>
      <c r="K49" s="54" t="n"/>
      <c r="L49" s="55">
        <f>IF(NOT((COUNTA($A49)+COUNTA($C49:$K49)+COUNTA($N49:$O49))&gt;0),"",IFERROR(LOOKUP(2,1/(H49:K49&lt;&gt;""),H49:K49),0))</f>
        <v/>
      </c>
      <c r="M49" s="56">
        <f>IF(L49="","",IF(L49&gt;=1,"Completado",IF(L49&gt;0,"En curso","Pendiente")))</f>
        <v/>
      </c>
      <c r="N49" s="52" t="n"/>
      <c r="O49" s="51" t="n"/>
      <c r="P49" s="57">
        <f>IF(NOT((COUNTA($A49)+COUNTA($C49:$K49)+COUNTA($N49:$O49))&gt;0),"",IF((IF(A49="","Falta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 OK","⚠ "&amp;LEFT(IF(A49="","Falta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",""),LEN(IF(A49="","Falta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",""))-3)))</f>
        <v/>
      </c>
    </row>
    <row r="50">
      <c r="A50" s="49" t="n"/>
      <c r="B50" s="50">
        <f>IF((COUNTA($A50)+COUNTA($C50:$K50)+COUNTA($N50:$O50))&gt;0,"Riesgo Operacional","")</f>
        <v/>
      </c>
      <c r="C50" s="51" t="n"/>
      <c r="D50" s="51" t="n"/>
      <c r="E50" s="52" t="n"/>
      <c r="F50" s="52" t="n"/>
      <c r="G50" s="53" t="n"/>
      <c r="H50" s="54" t="n"/>
      <c r="I50" s="54" t="n"/>
      <c r="J50" s="54" t="n"/>
      <c r="K50" s="54" t="n"/>
      <c r="L50" s="55">
        <f>IF(NOT((COUNTA($A50)+COUNTA($C50:$K50)+COUNTA($N50:$O50))&gt;0),"",IFERROR(LOOKUP(2,1/(H50:K50&lt;&gt;""),H50:K50),0))</f>
        <v/>
      </c>
      <c r="M50" s="56">
        <f>IF(L50="","",IF(L50&gt;=1,"Completado",IF(L50&gt;0,"En curso","Pendiente")))</f>
        <v/>
      </c>
      <c r="N50" s="52" t="n"/>
      <c r="O50" s="51" t="n"/>
      <c r="P50" s="57">
        <f>IF(NOT((COUNTA($A50)+COUNTA($C50:$K50)+COUNTA($N50:$O50))&gt;0),"",IF((IF(A50="","Falta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 OK","⚠ "&amp;LEFT(IF(A50="","Falta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",""),LEN(IF(A50="","Falta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",""))-3)))</f>
        <v/>
      </c>
    </row>
    <row r="51">
      <c r="A51" s="49" t="n"/>
      <c r="B51" s="50">
        <f>IF((COUNTA($A51)+COUNTA($C51:$K51)+COUNTA($N51:$O51))&gt;0,"Riesgo Operacional","")</f>
        <v/>
      </c>
      <c r="C51" s="51" t="n"/>
      <c r="D51" s="51" t="n"/>
      <c r="E51" s="52" t="n"/>
      <c r="F51" s="52" t="n"/>
      <c r="G51" s="53" t="n"/>
      <c r="H51" s="54" t="n"/>
      <c r="I51" s="54" t="n"/>
      <c r="J51" s="54" t="n"/>
      <c r="K51" s="54" t="n"/>
      <c r="L51" s="55">
        <f>IF(NOT((COUNTA($A51)+COUNTA($C51:$K51)+COUNTA($N51:$O51))&gt;0),"",IFERROR(LOOKUP(2,1/(H51:K51&lt;&gt;""),H51:K51),0))</f>
        <v/>
      </c>
      <c r="M51" s="56">
        <f>IF(L51="","",IF(L51&gt;=1,"Completado",IF(L51&gt;0,"En curso","Pendiente")))</f>
        <v/>
      </c>
      <c r="N51" s="52" t="n"/>
      <c r="O51" s="51" t="n"/>
      <c r="P51" s="57">
        <f>IF(NOT((COUNTA($A51)+COUNTA($C51:$K51)+COUNTA($N51:$O51))&gt;0),"",IF((IF(A51="","Falta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 OK","⚠ "&amp;LEFT(IF(A51="","Falta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",""),LEN(IF(A51="","Falta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",""))-3)))</f>
        <v/>
      </c>
    </row>
    <row r="52">
      <c r="A52" s="49" t="n"/>
      <c r="B52" s="50">
        <f>IF((COUNTA($A52)+COUNTA($C52:$K52)+COUNTA($N52:$O52))&gt;0,"Riesgo Operacional","")</f>
        <v/>
      </c>
      <c r="C52" s="51" t="n"/>
      <c r="D52" s="51" t="n"/>
      <c r="E52" s="52" t="n"/>
      <c r="F52" s="52" t="n"/>
      <c r="G52" s="53" t="n"/>
      <c r="H52" s="54" t="n"/>
      <c r="I52" s="54" t="n"/>
      <c r="J52" s="54" t="n"/>
      <c r="K52" s="54" t="n"/>
      <c r="L52" s="55">
        <f>IF(NOT((COUNTA($A52)+COUNTA($C52:$K52)+COUNTA($N52:$O52))&gt;0),"",IFERROR(LOOKUP(2,1/(H52:K52&lt;&gt;""),H52:K52),0))</f>
        <v/>
      </c>
      <c r="M52" s="56">
        <f>IF(L52="","",IF(L52&gt;=1,"Completado",IF(L52&gt;0,"En curso","Pendiente")))</f>
        <v/>
      </c>
      <c r="N52" s="52" t="n"/>
      <c r="O52" s="51" t="n"/>
      <c r="P52" s="57">
        <f>IF(NOT((COUNTA($A52)+COUNTA($C52:$K52)+COUNTA($N52:$O52))&gt;0),"",IF((IF(A52="","Falta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 OK","⚠ "&amp;LEFT(IF(A52="","Falta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",""),LEN(IF(A52="","Falta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",""))-3)))</f>
        <v/>
      </c>
    </row>
    <row r="53">
      <c r="A53" s="49" t="n"/>
      <c r="B53" s="50">
        <f>IF((COUNTA($A53)+COUNTA($C53:$K53)+COUNTA($N53:$O53))&gt;0,"Riesgo Operacional","")</f>
        <v/>
      </c>
      <c r="C53" s="51" t="n"/>
      <c r="D53" s="51" t="n"/>
      <c r="E53" s="52" t="n"/>
      <c r="F53" s="52" t="n"/>
      <c r="G53" s="53" t="n"/>
      <c r="H53" s="54" t="n"/>
      <c r="I53" s="54" t="n"/>
      <c r="J53" s="54" t="n"/>
      <c r="K53" s="54" t="n"/>
      <c r="L53" s="55">
        <f>IF(NOT((COUNTA($A53)+COUNTA($C53:$K53)+COUNTA($N53:$O53))&gt;0),"",IFERROR(LOOKUP(2,1/(H53:K53&lt;&gt;""),H53:K53),0))</f>
        <v/>
      </c>
      <c r="M53" s="56">
        <f>IF(L53="","",IF(L53&gt;=1,"Completado",IF(L53&gt;0,"En curso","Pendiente")))</f>
        <v/>
      </c>
      <c r="N53" s="52" t="n"/>
      <c r="O53" s="51" t="n"/>
      <c r="P53" s="57">
        <f>IF(NOT((COUNTA($A53)+COUNTA($C53:$K53)+COUNTA($N53:$O53))&gt;0),"",IF((IF(A53="","Falta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 OK","⚠ "&amp;LEFT(IF(A53="","Falta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",""),LEN(IF(A53="","Falta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",""))-3)))</f>
        <v/>
      </c>
    </row>
    <row r="54">
      <c r="A54" s="49" t="n"/>
      <c r="B54" s="50">
        <f>IF((COUNTA($A54)+COUNTA($C54:$K54)+COUNTA($N54:$O54))&gt;0,"Riesgo Operacional","")</f>
        <v/>
      </c>
      <c r="C54" s="51" t="n"/>
      <c r="D54" s="51" t="n"/>
      <c r="E54" s="52" t="n"/>
      <c r="F54" s="52" t="n"/>
      <c r="G54" s="53" t="n"/>
      <c r="H54" s="54" t="n"/>
      <c r="I54" s="54" t="n"/>
      <c r="J54" s="54" t="n"/>
      <c r="K54" s="54" t="n"/>
      <c r="L54" s="55">
        <f>IF(NOT((COUNTA($A54)+COUNTA($C54:$K54)+COUNTA($N54:$O54))&gt;0),"",IFERROR(LOOKUP(2,1/(H54:K54&lt;&gt;""),H54:K54),0))</f>
        <v/>
      </c>
      <c r="M54" s="56">
        <f>IF(L54="","",IF(L54&gt;=1,"Completado",IF(L54&gt;0,"En curso","Pendiente")))</f>
        <v/>
      </c>
      <c r="N54" s="52" t="n"/>
      <c r="O54" s="51" t="n"/>
      <c r="P54" s="57">
        <f>IF(NOT((COUNTA($A54)+COUNTA($C54:$K54)+COUNTA($N54:$O54))&gt;0),"",IF((IF(A54="","Falta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 OK","⚠ "&amp;LEFT(IF(A54="","Falta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",""),LEN(IF(A54="","Falta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",""))-3)))</f>
        <v/>
      </c>
    </row>
    <row r="55">
      <c r="A55" s="49" t="n"/>
      <c r="B55" s="50">
        <f>IF((COUNTA($A55)+COUNTA($C55:$K55)+COUNTA($N55:$O55))&gt;0,"Riesgo Operacional","")</f>
        <v/>
      </c>
      <c r="C55" s="51" t="n"/>
      <c r="D55" s="51" t="n"/>
      <c r="E55" s="52" t="n"/>
      <c r="F55" s="52" t="n"/>
      <c r="G55" s="53" t="n"/>
      <c r="H55" s="54" t="n"/>
      <c r="I55" s="54" t="n"/>
      <c r="J55" s="54" t="n"/>
      <c r="K55" s="54" t="n"/>
      <c r="L55" s="55">
        <f>IF(NOT((COUNTA($A55)+COUNTA($C55:$K55)+COUNTA($N55:$O55))&gt;0),"",IFERROR(LOOKUP(2,1/(H55:K55&lt;&gt;""),H55:K55),0))</f>
        <v/>
      </c>
      <c r="M55" s="56">
        <f>IF(L55="","",IF(L55&gt;=1,"Completado",IF(L55&gt;0,"En curso","Pendiente")))</f>
        <v/>
      </c>
      <c r="N55" s="52" t="n"/>
      <c r="O55" s="51" t="n"/>
      <c r="P55" s="57">
        <f>IF(NOT((COUNTA($A55)+COUNTA($C55:$K55)+COUNTA($N55:$O55))&gt;0),"",IF((IF(A55="","Falta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 OK","⚠ "&amp;LEFT(IF(A55="","Falta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",""),LEN(IF(A55="","Falta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",""))-3)))</f>
        <v/>
      </c>
    </row>
    <row r="56">
      <c r="A56" s="49" t="n"/>
      <c r="B56" s="50">
        <f>IF((COUNTA($A56)+COUNTA($C56:$K56)+COUNTA($N56:$O56))&gt;0,"Riesgo Operacional","")</f>
        <v/>
      </c>
      <c r="C56" s="51" t="n"/>
      <c r="D56" s="51" t="n"/>
      <c r="E56" s="52" t="n"/>
      <c r="F56" s="52" t="n"/>
      <c r="G56" s="53" t="n"/>
      <c r="H56" s="54" t="n"/>
      <c r="I56" s="54" t="n"/>
      <c r="J56" s="54" t="n"/>
      <c r="K56" s="54" t="n"/>
      <c r="L56" s="55">
        <f>IF(NOT((COUNTA($A56)+COUNTA($C56:$K56)+COUNTA($N56:$O56))&gt;0),"",IFERROR(LOOKUP(2,1/(H56:K56&lt;&gt;""),H56:K56),0))</f>
        <v/>
      </c>
      <c r="M56" s="56">
        <f>IF(L56="","",IF(L56&gt;=1,"Completado",IF(L56&gt;0,"En curso","Pendiente")))</f>
        <v/>
      </c>
      <c r="N56" s="52" t="n"/>
      <c r="O56" s="51" t="n"/>
      <c r="P56" s="57">
        <f>IF(NOT((COUNTA($A56)+COUNTA($C56:$K56)+COUNTA($N56:$O56))&gt;0),"",IF((IF(A56="","Falta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 OK","⚠ "&amp;LEFT(IF(A56="","Falta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",""),LEN(IF(A56="","Falta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",""))-3)))</f>
        <v/>
      </c>
    </row>
    <row r="57">
      <c r="A57" s="49" t="n"/>
      <c r="B57" s="50">
        <f>IF((COUNTA($A57)+COUNTA($C57:$K57)+COUNTA($N57:$O57))&gt;0,"Riesgo Operacional","")</f>
        <v/>
      </c>
      <c r="C57" s="51" t="n"/>
      <c r="D57" s="51" t="n"/>
      <c r="E57" s="52" t="n"/>
      <c r="F57" s="52" t="n"/>
      <c r="G57" s="53" t="n"/>
      <c r="H57" s="54" t="n"/>
      <c r="I57" s="54" t="n"/>
      <c r="J57" s="54" t="n"/>
      <c r="K57" s="54" t="n"/>
      <c r="L57" s="55">
        <f>IF(NOT((COUNTA($A57)+COUNTA($C57:$K57)+COUNTA($N57:$O57))&gt;0),"",IFERROR(LOOKUP(2,1/(H57:K57&lt;&gt;""),H57:K57),0))</f>
        <v/>
      </c>
      <c r="M57" s="56">
        <f>IF(L57="","",IF(L57&gt;=1,"Completado",IF(L57&gt;0,"En curso","Pendiente")))</f>
        <v/>
      </c>
      <c r="N57" s="52" t="n"/>
      <c r="O57" s="51" t="n"/>
      <c r="P57" s="57">
        <f>IF(NOT((COUNTA($A57)+COUNTA($C57:$K57)+COUNTA($N57:$O57))&gt;0),"",IF((IF(A57="","Falta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 OK","⚠ "&amp;LEFT(IF(A57="","Falta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",""),LEN(IF(A57="","Falta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",""))-3)))</f>
        <v/>
      </c>
    </row>
    <row r="58">
      <c r="A58" s="49" t="n"/>
      <c r="B58" s="50">
        <f>IF((COUNTA($A58)+COUNTA($C58:$K58)+COUNTA($N58:$O58))&gt;0,"Riesgo Operacional","")</f>
        <v/>
      </c>
      <c r="C58" s="51" t="n"/>
      <c r="D58" s="51" t="n"/>
      <c r="E58" s="52" t="n"/>
      <c r="F58" s="52" t="n"/>
      <c r="G58" s="53" t="n"/>
      <c r="H58" s="54" t="n"/>
      <c r="I58" s="54" t="n"/>
      <c r="J58" s="54" t="n"/>
      <c r="K58" s="54" t="n"/>
      <c r="L58" s="55">
        <f>IF(NOT((COUNTA($A58)+COUNTA($C58:$K58)+COUNTA($N58:$O58))&gt;0),"",IFERROR(LOOKUP(2,1/(H58:K58&lt;&gt;""),H58:K58),0))</f>
        <v/>
      </c>
      <c r="M58" s="56">
        <f>IF(L58="","",IF(L58&gt;=1,"Completado",IF(L58&gt;0,"En curso","Pendiente")))</f>
        <v/>
      </c>
      <c r="N58" s="52" t="n"/>
      <c r="O58" s="51" t="n"/>
      <c r="P58" s="57">
        <f>IF(NOT((COUNTA($A58)+COUNTA($C58:$K58)+COUNTA($N58:$O58))&gt;0),"",IF((IF(A58="","Falta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 OK","⚠ "&amp;LEFT(IF(A58="","Falta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",""),LEN(IF(A58="","Falta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",""))-3)))</f>
        <v/>
      </c>
    </row>
    <row r="59">
      <c r="A59" s="49" t="n"/>
      <c r="B59" s="50">
        <f>IF((COUNTA($A59)+COUNTA($C59:$K59)+COUNTA($N59:$O59))&gt;0,"Riesgo Operacional","")</f>
        <v/>
      </c>
      <c r="C59" s="51" t="n"/>
      <c r="D59" s="51" t="n"/>
      <c r="E59" s="52" t="n"/>
      <c r="F59" s="52" t="n"/>
      <c r="G59" s="53" t="n"/>
      <c r="H59" s="54" t="n"/>
      <c r="I59" s="54" t="n"/>
      <c r="J59" s="54" t="n"/>
      <c r="K59" s="54" t="n"/>
      <c r="L59" s="55">
        <f>IF(NOT((COUNTA($A59)+COUNTA($C59:$K59)+COUNTA($N59:$O59))&gt;0),"",IFERROR(LOOKUP(2,1/(H59:K59&lt;&gt;""),H59:K59),0))</f>
        <v/>
      </c>
      <c r="M59" s="56">
        <f>IF(L59="","",IF(L59&gt;=1,"Completado",IF(L59&gt;0,"En curso","Pendiente")))</f>
        <v/>
      </c>
      <c r="N59" s="52" t="n"/>
      <c r="O59" s="51" t="n"/>
      <c r="P59" s="57">
        <f>IF(NOT((COUNTA($A59)+COUNTA($C59:$K59)+COUNTA($N59:$O59))&gt;0),"",IF((IF(A59="","Falta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 OK","⚠ "&amp;LEFT(IF(A59="","Falta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",""),LEN(IF(A59="","Falta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",""))-3)))</f>
        <v/>
      </c>
    </row>
    <row r="60">
      <c r="A60" s="49" t="n"/>
      <c r="B60" s="50">
        <f>IF((COUNTA($A60)+COUNTA($C60:$K60)+COUNTA($N60:$O60))&gt;0,"Riesgo Operacional","")</f>
        <v/>
      </c>
      <c r="C60" s="51" t="n"/>
      <c r="D60" s="51" t="n"/>
      <c r="E60" s="52" t="n"/>
      <c r="F60" s="52" t="n"/>
      <c r="G60" s="53" t="n"/>
      <c r="H60" s="54" t="n"/>
      <c r="I60" s="54" t="n"/>
      <c r="J60" s="54" t="n"/>
      <c r="K60" s="54" t="n"/>
      <c r="L60" s="55">
        <f>IF(NOT((COUNTA($A60)+COUNTA($C60:$K60)+COUNTA($N60:$O60))&gt;0),"",IFERROR(LOOKUP(2,1/(H60:K60&lt;&gt;""),H60:K60),0))</f>
        <v/>
      </c>
      <c r="M60" s="56">
        <f>IF(L60="","",IF(L60&gt;=1,"Completado",IF(L60&gt;0,"En curso","Pendiente")))</f>
        <v/>
      </c>
      <c r="N60" s="52" t="n"/>
      <c r="O60" s="51" t="n"/>
      <c r="P60" s="57">
        <f>IF(NOT((COUNTA($A60)+COUNTA($C60:$K60)+COUNTA($N60:$O60))&gt;0),"",IF((IF(A60="","Falta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 OK","⚠ "&amp;LEFT(IF(A60="","Falta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",""),LEN(IF(A60="","Falta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",""))-3)))</f>
        <v/>
      </c>
    </row>
    <row r="61">
      <c r="A61" s="49" t="n"/>
      <c r="B61" s="50">
        <f>IF((COUNTA($A61)+COUNTA($C61:$K61)+COUNTA($N61:$O61))&gt;0,"Riesgo Operacional","")</f>
        <v/>
      </c>
      <c r="C61" s="51" t="n"/>
      <c r="D61" s="51" t="n"/>
      <c r="E61" s="52" t="n"/>
      <c r="F61" s="52" t="n"/>
      <c r="G61" s="53" t="n"/>
      <c r="H61" s="54" t="n"/>
      <c r="I61" s="54" t="n"/>
      <c r="J61" s="54" t="n"/>
      <c r="K61" s="54" t="n"/>
      <c r="L61" s="55">
        <f>IF(NOT((COUNTA($A61)+COUNTA($C61:$K61)+COUNTA($N61:$O61))&gt;0),"",IFERROR(LOOKUP(2,1/(H61:K61&lt;&gt;""),H61:K61),0))</f>
        <v/>
      </c>
      <c r="M61" s="56">
        <f>IF(L61="","",IF(L61&gt;=1,"Completado",IF(L61&gt;0,"En curso","Pendiente")))</f>
        <v/>
      </c>
      <c r="N61" s="52" t="n"/>
      <c r="O61" s="51" t="n"/>
      <c r="P61" s="57">
        <f>IF(NOT((COUNTA($A61)+COUNTA($C61:$K61)+COUNTA($N61:$O61))&gt;0),"",IF((IF(A61="","Falta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 OK","⚠ "&amp;LEFT(IF(A61="","Falta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",""),LEN(IF(A61="","Falta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",""))-3)))</f>
        <v/>
      </c>
    </row>
    <row r="62">
      <c r="A62" s="49" t="n"/>
      <c r="B62" s="50">
        <f>IF((COUNTA($A62)+COUNTA($C62:$K62)+COUNTA($N62:$O62))&gt;0,"Riesgo Operacional","")</f>
        <v/>
      </c>
      <c r="C62" s="51" t="n"/>
      <c r="D62" s="51" t="n"/>
      <c r="E62" s="52" t="n"/>
      <c r="F62" s="52" t="n"/>
      <c r="G62" s="53" t="n"/>
      <c r="H62" s="54" t="n"/>
      <c r="I62" s="54" t="n"/>
      <c r="J62" s="54" t="n"/>
      <c r="K62" s="54" t="n"/>
      <c r="L62" s="55">
        <f>IF(NOT((COUNTA($A62)+COUNTA($C62:$K62)+COUNTA($N62:$O62))&gt;0),"",IFERROR(LOOKUP(2,1/(H62:K62&lt;&gt;""),H62:K62),0))</f>
        <v/>
      </c>
      <c r="M62" s="56">
        <f>IF(L62="","",IF(L62&gt;=1,"Completado",IF(L62&gt;0,"En curso","Pendiente")))</f>
        <v/>
      </c>
      <c r="N62" s="52" t="n"/>
      <c r="O62" s="51" t="n"/>
      <c r="P62" s="57">
        <f>IF(NOT((COUNTA($A62)+COUNTA($C62:$K62)+COUNTA($N62:$O62))&gt;0),"",IF((IF(A62="","Falta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 OK","⚠ "&amp;LEFT(IF(A62="","Falta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",""),LEN(IF(A62="","Falta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",""))-3)))</f>
        <v/>
      </c>
    </row>
    <row r="63">
      <c r="A63" s="49" t="n"/>
      <c r="B63" s="50">
        <f>IF((COUNTA($A63)+COUNTA($C63:$K63)+COUNTA($N63:$O63))&gt;0,"Riesgo Operacional","")</f>
        <v/>
      </c>
      <c r="C63" s="51" t="n"/>
      <c r="D63" s="51" t="n"/>
      <c r="E63" s="52" t="n"/>
      <c r="F63" s="52" t="n"/>
      <c r="G63" s="53" t="n"/>
      <c r="H63" s="54" t="n"/>
      <c r="I63" s="54" t="n"/>
      <c r="J63" s="54" t="n"/>
      <c r="K63" s="54" t="n"/>
      <c r="L63" s="55">
        <f>IF(NOT((COUNTA($A63)+COUNTA($C63:$K63)+COUNTA($N63:$O63))&gt;0),"",IFERROR(LOOKUP(2,1/(H63:K63&lt;&gt;""),H63:K63),0))</f>
        <v/>
      </c>
      <c r="M63" s="56">
        <f>IF(L63="","",IF(L63&gt;=1,"Completado",IF(L63&gt;0,"En curso","Pendiente")))</f>
        <v/>
      </c>
      <c r="N63" s="52" t="n"/>
      <c r="O63" s="51" t="n"/>
      <c r="P63" s="57">
        <f>IF(NOT((COUNTA($A63)+COUNTA($C63:$K63)+COUNTA($N63:$O63))&gt;0),"",IF((IF(A63="","Falta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 OK","⚠ "&amp;LEFT(IF(A63="","Falta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",""),LEN(IF(A63="","Falta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",""))-3)))</f>
        <v/>
      </c>
    </row>
    <row r="64">
      <c r="A64" s="49" t="n"/>
      <c r="B64" s="50">
        <f>IF((COUNTA($A64)+COUNTA($C64:$K64)+COUNTA($N64:$O64))&gt;0,"Riesgo Operacional","")</f>
        <v/>
      </c>
      <c r="C64" s="51" t="n"/>
      <c r="D64" s="51" t="n"/>
      <c r="E64" s="52" t="n"/>
      <c r="F64" s="52" t="n"/>
      <c r="G64" s="53" t="n"/>
      <c r="H64" s="54" t="n"/>
      <c r="I64" s="54" t="n"/>
      <c r="J64" s="54" t="n"/>
      <c r="K64" s="54" t="n"/>
      <c r="L64" s="55">
        <f>IF(NOT((COUNTA($A64)+COUNTA($C64:$K64)+COUNTA($N64:$O64))&gt;0),"",IFERROR(LOOKUP(2,1/(H64:K64&lt;&gt;""),H64:K64),0))</f>
        <v/>
      </c>
      <c r="M64" s="56">
        <f>IF(L64="","",IF(L64&gt;=1,"Completado",IF(L64&gt;0,"En curso","Pendiente")))</f>
        <v/>
      </c>
      <c r="N64" s="52" t="n"/>
      <c r="O64" s="51" t="n"/>
      <c r="P64" s="57">
        <f>IF(NOT((COUNTA($A64)+COUNTA($C64:$K64)+COUNTA($N64:$O64))&gt;0),"",IF((IF(A64="","Falta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 OK","⚠ "&amp;LEFT(IF(A64="","Falta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",""),LEN(IF(A64="","Falta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",""))-3)))</f>
        <v/>
      </c>
    </row>
    <row r="65">
      <c r="A65" s="49" t="n"/>
      <c r="B65" s="50">
        <f>IF((COUNTA($A65)+COUNTA($C65:$K65)+COUNTA($N65:$O65))&gt;0,"Riesgo Operacional","")</f>
        <v/>
      </c>
      <c r="C65" s="51" t="n"/>
      <c r="D65" s="51" t="n"/>
      <c r="E65" s="52" t="n"/>
      <c r="F65" s="52" t="n"/>
      <c r="G65" s="53" t="n"/>
      <c r="H65" s="54" t="n"/>
      <c r="I65" s="54" t="n"/>
      <c r="J65" s="54" t="n"/>
      <c r="K65" s="54" t="n"/>
      <c r="L65" s="55">
        <f>IF(NOT((COUNTA($A65)+COUNTA($C65:$K65)+COUNTA($N65:$O65))&gt;0),"",IFERROR(LOOKUP(2,1/(H65:K65&lt;&gt;""),H65:K65),0))</f>
        <v/>
      </c>
      <c r="M65" s="56">
        <f>IF(L65="","",IF(L65&gt;=1,"Completado",IF(L65&gt;0,"En curso","Pendiente")))</f>
        <v/>
      </c>
      <c r="N65" s="52" t="n"/>
      <c r="O65" s="51" t="n"/>
      <c r="P65" s="57">
        <f>IF(NOT((COUNTA($A65)+COUNTA($C65:$K65)+COUNTA($N65:$O65))&gt;0),"",IF((IF(A65="","Falta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 OK","⚠ "&amp;LEFT(IF(A65="","Falta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",""),LEN(IF(A65="","Falta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",""))-3)))</f>
        <v/>
      </c>
    </row>
    <row r="66">
      <c r="A66" s="49" t="n"/>
      <c r="B66" s="50">
        <f>IF((COUNTA($A66)+COUNTA($C66:$K66)+COUNTA($N66:$O66))&gt;0,"Riesgo Operacional","")</f>
        <v/>
      </c>
      <c r="C66" s="51" t="n"/>
      <c r="D66" s="51" t="n"/>
      <c r="E66" s="52" t="n"/>
      <c r="F66" s="52" t="n"/>
      <c r="G66" s="53" t="n"/>
      <c r="H66" s="54" t="n"/>
      <c r="I66" s="54" t="n"/>
      <c r="J66" s="54" t="n"/>
      <c r="K66" s="54" t="n"/>
      <c r="L66" s="55">
        <f>IF(NOT((COUNTA($A66)+COUNTA($C66:$K66)+COUNTA($N66:$O66))&gt;0),"",IFERROR(LOOKUP(2,1/(H66:K66&lt;&gt;""),H66:K66),0))</f>
        <v/>
      </c>
      <c r="M66" s="56">
        <f>IF(L66="","",IF(L66&gt;=1,"Completado",IF(L66&gt;0,"En curso","Pendiente")))</f>
        <v/>
      </c>
      <c r="N66" s="52" t="n"/>
      <c r="O66" s="51" t="n"/>
      <c r="P66" s="57">
        <f>IF(NOT((COUNTA($A66)+COUNTA($C66:$K66)+COUNTA($N66:$O66))&gt;0),"",IF((IF(A66="","Falta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 OK","⚠ "&amp;LEFT(IF(A66="","Falta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",""),LEN(IF(A66="","Falta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",""))-3)))</f>
        <v/>
      </c>
    </row>
    <row r="67">
      <c r="A67" s="49" t="n"/>
      <c r="B67" s="50">
        <f>IF((COUNTA($A67)+COUNTA($C67:$K67)+COUNTA($N67:$O67))&gt;0,"Riesgo Operacional","")</f>
        <v/>
      </c>
      <c r="C67" s="51" t="n"/>
      <c r="D67" s="51" t="n"/>
      <c r="E67" s="52" t="n"/>
      <c r="F67" s="52" t="n"/>
      <c r="G67" s="53" t="n"/>
      <c r="H67" s="54" t="n"/>
      <c r="I67" s="54" t="n"/>
      <c r="J67" s="54" t="n"/>
      <c r="K67" s="54" t="n"/>
      <c r="L67" s="55">
        <f>IF(NOT((COUNTA($A67)+COUNTA($C67:$K67)+COUNTA($N67:$O67))&gt;0),"",IFERROR(LOOKUP(2,1/(H67:K67&lt;&gt;""),H67:K67),0))</f>
        <v/>
      </c>
      <c r="M67" s="56">
        <f>IF(L67="","",IF(L67&gt;=1,"Completado",IF(L67&gt;0,"En curso","Pendiente")))</f>
        <v/>
      </c>
      <c r="N67" s="52" t="n"/>
      <c r="O67" s="51" t="n"/>
      <c r="P67" s="57">
        <f>IF(NOT((COUNTA($A67)+COUNTA($C67:$K67)+COUNTA($N67:$O67))&gt;0),"",IF((IF(A67="","Falta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 OK","⚠ "&amp;LEFT(IF(A67="","Falta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",""),LEN(IF(A67="","Falta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",""))-3)))</f>
        <v/>
      </c>
    </row>
    <row r="68">
      <c r="A68" s="49" t="n"/>
      <c r="B68" s="50">
        <f>IF((COUNTA($A68)+COUNTA($C68:$K68)+COUNTA($N68:$O68))&gt;0,"Riesgo Operacional","")</f>
        <v/>
      </c>
      <c r="C68" s="51" t="n"/>
      <c r="D68" s="51" t="n"/>
      <c r="E68" s="52" t="n"/>
      <c r="F68" s="52" t="n"/>
      <c r="G68" s="53" t="n"/>
      <c r="H68" s="54" t="n"/>
      <c r="I68" s="54" t="n"/>
      <c r="J68" s="54" t="n"/>
      <c r="K68" s="54" t="n"/>
      <c r="L68" s="55">
        <f>IF(NOT((COUNTA($A68)+COUNTA($C68:$K68)+COUNTA($N68:$O68))&gt;0),"",IFERROR(LOOKUP(2,1/(H68:K68&lt;&gt;""),H68:K68),0))</f>
        <v/>
      </c>
      <c r="M68" s="56">
        <f>IF(L68="","",IF(L68&gt;=1,"Completado",IF(L68&gt;0,"En curso","Pendiente")))</f>
        <v/>
      </c>
      <c r="N68" s="52" t="n"/>
      <c r="O68" s="51" t="n"/>
      <c r="P68" s="57">
        <f>IF(NOT((COUNTA($A68)+COUNTA($C68:$K68)+COUNTA($N68:$O68))&gt;0),"",IF((IF(A68="","Falta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 OK","⚠ "&amp;LEFT(IF(A68="","Falta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",""),LEN(IF(A68="","Falta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",""))-3)))</f>
        <v/>
      </c>
    </row>
    <row r="69">
      <c r="A69" s="49" t="n"/>
      <c r="B69" s="50">
        <f>IF((COUNTA($A69)+COUNTA($C69:$K69)+COUNTA($N69:$O69))&gt;0,"Riesgo Operacional","")</f>
        <v/>
      </c>
      <c r="C69" s="51" t="n"/>
      <c r="D69" s="51" t="n"/>
      <c r="E69" s="52" t="n"/>
      <c r="F69" s="52" t="n"/>
      <c r="G69" s="53" t="n"/>
      <c r="H69" s="54" t="n"/>
      <c r="I69" s="54" t="n"/>
      <c r="J69" s="54" t="n"/>
      <c r="K69" s="54" t="n"/>
      <c r="L69" s="55">
        <f>IF(NOT((COUNTA($A69)+COUNTA($C69:$K69)+COUNTA($N69:$O69))&gt;0),"",IFERROR(LOOKUP(2,1/(H69:K69&lt;&gt;""),H69:K69),0))</f>
        <v/>
      </c>
      <c r="M69" s="56">
        <f>IF(L69="","",IF(L69&gt;=1,"Completado",IF(L69&gt;0,"En curso","Pendiente")))</f>
        <v/>
      </c>
      <c r="N69" s="52" t="n"/>
      <c r="O69" s="51" t="n"/>
      <c r="P69" s="57">
        <f>IF(NOT((COUNTA($A69)+COUNTA($C69:$K69)+COUNTA($N69:$O69))&gt;0),"",IF((IF(A69="","Falta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 OK","⚠ "&amp;LEFT(IF(A69="","Falta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",""),LEN(IF(A69="","Falta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",""))-3)))</f>
        <v/>
      </c>
    </row>
    <row r="70">
      <c r="A70" s="49" t="n"/>
      <c r="B70" s="50">
        <f>IF((COUNTA($A70)+COUNTA($C70:$K70)+COUNTA($N70:$O70))&gt;0,"Riesgo Operacional","")</f>
        <v/>
      </c>
      <c r="C70" s="51" t="n"/>
      <c r="D70" s="51" t="n"/>
      <c r="E70" s="52" t="n"/>
      <c r="F70" s="52" t="n"/>
      <c r="G70" s="53" t="n"/>
      <c r="H70" s="54" t="n"/>
      <c r="I70" s="54" t="n"/>
      <c r="J70" s="54" t="n"/>
      <c r="K70" s="54" t="n"/>
      <c r="L70" s="55">
        <f>IF(NOT((COUNTA($A70)+COUNTA($C70:$K70)+COUNTA($N70:$O70))&gt;0),"",IFERROR(LOOKUP(2,1/(H70:K70&lt;&gt;""),H70:K70),0))</f>
        <v/>
      </c>
      <c r="M70" s="56">
        <f>IF(L70="","",IF(L70&gt;=1,"Completado",IF(L70&gt;0,"En curso","Pendiente")))</f>
        <v/>
      </c>
      <c r="N70" s="52" t="n"/>
      <c r="O70" s="51" t="n"/>
      <c r="P70" s="57">
        <f>IF(NOT((COUNTA($A70)+COUNTA($C70:$K70)+COUNTA($N70:$O70))&gt;0),"",IF((IF(A70="","Falta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 OK","⚠ "&amp;LEFT(IF(A70="","Falta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",""),LEN(IF(A70="","Falta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",""))-3)))</f>
        <v/>
      </c>
    </row>
    <row r="71">
      <c r="A71" s="49" t="n"/>
      <c r="B71" s="50">
        <f>IF((COUNTA($A71)+COUNTA($C71:$K71)+COUNTA($N71:$O71))&gt;0,"Riesgo Operacional","")</f>
        <v/>
      </c>
      <c r="C71" s="51" t="n"/>
      <c r="D71" s="51" t="n"/>
      <c r="E71" s="52" t="n"/>
      <c r="F71" s="52" t="n"/>
      <c r="G71" s="53" t="n"/>
      <c r="H71" s="54" t="n"/>
      <c r="I71" s="54" t="n"/>
      <c r="J71" s="54" t="n"/>
      <c r="K71" s="54" t="n"/>
      <c r="L71" s="55">
        <f>IF(NOT((COUNTA($A71)+COUNTA($C71:$K71)+COUNTA($N71:$O71))&gt;0),"",IFERROR(LOOKUP(2,1/(H71:K71&lt;&gt;""),H71:K71),0))</f>
        <v/>
      </c>
      <c r="M71" s="56">
        <f>IF(L71="","",IF(L71&gt;=1,"Completado",IF(L71&gt;0,"En curso","Pendiente")))</f>
        <v/>
      </c>
      <c r="N71" s="52" t="n"/>
      <c r="O71" s="51" t="n"/>
      <c r="P71" s="57">
        <f>IF(NOT((COUNTA($A71)+COUNTA($C71:$K71)+COUNTA($N71:$O71))&gt;0),"",IF((IF(A71="","Falta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 OK","⚠ "&amp;LEFT(IF(A71="","Falta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",""),LEN(IF(A71="","Falta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",""))-3)))</f>
        <v/>
      </c>
    </row>
    <row r="72">
      <c r="A72" s="49" t="n"/>
      <c r="B72" s="50">
        <f>IF((COUNTA($A72)+COUNTA($C72:$K72)+COUNTA($N72:$O72))&gt;0,"Riesgo Operacional","")</f>
        <v/>
      </c>
      <c r="C72" s="51" t="n"/>
      <c r="D72" s="51" t="n"/>
      <c r="E72" s="52" t="n"/>
      <c r="F72" s="52" t="n"/>
      <c r="G72" s="53" t="n"/>
      <c r="H72" s="54" t="n"/>
      <c r="I72" s="54" t="n"/>
      <c r="J72" s="54" t="n"/>
      <c r="K72" s="54" t="n"/>
      <c r="L72" s="55">
        <f>IF(NOT((COUNTA($A72)+COUNTA($C72:$K72)+COUNTA($N72:$O72))&gt;0),"",IFERROR(LOOKUP(2,1/(H72:K72&lt;&gt;""),H72:K72),0))</f>
        <v/>
      </c>
      <c r="M72" s="56">
        <f>IF(L72="","",IF(L72&gt;=1,"Completado",IF(L72&gt;0,"En curso","Pendiente")))</f>
        <v/>
      </c>
      <c r="N72" s="52" t="n"/>
      <c r="O72" s="51" t="n"/>
      <c r="P72" s="57">
        <f>IF(NOT((COUNTA($A72)+COUNTA($C72:$K72)+COUNTA($N72:$O72))&gt;0),"",IF((IF(A72="","Falta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 OK","⚠ "&amp;LEFT(IF(A72="","Falta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",""),LEN(IF(A72="","Falta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",""))-3)))</f>
        <v/>
      </c>
    </row>
    <row r="73">
      <c r="A73" s="49" t="n"/>
      <c r="B73" s="50">
        <f>IF((COUNTA($A73)+COUNTA($C73:$K73)+COUNTA($N73:$O73))&gt;0,"Riesgo Operacional","")</f>
        <v/>
      </c>
      <c r="C73" s="51" t="n"/>
      <c r="D73" s="51" t="n"/>
      <c r="E73" s="52" t="n"/>
      <c r="F73" s="52" t="n"/>
      <c r="G73" s="53" t="n"/>
      <c r="H73" s="54" t="n"/>
      <c r="I73" s="54" t="n"/>
      <c r="J73" s="54" t="n"/>
      <c r="K73" s="54" t="n"/>
      <c r="L73" s="55">
        <f>IF(NOT((COUNTA($A73)+COUNTA($C73:$K73)+COUNTA($N73:$O73))&gt;0),"",IFERROR(LOOKUP(2,1/(H73:K73&lt;&gt;""),H73:K73),0))</f>
        <v/>
      </c>
      <c r="M73" s="56">
        <f>IF(L73="","",IF(L73&gt;=1,"Completado",IF(L73&gt;0,"En curso","Pendiente")))</f>
        <v/>
      </c>
      <c r="N73" s="52" t="n"/>
      <c r="O73" s="51" t="n"/>
      <c r="P73" s="57">
        <f>IF(NOT((COUNTA($A73)+COUNTA($C73:$K73)+COUNTA($N73:$O73))&gt;0),"",IF((IF(A73="","Falta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 OK","⚠ "&amp;LEFT(IF(A73="","Falta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",""),LEN(IF(A73="","Falta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",""))-3)))</f>
        <v/>
      </c>
    </row>
    <row r="74">
      <c r="A74" s="49" t="n"/>
      <c r="B74" s="50">
        <f>IF((COUNTA($A74)+COUNTA($C74:$K74)+COUNTA($N74:$O74))&gt;0,"Riesgo Operacional","")</f>
        <v/>
      </c>
      <c r="C74" s="51" t="n"/>
      <c r="D74" s="51" t="n"/>
      <c r="E74" s="52" t="n"/>
      <c r="F74" s="52" t="n"/>
      <c r="G74" s="53" t="n"/>
      <c r="H74" s="54" t="n"/>
      <c r="I74" s="54" t="n"/>
      <c r="J74" s="54" t="n"/>
      <c r="K74" s="54" t="n"/>
      <c r="L74" s="55">
        <f>IF(NOT((COUNTA($A74)+COUNTA($C74:$K74)+COUNTA($N74:$O74))&gt;0),"",IFERROR(LOOKUP(2,1/(H74:K74&lt;&gt;""),H74:K74),0))</f>
        <v/>
      </c>
      <c r="M74" s="56">
        <f>IF(L74="","",IF(L74&gt;=1,"Completado",IF(L74&gt;0,"En curso","Pendiente")))</f>
        <v/>
      </c>
      <c r="N74" s="52" t="n"/>
      <c r="O74" s="51" t="n"/>
      <c r="P74" s="57">
        <f>IF(NOT((COUNTA($A74)+COUNTA($C74:$K74)+COUNTA($N74:$O74))&gt;0),"",IF((IF(A74="","Falta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 OK","⚠ "&amp;LEFT(IF(A74="","Falta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",""),LEN(IF(A74="","Falta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",""))-3)))</f>
        <v/>
      </c>
    </row>
    <row r="75">
      <c r="A75" s="49" t="n"/>
      <c r="B75" s="50">
        <f>IF((COUNTA($A75)+COUNTA($C75:$K75)+COUNTA($N75:$O75))&gt;0,"Riesgo Operacional","")</f>
        <v/>
      </c>
      <c r="C75" s="51" t="n"/>
      <c r="D75" s="51" t="n"/>
      <c r="E75" s="52" t="n"/>
      <c r="F75" s="52" t="n"/>
      <c r="G75" s="53" t="n"/>
      <c r="H75" s="54" t="n"/>
      <c r="I75" s="54" t="n"/>
      <c r="J75" s="54" t="n"/>
      <c r="K75" s="54" t="n"/>
      <c r="L75" s="55">
        <f>IF(NOT((COUNTA($A75)+COUNTA($C75:$K75)+COUNTA($N75:$O75))&gt;0),"",IFERROR(LOOKUP(2,1/(H75:K75&lt;&gt;""),H75:K75),0))</f>
        <v/>
      </c>
      <c r="M75" s="56">
        <f>IF(L75="","",IF(L75&gt;=1,"Completado",IF(L75&gt;0,"En curso","Pendiente")))</f>
        <v/>
      </c>
      <c r="N75" s="52" t="n"/>
      <c r="O75" s="51" t="n"/>
      <c r="P75" s="57">
        <f>IF(NOT((COUNTA($A75)+COUNTA($C75:$K75)+COUNTA($N75:$O75))&gt;0),"",IF((IF(A75="","Falta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 OK","⚠ "&amp;LEFT(IF(A75="","Falta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",""),LEN(IF(A75="","Falta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",""))-3)))</f>
        <v/>
      </c>
    </row>
    <row r="76">
      <c r="A76" s="49" t="n"/>
      <c r="B76" s="50">
        <f>IF((COUNTA($A76)+COUNTA($C76:$K76)+COUNTA($N76:$O76))&gt;0,"Riesgo Operacional","")</f>
        <v/>
      </c>
      <c r="C76" s="51" t="n"/>
      <c r="D76" s="51" t="n"/>
      <c r="E76" s="52" t="n"/>
      <c r="F76" s="52" t="n"/>
      <c r="G76" s="53" t="n"/>
      <c r="H76" s="54" t="n"/>
      <c r="I76" s="54" t="n"/>
      <c r="J76" s="54" t="n"/>
      <c r="K76" s="54" t="n"/>
      <c r="L76" s="55">
        <f>IF(NOT((COUNTA($A76)+COUNTA($C76:$K76)+COUNTA($N76:$O76))&gt;0),"",IFERROR(LOOKUP(2,1/(H76:K76&lt;&gt;""),H76:K76),0))</f>
        <v/>
      </c>
      <c r="M76" s="56">
        <f>IF(L76="","",IF(L76&gt;=1,"Completado",IF(L76&gt;0,"En curso","Pendiente")))</f>
        <v/>
      </c>
      <c r="N76" s="52" t="n"/>
      <c r="O76" s="51" t="n"/>
      <c r="P76" s="57">
        <f>IF(NOT((COUNTA($A76)+COUNTA($C76:$K76)+COUNTA($N76:$O76))&gt;0),"",IF((IF(A76="","Falta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 OK","⚠ "&amp;LEFT(IF(A76="","Falta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",""),LEN(IF(A76="","Falta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",""))-3)))</f>
        <v/>
      </c>
    </row>
    <row r="77">
      <c r="A77" s="49" t="n"/>
      <c r="B77" s="50">
        <f>IF((COUNTA($A77)+COUNTA($C77:$K77)+COUNTA($N77:$O77))&gt;0,"Riesgo Operacional","")</f>
        <v/>
      </c>
      <c r="C77" s="51" t="n"/>
      <c r="D77" s="51" t="n"/>
      <c r="E77" s="52" t="n"/>
      <c r="F77" s="52" t="n"/>
      <c r="G77" s="53" t="n"/>
      <c r="H77" s="54" t="n"/>
      <c r="I77" s="54" t="n"/>
      <c r="J77" s="54" t="n"/>
      <c r="K77" s="54" t="n"/>
      <c r="L77" s="55">
        <f>IF(NOT((COUNTA($A77)+COUNTA($C77:$K77)+COUNTA($N77:$O77))&gt;0),"",IFERROR(LOOKUP(2,1/(H77:K77&lt;&gt;""),H77:K77),0))</f>
        <v/>
      </c>
      <c r="M77" s="56">
        <f>IF(L77="","",IF(L77&gt;=1,"Completado",IF(L77&gt;0,"En curso","Pendiente")))</f>
        <v/>
      </c>
      <c r="N77" s="52" t="n"/>
      <c r="O77" s="51" t="n"/>
      <c r="P77" s="57">
        <f>IF(NOT((COUNTA($A77)+COUNTA($C77:$K77)+COUNTA($N77:$O77))&gt;0),"",IF((IF(A77="","Falta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 OK","⚠ "&amp;LEFT(IF(A77="","Falta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",""),LEN(IF(A77="","Falta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",""))-3)))</f>
        <v/>
      </c>
    </row>
    <row r="78">
      <c r="A78" s="49" t="n"/>
      <c r="B78" s="50">
        <f>IF((COUNTA($A78)+COUNTA($C78:$K78)+COUNTA($N78:$O78))&gt;0,"Riesgo Operacional","")</f>
        <v/>
      </c>
      <c r="C78" s="51" t="n"/>
      <c r="D78" s="51" t="n"/>
      <c r="E78" s="52" t="n"/>
      <c r="F78" s="52" t="n"/>
      <c r="G78" s="53" t="n"/>
      <c r="H78" s="54" t="n"/>
      <c r="I78" s="54" t="n"/>
      <c r="J78" s="54" t="n"/>
      <c r="K78" s="54" t="n"/>
      <c r="L78" s="55">
        <f>IF(NOT((COUNTA($A78)+COUNTA($C78:$K78)+COUNTA($N78:$O78))&gt;0),"",IFERROR(LOOKUP(2,1/(H78:K78&lt;&gt;""),H78:K78),0))</f>
        <v/>
      </c>
      <c r="M78" s="56">
        <f>IF(L78="","",IF(L78&gt;=1,"Completado",IF(L78&gt;0,"En curso","Pendiente")))</f>
        <v/>
      </c>
      <c r="N78" s="52" t="n"/>
      <c r="O78" s="51" t="n"/>
      <c r="P78" s="57">
        <f>IF(NOT((COUNTA($A78)+COUNTA($C78:$K78)+COUNTA($N78:$O78))&gt;0),"",IF((IF(A78="","Falta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 OK","⚠ "&amp;LEFT(IF(A78="","Falta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",""),LEN(IF(A78="","Falta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",""))-3)))</f>
        <v/>
      </c>
    </row>
    <row r="79">
      <c r="A79" s="49" t="n"/>
      <c r="B79" s="50">
        <f>IF((COUNTA($A79)+COUNTA($C79:$K79)+COUNTA($N79:$O79))&gt;0,"Riesgo Operacional","")</f>
        <v/>
      </c>
      <c r="C79" s="51" t="n"/>
      <c r="D79" s="51" t="n"/>
      <c r="E79" s="52" t="n"/>
      <c r="F79" s="52" t="n"/>
      <c r="G79" s="53" t="n"/>
      <c r="H79" s="54" t="n"/>
      <c r="I79" s="54" t="n"/>
      <c r="J79" s="54" t="n"/>
      <c r="K79" s="54" t="n"/>
      <c r="L79" s="55">
        <f>IF(NOT((COUNTA($A79)+COUNTA($C79:$K79)+COUNTA($N79:$O79))&gt;0),"",IFERROR(LOOKUP(2,1/(H79:K79&lt;&gt;""),H79:K79),0))</f>
        <v/>
      </c>
      <c r="M79" s="56">
        <f>IF(L79="","",IF(L79&gt;=1,"Completado",IF(L79&gt;0,"En curso","Pendiente")))</f>
        <v/>
      </c>
      <c r="N79" s="52" t="n"/>
      <c r="O79" s="51" t="n"/>
      <c r="P79" s="57">
        <f>IF(NOT((COUNTA($A79)+COUNTA($C79:$K79)+COUNTA($N79:$O79))&gt;0),"",IF((IF(A79="","Falta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 OK","⚠ "&amp;LEFT(IF(A79="","Falta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",""),LEN(IF(A79="","Falta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",""))-3)))</f>
        <v/>
      </c>
    </row>
    <row r="80">
      <c r="A80" s="49" t="n"/>
      <c r="B80" s="50">
        <f>IF((COUNTA($A80)+COUNTA($C80:$K80)+COUNTA($N80:$O80))&gt;0,"Riesgo Operacional","")</f>
        <v/>
      </c>
      <c r="C80" s="51" t="n"/>
      <c r="D80" s="51" t="n"/>
      <c r="E80" s="52" t="n"/>
      <c r="F80" s="52" t="n"/>
      <c r="G80" s="53" t="n"/>
      <c r="H80" s="54" t="n"/>
      <c r="I80" s="54" t="n"/>
      <c r="J80" s="54" t="n"/>
      <c r="K80" s="54" t="n"/>
      <c r="L80" s="55">
        <f>IF(NOT((COUNTA($A80)+COUNTA($C80:$K80)+COUNTA($N80:$O80))&gt;0),"",IFERROR(LOOKUP(2,1/(H80:K80&lt;&gt;""),H80:K80),0))</f>
        <v/>
      </c>
      <c r="M80" s="56">
        <f>IF(L80="","",IF(L80&gt;=1,"Completado",IF(L80&gt;0,"En curso","Pendiente")))</f>
        <v/>
      </c>
      <c r="N80" s="52" t="n"/>
      <c r="O80" s="51" t="n"/>
      <c r="P80" s="57">
        <f>IF(NOT((COUNTA($A80)+COUNTA($C80:$K80)+COUNTA($N80:$O80))&gt;0),"",IF((IF(A80="","Falta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 OK","⚠ "&amp;LEFT(IF(A80="","Falta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",""),LEN(IF(A80="","Falta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",""))-3)))</f>
        <v/>
      </c>
    </row>
    <row r="81">
      <c r="A81" s="49" t="n"/>
      <c r="B81" s="50">
        <f>IF((COUNTA($A81)+COUNTA($C81:$K81)+COUNTA($N81:$O81))&gt;0,"Riesgo Operacional","")</f>
        <v/>
      </c>
      <c r="C81" s="51" t="n"/>
      <c r="D81" s="51" t="n"/>
      <c r="E81" s="52" t="n"/>
      <c r="F81" s="52" t="n"/>
      <c r="G81" s="53" t="n"/>
      <c r="H81" s="54" t="n"/>
      <c r="I81" s="54" t="n"/>
      <c r="J81" s="54" t="n"/>
      <c r="K81" s="54" t="n"/>
      <c r="L81" s="55">
        <f>IF(NOT((COUNTA($A81)+COUNTA($C81:$K81)+COUNTA($N81:$O81))&gt;0),"",IFERROR(LOOKUP(2,1/(H81:K81&lt;&gt;""),H81:K81),0))</f>
        <v/>
      </c>
      <c r="M81" s="56">
        <f>IF(L81="","",IF(L81&gt;=1,"Completado",IF(L81&gt;0,"En curso","Pendiente")))</f>
        <v/>
      </c>
      <c r="N81" s="52" t="n"/>
      <c r="O81" s="51" t="n"/>
      <c r="P81" s="57">
        <f>IF(NOT((COUNTA($A81)+COUNTA($C81:$K81)+COUNTA($N81:$O81))&gt;0),"",IF((IF(A81="","Falta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 OK","⚠ "&amp;LEFT(IF(A81="","Falta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",""),LEN(IF(A81="","Falta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",""))-3)))</f>
        <v/>
      </c>
    </row>
    <row r="82">
      <c r="A82" s="49" t="n"/>
      <c r="B82" s="50">
        <f>IF((COUNTA($A82)+COUNTA($C82:$K82)+COUNTA($N82:$O82))&gt;0,"Riesgo Operacional","")</f>
        <v/>
      </c>
      <c r="C82" s="51" t="n"/>
      <c r="D82" s="51" t="n"/>
      <c r="E82" s="52" t="n"/>
      <c r="F82" s="52" t="n"/>
      <c r="G82" s="53" t="n"/>
      <c r="H82" s="54" t="n"/>
      <c r="I82" s="54" t="n"/>
      <c r="J82" s="54" t="n"/>
      <c r="K82" s="54" t="n"/>
      <c r="L82" s="55">
        <f>IF(NOT((COUNTA($A82)+COUNTA($C82:$K82)+COUNTA($N82:$O82))&gt;0),"",IFERROR(LOOKUP(2,1/(H82:K82&lt;&gt;""),H82:K82),0))</f>
        <v/>
      </c>
      <c r="M82" s="56">
        <f>IF(L82="","",IF(L82&gt;=1,"Completado",IF(L82&gt;0,"En curso","Pendiente")))</f>
        <v/>
      </c>
      <c r="N82" s="52" t="n"/>
      <c r="O82" s="51" t="n"/>
      <c r="P82" s="57">
        <f>IF(NOT((COUNTA($A82)+COUNTA($C82:$K82)+COUNTA($N82:$O82))&gt;0),"",IF((IF(A82="","Falta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 OK","⚠ "&amp;LEFT(IF(A82="","Falta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",""),LEN(IF(A82="","Falta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",""))-3)))</f>
        <v/>
      </c>
    </row>
    <row r="83">
      <c r="A83" s="49" t="n"/>
      <c r="B83" s="50">
        <f>IF((COUNTA($A83)+COUNTA($C83:$K83)+COUNTA($N83:$O83))&gt;0,"Riesgo Operacional","")</f>
        <v/>
      </c>
      <c r="C83" s="51" t="n"/>
      <c r="D83" s="51" t="n"/>
      <c r="E83" s="52" t="n"/>
      <c r="F83" s="52" t="n"/>
      <c r="G83" s="53" t="n"/>
      <c r="H83" s="54" t="n"/>
      <c r="I83" s="54" t="n"/>
      <c r="J83" s="54" t="n"/>
      <c r="K83" s="54" t="n"/>
      <c r="L83" s="55">
        <f>IF(NOT((COUNTA($A83)+COUNTA($C83:$K83)+COUNTA($N83:$O83))&gt;0),"",IFERROR(LOOKUP(2,1/(H83:K83&lt;&gt;""),H83:K83),0))</f>
        <v/>
      </c>
      <c r="M83" s="56">
        <f>IF(L83="","",IF(L83&gt;=1,"Completado",IF(L83&gt;0,"En curso","Pendiente")))</f>
        <v/>
      </c>
      <c r="N83" s="52" t="n"/>
      <c r="O83" s="51" t="n"/>
      <c r="P83" s="57">
        <f>IF(NOT((COUNTA($A83)+COUNTA($C83:$K83)+COUNTA($N83:$O83))&gt;0),"",IF((IF(A83="","Falta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 OK","⚠ "&amp;LEFT(IF(A83="","Falta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",""),LEN(IF(A83="","Falta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",""))-3)))</f>
        <v/>
      </c>
    </row>
    <row r="84">
      <c r="A84" s="49" t="n"/>
      <c r="B84" s="50">
        <f>IF((COUNTA($A84)+COUNTA($C84:$K84)+COUNTA($N84:$O84))&gt;0,"Riesgo Operacional","")</f>
        <v/>
      </c>
      <c r="C84" s="51" t="n"/>
      <c r="D84" s="51" t="n"/>
      <c r="E84" s="52" t="n"/>
      <c r="F84" s="52" t="n"/>
      <c r="G84" s="53" t="n"/>
      <c r="H84" s="54" t="n"/>
      <c r="I84" s="54" t="n"/>
      <c r="J84" s="54" t="n"/>
      <c r="K84" s="54" t="n"/>
      <c r="L84" s="55">
        <f>IF(NOT((COUNTA($A84)+COUNTA($C84:$K84)+COUNTA($N84:$O84))&gt;0),"",IFERROR(LOOKUP(2,1/(H84:K84&lt;&gt;""),H84:K84),0))</f>
        <v/>
      </c>
      <c r="M84" s="56">
        <f>IF(L84="","",IF(L84&gt;=1,"Completado",IF(L84&gt;0,"En curso","Pendiente")))</f>
        <v/>
      </c>
      <c r="N84" s="52" t="n"/>
      <c r="O84" s="51" t="n"/>
      <c r="P84" s="57">
        <f>IF(NOT((COUNTA($A84)+COUNTA($C84:$K84)+COUNTA($N84:$O84))&gt;0),"",IF((IF(A84="","Falta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 OK","⚠ "&amp;LEFT(IF(A84="","Falta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",""),LEN(IF(A84="","Falta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",""))-3)))</f>
        <v/>
      </c>
    </row>
    <row r="85">
      <c r="A85" s="49" t="n"/>
      <c r="B85" s="50">
        <f>IF((COUNTA($A85)+COUNTA($C85:$K85)+COUNTA($N85:$O85))&gt;0,"Riesgo Operacional","")</f>
        <v/>
      </c>
      <c r="C85" s="51" t="n"/>
      <c r="D85" s="51" t="n"/>
      <c r="E85" s="52" t="n"/>
      <c r="F85" s="52" t="n"/>
      <c r="G85" s="53" t="n"/>
      <c r="H85" s="54" t="n"/>
      <c r="I85" s="54" t="n"/>
      <c r="J85" s="54" t="n"/>
      <c r="K85" s="54" t="n"/>
      <c r="L85" s="55">
        <f>IF(NOT((COUNTA($A85)+COUNTA($C85:$K85)+COUNTA($N85:$O85))&gt;0),"",IFERROR(LOOKUP(2,1/(H85:K85&lt;&gt;""),H85:K85),0))</f>
        <v/>
      </c>
      <c r="M85" s="56">
        <f>IF(L85="","",IF(L85&gt;=1,"Completado",IF(L85&gt;0,"En curso","Pendiente")))</f>
        <v/>
      </c>
      <c r="N85" s="52" t="n"/>
      <c r="O85" s="51" t="n"/>
      <c r="P85" s="57">
        <f>IF(NOT((COUNTA($A85)+COUNTA($C85:$K85)+COUNTA($N85:$O85))&gt;0),"",IF((IF(A85="","Falta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 OK","⚠ "&amp;LEFT(IF(A85="","Falta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",""),LEN(IF(A85="","Falta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",""))-3)))</f>
        <v/>
      </c>
    </row>
    <row r="86">
      <c r="A86" s="49" t="n"/>
      <c r="B86" s="50">
        <f>IF((COUNTA($A86)+COUNTA($C86:$K86)+COUNTA($N86:$O86))&gt;0,"Riesgo Operacional","")</f>
        <v/>
      </c>
      <c r="C86" s="51" t="n"/>
      <c r="D86" s="51" t="n"/>
      <c r="E86" s="52" t="n"/>
      <c r="F86" s="52" t="n"/>
      <c r="G86" s="53" t="n"/>
      <c r="H86" s="54" t="n"/>
      <c r="I86" s="54" t="n"/>
      <c r="J86" s="54" t="n"/>
      <c r="K86" s="54" t="n"/>
      <c r="L86" s="55">
        <f>IF(NOT((COUNTA($A86)+COUNTA($C86:$K86)+COUNTA($N86:$O86))&gt;0),"",IFERROR(LOOKUP(2,1/(H86:K86&lt;&gt;""),H86:K86),0))</f>
        <v/>
      </c>
      <c r="M86" s="56">
        <f>IF(L86="","",IF(L86&gt;=1,"Completado",IF(L86&gt;0,"En curso","Pendiente")))</f>
        <v/>
      </c>
      <c r="N86" s="52" t="n"/>
      <c r="O86" s="51" t="n"/>
      <c r="P86" s="57">
        <f>IF(NOT((COUNTA($A86)+COUNTA($C86:$K86)+COUNTA($N86:$O86))&gt;0),"",IF((IF(A86="","Falta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 OK","⚠ "&amp;LEFT(IF(A86="","Falta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",""),LEN(IF(A86="","Falta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",""))-3)))</f>
        <v/>
      </c>
    </row>
    <row r="87">
      <c r="A87" s="49" t="n"/>
      <c r="B87" s="50">
        <f>IF((COUNTA($A87)+COUNTA($C87:$K87)+COUNTA($N87:$O87))&gt;0,"Riesgo Operacional","")</f>
        <v/>
      </c>
      <c r="C87" s="51" t="n"/>
      <c r="D87" s="51" t="n"/>
      <c r="E87" s="52" t="n"/>
      <c r="F87" s="52" t="n"/>
      <c r="G87" s="53" t="n"/>
      <c r="H87" s="54" t="n"/>
      <c r="I87" s="54" t="n"/>
      <c r="J87" s="54" t="n"/>
      <c r="K87" s="54" t="n"/>
      <c r="L87" s="55">
        <f>IF(NOT((COUNTA($A87)+COUNTA($C87:$K87)+COUNTA($N87:$O87))&gt;0),"",IFERROR(LOOKUP(2,1/(H87:K87&lt;&gt;""),H87:K87),0))</f>
        <v/>
      </c>
      <c r="M87" s="56">
        <f>IF(L87="","",IF(L87&gt;=1,"Completado",IF(L87&gt;0,"En curso","Pendiente")))</f>
        <v/>
      </c>
      <c r="N87" s="52" t="n"/>
      <c r="O87" s="51" t="n"/>
      <c r="P87" s="57">
        <f>IF(NOT((COUNTA($A87)+COUNTA($C87:$K87)+COUNTA($N87:$O87))&gt;0),"",IF((IF(A87="","Falta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 OK","⚠ "&amp;LEFT(IF(A87="","Falta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",""),LEN(IF(A87="","Falta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",""))-3)))</f>
        <v/>
      </c>
    </row>
    <row r="88">
      <c r="A88" s="49" t="n"/>
      <c r="B88" s="50">
        <f>IF((COUNTA($A88)+COUNTA($C88:$K88)+COUNTA($N88:$O88))&gt;0,"Riesgo Operacional","")</f>
        <v/>
      </c>
      <c r="C88" s="51" t="n"/>
      <c r="D88" s="51" t="n"/>
      <c r="E88" s="52" t="n"/>
      <c r="F88" s="52" t="n"/>
      <c r="G88" s="53" t="n"/>
      <c r="H88" s="54" t="n"/>
      <c r="I88" s="54" t="n"/>
      <c r="J88" s="54" t="n"/>
      <c r="K88" s="54" t="n"/>
      <c r="L88" s="55">
        <f>IF(NOT((COUNTA($A88)+COUNTA($C88:$K88)+COUNTA($N88:$O88))&gt;0),"",IFERROR(LOOKUP(2,1/(H88:K88&lt;&gt;""),H88:K88),0))</f>
        <v/>
      </c>
      <c r="M88" s="56">
        <f>IF(L88="","",IF(L88&gt;=1,"Completado",IF(L88&gt;0,"En curso","Pendiente")))</f>
        <v/>
      </c>
      <c r="N88" s="52" t="n"/>
      <c r="O88" s="51" t="n"/>
      <c r="P88" s="57">
        <f>IF(NOT((COUNTA($A88)+COUNTA($C88:$K88)+COUNTA($N88:$O88))&gt;0),"",IF((IF(A88="","Falta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 OK","⚠ "&amp;LEFT(IF(A88="","Falta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",""),LEN(IF(A88="","Falta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",""))-3)))</f>
        <v/>
      </c>
    </row>
    <row r="89">
      <c r="A89" s="49" t="n"/>
      <c r="B89" s="50">
        <f>IF((COUNTA($A89)+COUNTA($C89:$K89)+COUNTA($N89:$O89))&gt;0,"Riesgo Operacional","")</f>
        <v/>
      </c>
      <c r="C89" s="51" t="n"/>
      <c r="D89" s="51" t="n"/>
      <c r="E89" s="52" t="n"/>
      <c r="F89" s="52" t="n"/>
      <c r="G89" s="53" t="n"/>
      <c r="H89" s="54" t="n"/>
      <c r="I89" s="54" t="n"/>
      <c r="J89" s="54" t="n"/>
      <c r="K89" s="54" t="n"/>
      <c r="L89" s="55">
        <f>IF(NOT((COUNTA($A89)+COUNTA($C89:$K89)+COUNTA($N89:$O89))&gt;0),"",IFERROR(LOOKUP(2,1/(H89:K89&lt;&gt;""),H89:K89),0))</f>
        <v/>
      </c>
      <c r="M89" s="56">
        <f>IF(L89="","",IF(L89&gt;=1,"Completado",IF(L89&gt;0,"En curso","Pendiente")))</f>
        <v/>
      </c>
      <c r="N89" s="52" t="n"/>
      <c r="O89" s="51" t="n"/>
      <c r="P89" s="57">
        <f>IF(NOT((COUNTA($A89)+COUNTA($C89:$K89)+COUNTA($N89:$O89))&gt;0),"",IF((IF(A89="","Falta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 OK","⚠ "&amp;LEFT(IF(A89="","Falta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",""),LEN(IF(A89="","Falta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",""))-3)))</f>
        <v/>
      </c>
    </row>
    <row r="90">
      <c r="A90" s="49" t="n"/>
      <c r="B90" s="50">
        <f>IF((COUNTA($A90)+COUNTA($C90:$K90)+COUNTA($N90:$O90))&gt;0,"Riesgo Operacional","")</f>
        <v/>
      </c>
      <c r="C90" s="51" t="n"/>
      <c r="D90" s="51" t="n"/>
      <c r="E90" s="52" t="n"/>
      <c r="F90" s="52" t="n"/>
      <c r="G90" s="53" t="n"/>
      <c r="H90" s="54" t="n"/>
      <c r="I90" s="54" t="n"/>
      <c r="J90" s="54" t="n"/>
      <c r="K90" s="54" t="n"/>
      <c r="L90" s="55">
        <f>IF(NOT((COUNTA($A90)+COUNTA($C90:$K90)+COUNTA($N90:$O90))&gt;0),"",IFERROR(LOOKUP(2,1/(H90:K90&lt;&gt;""),H90:K90),0))</f>
        <v/>
      </c>
      <c r="M90" s="56">
        <f>IF(L90="","",IF(L90&gt;=1,"Completado",IF(L90&gt;0,"En curso","Pendiente")))</f>
        <v/>
      </c>
      <c r="N90" s="52" t="n"/>
      <c r="O90" s="51" t="n"/>
      <c r="P90" s="57">
        <f>IF(NOT((COUNTA($A90)+COUNTA($C90:$K90)+COUNTA($N90:$O90))&gt;0),"",IF((IF(A90="","Falta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 OK","⚠ "&amp;LEFT(IF(A90="","Falta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",""),LEN(IF(A90="","Falta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",""))-3)))</f>
        <v/>
      </c>
    </row>
    <row r="91">
      <c r="A91" s="49" t="n"/>
      <c r="B91" s="50">
        <f>IF((COUNTA($A91)+COUNTA($C91:$K91)+COUNTA($N91:$O91))&gt;0,"Riesgo Operacional","")</f>
        <v/>
      </c>
      <c r="C91" s="51" t="n"/>
      <c r="D91" s="51" t="n"/>
      <c r="E91" s="52" t="n"/>
      <c r="F91" s="52" t="n"/>
      <c r="G91" s="53" t="n"/>
      <c r="H91" s="54" t="n"/>
      <c r="I91" s="54" t="n"/>
      <c r="J91" s="54" t="n"/>
      <c r="K91" s="54" t="n"/>
      <c r="L91" s="55">
        <f>IF(NOT((COUNTA($A91)+COUNTA($C91:$K91)+COUNTA($N91:$O91))&gt;0),"",IFERROR(LOOKUP(2,1/(H91:K91&lt;&gt;""),H91:K91),0))</f>
        <v/>
      </c>
      <c r="M91" s="56">
        <f>IF(L91="","",IF(L91&gt;=1,"Completado",IF(L91&gt;0,"En curso","Pendiente")))</f>
        <v/>
      </c>
      <c r="N91" s="52" t="n"/>
      <c r="O91" s="51" t="n"/>
      <c r="P91" s="57">
        <f>IF(NOT((COUNTA($A91)+COUNTA($C91:$K91)+COUNTA($N91:$O91))&gt;0),"",IF((IF(A91="","Falta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 OK","⚠ "&amp;LEFT(IF(A91="","Falta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",""),LEN(IF(A91="","Falta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",""))-3)))</f>
        <v/>
      </c>
    </row>
    <row r="92">
      <c r="A92" s="49" t="n"/>
      <c r="B92" s="50">
        <f>IF((COUNTA($A92)+COUNTA($C92:$K92)+COUNTA($N92:$O92))&gt;0,"Riesgo Operacional","")</f>
        <v/>
      </c>
      <c r="C92" s="51" t="n"/>
      <c r="D92" s="51" t="n"/>
      <c r="E92" s="52" t="n"/>
      <c r="F92" s="52" t="n"/>
      <c r="G92" s="53" t="n"/>
      <c r="H92" s="54" t="n"/>
      <c r="I92" s="54" t="n"/>
      <c r="J92" s="54" t="n"/>
      <c r="K92" s="54" t="n"/>
      <c r="L92" s="55">
        <f>IF(NOT((COUNTA($A92)+COUNTA($C92:$K92)+COUNTA($N92:$O92))&gt;0),"",IFERROR(LOOKUP(2,1/(H92:K92&lt;&gt;""),H92:K92),0))</f>
        <v/>
      </c>
      <c r="M92" s="56">
        <f>IF(L92="","",IF(L92&gt;=1,"Completado",IF(L92&gt;0,"En curso","Pendiente")))</f>
        <v/>
      </c>
      <c r="N92" s="52" t="n"/>
      <c r="O92" s="51" t="n"/>
      <c r="P92" s="57">
        <f>IF(NOT((COUNTA($A92)+COUNTA($C92:$K92)+COUNTA($N92:$O92))&gt;0),"",IF((IF(A92="","Falta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 OK","⚠ "&amp;LEFT(IF(A92="","Falta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",""),LEN(IF(A92="","Falta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",""))-3)))</f>
        <v/>
      </c>
    </row>
    <row r="93">
      <c r="A93" s="49" t="n"/>
      <c r="B93" s="50">
        <f>IF((COUNTA($A93)+COUNTA($C93:$K93)+COUNTA($N93:$O93))&gt;0,"Riesgo Operacional","")</f>
        <v/>
      </c>
      <c r="C93" s="51" t="n"/>
      <c r="D93" s="51" t="n"/>
      <c r="E93" s="52" t="n"/>
      <c r="F93" s="52" t="n"/>
      <c r="G93" s="53" t="n"/>
      <c r="H93" s="54" t="n"/>
      <c r="I93" s="54" t="n"/>
      <c r="J93" s="54" t="n"/>
      <c r="K93" s="54" t="n"/>
      <c r="L93" s="55">
        <f>IF(NOT((COUNTA($A93)+COUNTA($C93:$K93)+COUNTA($N93:$O93))&gt;0),"",IFERROR(LOOKUP(2,1/(H93:K93&lt;&gt;""),H93:K93),0))</f>
        <v/>
      </c>
      <c r="M93" s="56">
        <f>IF(L93="","",IF(L93&gt;=1,"Completado",IF(L93&gt;0,"En curso","Pendiente")))</f>
        <v/>
      </c>
      <c r="N93" s="52" t="n"/>
      <c r="O93" s="51" t="n"/>
      <c r="P93" s="57">
        <f>IF(NOT((COUNTA($A93)+COUNTA($C93:$K93)+COUNTA($N93:$O93))&gt;0),"",IF((IF(A93="","Falta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 OK","⚠ "&amp;LEFT(IF(A93="","Falta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",""),LEN(IF(A93="","Falta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",""))-3)))</f>
        <v/>
      </c>
    </row>
    <row r="94">
      <c r="A94" s="49" t="n"/>
      <c r="B94" s="50">
        <f>IF((COUNTA($A94)+COUNTA($C94:$K94)+COUNTA($N94:$O94))&gt;0,"Riesgo Operacional","")</f>
        <v/>
      </c>
      <c r="C94" s="51" t="n"/>
      <c r="D94" s="51" t="n"/>
      <c r="E94" s="52" t="n"/>
      <c r="F94" s="52" t="n"/>
      <c r="G94" s="53" t="n"/>
      <c r="H94" s="54" t="n"/>
      <c r="I94" s="54" t="n"/>
      <c r="J94" s="54" t="n"/>
      <c r="K94" s="54" t="n"/>
      <c r="L94" s="55">
        <f>IF(NOT((COUNTA($A94)+COUNTA($C94:$K94)+COUNTA($N94:$O94))&gt;0),"",IFERROR(LOOKUP(2,1/(H94:K94&lt;&gt;""),H94:K94),0))</f>
        <v/>
      </c>
      <c r="M94" s="56">
        <f>IF(L94="","",IF(L94&gt;=1,"Completado",IF(L94&gt;0,"En curso","Pendiente")))</f>
        <v/>
      </c>
      <c r="N94" s="52" t="n"/>
      <c r="O94" s="51" t="n"/>
      <c r="P94" s="57">
        <f>IF(NOT((COUNTA($A94)+COUNTA($C94:$K94)+COUNTA($N94:$O94))&gt;0),"",IF((IF(A94="","Falta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 OK","⚠ "&amp;LEFT(IF(A94="","Falta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",""),LEN(IF(A94="","Falta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",""))-3)))</f>
        <v/>
      </c>
    </row>
    <row r="95">
      <c r="A95" s="49" t="n"/>
      <c r="B95" s="50">
        <f>IF((COUNTA($A95)+COUNTA($C95:$K95)+COUNTA($N95:$O95))&gt;0,"Riesgo Operacional","")</f>
        <v/>
      </c>
      <c r="C95" s="51" t="n"/>
      <c r="D95" s="51" t="n"/>
      <c r="E95" s="52" t="n"/>
      <c r="F95" s="52" t="n"/>
      <c r="G95" s="53" t="n"/>
      <c r="H95" s="54" t="n"/>
      <c r="I95" s="54" t="n"/>
      <c r="J95" s="54" t="n"/>
      <c r="K95" s="54" t="n"/>
      <c r="L95" s="55">
        <f>IF(NOT((COUNTA($A95)+COUNTA($C95:$K95)+COUNTA($N95:$O95))&gt;0),"",IFERROR(LOOKUP(2,1/(H95:K95&lt;&gt;""),H95:K95),0))</f>
        <v/>
      </c>
      <c r="M95" s="56">
        <f>IF(L95="","",IF(L95&gt;=1,"Completado",IF(L95&gt;0,"En curso","Pendiente")))</f>
        <v/>
      </c>
      <c r="N95" s="52" t="n"/>
      <c r="O95" s="51" t="n"/>
      <c r="P95" s="57">
        <f>IF(NOT((COUNTA($A95)+COUNTA($C95:$K95)+COUNTA($N95:$O95))&gt;0),"",IF((IF(A95="","Falta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 OK","⚠ "&amp;LEFT(IF(A95="","Falta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",""),LEN(IF(A95="","Falta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",""))-3)))</f>
        <v/>
      </c>
    </row>
    <row r="96">
      <c r="A96" s="49" t="n"/>
      <c r="B96" s="50">
        <f>IF((COUNTA($A96)+COUNTA($C96:$K96)+COUNTA($N96:$O96))&gt;0,"Riesgo Operacional","")</f>
        <v/>
      </c>
      <c r="C96" s="51" t="n"/>
      <c r="D96" s="51" t="n"/>
      <c r="E96" s="52" t="n"/>
      <c r="F96" s="52" t="n"/>
      <c r="G96" s="53" t="n"/>
      <c r="H96" s="54" t="n"/>
      <c r="I96" s="54" t="n"/>
      <c r="J96" s="54" t="n"/>
      <c r="K96" s="54" t="n"/>
      <c r="L96" s="55">
        <f>IF(NOT((COUNTA($A96)+COUNTA($C96:$K96)+COUNTA($N96:$O96))&gt;0),"",IFERROR(LOOKUP(2,1/(H96:K96&lt;&gt;""),H96:K96),0))</f>
        <v/>
      </c>
      <c r="M96" s="56">
        <f>IF(L96="","",IF(L96&gt;=1,"Completado",IF(L96&gt;0,"En curso","Pendiente")))</f>
        <v/>
      </c>
      <c r="N96" s="52" t="n"/>
      <c r="O96" s="51" t="n"/>
      <c r="P96" s="57">
        <f>IF(NOT((COUNTA($A96)+COUNTA($C96:$K96)+COUNTA($N96:$O96))&gt;0),"",IF((IF(A96="","Falta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 OK","⚠ "&amp;LEFT(IF(A96="","Falta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",""),LEN(IF(A96="","Falta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",""))-3)))</f>
        <v/>
      </c>
    </row>
    <row r="97">
      <c r="A97" s="49" t="n"/>
      <c r="B97" s="50">
        <f>IF((COUNTA($A97)+COUNTA($C97:$K97)+COUNTA($N97:$O97))&gt;0,"Riesgo Operacional","")</f>
        <v/>
      </c>
      <c r="C97" s="51" t="n"/>
      <c r="D97" s="51" t="n"/>
      <c r="E97" s="52" t="n"/>
      <c r="F97" s="52" t="n"/>
      <c r="G97" s="53" t="n"/>
      <c r="H97" s="54" t="n"/>
      <c r="I97" s="54" t="n"/>
      <c r="J97" s="54" t="n"/>
      <c r="K97" s="54" t="n"/>
      <c r="L97" s="55">
        <f>IF(NOT((COUNTA($A97)+COUNTA($C97:$K97)+COUNTA($N97:$O97))&gt;0),"",IFERROR(LOOKUP(2,1/(H97:K97&lt;&gt;""),H97:K97),0))</f>
        <v/>
      </c>
      <c r="M97" s="56">
        <f>IF(L97="","",IF(L97&gt;=1,"Completado",IF(L97&gt;0,"En curso","Pendiente")))</f>
        <v/>
      </c>
      <c r="N97" s="52" t="n"/>
      <c r="O97" s="51" t="n"/>
      <c r="P97" s="57">
        <f>IF(NOT((COUNTA($A97)+COUNTA($C97:$K97)+COUNTA($N97:$O97))&gt;0),"",IF((IF(A97="","Falta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 OK","⚠ "&amp;LEFT(IF(A97="","Falta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",""),LEN(IF(A97="","Falta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",""))-3)))</f>
        <v/>
      </c>
    </row>
    <row r="98">
      <c r="A98" s="49" t="n"/>
      <c r="B98" s="50">
        <f>IF((COUNTA($A98)+COUNTA($C98:$K98)+COUNTA($N98:$O98))&gt;0,"Riesgo Operacional","")</f>
        <v/>
      </c>
      <c r="C98" s="51" t="n"/>
      <c r="D98" s="51" t="n"/>
      <c r="E98" s="52" t="n"/>
      <c r="F98" s="52" t="n"/>
      <c r="G98" s="53" t="n"/>
      <c r="H98" s="54" t="n"/>
      <c r="I98" s="54" t="n"/>
      <c r="J98" s="54" t="n"/>
      <c r="K98" s="54" t="n"/>
      <c r="L98" s="55">
        <f>IF(NOT((COUNTA($A98)+COUNTA($C98:$K98)+COUNTA($N98:$O98))&gt;0),"",IFERROR(LOOKUP(2,1/(H98:K98&lt;&gt;""),H98:K98),0))</f>
        <v/>
      </c>
      <c r="M98" s="56">
        <f>IF(L98="","",IF(L98&gt;=1,"Completado",IF(L98&gt;0,"En curso","Pendiente")))</f>
        <v/>
      </c>
      <c r="N98" s="52" t="n"/>
      <c r="O98" s="51" t="n"/>
      <c r="P98" s="57">
        <f>IF(NOT((COUNTA($A98)+COUNTA($C98:$K98)+COUNTA($N98:$O98))&gt;0),"",IF((IF(A98="","Falta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 OK","⚠ "&amp;LEFT(IF(A98="","Falta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",""),LEN(IF(A98="","Falta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",""))-3)))</f>
        <v/>
      </c>
    </row>
    <row r="99">
      <c r="A99" s="49" t="n"/>
      <c r="B99" s="50">
        <f>IF((COUNTA($A99)+COUNTA($C99:$K99)+COUNTA($N99:$O99))&gt;0,"Riesgo Operacional","")</f>
        <v/>
      </c>
      <c r="C99" s="51" t="n"/>
      <c r="D99" s="51" t="n"/>
      <c r="E99" s="52" t="n"/>
      <c r="F99" s="52" t="n"/>
      <c r="G99" s="53" t="n"/>
      <c r="H99" s="54" t="n"/>
      <c r="I99" s="54" t="n"/>
      <c r="J99" s="54" t="n"/>
      <c r="K99" s="54" t="n"/>
      <c r="L99" s="55">
        <f>IF(NOT((COUNTA($A99)+COUNTA($C99:$K99)+COUNTA($N99:$O99))&gt;0),"",IFERROR(LOOKUP(2,1/(H99:K99&lt;&gt;""),H99:K99),0))</f>
        <v/>
      </c>
      <c r="M99" s="56">
        <f>IF(L99="","",IF(L99&gt;=1,"Completado",IF(L99&gt;0,"En curso","Pendiente")))</f>
        <v/>
      </c>
      <c r="N99" s="52" t="n"/>
      <c r="O99" s="51" t="n"/>
      <c r="P99" s="57">
        <f>IF(NOT((COUNTA($A99)+COUNTA($C99:$K99)+COUNTA($N99:$O99))&gt;0),"",IF((IF(A99="","Falta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 OK","⚠ "&amp;LEFT(IF(A99="","Falta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",""),LEN(IF(A99="","Falta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",""))-3)))</f>
        <v/>
      </c>
    </row>
    <row r="100">
      <c r="A100" s="49" t="n"/>
      <c r="B100" s="50">
        <f>IF((COUNTA($A100)+COUNTA($C100:$K100)+COUNTA($N100:$O100))&gt;0,"Riesgo Operacional","")</f>
        <v/>
      </c>
      <c r="C100" s="51" t="n"/>
      <c r="D100" s="51" t="n"/>
      <c r="E100" s="52" t="n"/>
      <c r="F100" s="52" t="n"/>
      <c r="G100" s="53" t="n"/>
      <c r="H100" s="54" t="n"/>
      <c r="I100" s="54" t="n"/>
      <c r="J100" s="54" t="n"/>
      <c r="K100" s="54" t="n"/>
      <c r="L100" s="55">
        <f>IF(NOT((COUNTA($A100)+COUNTA($C100:$K100)+COUNTA($N100:$O100))&gt;0),"",IFERROR(LOOKUP(2,1/(H100:K100&lt;&gt;""),H100:K100),0))</f>
        <v/>
      </c>
      <c r="M100" s="56">
        <f>IF(L100="","",IF(L100&gt;=1,"Completado",IF(L100&gt;0,"En curso","Pendiente")))</f>
        <v/>
      </c>
      <c r="N100" s="52" t="n"/>
      <c r="O100" s="51" t="n"/>
      <c r="P100" s="57">
        <f>IF(NOT((COUNTA($A100)+COUNTA($C100:$K100)+COUNTA($N100:$O100))&gt;0),"",IF((IF(A100="","Falta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 OK","⚠ "&amp;LEFT(IF(A100="","Falta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",""),LEN(IF(A100="","Falta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",""))-3)))</f>
        <v/>
      </c>
    </row>
    <row r="101">
      <c r="A101" s="49" t="n"/>
      <c r="B101" s="50">
        <f>IF((COUNTA($A101)+COUNTA($C101:$K101)+COUNTA($N101:$O101))&gt;0,"Riesgo Operacional","")</f>
        <v/>
      </c>
      <c r="C101" s="51" t="n"/>
      <c r="D101" s="51" t="n"/>
      <c r="E101" s="52" t="n"/>
      <c r="F101" s="52" t="n"/>
      <c r="G101" s="53" t="n"/>
      <c r="H101" s="54" t="n"/>
      <c r="I101" s="54" t="n"/>
      <c r="J101" s="54" t="n"/>
      <c r="K101" s="54" t="n"/>
      <c r="L101" s="55">
        <f>IF(NOT((COUNTA($A101)+COUNTA($C101:$K101)+COUNTA($N101:$O101))&gt;0),"",IFERROR(LOOKUP(2,1/(H101:K101&lt;&gt;""),H101:K101),0))</f>
        <v/>
      </c>
      <c r="M101" s="56">
        <f>IF(L101="","",IF(L101&gt;=1,"Completado",IF(L101&gt;0,"En curso","Pendiente")))</f>
        <v/>
      </c>
      <c r="N101" s="52" t="n"/>
      <c r="O101" s="51" t="n"/>
      <c r="P101" s="57">
        <f>IF(NOT((COUNTA($A101)+COUNTA($C101:$K101)+COUNTA($N101:$O101))&gt;0),"",IF((IF(A101="","Falta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 OK","⚠ "&amp;LEFT(IF(A101="","Falta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",""),LEN(IF(A101="","Falta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",""))-3)))</f>
        <v/>
      </c>
    </row>
    <row r="102">
      <c r="A102" s="49" t="n"/>
      <c r="B102" s="50">
        <f>IF((COUNTA($A102)+COUNTA($C102:$K102)+COUNTA($N102:$O102))&gt;0,"Riesgo Operacional","")</f>
        <v/>
      </c>
      <c r="C102" s="51" t="n"/>
      <c r="D102" s="51" t="n"/>
      <c r="E102" s="52" t="n"/>
      <c r="F102" s="52" t="n"/>
      <c r="G102" s="53" t="n"/>
      <c r="H102" s="54" t="n"/>
      <c r="I102" s="54" t="n"/>
      <c r="J102" s="54" t="n"/>
      <c r="K102" s="54" t="n"/>
      <c r="L102" s="55">
        <f>IF(NOT((COUNTA($A102)+COUNTA($C102:$K102)+COUNTA($N102:$O102))&gt;0),"",IFERROR(LOOKUP(2,1/(H102:K102&lt;&gt;""),H102:K102),0))</f>
        <v/>
      </c>
      <c r="M102" s="56">
        <f>IF(L102="","",IF(L102&gt;=1,"Completado",IF(L102&gt;0,"En curso","Pendiente")))</f>
        <v/>
      </c>
      <c r="N102" s="52" t="n"/>
      <c r="O102" s="51" t="n"/>
      <c r="P102" s="57">
        <f>IF(NOT((COUNTA($A102)+COUNTA($C102:$K102)+COUNTA($N102:$O102))&gt;0),"",IF((IF(A102="","Falta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 OK","⚠ "&amp;LEFT(IF(A102="","Falta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",""),LEN(IF(A102="","Falta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",""))-3)))</f>
        <v/>
      </c>
    </row>
    <row r="103">
      <c r="A103" s="49" t="n"/>
      <c r="B103" s="50">
        <f>IF((COUNTA($A103)+COUNTA($C103:$K103)+COUNTA($N103:$O103))&gt;0,"Riesgo Operacional","")</f>
        <v/>
      </c>
      <c r="C103" s="51" t="n"/>
      <c r="D103" s="51" t="n"/>
      <c r="E103" s="52" t="n"/>
      <c r="F103" s="52" t="n"/>
      <c r="G103" s="53" t="n"/>
      <c r="H103" s="54" t="n"/>
      <c r="I103" s="54" t="n"/>
      <c r="J103" s="54" t="n"/>
      <c r="K103" s="54" t="n"/>
      <c r="L103" s="55">
        <f>IF(NOT((COUNTA($A103)+COUNTA($C103:$K103)+COUNTA($N103:$O103))&gt;0),"",IFERROR(LOOKUP(2,1/(H103:K103&lt;&gt;""),H103:K103),0))</f>
        <v/>
      </c>
      <c r="M103" s="56">
        <f>IF(L103="","",IF(L103&gt;=1,"Completado",IF(L103&gt;0,"En curso","Pendiente")))</f>
        <v/>
      </c>
      <c r="N103" s="52" t="n"/>
      <c r="O103" s="51" t="n"/>
      <c r="P103" s="57">
        <f>IF(NOT((COUNTA($A103)+COUNTA($C103:$K103)+COUNTA($N103:$O103))&gt;0),"",IF((IF(A103="","Falta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 OK","⚠ "&amp;LEFT(IF(A103="","Falta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",""),LEN(IF(A103="","Falta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",""))-3)))</f>
        <v/>
      </c>
    </row>
    <row r="104">
      <c r="A104" s="49" t="n"/>
      <c r="B104" s="50">
        <f>IF((COUNTA($A104)+COUNTA($C104:$K104)+COUNTA($N104:$O104))&gt;0,"Riesgo Operacional","")</f>
        <v/>
      </c>
      <c r="C104" s="51" t="n"/>
      <c r="D104" s="51" t="n"/>
      <c r="E104" s="52" t="n"/>
      <c r="F104" s="52" t="n"/>
      <c r="G104" s="53" t="n"/>
      <c r="H104" s="54" t="n"/>
      <c r="I104" s="54" t="n"/>
      <c r="J104" s="54" t="n"/>
      <c r="K104" s="54" t="n"/>
      <c r="L104" s="55">
        <f>IF(NOT((COUNTA($A104)+COUNTA($C104:$K104)+COUNTA($N104:$O104))&gt;0),"",IFERROR(LOOKUP(2,1/(H104:K104&lt;&gt;""),H104:K104),0))</f>
        <v/>
      </c>
      <c r="M104" s="56">
        <f>IF(L104="","",IF(L104&gt;=1,"Completado",IF(L104&gt;0,"En curso","Pendiente")))</f>
        <v/>
      </c>
      <c r="N104" s="52" t="n"/>
      <c r="O104" s="51" t="n"/>
      <c r="P104" s="57">
        <f>IF(NOT((COUNTA($A104)+COUNTA($C104:$K104)+COUNTA($N104:$O104))&gt;0),"",IF((IF(A104="","Falta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 OK","⚠ "&amp;LEFT(IF(A104="","Falta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",""),LEN(IF(A104="","Falta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",""))-3)))</f>
        <v/>
      </c>
    </row>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conditionalFormatting sqref="E3">
    <cfRule type="expression" priority="1" dxfId="1">
      <formula>LEFT($E$3,1)="⚠"</formula>
    </cfRule>
    <cfRule type="expression" priority="2" dxfId="0">
      <formula>LEFT($E$3,1)="✔"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A5:A1000">
    <cfRule type="expression" priority="10" dxfId="6" stopIfTrue="1">
      <formula>AND($A5&lt;&gt;"",(COUNTIF('Cronograma R. Operacional'!$A$5:$A$1000,$A5)+COUNTIF('Cronograma R. Legal y Normativo'!$A$5:$A$1000,$A5)+COUNTIF('Cronograma R. Financiero'!$A$5:$A$1000,$A5)+COUNTIF('Cronograma Asistente Técnico'!$A$5:$A$1000,$A5))&gt;1)</formula>
    </cfRule>
    <cfRule type="expression" priority="11" dxfId="5">
      <formula>AND((COUNTA($A5)+COUNTA($C5:$K5)+COUNTA($N5:$O5))&gt;0,A5="")</formula>
    </cfRule>
  </conditionalFormatting>
  <conditionalFormatting sqref="C5:G1000">
    <cfRule type="expression" priority="12" dxfId="5">
      <formula>AND((COUNTA($A5)+COUNTA($C5:$K5)+COUNTA($N5:$O5))&gt;0,C5="")</formula>
    </cfRule>
  </conditionalFormatting>
  <conditionalFormatting sqref="E5:F1000">
    <cfRule type="expression" priority="13" dxfId="6">
      <formula>AND(ISNUMBER($E5),ISNUMBER($F5),$E5&gt;$F5)</formula>
    </cfRule>
  </conditionalFormatting>
  <conditionalFormatting sqref="G5:G1000">
    <cfRule type="expression" priority="14" dxfId="7">
      <formula>AND((COUNTA($A5)+COUNTA($C5:$K5)+COUNTA($N5:$O5))&gt;0,ABS(SUM($G$5:$G$1000)-1)&gt;0.0001)</formula>
    </cfRule>
  </conditionalFormatting>
  <conditionalFormatting sqref="H5:K1000">
    <cfRule type="expression" priority="15" dxfId="5" stopIfTrue="1">
      <formula>AND(H5&lt;&gt;"",OR(NOT(ISNUMBER(H5)),H5&gt;1,H5&lt;0))</formula>
    </cfRule>
  </conditionalFormatting>
  <conditionalFormatting sqref="I5:K1000">
    <cfRule type="expression" priority="16" dxfId="6">
      <formula>AND(I5&lt;&gt;"",I5&lt;MAX($H5:H5))</formula>
    </cfRule>
  </conditionalFormatting>
  <conditionalFormatting sqref="O5:O1000">
    <cfRule type="expression" priority="17" dxfId="5">
      <formula>AND(EvidenciaObligatoria="Sí",N($L5)&gt;=1,$O5="")</formula>
    </cfRule>
  </conditionalFormatting>
  <conditionalFormatting sqref="P5:P1000">
    <cfRule type="expression" priority="18" dxfId="5">
      <formula>LEFT($P5,1)="⚠"</formula>
    </cfRule>
    <cfRule type="expression" priority="19" dxfId="8">
      <formula>LEFT($P5,1)="✔"</formula>
    </cfRule>
  </conditionalFormatting>
  <dataValidations count="4">
    <dataValidation sqref="E5:E1000 F5:F1000 N5:N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de actividad" prompt="Peso relativo dentro del puesto. La suma de esta hoja debe ser 100%." type="decimal" operator="between">
      <formula1>0</formula1>
      <formula2>1</formula2>
    </dataValidation>
    <dataValidation sqref="H5:K1000" showDropDown="0" showInputMessage="1" showErrorMessage="1" allowBlank="1" errorTitle="Avance no válido" error="Ingrese un porcentaje entre 0% y 100%. Deje la celda vacía si la semana no se ha actualizado." promptTitle="Avance acumulado" prompt="% ACUMULADO al cierre de la semana (no el incremento)." type="decimal" operator="between">
      <formula1>0</formula1>
      <formula2>1</formula2>
    </dataValidation>
    <dataValidation sqref="M5:M1000" showDropDown="0" showInputMessage="1" showErrorMessage="1" allowBlank="1" promptTitle="Estado automático" prompt="Se calcula a partir del % de avance. No se edita manualmente." type="list">
      <formula1>ListaEstados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tabColor rgb="002E75B6"/>
    <outlinePr summaryBelow="1" summaryRight="1"/>
    <pageSetUpPr fitToPage="1"/>
  </sheetPr>
  <dimension ref="A1:K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3" customWidth="1" min="3" max="3"/>
    <col width="24" customWidth="1" min="4" max="4"/>
    <col width="48" customWidth="1" min="5" max="5"/>
    <col width="52" customWidth="1" min="6" max="6"/>
    <col width="18" customWidth="1" min="7" max="7"/>
    <col width="13" customWidth="1" min="8" max="8"/>
    <col width="14" customWidth="1" min="9" max="9"/>
    <col width="30" customWidth="1" min="10" max="10"/>
    <col width="34" customWidth="1" min="11" max="11"/>
  </cols>
  <sheetData>
    <row r="1" ht="28" customHeight="1">
      <c r="A1" s="41" t="inlineStr">
        <is>
          <t>Línea de Tiempo – Hitos y entregables – Riesgo Operacional</t>
        </is>
      </c>
      <c r="B1" s="41" t="n"/>
      <c r="C1" s="41" t="n"/>
      <c r="D1" s="41" t="n"/>
      <c r="E1" s="41" t="n"/>
      <c r="F1" s="41" t="n"/>
      <c r="G1" s="41" t="n"/>
      <c r="H1" s="41" t="n"/>
      <c r="I1" s="41" t="n"/>
      <c r="J1" s="41" t="n"/>
      <c r="K1" s="41" t="n"/>
    </row>
    <row r="2" ht="32" customHeight="1">
      <c r="A2" s="58" t="inlineStr">
        <is>
          <t>Hoja exclusiva de Riesgo Operacional. PROPUESTA INICIAL EDITABLE, sujeta a validación del responsable del puesto; no constituye una obligación institucional aprobada. Puede modificar o agregar hitos (ID, semana, entregable, criterio). Semana 1: diagnóstico y planificación · Semana 2: desarrollo y documentación · Semana 3: validación, análisis y propuestas · Semana 4: cierre y presentación ejecutiva.</t>
        </is>
      </c>
      <c r="B2" s="58" t="n"/>
      <c r="C2" s="58" t="n"/>
      <c r="D2" s="58" t="n"/>
      <c r="E2" s="58" t="n"/>
      <c r="F2" s="58" t="n"/>
      <c r="G2" s="58" t="n"/>
      <c r="H2" s="58" t="n"/>
      <c r="I2" s="58" t="n"/>
      <c r="J2" s="58" t="n"/>
      <c r="K2" s="58" t="n"/>
    </row>
    <row r="3">
      <c r="A3" s="43" t="inlineStr">
        <is>
          <t>Entrada</t>
        </is>
      </c>
      <c r="B3" s="44" t="inlineStr">
        <is>
          <t>Cálculo</t>
        </is>
      </c>
      <c r="C3" s="59" t="inlineStr">
        <is>
          <t>Fecha objetivo propuesta = viernes de la semana según «Fecha de inicio del ciclo» (Configuración); puede escribir otra fecha encima.</t>
        </is>
      </c>
    </row>
    <row r="4" ht="34" customHeight="1">
      <c r="A4" s="48" t="inlineStr">
        <is>
          <t>ID Hito</t>
        </is>
      </c>
      <c r="B4" s="48" t="inlineStr">
        <is>
          <t>Semana</t>
        </is>
      </c>
      <c r="C4" s="48" t="inlineStr">
        <is>
          <t>Fecha objetivo</t>
        </is>
      </c>
      <c r="D4" s="6" t="inlineStr">
        <is>
          <t>Área / Puesto</t>
        </is>
      </c>
      <c r="E4" s="48" t="inlineStr">
        <is>
          <t>Entregable / Hito</t>
        </is>
      </c>
      <c r="F4" s="48" t="inlineStr">
        <is>
          <t>Criterio de aceptación</t>
        </is>
      </c>
      <c r="G4" s="48" t="inlineStr">
        <is>
          <t>Responsable</t>
        </is>
      </c>
      <c r="H4" s="48" t="inlineStr">
        <is>
          <t>Estado</t>
        </is>
      </c>
      <c r="I4" s="48" t="inlineStr">
        <is>
          <t>Fecha real de cumplimiento</t>
        </is>
      </c>
      <c r="J4" s="48" t="inlineStr">
        <is>
          <t>Evidencia / Enlace</t>
        </is>
      </c>
      <c r="K4" s="48" t="inlineStr">
        <is>
          <t>Observaciones</t>
        </is>
      </c>
    </row>
    <row r="5" ht="45" customHeight="1">
      <c r="A5" s="49" t="inlineStr">
        <is>
          <t>H-RO-01</t>
        </is>
      </c>
      <c r="B5" s="49" t="inlineStr">
        <is>
          <t>Semana 1</t>
        </is>
      </c>
      <c r="C5" s="52">
        <f>IF(OR(InicioCiclo="",$B5=""),"",InicioCiclo+7*VALUE(RIGHT($B5,1))-3)</f>
        <v/>
      </c>
      <c r="D5" s="50">
        <f>IF((COUNTA($A5,$B5)+COUNTA($E5:$K5))&gt;0,"Riesgo Operacional","")</f>
        <v/>
      </c>
      <c r="E5" s="51" t="inlineStr">
        <is>
          <t>Diagnóstico inicial: inventario de procesos críticos y revisión de la matriz de riesgo operacional vigente</t>
        </is>
      </c>
      <c r="F5" s="51" t="inlineStr">
        <is>
          <t>Documento con el listado de procesos críticos, fuentes consultadas y brechas identificadas, revisado por el titular del puesto.</t>
        </is>
      </c>
      <c r="G5" s="51" t="inlineStr">
        <is>
          <t>Por asignar</t>
        </is>
      </c>
      <c r="H5" s="49" t="inlineStr">
        <is>
          <t>Pendiente</t>
        </is>
      </c>
      <c r="I5" s="52" t="n"/>
      <c r="J5" s="51" t="n"/>
      <c r="K5" s="51" t="inlineStr">
        <is>
          <t>Propuesta inicial editable – sujeta a validación del responsable.</t>
        </is>
      </c>
    </row>
    <row r="6" ht="45" customHeight="1">
      <c r="A6" s="49" t="inlineStr">
        <is>
          <t>H-RO-02</t>
        </is>
      </c>
      <c r="B6" s="49" t="inlineStr">
        <is>
          <t>Semana 2</t>
        </is>
      </c>
      <c r="C6" s="52">
        <f>IF(OR(InicioCiclo="",$B6=""),"",InicioCiclo+7*VALUE(RIGHT($B6,1))-3)</f>
        <v/>
      </c>
      <c r="D6" s="50">
        <f>IF((COUNTA($A6,$B6)+COUNTA($E6:$K6))&gt;0,"Riesgo Operacional","")</f>
        <v/>
      </c>
      <c r="E6" s="51" t="inlineStr">
        <is>
          <t>Borrador de matriz de riesgo operacional actualizada (eventos, probabilidad, impacto y controles)</t>
        </is>
      </c>
      <c r="F6" s="51" t="inlineStr">
        <is>
          <t>Matriz con proceso, evento de riesgo, probabilidad, impacto, control y dueño para cada proceso crítico del inventario.</t>
        </is>
      </c>
      <c r="G6" s="51" t="inlineStr">
        <is>
          <t>Por asignar</t>
        </is>
      </c>
      <c r="H6" s="49" t="inlineStr">
        <is>
          <t>Pendiente</t>
        </is>
      </c>
      <c r="I6" s="52" t="n"/>
      <c r="J6" s="51" t="n"/>
      <c r="K6" s="51" t="inlineStr">
        <is>
          <t>Propuesta inicial editable – sujeta a validación del responsable.</t>
        </is>
      </c>
    </row>
    <row r="7" ht="45" customHeight="1">
      <c r="A7" s="49" t="inlineStr">
        <is>
          <t>H-RO-03</t>
        </is>
      </c>
      <c r="B7" s="49" t="inlineStr">
        <is>
          <t>Semana 3</t>
        </is>
      </c>
      <c r="C7" s="52">
        <f>IF(OR(InicioCiclo="",$B7=""),"",InicioCiclo+7*VALUE(RIGHT($B7,1))-3)</f>
        <v/>
      </c>
      <c r="D7" s="50">
        <f>IF((COUNTA($A7,$B7)+COUNTA($E7:$K7))&gt;0,"Riesgo Operacional","")</f>
        <v/>
      </c>
      <c r="E7" s="51" t="inlineStr">
        <is>
          <t>Validación de controles con dueños de proceso y propuesta de planes de mitigación</t>
        </is>
      </c>
      <c r="F7" s="51" t="inlineStr">
        <is>
          <t>Planes de mitigación con responsable y fecha para todos los riesgos calificados como altos; validación documentada (acta o correo).</t>
        </is>
      </c>
      <c r="G7" s="51" t="inlineStr">
        <is>
          <t>Por asignar</t>
        </is>
      </c>
      <c r="H7" s="49" t="inlineStr">
        <is>
          <t>Pendiente</t>
        </is>
      </c>
      <c r="I7" s="52" t="n"/>
      <c r="J7" s="51" t="n"/>
      <c r="K7" s="51" t="inlineStr">
        <is>
          <t>Propuesta inicial editable – sujeta a validación del responsable.</t>
        </is>
      </c>
    </row>
    <row r="8" ht="45" customHeight="1">
      <c r="A8" s="49" t="inlineStr">
        <is>
          <t>H-RO-04</t>
        </is>
      </c>
      <c r="B8" s="49" t="inlineStr">
        <is>
          <t>Semana 4</t>
        </is>
      </c>
      <c r="C8" s="52">
        <f>IF(OR(InicioCiclo="",$B8=""),"",InicioCiclo+7*VALUE(RIGHT($B8,1))-3)</f>
        <v/>
      </c>
      <c r="D8" s="50">
        <f>IF((COUNTA($A8,$B8)+COUNTA($E8:$K8))&gt;0,"Riesgo Operacional","")</f>
        <v/>
      </c>
      <c r="E8" s="51" t="inlineStr">
        <is>
          <t>Informe final de riesgo operacional y presentación ejecutiva</t>
        </is>
      </c>
      <c r="F8" s="51" t="inlineStr">
        <is>
          <t>Informe y presentación entregados en la reunión de cierre y con conformidad registrada de la jefatura.</t>
        </is>
      </c>
      <c r="G8" s="51" t="inlineStr">
        <is>
          <t>Por asignar</t>
        </is>
      </c>
      <c r="H8" s="49" t="inlineStr">
        <is>
          <t>Pendiente</t>
        </is>
      </c>
      <c r="I8" s="52" t="n"/>
      <c r="J8" s="51" t="n"/>
      <c r="K8" s="51" t="inlineStr">
        <is>
          <t>Propuesta inicial editable – sujeta a validación del responsable.</t>
        </is>
      </c>
    </row>
    <row r="9">
      <c r="A9" s="49" t="n"/>
      <c r="B9" s="49" t="n"/>
      <c r="C9" s="52">
        <f>IF(OR(InicioCiclo="",$B9=""),"",InicioCiclo+7*VALUE(RIGHT($B9,1))-3)</f>
        <v/>
      </c>
      <c r="D9" s="50">
        <f>IF((COUNTA($A9,$B9)+COUNTA($E9:$K9))&gt;0,"Riesgo Operacional","")</f>
        <v/>
      </c>
      <c r="E9" s="51" t="n"/>
      <c r="F9" s="51" t="n"/>
      <c r="G9" s="51" t="n"/>
      <c r="H9" s="49" t="n"/>
      <c r="I9" s="52" t="n"/>
      <c r="J9" s="51" t="n"/>
      <c r="K9" s="51" t="n"/>
    </row>
    <row r="10">
      <c r="A10" s="49" t="n"/>
      <c r="B10" s="49" t="n"/>
      <c r="C10" s="52">
        <f>IF(OR(InicioCiclo="",$B10=""),"",InicioCiclo+7*VALUE(RIGHT($B10,1))-3)</f>
        <v/>
      </c>
      <c r="D10" s="50">
        <f>IF((COUNTA($A10,$B10)+COUNTA($E10:$K10))&gt;0,"Riesgo Operacional","")</f>
        <v/>
      </c>
      <c r="E10" s="51" t="n"/>
      <c r="F10" s="51" t="n"/>
      <c r="G10" s="51" t="n"/>
      <c r="H10" s="49" t="n"/>
      <c r="I10" s="52" t="n"/>
      <c r="J10" s="51" t="n"/>
      <c r="K10" s="51" t="n"/>
    </row>
    <row r="11">
      <c r="A11" s="49" t="n"/>
      <c r="B11" s="49" t="n"/>
      <c r="C11" s="52">
        <f>IF(OR(InicioCiclo="",$B11=""),"",InicioCiclo+7*VALUE(RIGHT($B11,1))-3)</f>
        <v/>
      </c>
      <c r="D11" s="50">
        <f>IF((COUNTA($A11,$B11)+COUNTA($E11:$K11))&gt;0,"Riesgo Operacional","")</f>
        <v/>
      </c>
      <c r="E11" s="51" t="n"/>
      <c r="F11" s="51" t="n"/>
      <c r="G11" s="51" t="n"/>
      <c r="H11" s="49" t="n"/>
      <c r="I11" s="52" t="n"/>
      <c r="J11" s="51" t="n"/>
      <c r="K11" s="51" t="n"/>
    </row>
    <row r="12">
      <c r="A12" s="49" t="n"/>
      <c r="B12" s="49" t="n"/>
      <c r="C12" s="52">
        <f>IF(OR(InicioCiclo="",$B12=""),"",InicioCiclo+7*VALUE(RIGHT($B12,1))-3)</f>
        <v/>
      </c>
      <c r="D12" s="50">
        <f>IF((COUNTA($A12,$B12)+COUNTA($E12:$K12))&gt;0,"Riesgo Operacional","")</f>
        <v/>
      </c>
      <c r="E12" s="51" t="n"/>
      <c r="F12" s="51" t="n"/>
      <c r="G12" s="51" t="n"/>
      <c r="H12" s="49" t="n"/>
      <c r="I12" s="52" t="n"/>
      <c r="J12" s="51" t="n"/>
      <c r="K12" s="51" t="n"/>
    </row>
    <row r="13">
      <c r="A13" s="49" t="n"/>
      <c r="B13" s="49" t="n"/>
      <c r="C13" s="52">
        <f>IF(OR(InicioCiclo="",$B13=""),"",InicioCiclo+7*VALUE(RIGHT($B13,1))-3)</f>
        <v/>
      </c>
      <c r="D13" s="50">
        <f>IF((COUNTA($A13,$B13)+COUNTA($E13:$K13))&gt;0,"Riesgo Operacional","")</f>
        <v/>
      </c>
      <c r="E13" s="51" t="n"/>
      <c r="F13" s="51" t="n"/>
      <c r="G13" s="51" t="n"/>
      <c r="H13" s="49" t="n"/>
      <c r="I13" s="52" t="n"/>
      <c r="J13" s="51" t="n"/>
      <c r="K13" s="51" t="n"/>
    </row>
    <row r="14">
      <c r="A14" s="49" t="n"/>
      <c r="B14" s="49" t="n"/>
      <c r="C14" s="52">
        <f>IF(OR(InicioCiclo="",$B14=""),"",InicioCiclo+7*VALUE(RIGHT($B14,1))-3)</f>
        <v/>
      </c>
      <c r="D14" s="50">
        <f>IF((COUNTA($A14,$B14)+COUNTA($E14:$K14))&gt;0,"Riesgo Operacional","")</f>
        <v/>
      </c>
      <c r="E14" s="51" t="n"/>
      <c r="F14" s="51" t="n"/>
      <c r="G14" s="51" t="n"/>
      <c r="H14" s="49" t="n"/>
      <c r="I14" s="52" t="n"/>
      <c r="J14" s="51" t="n"/>
      <c r="K14" s="51" t="n"/>
    </row>
    <row r="15">
      <c r="A15" s="49" t="n"/>
      <c r="B15" s="49" t="n"/>
      <c r="C15" s="52">
        <f>IF(OR(InicioCiclo="",$B15=""),"",InicioCiclo+7*VALUE(RIGHT($B15,1))-3)</f>
        <v/>
      </c>
      <c r="D15" s="50">
        <f>IF((COUNTA($A15,$B15)+COUNTA($E15:$K15))&gt;0,"Riesgo Operacional","")</f>
        <v/>
      </c>
      <c r="E15" s="51" t="n"/>
      <c r="F15" s="51" t="n"/>
      <c r="G15" s="51" t="n"/>
      <c r="H15" s="49" t="n"/>
      <c r="I15" s="52" t="n"/>
      <c r="J15" s="51" t="n"/>
      <c r="K15" s="51" t="n"/>
    </row>
    <row r="16">
      <c r="A16" s="49" t="n"/>
      <c r="B16" s="49" t="n"/>
      <c r="C16" s="52">
        <f>IF(OR(InicioCiclo="",$B16=""),"",InicioCiclo+7*VALUE(RIGHT($B16,1))-3)</f>
        <v/>
      </c>
      <c r="D16" s="50">
        <f>IF((COUNTA($A16,$B16)+COUNTA($E16:$K16))&gt;0,"Riesgo Operacional","")</f>
        <v/>
      </c>
      <c r="E16" s="51" t="n"/>
      <c r="F16" s="51" t="n"/>
      <c r="G16" s="51" t="n"/>
      <c r="H16" s="49" t="n"/>
      <c r="I16" s="52" t="n"/>
      <c r="J16" s="51" t="n"/>
      <c r="K16" s="51" t="n"/>
    </row>
    <row r="17">
      <c r="A17" s="49" t="n"/>
      <c r="B17" s="49" t="n"/>
      <c r="C17" s="52">
        <f>IF(OR(InicioCiclo="",$B17=""),"",InicioCiclo+7*VALUE(RIGHT($B17,1))-3)</f>
        <v/>
      </c>
      <c r="D17" s="50">
        <f>IF((COUNTA($A17,$B17)+COUNTA($E17:$K17))&gt;0,"Riesgo Operacional","")</f>
        <v/>
      </c>
      <c r="E17" s="51" t="n"/>
      <c r="F17" s="51" t="n"/>
      <c r="G17" s="51" t="n"/>
      <c r="H17" s="49" t="n"/>
      <c r="I17" s="52" t="n"/>
      <c r="J17" s="51" t="n"/>
      <c r="K17" s="51" t="n"/>
    </row>
    <row r="18">
      <c r="A18" s="49" t="n"/>
      <c r="B18" s="49" t="n"/>
      <c r="C18" s="52">
        <f>IF(OR(InicioCiclo="",$B18=""),"",InicioCiclo+7*VALUE(RIGHT($B18,1))-3)</f>
        <v/>
      </c>
      <c r="D18" s="50">
        <f>IF((COUNTA($A18,$B18)+COUNTA($E18:$K18))&gt;0,"Riesgo Operacional","")</f>
        <v/>
      </c>
      <c r="E18" s="51" t="n"/>
      <c r="F18" s="51" t="n"/>
      <c r="G18" s="51" t="n"/>
      <c r="H18" s="49" t="n"/>
      <c r="I18" s="52" t="n"/>
      <c r="J18" s="51" t="n"/>
      <c r="K18" s="51" t="n"/>
    </row>
    <row r="19">
      <c r="A19" s="49" t="n"/>
      <c r="B19" s="49" t="n"/>
      <c r="C19" s="52">
        <f>IF(OR(InicioCiclo="",$B19=""),"",InicioCiclo+7*VALUE(RIGHT($B19,1))-3)</f>
        <v/>
      </c>
      <c r="D19" s="50">
        <f>IF((COUNTA($A19,$B19)+COUNTA($E19:$K19))&gt;0,"Riesgo Operacional","")</f>
        <v/>
      </c>
      <c r="E19" s="51" t="n"/>
      <c r="F19" s="51" t="n"/>
      <c r="G19" s="51" t="n"/>
      <c r="H19" s="49" t="n"/>
      <c r="I19" s="52" t="n"/>
      <c r="J19" s="51" t="n"/>
      <c r="K19" s="51" t="n"/>
    </row>
    <row r="20">
      <c r="A20" s="49" t="n"/>
      <c r="B20" s="49" t="n"/>
      <c r="C20" s="52">
        <f>IF(OR(InicioCiclo="",$B20=""),"",InicioCiclo+7*VALUE(RIGHT($B20,1))-3)</f>
        <v/>
      </c>
      <c r="D20" s="50">
        <f>IF((COUNTA($A20,$B20)+COUNTA($E20:$K20))&gt;0,"Riesgo Operacional","")</f>
        <v/>
      </c>
      <c r="E20" s="51" t="n"/>
      <c r="F20" s="51" t="n"/>
      <c r="G20" s="51" t="n"/>
      <c r="H20" s="49" t="n"/>
      <c r="I20" s="52" t="n"/>
      <c r="J20" s="51" t="n"/>
      <c r="K20" s="51" t="n"/>
    </row>
    <row r="21">
      <c r="A21" s="49" t="n"/>
      <c r="B21" s="49" t="n"/>
      <c r="C21" s="52">
        <f>IF(OR(InicioCiclo="",$B21=""),"",InicioCiclo+7*VALUE(RIGHT($B21,1))-3)</f>
        <v/>
      </c>
      <c r="D21" s="50">
        <f>IF((COUNTA($A21,$B21)+COUNTA($E21:$K21))&gt;0,"Riesgo Operacional","")</f>
        <v/>
      </c>
      <c r="E21" s="51" t="n"/>
      <c r="F21" s="51" t="n"/>
      <c r="G21" s="51" t="n"/>
      <c r="H21" s="49" t="n"/>
      <c r="I21" s="52" t="n"/>
      <c r="J21" s="51" t="n"/>
      <c r="K21" s="51" t="n"/>
    </row>
    <row r="22">
      <c r="A22" s="49" t="n"/>
      <c r="B22" s="49" t="n"/>
      <c r="C22" s="52">
        <f>IF(OR(InicioCiclo="",$B22=""),"",InicioCiclo+7*VALUE(RIGHT($B22,1))-3)</f>
        <v/>
      </c>
      <c r="D22" s="50">
        <f>IF((COUNTA($A22,$B22)+COUNTA($E22:$K22))&gt;0,"Riesgo Operacional","")</f>
        <v/>
      </c>
      <c r="E22" s="51" t="n"/>
      <c r="F22" s="51" t="n"/>
      <c r="G22" s="51" t="n"/>
      <c r="H22" s="49" t="n"/>
      <c r="I22" s="52" t="n"/>
      <c r="J22" s="51" t="n"/>
      <c r="K22" s="51" t="n"/>
    </row>
    <row r="23">
      <c r="A23" s="49" t="n"/>
      <c r="B23" s="49" t="n"/>
      <c r="C23" s="52">
        <f>IF(OR(InicioCiclo="",$B23=""),"",InicioCiclo+7*VALUE(RIGHT($B23,1))-3)</f>
        <v/>
      </c>
      <c r="D23" s="50">
        <f>IF((COUNTA($A23,$B23)+COUNTA($E23:$K23))&gt;0,"Riesgo Operacional","")</f>
        <v/>
      </c>
      <c r="E23" s="51" t="n"/>
      <c r="F23" s="51" t="n"/>
      <c r="G23" s="51" t="n"/>
      <c r="H23" s="49" t="n"/>
      <c r="I23" s="52" t="n"/>
      <c r="J23" s="51" t="n"/>
      <c r="K23" s="51" t="n"/>
    </row>
    <row r="24">
      <c r="A24" s="49" t="n"/>
      <c r="B24" s="49" t="n"/>
      <c r="C24" s="52">
        <f>IF(OR(InicioCiclo="",$B24=""),"",InicioCiclo+7*VALUE(RIGHT($B24,1))-3)</f>
        <v/>
      </c>
      <c r="D24" s="50">
        <f>IF((COUNTA($A24,$B24)+COUNTA($E24:$K24))&gt;0,"Riesgo Operacional","")</f>
        <v/>
      </c>
      <c r="E24" s="51" t="n"/>
      <c r="F24" s="51" t="n"/>
      <c r="G24" s="51" t="n"/>
      <c r="H24" s="49" t="n"/>
      <c r="I24" s="52" t="n"/>
      <c r="J24" s="51" t="n"/>
      <c r="K24" s="51" t="n"/>
    </row>
  </sheetData>
  <sheetProtection selectLockedCells="0" selectUnlockedCells="0" sheet="1" objects="0" insertRows="1" insertHyperlinks="1" autoFilter="0" scenarios="0" formatColumns="0" deleteColumns="1" insertColumns="1" pivotTables="1" deleteRows="1" formatCells="1" formatRows="0" sort="0"/>
  <mergeCells count="2">
    <mergeCell ref="A2:K2"/>
    <mergeCell ref="A1:K1"/>
  </mergeCells>
  <conditionalFormatting sqref="H5:H500">
    <cfRule type="expression" priority="1" dxfId="0">
      <formula>$H5="Completado"</formula>
    </cfRule>
    <cfRule type="expression" priority="2" dxfId="4">
      <formula>$H5="En curso"</formula>
    </cfRule>
    <cfRule type="expression" priority="3" dxfId="5">
      <formula>$H5="Pendiente"</formula>
    </cfRule>
  </conditionalFormatting>
  <conditionalFormatting sqref="C5:C500">
    <cfRule type="expression" priority="4" dxfId="6" stopIfTrue="1">
      <formula>AND(ISNUMBER($C5),$C5&lt;FechaRef,$H5&lt;&gt;"Completado")</formula>
    </cfRule>
    <cfRule type="expression" priority="5" dxfId="7">
      <formula>AND(ISNUMBER($C5),$C5&gt;=FechaRef,$C5-FechaRef&lt;=DiasAlerta,$H5&lt;&gt;"Completado")</formula>
    </cfRule>
  </conditionalFormatting>
  <conditionalFormatting sqref="I5:I500">
    <cfRule type="expression" priority="6" dxfId="7">
      <formula>AND(ISNUMBER($I5),ISNUMBER($C5),$I5&gt;$C5)</formula>
    </cfRule>
  </conditionalFormatting>
  <conditionalFormatting sqref="J5:J500">
    <cfRule type="expression" priority="7" dxfId="5">
      <formula>AND($H5="Completado",$J5="")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0" showErrorMessage="1" allowBlank="1" error="Seleccione Pendiente, En curso o Completado." type="list">
      <formula1>ListaEstados</formula1>
    </dataValidation>
    <dataValidation sqref="C5:C500 I5:I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7030A0"/>
    <outlinePr summaryBelow="1" summaryRight="1"/>
    <pageSetUpPr fitToPage="1"/>
  </sheetPr>
  <dimension ref="A1:P1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44" customWidth="1" min="3" max="3"/>
    <col width="22"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13" customWidth="1" min="14" max="14"/>
    <col width="36" customWidth="1" min="15" max="15"/>
    <col width="58" customWidth="1" min="16" max="16"/>
  </cols>
  <sheetData>
    <row r="1" ht="28" customHeight="1">
      <c r="A1" s="41" t="inlineStr">
        <is>
          <t>Cronograma y Actividades – Riesgo Legal y Normativo</t>
        </is>
      </c>
      <c r="B1" s="41" t="n"/>
      <c r="C1" s="41" t="n"/>
      <c r="D1" s="41" t="n"/>
      <c r="E1" s="41" t="n"/>
      <c r="F1" s="41" t="n"/>
      <c r="G1" s="41" t="n"/>
      <c r="H1" s="41" t="n"/>
      <c r="I1" s="41" t="n"/>
      <c r="J1" s="41" t="n"/>
      <c r="K1" s="41" t="n"/>
      <c r="L1" s="41" t="n"/>
      <c r="M1" s="41" t="n"/>
      <c r="N1" s="41" t="n"/>
      <c r="O1" s="41" t="n"/>
      <c r="P1" s="41" t="n"/>
    </row>
    <row r="2" ht="30" customHeight="1">
      <c r="A2" s="42" t="inlineStr">
        <is>
          <t>Hoja exclusiva de Riesgo Legal y Normativo: registre aquí SOLO las actividades de este puesto. Celdas amarillas: entrada de datos.  Celdas grises: cálculo automático (protegidas).  Avances semanales = % ACUMULADO al cierre de cada semana (deje vacía la semana aún no actualizada).  Los pesos de esta hoja deben sumar 100%.</t>
        </is>
      </c>
      <c r="B2" s="42" t="n"/>
      <c r="C2" s="42" t="n"/>
      <c r="D2" s="42" t="n"/>
      <c r="E2" s="42" t="n"/>
      <c r="F2" s="42" t="n"/>
      <c r="G2" s="42" t="n"/>
      <c r="H2" s="42" t="n"/>
      <c r="I2" s="42" t="n"/>
      <c r="J2" s="42" t="n"/>
      <c r="K2" s="42" t="n"/>
      <c r="L2" s="42" t="n"/>
      <c r="M2" s="42" t="n"/>
      <c r="N2" s="42" t="n"/>
      <c r="O2" s="42" t="n"/>
      <c r="P2" s="42" t="n"/>
    </row>
    <row r="3">
      <c r="A3" s="43" t="inlineStr">
        <is>
          <t>Entrada</t>
        </is>
      </c>
      <c r="B3" s="44" t="inlineStr">
        <is>
          <t>Cálculo automático</t>
        </is>
      </c>
      <c r="C3" s="45" t="inlineStr">
        <is>
          <t>Suma de pesos de la hoja:</t>
        </is>
      </c>
      <c r="D3" s="46">
        <f>SUM(G5:G1000)</f>
        <v/>
      </c>
      <c r="E3" s="47">
        <f>IF(COUNTIF(P5:P1000,"?*")=0,"",IF(ABS(D3-1)&lt;=0.0001,"✔ 100%","⚠ Debe sumar 100%"))</f>
        <v/>
      </c>
    </row>
    <row r="4" ht="42" customHeight="1">
      <c r="A4" s="48" t="inlineStr">
        <is>
          <t>ID Actividad</t>
        </is>
      </c>
      <c r="B4" s="6" t="inlineStr">
        <is>
          <t>Área / Puesto</t>
        </is>
      </c>
      <c r="C4" s="48" t="inlineStr">
        <is>
          <t>Macro Actividad</t>
        </is>
      </c>
      <c r="D4" s="48" t="inlineStr">
        <is>
          <t>Responsable</t>
        </is>
      </c>
      <c r="E4" s="48" t="inlineStr">
        <is>
          <t>Fecha de inicio</t>
        </is>
      </c>
      <c r="F4" s="48" t="inlineStr">
        <is>
          <t>Fecha límite</t>
        </is>
      </c>
      <c r="G4" s="48" t="inlineStr">
        <is>
          <t>Peso de actividad (%)</t>
        </is>
      </c>
      <c r="H4" s="48" t="inlineStr">
        <is>
          <t>Avance Semana 1 (%)</t>
        </is>
      </c>
      <c r="I4" s="48" t="inlineStr">
        <is>
          <t>Avance Semana 2 (%)</t>
        </is>
      </c>
      <c r="J4" s="48" t="inlineStr">
        <is>
          <t>Avance Semana 3 (%)</t>
        </is>
      </c>
      <c r="K4" s="48" t="inlineStr">
        <is>
          <t>Avance Semana 4 (%)</t>
        </is>
      </c>
      <c r="L4" s="6" t="inlineStr">
        <is>
          <t>% de Avance Total Actual</t>
        </is>
      </c>
      <c r="M4" s="6" t="inlineStr">
        <is>
          <t>Estado</t>
        </is>
      </c>
      <c r="N4" s="48" t="inlineStr">
        <is>
          <t>Última actualización</t>
        </is>
      </c>
      <c r="O4" s="48" t="inlineStr">
        <is>
          <t>Evidencia / Observaciones</t>
        </is>
      </c>
      <c r="P4" s="6" t="inlineStr">
        <is>
          <t>Validación de datos</t>
        </is>
      </c>
    </row>
    <row r="5">
      <c r="A5" s="49" t="n"/>
      <c r="B5" s="50">
        <f>IF((COUNTA($A5)+COUNTA($C5:$K5)+COUNTA($N5:$O5))&gt;0,"Riesgo Legal y Normativo","")</f>
        <v/>
      </c>
      <c r="C5" s="51" t="n"/>
      <c r="D5" s="51" t="n"/>
      <c r="E5" s="52" t="n"/>
      <c r="F5" s="52" t="n"/>
      <c r="G5" s="53" t="n"/>
      <c r="H5" s="54" t="n"/>
      <c r="I5" s="54" t="n"/>
      <c r="J5" s="54" t="n"/>
      <c r="K5" s="54" t="n"/>
      <c r="L5" s="55">
        <f>IF(NOT((COUNTA($A5)+COUNTA($C5:$K5)+COUNTA($N5:$O5))&gt;0),"",IFERROR(LOOKUP(2,1/(H5:K5&lt;&gt;""),H5:K5),0))</f>
        <v/>
      </c>
      <c r="M5" s="56">
        <f>IF(L5="","",IF(L5&gt;=1,"Completado",IF(L5&gt;0,"En curso","Pendiente")))</f>
        <v/>
      </c>
      <c r="N5" s="52" t="n"/>
      <c r="O5" s="51" t="n"/>
      <c r="P5" s="57">
        <f>IF(NOT((COUNTA($A5)+COUNTA($C5:$K5)+COUNTA($N5:$O5))&gt;0),"",IF((IF(A5="","Falta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 OK","⚠ "&amp;LEFT(IF(A5="","Falta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",""),LEN(IF(A5="","Falta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",""))-3)))</f>
        <v/>
      </c>
    </row>
    <row r="6">
      <c r="A6" s="49" t="n"/>
      <c r="B6" s="50">
        <f>IF((COUNTA($A6)+COUNTA($C6:$K6)+COUNTA($N6:$O6))&gt;0,"Riesgo Legal y Normativo","")</f>
        <v/>
      </c>
      <c r="C6" s="51" t="n"/>
      <c r="D6" s="51" t="n"/>
      <c r="E6" s="52" t="n"/>
      <c r="F6" s="52" t="n"/>
      <c r="G6" s="53" t="n"/>
      <c r="H6" s="54" t="n"/>
      <c r="I6" s="54" t="n"/>
      <c r="J6" s="54" t="n"/>
      <c r="K6" s="54" t="n"/>
      <c r="L6" s="55">
        <f>IF(NOT((COUNTA($A6)+COUNTA($C6:$K6)+COUNTA($N6:$O6))&gt;0),"",IFERROR(LOOKUP(2,1/(H6:K6&lt;&gt;""),H6:K6),0))</f>
        <v/>
      </c>
      <c r="M6" s="56">
        <f>IF(L6="","",IF(L6&gt;=1,"Completado",IF(L6&gt;0,"En curso","Pendiente")))</f>
        <v/>
      </c>
      <c r="N6" s="52" t="n"/>
      <c r="O6" s="51" t="n"/>
      <c r="P6" s="57">
        <f>IF(NOT((COUNTA($A6)+COUNTA($C6:$K6)+COUNTA($N6:$O6))&gt;0),"",IF((IF(A6="","Falta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 OK","⚠ "&amp;LEFT(IF(A6="","Falta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",""),LEN(IF(A6="","Falta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",""))-3)))</f>
        <v/>
      </c>
    </row>
    <row r="7">
      <c r="A7" s="49" t="n"/>
      <c r="B7" s="50">
        <f>IF((COUNTA($A7)+COUNTA($C7:$K7)+COUNTA($N7:$O7))&gt;0,"Riesgo Legal y Normativo","")</f>
        <v/>
      </c>
      <c r="C7" s="51" t="n"/>
      <c r="D7" s="51" t="n"/>
      <c r="E7" s="52" t="n"/>
      <c r="F7" s="52" t="n"/>
      <c r="G7" s="53" t="n"/>
      <c r="H7" s="54" t="n"/>
      <c r="I7" s="54" t="n"/>
      <c r="J7" s="54" t="n"/>
      <c r="K7" s="54" t="n"/>
      <c r="L7" s="55">
        <f>IF(NOT((COUNTA($A7)+COUNTA($C7:$K7)+COUNTA($N7:$O7))&gt;0),"",IFERROR(LOOKUP(2,1/(H7:K7&lt;&gt;""),H7:K7),0))</f>
        <v/>
      </c>
      <c r="M7" s="56">
        <f>IF(L7="","",IF(L7&gt;=1,"Completado",IF(L7&gt;0,"En curso","Pendiente")))</f>
        <v/>
      </c>
      <c r="N7" s="52" t="n"/>
      <c r="O7" s="51" t="n"/>
      <c r="P7" s="57">
        <f>IF(NOT((COUNTA($A7)+COUNTA($C7:$K7)+COUNTA($N7:$O7))&gt;0),"",IF((IF(A7="","Falta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 OK","⚠ "&amp;LEFT(IF(A7="","Falta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",""),LEN(IF(A7="","Falta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",""))-3)))</f>
        <v/>
      </c>
    </row>
    <row r="8">
      <c r="A8" s="49" t="n"/>
      <c r="B8" s="50">
        <f>IF((COUNTA($A8)+COUNTA($C8:$K8)+COUNTA($N8:$O8))&gt;0,"Riesgo Legal y Normativo","")</f>
        <v/>
      </c>
      <c r="C8" s="51" t="n"/>
      <c r="D8" s="51" t="n"/>
      <c r="E8" s="52" t="n"/>
      <c r="F8" s="52" t="n"/>
      <c r="G8" s="53" t="n"/>
      <c r="H8" s="54" t="n"/>
      <c r="I8" s="54" t="n"/>
      <c r="J8" s="54" t="n"/>
      <c r="K8" s="54" t="n"/>
      <c r="L8" s="55">
        <f>IF(NOT((COUNTA($A8)+COUNTA($C8:$K8)+COUNTA($N8:$O8))&gt;0),"",IFERROR(LOOKUP(2,1/(H8:K8&lt;&gt;""),H8:K8),0))</f>
        <v/>
      </c>
      <c r="M8" s="56">
        <f>IF(L8="","",IF(L8&gt;=1,"Completado",IF(L8&gt;0,"En curso","Pendiente")))</f>
        <v/>
      </c>
      <c r="N8" s="52" t="n"/>
      <c r="O8" s="51" t="n"/>
      <c r="P8" s="57">
        <f>IF(NOT((COUNTA($A8)+COUNTA($C8:$K8)+COUNTA($N8:$O8))&gt;0),"",IF((IF(A8="","Falta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 OK","⚠ "&amp;LEFT(IF(A8="","Falta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",""),LEN(IF(A8="","Falta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",""))-3)))</f>
        <v/>
      </c>
    </row>
    <row r="9">
      <c r="A9" s="49" t="n"/>
      <c r="B9" s="50">
        <f>IF((COUNTA($A9)+COUNTA($C9:$K9)+COUNTA($N9:$O9))&gt;0,"Riesgo Legal y Normativo","")</f>
        <v/>
      </c>
      <c r="C9" s="51" t="n"/>
      <c r="D9" s="51" t="n"/>
      <c r="E9" s="52" t="n"/>
      <c r="F9" s="52" t="n"/>
      <c r="G9" s="53" t="n"/>
      <c r="H9" s="54" t="n"/>
      <c r="I9" s="54" t="n"/>
      <c r="J9" s="54" t="n"/>
      <c r="K9" s="54" t="n"/>
      <c r="L9" s="55">
        <f>IF(NOT((COUNTA($A9)+COUNTA($C9:$K9)+COUNTA($N9:$O9))&gt;0),"",IFERROR(LOOKUP(2,1/(H9:K9&lt;&gt;""),H9:K9),0))</f>
        <v/>
      </c>
      <c r="M9" s="56">
        <f>IF(L9="","",IF(L9&gt;=1,"Completado",IF(L9&gt;0,"En curso","Pendiente")))</f>
        <v/>
      </c>
      <c r="N9" s="52" t="n"/>
      <c r="O9" s="51" t="n"/>
      <c r="P9" s="57">
        <f>IF(NOT((COUNTA($A9)+COUNTA($C9:$K9)+COUNTA($N9:$O9))&gt;0),"",IF((IF(A9="","Falta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 OK","⚠ "&amp;LEFT(IF(A9="","Falta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",""),LEN(IF(A9="","Falta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",""))-3)))</f>
        <v/>
      </c>
    </row>
    <row r="10">
      <c r="A10" s="49" t="n"/>
      <c r="B10" s="50">
        <f>IF((COUNTA($A10)+COUNTA($C10:$K10)+COUNTA($N10:$O10))&gt;0,"Riesgo Legal y Normativo","")</f>
        <v/>
      </c>
      <c r="C10" s="51" t="n"/>
      <c r="D10" s="51" t="n"/>
      <c r="E10" s="52" t="n"/>
      <c r="F10" s="52" t="n"/>
      <c r="G10" s="53" t="n"/>
      <c r="H10" s="54" t="n"/>
      <c r="I10" s="54" t="n"/>
      <c r="J10" s="54" t="n"/>
      <c r="K10" s="54" t="n"/>
      <c r="L10" s="55">
        <f>IF(NOT((COUNTA($A10)+COUNTA($C10:$K10)+COUNTA($N10:$O10))&gt;0),"",IFERROR(LOOKUP(2,1/(H10:K10&lt;&gt;""),H10:K10),0))</f>
        <v/>
      </c>
      <c r="M10" s="56">
        <f>IF(L10="","",IF(L10&gt;=1,"Completado",IF(L10&gt;0,"En curso","Pendiente")))</f>
        <v/>
      </c>
      <c r="N10" s="52" t="n"/>
      <c r="O10" s="51" t="n"/>
      <c r="P10" s="57">
        <f>IF(NOT((COUNTA($A10)+COUNTA($C10:$K10)+COUNTA($N10:$O10))&gt;0),"",IF((IF(A10="","Falta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 OK","⚠ "&amp;LEFT(IF(A10="","Falta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",""),LEN(IF(A10="","Falta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",""))-3)))</f>
        <v/>
      </c>
    </row>
    <row r="11">
      <c r="A11" s="49" t="n"/>
      <c r="B11" s="50">
        <f>IF((COUNTA($A11)+COUNTA($C11:$K11)+COUNTA($N11:$O11))&gt;0,"Riesgo Legal y Normativo","")</f>
        <v/>
      </c>
      <c r="C11" s="51" t="n"/>
      <c r="D11" s="51" t="n"/>
      <c r="E11" s="52" t="n"/>
      <c r="F11" s="52" t="n"/>
      <c r="G11" s="53" t="n"/>
      <c r="H11" s="54" t="n"/>
      <c r="I11" s="54" t="n"/>
      <c r="J11" s="54" t="n"/>
      <c r="K11" s="54" t="n"/>
      <c r="L11" s="55">
        <f>IF(NOT((COUNTA($A11)+COUNTA($C11:$K11)+COUNTA($N11:$O11))&gt;0),"",IFERROR(LOOKUP(2,1/(H11:K11&lt;&gt;""),H11:K11),0))</f>
        <v/>
      </c>
      <c r="M11" s="56">
        <f>IF(L11="","",IF(L11&gt;=1,"Completado",IF(L11&gt;0,"En curso","Pendiente")))</f>
        <v/>
      </c>
      <c r="N11" s="52" t="n"/>
      <c r="O11" s="51" t="n"/>
      <c r="P11" s="57">
        <f>IF(NOT((COUNTA($A11)+COUNTA($C11:$K11)+COUNTA($N11:$O11))&gt;0),"",IF((IF(A11="","Falta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 OK","⚠ "&amp;LEFT(IF(A11="","Falta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",""),LEN(IF(A11="","Falta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",""))-3)))</f>
        <v/>
      </c>
    </row>
    <row r="12">
      <c r="A12" s="49" t="n"/>
      <c r="B12" s="50">
        <f>IF((COUNTA($A12)+COUNTA($C12:$K12)+COUNTA($N12:$O12))&gt;0,"Riesgo Legal y Normativo","")</f>
        <v/>
      </c>
      <c r="C12" s="51" t="n"/>
      <c r="D12" s="51" t="n"/>
      <c r="E12" s="52" t="n"/>
      <c r="F12" s="52" t="n"/>
      <c r="G12" s="53" t="n"/>
      <c r="H12" s="54" t="n"/>
      <c r="I12" s="54" t="n"/>
      <c r="J12" s="54" t="n"/>
      <c r="K12" s="54" t="n"/>
      <c r="L12" s="55">
        <f>IF(NOT((COUNTA($A12)+COUNTA($C12:$K12)+COUNTA($N12:$O12))&gt;0),"",IFERROR(LOOKUP(2,1/(H12:K12&lt;&gt;""),H12:K12),0))</f>
        <v/>
      </c>
      <c r="M12" s="56">
        <f>IF(L12="","",IF(L12&gt;=1,"Completado",IF(L12&gt;0,"En curso","Pendiente")))</f>
        <v/>
      </c>
      <c r="N12" s="52" t="n"/>
      <c r="O12" s="51" t="n"/>
      <c r="P12" s="57">
        <f>IF(NOT((COUNTA($A12)+COUNTA($C12:$K12)+COUNTA($N12:$O12))&gt;0),"",IF((IF(A12="","Falta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 OK","⚠ "&amp;LEFT(IF(A12="","Falta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",""),LEN(IF(A12="","Falta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",""))-3)))</f>
        <v/>
      </c>
    </row>
    <row r="13">
      <c r="A13" s="49" t="n"/>
      <c r="B13" s="50">
        <f>IF((COUNTA($A13)+COUNTA($C13:$K13)+COUNTA($N13:$O13))&gt;0,"Riesgo Legal y Normativo","")</f>
        <v/>
      </c>
      <c r="C13" s="51" t="n"/>
      <c r="D13" s="51" t="n"/>
      <c r="E13" s="52" t="n"/>
      <c r="F13" s="52" t="n"/>
      <c r="G13" s="53" t="n"/>
      <c r="H13" s="54" t="n"/>
      <c r="I13" s="54" t="n"/>
      <c r="J13" s="54" t="n"/>
      <c r="K13" s="54" t="n"/>
      <c r="L13" s="55">
        <f>IF(NOT((COUNTA($A13)+COUNTA($C13:$K13)+COUNTA($N13:$O13))&gt;0),"",IFERROR(LOOKUP(2,1/(H13:K13&lt;&gt;""),H13:K13),0))</f>
        <v/>
      </c>
      <c r="M13" s="56">
        <f>IF(L13="","",IF(L13&gt;=1,"Completado",IF(L13&gt;0,"En curso","Pendiente")))</f>
        <v/>
      </c>
      <c r="N13" s="52" t="n"/>
      <c r="O13" s="51" t="n"/>
      <c r="P13" s="57">
        <f>IF(NOT((COUNTA($A13)+COUNTA($C13:$K13)+COUNTA($N13:$O13))&gt;0),"",IF((IF(A13="","Falta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 OK","⚠ "&amp;LEFT(IF(A13="","Falta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",""),LEN(IF(A13="","Falta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",""))-3)))</f>
        <v/>
      </c>
    </row>
    <row r="14">
      <c r="A14" s="49" t="n"/>
      <c r="B14" s="50">
        <f>IF((COUNTA($A14)+COUNTA($C14:$K14)+COUNTA($N14:$O14))&gt;0,"Riesgo Legal y Normativo","")</f>
        <v/>
      </c>
      <c r="C14" s="51" t="n"/>
      <c r="D14" s="51" t="n"/>
      <c r="E14" s="52" t="n"/>
      <c r="F14" s="52" t="n"/>
      <c r="G14" s="53" t="n"/>
      <c r="H14" s="54" t="n"/>
      <c r="I14" s="54" t="n"/>
      <c r="J14" s="54" t="n"/>
      <c r="K14" s="54" t="n"/>
      <c r="L14" s="55">
        <f>IF(NOT((COUNTA($A14)+COUNTA($C14:$K14)+COUNTA($N14:$O14))&gt;0),"",IFERROR(LOOKUP(2,1/(H14:K14&lt;&gt;""),H14:K14),0))</f>
        <v/>
      </c>
      <c r="M14" s="56">
        <f>IF(L14="","",IF(L14&gt;=1,"Completado",IF(L14&gt;0,"En curso","Pendiente")))</f>
        <v/>
      </c>
      <c r="N14" s="52" t="n"/>
      <c r="O14" s="51" t="n"/>
      <c r="P14" s="57">
        <f>IF(NOT((COUNTA($A14)+COUNTA($C14:$K14)+COUNTA($N14:$O14))&gt;0),"",IF((IF(A14="","Falta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 OK","⚠ "&amp;LEFT(IF(A14="","Falta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",""),LEN(IF(A14="","Falta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",""))-3)))</f>
        <v/>
      </c>
    </row>
    <row r="15">
      <c r="A15" s="49" t="n"/>
      <c r="B15" s="50">
        <f>IF((COUNTA($A15)+COUNTA($C15:$K15)+COUNTA($N15:$O15))&gt;0,"Riesgo Legal y Normativo","")</f>
        <v/>
      </c>
      <c r="C15" s="51" t="n"/>
      <c r="D15" s="51" t="n"/>
      <c r="E15" s="52" t="n"/>
      <c r="F15" s="52" t="n"/>
      <c r="G15" s="53" t="n"/>
      <c r="H15" s="54" t="n"/>
      <c r="I15" s="54" t="n"/>
      <c r="J15" s="54" t="n"/>
      <c r="K15" s="54" t="n"/>
      <c r="L15" s="55">
        <f>IF(NOT((COUNTA($A15)+COUNTA($C15:$K15)+COUNTA($N15:$O15))&gt;0),"",IFERROR(LOOKUP(2,1/(H15:K15&lt;&gt;""),H15:K15),0))</f>
        <v/>
      </c>
      <c r="M15" s="56">
        <f>IF(L15="","",IF(L15&gt;=1,"Completado",IF(L15&gt;0,"En curso","Pendiente")))</f>
        <v/>
      </c>
      <c r="N15" s="52" t="n"/>
      <c r="O15" s="51" t="n"/>
      <c r="P15" s="57">
        <f>IF(NOT((COUNTA($A15)+COUNTA($C15:$K15)+COUNTA($N15:$O15))&gt;0),"",IF((IF(A15="","Falta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 OK","⚠ "&amp;LEFT(IF(A15="","Falta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",""),LEN(IF(A15="","Falta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",""))-3)))</f>
        <v/>
      </c>
    </row>
    <row r="16">
      <c r="A16" s="49" t="n"/>
      <c r="B16" s="50">
        <f>IF((COUNTA($A16)+COUNTA($C16:$K16)+COUNTA($N16:$O16))&gt;0,"Riesgo Legal y Normativo","")</f>
        <v/>
      </c>
      <c r="C16" s="51" t="n"/>
      <c r="D16" s="51" t="n"/>
      <c r="E16" s="52" t="n"/>
      <c r="F16" s="52" t="n"/>
      <c r="G16" s="53" t="n"/>
      <c r="H16" s="54" t="n"/>
      <c r="I16" s="54" t="n"/>
      <c r="J16" s="54" t="n"/>
      <c r="K16" s="54" t="n"/>
      <c r="L16" s="55">
        <f>IF(NOT((COUNTA($A16)+COUNTA($C16:$K16)+COUNTA($N16:$O16))&gt;0),"",IFERROR(LOOKUP(2,1/(H16:K16&lt;&gt;""),H16:K16),0))</f>
        <v/>
      </c>
      <c r="M16" s="56">
        <f>IF(L16="","",IF(L16&gt;=1,"Completado",IF(L16&gt;0,"En curso","Pendiente")))</f>
        <v/>
      </c>
      <c r="N16" s="52" t="n"/>
      <c r="O16" s="51" t="n"/>
      <c r="P16" s="57">
        <f>IF(NOT((COUNTA($A16)+COUNTA($C16:$K16)+COUNTA($N16:$O16))&gt;0),"",IF((IF(A16="","Falta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 OK","⚠ "&amp;LEFT(IF(A16="","Falta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",""),LEN(IF(A16="","Falta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",""))-3)))</f>
        <v/>
      </c>
    </row>
    <row r="17">
      <c r="A17" s="49" t="n"/>
      <c r="B17" s="50">
        <f>IF((COUNTA($A17)+COUNTA($C17:$K17)+COUNTA($N17:$O17))&gt;0,"Riesgo Legal y Normativo","")</f>
        <v/>
      </c>
      <c r="C17" s="51" t="n"/>
      <c r="D17" s="51" t="n"/>
      <c r="E17" s="52" t="n"/>
      <c r="F17" s="52" t="n"/>
      <c r="G17" s="53" t="n"/>
      <c r="H17" s="54" t="n"/>
      <c r="I17" s="54" t="n"/>
      <c r="J17" s="54" t="n"/>
      <c r="K17" s="54" t="n"/>
      <c r="L17" s="55">
        <f>IF(NOT((COUNTA($A17)+COUNTA($C17:$K17)+COUNTA($N17:$O17))&gt;0),"",IFERROR(LOOKUP(2,1/(H17:K17&lt;&gt;""),H17:K17),0))</f>
        <v/>
      </c>
      <c r="M17" s="56">
        <f>IF(L17="","",IF(L17&gt;=1,"Completado",IF(L17&gt;0,"En curso","Pendiente")))</f>
        <v/>
      </c>
      <c r="N17" s="52" t="n"/>
      <c r="O17" s="51" t="n"/>
      <c r="P17" s="57">
        <f>IF(NOT((COUNTA($A17)+COUNTA($C17:$K17)+COUNTA($N17:$O17))&gt;0),"",IF((IF(A17="","Falta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 OK","⚠ "&amp;LEFT(IF(A17="","Falta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",""),LEN(IF(A17="","Falta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",""))-3)))</f>
        <v/>
      </c>
    </row>
    <row r="18">
      <c r="A18" s="49" t="n"/>
      <c r="B18" s="50">
        <f>IF((COUNTA($A18)+COUNTA($C18:$K18)+COUNTA($N18:$O18))&gt;0,"Riesgo Legal y Normativo","")</f>
        <v/>
      </c>
      <c r="C18" s="51" t="n"/>
      <c r="D18" s="51" t="n"/>
      <c r="E18" s="52" t="n"/>
      <c r="F18" s="52" t="n"/>
      <c r="G18" s="53" t="n"/>
      <c r="H18" s="54" t="n"/>
      <c r="I18" s="54" t="n"/>
      <c r="J18" s="54" t="n"/>
      <c r="K18" s="54" t="n"/>
      <c r="L18" s="55">
        <f>IF(NOT((COUNTA($A18)+COUNTA($C18:$K18)+COUNTA($N18:$O18))&gt;0),"",IFERROR(LOOKUP(2,1/(H18:K18&lt;&gt;""),H18:K18),0))</f>
        <v/>
      </c>
      <c r="M18" s="56">
        <f>IF(L18="","",IF(L18&gt;=1,"Completado",IF(L18&gt;0,"En curso","Pendiente")))</f>
        <v/>
      </c>
      <c r="N18" s="52" t="n"/>
      <c r="O18" s="51" t="n"/>
      <c r="P18" s="57">
        <f>IF(NOT((COUNTA($A18)+COUNTA($C18:$K18)+COUNTA($N18:$O18))&gt;0),"",IF((IF(A18="","Falta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 OK","⚠ "&amp;LEFT(IF(A18="","Falta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",""),LEN(IF(A18="","Falta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",""))-3)))</f>
        <v/>
      </c>
    </row>
    <row r="19">
      <c r="A19" s="49" t="n"/>
      <c r="B19" s="50">
        <f>IF((COUNTA($A19)+COUNTA($C19:$K19)+COUNTA($N19:$O19))&gt;0,"Riesgo Legal y Normativo","")</f>
        <v/>
      </c>
      <c r="C19" s="51" t="n"/>
      <c r="D19" s="51" t="n"/>
      <c r="E19" s="52" t="n"/>
      <c r="F19" s="52" t="n"/>
      <c r="G19" s="53" t="n"/>
      <c r="H19" s="54" t="n"/>
      <c r="I19" s="54" t="n"/>
      <c r="J19" s="54" t="n"/>
      <c r="K19" s="54" t="n"/>
      <c r="L19" s="55">
        <f>IF(NOT((COUNTA($A19)+COUNTA($C19:$K19)+COUNTA($N19:$O19))&gt;0),"",IFERROR(LOOKUP(2,1/(H19:K19&lt;&gt;""),H19:K19),0))</f>
        <v/>
      </c>
      <c r="M19" s="56">
        <f>IF(L19="","",IF(L19&gt;=1,"Completado",IF(L19&gt;0,"En curso","Pendiente")))</f>
        <v/>
      </c>
      <c r="N19" s="52" t="n"/>
      <c r="O19" s="51" t="n"/>
      <c r="P19" s="57">
        <f>IF(NOT((COUNTA($A19)+COUNTA($C19:$K19)+COUNTA($N19:$O19))&gt;0),"",IF((IF(A19="","Falta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 OK","⚠ "&amp;LEFT(IF(A19="","Falta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",""),LEN(IF(A19="","Falta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",""))-3)))</f>
        <v/>
      </c>
    </row>
    <row r="20">
      <c r="A20" s="49" t="n"/>
      <c r="B20" s="50">
        <f>IF((COUNTA($A20)+COUNTA($C20:$K20)+COUNTA($N20:$O20))&gt;0,"Riesgo Legal y Normativo","")</f>
        <v/>
      </c>
      <c r="C20" s="51" t="n"/>
      <c r="D20" s="51" t="n"/>
      <c r="E20" s="52" t="n"/>
      <c r="F20" s="52" t="n"/>
      <c r="G20" s="53" t="n"/>
      <c r="H20" s="54" t="n"/>
      <c r="I20" s="54" t="n"/>
      <c r="J20" s="54" t="n"/>
      <c r="K20" s="54" t="n"/>
      <c r="L20" s="55">
        <f>IF(NOT((COUNTA($A20)+COUNTA($C20:$K20)+COUNTA($N20:$O20))&gt;0),"",IFERROR(LOOKUP(2,1/(H20:K20&lt;&gt;""),H20:K20),0))</f>
        <v/>
      </c>
      <c r="M20" s="56">
        <f>IF(L20="","",IF(L20&gt;=1,"Completado",IF(L20&gt;0,"En curso","Pendiente")))</f>
        <v/>
      </c>
      <c r="N20" s="52" t="n"/>
      <c r="O20" s="51" t="n"/>
      <c r="P20" s="57">
        <f>IF(NOT((COUNTA($A20)+COUNTA($C20:$K20)+COUNTA($N20:$O20))&gt;0),"",IF((IF(A20="","Falta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 OK","⚠ "&amp;LEFT(IF(A20="","Falta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",""),LEN(IF(A20="","Falta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",""))-3)))</f>
        <v/>
      </c>
    </row>
    <row r="21">
      <c r="A21" s="49" t="n"/>
      <c r="B21" s="50">
        <f>IF((COUNTA($A21)+COUNTA($C21:$K21)+COUNTA($N21:$O21))&gt;0,"Riesgo Legal y Normativo","")</f>
        <v/>
      </c>
      <c r="C21" s="51" t="n"/>
      <c r="D21" s="51" t="n"/>
      <c r="E21" s="52" t="n"/>
      <c r="F21" s="52" t="n"/>
      <c r="G21" s="53" t="n"/>
      <c r="H21" s="54" t="n"/>
      <c r="I21" s="54" t="n"/>
      <c r="J21" s="54" t="n"/>
      <c r="K21" s="54" t="n"/>
      <c r="L21" s="55">
        <f>IF(NOT((COUNTA($A21)+COUNTA($C21:$K21)+COUNTA($N21:$O21))&gt;0),"",IFERROR(LOOKUP(2,1/(H21:K21&lt;&gt;""),H21:K21),0))</f>
        <v/>
      </c>
      <c r="M21" s="56">
        <f>IF(L21="","",IF(L21&gt;=1,"Completado",IF(L21&gt;0,"En curso","Pendiente")))</f>
        <v/>
      </c>
      <c r="N21" s="52" t="n"/>
      <c r="O21" s="51" t="n"/>
      <c r="P21" s="57">
        <f>IF(NOT((COUNTA($A21)+COUNTA($C21:$K21)+COUNTA($N21:$O21))&gt;0),"",IF((IF(A21="","Falta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 OK","⚠ "&amp;LEFT(IF(A21="","Falta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",""),LEN(IF(A21="","Falta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",""))-3)))</f>
        <v/>
      </c>
    </row>
    <row r="22">
      <c r="A22" s="49" t="n"/>
      <c r="B22" s="50">
        <f>IF((COUNTA($A22)+COUNTA($C22:$K22)+COUNTA($N22:$O22))&gt;0,"Riesgo Legal y Normativo","")</f>
        <v/>
      </c>
      <c r="C22" s="51" t="n"/>
      <c r="D22" s="51" t="n"/>
      <c r="E22" s="52" t="n"/>
      <c r="F22" s="52" t="n"/>
      <c r="G22" s="53" t="n"/>
      <c r="H22" s="54" t="n"/>
      <c r="I22" s="54" t="n"/>
      <c r="J22" s="54" t="n"/>
      <c r="K22" s="54" t="n"/>
      <c r="L22" s="55">
        <f>IF(NOT((COUNTA($A22)+COUNTA($C22:$K22)+COUNTA($N22:$O22))&gt;0),"",IFERROR(LOOKUP(2,1/(H22:K22&lt;&gt;""),H22:K22),0))</f>
        <v/>
      </c>
      <c r="M22" s="56">
        <f>IF(L22="","",IF(L22&gt;=1,"Completado",IF(L22&gt;0,"En curso","Pendiente")))</f>
        <v/>
      </c>
      <c r="N22" s="52" t="n"/>
      <c r="O22" s="51" t="n"/>
      <c r="P22" s="57">
        <f>IF(NOT((COUNTA($A22)+COUNTA($C22:$K22)+COUNTA($N22:$O22))&gt;0),"",IF((IF(A22="","Falta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 OK","⚠ "&amp;LEFT(IF(A22="","Falta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",""),LEN(IF(A22="","Falta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",""))-3)))</f>
        <v/>
      </c>
    </row>
    <row r="23">
      <c r="A23" s="49" t="n"/>
      <c r="B23" s="50">
        <f>IF((COUNTA($A23)+COUNTA($C23:$K23)+COUNTA($N23:$O23))&gt;0,"Riesgo Legal y Normativo","")</f>
        <v/>
      </c>
      <c r="C23" s="51" t="n"/>
      <c r="D23" s="51" t="n"/>
      <c r="E23" s="52" t="n"/>
      <c r="F23" s="52" t="n"/>
      <c r="G23" s="53" t="n"/>
      <c r="H23" s="54" t="n"/>
      <c r="I23" s="54" t="n"/>
      <c r="J23" s="54" t="n"/>
      <c r="K23" s="54" t="n"/>
      <c r="L23" s="55">
        <f>IF(NOT((COUNTA($A23)+COUNTA($C23:$K23)+COUNTA($N23:$O23))&gt;0),"",IFERROR(LOOKUP(2,1/(H23:K23&lt;&gt;""),H23:K23),0))</f>
        <v/>
      </c>
      <c r="M23" s="56">
        <f>IF(L23="","",IF(L23&gt;=1,"Completado",IF(L23&gt;0,"En curso","Pendiente")))</f>
        <v/>
      </c>
      <c r="N23" s="52" t="n"/>
      <c r="O23" s="51" t="n"/>
      <c r="P23" s="57">
        <f>IF(NOT((COUNTA($A23)+COUNTA($C23:$K23)+COUNTA($N23:$O23))&gt;0),"",IF((IF(A23="","Falta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 OK","⚠ "&amp;LEFT(IF(A23="","Falta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",""),LEN(IF(A23="","Falta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",""))-3)))</f>
        <v/>
      </c>
    </row>
    <row r="24">
      <c r="A24" s="49" t="n"/>
      <c r="B24" s="50">
        <f>IF((COUNTA($A24)+COUNTA($C24:$K24)+COUNTA($N24:$O24))&gt;0,"Riesgo Legal y Normativo","")</f>
        <v/>
      </c>
      <c r="C24" s="51" t="n"/>
      <c r="D24" s="51" t="n"/>
      <c r="E24" s="52" t="n"/>
      <c r="F24" s="52" t="n"/>
      <c r="G24" s="53" t="n"/>
      <c r="H24" s="54" t="n"/>
      <c r="I24" s="54" t="n"/>
      <c r="J24" s="54" t="n"/>
      <c r="K24" s="54" t="n"/>
      <c r="L24" s="55">
        <f>IF(NOT((COUNTA($A24)+COUNTA($C24:$K24)+COUNTA($N24:$O24))&gt;0),"",IFERROR(LOOKUP(2,1/(H24:K24&lt;&gt;""),H24:K24),0))</f>
        <v/>
      </c>
      <c r="M24" s="56">
        <f>IF(L24="","",IF(L24&gt;=1,"Completado",IF(L24&gt;0,"En curso","Pendiente")))</f>
        <v/>
      </c>
      <c r="N24" s="52" t="n"/>
      <c r="O24" s="51" t="n"/>
      <c r="P24" s="57">
        <f>IF(NOT((COUNTA($A24)+COUNTA($C24:$K24)+COUNTA($N24:$O24))&gt;0),"",IF((IF(A24="","Falta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 OK","⚠ "&amp;LEFT(IF(A24="","Falta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",""),LEN(IF(A24="","Falta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",""))-3)))</f>
        <v/>
      </c>
    </row>
    <row r="25">
      <c r="A25" s="49" t="n"/>
      <c r="B25" s="50">
        <f>IF((COUNTA($A25)+COUNTA($C25:$K25)+COUNTA($N25:$O25))&gt;0,"Riesgo Legal y Normativo","")</f>
        <v/>
      </c>
      <c r="C25" s="51" t="n"/>
      <c r="D25" s="51" t="n"/>
      <c r="E25" s="52" t="n"/>
      <c r="F25" s="52" t="n"/>
      <c r="G25" s="53" t="n"/>
      <c r="H25" s="54" t="n"/>
      <c r="I25" s="54" t="n"/>
      <c r="J25" s="54" t="n"/>
      <c r="K25" s="54" t="n"/>
      <c r="L25" s="55">
        <f>IF(NOT((COUNTA($A25)+COUNTA($C25:$K25)+COUNTA($N25:$O25))&gt;0),"",IFERROR(LOOKUP(2,1/(H25:K25&lt;&gt;""),H25:K25),0))</f>
        <v/>
      </c>
      <c r="M25" s="56">
        <f>IF(L25="","",IF(L25&gt;=1,"Completado",IF(L25&gt;0,"En curso","Pendiente")))</f>
        <v/>
      </c>
      <c r="N25" s="52" t="n"/>
      <c r="O25" s="51" t="n"/>
      <c r="P25" s="57">
        <f>IF(NOT((COUNTA($A25)+COUNTA($C25:$K25)+COUNTA($N25:$O25))&gt;0),"",IF((IF(A25="","Falta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 OK","⚠ "&amp;LEFT(IF(A25="","Falta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",""),LEN(IF(A25="","Falta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",""))-3)))</f>
        <v/>
      </c>
    </row>
    <row r="26">
      <c r="A26" s="49" t="n"/>
      <c r="B26" s="50">
        <f>IF((COUNTA($A26)+COUNTA($C26:$K26)+COUNTA($N26:$O26))&gt;0,"Riesgo Legal y Normativo","")</f>
        <v/>
      </c>
      <c r="C26" s="51" t="n"/>
      <c r="D26" s="51" t="n"/>
      <c r="E26" s="52" t="n"/>
      <c r="F26" s="52" t="n"/>
      <c r="G26" s="53" t="n"/>
      <c r="H26" s="54" t="n"/>
      <c r="I26" s="54" t="n"/>
      <c r="J26" s="54" t="n"/>
      <c r="K26" s="54" t="n"/>
      <c r="L26" s="55">
        <f>IF(NOT((COUNTA($A26)+COUNTA($C26:$K26)+COUNTA($N26:$O26))&gt;0),"",IFERROR(LOOKUP(2,1/(H26:K26&lt;&gt;""),H26:K26),0))</f>
        <v/>
      </c>
      <c r="M26" s="56">
        <f>IF(L26="","",IF(L26&gt;=1,"Completado",IF(L26&gt;0,"En curso","Pendiente")))</f>
        <v/>
      </c>
      <c r="N26" s="52" t="n"/>
      <c r="O26" s="51" t="n"/>
      <c r="P26" s="57">
        <f>IF(NOT((COUNTA($A26)+COUNTA($C26:$K26)+COUNTA($N26:$O26))&gt;0),"",IF((IF(A26="","Falta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 OK","⚠ "&amp;LEFT(IF(A26="","Falta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",""),LEN(IF(A26="","Falta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",""))-3)))</f>
        <v/>
      </c>
    </row>
    <row r="27">
      <c r="A27" s="49" t="n"/>
      <c r="B27" s="50">
        <f>IF((COUNTA($A27)+COUNTA($C27:$K27)+COUNTA($N27:$O27))&gt;0,"Riesgo Legal y Normativo","")</f>
        <v/>
      </c>
      <c r="C27" s="51" t="n"/>
      <c r="D27" s="51" t="n"/>
      <c r="E27" s="52" t="n"/>
      <c r="F27" s="52" t="n"/>
      <c r="G27" s="53" t="n"/>
      <c r="H27" s="54" t="n"/>
      <c r="I27" s="54" t="n"/>
      <c r="J27" s="54" t="n"/>
      <c r="K27" s="54" t="n"/>
      <c r="L27" s="55">
        <f>IF(NOT((COUNTA($A27)+COUNTA($C27:$K27)+COUNTA($N27:$O27))&gt;0),"",IFERROR(LOOKUP(2,1/(H27:K27&lt;&gt;""),H27:K27),0))</f>
        <v/>
      </c>
      <c r="M27" s="56">
        <f>IF(L27="","",IF(L27&gt;=1,"Completado",IF(L27&gt;0,"En curso","Pendiente")))</f>
        <v/>
      </c>
      <c r="N27" s="52" t="n"/>
      <c r="O27" s="51" t="n"/>
      <c r="P27" s="57">
        <f>IF(NOT((COUNTA($A27)+COUNTA($C27:$K27)+COUNTA($N27:$O27))&gt;0),"",IF((IF(A27="","Falta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 OK","⚠ "&amp;LEFT(IF(A27="","Falta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",""),LEN(IF(A27="","Falta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",""))-3)))</f>
        <v/>
      </c>
    </row>
    <row r="28">
      <c r="A28" s="49" t="n"/>
      <c r="B28" s="50">
        <f>IF((COUNTA($A28)+COUNTA($C28:$K28)+COUNTA($N28:$O28))&gt;0,"Riesgo Legal y Normativo","")</f>
        <v/>
      </c>
      <c r="C28" s="51" t="n"/>
      <c r="D28" s="51" t="n"/>
      <c r="E28" s="52" t="n"/>
      <c r="F28" s="52" t="n"/>
      <c r="G28" s="53" t="n"/>
      <c r="H28" s="54" t="n"/>
      <c r="I28" s="54" t="n"/>
      <c r="J28" s="54" t="n"/>
      <c r="K28" s="54" t="n"/>
      <c r="L28" s="55">
        <f>IF(NOT((COUNTA($A28)+COUNTA($C28:$K28)+COUNTA($N28:$O28))&gt;0),"",IFERROR(LOOKUP(2,1/(H28:K28&lt;&gt;""),H28:K28),0))</f>
        <v/>
      </c>
      <c r="M28" s="56">
        <f>IF(L28="","",IF(L28&gt;=1,"Completado",IF(L28&gt;0,"En curso","Pendiente")))</f>
        <v/>
      </c>
      <c r="N28" s="52" t="n"/>
      <c r="O28" s="51" t="n"/>
      <c r="P28" s="57">
        <f>IF(NOT((COUNTA($A28)+COUNTA($C28:$K28)+COUNTA($N28:$O28))&gt;0),"",IF((IF(A28="","Falta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 OK","⚠ "&amp;LEFT(IF(A28="","Falta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",""),LEN(IF(A28="","Falta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",""))-3)))</f>
        <v/>
      </c>
    </row>
    <row r="29">
      <c r="A29" s="49" t="n"/>
      <c r="B29" s="50">
        <f>IF((COUNTA($A29)+COUNTA($C29:$K29)+COUNTA($N29:$O29))&gt;0,"Riesgo Legal y Normativo","")</f>
        <v/>
      </c>
      <c r="C29" s="51" t="n"/>
      <c r="D29" s="51" t="n"/>
      <c r="E29" s="52" t="n"/>
      <c r="F29" s="52" t="n"/>
      <c r="G29" s="53" t="n"/>
      <c r="H29" s="54" t="n"/>
      <c r="I29" s="54" t="n"/>
      <c r="J29" s="54" t="n"/>
      <c r="K29" s="54" t="n"/>
      <c r="L29" s="55">
        <f>IF(NOT((COUNTA($A29)+COUNTA($C29:$K29)+COUNTA($N29:$O29))&gt;0),"",IFERROR(LOOKUP(2,1/(H29:K29&lt;&gt;""),H29:K29),0))</f>
        <v/>
      </c>
      <c r="M29" s="56">
        <f>IF(L29="","",IF(L29&gt;=1,"Completado",IF(L29&gt;0,"En curso","Pendiente")))</f>
        <v/>
      </c>
      <c r="N29" s="52" t="n"/>
      <c r="O29" s="51" t="n"/>
      <c r="P29" s="57">
        <f>IF(NOT((COUNTA($A29)+COUNTA($C29:$K29)+COUNTA($N29:$O29))&gt;0),"",IF((IF(A29="","Falta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 OK","⚠ "&amp;LEFT(IF(A29="","Falta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",""),LEN(IF(A29="","Falta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",""))-3)))</f>
        <v/>
      </c>
    </row>
    <row r="30">
      <c r="A30" s="49" t="n"/>
      <c r="B30" s="50">
        <f>IF((COUNTA($A30)+COUNTA($C30:$K30)+COUNTA($N30:$O30))&gt;0,"Riesgo Legal y Normativo","")</f>
        <v/>
      </c>
      <c r="C30" s="51" t="n"/>
      <c r="D30" s="51" t="n"/>
      <c r="E30" s="52" t="n"/>
      <c r="F30" s="52" t="n"/>
      <c r="G30" s="53" t="n"/>
      <c r="H30" s="54" t="n"/>
      <c r="I30" s="54" t="n"/>
      <c r="J30" s="54" t="n"/>
      <c r="K30" s="54" t="n"/>
      <c r="L30" s="55">
        <f>IF(NOT((COUNTA($A30)+COUNTA($C30:$K30)+COUNTA($N30:$O30))&gt;0),"",IFERROR(LOOKUP(2,1/(H30:K30&lt;&gt;""),H30:K30),0))</f>
        <v/>
      </c>
      <c r="M30" s="56">
        <f>IF(L30="","",IF(L30&gt;=1,"Completado",IF(L30&gt;0,"En curso","Pendiente")))</f>
        <v/>
      </c>
      <c r="N30" s="52" t="n"/>
      <c r="O30" s="51" t="n"/>
      <c r="P30" s="57">
        <f>IF(NOT((COUNTA($A30)+COUNTA($C30:$K30)+COUNTA($N30:$O30))&gt;0),"",IF((IF(A30="","Falta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 OK","⚠ "&amp;LEFT(IF(A30="","Falta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",""),LEN(IF(A30="","Falta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",""))-3)))</f>
        <v/>
      </c>
    </row>
    <row r="31">
      <c r="A31" s="49" t="n"/>
      <c r="B31" s="50">
        <f>IF((COUNTA($A31)+COUNTA($C31:$K31)+COUNTA($N31:$O31))&gt;0,"Riesgo Legal y Normativo","")</f>
        <v/>
      </c>
      <c r="C31" s="51" t="n"/>
      <c r="D31" s="51" t="n"/>
      <c r="E31" s="52" t="n"/>
      <c r="F31" s="52" t="n"/>
      <c r="G31" s="53" t="n"/>
      <c r="H31" s="54" t="n"/>
      <c r="I31" s="54" t="n"/>
      <c r="J31" s="54" t="n"/>
      <c r="K31" s="54" t="n"/>
      <c r="L31" s="55">
        <f>IF(NOT((COUNTA($A31)+COUNTA($C31:$K31)+COUNTA($N31:$O31))&gt;0),"",IFERROR(LOOKUP(2,1/(H31:K31&lt;&gt;""),H31:K31),0))</f>
        <v/>
      </c>
      <c r="M31" s="56">
        <f>IF(L31="","",IF(L31&gt;=1,"Completado",IF(L31&gt;0,"En curso","Pendiente")))</f>
        <v/>
      </c>
      <c r="N31" s="52" t="n"/>
      <c r="O31" s="51" t="n"/>
      <c r="P31" s="57">
        <f>IF(NOT((COUNTA($A31)+COUNTA($C31:$K31)+COUNTA($N31:$O31))&gt;0),"",IF((IF(A31="","Falta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 OK","⚠ "&amp;LEFT(IF(A31="","Falta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",""),LEN(IF(A31="","Falta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",""))-3)))</f>
        <v/>
      </c>
    </row>
    <row r="32">
      <c r="A32" s="49" t="n"/>
      <c r="B32" s="50">
        <f>IF((COUNTA($A32)+COUNTA($C32:$K32)+COUNTA($N32:$O32))&gt;0,"Riesgo Legal y Normativo","")</f>
        <v/>
      </c>
      <c r="C32" s="51" t="n"/>
      <c r="D32" s="51" t="n"/>
      <c r="E32" s="52" t="n"/>
      <c r="F32" s="52" t="n"/>
      <c r="G32" s="53" t="n"/>
      <c r="H32" s="54" t="n"/>
      <c r="I32" s="54" t="n"/>
      <c r="J32" s="54" t="n"/>
      <c r="K32" s="54" t="n"/>
      <c r="L32" s="55">
        <f>IF(NOT((COUNTA($A32)+COUNTA($C32:$K32)+COUNTA($N32:$O32))&gt;0),"",IFERROR(LOOKUP(2,1/(H32:K32&lt;&gt;""),H32:K32),0))</f>
        <v/>
      </c>
      <c r="M32" s="56">
        <f>IF(L32="","",IF(L32&gt;=1,"Completado",IF(L32&gt;0,"En curso","Pendiente")))</f>
        <v/>
      </c>
      <c r="N32" s="52" t="n"/>
      <c r="O32" s="51" t="n"/>
      <c r="P32" s="57">
        <f>IF(NOT((COUNTA($A32)+COUNTA($C32:$K32)+COUNTA($N32:$O32))&gt;0),"",IF((IF(A32="","Falta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 OK","⚠ "&amp;LEFT(IF(A32="","Falta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",""),LEN(IF(A32="","Falta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",""))-3)))</f>
        <v/>
      </c>
    </row>
    <row r="33">
      <c r="A33" s="49" t="n"/>
      <c r="B33" s="50">
        <f>IF((COUNTA($A33)+COUNTA($C33:$K33)+COUNTA($N33:$O33))&gt;0,"Riesgo Legal y Normativo","")</f>
        <v/>
      </c>
      <c r="C33" s="51" t="n"/>
      <c r="D33" s="51" t="n"/>
      <c r="E33" s="52" t="n"/>
      <c r="F33" s="52" t="n"/>
      <c r="G33" s="53" t="n"/>
      <c r="H33" s="54" t="n"/>
      <c r="I33" s="54" t="n"/>
      <c r="J33" s="54" t="n"/>
      <c r="K33" s="54" t="n"/>
      <c r="L33" s="55">
        <f>IF(NOT((COUNTA($A33)+COUNTA($C33:$K33)+COUNTA($N33:$O33))&gt;0),"",IFERROR(LOOKUP(2,1/(H33:K33&lt;&gt;""),H33:K33),0))</f>
        <v/>
      </c>
      <c r="M33" s="56">
        <f>IF(L33="","",IF(L33&gt;=1,"Completado",IF(L33&gt;0,"En curso","Pendiente")))</f>
        <v/>
      </c>
      <c r="N33" s="52" t="n"/>
      <c r="O33" s="51" t="n"/>
      <c r="P33" s="57">
        <f>IF(NOT((COUNTA($A33)+COUNTA($C33:$K33)+COUNTA($N33:$O33))&gt;0),"",IF((IF(A33="","Falta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 OK","⚠ "&amp;LEFT(IF(A33="","Falta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",""),LEN(IF(A33="","Falta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",""))-3)))</f>
        <v/>
      </c>
    </row>
    <row r="34">
      <c r="A34" s="49" t="n"/>
      <c r="B34" s="50">
        <f>IF((COUNTA($A34)+COUNTA($C34:$K34)+COUNTA($N34:$O34))&gt;0,"Riesgo Legal y Normativo","")</f>
        <v/>
      </c>
      <c r="C34" s="51" t="n"/>
      <c r="D34" s="51" t="n"/>
      <c r="E34" s="52" t="n"/>
      <c r="F34" s="52" t="n"/>
      <c r="G34" s="53" t="n"/>
      <c r="H34" s="54" t="n"/>
      <c r="I34" s="54" t="n"/>
      <c r="J34" s="54" t="n"/>
      <c r="K34" s="54" t="n"/>
      <c r="L34" s="55">
        <f>IF(NOT((COUNTA($A34)+COUNTA($C34:$K34)+COUNTA($N34:$O34))&gt;0),"",IFERROR(LOOKUP(2,1/(H34:K34&lt;&gt;""),H34:K34),0))</f>
        <v/>
      </c>
      <c r="M34" s="56">
        <f>IF(L34="","",IF(L34&gt;=1,"Completado",IF(L34&gt;0,"En curso","Pendiente")))</f>
        <v/>
      </c>
      <c r="N34" s="52" t="n"/>
      <c r="O34" s="51" t="n"/>
      <c r="P34" s="57">
        <f>IF(NOT((COUNTA($A34)+COUNTA($C34:$K34)+COUNTA($N34:$O34))&gt;0),"",IF((IF(A34="","Falta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 OK","⚠ "&amp;LEFT(IF(A34="","Falta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",""),LEN(IF(A34="","Falta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",""))-3)))</f>
        <v/>
      </c>
    </row>
    <row r="35">
      <c r="A35" s="49" t="n"/>
      <c r="B35" s="50">
        <f>IF((COUNTA($A35)+COUNTA($C35:$K35)+COUNTA($N35:$O35))&gt;0,"Riesgo Legal y Normativo","")</f>
        <v/>
      </c>
      <c r="C35" s="51" t="n"/>
      <c r="D35" s="51" t="n"/>
      <c r="E35" s="52" t="n"/>
      <c r="F35" s="52" t="n"/>
      <c r="G35" s="53" t="n"/>
      <c r="H35" s="54" t="n"/>
      <c r="I35" s="54" t="n"/>
      <c r="J35" s="54" t="n"/>
      <c r="K35" s="54" t="n"/>
      <c r="L35" s="55">
        <f>IF(NOT((COUNTA($A35)+COUNTA($C35:$K35)+COUNTA($N35:$O35))&gt;0),"",IFERROR(LOOKUP(2,1/(H35:K35&lt;&gt;""),H35:K35),0))</f>
        <v/>
      </c>
      <c r="M35" s="56">
        <f>IF(L35="","",IF(L35&gt;=1,"Completado",IF(L35&gt;0,"En curso","Pendiente")))</f>
        <v/>
      </c>
      <c r="N35" s="52" t="n"/>
      <c r="O35" s="51" t="n"/>
      <c r="P35" s="57">
        <f>IF(NOT((COUNTA($A35)+COUNTA($C35:$K35)+COUNTA($N35:$O35))&gt;0),"",IF((IF(A35="","Falta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 OK","⚠ "&amp;LEFT(IF(A35="","Falta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",""),LEN(IF(A35="","Falta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",""))-3)))</f>
        <v/>
      </c>
    </row>
    <row r="36">
      <c r="A36" s="49" t="n"/>
      <c r="B36" s="50">
        <f>IF((COUNTA($A36)+COUNTA($C36:$K36)+COUNTA($N36:$O36))&gt;0,"Riesgo Legal y Normativo","")</f>
        <v/>
      </c>
      <c r="C36" s="51" t="n"/>
      <c r="D36" s="51" t="n"/>
      <c r="E36" s="52" t="n"/>
      <c r="F36" s="52" t="n"/>
      <c r="G36" s="53" t="n"/>
      <c r="H36" s="54" t="n"/>
      <c r="I36" s="54" t="n"/>
      <c r="J36" s="54" t="n"/>
      <c r="K36" s="54" t="n"/>
      <c r="L36" s="55">
        <f>IF(NOT((COUNTA($A36)+COUNTA($C36:$K36)+COUNTA($N36:$O36))&gt;0),"",IFERROR(LOOKUP(2,1/(H36:K36&lt;&gt;""),H36:K36),0))</f>
        <v/>
      </c>
      <c r="M36" s="56">
        <f>IF(L36="","",IF(L36&gt;=1,"Completado",IF(L36&gt;0,"En curso","Pendiente")))</f>
        <v/>
      </c>
      <c r="N36" s="52" t="n"/>
      <c r="O36" s="51" t="n"/>
      <c r="P36" s="57">
        <f>IF(NOT((COUNTA($A36)+COUNTA($C36:$K36)+COUNTA($N36:$O36))&gt;0),"",IF((IF(A36="","Falta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 OK","⚠ "&amp;LEFT(IF(A36="","Falta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",""),LEN(IF(A36="","Falta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",""))-3)))</f>
        <v/>
      </c>
    </row>
    <row r="37">
      <c r="A37" s="49" t="n"/>
      <c r="B37" s="50">
        <f>IF((COUNTA($A37)+COUNTA($C37:$K37)+COUNTA($N37:$O37))&gt;0,"Riesgo Legal y Normativo","")</f>
        <v/>
      </c>
      <c r="C37" s="51" t="n"/>
      <c r="D37" s="51" t="n"/>
      <c r="E37" s="52" t="n"/>
      <c r="F37" s="52" t="n"/>
      <c r="G37" s="53" t="n"/>
      <c r="H37" s="54" t="n"/>
      <c r="I37" s="54" t="n"/>
      <c r="J37" s="54" t="n"/>
      <c r="K37" s="54" t="n"/>
      <c r="L37" s="55">
        <f>IF(NOT((COUNTA($A37)+COUNTA($C37:$K37)+COUNTA($N37:$O37))&gt;0),"",IFERROR(LOOKUP(2,1/(H37:K37&lt;&gt;""),H37:K37),0))</f>
        <v/>
      </c>
      <c r="M37" s="56">
        <f>IF(L37="","",IF(L37&gt;=1,"Completado",IF(L37&gt;0,"En curso","Pendiente")))</f>
        <v/>
      </c>
      <c r="N37" s="52" t="n"/>
      <c r="O37" s="51" t="n"/>
      <c r="P37" s="57">
        <f>IF(NOT((COUNTA($A37)+COUNTA($C37:$K37)+COUNTA($N37:$O37))&gt;0),"",IF((IF(A37="","Falta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 OK","⚠ "&amp;LEFT(IF(A37="","Falta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",""),LEN(IF(A37="","Falta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",""))-3)))</f>
        <v/>
      </c>
    </row>
    <row r="38">
      <c r="A38" s="49" t="n"/>
      <c r="B38" s="50">
        <f>IF((COUNTA($A38)+COUNTA($C38:$K38)+COUNTA($N38:$O38))&gt;0,"Riesgo Legal y Normativo","")</f>
        <v/>
      </c>
      <c r="C38" s="51" t="n"/>
      <c r="D38" s="51" t="n"/>
      <c r="E38" s="52" t="n"/>
      <c r="F38" s="52" t="n"/>
      <c r="G38" s="53" t="n"/>
      <c r="H38" s="54" t="n"/>
      <c r="I38" s="54" t="n"/>
      <c r="J38" s="54" t="n"/>
      <c r="K38" s="54" t="n"/>
      <c r="L38" s="55">
        <f>IF(NOT((COUNTA($A38)+COUNTA($C38:$K38)+COUNTA($N38:$O38))&gt;0),"",IFERROR(LOOKUP(2,1/(H38:K38&lt;&gt;""),H38:K38),0))</f>
        <v/>
      </c>
      <c r="M38" s="56">
        <f>IF(L38="","",IF(L38&gt;=1,"Completado",IF(L38&gt;0,"En curso","Pendiente")))</f>
        <v/>
      </c>
      <c r="N38" s="52" t="n"/>
      <c r="O38" s="51" t="n"/>
      <c r="P38" s="57">
        <f>IF(NOT((COUNTA($A38)+COUNTA($C38:$K38)+COUNTA($N38:$O38))&gt;0),"",IF((IF(A38="","Falta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 OK","⚠ "&amp;LEFT(IF(A38="","Falta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",""),LEN(IF(A38="","Falta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",""))-3)))</f>
        <v/>
      </c>
    </row>
    <row r="39">
      <c r="A39" s="49" t="n"/>
      <c r="B39" s="50">
        <f>IF((COUNTA($A39)+COUNTA($C39:$K39)+COUNTA($N39:$O39))&gt;0,"Riesgo Legal y Normativo","")</f>
        <v/>
      </c>
      <c r="C39" s="51" t="n"/>
      <c r="D39" s="51" t="n"/>
      <c r="E39" s="52" t="n"/>
      <c r="F39" s="52" t="n"/>
      <c r="G39" s="53" t="n"/>
      <c r="H39" s="54" t="n"/>
      <c r="I39" s="54" t="n"/>
      <c r="J39" s="54" t="n"/>
      <c r="K39" s="54" t="n"/>
      <c r="L39" s="55">
        <f>IF(NOT((COUNTA($A39)+COUNTA($C39:$K39)+COUNTA($N39:$O39))&gt;0),"",IFERROR(LOOKUP(2,1/(H39:K39&lt;&gt;""),H39:K39),0))</f>
        <v/>
      </c>
      <c r="M39" s="56">
        <f>IF(L39="","",IF(L39&gt;=1,"Completado",IF(L39&gt;0,"En curso","Pendiente")))</f>
        <v/>
      </c>
      <c r="N39" s="52" t="n"/>
      <c r="O39" s="51" t="n"/>
      <c r="P39" s="57">
        <f>IF(NOT((COUNTA($A39)+COUNTA($C39:$K39)+COUNTA($N39:$O39))&gt;0),"",IF((IF(A39="","Falta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 OK","⚠ "&amp;LEFT(IF(A39="","Falta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",""),LEN(IF(A39="","Falta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",""))-3)))</f>
        <v/>
      </c>
    </row>
    <row r="40">
      <c r="A40" s="49" t="n"/>
      <c r="B40" s="50">
        <f>IF((COUNTA($A40)+COUNTA($C40:$K40)+COUNTA($N40:$O40))&gt;0,"Riesgo Legal y Normativo","")</f>
        <v/>
      </c>
      <c r="C40" s="51" t="n"/>
      <c r="D40" s="51" t="n"/>
      <c r="E40" s="52" t="n"/>
      <c r="F40" s="52" t="n"/>
      <c r="G40" s="53" t="n"/>
      <c r="H40" s="54" t="n"/>
      <c r="I40" s="54" t="n"/>
      <c r="J40" s="54" t="n"/>
      <c r="K40" s="54" t="n"/>
      <c r="L40" s="55">
        <f>IF(NOT((COUNTA($A40)+COUNTA($C40:$K40)+COUNTA($N40:$O40))&gt;0),"",IFERROR(LOOKUP(2,1/(H40:K40&lt;&gt;""),H40:K40),0))</f>
        <v/>
      </c>
      <c r="M40" s="56">
        <f>IF(L40="","",IF(L40&gt;=1,"Completado",IF(L40&gt;0,"En curso","Pendiente")))</f>
        <v/>
      </c>
      <c r="N40" s="52" t="n"/>
      <c r="O40" s="51" t="n"/>
      <c r="P40" s="57">
        <f>IF(NOT((COUNTA($A40)+COUNTA($C40:$K40)+COUNTA($N40:$O40))&gt;0),"",IF((IF(A40="","Falta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 OK","⚠ "&amp;LEFT(IF(A40="","Falta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",""),LEN(IF(A40="","Falta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",""))-3)))</f>
        <v/>
      </c>
    </row>
    <row r="41">
      <c r="A41" s="49" t="n"/>
      <c r="B41" s="50">
        <f>IF((COUNTA($A41)+COUNTA($C41:$K41)+COUNTA($N41:$O41))&gt;0,"Riesgo Legal y Normativo","")</f>
        <v/>
      </c>
      <c r="C41" s="51" t="n"/>
      <c r="D41" s="51" t="n"/>
      <c r="E41" s="52" t="n"/>
      <c r="F41" s="52" t="n"/>
      <c r="G41" s="53" t="n"/>
      <c r="H41" s="54" t="n"/>
      <c r="I41" s="54" t="n"/>
      <c r="J41" s="54" t="n"/>
      <c r="K41" s="54" t="n"/>
      <c r="L41" s="55">
        <f>IF(NOT((COUNTA($A41)+COUNTA($C41:$K41)+COUNTA($N41:$O41))&gt;0),"",IFERROR(LOOKUP(2,1/(H41:K41&lt;&gt;""),H41:K41),0))</f>
        <v/>
      </c>
      <c r="M41" s="56">
        <f>IF(L41="","",IF(L41&gt;=1,"Completado",IF(L41&gt;0,"En curso","Pendiente")))</f>
        <v/>
      </c>
      <c r="N41" s="52" t="n"/>
      <c r="O41" s="51" t="n"/>
      <c r="P41" s="57">
        <f>IF(NOT((COUNTA($A41)+COUNTA($C41:$K41)+COUNTA($N41:$O41))&gt;0),"",IF((IF(A41="","Falta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 OK","⚠ "&amp;LEFT(IF(A41="","Falta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",""),LEN(IF(A41="","Falta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",""))-3)))</f>
        <v/>
      </c>
    </row>
    <row r="42">
      <c r="A42" s="49" t="n"/>
      <c r="B42" s="50">
        <f>IF((COUNTA($A42)+COUNTA($C42:$K42)+COUNTA($N42:$O42))&gt;0,"Riesgo Legal y Normativo","")</f>
        <v/>
      </c>
      <c r="C42" s="51" t="n"/>
      <c r="D42" s="51" t="n"/>
      <c r="E42" s="52" t="n"/>
      <c r="F42" s="52" t="n"/>
      <c r="G42" s="53" t="n"/>
      <c r="H42" s="54" t="n"/>
      <c r="I42" s="54" t="n"/>
      <c r="J42" s="54" t="n"/>
      <c r="K42" s="54" t="n"/>
      <c r="L42" s="55">
        <f>IF(NOT((COUNTA($A42)+COUNTA($C42:$K42)+COUNTA($N42:$O42))&gt;0),"",IFERROR(LOOKUP(2,1/(H42:K42&lt;&gt;""),H42:K42),0))</f>
        <v/>
      </c>
      <c r="M42" s="56">
        <f>IF(L42="","",IF(L42&gt;=1,"Completado",IF(L42&gt;0,"En curso","Pendiente")))</f>
        <v/>
      </c>
      <c r="N42" s="52" t="n"/>
      <c r="O42" s="51" t="n"/>
      <c r="P42" s="57">
        <f>IF(NOT((COUNTA($A42)+COUNTA($C42:$K42)+COUNTA($N42:$O42))&gt;0),"",IF((IF(A42="","Falta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 OK","⚠ "&amp;LEFT(IF(A42="","Falta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",""),LEN(IF(A42="","Falta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",""))-3)))</f>
        <v/>
      </c>
    </row>
    <row r="43">
      <c r="A43" s="49" t="n"/>
      <c r="B43" s="50">
        <f>IF((COUNTA($A43)+COUNTA($C43:$K43)+COUNTA($N43:$O43))&gt;0,"Riesgo Legal y Normativo","")</f>
        <v/>
      </c>
      <c r="C43" s="51" t="n"/>
      <c r="D43" s="51" t="n"/>
      <c r="E43" s="52" t="n"/>
      <c r="F43" s="52" t="n"/>
      <c r="G43" s="53" t="n"/>
      <c r="H43" s="54" t="n"/>
      <c r="I43" s="54" t="n"/>
      <c r="J43" s="54" t="n"/>
      <c r="K43" s="54" t="n"/>
      <c r="L43" s="55">
        <f>IF(NOT((COUNTA($A43)+COUNTA($C43:$K43)+COUNTA($N43:$O43))&gt;0),"",IFERROR(LOOKUP(2,1/(H43:K43&lt;&gt;""),H43:K43),0))</f>
        <v/>
      </c>
      <c r="M43" s="56">
        <f>IF(L43="","",IF(L43&gt;=1,"Completado",IF(L43&gt;0,"En curso","Pendiente")))</f>
        <v/>
      </c>
      <c r="N43" s="52" t="n"/>
      <c r="O43" s="51" t="n"/>
      <c r="P43" s="57">
        <f>IF(NOT((COUNTA($A43)+COUNTA($C43:$K43)+COUNTA($N43:$O43))&gt;0),"",IF((IF(A43="","Falta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 OK","⚠ "&amp;LEFT(IF(A43="","Falta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",""),LEN(IF(A43="","Falta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",""))-3)))</f>
        <v/>
      </c>
    </row>
    <row r="44">
      <c r="A44" s="49" t="n"/>
      <c r="B44" s="50">
        <f>IF((COUNTA($A44)+COUNTA($C44:$K44)+COUNTA($N44:$O44))&gt;0,"Riesgo Legal y Normativo","")</f>
        <v/>
      </c>
      <c r="C44" s="51" t="n"/>
      <c r="D44" s="51" t="n"/>
      <c r="E44" s="52" t="n"/>
      <c r="F44" s="52" t="n"/>
      <c r="G44" s="53" t="n"/>
      <c r="H44" s="54" t="n"/>
      <c r="I44" s="54" t="n"/>
      <c r="J44" s="54" t="n"/>
      <c r="K44" s="54" t="n"/>
      <c r="L44" s="55">
        <f>IF(NOT((COUNTA($A44)+COUNTA($C44:$K44)+COUNTA($N44:$O44))&gt;0),"",IFERROR(LOOKUP(2,1/(H44:K44&lt;&gt;""),H44:K44),0))</f>
        <v/>
      </c>
      <c r="M44" s="56">
        <f>IF(L44="","",IF(L44&gt;=1,"Completado",IF(L44&gt;0,"En curso","Pendiente")))</f>
        <v/>
      </c>
      <c r="N44" s="52" t="n"/>
      <c r="O44" s="51" t="n"/>
      <c r="P44" s="57">
        <f>IF(NOT((COUNTA($A44)+COUNTA($C44:$K44)+COUNTA($N44:$O44))&gt;0),"",IF((IF(A44="","Falta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 OK","⚠ "&amp;LEFT(IF(A44="","Falta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",""),LEN(IF(A44="","Falta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",""))-3)))</f>
        <v/>
      </c>
    </row>
    <row r="45">
      <c r="A45" s="49" t="n"/>
      <c r="B45" s="50">
        <f>IF((COUNTA($A45)+COUNTA($C45:$K45)+COUNTA($N45:$O45))&gt;0,"Riesgo Legal y Normativo","")</f>
        <v/>
      </c>
      <c r="C45" s="51" t="n"/>
      <c r="D45" s="51" t="n"/>
      <c r="E45" s="52" t="n"/>
      <c r="F45" s="52" t="n"/>
      <c r="G45" s="53" t="n"/>
      <c r="H45" s="54" t="n"/>
      <c r="I45" s="54" t="n"/>
      <c r="J45" s="54" t="n"/>
      <c r="K45" s="54" t="n"/>
      <c r="L45" s="55">
        <f>IF(NOT((COUNTA($A45)+COUNTA($C45:$K45)+COUNTA($N45:$O45))&gt;0),"",IFERROR(LOOKUP(2,1/(H45:K45&lt;&gt;""),H45:K45),0))</f>
        <v/>
      </c>
      <c r="M45" s="56">
        <f>IF(L45="","",IF(L45&gt;=1,"Completado",IF(L45&gt;0,"En curso","Pendiente")))</f>
        <v/>
      </c>
      <c r="N45" s="52" t="n"/>
      <c r="O45" s="51" t="n"/>
      <c r="P45" s="57">
        <f>IF(NOT((COUNTA($A45)+COUNTA($C45:$K45)+COUNTA($N45:$O45))&gt;0),"",IF((IF(A45="","Falta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 OK","⚠ "&amp;LEFT(IF(A45="","Falta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",""),LEN(IF(A45="","Falta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",""))-3)))</f>
        <v/>
      </c>
    </row>
    <row r="46">
      <c r="A46" s="49" t="n"/>
      <c r="B46" s="50">
        <f>IF((COUNTA($A46)+COUNTA($C46:$K46)+COUNTA($N46:$O46))&gt;0,"Riesgo Legal y Normativo","")</f>
        <v/>
      </c>
      <c r="C46" s="51" t="n"/>
      <c r="D46" s="51" t="n"/>
      <c r="E46" s="52" t="n"/>
      <c r="F46" s="52" t="n"/>
      <c r="G46" s="53" t="n"/>
      <c r="H46" s="54" t="n"/>
      <c r="I46" s="54" t="n"/>
      <c r="J46" s="54" t="n"/>
      <c r="K46" s="54" t="n"/>
      <c r="L46" s="55">
        <f>IF(NOT((COUNTA($A46)+COUNTA($C46:$K46)+COUNTA($N46:$O46))&gt;0),"",IFERROR(LOOKUP(2,1/(H46:K46&lt;&gt;""),H46:K46),0))</f>
        <v/>
      </c>
      <c r="M46" s="56">
        <f>IF(L46="","",IF(L46&gt;=1,"Completado",IF(L46&gt;0,"En curso","Pendiente")))</f>
        <v/>
      </c>
      <c r="N46" s="52" t="n"/>
      <c r="O46" s="51" t="n"/>
      <c r="P46" s="57">
        <f>IF(NOT((COUNTA($A46)+COUNTA($C46:$K46)+COUNTA($N46:$O46))&gt;0),"",IF((IF(A46="","Falta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 OK","⚠ "&amp;LEFT(IF(A46="","Falta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",""),LEN(IF(A46="","Falta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",""))-3)))</f>
        <v/>
      </c>
    </row>
    <row r="47">
      <c r="A47" s="49" t="n"/>
      <c r="B47" s="50">
        <f>IF((COUNTA($A47)+COUNTA($C47:$K47)+COUNTA($N47:$O47))&gt;0,"Riesgo Legal y Normativo","")</f>
        <v/>
      </c>
      <c r="C47" s="51" t="n"/>
      <c r="D47" s="51" t="n"/>
      <c r="E47" s="52" t="n"/>
      <c r="F47" s="52" t="n"/>
      <c r="G47" s="53" t="n"/>
      <c r="H47" s="54" t="n"/>
      <c r="I47" s="54" t="n"/>
      <c r="J47" s="54" t="n"/>
      <c r="K47" s="54" t="n"/>
      <c r="L47" s="55">
        <f>IF(NOT((COUNTA($A47)+COUNTA($C47:$K47)+COUNTA($N47:$O47))&gt;0),"",IFERROR(LOOKUP(2,1/(H47:K47&lt;&gt;""),H47:K47),0))</f>
        <v/>
      </c>
      <c r="M47" s="56">
        <f>IF(L47="","",IF(L47&gt;=1,"Completado",IF(L47&gt;0,"En curso","Pendiente")))</f>
        <v/>
      </c>
      <c r="N47" s="52" t="n"/>
      <c r="O47" s="51" t="n"/>
      <c r="P47" s="57">
        <f>IF(NOT((COUNTA($A47)+COUNTA($C47:$K47)+COUNTA($N47:$O47))&gt;0),"",IF((IF(A47="","Falta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 OK","⚠ "&amp;LEFT(IF(A47="","Falta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",""),LEN(IF(A47="","Falta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",""))-3)))</f>
        <v/>
      </c>
    </row>
    <row r="48">
      <c r="A48" s="49" t="n"/>
      <c r="B48" s="50">
        <f>IF((COUNTA($A48)+COUNTA($C48:$K48)+COUNTA($N48:$O48))&gt;0,"Riesgo Legal y Normativo","")</f>
        <v/>
      </c>
      <c r="C48" s="51" t="n"/>
      <c r="D48" s="51" t="n"/>
      <c r="E48" s="52" t="n"/>
      <c r="F48" s="52" t="n"/>
      <c r="G48" s="53" t="n"/>
      <c r="H48" s="54" t="n"/>
      <c r="I48" s="54" t="n"/>
      <c r="J48" s="54" t="n"/>
      <c r="K48" s="54" t="n"/>
      <c r="L48" s="55">
        <f>IF(NOT((COUNTA($A48)+COUNTA($C48:$K48)+COUNTA($N48:$O48))&gt;0),"",IFERROR(LOOKUP(2,1/(H48:K48&lt;&gt;""),H48:K48),0))</f>
        <v/>
      </c>
      <c r="M48" s="56">
        <f>IF(L48="","",IF(L48&gt;=1,"Completado",IF(L48&gt;0,"En curso","Pendiente")))</f>
        <v/>
      </c>
      <c r="N48" s="52" t="n"/>
      <c r="O48" s="51" t="n"/>
      <c r="P48" s="57">
        <f>IF(NOT((COUNTA($A48)+COUNTA($C48:$K48)+COUNTA($N48:$O48))&gt;0),"",IF((IF(A48="","Falta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 OK","⚠ "&amp;LEFT(IF(A48="","Falta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",""),LEN(IF(A48="","Falta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",""))-3)))</f>
        <v/>
      </c>
    </row>
    <row r="49">
      <c r="A49" s="49" t="n"/>
      <c r="B49" s="50">
        <f>IF((COUNTA($A49)+COUNTA($C49:$K49)+COUNTA($N49:$O49))&gt;0,"Riesgo Legal y Normativo","")</f>
        <v/>
      </c>
      <c r="C49" s="51" t="n"/>
      <c r="D49" s="51" t="n"/>
      <c r="E49" s="52" t="n"/>
      <c r="F49" s="52" t="n"/>
      <c r="G49" s="53" t="n"/>
      <c r="H49" s="54" t="n"/>
      <c r="I49" s="54" t="n"/>
      <c r="J49" s="54" t="n"/>
      <c r="K49" s="54" t="n"/>
      <c r="L49" s="55">
        <f>IF(NOT((COUNTA($A49)+COUNTA($C49:$K49)+COUNTA($N49:$O49))&gt;0),"",IFERROR(LOOKUP(2,1/(H49:K49&lt;&gt;""),H49:K49),0))</f>
        <v/>
      </c>
      <c r="M49" s="56">
        <f>IF(L49="","",IF(L49&gt;=1,"Completado",IF(L49&gt;0,"En curso","Pendiente")))</f>
        <v/>
      </c>
      <c r="N49" s="52" t="n"/>
      <c r="O49" s="51" t="n"/>
      <c r="P49" s="57">
        <f>IF(NOT((COUNTA($A49)+COUNTA($C49:$K49)+COUNTA($N49:$O49))&gt;0),"",IF((IF(A49="","Falta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 OK","⚠ "&amp;LEFT(IF(A49="","Falta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",""),LEN(IF(A49="","Falta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",""))-3)))</f>
        <v/>
      </c>
    </row>
    <row r="50">
      <c r="A50" s="49" t="n"/>
      <c r="B50" s="50">
        <f>IF((COUNTA($A50)+COUNTA($C50:$K50)+COUNTA($N50:$O50))&gt;0,"Riesgo Legal y Normativo","")</f>
        <v/>
      </c>
      <c r="C50" s="51" t="n"/>
      <c r="D50" s="51" t="n"/>
      <c r="E50" s="52" t="n"/>
      <c r="F50" s="52" t="n"/>
      <c r="G50" s="53" t="n"/>
      <c r="H50" s="54" t="n"/>
      <c r="I50" s="54" t="n"/>
      <c r="J50" s="54" t="n"/>
      <c r="K50" s="54" t="n"/>
      <c r="L50" s="55">
        <f>IF(NOT((COUNTA($A50)+COUNTA($C50:$K50)+COUNTA($N50:$O50))&gt;0),"",IFERROR(LOOKUP(2,1/(H50:K50&lt;&gt;""),H50:K50),0))</f>
        <v/>
      </c>
      <c r="M50" s="56">
        <f>IF(L50="","",IF(L50&gt;=1,"Completado",IF(L50&gt;0,"En curso","Pendiente")))</f>
        <v/>
      </c>
      <c r="N50" s="52" t="n"/>
      <c r="O50" s="51" t="n"/>
      <c r="P50" s="57">
        <f>IF(NOT((COUNTA($A50)+COUNTA($C50:$K50)+COUNTA($N50:$O50))&gt;0),"",IF((IF(A50="","Falta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 OK","⚠ "&amp;LEFT(IF(A50="","Falta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",""),LEN(IF(A50="","Falta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",""))-3)))</f>
        <v/>
      </c>
    </row>
    <row r="51">
      <c r="A51" s="49" t="n"/>
      <c r="B51" s="50">
        <f>IF((COUNTA($A51)+COUNTA($C51:$K51)+COUNTA($N51:$O51))&gt;0,"Riesgo Legal y Normativo","")</f>
        <v/>
      </c>
      <c r="C51" s="51" t="n"/>
      <c r="D51" s="51" t="n"/>
      <c r="E51" s="52" t="n"/>
      <c r="F51" s="52" t="n"/>
      <c r="G51" s="53" t="n"/>
      <c r="H51" s="54" t="n"/>
      <c r="I51" s="54" t="n"/>
      <c r="J51" s="54" t="n"/>
      <c r="K51" s="54" t="n"/>
      <c r="L51" s="55">
        <f>IF(NOT((COUNTA($A51)+COUNTA($C51:$K51)+COUNTA($N51:$O51))&gt;0),"",IFERROR(LOOKUP(2,1/(H51:K51&lt;&gt;""),H51:K51),0))</f>
        <v/>
      </c>
      <c r="M51" s="56">
        <f>IF(L51="","",IF(L51&gt;=1,"Completado",IF(L51&gt;0,"En curso","Pendiente")))</f>
        <v/>
      </c>
      <c r="N51" s="52" t="n"/>
      <c r="O51" s="51" t="n"/>
      <c r="P51" s="57">
        <f>IF(NOT((COUNTA($A51)+COUNTA($C51:$K51)+COUNTA($N51:$O51))&gt;0),"",IF((IF(A51="","Falta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 OK","⚠ "&amp;LEFT(IF(A51="","Falta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",""),LEN(IF(A51="","Falta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",""))-3)))</f>
        <v/>
      </c>
    </row>
    <row r="52">
      <c r="A52" s="49" t="n"/>
      <c r="B52" s="50">
        <f>IF((COUNTA($A52)+COUNTA($C52:$K52)+COUNTA($N52:$O52))&gt;0,"Riesgo Legal y Normativo","")</f>
        <v/>
      </c>
      <c r="C52" s="51" t="n"/>
      <c r="D52" s="51" t="n"/>
      <c r="E52" s="52" t="n"/>
      <c r="F52" s="52" t="n"/>
      <c r="G52" s="53" t="n"/>
      <c r="H52" s="54" t="n"/>
      <c r="I52" s="54" t="n"/>
      <c r="J52" s="54" t="n"/>
      <c r="K52" s="54" t="n"/>
      <c r="L52" s="55">
        <f>IF(NOT((COUNTA($A52)+COUNTA($C52:$K52)+COUNTA($N52:$O52))&gt;0),"",IFERROR(LOOKUP(2,1/(H52:K52&lt;&gt;""),H52:K52),0))</f>
        <v/>
      </c>
      <c r="M52" s="56">
        <f>IF(L52="","",IF(L52&gt;=1,"Completado",IF(L52&gt;0,"En curso","Pendiente")))</f>
        <v/>
      </c>
      <c r="N52" s="52" t="n"/>
      <c r="O52" s="51" t="n"/>
      <c r="P52" s="57">
        <f>IF(NOT((COUNTA($A52)+COUNTA($C52:$K52)+COUNTA($N52:$O52))&gt;0),"",IF((IF(A52="","Falta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 OK","⚠ "&amp;LEFT(IF(A52="","Falta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",""),LEN(IF(A52="","Falta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",""))-3)))</f>
        <v/>
      </c>
    </row>
    <row r="53">
      <c r="A53" s="49" t="n"/>
      <c r="B53" s="50">
        <f>IF((COUNTA($A53)+COUNTA($C53:$K53)+COUNTA($N53:$O53))&gt;0,"Riesgo Legal y Normativo","")</f>
        <v/>
      </c>
      <c r="C53" s="51" t="n"/>
      <c r="D53" s="51" t="n"/>
      <c r="E53" s="52" t="n"/>
      <c r="F53" s="52" t="n"/>
      <c r="G53" s="53" t="n"/>
      <c r="H53" s="54" t="n"/>
      <c r="I53" s="54" t="n"/>
      <c r="J53" s="54" t="n"/>
      <c r="K53" s="54" t="n"/>
      <c r="L53" s="55">
        <f>IF(NOT((COUNTA($A53)+COUNTA($C53:$K53)+COUNTA($N53:$O53))&gt;0),"",IFERROR(LOOKUP(2,1/(H53:K53&lt;&gt;""),H53:K53),0))</f>
        <v/>
      </c>
      <c r="M53" s="56">
        <f>IF(L53="","",IF(L53&gt;=1,"Completado",IF(L53&gt;0,"En curso","Pendiente")))</f>
        <v/>
      </c>
      <c r="N53" s="52" t="n"/>
      <c r="O53" s="51" t="n"/>
      <c r="P53" s="57">
        <f>IF(NOT((COUNTA($A53)+COUNTA($C53:$K53)+COUNTA($N53:$O53))&gt;0),"",IF((IF(A53="","Falta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 OK","⚠ "&amp;LEFT(IF(A53="","Falta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",""),LEN(IF(A53="","Falta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",""))-3)))</f>
        <v/>
      </c>
    </row>
    <row r="54">
      <c r="A54" s="49" t="n"/>
      <c r="B54" s="50">
        <f>IF((COUNTA($A54)+COUNTA($C54:$K54)+COUNTA($N54:$O54))&gt;0,"Riesgo Legal y Normativo","")</f>
        <v/>
      </c>
      <c r="C54" s="51" t="n"/>
      <c r="D54" s="51" t="n"/>
      <c r="E54" s="52" t="n"/>
      <c r="F54" s="52" t="n"/>
      <c r="G54" s="53" t="n"/>
      <c r="H54" s="54" t="n"/>
      <c r="I54" s="54" t="n"/>
      <c r="J54" s="54" t="n"/>
      <c r="K54" s="54" t="n"/>
      <c r="L54" s="55">
        <f>IF(NOT((COUNTA($A54)+COUNTA($C54:$K54)+COUNTA($N54:$O54))&gt;0),"",IFERROR(LOOKUP(2,1/(H54:K54&lt;&gt;""),H54:K54),0))</f>
        <v/>
      </c>
      <c r="M54" s="56">
        <f>IF(L54="","",IF(L54&gt;=1,"Completado",IF(L54&gt;0,"En curso","Pendiente")))</f>
        <v/>
      </c>
      <c r="N54" s="52" t="n"/>
      <c r="O54" s="51" t="n"/>
      <c r="P54" s="57">
        <f>IF(NOT((COUNTA($A54)+COUNTA($C54:$K54)+COUNTA($N54:$O54))&gt;0),"",IF((IF(A54="","Falta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 OK","⚠ "&amp;LEFT(IF(A54="","Falta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",""),LEN(IF(A54="","Falta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",""))-3)))</f>
        <v/>
      </c>
    </row>
    <row r="55">
      <c r="A55" s="49" t="n"/>
      <c r="B55" s="50">
        <f>IF((COUNTA($A55)+COUNTA($C55:$K55)+COUNTA($N55:$O55))&gt;0,"Riesgo Legal y Normativo","")</f>
        <v/>
      </c>
      <c r="C55" s="51" t="n"/>
      <c r="D55" s="51" t="n"/>
      <c r="E55" s="52" t="n"/>
      <c r="F55" s="52" t="n"/>
      <c r="G55" s="53" t="n"/>
      <c r="H55" s="54" t="n"/>
      <c r="I55" s="54" t="n"/>
      <c r="J55" s="54" t="n"/>
      <c r="K55" s="54" t="n"/>
      <c r="L55" s="55">
        <f>IF(NOT((COUNTA($A55)+COUNTA($C55:$K55)+COUNTA($N55:$O55))&gt;0),"",IFERROR(LOOKUP(2,1/(H55:K55&lt;&gt;""),H55:K55),0))</f>
        <v/>
      </c>
      <c r="M55" s="56">
        <f>IF(L55="","",IF(L55&gt;=1,"Completado",IF(L55&gt;0,"En curso","Pendiente")))</f>
        <v/>
      </c>
      <c r="N55" s="52" t="n"/>
      <c r="O55" s="51" t="n"/>
      <c r="P55" s="57">
        <f>IF(NOT((COUNTA($A55)+COUNTA($C55:$K55)+COUNTA($N55:$O55))&gt;0),"",IF((IF(A55="","Falta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 OK","⚠ "&amp;LEFT(IF(A55="","Falta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",""),LEN(IF(A55="","Falta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",""))-3)))</f>
        <v/>
      </c>
    </row>
    <row r="56">
      <c r="A56" s="49" t="n"/>
      <c r="B56" s="50">
        <f>IF((COUNTA($A56)+COUNTA($C56:$K56)+COUNTA($N56:$O56))&gt;0,"Riesgo Legal y Normativo","")</f>
        <v/>
      </c>
      <c r="C56" s="51" t="n"/>
      <c r="D56" s="51" t="n"/>
      <c r="E56" s="52" t="n"/>
      <c r="F56" s="52" t="n"/>
      <c r="G56" s="53" t="n"/>
      <c r="H56" s="54" t="n"/>
      <c r="I56" s="54" t="n"/>
      <c r="J56" s="54" t="n"/>
      <c r="K56" s="54" t="n"/>
      <c r="L56" s="55">
        <f>IF(NOT((COUNTA($A56)+COUNTA($C56:$K56)+COUNTA($N56:$O56))&gt;0),"",IFERROR(LOOKUP(2,1/(H56:K56&lt;&gt;""),H56:K56),0))</f>
        <v/>
      </c>
      <c r="M56" s="56">
        <f>IF(L56="","",IF(L56&gt;=1,"Completado",IF(L56&gt;0,"En curso","Pendiente")))</f>
        <v/>
      </c>
      <c r="N56" s="52" t="n"/>
      <c r="O56" s="51" t="n"/>
      <c r="P56" s="57">
        <f>IF(NOT((COUNTA($A56)+COUNTA($C56:$K56)+COUNTA($N56:$O56))&gt;0),"",IF((IF(A56="","Falta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 OK","⚠ "&amp;LEFT(IF(A56="","Falta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",""),LEN(IF(A56="","Falta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",""))-3)))</f>
        <v/>
      </c>
    </row>
    <row r="57">
      <c r="A57" s="49" t="n"/>
      <c r="B57" s="50">
        <f>IF((COUNTA($A57)+COUNTA($C57:$K57)+COUNTA($N57:$O57))&gt;0,"Riesgo Legal y Normativo","")</f>
        <v/>
      </c>
      <c r="C57" s="51" t="n"/>
      <c r="D57" s="51" t="n"/>
      <c r="E57" s="52" t="n"/>
      <c r="F57" s="52" t="n"/>
      <c r="G57" s="53" t="n"/>
      <c r="H57" s="54" t="n"/>
      <c r="I57" s="54" t="n"/>
      <c r="J57" s="54" t="n"/>
      <c r="K57" s="54" t="n"/>
      <c r="L57" s="55">
        <f>IF(NOT((COUNTA($A57)+COUNTA($C57:$K57)+COUNTA($N57:$O57))&gt;0),"",IFERROR(LOOKUP(2,1/(H57:K57&lt;&gt;""),H57:K57),0))</f>
        <v/>
      </c>
      <c r="M57" s="56">
        <f>IF(L57="","",IF(L57&gt;=1,"Completado",IF(L57&gt;0,"En curso","Pendiente")))</f>
        <v/>
      </c>
      <c r="N57" s="52" t="n"/>
      <c r="O57" s="51" t="n"/>
      <c r="P57" s="57">
        <f>IF(NOT((COUNTA($A57)+COUNTA($C57:$K57)+COUNTA($N57:$O57))&gt;0),"",IF((IF(A57="","Falta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 OK","⚠ "&amp;LEFT(IF(A57="","Falta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",""),LEN(IF(A57="","Falta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",""))-3)))</f>
        <v/>
      </c>
    </row>
    <row r="58">
      <c r="A58" s="49" t="n"/>
      <c r="B58" s="50">
        <f>IF((COUNTA($A58)+COUNTA($C58:$K58)+COUNTA($N58:$O58))&gt;0,"Riesgo Legal y Normativo","")</f>
        <v/>
      </c>
      <c r="C58" s="51" t="n"/>
      <c r="D58" s="51" t="n"/>
      <c r="E58" s="52" t="n"/>
      <c r="F58" s="52" t="n"/>
      <c r="G58" s="53" t="n"/>
      <c r="H58" s="54" t="n"/>
      <c r="I58" s="54" t="n"/>
      <c r="J58" s="54" t="n"/>
      <c r="K58" s="54" t="n"/>
      <c r="L58" s="55">
        <f>IF(NOT((COUNTA($A58)+COUNTA($C58:$K58)+COUNTA($N58:$O58))&gt;0),"",IFERROR(LOOKUP(2,1/(H58:K58&lt;&gt;""),H58:K58),0))</f>
        <v/>
      </c>
      <c r="M58" s="56">
        <f>IF(L58="","",IF(L58&gt;=1,"Completado",IF(L58&gt;0,"En curso","Pendiente")))</f>
        <v/>
      </c>
      <c r="N58" s="52" t="n"/>
      <c r="O58" s="51" t="n"/>
      <c r="P58" s="57">
        <f>IF(NOT((COUNTA($A58)+COUNTA($C58:$K58)+COUNTA($N58:$O58))&gt;0),"",IF((IF(A58="","Falta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 OK","⚠ "&amp;LEFT(IF(A58="","Falta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",""),LEN(IF(A58="","Falta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",""))-3)))</f>
        <v/>
      </c>
    </row>
    <row r="59">
      <c r="A59" s="49" t="n"/>
      <c r="B59" s="50">
        <f>IF((COUNTA($A59)+COUNTA($C59:$K59)+COUNTA($N59:$O59))&gt;0,"Riesgo Legal y Normativo","")</f>
        <v/>
      </c>
      <c r="C59" s="51" t="n"/>
      <c r="D59" s="51" t="n"/>
      <c r="E59" s="52" t="n"/>
      <c r="F59" s="52" t="n"/>
      <c r="G59" s="53" t="n"/>
      <c r="H59" s="54" t="n"/>
      <c r="I59" s="54" t="n"/>
      <c r="J59" s="54" t="n"/>
      <c r="K59" s="54" t="n"/>
      <c r="L59" s="55">
        <f>IF(NOT((COUNTA($A59)+COUNTA($C59:$K59)+COUNTA($N59:$O59))&gt;0),"",IFERROR(LOOKUP(2,1/(H59:K59&lt;&gt;""),H59:K59),0))</f>
        <v/>
      </c>
      <c r="M59" s="56">
        <f>IF(L59="","",IF(L59&gt;=1,"Completado",IF(L59&gt;0,"En curso","Pendiente")))</f>
        <v/>
      </c>
      <c r="N59" s="52" t="n"/>
      <c r="O59" s="51" t="n"/>
      <c r="P59" s="57">
        <f>IF(NOT((COUNTA($A59)+COUNTA($C59:$K59)+COUNTA($N59:$O59))&gt;0),"",IF((IF(A59="","Falta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 OK","⚠ "&amp;LEFT(IF(A59="","Falta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",""),LEN(IF(A59="","Falta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",""))-3)))</f>
        <v/>
      </c>
    </row>
    <row r="60">
      <c r="A60" s="49" t="n"/>
      <c r="B60" s="50">
        <f>IF((COUNTA($A60)+COUNTA($C60:$K60)+COUNTA($N60:$O60))&gt;0,"Riesgo Legal y Normativo","")</f>
        <v/>
      </c>
      <c r="C60" s="51" t="n"/>
      <c r="D60" s="51" t="n"/>
      <c r="E60" s="52" t="n"/>
      <c r="F60" s="52" t="n"/>
      <c r="G60" s="53" t="n"/>
      <c r="H60" s="54" t="n"/>
      <c r="I60" s="54" t="n"/>
      <c r="J60" s="54" t="n"/>
      <c r="K60" s="54" t="n"/>
      <c r="L60" s="55">
        <f>IF(NOT((COUNTA($A60)+COUNTA($C60:$K60)+COUNTA($N60:$O60))&gt;0),"",IFERROR(LOOKUP(2,1/(H60:K60&lt;&gt;""),H60:K60),0))</f>
        <v/>
      </c>
      <c r="M60" s="56">
        <f>IF(L60="","",IF(L60&gt;=1,"Completado",IF(L60&gt;0,"En curso","Pendiente")))</f>
        <v/>
      </c>
      <c r="N60" s="52" t="n"/>
      <c r="O60" s="51" t="n"/>
      <c r="P60" s="57">
        <f>IF(NOT((COUNTA($A60)+COUNTA($C60:$K60)+COUNTA($N60:$O60))&gt;0),"",IF((IF(A60="","Falta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 OK","⚠ "&amp;LEFT(IF(A60="","Falta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",""),LEN(IF(A60="","Falta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",""))-3)))</f>
        <v/>
      </c>
    </row>
    <row r="61">
      <c r="A61" s="49" t="n"/>
      <c r="B61" s="50">
        <f>IF((COUNTA($A61)+COUNTA($C61:$K61)+COUNTA($N61:$O61))&gt;0,"Riesgo Legal y Normativo","")</f>
        <v/>
      </c>
      <c r="C61" s="51" t="n"/>
      <c r="D61" s="51" t="n"/>
      <c r="E61" s="52" t="n"/>
      <c r="F61" s="52" t="n"/>
      <c r="G61" s="53" t="n"/>
      <c r="H61" s="54" t="n"/>
      <c r="I61" s="54" t="n"/>
      <c r="J61" s="54" t="n"/>
      <c r="K61" s="54" t="n"/>
      <c r="L61" s="55">
        <f>IF(NOT((COUNTA($A61)+COUNTA($C61:$K61)+COUNTA($N61:$O61))&gt;0),"",IFERROR(LOOKUP(2,1/(H61:K61&lt;&gt;""),H61:K61),0))</f>
        <v/>
      </c>
      <c r="M61" s="56">
        <f>IF(L61="","",IF(L61&gt;=1,"Completado",IF(L61&gt;0,"En curso","Pendiente")))</f>
        <v/>
      </c>
      <c r="N61" s="52" t="n"/>
      <c r="O61" s="51" t="n"/>
      <c r="P61" s="57">
        <f>IF(NOT((COUNTA($A61)+COUNTA($C61:$K61)+COUNTA($N61:$O61))&gt;0),"",IF((IF(A61="","Falta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 OK","⚠ "&amp;LEFT(IF(A61="","Falta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",""),LEN(IF(A61="","Falta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",""))-3)))</f>
        <v/>
      </c>
    </row>
    <row r="62">
      <c r="A62" s="49" t="n"/>
      <c r="B62" s="50">
        <f>IF((COUNTA($A62)+COUNTA($C62:$K62)+COUNTA($N62:$O62))&gt;0,"Riesgo Legal y Normativo","")</f>
        <v/>
      </c>
      <c r="C62" s="51" t="n"/>
      <c r="D62" s="51" t="n"/>
      <c r="E62" s="52" t="n"/>
      <c r="F62" s="52" t="n"/>
      <c r="G62" s="53" t="n"/>
      <c r="H62" s="54" t="n"/>
      <c r="I62" s="54" t="n"/>
      <c r="J62" s="54" t="n"/>
      <c r="K62" s="54" t="n"/>
      <c r="L62" s="55">
        <f>IF(NOT((COUNTA($A62)+COUNTA($C62:$K62)+COUNTA($N62:$O62))&gt;0),"",IFERROR(LOOKUP(2,1/(H62:K62&lt;&gt;""),H62:K62),0))</f>
        <v/>
      </c>
      <c r="M62" s="56">
        <f>IF(L62="","",IF(L62&gt;=1,"Completado",IF(L62&gt;0,"En curso","Pendiente")))</f>
        <v/>
      </c>
      <c r="N62" s="52" t="n"/>
      <c r="O62" s="51" t="n"/>
      <c r="P62" s="57">
        <f>IF(NOT((COUNTA($A62)+COUNTA($C62:$K62)+COUNTA($N62:$O62))&gt;0),"",IF((IF(A62="","Falta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 OK","⚠ "&amp;LEFT(IF(A62="","Falta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",""),LEN(IF(A62="","Falta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",""))-3)))</f>
        <v/>
      </c>
    </row>
    <row r="63">
      <c r="A63" s="49" t="n"/>
      <c r="B63" s="50">
        <f>IF((COUNTA($A63)+COUNTA($C63:$K63)+COUNTA($N63:$O63))&gt;0,"Riesgo Legal y Normativo","")</f>
        <v/>
      </c>
      <c r="C63" s="51" t="n"/>
      <c r="D63" s="51" t="n"/>
      <c r="E63" s="52" t="n"/>
      <c r="F63" s="52" t="n"/>
      <c r="G63" s="53" t="n"/>
      <c r="H63" s="54" t="n"/>
      <c r="I63" s="54" t="n"/>
      <c r="J63" s="54" t="n"/>
      <c r="K63" s="54" t="n"/>
      <c r="L63" s="55">
        <f>IF(NOT((COUNTA($A63)+COUNTA($C63:$K63)+COUNTA($N63:$O63))&gt;0),"",IFERROR(LOOKUP(2,1/(H63:K63&lt;&gt;""),H63:K63),0))</f>
        <v/>
      </c>
      <c r="M63" s="56">
        <f>IF(L63="","",IF(L63&gt;=1,"Completado",IF(L63&gt;0,"En curso","Pendiente")))</f>
        <v/>
      </c>
      <c r="N63" s="52" t="n"/>
      <c r="O63" s="51" t="n"/>
      <c r="P63" s="57">
        <f>IF(NOT((COUNTA($A63)+COUNTA($C63:$K63)+COUNTA($N63:$O63))&gt;0),"",IF((IF(A63="","Falta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 OK","⚠ "&amp;LEFT(IF(A63="","Falta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",""),LEN(IF(A63="","Falta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",""))-3)))</f>
        <v/>
      </c>
    </row>
    <row r="64">
      <c r="A64" s="49" t="n"/>
      <c r="B64" s="50">
        <f>IF((COUNTA($A64)+COUNTA($C64:$K64)+COUNTA($N64:$O64))&gt;0,"Riesgo Legal y Normativo","")</f>
        <v/>
      </c>
      <c r="C64" s="51" t="n"/>
      <c r="D64" s="51" t="n"/>
      <c r="E64" s="52" t="n"/>
      <c r="F64" s="52" t="n"/>
      <c r="G64" s="53" t="n"/>
      <c r="H64" s="54" t="n"/>
      <c r="I64" s="54" t="n"/>
      <c r="J64" s="54" t="n"/>
      <c r="K64" s="54" t="n"/>
      <c r="L64" s="55">
        <f>IF(NOT((COUNTA($A64)+COUNTA($C64:$K64)+COUNTA($N64:$O64))&gt;0),"",IFERROR(LOOKUP(2,1/(H64:K64&lt;&gt;""),H64:K64),0))</f>
        <v/>
      </c>
      <c r="M64" s="56">
        <f>IF(L64="","",IF(L64&gt;=1,"Completado",IF(L64&gt;0,"En curso","Pendiente")))</f>
        <v/>
      </c>
      <c r="N64" s="52" t="n"/>
      <c r="O64" s="51" t="n"/>
      <c r="P64" s="57">
        <f>IF(NOT((COUNTA($A64)+COUNTA($C64:$K64)+COUNTA($N64:$O64))&gt;0),"",IF((IF(A64="","Falta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 OK","⚠ "&amp;LEFT(IF(A64="","Falta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",""),LEN(IF(A64="","Falta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",""))-3)))</f>
        <v/>
      </c>
    </row>
    <row r="65">
      <c r="A65" s="49" t="n"/>
      <c r="B65" s="50">
        <f>IF((COUNTA($A65)+COUNTA($C65:$K65)+COUNTA($N65:$O65))&gt;0,"Riesgo Legal y Normativo","")</f>
        <v/>
      </c>
      <c r="C65" s="51" t="n"/>
      <c r="D65" s="51" t="n"/>
      <c r="E65" s="52" t="n"/>
      <c r="F65" s="52" t="n"/>
      <c r="G65" s="53" t="n"/>
      <c r="H65" s="54" t="n"/>
      <c r="I65" s="54" t="n"/>
      <c r="J65" s="54" t="n"/>
      <c r="K65" s="54" t="n"/>
      <c r="L65" s="55">
        <f>IF(NOT((COUNTA($A65)+COUNTA($C65:$K65)+COUNTA($N65:$O65))&gt;0),"",IFERROR(LOOKUP(2,1/(H65:K65&lt;&gt;""),H65:K65),0))</f>
        <v/>
      </c>
      <c r="M65" s="56">
        <f>IF(L65="","",IF(L65&gt;=1,"Completado",IF(L65&gt;0,"En curso","Pendiente")))</f>
        <v/>
      </c>
      <c r="N65" s="52" t="n"/>
      <c r="O65" s="51" t="n"/>
      <c r="P65" s="57">
        <f>IF(NOT((COUNTA($A65)+COUNTA($C65:$K65)+COUNTA($N65:$O65))&gt;0),"",IF((IF(A65="","Falta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 OK","⚠ "&amp;LEFT(IF(A65="","Falta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",""),LEN(IF(A65="","Falta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",""))-3)))</f>
        <v/>
      </c>
    </row>
    <row r="66">
      <c r="A66" s="49" t="n"/>
      <c r="B66" s="50">
        <f>IF((COUNTA($A66)+COUNTA($C66:$K66)+COUNTA($N66:$O66))&gt;0,"Riesgo Legal y Normativo","")</f>
        <v/>
      </c>
      <c r="C66" s="51" t="n"/>
      <c r="D66" s="51" t="n"/>
      <c r="E66" s="52" t="n"/>
      <c r="F66" s="52" t="n"/>
      <c r="G66" s="53" t="n"/>
      <c r="H66" s="54" t="n"/>
      <c r="I66" s="54" t="n"/>
      <c r="J66" s="54" t="n"/>
      <c r="K66" s="54" t="n"/>
      <c r="L66" s="55">
        <f>IF(NOT((COUNTA($A66)+COUNTA($C66:$K66)+COUNTA($N66:$O66))&gt;0),"",IFERROR(LOOKUP(2,1/(H66:K66&lt;&gt;""),H66:K66),0))</f>
        <v/>
      </c>
      <c r="M66" s="56">
        <f>IF(L66="","",IF(L66&gt;=1,"Completado",IF(L66&gt;0,"En curso","Pendiente")))</f>
        <v/>
      </c>
      <c r="N66" s="52" t="n"/>
      <c r="O66" s="51" t="n"/>
      <c r="P66" s="57">
        <f>IF(NOT((COUNTA($A66)+COUNTA($C66:$K66)+COUNTA($N66:$O66))&gt;0),"",IF((IF(A66="","Falta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 OK","⚠ "&amp;LEFT(IF(A66="","Falta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",""),LEN(IF(A66="","Falta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",""))-3)))</f>
        <v/>
      </c>
    </row>
    <row r="67">
      <c r="A67" s="49" t="n"/>
      <c r="B67" s="50">
        <f>IF((COUNTA($A67)+COUNTA($C67:$K67)+COUNTA($N67:$O67))&gt;0,"Riesgo Legal y Normativo","")</f>
        <v/>
      </c>
      <c r="C67" s="51" t="n"/>
      <c r="D67" s="51" t="n"/>
      <c r="E67" s="52" t="n"/>
      <c r="F67" s="52" t="n"/>
      <c r="G67" s="53" t="n"/>
      <c r="H67" s="54" t="n"/>
      <c r="I67" s="54" t="n"/>
      <c r="J67" s="54" t="n"/>
      <c r="K67" s="54" t="n"/>
      <c r="L67" s="55">
        <f>IF(NOT((COUNTA($A67)+COUNTA($C67:$K67)+COUNTA($N67:$O67))&gt;0),"",IFERROR(LOOKUP(2,1/(H67:K67&lt;&gt;""),H67:K67),0))</f>
        <v/>
      </c>
      <c r="M67" s="56">
        <f>IF(L67="","",IF(L67&gt;=1,"Completado",IF(L67&gt;0,"En curso","Pendiente")))</f>
        <v/>
      </c>
      <c r="N67" s="52" t="n"/>
      <c r="O67" s="51" t="n"/>
      <c r="P67" s="57">
        <f>IF(NOT((COUNTA($A67)+COUNTA($C67:$K67)+COUNTA($N67:$O67))&gt;0),"",IF((IF(A67="","Falta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 OK","⚠ "&amp;LEFT(IF(A67="","Falta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",""),LEN(IF(A67="","Falta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",""))-3)))</f>
        <v/>
      </c>
    </row>
    <row r="68">
      <c r="A68" s="49" t="n"/>
      <c r="B68" s="50">
        <f>IF((COUNTA($A68)+COUNTA($C68:$K68)+COUNTA($N68:$O68))&gt;0,"Riesgo Legal y Normativo","")</f>
        <v/>
      </c>
      <c r="C68" s="51" t="n"/>
      <c r="D68" s="51" t="n"/>
      <c r="E68" s="52" t="n"/>
      <c r="F68" s="52" t="n"/>
      <c r="G68" s="53" t="n"/>
      <c r="H68" s="54" t="n"/>
      <c r="I68" s="54" t="n"/>
      <c r="J68" s="54" t="n"/>
      <c r="K68" s="54" t="n"/>
      <c r="L68" s="55">
        <f>IF(NOT((COUNTA($A68)+COUNTA($C68:$K68)+COUNTA($N68:$O68))&gt;0),"",IFERROR(LOOKUP(2,1/(H68:K68&lt;&gt;""),H68:K68),0))</f>
        <v/>
      </c>
      <c r="M68" s="56">
        <f>IF(L68="","",IF(L68&gt;=1,"Completado",IF(L68&gt;0,"En curso","Pendiente")))</f>
        <v/>
      </c>
      <c r="N68" s="52" t="n"/>
      <c r="O68" s="51" t="n"/>
      <c r="P68" s="57">
        <f>IF(NOT((COUNTA($A68)+COUNTA($C68:$K68)+COUNTA($N68:$O68))&gt;0),"",IF((IF(A68="","Falta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 OK","⚠ "&amp;LEFT(IF(A68="","Falta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",""),LEN(IF(A68="","Falta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",""))-3)))</f>
        <v/>
      </c>
    </row>
    <row r="69">
      <c r="A69" s="49" t="n"/>
      <c r="B69" s="50">
        <f>IF((COUNTA($A69)+COUNTA($C69:$K69)+COUNTA($N69:$O69))&gt;0,"Riesgo Legal y Normativo","")</f>
        <v/>
      </c>
      <c r="C69" s="51" t="n"/>
      <c r="D69" s="51" t="n"/>
      <c r="E69" s="52" t="n"/>
      <c r="F69" s="52" t="n"/>
      <c r="G69" s="53" t="n"/>
      <c r="H69" s="54" t="n"/>
      <c r="I69" s="54" t="n"/>
      <c r="J69" s="54" t="n"/>
      <c r="K69" s="54" t="n"/>
      <c r="L69" s="55">
        <f>IF(NOT((COUNTA($A69)+COUNTA($C69:$K69)+COUNTA($N69:$O69))&gt;0),"",IFERROR(LOOKUP(2,1/(H69:K69&lt;&gt;""),H69:K69),0))</f>
        <v/>
      </c>
      <c r="M69" s="56">
        <f>IF(L69="","",IF(L69&gt;=1,"Completado",IF(L69&gt;0,"En curso","Pendiente")))</f>
        <v/>
      </c>
      <c r="N69" s="52" t="n"/>
      <c r="O69" s="51" t="n"/>
      <c r="P69" s="57">
        <f>IF(NOT((COUNTA($A69)+COUNTA($C69:$K69)+COUNTA($N69:$O69))&gt;0),"",IF((IF(A69="","Falta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 OK","⚠ "&amp;LEFT(IF(A69="","Falta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",""),LEN(IF(A69="","Falta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",""))-3)))</f>
        <v/>
      </c>
    </row>
    <row r="70">
      <c r="A70" s="49" t="n"/>
      <c r="B70" s="50">
        <f>IF((COUNTA($A70)+COUNTA($C70:$K70)+COUNTA($N70:$O70))&gt;0,"Riesgo Legal y Normativo","")</f>
        <v/>
      </c>
      <c r="C70" s="51" t="n"/>
      <c r="D70" s="51" t="n"/>
      <c r="E70" s="52" t="n"/>
      <c r="F70" s="52" t="n"/>
      <c r="G70" s="53" t="n"/>
      <c r="H70" s="54" t="n"/>
      <c r="I70" s="54" t="n"/>
      <c r="J70" s="54" t="n"/>
      <c r="K70" s="54" t="n"/>
      <c r="L70" s="55">
        <f>IF(NOT((COUNTA($A70)+COUNTA($C70:$K70)+COUNTA($N70:$O70))&gt;0),"",IFERROR(LOOKUP(2,1/(H70:K70&lt;&gt;""),H70:K70),0))</f>
        <v/>
      </c>
      <c r="M70" s="56">
        <f>IF(L70="","",IF(L70&gt;=1,"Completado",IF(L70&gt;0,"En curso","Pendiente")))</f>
        <v/>
      </c>
      <c r="N70" s="52" t="n"/>
      <c r="O70" s="51" t="n"/>
      <c r="P70" s="57">
        <f>IF(NOT((COUNTA($A70)+COUNTA($C70:$K70)+COUNTA($N70:$O70))&gt;0),"",IF((IF(A70="","Falta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 OK","⚠ "&amp;LEFT(IF(A70="","Falta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",""),LEN(IF(A70="","Falta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",""))-3)))</f>
        <v/>
      </c>
    </row>
    <row r="71">
      <c r="A71" s="49" t="n"/>
      <c r="B71" s="50">
        <f>IF((COUNTA($A71)+COUNTA($C71:$K71)+COUNTA($N71:$O71))&gt;0,"Riesgo Legal y Normativo","")</f>
        <v/>
      </c>
      <c r="C71" s="51" t="n"/>
      <c r="D71" s="51" t="n"/>
      <c r="E71" s="52" t="n"/>
      <c r="F71" s="52" t="n"/>
      <c r="G71" s="53" t="n"/>
      <c r="H71" s="54" t="n"/>
      <c r="I71" s="54" t="n"/>
      <c r="J71" s="54" t="n"/>
      <c r="K71" s="54" t="n"/>
      <c r="L71" s="55">
        <f>IF(NOT((COUNTA($A71)+COUNTA($C71:$K71)+COUNTA($N71:$O71))&gt;0),"",IFERROR(LOOKUP(2,1/(H71:K71&lt;&gt;""),H71:K71),0))</f>
        <v/>
      </c>
      <c r="M71" s="56">
        <f>IF(L71="","",IF(L71&gt;=1,"Completado",IF(L71&gt;0,"En curso","Pendiente")))</f>
        <v/>
      </c>
      <c r="N71" s="52" t="n"/>
      <c r="O71" s="51" t="n"/>
      <c r="P71" s="57">
        <f>IF(NOT((COUNTA($A71)+COUNTA($C71:$K71)+COUNTA($N71:$O71))&gt;0),"",IF((IF(A71="","Falta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 OK","⚠ "&amp;LEFT(IF(A71="","Falta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",""),LEN(IF(A71="","Falta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",""))-3)))</f>
        <v/>
      </c>
    </row>
    <row r="72">
      <c r="A72" s="49" t="n"/>
      <c r="B72" s="50">
        <f>IF((COUNTA($A72)+COUNTA($C72:$K72)+COUNTA($N72:$O72))&gt;0,"Riesgo Legal y Normativo","")</f>
        <v/>
      </c>
      <c r="C72" s="51" t="n"/>
      <c r="D72" s="51" t="n"/>
      <c r="E72" s="52" t="n"/>
      <c r="F72" s="52" t="n"/>
      <c r="G72" s="53" t="n"/>
      <c r="H72" s="54" t="n"/>
      <c r="I72" s="54" t="n"/>
      <c r="J72" s="54" t="n"/>
      <c r="K72" s="54" t="n"/>
      <c r="L72" s="55">
        <f>IF(NOT((COUNTA($A72)+COUNTA($C72:$K72)+COUNTA($N72:$O72))&gt;0),"",IFERROR(LOOKUP(2,1/(H72:K72&lt;&gt;""),H72:K72),0))</f>
        <v/>
      </c>
      <c r="M72" s="56">
        <f>IF(L72="","",IF(L72&gt;=1,"Completado",IF(L72&gt;0,"En curso","Pendiente")))</f>
        <v/>
      </c>
      <c r="N72" s="52" t="n"/>
      <c r="O72" s="51" t="n"/>
      <c r="P72" s="57">
        <f>IF(NOT((COUNTA($A72)+COUNTA($C72:$K72)+COUNTA($N72:$O72))&gt;0),"",IF((IF(A72="","Falta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 OK","⚠ "&amp;LEFT(IF(A72="","Falta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",""),LEN(IF(A72="","Falta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",""))-3)))</f>
        <v/>
      </c>
    </row>
    <row r="73">
      <c r="A73" s="49" t="n"/>
      <c r="B73" s="50">
        <f>IF((COUNTA($A73)+COUNTA($C73:$K73)+COUNTA($N73:$O73))&gt;0,"Riesgo Legal y Normativo","")</f>
        <v/>
      </c>
      <c r="C73" s="51" t="n"/>
      <c r="D73" s="51" t="n"/>
      <c r="E73" s="52" t="n"/>
      <c r="F73" s="52" t="n"/>
      <c r="G73" s="53" t="n"/>
      <c r="H73" s="54" t="n"/>
      <c r="I73" s="54" t="n"/>
      <c r="J73" s="54" t="n"/>
      <c r="K73" s="54" t="n"/>
      <c r="L73" s="55">
        <f>IF(NOT((COUNTA($A73)+COUNTA($C73:$K73)+COUNTA($N73:$O73))&gt;0),"",IFERROR(LOOKUP(2,1/(H73:K73&lt;&gt;""),H73:K73),0))</f>
        <v/>
      </c>
      <c r="M73" s="56">
        <f>IF(L73="","",IF(L73&gt;=1,"Completado",IF(L73&gt;0,"En curso","Pendiente")))</f>
        <v/>
      </c>
      <c r="N73" s="52" t="n"/>
      <c r="O73" s="51" t="n"/>
      <c r="P73" s="57">
        <f>IF(NOT((COUNTA($A73)+COUNTA($C73:$K73)+COUNTA($N73:$O73))&gt;0),"",IF((IF(A73="","Falta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 OK","⚠ "&amp;LEFT(IF(A73="","Falta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",""),LEN(IF(A73="","Falta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",""))-3)))</f>
        <v/>
      </c>
    </row>
    <row r="74">
      <c r="A74" s="49" t="n"/>
      <c r="B74" s="50">
        <f>IF((COUNTA($A74)+COUNTA($C74:$K74)+COUNTA($N74:$O74))&gt;0,"Riesgo Legal y Normativo","")</f>
        <v/>
      </c>
      <c r="C74" s="51" t="n"/>
      <c r="D74" s="51" t="n"/>
      <c r="E74" s="52" t="n"/>
      <c r="F74" s="52" t="n"/>
      <c r="G74" s="53" t="n"/>
      <c r="H74" s="54" t="n"/>
      <c r="I74" s="54" t="n"/>
      <c r="J74" s="54" t="n"/>
      <c r="K74" s="54" t="n"/>
      <c r="L74" s="55">
        <f>IF(NOT((COUNTA($A74)+COUNTA($C74:$K74)+COUNTA($N74:$O74))&gt;0),"",IFERROR(LOOKUP(2,1/(H74:K74&lt;&gt;""),H74:K74),0))</f>
        <v/>
      </c>
      <c r="M74" s="56">
        <f>IF(L74="","",IF(L74&gt;=1,"Completado",IF(L74&gt;0,"En curso","Pendiente")))</f>
        <v/>
      </c>
      <c r="N74" s="52" t="n"/>
      <c r="O74" s="51" t="n"/>
      <c r="P74" s="57">
        <f>IF(NOT((COUNTA($A74)+COUNTA($C74:$K74)+COUNTA($N74:$O74))&gt;0),"",IF((IF(A74="","Falta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 OK","⚠ "&amp;LEFT(IF(A74="","Falta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",""),LEN(IF(A74="","Falta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",""))-3)))</f>
        <v/>
      </c>
    </row>
    <row r="75">
      <c r="A75" s="49" t="n"/>
      <c r="B75" s="50">
        <f>IF((COUNTA($A75)+COUNTA($C75:$K75)+COUNTA($N75:$O75))&gt;0,"Riesgo Legal y Normativo","")</f>
        <v/>
      </c>
      <c r="C75" s="51" t="n"/>
      <c r="D75" s="51" t="n"/>
      <c r="E75" s="52" t="n"/>
      <c r="F75" s="52" t="n"/>
      <c r="G75" s="53" t="n"/>
      <c r="H75" s="54" t="n"/>
      <c r="I75" s="54" t="n"/>
      <c r="J75" s="54" t="n"/>
      <c r="K75" s="54" t="n"/>
      <c r="L75" s="55">
        <f>IF(NOT((COUNTA($A75)+COUNTA($C75:$K75)+COUNTA($N75:$O75))&gt;0),"",IFERROR(LOOKUP(2,1/(H75:K75&lt;&gt;""),H75:K75),0))</f>
        <v/>
      </c>
      <c r="M75" s="56">
        <f>IF(L75="","",IF(L75&gt;=1,"Completado",IF(L75&gt;0,"En curso","Pendiente")))</f>
        <v/>
      </c>
      <c r="N75" s="52" t="n"/>
      <c r="O75" s="51" t="n"/>
      <c r="P75" s="57">
        <f>IF(NOT((COUNTA($A75)+COUNTA($C75:$K75)+COUNTA($N75:$O75))&gt;0),"",IF((IF(A75="","Falta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 OK","⚠ "&amp;LEFT(IF(A75="","Falta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",""),LEN(IF(A75="","Falta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",""))-3)))</f>
        <v/>
      </c>
    </row>
    <row r="76">
      <c r="A76" s="49" t="n"/>
      <c r="B76" s="50">
        <f>IF((COUNTA($A76)+COUNTA($C76:$K76)+COUNTA($N76:$O76))&gt;0,"Riesgo Legal y Normativo","")</f>
        <v/>
      </c>
      <c r="C76" s="51" t="n"/>
      <c r="D76" s="51" t="n"/>
      <c r="E76" s="52" t="n"/>
      <c r="F76" s="52" t="n"/>
      <c r="G76" s="53" t="n"/>
      <c r="H76" s="54" t="n"/>
      <c r="I76" s="54" t="n"/>
      <c r="J76" s="54" t="n"/>
      <c r="K76" s="54" t="n"/>
      <c r="L76" s="55">
        <f>IF(NOT((COUNTA($A76)+COUNTA($C76:$K76)+COUNTA($N76:$O76))&gt;0),"",IFERROR(LOOKUP(2,1/(H76:K76&lt;&gt;""),H76:K76),0))</f>
        <v/>
      </c>
      <c r="M76" s="56">
        <f>IF(L76="","",IF(L76&gt;=1,"Completado",IF(L76&gt;0,"En curso","Pendiente")))</f>
        <v/>
      </c>
      <c r="N76" s="52" t="n"/>
      <c r="O76" s="51" t="n"/>
      <c r="P76" s="57">
        <f>IF(NOT((COUNTA($A76)+COUNTA($C76:$K76)+COUNTA($N76:$O76))&gt;0),"",IF((IF(A76="","Falta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 OK","⚠ "&amp;LEFT(IF(A76="","Falta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",""),LEN(IF(A76="","Falta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",""))-3)))</f>
        <v/>
      </c>
    </row>
    <row r="77">
      <c r="A77" s="49" t="n"/>
      <c r="B77" s="50">
        <f>IF((COUNTA($A77)+COUNTA($C77:$K77)+COUNTA($N77:$O77))&gt;0,"Riesgo Legal y Normativo","")</f>
        <v/>
      </c>
      <c r="C77" s="51" t="n"/>
      <c r="D77" s="51" t="n"/>
      <c r="E77" s="52" t="n"/>
      <c r="F77" s="52" t="n"/>
      <c r="G77" s="53" t="n"/>
      <c r="H77" s="54" t="n"/>
      <c r="I77" s="54" t="n"/>
      <c r="J77" s="54" t="n"/>
      <c r="K77" s="54" t="n"/>
      <c r="L77" s="55">
        <f>IF(NOT((COUNTA($A77)+COUNTA($C77:$K77)+COUNTA($N77:$O77))&gt;0),"",IFERROR(LOOKUP(2,1/(H77:K77&lt;&gt;""),H77:K77),0))</f>
        <v/>
      </c>
      <c r="M77" s="56">
        <f>IF(L77="","",IF(L77&gt;=1,"Completado",IF(L77&gt;0,"En curso","Pendiente")))</f>
        <v/>
      </c>
      <c r="N77" s="52" t="n"/>
      <c r="O77" s="51" t="n"/>
      <c r="P77" s="57">
        <f>IF(NOT((COUNTA($A77)+COUNTA($C77:$K77)+COUNTA($N77:$O77))&gt;0),"",IF((IF(A77="","Falta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 OK","⚠ "&amp;LEFT(IF(A77="","Falta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",""),LEN(IF(A77="","Falta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",""))-3)))</f>
        <v/>
      </c>
    </row>
    <row r="78">
      <c r="A78" s="49" t="n"/>
      <c r="B78" s="50">
        <f>IF((COUNTA($A78)+COUNTA($C78:$K78)+COUNTA($N78:$O78))&gt;0,"Riesgo Legal y Normativo","")</f>
        <v/>
      </c>
      <c r="C78" s="51" t="n"/>
      <c r="D78" s="51" t="n"/>
      <c r="E78" s="52" t="n"/>
      <c r="F78" s="52" t="n"/>
      <c r="G78" s="53" t="n"/>
      <c r="H78" s="54" t="n"/>
      <c r="I78" s="54" t="n"/>
      <c r="J78" s="54" t="n"/>
      <c r="K78" s="54" t="n"/>
      <c r="L78" s="55">
        <f>IF(NOT((COUNTA($A78)+COUNTA($C78:$K78)+COUNTA($N78:$O78))&gt;0),"",IFERROR(LOOKUP(2,1/(H78:K78&lt;&gt;""),H78:K78),0))</f>
        <v/>
      </c>
      <c r="M78" s="56">
        <f>IF(L78="","",IF(L78&gt;=1,"Completado",IF(L78&gt;0,"En curso","Pendiente")))</f>
        <v/>
      </c>
      <c r="N78" s="52" t="n"/>
      <c r="O78" s="51" t="n"/>
      <c r="P78" s="57">
        <f>IF(NOT((COUNTA($A78)+COUNTA($C78:$K78)+COUNTA($N78:$O78))&gt;0),"",IF((IF(A78="","Falta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 OK","⚠ "&amp;LEFT(IF(A78="","Falta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",""),LEN(IF(A78="","Falta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",""))-3)))</f>
        <v/>
      </c>
    </row>
    <row r="79">
      <c r="A79" s="49" t="n"/>
      <c r="B79" s="50">
        <f>IF((COUNTA($A79)+COUNTA($C79:$K79)+COUNTA($N79:$O79))&gt;0,"Riesgo Legal y Normativo","")</f>
        <v/>
      </c>
      <c r="C79" s="51" t="n"/>
      <c r="D79" s="51" t="n"/>
      <c r="E79" s="52" t="n"/>
      <c r="F79" s="52" t="n"/>
      <c r="G79" s="53" t="n"/>
      <c r="H79" s="54" t="n"/>
      <c r="I79" s="54" t="n"/>
      <c r="J79" s="54" t="n"/>
      <c r="K79" s="54" t="n"/>
      <c r="L79" s="55">
        <f>IF(NOT((COUNTA($A79)+COUNTA($C79:$K79)+COUNTA($N79:$O79))&gt;0),"",IFERROR(LOOKUP(2,1/(H79:K79&lt;&gt;""),H79:K79),0))</f>
        <v/>
      </c>
      <c r="M79" s="56">
        <f>IF(L79="","",IF(L79&gt;=1,"Completado",IF(L79&gt;0,"En curso","Pendiente")))</f>
        <v/>
      </c>
      <c r="N79" s="52" t="n"/>
      <c r="O79" s="51" t="n"/>
      <c r="P79" s="57">
        <f>IF(NOT((COUNTA($A79)+COUNTA($C79:$K79)+COUNTA($N79:$O79))&gt;0),"",IF((IF(A79="","Falta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 OK","⚠ "&amp;LEFT(IF(A79="","Falta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",""),LEN(IF(A79="","Falta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",""))-3)))</f>
        <v/>
      </c>
    </row>
    <row r="80">
      <c r="A80" s="49" t="n"/>
      <c r="B80" s="50">
        <f>IF((COUNTA($A80)+COUNTA($C80:$K80)+COUNTA($N80:$O80))&gt;0,"Riesgo Legal y Normativo","")</f>
        <v/>
      </c>
      <c r="C80" s="51" t="n"/>
      <c r="D80" s="51" t="n"/>
      <c r="E80" s="52" t="n"/>
      <c r="F80" s="52" t="n"/>
      <c r="G80" s="53" t="n"/>
      <c r="H80" s="54" t="n"/>
      <c r="I80" s="54" t="n"/>
      <c r="J80" s="54" t="n"/>
      <c r="K80" s="54" t="n"/>
      <c r="L80" s="55">
        <f>IF(NOT((COUNTA($A80)+COUNTA($C80:$K80)+COUNTA($N80:$O80))&gt;0),"",IFERROR(LOOKUP(2,1/(H80:K80&lt;&gt;""),H80:K80),0))</f>
        <v/>
      </c>
      <c r="M80" s="56">
        <f>IF(L80="","",IF(L80&gt;=1,"Completado",IF(L80&gt;0,"En curso","Pendiente")))</f>
        <v/>
      </c>
      <c r="N80" s="52" t="n"/>
      <c r="O80" s="51" t="n"/>
      <c r="P80" s="57">
        <f>IF(NOT((COUNTA($A80)+COUNTA($C80:$K80)+COUNTA($N80:$O80))&gt;0),"",IF((IF(A80="","Falta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 OK","⚠ "&amp;LEFT(IF(A80="","Falta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",""),LEN(IF(A80="","Falta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",""))-3)))</f>
        <v/>
      </c>
    </row>
    <row r="81">
      <c r="A81" s="49" t="n"/>
      <c r="B81" s="50">
        <f>IF((COUNTA($A81)+COUNTA($C81:$K81)+COUNTA($N81:$O81))&gt;0,"Riesgo Legal y Normativo","")</f>
        <v/>
      </c>
      <c r="C81" s="51" t="n"/>
      <c r="D81" s="51" t="n"/>
      <c r="E81" s="52" t="n"/>
      <c r="F81" s="52" t="n"/>
      <c r="G81" s="53" t="n"/>
      <c r="H81" s="54" t="n"/>
      <c r="I81" s="54" t="n"/>
      <c r="J81" s="54" t="n"/>
      <c r="K81" s="54" t="n"/>
      <c r="L81" s="55">
        <f>IF(NOT((COUNTA($A81)+COUNTA($C81:$K81)+COUNTA($N81:$O81))&gt;0),"",IFERROR(LOOKUP(2,1/(H81:K81&lt;&gt;""),H81:K81),0))</f>
        <v/>
      </c>
      <c r="M81" s="56">
        <f>IF(L81="","",IF(L81&gt;=1,"Completado",IF(L81&gt;0,"En curso","Pendiente")))</f>
        <v/>
      </c>
      <c r="N81" s="52" t="n"/>
      <c r="O81" s="51" t="n"/>
      <c r="P81" s="57">
        <f>IF(NOT((COUNTA($A81)+COUNTA($C81:$K81)+COUNTA($N81:$O81))&gt;0),"",IF((IF(A81="","Falta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 OK","⚠ "&amp;LEFT(IF(A81="","Falta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",""),LEN(IF(A81="","Falta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",""))-3)))</f>
        <v/>
      </c>
    </row>
    <row r="82">
      <c r="A82" s="49" t="n"/>
      <c r="B82" s="50">
        <f>IF((COUNTA($A82)+COUNTA($C82:$K82)+COUNTA($N82:$O82))&gt;0,"Riesgo Legal y Normativo","")</f>
        <v/>
      </c>
      <c r="C82" s="51" t="n"/>
      <c r="D82" s="51" t="n"/>
      <c r="E82" s="52" t="n"/>
      <c r="F82" s="52" t="n"/>
      <c r="G82" s="53" t="n"/>
      <c r="H82" s="54" t="n"/>
      <c r="I82" s="54" t="n"/>
      <c r="J82" s="54" t="n"/>
      <c r="K82" s="54" t="n"/>
      <c r="L82" s="55">
        <f>IF(NOT((COUNTA($A82)+COUNTA($C82:$K82)+COUNTA($N82:$O82))&gt;0),"",IFERROR(LOOKUP(2,1/(H82:K82&lt;&gt;""),H82:K82),0))</f>
        <v/>
      </c>
      <c r="M82" s="56">
        <f>IF(L82="","",IF(L82&gt;=1,"Completado",IF(L82&gt;0,"En curso","Pendiente")))</f>
        <v/>
      </c>
      <c r="N82" s="52" t="n"/>
      <c r="O82" s="51" t="n"/>
      <c r="P82" s="57">
        <f>IF(NOT((COUNTA($A82)+COUNTA($C82:$K82)+COUNTA($N82:$O82))&gt;0),"",IF((IF(A82="","Falta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 OK","⚠ "&amp;LEFT(IF(A82="","Falta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",""),LEN(IF(A82="","Falta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",""))-3)))</f>
        <v/>
      </c>
    </row>
    <row r="83">
      <c r="A83" s="49" t="n"/>
      <c r="B83" s="50">
        <f>IF((COUNTA($A83)+COUNTA($C83:$K83)+COUNTA($N83:$O83))&gt;0,"Riesgo Legal y Normativo","")</f>
        <v/>
      </c>
      <c r="C83" s="51" t="n"/>
      <c r="D83" s="51" t="n"/>
      <c r="E83" s="52" t="n"/>
      <c r="F83" s="52" t="n"/>
      <c r="G83" s="53" t="n"/>
      <c r="H83" s="54" t="n"/>
      <c r="I83" s="54" t="n"/>
      <c r="J83" s="54" t="n"/>
      <c r="K83" s="54" t="n"/>
      <c r="L83" s="55">
        <f>IF(NOT((COUNTA($A83)+COUNTA($C83:$K83)+COUNTA($N83:$O83))&gt;0),"",IFERROR(LOOKUP(2,1/(H83:K83&lt;&gt;""),H83:K83),0))</f>
        <v/>
      </c>
      <c r="M83" s="56">
        <f>IF(L83="","",IF(L83&gt;=1,"Completado",IF(L83&gt;0,"En curso","Pendiente")))</f>
        <v/>
      </c>
      <c r="N83" s="52" t="n"/>
      <c r="O83" s="51" t="n"/>
      <c r="P83" s="57">
        <f>IF(NOT((COUNTA($A83)+COUNTA($C83:$K83)+COUNTA($N83:$O83))&gt;0),"",IF((IF(A83="","Falta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 OK","⚠ "&amp;LEFT(IF(A83="","Falta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",""),LEN(IF(A83="","Falta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",""))-3)))</f>
        <v/>
      </c>
    </row>
    <row r="84">
      <c r="A84" s="49" t="n"/>
      <c r="B84" s="50">
        <f>IF((COUNTA($A84)+COUNTA($C84:$K84)+COUNTA($N84:$O84))&gt;0,"Riesgo Legal y Normativo","")</f>
        <v/>
      </c>
      <c r="C84" s="51" t="n"/>
      <c r="D84" s="51" t="n"/>
      <c r="E84" s="52" t="n"/>
      <c r="F84" s="52" t="n"/>
      <c r="G84" s="53" t="n"/>
      <c r="H84" s="54" t="n"/>
      <c r="I84" s="54" t="n"/>
      <c r="J84" s="54" t="n"/>
      <c r="K84" s="54" t="n"/>
      <c r="L84" s="55">
        <f>IF(NOT((COUNTA($A84)+COUNTA($C84:$K84)+COUNTA($N84:$O84))&gt;0),"",IFERROR(LOOKUP(2,1/(H84:K84&lt;&gt;""),H84:K84),0))</f>
        <v/>
      </c>
      <c r="M84" s="56">
        <f>IF(L84="","",IF(L84&gt;=1,"Completado",IF(L84&gt;0,"En curso","Pendiente")))</f>
        <v/>
      </c>
      <c r="N84" s="52" t="n"/>
      <c r="O84" s="51" t="n"/>
      <c r="P84" s="57">
        <f>IF(NOT((COUNTA($A84)+COUNTA($C84:$K84)+COUNTA($N84:$O84))&gt;0),"",IF((IF(A84="","Falta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 OK","⚠ "&amp;LEFT(IF(A84="","Falta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",""),LEN(IF(A84="","Falta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",""))-3)))</f>
        <v/>
      </c>
    </row>
    <row r="85">
      <c r="A85" s="49" t="n"/>
      <c r="B85" s="50">
        <f>IF((COUNTA($A85)+COUNTA($C85:$K85)+COUNTA($N85:$O85))&gt;0,"Riesgo Legal y Normativo","")</f>
        <v/>
      </c>
      <c r="C85" s="51" t="n"/>
      <c r="D85" s="51" t="n"/>
      <c r="E85" s="52" t="n"/>
      <c r="F85" s="52" t="n"/>
      <c r="G85" s="53" t="n"/>
      <c r="H85" s="54" t="n"/>
      <c r="I85" s="54" t="n"/>
      <c r="J85" s="54" t="n"/>
      <c r="K85" s="54" t="n"/>
      <c r="L85" s="55">
        <f>IF(NOT((COUNTA($A85)+COUNTA($C85:$K85)+COUNTA($N85:$O85))&gt;0),"",IFERROR(LOOKUP(2,1/(H85:K85&lt;&gt;""),H85:K85),0))</f>
        <v/>
      </c>
      <c r="M85" s="56">
        <f>IF(L85="","",IF(L85&gt;=1,"Completado",IF(L85&gt;0,"En curso","Pendiente")))</f>
        <v/>
      </c>
      <c r="N85" s="52" t="n"/>
      <c r="O85" s="51" t="n"/>
      <c r="P85" s="57">
        <f>IF(NOT((COUNTA($A85)+COUNTA($C85:$K85)+COUNTA($N85:$O85))&gt;0),"",IF((IF(A85="","Falta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 OK","⚠ "&amp;LEFT(IF(A85="","Falta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",""),LEN(IF(A85="","Falta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",""))-3)))</f>
        <v/>
      </c>
    </row>
    <row r="86">
      <c r="A86" s="49" t="n"/>
      <c r="B86" s="50">
        <f>IF((COUNTA($A86)+COUNTA($C86:$K86)+COUNTA($N86:$O86))&gt;0,"Riesgo Legal y Normativo","")</f>
        <v/>
      </c>
      <c r="C86" s="51" t="n"/>
      <c r="D86" s="51" t="n"/>
      <c r="E86" s="52" t="n"/>
      <c r="F86" s="52" t="n"/>
      <c r="G86" s="53" t="n"/>
      <c r="H86" s="54" t="n"/>
      <c r="I86" s="54" t="n"/>
      <c r="J86" s="54" t="n"/>
      <c r="K86" s="54" t="n"/>
      <c r="L86" s="55">
        <f>IF(NOT((COUNTA($A86)+COUNTA($C86:$K86)+COUNTA($N86:$O86))&gt;0),"",IFERROR(LOOKUP(2,1/(H86:K86&lt;&gt;""),H86:K86),0))</f>
        <v/>
      </c>
      <c r="M86" s="56">
        <f>IF(L86="","",IF(L86&gt;=1,"Completado",IF(L86&gt;0,"En curso","Pendiente")))</f>
        <v/>
      </c>
      <c r="N86" s="52" t="n"/>
      <c r="O86" s="51" t="n"/>
      <c r="P86" s="57">
        <f>IF(NOT((COUNTA($A86)+COUNTA($C86:$K86)+COUNTA($N86:$O86))&gt;0),"",IF((IF(A86="","Falta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 OK","⚠ "&amp;LEFT(IF(A86="","Falta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",""),LEN(IF(A86="","Falta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",""))-3)))</f>
        <v/>
      </c>
    </row>
    <row r="87">
      <c r="A87" s="49" t="n"/>
      <c r="B87" s="50">
        <f>IF((COUNTA($A87)+COUNTA($C87:$K87)+COUNTA($N87:$O87))&gt;0,"Riesgo Legal y Normativo","")</f>
        <v/>
      </c>
      <c r="C87" s="51" t="n"/>
      <c r="D87" s="51" t="n"/>
      <c r="E87" s="52" t="n"/>
      <c r="F87" s="52" t="n"/>
      <c r="G87" s="53" t="n"/>
      <c r="H87" s="54" t="n"/>
      <c r="I87" s="54" t="n"/>
      <c r="J87" s="54" t="n"/>
      <c r="K87" s="54" t="n"/>
      <c r="L87" s="55">
        <f>IF(NOT((COUNTA($A87)+COUNTA($C87:$K87)+COUNTA($N87:$O87))&gt;0),"",IFERROR(LOOKUP(2,1/(H87:K87&lt;&gt;""),H87:K87),0))</f>
        <v/>
      </c>
      <c r="M87" s="56">
        <f>IF(L87="","",IF(L87&gt;=1,"Completado",IF(L87&gt;0,"En curso","Pendiente")))</f>
        <v/>
      </c>
      <c r="N87" s="52" t="n"/>
      <c r="O87" s="51" t="n"/>
      <c r="P87" s="57">
        <f>IF(NOT((COUNTA($A87)+COUNTA($C87:$K87)+COUNTA($N87:$O87))&gt;0),"",IF((IF(A87="","Falta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 OK","⚠ "&amp;LEFT(IF(A87="","Falta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",""),LEN(IF(A87="","Falta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",""))-3)))</f>
        <v/>
      </c>
    </row>
    <row r="88">
      <c r="A88" s="49" t="n"/>
      <c r="B88" s="50">
        <f>IF((COUNTA($A88)+COUNTA($C88:$K88)+COUNTA($N88:$O88))&gt;0,"Riesgo Legal y Normativo","")</f>
        <v/>
      </c>
      <c r="C88" s="51" t="n"/>
      <c r="D88" s="51" t="n"/>
      <c r="E88" s="52" t="n"/>
      <c r="F88" s="52" t="n"/>
      <c r="G88" s="53" t="n"/>
      <c r="H88" s="54" t="n"/>
      <c r="I88" s="54" t="n"/>
      <c r="J88" s="54" t="n"/>
      <c r="K88" s="54" t="n"/>
      <c r="L88" s="55">
        <f>IF(NOT((COUNTA($A88)+COUNTA($C88:$K88)+COUNTA($N88:$O88))&gt;0),"",IFERROR(LOOKUP(2,1/(H88:K88&lt;&gt;""),H88:K88),0))</f>
        <v/>
      </c>
      <c r="M88" s="56">
        <f>IF(L88="","",IF(L88&gt;=1,"Completado",IF(L88&gt;0,"En curso","Pendiente")))</f>
        <v/>
      </c>
      <c r="N88" s="52" t="n"/>
      <c r="O88" s="51" t="n"/>
      <c r="P88" s="57">
        <f>IF(NOT((COUNTA($A88)+COUNTA($C88:$K88)+COUNTA($N88:$O88))&gt;0),"",IF((IF(A88="","Falta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 OK","⚠ "&amp;LEFT(IF(A88="","Falta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",""),LEN(IF(A88="","Falta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",""))-3)))</f>
        <v/>
      </c>
    </row>
    <row r="89">
      <c r="A89" s="49" t="n"/>
      <c r="B89" s="50">
        <f>IF((COUNTA($A89)+COUNTA($C89:$K89)+COUNTA($N89:$O89))&gt;0,"Riesgo Legal y Normativo","")</f>
        <v/>
      </c>
      <c r="C89" s="51" t="n"/>
      <c r="D89" s="51" t="n"/>
      <c r="E89" s="52" t="n"/>
      <c r="F89" s="52" t="n"/>
      <c r="G89" s="53" t="n"/>
      <c r="H89" s="54" t="n"/>
      <c r="I89" s="54" t="n"/>
      <c r="J89" s="54" t="n"/>
      <c r="K89" s="54" t="n"/>
      <c r="L89" s="55">
        <f>IF(NOT((COUNTA($A89)+COUNTA($C89:$K89)+COUNTA($N89:$O89))&gt;0),"",IFERROR(LOOKUP(2,1/(H89:K89&lt;&gt;""),H89:K89),0))</f>
        <v/>
      </c>
      <c r="M89" s="56">
        <f>IF(L89="","",IF(L89&gt;=1,"Completado",IF(L89&gt;0,"En curso","Pendiente")))</f>
        <v/>
      </c>
      <c r="N89" s="52" t="n"/>
      <c r="O89" s="51" t="n"/>
      <c r="P89" s="57">
        <f>IF(NOT((COUNTA($A89)+COUNTA($C89:$K89)+COUNTA($N89:$O89))&gt;0),"",IF((IF(A89="","Falta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 OK","⚠ "&amp;LEFT(IF(A89="","Falta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",""),LEN(IF(A89="","Falta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",""))-3)))</f>
        <v/>
      </c>
    </row>
    <row r="90">
      <c r="A90" s="49" t="n"/>
      <c r="B90" s="50">
        <f>IF((COUNTA($A90)+COUNTA($C90:$K90)+COUNTA($N90:$O90))&gt;0,"Riesgo Legal y Normativo","")</f>
        <v/>
      </c>
      <c r="C90" s="51" t="n"/>
      <c r="D90" s="51" t="n"/>
      <c r="E90" s="52" t="n"/>
      <c r="F90" s="52" t="n"/>
      <c r="G90" s="53" t="n"/>
      <c r="H90" s="54" t="n"/>
      <c r="I90" s="54" t="n"/>
      <c r="J90" s="54" t="n"/>
      <c r="K90" s="54" t="n"/>
      <c r="L90" s="55">
        <f>IF(NOT((COUNTA($A90)+COUNTA($C90:$K90)+COUNTA($N90:$O90))&gt;0),"",IFERROR(LOOKUP(2,1/(H90:K90&lt;&gt;""),H90:K90),0))</f>
        <v/>
      </c>
      <c r="M90" s="56">
        <f>IF(L90="","",IF(L90&gt;=1,"Completado",IF(L90&gt;0,"En curso","Pendiente")))</f>
        <v/>
      </c>
      <c r="N90" s="52" t="n"/>
      <c r="O90" s="51" t="n"/>
      <c r="P90" s="57">
        <f>IF(NOT((COUNTA($A90)+COUNTA($C90:$K90)+COUNTA($N90:$O90))&gt;0),"",IF((IF(A90="","Falta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 OK","⚠ "&amp;LEFT(IF(A90="","Falta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",""),LEN(IF(A90="","Falta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",""))-3)))</f>
        <v/>
      </c>
    </row>
    <row r="91">
      <c r="A91" s="49" t="n"/>
      <c r="B91" s="50">
        <f>IF((COUNTA($A91)+COUNTA($C91:$K91)+COUNTA($N91:$O91))&gt;0,"Riesgo Legal y Normativo","")</f>
        <v/>
      </c>
      <c r="C91" s="51" t="n"/>
      <c r="D91" s="51" t="n"/>
      <c r="E91" s="52" t="n"/>
      <c r="F91" s="52" t="n"/>
      <c r="G91" s="53" t="n"/>
      <c r="H91" s="54" t="n"/>
      <c r="I91" s="54" t="n"/>
      <c r="J91" s="54" t="n"/>
      <c r="K91" s="54" t="n"/>
      <c r="L91" s="55">
        <f>IF(NOT((COUNTA($A91)+COUNTA($C91:$K91)+COUNTA($N91:$O91))&gt;0),"",IFERROR(LOOKUP(2,1/(H91:K91&lt;&gt;""),H91:K91),0))</f>
        <v/>
      </c>
      <c r="M91" s="56">
        <f>IF(L91="","",IF(L91&gt;=1,"Completado",IF(L91&gt;0,"En curso","Pendiente")))</f>
        <v/>
      </c>
      <c r="N91" s="52" t="n"/>
      <c r="O91" s="51" t="n"/>
      <c r="P91" s="57">
        <f>IF(NOT((COUNTA($A91)+COUNTA($C91:$K91)+COUNTA($N91:$O91))&gt;0),"",IF((IF(A91="","Falta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 OK","⚠ "&amp;LEFT(IF(A91="","Falta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",""),LEN(IF(A91="","Falta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",""))-3)))</f>
        <v/>
      </c>
    </row>
    <row r="92">
      <c r="A92" s="49" t="n"/>
      <c r="B92" s="50">
        <f>IF((COUNTA($A92)+COUNTA($C92:$K92)+COUNTA($N92:$O92))&gt;0,"Riesgo Legal y Normativo","")</f>
        <v/>
      </c>
      <c r="C92" s="51" t="n"/>
      <c r="D92" s="51" t="n"/>
      <c r="E92" s="52" t="n"/>
      <c r="F92" s="52" t="n"/>
      <c r="G92" s="53" t="n"/>
      <c r="H92" s="54" t="n"/>
      <c r="I92" s="54" t="n"/>
      <c r="J92" s="54" t="n"/>
      <c r="K92" s="54" t="n"/>
      <c r="L92" s="55">
        <f>IF(NOT((COUNTA($A92)+COUNTA($C92:$K92)+COUNTA($N92:$O92))&gt;0),"",IFERROR(LOOKUP(2,1/(H92:K92&lt;&gt;""),H92:K92),0))</f>
        <v/>
      </c>
      <c r="M92" s="56">
        <f>IF(L92="","",IF(L92&gt;=1,"Completado",IF(L92&gt;0,"En curso","Pendiente")))</f>
        <v/>
      </c>
      <c r="N92" s="52" t="n"/>
      <c r="O92" s="51" t="n"/>
      <c r="P92" s="57">
        <f>IF(NOT((COUNTA($A92)+COUNTA($C92:$K92)+COUNTA($N92:$O92))&gt;0),"",IF((IF(A92="","Falta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 OK","⚠ "&amp;LEFT(IF(A92="","Falta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",""),LEN(IF(A92="","Falta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",""))-3)))</f>
        <v/>
      </c>
    </row>
    <row r="93">
      <c r="A93" s="49" t="n"/>
      <c r="B93" s="50">
        <f>IF((COUNTA($A93)+COUNTA($C93:$K93)+COUNTA($N93:$O93))&gt;0,"Riesgo Legal y Normativo","")</f>
        <v/>
      </c>
      <c r="C93" s="51" t="n"/>
      <c r="D93" s="51" t="n"/>
      <c r="E93" s="52" t="n"/>
      <c r="F93" s="52" t="n"/>
      <c r="G93" s="53" t="n"/>
      <c r="H93" s="54" t="n"/>
      <c r="I93" s="54" t="n"/>
      <c r="J93" s="54" t="n"/>
      <c r="K93" s="54" t="n"/>
      <c r="L93" s="55">
        <f>IF(NOT((COUNTA($A93)+COUNTA($C93:$K93)+COUNTA($N93:$O93))&gt;0),"",IFERROR(LOOKUP(2,1/(H93:K93&lt;&gt;""),H93:K93),0))</f>
        <v/>
      </c>
      <c r="M93" s="56">
        <f>IF(L93="","",IF(L93&gt;=1,"Completado",IF(L93&gt;0,"En curso","Pendiente")))</f>
        <v/>
      </c>
      <c r="N93" s="52" t="n"/>
      <c r="O93" s="51" t="n"/>
      <c r="P93" s="57">
        <f>IF(NOT((COUNTA($A93)+COUNTA($C93:$K93)+COUNTA($N93:$O93))&gt;0),"",IF((IF(A93="","Falta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 OK","⚠ "&amp;LEFT(IF(A93="","Falta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",""),LEN(IF(A93="","Falta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",""))-3)))</f>
        <v/>
      </c>
    </row>
    <row r="94">
      <c r="A94" s="49" t="n"/>
      <c r="B94" s="50">
        <f>IF((COUNTA($A94)+COUNTA($C94:$K94)+COUNTA($N94:$O94))&gt;0,"Riesgo Legal y Normativo","")</f>
        <v/>
      </c>
      <c r="C94" s="51" t="n"/>
      <c r="D94" s="51" t="n"/>
      <c r="E94" s="52" t="n"/>
      <c r="F94" s="52" t="n"/>
      <c r="G94" s="53" t="n"/>
      <c r="H94" s="54" t="n"/>
      <c r="I94" s="54" t="n"/>
      <c r="J94" s="54" t="n"/>
      <c r="K94" s="54" t="n"/>
      <c r="L94" s="55">
        <f>IF(NOT((COUNTA($A94)+COUNTA($C94:$K94)+COUNTA($N94:$O94))&gt;0),"",IFERROR(LOOKUP(2,1/(H94:K94&lt;&gt;""),H94:K94),0))</f>
        <v/>
      </c>
      <c r="M94" s="56">
        <f>IF(L94="","",IF(L94&gt;=1,"Completado",IF(L94&gt;0,"En curso","Pendiente")))</f>
        <v/>
      </c>
      <c r="N94" s="52" t="n"/>
      <c r="O94" s="51" t="n"/>
      <c r="P94" s="57">
        <f>IF(NOT((COUNTA($A94)+COUNTA($C94:$K94)+COUNTA($N94:$O94))&gt;0),"",IF((IF(A94="","Falta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 OK","⚠ "&amp;LEFT(IF(A94="","Falta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",""),LEN(IF(A94="","Falta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",""))-3)))</f>
        <v/>
      </c>
    </row>
    <row r="95">
      <c r="A95" s="49" t="n"/>
      <c r="B95" s="50">
        <f>IF((COUNTA($A95)+COUNTA($C95:$K95)+COUNTA($N95:$O95))&gt;0,"Riesgo Legal y Normativo","")</f>
        <v/>
      </c>
      <c r="C95" s="51" t="n"/>
      <c r="D95" s="51" t="n"/>
      <c r="E95" s="52" t="n"/>
      <c r="F95" s="52" t="n"/>
      <c r="G95" s="53" t="n"/>
      <c r="H95" s="54" t="n"/>
      <c r="I95" s="54" t="n"/>
      <c r="J95" s="54" t="n"/>
      <c r="K95" s="54" t="n"/>
      <c r="L95" s="55">
        <f>IF(NOT((COUNTA($A95)+COUNTA($C95:$K95)+COUNTA($N95:$O95))&gt;0),"",IFERROR(LOOKUP(2,1/(H95:K95&lt;&gt;""),H95:K95),0))</f>
        <v/>
      </c>
      <c r="M95" s="56">
        <f>IF(L95="","",IF(L95&gt;=1,"Completado",IF(L95&gt;0,"En curso","Pendiente")))</f>
        <v/>
      </c>
      <c r="N95" s="52" t="n"/>
      <c r="O95" s="51" t="n"/>
      <c r="P95" s="57">
        <f>IF(NOT((COUNTA($A95)+COUNTA($C95:$K95)+COUNTA($N95:$O95))&gt;0),"",IF((IF(A95="","Falta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 OK","⚠ "&amp;LEFT(IF(A95="","Falta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",""),LEN(IF(A95="","Falta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",""))-3)))</f>
        <v/>
      </c>
    </row>
    <row r="96">
      <c r="A96" s="49" t="n"/>
      <c r="B96" s="50">
        <f>IF((COUNTA($A96)+COUNTA($C96:$K96)+COUNTA($N96:$O96))&gt;0,"Riesgo Legal y Normativo","")</f>
        <v/>
      </c>
      <c r="C96" s="51" t="n"/>
      <c r="D96" s="51" t="n"/>
      <c r="E96" s="52" t="n"/>
      <c r="F96" s="52" t="n"/>
      <c r="G96" s="53" t="n"/>
      <c r="H96" s="54" t="n"/>
      <c r="I96" s="54" t="n"/>
      <c r="J96" s="54" t="n"/>
      <c r="K96" s="54" t="n"/>
      <c r="L96" s="55">
        <f>IF(NOT((COUNTA($A96)+COUNTA($C96:$K96)+COUNTA($N96:$O96))&gt;0),"",IFERROR(LOOKUP(2,1/(H96:K96&lt;&gt;""),H96:K96),0))</f>
        <v/>
      </c>
      <c r="M96" s="56">
        <f>IF(L96="","",IF(L96&gt;=1,"Completado",IF(L96&gt;0,"En curso","Pendiente")))</f>
        <v/>
      </c>
      <c r="N96" s="52" t="n"/>
      <c r="O96" s="51" t="n"/>
      <c r="P96" s="57">
        <f>IF(NOT((COUNTA($A96)+COUNTA($C96:$K96)+COUNTA($N96:$O96))&gt;0),"",IF((IF(A96="","Falta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 OK","⚠ "&amp;LEFT(IF(A96="","Falta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",""),LEN(IF(A96="","Falta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",""))-3)))</f>
        <v/>
      </c>
    </row>
    <row r="97">
      <c r="A97" s="49" t="n"/>
      <c r="B97" s="50">
        <f>IF((COUNTA($A97)+COUNTA($C97:$K97)+COUNTA($N97:$O97))&gt;0,"Riesgo Legal y Normativo","")</f>
        <v/>
      </c>
      <c r="C97" s="51" t="n"/>
      <c r="D97" s="51" t="n"/>
      <c r="E97" s="52" t="n"/>
      <c r="F97" s="52" t="n"/>
      <c r="G97" s="53" t="n"/>
      <c r="H97" s="54" t="n"/>
      <c r="I97" s="54" t="n"/>
      <c r="J97" s="54" t="n"/>
      <c r="K97" s="54" t="n"/>
      <c r="L97" s="55">
        <f>IF(NOT((COUNTA($A97)+COUNTA($C97:$K97)+COUNTA($N97:$O97))&gt;0),"",IFERROR(LOOKUP(2,1/(H97:K97&lt;&gt;""),H97:K97),0))</f>
        <v/>
      </c>
      <c r="M97" s="56">
        <f>IF(L97="","",IF(L97&gt;=1,"Completado",IF(L97&gt;0,"En curso","Pendiente")))</f>
        <v/>
      </c>
      <c r="N97" s="52" t="n"/>
      <c r="O97" s="51" t="n"/>
      <c r="P97" s="57">
        <f>IF(NOT((COUNTA($A97)+COUNTA($C97:$K97)+COUNTA($N97:$O97))&gt;0),"",IF((IF(A97="","Falta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 OK","⚠ "&amp;LEFT(IF(A97="","Falta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",""),LEN(IF(A97="","Falta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",""))-3)))</f>
        <v/>
      </c>
    </row>
    <row r="98">
      <c r="A98" s="49" t="n"/>
      <c r="B98" s="50">
        <f>IF((COUNTA($A98)+COUNTA($C98:$K98)+COUNTA($N98:$O98))&gt;0,"Riesgo Legal y Normativo","")</f>
        <v/>
      </c>
      <c r="C98" s="51" t="n"/>
      <c r="D98" s="51" t="n"/>
      <c r="E98" s="52" t="n"/>
      <c r="F98" s="52" t="n"/>
      <c r="G98" s="53" t="n"/>
      <c r="H98" s="54" t="n"/>
      <c r="I98" s="54" t="n"/>
      <c r="J98" s="54" t="n"/>
      <c r="K98" s="54" t="n"/>
      <c r="L98" s="55">
        <f>IF(NOT((COUNTA($A98)+COUNTA($C98:$K98)+COUNTA($N98:$O98))&gt;0),"",IFERROR(LOOKUP(2,1/(H98:K98&lt;&gt;""),H98:K98),0))</f>
        <v/>
      </c>
      <c r="M98" s="56">
        <f>IF(L98="","",IF(L98&gt;=1,"Completado",IF(L98&gt;0,"En curso","Pendiente")))</f>
        <v/>
      </c>
      <c r="N98" s="52" t="n"/>
      <c r="O98" s="51" t="n"/>
      <c r="P98" s="57">
        <f>IF(NOT((COUNTA($A98)+COUNTA($C98:$K98)+COUNTA($N98:$O98))&gt;0),"",IF((IF(A98="","Falta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 OK","⚠ "&amp;LEFT(IF(A98="","Falta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",""),LEN(IF(A98="","Falta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",""))-3)))</f>
        <v/>
      </c>
    </row>
    <row r="99">
      <c r="A99" s="49" t="n"/>
      <c r="B99" s="50">
        <f>IF((COUNTA($A99)+COUNTA($C99:$K99)+COUNTA($N99:$O99))&gt;0,"Riesgo Legal y Normativo","")</f>
        <v/>
      </c>
      <c r="C99" s="51" t="n"/>
      <c r="D99" s="51" t="n"/>
      <c r="E99" s="52" t="n"/>
      <c r="F99" s="52" t="n"/>
      <c r="G99" s="53" t="n"/>
      <c r="H99" s="54" t="n"/>
      <c r="I99" s="54" t="n"/>
      <c r="J99" s="54" t="n"/>
      <c r="K99" s="54" t="n"/>
      <c r="L99" s="55">
        <f>IF(NOT((COUNTA($A99)+COUNTA($C99:$K99)+COUNTA($N99:$O99))&gt;0),"",IFERROR(LOOKUP(2,1/(H99:K99&lt;&gt;""),H99:K99),0))</f>
        <v/>
      </c>
      <c r="M99" s="56">
        <f>IF(L99="","",IF(L99&gt;=1,"Completado",IF(L99&gt;0,"En curso","Pendiente")))</f>
        <v/>
      </c>
      <c r="N99" s="52" t="n"/>
      <c r="O99" s="51" t="n"/>
      <c r="P99" s="57">
        <f>IF(NOT((COUNTA($A99)+COUNTA($C99:$K99)+COUNTA($N99:$O99))&gt;0),"",IF((IF(A99="","Falta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 OK","⚠ "&amp;LEFT(IF(A99="","Falta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",""),LEN(IF(A99="","Falta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",""))-3)))</f>
        <v/>
      </c>
    </row>
    <row r="100">
      <c r="A100" s="49" t="n"/>
      <c r="B100" s="50">
        <f>IF((COUNTA($A100)+COUNTA($C100:$K100)+COUNTA($N100:$O100))&gt;0,"Riesgo Legal y Normativo","")</f>
        <v/>
      </c>
      <c r="C100" s="51" t="n"/>
      <c r="D100" s="51" t="n"/>
      <c r="E100" s="52" t="n"/>
      <c r="F100" s="52" t="n"/>
      <c r="G100" s="53" t="n"/>
      <c r="H100" s="54" t="n"/>
      <c r="I100" s="54" t="n"/>
      <c r="J100" s="54" t="n"/>
      <c r="K100" s="54" t="n"/>
      <c r="L100" s="55">
        <f>IF(NOT((COUNTA($A100)+COUNTA($C100:$K100)+COUNTA($N100:$O100))&gt;0),"",IFERROR(LOOKUP(2,1/(H100:K100&lt;&gt;""),H100:K100),0))</f>
        <v/>
      </c>
      <c r="M100" s="56">
        <f>IF(L100="","",IF(L100&gt;=1,"Completado",IF(L100&gt;0,"En curso","Pendiente")))</f>
        <v/>
      </c>
      <c r="N100" s="52" t="n"/>
      <c r="O100" s="51" t="n"/>
      <c r="P100" s="57">
        <f>IF(NOT((COUNTA($A100)+COUNTA($C100:$K100)+COUNTA($N100:$O100))&gt;0),"",IF((IF(A100="","Falta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 OK","⚠ "&amp;LEFT(IF(A100="","Falta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",""),LEN(IF(A100="","Falta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",""))-3)))</f>
        <v/>
      </c>
    </row>
    <row r="101">
      <c r="A101" s="49" t="n"/>
      <c r="B101" s="50">
        <f>IF((COUNTA($A101)+COUNTA($C101:$K101)+COUNTA($N101:$O101))&gt;0,"Riesgo Legal y Normativo","")</f>
        <v/>
      </c>
      <c r="C101" s="51" t="n"/>
      <c r="D101" s="51" t="n"/>
      <c r="E101" s="52" t="n"/>
      <c r="F101" s="52" t="n"/>
      <c r="G101" s="53" t="n"/>
      <c r="H101" s="54" t="n"/>
      <c r="I101" s="54" t="n"/>
      <c r="J101" s="54" t="n"/>
      <c r="K101" s="54" t="n"/>
      <c r="L101" s="55">
        <f>IF(NOT((COUNTA($A101)+COUNTA($C101:$K101)+COUNTA($N101:$O101))&gt;0),"",IFERROR(LOOKUP(2,1/(H101:K101&lt;&gt;""),H101:K101),0))</f>
        <v/>
      </c>
      <c r="M101" s="56">
        <f>IF(L101="","",IF(L101&gt;=1,"Completado",IF(L101&gt;0,"En curso","Pendiente")))</f>
        <v/>
      </c>
      <c r="N101" s="52" t="n"/>
      <c r="O101" s="51" t="n"/>
      <c r="P101" s="57">
        <f>IF(NOT((COUNTA($A101)+COUNTA($C101:$K101)+COUNTA($N101:$O101))&gt;0),"",IF((IF(A101="","Falta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 OK","⚠ "&amp;LEFT(IF(A101="","Falta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",""),LEN(IF(A101="","Falta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",""))-3)))</f>
        <v/>
      </c>
    </row>
    <row r="102">
      <c r="A102" s="49" t="n"/>
      <c r="B102" s="50">
        <f>IF((COUNTA($A102)+COUNTA($C102:$K102)+COUNTA($N102:$O102))&gt;0,"Riesgo Legal y Normativo","")</f>
        <v/>
      </c>
      <c r="C102" s="51" t="n"/>
      <c r="D102" s="51" t="n"/>
      <c r="E102" s="52" t="n"/>
      <c r="F102" s="52" t="n"/>
      <c r="G102" s="53" t="n"/>
      <c r="H102" s="54" t="n"/>
      <c r="I102" s="54" t="n"/>
      <c r="J102" s="54" t="n"/>
      <c r="K102" s="54" t="n"/>
      <c r="L102" s="55">
        <f>IF(NOT((COUNTA($A102)+COUNTA($C102:$K102)+COUNTA($N102:$O102))&gt;0),"",IFERROR(LOOKUP(2,1/(H102:K102&lt;&gt;""),H102:K102),0))</f>
        <v/>
      </c>
      <c r="M102" s="56">
        <f>IF(L102="","",IF(L102&gt;=1,"Completado",IF(L102&gt;0,"En curso","Pendiente")))</f>
        <v/>
      </c>
      <c r="N102" s="52" t="n"/>
      <c r="O102" s="51" t="n"/>
      <c r="P102" s="57">
        <f>IF(NOT((COUNTA($A102)+COUNTA($C102:$K102)+COUNTA($N102:$O102))&gt;0),"",IF((IF(A102="","Falta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 OK","⚠ "&amp;LEFT(IF(A102="","Falta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",""),LEN(IF(A102="","Falta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",""))-3)))</f>
        <v/>
      </c>
    </row>
    <row r="103">
      <c r="A103" s="49" t="n"/>
      <c r="B103" s="50">
        <f>IF((COUNTA($A103)+COUNTA($C103:$K103)+COUNTA($N103:$O103))&gt;0,"Riesgo Legal y Normativo","")</f>
        <v/>
      </c>
      <c r="C103" s="51" t="n"/>
      <c r="D103" s="51" t="n"/>
      <c r="E103" s="52" t="n"/>
      <c r="F103" s="52" t="n"/>
      <c r="G103" s="53" t="n"/>
      <c r="H103" s="54" t="n"/>
      <c r="I103" s="54" t="n"/>
      <c r="J103" s="54" t="n"/>
      <c r="K103" s="54" t="n"/>
      <c r="L103" s="55">
        <f>IF(NOT((COUNTA($A103)+COUNTA($C103:$K103)+COUNTA($N103:$O103))&gt;0),"",IFERROR(LOOKUP(2,1/(H103:K103&lt;&gt;""),H103:K103),0))</f>
        <v/>
      </c>
      <c r="M103" s="56">
        <f>IF(L103="","",IF(L103&gt;=1,"Completado",IF(L103&gt;0,"En curso","Pendiente")))</f>
        <v/>
      </c>
      <c r="N103" s="52" t="n"/>
      <c r="O103" s="51" t="n"/>
      <c r="P103" s="57">
        <f>IF(NOT((COUNTA($A103)+COUNTA($C103:$K103)+COUNTA($N103:$O103))&gt;0),"",IF((IF(A103="","Falta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 OK","⚠ "&amp;LEFT(IF(A103="","Falta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",""),LEN(IF(A103="","Falta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",""))-3)))</f>
        <v/>
      </c>
    </row>
    <row r="104">
      <c r="A104" s="49" t="n"/>
      <c r="B104" s="50">
        <f>IF((COUNTA($A104)+COUNTA($C104:$K104)+COUNTA($N104:$O104))&gt;0,"Riesgo Legal y Normativo","")</f>
        <v/>
      </c>
      <c r="C104" s="51" t="n"/>
      <c r="D104" s="51" t="n"/>
      <c r="E104" s="52" t="n"/>
      <c r="F104" s="52" t="n"/>
      <c r="G104" s="53" t="n"/>
      <c r="H104" s="54" t="n"/>
      <c r="I104" s="54" t="n"/>
      <c r="J104" s="54" t="n"/>
      <c r="K104" s="54" t="n"/>
      <c r="L104" s="55">
        <f>IF(NOT((COUNTA($A104)+COUNTA($C104:$K104)+COUNTA($N104:$O104))&gt;0),"",IFERROR(LOOKUP(2,1/(H104:K104&lt;&gt;""),H104:K104),0))</f>
        <v/>
      </c>
      <c r="M104" s="56">
        <f>IF(L104="","",IF(L104&gt;=1,"Completado",IF(L104&gt;0,"En curso","Pendiente")))</f>
        <v/>
      </c>
      <c r="N104" s="52" t="n"/>
      <c r="O104" s="51" t="n"/>
      <c r="P104" s="57">
        <f>IF(NOT((COUNTA($A104)+COUNTA($C104:$K104)+COUNTA($N104:$O104))&gt;0),"",IF((IF(A104="","Falta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 OK","⚠ "&amp;LEFT(IF(A104="","Falta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",""),LEN(IF(A104="","Falta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",""))-3)))</f>
        <v/>
      </c>
    </row>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conditionalFormatting sqref="E3">
    <cfRule type="expression" priority="1" dxfId="1">
      <formula>LEFT($E$3,1)="⚠"</formula>
    </cfRule>
    <cfRule type="expression" priority="2" dxfId="0">
      <formula>LEFT($E$3,1)="✔"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A5:A1000">
    <cfRule type="expression" priority="10" dxfId="6" stopIfTrue="1">
      <formula>AND($A5&lt;&gt;"",(COUNTIF('Cronograma R. Operacional'!$A$5:$A$1000,$A5)+COUNTIF('Cronograma R. Legal y Normativo'!$A$5:$A$1000,$A5)+COUNTIF('Cronograma R. Financiero'!$A$5:$A$1000,$A5)+COUNTIF('Cronograma Asistente Técnico'!$A$5:$A$1000,$A5))&gt;1)</formula>
    </cfRule>
    <cfRule type="expression" priority="11" dxfId="5">
      <formula>AND((COUNTA($A5)+COUNTA($C5:$K5)+COUNTA($N5:$O5))&gt;0,A5="")</formula>
    </cfRule>
  </conditionalFormatting>
  <conditionalFormatting sqref="C5:G1000">
    <cfRule type="expression" priority="12" dxfId="5">
      <formula>AND((COUNTA($A5)+COUNTA($C5:$K5)+COUNTA($N5:$O5))&gt;0,C5="")</formula>
    </cfRule>
  </conditionalFormatting>
  <conditionalFormatting sqref="E5:F1000">
    <cfRule type="expression" priority="13" dxfId="6">
      <formula>AND(ISNUMBER($E5),ISNUMBER($F5),$E5&gt;$F5)</formula>
    </cfRule>
  </conditionalFormatting>
  <conditionalFormatting sqref="G5:G1000">
    <cfRule type="expression" priority="14" dxfId="7">
      <formula>AND((COUNTA($A5)+COUNTA($C5:$K5)+COUNTA($N5:$O5))&gt;0,ABS(SUM($G$5:$G$1000)-1)&gt;0.0001)</formula>
    </cfRule>
  </conditionalFormatting>
  <conditionalFormatting sqref="H5:K1000">
    <cfRule type="expression" priority="15" dxfId="5" stopIfTrue="1">
      <formula>AND(H5&lt;&gt;"",OR(NOT(ISNUMBER(H5)),H5&gt;1,H5&lt;0))</formula>
    </cfRule>
  </conditionalFormatting>
  <conditionalFormatting sqref="I5:K1000">
    <cfRule type="expression" priority="16" dxfId="6">
      <formula>AND(I5&lt;&gt;"",I5&lt;MAX($H5:H5))</formula>
    </cfRule>
  </conditionalFormatting>
  <conditionalFormatting sqref="O5:O1000">
    <cfRule type="expression" priority="17" dxfId="5">
      <formula>AND(EvidenciaObligatoria="Sí",N($L5)&gt;=1,$O5="")</formula>
    </cfRule>
  </conditionalFormatting>
  <conditionalFormatting sqref="P5:P1000">
    <cfRule type="expression" priority="18" dxfId="5">
      <formula>LEFT($P5,1)="⚠"</formula>
    </cfRule>
    <cfRule type="expression" priority="19" dxfId="8">
      <formula>LEFT($P5,1)="✔"</formula>
    </cfRule>
  </conditionalFormatting>
  <dataValidations count="4">
    <dataValidation sqref="E5:E1000 F5:F1000 N5:N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de actividad" prompt="Peso relativo dentro del puesto. La suma de esta hoja debe ser 100%." type="decimal" operator="between">
      <formula1>0</formula1>
      <formula2>1</formula2>
    </dataValidation>
    <dataValidation sqref="H5:K1000" showDropDown="0" showInputMessage="1" showErrorMessage="1" allowBlank="1" errorTitle="Avance no válido" error="Ingrese un porcentaje entre 0% y 100%. Deje la celda vacía si la semana no se ha actualizado." promptTitle="Avance acumulado" prompt="% ACUMULADO al cierre de la semana (no el incremento)." type="decimal" operator="between">
      <formula1>0</formula1>
      <formula2>1</formula2>
    </dataValidation>
    <dataValidation sqref="M5:M1000" showDropDown="0" showInputMessage="1" showErrorMessage="1" allowBlank="1" promptTitle="Estado automático" prompt="Se calcula a partir del % de avance. No se edita manualmente." type="list">
      <formula1>ListaEstados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K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3" customWidth="1" min="3" max="3"/>
    <col width="24" customWidth="1" min="4" max="4"/>
    <col width="48" customWidth="1" min="5" max="5"/>
    <col width="52" customWidth="1" min="6" max="6"/>
    <col width="18" customWidth="1" min="7" max="7"/>
    <col width="13" customWidth="1" min="8" max="8"/>
    <col width="14" customWidth="1" min="9" max="9"/>
    <col width="30" customWidth="1" min="10" max="10"/>
    <col width="34" customWidth="1" min="11" max="11"/>
  </cols>
  <sheetData>
    <row r="1" ht="28" customHeight="1">
      <c r="A1" s="41" t="inlineStr">
        <is>
          <t>Línea de Tiempo – Hitos y entregables – Riesgo Legal y Normativo</t>
        </is>
      </c>
      <c r="B1" s="41" t="n"/>
      <c r="C1" s="41" t="n"/>
      <c r="D1" s="41" t="n"/>
      <c r="E1" s="41" t="n"/>
      <c r="F1" s="41" t="n"/>
      <c r="G1" s="41" t="n"/>
      <c r="H1" s="41" t="n"/>
      <c r="I1" s="41" t="n"/>
      <c r="J1" s="41" t="n"/>
      <c r="K1" s="41" t="n"/>
    </row>
    <row r="2" ht="32" customHeight="1">
      <c r="A2" s="58" t="inlineStr">
        <is>
          <t>Hoja exclusiva de Riesgo Legal y Normativo. PROPUESTA INICIAL EDITABLE, sujeta a validación del responsable del puesto; no constituye una obligación institucional aprobada. Puede modificar o agregar hitos (ID, semana, entregable, criterio). Semana 1: diagnóstico y planificación · Semana 2: desarrollo y documentación · Semana 3: validación, análisis y propuestas · Semana 4: cierre y presentación ejecutiva.</t>
        </is>
      </c>
      <c r="B2" s="58" t="n"/>
      <c r="C2" s="58" t="n"/>
      <c r="D2" s="58" t="n"/>
      <c r="E2" s="58" t="n"/>
      <c r="F2" s="58" t="n"/>
      <c r="G2" s="58" t="n"/>
      <c r="H2" s="58" t="n"/>
      <c r="I2" s="58" t="n"/>
      <c r="J2" s="58" t="n"/>
      <c r="K2" s="58" t="n"/>
    </row>
    <row r="3">
      <c r="A3" s="43" t="inlineStr">
        <is>
          <t>Entrada</t>
        </is>
      </c>
      <c r="B3" s="44" t="inlineStr">
        <is>
          <t>Cálculo</t>
        </is>
      </c>
      <c r="C3" s="59" t="inlineStr">
        <is>
          <t>Fecha objetivo propuesta = viernes de la semana según «Fecha de inicio del ciclo» (Configuración); puede escribir otra fecha encima.</t>
        </is>
      </c>
    </row>
    <row r="4" ht="34" customHeight="1">
      <c r="A4" s="48" t="inlineStr">
        <is>
          <t>ID Hito</t>
        </is>
      </c>
      <c r="B4" s="48" t="inlineStr">
        <is>
          <t>Semana</t>
        </is>
      </c>
      <c r="C4" s="48" t="inlineStr">
        <is>
          <t>Fecha objetivo</t>
        </is>
      </c>
      <c r="D4" s="6" t="inlineStr">
        <is>
          <t>Área / Puesto</t>
        </is>
      </c>
      <c r="E4" s="48" t="inlineStr">
        <is>
          <t>Entregable / Hito</t>
        </is>
      </c>
      <c r="F4" s="48" t="inlineStr">
        <is>
          <t>Criterio de aceptación</t>
        </is>
      </c>
      <c r="G4" s="48" t="inlineStr">
        <is>
          <t>Responsable</t>
        </is>
      </c>
      <c r="H4" s="48" t="inlineStr">
        <is>
          <t>Estado</t>
        </is>
      </c>
      <c r="I4" s="48" t="inlineStr">
        <is>
          <t>Fecha real de cumplimiento</t>
        </is>
      </c>
      <c r="J4" s="48" t="inlineStr">
        <is>
          <t>Evidencia / Enlace</t>
        </is>
      </c>
      <c r="K4" s="48" t="inlineStr">
        <is>
          <t>Observaciones</t>
        </is>
      </c>
    </row>
    <row r="5" ht="45" customHeight="1">
      <c r="A5" s="49" t="inlineStr">
        <is>
          <t>H-RLN-01</t>
        </is>
      </c>
      <c r="B5" s="49" t="inlineStr">
        <is>
          <t>Semana 1</t>
        </is>
      </c>
      <c r="C5" s="52">
        <f>IF(OR(InicioCiclo="",$B5=""),"",InicioCiclo+7*VALUE(RIGHT($B5,1))-3)</f>
        <v/>
      </c>
      <c r="D5" s="50">
        <f>IF((COUNTA($A5,$B5)+COUNTA($E5:$K5))&gt;0,"Riesgo Legal y Normativo","")</f>
        <v/>
      </c>
      <c r="E5" s="51" t="inlineStr">
        <is>
          <t>Inventario de normativa aplicable y diagnóstico preliminar de cumplimiento</t>
        </is>
      </c>
      <c r="F5" s="51" t="inlineStr">
        <is>
          <t>Listado de normas aplicables con fuente, vigencia y estado preliminar de cumplimiento por requisito.</t>
        </is>
      </c>
      <c r="G5" s="51" t="inlineStr">
        <is>
          <t>Por asignar</t>
        </is>
      </c>
      <c r="H5" s="49" t="inlineStr">
        <is>
          <t>Pendiente</t>
        </is>
      </c>
      <c r="I5" s="52" t="n"/>
      <c r="J5" s="51" t="n"/>
      <c r="K5" s="51" t="inlineStr">
        <is>
          <t>Propuesta inicial editable – sujeta a validación del responsable.</t>
        </is>
      </c>
    </row>
    <row r="6" ht="45" customHeight="1">
      <c r="A6" s="49" t="inlineStr">
        <is>
          <t>H-RLN-02</t>
        </is>
      </c>
      <c r="B6" s="49" t="inlineStr">
        <is>
          <t>Semana 2</t>
        </is>
      </c>
      <c r="C6" s="52">
        <f>IF(OR(InicioCiclo="",$B6=""),"",InicioCiclo+7*VALUE(RIGHT($B6,1))-3)</f>
        <v/>
      </c>
      <c r="D6" s="50">
        <f>IF((COUNTA($A6,$B6)+COUNTA($E6:$K6))&gt;0,"Riesgo Legal y Normativo","")</f>
        <v/>
      </c>
      <c r="E6" s="51" t="inlineStr">
        <is>
          <t>Matriz de cumplimiento normativo y de riesgo legal documentada</t>
        </is>
      </c>
      <c r="F6" s="51" t="inlineStr">
        <is>
          <t>Matriz con requisito, área responsable, evidencia de cumplimiento y nivel de riesgo para cada norma del inventario.</t>
        </is>
      </c>
      <c r="G6" s="51" t="inlineStr">
        <is>
          <t>Por asignar</t>
        </is>
      </c>
      <c r="H6" s="49" t="inlineStr">
        <is>
          <t>Pendiente</t>
        </is>
      </c>
      <c r="I6" s="52" t="n"/>
      <c r="J6" s="51" t="n"/>
      <c r="K6" s="51" t="inlineStr">
        <is>
          <t>Propuesta inicial editable – sujeta a validación del responsable.</t>
        </is>
      </c>
    </row>
    <row r="7" ht="45" customHeight="1">
      <c r="A7" s="49" t="inlineStr">
        <is>
          <t>H-RLN-03</t>
        </is>
      </c>
      <c r="B7" s="49" t="inlineStr">
        <is>
          <t>Semana 3</t>
        </is>
      </c>
      <c r="C7" s="52">
        <f>IF(OR(InicioCiclo="",$B7=""),"",InicioCiclo+7*VALUE(RIGHT($B7,1))-3)</f>
        <v/>
      </c>
      <c r="D7" s="50">
        <f>IF((COUNTA($A7,$B7)+COUNTA($E7:$K7))&gt;0,"Riesgo Legal y Normativo","")</f>
        <v/>
      </c>
      <c r="E7" s="51" t="inlineStr">
        <is>
          <t>Análisis de brechas normativas y propuestas de adecuación</t>
        </is>
      </c>
      <c r="F7" s="51" t="inlineStr">
        <is>
          <t>Cada brecha identificada tiene propuesta de adecuación, responsable sugerido y plazo; revisión del titular documentada.</t>
        </is>
      </c>
      <c r="G7" s="51" t="inlineStr">
        <is>
          <t>Por asignar</t>
        </is>
      </c>
      <c r="H7" s="49" t="inlineStr">
        <is>
          <t>Pendiente</t>
        </is>
      </c>
      <c r="I7" s="52" t="n"/>
      <c r="J7" s="51" t="n"/>
      <c r="K7" s="51" t="inlineStr">
        <is>
          <t>Propuesta inicial editable – sujeta a validación del responsable.</t>
        </is>
      </c>
    </row>
    <row r="8" ht="45" customHeight="1">
      <c r="A8" s="49" t="inlineStr">
        <is>
          <t>H-RLN-04</t>
        </is>
      </c>
      <c r="B8" s="49" t="inlineStr">
        <is>
          <t>Semana 4</t>
        </is>
      </c>
      <c r="C8" s="52">
        <f>IF(OR(InicioCiclo="",$B8=""),"",InicioCiclo+7*VALUE(RIGHT($B8,1))-3)</f>
        <v/>
      </c>
      <c r="D8" s="50">
        <f>IF((COUNTA($A8,$B8)+COUNTA($E8:$K8))&gt;0,"Riesgo Legal y Normativo","")</f>
        <v/>
      </c>
      <c r="E8" s="51" t="inlineStr">
        <is>
          <t>Informe de cumplimiento normativo y presentación ejecutiva</t>
        </is>
      </c>
      <c r="F8" s="51" t="inlineStr">
        <is>
          <t>Informe y presentación entregados en la reunión de cierre y con conformidad registrada de la jefatura.</t>
        </is>
      </c>
      <c r="G8" s="51" t="inlineStr">
        <is>
          <t>Por asignar</t>
        </is>
      </c>
      <c r="H8" s="49" t="inlineStr">
        <is>
          <t>Pendiente</t>
        </is>
      </c>
      <c r="I8" s="52" t="n"/>
      <c r="J8" s="51" t="n"/>
      <c r="K8" s="51" t="inlineStr">
        <is>
          <t>Propuesta inicial editable – sujeta a validación del responsable.</t>
        </is>
      </c>
    </row>
    <row r="9">
      <c r="A9" s="49" t="n"/>
      <c r="B9" s="49" t="n"/>
      <c r="C9" s="52">
        <f>IF(OR(InicioCiclo="",$B9=""),"",InicioCiclo+7*VALUE(RIGHT($B9,1))-3)</f>
        <v/>
      </c>
      <c r="D9" s="50">
        <f>IF((COUNTA($A9,$B9)+COUNTA($E9:$K9))&gt;0,"Riesgo Legal y Normativo","")</f>
        <v/>
      </c>
      <c r="E9" s="51" t="n"/>
      <c r="F9" s="51" t="n"/>
      <c r="G9" s="51" t="n"/>
      <c r="H9" s="49" t="n"/>
      <c r="I9" s="52" t="n"/>
      <c r="J9" s="51" t="n"/>
      <c r="K9" s="51" t="n"/>
    </row>
    <row r="10">
      <c r="A10" s="49" t="n"/>
      <c r="B10" s="49" t="n"/>
      <c r="C10" s="52">
        <f>IF(OR(InicioCiclo="",$B10=""),"",InicioCiclo+7*VALUE(RIGHT($B10,1))-3)</f>
        <v/>
      </c>
      <c r="D10" s="50">
        <f>IF((COUNTA($A10,$B10)+COUNTA($E10:$K10))&gt;0,"Riesgo Legal y Normativo","")</f>
        <v/>
      </c>
      <c r="E10" s="51" t="n"/>
      <c r="F10" s="51" t="n"/>
      <c r="G10" s="51" t="n"/>
      <c r="H10" s="49" t="n"/>
      <c r="I10" s="52" t="n"/>
      <c r="J10" s="51" t="n"/>
      <c r="K10" s="51" t="n"/>
    </row>
    <row r="11">
      <c r="A11" s="49" t="n"/>
      <c r="B11" s="49" t="n"/>
      <c r="C11" s="52">
        <f>IF(OR(InicioCiclo="",$B11=""),"",InicioCiclo+7*VALUE(RIGHT($B11,1))-3)</f>
        <v/>
      </c>
      <c r="D11" s="50">
        <f>IF((COUNTA($A11,$B11)+COUNTA($E11:$K11))&gt;0,"Riesgo Legal y Normativo","")</f>
        <v/>
      </c>
      <c r="E11" s="51" t="n"/>
      <c r="F11" s="51" t="n"/>
      <c r="G11" s="51" t="n"/>
      <c r="H11" s="49" t="n"/>
      <c r="I11" s="52" t="n"/>
      <c r="J11" s="51" t="n"/>
      <c r="K11" s="51" t="n"/>
    </row>
    <row r="12">
      <c r="A12" s="49" t="n"/>
      <c r="B12" s="49" t="n"/>
      <c r="C12" s="52">
        <f>IF(OR(InicioCiclo="",$B12=""),"",InicioCiclo+7*VALUE(RIGHT($B12,1))-3)</f>
        <v/>
      </c>
      <c r="D12" s="50">
        <f>IF((COUNTA($A12,$B12)+COUNTA($E12:$K12))&gt;0,"Riesgo Legal y Normativo","")</f>
        <v/>
      </c>
      <c r="E12" s="51" t="n"/>
      <c r="F12" s="51" t="n"/>
      <c r="G12" s="51" t="n"/>
      <c r="H12" s="49" t="n"/>
      <c r="I12" s="52" t="n"/>
      <c r="J12" s="51" t="n"/>
      <c r="K12" s="51" t="n"/>
    </row>
    <row r="13">
      <c r="A13" s="49" t="n"/>
      <c r="B13" s="49" t="n"/>
      <c r="C13" s="52">
        <f>IF(OR(InicioCiclo="",$B13=""),"",InicioCiclo+7*VALUE(RIGHT($B13,1))-3)</f>
        <v/>
      </c>
      <c r="D13" s="50">
        <f>IF((COUNTA($A13,$B13)+COUNTA($E13:$K13))&gt;0,"Riesgo Legal y Normativo","")</f>
        <v/>
      </c>
      <c r="E13" s="51" t="n"/>
      <c r="F13" s="51" t="n"/>
      <c r="G13" s="51" t="n"/>
      <c r="H13" s="49" t="n"/>
      <c r="I13" s="52" t="n"/>
      <c r="J13" s="51" t="n"/>
      <c r="K13" s="51" t="n"/>
    </row>
    <row r="14">
      <c r="A14" s="49" t="n"/>
      <c r="B14" s="49" t="n"/>
      <c r="C14" s="52">
        <f>IF(OR(InicioCiclo="",$B14=""),"",InicioCiclo+7*VALUE(RIGHT($B14,1))-3)</f>
        <v/>
      </c>
      <c r="D14" s="50">
        <f>IF((COUNTA($A14,$B14)+COUNTA($E14:$K14))&gt;0,"Riesgo Legal y Normativo","")</f>
        <v/>
      </c>
      <c r="E14" s="51" t="n"/>
      <c r="F14" s="51" t="n"/>
      <c r="G14" s="51" t="n"/>
      <c r="H14" s="49" t="n"/>
      <c r="I14" s="52" t="n"/>
      <c r="J14" s="51" t="n"/>
      <c r="K14" s="51" t="n"/>
    </row>
    <row r="15">
      <c r="A15" s="49" t="n"/>
      <c r="B15" s="49" t="n"/>
      <c r="C15" s="52">
        <f>IF(OR(InicioCiclo="",$B15=""),"",InicioCiclo+7*VALUE(RIGHT($B15,1))-3)</f>
        <v/>
      </c>
      <c r="D15" s="50">
        <f>IF((COUNTA($A15,$B15)+COUNTA($E15:$K15))&gt;0,"Riesgo Legal y Normativo","")</f>
        <v/>
      </c>
      <c r="E15" s="51" t="n"/>
      <c r="F15" s="51" t="n"/>
      <c r="G15" s="51" t="n"/>
      <c r="H15" s="49" t="n"/>
      <c r="I15" s="52" t="n"/>
      <c r="J15" s="51" t="n"/>
      <c r="K15" s="51" t="n"/>
    </row>
    <row r="16">
      <c r="A16" s="49" t="n"/>
      <c r="B16" s="49" t="n"/>
      <c r="C16" s="52">
        <f>IF(OR(InicioCiclo="",$B16=""),"",InicioCiclo+7*VALUE(RIGHT($B16,1))-3)</f>
        <v/>
      </c>
      <c r="D16" s="50">
        <f>IF((COUNTA($A16,$B16)+COUNTA($E16:$K16))&gt;0,"Riesgo Legal y Normativo","")</f>
        <v/>
      </c>
      <c r="E16" s="51" t="n"/>
      <c r="F16" s="51" t="n"/>
      <c r="G16" s="51" t="n"/>
      <c r="H16" s="49" t="n"/>
      <c r="I16" s="52" t="n"/>
      <c r="J16" s="51" t="n"/>
      <c r="K16" s="51" t="n"/>
    </row>
    <row r="17">
      <c r="A17" s="49" t="n"/>
      <c r="B17" s="49" t="n"/>
      <c r="C17" s="52">
        <f>IF(OR(InicioCiclo="",$B17=""),"",InicioCiclo+7*VALUE(RIGHT($B17,1))-3)</f>
        <v/>
      </c>
      <c r="D17" s="50">
        <f>IF((COUNTA($A17,$B17)+COUNTA($E17:$K17))&gt;0,"Riesgo Legal y Normativo","")</f>
        <v/>
      </c>
      <c r="E17" s="51" t="n"/>
      <c r="F17" s="51" t="n"/>
      <c r="G17" s="51" t="n"/>
      <c r="H17" s="49" t="n"/>
      <c r="I17" s="52" t="n"/>
      <c r="J17" s="51" t="n"/>
      <c r="K17" s="51" t="n"/>
    </row>
    <row r="18">
      <c r="A18" s="49" t="n"/>
      <c r="B18" s="49" t="n"/>
      <c r="C18" s="52">
        <f>IF(OR(InicioCiclo="",$B18=""),"",InicioCiclo+7*VALUE(RIGHT($B18,1))-3)</f>
        <v/>
      </c>
      <c r="D18" s="50">
        <f>IF((COUNTA($A18,$B18)+COUNTA($E18:$K18))&gt;0,"Riesgo Legal y Normativo","")</f>
        <v/>
      </c>
      <c r="E18" s="51" t="n"/>
      <c r="F18" s="51" t="n"/>
      <c r="G18" s="51" t="n"/>
      <c r="H18" s="49" t="n"/>
      <c r="I18" s="52" t="n"/>
      <c r="J18" s="51" t="n"/>
      <c r="K18" s="51" t="n"/>
    </row>
    <row r="19">
      <c r="A19" s="49" t="n"/>
      <c r="B19" s="49" t="n"/>
      <c r="C19" s="52">
        <f>IF(OR(InicioCiclo="",$B19=""),"",InicioCiclo+7*VALUE(RIGHT($B19,1))-3)</f>
        <v/>
      </c>
      <c r="D19" s="50">
        <f>IF((COUNTA($A19,$B19)+COUNTA($E19:$K19))&gt;0,"Riesgo Legal y Normativo","")</f>
        <v/>
      </c>
      <c r="E19" s="51" t="n"/>
      <c r="F19" s="51" t="n"/>
      <c r="G19" s="51" t="n"/>
      <c r="H19" s="49" t="n"/>
      <c r="I19" s="52" t="n"/>
      <c r="J19" s="51" t="n"/>
      <c r="K19" s="51" t="n"/>
    </row>
    <row r="20">
      <c r="A20" s="49" t="n"/>
      <c r="B20" s="49" t="n"/>
      <c r="C20" s="52">
        <f>IF(OR(InicioCiclo="",$B20=""),"",InicioCiclo+7*VALUE(RIGHT($B20,1))-3)</f>
        <v/>
      </c>
      <c r="D20" s="50">
        <f>IF((COUNTA($A20,$B20)+COUNTA($E20:$K20))&gt;0,"Riesgo Legal y Normativo","")</f>
        <v/>
      </c>
      <c r="E20" s="51" t="n"/>
      <c r="F20" s="51" t="n"/>
      <c r="G20" s="51" t="n"/>
      <c r="H20" s="49" t="n"/>
      <c r="I20" s="52" t="n"/>
      <c r="J20" s="51" t="n"/>
      <c r="K20" s="51" t="n"/>
    </row>
    <row r="21">
      <c r="A21" s="49" t="n"/>
      <c r="B21" s="49" t="n"/>
      <c r="C21" s="52">
        <f>IF(OR(InicioCiclo="",$B21=""),"",InicioCiclo+7*VALUE(RIGHT($B21,1))-3)</f>
        <v/>
      </c>
      <c r="D21" s="50">
        <f>IF((COUNTA($A21,$B21)+COUNTA($E21:$K21))&gt;0,"Riesgo Legal y Normativo","")</f>
        <v/>
      </c>
      <c r="E21" s="51" t="n"/>
      <c r="F21" s="51" t="n"/>
      <c r="G21" s="51" t="n"/>
      <c r="H21" s="49" t="n"/>
      <c r="I21" s="52" t="n"/>
      <c r="J21" s="51" t="n"/>
      <c r="K21" s="51" t="n"/>
    </row>
    <row r="22">
      <c r="A22" s="49" t="n"/>
      <c r="B22" s="49" t="n"/>
      <c r="C22" s="52">
        <f>IF(OR(InicioCiclo="",$B22=""),"",InicioCiclo+7*VALUE(RIGHT($B22,1))-3)</f>
        <v/>
      </c>
      <c r="D22" s="50">
        <f>IF((COUNTA($A22,$B22)+COUNTA($E22:$K22))&gt;0,"Riesgo Legal y Normativo","")</f>
        <v/>
      </c>
      <c r="E22" s="51" t="n"/>
      <c r="F22" s="51" t="n"/>
      <c r="G22" s="51" t="n"/>
      <c r="H22" s="49" t="n"/>
      <c r="I22" s="52" t="n"/>
      <c r="J22" s="51" t="n"/>
      <c r="K22" s="51" t="n"/>
    </row>
    <row r="23">
      <c r="A23" s="49" t="n"/>
      <c r="B23" s="49" t="n"/>
      <c r="C23" s="52">
        <f>IF(OR(InicioCiclo="",$B23=""),"",InicioCiclo+7*VALUE(RIGHT($B23,1))-3)</f>
        <v/>
      </c>
      <c r="D23" s="50">
        <f>IF((COUNTA($A23,$B23)+COUNTA($E23:$K23))&gt;0,"Riesgo Legal y Normativo","")</f>
        <v/>
      </c>
      <c r="E23" s="51" t="n"/>
      <c r="F23" s="51" t="n"/>
      <c r="G23" s="51" t="n"/>
      <c r="H23" s="49" t="n"/>
      <c r="I23" s="52" t="n"/>
      <c r="J23" s="51" t="n"/>
      <c r="K23" s="51" t="n"/>
    </row>
    <row r="24">
      <c r="A24" s="49" t="n"/>
      <c r="B24" s="49" t="n"/>
      <c r="C24" s="52">
        <f>IF(OR(InicioCiclo="",$B24=""),"",InicioCiclo+7*VALUE(RIGHT($B24,1))-3)</f>
        <v/>
      </c>
      <c r="D24" s="50">
        <f>IF((COUNTA($A24,$B24)+COUNTA($E24:$K24))&gt;0,"Riesgo Legal y Normativo","")</f>
        <v/>
      </c>
      <c r="E24" s="51" t="n"/>
      <c r="F24" s="51" t="n"/>
      <c r="G24" s="51" t="n"/>
      <c r="H24" s="49" t="n"/>
      <c r="I24" s="52" t="n"/>
      <c r="J24" s="51" t="n"/>
      <c r="K24" s="51" t="n"/>
    </row>
  </sheetData>
  <sheetProtection selectLockedCells="0" selectUnlockedCells="0" sheet="1" objects="0" insertRows="1" insertHyperlinks="1" autoFilter="0" scenarios="0" formatColumns="0" deleteColumns="1" insertColumns="1" pivotTables="1" deleteRows="1" formatCells="1" formatRows="0" sort="0"/>
  <mergeCells count="2">
    <mergeCell ref="A2:K2"/>
    <mergeCell ref="A1:K1"/>
  </mergeCells>
  <conditionalFormatting sqref="H5:H500">
    <cfRule type="expression" priority="1" dxfId="0">
      <formula>$H5="Completado"</formula>
    </cfRule>
    <cfRule type="expression" priority="2" dxfId="4">
      <formula>$H5="En curso"</formula>
    </cfRule>
    <cfRule type="expression" priority="3" dxfId="5">
      <formula>$H5="Pendiente"</formula>
    </cfRule>
  </conditionalFormatting>
  <conditionalFormatting sqref="C5:C500">
    <cfRule type="expression" priority="4" dxfId="6" stopIfTrue="1">
      <formula>AND(ISNUMBER($C5),$C5&lt;FechaRef,$H5&lt;&gt;"Completado")</formula>
    </cfRule>
    <cfRule type="expression" priority="5" dxfId="7">
      <formula>AND(ISNUMBER($C5),$C5&gt;=FechaRef,$C5-FechaRef&lt;=DiasAlerta,$H5&lt;&gt;"Completado")</formula>
    </cfRule>
  </conditionalFormatting>
  <conditionalFormatting sqref="I5:I500">
    <cfRule type="expression" priority="6" dxfId="7">
      <formula>AND(ISNUMBER($I5),ISNUMBER($C5),$I5&gt;$C5)</formula>
    </cfRule>
  </conditionalFormatting>
  <conditionalFormatting sqref="J5:J500">
    <cfRule type="expression" priority="7" dxfId="5">
      <formula>AND($H5="Completado",$J5="")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0" showErrorMessage="1" allowBlank="1" error="Seleccione Pendiente, En curso o Completado." type="list">
      <formula1>ListaEstados</formula1>
    </dataValidation>
    <dataValidation sqref="C5:C500 I5:I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00B050"/>
    <outlinePr summaryBelow="1" summaryRight="1"/>
    <pageSetUpPr fitToPage="1"/>
  </sheetPr>
  <dimension ref="A1:P1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44" customWidth="1" min="3" max="3"/>
    <col width="22"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13" customWidth="1" min="14" max="14"/>
    <col width="36" customWidth="1" min="15" max="15"/>
    <col width="58" customWidth="1" min="16" max="16"/>
  </cols>
  <sheetData>
    <row r="1" ht="28" customHeight="1">
      <c r="A1" s="41" t="inlineStr">
        <is>
          <t>Cronograma y Actividades – Riesgo Financiero</t>
        </is>
      </c>
      <c r="B1" s="41" t="n"/>
      <c r="C1" s="41" t="n"/>
      <c r="D1" s="41" t="n"/>
      <c r="E1" s="41" t="n"/>
      <c r="F1" s="41" t="n"/>
      <c r="G1" s="41" t="n"/>
      <c r="H1" s="41" t="n"/>
      <c r="I1" s="41" t="n"/>
      <c r="J1" s="41" t="n"/>
      <c r="K1" s="41" t="n"/>
      <c r="L1" s="41" t="n"/>
      <c r="M1" s="41" t="n"/>
      <c r="N1" s="41" t="n"/>
      <c r="O1" s="41" t="n"/>
      <c r="P1" s="41" t="n"/>
    </row>
    <row r="2" ht="30" customHeight="1">
      <c r="A2" s="42" t="inlineStr">
        <is>
          <t>Hoja exclusiva de Riesgo Financiero: registre aquí SOLO las actividades de este puesto. Celdas amarillas: entrada de datos.  Celdas grises: cálculo automático (protegidas).  Avances semanales = % ACUMULADO al cierre de cada semana (deje vacía la semana aún no actualizada).  Los pesos de esta hoja deben sumar 100%.</t>
        </is>
      </c>
      <c r="B2" s="42" t="n"/>
      <c r="C2" s="42" t="n"/>
      <c r="D2" s="42" t="n"/>
      <c r="E2" s="42" t="n"/>
      <c r="F2" s="42" t="n"/>
      <c r="G2" s="42" t="n"/>
      <c r="H2" s="42" t="n"/>
      <c r="I2" s="42" t="n"/>
      <c r="J2" s="42" t="n"/>
      <c r="K2" s="42" t="n"/>
      <c r="L2" s="42" t="n"/>
      <c r="M2" s="42" t="n"/>
      <c r="N2" s="42" t="n"/>
      <c r="O2" s="42" t="n"/>
      <c r="P2" s="42" t="n"/>
    </row>
    <row r="3">
      <c r="A3" s="43" t="inlineStr">
        <is>
          <t>Entrada</t>
        </is>
      </c>
      <c r="B3" s="44" t="inlineStr">
        <is>
          <t>Cálculo automático</t>
        </is>
      </c>
      <c r="C3" s="45" t="inlineStr">
        <is>
          <t>Suma de pesos de la hoja:</t>
        </is>
      </c>
      <c r="D3" s="46">
        <f>SUM(G5:G1000)</f>
        <v/>
      </c>
      <c r="E3" s="47">
        <f>IF(COUNTIF(P5:P1000,"?*")=0,"",IF(ABS(D3-1)&lt;=0.0001,"✔ 100%","⚠ Debe sumar 100%"))</f>
        <v/>
      </c>
    </row>
    <row r="4" ht="42" customHeight="1">
      <c r="A4" s="48" t="inlineStr">
        <is>
          <t>ID Actividad</t>
        </is>
      </c>
      <c r="B4" s="6" t="inlineStr">
        <is>
          <t>Área / Puesto</t>
        </is>
      </c>
      <c r="C4" s="48" t="inlineStr">
        <is>
          <t>Macro Actividad</t>
        </is>
      </c>
      <c r="D4" s="48" t="inlineStr">
        <is>
          <t>Responsable</t>
        </is>
      </c>
      <c r="E4" s="48" t="inlineStr">
        <is>
          <t>Fecha de inicio</t>
        </is>
      </c>
      <c r="F4" s="48" t="inlineStr">
        <is>
          <t>Fecha límite</t>
        </is>
      </c>
      <c r="G4" s="48" t="inlineStr">
        <is>
          <t>Peso de actividad (%)</t>
        </is>
      </c>
      <c r="H4" s="48" t="inlineStr">
        <is>
          <t>Avance Semana 1 (%)</t>
        </is>
      </c>
      <c r="I4" s="48" t="inlineStr">
        <is>
          <t>Avance Semana 2 (%)</t>
        </is>
      </c>
      <c r="J4" s="48" t="inlineStr">
        <is>
          <t>Avance Semana 3 (%)</t>
        </is>
      </c>
      <c r="K4" s="48" t="inlineStr">
        <is>
          <t>Avance Semana 4 (%)</t>
        </is>
      </c>
      <c r="L4" s="6" t="inlineStr">
        <is>
          <t>% de Avance Total Actual</t>
        </is>
      </c>
      <c r="M4" s="6" t="inlineStr">
        <is>
          <t>Estado</t>
        </is>
      </c>
      <c r="N4" s="48" t="inlineStr">
        <is>
          <t>Última actualización</t>
        </is>
      </c>
      <c r="O4" s="48" t="inlineStr">
        <is>
          <t>Evidencia / Observaciones</t>
        </is>
      </c>
      <c r="P4" s="6" t="inlineStr">
        <is>
          <t>Validación de datos</t>
        </is>
      </c>
    </row>
    <row r="5">
      <c r="A5" s="49" t="n"/>
      <c r="B5" s="50">
        <f>IF((COUNTA($A5)+COUNTA($C5:$K5)+COUNTA($N5:$O5))&gt;0,"Riesgo Financiero","")</f>
        <v/>
      </c>
      <c r="C5" s="51" t="n"/>
      <c r="D5" s="51" t="n"/>
      <c r="E5" s="52" t="n"/>
      <c r="F5" s="52" t="n"/>
      <c r="G5" s="53" t="n"/>
      <c r="H5" s="54" t="n"/>
      <c r="I5" s="54" t="n"/>
      <c r="J5" s="54" t="n"/>
      <c r="K5" s="54" t="n"/>
      <c r="L5" s="55">
        <f>IF(NOT((COUNTA($A5)+COUNTA($C5:$K5)+COUNTA($N5:$O5))&gt;0),"",IFERROR(LOOKUP(2,1/(H5:K5&lt;&gt;""),H5:K5),0))</f>
        <v/>
      </c>
      <c r="M5" s="56">
        <f>IF(L5="","",IF(L5&gt;=1,"Completado",IF(L5&gt;0,"En curso","Pendiente")))</f>
        <v/>
      </c>
      <c r="N5" s="52" t="n"/>
      <c r="O5" s="51" t="n"/>
      <c r="P5" s="57">
        <f>IF(NOT((COUNTA($A5)+COUNTA($C5:$K5)+COUNTA($N5:$O5))&gt;0),"",IF((IF(A5="","Falta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 OK","⚠ "&amp;LEFT(IF(A5="","Falta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",""),LEN(IF(A5="","Falta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",""))-3)))</f>
        <v/>
      </c>
    </row>
    <row r="6">
      <c r="A6" s="49" t="n"/>
      <c r="B6" s="50">
        <f>IF((COUNTA($A6)+COUNTA($C6:$K6)+COUNTA($N6:$O6))&gt;0,"Riesgo Financiero","")</f>
        <v/>
      </c>
      <c r="C6" s="51" t="n"/>
      <c r="D6" s="51" t="n"/>
      <c r="E6" s="52" t="n"/>
      <c r="F6" s="52" t="n"/>
      <c r="G6" s="53" t="n"/>
      <c r="H6" s="54" t="n"/>
      <c r="I6" s="54" t="n"/>
      <c r="J6" s="54" t="n"/>
      <c r="K6" s="54" t="n"/>
      <c r="L6" s="55">
        <f>IF(NOT((COUNTA($A6)+COUNTA($C6:$K6)+COUNTA($N6:$O6))&gt;0),"",IFERROR(LOOKUP(2,1/(H6:K6&lt;&gt;""),H6:K6),0))</f>
        <v/>
      </c>
      <c r="M6" s="56">
        <f>IF(L6="","",IF(L6&gt;=1,"Completado",IF(L6&gt;0,"En curso","Pendiente")))</f>
        <v/>
      </c>
      <c r="N6" s="52" t="n"/>
      <c r="O6" s="51" t="n"/>
      <c r="P6" s="57">
        <f>IF(NOT((COUNTA($A6)+COUNTA($C6:$K6)+COUNTA($N6:$O6))&gt;0),"",IF((IF(A6="","Falta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 OK","⚠ "&amp;LEFT(IF(A6="","Falta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",""),LEN(IF(A6="","Falta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",""))-3)))</f>
        <v/>
      </c>
    </row>
    <row r="7">
      <c r="A7" s="49" t="n"/>
      <c r="B7" s="50">
        <f>IF((COUNTA($A7)+COUNTA($C7:$K7)+COUNTA($N7:$O7))&gt;0,"Riesgo Financiero","")</f>
        <v/>
      </c>
      <c r="C7" s="51" t="n"/>
      <c r="D7" s="51" t="n"/>
      <c r="E7" s="52" t="n"/>
      <c r="F7" s="52" t="n"/>
      <c r="G7" s="53" t="n"/>
      <c r="H7" s="54" t="n"/>
      <c r="I7" s="54" t="n"/>
      <c r="J7" s="54" t="n"/>
      <c r="K7" s="54" t="n"/>
      <c r="L7" s="55">
        <f>IF(NOT((COUNTA($A7)+COUNTA($C7:$K7)+COUNTA($N7:$O7))&gt;0),"",IFERROR(LOOKUP(2,1/(H7:K7&lt;&gt;""),H7:K7),0))</f>
        <v/>
      </c>
      <c r="M7" s="56">
        <f>IF(L7="","",IF(L7&gt;=1,"Completado",IF(L7&gt;0,"En curso","Pendiente")))</f>
        <v/>
      </c>
      <c r="N7" s="52" t="n"/>
      <c r="O7" s="51" t="n"/>
      <c r="P7" s="57">
        <f>IF(NOT((COUNTA($A7)+COUNTA($C7:$K7)+COUNTA($N7:$O7))&gt;0),"",IF((IF(A7="","Falta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 OK","⚠ "&amp;LEFT(IF(A7="","Falta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",""),LEN(IF(A7="","Falta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",""))-3)))</f>
        <v/>
      </c>
    </row>
    <row r="8">
      <c r="A8" s="49" t="n"/>
      <c r="B8" s="50">
        <f>IF((COUNTA($A8)+COUNTA($C8:$K8)+COUNTA($N8:$O8))&gt;0,"Riesgo Financiero","")</f>
        <v/>
      </c>
      <c r="C8" s="51" t="n"/>
      <c r="D8" s="51" t="n"/>
      <c r="E8" s="52" t="n"/>
      <c r="F8" s="52" t="n"/>
      <c r="G8" s="53" t="n"/>
      <c r="H8" s="54" t="n"/>
      <c r="I8" s="54" t="n"/>
      <c r="J8" s="54" t="n"/>
      <c r="K8" s="54" t="n"/>
      <c r="L8" s="55">
        <f>IF(NOT((COUNTA($A8)+COUNTA($C8:$K8)+COUNTA($N8:$O8))&gt;0),"",IFERROR(LOOKUP(2,1/(H8:K8&lt;&gt;""),H8:K8),0))</f>
        <v/>
      </c>
      <c r="M8" s="56">
        <f>IF(L8="","",IF(L8&gt;=1,"Completado",IF(L8&gt;0,"En curso","Pendiente")))</f>
        <v/>
      </c>
      <c r="N8" s="52" t="n"/>
      <c r="O8" s="51" t="n"/>
      <c r="P8" s="57">
        <f>IF(NOT((COUNTA($A8)+COUNTA($C8:$K8)+COUNTA($N8:$O8))&gt;0),"",IF((IF(A8="","Falta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 OK","⚠ "&amp;LEFT(IF(A8="","Falta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",""),LEN(IF(A8="","Falta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",""))-3)))</f>
        <v/>
      </c>
    </row>
    <row r="9">
      <c r="A9" s="49" t="n"/>
      <c r="B9" s="50">
        <f>IF((COUNTA($A9)+COUNTA($C9:$K9)+COUNTA($N9:$O9))&gt;0,"Riesgo Financiero","")</f>
        <v/>
      </c>
      <c r="C9" s="51" t="n"/>
      <c r="D9" s="51" t="n"/>
      <c r="E9" s="52" t="n"/>
      <c r="F9" s="52" t="n"/>
      <c r="G9" s="53" t="n"/>
      <c r="H9" s="54" t="n"/>
      <c r="I9" s="54" t="n"/>
      <c r="J9" s="54" t="n"/>
      <c r="K9" s="54" t="n"/>
      <c r="L9" s="55">
        <f>IF(NOT((COUNTA($A9)+COUNTA($C9:$K9)+COUNTA($N9:$O9))&gt;0),"",IFERROR(LOOKUP(2,1/(H9:K9&lt;&gt;""),H9:K9),0))</f>
        <v/>
      </c>
      <c r="M9" s="56">
        <f>IF(L9="","",IF(L9&gt;=1,"Completado",IF(L9&gt;0,"En curso","Pendiente")))</f>
        <v/>
      </c>
      <c r="N9" s="52" t="n"/>
      <c r="O9" s="51" t="n"/>
      <c r="P9" s="57">
        <f>IF(NOT((COUNTA($A9)+COUNTA($C9:$K9)+COUNTA($N9:$O9))&gt;0),"",IF((IF(A9="","Falta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 OK","⚠ "&amp;LEFT(IF(A9="","Falta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",""),LEN(IF(A9="","Falta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",""))-3)))</f>
        <v/>
      </c>
    </row>
    <row r="10">
      <c r="A10" s="49" t="n"/>
      <c r="B10" s="50">
        <f>IF((COUNTA($A10)+COUNTA($C10:$K10)+COUNTA($N10:$O10))&gt;0,"Riesgo Financiero","")</f>
        <v/>
      </c>
      <c r="C10" s="51" t="n"/>
      <c r="D10" s="51" t="n"/>
      <c r="E10" s="52" t="n"/>
      <c r="F10" s="52" t="n"/>
      <c r="G10" s="53" t="n"/>
      <c r="H10" s="54" t="n"/>
      <c r="I10" s="54" t="n"/>
      <c r="J10" s="54" t="n"/>
      <c r="K10" s="54" t="n"/>
      <c r="L10" s="55">
        <f>IF(NOT((COUNTA($A10)+COUNTA($C10:$K10)+COUNTA($N10:$O10))&gt;0),"",IFERROR(LOOKUP(2,1/(H10:K10&lt;&gt;""),H10:K10),0))</f>
        <v/>
      </c>
      <c r="M10" s="56">
        <f>IF(L10="","",IF(L10&gt;=1,"Completado",IF(L10&gt;0,"En curso","Pendiente")))</f>
        <v/>
      </c>
      <c r="N10" s="52" t="n"/>
      <c r="O10" s="51" t="n"/>
      <c r="P10" s="57">
        <f>IF(NOT((COUNTA($A10)+COUNTA($C10:$K10)+COUNTA($N10:$O10))&gt;0),"",IF((IF(A10="","Falta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 OK","⚠ "&amp;LEFT(IF(A10="","Falta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",""),LEN(IF(A10="","Falta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",""))-3)))</f>
        <v/>
      </c>
    </row>
    <row r="11">
      <c r="A11" s="49" t="n"/>
      <c r="B11" s="50">
        <f>IF((COUNTA($A11)+COUNTA($C11:$K11)+COUNTA($N11:$O11))&gt;0,"Riesgo Financiero","")</f>
        <v/>
      </c>
      <c r="C11" s="51" t="n"/>
      <c r="D11" s="51" t="n"/>
      <c r="E11" s="52" t="n"/>
      <c r="F11" s="52" t="n"/>
      <c r="G11" s="53" t="n"/>
      <c r="H11" s="54" t="n"/>
      <c r="I11" s="54" t="n"/>
      <c r="J11" s="54" t="n"/>
      <c r="K11" s="54" t="n"/>
      <c r="L11" s="55">
        <f>IF(NOT((COUNTA($A11)+COUNTA($C11:$K11)+COUNTA($N11:$O11))&gt;0),"",IFERROR(LOOKUP(2,1/(H11:K11&lt;&gt;""),H11:K11),0))</f>
        <v/>
      </c>
      <c r="M11" s="56">
        <f>IF(L11="","",IF(L11&gt;=1,"Completado",IF(L11&gt;0,"En curso","Pendiente")))</f>
        <v/>
      </c>
      <c r="N11" s="52" t="n"/>
      <c r="O11" s="51" t="n"/>
      <c r="P11" s="57">
        <f>IF(NOT((COUNTA($A11)+COUNTA($C11:$K11)+COUNTA($N11:$O11))&gt;0),"",IF((IF(A11="","Falta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 OK","⚠ "&amp;LEFT(IF(A11="","Falta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",""),LEN(IF(A11="","Falta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",""))-3)))</f>
        <v/>
      </c>
    </row>
    <row r="12">
      <c r="A12" s="49" t="n"/>
      <c r="B12" s="50">
        <f>IF((COUNTA($A12)+COUNTA($C12:$K12)+COUNTA($N12:$O12))&gt;0,"Riesgo Financiero","")</f>
        <v/>
      </c>
      <c r="C12" s="51" t="n"/>
      <c r="D12" s="51" t="n"/>
      <c r="E12" s="52" t="n"/>
      <c r="F12" s="52" t="n"/>
      <c r="G12" s="53" t="n"/>
      <c r="H12" s="54" t="n"/>
      <c r="I12" s="54" t="n"/>
      <c r="J12" s="54" t="n"/>
      <c r="K12" s="54" t="n"/>
      <c r="L12" s="55">
        <f>IF(NOT((COUNTA($A12)+COUNTA($C12:$K12)+COUNTA($N12:$O12))&gt;0),"",IFERROR(LOOKUP(2,1/(H12:K12&lt;&gt;""),H12:K12),0))</f>
        <v/>
      </c>
      <c r="M12" s="56">
        <f>IF(L12="","",IF(L12&gt;=1,"Completado",IF(L12&gt;0,"En curso","Pendiente")))</f>
        <v/>
      </c>
      <c r="N12" s="52" t="n"/>
      <c r="O12" s="51" t="n"/>
      <c r="P12" s="57">
        <f>IF(NOT((COUNTA($A12)+COUNTA($C12:$K12)+COUNTA($N12:$O12))&gt;0),"",IF((IF(A12="","Falta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 OK","⚠ "&amp;LEFT(IF(A12="","Falta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",""),LEN(IF(A12="","Falta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",""))-3)))</f>
        <v/>
      </c>
    </row>
    <row r="13">
      <c r="A13" s="49" t="n"/>
      <c r="B13" s="50">
        <f>IF((COUNTA($A13)+COUNTA($C13:$K13)+COUNTA($N13:$O13))&gt;0,"Riesgo Financiero","")</f>
        <v/>
      </c>
      <c r="C13" s="51" t="n"/>
      <c r="D13" s="51" t="n"/>
      <c r="E13" s="52" t="n"/>
      <c r="F13" s="52" t="n"/>
      <c r="G13" s="53" t="n"/>
      <c r="H13" s="54" t="n"/>
      <c r="I13" s="54" t="n"/>
      <c r="J13" s="54" t="n"/>
      <c r="K13" s="54" t="n"/>
      <c r="L13" s="55">
        <f>IF(NOT((COUNTA($A13)+COUNTA($C13:$K13)+COUNTA($N13:$O13))&gt;0),"",IFERROR(LOOKUP(2,1/(H13:K13&lt;&gt;""),H13:K13),0))</f>
        <v/>
      </c>
      <c r="M13" s="56">
        <f>IF(L13="","",IF(L13&gt;=1,"Completado",IF(L13&gt;0,"En curso","Pendiente")))</f>
        <v/>
      </c>
      <c r="N13" s="52" t="n"/>
      <c r="O13" s="51" t="n"/>
      <c r="P13" s="57">
        <f>IF(NOT((COUNTA($A13)+COUNTA($C13:$K13)+COUNTA($N13:$O13))&gt;0),"",IF((IF(A13="","Falta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 OK","⚠ "&amp;LEFT(IF(A13="","Falta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",""),LEN(IF(A13="","Falta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",""))-3)))</f>
        <v/>
      </c>
    </row>
    <row r="14">
      <c r="A14" s="49" t="n"/>
      <c r="B14" s="50">
        <f>IF((COUNTA($A14)+COUNTA($C14:$K14)+COUNTA($N14:$O14))&gt;0,"Riesgo Financiero","")</f>
        <v/>
      </c>
      <c r="C14" s="51" t="n"/>
      <c r="D14" s="51" t="n"/>
      <c r="E14" s="52" t="n"/>
      <c r="F14" s="52" t="n"/>
      <c r="G14" s="53" t="n"/>
      <c r="H14" s="54" t="n"/>
      <c r="I14" s="54" t="n"/>
      <c r="J14" s="54" t="n"/>
      <c r="K14" s="54" t="n"/>
      <c r="L14" s="55">
        <f>IF(NOT((COUNTA($A14)+COUNTA($C14:$K14)+COUNTA($N14:$O14))&gt;0),"",IFERROR(LOOKUP(2,1/(H14:K14&lt;&gt;""),H14:K14),0))</f>
        <v/>
      </c>
      <c r="M14" s="56">
        <f>IF(L14="","",IF(L14&gt;=1,"Completado",IF(L14&gt;0,"En curso","Pendiente")))</f>
        <v/>
      </c>
      <c r="N14" s="52" t="n"/>
      <c r="O14" s="51" t="n"/>
      <c r="P14" s="57">
        <f>IF(NOT((COUNTA($A14)+COUNTA($C14:$K14)+COUNTA($N14:$O14))&gt;0),"",IF((IF(A14="","Falta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 OK","⚠ "&amp;LEFT(IF(A14="","Falta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",""),LEN(IF(A14="","Falta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",""))-3)))</f>
        <v/>
      </c>
    </row>
    <row r="15">
      <c r="A15" s="49" t="n"/>
      <c r="B15" s="50">
        <f>IF((COUNTA($A15)+COUNTA($C15:$K15)+COUNTA($N15:$O15))&gt;0,"Riesgo Financiero","")</f>
        <v/>
      </c>
      <c r="C15" s="51" t="n"/>
      <c r="D15" s="51" t="n"/>
      <c r="E15" s="52" t="n"/>
      <c r="F15" s="52" t="n"/>
      <c r="G15" s="53" t="n"/>
      <c r="H15" s="54" t="n"/>
      <c r="I15" s="54" t="n"/>
      <c r="J15" s="54" t="n"/>
      <c r="K15" s="54" t="n"/>
      <c r="L15" s="55">
        <f>IF(NOT((COUNTA($A15)+COUNTA($C15:$K15)+COUNTA($N15:$O15))&gt;0),"",IFERROR(LOOKUP(2,1/(H15:K15&lt;&gt;""),H15:K15),0))</f>
        <v/>
      </c>
      <c r="M15" s="56">
        <f>IF(L15="","",IF(L15&gt;=1,"Completado",IF(L15&gt;0,"En curso","Pendiente")))</f>
        <v/>
      </c>
      <c r="N15" s="52" t="n"/>
      <c r="O15" s="51" t="n"/>
      <c r="P15" s="57">
        <f>IF(NOT((COUNTA($A15)+COUNTA($C15:$K15)+COUNTA($N15:$O15))&gt;0),"",IF((IF(A15="","Falta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 OK","⚠ "&amp;LEFT(IF(A15="","Falta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",""),LEN(IF(A15="","Falta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",""))-3)))</f>
        <v/>
      </c>
    </row>
    <row r="16">
      <c r="A16" s="49" t="n"/>
      <c r="B16" s="50">
        <f>IF((COUNTA($A16)+COUNTA($C16:$K16)+COUNTA($N16:$O16))&gt;0,"Riesgo Financiero","")</f>
        <v/>
      </c>
      <c r="C16" s="51" t="n"/>
      <c r="D16" s="51" t="n"/>
      <c r="E16" s="52" t="n"/>
      <c r="F16" s="52" t="n"/>
      <c r="G16" s="53" t="n"/>
      <c r="H16" s="54" t="n"/>
      <c r="I16" s="54" t="n"/>
      <c r="J16" s="54" t="n"/>
      <c r="K16" s="54" t="n"/>
      <c r="L16" s="55">
        <f>IF(NOT((COUNTA($A16)+COUNTA($C16:$K16)+COUNTA($N16:$O16))&gt;0),"",IFERROR(LOOKUP(2,1/(H16:K16&lt;&gt;""),H16:K16),0))</f>
        <v/>
      </c>
      <c r="M16" s="56">
        <f>IF(L16="","",IF(L16&gt;=1,"Completado",IF(L16&gt;0,"En curso","Pendiente")))</f>
        <v/>
      </c>
      <c r="N16" s="52" t="n"/>
      <c r="O16" s="51" t="n"/>
      <c r="P16" s="57">
        <f>IF(NOT((COUNTA($A16)+COUNTA($C16:$K16)+COUNTA($N16:$O16))&gt;0),"",IF((IF(A16="","Falta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 OK","⚠ "&amp;LEFT(IF(A16="","Falta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",""),LEN(IF(A16="","Falta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",""))-3)))</f>
        <v/>
      </c>
    </row>
    <row r="17">
      <c r="A17" s="49" t="n"/>
      <c r="B17" s="50">
        <f>IF((COUNTA($A17)+COUNTA($C17:$K17)+COUNTA($N17:$O17))&gt;0,"Riesgo Financiero","")</f>
        <v/>
      </c>
      <c r="C17" s="51" t="n"/>
      <c r="D17" s="51" t="n"/>
      <c r="E17" s="52" t="n"/>
      <c r="F17" s="52" t="n"/>
      <c r="G17" s="53" t="n"/>
      <c r="H17" s="54" t="n"/>
      <c r="I17" s="54" t="n"/>
      <c r="J17" s="54" t="n"/>
      <c r="K17" s="54" t="n"/>
      <c r="L17" s="55">
        <f>IF(NOT((COUNTA($A17)+COUNTA($C17:$K17)+COUNTA($N17:$O17))&gt;0),"",IFERROR(LOOKUP(2,1/(H17:K17&lt;&gt;""),H17:K17),0))</f>
        <v/>
      </c>
      <c r="M17" s="56">
        <f>IF(L17="","",IF(L17&gt;=1,"Completado",IF(L17&gt;0,"En curso","Pendiente")))</f>
        <v/>
      </c>
      <c r="N17" s="52" t="n"/>
      <c r="O17" s="51" t="n"/>
      <c r="P17" s="57">
        <f>IF(NOT((COUNTA($A17)+COUNTA($C17:$K17)+COUNTA($N17:$O17))&gt;0),"",IF((IF(A17="","Falta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 OK","⚠ "&amp;LEFT(IF(A17="","Falta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",""),LEN(IF(A17="","Falta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",""))-3)))</f>
        <v/>
      </c>
    </row>
    <row r="18">
      <c r="A18" s="49" t="n"/>
      <c r="B18" s="50">
        <f>IF((COUNTA($A18)+COUNTA($C18:$K18)+COUNTA($N18:$O18))&gt;0,"Riesgo Financiero","")</f>
        <v/>
      </c>
      <c r="C18" s="51" t="n"/>
      <c r="D18" s="51" t="n"/>
      <c r="E18" s="52" t="n"/>
      <c r="F18" s="52" t="n"/>
      <c r="G18" s="53" t="n"/>
      <c r="H18" s="54" t="n"/>
      <c r="I18" s="54" t="n"/>
      <c r="J18" s="54" t="n"/>
      <c r="K18" s="54" t="n"/>
      <c r="L18" s="55">
        <f>IF(NOT((COUNTA($A18)+COUNTA($C18:$K18)+COUNTA($N18:$O18))&gt;0),"",IFERROR(LOOKUP(2,1/(H18:K18&lt;&gt;""),H18:K18),0))</f>
        <v/>
      </c>
      <c r="M18" s="56">
        <f>IF(L18="","",IF(L18&gt;=1,"Completado",IF(L18&gt;0,"En curso","Pendiente")))</f>
        <v/>
      </c>
      <c r="N18" s="52" t="n"/>
      <c r="O18" s="51" t="n"/>
      <c r="P18" s="57">
        <f>IF(NOT((COUNTA($A18)+COUNTA($C18:$K18)+COUNTA($N18:$O18))&gt;0),"",IF((IF(A18="","Falta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 OK","⚠ "&amp;LEFT(IF(A18="","Falta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",""),LEN(IF(A18="","Falta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",""))-3)))</f>
        <v/>
      </c>
    </row>
    <row r="19">
      <c r="A19" s="49" t="n"/>
      <c r="B19" s="50">
        <f>IF((COUNTA($A19)+COUNTA($C19:$K19)+COUNTA($N19:$O19))&gt;0,"Riesgo Financiero","")</f>
        <v/>
      </c>
      <c r="C19" s="51" t="n"/>
      <c r="D19" s="51" t="n"/>
      <c r="E19" s="52" t="n"/>
      <c r="F19" s="52" t="n"/>
      <c r="G19" s="53" t="n"/>
      <c r="H19" s="54" t="n"/>
      <c r="I19" s="54" t="n"/>
      <c r="J19" s="54" t="n"/>
      <c r="K19" s="54" t="n"/>
      <c r="L19" s="55">
        <f>IF(NOT((COUNTA($A19)+COUNTA($C19:$K19)+COUNTA($N19:$O19))&gt;0),"",IFERROR(LOOKUP(2,1/(H19:K19&lt;&gt;""),H19:K19),0))</f>
        <v/>
      </c>
      <c r="M19" s="56">
        <f>IF(L19="","",IF(L19&gt;=1,"Completado",IF(L19&gt;0,"En curso","Pendiente")))</f>
        <v/>
      </c>
      <c r="N19" s="52" t="n"/>
      <c r="O19" s="51" t="n"/>
      <c r="P19" s="57">
        <f>IF(NOT((COUNTA($A19)+COUNTA($C19:$K19)+COUNTA($N19:$O19))&gt;0),"",IF((IF(A19="","Falta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 OK","⚠ "&amp;LEFT(IF(A19="","Falta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",""),LEN(IF(A19="","Falta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",""))-3)))</f>
        <v/>
      </c>
    </row>
    <row r="20">
      <c r="A20" s="49" t="n"/>
      <c r="B20" s="50">
        <f>IF((COUNTA($A20)+COUNTA($C20:$K20)+COUNTA($N20:$O20))&gt;0,"Riesgo Financiero","")</f>
        <v/>
      </c>
      <c r="C20" s="51" t="n"/>
      <c r="D20" s="51" t="n"/>
      <c r="E20" s="52" t="n"/>
      <c r="F20" s="52" t="n"/>
      <c r="G20" s="53" t="n"/>
      <c r="H20" s="54" t="n"/>
      <c r="I20" s="54" t="n"/>
      <c r="J20" s="54" t="n"/>
      <c r="K20" s="54" t="n"/>
      <c r="L20" s="55">
        <f>IF(NOT((COUNTA($A20)+COUNTA($C20:$K20)+COUNTA($N20:$O20))&gt;0),"",IFERROR(LOOKUP(2,1/(H20:K20&lt;&gt;""),H20:K20),0))</f>
        <v/>
      </c>
      <c r="M20" s="56">
        <f>IF(L20="","",IF(L20&gt;=1,"Completado",IF(L20&gt;0,"En curso","Pendiente")))</f>
        <v/>
      </c>
      <c r="N20" s="52" t="n"/>
      <c r="O20" s="51" t="n"/>
      <c r="P20" s="57">
        <f>IF(NOT((COUNTA($A20)+COUNTA($C20:$K20)+COUNTA($N20:$O20))&gt;0),"",IF((IF(A20="","Falta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 OK","⚠ "&amp;LEFT(IF(A20="","Falta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",""),LEN(IF(A20="","Falta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",""))-3)))</f>
        <v/>
      </c>
    </row>
    <row r="21">
      <c r="A21" s="49" t="n"/>
      <c r="B21" s="50">
        <f>IF((COUNTA($A21)+COUNTA($C21:$K21)+COUNTA($N21:$O21))&gt;0,"Riesgo Financiero","")</f>
        <v/>
      </c>
      <c r="C21" s="51" t="n"/>
      <c r="D21" s="51" t="n"/>
      <c r="E21" s="52" t="n"/>
      <c r="F21" s="52" t="n"/>
      <c r="G21" s="53" t="n"/>
      <c r="H21" s="54" t="n"/>
      <c r="I21" s="54" t="n"/>
      <c r="J21" s="54" t="n"/>
      <c r="K21" s="54" t="n"/>
      <c r="L21" s="55">
        <f>IF(NOT((COUNTA($A21)+COUNTA($C21:$K21)+COUNTA($N21:$O21))&gt;0),"",IFERROR(LOOKUP(2,1/(H21:K21&lt;&gt;""),H21:K21),0))</f>
        <v/>
      </c>
      <c r="M21" s="56">
        <f>IF(L21="","",IF(L21&gt;=1,"Completado",IF(L21&gt;0,"En curso","Pendiente")))</f>
        <v/>
      </c>
      <c r="N21" s="52" t="n"/>
      <c r="O21" s="51" t="n"/>
      <c r="P21" s="57">
        <f>IF(NOT((COUNTA($A21)+COUNTA($C21:$K21)+COUNTA($N21:$O21))&gt;0),"",IF((IF(A21="","Falta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 OK","⚠ "&amp;LEFT(IF(A21="","Falta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",""),LEN(IF(A21="","Falta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",""))-3)))</f>
        <v/>
      </c>
    </row>
    <row r="22">
      <c r="A22" s="49" t="n"/>
      <c r="B22" s="50">
        <f>IF((COUNTA($A22)+COUNTA($C22:$K22)+COUNTA($N22:$O22))&gt;0,"Riesgo Financiero","")</f>
        <v/>
      </c>
      <c r="C22" s="51" t="n"/>
      <c r="D22" s="51" t="n"/>
      <c r="E22" s="52" t="n"/>
      <c r="F22" s="52" t="n"/>
      <c r="G22" s="53" t="n"/>
      <c r="H22" s="54" t="n"/>
      <c r="I22" s="54" t="n"/>
      <c r="J22" s="54" t="n"/>
      <c r="K22" s="54" t="n"/>
      <c r="L22" s="55">
        <f>IF(NOT((COUNTA($A22)+COUNTA($C22:$K22)+COUNTA($N22:$O22))&gt;0),"",IFERROR(LOOKUP(2,1/(H22:K22&lt;&gt;""),H22:K22),0))</f>
        <v/>
      </c>
      <c r="M22" s="56">
        <f>IF(L22="","",IF(L22&gt;=1,"Completado",IF(L22&gt;0,"En curso","Pendiente")))</f>
        <v/>
      </c>
      <c r="N22" s="52" t="n"/>
      <c r="O22" s="51" t="n"/>
      <c r="P22" s="57">
        <f>IF(NOT((COUNTA($A22)+COUNTA($C22:$K22)+COUNTA($N22:$O22))&gt;0),"",IF((IF(A22="","Falta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 OK","⚠ "&amp;LEFT(IF(A22="","Falta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",""),LEN(IF(A22="","Falta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",""))-3)))</f>
        <v/>
      </c>
    </row>
    <row r="23">
      <c r="A23" s="49" t="n"/>
      <c r="B23" s="50">
        <f>IF((COUNTA($A23)+COUNTA($C23:$K23)+COUNTA($N23:$O23))&gt;0,"Riesgo Financiero","")</f>
        <v/>
      </c>
      <c r="C23" s="51" t="n"/>
      <c r="D23" s="51" t="n"/>
      <c r="E23" s="52" t="n"/>
      <c r="F23" s="52" t="n"/>
      <c r="G23" s="53" t="n"/>
      <c r="H23" s="54" t="n"/>
      <c r="I23" s="54" t="n"/>
      <c r="J23" s="54" t="n"/>
      <c r="K23" s="54" t="n"/>
      <c r="L23" s="55">
        <f>IF(NOT((COUNTA($A23)+COUNTA($C23:$K23)+COUNTA($N23:$O23))&gt;0),"",IFERROR(LOOKUP(2,1/(H23:K23&lt;&gt;""),H23:K23),0))</f>
        <v/>
      </c>
      <c r="M23" s="56">
        <f>IF(L23="","",IF(L23&gt;=1,"Completado",IF(L23&gt;0,"En curso","Pendiente")))</f>
        <v/>
      </c>
      <c r="N23" s="52" t="n"/>
      <c r="O23" s="51" t="n"/>
      <c r="P23" s="57">
        <f>IF(NOT((COUNTA($A23)+COUNTA($C23:$K23)+COUNTA($N23:$O23))&gt;0),"",IF((IF(A23="","Falta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 OK","⚠ "&amp;LEFT(IF(A23="","Falta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",""),LEN(IF(A23="","Falta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",""))-3)))</f>
        <v/>
      </c>
    </row>
    <row r="24">
      <c r="A24" s="49" t="n"/>
      <c r="B24" s="50">
        <f>IF((COUNTA($A24)+COUNTA($C24:$K24)+COUNTA($N24:$O24))&gt;0,"Riesgo Financiero","")</f>
        <v/>
      </c>
      <c r="C24" s="51" t="n"/>
      <c r="D24" s="51" t="n"/>
      <c r="E24" s="52" t="n"/>
      <c r="F24" s="52" t="n"/>
      <c r="G24" s="53" t="n"/>
      <c r="H24" s="54" t="n"/>
      <c r="I24" s="54" t="n"/>
      <c r="J24" s="54" t="n"/>
      <c r="K24" s="54" t="n"/>
      <c r="L24" s="55">
        <f>IF(NOT((COUNTA($A24)+COUNTA($C24:$K24)+COUNTA($N24:$O24))&gt;0),"",IFERROR(LOOKUP(2,1/(H24:K24&lt;&gt;""),H24:K24),0))</f>
        <v/>
      </c>
      <c r="M24" s="56">
        <f>IF(L24="","",IF(L24&gt;=1,"Completado",IF(L24&gt;0,"En curso","Pendiente")))</f>
        <v/>
      </c>
      <c r="N24" s="52" t="n"/>
      <c r="O24" s="51" t="n"/>
      <c r="P24" s="57">
        <f>IF(NOT((COUNTA($A24)+COUNTA($C24:$K24)+COUNTA($N24:$O24))&gt;0),"",IF((IF(A24="","Falta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 OK","⚠ "&amp;LEFT(IF(A24="","Falta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",""),LEN(IF(A24="","Falta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",""))-3)))</f>
        <v/>
      </c>
    </row>
    <row r="25">
      <c r="A25" s="49" t="n"/>
      <c r="B25" s="50">
        <f>IF((COUNTA($A25)+COUNTA($C25:$K25)+COUNTA($N25:$O25))&gt;0,"Riesgo Financiero","")</f>
        <v/>
      </c>
      <c r="C25" s="51" t="n"/>
      <c r="D25" s="51" t="n"/>
      <c r="E25" s="52" t="n"/>
      <c r="F25" s="52" t="n"/>
      <c r="G25" s="53" t="n"/>
      <c r="H25" s="54" t="n"/>
      <c r="I25" s="54" t="n"/>
      <c r="J25" s="54" t="n"/>
      <c r="K25" s="54" t="n"/>
      <c r="L25" s="55">
        <f>IF(NOT((COUNTA($A25)+COUNTA($C25:$K25)+COUNTA($N25:$O25))&gt;0),"",IFERROR(LOOKUP(2,1/(H25:K25&lt;&gt;""),H25:K25),0))</f>
        <v/>
      </c>
      <c r="M25" s="56">
        <f>IF(L25="","",IF(L25&gt;=1,"Completado",IF(L25&gt;0,"En curso","Pendiente")))</f>
        <v/>
      </c>
      <c r="N25" s="52" t="n"/>
      <c r="O25" s="51" t="n"/>
      <c r="P25" s="57">
        <f>IF(NOT((COUNTA($A25)+COUNTA($C25:$K25)+COUNTA($N25:$O25))&gt;0),"",IF((IF(A25="","Falta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 OK","⚠ "&amp;LEFT(IF(A25="","Falta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",""),LEN(IF(A25="","Falta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",""))-3)))</f>
        <v/>
      </c>
    </row>
    <row r="26">
      <c r="A26" s="49" t="n"/>
      <c r="B26" s="50">
        <f>IF((COUNTA($A26)+COUNTA($C26:$K26)+COUNTA($N26:$O26))&gt;0,"Riesgo Financiero","")</f>
        <v/>
      </c>
      <c r="C26" s="51" t="n"/>
      <c r="D26" s="51" t="n"/>
      <c r="E26" s="52" t="n"/>
      <c r="F26" s="52" t="n"/>
      <c r="G26" s="53" t="n"/>
      <c r="H26" s="54" t="n"/>
      <c r="I26" s="54" t="n"/>
      <c r="J26" s="54" t="n"/>
      <c r="K26" s="54" t="n"/>
      <c r="L26" s="55">
        <f>IF(NOT((COUNTA($A26)+COUNTA($C26:$K26)+COUNTA($N26:$O26))&gt;0),"",IFERROR(LOOKUP(2,1/(H26:K26&lt;&gt;""),H26:K26),0))</f>
        <v/>
      </c>
      <c r="M26" s="56">
        <f>IF(L26="","",IF(L26&gt;=1,"Completado",IF(L26&gt;0,"En curso","Pendiente")))</f>
        <v/>
      </c>
      <c r="N26" s="52" t="n"/>
      <c r="O26" s="51" t="n"/>
      <c r="P26" s="57">
        <f>IF(NOT((COUNTA($A26)+COUNTA($C26:$K26)+COUNTA($N26:$O26))&gt;0),"",IF((IF(A26="","Falta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 OK","⚠ "&amp;LEFT(IF(A26="","Falta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",""),LEN(IF(A26="","Falta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",""))-3)))</f>
        <v/>
      </c>
    </row>
    <row r="27">
      <c r="A27" s="49" t="n"/>
      <c r="B27" s="50">
        <f>IF((COUNTA($A27)+COUNTA($C27:$K27)+COUNTA($N27:$O27))&gt;0,"Riesgo Financiero","")</f>
        <v/>
      </c>
      <c r="C27" s="51" t="n"/>
      <c r="D27" s="51" t="n"/>
      <c r="E27" s="52" t="n"/>
      <c r="F27" s="52" t="n"/>
      <c r="G27" s="53" t="n"/>
      <c r="H27" s="54" t="n"/>
      <c r="I27" s="54" t="n"/>
      <c r="J27" s="54" t="n"/>
      <c r="K27" s="54" t="n"/>
      <c r="L27" s="55">
        <f>IF(NOT((COUNTA($A27)+COUNTA($C27:$K27)+COUNTA($N27:$O27))&gt;0),"",IFERROR(LOOKUP(2,1/(H27:K27&lt;&gt;""),H27:K27),0))</f>
        <v/>
      </c>
      <c r="M27" s="56">
        <f>IF(L27="","",IF(L27&gt;=1,"Completado",IF(L27&gt;0,"En curso","Pendiente")))</f>
        <v/>
      </c>
      <c r="N27" s="52" t="n"/>
      <c r="O27" s="51" t="n"/>
      <c r="P27" s="57">
        <f>IF(NOT((COUNTA($A27)+COUNTA($C27:$K27)+COUNTA($N27:$O27))&gt;0),"",IF((IF(A27="","Falta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 OK","⚠ "&amp;LEFT(IF(A27="","Falta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",""),LEN(IF(A27="","Falta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",""))-3)))</f>
        <v/>
      </c>
    </row>
    <row r="28">
      <c r="A28" s="49" t="n"/>
      <c r="B28" s="50">
        <f>IF((COUNTA($A28)+COUNTA($C28:$K28)+COUNTA($N28:$O28))&gt;0,"Riesgo Financiero","")</f>
        <v/>
      </c>
      <c r="C28" s="51" t="n"/>
      <c r="D28" s="51" t="n"/>
      <c r="E28" s="52" t="n"/>
      <c r="F28" s="52" t="n"/>
      <c r="G28" s="53" t="n"/>
      <c r="H28" s="54" t="n"/>
      <c r="I28" s="54" t="n"/>
      <c r="J28" s="54" t="n"/>
      <c r="K28" s="54" t="n"/>
      <c r="L28" s="55">
        <f>IF(NOT((COUNTA($A28)+COUNTA($C28:$K28)+COUNTA($N28:$O28))&gt;0),"",IFERROR(LOOKUP(2,1/(H28:K28&lt;&gt;""),H28:K28),0))</f>
        <v/>
      </c>
      <c r="M28" s="56">
        <f>IF(L28="","",IF(L28&gt;=1,"Completado",IF(L28&gt;0,"En curso","Pendiente")))</f>
        <v/>
      </c>
      <c r="N28" s="52" t="n"/>
      <c r="O28" s="51" t="n"/>
      <c r="P28" s="57">
        <f>IF(NOT((COUNTA($A28)+COUNTA($C28:$K28)+COUNTA($N28:$O28))&gt;0),"",IF((IF(A28="","Falta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 OK","⚠ "&amp;LEFT(IF(A28="","Falta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",""),LEN(IF(A28="","Falta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",""))-3)))</f>
        <v/>
      </c>
    </row>
    <row r="29">
      <c r="A29" s="49" t="n"/>
      <c r="B29" s="50">
        <f>IF((COUNTA($A29)+COUNTA($C29:$K29)+COUNTA($N29:$O29))&gt;0,"Riesgo Financiero","")</f>
        <v/>
      </c>
      <c r="C29" s="51" t="n"/>
      <c r="D29" s="51" t="n"/>
      <c r="E29" s="52" t="n"/>
      <c r="F29" s="52" t="n"/>
      <c r="G29" s="53" t="n"/>
      <c r="H29" s="54" t="n"/>
      <c r="I29" s="54" t="n"/>
      <c r="J29" s="54" t="n"/>
      <c r="K29" s="54" t="n"/>
      <c r="L29" s="55">
        <f>IF(NOT((COUNTA($A29)+COUNTA($C29:$K29)+COUNTA($N29:$O29))&gt;0),"",IFERROR(LOOKUP(2,1/(H29:K29&lt;&gt;""),H29:K29),0))</f>
        <v/>
      </c>
      <c r="M29" s="56">
        <f>IF(L29="","",IF(L29&gt;=1,"Completado",IF(L29&gt;0,"En curso","Pendiente")))</f>
        <v/>
      </c>
      <c r="N29" s="52" t="n"/>
      <c r="O29" s="51" t="n"/>
      <c r="P29" s="57">
        <f>IF(NOT((COUNTA($A29)+COUNTA($C29:$K29)+COUNTA($N29:$O29))&gt;0),"",IF((IF(A29="","Falta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 OK","⚠ "&amp;LEFT(IF(A29="","Falta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",""),LEN(IF(A29="","Falta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",""))-3)))</f>
        <v/>
      </c>
    </row>
    <row r="30">
      <c r="A30" s="49" t="n"/>
      <c r="B30" s="50">
        <f>IF((COUNTA($A30)+COUNTA($C30:$K30)+COUNTA($N30:$O30))&gt;0,"Riesgo Financiero","")</f>
        <v/>
      </c>
      <c r="C30" s="51" t="n"/>
      <c r="D30" s="51" t="n"/>
      <c r="E30" s="52" t="n"/>
      <c r="F30" s="52" t="n"/>
      <c r="G30" s="53" t="n"/>
      <c r="H30" s="54" t="n"/>
      <c r="I30" s="54" t="n"/>
      <c r="J30" s="54" t="n"/>
      <c r="K30" s="54" t="n"/>
      <c r="L30" s="55">
        <f>IF(NOT((COUNTA($A30)+COUNTA($C30:$K30)+COUNTA($N30:$O30))&gt;0),"",IFERROR(LOOKUP(2,1/(H30:K30&lt;&gt;""),H30:K30),0))</f>
        <v/>
      </c>
      <c r="M30" s="56">
        <f>IF(L30="","",IF(L30&gt;=1,"Completado",IF(L30&gt;0,"En curso","Pendiente")))</f>
        <v/>
      </c>
      <c r="N30" s="52" t="n"/>
      <c r="O30" s="51" t="n"/>
      <c r="P30" s="57">
        <f>IF(NOT((COUNTA($A30)+COUNTA($C30:$K30)+COUNTA($N30:$O30))&gt;0),"",IF((IF(A30="","Falta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 OK","⚠ "&amp;LEFT(IF(A30="","Falta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",""),LEN(IF(A30="","Falta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",""))-3)))</f>
        <v/>
      </c>
    </row>
    <row r="31">
      <c r="A31" s="49" t="n"/>
      <c r="B31" s="50">
        <f>IF((COUNTA($A31)+COUNTA($C31:$K31)+COUNTA($N31:$O31))&gt;0,"Riesgo Financiero","")</f>
        <v/>
      </c>
      <c r="C31" s="51" t="n"/>
      <c r="D31" s="51" t="n"/>
      <c r="E31" s="52" t="n"/>
      <c r="F31" s="52" t="n"/>
      <c r="G31" s="53" t="n"/>
      <c r="H31" s="54" t="n"/>
      <c r="I31" s="54" t="n"/>
      <c r="J31" s="54" t="n"/>
      <c r="K31" s="54" t="n"/>
      <c r="L31" s="55">
        <f>IF(NOT((COUNTA($A31)+COUNTA($C31:$K31)+COUNTA($N31:$O31))&gt;0),"",IFERROR(LOOKUP(2,1/(H31:K31&lt;&gt;""),H31:K31),0))</f>
        <v/>
      </c>
      <c r="M31" s="56">
        <f>IF(L31="","",IF(L31&gt;=1,"Completado",IF(L31&gt;0,"En curso","Pendiente")))</f>
        <v/>
      </c>
      <c r="N31" s="52" t="n"/>
      <c r="O31" s="51" t="n"/>
      <c r="P31" s="57">
        <f>IF(NOT((COUNTA($A31)+COUNTA($C31:$K31)+COUNTA($N31:$O31))&gt;0),"",IF((IF(A31="","Falta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 OK","⚠ "&amp;LEFT(IF(A31="","Falta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",""),LEN(IF(A31="","Falta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",""))-3)))</f>
        <v/>
      </c>
    </row>
    <row r="32">
      <c r="A32" s="49" t="n"/>
      <c r="B32" s="50">
        <f>IF((COUNTA($A32)+COUNTA($C32:$K32)+COUNTA($N32:$O32))&gt;0,"Riesgo Financiero","")</f>
        <v/>
      </c>
      <c r="C32" s="51" t="n"/>
      <c r="D32" s="51" t="n"/>
      <c r="E32" s="52" t="n"/>
      <c r="F32" s="52" t="n"/>
      <c r="G32" s="53" t="n"/>
      <c r="H32" s="54" t="n"/>
      <c r="I32" s="54" t="n"/>
      <c r="J32" s="54" t="n"/>
      <c r="K32" s="54" t="n"/>
      <c r="L32" s="55">
        <f>IF(NOT((COUNTA($A32)+COUNTA($C32:$K32)+COUNTA($N32:$O32))&gt;0),"",IFERROR(LOOKUP(2,1/(H32:K32&lt;&gt;""),H32:K32),0))</f>
        <v/>
      </c>
      <c r="M32" s="56">
        <f>IF(L32="","",IF(L32&gt;=1,"Completado",IF(L32&gt;0,"En curso","Pendiente")))</f>
        <v/>
      </c>
      <c r="N32" s="52" t="n"/>
      <c r="O32" s="51" t="n"/>
      <c r="P32" s="57">
        <f>IF(NOT((COUNTA($A32)+COUNTA($C32:$K32)+COUNTA($N32:$O32))&gt;0),"",IF((IF(A32="","Falta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 OK","⚠ "&amp;LEFT(IF(A32="","Falta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",""),LEN(IF(A32="","Falta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",""))-3)))</f>
        <v/>
      </c>
    </row>
    <row r="33">
      <c r="A33" s="49" t="n"/>
      <c r="B33" s="50">
        <f>IF((COUNTA($A33)+COUNTA($C33:$K33)+COUNTA($N33:$O33))&gt;0,"Riesgo Financiero","")</f>
        <v/>
      </c>
      <c r="C33" s="51" t="n"/>
      <c r="D33" s="51" t="n"/>
      <c r="E33" s="52" t="n"/>
      <c r="F33" s="52" t="n"/>
      <c r="G33" s="53" t="n"/>
      <c r="H33" s="54" t="n"/>
      <c r="I33" s="54" t="n"/>
      <c r="J33" s="54" t="n"/>
      <c r="K33" s="54" t="n"/>
      <c r="L33" s="55">
        <f>IF(NOT((COUNTA($A33)+COUNTA($C33:$K33)+COUNTA($N33:$O33))&gt;0),"",IFERROR(LOOKUP(2,1/(H33:K33&lt;&gt;""),H33:K33),0))</f>
        <v/>
      </c>
      <c r="M33" s="56">
        <f>IF(L33="","",IF(L33&gt;=1,"Completado",IF(L33&gt;0,"En curso","Pendiente")))</f>
        <v/>
      </c>
      <c r="N33" s="52" t="n"/>
      <c r="O33" s="51" t="n"/>
      <c r="P33" s="57">
        <f>IF(NOT((COUNTA($A33)+COUNTA($C33:$K33)+COUNTA($N33:$O33))&gt;0),"",IF((IF(A33="","Falta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 OK","⚠ "&amp;LEFT(IF(A33="","Falta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",""),LEN(IF(A33="","Falta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",""))-3)))</f>
        <v/>
      </c>
    </row>
    <row r="34">
      <c r="A34" s="49" t="n"/>
      <c r="B34" s="50">
        <f>IF((COUNTA($A34)+COUNTA($C34:$K34)+COUNTA($N34:$O34))&gt;0,"Riesgo Financiero","")</f>
        <v/>
      </c>
      <c r="C34" s="51" t="n"/>
      <c r="D34" s="51" t="n"/>
      <c r="E34" s="52" t="n"/>
      <c r="F34" s="52" t="n"/>
      <c r="G34" s="53" t="n"/>
      <c r="H34" s="54" t="n"/>
      <c r="I34" s="54" t="n"/>
      <c r="J34" s="54" t="n"/>
      <c r="K34" s="54" t="n"/>
      <c r="L34" s="55">
        <f>IF(NOT((COUNTA($A34)+COUNTA($C34:$K34)+COUNTA($N34:$O34))&gt;0),"",IFERROR(LOOKUP(2,1/(H34:K34&lt;&gt;""),H34:K34),0))</f>
        <v/>
      </c>
      <c r="M34" s="56">
        <f>IF(L34="","",IF(L34&gt;=1,"Completado",IF(L34&gt;0,"En curso","Pendiente")))</f>
        <v/>
      </c>
      <c r="N34" s="52" t="n"/>
      <c r="O34" s="51" t="n"/>
      <c r="P34" s="57">
        <f>IF(NOT((COUNTA($A34)+COUNTA($C34:$K34)+COUNTA($N34:$O34))&gt;0),"",IF((IF(A34="","Falta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 OK","⚠ "&amp;LEFT(IF(A34="","Falta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",""),LEN(IF(A34="","Falta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",""))-3)))</f>
        <v/>
      </c>
    </row>
    <row r="35">
      <c r="A35" s="49" t="n"/>
      <c r="B35" s="50">
        <f>IF((COUNTA($A35)+COUNTA($C35:$K35)+COUNTA($N35:$O35))&gt;0,"Riesgo Financiero","")</f>
        <v/>
      </c>
      <c r="C35" s="51" t="n"/>
      <c r="D35" s="51" t="n"/>
      <c r="E35" s="52" t="n"/>
      <c r="F35" s="52" t="n"/>
      <c r="G35" s="53" t="n"/>
      <c r="H35" s="54" t="n"/>
      <c r="I35" s="54" t="n"/>
      <c r="J35" s="54" t="n"/>
      <c r="K35" s="54" t="n"/>
      <c r="L35" s="55">
        <f>IF(NOT((COUNTA($A35)+COUNTA($C35:$K35)+COUNTA($N35:$O35))&gt;0),"",IFERROR(LOOKUP(2,1/(H35:K35&lt;&gt;""),H35:K35),0))</f>
        <v/>
      </c>
      <c r="M35" s="56">
        <f>IF(L35="","",IF(L35&gt;=1,"Completado",IF(L35&gt;0,"En curso","Pendiente")))</f>
        <v/>
      </c>
      <c r="N35" s="52" t="n"/>
      <c r="O35" s="51" t="n"/>
      <c r="P35" s="57">
        <f>IF(NOT((COUNTA($A35)+COUNTA($C35:$K35)+COUNTA($N35:$O35))&gt;0),"",IF((IF(A35="","Falta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 OK","⚠ "&amp;LEFT(IF(A35="","Falta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",""),LEN(IF(A35="","Falta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",""))-3)))</f>
        <v/>
      </c>
    </row>
    <row r="36">
      <c r="A36" s="49" t="n"/>
      <c r="B36" s="50">
        <f>IF((COUNTA($A36)+COUNTA($C36:$K36)+COUNTA($N36:$O36))&gt;0,"Riesgo Financiero","")</f>
        <v/>
      </c>
      <c r="C36" s="51" t="n"/>
      <c r="D36" s="51" t="n"/>
      <c r="E36" s="52" t="n"/>
      <c r="F36" s="52" t="n"/>
      <c r="G36" s="53" t="n"/>
      <c r="H36" s="54" t="n"/>
      <c r="I36" s="54" t="n"/>
      <c r="J36" s="54" t="n"/>
      <c r="K36" s="54" t="n"/>
      <c r="L36" s="55">
        <f>IF(NOT((COUNTA($A36)+COUNTA($C36:$K36)+COUNTA($N36:$O36))&gt;0),"",IFERROR(LOOKUP(2,1/(H36:K36&lt;&gt;""),H36:K36),0))</f>
        <v/>
      </c>
      <c r="M36" s="56">
        <f>IF(L36="","",IF(L36&gt;=1,"Completado",IF(L36&gt;0,"En curso","Pendiente")))</f>
        <v/>
      </c>
      <c r="N36" s="52" t="n"/>
      <c r="O36" s="51" t="n"/>
      <c r="P36" s="57">
        <f>IF(NOT((COUNTA($A36)+COUNTA($C36:$K36)+COUNTA($N36:$O36))&gt;0),"",IF((IF(A36="","Falta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 OK","⚠ "&amp;LEFT(IF(A36="","Falta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",""),LEN(IF(A36="","Falta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",""))-3)))</f>
        <v/>
      </c>
    </row>
    <row r="37">
      <c r="A37" s="49" t="n"/>
      <c r="B37" s="50">
        <f>IF((COUNTA($A37)+COUNTA($C37:$K37)+COUNTA($N37:$O37))&gt;0,"Riesgo Financiero","")</f>
        <v/>
      </c>
      <c r="C37" s="51" t="n"/>
      <c r="D37" s="51" t="n"/>
      <c r="E37" s="52" t="n"/>
      <c r="F37" s="52" t="n"/>
      <c r="G37" s="53" t="n"/>
      <c r="H37" s="54" t="n"/>
      <c r="I37" s="54" t="n"/>
      <c r="J37" s="54" t="n"/>
      <c r="K37" s="54" t="n"/>
      <c r="L37" s="55">
        <f>IF(NOT((COUNTA($A37)+COUNTA($C37:$K37)+COUNTA($N37:$O37))&gt;0),"",IFERROR(LOOKUP(2,1/(H37:K37&lt;&gt;""),H37:K37),0))</f>
        <v/>
      </c>
      <c r="M37" s="56">
        <f>IF(L37="","",IF(L37&gt;=1,"Completado",IF(L37&gt;0,"En curso","Pendiente")))</f>
        <v/>
      </c>
      <c r="N37" s="52" t="n"/>
      <c r="O37" s="51" t="n"/>
      <c r="P37" s="57">
        <f>IF(NOT((COUNTA($A37)+COUNTA($C37:$K37)+COUNTA($N37:$O37))&gt;0),"",IF((IF(A37="","Falta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 OK","⚠ "&amp;LEFT(IF(A37="","Falta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",""),LEN(IF(A37="","Falta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",""))-3)))</f>
        <v/>
      </c>
    </row>
    <row r="38">
      <c r="A38" s="49" t="n"/>
      <c r="B38" s="50">
        <f>IF((COUNTA($A38)+COUNTA($C38:$K38)+COUNTA($N38:$O38))&gt;0,"Riesgo Financiero","")</f>
        <v/>
      </c>
      <c r="C38" s="51" t="n"/>
      <c r="D38" s="51" t="n"/>
      <c r="E38" s="52" t="n"/>
      <c r="F38" s="52" t="n"/>
      <c r="G38" s="53" t="n"/>
      <c r="H38" s="54" t="n"/>
      <c r="I38" s="54" t="n"/>
      <c r="J38" s="54" t="n"/>
      <c r="K38" s="54" t="n"/>
      <c r="L38" s="55">
        <f>IF(NOT((COUNTA($A38)+COUNTA($C38:$K38)+COUNTA($N38:$O38))&gt;0),"",IFERROR(LOOKUP(2,1/(H38:K38&lt;&gt;""),H38:K38),0))</f>
        <v/>
      </c>
      <c r="M38" s="56">
        <f>IF(L38="","",IF(L38&gt;=1,"Completado",IF(L38&gt;0,"En curso","Pendiente")))</f>
        <v/>
      </c>
      <c r="N38" s="52" t="n"/>
      <c r="O38" s="51" t="n"/>
      <c r="P38" s="57">
        <f>IF(NOT((COUNTA($A38)+COUNTA($C38:$K38)+COUNTA($N38:$O38))&gt;0),"",IF((IF(A38="","Falta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 OK","⚠ "&amp;LEFT(IF(A38="","Falta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",""),LEN(IF(A38="","Falta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",""))-3)))</f>
        <v/>
      </c>
    </row>
    <row r="39">
      <c r="A39" s="49" t="n"/>
      <c r="B39" s="50">
        <f>IF((COUNTA($A39)+COUNTA($C39:$K39)+COUNTA($N39:$O39))&gt;0,"Riesgo Financiero","")</f>
        <v/>
      </c>
      <c r="C39" s="51" t="n"/>
      <c r="D39" s="51" t="n"/>
      <c r="E39" s="52" t="n"/>
      <c r="F39" s="52" t="n"/>
      <c r="G39" s="53" t="n"/>
      <c r="H39" s="54" t="n"/>
      <c r="I39" s="54" t="n"/>
      <c r="J39" s="54" t="n"/>
      <c r="K39" s="54" t="n"/>
      <c r="L39" s="55">
        <f>IF(NOT((COUNTA($A39)+COUNTA($C39:$K39)+COUNTA($N39:$O39))&gt;0),"",IFERROR(LOOKUP(2,1/(H39:K39&lt;&gt;""),H39:K39),0))</f>
        <v/>
      </c>
      <c r="M39" s="56">
        <f>IF(L39="","",IF(L39&gt;=1,"Completado",IF(L39&gt;0,"En curso","Pendiente")))</f>
        <v/>
      </c>
      <c r="N39" s="52" t="n"/>
      <c r="O39" s="51" t="n"/>
      <c r="P39" s="57">
        <f>IF(NOT((COUNTA($A39)+COUNTA($C39:$K39)+COUNTA($N39:$O39))&gt;0),"",IF((IF(A39="","Falta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 OK","⚠ "&amp;LEFT(IF(A39="","Falta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",""),LEN(IF(A39="","Falta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",""))-3)))</f>
        <v/>
      </c>
    </row>
    <row r="40">
      <c r="A40" s="49" t="n"/>
      <c r="B40" s="50">
        <f>IF((COUNTA($A40)+COUNTA($C40:$K40)+COUNTA($N40:$O40))&gt;0,"Riesgo Financiero","")</f>
        <v/>
      </c>
      <c r="C40" s="51" t="n"/>
      <c r="D40" s="51" t="n"/>
      <c r="E40" s="52" t="n"/>
      <c r="F40" s="52" t="n"/>
      <c r="G40" s="53" t="n"/>
      <c r="H40" s="54" t="n"/>
      <c r="I40" s="54" t="n"/>
      <c r="J40" s="54" t="n"/>
      <c r="K40" s="54" t="n"/>
      <c r="L40" s="55">
        <f>IF(NOT((COUNTA($A40)+COUNTA($C40:$K40)+COUNTA($N40:$O40))&gt;0),"",IFERROR(LOOKUP(2,1/(H40:K40&lt;&gt;""),H40:K40),0))</f>
        <v/>
      </c>
      <c r="M40" s="56">
        <f>IF(L40="","",IF(L40&gt;=1,"Completado",IF(L40&gt;0,"En curso","Pendiente")))</f>
        <v/>
      </c>
      <c r="N40" s="52" t="n"/>
      <c r="O40" s="51" t="n"/>
      <c r="P40" s="57">
        <f>IF(NOT((COUNTA($A40)+COUNTA($C40:$K40)+COUNTA($N40:$O40))&gt;0),"",IF((IF(A40="","Falta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 OK","⚠ "&amp;LEFT(IF(A40="","Falta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",""),LEN(IF(A40="","Falta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",""))-3)))</f>
        <v/>
      </c>
    </row>
    <row r="41">
      <c r="A41" s="49" t="n"/>
      <c r="B41" s="50">
        <f>IF((COUNTA($A41)+COUNTA($C41:$K41)+COUNTA($N41:$O41))&gt;0,"Riesgo Financiero","")</f>
        <v/>
      </c>
      <c r="C41" s="51" t="n"/>
      <c r="D41" s="51" t="n"/>
      <c r="E41" s="52" t="n"/>
      <c r="F41" s="52" t="n"/>
      <c r="G41" s="53" t="n"/>
      <c r="H41" s="54" t="n"/>
      <c r="I41" s="54" t="n"/>
      <c r="J41" s="54" t="n"/>
      <c r="K41" s="54" t="n"/>
      <c r="L41" s="55">
        <f>IF(NOT((COUNTA($A41)+COUNTA($C41:$K41)+COUNTA($N41:$O41))&gt;0),"",IFERROR(LOOKUP(2,1/(H41:K41&lt;&gt;""),H41:K41),0))</f>
        <v/>
      </c>
      <c r="M41" s="56">
        <f>IF(L41="","",IF(L41&gt;=1,"Completado",IF(L41&gt;0,"En curso","Pendiente")))</f>
        <v/>
      </c>
      <c r="N41" s="52" t="n"/>
      <c r="O41" s="51" t="n"/>
      <c r="P41" s="57">
        <f>IF(NOT((COUNTA($A41)+COUNTA($C41:$K41)+COUNTA($N41:$O41))&gt;0),"",IF((IF(A41="","Falta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 OK","⚠ "&amp;LEFT(IF(A41="","Falta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",""),LEN(IF(A41="","Falta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",""))-3)))</f>
        <v/>
      </c>
    </row>
    <row r="42">
      <c r="A42" s="49" t="n"/>
      <c r="B42" s="50">
        <f>IF((COUNTA($A42)+COUNTA($C42:$K42)+COUNTA($N42:$O42))&gt;0,"Riesgo Financiero","")</f>
        <v/>
      </c>
      <c r="C42" s="51" t="n"/>
      <c r="D42" s="51" t="n"/>
      <c r="E42" s="52" t="n"/>
      <c r="F42" s="52" t="n"/>
      <c r="G42" s="53" t="n"/>
      <c r="H42" s="54" t="n"/>
      <c r="I42" s="54" t="n"/>
      <c r="J42" s="54" t="n"/>
      <c r="K42" s="54" t="n"/>
      <c r="L42" s="55">
        <f>IF(NOT((COUNTA($A42)+COUNTA($C42:$K42)+COUNTA($N42:$O42))&gt;0),"",IFERROR(LOOKUP(2,1/(H42:K42&lt;&gt;""),H42:K42),0))</f>
        <v/>
      </c>
      <c r="M42" s="56">
        <f>IF(L42="","",IF(L42&gt;=1,"Completado",IF(L42&gt;0,"En curso","Pendiente")))</f>
        <v/>
      </c>
      <c r="N42" s="52" t="n"/>
      <c r="O42" s="51" t="n"/>
      <c r="P42" s="57">
        <f>IF(NOT((COUNTA($A42)+COUNTA($C42:$K42)+COUNTA($N42:$O42))&gt;0),"",IF((IF(A42="","Falta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 OK","⚠ "&amp;LEFT(IF(A42="","Falta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",""),LEN(IF(A42="","Falta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",""))-3)))</f>
        <v/>
      </c>
    </row>
    <row r="43">
      <c r="A43" s="49" t="n"/>
      <c r="B43" s="50">
        <f>IF((COUNTA($A43)+COUNTA($C43:$K43)+COUNTA($N43:$O43))&gt;0,"Riesgo Financiero","")</f>
        <v/>
      </c>
      <c r="C43" s="51" t="n"/>
      <c r="D43" s="51" t="n"/>
      <c r="E43" s="52" t="n"/>
      <c r="F43" s="52" t="n"/>
      <c r="G43" s="53" t="n"/>
      <c r="H43" s="54" t="n"/>
      <c r="I43" s="54" t="n"/>
      <c r="J43" s="54" t="n"/>
      <c r="K43" s="54" t="n"/>
      <c r="L43" s="55">
        <f>IF(NOT((COUNTA($A43)+COUNTA($C43:$K43)+COUNTA($N43:$O43))&gt;0),"",IFERROR(LOOKUP(2,1/(H43:K43&lt;&gt;""),H43:K43),0))</f>
        <v/>
      </c>
      <c r="M43" s="56">
        <f>IF(L43="","",IF(L43&gt;=1,"Completado",IF(L43&gt;0,"En curso","Pendiente")))</f>
        <v/>
      </c>
      <c r="N43" s="52" t="n"/>
      <c r="O43" s="51" t="n"/>
      <c r="P43" s="57">
        <f>IF(NOT((COUNTA($A43)+COUNTA($C43:$K43)+COUNTA($N43:$O43))&gt;0),"",IF((IF(A43="","Falta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 OK","⚠ "&amp;LEFT(IF(A43="","Falta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",""),LEN(IF(A43="","Falta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",""))-3)))</f>
        <v/>
      </c>
    </row>
    <row r="44">
      <c r="A44" s="49" t="n"/>
      <c r="B44" s="50">
        <f>IF((COUNTA($A44)+COUNTA($C44:$K44)+COUNTA($N44:$O44))&gt;0,"Riesgo Financiero","")</f>
        <v/>
      </c>
      <c r="C44" s="51" t="n"/>
      <c r="D44" s="51" t="n"/>
      <c r="E44" s="52" t="n"/>
      <c r="F44" s="52" t="n"/>
      <c r="G44" s="53" t="n"/>
      <c r="H44" s="54" t="n"/>
      <c r="I44" s="54" t="n"/>
      <c r="J44" s="54" t="n"/>
      <c r="K44" s="54" t="n"/>
      <c r="L44" s="55">
        <f>IF(NOT((COUNTA($A44)+COUNTA($C44:$K44)+COUNTA($N44:$O44))&gt;0),"",IFERROR(LOOKUP(2,1/(H44:K44&lt;&gt;""),H44:K44),0))</f>
        <v/>
      </c>
      <c r="M44" s="56">
        <f>IF(L44="","",IF(L44&gt;=1,"Completado",IF(L44&gt;0,"En curso","Pendiente")))</f>
        <v/>
      </c>
      <c r="N44" s="52" t="n"/>
      <c r="O44" s="51" t="n"/>
      <c r="P44" s="57">
        <f>IF(NOT((COUNTA($A44)+COUNTA($C44:$K44)+COUNTA($N44:$O44))&gt;0),"",IF((IF(A44="","Falta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 OK","⚠ "&amp;LEFT(IF(A44="","Falta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",""),LEN(IF(A44="","Falta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",""))-3)))</f>
        <v/>
      </c>
    </row>
    <row r="45">
      <c r="A45" s="49" t="n"/>
      <c r="B45" s="50">
        <f>IF((COUNTA($A45)+COUNTA($C45:$K45)+COUNTA($N45:$O45))&gt;0,"Riesgo Financiero","")</f>
        <v/>
      </c>
      <c r="C45" s="51" t="n"/>
      <c r="D45" s="51" t="n"/>
      <c r="E45" s="52" t="n"/>
      <c r="F45" s="52" t="n"/>
      <c r="G45" s="53" t="n"/>
      <c r="H45" s="54" t="n"/>
      <c r="I45" s="54" t="n"/>
      <c r="J45" s="54" t="n"/>
      <c r="K45" s="54" t="n"/>
      <c r="L45" s="55">
        <f>IF(NOT((COUNTA($A45)+COUNTA($C45:$K45)+COUNTA($N45:$O45))&gt;0),"",IFERROR(LOOKUP(2,1/(H45:K45&lt;&gt;""),H45:K45),0))</f>
        <v/>
      </c>
      <c r="M45" s="56">
        <f>IF(L45="","",IF(L45&gt;=1,"Completado",IF(L45&gt;0,"En curso","Pendiente")))</f>
        <v/>
      </c>
      <c r="N45" s="52" t="n"/>
      <c r="O45" s="51" t="n"/>
      <c r="P45" s="57">
        <f>IF(NOT((COUNTA($A45)+COUNTA($C45:$K45)+COUNTA($N45:$O45))&gt;0),"",IF((IF(A45="","Falta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 OK","⚠ "&amp;LEFT(IF(A45="","Falta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",""),LEN(IF(A45="","Falta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",""))-3)))</f>
        <v/>
      </c>
    </row>
    <row r="46">
      <c r="A46" s="49" t="n"/>
      <c r="B46" s="50">
        <f>IF((COUNTA($A46)+COUNTA($C46:$K46)+COUNTA($N46:$O46))&gt;0,"Riesgo Financiero","")</f>
        <v/>
      </c>
      <c r="C46" s="51" t="n"/>
      <c r="D46" s="51" t="n"/>
      <c r="E46" s="52" t="n"/>
      <c r="F46" s="52" t="n"/>
      <c r="G46" s="53" t="n"/>
      <c r="H46" s="54" t="n"/>
      <c r="I46" s="54" t="n"/>
      <c r="J46" s="54" t="n"/>
      <c r="K46" s="54" t="n"/>
      <c r="L46" s="55">
        <f>IF(NOT((COUNTA($A46)+COUNTA($C46:$K46)+COUNTA($N46:$O46))&gt;0),"",IFERROR(LOOKUP(2,1/(H46:K46&lt;&gt;""),H46:K46),0))</f>
        <v/>
      </c>
      <c r="M46" s="56">
        <f>IF(L46="","",IF(L46&gt;=1,"Completado",IF(L46&gt;0,"En curso","Pendiente")))</f>
        <v/>
      </c>
      <c r="N46" s="52" t="n"/>
      <c r="O46" s="51" t="n"/>
      <c r="P46" s="57">
        <f>IF(NOT((COUNTA($A46)+COUNTA($C46:$K46)+COUNTA($N46:$O46))&gt;0),"",IF((IF(A46="","Falta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 OK","⚠ "&amp;LEFT(IF(A46="","Falta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",""),LEN(IF(A46="","Falta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",""))-3)))</f>
        <v/>
      </c>
    </row>
    <row r="47">
      <c r="A47" s="49" t="n"/>
      <c r="B47" s="50">
        <f>IF((COUNTA($A47)+COUNTA($C47:$K47)+COUNTA($N47:$O47))&gt;0,"Riesgo Financiero","")</f>
        <v/>
      </c>
      <c r="C47" s="51" t="n"/>
      <c r="D47" s="51" t="n"/>
      <c r="E47" s="52" t="n"/>
      <c r="F47" s="52" t="n"/>
      <c r="G47" s="53" t="n"/>
      <c r="H47" s="54" t="n"/>
      <c r="I47" s="54" t="n"/>
      <c r="J47" s="54" t="n"/>
      <c r="K47" s="54" t="n"/>
      <c r="L47" s="55">
        <f>IF(NOT((COUNTA($A47)+COUNTA($C47:$K47)+COUNTA($N47:$O47))&gt;0),"",IFERROR(LOOKUP(2,1/(H47:K47&lt;&gt;""),H47:K47),0))</f>
        <v/>
      </c>
      <c r="M47" s="56">
        <f>IF(L47="","",IF(L47&gt;=1,"Completado",IF(L47&gt;0,"En curso","Pendiente")))</f>
        <v/>
      </c>
      <c r="N47" s="52" t="n"/>
      <c r="O47" s="51" t="n"/>
      <c r="P47" s="57">
        <f>IF(NOT((COUNTA($A47)+COUNTA($C47:$K47)+COUNTA($N47:$O47))&gt;0),"",IF((IF(A47="","Falta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 OK","⚠ "&amp;LEFT(IF(A47="","Falta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",""),LEN(IF(A47="","Falta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",""))-3)))</f>
        <v/>
      </c>
    </row>
    <row r="48">
      <c r="A48" s="49" t="n"/>
      <c r="B48" s="50">
        <f>IF((COUNTA($A48)+COUNTA($C48:$K48)+COUNTA($N48:$O48))&gt;0,"Riesgo Financiero","")</f>
        <v/>
      </c>
      <c r="C48" s="51" t="n"/>
      <c r="D48" s="51" t="n"/>
      <c r="E48" s="52" t="n"/>
      <c r="F48" s="52" t="n"/>
      <c r="G48" s="53" t="n"/>
      <c r="H48" s="54" t="n"/>
      <c r="I48" s="54" t="n"/>
      <c r="J48" s="54" t="n"/>
      <c r="K48" s="54" t="n"/>
      <c r="L48" s="55">
        <f>IF(NOT((COUNTA($A48)+COUNTA($C48:$K48)+COUNTA($N48:$O48))&gt;0),"",IFERROR(LOOKUP(2,1/(H48:K48&lt;&gt;""),H48:K48),0))</f>
        <v/>
      </c>
      <c r="M48" s="56">
        <f>IF(L48="","",IF(L48&gt;=1,"Completado",IF(L48&gt;0,"En curso","Pendiente")))</f>
        <v/>
      </c>
      <c r="N48" s="52" t="n"/>
      <c r="O48" s="51" t="n"/>
      <c r="P48" s="57">
        <f>IF(NOT((COUNTA($A48)+COUNTA($C48:$K48)+COUNTA($N48:$O48))&gt;0),"",IF((IF(A48="","Falta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 OK","⚠ "&amp;LEFT(IF(A48="","Falta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",""),LEN(IF(A48="","Falta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",""))-3)))</f>
        <v/>
      </c>
    </row>
    <row r="49">
      <c r="A49" s="49" t="n"/>
      <c r="B49" s="50">
        <f>IF((COUNTA($A49)+COUNTA($C49:$K49)+COUNTA($N49:$O49))&gt;0,"Riesgo Financiero","")</f>
        <v/>
      </c>
      <c r="C49" s="51" t="n"/>
      <c r="D49" s="51" t="n"/>
      <c r="E49" s="52" t="n"/>
      <c r="F49" s="52" t="n"/>
      <c r="G49" s="53" t="n"/>
      <c r="H49" s="54" t="n"/>
      <c r="I49" s="54" t="n"/>
      <c r="J49" s="54" t="n"/>
      <c r="K49" s="54" t="n"/>
      <c r="L49" s="55">
        <f>IF(NOT((COUNTA($A49)+COUNTA($C49:$K49)+COUNTA($N49:$O49))&gt;0),"",IFERROR(LOOKUP(2,1/(H49:K49&lt;&gt;""),H49:K49),0))</f>
        <v/>
      </c>
      <c r="M49" s="56">
        <f>IF(L49="","",IF(L49&gt;=1,"Completado",IF(L49&gt;0,"En curso","Pendiente")))</f>
        <v/>
      </c>
      <c r="N49" s="52" t="n"/>
      <c r="O49" s="51" t="n"/>
      <c r="P49" s="57">
        <f>IF(NOT((COUNTA($A49)+COUNTA($C49:$K49)+COUNTA($N49:$O49))&gt;0),"",IF((IF(A49="","Falta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 OK","⚠ "&amp;LEFT(IF(A49="","Falta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",""),LEN(IF(A49="","Falta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",""))-3)))</f>
        <v/>
      </c>
    </row>
    <row r="50">
      <c r="A50" s="49" t="n"/>
      <c r="B50" s="50">
        <f>IF((COUNTA($A50)+COUNTA($C50:$K50)+COUNTA($N50:$O50))&gt;0,"Riesgo Financiero","")</f>
        <v/>
      </c>
      <c r="C50" s="51" t="n"/>
      <c r="D50" s="51" t="n"/>
      <c r="E50" s="52" t="n"/>
      <c r="F50" s="52" t="n"/>
      <c r="G50" s="53" t="n"/>
      <c r="H50" s="54" t="n"/>
      <c r="I50" s="54" t="n"/>
      <c r="J50" s="54" t="n"/>
      <c r="K50" s="54" t="n"/>
      <c r="L50" s="55">
        <f>IF(NOT((COUNTA($A50)+COUNTA($C50:$K50)+COUNTA($N50:$O50))&gt;0),"",IFERROR(LOOKUP(2,1/(H50:K50&lt;&gt;""),H50:K50),0))</f>
        <v/>
      </c>
      <c r="M50" s="56">
        <f>IF(L50="","",IF(L50&gt;=1,"Completado",IF(L50&gt;0,"En curso","Pendiente")))</f>
        <v/>
      </c>
      <c r="N50" s="52" t="n"/>
      <c r="O50" s="51" t="n"/>
      <c r="P50" s="57">
        <f>IF(NOT((COUNTA($A50)+COUNTA($C50:$K50)+COUNTA($N50:$O50))&gt;0),"",IF((IF(A50="","Falta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 OK","⚠ "&amp;LEFT(IF(A50="","Falta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",""),LEN(IF(A50="","Falta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",""))-3)))</f>
        <v/>
      </c>
    </row>
    <row r="51">
      <c r="A51" s="49" t="n"/>
      <c r="B51" s="50">
        <f>IF((COUNTA($A51)+COUNTA($C51:$K51)+COUNTA($N51:$O51))&gt;0,"Riesgo Financiero","")</f>
        <v/>
      </c>
      <c r="C51" s="51" t="n"/>
      <c r="D51" s="51" t="n"/>
      <c r="E51" s="52" t="n"/>
      <c r="F51" s="52" t="n"/>
      <c r="G51" s="53" t="n"/>
      <c r="H51" s="54" t="n"/>
      <c r="I51" s="54" t="n"/>
      <c r="J51" s="54" t="n"/>
      <c r="K51" s="54" t="n"/>
      <c r="L51" s="55">
        <f>IF(NOT((COUNTA($A51)+COUNTA($C51:$K51)+COUNTA($N51:$O51))&gt;0),"",IFERROR(LOOKUP(2,1/(H51:K51&lt;&gt;""),H51:K51),0))</f>
        <v/>
      </c>
      <c r="M51" s="56">
        <f>IF(L51="","",IF(L51&gt;=1,"Completado",IF(L51&gt;0,"En curso","Pendiente")))</f>
        <v/>
      </c>
      <c r="N51" s="52" t="n"/>
      <c r="O51" s="51" t="n"/>
      <c r="P51" s="57">
        <f>IF(NOT((COUNTA($A51)+COUNTA($C51:$K51)+COUNTA($N51:$O51))&gt;0),"",IF((IF(A51="","Falta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 OK","⚠ "&amp;LEFT(IF(A51="","Falta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",""),LEN(IF(A51="","Falta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",""))-3)))</f>
        <v/>
      </c>
    </row>
    <row r="52">
      <c r="A52" s="49" t="n"/>
      <c r="B52" s="50">
        <f>IF((COUNTA($A52)+COUNTA($C52:$K52)+COUNTA($N52:$O52))&gt;0,"Riesgo Financiero","")</f>
        <v/>
      </c>
      <c r="C52" s="51" t="n"/>
      <c r="D52" s="51" t="n"/>
      <c r="E52" s="52" t="n"/>
      <c r="F52" s="52" t="n"/>
      <c r="G52" s="53" t="n"/>
      <c r="H52" s="54" t="n"/>
      <c r="I52" s="54" t="n"/>
      <c r="J52" s="54" t="n"/>
      <c r="K52" s="54" t="n"/>
      <c r="L52" s="55">
        <f>IF(NOT((COUNTA($A52)+COUNTA($C52:$K52)+COUNTA($N52:$O52))&gt;0),"",IFERROR(LOOKUP(2,1/(H52:K52&lt;&gt;""),H52:K52),0))</f>
        <v/>
      </c>
      <c r="M52" s="56">
        <f>IF(L52="","",IF(L52&gt;=1,"Completado",IF(L52&gt;0,"En curso","Pendiente")))</f>
        <v/>
      </c>
      <c r="N52" s="52" t="n"/>
      <c r="O52" s="51" t="n"/>
      <c r="P52" s="57">
        <f>IF(NOT((COUNTA($A52)+COUNTA($C52:$K52)+COUNTA($N52:$O52))&gt;0),"",IF((IF(A52="","Falta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 OK","⚠ "&amp;LEFT(IF(A52="","Falta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",""),LEN(IF(A52="","Falta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",""))-3)))</f>
        <v/>
      </c>
    </row>
    <row r="53">
      <c r="A53" s="49" t="n"/>
      <c r="B53" s="50">
        <f>IF((COUNTA($A53)+COUNTA($C53:$K53)+COUNTA($N53:$O53))&gt;0,"Riesgo Financiero","")</f>
        <v/>
      </c>
      <c r="C53" s="51" t="n"/>
      <c r="D53" s="51" t="n"/>
      <c r="E53" s="52" t="n"/>
      <c r="F53" s="52" t="n"/>
      <c r="G53" s="53" t="n"/>
      <c r="H53" s="54" t="n"/>
      <c r="I53" s="54" t="n"/>
      <c r="J53" s="54" t="n"/>
      <c r="K53" s="54" t="n"/>
      <c r="L53" s="55">
        <f>IF(NOT((COUNTA($A53)+COUNTA($C53:$K53)+COUNTA($N53:$O53))&gt;0),"",IFERROR(LOOKUP(2,1/(H53:K53&lt;&gt;""),H53:K53),0))</f>
        <v/>
      </c>
      <c r="M53" s="56">
        <f>IF(L53="","",IF(L53&gt;=1,"Completado",IF(L53&gt;0,"En curso","Pendiente")))</f>
        <v/>
      </c>
      <c r="N53" s="52" t="n"/>
      <c r="O53" s="51" t="n"/>
      <c r="P53" s="57">
        <f>IF(NOT((COUNTA($A53)+COUNTA($C53:$K53)+COUNTA($N53:$O53))&gt;0),"",IF((IF(A53="","Falta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 OK","⚠ "&amp;LEFT(IF(A53="","Falta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",""),LEN(IF(A53="","Falta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",""))-3)))</f>
        <v/>
      </c>
    </row>
    <row r="54">
      <c r="A54" s="49" t="n"/>
      <c r="B54" s="50">
        <f>IF((COUNTA($A54)+COUNTA($C54:$K54)+COUNTA($N54:$O54))&gt;0,"Riesgo Financiero","")</f>
        <v/>
      </c>
      <c r="C54" s="51" t="n"/>
      <c r="D54" s="51" t="n"/>
      <c r="E54" s="52" t="n"/>
      <c r="F54" s="52" t="n"/>
      <c r="G54" s="53" t="n"/>
      <c r="H54" s="54" t="n"/>
      <c r="I54" s="54" t="n"/>
      <c r="J54" s="54" t="n"/>
      <c r="K54" s="54" t="n"/>
      <c r="L54" s="55">
        <f>IF(NOT((COUNTA($A54)+COUNTA($C54:$K54)+COUNTA($N54:$O54))&gt;0),"",IFERROR(LOOKUP(2,1/(H54:K54&lt;&gt;""),H54:K54),0))</f>
        <v/>
      </c>
      <c r="M54" s="56">
        <f>IF(L54="","",IF(L54&gt;=1,"Completado",IF(L54&gt;0,"En curso","Pendiente")))</f>
        <v/>
      </c>
      <c r="N54" s="52" t="n"/>
      <c r="O54" s="51" t="n"/>
      <c r="P54" s="57">
        <f>IF(NOT((COUNTA($A54)+COUNTA($C54:$K54)+COUNTA($N54:$O54))&gt;0),"",IF((IF(A54="","Falta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 OK","⚠ "&amp;LEFT(IF(A54="","Falta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",""),LEN(IF(A54="","Falta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",""))-3)))</f>
        <v/>
      </c>
    </row>
    <row r="55">
      <c r="A55" s="49" t="n"/>
      <c r="B55" s="50">
        <f>IF((COUNTA($A55)+COUNTA($C55:$K55)+COUNTA($N55:$O55))&gt;0,"Riesgo Financiero","")</f>
        <v/>
      </c>
      <c r="C55" s="51" t="n"/>
      <c r="D55" s="51" t="n"/>
      <c r="E55" s="52" t="n"/>
      <c r="F55" s="52" t="n"/>
      <c r="G55" s="53" t="n"/>
      <c r="H55" s="54" t="n"/>
      <c r="I55" s="54" t="n"/>
      <c r="J55" s="54" t="n"/>
      <c r="K55" s="54" t="n"/>
      <c r="L55" s="55">
        <f>IF(NOT((COUNTA($A55)+COUNTA($C55:$K55)+COUNTA($N55:$O55))&gt;0),"",IFERROR(LOOKUP(2,1/(H55:K55&lt;&gt;""),H55:K55),0))</f>
        <v/>
      </c>
      <c r="M55" s="56">
        <f>IF(L55="","",IF(L55&gt;=1,"Completado",IF(L55&gt;0,"En curso","Pendiente")))</f>
        <v/>
      </c>
      <c r="N55" s="52" t="n"/>
      <c r="O55" s="51" t="n"/>
      <c r="P55" s="57">
        <f>IF(NOT((COUNTA($A55)+COUNTA($C55:$K55)+COUNTA($N55:$O55))&gt;0),"",IF((IF(A55="","Falta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 OK","⚠ "&amp;LEFT(IF(A55="","Falta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",""),LEN(IF(A55="","Falta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",""))-3)))</f>
        <v/>
      </c>
    </row>
    <row r="56">
      <c r="A56" s="49" t="n"/>
      <c r="B56" s="50">
        <f>IF((COUNTA($A56)+COUNTA($C56:$K56)+COUNTA($N56:$O56))&gt;0,"Riesgo Financiero","")</f>
        <v/>
      </c>
      <c r="C56" s="51" t="n"/>
      <c r="D56" s="51" t="n"/>
      <c r="E56" s="52" t="n"/>
      <c r="F56" s="52" t="n"/>
      <c r="G56" s="53" t="n"/>
      <c r="H56" s="54" t="n"/>
      <c r="I56" s="54" t="n"/>
      <c r="J56" s="54" t="n"/>
      <c r="K56" s="54" t="n"/>
      <c r="L56" s="55">
        <f>IF(NOT((COUNTA($A56)+COUNTA($C56:$K56)+COUNTA($N56:$O56))&gt;0),"",IFERROR(LOOKUP(2,1/(H56:K56&lt;&gt;""),H56:K56),0))</f>
        <v/>
      </c>
      <c r="M56" s="56">
        <f>IF(L56="","",IF(L56&gt;=1,"Completado",IF(L56&gt;0,"En curso","Pendiente")))</f>
        <v/>
      </c>
      <c r="N56" s="52" t="n"/>
      <c r="O56" s="51" t="n"/>
      <c r="P56" s="57">
        <f>IF(NOT((COUNTA($A56)+COUNTA($C56:$K56)+COUNTA($N56:$O56))&gt;0),"",IF((IF(A56="","Falta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 OK","⚠ "&amp;LEFT(IF(A56="","Falta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",""),LEN(IF(A56="","Falta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",""))-3)))</f>
        <v/>
      </c>
    </row>
    <row r="57">
      <c r="A57" s="49" t="n"/>
      <c r="B57" s="50">
        <f>IF((COUNTA($A57)+COUNTA($C57:$K57)+COUNTA($N57:$O57))&gt;0,"Riesgo Financiero","")</f>
        <v/>
      </c>
      <c r="C57" s="51" t="n"/>
      <c r="D57" s="51" t="n"/>
      <c r="E57" s="52" t="n"/>
      <c r="F57" s="52" t="n"/>
      <c r="G57" s="53" t="n"/>
      <c r="H57" s="54" t="n"/>
      <c r="I57" s="54" t="n"/>
      <c r="J57" s="54" t="n"/>
      <c r="K57" s="54" t="n"/>
      <c r="L57" s="55">
        <f>IF(NOT((COUNTA($A57)+COUNTA($C57:$K57)+COUNTA($N57:$O57))&gt;0),"",IFERROR(LOOKUP(2,1/(H57:K57&lt;&gt;""),H57:K57),0))</f>
        <v/>
      </c>
      <c r="M57" s="56">
        <f>IF(L57="","",IF(L57&gt;=1,"Completado",IF(L57&gt;0,"En curso","Pendiente")))</f>
        <v/>
      </c>
      <c r="N57" s="52" t="n"/>
      <c r="O57" s="51" t="n"/>
      <c r="P57" s="57">
        <f>IF(NOT((COUNTA($A57)+COUNTA($C57:$K57)+COUNTA($N57:$O57))&gt;0),"",IF((IF(A57="","Falta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 OK","⚠ "&amp;LEFT(IF(A57="","Falta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",""),LEN(IF(A57="","Falta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",""))-3)))</f>
        <v/>
      </c>
    </row>
    <row r="58">
      <c r="A58" s="49" t="n"/>
      <c r="B58" s="50">
        <f>IF((COUNTA($A58)+COUNTA($C58:$K58)+COUNTA($N58:$O58))&gt;0,"Riesgo Financiero","")</f>
        <v/>
      </c>
      <c r="C58" s="51" t="n"/>
      <c r="D58" s="51" t="n"/>
      <c r="E58" s="52" t="n"/>
      <c r="F58" s="52" t="n"/>
      <c r="G58" s="53" t="n"/>
      <c r="H58" s="54" t="n"/>
      <c r="I58" s="54" t="n"/>
      <c r="J58" s="54" t="n"/>
      <c r="K58" s="54" t="n"/>
      <c r="L58" s="55">
        <f>IF(NOT((COUNTA($A58)+COUNTA($C58:$K58)+COUNTA($N58:$O58))&gt;0),"",IFERROR(LOOKUP(2,1/(H58:K58&lt;&gt;""),H58:K58),0))</f>
        <v/>
      </c>
      <c r="M58" s="56">
        <f>IF(L58="","",IF(L58&gt;=1,"Completado",IF(L58&gt;0,"En curso","Pendiente")))</f>
        <v/>
      </c>
      <c r="N58" s="52" t="n"/>
      <c r="O58" s="51" t="n"/>
      <c r="P58" s="57">
        <f>IF(NOT((COUNTA($A58)+COUNTA($C58:$K58)+COUNTA($N58:$O58))&gt;0),"",IF((IF(A58="","Falta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 OK","⚠ "&amp;LEFT(IF(A58="","Falta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",""),LEN(IF(A58="","Falta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",""))-3)))</f>
        <v/>
      </c>
    </row>
    <row r="59">
      <c r="A59" s="49" t="n"/>
      <c r="B59" s="50">
        <f>IF((COUNTA($A59)+COUNTA($C59:$K59)+COUNTA($N59:$O59))&gt;0,"Riesgo Financiero","")</f>
        <v/>
      </c>
      <c r="C59" s="51" t="n"/>
      <c r="D59" s="51" t="n"/>
      <c r="E59" s="52" t="n"/>
      <c r="F59" s="52" t="n"/>
      <c r="G59" s="53" t="n"/>
      <c r="H59" s="54" t="n"/>
      <c r="I59" s="54" t="n"/>
      <c r="J59" s="54" t="n"/>
      <c r="K59" s="54" t="n"/>
      <c r="L59" s="55">
        <f>IF(NOT((COUNTA($A59)+COUNTA($C59:$K59)+COUNTA($N59:$O59))&gt;0),"",IFERROR(LOOKUP(2,1/(H59:K59&lt;&gt;""),H59:K59),0))</f>
        <v/>
      </c>
      <c r="M59" s="56">
        <f>IF(L59="","",IF(L59&gt;=1,"Completado",IF(L59&gt;0,"En curso","Pendiente")))</f>
        <v/>
      </c>
      <c r="N59" s="52" t="n"/>
      <c r="O59" s="51" t="n"/>
      <c r="P59" s="57">
        <f>IF(NOT((COUNTA($A59)+COUNTA($C59:$K59)+COUNTA($N59:$O59))&gt;0),"",IF((IF(A59="","Falta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 OK","⚠ "&amp;LEFT(IF(A59="","Falta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",""),LEN(IF(A59="","Falta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",""))-3)))</f>
        <v/>
      </c>
    </row>
    <row r="60">
      <c r="A60" s="49" t="n"/>
      <c r="B60" s="50">
        <f>IF((COUNTA($A60)+COUNTA($C60:$K60)+COUNTA($N60:$O60))&gt;0,"Riesgo Financiero","")</f>
        <v/>
      </c>
      <c r="C60" s="51" t="n"/>
      <c r="D60" s="51" t="n"/>
      <c r="E60" s="52" t="n"/>
      <c r="F60" s="52" t="n"/>
      <c r="G60" s="53" t="n"/>
      <c r="H60" s="54" t="n"/>
      <c r="I60" s="54" t="n"/>
      <c r="J60" s="54" t="n"/>
      <c r="K60" s="54" t="n"/>
      <c r="L60" s="55">
        <f>IF(NOT((COUNTA($A60)+COUNTA($C60:$K60)+COUNTA($N60:$O60))&gt;0),"",IFERROR(LOOKUP(2,1/(H60:K60&lt;&gt;""),H60:K60),0))</f>
        <v/>
      </c>
      <c r="M60" s="56">
        <f>IF(L60="","",IF(L60&gt;=1,"Completado",IF(L60&gt;0,"En curso","Pendiente")))</f>
        <v/>
      </c>
      <c r="N60" s="52" t="n"/>
      <c r="O60" s="51" t="n"/>
      <c r="P60" s="57">
        <f>IF(NOT((COUNTA($A60)+COUNTA($C60:$K60)+COUNTA($N60:$O60))&gt;0),"",IF((IF(A60="","Falta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 OK","⚠ "&amp;LEFT(IF(A60="","Falta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",""),LEN(IF(A60="","Falta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",""))-3)))</f>
        <v/>
      </c>
    </row>
    <row r="61">
      <c r="A61" s="49" t="n"/>
      <c r="B61" s="50">
        <f>IF((COUNTA($A61)+COUNTA($C61:$K61)+COUNTA($N61:$O61))&gt;0,"Riesgo Financiero","")</f>
        <v/>
      </c>
      <c r="C61" s="51" t="n"/>
      <c r="D61" s="51" t="n"/>
      <c r="E61" s="52" t="n"/>
      <c r="F61" s="52" t="n"/>
      <c r="G61" s="53" t="n"/>
      <c r="H61" s="54" t="n"/>
      <c r="I61" s="54" t="n"/>
      <c r="J61" s="54" t="n"/>
      <c r="K61" s="54" t="n"/>
      <c r="L61" s="55">
        <f>IF(NOT((COUNTA($A61)+COUNTA($C61:$K61)+COUNTA($N61:$O61))&gt;0),"",IFERROR(LOOKUP(2,1/(H61:K61&lt;&gt;""),H61:K61),0))</f>
        <v/>
      </c>
      <c r="M61" s="56">
        <f>IF(L61="","",IF(L61&gt;=1,"Completado",IF(L61&gt;0,"En curso","Pendiente")))</f>
        <v/>
      </c>
      <c r="N61" s="52" t="n"/>
      <c r="O61" s="51" t="n"/>
      <c r="P61" s="57">
        <f>IF(NOT((COUNTA($A61)+COUNTA($C61:$K61)+COUNTA($N61:$O61))&gt;0),"",IF((IF(A61="","Falta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 OK","⚠ "&amp;LEFT(IF(A61="","Falta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",""),LEN(IF(A61="","Falta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",""))-3)))</f>
        <v/>
      </c>
    </row>
    <row r="62">
      <c r="A62" s="49" t="n"/>
      <c r="B62" s="50">
        <f>IF((COUNTA($A62)+COUNTA($C62:$K62)+COUNTA($N62:$O62))&gt;0,"Riesgo Financiero","")</f>
        <v/>
      </c>
      <c r="C62" s="51" t="n"/>
      <c r="D62" s="51" t="n"/>
      <c r="E62" s="52" t="n"/>
      <c r="F62" s="52" t="n"/>
      <c r="G62" s="53" t="n"/>
      <c r="H62" s="54" t="n"/>
      <c r="I62" s="54" t="n"/>
      <c r="J62" s="54" t="n"/>
      <c r="K62" s="54" t="n"/>
      <c r="L62" s="55">
        <f>IF(NOT((COUNTA($A62)+COUNTA($C62:$K62)+COUNTA($N62:$O62))&gt;0),"",IFERROR(LOOKUP(2,1/(H62:K62&lt;&gt;""),H62:K62),0))</f>
        <v/>
      </c>
      <c r="M62" s="56">
        <f>IF(L62="","",IF(L62&gt;=1,"Completado",IF(L62&gt;0,"En curso","Pendiente")))</f>
        <v/>
      </c>
      <c r="N62" s="52" t="n"/>
      <c r="O62" s="51" t="n"/>
      <c r="P62" s="57">
        <f>IF(NOT((COUNTA($A62)+COUNTA($C62:$K62)+COUNTA($N62:$O62))&gt;0),"",IF((IF(A62="","Falta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 OK","⚠ "&amp;LEFT(IF(A62="","Falta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",""),LEN(IF(A62="","Falta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",""))-3)))</f>
        <v/>
      </c>
    </row>
    <row r="63">
      <c r="A63" s="49" t="n"/>
      <c r="B63" s="50">
        <f>IF((COUNTA($A63)+COUNTA($C63:$K63)+COUNTA($N63:$O63))&gt;0,"Riesgo Financiero","")</f>
        <v/>
      </c>
      <c r="C63" s="51" t="n"/>
      <c r="D63" s="51" t="n"/>
      <c r="E63" s="52" t="n"/>
      <c r="F63" s="52" t="n"/>
      <c r="G63" s="53" t="n"/>
      <c r="H63" s="54" t="n"/>
      <c r="I63" s="54" t="n"/>
      <c r="J63" s="54" t="n"/>
      <c r="K63" s="54" t="n"/>
      <c r="L63" s="55">
        <f>IF(NOT((COUNTA($A63)+COUNTA($C63:$K63)+COUNTA($N63:$O63))&gt;0),"",IFERROR(LOOKUP(2,1/(H63:K63&lt;&gt;""),H63:K63),0))</f>
        <v/>
      </c>
      <c r="M63" s="56">
        <f>IF(L63="","",IF(L63&gt;=1,"Completado",IF(L63&gt;0,"En curso","Pendiente")))</f>
        <v/>
      </c>
      <c r="N63" s="52" t="n"/>
      <c r="O63" s="51" t="n"/>
      <c r="P63" s="57">
        <f>IF(NOT((COUNTA($A63)+COUNTA($C63:$K63)+COUNTA($N63:$O63))&gt;0),"",IF((IF(A63="","Falta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 OK","⚠ "&amp;LEFT(IF(A63="","Falta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",""),LEN(IF(A63="","Falta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",""))-3)))</f>
        <v/>
      </c>
    </row>
    <row r="64">
      <c r="A64" s="49" t="n"/>
      <c r="B64" s="50">
        <f>IF((COUNTA($A64)+COUNTA($C64:$K64)+COUNTA($N64:$O64))&gt;0,"Riesgo Financiero","")</f>
        <v/>
      </c>
      <c r="C64" s="51" t="n"/>
      <c r="D64" s="51" t="n"/>
      <c r="E64" s="52" t="n"/>
      <c r="F64" s="52" t="n"/>
      <c r="G64" s="53" t="n"/>
      <c r="H64" s="54" t="n"/>
      <c r="I64" s="54" t="n"/>
      <c r="J64" s="54" t="n"/>
      <c r="K64" s="54" t="n"/>
      <c r="L64" s="55">
        <f>IF(NOT((COUNTA($A64)+COUNTA($C64:$K64)+COUNTA($N64:$O64))&gt;0),"",IFERROR(LOOKUP(2,1/(H64:K64&lt;&gt;""),H64:K64),0))</f>
        <v/>
      </c>
      <c r="M64" s="56">
        <f>IF(L64="","",IF(L64&gt;=1,"Completado",IF(L64&gt;0,"En curso","Pendiente")))</f>
        <v/>
      </c>
      <c r="N64" s="52" t="n"/>
      <c r="O64" s="51" t="n"/>
      <c r="P64" s="57">
        <f>IF(NOT((COUNTA($A64)+COUNTA($C64:$K64)+COUNTA($N64:$O64))&gt;0),"",IF((IF(A64="","Falta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 OK","⚠ "&amp;LEFT(IF(A64="","Falta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",""),LEN(IF(A64="","Falta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",""))-3)))</f>
        <v/>
      </c>
    </row>
    <row r="65">
      <c r="A65" s="49" t="n"/>
      <c r="B65" s="50">
        <f>IF((COUNTA($A65)+COUNTA($C65:$K65)+COUNTA($N65:$O65))&gt;0,"Riesgo Financiero","")</f>
        <v/>
      </c>
      <c r="C65" s="51" t="n"/>
      <c r="D65" s="51" t="n"/>
      <c r="E65" s="52" t="n"/>
      <c r="F65" s="52" t="n"/>
      <c r="G65" s="53" t="n"/>
      <c r="H65" s="54" t="n"/>
      <c r="I65" s="54" t="n"/>
      <c r="J65" s="54" t="n"/>
      <c r="K65" s="54" t="n"/>
      <c r="L65" s="55">
        <f>IF(NOT((COUNTA($A65)+COUNTA($C65:$K65)+COUNTA($N65:$O65))&gt;0),"",IFERROR(LOOKUP(2,1/(H65:K65&lt;&gt;""),H65:K65),0))</f>
        <v/>
      </c>
      <c r="M65" s="56">
        <f>IF(L65="","",IF(L65&gt;=1,"Completado",IF(L65&gt;0,"En curso","Pendiente")))</f>
        <v/>
      </c>
      <c r="N65" s="52" t="n"/>
      <c r="O65" s="51" t="n"/>
      <c r="P65" s="57">
        <f>IF(NOT((COUNTA($A65)+COUNTA($C65:$K65)+COUNTA($N65:$O65))&gt;0),"",IF((IF(A65="","Falta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 OK","⚠ "&amp;LEFT(IF(A65="","Falta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",""),LEN(IF(A65="","Falta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",""))-3)))</f>
        <v/>
      </c>
    </row>
    <row r="66">
      <c r="A66" s="49" t="n"/>
      <c r="B66" s="50">
        <f>IF((COUNTA($A66)+COUNTA($C66:$K66)+COUNTA($N66:$O66))&gt;0,"Riesgo Financiero","")</f>
        <v/>
      </c>
      <c r="C66" s="51" t="n"/>
      <c r="D66" s="51" t="n"/>
      <c r="E66" s="52" t="n"/>
      <c r="F66" s="52" t="n"/>
      <c r="G66" s="53" t="n"/>
      <c r="H66" s="54" t="n"/>
      <c r="I66" s="54" t="n"/>
      <c r="J66" s="54" t="n"/>
      <c r="K66" s="54" t="n"/>
      <c r="L66" s="55">
        <f>IF(NOT((COUNTA($A66)+COUNTA($C66:$K66)+COUNTA($N66:$O66))&gt;0),"",IFERROR(LOOKUP(2,1/(H66:K66&lt;&gt;""),H66:K66),0))</f>
        <v/>
      </c>
      <c r="M66" s="56">
        <f>IF(L66="","",IF(L66&gt;=1,"Completado",IF(L66&gt;0,"En curso","Pendiente")))</f>
        <v/>
      </c>
      <c r="N66" s="52" t="n"/>
      <c r="O66" s="51" t="n"/>
      <c r="P66" s="57">
        <f>IF(NOT((COUNTA($A66)+COUNTA($C66:$K66)+COUNTA($N66:$O66))&gt;0),"",IF((IF(A66="","Falta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 OK","⚠ "&amp;LEFT(IF(A66="","Falta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",""),LEN(IF(A66="","Falta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",""))-3)))</f>
        <v/>
      </c>
    </row>
    <row r="67">
      <c r="A67" s="49" t="n"/>
      <c r="B67" s="50">
        <f>IF((COUNTA($A67)+COUNTA($C67:$K67)+COUNTA($N67:$O67))&gt;0,"Riesgo Financiero","")</f>
        <v/>
      </c>
      <c r="C67" s="51" t="n"/>
      <c r="D67" s="51" t="n"/>
      <c r="E67" s="52" t="n"/>
      <c r="F67" s="52" t="n"/>
      <c r="G67" s="53" t="n"/>
      <c r="H67" s="54" t="n"/>
      <c r="I67" s="54" t="n"/>
      <c r="J67" s="54" t="n"/>
      <c r="K67" s="54" t="n"/>
      <c r="L67" s="55">
        <f>IF(NOT((COUNTA($A67)+COUNTA($C67:$K67)+COUNTA($N67:$O67))&gt;0),"",IFERROR(LOOKUP(2,1/(H67:K67&lt;&gt;""),H67:K67),0))</f>
        <v/>
      </c>
      <c r="M67" s="56">
        <f>IF(L67="","",IF(L67&gt;=1,"Completado",IF(L67&gt;0,"En curso","Pendiente")))</f>
        <v/>
      </c>
      <c r="N67" s="52" t="n"/>
      <c r="O67" s="51" t="n"/>
      <c r="P67" s="57">
        <f>IF(NOT((COUNTA($A67)+COUNTA($C67:$K67)+COUNTA($N67:$O67))&gt;0),"",IF((IF(A67="","Falta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 OK","⚠ "&amp;LEFT(IF(A67="","Falta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",""),LEN(IF(A67="","Falta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",""))-3)))</f>
        <v/>
      </c>
    </row>
    <row r="68">
      <c r="A68" s="49" t="n"/>
      <c r="B68" s="50">
        <f>IF((COUNTA($A68)+COUNTA($C68:$K68)+COUNTA($N68:$O68))&gt;0,"Riesgo Financiero","")</f>
        <v/>
      </c>
      <c r="C68" s="51" t="n"/>
      <c r="D68" s="51" t="n"/>
      <c r="E68" s="52" t="n"/>
      <c r="F68" s="52" t="n"/>
      <c r="G68" s="53" t="n"/>
      <c r="H68" s="54" t="n"/>
      <c r="I68" s="54" t="n"/>
      <c r="J68" s="54" t="n"/>
      <c r="K68" s="54" t="n"/>
      <c r="L68" s="55">
        <f>IF(NOT((COUNTA($A68)+COUNTA($C68:$K68)+COUNTA($N68:$O68))&gt;0),"",IFERROR(LOOKUP(2,1/(H68:K68&lt;&gt;""),H68:K68),0))</f>
        <v/>
      </c>
      <c r="M68" s="56">
        <f>IF(L68="","",IF(L68&gt;=1,"Completado",IF(L68&gt;0,"En curso","Pendiente")))</f>
        <v/>
      </c>
      <c r="N68" s="52" t="n"/>
      <c r="O68" s="51" t="n"/>
      <c r="P68" s="57">
        <f>IF(NOT((COUNTA($A68)+COUNTA($C68:$K68)+COUNTA($N68:$O68))&gt;0),"",IF((IF(A68="","Falta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 OK","⚠ "&amp;LEFT(IF(A68="","Falta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",""),LEN(IF(A68="","Falta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",""))-3)))</f>
        <v/>
      </c>
    </row>
    <row r="69">
      <c r="A69" s="49" t="n"/>
      <c r="B69" s="50">
        <f>IF((COUNTA($A69)+COUNTA($C69:$K69)+COUNTA($N69:$O69))&gt;0,"Riesgo Financiero","")</f>
        <v/>
      </c>
      <c r="C69" s="51" t="n"/>
      <c r="D69" s="51" t="n"/>
      <c r="E69" s="52" t="n"/>
      <c r="F69" s="52" t="n"/>
      <c r="G69" s="53" t="n"/>
      <c r="H69" s="54" t="n"/>
      <c r="I69" s="54" t="n"/>
      <c r="J69" s="54" t="n"/>
      <c r="K69" s="54" t="n"/>
      <c r="L69" s="55">
        <f>IF(NOT((COUNTA($A69)+COUNTA($C69:$K69)+COUNTA($N69:$O69))&gt;0),"",IFERROR(LOOKUP(2,1/(H69:K69&lt;&gt;""),H69:K69),0))</f>
        <v/>
      </c>
      <c r="M69" s="56">
        <f>IF(L69="","",IF(L69&gt;=1,"Completado",IF(L69&gt;0,"En curso","Pendiente")))</f>
        <v/>
      </c>
      <c r="N69" s="52" t="n"/>
      <c r="O69" s="51" t="n"/>
      <c r="P69" s="57">
        <f>IF(NOT((COUNTA($A69)+COUNTA($C69:$K69)+COUNTA($N69:$O69))&gt;0),"",IF((IF(A69="","Falta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 OK","⚠ "&amp;LEFT(IF(A69="","Falta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",""),LEN(IF(A69="","Falta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",""))-3)))</f>
        <v/>
      </c>
    </row>
    <row r="70">
      <c r="A70" s="49" t="n"/>
      <c r="B70" s="50">
        <f>IF((COUNTA($A70)+COUNTA($C70:$K70)+COUNTA($N70:$O70))&gt;0,"Riesgo Financiero","")</f>
        <v/>
      </c>
      <c r="C70" s="51" t="n"/>
      <c r="D70" s="51" t="n"/>
      <c r="E70" s="52" t="n"/>
      <c r="F70" s="52" t="n"/>
      <c r="G70" s="53" t="n"/>
      <c r="H70" s="54" t="n"/>
      <c r="I70" s="54" t="n"/>
      <c r="J70" s="54" t="n"/>
      <c r="K70" s="54" t="n"/>
      <c r="L70" s="55">
        <f>IF(NOT((COUNTA($A70)+COUNTA($C70:$K70)+COUNTA($N70:$O70))&gt;0),"",IFERROR(LOOKUP(2,1/(H70:K70&lt;&gt;""),H70:K70),0))</f>
        <v/>
      </c>
      <c r="M70" s="56">
        <f>IF(L70="","",IF(L70&gt;=1,"Completado",IF(L70&gt;0,"En curso","Pendiente")))</f>
        <v/>
      </c>
      <c r="N70" s="52" t="n"/>
      <c r="O70" s="51" t="n"/>
      <c r="P70" s="57">
        <f>IF(NOT((COUNTA($A70)+COUNTA($C70:$K70)+COUNTA($N70:$O70))&gt;0),"",IF((IF(A70="","Falta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 OK","⚠ "&amp;LEFT(IF(A70="","Falta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",""),LEN(IF(A70="","Falta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",""))-3)))</f>
        <v/>
      </c>
    </row>
    <row r="71">
      <c r="A71" s="49" t="n"/>
      <c r="B71" s="50">
        <f>IF((COUNTA($A71)+COUNTA($C71:$K71)+COUNTA($N71:$O71))&gt;0,"Riesgo Financiero","")</f>
        <v/>
      </c>
      <c r="C71" s="51" t="n"/>
      <c r="D71" s="51" t="n"/>
      <c r="E71" s="52" t="n"/>
      <c r="F71" s="52" t="n"/>
      <c r="G71" s="53" t="n"/>
      <c r="H71" s="54" t="n"/>
      <c r="I71" s="54" t="n"/>
      <c r="J71" s="54" t="n"/>
      <c r="K71" s="54" t="n"/>
      <c r="L71" s="55">
        <f>IF(NOT((COUNTA($A71)+COUNTA($C71:$K71)+COUNTA($N71:$O71))&gt;0),"",IFERROR(LOOKUP(2,1/(H71:K71&lt;&gt;""),H71:K71),0))</f>
        <v/>
      </c>
      <c r="M71" s="56">
        <f>IF(L71="","",IF(L71&gt;=1,"Completado",IF(L71&gt;0,"En curso","Pendiente")))</f>
        <v/>
      </c>
      <c r="N71" s="52" t="n"/>
      <c r="O71" s="51" t="n"/>
      <c r="P71" s="57">
        <f>IF(NOT((COUNTA($A71)+COUNTA($C71:$K71)+COUNTA($N71:$O71))&gt;0),"",IF((IF(A71="","Falta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 OK","⚠ "&amp;LEFT(IF(A71="","Falta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",""),LEN(IF(A71="","Falta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",""))-3)))</f>
        <v/>
      </c>
    </row>
    <row r="72">
      <c r="A72" s="49" t="n"/>
      <c r="B72" s="50">
        <f>IF((COUNTA($A72)+COUNTA($C72:$K72)+COUNTA($N72:$O72))&gt;0,"Riesgo Financiero","")</f>
        <v/>
      </c>
      <c r="C72" s="51" t="n"/>
      <c r="D72" s="51" t="n"/>
      <c r="E72" s="52" t="n"/>
      <c r="F72" s="52" t="n"/>
      <c r="G72" s="53" t="n"/>
      <c r="H72" s="54" t="n"/>
      <c r="I72" s="54" t="n"/>
      <c r="J72" s="54" t="n"/>
      <c r="K72" s="54" t="n"/>
      <c r="L72" s="55">
        <f>IF(NOT((COUNTA($A72)+COUNTA($C72:$K72)+COUNTA($N72:$O72))&gt;0),"",IFERROR(LOOKUP(2,1/(H72:K72&lt;&gt;""),H72:K72),0))</f>
        <v/>
      </c>
      <c r="M72" s="56">
        <f>IF(L72="","",IF(L72&gt;=1,"Completado",IF(L72&gt;0,"En curso","Pendiente")))</f>
        <v/>
      </c>
      <c r="N72" s="52" t="n"/>
      <c r="O72" s="51" t="n"/>
      <c r="P72" s="57">
        <f>IF(NOT((COUNTA($A72)+COUNTA($C72:$K72)+COUNTA($N72:$O72))&gt;0),"",IF((IF(A72="","Falta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 OK","⚠ "&amp;LEFT(IF(A72="","Falta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",""),LEN(IF(A72="","Falta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",""))-3)))</f>
        <v/>
      </c>
    </row>
    <row r="73">
      <c r="A73" s="49" t="n"/>
      <c r="B73" s="50">
        <f>IF((COUNTA($A73)+COUNTA($C73:$K73)+COUNTA($N73:$O73))&gt;0,"Riesgo Financiero","")</f>
        <v/>
      </c>
      <c r="C73" s="51" t="n"/>
      <c r="D73" s="51" t="n"/>
      <c r="E73" s="52" t="n"/>
      <c r="F73" s="52" t="n"/>
      <c r="G73" s="53" t="n"/>
      <c r="H73" s="54" t="n"/>
      <c r="I73" s="54" t="n"/>
      <c r="J73" s="54" t="n"/>
      <c r="K73" s="54" t="n"/>
      <c r="L73" s="55">
        <f>IF(NOT((COUNTA($A73)+COUNTA($C73:$K73)+COUNTA($N73:$O73))&gt;0),"",IFERROR(LOOKUP(2,1/(H73:K73&lt;&gt;""),H73:K73),0))</f>
        <v/>
      </c>
      <c r="M73" s="56">
        <f>IF(L73="","",IF(L73&gt;=1,"Completado",IF(L73&gt;0,"En curso","Pendiente")))</f>
        <v/>
      </c>
      <c r="N73" s="52" t="n"/>
      <c r="O73" s="51" t="n"/>
      <c r="P73" s="57">
        <f>IF(NOT((COUNTA($A73)+COUNTA($C73:$K73)+COUNTA($N73:$O73))&gt;0),"",IF((IF(A73="","Falta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 OK","⚠ "&amp;LEFT(IF(A73="","Falta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",""),LEN(IF(A73="","Falta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",""))-3)))</f>
        <v/>
      </c>
    </row>
    <row r="74">
      <c r="A74" s="49" t="n"/>
      <c r="B74" s="50">
        <f>IF((COUNTA($A74)+COUNTA($C74:$K74)+COUNTA($N74:$O74))&gt;0,"Riesgo Financiero","")</f>
        <v/>
      </c>
      <c r="C74" s="51" t="n"/>
      <c r="D74" s="51" t="n"/>
      <c r="E74" s="52" t="n"/>
      <c r="F74" s="52" t="n"/>
      <c r="G74" s="53" t="n"/>
      <c r="H74" s="54" t="n"/>
      <c r="I74" s="54" t="n"/>
      <c r="J74" s="54" t="n"/>
      <c r="K74" s="54" t="n"/>
      <c r="L74" s="55">
        <f>IF(NOT((COUNTA($A74)+COUNTA($C74:$K74)+COUNTA($N74:$O74))&gt;0),"",IFERROR(LOOKUP(2,1/(H74:K74&lt;&gt;""),H74:K74),0))</f>
        <v/>
      </c>
      <c r="M74" s="56">
        <f>IF(L74="","",IF(L74&gt;=1,"Completado",IF(L74&gt;0,"En curso","Pendiente")))</f>
        <v/>
      </c>
      <c r="N74" s="52" t="n"/>
      <c r="O74" s="51" t="n"/>
      <c r="P74" s="57">
        <f>IF(NOT((COUNTA($A74)+COUNTA($C74:$K74)+COUNTA($N74:$O74))&gt;0),"",IF((IF(A74="","Falta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 OK","⚠ "&amp;LEFT(IF(A74="","Falta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",""),LEN(IF(A74="","Falta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",""))-3)))</f>
        <v/>
      </c>
    </row>
    <row r="75">
      <c r="A75" s="49" t="n"/>
      <c r="B75" s="50">
        <f>IF((COUNTA($A75)+COUNTA($C75:$K75)+COUNTA($N75:$O75))&gt;0,"Riesgo Financiero","")</f>
        <v/>
      </c>
      <c r="C75" s="51" t="n"/>
      <c r="D75" s="51" t="n"/>
      <c r="E75" s="52" t="n"/>
      <c r="F75" s="52" t="n"/>
      <c r="G75" s="53" t="n"/>
      <c r="H75" s="54" t="n"/>
      <c r="I75" s="54" t="n"/>
      <c r="J75" s="54" t="n"/>
      <c r="K75" s="54" t="n"/>
      <c r="L75" s="55">
        <f>IF(NOT((COUNTA($A75)+COUNTA($C75:$K75)+COUNTA($N75:$O75))&gt;0),"",IFERROR(LOOKUP(2,1/(H75:K75&lt;&gt;""),H75:K75),0))</f>
        <v/>
      </c>
      <c r="M75" s="56">
        <f>IF(L75="","",IF(L75&gt;=1,"Completado",IF(L75&gt;0,"En curso","Pendiente")))</f>
        <v/>
      </c>
      <c r="N75" s="52" t="n"/>
      <c r="O75" s="51" t="n"/>
      <c r="P75" s="57">
        <f>IF(NOT((COUNTA($A75)+COUNTA($C75:$K75)+COUNTA($N75:$O75))&gt;0),"",IF((IF(A75="","Falta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 OK","⚠ "&amp;LEFT(IF(A75="","Falta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",""),LEN(IF(A75="","Falta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",""))-3)))</f>
        <v/>
      </c>
    </row>
    <row r="76">
      <c r="A76" s="49" t="n"/>
      <c r="B76" s="50">
        <f>IF((COUNTA($A76)+COUNTA($C76:$K76)+COUNTA($N76:$O76))&gt;0,"Riesgo Financiero","")</f>
        <v/>
      </c>
      <c r="C76" s="51" t="n"/>
      <c r="D76" s="51" t="n"/>
      <c r="E76" s="52" t="n"/>
      <c r="F76" s="52" t="n"/>
      <c r="G76" s="53" t="n"/>
      <c r="H76" s="54" t="n"/>
      <c r="I76" s="54" t="n"/>
      <c r="J76" s="54" t="n"/>
      <c r="K76" s="54" t="n"/>
      <c r="L76" s="55">
        <f>IF(NOT((COUNTA($A76)+COUNTA($C76:$K76)+COUNTA($N76:$O76))&gt;0),"",IFERROR(LOOKUP(2,1/(H76:K76&lt;&gt;""),H76:K76),0))</f>
        <v/>
      </c>
      <c r="M76" s="56">
        <f>IF(L76="","",IF(L76&gt;=1,"Completado",IF(L76&gt;0,"En curso","Pendiente")))</f>
        <v/>
      </c>
      <c r="N76" s="52" t="n"/>
      <c r="O76" s="51" t="n"/>
      <c r="P76" s="57">
        <f>IF(NOT((COUNTA($A76)+COUNTA($C76:$K76)+COUNTA($N76:$O76))&gt;0),"",IF((IF(A76="","Falta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 OK","⚠ "&amp;LEFT(IF(A76="","Falta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",""),LEN(IF(A76="","Falta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",""))-3)))</f>
        <v/>
      </c>
    </row>
    <row r="77">
      <c r="A77" s="49" t="n"/>
      <c r="B77" s="50">
        <f>IF((COUNTA($A77)+COUNTA($C77:$K77)+COUNTA($N77:$O77))&gt;0,"Riesgo Financiero","")</f>
        <v/>
      </c>
      <c r="C77" s="51" t="n"/>
      <c r="D77" s="51" t="n"/>
      <c r="E77" s="52" t="n"/>
      <c r="F77" s="52" t="n"/>
      <c r="G77" s="53" t="n"/>
      <c r="H77" s="54" t="n"/>
      <c r="I77" s="54" t="n"/>
      <c r="J77" s="54" t="n"/>
      <c r="K77" s="54" t="n"/>
      <c r="L77" s="55">
        <f>IF(NOT((COUNTA($A77)+COUNTA($C77:$K77)+COUNTA($N77:$O77))&gt;0),"",IFERROR(LOOKUP(2,1/(H77:K77&lt;&gt;""),H77:K77),0))</f>
        <v/>
      </c>
      <c r="M77" s="56">
        <f>IF(L77="","",IF(L77&gt;=1,"Completado",IF(L77&gt;0,"En curso","Pendiente")))</f>
        <v/>
      </c>
      <c r="N77" s="52" t="n"/>
      <c r="O77" s="51" t="n"/>
      <c r="P77" s="57">
        <f>IF(NOT((COUNTA($A77)+COUNTA($C77:$K77)+COUNTA($N77:$O77))&gt;0),"",IF((IF(A77="","Falta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 OK","⚠ "&amp;LEFT(IF(A77="","Falta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",""),LEN(IF(A77="","Falta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",""))-3)))</f>
        <v/>
      </c>
    </row>
    <row r="78">
      <c r="A78" s="49" t="n"/>
      <c r="B78" s="50">
        <f>IF((COUNTA($A78)+COUNTA($C78:$K78)+COUNTA($N78:$O78))&gt;0,"Riesgo Financiero","")</f>
        <v/>
      </c>
      <c r="C78" s="51" t="n"/>
      <c r="D78" s="51" t="n"/>
      <c r="E78" s="52" t="n"/>
      <c r="F78" s="52" t="n"/>
      <c r="G78" s="53" t="n"/>
      <c r="H78" s="54" t="n"/>
      <c r="I78" s="54" t="n"/>
      <c r="J78" s="54" t="n"/>
      <c r="K78" s="54" t="n"/>
      <c r="L78" s="55">
        <f>IF(NOT((COUNTA($A78)+COUNTA($C78:$K78)+COUNTA($N78:$O78))&gt;0),"",IFERROR(LOOKUP(2,1/(H78:K78&lt;&gt;""),H78:K78),0))</f>
        <v/>
      </c>
      <c r="M78" s="56">
        <f>IF(L78="","",IF(L78&gt;=1,"Completado",IF(L78&gt;0,"En curso","Pendiente")))</f>
        <v/>
      </c>
      <c r="N78" s="52" t="n"/>
      <c r="O78" s="51" t="n"/>
      <c r="P78" s="57">
        <f>IF(NOT((COUNTA($A78)+COUNTA($C78:$K78)+COUNTA($N78:$O78))&gt;0),"",IF((IF(A78="","Falta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 OK","⚠ "&amp;LEFT(IF(A78="","Falta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",""),LEN(IF(A78="","Falta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",""))-3)))</f>
        <v/>
      </c>
    </row>
    <row r="79">
      <c r="A79" s="49" t="n"/>
      <c r="B79" s="50">
        <f>IF((COUNTA($A79)+COUNTA($C79:$K79)+COUNTA($N79:$O79))&gt;0,"Riesgo Financiero","")</f>
        <v/>
      </c>
      <c r="C79" s="51" t="n"/>
      <c r="D79" s="51" t="n"/>
      <c r="E79" s="52" t="n"/>
      <c r="F79" s="52" t="n"/>
      <c r="G79" s="53" t="n"/>
      <c r="H79" s="54" t="n"/>
      <c r="I79" s="54" t="n"/>
      <c r="J79" s="54" t="n"/>
      <c r="K79" s="54" t="n"/>
      <c r="L79" s="55">
        <f>IF(NOT((COUNTA($A79)+COUNTA($C79:$K79)+COUNTA($N79:$O79))&gt;0),"",IFERROR(LOOKUP(2,1/(H79:K79&lt;&gt;""),H79:K79),0))</f>
        <v/>
      </c>
      <c r="M79" s="56">
        <f>IF(L79="","",IF(L79&gt;=1,"Completado",IF(L79&gt;0,"En curso","Pendiente")))</f>
        <v/>
      </c>
      <c r="N79" s="52" t="n"/>
      <c r="O79" s="51" t="n"/>
      <c r="P79" s="57">
        <f>IF(NOT((COUNTA($A79)+COUNTA($C79:$K79)+COUNTA($N79:$O79))&gt;0),"",IF((IF(A79="","Falta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 OK","⚠ "&amp;LEFT(IF(A79="","Falta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",""),LEN(IF(A79="","Falta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",""))-3)))</f>
        <v/>
      </c>
    </row>
    <row r="80">
      <c r="A80" s="49" t="n"/>
      <c r="B80" s="50">
        <f>IF((COUNTA($A80)+COUNTA($C80:$K80)+COUNTA($N80:$O80))&gt;0,"Riesgo Financiero","")</f>
        <v/>
      </c>
      <c r="C80" s="51" t="n"/>
      <c r="D80" s="51" t="n"/>
      <c r="E80" s="52" t="n"/>
      <c r="F80" s="52" t="n"/>
      <c r="G80" s="53" t="n"/>
      <c r="H80" s="54" t="n"/>
      <c r="I80" s="54" t="n"/>
      <c r="J80" s="54" t="n"/>
      <c r="K80" s="54" t="n"/>
      <c r="L80" s="55">
        <f>IF(NOT((COUNTA($A80)+COUNTA($C80:$K80)+COUNTA($N80:$O80))&gt;0),"",IFERROR(LOOKUP(2,1/(H80:K80&lt;&gt;""),H80:K80),0))</f>
        <v/>
      </c>
      <c r="M80" s="56">
        <f>IF(L80="","",IF(L80&gt;=1,"Completado",IF(L80&gt;0,"En curso","Pendiente")))</f>
        <v/>
      </c>
      <c r="N80" s="52" t="n"/>
      <c r="O80" s="51" t="n"/>
      <c r="P80" s="57">
        <f>IF(NOT((COUNTA($A80)+COUNTA($C80:$K80)+COUNTA($N80:$O80))&gt;0),"",IF((IF(A80="","Falta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 OK","⚠ "&amp;LEFT(IF(A80="","Falta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",""),LEN(IF(A80="","Falta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",""))-3)))</f>
        <v/>
      </c>
    </row>
    <row r="81">
      <c r="A81" s="49" t="n"/>
      <c r="B81" s="50">
        <f>IF((COUNTA($A81)+COUNTA($C81:$K81)+COUNTA($N81:$O81))&gt;0,"Riesgo Financiero","")</f>
        <v/>
      </c>
      <c r="C81" s="51" t="n"/>
      <c r="D81" s="51" t="n"/>
      <c r="E81" s="52" t="n"/>
      <c r="F81" s="52" t="n"/>
      <c r="G81" s="53" t="n"/>
      <c r="H81" s="54" t="n"/>
      <c r="I81" s="54" t="n"/>
      <c r="J81" s="54" t="n"/>
      <c r="K81" s="54" t="n"/>
      <c r="L81" s="55">
        <f>IF(NOT((COUNTA($A81)+COUNTA($C81:$K81)+COUNTA($N81:$O81))&gt;0),"",IFERROR(LOOKUP(2,1/(H81:K81&lt;&gt;""),H81:K81),0))</f>
        <v/>
      </c>
      <c r="M81" s="56">
        <f>IF(L81="","",IF(L81&gt;=1,"Completado",IF(L81&gt;0,"En curso","Pendiente")))</f>
        <v/>
      </c>
      <c r="N81" s="52" t="n"/>
      <c r="O81" s="51" t="n"/>
      <c r="P81" s="57">
        <f>IF(NOT((COUNTA($A81)+COUNTA($C81:$K81)+COUNTA($N81:$O81))&gt;0),"",IF((IF(A81="","Falta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 OK","⚠ "&amp;LEFT(IF(A81="","Falta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",""),LEN(IF(A81="","Falta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",""))-3)))</f>
        <v/>
      </c>
    </row>
    <row r="82">
      <c r="A82" s="49" t="n"/>
      <c r="B82" s="50">
        <f>IF((COUNTA($A82)+COUNTA($C82:$K82)+COUNTA($N82:$O82))&gt;0,"Riesgo Financiero","")</f>
        <v/>
      </c>
      <c r="C82" s="51" t="n"/>
      <c r="D82" s="51" t="n"/>
      <c r="E82" s="52" t="n"/>
      <c r="F82" s="52" t="n"/>
      <c r="G82" s="53" t="n"/>
      <c r="H82" s="54" t="n"/>
      <c r="I82" s="54" t="n"/>
      <c r="J82" s="54" t="n"/>
      <c r="K82" s="54" t="n"/>
      <c r="L82" s="55">
        <f>IF(NOT((COUNTA($A82)+COUNTA($C82:$K82)+COUNTA($N82:$O82))&gt;0),"",IFERROR(LOOKUP(2,1/(H82:K82&lt;&gt;""),H82:K82),0))</f>
        <v/>
      </c>
      <c r="M82" s="56">
        <f>IF(L82="","",IF(L82&gt;=1,"Completado",IF(L82&gt;0,"En curso","Pendiente")))</f>
        <v/>
      </c>
      <c r="N82" s="52" t="n"/>
      <c r="O82" s="51" t="n"/>
      <c r="P82" s="57">
        <f>IF(NOT((COUNTA($A82)+COUNTA($C82:$K82)+COUNTA($N82:$O82))&gt;0),"",IF((IF(A82="","Falta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 OK","⚠ "&amp;LEFT(IF(A82="","Falta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",""),LEN(IF(A82="","Falta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",""))-3)))</f>
        <v/>
      </c>
    </row>
    <row r="83">
      <c r="A83" s="49" t="n"/>
      <c r="B83" s="50">
        <f>IF((COUNTA($A83)+COUNTA($C83:$K83)+COUNTA($N83:$O83))&gt;0,"Riesgo Financiero","")</f>
        <v/>
      </c>
      <c r="C83" s="51" t="n"/>
      <c r="D83" s="51" t="n"/>
      <c r="E83" s="52" t="n"/>
      <c r="F83" s="52" t="n"/>
      <c r="G83" s="53" t="n"/>
      <c r="H83" s="54" t="n"/>
      <c r="I83" s="54" t="n"/>
      <c r="J83" s="54" t="n"/>
      <c r="K83" s="54" t="n"/>
      <c r="L83" s="55">
        <f>IF(NOT((COUNTA($A83)+COUNTA($C83:$K83)+COUNTA($N83:$O83))&gt;0),"",IFERROR(LOOKUP(2,1/(H83:K83&lt;&gt;""),H83:K83),0))</f>
        <v/>
      </c>
      <c r="M83" s="56">
        <f>IF(L83="","",IF(L83&gt;=1,"Completado",IF(L83&gt;0,"En curso","Pendiente")))</f>
        <v/>
      </c>
      <c r="N83" s="52" t="n"/>
      <c r="O83" s="51" t="n"/>
      <c r="P83" s="57">
        <f>IF(NOT((COUNTA($A83)+COUNTA($C83:$K83)+COUNTA($N83:$O83))&gt;0),"",IF((IF(A83="","Falta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 OK","⚠ "&amp;LEFT(IF(A83="","Falta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",""),LEN(IF(A83="","Falta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",""))-3)))</f>
        <v/>
      </c>
    </row>
    <row r="84">
      <c r="A84" s="49" t="n"/>
      <c r="B84" s="50">
        <f>IF((COUNTA($A84)+COUNTA($C84:$K84)+COUNTA($N84:$O84))&gt;0,"Riesgo Financiero","")</f>
        <v/>
      </c>
      <c r="C84" s="51" t="n"/>
      <c r="D84" s="51" t="n"/>
      <c r="E84" s="52" t="n"/>
      <c r="F84" s="52" t="n"/>
      <c r="G84" s="53" t="n"/>
      <c r="H84" s="54" t="n"/>
      <c r="I84" s="54" t="n"/>
      <c r="J84" s="54" t="n"/>
      <c r="K84" s="54" t="n"/>
      <c r="L84" s="55">
        <f>IF(NOT((COUNTA($A84)+COUNTA($C84:$K84)+COUNTA($N84:$O84))&gt;0),"",IFERROR(LOOKUP(2,1/(H84:K84&lt;&gt;""),H84:K84),0))</f>
        <v/>
      </c>
      <c r="M84" s="56">
        <f>IF(L84="","",IF(L84&gt;=1,"Completado",IF(L84&gt;0,"En curso","Pendiente")))</f>
        <v/>
      </c>
      <c r="N84" s="52" t="n"/>
      <c r="O84" s="51" t="n"/>
      <c r="P84" s="57">
        <f>IF(NOT((COUNTA($A84)+COUNTA($C84:$K84)+COUNTA($N84:$O84))&gt;0),"",IF((IF(A84="","Falta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 OK","⚠ "&amp;LEFT(IF(A84="","Falta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",""),LEN(IF(A84="","Falta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",""))-3)))</f>
        <v/>
      </c>
    </row>
    <row r="85">
      <c r="A85" s="49" t="n"/>
      <c r="B85" s="50">
        <f>IF((COUNTA($A85)+COUNTA($C85:$K85)+COUNTA($N85:$O85))&gt;0,"Riesgo Financiero","")</f>
        <v/>
      </c>
      <c r="C85" s="51" t="n"/>
      <c r="D85" s="51" t="n"/>
      <c r="E85" s="52" t="n"/>
      <c r="F85" s="52" t="n"/>
      <c r="G85" s="53" t="n"/>
      <c r="H85" s="54" t="n"/>
      <c r="I85" s="54" t="n"/>
      <c r="J85" s="54" t="n"/>
      <c r="K85" s="54" t="n"/>
      <c r="L85" s="55">
        <f>IF(NOT((COUNTA($A85)+COUNTA($C85:$K85)+COUNTA($N85:$O85))&gt;0),"",IFERROR(LOOKUP(2,1/(H85:K85&lt;&gt;""),H85:K85),0))</f>
        <v/>
      </c>
      <c r="M85" s="56">
        <f>IF(L85="","",IF(L85&gt;=1,"Completado",IF(L85&gt;0,"En curso","Pendiente")))</f>
        <v/>
      </c>
      <c r="N85" s="52" t="n"/>
      <c r="O85" s="51" t="n"/>
      <c r="P85" s="57">
        <f>IF(NOT((COUNTA($A85)+COUNTA($C85:$K85)+COUNTA($N85:$O85))&gt;0),"",IF((IF(A85="","Falta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 OK","⚠ "&amp;LEFT(IF(A85="","Falta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",""),LEN(IF(A85="","Falta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",""))-3)))</f>
        <v/>
      </c>
    </row>
    <row r="86">
      <c r="A86" s="49" t="n"/>
      <c r="B86" s="50">
        <f>IF((COUNTA($A86)+COUNTA($C86:$K86)+COUNTA($N86:$O86))&gt;0,"Riesgo Financiero","")</f>
        <v/>
      </c>
      <c r="C86" s="51" t="n"/>
      <c r="D86" s="51" t="n"/>
      <c r="E86" s="52" t="n"/>
      <c r="F86" s="52" t="n"/>
      <c r="G86" s="53" t="n"/>
      <c r="H86" s="54" t="n"/>
      <c r="I86" s="54" t="n"/>
      <c r="J86" s="54" t="n"/>
      <c r="K86" s="54" t="n"/>
      <c r="L86" s="55">
        <f>IF(NOT((COUNTA($A86)+COUNTA($C86:$K86)+COUNTA($N86:$O86))&gt;0),"",IFERROR(LOOKUP(2,1/(H86:K86&lt;&gt;""),H86:K86),0))</f>
        <v/>
      </c>
      <c r="M86" s="56">
        <f>IF(L86="","",IF(L86&gt;=1,"Completado",IF(L86&gt;0,"En curso","Pendiente")))</f>
        <v/>
      </c>
      <c r="N86" s="52" t="n"/>
      <c r="O86" s="51" t="n"/>
      <c r="P86" s="57">
        <f>IF(NOT((COUNTA($A86)+COUNTA($C86:$K86)+COUNTA($N86:$O86))&gt;0),"",IF((IF(A86="","Falta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 OK","⚠ "&amp;LEFT(IF(A86="","Falta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",""),LEN(IF(A86="","Falta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",""))-3)))</f>
        <v/>
      </c>
    </row>
    <row r="87">
      <c r="A87" s="49" t="n"/>
      <c r="B87" s="50">
        <f>IF((COUNTA($A87)+COUNTA($C87:$K87)+COUNTA($N87:$O87))&gt;0,"Riesgo Financiero","")</f>
        <v/>
      </c>
      <c r="C87" s="51" t="n"/>
      <c r="D87" s="51" t="n"/>
      <c r="E87" s="52" t="n"/>
      <c r="F87" s="52" t="n"/>
      <c r="G87" s="53" t="n"/>
      <c r="H87" s="54" t="n"/>
      <c r="I87" s="54" t="n"/>
      <c r="J87" s="54" t="n"/>
      <c r="K87" s="54" t="n"/>
      <c r="L87" s="55">
        <f>IF(NOT((COUNTA($A87)+COUNTA($C87:$K87)+COUNTA($N87:$O87))&gt;0),"",IFERROR(LOOKUP(2,1/(H87:K87&lt;&gt;""),H87:K87),0))</f>
        <v/>
      </c>
      <c r="M87" s="56">
        <f>IF(L87="","",IF(L87&gt;=1,"Completado",IF(L87&gt;0,"En curso","Pendiente")))</f>
        <v/>
      </c>
      <c r="N87" s="52" t="n"/>
      <c r="O87" s="51" t="n"/>
      <c r="P87" s="57">
        <f>IF(NOT((COUNTA($A87)+COUNTA($C87:$K87)+COUNTA($N87:$O87))&gt;0),"",IF((IF(A87="","Falta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 OK","⚠ "&amp;LEFT(IF(A87="","Falta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",""),LEN(IF(A87="","Falta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",""))-3)))</f>
        <v/>
      </c>
    </row>
    <row r="88">
      <c r="A88" s="49" t="n"/>
      <c r="B88" s="50">
        <f>IF((COUNTA($A88)+COUNTA($C88:$K88)+COUNTA($N88:$O88))&gt;0,"Riesgo Financiero","")</f>
        <v/>
      </c>
      <c r="C88" s="51" t="n"/>
      <c r="D88" s="51" t="n"/>
      <c r="E88" s="52" t="n"/>
      <c r="F88" s="52" t="n"/>
      <c r="G88" s="53" t="n"/>
      <c r="H88" s="54" t="n"/>
      <c r="I88" s="54" t="n"/>
      <c r="J88" s="54" t="n"/>
      <c r="K88" s="54" t="n"/>
      <c r="L88" s="55">
        <f>IF(NOT((COUNTA($A88)+COUNTA($C88:$K88)+COUNTA($N88:$O88))&gt;0),"",IFERROR(LOOKUP(2,1/(H88:K88&lt;&gt;""),H88:K88),0))</f>
        <v/>
      </c>
      <c r="M88" s="56">
        <f>IF(L88="","",IF(L88&gt;=1,"Completado",IF(L88&gt;0,"En curso","Pendiente")))</f>
        <v/>
      </c>
      <c r="N88" s="52" t="n"/>
      <c r="O88" s="51" t="n"/>
      <c r="P88" s="57">
        <f>IF(NOT((COUNTA($A88)+COUNTA($C88:$K88)+COUNTA($N88:$O88))&gt;0),"",IF((IF(A88="","Falta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 OK","⚠ "&amp;LEFT(IF(A88="","Falta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",""),LEN(IF(A88="","Falta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",""))-3)))</f>
        <v/>
      </c>
    </row>
    <row r="89">
      <c r="A89" s="49" t="n"/>
      <c r="B89" s="50">
        <f>IF((COUNTA($A89)+COUNTA($C89:$K89)+COUNTA($N89:$O89))&gt;0,"Riesgo Financiero","")</f>
        <v/>
      </c>
      <c r="C89" s="51" t="n"/>
      <c r="D89" s="51" t="n"/>
      <c r="E89" s="52" t="n"/>
      <c r="F89" s="52" t="n"/>
      <c r="G89" s="53" t="n"/>
      <c r="H89" s="54" t="n"/>
      <c r="I89" s="54" t="n"/>
      <c r="J89" s="54" t="n"/>
      <c r="K89" s="54" t="n"/>
      <c r="L89" s="55">
        <f>IF(NOT((COUNTA($A89)+COUNTA($C89:$K89)+COUNTA($N89:$O89))&gt;0),"",IFERROR(LOOKUP(2,1/(H89:K89&lt;&gt;""),H89:K89),0))</f>
        <v/>
      </c>
      <c r="M89" s="56">
        <f>IF(L89="","",IF(L89&gt;=1,"Completado",IF(L89&gt;0,"En curso","Pendiente")))</f>
        <v/>
      </c>
      <c r="N89" s="52" t="n"/>
      <c r="O89" s="51" t="n"/>
      <c r="P89" s="57">
        <f>IF(NOT((COUNTA($A89)+COUNTA($C89:$K89)+COUNTA($N89:$O89))&gt;0),"",IF((IF(A89="","Falta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 OK","⚠ "&amp;LEFT(IF(A89="","Falta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",""),LEN(IF(A89="","Falta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",""))-3)))</f>
        <v/>
      </c>
    </row>
    <row r="90">
      <c r="A90" s="49" t="n"/>
      <c r="B90" s="50">
        <f>IF((COUNTA($A90)+COUNTA($C90:$K90)+COUNTA($N90:$O90))&gt;0,"Riesgo Financiero","")</f>
        <v/>
      </c>
      <c r="C90" s="51" t="n"/>
      <c r="D90" s="51" t="n"/>
      <c r="E90" s="52" t="n"/>
      <c r="F90" s="52" t="n"/>
      <c r="G90" s="53" t="n"/>
      <c r="H90" s="54" t="n"/>
      <c r="I90" s="54" t="n"/>
      <c r="J90" s="54" t="n"/>
      <c r="K90" s="54" t="n"/>
      <c r="L90" s="55">
        <f>IF(NOT((COUNTA($A90)+COUNTA($C90:$K90)+COUNTA($N90:$O90))&gt;0),"",IFERROR(LOOKUP(2,1/(H90:K90&lt;&gt;""),H90:K90),0))</f>
        <v/>
      </c>
      <c r="M90" s="56">
        <f>IF(L90="","",IF(L90&gt;=1,"Completado",IF(L90&gt;0,"En curso","Pendiente")))</f>
        <v/>
      </c>
      <c r="N90" s="52" t="n"/>
      <c r="O90" s="51" t="n"/>
      <c r="P90" s="57">
        <f>IF(NOT((COUNTA($A90)+COUNTA($C90:$K90)+COUNTA($N90:$O90))&gt;0),"",IF((IF(A90="","Falta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 OK","⚠ "&amp;LEFT(IF(A90="","Falta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",""),LEN(IF(A90="","Falta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",""))-3)))</f>
        <v/>
      </c>
    </row>
    <row r="91">
      <c r="A91" s="49" t="n"/>
      <c r="B91" s="50">
        <f>IF((COUNTA($A91)+COUNTA($C91:$K91)+COUNTA($N91:$O91))&gt;0,"Riesgo Financiero","")</f>
        <v/>
      </c>
      <c r="C91" s="51" t="n"/>
      <c r="D91" s="51" t="n"/>
      <c r="E91" s="52" t="n"/>
      <c r="F91" s="52" t="n"/>
      <c r="G91" s="53" t="n"/>
      <c r="H91" s="54" t="n"/>
      <c r="I91" s="54" t="n"/>
      <c r="J91" s="54" t="n"/>
      <c r="K91" s="54" t="n"/>
      <c r="L91" s="55">
        <f>IF(NOT((COUNTA($A91)+COUNTA($C91:$K91)+COUNTA($N91:$O91))&gt;0),"",IFERROR(LOOKUP(2,1/(H91:K91&lt;&gt;""),H91:K91),0))</f>
        <v/>
      </c>
      <c r="M91" s="56">
        <f>IF(L91="","",IF(L91&gt;=1,"Completado",IF(L91&gt;0,"En curso","Pendiente")))</f>
        <v/>
      </c>
      <c r="N91" s="52" t="n"/>
      <c r="O91" s="51" t="n"/>
      <c r="P91" s="57">
        <f>IF(NOT((COUNTA($A91)+COUNTA($C91:$K91)+COUNTA($N91:$O91))&gt;0),"",IF((IF(A91="","Falta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 OK","⚠ "&amp;LEFT(IF(A91="","Falta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",""),LEN(IF(A91="","Falta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",""))-3)))</f>
        <v/>
      </c>
    </row>
    <row r="92">
      <c r="A92" s="49" t="n"/>
      <c r="B92" s="50">
        <f>IF((COUNTA($A92)+COUNTA($C92:$K92)+COUNTA($N92:$O92))&gt;0,"Riesgo Financiero","")</f>
        <v/>
      </c>
      <c r="C92" s="51" t="n"/>
      <c r="D92" s="51" t="n"/>
      <c r="E92" s="52" t="n"/>
      <c r="F92" s="52" t="n"/>
      <c r="G92" s="53" t="n"/>
      <c r="H92" s="54" t="n"/>
      <c r="I92" s="54" t="n"/>
      <c r="J92" s="54" t="n"/>
      <c r="K92" s="54" t="n"/>
      <c r="L92" s="55">
        <f>IF(NOT((COUNTA($A92)+COUNTA($C92:$K92)+COUNTA($N92:$O92))&gt;0),"",IFERROR(LOOKUP(2,1/(H92:K92&lt;&gt;""),H92:K92),0))</f>
        <v/>
      </c>
      <c r="M92" s="56">
        <f>IF(L92="","",IF(L92&gt;=1,"Completado",IF(L92&gt;0,"En curso","Pendiente")))</f>
        <v/>
      </c>
      <c r="N92" s="52" t="n"/>
      <c r="O92" s="51" t="n"/>
      <c r="P92" s="57">
        <f>IF(NOT((COUNTA($A92)+COUNTA($C92:$K92)+COUNTA($N92:$O92))&gt;0),"",IF((IF(A92="","Falta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 OK","⚠ "&amp;LEFT(IF(A92="","Falta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",""),LEN(IF(A92="","Falta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",""))-3)))</f>
        <v/>
      </c>
    </row>
    <row r="93">
      <c r="A93" s="49" t="n"/>
      <c r="B93" s="50">
        <f>IF((COUNTA($A93)+COUNTA($C93:$K93)+COUNTA($N93:$O93))&gt;0,"Riesgo Financiero","")</f>
        <v/>
      </c>
      <c r="C93" s="51" t="n"/>
      <c r="D93" s="51" t="n"/>
      <c r="E93" s="52" t="n"/>
      <c r="F93" s="52" t="n"/>
      <c r="G93" s="53" t="n"/>
      <c r="H93" s="54" t="n"/>
      <c r="I93" s="54" t="n"/>
      <c r="J93" s="54" t="n"/>
      <c r="K93" s="54" t="n"/>
      <c r="L93" s="55">
        <f>IF(NOT((COUNTA($A93)+COUNTA($C93:$K93)+COUNTA($N93:$O93))&gt;0),"",IFERROR(LOOKUP(2,1/(H93:K93&lt;&gt;""),H93:K93),0))</f>
        <v/>
      </c>
      <c r="M93" s="56">
        <f>IF(L93="","",IF(L93&gt;=1,"Completado",IF(L93&gt;0,"En curso","Pendiente")))</f>
        <v/>
      </c>
      <c r="N93" s="52" t="n"/>
      <c r="O93" s="51" t="n"/>
      <c r="P93" s="57">
        <f>IF(NOT((COUNTA($A93)+COUNTA($C93:$K93)+COUNTA($N93:$O93))&gt;0),"",IF((IF(A93="","Falta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 OK","⚠ "&amp;LEFT(IF(A93="","Falta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",""),LEN(IF(A93="","Falta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",""))-3)))</f>
        <v/>
      </c>
    </row>
    <row r="94">
      <c r="A94" s="49" t="n"/>
      <c r="B94" s="50">
        <f>IF((COUNTA($A94)+COUNTA($C94:$K94)+COUNTA($N94:$O94))&gt;0,"Riesgo Financiero","")</f>
        <v/>
      </c>
      <c r="C94" s="51" t="n"/>
      <c r="D94" s="51" t="n"/>
      <c r="E94" s="52" t="n"/>
      <c r="F94" s="52" t="n"/>
      <c r="G94" s="53" t="n"/>
      <c r="H94" s="54" t="n"/>
      <c r="I94" s="54" t="n"/>
      <c r="J94" s="54" t="n"/>
      <c r="K94" s="54" t="n"/>
      <c r="L94" s="55">
        <f>IF(NOT((COUNTA($A94)+COUNTA($C94:$K94)+COUNTA($N94:$O94))&gt;0),"",IFERROR(LOOKUP(2,1/(H94:K94&lt;&gt;""),H94:K94),0))</f>
        <v/>
      </c>
      <c r="M94" s="56">
        <f>IF(L94="","",IF(L94&gt;=1,"Completado",IF(L94&gt;0,"En curso","Pendiente")))</f>
        <v/>
      </c>
      <c r="N94" s="52" t="n"/>
      <c r="O94" s="51" t="n"/>
      <c r="P94" s="57">
        <f>IF(NOT((COUNTA($A94)+COUNTA($C94:$K94)+COUNTA($N94:$O94))&gt;0),"",IF((IF(A94="","Falta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 OK","⚠ "&amp;LEFT(IF(A94="","Falta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",""),LEN(IF(A94="","Falta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",""))-3)))</f>
        <v/>
      </c>
    </row>
    <row r="95">
      <c r="A95" s="49" t="n"/>
      <c r="B95" s="50">
        <f>IF((COUNTA($A95)+COUNTA($C95:$K95)+COUNTA($N95:$O95))&gt;0,"Riesgo Financiero","")</f>
        <v/>
      </c>
      <c r="C95" s="51" t="n"/>
      <c r="D95" s="51" t="n"/>
      <c r="E95" s="52" t="n"/>
      <c r="F95" s="52" t="n"/>
      <c r="G95" s="53" t="n"/>
      <c r="H95" s="54" t="n"/>
      <c r="I95" s="54" t="n"/>
      <c r="J95" s="54" t="n"/>
      <c r="K95" s="54" t="n"/>
      <c r="L95" s="55">
        <f>IF(NOT((COUNTA($A95)+COUNTA($C95:$K95)+COUNTA($N95:$O95))&gt;0),"",IFERROR(LOOKUP(2,1/(H95:K95&lt;&gt;""),H95:K95),0))</f>
        <v/>
      </c>
      <c r="M95" s="56">
        <f>IF(L95="","",IF(L95&gt;=1,"Completado",IF(L95&gt;0,"En curso","Pendiente")))</f>
        <v/>
      </c>
      <c r="N95" s="52" t="n"/>
      <c r="O95" s="51" t="n"/>
      <c r="P95" s="57">
        <f>IF(NOT((COUNTA($A95)+COUNTA($C95:$K95)+COUNTA($N95:$O95))&gt;0),"",IF((IF(A95="","Falta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 OK","⚠ "&amp;LEFT(IF(A95="","Falta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",""),LEN(IF(A95="","Falta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",""))-3)))</f>
        <v/>
      </c>
    </row>
    <row r="96">
      <c r="A96" s="49" t="n"/>
      <c r="B96" s="50">
        <f>IF((COUNTA($A96)+COUNTA($C96:$K96)+COUNTA($N96:$O96))&gt;0,"Riesgo Financiero","")</f>
        <v/>
      </c>
      <c r="C96" s="51" t="n"/>
      <c r="D96" s="51" t="n"/>
      <c r="E96" s="52" t="n"/>
      <c r="F96" s="52" t="n"/>
      <c r="G96" s="53" t="n"/>
      <c r="H96" s="54" t="n"/>
      <c r="I96" s="54" t="n"/>
      <c r="J96" s="54" t="n"/>
      <c r="K96" s="54" t="n"/>
      <c r="L96" s="55">
        <f>IF(NOT((COUNTA($A96)+COUNTA($C96:$K96)+COUNTA($N96:$O96))&gt;0),"",IFERROR(LOOKUP(2,1/(H96:K96&lt;&gt;""),H96:K96),0))</f>
        <v/>
      </c>
      <c r="M96" s="56">
        <f>IF(L96="","",IF(L96&gt;=1,"Completado",IF(L96&gt;0,"En curso","Pendiente")))</f>
        <v/>
      </c>
      <c r="N96" s="52" t="n"/>
      <c r="O96" s="51" t="n"/>
      <c r="P96" s="57">
        <f>IF(NOT((COUNTA($A96)+COUNTA($C96:$K96)+COUNTA($N96:$O96))&gt;0),"",IF((IF(A96="","Falta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 OK","⚠ "&amp;LEFT(IF(A96="","Falta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",""),LEN(IF(A96="","Falta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",""))-3)))</f>
        <v/>
      </c>
    </row>
    <row r="97">
      <c r="A97" s="49" t="n"/>
      <c r="B97" s="50">
        <f>IF((COUNTA($A97)+COUNTA($C97:$K97)+COUNTA($N97:$O97))&gt;0,"Riesgo Financiero","")</f>
        <v/>
      </c>
      <c r="C97" s="51" t="n"/>
      <c r="D97" s="51" t="n"/>
      <c r="E97" s="52" t="n"/>
      <c r="F97" s="52" t="n"/>
      <c r="G97" s="53" t="n"/>
      <c r="H97" s="54" t="n"/>
      <c r="I97" s="54" t="n"/>
      <c r="J97" s="54" t="n"/>
      <c r="K97" s="54" t="n"/>
      <c r="L97" s="55">
        <f>IF(NOT((COUNTA($A97)+COUNTA($C97:$K97)+COUNTA($N97:$O97))&gt;0),"",IFERROR(LOOKUP(2,1/(H97:K97&lt;&gt;""),H97:K97),0))</f>
        <v/>
      </c>
      <c r="M97" s="56">
        <f>IF(L97="","",IF(L97&gt;=1,"Completado",IF(L97&gt;0,"En curso","Pendiente")))</f>
        <v/>
      </c>
      <c r="N97" s="52" t="n"/>
      <c r="O97" s="51" t="n"/>
      <c r="P97" s="57">
        <f>IF(NOT((COUNTA($A97)+COUNTA($C97:$K97)+COUNTA($N97:$O97))&gt;0),"",IF((IF(A97="","Falta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 OK","⚠ "&amp;LEFT(IF(A97="","Falta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",""),LEN(IF(A97="","Falta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",""))-3)))</f>
        <v/>
      </c>
    </row>
    <row r="98">
      <c r="A98" s="49" t="n"/>
      <c r="B98" s="50">
        <f>IF((COUNTA($A98)+COUNTA($C98:$K98)+COUNTA($N98:$O98))&gt;0,"Riesgo Financiero","")</f>
        <v/>
      </c>
      <c r="C98" s="51" t="n"/>
      <c r="D98" s="51" t="n"/>
      <c r="E98" s="52" t="n"/>
      <c r="F98" s="52" t="n"/>
      <c r="G98" s="53" t="n"/>
      <c r="H98" s="54" t="n"/>
      <c r="I98" s="54" t="n"/>
      <c r="J98" s="54" t="n"/>
      <c r="K98" s="54" t="n"/>
      <c r="L98" s="55">
        <f>IF(NOT((COUNTA($A98)+COUNTA($C98:$K98)+COUNTA($N98:$O98))&gt;0),"",IFERROR(LOOKUP(2,1/(H98:K98&lt;&gt;""),H98:K98),0))</f>
        <v/>
      </c>
      <c r="M98" s="56">
        <f>IF(L98="","",IF(L98&gt;=1,"Completado",IF(L98&gt;0,"En curso","Pendiente")))</f>
        <v/>
      </c>
      <c r="N98" s="52" t="n"/>
      <c r="O98" s="51" t="n"/>
      <c r="P98" s="57">
        <f>IF(NOT((COUNTA($A98)+COUNTA($C98:$K98)+COUNTA($N98:$O98))&gt;0),"",IF((IF(A98="","Falta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 OK","⚠ "&amp;LEFT(IF(A98="","Falta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",""),LEN(IF(A98="","Falta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",""))-3)))</f>
        <v/>
      </c>
    </row>
    <row r="99">
      <c r="A99" s="49" t="n"/>
      <c r="B99" s="50">
        <f>IF((COUNTA($A99)+COUNTA($C99:$K99)+COUNTA($N99:$O99))&gt;0,"Riesgo Financiero","")</f>
        <v/>
      </c>
      <c r="C99" s="51" t="n"/>
      <c r="D99" s="51" t="n"/>
      <c r="E99" s="52" t="n"/>
      <c r="F99" s="52" t="n"/>
      <c r="G99" s="53" t="n"/>
      <c r="H99" s="54" t="n"/>
      <c r="I99" s="54" t="n"/>
      <c r="J99" s="54" t="n"/>
      <c r="K99" s="54" t="n"/>
      <c r="L99" s="55">
        <f>IF(NOT((COUNTA($A99)+COUNTA($C99:$K99)+COUNTA($N99:$O99))&gt;0),"",IFERROR(LOOKUP(2,1/(H99:K99&lt;&gt;""),H99:K99),0))</f>
        <v/>
      </c>
      <c r="M99" s="56">
        <f>IF(L99="","",IF(L99&gt;=1,"Completado",IF(L99&gt;0,"En curso","Pendiente")))</f>
        <v/>
      </c>
      <c r="N99" s="52" t="n"/>
      <c r="O99" s="51" t="n"/>
      <c r="P99" s="57">
        <f>IF(NOT((COUNTA($A99)+COUNTA($C99:$K99)+COUNTA($N99:$O99))&gt;0),"",IF((IF(A99="","Falta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 OK","⚠ "&amp;LEFT(IF(A99="","Falta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",""),LEN(IF(A99="","Falta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",""))-3)))</f>
        <v/>
      </c>
    </row>
    <row r="100">
      <c r="A100" s="49" t="n"/>
      <c r="B100" s="50">
        <f>IF((COUNTA($A100)+COUNTA($C100:$K100)+COUNTA($N100:$O100))&gt;0,"Riesgo Financiero","")</f>
        <v/>
      </c>
      <c r="C100" s="51" t="n"/>
      <c r="D100" s="51" t="n"/>
      <c r="E100" s="52" t="n"/>
      <c r="F100" s="52" t="n"/>
      <c r="G100" s="53" t="n"/>
      <c r="H100" s="54" t="n"/>
      <c r="I100" s="54" t="n"/>
      <c r="J100" s="54" t="n"/>
      <c r="K100" s="54" t="n"/>
      <c r="L100" s="55">
        <f>IF(NOT((COUNTA($A100)+COUNTA($C100:$K100)+COUNTA($N100:$O100))&gt;0),"",IFERROR(LOOKUP(2,1/(H100:K100&lt;&gt;""),H100:K100),0))</f>
        <v/>
      </c>
      <c r="M100" s="56">
        <f>IF(L100="","",IF(L100&gt;=1,"Completado",IF(L100&gt;0,"En curso","Pendiente")))</f>
        <v/>
      </c>
      <c r="N100" s="52" t="n"/>
      <c r="O100" s="51" t="n"/>
      <c r="P100" s="57">
        <f>IF(NOT((COUNTA($A100)+COUNTA($C100:$K100)+COUNTA($N100:$O100))&gt;0),"",IF((IF(A100="","Falta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 OK","⚠ "&amp;LEFT(IF(A100="","Falta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",""),LEN(IF(A100="","Falta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",""))-3)))</f>
        <v/>
      </c>
    </row>
    <row r="101">
      <c r="A101" s="49" t="n"/>
      <c r="B101" s="50">
        <f>IF((COUNTA($A101)+COUNTA($C101:$K101)+COUNTA($N101:$O101))&gt;0,"Riesgo Financiero","")</f>
        <v/>
      </c>
      <c r="C101" s="51" t="n"/>
      <c r="D101" s="51" t="n"/>
      <c r="E101" s="52" t="n"/>
      <c r="F101" s="52" t="n"/>
      <c r="G101" s="53" t="n"/>
      <c r="H101" s="54" t="n"/>
      <c r="I101" s="54" t="n"/>
      <c r="J101" s="54" t="n"/>
      <c r="K101" s="54" t="n"/>
      <c r="L101" s="55">
        <f>IF(NOT((COUNTA($A101)+COUNTA($C101:$K101)+COUNTA($N101:$O101))&gt;0),"",IFERROR(LOOKUP(2,1/(H101:K101&lt;&gt;""),H101:K101),0))</f>
        <v/>
      </c>
      <c r="M101" s="56">
        <f>IF(L101="","",IF(L101&gt;=1,"Completado",IF(L101&gt;0,"En curso","Pendiente")))</f>
        <v/>
      </c>
      <c r="N101" s="52" t="n"/>
      <c r="O101" s="51" t="n"/>
      <c r="P101" s="57">
        <f>IF(NOT((COUNTA($A101)+COUNTA($C101:$K101)+COUNTA($N101:$O101))&gt;0),"",IF((IF(A101="","Falta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 OK","⚠ "&amp;LEFT(IF(A101="","Falta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",""),LEN(IF(A101="","Falta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",""))-3)))</f>
        <v/>
      </c>
    </row>
    <row r="102">
      <c r="A102" s="49" t="n"/>
      <c r="B102" s="50">
        <f>IF((COUNTA($A102)+COUNTA($C102:$K102)+COUNTA($N102:$O102))&gt;0,"Riesgo Financiero","")</f>
        <v/>
      </c>
      <c r="C102" s="51" t="n"/>
      <c r="D102" s="51" t="n"/>
      <c r="E102" s="52" t="n"/>
      <c r="F102" s="52" t="n"/>
      <c r="G102" s="53" t="n"/>
      <c r="H102" s="54" t="n"/>
      <c r="I102" s="54" t="n"/>
      <c r="J102" s="54" t="n"/>
      <c r="K102" s="54" t="n"/>
      <c r="L102" s="55">
        <f>IF(NOT((COUNTA($A102)+COUNTA($C102:$K102)+COUNTA($N102:$O102))&gt;0),"",IFERROR(LOOKUP(2,1/(H102:K102&lt;&gt;""),H102:K102),0))</f>
        <v/>
      </c>
      <c r="M102" s="56">
        <f>IF(L102="","",IF(L102&gt;=1,"Completado",IF(L102&gt;0,"En curso","Pendiente")))</f>
        <v/>
      </c>
      <c r="N102" s="52" t="n"/>
      <c r="O102" s="51" t="n"/>
      <c r="P102" s="57">
        <f>IF(NOT((COUNTA($A102)+COUNTA($C102:$K102)+COUNTA($N102:$O102))&gt;0),"",IF((IF(A102="","Falta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 OK","⚠ "&amp;LEFT(IF(A102="","Falta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",""),LEN(IF(A102="","Falta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",""))-3)))</f>
        <v/>
      </c>
    </row>
    <row r="103">
      <c r="A103" s="49" t="n"/>
      <c r="B103" s="50">
        <f>IF((COUNTA($A103)+COUNTA($C103:$K103)+COUNTA($N103:$O103))&gt;0,"Riesgo Financiero","")</f>
        <v/>
      </c>
      <c r="C103" s="51" t="n"/>
      <c r="D103" s="51" t="n"/>
      <c r="E103" s="52" t="n"/>
      <c r="F103" s="52" t="n"/>
      <c r="G103" s="53" t="n"/>
      <c r="H103" s="54" t="n"/>
      <c r="I103" s="54" t="n"/>
      <c r="J103" s="54" t="n"/>
      <c r="K103" s="54" t="n"/>
      <c r="L103" s="55">
        <f>IF(NOT((COUNTA($A103)+COUNTA($C103:$K103)+COUNTA($N103:$O103))&gt;0),"",IFERROR(LOOKUP(2,1/(H103:K103&lt;&gt;""),H103:K103),0))</f>
        <v/>
      </c>
      <c r="M103" s="56">
        <f>IF(L103="","",IF(L103&gt;=1,"Completado",IF(L103&gt;0,"En curso","Pendiente")))</f>
        <v/>
      </c>
      <c r="N103" s="52" t="n"/>
      <c r="O103" s="51" t="n"/>
      <c r="P103" s="57">
        <f>IF(NOT((COUNTA($A103)+COUNTA($C103:$K103)+COUNTA($N103:$O103))&gt;0),"",IF((IF(A103="","Falta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 OK","⚠ "&amp;LEFT(IF(A103="","Falta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",""),LEN(IF(A103="","Falta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",""))-3)))</f>
        <v/>
      </c>
    </row>
    <row r="104">
      <c r="A104" s="49" t="n"/>
      <c r="B104" s="50">
        <f>IF((COUNTA($A104)+COUNTA($C104:$K104)+COUNTA($N104:$O104))&gt;0,"Riesgo Financiero","")</f>
        <v/>
      </c>
      <c r="C104" s="51" t="n"/>
      <c r="D104" s="51" t="n"/>
      <c r="E104" s="52" t="n"/>
      <c r="F104" s="52" t="n"/>
      <c r="G104" s="53" t="n"/>
      <c r="H104" s="54" t="n"/>
      <c r="I104" s="54" t="n"/>
      <c r="J104" s="54" t="n"/>
      <c r="K104" s="54" t="n"/>
      <c r="L104" s="55">
        <f>IF(NOT((COUNTA($A104)+COUNTA($C104:$K104)+COUNTA($N104:$O104))&gt;0),"",IFERROR(LOOKUP(2,1/(H104:K104&lt;&gt;""),H104:K104),0))</f>
        <v/>
      </c>
      <c r="M104" s="56">
        <f>IF(L104="","",IF(L104&gt;=1,"Completado",IF(L104&gt;0,"En curso","Pendiente")))</f>
        <v/>
      </c>
      <c r="N104" s="52" t="n"/>
      <c r="O104" s="51" t="n"/>
      <c r="P104" s="57">
        <f>IF(NOT((COUNTA($A104)+COUNTA($C104:$K104)+COUNTA($N104:$O104))&gt;0),"",IF((IF(A104="","Falta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 OK","⚠ "&amp;LEFT(IF(A104="","Falta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",""),LEN(IF(A104="","Falta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",""))-3)))</f>
        <v/>
      </c>
    </row>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conditionalFormatting sqref="E3">
    <cfRule type="expression" priority="1" dxfId="1">
      <formula>LEFT($E$3,1)="⚠"</formula>
    </cfRule>
    <cfRule type="expression" priority="2" dxfId="0">
      <formula>LEFT($E$3,1)="✔"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A5:A1000">
    <cfRule type="expression" priority="10" dxfId="6" stopIfTrue="1">
      <formula>AND($A5&lt;&gt;"",(COUNTIF('Cronograma R. Operacional'!$A$5:$A$1000,$A5)+COUNTIF('Cronograma R. Legal y Normativo'!$A$5:$A$1000,$A5)+COUNTIF('Cronograma R. Financiero'!$A$5:$A$1000,$A5)+COUNTIF('Cronograma Asistente Técnico'!$A$5:$A$1000,$A5))&gt;1)</formula>
    </cfRule>
    <cfRule type="expression" priority="11" dxfId="5">
      <formula>AND((COUNTA($A5)+COUNTA($C5:$K5)+COUNTA($N5:$O5))&gt;0,A5="")</formula>
    </cfRule>
  </conditionalFormatting>
  <conditionalFormatting sqref="C5:G1000">
    <cfRule type="expression" priority="12" dxfId="5">
      <formula>AND((COUNTA($A5)+COUNTA($C5:$K5)+COUNTA($N5:$O5))&gt;0,C5="")</formula>
    </cfRule>
  </conditionalFormatting>
  <conditionalFormatting sqref="E5:F1000">
    <cfRule type="expression" priority="13" dxfId="6">
      <formula>AND(ISNUMBER($E5),ISNUMBER($F5),$E5&gt;$F5)</formula>
    </cfRule>
  </conditionalFormatting>
  <conditionalFormatting sqref="G5:G1000">
    <cfRule type="expression" priority="14" dxfId="7">
      <formula>AND((COUNTA($A5)+COUNTA($C5:$K5)+COUNTA($N5:$O5))&gt;0,ABS(SUM($G$5:$G$1000)-1)&gt;0.0001)</formula>
    </cfRule>
  </conditionalFormatting>
  <conditionalFormatting sqref="H5:K1000">
    <cfRule type="expression" priority="15" dxfId="5" stopIfTrue="1">
      <formula>AND(H5&lt;&gt;"",OR(NOT(ISNUMBER(H5)),H5&gt;1,H5&lt;0))</formula>
    </cfRule>
  </conditionalFormatting>
  <conditionalFormatting sqref="I5:K1000">
    <cfRule type="expression" priority="16" dxfId="6">
      <formula>AND(I5&lt;&gt;"",I5&lt;MAX($H5:H5))</formula>
    </cfRule>
  </conditionalFormatting>
  <conditionalFormatting sqref="O5:O1000">
    <cfRule type="expression" priority="17" dxfId="5">
      <formula>AND(EvidenciaObligatoria="Sí",N($L5)&gt;=1,$O5="")</formula>
    </cfRule>
  </conditionalFormatting>
  <conditionalFormatting sqref="P5:P1000">
    <cfRule type="expression" priority="18" dxfId="5">
      <formula>LEFT($P5,1)="⚠"</formula>
    </cfRule>
    <cfRule type="expression" priority="19" dxfId="8">
      <formula>LEFT($P5,1)="✔"</formula>
    </cfRule>
  </conditionalFormatting>
  <dataValidations count="4">
    <dataValidation sqref="E5:E1000 F5:F1000 N5:N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de actividad" prompt="Peso relativo dentro del puesto. La suma de esta hoja debe ser 100%." type="decimal" operator="between">
      <formula1>0</formula1>
      <formula2>1</formula2>
    </dataValidation>
    <dataValidation sqref="H5:K1000" showDropDown="0" showInputMessage="1" showErrorMessage="1" allowBlank="1" errorTitle="Avance no válido" error="Ingrese un porcentaje entre 0% y 100%. Deje la celda vacía si la semana no se ha actualizado." promptTitle="Avance acumulado" prompt="% ACUMULADO al cierre de la semana (no el incremento)." type="decimal" operator="between">
      <formula1>0</formula1>
      <formula2>1</formula2>
    </dataValidation>
    <dataValidation sqref="M5:M1000" showDropDown="0" showInputMessage="1" showErrorMessage="1" allowBlank="1" promptTitle="Estado automático" prompt="Se calcula a partir del % de avance. No se edita manualmente." type="list">
      <formula1>ListaEstados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00B050"/>
    <outlinePr summaryBelow="1" summaryRight="1"/>
    <pageSetUpPr fitToPage="1"/>
  </sheetPr>
  <dimension ref="A1:K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3" customWidth="1" min="3" max="3"/>
    <col width="24" customWidth="1" min="4" max="4"/>
    <col width="48" customWidth="1" min="5" max="5"/>
    <col width="52" customWidth="1" min="6" max="6"/>
    <col width="18" customWidth="1" min="7" max="7"/>
    <col width="13" customWidth="1" min="8" max="8"/>
    <col width="14" customWidth="1" min="9" max="9"/>
    <col width="30" customWidth="1" min="10" max="10"/>
    <col width="34" customWidth="1" min="11" max="11"/>
  </cols>
  <sheetData>
    <row r="1" ht="28" customHeight="1">
      <c r="A1" s="41" t="inlineStr">
        <is>
          <t>Línea de Tiempo – Hitos y entregables – Riesgo Financiero</t>
        </is>
      </c>
      <c r="B1" s="41" t="n"/>
      <c r="C1" s="41" t="n"/>
      <c r="D1" s="41" t="n"/>
      <c r="E1" s="41" t="n"/>
      <c r="F1" s="41" t="n"/>
      <c r="G1" s="41" t="n"/>
      <c r="H1" s="41" t="n"/>
      <c r="I1" s="41" t="n"/>
      <c r="J1" s="41" t="n"/>
      <c r="K1" s="41" t="n"/>
    </row>
    <row r="2" ht="32" customHeight="1">
      <c r="A2" s="58" t="inlineStr">
        <is>
          <t>Hoja exclusiva de Riesgo Financiero. PROPUESTA INICIAL EDITABLE, sujeta a validación del responsable del puesto; no constituye una obligación institucional aprobada. Puede modificar o agregar hitos (ID, semana, entregable, criterio). Semana 1: diagnóstico y planificación · Semana 2: desarrollo y documentación · Semana 3: validación, análisis y propuestas · Semana 4: cierre y presentación ejecutiva.</t>
        </is>
      </c>
      <c r="B2" s="58" t="n"/>
      <c r="C2" s="58" t="n"/>
      <c r="D2" s="58" t="n"/>
      <c r="E2" s="58" t="n"/>
      <c r="F2" s="58" t="n"/>
      <c r="G2" s="58" t="n"/>
      <c r="H2" s="58" t="n"/>
      <c r="I2" s="58" t="n"/>
      <c r="J2" s="58" t="n"/>
      <c r="K2" s="58" t="n"/>
    </row>
    <row r="3">
      <c r="A3" s="43" t="inlineStr">
        <is>
          <t>Entrada</t>
        </is>
      </c>
      <c r="B3" s="44" t="inlineStr">
        <is>
          <t>Cálculo</t>
        </is>
      </c>
      <c r="C3" s="59" t="inlineStr">
        <is>
          <t>Fecha objetivo propuesta = viernes de la semana según «Fecha de inicio del ciclo» (Configuración); puede escribir otra fecha encima.</t>
        </is>
      </c>
    </row>
    <row r="4" ht="34" customHeight="1">
      <c r="A4" s="48" t="inlineStr">
        <is>
          <t>ID Hito</t>
        </is>
      </c>
      <c r="B4" s="48" t="inlineStr">
        <is>
          <t>Semana</t>
        </is>
      </c>
      <c r="C4" s="48" t="inlineStr">
        <is>
          <t>Fecha objetivo</t>
        </is>
      </c>
      <c r="D4" s="6" t="inlineStr">
        <is>
          <t>Área / Puesto</t>
        </is>
      </c>
      <c r="E4" s="48" t="inlineStr">
        <is>
          <t>Entregable / Hito</t>
        </is>
      </c>
      <c r="F4" s="48" t="inlineStr">
        <is>
          <t>Criterio de aceptación</t>
        </is>
      </c>
      <c r="G4" s="48" t="inlineStr">
        <is>
          <t>Responsable</t>
        </is>
      </c>
      <c r="H4" s="48" t="inlineStr">
        <is>
          <t>Estado</t>
        </is>
      </c>
      <c r="I4" s="48" t="inlineStr">
        <is>
          <t>Fecha real de cumplimiento</t>
        </is>
      </c>
      <c r="J4" s="48" t="inlineStr">
        <is>
          <t>Evidencia / Enlace</t>
        </is>
      </c>
      <c r="K4" s="48" t="inlineStr">
        <is>
          <t>Observaciones</t>
        </is>
      </c>
    </row>
    <row r="5" ht="45" customHeight="1">
      <c r="A5" s="49" t="inlineStr">
        <is>
          <t>H-RF-01</t>
        </is>
      </c>
      <c r="B5" s="49" t="inlineStr">
        <is>
          <t>Semana 1</t>
        </is>
      </c>
      <c r="C5" s="52">
        <f>IF(OR(InicioCiclo="",$B5=""),"",InicioCiclo+7*VALUE(RIGHT($B5,1))-3)</f>
        <v/>
      </c>
      <c r="D5" s="50">
        <f>IF((COUNTA($A5,$B5)+COUNTA($E5:$K5))&gt;0,"Riesgo Financiero","")</f>
        <v/>
      </c>
      <c r="E5" s="51" t="inlineStr">
        <is>
          <t>Levantamiento de información financiera y definición de indicadores de riesgo (liquidez, mercado, crédito)</t>
        </is>
      </c>
      <c r="F5" s="51" t="inlineStr">
        <is>
          <t>Fuentes de datos identificadas y ficha de cada indicador con fórmula, periodicidad, fuente y responsable.</t>
        </is>
      </c>
      <c r="G5" s="51" t="inlineStr">
        <is>
          <t>Por asignar</t>
        </is>
      </c>
      <c r="H5" s="49" t="inlineStr">
        <is>
          <t>Pendiente</t>
        </is>
      </c>
      <c r="I5" s="52" t="n"/>
      <c r="J5" s="51" t="n"/>
      <c r="K5" s="51" t="inlineStr">
        <is>
          <t>Propuesta inicial editable – sujeta a validación del responsable.</t>
        </is>
      </c>
    </row>
    <row r="6" ht="45" customHeight="1">
      <c r="A6" s="49" t="inlineStr">
        <is>
          <t>H-RF-02</t>
        </is>
      </c>
      <c r="B6" s="49" t="inlineStr">
        <is>
          <t>Semana 2</t>
        </is>
      </c>
      <c r="C6" s="52">
        <f>IF(OR(InicioCiclo="",$B6=""),"",InicioCiclo+7*VALUE(RIGHT($B6,1))-3)</f>
        <v/>
      </c>
      <c r="D6" s="50">
        <f>IF((COUNTA($A6,$B6)+COUNTA($E6:$K6))&gt;0,"Riesgo Financiero","")</f>
        <v/>
      </c>
      <c r="E6" s="51" t="inlineStr">
        <is>
          <t>Cálculo y documentación de indicadores y límites de riesgo financiero</t>
        </is>
      </c>
      <c r="F6" s="51" t="inlineStr">
        <is>
          <t>Indicadores calculados con datos de corte definidos, memoria de cálculo y comparación contra límites vigentes.</t>
        </is>
      </c>
      <c r="G6" s="51" t="inlineStr">
        <is>
          <t>Por asignar</t>
        </is>
      </c>
      <c r="H6" s="49" t="inlineStr">
        <is>
          <t>Pendiente</t>
        </is>
      </c>
      <c r="I6" s="52" t="n"/>
      <c r="J6" s="51" t="n"/>
      <c r="K6" s="51" t="inlineStr">
        <is>
          <t>Propuesta inicial editable – sujeta a validación del responsable.</t>
        </is>
      </c>
    </row>
    <row r="7" ht="45" customHeight="1">
      <c r="A7" s="49" t="inlineStr">
        <is>
          <t>H-RF-03</t>
        </is>
      </c>
      <c r="B7" s="49" t="inlineStr">
        <is>
          <t>Semana 3</t>
        </is>
      </c>
      <c r="C7" s="52">
        <f>IF(OR(InicioCiclo="",$B7=""),"",InicioCiclo+7*VALUE(RIGHT($B7,1))-3)</f>
        <v/>
      </c>
      <c r="D7" s="50">
        <f>IF((COUNTA($A7,$B7)+COUNTA($E7:$K7))&gt;0,"Riesgo Financiero","")</f>
        <v/>
      </c>
      <c r="E7" s="51" t="inlineStr">
        <is>
          <t>Análisis de sensibilidad / escenarios y propuesta de límites o alertas tempranas</t>
        </is>
      </c>
      <c r="F7" s="51" t="inlineStr">
        <is>
          <t>Al menos un escenario base y uno adverso documentados, con propuesta de umbrales de alerta justificada.</t>
        </is>
      </c>
      <c r="G7" s="51" t="inlineStr">
        <is>
          <t>Por asignar</t>
        </is>
      </c>
      <c r="H7" s="49" t="inlineStr">
        <is>
          <t>Pendiente</t>
        </is>
      </c>
      <c r="I7" s="52" t="n"/>
      <c r="J7" s="51" t="n"/>
      <c r="K7" s="51" t="inlineStr">
        <is>
          <t>Propuesta inicial editable – sujeta a validación del responsable.</t>
        </is>
      </c>
    </row>
    <row r="8" ht="45" customHeight="1">
      <c r="A8" s="49" t="inlineStr">
        <is>
          <t>H-RF-04</t>
        </is>
      </c>
      <c r="B8" s="49" t="inlineStr">
        <is>
          <t>Semana 4</t>
        </is>
      </c>
      <c r="C8" s="52">
        <f>IF(OR(InicioCiclo="",$B8=""),"",InicioCiclo+7*VALUE(RIGHT($B8,1))-3)</f>
        <v/>
      </c>
      <c r="D8" s="50">
        <f>IF((COUNTA($A8,$B8)+COUNTA($E8:$K8))&gt;0,"Riesgo Financiero","")</f>
        <v/>
      </c>
      <c r="E8" s="51" t="inlineStr">
        <is>
          <t>Informe de riesgo financiero y presentación ejecutiva</t>
        </is>
      </c>
      <c r="F8" s="51" t="inlineStr">
        <is>
          <t>Informe y presentación entregados en la reunión de cierre y con conformidad registrada de la jefatura.</t>
        </is>
      </c>
      <c r="G8" s="51" t="inlineStr">
        <is>
          <t>Por asignar</t>
        </is>
      </c>
      <c r="H8" s="49" t="inlineStr">
        <is>
          <t>Pendiente</t>
        </is>
      </c>
      <c r="I8" s="52" t="n"/>
      <c r="J8" s="51" t="n"/>
      <c r="K8" s="51" t="inlineStr">
        <is>
          <t>Propuesta inicial editable – sujeta a validación del responsable.</t>
        </is>
      </c>
    </row>
    <row r="9">
      <c r="A9" s="49" t="n"/>
      <c r="B9" s="49" t="n"/>
      <c r="C9" s="52">
        <f>IF(OR(InicioCiclo="",$B9=""),"",InicioCiclo+7*VALUE(RIGHT($B9,1))-3)</f>
        <v/>
      </c>
      <c r="D9" s="50">
        <f>IF((COUNTA($A9,$B9)+COUNTA($E9:$K9))&gt;0,"Riesgo Financiero","")</f>
        <v/>
      </c>
      <c r="E9" s="51" t="n"/>
      <c r="F9" s="51" t="n"/>
      <c r="G9" s="51" t="n"/>
      <c r="H9" s="49" t="n"/>
      <c r="I9" s="52" t="n"/>
      <c r="J9" s="51" t="n"/>
      <c r="K9" s="51" t="n"/>
    </row>
    <row r="10">
      <c r="A10" s="49" t="n"/>
      <c r="B10" s="49" t="n"/>
      <c r="C10" s="52">
        <f>IF(OR(InicioCiclo="",$B10=""),"",InicioCiclo+7*VALUE(RIGHT($B10,1))-3)</f>
        <v/>
      </c>
      <c r="D10" s="50">
        <f>IF((COUNTA($A10,$B10)+COUNTA($E10:$K10))&gt;0,"Riesgo Financiero","")</f>
        <v/>
      </c>
      <c r="E10" s="51" t="n"/>
      <c r="F10" s="51" t="n"/>
      <c r="G10" s="51" t="n"/>
      <c r="H10" s="49" t="n"/>
      <c r="I10" s="52" t="n"/>
      <c r="J10" s="51" t="n"/>
      <c r="K10" s="51" t="n"/>
    </row>
    <row r="11">
      <c r="A11" s="49" t="n"/>
      <c r="B11" s="49" t="n"/>
      <c r="C11" s="52">
        <f>IF(OR(InicioCiclo="",$B11=""),"",InicioCiclo+7*VALUE(RIGHT($B11,1))-3)</f>
        <v/>
      </c>
      <c r="D11" s="50">
        <f>IF((COUNTA($A11,$B11)+COUNTA($E11:$K11))&gt;0,"Riesgo Financiero","")</f>
        <v/>
      </c>
      <c r="E11" s="51" t="n"/>
      <c r="F11" s="51" t="n"/>
      <c r="G11" s="51" t="n"/>
      <c r="H11" s="49" t="n"/>
      <c r="I11" s="52" t="n"/>
      <c r="J11" s="51" t="n"/>
      <c r="K11" s="51" t="n"/>
    </row>
    <row r="12">
      <c r="A12" s="49" t="n"/>
      <c r="B12" s="49" t="n"/>
      <c r="C12" s="52">
        <f>IF(OR(InicioCiclo="",$B12=""),"",InicioCiclo+7*VALUE(RIGHT($B12,1))-3)</f>
        <v/>
      </c>
      <c r="D12" s="50">
        <f>IF((COUNTA($A12,$B12)+COUNTA($E12:$K12))&gt;0,"Riesgo Financiero","")</f>
        <v/>
      </c>
      <c r="E12" s="51" t="n"/>
      <c r="F12" s="51" t="n"/>
      <c r="G12" s="51" t="n"/>
      <c r="H12" s="49" t="n"/>
      <c r="I12" s="52" t="n"/>
      <c r="J12" s="51" t="n"/>
      <c r="K12" s="51" t="n"/>
    </row>
    <row r="13">
      <c r="A13" s="49" t="n"/>
      <c r="B13" s="49" t="n"/>
      <c r="C13" s="52">
        <f>IF(OR(InicioCiclo="",$B13=""),"",InicioCiclo+7*VALUE(RIGHT($B13,1))-3)</f>
        <v/>
      </c>
      <c r="D13" s="50">
        <f>IF((COUNTA($A13,$B13)+COUNTA($E13:$K13))&gt;0,"Riesgo Financiero","")</f>
        <v/>
      </c>
      <c r="E13" s="51" t="n"/>
      <c r="F13" s="51" t="n"/>
      <c r="G13" s="51" t="n"/>
      <c r="H13" s="49" t="n"/>
      <c r="I13" s="52" t="n"/>
      <c r="J13" s="51" t="n"/>
      <c r="K13" s="51" t="n"/>
    </row>
    <row r="14">
      <c r="A14" s="49" t="n"/>
      <c r="B14" s="49" t="n"/>
      <c r="C14" s="52">
        <f>IF(OR(InicioCiclo="",$B14=""),"",InicioCiclo+7*VALUE(RIGHT($B14,1))-3)</f>
        <v/>
      </c>
      <c r="D14" s="50">
        <f>IF((COUNTA($A14,$B14)+COUNTA($E14:$K14))&gt;0,"Riesgo Financiero","")</f>
        <v/>
      </c>
      <c r="E14" s="51" t="n"/>
      <c r="F14" s="51" t="n"/>
      <c r="G14" s="51" t="n"/>
      <c r="H14" s="49" t="n"/>
      <c r="I14" s="52" t="n"/>
      <c r="J14" s="51" t="n"/>
      <c r="K14" s="51" t="n"/>
    </row>
    <row r="15">
      <c r="A15" s="49" t="n"/>
      <c r="B15" s="49" t="n"/>
      <c r="C15" s="52">
        <f>IF(OR(InicioCiclo="",$B15=""),"",InicioCiclo+7*VALUE(RIGHT($B15,1))-3)</f>
        <v/>
      </c>
      <c r="D15" s="50">
        <f>IF((COUNTA($A15,$B15)+COUNTA($E15:$K15))&gt;0,"Riesgo Financiero","")</f>
        <v/>
      </c>
      <c r="E15" s="51" t="n"/>
      <c r="F15" s="51" t="n"/>
      <c r="G15" s="51" t="n"/>
      <c r="H15" s="49" t="n"/>
      <c r="I15" s="52" t="n"/>
      <c r="J15" s="51" t="n"/>
      <c r="K15" s="51" t="n"/>
    </row>
    <row r="16">
      <c r="A16" s="49" t="n"/>
      <c r="B16" s="49" t="n"/>
      <c r="C16" s="52">
        <f>IF(OR(InicioCiclo="",$B16=""),"",InicioCiclo+7*VALUE(RIGHT($B16,1))-3)</f>
        <v/>
      </c>
      <c r="D16" s="50">
        <f>IF((COUNTA($A16,$B16)+COUNTA($E16:$K16))&gt;0,"Riesgo Financiero","")</f>
        <v/>
      </c>
      <c r="E16" s="51" t="n"/>
      <c r="F16" s="51" t="n"/>
      <c r="G16" s="51" t="n"/>
      <c r="H16" s="49" t="n"/>
      <c r="I16" s="52" t="n"/>
      <c r="J16" s="51" t="n"/>
      <c r="K16" s="51" t="n"/>
    </row>
    <row r="17">
      <c r="A17" s="49" t="n"/>
      <c r="B17" s="49" t="n"/>
      <c r="C17" s="52">
        <f>IF(OR(InicioCiclo="",$B17=""),"",InicioCiclo+7*VALUE(RIGHT($B17,1))-3)</f>
        <v/>
      </c>
      <c r="D17" s="50">
        <f>IF((COUNTA($A17,$B17)+COUNTA($E17:$K17))&gt;0,"Riesgo Financiero","")</f>
        <v/>
      </c>
      <c r="E17" s="51" t="n"/>
      <c r="F17" s="51" t="n"/>
      <c r="G17" s="51" t="n"/>
      <c r="H17" s="49" t="n"/>
      <c r="I17" s="52" t="n"/>
      <c r="J17" s="51" t="n"/>
      <c r="K17" s="51" t="n"/>
    </row>
    <row r="18">
      <c r="A18" s="49" t="n"/>
      <c r="B18" s="49" t="n"/>
      <c r="C18" s="52">
        <f>IF(OR(InicioCiclo="",$B18=""),"",InicioCiclo+7*VALUE(RIGHT($B18,1))-3)</f>
        <v/>
      </c>
      <c r="D18" s="50">
        <f>IF((COUNTA($A18,$B18)+COUNTA($E18:$K18))&gt;0,"Riesgo Financiero","")</f>
        <v/>
      </c>
      <c r="E18" s="51" t="n"/>
      <c r="F18" s="51" t="n"/>
      <c r="G18" s="51" t="n"/>
      <c r="H18" s="49" t="n"/>
      <c r="I18" s="52" t="n"/>
      <c r="J18" s="51" t="n"/>
      <c r="K18" s="51" t="n"/>
    </row>
    <row r="19">
      <c r="A19" s="49" t="n"/>
      <c r="B19" s="49" t="n"/>
      <c r="C19" s="52">
        <f>IF(OR(InicioCiclo="",$B19=""),"",InicioCiclo+7*VALUE(RIGHT($B19,1))-3)</f>
        <v/>
      </c>
      <c r="D19" s="50">
        <f>IF((COUNTA($A19,$B19)+COUNTA($E19:$K19))&gt;0,"Riesgo Financiero","")</f>
        <v/>
      </c>
      <c r="E19" s="51" t="n"/>
      <c r="F19" s="51" t="n"/>
      <c r="G19" s="51" t="n"/>
      <c r="H19" s="49" t="n"/>
      <c r="I19" s="52" t="n"/>
      <c r="J19" s="51" t="n"/>
      <c r="K19" s="51" t="n"/>
    </row>
    <row r="20">
      <c r="A20" s="49" t="n"/>
      <c r="B20" s="49" t="n"/>
      <c r="C20" s="52">
        <f>IF(OR(InicioCiclo="",$B20=""),"",InicioCiclo+7*VALUE(RIGHT($B20,1))-3)</f>
        <v/>
      </c>
      <c r="D20" s="50">
        <f>IF((COUNTA($A20,$B20)+COUNTA($E20:$K20))&gt;0,"Riesgo Financiero","")</f>
        <v/>
      </c>
      <c r="E20" s="51" t="n"/>
      <c r="F20" s="51" t="n"/>
      <c r="G20" s="51" t="n"/>
      <c r="H20" s="49" t="n"/>
      <c r="I20" s="52" t="n"/>
      <c r="J20" s="51" t="n"/>
      <c r="K20" s="51" t="n"/>
    </row>
    <row r="21">
      <c r="A21" s="49" t="n"/>
      <c r="B21" s="49" t="n"/>
      <c r="C21" s="52">
        <f>IF(OR(InicioCiclo="",$B21=""),"",InicioCiclo+7*VALUE(RIGHT($B21,1))-3)</f>
        <v/>
      </c>
      <c r="D21" s="50">
        <f>IF((COUNTA($A21,$B21)+COUNTA($E21:$K21))&gt;0,"Riesgo Financiero","")</f>
        <v/>
      </c>
      <c r="E21" s="51" t="n"/>
      <c r="F21" s="51" t="n"/>
      <c r="G21" s="51" t="n"/>
      <c r="H21" s="49" t="n"/>
      <c r="I21" s="52" t="n"/>
      <c r="J21" s="51" t="n"/>
      <c r="K21" s="51" t="n"/>
    </row>
    <row r="22">
      <c r="A22" s="49" t="n"/>
      <c r="B22" s="49" t="n"/>
      <c r="C22" s="52">
        <f>IF(OR(InicioCiclo="",$B22=""),"",InicioCiclo+7*VALUE(RIGHT($B22,1))-3)</f>
        <v/>
      </c>
      <c r="D22" s="50">
        <f>IF((COUNTA($A22,$B22)+COUNTA($E22:$K22))&gt;0,"Riesgo Financiero","")</f>
        <v/>
      </c>
      <c r="E22" s="51" t="n"/>
      <c r="F22" s="51" t="n"/>
      <c r="G22" s="51" t="n"/>
      <c r="H22" s="49" t="n"/>
      <c r="I22" s="52" t="n"/>
      <c r="J22" s="51" t="n"/>
      <c r="K22" s="51" t="n"/>
    </row>
    <row r="23">
      <c r="A23" s="49" t="n"/>
      <c r="B23" s="49" t="n"/>
      <c r="C23" s="52">
        <f>IF(OR(InicioCiclo="",$B23=""),"",InicioCiclo+7*VALUE(RIGHT($B23,1))-3)</f>
        <v/>
      </c>
      <c r="D23" s="50">
        <f>IF((COUNTA($A23,$B23)+COUNTA($E23:$K23))&gt;0,"Riesgo Financiero","")</f>
        <v/>
      </c>
      <c r="E23" s="51" t="n"/>
      <c r="F23" s="51" t="n"/>
      <c r="G23" s="51" t="n"/>
      <c r="H23" s="49" t="n"/>
      <c r="I23" s="52" t="n"/>
      <c r="J23" s="51" t="n"/>
      <c r="K23" s="51" t="n"/>
    </row>
    <row r="24">
      <c r="A24" s="49" t="n"/>
      <c r="B24" s="49" t="n"/>
      <c r="C24" s="52">
        <f>IF(OR(InicioCiclo="",$B24=""),"",InicioCiclo+7*VALUE(RIGHT($B24,1))-3)</f>
        <v/>
      </c>
      <c r="D24" s="50">
        <f>IF((COUNTA($A24,$B24)+COUNTA($E24:$K24))&gt;0,"Riesgo Financiero","")</f>
        <v/>
      </c>
      <c r="E24" s="51" t="n"/>
      <c r="F24" s="51" t="n"/>
      <c r="G24" s="51" t="n"/>
      <c r="H24" s="49" t="n"/>
      <c r="I24" s="52" t="n"/>
      <c r="J24" s="51" t="n"/>
      <c r="K24" s="51" t="n"/>
    </row>
  </sheetData>
  <sheetProtection selectLockedCells="0" selectUnlockedCells="0" sheet="1" objects="0" insertRows="1" insertHyperlinks="1" autoFilter="0" scenarios="0" formatColumns="0" deleteColumns="1" insertColumns="1" pivotTables="1" deleteRows="1" formatCells="1" formatRows="0" sort="0"/>
  <mergeCells count="2">
    <mergeCell ref="A2:K2"/>
    <mergeCell ref="A1:K1"/>
  </mergeCells>
  <conditionalFormatting sqref="H5:H500">
    <cfRule type="expression" priority="1" dxfId="0">
      <formula>$H5="Completado"</formula>
    </cfRule>
    <cfRule type="expression" priority="2" dxfId="4">
      <formula>$H5="En curso"</formula>
    </cfRule>
    <cfRule type="expression" priority="3" dxfId="5">
      <formula>$H5="Pendiente"</formula>
    </cfRule>
  </conditionalFormatting>
  <conditionalFormatting sqref="C5:C500">
    <cfRule type="expression" priority="4" dxfId="6" stopIfTrue="1">
      <formula>AND(ISNUMBER($C5),$C5&lt;FechaRef,$H5&lt;&gt;"Completado")</formula>
    </cfRule>
    <cfRule type="expression" priority="5" dxfId="7">
      <formula>AND(ISNUMBER($C5),$C5&gt;=FechaRef,$C5-FechaRef&lt;=DiasAlerta,$H5&lt;&gt;"Completado")</formula>
    </cfRule>
  </conditionalFormatting>
  <conditionalFormatting sqref="I5:I500">
    <cfRule type="expression" priority="6" dxfId="7">
      <formula>AND(ISNUMBER($I5),ISNUMBER($C5),$I5&gt;$C5)</formula>
    </cfRule>
  </conditionalFormatting>
  <conditionalFormatting sqref="J5:J500">
    <cfRule type="expression" priority="7" dxfId="5">
      <formula>AND($H5="Completado",$J5="")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0" showErrorMessage="1" allowBlank="1" error="Seleccione Pendiente, En curso o Completado." type="list">
      <formula1>ListaEstados</formula1>
    </dataValidation>
    <dataValidation sqref="C5:C500 I5:I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C55A11"/>
    <outlinePr summaryBelow="1" summaryRight="1"/>
    <pageSetUpPr fitToPage="1"/>
  </sheetPr>
  <dimension ref="A1:P1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44" customWidth="1" min="3" max="3"/>
    <col width="22" customWidth="1" min="4" max="4"/>
    <col width="12"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3" customWidth="1" min="13" max="13"/>
    <col width="13" customWidth="1" min="14" max="14"/>
    <col width="36" customWidth="1" min="15" max="15"/>
    <col width="58" customWidth="1" min="16" max="16"/>
  </cols>
  <sheetData>
    <row r="1" ht="28" customHeight="1">
      <c r="A1" s="41" t="inlineStr">
        <is>
          <t>Cronograma y Actividades – Asistente Técnico de Riesgo</t>
        </is>
      </c>
      <c r="B1" s="41" t="n"/>
      <c r="C1" s="41" t="n"/>
      <c r="D1" s="41" t="n"/>
      <c r="E1" s="41" t="n"/>
      <c r="F1" s="41" t="n"/>
      <c r="G1" s="41" t="n"/>
      <c r="H1" s="41" t="n"/>
      <c r="I1" s="41" t="n"/>
      <c r="J1" s="41" t="n"/>
      <c r="K1" s="41" t="n"/>
      <c r="L1" s="41" t="n"/>
      <c r="M1" s="41" t="n"/>
      <c r="N1" s="41" t="n"/>
      <c r="O1" s="41" t="n"/>
      <c r="P1" s="41" t="n"/>
    </row>
    <row r="2" ht="30" customHeight="1">
      <c r="A2" s="42" t="inlineStr">
        <is>
          <t>Hoja exclusiva de Asistente Técnico de Riesgo: registre aquí SOLO las actividades de este puesto. Celdas amarillas: entrada de datos.  Celdas grises: cálculo automático (protegidas).  Avances semanales = % ACUMULADO al cierre de cada semana (deje vacía la semana aún no actualizada).  Los pesos de esta hoja deben sumar 100%.</t>
        </is>
      </c>
      <c r="B2" s="42" t="n"/>
      <c r="C2" s="42" t="n"/>
      <c r="D2" s="42" t="n"/>
      <c r="E2" s="42" t="n"/>
      <c r="F2" s="42" t="n"/>
      <c r="G2" s="42" t="n"/>
      <c r="H2" s="42" t="n"/>
      <c r="I2" s="42" t="n"/>
      <c r="J2" s="42" t="n"/>
      <c r="K2" s="42" t="n"/>
      <c r="L2" s="42" t="n"/>
      <c r="M2" s="42" t="n"/>
      <c r="N2" s="42" t="n"/>
      <c r="O2" s="42" t="n"/>
      <c r="P2" s="42" t="n"/>
    </row>
    <row r="3">
      <c r="A3" s="43" t="inlineStr">
        <is>
          <t>Entrada</t>
        </is>
      </c>
      <c r="B3" s="44" t="inlineStr">
        <is>
          <t>Cálculo automático</t>
        </is>
      </c>
      <c r="C3" s="45" t="inlineStr">
        <is>
          <t>Suma de pesos de la hoja:</t>
        </is>
      </c>
      <c r="D3" s="46">
        <f>SUM(G5:G1000)</f>
        <v/>
      </c>
      <c r="E3" s="47">
        <f>IF(COUNTIF(P5:P1000,"?*")=0,"",IF(ABS(D3-1)&lt;=0.0001,"✔ 100%","⚠ Debe sumar 100%"))</f>
        <v/>
      </c>
    </row>
    <row r="4" ht="42" customHeight="1">
      <c r="A4" s="48" t="inlineStr">
        <is>
          <t>ID Actividad</t>
        </is>
      </c>
      <c r="B4" s="6" t="inlineStr">
        <is>
          <t>Área / Puesto</t>
        </is>
      </c>
      <c r="C4" s="48" t="inlineStr">
        <is>
          <t>Macro Actividad</t>
        </is>
      </c>
      <c r="D4" s="48" t="inlineStr">
        <is>
          <t>Responsable</t>
        </is>
      </c>
      <c r="E4" s="48" t="inlineStr">
        <is>
          <t>Fecha de inicio</t>
        </is>
      </c>
      <c r="F4" s="48" t="inlineStr">
        <is>
          <t>Fecha límite</t>
        </is>
      </c>
      <c r="G4" s="48" t="inlineStr">
        <is>
          <t>Peso de actividad (%)</t>
        </is>
      </c>
      <c r="H4" s="48" t="inlineStr">
        <is>
          <t>Avance Semana 1 (%)</t>
        </is>
      </c>
      <c r="I4" s="48" t="inlineStr">
        <is>
          <t>Avance Semana 2 (%)</t>
        </is>
      </c>
      <c r="J4" s="48" t="inlineStr">
        <is>
          <t>Avance Semana 3 (%)</t>
        </is>
      </c>
      <c r="K4" s="48" t="inlineStr">
        <is>
          <t>Avance Semana 4 (%)</t>
        </is>
      </c>
      <c r="L4" s="6" t="inlineStr">
        <is>
          <t>% de Avance Total Actual</t>
        </is>
      </c>
      <c r="M4" s="6" t="inlineStr">
        <is>
          <t>Estado</t>
        </is>
      </c>
      <c r="N4" s="48" t="inlineStr">
        <is>
          <t>Última actualización</t>
        </is>
      </c>
      <c r="O4" s="48" t="inlineStr">
        <is>
          <t>Evidencia / Observaciones</t>
        </is>
      </c>
      <c r="P4" s="6" t="inlineStr">
        <is>
          <t>Validación de datos</t>
        </is>
      </c>
    </row>
    <row r="5">
      <c r="A5" s="49" t="n"/>
      <c r="B5" s="50">
        <f>IF((COUNTA($A5)+COUNTA($C5:$K5)+COUNTA($N5:$O5))&gt;0,"Asistente Técnico de Riesgo","")</f>
        <v/>
      </c>
      <c r="C5" s="51" t="n"/>
      <c r="D5" s="51" t="n"/>
      <c r="E5" s="52" t="n"/>
      <c r="F5" s="52" t="n"/>
      <c r="G5" s="53" t="n"/>
      <c r="H5" s="54" t="n"/>
      <c r="I5" s="54" t="n"/>
      <c r="J5" s="54" t="n"/>
      <c r="K5" s="54" t="n"/>
      <c r="L5" s="55">
        <f>IF(NOT((COUNTA($A5)+COUNTA($C5:$K5)+COUNTA($N5:$O5))&gt;0),"",IFERROR(LOOKUP(2,1/(H5:K5&lt;&gt;""),H5:K5),0))</f>
        <v/>
      </c>
      <c r="M5" s="56">
        <f>IF(L5="","",IF(L5&gt;=1,"Completado",IF(L5&gt;0,"En curso","Pendiente")))</f>
        <v/>
      </c>
      <c r="N5" s="52" t="n"/>
      <c r="O5" s="51" t="n"/>
      <c r="P5" s="57">
        <f>IF(NOT((COUNTA($A5)+COUNTA($C5:$K5)+COUNTA($N5:$O5))&gt;0),"",IF((IF(A5="","Falta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 OK","⚠ "&amp;LEFT(IF(A5="","Falta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",""),LEN(IF(A5="","Falta ID"&amp;" · ","")&amp;IF(AND(A5&lt;&gt;"",(COUNTIF('Cronograma R. Operacional'!$A$5:$A$1000,A5)+COUNTIF('Cronograma R. Legal y Normativo'!$A$5:$A$1000,A5)+COUNTIF('Cronograma R. Financiero'!$A$5:$A$1000,A5)+COUNTIF('Cronograma Asistente Técnico'!$A$5:$A$1000,A5))&gt;1),"ID duplicado"&amp;" · ","")&amp;IF(C5="","Macroactividad vacía"&amp;" · ","")&amp;IF(D5="","Sin responsable"&amp;" · ","")&amp;IF(E5="","Sin fecha de inicio"&amp;" · ","")&amp;IF(F5="","Sin fecha límite"&amp;" · ","")&amp;IF(OR(AND(E5&lt;&gt;"",NOT(ISNUMBER(E5))),AND(F5&lt;&gt;"",NOT(ISNUMBER(F5)))),"Fecha no válida"&amp;" · ","")&amp;IF(AND(ISNUMBER(E5),ISNUMBER(F5),E5&gt;F5),"Inicio posterior a fecha límite"&amp;" · ","")&amp;IF(G5="","Peso vacío"&amp;" · ","")&amp;IF(AND(G5&lt;&gt;"",OR(NOT(ISNUMBER(G5)),G5&lt;=0,G5&gt;1)),"Peso fuera de rango"&amp;" · ","")&amp;IF(ABS(SUM($G$5:$G$1000)-1)&gt;0.0001,"Pesos del puesto suman "&amp;TEXT(SUM($G$5:$G$1000),"0%")&amp;" · ","")&amp;IF((COUNTIF(H5:K5,"&gt;1")+COUNTIF(H5:K5,"&lt;0")+COUNTA(H5:K5)-COUNT(H5:K5))&gt;0,"Avance fuera de rango 0-100%"&amp;" · ","")&amp;IF(OR(AND(I5&lt;&gt;"",I5&lt;H5),AND(J5&lt;&gt;"",J5&lt;MAX(H5:I5)),AND(K5&lt;&gt;"",K5&lt;MAX(H5:J5))),"Avance semanal decreciente"&amp;" · ","")&amp;IF(AND(ISNUMBER(F5),F5&lt;FechaRef,N(L5)&lt;1),"Vencida"&amp;" · ","")&amp;IF(AND(EvidenciaObligatoria="Sí",N(L5)&gt;=1,O5=""),"Completada sin evidencia"&amp;" · ",""))-3)))</f>
        <v/>
      </c>
    </row>
    <row r="6">
      <c r="A6" s="49" t="n"/>
      <c r="B6" s="50">
        <f>IF((COUNTA($A6)+COUNTA($C6:$K6)+COUNTA($N6:$O6))&gt;0,"Asistente Técnico de Riesgo","")</f>
        <v/>
      </c>
      <c r="C6" s="51" t="n"/>
      <c r="D6" s="51" t="n"/>
      <c r="E6" s="52" t="n"/>
      <c r="F6" s="52" t="n"/>
      <c r="G6" s="53" t="n"/>
      <c r="H6" s="54" t="n"/>
      <c r="I6" s="54" t="n"/>
      <c r="J6" s="54" t="n"/>
      <c r="K6" s="54" t="n"/>
      <c r="L6" s="55">
        <f>IF(NOT((COUNTA($A6)+COUNTA($C6:$K6)+COUNTA($N6:$O6))&gt;0),"",IFERROR(LOOKUP(2,1/(H6:K6&lt;&gt;""),H6:K6),0))</f>
        <v/>
      </c>
      <c r="M6" s="56">
        <f>IF(L6="","",IF(L6&gt;=1,"Completado",IF(L6&gt;0,"En curso","Pendiente")))</f>
        <v/>
      </c>
      <c r="N6" s="52" t="n"/>
      <c r="O6" s="51" t="n"/>
      <c r="P6" s="57">
        <f>IF(NOT((COUNTA($A6)+COUNTA($C6:$K6)+COUNTA($N6:$O6))&gt;0),"",IF((IF(A6="","Falta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 OK","⚠ "&amp;LEFT(IF(A6="","Falta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",""),LEN(IF(A6="","Falta ID"&amp;" · ","")&amp;IF(AND(A6&lt;&gt;"",(COUNTIF('Cronograma R. Operacional'!$A$5:$A$1000,A6)+COUNTIF('Cronograma R. Legal y Normativo'!$A$5:$A$1000,A6)+COUNTIF('Cronograma R. Financiero'!$A$5:$A$1000,A6)+COUNTIF('Cronograma Asistente Técnico'!$A$5:$A$1000,A6))&gt;1),"ID duplicado"&amp;" · ","")&amp;IF(C6="","Macroactividad vacía"&amp;" · ","")&amp;IF(D6="","Sin responsable"&amp;" · ","")&amp;IF(E6="","Sin fecha de inicio"&amp;" · ","")&amp;IF(F6="","Sin fecha límite"&amp;" · ","")&amp;IF(OR(AND(E6&lt;&gt;"",NOT(ISNUMBER(E6))),AND(F6&lt;&gt;"",NOT(ISNUMBER(F6)))),"Fecha no válida"&amp;" · ","")&amp;IF(AND(ISNUMBER(E6),ISNUMBER(F6),E6&gt;F6),"Inicio posterior a fecha límite"&amp;" · ","")&amp;IF(G6="","Peso vacío"&amp;" · ","")&amp;IF(AND(G6&lt;&gt;"",OR(NOT(ISNUMBER(G6)),G6&lt;=0,G6&gt;1)),"Peso fuera de rango"&amp;" · ","")&amp;IF(ABS(SUM($G$5:$G$1000)-1)&gt;0.0001,"Pesos del puesto suman "&amp;TEXT(SUM($G$5:$G$1000),"0%")&amp;" · ","")&amp;IF((COUNTIF(H6:K6,"&gt;1")+COUNTIF(H6:K6,"&lt;0")+COUNTA(H6:K6)-COUNT(H6:K6))&gt;0,"Avance fuera de rango 0-100%"&amp;" · ","")&amp;IF(OR(AND(I6&lt;&gt;"",I6&lt;H6),AND(J6&lt;&gt;"",J6&lt;MAX(H6:I6)),AND(K6&lt;&gt;"",K6&lt;MAX(H6:J6))),"Avance semanal decreciente"&amp;" · ","")&amp;IF(AND(ISNUMBER(F6),F6&lt;FechaRef,N(L6)&lt;1),"Vencida"&amp;" · ","")&amp;IF(AND(EvidenciaObligatoria="Sí",N(L6)&gt;=1,O6=""),"Completada sin evidencia"&amp;" · ",""))-3)))</f>
        <v/>
      </c>
    </row>
    <row r="7">
      <c r="A7" s="49" t="n"/>
      <c r="B7" s="50">
        <f>IF((COUNTA($A7)+COUNTA($C7:$K7)+COUNTA($N7:$O7))&gt;0,"Asistente Técnico de Riesgo","")</f>
        <v/>
      </c>
      <c r="C7" s="51" t="n"/>
      <c r="D7" s="51" t="n"/>
      <c r="E7" s="52" t="n"/>
      <c r="F7" s="52" t="n"/>
      <c r="G7" s="53" t="n"/>
      <c r="H7" s="54" t="n"/>
      <c r="I7" s="54" t="n"/>
      <c r="J7" s="54" t="n"/>
      <c r="K7" s="54" t="n"/>
      <c r="L7" s="55">
        <f>IF(NOT((COUNTA($A7)+COUNTA($C7:$K7)+COUNTA($N7:$O7))&gt;0),"",IFERROR(LOOKUP(2,1/(H7:K7&lt;&gt;""),H7:K7),0))</f>
        <v/>
      </c>
      <c r="M7" s="56">
        <f>IF(L7="","",IF(L7&gt;=1,"Completado",IF(L7&gt;0,"En curso","Pendiente")))</f>
        <v/>
      </c>
      <c r="N7" s="52" t="n"/>
      <c r="O7" s="51" t="n"/>
      <c r="P7" s="57">
        <f>IF(NOT((COUNTA($A7)+COUNTA($C7:$K7)+COUNTA($N7:$O7))&gt;0),"",IF((IF(A7="","Falta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 OK","⚠ "&amp;LEFT(IF(A7="","Falta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",""),LEN(IF(A7="","Falta ID"&amp;" · ","")&amp;IF(AND(A7&lt;&gt;"",(COUNTIF('Cronograma R. Operacional'!$A$5:$A$1000,A7)+COUNTIF('Cronograma R. Legal y Normativo'!$A$5:$A$1000,A7)+COUNTIF('Cronograma R. Financiero'!$A$5:$A$1000,A7)+COUNTIF('Cronograma Asistente Técnico'!$A$5:$A$1000,A7))&gt;1),"ID duplicado"&amp;" · ","")&amp;IF(C7="","Macroactividad vacía"&amp;" · ","")&amp;IF(D7="","Sin responsable"&amp;" · ","")&amp;IF(E7="","Sin fecha de inicio"&amp;" · ","")&amp;IF(F7="","Sin fecha límite"&amp;" · ","")&amp;IF(OR(AND(E7&lt;&gt;"",NOT(ISNUMBER(E7))),AND(F7&lt;&gt;"",NOT(ISNUMBER(F7)))),"Fecha no válida"&amp;" · ","")&amp;IF(AND(ISNUMBER(E7),ISNUMBER(F7),E7&gt;F7),"Inicio posterior a fecha límite"&amp;" · ","")&amp;IF(G7="","Peso vacío"&amp;" · ","")&amp;IF(AND(G7&lt;&gt;"",OR(NOT(ISNUMBER(G7)),G7&lt;=0,G7&gt;1)),"Peso fuera de rango"&amp;" · ","")&amp;IF(ABS(SUM($G$5:$G$1000)-1)&gt;0.0001,"Pesos del puesto suman "&amp;TEXT(SUM($G$5:$G$1000),"0%")&amp;" · ","")&amp;IF((COUNTIF(H7:K7,"&gt;1")+COUNTIF(H7:K7,"&lt;0")+COUNTA(H7:K7)-COUNT(H7:K7))&gt;0,"Avance fuera de rango 0-100%"&amp;" · ","")&amp;IF(OR(AND(I7&lt;&gt;"",I7&lt;H7),AND(J7&lt;&gt;"",J7&lt;MAX(H7:I7)),AND(K7&lt;&gt;"",K7&lt;MAX(H7:J7))),"Avance semanal decreciente"&amp;" · ","")&amp;IF(AND(ISNUMBER(F7),F7&lt;FechaRef,N(L7)&lt;1),"Vencida"&amp;" · ","")&amp;IF(AND(EvidenciaObligatoria="Sí",N(L7)&gt;=1,O7=""),"Completada sin evidencia"&amp;" · ",""))-3)))</f>
        <v/>
      </c>
    </row>
    <row r="8">
      <c r="A8" s="49" t="n"/>
      <c r="B8" s="50">
        <f>IF((COUNTA($A8)+COUNTA($C8:$K8)+COUNTA($N8:$O8))&gt;0,"Asistente Técnico de Riesgo","")</f>
        <v/>
      </c>
      <c r="C8" s="51" t="n"/>
      <c r="D8" s="51" t="n"/>
      <c r="E8" s="52" t="n"/>
      <c r="F8" s="52" t="n"/>
      <c r="G8" s="53" t="n"/>
      <c r="H8" s="54" t="n"/>
      <c r="I8" s="54" t="n"/>
      <c r="J8" s="54" t="n"/>
      <c r="K8" s="54" t="n"/>
      <c r="L8" s="55">
        <f>IF(NOT((COUNTA($A8)+COUNTA($C8:$K8)+COUNTA($N8:$O8))&gt;0),"",IFERROR(LOOKUP(2,1/(H8:K8&lt;&gt;""),H8:K8),0))</f>
        <v/>
      </c>
      <c r="M8" s="56">
        <f>IF(L8="","",IF(L8&gt;=1,"Completado",IF(L8&gt;0,"En curso","Pendiente")))</f>
        <v/>
      </c>
      <c r="N8" s="52" t="n"/>
      <c r="O8" s="51" t="n"/>
      <c r="P8" s="57">
        <f>IF(NOT((COUNTA($A8)+COUNTA($C8:$K8)+COUNTA($N8:$O8))&gt;0),"",IF((IF(A8="","Falta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 OK","⚠ "&amp;LEFT(IF(A8="","Falta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",""),LEN(IF(A8="","Falta ID"&amp;" · ","")&amp;IF(AND(A8&lt;&gt;"",(COUNTIF('Cronograma R. Operacional'!$A$5:$A$1000,A8)+COUNTIF('Cronograma R. Legal y Normativo'!$A$5:$A$1000,A8)+COUNTIF('Cronograma R. Financiero'!$A$5:$A$1000,A8)+COUNTIF('Cronograma Asistente Técnico'!$A$5:$A$1000,A8))&gt;1),"ID duplicado"&amp;" · ","")&amp;IF(C8="","Macroactividad vacía"&amp;" · ","")&amp;IF(D8="","Sin responsable"&amp;" · ","")&amp;IF(E8="","Sin fecha de inicio"&amp;" · ","")&amp;IF(F8="","Sin fecha límite"&amp;" · ","")&amp;IF(OR(AND(E8&lt;&gt;"",NOT(ISNUMBER(E8))),AND(F8&lt;&gt;"",NOT(ISNUMBER(F8)))),"Fecha no válida"&amp;" · ","")&amp;IF(AND(ISNUMBER(E8),ISNUMBER(F8),E8&gt;F8),"Inicio posterior a fecha límite"&amp;" · ","")&amp;IF(G8="","Peso vacío"&amp;" · ","")&amp;IF(AND(G8&lt;&gt;"",OR(NOT(ISNUMBER(G8)),G8&lt;=0,G8&gt;1)),"Peso fuera de rango"&amp;" · ","")&amp;IF(ABS(SUM($G$5:$G$1000)-1)&gt;0.0001,"Pesos del puesto suman "&amp;TEXT(SUM($G$5:$G$1000),"0%")&amp;" · ","")&amp;IF((COUNTIF(H8:K8,"&gt;1")+COUNTIF(H8:K8,"&lt;0")+COUNTA(H8:K8)-COUNT(H8:K8))&gt;0,"Avance fuera de rango 0-100%"&amp;" · ","")&amp;IF(OR(AND(I8&lt;&gt;"",I8&lt;H8),AND(J8&lt;&gt;"",J8&lt;MAX(H8:I8)),AND(K8&lt;&gt;"",K8&lt;MAX(H8:J8))),"Avance semanal decreciente"&amp;" · ","")&amp;IF(AND(ISNUMBER(F8),F8&lt;FechaRef,N(L8)&lt;1),"Vencida"&amp;" · ","")&amp;IF(AND(EvidenciaObligatoria="Sí",N(L8)&gt;=1,O8=""),"Completada sin evidencia"&amp;" · ",""))-3)))</f>
        <v/>
      </c>
    </row>
    <row r="9">
      <c r="A9" s="49" t="n"/>
      <c r="B9" s="50">
        <f>IF((COUNTA($A9)+COUNTA($C9:$K9)+COUNTA($N9:$O9))&gt;0,"Asistente Técnico de Riesgo","")</f>
        <v/>
      </c>
      <c r="C9" s="51" t="n"/>
      <c r="D9" s="51" t="n"/>
      <c r="E9" s="52" t="n"/>
      <c r="F9" s="52" t="n"/>
      <c r="G9" s="53" t="n"/>
      <c r="H9" s="54" t="n"/>
      <c r="I9" s="54" t="n"/>
      <c r="J9" s="54" t="n"/>
      <c r="K9" s="54" t="n"/>
      <c r="L9" s="55">
        <f>IF(NOT((COUNTA($A9)+COUNTA($C9:$K9)+COUNTA($N9:$O9))&gt;0),"",IFERROR(LOOKUP(2,1/(H9:K9&lt;&gt;""),H9:K9),0))</f>
        <v/>
      </c>
      <c r="M9" s="56">
        <f>IF(L9="","",IF(L9&gt;=1,"Completado",IF(L9&gt;0,"En curso","Pendiente")))</f>
        <v/>
      </c>
      <c r="N9" s="52" t="n"/>
      <c r="O9" s="51" t="n"/>
      <c r="P9" s="57">
        <f>IF(NOT((COUNTA($A9)+COUNTA($C9:$K9)+COUNTA($N9:$O9))&gt;0),"",IF((IF(A9="","Falta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 OK","⚠ "&amp;LEFT(IF(A9="","Falta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",""),LEN(IF(A9="","Falta ID"&amp;" · ","")&amp;IF(AND(A9&lt;&gt;"",(COUNTIF('Cronograma R. Operacional'!$A$5:$A$1000,A9)+COUNTIF('Cronograma R. Legal y Normativo'!$A$5:$A$1000,A9)+COUNTIF('Cronograma R. Financiero'!$A$5:$A$1000,A9)+COUNTIF('Cronograma Asistente Técnico'!$A$5:$A$1000,A9))&gt;1),"ID duplicado"&amp;" · ","")&amp;IF(C9="","Macroactividad vacía"&amp;" · ","")&amp;IF(D9="","Sin responsable"&amp;" · ","")&amp;IF(E9="","Sin fecha de inicio"&amp;" · ","")&amp;IF(F9="","Sin fecha límite"&amp;" · ","")&amp;IF(OR(AND(E9&lt;&gt;"",NOT(ISNUMBER(E9))),AND(F9&lt;&gt;"",NOT(ISNUMBER(F9)))),"Fecha no válida"&amp;" · ","")&amp;IF(AND(ISNUMBER(E9),ISNUMBER(F9),E9&gt;F9),"Inicio posterior a fecha límite"&amp;" · ","")&amp;IF(G9="","Peso vacío"&amp;" · ","")&amp;IF(AND(G9&lt;&gt;"",OR(NOT(ISNUMBER(G9)),G9&lt;=0,G9&gt;1)),"Peso fuera de rango"&amp;" · ","")&amp;IF(ABS(SUM($G$5:$G$1000)-1)&gt;0.0001,"Pesos del puesto suman "&amp;TEXT(SUM($G$5:$G$1000),"0%")&amp;" · ","")&amp;IF((COUNTIF(H9:K9,"&gt;1")+COUNTIF(H9:K9,"&lt;0")+COUNTA(H9:K9)-COUNT(H9:K9))&gt;0,"Avance fuera de rango 0-100%"&amp;" · ","")&amp;IF(OR(AND(I9&lt;&gt;"",I9&lt;H9),AND(J9&lt;&gt;"",J9&lt;MAX(H9:I9)),AND(K9&lt;&gt;"",K9&lt;MAX(H9:J9))),"Avance semanal decreciente"&amp;" · ","")&amp;IF(AND(ISNUMBER(F9),F9&lt;FechaRef,N(L9)&lt;1),"Vencida"&amp;" · ","")&amp;IF(AND(EvidenciaObligatoria="Sí",N(L9)&gt;=1,O9=""),"Completada sin evidencia"&amp;" · ",""))-3)))</f>
        <v/>
      </c>
    </row>
    <row r="10">
      <c r="A10" s="49" t="n"/>
      <c r="B10" s="50">
        <f>IF((COUNTA($A10)+COUNTA($C10:$K10)+COUNTA($N10:$O10))&gt;0,"Asistente Técnico de Riesgo","")</f>
        <v/>
      </c>
      <c r="C10" s="51" t="n"/>
      <c r="D10" s="51" t="n"/>
      <c r="E10" s="52" t="n"/>
      <c r="F10" s="52" t="n"/>
      <c r="G10" s="53" t="n"/>
      <c r="H10" s="54" t="n"/>
      <c r="I10" s="54" t="n"/>
      <c r="J10" s="54" t="n"/>
      <c r="K10" s="54" t="n"/>
      <c r="L10" s="55">
        <f>IF(NOT((COUNTA($A10)+COUNTA($C10:$K10)+COUNTA($N10:$O10))&gt;0),"",IFERROR(LOOKUP(2,1/(H10:K10&lt;&gt;""),H10:K10),0))</f>
        <v/>
      </c>
      <c r="M10" s="56">
        <f>IF(L10="","",IF(L10&gt;=1,"Completado",IF(L10&gt;0,"En curso","Pendiente")))</f>
        <v/>
      </c>
      <c r="N10" s="52" t="n"/>
      <c r="O10" s="51" t="n"/>
      <c r="P10" s="57">
        <f>IF(NOT((COUNTA($A10)+COUNTA($C10:$K10)+COUNTA($N10:$O10))&gt;0),"",IF((IF(A10="","Falta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 OK","⚠ "&amp;LEFT(IF(A10="","Falta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",""),LEN(IF(A10="","Falta ID"&amp;" · ","")&amp;IF(AND(A10&lt;&gt;"",(COUNTIF('Cronograma R. Operacional'!$A$5:$A$1000,A10)+COUNTIF('Cronograma R. Legal y Normativo'!$A$5:$A$1000,A10)+COUNTIF('Cronograma R. Financiero'!$A$5:$A$1000,A10)+COUNTIF('Cronograma Asistente Técnico'!$A$5:$A$1000,A10))&gt;1),"ID duplicado"&amp;" · ","")&amp;IF(C10="","Macroactividad vacía"&amp;" · ","")&amp;IF(D10="","Sin responsable"&amp;" · ","")&amp;IF(E10="","Sin fecha de inicio"&amp;" · ","")&amp;IF(F10="","Sin fecha límite"&amp;" · ","")&amp;IF(OR(AND(E10&lt;&gt;"",NOT(ISNUMBER(E10))),AND(F10&lt;&gt;"",NOT(ISNUMBER(F10)))),"Fecha no válida"&amp;" · ","")&amp;IF(AND(ISNUMBER(E10),ISNUMBER(F10),E10&gt;F10),"Inicio posterior a fecha límite"&amp;" · ","")&amp;IF(G10="","Peso vacío"&amp;" · ","")&amp;IF(AND(G10&lt;&gt;"",OR(NOT(ISNUMBER(G10)),G10&lt;=0,G10&gt;1)),"Peso fuera de rango"&amp;" · ","")&amp;IF(ABS(SUM($G$5:$G$1000)-1)&gt;0.0001,"Pesos del puesto suman "&amp;TEXT(SUM($G$5:$G$1000),"0%")&amp;" · ","")&amp;IF((COUNTIF(H10:K10,"&gt;1")+COUNTIF(H10:K10,"&lt;0")+COUNTA(H10:K10)-COUNT(H10:K10))&gt;0,"Avance fuera de rango 0-100%"&amp;" · ","")&amp;IF(OR(AND(I10&lt;&gt;"",I10&lt;H10),AND(J10&lt;&gt;"",J10&lt;MAX(H10:I10)),AND(K10&lt;&gt;"",K10&lt;MAX(H10:J10))),"Avance semanal decreciente"&amp;" · ","")&amp;IF(AND(ISNUMBER(F10),F10&lt;FechaRef,N(L10)&lt;1),"Vencida"&amp;" · ","")&amp;IF(AND(EvidenciaObligatoria="Sí",N(L10)&gt;=1,O10=""),"Completada sin evidencia"&amp;" · ",""))-3)))</f>
        <v/>
      </c>
    </row>
    <row r="11">
      <c r="A11" s="49" t="n"/>
      <c r="B11" s="50">
        <f>IF((COUNTA($A11)+COUNTA($C11:$K11)+COUNTA($N11:$O11))&gt;0,"Asistente Técnico de Riesgo","")</f>
        <v/>
      </c>
      <c r="C11" s="51" t="n"/>
      <c r="D11" s="51" t="n"/>
      <c r="E11" s="52" t="n"/>
      <c r="F11" s="52" t="n"/>
      <c r="G11" s="53" t="n"/>
      <c r="H11" s="54" t="n"/>
      <c r="I11" s="54" t="n"/>
      <c r="J11" s="54" t="n"/>
      <c r="K11" s="54" t="n"/>
      <c r="L11" s="55">
        <f>IF(NOT((COUNTA($A11)+COUNTA($C11:$K11)+COUNTA($N11:$O11))&gt;0),"",IFERROR(LOOKUP(2,1/(H11:K11&lt;&gt;""),H11:K11),0))</f>
        <v/>
      </c>
      <c r="M11" s="56">
        <f>IF(L11="","",IF(L11&gt;=1,"Completado",IF(L11&gt;0,"En curso","Pendiente")))</f>
        <v/>
      </c>
      <c r="N11" s="52" t="n"/>
      <c r="O11" s="51" t="n"/>
      <c r="P11" s="57">
        <f>IF(NOT((COUNTA($A11)+COUNTA($C11:$K11)+COUNTA($N11:$O11))&gt;0),"",IF((IF(A11="","Falta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 OK","⚠ "&amp;LEFT(IF(A11="","Falta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",""),LEN(IF(A11="","Falta ID"&amp;" · ","")&amp;IF(AND(A11&lt;&gt;"",(COUNTIF('Cronograma R. Operacional'!$A$5:$A$1000,A11)+COUNTIF('Cronograma R. Legal y Normativo'!$A$5:$A$1000,A11)+COUNTIF('Cronograma R. Financiero'!$A$5:$A$1000,A11)+COUNTIF('Cronograma Asistente Técnico'!$A$5:$A$1000,A11))&gt;1),"ID duplicado"&amp;" · ","")&amp;IF(C11="","Macroactividad vacía"&amp;" · ","")&amp;IF(D11="","Sin responsable"&amp;" · ","")&amp;IF(E11="","Sin fecha de inicio"&amp;" · ","")&amp;IF(F11="","Sin fecha límite"&amp;" · ","")&amp;IF(OR(AND(E11&lt;&gt;"",NOT(ISNUMBER(E11))),AND(F11&lt;&gt;"",NOT(ISNUMBER(F11)))),"Fecha no válida"&amp;" · ","")&amp;IF(AND(ISNUMBER(E11),ISNUMBER(F11),E11&gt;F11),"Inicio posterior a fecha límite"&amp;" · ","")&amp;IF(G11="","Peso vacío"&amp;" · ","")&amp;IF(AND(G11&lt;&gt;"",OR(NOT(ISNUMBER(G11)),G11&lt;=0,G11&gt;1)),"Peso fuera de rango"&amp;" · ","")&amp;IF(ABS(SUM($G$5:$G$1000)-1)&gt;0.0001,"Pesos del puesto suman "&amp;TEXT(SUM($G$5:$G$1000),"0%")&amp;" · ","")&amp;IF((COUNTIF(H11:K11,"&gt;1")+COUNTIF(H11:K11,"&lt;0")+COUNTA(H11:K11)-COUNT(H11:K11))&gt;0,"Avance fuera de rango 0-100%"&amp;" · ","")&amp;IF(OR(AND(I11&lt;&gt;"",I11&lt;H11),AND(J11&lt;&gt;"",J11&lt;MAX(H11:I11)),AND(K11&lt;&gt;"",K11&lt;MAX(H11:J11))),"Avance semanal decreciente"&amp;" · ","")&amp;IF(AND(ISNUMBER(F11),F11&lt;FechaRef,N(L11)&lt;1),"Vencida"&amp;" · ","")&amp;IF(AND(EvidenciaObligatoria="Sí",N(L11)&gt;=1,O11=""),"Completada sin evidencia"&amp;" · ",""))-3)))</f>
        <v/>
      </c>
    </row>
    <row r="12">
      <c r="A12" s="49" t="n"/>
      <c r="B12" s="50">
        <f>IF((COUNTA($A12)+COUNTA($C12:$K12)+COUNTA($N12:$O12))&gt;0,"Asistente Técnico de Riesgo","")</f>
        <v/>
      </c>
      <c r="C12" s="51" t="n"/>
      <c r="D12" s="51" t="n"/>
      <c r="E12" s="52" t="n"/>
      <c r="F12" s="52" t="n"/>
      <c r="G12" s="53" t="n"/>
      <c r="H12" s="54" t="n"/>
      <c r="I12" s="54" t="n"/>
      <c r="J12" s="54" t="n"/>
      <c r="K12" s="54" t="n"/>
      <c r="L12" s="55">
        <f>IF(NOT((COUNTA($A12)+COUNTA($C12:$K12)+COUNTA($N12:$O12))&gt;0),"",IFERROR(LOOKUP(2,1/(H12:K12&lt;&gt;""),H12:K12),0))</f>
        <v/>
      </c>
      <c r="M12" s="56">
        <f>IF(L12="","",IF(L12&gt;=1,"Completado",IF(L12&gt;0,"En curso","Pendiente")))</f>
        <v/>
      </c>
      <c r="N12" s="52" t="n"/>
      <c r="O12" s="51" t="n"/>
      <c r="P12" s="57">
        <f>IF(NOT((COUNTA($A12)+COUNTA($C12:$K12)+COUNTA($N12:$O12))&gt;0),"",IF((IF(A12="","Falta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 OK","⚠ "&amp;LEFT(IF(A12="","Falta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",""),LEN(IF(A12="","Falta ID"&amp;" · ","")&amp;IF(AND(A12&lt;&gt;"",(COUNTIF('Cronograma R. Operacional'!$A$5:$A$1000,A12)+COUNTIF('Cronograma R. Legal y Normativo'!$A$5:$A$1000,A12)+COUNTIF('Cronograma R. Financiero'!$A$5:$A$1000,A12)+COUNTIF('Cronograma Asistente Técnico'!$A$5:$A$1000,A12))&gt;1),"ID duplicado"&amp;" · ","")&amp;IF(C12="","Macroactividad vacía"&amp;" · ","")&amp;IF(D12="","Sin responsable"&amp;" · ","")&amp;IF(E12="","Sin fecha de inicio"&amp;" · ","")&amp;IF(F12="","Sin fecha límite"&amp;" · ","")&amp;IF(OR(AND(E12&lt;&gt;"",NOT(ISNUMBER(E12))),AND(F12&lt;&gt;"",NOT(ISNUMBER(F12)))),"Fecha no válida"&amp;" · ","")&amp;IF(AND(ISNUMBER(E12),ISNUMBER(F12),E12&gt;F12),"Inicio posterior a fecha límite"&amp;" · ","")&amp;IF(G12="","Peso vacío"&amp;" · ","")&amp;IF(AND(G12&lt;&gt;"",OR(NOT(ISNUMBER(G12)),G12&lt;=0,G12&gt;1)),"Peso fuera de rango"&amp;" · ","")&amp;IF(ABS(SUM($G$5:$G$1000)-1)&gt;0.0001,"Pesos del puesto suman "&amp;TEXT(SUM($G$5:$G$1000),"0%")&amp;" · ","")&amp;IF((COUNTIF(H12:K12,"&gt;1")+COUNTIF(H12:K12,"&lt;0")+COUNTA(H12:K12)-COUNT(H12:K12))&gt;0,"Avance fuera de rango 0-100%"&amp;" · ","")&amp;IF(OR(AND(I12&lt;&gt;"",I12&lt;H12),AND(J12&lt;&gt;"",J12&lt;MAX(H12:I12)),AND(K12&lt;&gt;"",K12&lt;MAX(H12:J12))),"Avance semanal decreciente"&amp;" · ","")&amp;IF(AND(ISNUMBER(F12),F12&lt;FechaRef,N(L12)&lt;1),"Vencida"&amp;" · ","")&amp;IF(AND(EvidenciaObligatoria="Sí",N(L12)&gt;=1,O12=""),"Completada sin evidencia"&amp;" · ",""))-3)))</f>
        <v/>
      </c>
    </row>
    <row r="13">
      <c r="A13" s="49" t="n"/>
      <c r="B13" s="50">
        <f>IF((COUNTA($A13)+COUNTA($C13:$K13)+COUNTA($N13:$O13))&gt;0,"Asistente Técnico de Riesgo","")</f>
        <v/>
      </c>
      <c r="C13" s="51" t="n"/>
      <c r="D13" s="51" t="n"/>
      <c r="E13" s="52" t="n"/>
      <c r="F13" s="52" t="n"/>
      <c r="G13" s="53" t="n"/>
      <c r="H13" s="54" t="n"/>
      <c r="I13" s="54" t="n"/>
      <c r="J13" s="54" t="n"/>
      <c r="K13" s="54" t="n"/>
      <c r="L13" s="55">
        <f>IF(NOT((COUNTA($A13)+COUNTA($C13:$K13)+COUNTA($N13:$O13))&gt;0),"",IFERROR(LOOKUP(2,1/(H13:K13&lt;&gt;""),H13:K13),0))</f>
        <v/>
      </c>
      <c r="M13" s="56">
        <f>IF(L13="","",IF(L13&gt;=1,"Completado",IF(L13&gt;0,"En curso","Pendiente")))</f>
        <v/>
      </c>
      <c r="N13" s="52" t="n"/>
      <c r="O13" s="51" t="n"/>
      <c r="P13" s="57">
        <f>IF(NOT((COUNTA($A13)+COUNTA($C13:$K13)+COUNTA($N13:$O13))&gt;0),"",IF((IF(A13="","Falta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 OK","⚠ "&amp;LEFT(IF(A13="","Falta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",""),LEN(IF(A13="","Falta ID"&amp;" · ","")&amp;IF(AND(A13&lt;&gt;"",(COUNTIF('Cronograma R. Operacional'!$A$5:$A$1000,A13)+COUNTIF('Cronograma R. Legal y Normativo'!$A$5:$A$1000,A13)+COUNTIF('Cronograma R. Financiero'!$A$5:$A$1000,A13)+COUNTIF('Cronograma Asistente Técnico'!$A$5:$A$1000,A13))&gt;1),"ID duplicado"&amp;" · ","")&amp;IF(C13="","Macroactividad vacía"&amp;" · ","")&amp;IF(D13="","Sin responsable"&amp;" · ","")&amp;IF(E13="","Sin fecha de inicio"&amp;" · ","")&amp;IF(F13="","Sin fecha límite"&amp;" · ","")&amp;IF(OR(AND(E13&lt;&gt;"",NOT(ISNUMBER(E13))),AND(F13&lt;&gt;"",NOT(ISNUMBER(F13)))),"Fecha no válida"&amp;" · ","")&amp;IF(AND(ISNUMBER(E13),ISNUMBER(F13),E13&gt;F13),"Inicio posterior a fecha límite"&amp;" · ","")&amp;IF(G13="","Peso vacío"&amp;" · ","")&amp;IF(AND(G13&lt;&gt;"",OR(NOT(ISNUMBER(G13)),G13&lt;=0,G13&gt;1)),"Peso fuera de rango"&amp;" · ","")&amp;IF(ABS(SUM($G$5:$G$1000)-1)&gt;0.0001,"Pesos del puesto suman "&amp;TEXT(SUM($G$5:$G$1000),"0%")&amp;" · ","")&amp;IF((COUNTIF(H13:K13,"&gt;1")+COUNTIF(H13:K13,"&lt;0")+COUNTA(H13:K13)-COUNT(H13:K13))&gt;0,"Avance fuera de rango 0-100%"&amp;" · ","")&amp;IF(OR(AND(I13&lt;&gt;"",I13&lt;H13),AND(J13&lt;&gt;"",J13&lt;MAX(H13:I13)),AND(K13&lt;&gt;"",K13&lt;MAX(H13:J13))),"Avance semanal decreciente"&amp;" · ","")&amp;IF(AND(ISNUMBER(F13),F13&lt;FechaRef,N(L13)&lt;1),"Vencida"&amp;" · ","")&amp;IF(AND(EvidenciaObligatoria="Sí",N(L13)&gt;=1,O13=""),"Completada sin evidencia"&amp;" · ",""))-3)))</f>
        <v/>
      </c>
    </row>
    <row r="14">
      <c r="A14" s="49" t="n"/>
      <c r="B14" s="50">
        <f>IF((COUNTA($A14)+COUNTA($C14:$K14)+COUNTA($N14:$O14))&gt;0,"Asistente Técnico de Riesgo","")</f>
        <v/>
      </c>
      <c r="C14" s="51" t="n"/>
      <c r="D14" s="51" t="n"/>
      <c r="E14" s="52" t="n"/>
      <c r="F14" s="52" t="n"/>
      <c r="G14" s="53" t="n"/>
      <c r="H14" s="54" t="n"/>
      <c r="I14" s="54" t="n"/>
      <c r="J14" s="54" t="n"/>
      <c r="K14" s="54" t="n"/>
      <c r="L14" s="55">
        <f>IF(NOT((COUNTA($A14)+COUNTA($C14:$K14)+COUNTA($N14:$O14))&gt;0),"",IFERROR(LOOKUP(2,1/(H14:K14&lt;&gt;""),H14:K14),0))</f>
        <v/>
      </c>
      <c r="M14" s="56">
        <f>IF(L14="","",IF(L14&gt;=1,"Completado",IF(L14&gt;0,"En curso","Pendiente")))</f>
        <v/>
      </c>
      <c r="N14" s="52" t="n"/>
      <c r="O14" s="51" t="n"/>
      <c r="P14" s="57">
        <f>IF(NOT((COUNTA($A14)+COUNTA($C14:$K14)+COUNTA($N14:$O14))&gt;0),"",IF((IF(A14="","Falta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 OK","⚠ "&amp;LEFT(IF(A14="","Falta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",""),LEN(IF(A14="","Falta ID"&amp;" · ","")&amp;IF(AND(A14&lt;&gt;"",(COUNTIF('Cronograma R. Operacional'!$A$5:$A$1000,A14)+COUNTIF('Cronograma R. Legal y Normativo'!$A$5:$A$1000,A14)+COUNTIF('Cronograma R. Financiero'!$A$5:$A$1000,A14)+COUNTIF('Cronograma Asistente Técnico'!$A$5:$A$1000,A14))&gt;1),"ID duplicado"&amp;" · ","")&amp;IF(C14="","Macroactividad vacía"&amp;" · ","")&amp;IF(D14="","Sin responsable"&amp;" · ","")&amp;IF(E14="","Sin fecha de inicio"&amp;" · ","")&amp;IF(F14="","Sin fecha límite"&amp;" · ","")&amp;IF(OR(AND(E14&lt;&gt;"",NOT(ISNUMBER(E14))),AND(F14&lt;&gt;"",NOT(ISNUMBER(F14)))),"Fecha no válida"&amp;" · ","")&amp;IF(AND(ISNUMBER(E14),ISNUMBER(F14),E14&gt;F14),"Inicio posterior a fecha límite"&amp;" · ","")&amp;IF(G14="","Peso vacío"&amp;" · ","")&amp;IF(AND(G14&lt;&gt;"",OR(NOT(ISNUMBER(G14)),G14&lt;=0,G14&gt;1)),"Peso fuera de rango"&amp;" · ","")&amp;IF(ABS(SUM($G$5:$G$1000)-1)&gt;0.0001,"Pesos del puesto suman "&amp;TEXT(SUM($G$5:$G$1000),"0%")&amp;" · ","")&amp;IF((COUNTIF(H14:K14,"&gt;1")+COUNTIF(H14:K14,"&lt;0")+COUNTA(H14:K14)-COUNT(H14:K14))&gt;0,"Avance fuera de rango 0-100%"&amp;" · ","")&amp;IF(OR(AND(I14&lt;&gt;"",I14&lt;H14),AND(J14&lt;&gt;"",J14&lt;MAX(H14:I14)),AND(K14&lt;&gt;"",K14&lt;MAX(H14:J14))),"Avance semanal decreciente"&amp;" · ","")&amp;IF(AND(ISNUMBER(F14),F14&lt;FechaRef,N(L14)&lt;1),"Vencida"&amp;" · ","")&amp;IF(AND(EvidenciaObligatoria="Sí",N(L14)&gt;=1,O14=""),"Completada sin evidencia"&amp;" · ",""))-3)))</f>
        <v/>
      </c>
    </row>
    <row r="15">
      <c r="A15" s="49" t="n"/>
      <c r="B15" s="50">
        <f>IF((COUNTA($A15)+COUNTA($C15:$K15)+COUNTA($N15:$O15))&gt;0,"Asistente Técnico de Riesgo","")</f>
        <v/>
      </c>
      <c r="C15" s="51" t="n"/>
      <c r="D15" s="51" t="n"/>
      <c r="E15" s="52" t="n"/>
      <c r="F15" s="52" t="n"/>
      <c r="G15" s="53" t="n"/>
      <c r="H15" s="54" t="n"/>
      <c r="I15" s="54" t="n"/>
      <c r="J15" s="54" t="n"/>
      <c r="K15" s="54" t="n"/>
      <c r="L15" s="55">
        <f>IF(NOT((COUNTA($A15)+COUNTA($C15:$K15)+COUNTA($N15:$O15))&gt;0),"",IFERROR(LOOKUP(2,1/(H15:K15&lt;&gt;""),H15:K15),0))</f>
        <v/>
      </c>
      <c r="M15" s="56">
        <f>IF(L15="","",IF(L15&gt;=1,"Completado",IF(L15&gt;0,"En curso","Pendiente")))</f>
        <v/>
      </c>
      <c r="N15" s="52" t="n"/>
      <c r="O15" s="51" t="n"/>
      <c r="P15" s="57">
        <f>IF(NOT((COUNTA($A15)+COUNTA($C15:$K15)+COUNTA($N15:$O15))&gt;0),"",IF((IF(A15="","Falta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 OK","⚠ "&amp;LEFT(IF(A15="","Falta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",""),LEN(IF(A15="","Falta ID"&amp;" · ","")&amp;IF(AND(A15&lt;&gt;"",(COUNTIF('Cronograma R. Operacional'!$A$5:$A$1000,A15)+COUNTIF('Cronograma R. Legal y Normativo'!$A$5:$A$1000,A15)+COUNTIF('Cronograma R. Financiero'!$A$5:$A$1000,A15)+COUNTIF('Cronograma Asistente Técnico'!$A$5:$A$1000,A15))&gt;1),"ID duplicado"&amp;" · ","")&amp;IF(C15="","Macroactividad vacía"&amp;" · ","")&amp;IF(D15="","Sin responsable"&amp;" · ","")&amp;IF(E15="","Sin fecha de inicio"&amp;" · ","")&amp;IF(F15="","Sin fecha límite"&amp;" · ","")&amp;IF(OR(AND(E15&lt;&gt;"",NOT(ISNUMBER(E15))),AND(F15&lt;&gt;"",NOT(ISNUMBER(F15)))),"Fecha no válida"&amp;" · ","")&amp;IF(AND(ISNUMBER(E15),ISNUMBER(F15),E15&gt;F15),"Inicio posterior a fecha límite"&amp;" · ","")&amp;IF(G15="","Peso vacío"&amp;" · ","")&amp;IF(AND(G15&lt;&gt;"",OR(NOT(ISNUMBER(G15)),G15&lt;=0,G15&gt;1)),"Peso fuera de rango"&amp;" · ","")&amp;IF(ABS(SUM($G$5:$G$1000)-1)&gt;0.0001,"Pesos del puesto suman "&amp;TEXT(SUM($G$5:$G$1000),"0%")&amp;" · ","")&amp;IF((COUNTIF(H15:K15,"&gt;1")+COUNTIF(H15:K15,"&lt;0")+COUNTA(H15:K15)-COUNT(H15:K15))&gt;0,"Avance fuera de rango 0-100%"&amp;" · ","")&amp;IF(OR(AND(I15&lt;&gt;"",I15&lt;H15),AND(J15&lt;&gt;"",J15&lt;MAX(H15:I15)),AND(K15&lt;&gt;"",K15&lt;MAX(H15:J15))),"Avance semanal decreciente"&amp;" · ","")&amp;IF(AND(ISNUMBER(F15),F15&lt;FechaRef,N(L15)&lt;1),"Vencida"&amp;" · ","")&amp;IF(AND(EvidenciaObligatoria="Sí",N(L15)&gt;=1,O15=""),"Completada sin evidencia"&amp;" · ",""))-3)))</f>
        <v/>
      </c>
    </row>
    <row r="16">
      <c r="A16" s="49" t="n"/>
      <c r="B16" s="50">
        <f>IF((COUNTA($A16)+COUNTA($C16:$K16)+COUNTA($N16:$O16))&gt;0,"Asistente Técnico de Riesgo","")</f>
        <v/>
      </c>
      <c r="C16" s="51" t="n"/>
      <c r="D16" s="51" t="n"/>
      <c r="E16" s="52" t="n"/>
      <c r="F16" s="52" t="n"/>
      <c r="G16" s="53" t="n"/>
      <c r="H16" s="54" t="n"/>
      <c r="I16" s="54" t="n"/>
      <c r="J16" s="54" t="n"/>
      <c r="K16" s="54" t="n"/>
      <c r="L16" s="55">
        <f>IF(NOT((COUNTA($A16)+COUNTA($C16:$K16)+COUNTA($N16:$O16))&gt;0),"",IFERROR(LOOKUP(2,1/(H16:K16&lt;&gt;""),H16:K16),0))</f>
        <v/>
      </c>
      <c r="M16" s="56">
        <f>IF(L16="","",IF(L16&gt;=1,"Completado",IF(L16&gt;0,"En curso","Pendiente")))</f>
        <v/>
      </c>
      <c r="N16" s="52" t="n"/>
      <c r="O16" s="51" t="n"/>
      <c r="P16" s="57">
        <f>IF(NOT((COUNTA($A16)+COUNTA($C16:$K16)+COUNTA($N16:$O16))&gt;0),"",IF((IF(A16="","Falta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 OK","⚠ "&amp;LEFT(IF(A16="","Falta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",""),LEN(IF(A16="","Falta ID"&amp;" · ","")&amp;IF(AND(A16&lt;&gt;"",(COUNTIF('Cronograma R. Operacional'!$A$5:$A$1000,A16)+COUNTIF('Cronograma R. Legal y Normativo'!$A$5:$A$1000,A16)+COUNTIF('Cronograma R. Financiero'!$A$5:$A$1000,A16)+COUNTIF('Cronograma Asistente Técnico'!$A$5:$A$1000,A16))&gt;1),"ID duplicado"&amp;" · ","")&amp;IF(C16="","Macroactividad vacía"&amp;" · ","")&amp;IF(D16="","Sin responsable"&amp;" · ","")&amp;IF(E16="","Sin fecha de inicio"&amp;" · ","")&amp;IF(F16="","Sin fecha límite"&amp;" · ","")&amp;IF(OR(AND(E16&lt;&gt;"",NOT(ISNUMBER(E16))),AND(F16&lt;&gt;"",NOT(ISNUMBER(F16)))),"Fecha no válida"&amp;" · ","")&amp;IF(AND(ISNUMBER(E16),ISNUMBER(F16),E16&gt;F16),"Inicio posterior a fecha límite"&amp;" · ","")&amp;IF(G16="","Peso vacío"&amp;" · ","")&amp;IF(AND(G16&lt;&gt;"",OR(NOT(ISNUMBER(G16)),G16&lt;=0,G16&gt;1)),"Peso fuera de rango"&amp;" · ","")&amp;IF(ABS(SUM($G$5:$G$1000)-1)&gt;0.0001,"Pesos del puesto suman "&amp;TEXT(SUM($G$5:$G$1000),"0%")&amp;" · ","")&amp;IF((COUNTIF(H16:K16,"&gt;1")+COUNTIF(H16:K16,"&lt;0")+COUNTA(H16:K16)-COUNT(H16:K16))&gt;0,"Avance fuera de rango 0-100%"&amp;" · ","")&amp;IF(OR(AND(I16&lt;&gt;"",I16&lt;H16),AND(J16&lt;&gt;"",J16&lt;MAX(H16:I16)),AND(K16&lt;&gt;"",K16&lt;MAX(H16:J16))),"Avance semanal decreciente"&amp;" · ","")&amp;IF(AND(ISNUMBER(F16),F16&lt;FechaRef,N(L16)&lt;1),"Vencida"&amp;" · ","")&amp;IF(AND(EvidenciaObligatoria="Sí",N(L16)&gt;=1,O16=""),"Completada sin evidencia"&amp;" · ",""))-3)))</f>
        <v/>
      </c>
    </row>
    <row r="17">
      <c r="A17" s="49" t="n"/>
      <c r="B17" s="50">
        <f>IF((COUNTA($A17)+COUNTA($C17:$K17)+COUNTA($N17:$O17))&gt;0,"Asistente Técnico de Riesgo","")</f>
        <v/>
      </c>
      <c r="C17" s="51" t="n"/>
      <c r="D17" s="51" t="n"/>
      <c r="E17" s="52" t="n"/>
      <c r="F17" s="52" t="n"/>
      <c r="G17" s="53" t="n"/>
      <c r="H17" s="54" t="n"/>
      <c r="I17" s="54" t="n"/>
      <c r="J17" s="54" t="n"/>
      <c r="K17" s="54" t="n"/>
      <c r="L17" s="55">
        <f>IF(NOT((COUNTA($A17)+COUNTA($C17:$K17)+COUNTA($N17:$O17))&gt;0),"",IFERROR(LOOKUP(2,1/(H17:K17&lt;&gt;""),H17:K17),0))</f>
        <v/>
      </c>
      <c r="M17" s="56">
        <f>IF(L17="","",IF(L17&gt;=1,"Completado",IF(L17&gt;0,"En curso","Pendiente")))</f>
        <v/>
      </c>
      <c r="N17" s="52" t="n"/>
      <c r="O17" s="51" t="n"/>
      <c r="P17" s="57">
        <f>IF(NOT((COUNTA($A17)+COUNTA($C17:$K17)+COUNTA($N17:$O17))&gt;0),"",IF((IF(A17="","Falta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 OK","⚠ "&amp;LEFT(IF(A17="","Falta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",""),LEN(IF(A17="","Falta ID"&amp;" · ","")&amp;IF(AND(A17&lt;&gt;"",(COUNTIF('Cronograma R. Operacional'!$A$5:$A$1000,A17)+COUNTIF('Cronograma R. Legal y Normativo'!$A$5:$A$1000,A17)+COUNTIF('Cronograma R. Financiero'!$A$5:$A$1000,A17)+COUNTIF('Cronograma Asistente Técnico'!$A$5:$A$1000,A17))&gt;1),"ID duplicado"&amp;" · ","")&amp;IF(C17="","Macroactividad vacía"&amp;" · ","")&amp;IF(D17="","Sin responsable"&amp;" · ","")&amp;IF(E17="","Sin fecha de inicio"&amp;" · ","")&amp;IF(F17="","Sin fecha límite"&amp;" · ","")&amp;IF(OR(AND(E17&lt;&gt;"",NOT(ISNUMBER(E17))),AND(F17&lt;&gt;"",NOT(ISNUMBER(F17)))),"Fecha no válida"&amp;" · ","")&amp;IF(AND(ISNUMBER(E17),ISNUMBER(F17),E17&gt;F17),"Inicio posterior a fecha límite"&amp;" · ","")&amp;IF(G17="","Peso vacío"&amp;" · ","")&amp;IF(AND(G17&lt;&gt;"",OR(NOT(ISNUMBER(G17)),G17&lt;=0,G17&gt;1)),"Peso fuera de rango"&amp;" · ","")&amp;IF(ABS(SUM($G$5:$G$1000)-1)&gt;0.0001,"Pesos del puesto suman "&amp;TEXT(SUM($G$5:$G$1000),"0%")&amp;" · ","")&amp;IF((COUNTIF(H17:K17,"&gt;1")+COUNTIF(H17:K17,"&lt;0")+COUNTA(H17:K17)-COUNT(H17:K17))&gt;0,"Avance fuera de rango 0-100%"&amp;" · ","")&amp;IF(OR(AND(I17&lt;&gt;"",I17&lt;H17),AND(J17&lt;&gt;"",J17&lt;MAX(H17:I17)),AND(K17&lt;&gt;"",K17&lt;MAX(H17:J17))),"Avance semanal decreciente"&amp;" · ","")&amp;IF(AND(ISNUMBER(F17),F17&lt;FechaRef,N(L17)&lt;1),"Vencida"&amp;" · ","")&amp;IF(AND(EvidenciaObligatoria="Sí",N(L17)&gt;=1,O17=""),"Completada sin evidencia"&amp;" · ",""))-3)))</f>
        <v/>
      </c>
    </row>
    <row r="18">
      <c r="A18" s="49" t="n"/>
      <c r="B18" s="50">
        <f>IF((COUNTA($A18)+COUNTA($C18:$K18)+COUNTA($N18:$O18))&gt;0,"Asistente Técnico de Riesgo","")</f>
        <v/>
      </c>
      <c r="C18" s="51" t="n"/>
      <c r="D18" s="51" t="n"/>
      <c r="E18" s="52" t="n"/>
      <c r="F18" s="52" t="n"/>
      <c r="G18" s="53" t="n"/>
      <c r="H18" s="54" t="n"/>
      <c r="I18" s="54" t="n"/>
      <c r="J18" s="54" t="n"/>
      <c r="K18" s="54" t="n"/>
      <c r="L18" s="55">
        <f>IF(NOT((COUNTA($A18)+COUNTA($C18:$K18)+COUNTA($N18:$O18))&gt;0),"",IFERROR(LOOKUP(2,1/(H18:K18&lt;&gt;""),H18:K18),0))</f>
        <v/>
      </c>
      <c r="M18" s="56">
        <f>IF(L18="","",IF(L18&gt;=1,"Completado",IF(L18&gt;0,"En curso","Pendiente")))</f>
        <v/>
      </c>
      <c r="N18" s="52" t="n"/>
      <c r="O18" s="51" t="n"/>
      <c r="P18" s="57">
        <f>IF(NOT((COUNTA($A18)+COUNTA($C18:$K18)+COUNTA($N18:$O18))&gt;0),"",IF((IF(A18="","Falta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 OK","⚠ "&amp;LEFT(IF(A18="","Falta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",""),LEN(IF(A18="","Falta ID"&amp;" · ","")&amp;IF(AND(A18&lt;&gt;"",(COUNTIF('Cronograma R. Operacional'!$A$5:$A$1000,A18)+COUNTIF('Cronograma R. Legal y Normativo'!$A$5:$A$1000,A18)+COUNTIF('Cronograma R. Financiero'!$A$5:$A$1000,A18)+COUNTIF('Cronograma Asistente Técnico'!$A$5:$A$1000,A18))&gt;1),"ID duplicado"&amp;" · ","")&amp;IF(C18="","Macroactividad vacía"&amp;" · ","")&amp;IF(D18="","Sin responsable"&amp;" · ","")&amp;IF(E18="","Sin fecha de inicio"&amp;" · ","")&amp;IF(F18="","Sin fecha límite"&amp;" · ","")&amp;IF(OR(AND(E18&lt;&gt;"",NOT(ISNUMBER(E18))),AND(F18&lt;&gt;"",NOT(ISNUMBER(F18)))),"Fecha no válida"&amp;" · ","")&amp;IF(AND(ISNUMBER(E18),ISNUMBER(F18),E18&gt;F18),"Inicio posterior a fecha límite"&amp;" · ","")&amp;IF(G18="","Peso vacío"&amp;" · ","")&amp;IF(AND(G18&lt;&gt;"",OR(NOT(ISNUMBER(G18)),G18&lt;=0,G18&gt;1)),"Peso fuera de rango"&amp;" · ","")&amp;IF(ABS(SUM($G$5:$G$1000)-1)&gt;0.0001,"Pesos del puesto suman "&amp;TEXT(SUM($G$5:$G$1000),"0%")&amp;" · ","")&amp;IF((COUNTIF(H18:K18,"&gt;1")+COUNTIF(H18:K18,"&lt;0")+COUNTA(H18:K18)-COUNT(H18:K18))&gt;0,"Avance fuera de rango 0-100%"&amp;" · ","")&amp;IF(OR(AND(I18&lt;&gt;"",I18&lt;H18),AND(J18&lt;&gt;"",J18&lt;MAX(H18:I18)),AND(K18&lt;&gt;"",K18&lt;MAX(H18:J18))),"Avance semanal decreciente"&amp;" · ","")&amp;IF(AND(ISNUMBER(F18),F18&lt;FechaRef,N(L18)&lt;1),"Vencida"&amp;" · ","")&amp;IF(AND(EvidenciaObligatoria="Sí",N(L18)&gt;=1,O18=""),"Completada sin evidencia"&amp;" · ",""))-3)))</f>
        <v/>
      </c>
    </row>
    <row r="19">
      <c r="A19" s="49" t="n"/>
      <c r="B19" s="50">
        <f>IF((COUNTA($A19)+COUNTA($C19:$K19)+COUNTA($N19:$O19))&gt;0,"Asistente Técnico de Riesgo","")</f>
        <v/>
      </c>
      <c r="C19" s="51" t="n"/>
      <c r="D19" s="51" t="n"/>
      <c r="E19" s="52" t="n"/>
      <c r="F19" s="52" t="n"/>
      <c r="G19" s="53" t="n"/>
      <c r="H19" s="54" t="n"/>
      <c r="I19" s="54" t="n"/>
      <c r="J19" s="54" t="n"/>
      <c r="K19" s="54" t="n"/>
      <c r="L19" s="55">
        <f>IF(NOT((COUNTA($A19)+COUNTA($C19:$K19)+COUNTA($N19:$O19))&gt;0),"",IFERROR(LOOKUP(2,1/(H19:K19&lt;&gt;""),H19:K19),0))</f>
        <v/>
      </c>
      <c r="M19" s="56">
        <f>IF(L19="","",IF(L19&gt;=1,"Completado",IF(L19&gt;0,"En curso","Pendiente")))</f>
        <v/>
      </c>
      <c r="N19" s="52" t="n"/>
      <c r="O19" s="51" t="n"/>
      <c r="P19" s="57">
        <f>IF(NOT((COUNTA($A19)+COUNTA($C19:$K19)+COUNTA($N19:$O19))&gt;0),"",IF((IF(A19="","Falta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 OK","⚠ "&amp;LEFT(IF(A19="","Falta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",""),LEN(IF(A19="","Falta ID"&amp;" · ","")&amp;IF(AND(A19&lt;&gt;"",(COUNTIF('Cronograma R. Operacional'!$A$5:$A$1000,A19)+COUNTIF('Cronograma R. Legal y Normativo'!$A$5:$A$1000,A19)+COUNTIF('Cronograma R. Financiero'!$A$5:$A$1000,A19)+COUNTIF('Cronograma Asistente Técnico'!$A$5:$A$1000,A19))&gt;1),"ID duplicado"&amp;" · ","")&amp;IF(C19="","Macroactividad vacía"&amp;" · ","")&amp;IF(D19="","Sin responsable"&amp;" · ","")&amp;IF(E19="","Sin fecha de inicio"&amp;" · ","")&amp;IF(F19="","Sin fecha límite"&amp;" · ","")&amp;IF(OR(AND(E19&lt;&gt;"",NOT(ISNUMBER(E19))),AND(F19&lt;&gt;"",NOT(ISNUMBER(F19)))),"Fecha no válida"&amp;" · ","")&amp;IF(AND(ISNUMBER(E19),ISNUMBER(F19),E19&gt;F19),"Inicio posterior a fecha límite"&amp;" · ","")&amp;IF(G19="","Peso vacío"&amp;" · ","")&amp;IF(AND(G19&lt;&gt;"",OR(NOT(ISNUMBER(G19)),G19&lt;=0,G19&gt;1)),"Peso fuera de rango"&amp;" · ","")&amp;IF(ABS(SUM($G$5:$G$1000)-1)&gt;0.0001,"Pesos del puesto suman "&amp;TEXT(SUM($G$5:$G$1000),"0%")&amp;" · ","")&amp;IF((COUNTIF(H19:K19,"&gt;1")+COUNTIF(H19:K19,"&lt;0")+COUNTA(H19:K19)-COUNT(H19:K19))&gt;0,"Avance fuera de rango 0-100%"&amp;" · ","")&amp;IF(OR(AND(I19&lt;&gt;"",I19&lt;H19),AND(J19&lt;&gt;"",J19&lt;MAX(H19:I19)),AND(K19&lt;&gt;"",K19&lt;MAX(H19:J19))),"Avance semanal decreciente"&amp;" · ","")&amp;IF(AND(ISNUMBER(F19),F19&lt;FechaRef,N(L19)&lt;1),"Vencida"&amp;" · ","")&amp;IF(AND(EvidenciaObligatoria="Sí",N(L19)&gt;=1,O19=""),"Completada sin evidencia"&amp;" · ",""))-3)))</f>
        <v/>
      </c>
    </row>
    <row r="20">
      <c r="A20" s="49" t="n"/>
      <c r="B20" s="50">
        <f>IF((COUNTA($A20)+COUNTA($C20:$K20)+COUNTA($N20:$O20))&gt;0,"Asistente Técnico de Riesgo","")</f>
        <v/>
      </c>
      <c r="C20" s="51" t="n"/>
      <c r="D20" s="51" t="n"/>
      <c r="E20" s="52" t="n"/>
      <c r="F20" s="52" t="n"/>
      <c r="G20" s="53" t="n"/>
      <c r="H20" s="54" t="n"/>
      <c r="I20" s="54" t="n"/>
      <c r="J20" s="54" t="n"/>
      <c r="K20" s="54" t="n"/>
      <c r="L20" s="55">
        <f>IF(NOT((COUNTA($A20)+COUNTA($C20:$K20)+COUNTA($N20:$O20))&gt;0),"",IFERROR(LOOKUP(2,1/(H20:K20&lt;&gt;""),H20:K20),0))</f>
        <v/>
      </c>
      <c r="M20" s="56">
        <f>IF(L20="","",IF(L20&gt;=1,"Completado",IF(L20&gt;0,"En curso","Pendiente")))</f>
        <v/>
      </c>
      <c r="N20" s="52" t="n"/>
      <c r="O20" s="51" t="n"/>
      <c r="P20" s="57">
        <f>IF(NOT((COUNTA($A20)+COUNTA($C20:$K20)+COUNTA($N20:$O20))&gt;0),"",IF((IF(A20="","Falta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 OK","⚠ "&amp;LEFT(IF(A20="","Falta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",""),LEN(IF(A20="","Falta ID"&amp;" · ","")&amp;IF(AND(A20&lt;&gt;"",(COUNTIF('Cronograma R. Operacional'!$A$5:$A$1000,A20)+COUNTIF('Cronograma R. Legal y Normativo'!$A$5:$A$1000,A20)+COUNTIF('Cronograma R. Financiero'!$A$5:$A$1000,A20)+COUNTIF('Cronograma Asistente Técnico'!$A$5:$A$1000,A20))&gt;1),"ID duplicado"&amp;" · ","")&amp;IF(C20="","Macroactividad vacía"&amp;" · ","")&amp;IF(D20="","Sin responsable"&amp;" · ","")&amp;IF(E20="","Sin fecha de inicio"&amp;" · ","")&amp;IF(F20="","Sin fecha límite"&amp;" · ","")&amp;IF(OR(AND(E20&lt;&gt;"",NOT(ISNUMBER(E20))),AND(F20&lt;&gt;"",NOT(ISNUMBER(F20)))),"Fecha no válida"&amp;" · ","")&amp;IF(AND(ISNUMBER(E20),ISNUMBER(F20),E20&gt;F20),"Inicio posterior a fecha límite"&amp;" · ","")&amp;IF(G20="","Peso vacío"&amp;" · ","")&amp;IF(AND(G20&lt;&gt;"",OR(NOT(ISNUMBER(G20)),G20&lt;=0,G20&gt;1)),"Peso fuera de rango"&amp;" · ","")&amp;IF(ABS(SUM($G$5:$G$1000)-1)&gt;0.0001,"Pesos del puesto suman "&amp;TEXT(SUM($G$5:$G$1000),"0%")&amp;" · ","")&amp;IF((COUNTIF(H20:K20,"&gt;1")+COUNTIF(H20:K20,"&lt;0")+COUNTA(H20:K20)-COUNT(H20:K20))&gt;0,"Avance fuera de rango 0-100%"&amp;" · ","")&amp;IF(OR(AND(I20&lt;&gt;"",I20&lt;H20),AND(J20&lt;&gt;"",J20&lt;MAX(H20:I20)),AND(K20&lt;&gt;"",K20&lt;MAX(H20:J20))),"Avance semanal decreciente"&amp;" · ","")&amp;IF(AND(ISNUMBER(F20),F20&lt;FechaRef,N(L20)&lt;1),"Vencida"&amp;" · ","")&amp;IF(AND(EvidenciaObligatoria="Sí",N(L20)&gt;=1,O20=""),"Completada sin evidencia"&amp;" · ",""))-3)))</f>
        <v/>
      </c>
    </row>
    <row r="21">
      <c r="A21" s="49" t="n"/>
      <c r="B21" s="50">
        <f>IF((COUNTA($A21)+COUNTA($C21:$K21)+COUNTA($N21:$O21))&gt;0,"Asistente Técnico de Riesgo","")</f>
        <v/>
      </c>
      <c r="C21" s="51" t="n"/>
      <c r="D21" s="51" t="n"/>
      <c r="E21" s="52" t="n"/>
      <c r="F21" s="52" t="n"/>
      <c r="G21" s="53" t="n"/>
      <c r="H21" s="54" t="n"/>
      <c r="I21" s="54" t="n"/>
      <c r="J21" s="54" t="n"/>
      <c r="K21" s="54" t="n"/>
      <c r="L21" s="55">
        <f>IF(NOT((COUNTA($A21)+COUNTA($C21:$K21)+COUNTA($N21:$O21))&gt;0),"",IFERROR(LOOKUP(2,1/(H21:K21&lt;&gt;""),H21:K21),0))</f>
        <v/>
      </c>
      <c r="M21" s="56">
        <f>IF(L21="","",IF(L21&gt;=1,"Completado",IF(L21&gt;0,"En curso","Pendiente")))</f>
        <v/>
      </c>
      <c r="N21" s="52" t="n"/>
      <c r="O21" s="51" t="n"/>
      <c r="P21" s="57">
        <f>IF(NOT((COUNTA($A21)+COUNTA($C21:$K21)+COUNTA($N21:$O21))&gt;0),"",IF((IF(A21="","Falta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 OK","⚠ "&amp;LEFT(IF(A21="","Falta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",""),LEN(IF(A21="","Falta ID"&amp;" · ","")&amp;IF(AND(A21&lt;&gt;"",(COUNTIF('Cronograma R. Operacional'!$A$5:$A$1000,A21)+COUNTIF('Cronograma R. Legal y Normativo'!$A$5:$A$1000,A21)+COUNTIF('Cronograma R. Financiero'!$A$5:$A$1000,A21)+COUNTIF('Cronograma Asistente Técnico'!$A$5:$A$1000,A21))&gt;1),"ID duplicado"&amp;" · ","")&amp;IF(C21="","Macroactividad vacía"&amp;" · ","")&amp;IF(D21="","Sin responsable"&amp;" · ","")&amp;IF(E21="","Sin fecha de inicio"&amp;" · ","")&amp;IF(F21="","Sin fecha límite"&amp;" · ","")&amp;IF(OR(AND(E21&lt;&gt;"",NOT(ISNUMBER(E21))),AND(F21&lt;&gt;"",NOT(ISNUMBER(F21)))),"Fecha no válida"&amp;" · ","")&amp;IF(AND(ISNUMBER(E21),ISNUMBER(F21),E21&gt;F21),"Inicio posterior a fecha límite"&amp;" · ","")&amp;IF(G21="","Peso vacío"&amp;" · ","")&amp;IF(AND(G21&lt;&gt;"",OR(NOT(ISNUMBER(G21)),G21&lt;=0,G21&gt;1)),"Peso fuera de rango"&amp;" · ","")&amp;IF(ABS(SUM($G$5:$G$1000)-1)&gt;0.0001,"Pesos del puesto suman "&amp;TEXT(SUM($G$5:$G$1000),"0%")&amp;" · ","")&amp;IF((COUNTIF(H21:K21,"&gt;1")+COUNTIF(H21:K21,"&lt;0")+COUNTA(H21:K21)-COUNT(H21:K21))&gt;0,"Avance fuera de rango 0-100%"&amp;" · ","")&amp;IF(OR(AND(I21&lt;&gt;"",I21&lt;H21),AND(J21&lt;&gt;"",J21&lt;MAX(H21:I21)),AND(K21&lt;&gt;"",K21&lt;MAX(H21:J21))),"Avance semanal decreciente"&amp;" · ","")&amp;IF(AND(ISNUMBER(F21),F21&lt;FechaRef,N(L21)&lt;1),"Vencida"&amp;" · ","")&amp;IF(AND(EvidenciaObligatoria="Sí",N(L21)&gt;=1,O21=""),"Completada sin evidencia"&amp;" · ",""))-3)))</f>
        <v/>
      </c>
    </row>
    <row r="22">
      <c r="A22" s="49" t="n"/>
      <c r="B22" s="50">
        <f>IF((COUNTA($A22)+COUNTA($C22:$K22)+COUNTA($N22:$O22))&gt;0,"Asistente Técnico de Riesgo","")</f>
        <v/>
      </c>
      <c r="C22" s="51" t="n"/>
      <c r="D22" s="51" t="n"/>
      <c r="E22" s="52" t="n"/>
      <c r="F22" s="52" t="n"/>
      <c r="G22" s="53" t="n"/>
      <c r="H22" s="54" t="n"/>
      <c r="I22" s="54" t="n"/>
      <c r="J22" s="54" t="n"/>
      <c r="K22" s="54" t="n"/>
      <c r="L22" s="55">
        <f>IF(NOT((COUNTA($A22)+COUNTA($C22:$K22)+COUNTA($N22:$O22))&gt;0),"",IFERROR(LOOKUP(2,1/(H22:K22&lt;&gt;""),H22:K22),0))</f>
        <v/>
      </c>
      <c r="M22" s="56">
        <f>IF(L22="","",IF(L22&gt;=1,"Completado",IF(L22&gt;0,"En curso","Pendiente")))</f>
        <v/>
      </c>
      <c r="N22" s="52" t="n"/>
      <c r="O22" s="51" t="n"/>
      <c r="P22" s="57">
        <f>IF(NOT((COUNTA($A22)+COUNTA($C22:$K22)+COUNTA($N22:$O22))&gt;0),"",IF((IF(A22="","Falta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 OK","⚠ "&amp;LEFT(IF(A22="","Falta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",""),LEN(IF(A22="","Falta ID"&amp;" · ","")&amp;IF(AND(A22&lt;&gt;"",(COUNTIF('Cronograma R. Operacional'!$A$5:$A$1000,A22)+COUNTIF('Cronograma R. Legal y Normativo'!$A$5:$A$1000,A22)+COUNTIF('Cronograma R. Financiero'!$A$5:$A$1000,A22)+COUNTIF('Cronograma Asistente Técnico'!$A$5:$A$1000,A22))&gt;1),"ID duplicado"&amp;" · ","")&amp;IF(C22="","Macroactividad vacía"&amp;" · ","")&amp;IF(D22="","Sin responsable"&amp;" · ","")&amp;IF(E22="","Sin fecha de inicio"&amp;" · ","")&amp;IF(F22="","Sin fecha límite"&amp;" · ","")&amp;IF(OR(AND(E22&lt;&gt;"",NOT(ISNUMBER(E22))),AND(F22&lt;&gt;"",NOT(ISNUMBER(F22)))),"Fecha no válida"&amp;" · ","")&amp;IF(AND(ISNUMBER(E22),ISNUMBER(F22),E22&gt;F22),"Inicio posterior a fecha límite"&amp;" · ","")&amp;IF(G22="","Peso vacío"&amp;" · ","")&amp;IF(AND(G22&lt;&gt;"",OR(NOT(ISNUMBER(G22)),G22&lt;=0,G22&gt;1)),"Peso fuera de rango"&amp;" · ","")&amp;IF(ABS(SUM($G$5:$G$1000)-1)&gt;0.0001,"Pesos del puesto suman "&amp;TEXT(SUM($G$5:$G$1000),"0%")&amp;" · ","")&amp;IF((COUNTIF(H22:K22,"&gt;1")+COUNTIF(H22:K22,"&lt;0")+COUNTA(H22:K22)-COUNT(H22:K22))&gt;0,"Avance fuera de rango 0-100%"&amp;" · ","")&amp;IF(OR(AND(I22&lt;&gt;"",I22&lt;H22),AND(J22&lt;&gt;"",J22&lt;MAX(H22:I22)),AND(K22&lt;&gt;"",K22&lt;MAX(H22:J22))),"Avance semanal decreciente"&amp;" · ","")&amp;IF(AND(ISNUMBER(F22),F22&lt;FechaRef,N(L22)&lt;1),"Vencida"&amp;" · ","")&amp;IF(AND(EvidenciaObligatoria="Sí",N(L22)&gt;=1,O22=""),"Completada sin evidencia"&amp;" · ",""))-3)))</f>
        <v/>
      </c>
    </row>
    <row r="23">
      <c r="A23" s="49" t="n"/>
      <c r="B23" s="50">
        <f>IF((COUNTA($A23)+COUNTA($C23:$K23)+COUNTA($N23:$O23))&gt;0,"Asistente Técnico de Riesgo","")</f>
        <v/>
      </c>
      <c r="C23" s="51" t="n"/>
      <c r="D23" s="51" t="n"/>
      <c r="E23" s="52" t="n"/>
      <c r="F23" s="52" t="n"/>
      <c r="G23" s="53" t="n"/>
      <c r="H23" s="54" t="n"/>
      <c r="I23" s="54" t="n"/>
      <c r="J23" s="54" t="n"/>
      <c r="K23" s="54" t="n"/>
      <c r="L23" s="55">
        <f>IF(NOT((COUNTA($A23)+COUNTA($C23:$K23)+COUNTA($N23:$O23))&gt;0),"",IFERROR(LOOKUP(2,1/(H23:K23&lt;&gt;""),H23:K23),0))</f>
        <v/>
      </c>
      <c r="M23" s="56">
        <f>IF(L23="","",IF(L23&gt;=1,"Completado",IF(L23&gt;0,"En curso","Pendiente")))</f>
        <v/>
      </c>
      <c r="N23" s="52" t="n"/>
      <c r="O23" s="51" t="n"/>
      <c r="P23" s="57">
        <f>IF(NOT((COUNTA($A23)+COUNTA($C23:$K23)+COUNTA($N23:$O23))&gt;0),"",IF((IF(A23="","Falta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 OK","⚠ "&amp;LEFT(IF(A23="","Falta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",""),LEN(IF(A23="","Falta ID"&amp;" · ","")&amp;IF(AND(A23&lt;&gt;"",(COUNTIF('Cronograma R. Operacional'!$A$5:$A$1000,A23)+COUNTIF('Cronograma R. Legal y Normativo'!$A$5:$A$1000,A23)+COUNTIF('Cronograma R. Financiero'!$A$5:$A$1000,A23)+COUNTIF('Cronograma Asistente Técnico'!$A$5:$A$1000,A23))&gt;1),"ID duplicado"&amp;" · ","")&amp;IF(C23="","Macroactividad vacía"&amp;" · ","")&amp;IF(D23="","Sin responsable"&amp;" · ","")&amp;IF(E23="","Sin fecha de inicio"&amp;" · ","")&amp;IF(F23="","Sin fecha límite"&amp;" · ","")&amp;IF(OR(AND(E23&lt;&gt;"",NOT(ISNUMBER(E23))),AND(F23&lt;&gt;"",NOT(ISNUMBER(F23)))),"Fecha no válida"&amp;" · ","")&amp;IF(AND(ISNUMBER(E23),ISNUMBER(F23),E23&gt;F23),"Inicio posterior a fecha límite"&amp;" · ","")&amp;IF(G23="","Peso vacío"&amp;" · ","")&amp;IF(AND(G23&lt;&gt;"",OR(NOT(ISNUMBER(G23)),G23&lt;=0,G23&gt;1)),"Peso fuera de rango"&amp;" · ","")&amp;IF(ABS(SUM($G$5:$G$1000)-1)&gt;0.0001,"Pesos del puesto suman "&amp;TEXT(SUM($G$5:$G$1000),"0%")&amp;" · ","")&amp;IF((COUNTIF(H23:K23,"&gt;1")+COUNTIF(H23:K23,"&lt;0")+COUNTA(H23:K23)-COUNT(H23:K23))&gt;0,"Avance fuera de rango 0-100%"&amp;" · ","")&amp;IF(OR(AND(I23&lt;&gt;"",I23&lt;H23),AND(J23&lt;&gt;"",J23&lt;MAX(H23:I23)),AND(K23&lt;&gt;"",K23&lt;MAX(H23:J23))),"Avance semanal decreciente"&amp;" · ","")&amp;IF(AND(ISNUMBER(F23),F23&lt;FechaRef,N(L23)&lt;1),"Vencida"&amp;" · ","")&amp;IF(AND(EvidenciaObligatoria="Sí",N(L23)&gt;=1,O23=""),"Completada sin evidencia"&amp;" · ",""))-3)))</f>
        <v/>
      </c>
    </row>
    <row r="24">
      <c r="A24" s="49" t="n"/>
      <c r="B24" s="50">
        <f>IF((COUNTA($A24)+COUNTA($C24:$K24)+COUNTA($N24:$O24))&gt;0,"Asistente Técnico de Riesgo","")</f>
        <v/>
      </c>
      <c r="C24" s="51" t="n"/>
      <c r="D24" s="51" t="n"/>
      <c r="E24" s="52" t="n"/>
      <c r="F24" s="52" t="n"/>
      <c r="G24" s="53" t="n"/>
      <c r="H24" s="54" t="n"/>
      <c r="I24" s="54" t="n"/>
      <c r="J24" s="54" t="n"/>
      <c r="K24" s="54" t="n"/>
      <c r="L24" s="55">
        <f>IF(NOT((COUNTA($A24)+COUNTA($C24:$K24)+COUNTA($N24:$O24))&gt;0),"",IFERROR(LOOKUP(2,1/(H24:K24&lt;&gt;""),H24:K24),0))</f>
        <v/>
      </c>
      <c r="M24" s="56">
        <f>IF(L24="","",IF(L24&gt;=1,"Completado",IF(L24&gt;0,"En curso","Pendiente")))</f>
        <v/>
      </c>
      <c r="N24" s="52" t="n"/>
      <c r="O24" s="51" t="n"/>
      <c r="P24" s="57">
        <f>IF(NOT((COUNTA($A24)+COUNTA($C24:$K24)+COUNTA($N24:$O24))&gt;0),"",IF((IF(A24="","Falta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 OK","⚠ "&amp;LEFT(IF(A24="","Falta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",""),LEN(IF(A24="","Falta ID"&amp;" · ","")&amp;IF(AND(A24&lt;&gt;"",(COUNTIF('Cronograma R. Operacional'!$A$5:$A$1000,A24)+COUNTIF('Cronograma R. Legal y Normativo'!$A$5:$A$1000,A24)+COUNTIF('Cronograma R. Financiero'!$A$5:$A$1000,A24)+COUNTIF('Cronograma Asistente Técnico'!$A$5:$A$1000,A24))&gt;1),"ID duplicado"&amp;" · ","")&amp;IF(C24="","Macroactividad vacía"&amp;" · ","")&amp;IF(D24="","Sin responsable"&amp;" · ","")&amp;IF(E24="","Sin fecha de inicio"&amp;" · ","")&amp;IF(F24="","Sin fecha límite"&amp;" · ","")&amp;IF(OR(AND(E24&lt;&gt;"",NOT(ISNUMBER(E24))),AND(F24&lt;&gt;"",NOT(ISNUMBER(F24)))),"Fecha no válida"&amp;" · ","")&amp;IF(AND(ISNUMBER(E24),ISNUMBER(F24),E24&gt;F24),"Inicio posterior a fecha límite"&amp;" · ","")&amp;IF(G24="","Peso vacío"&amp;" · ","")&amp;IF(AND(G24&lt;&gt;"",OR(NOT(ISNUMBER(G24)),G24&lt;=0,G24&gt;1)),"Peso fuera de rango"&amp;" · ","")&amp;IF(ABS(SUM($G$5:$G$1000)-1)&gt;0.0001,"Pesos del puesto suman "&amp;TEXT(SUM($G$5:$G$1000),"0%")&amp;" · ","")&amp;IF((COUNTIF(H24:K24,"&gt;1")+COUNTIF(H24:K24,"&lt;0")+COUNTA(H24:K24)-COUNT(H24:K24))&gt;0,"Avance fuera de rango 0-100%"&amp;" · ","")&amp;IF(OR(AND(I24&lt;&gt;"",I24&lt;H24),AND(J24&lt;&gt;"",J24&lt;MAX(H24:I24)),AND(K24&lt;&gt;"",K24&lt;MAX(H24:J24))),"Avance semanal decreciente"&amp;" · ","")&amp;IF(AND(ISNUMBER(F24),F24&lt;FechaRef,N(L24)&lt;1),"Vencida"&amp;" · ","")&amp;IF(AND(EvidenciaObligatoria="Sí",N(L24)&gt;=1,O24=""),"Completada sin evidencia"&amp;" · ",""))-3)))</f>
        <v/>
      </c>
    </row>
    <row r="25">
      <c r="A25" s="49" t="n"/>
      <c r="B25" s="50">
        <f>IF((COUNTA($A25)+COUNTA($C25:$K25)+COUNTA($N25:$O25))&gt;0,"Asistente Técnico de Riesgo","")</f>
        <v/>
      </c>
      <c r="C25" s="51" t="n"/>
      <c r="D25" s="51" t="n"/>
      <c r="E25" s="52" t="n"/>
      <c r="F25" s="52" t="n"/>
      <c r="G25" s="53" t="n"/>
      <c r="H25" s="54" t="n"/>
      <c r="I25" s="54" t="n"/>
      <c r="J25" s="54" t="n"/>
      <c r="K25" s="54" t="n"/>
      <c r="L25" s="55">
        <f>IF(NOT((COUNTA($A25)+COUNTA($C25:$K25)+COUNTA($N25:$O25))&gt;0),"",IFERROR(LOOKUP(2,1/(H25:K25&lt;&gt;""),H25:K25),0))</f>
        <v/>
      </c>
      <c r="M25" s="56">
        <f>IF(L25="","",IF(L25&gt;=1,"Completado",IF(L25&gt;0,"En curso","Pendiente")))</f>
        <v/>
      </c>
      <c r="N25" s="52" t="n"/>
      <c r="O25" s="51" t="n"/>
      <c r="P25" s="57">
        <f>IF(NOT((COUNTA($A25)+COUNTA($C25:$K25)+COUNTA($N25:$O25))&gt;0),"",IF((IF(A25="","Falta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 OK","⚠ "&amp;LEFT(IF(A25="","Falta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",""),LEN(IF(A25="","Falta ID"&amp;" · ","")&amp;IF(AND(A25&lt;&gt;"",(COUNTIF('Cronograma R. Operacional'!$A$5:$A$1000,A25)+COUNTIF('Cronograma R. Legal y Normativo'!$A$5:$A$1000,A25)+COUNTIF('Cronograma R. Financiero'!$A$5:$A$1000,A25)+COUNTIF('Cronograma Asistente Técnico'!$A$5:$A$1000,A25))&gt;1),"ID duplicado"&amp;" · ","")&amp;IF(C25="","Macroactividad vacía"&amp;" · ","")&amp;IF(D25="","Sin responsable"&amp;" · ","")&amp;IF(E25="","Sin fecha de inicio"&amp;" · ","")&amp;IF(F25="","Sin fecha límite"&amp;" · ","")&amp;IF(OR(AND(E25&lt;&gt;"",NOT(ISNUMBER(E25))),AND(F25&lt;&gt;"",NOT(ISNUMBER(F25)))),"Fecha no válida"&amp;" · ","")&amp;IF(AND(ISNUMBER(E25),ISNUMBER(F25),E25&gt;F25),"Inicio posterior a fecha límite"&amp;" · ","")&amp;IF(G25="","Peso vacío"&amp;" · ","")&amp;IF(AND(G25&lt;&gt;"",OR(NOT(ISNUMBER(G25)),G25&lt;=0,G25&gt;1)),"Peso fuera de rango"&amp;" · ","")&amp;IF(ABS(SUM($G$5:$G$1000)-1)&gt;0.0001,"Pesos del puesto suman "&amp;TEXT(SUM($G$5:$G$1000),"0%")&amp;" · ","")&amp;IF((COUNTIF(H25:K25,"&gt;1")+COUNTIF(H25:K25,"&lt;0")+COUNTA(H25:K25)-COUNT(H25:K25))&gt;0,"Avance fuera de rango 0-100%"&amp;" · ","")&amp;IF(OR(AND(I25&lt;&gt;"",I25&lt;H25),AND(J25&lt;&gt;"",J25&lt;MAX(H25:I25)),AND(K25&lt;&gt;"",K25&lt;MAX(H25:J25))),"Avance semanal decreciente"&amp;" · ","")&amp;IF(AND(ISNUMBER(F25),F25&lt;FechaRef,N(L25)&lt;1),"Vencida"&amp;" · ","")&amp;IF(AND(EvidenciaObligatoria="Sí",N(L25)&gt;=1,O25=""),"Completada sin evidencia"&amp;" · ",""))-3)))</f>
        <v/>
      </c>
    </row>
    <row r="26">
      <c r="A26" s="49" t="n"/>
      <c r="B26" s="50">
        <f>IF((COUNTA($A26)+COUNTA($C26:$K26)+COUNTA($N26:$O26))&gt;0,"Asistente Técnico de Riesgo","")</f>
        <v/>
      </c>
      <c r="C26" s="51" t="n"/>
      <c r="D26" s="51" t="n"/>
      <c r="E26" s="52" t="n"/>
      <c r="F26" s="52" t="n"/>
      <c r="G26" s="53" t="n"/>
      <c r="H26" s="54" t="n"/>
      <c r="I26" s="54" t="n"/>
      <c r="J26" s="54" t="n"/>
      <c r="K26" s="54" t="n"/>
      <c r="L26" s="55">
        <f>IF(NOT((COUNTA($A26)+COUNTA($C26:$K26)+COUNTA($N26:$O26))&gt;0),"",IFERROR(LOOKUP(2,1/(H26:K26&lt;&gt;""),H26:K26),0))</f>
        <v/>
      </c>
      <c r="M26" s="56">
        <f>IF(L26="","",IF(L26&gt;=1,"Completado",IF(L26&gt;0,"En curso","Pendiente")))</f>
        <v/>
      </c>
      <c r="N26" s="52" t="n"/>
      <c r="O26" s="51" t="n"/>
      <c r="P26" s="57">
        <f>IF(NOT((COUNTA($A26)+COUNTA($C26:$K26)+COUNTA($N26:$O26))&gt;0),"",IF((IF(A26="","Falta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 OK","⚠ "&amp;LEFT(IF(A26="","Falta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",""),LEN(IF(A26="","Falta ID"&amp;" · ","")&amp;IF(AND(A26&lt;&gt;"",(COUNTIF('Cronograma R. Operacional'!$A$5:$A$1000,A26)+COUNTIF('Cronograma R. Legal y Normativo'!$A$5:$A$1000,A26)+COUNTIF('Cronograma R. Financiero'!$A$5:$A$1000,A26)+COUNTIF('Cronograma Asistente Técnico'!$A$5:$A$1000,A26))&gt;1),"ID duplicado"&amp;" · ","")&amp;IF(C26="","Macroactividad vacía"&amp;" · ","")&amp;IF(D26="","Sin responsable"&amp;" · ","")&amp;IF(E26="","Sin fecha de inicio"&amp;" · ","")&amp;IF(F26="","Sin fecha límite"&amp;" · ","")&amp;IF(OR(AND(E26&lt;&gt;"",NOT(ISNUMBER(E26))),AND(F26&lt;&gt;"",NOT(ISNUMBER(F26)))),"Fecha no válida"&amp;" · ","")&amp;IF(AND(ISNUMBER(E26),ISNUMBER(F26),E26&gt;F26),"Inicio posterior a fecha límite"&amp;" · ","")&amp;IF(G26="","Peso vacío"&amp;" · ","")&amp;IF(AND(G26&lt;&gt;"",OR(NOT(ISNUMBER(G26)),G26&lt;=0,G26&gt;1)),"Peso fuera de rango"&amp;" · ","")&amp;IF(ABS(SUM($G$5:$G$1000)-1)&gt;0.0001,"Pesos del puesto suman "&amp;TEXT(SUM($G$5:$G$1000),"0%")&amp;" · ","")&amp;IF((COUNTIF(H26:K26,"&gt;1")+COUNTIF(H26:K26,"&lt;0")+COUNTA(H26:K26)-COUNT(H26:K26))&gt;0,"Avance fuera de rango 0-100%"&amp;" · ","")&amp;IF(OR(AND(I26&lt;&gt;"",I26&lt;H26),AND(J26&lt;&gt;"",J26&lt;MAX(H26:I26)),AND(K26&lt;&gt;"",K26&lt;MAX(H26:J26))),"Avance semanal decreciente"&amp;" · ","")&amp;IF(AND(ISNUMBER(F26),F26&lt;FechaRef,N(L26)&lt;1),"Vencida"&amp;" · ","")&amp;IF(AND(EvidenciaObligatoria="Sí",N(L26)&gt;=1,O26=""),"Completada sin evidencia"&amp;" · ",""))-3)))</f>
        <v/>
      </c>
    </row>
    <row r="27">
      <c r="A27" s="49" t="n"/>
      <c r="B27" s="50">
        <f>IF((COUNTA($A27)+COUNTA($C27:$K27)+COUNTA($N27:$O27))&gt;0,"Asistente Técnico de Riesgo","")</f>
        <v/>
      </c>
      <c r="C27" s="51" t="n"/>
      <c r="D27" s="51" t="n"/>
      <c r="E27" s="52" t="n"/>
      <c r="F27" s="52" t="n"/>
      <c r="G27" s="53" t="n"/>
      <c r="H27" s="54" t="n"/>
      <c r="I27" s="54" t="n"/>
      <c r="J27" s="54" t="n"/>
      <c r="K27" s="54" t="n"/>
      <c r="L27" s="55">
        <f>IF(NOT((COUNTA($A27)+COUNTA($C27:$K27)+COUNTA($N27:$O27))&gt;0),"",IFERROR(LOOKUP(2,1/(H27:K27&lt;&gt;""),H27:K27),0))</f>
        <v/>
      </c>
      <c r="M27" s="56">
        <f>IF(L27="","",IF(L27&gt;=1,"Completado",IF(L27&gt;0,"En curso","Pendiente")))</f>
        <v/>
      </c>
      <c r="N27" s="52" t="n"/>
      <c r="O27" s="51" t="n"/>
      <c r="P27" s="57">
        <f>IF(NOT((COUNTA($A27)+COUNTA($C27:$K27)+COUNTA($N27:$O27))&gt;0),"",IF((IF(A27="","Falta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 OK","⚠ "&amp;LEFT(IF(A27="","Falta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",""),LEN(IF(A27="","Falta ID"&amp;" · ","")&amp;IF(AND(A27&lt;&gt;"",(COUNTIF('Cronograma R. Operacional'!$A$5:$A$1000,A27)+COUNTIF('Cronograma R. Legal y Normativo'!$A$5:$A$1000,A27)+COUNTIF('Cronograma R. Financiero'!$A$5:$A$1000,A27)+COUNTIF('Cronograma Asistente Técnico'!$A$5:$A$1000,A27))&gt;1),"ID duplicado"&amp;" · ","")&amp;IF(C27="","Macroactividad vacía"&amp;" · ","")&amp;IF(D27="","Sin responsable"&amp;" · ","")&amp;IF(E27="","Sin fecha de inicio"&amp;" · ","")&amp;IF(F27="","Sin fecha límite"&amp;" · ","")&amp;IF(OR(AND(E27&lt;&gt;"",NOT(ISNUMBER(E27))),AND(F27&lt;&gt;"",NOT(ISNUMBER(F27)))),"Fecha no válida"&amp;" · ","")&amp;IF(AND(ISNUMBER(E27),ISNUMBER(F27),E27&gt;F27),"Inicio posterior a fecha límite"&amp;" · ","")&amp;IF(G27="","Peso vacío"&amp;" · ","")&amp;IF(AND(G27&lt;&gt;"",OR(NOT(ISNUMBER(G27)),G27&lt;=0,G27&gt;1)),"Peso fuera de rango"&amp;" · ","")&amp;IF(ABS(SUM($G$5:$G$1000)-1)&gt;0.0001,"Pesos del puesto suman "&amp;TEXT(SUM($G$5:$G$1000),"0%")&amp;" · ","")&amp;IF((COUNTIF(H27:K27,"&gt;1")+COUNTIF(H27:K27,"&lt;0")+COUNTA(H27:K27)-COUNT(H27:K27))&gt;0,"Avance fuera de rango 0-100%"&amp;" · ","")&amp;IF(OR(AND(I27&lt;&gt;"",I27&lt;H27),AND(J27&lt;&gt;"",J27&lt;MAX(H27:I27)),AND(K27&lt;&gt;"",K27&lt;MAX(H27:J27))),"Avance semanal decreciente"&amp;" · ","")&amp;IF(AND(ISNUMBER(F27),F27&lt;FechaRef,N(L27)&lt;1),"Vencida"&amp;" · ","")&amp;IF(AND(EvidenciaObligatoria="Sí",N(L27)&gt;=1,O27=""),"Completada sin evidencia"&amp;" · ",""))-3)))</f>
        <v/>
      </c>
    </row>
    <row r="28">
      <c r="A28" s="49" t="n"/>
      <c r="B28" s="50">
        <f>IF((COUNTA($A28)+COUNTA($C28:$K28)+COUNTA($N28:$O28))&gt;0,"Asistente Técnico de Riesgo","")</f>
        <v/>
      </c>
      <c r="C28" s="51" t="n"/>
      <c r="D28" s="51" t="n"/>
      <c r="E28" s="52" t="n"/>
      <c r="F28" s="52" t="n"/>
      <c r="G28" s="53" t="n"/>
      <c r="H28" s="54" t="n"/>
      <c r="I28" s="54" t="n"/>
      <c r="J28" s="54" t="n"/>
      <c r="K28" s="54" t="n"/>
      <c r="L28" s="55">
        <f>IF(NOT((COUNTA($A28)+COUNTA($C28:$K28)+COUNTA($N28:$O28))&gt;0),"",IFERROR(LOOKUP(2,1/(H28:K28&lt;&gt;""),H28:K28),0))</f>
        <v/>
      </c>
      <c r="M28" s="56">
        <f>IF(L28="","",IF(L28&gt;=1,"Completado",IF(L28&gt;0,"En curso","Pendiente")))</f>
        <v/>
      </c>
      <c r="N28" s="52" t="n"/>
      <c r="O28" s="51" t="n"/>
      <c r="P28" s="57">
        <f>IF(NOT((COUNTA($A28)+COUNTA($C28:$K28)+COUNTA($N28:$O28))&gt;0),"",IF((IF(A28="","Falta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 OK","⚠ "&amp;LEFT(IF(A28="","Falta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",""),LEN(IF(A28="","Falta ID"&amp;" · ","")&amp;IF(AND(A28&lt;&gt;"",(COUNTIF('Cronograma R. Operacional'!$A$5:$A$1000,A28)+COUNTIF('Cronograma R. Legal y Normativo'!$A$5:$A$1000,A28)+COUNTIF('Cronograma R. Financiero'!$A$5:$A$1000,A28)+COUNTIF('Cronograma Asistente Técnico'!$A$5:$A$1000,A28))&gt;1),"ID duplicado"&amp;" · ","")&amp;IF(C28="","Macroactividad vacía"&amp;" · ","")&amp;IF(D28="","Sin responsable"&amp;" · ","")&amp;IF(E28="","Sin fecha de inicio"&amp;" · ","")&amp;IF(F28="","Sin fecha límite"&amp;" · ","")&amp;IF(OR(AND(E28&lt;&gt;"",NOT(ISNUMBER(E28))),AND(F28&lt;&gt;"",NOT(ISNUMBER(F28)))),"Fecha no válida"&amp;" · ","")&amp;IF(AND(ISNUMBER(E28),ISNUMBER(F28),E28&gt;F28),"Inicio posterior a fecha límite"&amp;" · ","")&amp;IF(G28="","Peso vacío"&amp;" · ","")&amp;IF(AND(G28&lt;&gt;"",OR(NOT(ISNUMBER(G28)),G28&lt;=0,G28&gt;1)),"Peso fuera de rango"&amp;" · ","")&amp;IF(ABS(SUM($G$5:$G$1000)-1)&gt;0.0001,"Pesos del puesto suman "&amp;TEXT(SUM($G$5:$G$1000),"0%")&amp;" · ","")&amp;IF((COUNTIF(H28:K28,"&gt;1")+COUNTIF(H28:K28,"&lt;0")+COUNTA(H28:K28)-COUNT(H28:K28))&gt;0,"Avance fuera de rango 0-100%"&amp;" · ","")&amp;IF(OR(AND(I28&lt;&gt;"",I28&lt;H28),AND(J28&lt;&gt;"",J28&lt;MAX(H28:I28)),AND(K28&lt;&gt;"",K28&lt;MAX(H28:J28))),"Avance semanal decreciente"&amp;" · ","")&amp;IF(AND(ISNUMBER(F28),F28&lt;FechaRef,N(L28)&lt;1),"Vencida"&amp;" · ","")&amp;IF(AND(EvidenciaObligatoria="Sí",N(L28)&gt;=1,O28=""),"Completada sin evidencia"&amp;" · ",""))-3)))</f>
        <v/>
      </c>
    </row>
    <row r="29">
      <c r="A29" s="49" t="n"/>
      <c r="B29" s="50">
        <f>IF((COUNTA($A29)+COUNTA($C29:$K29)+COUNTA($N29:$O29))&gt;0,"Asistente Técnico de Riesgo","")</f>
        <v/>
      </c>
      <c r="C29" s="51" t="n"/>
      <c r="D29" s="51" t="n"/>
      <c r="E29" s="52" t="n"/>
      <c r="F29" s="52" t="n"/>
      <c r="G29" s="53" t="n"/>
      <c r="H29" s="54" t="n"/>
      <c r="I29" s="54" t="n"/>
      <c r="J29" s="54" t="n"/>
      <c r="K29" s="54" t="n"/>
      <c r="L29" s="55">
        <f>IF(NOT((COUNTA($A29)+COUNTA($C29:$K29)+COUNTA($N29:$O29))&gt;0),"",IFERROR(LOOKUP(2,1/(H29:K29&lt;&gt;""),H29:K29),0))</f>
        <v/>
      </c>
      <c r="M29" s="56">
        <f>IF(L29="","",IF(L29&gt;=1,"Completado",IF(L29&gt;0,"En curso","Pendiente")))</f>
        <v/>
      </c>
      <c r="N29" s="52" t="n"/>
      <c r="O29" s="51" t="n"/>
      <c r="P29" s="57">
        <f>IF(NOT((COUNTA($A29)+COUNTA($C29:$K29)+COUNTA($N29:$O29))&gt;0),"",IF((IF(A29="","Falta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 OK","⚠ "&amp;LEFT(IF(A29="","Falta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",""),LEN(IF(A29="","Falta ID"&amp;" · ","")&amp;IF(AND(A29&lt;&gt;"",(COUNTIF('Cronograma R. Operacional'!$A$5:$A$1000,A29)+COUNTIF('Cronograma R. Legal y Normativo'!$A$5:$A$1000,A29)+COUNTIF('Cronograma R. Financiero'!$A$5:$A$1000,A29)+COUNTIF('Cronograma Asistente Técnico'!$A$5:$A$1000,A29))&gt;1),"ID duplicado"&amp;" · ","")&amp;IF(C29="","Macroactividad vacía"&amp;" · ","")&amp;IF(D29="","Sin responsable"&amp;" · ","")&amp;IF(E29="","Sin fecha de inicio"&amp;" · ","")&amp;IF(F29="","Sin fecha límite"&amp;" · ","")&amp;IF(OR(AND(E29&lt;&gt;"",NOT(ISNUMBER(E29))),AND(F29&lt;&gt;"",NOT(ISNUMBER(F29)))),"Fecha no válida"&amp;" · ","")&amp;IF(AND(ISNUMBER(E29),ISNUMBER(F29),E29&gt;F29),"Inicio posterior a fecha límite"&amp;" · ","")&amp;IF(G29="","Peso vacío"&amp;" · ","")&amp;IF(AND(G29&lt;&gt;"",OR(NOT(ISNUMBER(G29)),G29&lt;=0,G29&gt;1)),"Peso fuera de rango"&amp;" · ","")&amp;IF(ABS(SUM($G$5:$G$1000)-1)&gt;0.0001,"Pesos del puesto suman "&amp;TEXT(SUM($G$5:$G$1000),"0%")&amp;" · ","")&amp;IF((COUNTIF(H29:K29,"&gt;1")+COUNTIF(H29:K29,"&lt;0")+COUNTA(H29:K29)-COUNT(H29:K29))&gt;0,"Avance fuera de rango 0-100%"&amp;" · ","")&amp;IF(OR(AND(I29&lt;&gt;"",I29&lt;H29),AND(J29&lt;&gt;"",J29&lt;MAX(H29:I29)),AND(K29&lt;&gt;"",K29&lt;MAX(H29:J29))),"Avance semanal decreciente"&amp;" · ","")&amp;IF(AND(ISNUMBER(F29),F29&lt;FechaRef,N(L29)&lt;1),"Vencida"&amp;" · ","")&amp;IF(AND(EvidenciaObligatoria="Sí",N(L29)&gt;=1,O29=""),"Completada sin evidencia"&amp;" · ",""))-3)))</f>
        <v/>
      </c>
    </row>
    <row r="30">
      <c r="A30" s="49" t="n"/>
      <c r="B30" s="50">
        <f>IF((COUNTA($A30)+COUNTA($C30:$K30)+COUNTA($N30:$O30))&gt;0,"Asistente Técnico de Riesgo","")</f>
        <v/>
      </c>
      <c r="C30" s="51" t="n"/>
      <c r="D30" s="51" t="n"/>
      <c r="E30" s="52" t="n"/>
      <c r="F30" s="52" t="n"/>
      <c r="G30" s="53" t="n"/>
      <c r="H30" s="54" t="n"/>
      <c r="I30" s="54" t="n"/>
      <c r="J30" s="54" t="n"/>
      <c r="K30" s="54" t="n"/>
      <c r="L30" s="55">
        <f>IF(NOT((COUNTA($A30)+COUNTA($C30:$K30)+COUNTA($N30:$O30))&gt;0),"",IFERROR(LOOKUP(2,1/(H30:K30&lt;&gt;""),H30:K30),0))</f>
        <v/>
      </c>
      <c r="M30" s="56">
        <f>IF(L30="","",IF(L30&gt;=1,"Completado",IF(L30&gt;0,"En curso","Pendiente")))</f>
        <v/>
      </c>
      <c r="N30" s="52" t="n"/>
      <c r="O30" s="51" t="n"/>
      <c r="P30" s="57">
        <f>IF(NOT((COUNTA($A30)+COUNTA($C30:$K30)+COUNTA($N30:$O30))&gt;0),"",IF((IF(A30="","Falta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 OK","⚠ "&amp;LEFT(IF(A30="","Falta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",""),LEN(IF(A30="","Falta ID"&amp;" · ","")&amp;IF(AND(A30&lt;&gt;"",(COUNTIF('Cronograma R. Operacional'!$A$5:$A$1000,A30)+COUNTIF('Cronograma R. Legal y Normativo'!$A$5:$A$1000,A30)+COUNTIF('Cronograma R. Financiero'!$A$5:$A$1000,A30)+COUNTIF('Cronograma Asistente Técnico'!$A$5:$A$1000,A30))&gt;1),"ID duplicado"&amp;" · ","")&amp;IF(C30="","Macroactividad vacía"&amp;" · ","")&amp;IF(D30="","Sin responsable"&amp;" · ","")&amp;IF(E30="","Sin fecha de inicio"&amp;" · ","")&amp;IF(F30="","Sin fecha límite"&amp;" · ","")&amp;IF(OR(AND(E30&lt;&gt;"",NOT(ISNUMBER(E30))),AND(F30&lt;&gt;"",NOT(ISNUMBER(F30)))),"Fecha no válida"&amp;" · ","")&amp;IF(AND(ISNUMBER(E30),ISNUMBER(F30),E30&gt;F30),"Inicio posterior a fecha límite"&amp;" · ","")&amp;IF(G30="","Peso vacío"&amp;" · ","")&amp;IF(AND(G30&lt;&gt;"",OR(NOT(ISNUMBER(G30)),G30&lt;=0,G30&gt;1)),"Peso fuera de rango"&amp;" · ","")&amp;IF(ABS(SUM($G$5:$G$1000)-1)&gt;0.0001,"Pesos del puesto suman "&amp;TEXT(SUM($G$5:$G$1000),"0%")&amp;" · ","")&amp;IF((COUNTIF(H30:K30,"&gt;1")+COUNTIF(H30:K30,"&lt;0")+COUNTA(H30:K30)-COUNT(H30:K30))&gt;0,"Avance fuera de rango 0-100%"&amp;" · ","")&amp;IF(OR(AND(I30&lt;&gt;"",I30&lt;H30),AND(J30&lt;&gt;"",J30&lt;MAX(H30:I30)),AND(K30&lt;&gt;"",K30&lt;MAX(H30:J30))),"Avance semanal decreciente"&amp;" · ","")&amp;IF(AND(ISNUMBER(F30),F30&lt;FechaRef,N(L30)&lt;1),"Vencida"&amp;" · ","")&amp;IF(AND(EvidenciaObligatoria="Sí",N(L30)&gt;=1,O30=""),"Completada sin evidencia"&amp;" · ",""))-3)))</f>
        <v/>
      </c>
    </row>
    <row r="31">
      <c r="A31" s="49" t="n"/>
      <c r="B31" s="50">
        <f>IF((COUNTA($A31)+COUNTA($C31:$K31)+COUNTA($N31:$O31))&gt;0,"Asistente Técnico de Riesgo","")</f>
        <v/>
      </c>
      <c r="C31" s="51" t="n"/>
      <c r="D31" s="51" t="n"/>
      <c r="E31" s="52" t="n"/>
      <c r="F31" s="52" t="n"/>
      <c r="G31" s="53" t="n"/>
      <c r="H31" s="54" t="n"/>
      <c r="I31" s="54" t="n"/>
      <c r="J31" s="54" t="n"/>
      <c r="K31" s="54" t="n"/>
      <c r="L31" s="55">
        <f>IF(NOT((COUNTA($A31)+COUNTA($C31:$K31)+COUNTA($N31:$O31))&gt;0),"",IFERROR(LOOKUP(2,1/(H31:K31&lt;&gt;""),H31:K31),0))</f>
        <v/>
      </c>
      <c r="M31" s="56">
        <f>IF(L31="","",IF(L31&gt;=1,"Completado",IF(L31&gt;0,"En curso","Pendiente")))</f>
        <v/>
      </c>
      <c r="N31" s="52" t="n"/>
      <c r="O31" s="51" t="n"/>
      <c r="P31" s="57">
        <f>IF(NOT((COUNTA($A31)+COUNTA($C31:$K31)+COUNTA($N31:$O31))&gt;0),"",IF((IF(A31="","Falta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 OK","⚠ "&amp;LEFT(IF(A31="","Falta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",""),LEN(IF(A31="","Falta ID"&amp;" · ","")&amp;IF(AND(A31&lt;&gt;"",(COUNTIF('Cronograma R. Operacional'!$A$5:$A$1000,A31)+COUNTIF('Cronograma R. Legal y Normativo'!$A$5:$A$1000,A31)+COUNTIF('Cronograma R. Financiero'!$A$5:$A$1000,A31)+COUNTIF('Cronograma Asistente Técnico'!$A$5:$A$1000,A31))&gt;1),"ID duplicado"&amp;" · ","")&amp;IF(C31="","Macroactividad vacía"&amp;" · ","")&amp;IF(D31="","Sin responsable"&amp;" · ","")&amp;IF(E31="","Sin fecha de inicio"&amp;" · ","")&amp;IF(F31="","Sin fecha límite"&amp;" · ","")&amp;IF(OR(AND(E31&lt;&gt;"",NOT(ISNUMBER(E31))),AND(F31&lt;&gt;"",NOT(ISNUMBER(F31)))),"Fecha no válida"&amp;" · ","")&amp;IF(AND(ISNUMBER(E31),ISNUMBER(F31),E31&gt;F31),"Inicio posterior a fecha límite"&amp;" · ","")&amp;IF(G31="","Peso vacío"&amp;" · ","")&amp;IF(AND(G31&lt;&gt;"",OR(NOT(ISNUMBER(G31)),G31&lt;=0,G31&gt;1)),"Peso fuera de rango"&amp;" · ","")&amp;IF(ABS(SUM($G$5:$G$1000)-1)&gt;0.0001,"Pesos del puesto suman "&amp;TEXT(SUM($G$5:$G$1000),"0%")&amp;" · ","")&amp;IF((COUNTIF(H31:K31,"&gt;1")+COUNTIF(H31:K31,"&lt;0")+COUNTA(H31:K31)-COUNT(H31:K31))&gt;0,"Avance fuera de rango 0-100%"&amp;" · ","")&amp;IF(OR(AND(I31&lt;&gt;"",I31&lt;H31),AND(J31&lt;&gt;"",J31&lt;MAX(H31:I31)),AND(K31&lt;&gt;"",K31&lt;MAX(H31:J31))),"Avance semanal decreciente"&amp;" · ","")&amp;IF(AND(ISNUMBER(F31),F31&lt;FechaRef,N(L31)&lt;1),"Vencida"&amp;" · ","")&amp;IF(AND(EvidenciaObligatoria="Sí",N(L31)&gt;=1,O31=""),"Completada sin evidencia"&amp;" · ",""))-3)))</f>
        <v/>
      </c>
    </row>
    <row r="32">
      <c r="A32" s="49" t="n"/>
      <c r="B32" s="50">
        <f>IF((COUNTA($A32)+COUNTA($C32:$K32)+COUNTA($N32:$O32))&gt;0,"Asistente Técnico de Riesgo","")</f>
        <v/>
      </c>
      <c r="C32" s="51" t="n"/>
      <c r="D32" s="51" t="n"/>
      <c r="E32" s="52" t="n"/>
      <c r="F32" s="52" t="n"/>
      <c r="G32" s="53" t="n"/>
      <c r="H32" s="54" t="n"/>
      <c r="I32" s="54" t="n"/>
      <c r="J32" s="54" t="n"/>
      <c r="K32" s="54" t="n"/>
      <c r="L32" s="55">
        <f>IF(NOT((COUNTA($A32)+COUNTA($C32:$K32)+COUNTA($N32:$O32))&gt;0),"",IFERROR(LOOKUP(2,1/(H32:K32&lt;&gt;""),H32:K32),0))</f>
        <v/>
      </c>
      <c r="M32" s="56">
        <f>IF(L32="","",IF(L32&gt;=1,"Completado",IF(L32&gt;0,"En curso","Pendiente")))</f>
        <v/>
      </c>
      <c r="N32" s="52" t="n"/>
      <c r="O32" s="51" t="n"/>
      <c r="P32" s="57">
        <f>IF(NOT((COUNTA($A32)+COUNTA($C32:$K32)+COUNTA($N32:$O32))&gt;0),"",IF((IF(A32="","Falta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 OK","⚠ "&amp;LEFT(IF(A32="","Falta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",""),LEN(IF(A32="","Falta ID"&amp;" · ","")&amp;IF(AND(A32&lt;&gt;"",(COUNTIF('Cronograma R. Operacional'!$A$5:$A$1000,A32)+COUNTIF('Cronograma R. Legal y Normativo'!$A$5:$A$1000,A32)+COUNTIF('Cronograma R. Financiero'!$A$5:$A$1000,A32)+COUNTIF('Cronograma Asistente Técnico'!$A$5:$A$1000,A32))&gt;1),"ID duplicado"&amp;" · ","")&amp;IF(C32="","Macroactividad vacía"&amp;" · ","")&amp;IF(D32="","Sin responsable"&amp;" · ","")&amp;IF(E32="","Sin fecha de inicio"&amp;" · ","")&amp;IF(F32="","Sin fecha límite"&amp;" · ","")&amp;IF(OR(AND(E32&lt;&gt;"",NOT(ISNUMBER(E32))),AND(F32&lt;&gt;"",NOT(ISNUMBER(F32)))),"Fecha no válida"&amp;" · ","")&amp;IF(AND(ISNUMBER(E32),ISNUMBER(F32),E32&gt;F32),"Inicio posterior a fecha límite"&amp;" · ","")&amp;IF(G32="","Peso vacío"&amp;" · ","")&amp;IF(AND(G32&lt;&gt;"",OR(NOT(ISNUMBER(G32)),G32&lt;=0,G32&gt;1)),"Peso fuera de rango"&amp;" · ","")&amp;IF(ABS(SUM($G$5:$G$1000)-1)&gt;0.0001,"Pesos del puesto suman "&amp;TEXT(SUM($G$5:$G$1000),"0%")&amp;" · ","")&amp;IF((COUNTIF(H32:K32,"&gt;1")+COUNTIF(H32:K32,"&lt;0")+COUNTA(H32:K32)-COUNT(H32:K32))&gt;0,"Avance fuera de rango 0-100%"&amp;" · ","")&amp;IF(OR(AND(I32&lt;&gt;"",I32&lt;H32),AND(J32&lt;&gt;"",J32&lt;MAX(H32:I32)),AND(K32&lt;&gt;"",K32&lt;MAX(H32:J32))),"Avance semanal decreciente"&amp;" · ","")&amp;IF(AND(ISNUMBER(F32),F32&lt;FechaRef,N(L32)&lt;1),"Vencida"&amp;" · ","")&amp;IF(AND(EvidenciaObligatoria="Sí",N(L32)&gt;=1,O32=""),"Completada sin evidencia"&amp;" · ",""))-3)))</f>
        <v/>
      </c>
    </row>
    <row r="33">
      <c r="A33" s="49" t="n"/>
      <c r="B33" s="50">
        <f>IF((COUNTA($A33)+COUNTA($C33:$K33)+COUNTA($N33:$O33))&gt;0,"Asistente Técnico de Riesgo","")</f>
        <v/>
      </c>
      <c r="C33" s="51" t="n"/>
      <c r="D33" s="51" t="n"/>
      <c r="E33" s="52" t="n"/>
      <c r="F33" s="52" t="n"/>
      <c r="G33" s="53" t="n"/>
      <c r="H33" s="54" t="n"/>
      <c r="I33" s="54" t="n"/>
      <c r="J33" s="54" t="n"/>
      <c r="K33" s="54" t="n"/>
      <c r="L33" s="55">
        <f>IF(NOT((COUNTA($A33)+COUNTA($C33:$K33)+COUNTA($N33:$O33))&gt;0),"",IFERROR(LOOKUP(2,1/(H33:K33&lt;&gt;""),H33:K33),0))</f>
        <v/>
      </c>
      <c r="M33" s="56">
        <f>IF(L33="","",IF(L33&gt;=1,"Completado",IF(L33&gt;0,"En curso","Pendiente")))</f>
        <v/>
      </c>
      <c r="N33" s="52" t="n"/>
      <c r="O33" s="51" t="n"/>
      <c r="P33" s="57">
        <f>IF(NOT((COUNTA($A33)+COUNTA($C33:$K33)+COUNTA($N33:$O33))&gt;0),"",IF((IF(A33="","Falta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 OK","⚠ "&amp;LEFT(IF(A33="","Falta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",""),LEN(IF(A33="","Falta ID"&amp;" · ","")&amp;IF(AND(A33&lt;&gt;"",(COUNTIF('Cronograma R. Operacional'!$A$5:$A$1000,A33)+COUNTIF('Cronograma R. Legal y Normativo'!$A$5:$A$1000,A33)+COUNTIF('Cronograma R. Financiero'!$A$5:$A$1000,A33)+COUNTIF('Cronograma Asistente Técnico'!$A$5:$A$1000,A33))&gt;1),"ID duplicado"&amp;" · ","")&amp;IF(C33="","Macroactividad vacía"&amp;" · ","")&amp;IF(D33="","Sin responsable"&amp;" · ","")&amp;IF(E33="","Sin fecha de inicio"&amp;" · ","")&amp;IF(F33="","Sin fecha límite"&amp;" · ","")&amp;IF(OR(AND(E33&lt;&gt;"",NOT(ISNUMBER(E33))),AND(F33&lt;&gt;"",NOT(ISNUMBER(F33)))),"Fecha no válida"&amp;" · ","")&amp;IF(AND(ISNUMBER(E33),ISNUMBER(F33),E33&gt;F33),"Inicio posterior a fecha límite"&amp;" · ","")&amp;IF(G33="","Peso vacío"&amp;" · ","")&amp;IF(AND(G33&lt;&gt;"",OR(NOT(ISNUMBER(G33)),G33&lt;=0,G33&gt;1)),"Peso fuera de rango"&amp;" · ","")&amp;IF(ABS(SUM($G$5:$G$1000)-1)&gt;0.0001,"Pesos del puesto suman "&amp;TEXT(SUM($G$5:$G$1000),"0%")&amp;" · ","")&amp;IF((COUNTIF(H33:K33,"&gt;1")+COUNTIF(H33:K33,"&lt;0")+COUNTA(H33:K33)-COUNT(H33:K33))&gt;0,"Avance fuera de rango 0-100%"&amp;" · ","")&amp;IF(OR(AND(I33&lt;&gt;"",I33&lt;H33),AND(J33&lt;&gt;"",J33&lt;MAX(H33:I33)),AND(K33&lt;&gt;"",K33&lt;MAX(H33:J33))),"Avance semanal decreciente"&amp;" · ","")&amp;IF(AND(ISNUMBER(F33),F33&lt;FechaRef,N(L33)&lt;1),"Vencida"&amp;" · ","")&amp;IF(AND(EvidenciaObligatoria="Sí",N(L33)&gt;=1,O33=""),"Completada sin evidencia"&amp;" · ",""))-3)))</f>
        <v/>
      </c>
    </row>
    <row r="34">
      <c r="A34" s="49" t="n"/>
      <c r="B34" s="50">
        <f>IF((COUNTA($A34)+COUNTA($C34:$K34)+COUNTA($N34:$O34))&gt;0,"Asistente Técnico de Riesgo","")</f>
        <v/>
      </c>
      <c r="C34" s="51" t="n"/>
      <c r="D34" s="51" t="n"/>
      <c r="E34" s="52" t="n"/>
      <c r="F34" s="52" t="n"/>
      <c r="G34" s="53" t="n"/>
      <c r="H34" s="54" t="n"/>
      <c r="I34" s="54" t="n"/>
      <c r="J34" s="54" t="n"/>
      <c r="K34" s="54" t="n"/>
      <c r="L34" s="55">
        <f>IF(NOT((COUNTA($A34)+COUNTA($C34:$K34)+COUNTA($N34:$O34))&gt;0),"",IFERROR(LOOKUP(2,1/(H34:K34&lt;&gt;""),H34:K34),0))</f>
        <v/>
      </c>
      <c r="M34" s="56">
        <f>IF(L34="","",IF(L34&gt;=1,"Completado",IF(L34&gt;0,"En curso","Pendiente")))</f>
        <v/>
      </c>
      <c r="N34" s="52" t="n"/>
      <c r="O34" s="51" t="n"/>
      <c r="P34" s="57">
        <f>IF(NOT((COUNTA($A34)+COUNTA($C34:$K34)+COUNTA($N34:$O34))&gt;0),"",IF((IF(A34="","Falta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 OK","⚠ "&amp;LEFT(IF(A34="","Falta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",""),LEN(IF(A34="","Falta ID"&amp;" · ","")&amp;IF(AND(A34&lt;&gt;"",(COUNTIF('Cronograma R. Operacional'!$A$5:$A$1000,A34)+COUNTIF('Cronograma R. Legal y Normativo'!$A$5:$A$1000,A34)+COUNTIF('Cronograma R. Financiero'!$A$5:$A$1000,A34)+COUNTIF('Cronograma Asistente Técnico'!$A$5:$A$1000,A34))&gt;1),"ID duplicado"&amp;" · ","")&amp;IF(C34="","Macroactividad vacía"&amp;" · ","")&amp;IF(D34="","Sin responsable"&amp;" · ","")&amp;IF(E34="","Sin fecha de inicio"&amp;" · ","")&amp;IF(F34="","Sin fecha límite"&amp;" · ","")&amp;IF(OR(AND(E34&lt;&gt;"",NOT(ISNUMBER(E34))),AND(F34&lt;&gt;"",NOT(ISNUMBER(F34)))),"Fecha no válida"&amp;" · ","")&amp;IF(AND(ISNUMBER(E34),ISNUMBER(F34),E34&gt;F34),"Inicio posterior a fecha límite"&amp;" · ","")&amp;IF(G34="","Peso vacío"&amp;" · ","")&amp;IF(AND(G34&lt;&gt;"",OR(NOT(ISNUMBER(G34)),G34&lt;=0,G34&gt;1)),"Peso fuera de rango"&amp;" · ","")&amp;IF(ABS(SUM($G$5:$G$1000)-1)&gt;0.0001,"Pesos del puesto suman "&amp;TEXT(SUM($G$5:$G$1000),"0%")&amp;" · ","")&amp;IF((COUNTIF(H34:K34,"&gt;1")+COUNTIF(H34:K34,"&lt;0")+COUNTA(H34:K34)-COUNT(H34:K34))&gt;0,"Avance fuera de rango 0-100%"&amp;" · ","")&amp;IF(OR(AND(I34&lt;&gt;"",I34&lt;H34),AND(J34&lt;&gt;"",J34&lt;MAX(H34:I34)),AND(K34&lt;&gt;"",K34&lt;MAX(H34:J34))),"Avance semanal decreciente"&amp;" · ","")&amp;IF(AND(ISNUMBER(F34),F34&lt;FechaRef,N(L34)&lt;1),"Vencida"&amp;" · ","")&amp;IF(AND(EvidenciaObligatoria="Sí",N(L34)&gt;=1,O34=""),"Completada sin evidencia"&amp;" · ",""))-3)))</f>
        <v/>
      </c>
    </row>
    <row r="35">
      <c r="A35" s="49" t="n"/>
      <c r="B35" s="50">
        <f>IF((COUNTA($A35)+COUNTA($C35:$K35)+COUNTA($N35:$O35))&gt;0,"Asistente Técnico de Riesgo","")</f>
        <v/>
      </c>
      <c r="C35" s="51" t="n"/>
      <c r="D35" s="51" t="n"/>
      <c r="E35" s="52" t="n"/>
      <c r="F35" s="52" t="n"/>
      <c r="G35" s="53" t="n"/>
      <c r="H35" s="54" t="n"/>
      <c r="I35" s="54" t="n"/>
      <c r="J35" s="54" t="n"/>
      <c r="K35" s="54" t="n"/>
      <c r="L35" s="55">
        <f>IF(NOT((COUNTA($A35)+COUNTA($C35:$K35)+COUNTA($N35:$O35))&gt;0),"",IFERROR(LOOKUP(2,1/(H35:K35&lt;&gt;""),H35:K35),0))</f>
        <v/>
      </c>
      <c r="M35" s="56">
        <f>IF(L35="","",IF(L35&gt;=1,"Completado",IF(L35&gt;0,"En curso","Pendiente")))</f>
        <v/>
      </c>
      <c r="N35" s="52" t="n"/>
      <c r="O35" s="51" t="n"/>
      <c r="P35" s="57">
        <f>IF(NOT((COUNTA($A35)+COUNTA($C35:$K35)+COUNTA($N35:$O35))&gt;0),"",IF((IF(A35="","Falta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 OK","⚠ "&amp;LEFT(IF(A35="","Falta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",""),LEN(IF(A35="","Falta ID"&amp;" · ","")&amp;IF(AND(A35&lt;&gt;"",(COUNTIF('Cronograma R. Operacional'!$A$5:$A$1000,A35)+COUNTIF('Cronograma R. Legal y Normativo'!$A$5:$A$1000,A35)+COUNTIF('Cronograma R. Financiero'!$A$5:$A$1000,A35)+COUNTIF('Cronograma Asistente Técnico'!$A$5:$A$1000,A35))&gt;1),"ID duplicado"&amp;" · ","")&amp;IF(C35="","Macroactividad vacía"&amp;" · ","")&amp;IF(D35="","Sin responsable"&amp;" · ","")&amp;IF(E35="","Sin fecha de inicio"&amp;" · ","")&amp;IF(F35="","Sin fecha límite"&amp;" · ","")&amp;IF(OR(AND(E35&lt;&gt;"",NOT(ISNUMBER(E35))),AND(F35&lt;&gt;"",NOT(ISNUMBER(F35)))),"Fecha no válida"&amp;" · ","")&amp;IF(AND(ISNUMBER(E35),ISNUMBER(F35),E35&gt;F35),"Inicio posterior a fecha límite"&amp;" · ","")&amp;IF(G35="","Peso vacío"&amp;" · ","")&amp;IF(AND(G35&lt;&gt;"",OR(NOT(ISNUMBER(G35)),G35&lt;=0,G35&gt;1)),"Peso fuera de rango"&amp;" · ","")&amp;IF(ABS(SUM($G$5:$G$1000)-1)&gt;0.0001,"Pesos del puesto suman "&amp;TEXT(SUM($G$5:$G$1000),"0%")&amp;" · ","")&amp;IF((COUNTIF(H35:K35,"&gt;1")+COUNTIF(H35:K35,"&lt;0")+COUNTA(H35:K35)-COUNT(H35:K35))&gt;0,"Avance fuera de rango 0-100%"&amp;" · ","")&amp;IF(OR(AND(I35&lt;&gt;"",I35&lt;H35),AND(J35&lt;&gt;"",J35&lt;MAX(H35:I35)),AND(K35&lt;&gt;"",K35&lt;MAX(H35:J35))),"Avance semanal decreciente"&amp;" · ","")&amp;IF(AND(ISNUMBER(F35),F35&lt;FechaRef,N(L35)&lt;1),"Vencida"&amp;" · ","")&amp;IF(AND(EvidenciaObligatoria="Sí",N(L35)&gt;=1,O35=""),"Completada sin evidencia"&amp;" · ",""))-3)))</f>
        <v/>
      </c>
    </row>
    <row r="36">
      <c r="A36" s="49" t="n"/>
      <c r="B36" s="50">
        <f>IF((COUNTA($A36)+COUNTA($C36:$K36)+COUNTA($N36:$O36))&gt;0,"Asistente Técnico de Riesgo","")</f>
        <v/>
      </c>
      <c r="C36" s="51" t="n"/>
      <c r="D36" s="51" t="n"/>
      <c r="E36" s="52" t="n"/>
      <c r="F36" s="52" t="n"/>
      <c r="G36" s="53" t="n"/>
      <c r="H36" s="54" t="n"/>
      <c r="I36" s="54" t="n"/>
      <c r="J36" s="54" t="n"/>
      <c r="K36" s="54" t="n"/>
      <c r="L36" s="55">
        <f>IF(NOT((COUNTA($A36)+COUNTA($C36:$K36)+COUNTA($N36:$O36))&gt;0),"",IFERROR(LOOKUP(2,1/(H36:K36&lt;&gt;""),H36:K36),0))</f>
        <v/>
      </c>
      <c r="M36" s="56">
        <f>IF(L36="","",IF(L36&gt;=1,"Completado",IF(L36&gt;0,"En curso","Pendiente")))</f>
        <v/>
      </c>
      <c r="N36" s="52" t="n"/>
      <c r="O36" s="51" t="n"/>
      <c r="P36" s="57">
        <f>IF(NOT((COUNTA($A36)+COUNTA($C36:$K36)+COUNTA($N36:$O36))&gt;0),"",IF((IF(A36="","Falta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 OK","⚠ "&amp;LEFT(IF(A36="","Falta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",""),LEN(IF(A36="","Falta ID"&amp;" · ","")&amp;IF(AND(A36&lt;&gt;"",(COUNTIF('Cronograma R. Operacional'!$A$5:$A$1000,A36)+COUNTIF('Cronograma R. Legal y Normativo'!$A$5:$A$1000,A36)+COUNTIF('Cronograma R. Financiero'!$A$5:$A$1000,A36)+COUNTIF('Cronograma Asistente Técnico'!$A$5:$A$1000,A36))&gt;1),"ID duplicado"&amp;" · ","")&amp;IF(C36="","Macroactividad vacía"&amp;" · ","")&amp;IF(D36="","Sin responsable"&amp;" · ","")&amp;IF(E36="","Sin fecha de inicio"&amp;" · ","")&amp;IF(F36="","Sin fecha límite"&amp;" · ","")&amp;IF(OR(AND(E36&lt;&gt;"",NOT(ISNUMBER(E36))),AND(F36&lt;&gt;"",NOT(ISNUMBER(F36)))),"Fecha no válida"&amp;" · ","")&amp;IF(AND(ISNUMBER(E36),ISNUMBER(F36),E36&gt;F36),"Inicio posterior a fecha límite"&amp;" · ","")&amp;IF(G36="","Peso vacío"&amp;" · ","")&amp;IF(AND(G36&lt;&gt;"",OR(NOT(ISNUMBER(G36)),G36&lt;=0,G36&gt;1)),"Peso fuera de rango"&amp;" · ","")&amp;IF(ABS(SUM($G$5:$G$1000)-1)&gt;0.0001,"Pesos del puesto suman "&amp;TEXT(SUM($G$5:$G$1000),"0%")&amp;" · ","")&amp;IF((COUNTIF(H36:K36,"&gt;1")+COUNTIF(H36:K36,"&lt;0")+COUNTA(H36:K36)-COUNT(H36:K36))&gt;0,"Avance fuera de rango 0-100%"&amp;" · ","")&amp;IF(OR(AND(I36&lt;&gt;"",I36&lt;H36),AND(J36&lt;&gt;"",J36&lt;MAX(H36:I36)),AND(K36&lt;&gt;"",K36&lt;MAX(H36:J36))),"Avance semanal decreciente"&amp;" · ","")&amp;IF(AND(ISNUMBER(F36),F36&lt;FechaRef,N(L36)&lt;1),"Vencida"&amp;" · ","")&amp;IF(AND(EvidenciaObligatoria="Sí",N(L36)&gt;=1,O36=""),"Completada sin evidencia"&amp;" · ",""))-3)))</f>
        <v/>
      </c>
    </row>
    <row r="37">
      <c r="A37" s="49" t="n"/>
      <c r="B37" s="50">
        <f>IF((COUNTA($A37)+COUNTA($C37:$K37)+COUNTA($N37:$O37))&gt;0,"Asistente Técnico de Riesgo","")</f>
        <v/>
      </c>
      <c r="C37" s="51" t="n"/>
      <c r="D37" s="51" t="n"/>
      <c r="E37" s="52" t="n"/>
      <c r="F37" s="52" t="n"/>
      <c r="G37" s="53" t="n"/>
      <c r="H37" s="54" t="n"/>
      <c r="I37" s="54" t="n"/>
      <c r="J37" s="54" t="n"/>
      <c r="K37" s="54" t="n"/>
      <c r="L37" s="55">
        <f>IF(NOT((COUNTA($A37)+COUNTA($C37:$K37)+COUNTA($N37:$O37))&gt;0),"",IFERROR(LOOKUP(2,1/(H37:K37&lt;&gt;""),H37:K37),0))</f>
        <v/>
      </c>
      <c r="M37" s="56">
        <f>IF(L37="","",IF(L37&gt;=1,"Completado",IF(L37&gt;0,"En curso","Pendiente")))</f>
        <v/>
      </c>
      <c r="N37" s="52" t="n"/>
      <c r="O37" s="51" t="n"/>
      <c r="P37" s="57">
        <f>IF(NOT((COUNTA($A37)+COUNTA($C37:$K37)+COUNTA($N37:$O37))&gt;0),"",IF((IF(A37="","Falta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 OK","⚠ "&amp;LEFT(IF(A37="","Falta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",""),LEN(IF(A37="","Falta ID"&amp;" · ","")&amp;IF(AND(A37&lt;&gt;"",(COUNTIF('Cronograma R. Operacional'!$A$5:$A$1000,A37)+COUNTIF('Cronograma R. Legal y Normativo'!$A$5:$A$1000,A37)+COUNTIF('Cronograma R. Financiero'!$A$5:$A$1000,A37)+COUNTIF('Cronograma Asistente Técnico'!$A$5:$A$1000,A37))&gt;1),"ID duplicado"&amp;" · ","")&amp;IF(C37="","Macroactividad vacía"&amp;" · ","")&amp;IF(D37="","Sin responsable"&amp;" · ","")&amp;IF(E37="","Sin fecha de inicio"&amp;" · ","")&amp;IF(F37="","Sin fecha límite"&amp;" · ","")&amp;IF(OR(AND(E37&lt;&gt;"",NOT(ISNUMBER(E37))),AND(F37&lt;&gt;"",NOT(ISNUMBER(F37)))),"Fecha no válida"&amp;" · ","")&amp;IF(AND(ISNUMBER(E37),ISNUMBER(F37),E37&gt;F37),"Inicio posterior a fecha límite"&amp;" · ","")&amp;IF(G37="","Peso vacío"&amp;" · ","")&amp;IF(AND(G37&lt;&gt;"",OR(NOT(ISNUMBER(G37)),G37&lt;=0,G37&gt;1)),"Peso fuera de rango"&amp;" · ","")&amp;IF(ABS(SUM($G$5:$G$1000)-1)&gt;0.0001,"Pesos del puesto suman "&amp;TEXT(SUM($G$5:$G$1000),"0%")&amp;" · ","")&amp;IF((COUNTIF(H37:K37,"&gt;1")+COUNTIF(H37:K37,"&lt;0")+COUNTA(H37:K37)-COUNT(H37:K37))&gt;0,"Avance fuera de rango 0-100%"&amp;" · ","")&amp;IF(OR(AND(I37&lt;&gt;"",I37&lt;H37),AND(J37&lt;&gt;"",J37&lt;MAX(H37:I37)),AND(K37&lt;&gt;"",K37&lt;MAX(H37:J37))),"Avance semanal decreciente"&amp;" · ","")&amp;IF(AND(ISNUMBER(F37),F37&lt;FechaRef,N(L37)&lt;1),"Vencida"&amp;" · ","")&amp;IF(AND(EvidenciaObligatoria="Sí",N(L37)&gt;=1,O37=""),"Completada sin evidencia"&amp;" · ",""))-3)))</f>
        <v/>
      </c>
    </row>
    <row r="38">
      <c r="A38" s="49" t="n"/>
      <c r="B38" s="50">
        <f>IF((COUNTA($A38)+COUNTA($C38:$K38)+COUNTA($N38:$O38))&gt;0,"Asistente Técnico de Riesgo","")</f>
        <v/>
      </c>
      <c r="C38" s="51" t="n"/>
      <c r="D38" s="51" t="n"/>
      <c r="E38" s="52" t="n"/>
      <c r="F38" s="52" t="n"/>
      <c r="G38" s="53" t="n"/>
      <c r="H38" s="54" t="n"/>
      <c r="I38" s="54" t="n"/>
      <c r="J38" s="54" t="n"/>
      <c r="K38" s="54" t="n"/>
      <c r="L38" s="55">
        <f>IF(NOT((COUNTA($A38)+COUNTA($C38:$K38)+COUNTA($N38:$O38))&gt;0),"",IFERROR(LOOKUP(2,1/(H38:K38&lt;&gt;""),H38:K38),0))</f>
        <v/>
      </c>
      <c r="M38" s="56">
        <f>IF(L38="","",IF(L38&gt;=1,"Completado",IF(L38&gt;0,"En curso","Pendiente")))</f>
        <v/>
      </c>
      <c r="N38" s="52" t="n"/>
      <c r="O38" s="51" t="n"/>
      <c r="P38" s="57">
        <f>IF(NOT((COUNTA($A38)+COUNTA($C38:$K38)+COUNTA($N38:$O38))&gt;0),"",IF((IF(A38="","Falta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 OK","⚠ "&amp;LEFT(IF(A38="","Falta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",""),LEN(IF(A38="","Falta ID"&amp;" · ","")&amp;IF(AND(A38&lt;&gt;"",(COUNTIF('Cronograma R. Operacional'!$A$5:$A$1000,A38)+COUNTIF('Cronograma R. Legal y Normativo'!$A$5:$A$1000,A38)+COUNTIF('Cronograma R. Financiero'!$A$5:$A$1000,A38)+COUNTIF('Cronograma Asistente Técnico'!$A$5:$A$1000,A38))&gt;1),"ID duplicado"&amp;" · ","")&amp;IF(C38="","Macroactividad vacía"&amp;" · ","")&amp;IF(D38="","Sin responsable"&amp;" · ","")&amp;IF(E38="","Sin fecha de inicio"&amp;" · ","")&amp;IF(F38="","Sin fecha límite"&amp;" · ","")&amp;IF(OR(AND(E38&lt;&gt;"",NOT(ISNUMBER(E38))),AND(F38&lt;&gt;"",NOT(ISNUMBER(F38)))),"Fecha no válida"&amp;" · ","")&amp;IF(AND(ISNUMBER(E38),ISNUMBER(F38),E38&gt;F38),"Inicio posterior a fecha límite"&amp;" · ","")&amp;IF(G38="","Peso vacío"&amp;" · ","")&amp;IF(AND(G38&lt;&gt;"",OR(NOT(ISNUMBER(G38)),G38&lt;=0,G38&gt;1)),"Peso fuera de rango"&amp;" · ","")&amp;IF(ABS(SUM($G$5:$G$1000)-1)&gt;0.0001,"Pesos del puesto suman "&amp;TEXT(SUM($G$5:$G$1000),"0%")&amp;" · ","")&amp;IF((COUNTIF(H38:K38,"&gt;1")+COUNTIF(H38:K38,"&lt;0")+COUNTA(H38:K38)-COUNT(H38:K38))&gt;0,"Avance fuera de rango 0-100%"&amp;" · ","")&amp;IF(OR(AND(I38&lt;&gt;"",I38&lt;H38),AND(J38&lt;&gt;"",J38&lt;MAX(H38:I38)),AND(K38&lt;&gt;"",K38&lt;MAX(H38:J38))),"Avance semanal decreciente"&amp;" · ","")&amp;IF(AND(ISNUMBER(F38),F38&lt;FechaRef,N(L38)&lt;1),"Vencida"&amp;" · ","")&amp;IF(AND(EvidenciaObligatoria="Sí",N(L38)&gt;=1,O38=""),"Completada sin evidencia"&amp;" · ",""))-3)))</f>
        <v/>
      </c>
    </row>
    <row r="39">
      <c r="A39" s="49" t="n"/>
      <c r="B39" s="50">
        <f>IF((COUNTA($A39)+COUNTA($C39:$K39)+COUNTA($N39:$O39))&gt;0,"Asistente Técnico de Riesgo","")</f>
        <v/>
      </c>
      <c r="C39" s="51" t="n"/>
      <c r="D39" s="51" t="n"/>
      <c r="E39" s="52" t="n"/>
      <c r="F39" s="52" t="n"/>
      <c r="G39" s="53" t="n"/>
      <c r="H39" s="54" t="n"/>
      <c r="I39" s="54" t="n"/>
      <c r="J39" s="54" t="n"/>
      <c r="K39" s="54" t="n"/>
      <c r="L39" s="55">
        <f>IF(NOT((COUNTA($A39)+COUNTA($C39:$K39)+COUNTA($N39:$O39))&gt;0),"",IFERROR(LOOKUP(2,1/(H39:K39&lt;&gt;""),H39:K39),0))</f>
        <v/>
      </c>
      <c r="M39" s="56">
        <f>IF(L39="","",IF(L39&gt;=1,"Completado",IF(L39&gt;0,"En curso","Pendiente")))</f>
        <v/>
      </c>
      <c r="N39" s="52" t="n"/>
      <c r="O39" s="51" t="n"/>
      <c r="P39" s="57">
        <f>IF(NOT((COUNTA($A39)+COUNTA($C39:$K39)+COUNTA($N39:$O39))&gt;0),"",IF((IF(A39="","Falta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 OK","⚠ "&amp;LEFT(IF(A39="","Falta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",""),LEN(IF(A39="","Falta ID"&amp;" · ","")&amp;IF(AND(A39&lt;&gt;"",(COUNTIF('Cronograma R. Operacional'!$A$5:$A$1000,A39)+COUNTIF('Cronograma R. Legal y Normativo'!$A$5:$A$1000,A39)+COUNTIF('Cronograma R. Financiero'!$A$5:$A$1000,A39)+COUNTIF('Cronograma Asistente Técnico'!$A$5:$A$1000,A39))&gt;1),"ID duplicado"&amp;" · ","")&amp;IF(C39="","Macroactividad vacía"&amp;" · ","")&amp;IF(D39="","Sin responsable"&amp;" · ","")&amp;IF(E39="","Sin fecha de inicio"&amp;" · ","")&amp;IF(F39="","Sin fecha límite"&amp;" · ","")&amp;IF(OR(AND(E39&lt;&gt;"",NOT(ISNUMBER(E39))),AND(F39&lt;&gt;"",NOT(ISNUMBER(F39)))),"Fecha no válida"&amp;" · ","")&amp;IF(AND(ISNUMBER(E39),ISNUMBER(F39),E39&gt;F39),"Inicio posterior a fecha límite"&amp;" · ","")&amp;IF(G39="","Peso vacío"&amp;" · ","")&amp;IF(AND(G39&lt;&gt;"",OR(NOT(ISNUMBER(G39)),G39&lt;=0,G39&gt;1)),"Peso fuera de rango"&amp;" · ","")&amp;IF(ABS(SUM($G$5:$G$1000)-1)&gt;0.0001,"Pesos del puesto suman "&amp;TEXT(SUM($G$5:$G$1000),"0%")&amp;" · ","")&amp;IF((COUNTIF(H39:K39,"&gt;1")+COUNTIF(H39:K39,"&lt;0")+COUNTA(H39:K39)-COUNT(H39:K39))&gt;0,"Avance fuera de rango 0-100%"&amp;" · ","")&amp;IF(OR(AND(I39&lt;&gt;"",I39&lt;H39),AND(J39&lt;&gt;"",J39&lt;MAX(H39:I39)),AND(K39&lt;&gt;"",K39&lt;MAX(H39:J39))),"Avance semanal decreciente"&amp;" · ","")&amp;IF(AND(ISNUMBER(F39),F39&lt;FechaRef,N(L39)&lt;1),"Vencida"&amp;" · ","")&amp;IF(AND(EvidenciaObligatoria="Sí",N(L39)&gt;=1,O39=""),"Completada sin evidencia"&amp;" · ",""))-3)))</f>
        <v/>
      </c>
    </row>
    <row r="40">
      <c r="A40" s="49" t="n"/>
      <c r="B40" s="50">
        <f>IF((COUNTA($A40)+COUNTA($C40:$K40)+COUNTA($N40:$O40))&gt;0,"Asistente Técnico de Riesgo","")</f>
        <v/>
      </c>
      <c r="C40" s="51" t="n"/>
      <c r="D40" s="51" t="n"/>
      <c r="E40" s="52" t="n"/>
      <c r="F40" s="52" t="n"/>
      <c r="G40" s="53" t="n"/>
      <c r="H40" s="54" t="n"/>
      <c r="I40" s="54" t="n"/>
      <c r="J40" s="54" t="n"/>
      <c r="K40" s="54" t="n"/>
      <c r="L40" s="55">
        <f>IF(NOT((COUNTA($A40)+COUNTA($C40:$K40)+COUNTA($N40:$O40))&gt;0),"",IFERROR(LOOKUP(2,1/(H40:K40&lt;&gt;""),H40:K40),0))</f>
        <v/>
      </c>
      <c r="M40" s="56">
        <f>IF(L40="","",IF(L40&gt;=1,"Completado",IF(L40&gt;0,"En curso","Pendiente")))</f>
        <v/>
      </c>
      <c r="N40" s="52" t="n"/>
      <c r="O40" s="51" t="n"/>
      <c r="P40" s="57">
        <f>IF(NOT((COUNTA($A40)+COUNTA($C40:$K40)+COUNTA($N40:$O40))&gt;0),"",IF((IF(A40="","Falta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 OK","⚠ "&amp;LEFT(IF(A40="","Falta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",""),LEN(IF(A40="","Falta ID"&amp;" · ","")&amp;IF(AND(A40&lt;&gt;"",(COUNTIF('Cronograma R. Operacional'!$A$5:$A$1000,A40)+COUNTIF('Cronograma R. Legal y Normativo'!$A$5:$A$1000,A40)+COUNTIF('Cronograma R. Financiero'!$A$5:$A$1000,A40)+COUNTIF('Cronograma Asistente Técnico'!$A$5:$A$1000,A40))&gt;1),"ID duplicado"&amp;" · ","")&amp;IF(C40="","Macroactividad vacía"&amp;" · ","")&amp;IF(D40="","Sin responsable"&amp;" · ","")&amp;IF(E40="","Sin fecha de inicio"&amp;" · ","")&amp;IF(F40="","Sin fecha límite"&amp;" · ","")&amp;IF(OR(AND(E40&lt;&gt;"",NOT(ISNUMBER(E40))),AND(F40&lt;&gt;"",NOT(ISNUMBER(F40)))),"Fecha no válida"&amp;" · ","")&amp;IF(AND(ISNUMBER(E40),ISNUMBER(F40),E40&gt;F40),"Inicio posterior a fecha límite"&amp;" · ","")&amp;IF(G40="","Peso vacío"&amp;" · ","")&amp;IF(AND(G40&lt;&gt;"",OR(NOT(ISNUMBER(G40)),G40&lt;=0,G40&gt;1)),"Peso fuera de rango"&amp;" · ","")&amp;IF(ABS(SUM($G$5:$G$1000)-1)&gt;0.0001,"Pesos del puesto suman "&amp;TEXT(SUM($G$5:$G$1000),"0%")&amp;" · ","")&amp;IF((COUNTIF(H40:K40,"&gt;1")+COUNTIF(H40:K40,"&lt;0")+COUNTA(H40:K40)-COUNT(H40:K40))&gt;0,"Avance fuera de rango 0-100%"&amp;" · ","")&amp;IF(OR(AND(I40&lt;&gt;"",I40&lt;H40),AND(J40&lt;&gt;"",J40&lt;MAX(H40:I40)),AND(K40&lt;&gt;"",K40&lt;MAX(H40:J40))),"Avance semanal decreciente"&amp;" · ","")&amp;IF(AND(ISNUMBER(F40),F40&lt;FechaRef,N(L40)&lt;1),"Vencida"&amp;" · ","")&amp;IF(AND(EvidenciaObligatoria="Sí",N(L40)&gt;=1,O40=""),"Completada sin evidencia"&amp;" · ",""))-3)))</f>
        <v/>
      </c>
    </row>
    <row r="41">
      <c r="A41" s="49" t="n"/>
      <c r="B41" s="50">
        <f>IF((COUNTA($A41)+COUNTA($C41:$K41)+COUNTA($N41:$O41))&gt;0,"Asistente Técnico de Riesgo","")</f>
        <v/>
      </c>
      <c r="C41" s="51" t="n"/>
      <c r="D41" s="51" t="n"/>
      <c r="E41" s="52" t="n"/>
      <c r="F41" s="52" t="n"/>
      <c r="G41" s="53" t="n"/>
      <c r="H41" s="54" t="n"/>
      <c r="I41" s="54" t="n"/>
      <c r="J41" s="54" t="n"/>
      <c r="K41" s="54" t="n"/>
      <c r="L41" s="55">
        <f>IF(NOT((COUNTA($A41)+COUNTA($C41:$K41)+COUNTA($N41:$O41))&gt;0),"",IFERROR(LOOKUP(2,1/(H41:K41&lt;&gt;""),H41:K41),0))</f>
        <v/>
      </c>
      <c r="M41" s="56">
        <f>IF(L41="","",IF(L41&gt;=1,"Completado",IF(L41&gt;0,"En curso","Pendiente")))</f>
        <v/>
      </c>
      <c r="N41" s="52" t="n"/>
      <c r="O41" s="51" t="n"/>
      <c r="P41" s="57">
        <f>IF(NOT((COUNTA($A41)+COUNTA($C41:$K41)+COUNTA($N41:$O41))&gt;0),"",IF((IF(A41="","Falta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 OK","⚠ "&amp;LEFT(IF(A41="","Falta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",""),LEN(IF(A41="","Falta ID"&amp;" · ","")&amp;IF(AND(A41&lt;&gt;"",(COUNTIF('Cronograma R. Operacional'!$A$5:$A$1000,A41)+COUNTIF('Cronograma R. Legal y Normativo'!$A$5:$A$1000,A41)+COUNTIF('Cronograma R. Financiero'!$A$5:$A$1000,A41)+COUNTIF('Cronograma Asistente Técnico'!$A$5:$A$1000,A41))&gt;1),"ID duplicado"&amp;" · ","")&amp;IF(C41="","Macroactividad vacía"&amp;" · ","")&amp;IF(D41="","Sin responsable"&amp;" · ","")&amp;IF(E41="","Sin fecha de inicio"&amp;" · ","")&amp;IF(F41="","Sin fecha límite"&amp;" · ","")&amp;IF(OR(AND(E41&lt;&gt;"",NOT(ISNUMBER(E41))),AND(F41&lt;&gt;"",NOT(ISNUMBER(F41)))),"Fecha no válida"&amp;" · ","")&amp;IF(AND(ISNUMBER(E41),ISNUMBER(F41),E41&gt;F41),"Inicio posterior a fecha límite"&amp;" · ","")&amp;IF(G41="","Peso vacío"&amp;" · ","")&amp;IF(AND(G41&lt;&gt;"",OR(NOT(ISNUMBER(G41)),G41&lt;=0,G41&gt;1)),"Peso fuera de rango"&amp;" · ","")&amp;IF(ABS(SUM($G$5:$G$1000)-1)&gt;0.0001,"Pesos del puesto suman "&amp;TEXT(SUM($G$5:$G$1000),"0%")&amp;" · ","")&amp;IF((COUNTIF(H41:K41,"&gt;1")+COUNTIF(H41:K41,"&lt;0")+COUNTA(H41:K41)-COUNT(H41:K41))&gt;0,"Avance fuera de rango 0-100%"&amp;" · ","")&amp;IF(OR(AND(I41&lt;&gt;"",I41&lt;H41),AND(J41&lt;&gt;"",J41&lt;MAX(H41:I41)),AND(K41&lt;&gt;"",K41&lt;MAX(H41:J41))),"Avance semanal decreciente"&amp;" · ","")&amp;IF(AND(ISNUMBER(F41),F41&lt;FechaRef,N(L41)&lt;1),"Vencida"&amp;" · ","")&amp;IF(AND(EvidenciaObligatoria="Sí",N(L41)&gt;=1,O41=""),"Completada sin evidencia"&amp;" · ",""))-3)))</f>
        <v/>
      </c>
    </row>
    <row r="42">
      <c r="A42" s="49" t="n"/>
      <c r="B42" s="50">
        <f>IF((COUNTA($A42)+COUNTA($C42:$K42)+COUNTA($N42:$O42))&gt;0,"Asistente Técnico de Riesgo","")</f>
        <v/>
      </c>
      <c r="C42" s="51" t="n"/>
      <c r="D42" s="51" t="n"/>
      <c r="E42" s="52" t="n"/>
      <c r="F42" s="52" t="n"/>
      <c r="G42" s="53" t="n"/>
      <c r="H42" s="54" t="n"/>
      <c r="I42" s="54" t="n"/>
      <c r="J42" s="54" t="n"/>
      <c r="K42" s="54" t="n"/>
      <c r="L42" s="55">
        <f>IF(NOT((COUNTA($A42)+COUNTA($C42:$K42)+COUNTA($N42:$O42))&gt;0),"",IFERROR(LOOKUP(2,1/(H42:K42&lt;&gt;""),H42:K42),0))</f>
        <v/>
      </c>
      <c r="M42" s="56">
        <f>IF(L42="","",IF(L42&gt;=1,"Completado",IF(L42&gt;0,"En curso","Pendiente")))</f>
        <v/>
      </c>
      <c r="N42" s="52" t="n"/>
      <c r="O42" s="51" t="n"/>
      <c r="P42" s="57">
        <f>IF(NOT((COUNTA($A42)+COUNTA($C42:$K42)+COUNTA($N42:$O42))&gt;0),"",IF((IF(A42="","Falta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 OK","⚠ "&amp;LEFT(IF(A42="","Falta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",""),LEN(IF(A42="","Falta ID"&amp;" · ","")&amp;IF(AND(A42&lt;&gt;"",(COUNTIF('Cronograma R. Operacional'!$A$5:$A$1000,A42)+COUNTIF('Cronograma R. Legal y Normativo'!$A$5:$A$1000,A42)+COUNTIF('Cronograma R. Financiero'!$A$5:$A$1000,A42)+COUNTIF('Cronograma Asistente Técnico'!$A$5:$A$1000,A42))&gt;1),"ID duplicado"&amp;" · ","")&amp;IF(C42="","Macroactividad vacía"&amp;" · ","")&amp;IF(D42="","Sin responsable"&amp;" · ","")&amp;IF(E42="","Sin fecha de inicio"&amp;" · ","")&amp;IF(F42="","Sin fecha límite"&amp;" · ","")&amp;IF(OR(AND(E42&lt;&gt;"",NOT(ISNUMBER(E42))),AND(F42&lt;&gt;"",NOT(ISNUMBER(F42)))),"Fecha no válida"&amp;" · ","")&amp;IF(AND(ISNUMBER(E42),ISNUMBER(F42),E42&gt;F42),"Inicio posterior a fecha límite"&amp;" · ","")&amp;IF(G42="","Peso vacío"&amp;" · ","")&amp;IF(AND(G42&lt;&gt;"",OR(NOT(ISNUMBER(G42)),G42&lt;=0,G42&gt;1)),"Peso fuera de rango"&amp;" · ","")&amp;IF(ABS(SUM($G$5:$G$1000)-1)&gt;0.0001,"Pesos del puesto suman "&amp;TEXT(SUM($G$5:$G$1000),"0%")&amp;" · ","")&amp;IF((COUNTIF(H42:K42,"&gt;1")+COUNTIF(H42:K42,"&lt;0")+COUNTA(H42:K42)-COUNT(H42:K42))&gt;0,"Avance fuera de rango 0-100%"&amp;" · ","")&amp;IF(OR(AND(I42&lt;&gt;"",I42&lt;H42),AND(J42&lt;&gt;"",J42&lt;MAX(H42:I42)),AND(K42&lt;&gt;"",K42&lt;MAX(H42:J42))),"Avance semanal decreciente"&amp;" · ","")&amp;IF(AND(ISNUMBER(F42),F42&lt;FechaRef,N(L42)&lt;1),"Vencida"&amp;" · ","")&amp;IF(AND(EvidenciaObligatoria="Sí",N(L42)&gt;=1,O42=""),"Completada sin evidencia"&amp;" · ",""))-3)))</f>
        <v/>
      </c>
    </row>
    <row r="43">
      <c r="A43" s="49" t="n"/>
      <c r="B43" s="50">
        <f>IF((COUNTA($A43)+COUNTA($C43:$K43)+COUNTA($N43:$O43))&gt;0,"Asistente Técnico de Riesgo","")</f>
        <v/>
      </c>
      <c r="C43" s="51" t="n"/>
      <c r="D43" s="51" t="n"/>
      <c r="E43" s="52" t="n"/>
      <c r="F43" s="52" t="n"/>
      <c r="G43" s="53" t="n"/>
      <c r="H43" s="54" t="n"/>
      <c r="I43" s="54" t="n"/>
      <c r="J43" s="54" t="n"/>
      <c r="K43" s="54" t="n"/>
      <c r="L43" s="55">
        <f>IF(NOT((COUNTA($A43)+COUNTA($C43:$K43)+COUNTA($N43:$O43))&gt;0),"",IFERROR(LOOKUP(2,1/(H43:K43&lt;&gt;""),H43:K43),0))</f>
        <v/>
      </c>
      <c r="M43" s="56">
        <f>IF(L43="","",IF(L43&gt;=1,"Completado",IF(L43&gt;0,"En curso","Pendiente")))</f>
        <v/>
      </c>
      <c r="N43" s="52" t="n"/>
      <c r="O43" s="51" t="n"/>
      <c r="P43" s="57">
        <f>IF(NOT((COUNTA($A43)+COUNTA($C43:$K43)+COUNTA($N43:$O43))&gt;0),"",IF((IF(A43="","Falta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 OK","⚠ "&amp;LEFT(IF(A43="","Falta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",""),LEN(IF(A43="","Falta ID"&amp;" · ","")&amp;IF(AND(A43&lt;&gt;"",(COUNTIF('Cronograma R. Operacional'!$A$5:$A$1000,A43)+COUNTIF('Cronograma R. Legal y Normativo'!$A$5:$A$1000,A43)+COUNTIF('Cronograma R. Financiero'!$A$5:$A$1000,A43)+COUNTIF('Cronograma Asistente Técnico'!$A$5:$A$1000,A43))&gt;1),"ID duplicado"&amp;" · ","")&amp;IF(C43="","Macroactividad vacía"&amp;" · ","")&amp;IF(D43="","Sin responsable"&amp;" · ","")&amp;IF(E43="","Sin fecha de inicio"&amp;" · ","")&amp;IF(F43="","Sin fecha límite"&amp;" · ","")&amp;IF(OR(AND(E43&lt;&gt;"",NOT(ISNUMBER(E43))),AND(F43&lt;&gt;"",NOT(ISNUMBER(F43)))),"Fecha no válida"&amp;" · ","")&amp;IF(AND(ISNUMBER(E43),ISNUMBER(F43),E43&gt;F43),"Inicio posterior a fecha límite"&amp;" · ","")&amp;IF(G43="","Peso vacío"&amp;" · ","")&amp;IF(AND(G43&lt;&gt;"",OR(NOT(ISNUMBER(G43)),G43&lt;=0,G43&gt;1)),"Peso fuera de rango"&amp;" · ","")&amp;IF(ABS(SUM($G$5:$G$1000)-1)&gt;0.0001,"Pesos del puesto suman "&amp;TEXT(SUM($G$5:$G$1000),"0%")&amp;" · ","")&amp;IF((COUNTIF(H43:K43,"&gt;1")+COUNTIF(H43:K43,"&lt;0")+COUNTA(H43:K43)-COUNT(H43:K43))&gt;0,"Avance fuera de rango 0-100%"&amp;" · ","")&amp;IF(OR(AND(I43&lt;&gt;"",I43&lt;H43),AND(J43&lt;&gt;"",J43&lt;MAX(H43:I43)),AND(K43&lt;&gt;"",K43&lt;MAX(H43:J43))),"Avance semanal decreciente"&amp;" · ","")&amp;IF(AND(ISNUMBER(F43),F43&lt;FechaRef,N(L43)&lt;1),"Vencida"&amp;" · ","")&amp;IF(AND(EvidenciaObligatoria="Sí",N(L43)&gt;=1,O43=""),"Completada sin evidencia"&amp;" · ",""))-3)))</f>
        <v/>
      </c>
    </row>
    <row r="44">
      <c r="A44" s="49" t="n"/>
      <c r="B44" s="50">
        <f>IF((COUNTA($A44)+COUNTA($C44:$K44)+COUNTA($N44:$O44))&gt;0,"Asistente Técnico de Riesgo","")</f>
        <v/>
      </c>
      <c r="C44" s="51" t="n"/>
      <c r="D44" s="51" t="n"/>
      <c r="E44" s="52" t="n"/>
      <c r="F44" s="52" t="n"/>
      <c r="G44" s="53" t="n"/>
      <c r="H44" s="54" t="n"/>
      <c r="I44" s="54" t="n"/>
      <c r="J44" s="54" t="n"/>
      <c r="K44" s="54" t="n"/>
      <c r="L44" s="55">
        <f>IF(NOT((COUNTA($A44)+COUNTA($C44:$K44)+COUNTA($N44:$O44))&gt;0),"",IFERROR(LOOKUP(2,1/(H44:K44&lt;&gt;""),H44:K44),0))</f>
        <v/>
      </c>
      <c r="M44" s="56">
        <f>IF(L44="","",IF(L44&gt;=1,"Completado",IF(L44&gt;0,"En curso","Pendiente")))</f>
        <v/>
      </c>
      <c r="N44" s="52" t="n"/>
      <c r="O44" s="51" t="n"/>
      <c r="P44" s="57">
        <f>IF(NOT((COUNTA($A44)+COUNTA($C44:$K44)+COUNTA($N44:$O44))&gt;0),"",IF((IF(A44="","Falta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 OK","⚠ "&amp;LEFT(IF(A44="","Falta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",""),LEN(IF(A44="","Falta ID"&amp;" · ","")&amp;IF(AND(A44&lt;&gt;"",(COUNTIF('Cronograma R. Operacional'!$A$5:$A$1000,A44)+COUNTIF('Cronograma R. Legal y Normativo'!$A$5:$A$1000,A44)+COUNTIF('Cronograma R. Financiero'!$A$5:$A$1000,A44)+COUNTIF('Cronograma Asistente Técnico'!$A$5:$A$1000,A44))&gt;1),"ID duplicado"&amp;" · ","")&amp;IF(C44="","Macroactividad vacía"&amp;" · ","")&amp;IF(D44="","Sin responsable"&amp;" · ","")&amp;IF(E44="","Sin fecha de inicio"&amp;" · ","")&amp;IF(F44="","Sin fecha límite"&amp;" · ","")&amp;IF(OR(AND(E44&lt;&gt;"",NOT(ISNUMBER(E44))),AND(F44&lt;&gt;"",NOT(ISNUMBER(F44)))),"Fecha no válida"&amp;" · ","")&amp;IF(AND(ISNUMBER(E44),ISNUMBER(F44),E44&gt;F44),"Inicio posterior a fecha límite"&amp;" · ","")&amp;IF(G44="","Peso vacío"&amp;" · ","")&amp;IF(AND(G44&lt;&gt;"",OR(NOT(ISNUMBER(G44)),G44&lt;=0,G44&gt;1)),"Peso fuera de rango"&amp;" · ","")&amp;IF(ABS(SUM($G$5:$G$1000)-1)&gt;0.0001,"Pesos del puesto suman "&amp;TEXT(SUM($G$5:$G$1000),"0%")&amp;" · ","")&amp;IF((COUNTIF(H44:K44,"&gt;1")+COUNTIF(H44:K44,"&lt;0")+COUNTA(H44:K44)-COUNT(H44:K44))&gt;0,"Avance fuera de rango 0-100%"&amp;" · ","")&amp;IF(OR(AND(I44&lt;&gt;"",I44&lt;H44),AND(J44&lt;&gt;"",J44&lt;MAX(H44:I44)),AND(K44&lt;&gt;"",K44&lt;MAX(H44:J44))),"Avance semanal decreciente"&amp;" · ","")&amp;IF(AND(ISNUMBER(F44),F44&lt;FechaRef,N(L44)&lt;1),"Vencida"&amp;" · ","")&amp;IF(AND(EvidenciaObligatoria="Sí",N(L44)&gt;=1,O44=""),"Completada sin evidencia"&amp;" · ",""))-3)))</f>
        <v/>
      </c>
    </row>
    <row r="45">
      <c r="A45" s="49" t="n"/>
      <c r="B45" s="50">
        <f>IF((COUNTA($A45)+COUNTA($C45:$K45)+COUNTA($N45:$O45))&gt;0,"Asistente Técnico de Riesgo","")</f>
        <v/>
      </c>
      <c r="C45" s="51" t="n"/>
      <c r="D45" s="51" t="n"/>
      <c r="E45" s="52" t="n"/>
      <c r="F45" s="52" t="n"/>
      <c r="G45" s="53" t="n"/>
      <c r="H45" s="54" t="n"/>
      <c r="I45" s="54" t="n"/>
      <c r="J45" s="54" t="n"/>
      <c r="K45" s="54" t="n"/>
      <c r="L45" s="55">
        <f>IF(NOT((COUNTA($A45)+COUNTA($C45:$K45)+COUNTA($N45:$O45))&gt;0),"",IFERROR(LOOKUP(2,1/(H45:K45&lt;&gt;""),H45:K45),0))</f>
        <v/>
      </c>
      <c r="M45" s="56">
        <f>IF(L45="","",IF(L45&gt;=1,"Completado",IF(L45&gt;0,"En curso","Pendiente")))</f>
        <v/>
      </c>
      <c r="N45" s="52" t="n"/>
      <c r="O45" s="51" t="n"/>
      <c r="P45" s="57">
        <f>IF(NOT((COUNTA($A45)+COUNTA($C45:$K45)+COUNTA($N45:$O45))&gt;0),"",IF((IF(A45="","Falta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 OK","⚠ "&amp;LEFT(IF(A45="","Falta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",""),LEN(IF(A45="","Falta ID"&amp;" · ","")&amp;IF(AND(A45&lt;&gt;"",(COUNTIF('Cronograma R. Operacional'!$A$5:$A$1000,A45)+COUNTIF('Cronograma R. Legal y Normativo'!$A$5:$A$1000,A45)+COUNTIF('Cronograma R. Financiero'!$A$5:$A$1000,A45)+COUNTIF('Cronograma Asistente Técnico'!$A$5:$A$1000,A45))&gt;1),"ID duplicado"&amp;" · ","")&amp;IF(C45="","Macroactividad vacía"&amp;" · ","")&amp;IF(D45="","Sin responsable"&amp;" · ","")&amp;IF(E45="","Sin fecha de inicio"&amp;" · ","")&amp;IF(F45="","Sin fecha límite"&amp;" · ","")&amp;IF(OR(AND(E45&lt;&gt;"",NOT(ISNUMBER(E45))),AND(F45&lt;&gt;"",NOT(ISNUMBER(F45)))),"Fecha no válida"&amp;" · ","")&amp;IF(AND(ISNUMBER(E45),ISNUMBER(F45),E45&gt;F45),"Inicio posterior a fecha límite"&amp;" · ","")&amp;IF(G45="","Peso vacío"&amp;" · ","")&amp;IF(AND(G45&lt;&gt;"",OR(NOT(ISNUMBER(G45)),G45&lt;=0,G45&gt;1)),"Peso fuera de rango"&amp;" · ","")&amp;IF(ABS(SUM($G$5:$G$1000)-1)&gt;0.0001,"Pesos del puesto suman "&amp;TEXT(SUM($G$5:$G$1000),"0%")&amp;" · ","")&amp;IF((COUNTIF(H45:K45,"&gt;1")+COUNTIF(H45:K45,"&lt;0")+COUNTA(H45:K45)-COUNT(H45:K45))&gt;0,"Avance fuera de rango 0-100%"&amp;" · ","")&amp;IF(OR(AND(I45&lt;&gt;"",I45&lt;H45),AND(J45&lt;&gt;"",J45&lt;MAX(H45:I45)),AND(K45&lt;&gt;"",K45&lt;MAX(H45:J45))),"Avance semanal decreciente"&amp;" · ","")&amp;IF(AND(ISNUMBER(F45),F45&lt;FechaRef,N(L45)&lt;1),"Vencida"&amp;" · ","")&amp;IF(AND(EvidenciaObligatoria="Sí",N(L45)&gt;=1,O45=""),"Completada sin evidencia"&amp;" · ",""))-3)))</f>
        <v/>
      </c>
    </row>
    <row r="46">
      <c r="A46" s="49" t="n"/>
      <c r="B46" s="50">
        <f>IF((COUNTA($A46)+COUNTA($C46:$K46)+COUNTA($N46:$O46))&gt;0,"Asistente Técnico de Riesgo","")</f>
        <v/>
      </c>
      <c r="C46" s="51" t="n"/>
      <c r="D46" s="51" t="n"/>
      <c r="E46" s="52" t="n"/>
      <c r="F46" s="52" t="n"/>
      <c r="G46" s="53" t="n"/>
      <c r="H46" s="54" t="n"/>
      <c r="I46" s="54" t="n"/>
      <c r="J46" s="54" t="n"/>
      <c r="K46" s="54" t="n"/>
      <c r="L46" s="55">
        <f>IF(NOT((COUNTA($A46)+COUNTA($C46:$K46)+COUNTA($N46:$O46))&gt;0),"",IFERROR(LOOKUP(2,1/(H46:K46&lt;&gt;""),H46:K46),0))</f>
        <v/>
      </c>
      <c r="M46" s="56">
        <f>IF(L46="","",IF(L46&gt;=1,"Completado",IF(L46&gt;0,"En curso","Pendiente")))</f>
        <v/>
      </c>
      <c r="N46" s="52" t="n"/>
      <c r="O46" s="51" t="n"/>
      <c r="P46" s="57">
        <f>IF(NOT((COUNTA($A46)+COUNTA($C46:$K46)+COUNTA($N46:$O46))&gt;0),"",IF((IF(A46="","Falta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 OK","⚠ "&amp;LEFT(IF(A46="","Falta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",""),LEN(IF(A46="","Falta ID"&amp;" · ","")&amp;IF(AND(A46&lt;&gt;"",(COUNTIF('Cronograma R. Operacional'!$A$5:$A$1000,A46)+COUNTIF('Cronograma R. Legal y Normativo'!$A$5:$A$1000,A46)+COUNTIF('Cronograma R. Financiero'!$A$5:$A$1000,A46)+COUNTIF('Cronograma Asistente Técnico'!$A$5:$A$1000,A46))&gt;1),"ID duplicado"&amp;" · ","")&amp;IF(C46="","Macroactividad vacía"&amp;" · ","")&amp;IF(D46="","Sin responsable"&amp;" · ","")&amp;IF(E46="","Sin fecha de inicio"&amp;" · ","")&amp;IF(F46="","Sin fecha límite"&amp;" · ","")&amp;IF(OR(AND(E46&lt;&gt;"",NOT(ISNUMBER(E46))),AND(F46&lt;&gt;"",NOT(ISNUMBER(F46)))),"Fecha no válida"&amp;" · ","")&amp;IF(AND(ISNUMBER(E46),ISNUMBER(F46),E46&gt;F46),"Inicio posterior a fecha límite"&amp;" · ","")&amp;IF(G46="","Peso vacío"&amp;" · ","")&amp;IF(AND(G46&lt;&gt;"",OR(NOT(ISNUMBER(G46)),G46&lt;=0,G46&gt;1)),"Peso fuera de rango"&amp;" · ","")&amp;IF(ABS(SUM($G$5:$G$1000)-1)&gt;0.0001,"Pesos del puesto suman "&amp;TEXT(SUM($G$5:$G$1000),"0%")&amp;" · ","")&amp;IF((COUNTIF(H46:K46,"&gt;1")+COUNTIF(H46:K46,"&lt;0")+COUNTA(H46:K46)-COUNT(H46:K46))&gt;0,"Avance fuera de rango 0-100%"&amp;" · ","")&amp;IF(OR(AND(I46&lt;&gt;"",I46&lt;H46),AND(J46&lt;&gt;"",J46&lt;MAX(H46:I46)),AND(K46&lt;&gt;"",K46&lt;MAX(H46:J46))),"Avance semanal decreciente"&amp;" · ","")&amp;IF(AND(ISNUMBER(F46),F46&lt;FechaRef,N(L46)&lt;1),"Vencida"&amp;" · ","")&amp;IF(AND(EvidenciaObligatoria="Sí",N(L46)&gt;=1,O46=""),"Completada sin evidencia"&amp;" · ",""))-3)))</f>
        <v/>
      </c>
    </row>
    <row r="47">
      <c r="A47" s="49" t="n"/>
      <c r="B47" s="50">
        <f>IF((COUNTA($A47)+COUNTA($C47:$K47)+COUNTA($N47:$O47))&gt;0,"Asistente Técnico de Riesgo","")</f>
        <v/>
      </c>
      <c r="C47" s="51" t="n"/>
      <c r="D47" s="51" t="n"/>
      <c r="E47" s="52" t="n"/>
      <c r="F47" s="52" t="n"/>
      <c r="G47" s="53" t="n"/>
      <c r="H47" s="54" t="n"/>
      <c r="I47" s="54" t="n"/>
      <c r="J47" s="54" t="n"/>
      <c r="K47" s="54" t="n"/>
      <c r="L47" s="55">
        <f>IF(NOT((COUNTA($A47)+COUNTA($C47:$K47)+COUNTA($N47:$O47))&gt;0),"",IFERROR(LOOKUP(2,1/(H47:K47&lt;&gt;""),H47:K47),0))</f>
        <v/>
      </c>
      <c r="M47" s="56">
        <f>IF(L47="","",IF(L47&gt;=1,"Completado",IF(L47&gt;0,"En curso","Pendiente")))</f>
        <v/>
      </c>
      <c r="N47" s="52" t="n"/>
      <c r="O47" s="51" t="n"/>
      <c r="P47" s="57">
        <f>IF(NOT((COUNTA($A47)+COUNTA($C47:$K47)+COUNTA($N47:$O47))&gt;0),"",IF((IF(A47="","Falta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 OK","⚠ "&amp;LEFT(IF(A47="","Falta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",""),LEN(IF(A47="","Falta ID"&amp;" · ","")&amp;IF(AND(A47&lt;&gt;"",(COUNTIF('Cronograma R. Operacional'!$A$5:$A$1000,A47)+COUNTIF('Cronograma R. Legal y Normativo'!$A$5:$A$1000,A47)+COUNTIF('Cronograma R. Financiero'!$A$5:$A$1000,A47)+COUNTIF('Cronograma Asistente Técnico'!$A$5:$A$1000,A47))&gt;1),"ID duplicado"&amp;" · ","")&amp;IF(C47="","Macroactividad vacía"&amp;" · ","")&amp;IF(D47="","Sin responsable"&amp;" · ","")&amp;IF(E47="","Sin fecha de inicio"&amp;" · ","")&amp;IF(F47="","Sin fecha límite"&amp;" · ","")&amp;IF(OR(AND(E47&lt;&gt;"",NOT(ISNUMBER(E47))),AND(F47&lt;&gt;"",NOT(ISNUMBER(F47)))),"Fecha no válida"&amp;" · ","")&amp;IF(AND(ISNUMBER(E47),ISNUMBER(F47),E47&gt;F47),"Inicio posterior a fecha límite"&amp;" · ","")&amp;IF(G47="","Peso vacío"&amp;" · ","")&amp;IF(AND(G47&lt;&gt;"",OR(NOT(ISNUMBER(G47)),G47&lt;=0,G47&gt;1)),"Peso fuera de rango"&amp;" · ","")&amp;IF(ABS(SUM($G$5:$G$1000)-1)&gt;0.0001,"Pesos del puesto suman "&amp;TEXT(SUM($G$5:$G$1000),"0%")&amp;" · ","")&amp;IF((COUNTIF(H47:K47,"&gt;1")+COUNTIF(H47:K47,"&lt;0")+COUNTA(H47:K47)-COUNT(H47:K47))&gt;0,"Avance fuera de rango 0-100%"&amp;" · ","")&amp;IF(OR(AND(I47&lt;&gt;"",I47&lt;H47),AND(J47&lt;&gt;"",J47&lt;MAX(H47:I47)),AND(K47&lt;&gt;"",K47&lt;MAX(H47:J47))),"Avance semanal decreciente"&amp;" · ","")&amp;IF(AND(ISNUMBER(F47),F47&lt;FechaRef,N(L47)&lt;1),"Vencida"&amp;" · ","")&amp;IF(AND(EvidenciaObligatoria="Sí",N(L47)&gt;=1,O47=""),"Completada sin evidencia"&amp;" · ",""))-3)))</f>
        <v/>
      </c>
    </row>
    <row r="48">
      <c r="A48" s="49" t="n"/>
      <c r="B48" s="50">
        <f>IF((COUNTA($A48)+COUNTA($C48:$K48)+COUNTA($N48:$O48))&gt;0,"Asistente Técnico de Riesgo","")</f>
        <v/>
      </c>
      <c r="C48" s="51" t="n"/>
      <c r="D48" s="51" t="n"/>
      <c r="E48" s="52" t="n"/>
      <c r="F48" s="52" t="n"/>
      <c r="G48" s="53" t="n"/>
      <c r="H48" s="54" t="n"/>
      <c r="I48" s="54" t="n"/>
      <c r="J48" s="54" t="n"/>
      <c r="K48" s="54" t="n"/>
      <c r="L48" s="55">
        <f>IF(NOT((COUNTA($A48)+COUNTA($C48:$K48)+COUNTA($N48:$O48))&gt;0),"",IFERROR(LOOKUP(2,1/(H48:K48&lt;&gt;""),H48:K48),0))</f>
        <v/>
      </c>
      <c r="M48" s="56">
        <f>IF(L48="","",IF(L48&gt;=1,"Completado",IF(L48&gt;0,"En curso","Pendiente")))</f>
        <v/>
      </c>
      <c r="N48" s="52" t="n"/>
      <c r="O48" s="51" t="n"/>
      <c r="P48" s="57">
        <f>IF(NOT((COUNTA($A48)+COUNTA($C48:$K48)+COUNTA($N48:$O48))&gt;0),"",IF((IF(A48="","Falta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 OK","⚠ "&amp;LEFT(IF(A48="","Falta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",""),LEN(IF(A48="","Falta ID"&amp;" · ","")&amp;IF(AND(A48&lt;&gt;"",(COUNTIF('Cronograma R. Operacional'!$A$5:$A$1000,A48)+COUNTIF('Cronograma R. Legal y Normativo'!$A$5:$A$1000,A48)+COUNTIF('Cronograma R. Financiero'!$A$5:$A$1000,A48)+COUNTIF('Cronograma Asistente Técnico'!$A$5:$A$1000,A48))&gt;1),"ID duplicado"&amp;" · ","")&amp;IF(C48="","Macroactividad vacía"&amp;" · ","")&amp;IF(D48="","Sin responsable"&amp;" · ","")&amp;IF(E48="","Sin fecha de inicio"&amp;" · ","")&amp;IF(F48="","Sin fecha límite"&amp;" · ","")&amp;IF(OR(AND(E48&lt;&gt;"",NOT(ISNUMBER(E48))),AND(F48&lt;&gt;"",NOT(ISNUMBER(F48)))),"Fecha no válida"&amp;" · ","")&amp;IF(AND(ISNUMBER(E48),ISNUMBER(F48),E48&gt;F48),"Inicio posterior a fecha límite"&amp;" · ","")&amp;IF(G48="","Peso vacío"&amp;" · ","")&amp;IF(AND(G48&lt;&gt;"",OR(NOT(ISNUMBER(G48)),G48&lt;=0,G48&gt;1)),"Peso fuera de rango"&amp;" · ","")&amp;IF(ABS(SUM($G$5:$G$1000)-1)&gt;0.0001,"Pesos del puesto suman "&amp;TEXT(SUM($G$5:$G$1000),"0%")&amp;" · ","")&amp;IF((COUNTIF(H48:K48,"&gt;1")+COUNTIF(H48:K48,"&lt;0")+COUNTA(H48:K48)-COUNT(H48:K48))&gt;0,"Avance fuera de rango 0-100%"&amp;" · ","")&amp;IF(OR(AND(I48&lt;&gt;"",I48&lt;H48),AND(J48&lt;&gt;"",J48&lt;MAX(H48:I48)),AND(K48&lt;&gt;"",K48&lt;MAX(H48:J48))),"Avance semanal decreciente"&amp;" · ","")&amp;IF(AND(ISNUMBER(F48),F48&lt;FechaRef,N(L48)&lt;1),"Vencida"&amp;" · ","")&amp;IF(AND(EvidenciaObligatoria="Sí",N(L48)&gt;=1,O48=""),"Completada sin evidencia"&amp;" · ",""))-3)))</f>
        <v/>
      </c>
    </row>
    <row r="49">
      <c r="A49" s="49" t="n"/>
      <c r="B49" s="50">
        <f>IF((COUNTA($A49)+COUNTA($C49:$K49)+COUNTA($N49:$O49))&gt;0,"Asistente Técnico de Riesgo","")</f>
        <v/>
      </c>
      <c r="C49" s="51" t="n"/>
      <c r="D49" s="51" t="n"/>
      <c r="E49" s="52" t="n"/>
      <c r="F49" s="52" t="n"/>
      <c r="G49" s="53" t="n"/>
      <c r="H49" s="54" t="n"/>
      <c r="I49" s="54" t="n"/>
      <c r="J49" s="54" t="n"/>
      <c r="K49" s="54" t="n"/>
      <c r="L49" s="55">
        <f>IF(NOT((COUNTA($A49)+COUNTA($C49:$K49)+COUNTA($N49:$O49))&gt;0),"",IFERROR(LOOKUP(2,1/(H49:K49&lt;&gt;""),H49:K49),0))</f>
        <v/>
      </c>
      <c r="M49" s="56">
        <f>IF(L49="","",IF(L49&gt;=1,"Completado",IF(L49&gt;0,"En curso","Pendiente")))</f>
        <v/>
      </c>
      <c r="N49" s="52" t="n"/>
      <c r="O49" s="51" t="n"/>
      <c r="P49" s="57">
        <f>IF(NOT((COUNTA($A49)+COUNTA($C49:$K49)+COUNTA($N49:$O49))&gt;0),"",IF((IF(A49="","Falta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 OK","⚠ "&amp;LEFT(IF(A49="","Falta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",""),LEN(IF(A49="","Falta ID"&amp;" · ","")&amp;IF(AND(A49&lt;&gt;"",(COUNTIF('Cronograma R. Operacional'!$A$5:$A$1000,A49)+COUNTIF('Cronograma R. Legal y Normativo'!$A$5:$A$1000,A49)+COUNTIF('Cronograma R. Financiero'!$A$5:$A$1000,A49)+COUNTIF('Cronograma Asistente Técnico'!$A$5:$A$1000,A49))&gt;1),"ID duplicado"&amp;" · ","")&amp;IF(C49="","Macroactividad vacía"&amp;" · ","")&amp;IF(D49="","Sin responsable"&amp;" · ","")&amp;IF(E49="","Sin fecha de inicio"&amp;" · ","")&amp;IF(F49="","Sin fecha límite"&amp;" · ","")&amp;IF(OR(AND(E49&lt;&gt;"",NOT(ISNUMBER(E49))),AND(F49&lt;&gt;"",NOT(ISNUMBER(F49)))),"Fecha no válida"&amp;" · ","")&amp;IF(AND(ISNUMBER(E49),ISNUMBER(F49),E49&gt;F49),"Inicio posterior a fecha límite"&amp;" · ","")&amp;IF(G49="","Peso vacío"&amp;" · ","")&amp;IF(AND(G49&lt;&gt;"",OR(NOT(ISNUMBER(G49)),G49&lt;=0,G49&gt;1)),"Peso fuera de rango"&amp;" · ","")&amp;IF(ABS(SUM($G$5:$G$1000)-1)&gt;0.0001,"Pesos del puesto suman "&amp;TEXT(SUM($G$5:$G$1000),"0%")&amp;" · ","")&amp;IF((COUNTIF(H49:K49,"&gt;1")+COUNTIF(H49:K49,"&lt;0")+COUNTA(H49:K49)-COUNT(H49:K49))&gt;0,"Avance fuera de rango 0-100%"&amp;" · ","")&amp;IF(OR(AND(I49&lt;&gt;"",I49&lt;H49),AND(J49&lt;&gt;"",J49&lt;MAX(H49:I49)),AND(K49&lt;&gt;"",K49&lt;MAX(H49:J49))),"Avance semanal decreciente"&amp;" · ","")&amp;IF(AND(ISNUMBER(F49),F49&lt;FechaRef,N(L49)&lt;1),"Vencida"&amp;" · ","")&amp;IF(AND(EvidenciaObligatoria="Sí",N(L49)&gt;=1,O49=""),"Completada sin evidencia"&amp;" · ",""))-3)))</f>
        <v/>
      </c>
    </row>
    <row r="50">
      <c r="A50" s="49" t="n"/>
      <c r="B50" s="50">
        <f>IF((COUNTA($A50)+COUNTA($C50:$K50)+COUNTA($N50:$O50))&gt;0,"Asistente Técnico de Riesgo","")</f>
        <v/>
      </c>
      <c r="C50" s="51" t="n"/>
      <c r="D50" s="51" t="n"/>
      <c r="E50" s="52" t="n"/>
      <c r="F50" s="52" t="n"/>
      <c r="G50" s="53" t="n"/>
      <c r="H50" s="54" t="n"/>
      <c r="I50" s="54" t="n"/>
      <c r="J50" s="54" t="n"/>
      <c r="K50" s="54" t="n"/>
      <c r="L50" s="55">
        <f>IF(NOT((COUNTA($A50)+COUNTA($C50:$K50)+COUNTA($N50:$O50))&gt;0),"",IFERROR(LOOKUP(2,1/(H50:K50&lt;&gt;""),H50:K50),0))</f>
        <v/>
      </c>
      <c r="M50" s="56">
        <f>IF(L50="","",IF(L50&gt;=1,"Completado",IF(L50&gt;0,"En curso","Pendiente")))</f>
        <v/>
      </c>
      <c r="N50" s="52" t="n"/>
      <c r="O50" s="51" t="n"/>
      <c r="P50" s="57">
        <f>IF(NOT((COUNTA($A50)+COUNTA($C50:$K50)+COUNTA($N50:$O50))&gt;0),"",IF((IF(A50="","Falta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 OK","⚠ "&amp;LEFT(IF(A50="","Falta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",""),LEN(IF(A50="","Falta ID"&amp;" · ","")&amp;IF(AND(A50&lt;&gt;"",(COUNTIF('Cronograma R. Operacional'!$A$5:$A$1000,A50)+COUNTIF('Cronograma R. Legal y Normativo'!$A$5:$A$1000,A50)+COUNTIF('Cronograma R. Financiero'!$A$5:$A$1000,A50)+COUNTIF('Cronograma Asistente Técnico'!$A$5:$A$1000,A50))&gt;1),"ID duplicado"&amp;" · ","")&amp;IF(C50="","Macroactividad vacía"&amp;" · ","")&amp;IF(D50="","Sin responsable"&amp;" · ","")&amp;IF(E50="","Sin fecha de inicio"&amp;" · ","")&amp;IF(F50="","Sin fecha límite"&amp;" · ","")&amp;IF(OR(AND(E50&lt;&gt;"",NOT(ISNUMBER(E50))),AND(F50&lt;&gt;"",NOT(ISNUMBER(F50)))),"Fecha no válida"&amp;" · ","")&amp;IF(AND(ISNUMBER(E50),ISNUMBER(F50),E50&gt;F50),"Inicio posterior a fecha límite"&amp;" · ","")&amp;IF(G50="","Peso vacío"&amp;" · ","")&amp;IF(AND(G50&lt;&gt;"",OR(NOT(ISNUMBER(G50)),G50&lt;=0,G50&gt;1)),"Peso fuera de rango"&amp;" · ","")&amp;IF(ABS(SUM($G$5:$G$1000)-1)&gt;0.0001,"Pesos del puesto suman "&amp;TEXT(SUM($G$5:$G$1000),"0%")&amp;" · ","")&amp;IF((COUNTIF(H50:K50,"&gt;1")+COUNTIF(H50:K50,"&lt;0")+COUNTA(H50:K50)-COUNT(H50:K50))&gt;0,"Avance fuera de rango 0-100%"&amp;" · ","")&amp;IF(OR(AND(I50&lt;&gt;"",I50&lt;H50),AND(J50&lt;&gt;"",J50&lt;MAX(H50:I50)),AND(K50&lt;&gt;"",K50&lt;MAX(H50:J50))),"Avance semanal decreciente"&amp;" · ","")&amp;IF(AND(ISNUMBER(F50),F50&lt;FechaRef,N(L50)&lt;1),"Vencida"&amp;" · ","")&amp;IF(AND(EvidenciaObligatoria="Sí",N(L50)&gt;=1,O50=""),"Completada sin evidencia"&amp;" · ",""))-3)))</f>
        <v/>
      </c>
    </row>
    <row r="51">
      <c r="A51" s="49" t="n"/>
      <c r="B51" s="50">
        <f>IF((COUNTA($A51)+COUNTA($C51:$K51)+COUNTA($N51:$O51))&gt;0,"Asistente Técnico de Riesgo","")</f>
        <v/>
      </c>
      <c r="C51" s="51" t="n"/>
      <c r="D51" s="51" t="n"/>
      <c r="E51" s="52" t="n"/>
      <c r="F51" s="52" t="n"/>
      <c r="G51" s="53" t="n"/>
      <c r="H51" s="54" t="n"/>
      <c r="I51" s="54" t="n"/>
      <c r="J51" s="54" t="n"/>
      <c r="K51" s="54" t="n"/>
      <c r="L51" s="55">
        <f>IF(NOT((COUNTA($A51)+COUNTA($C51:$K51)+COUNTA($N51:$O51))&gt;0),"",IFERROR(LOOKUP(2,1/(H51:K51&lt;&gt;""),H51:K51),0))</f>
        <v/>
      </c>
      <c r="M51" s="56">
        <f>IF(L51="","",IF(L51&gt;=1,"Completado",IF(L51&gt;0,"En curso","Pendiente")))</f>
        <v/>
      </c>
      <c r="N51" s="52" t="n"/>
      <c r="O51" s="51" t="n"/>
      <c r="P51" s="57">
        <f>IF(NOT((COUNTA($A51)+COUNTA($C51:$K51)+COUNTA($N51:$O51))&gt;0),"",IF((IF(A51="","Falta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 OK","⚠ "&amp;LEFT(IF(A51="","Falta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",""),LEN(IF(A51="","Falta ID"&amp;" · ","")&amp;IF(AND(A51&lt;&gt;"",(COUNTIF('Cronograma R. Operacional'!$A$5:$A$1000,A51)+COUNTIF('Cronograma R. Legal y Normativo'!$A$5:$A$1000,A51)+COUNTIF('Cronograma R. Financiero'!$A$5:$A$1000,A51)+COUNTIF('Cronograma Asistente Técnico'!$A$5:$A$1000,A51))&gt;1),"ID duplicado"&amp;" · ","")&amp;IF(C51="","Macroactividad vacía"&amp;" · ","")&amp;IF(D51="","Sin responsable"&amp;" · ","")&amp;IF(E51="","Sin fecha de inicio"&amp;" · ","")&amp;IF(F51="","Sin fecha límite"&amp;" · ","")&amp;IF(OR(AND(E51&lt;&gt;"",NOT(ISNUMBER(E51))),AND(F51&lt;&gt;"",NOT(ISNUMBER(F51)))),"Fecha no válida"&amp;" · ","")&amp;IF(AND(ISNUMBER(E51),ISNUMBER(F51),E51&gt;F51),"Inicio posterior a fecha límite"&amp;" · ","")&amp;IF(G51="","Peso vacío"&amp;" · ","")&amp;IF(AND(G51&lt;&gt;"",OR(NOT(ISNUMBER(G51)),G51&lt;=0,G51&gt;1)),"Peso fuera de rango"&amp;" · ","")&amp;IF(ABS(SUM($G$5:$G$1000)-1)&gt;0.0001,"Pesos del puesto suman "&amp;TEXT(SUM($G$5:$G$1000),"0%")&amp;" · ","")&amp;IF((COUNTIF(H51:K51,"&gt;1")+COUNTIF(H51:K51,"&lt;0")+COUNTA(H51:K51)-COUNT(H51:K51))&gt;0,"Avance fuera de rango 0-100%"&amp;" · ","")&amp;IF(OR(AND(I51&lt;&gt;"",I51&lt;H51),AND(J51&lt;&gt;"",J51&lt;MAX(H51:I51)),AND(K51&lt;&gt;"",K51&lt;MAX(H51:J51))),"Avance semanal decreciente"&amp;" · ","")&amp;IF(AND(ISNUMBER(F51),F51&lt;FechaRef,N(L51)&lt;1),"Vencida"&amp;" · ","")&amp;IF(AND(EvidenciaObligatoria="Sí",N(L51)&gt;=1,O51=""),"Completada sin evidencia"&amp;" · ",""))-3)))</f>
        <v/>
      </c>
    </row>
    <row r="52">
      <c r="A52" s="49" t="n"/>
      <c r="B52" s="50">
        <f>IF((COUNTA($A52)+COUNTA($C52:$K52)+COUNTA($N52:$O52))&gt;0,"Asistente Técnico de Riesgo","")</f>
        <v/>
      </c>
      <c r="C52" s="51" t="n"/>
      <c r="D52" s="51" t="n"/>
      <c r="E52" s="52" t="n"/>
      <c r="F52" s="52" t="n"/>
      <c r="G52" s="53" t="n"/>
      <c r="H52" s="54" t="n"/>
      <c r="I52" s="54" t="n"/>
      <c r="J52" s="54" t="n"/>
      <c r="K52" s="54" t="n"/>
      <c r="L52" s="55">
        <f>IF(NOT((COUNTA($A52)+COUNTA($C52:$K52)+COUNTA($N52:$O52))&gt;0),"",IFERROR(LOOKUP(2,1/(H52:K52&lt;&gt;""),H52:K52),0))</f>
        <v/>
      </c>
      <c r="M52" s="56">
        <f>IF(L52="","",IF(L52&gt;=1,"Completado",IF(L52&gt;0,"En curso","Pendiente")))</f>
        <v/>
      </c>
      <c r="N52" s="52" t="n"/>
      <c r="O52" s="51" t="n"/>
      <c r="P52" s="57">
        <f>IF(NOT((COUNTA($A52)+COUNTA($C52:$K52)+COUNTA($N52:$O52))&gt;0),"",IF((IF(A52="","Falta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 OK","⚠ "&amp;LEFT(IF(A52="","Falta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",""),LEN(IF(A52="","Falta ID"&amp;" · ","")&amp;IF(AND(A52&lt;&gt;"",(COUNTIF('Cronograma R. Operacional'!$A$5:$A$1000,A52)+COUNTIF('Cronograma R. Legal y Normativo'!$A$5:$A$1000,A52)+COUNTIF('Cronograma R. Financiero'!$A$5:$A$1000,A52)+COUNTIF('Cronograma Asistente Técnico'!$A$5:$A$1000,A52))&gt;1),"ID duplicado"&amp;" · ","")&amp;IF(C52="","Macroactividad vacía"&amp;" · ","")&amp;IF(D52="","Sin responsable"&amp;" · ","")&amp;IF(E52="","Sin fecha de inicio"&amp;" · ","")&amp;IF(F52="","Sin fecha límite"&amp;" · ","")&amp;IF(OR(AND(E52&lt;&gt;"",NOT(ISNUMBER(E52))),AND(F52&lt;&gt;"",NOT(ISNUMBER(F52)))),"Fecha no válida"&amp;" · ","")&amp;IF(AND(ISNUMBER(E52),ISNUMBER(F52),E52&gt;F52),"Inicio posterior a fecha límite"&amp;" · ","")&amp;IF(G52="","Peso vacío"&amp;" · ","")&amp;IF(AND(G52&lt;&gt;"",OR(NOT(ISNUMBER(G52)),G52&lt;=0,G52&gt;1)),"Peso fuera de rango"&amp;" · ","")&amp;IF(ABS(SUM($G$5:$G$1000)-1)&gt;0.0001,"Pesos del puesto suman "&amp;TEXT(SUM($G$5:$G$1000),"0%")&amp;" · ","")&amp;IF((COUNTIF(H52:K52,"&gt;1")+COUNTIF(H52:K52,"&lt;0")+COUNTA(H52:K52)-COUNT(H52:K52))&gt;0,"Avance fuera de rango 0-100%"&amp;" · ","")&amp;IF(OR(AND(I52&lt;&gt;"",I52&lt;H52),AND(J52&lt;&gt;"",J52&lt;MAX(H52:I52)),AND(K52&lt;&gt;"",K52&lt;MAX(H52:J52))),"Avance semanal decreciente"&amp;" · ","")&amp;IF(AND(ISNUMBER(F52),F52&lt;FechaRef,N(L52)&lt;1),"Vencida"&amp;" · ","")&amp;IF(AND(EvidenciaObligatoria="Sí",N(L52)&gt;=1,O52=""),"Completada sin evidencia"&amp;" · ",""))-3)))</f>
        <v/>
      </c>
    </row>
    <row r="53">
      <c r="A53" s="49" t="n"/>
      <c r="B53" s="50">
        <f>IF((COUNTA($A53)+COUNTA($C53:$K53)+COUNTA($N53:$O53))&gt;0,"Asistente Técnico de Riesgo","")</f>
        <v/>
      </c>
      <c r="C53" s="51" t="n"/>
      <c r="D53" s="51" t="n"/>
      <c r="E53" s="52" t="n"/>
      <c r="F53" s="52" t="n"/>
      <c r="G53" s="53" t="n"/>
      <c r="H53" s="54" t="n"/>
      <c r="I53" s="54" t="n"/>
      <c r="J53" s="54" t="n"/>
      <c r="K53" s="54" t="n"/>
      <c r="L53" s="55">
        <f>IF(NOT((COUNTA($A53)+COUNTA($C53:$K53)+COUNTA($N53:$O53))&gt;0),"",IFERROR(LOOKUP(2,1/(H53:K53&lt;&gt;""),H53:K53),0))</f>
        <v/>
      </c>
      <c r="M53" s="56">
        <f>IF(L53="","",IF(L53&gt;=1,"Completado",IF(L53&gt;0,"En curso","Pendiente")))</f>
        <v/>
      </c>
      <c r="N53" s="52" t="n"/>
      <c r="O53" s="51" t="n"/>
      <c r="P53" s="57">
        <f>IF(NOT((COUNTA($A53)+COUNTA($C53:$K53)+COUNTA($N53:$O53))&gt;0),"",IF((IF(A53="","Falta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 OK","⚠ "&amp;LEFT(IF(A53="","Falta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",""),LEN(IF(A53="","Falta ID"&amp;" · ","")&amp;IF(AND(A53&lt;&gt;"",(COUNTIF('Cronograma R. Operacional'!$A$5:$A$1000,A53)+COUNTIF('Cronograma R. Legal y Normativo'!$A$5:$A$1000,A53)+COUNTIF('Cronograma R. Financiero'!$A$5:$A$1000,A53)+COUNTIF('Cronograma Asistente Técnico'!$A$5:$A$1000,A53))&gt;1),"ID duplicado"&amp;" · ","")&amp;IF(C53="","Macroactividad vacía"&amp;" · ","")&amp;IF(D53="","Sin responsable"&amp;" · ","")&amp;IF(E53="","Sin fecha de inicio"&amp;" · ","")&amp;IF(F53="","Sin fecha límite"&amp;" · ","")&amp;IF(OR(AND(E53&lt;&gt;"",NOT(ISNUMBER(E53))),AND(F53&lt;&gt;"",NOT(ISNUMBER(F53)))),"Fecha no válida"&amp;" · ","")&amp;IF(AND(ISNUMBER(E53),ISNUMBER(F53),E53&gt;F53),"Inicio posterior a fecha límite"&amp;" · ","")&amp;IF(G53="","Peso vacío"&amp;" · ","")&amp;IF(AND(G53&lt;&gt;"",OR(NOT(ISNUMBER(G53)),G53&lt;=0,G53&gt;1)),"Peso fuera de rango"&amp;" · ","")&amp;IF(ABS(SUM($G$5:$G$1000)-1)&gt;0.0001,"Pesos del puesto suman "&amp;TEXT(SUM($G$5:$G$1000),"0%")&amp;" · ","")&amp;IF((COUNTIF(H53:K53,"&gt;1")+COUNTIF(H53:K53,"&lt;0")+COUNTA(H53:K53)-COUNT(H53:K53))&gt;0,"Avance fuera de rango 0-100%"&amp;" · ","")&amp;IF(OR(AND(I53&lt;&gt;"",I53&lt;H53),AND(J53&lt;&gt;"",J53&lt;MAX(H53:I53)),AND(K53&lt;&gt;"",K53&lt;MAX(H53:J53))),"Avance semanal decreciente"&amp;" · ","")&amp;IF(AND(ISNUMBER(F53),F53&lt;FechaRef,N(L53)&lt;1),"Vencida"&amp;" · ","")&amp;IF(AND(EvidenciaObligatoria="Sí",N(L53)&gt;=1,O53=""),"Completada sin evidencia"&amp;" · ",""))-3)))</f>
        <v/>
      </c>
    </row>
    <row r="54">
      <c r="A54" s="49" t="n"/>
      <c r="B54" s="50">
        <f>IF((COUNTA($A54)+COUNTA($C54:$K54)+COUNTA($N54:$O54))&gt;0,"Asistente Técnico de Riesgo","")</f>
        <v/>
      </c>
      <c r="C54" s="51" t="n"/>
      <c r="D54" s="51" t="n"/>
      <c r="E54" s="52" t="n"/>
      <c r="F54" s="52" t="n"/>
      <c r="G54" s="53" t="n"/>
      <c r="H54" s="54" t="n"/>
      <c r="I54" s="54" t="n"/>
      <c r="J54" s="54" t="n"/>
      <c r="K54" s="54" t="n"/>
      <c r="L54" s="55">
        <f>IF(NOT((COUNTA($A54)+COUNTA($C54:$K54)+COUNTA($N54:$O54))&gt;0),"",IFERROR(LOOKUP(2,1/(H54:K54&lt;&gt;""),H54:K54),0))</f>
        <v/>
      </c>
      <c r="M54" s="56">
        <f>IF(L54="","",IF(L54&gt;=1,"Completado",IF(L54&gt;0,"En curso","Pendiente")))</f>
        <v/>
      </c>
      <c r="N54" s="52" t="n"/>
      <c r="O54" s="51" t="n"/>
      <c r="P54" s="57">
        <f>IF(NOT((COUNTA($A54)+COUNTA($C54:$K54)+COUNTA($N54:$O54))&gt;0),"",IF((IF(A54="","Falta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 OK","⚠ "&amp;LEFT(IF(A54="","Falta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",""),LEN(IF(A54="","Falta ID"&amp;" · ","")&amp;IF(AND(A54&lt;&gt;"",(COUNTIF('Cronograma R. Operacional'!$A$5:$A$1000,A54)+COUNTIF('Cronograma R. Legal y Normativo'!$A$5:$A$1000,A54)+COUNTIF('Cronograma R. Financiero'!$A$5:$A$1000,A54)+COUNTIF('Cronograma Asistente Técnico'!$A$5:$A$1000,A54))&gt;1),"ID duplicado"&amp;" · ","")&amp;IF(C54="","Macroactividad vacía"&amp;" · ","")&amp;IF(D54="","Sin responsable"&amp;" · ","")&amp;IF(E54="","Sin fecha de inicio"&amp;" · ","")&amp;IF(F54="","Sin fecha límite"&amp;" · ","")&amp;IF(OR(AND(E54&lt;&gt;"",NOT(ISNUMBER(E54))),AND(F54&lt;&gt;"",NOT(ISNUMBER(F54)))),"Fecha no válida"&amp;" · ","")&amp;IF(AND(ISNUMBER(E54),ISNUMBER(F54),E54&gt;F54),"Inicio posterior a fecha límite"&amp;" · ","")&amp;IF(G54="","Peso vacío"&amp;" · ","")&amp;IF(AND(G54&lt;&gt;"",OR(NOT(ISNUMBER(G54)),G54&lt;=0,G54&gt;1)),"Peso fuera de rango"&amp;" · ","")&amp;IF(ABS(SUM($G$5:$G$1000)-1)&gt;0.0001,"Pesos del puesto suman "&amp;TEXT(SUM($G$5:$G$1000),"0%")&amp;" · ","")&amp;IF((COUNTIF(H54:K54,"&gt;1")+COUNTIF(H54:K54,"&lt;0")+COUNTA(H54:K54)-COUNT(H54:K54))&gt;0,"Avance fuera de rango 0-100%"&amp;" · ","")&amp;IF(OR(AND(I54&lt;&gt;"",I54&lt;H54),AND(J54&lt;&gt;"",J54&lt;MAX(H54:I54)),AND(K54&lt;&gt;"",K54&lt;MAX(H54:J54))),"Avance semanal decreciente"&amp;" · ","")&amp;IF(AND(ISNUMBER(F54),F54&lt;FechaRef,N(L54)&lt;1),"Vencida"&amp;" · ","")&amp;IF(AND(EvidenciaObligatoria="Sí",N(L54)&gt;=1,O54=""),"Completada sin evidencia"&amp;" · ",""))-3)))</f>
        <v/>
      </c>
    </row>
    <row r="55">
      <c r="A55" s="49" t="n"/>
      <c r="B55" s="50">
        <f>IF((COUNTA($A55)+COUNTA($C55:$K55)+COUNTA($N55:$O55))&gt;0,"Asistente Técnico de Riesgo","")</f>
        <v/>
      </c>
      <c r="C55" s="51" t="n"/>
      <c r="D55" s="51" t="n"/>
      <c r="E55" s="52" t="n"/>
      <c r="F55" s="52" t="n"/>
      <c r="G55" s="53" t="n"/>
      <c r="H55" s="54" t="n"/>
      <c r="I55" s="54" t="n"/>
      <c r="J55" s="54" t="n"/>
      <c r="K55" s="54" t="n"/>
      <c r="L55" s="55">
        <f>IF(NOT((COUNTA($A55)+COUNTA($C55:$K55)+COUNTA($N55:$O55))&gt;0),"",IFERROR(LOOKUP(2,1/(H55:K55&lt;&gt;""),H55:K55),0))</f>
        <v/>
      </c>
      <c r="M55" s="56">
        <f>IF(L55="","",IF(L55&gt;=1,"Completado",IF(L55&gt;0,"En curso","Pendiente")))</f>
        <v/>
      </c>
      <c r="N55" s="52" t="n"/>
      <c r="O55" s="51" t="n"/>
      <c r="P55" s="57">
        <f>IF(NOT((COUNTA($A55)+COUNTA($C55:$K55)+COUNTA($N55:$O55))&gt;0),"",IF((IF(A55="","Falta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 OK","⚠ "&amp;LEFT(IF(A55="","Falta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",""),LEN(IF(A55="","Falta ID"&amp;" · ","")&amp;IF(AND(A55&lt;&gt;"",(COUNTIF('Cronograma R. Operacional'!$A$5:$A$1000,A55)+COUNTIF('Cronograma R. Legal y Normativo'!$A$5:$A$1000,A55)+COUNTIF('Cronograma R. Financiero'!$A$5:$A$1000,A55)+COUNTIF('Cronograma Asistente Técnico'!$A$5:$A$1000,A55))&gt;1),"ID duplicado"&amp;" · ","")&amp;IF(C55="","Macroactividad vacía"&amp;" · ","")&amp;IF(D55="","Sin responsable"&amp;" · ","")&amp;IF(E55="","Sin fecha de inicio"&amp;" · ","")&amp;IF(F55="","Sin fecha límite"&amp;" · ","")&amp;IF(OR(AND(E55&lt;&gt;"",NOT(ISNUMBER(E55))),AND(F55&lt;&gt;"",NOT(ISNUMBER(F55)))),"Fecha no válida"&amp;" · ","")&amp;IF(AND(ISNUMBER(E55),ISNUMBER(F55),E55&gt;F55),"Inicio posterior a fecha límite"&amp;" · ","")&amp;IF(G55="","Peso vacío"&amp;" · ","")&amp;IF(AND(G55&lt;&gt;"",OR(NOT(ISNUMBER(G55)),G55&lt;=0,G55&gt;1)),"Peso fuera de rango"&amp;" · ","")&amp;IF(ABS(SUM($G$5:$G$1000)-1)&gt;0.0001,"Pesos del puesto suman "&amp;TEXT(SUM($G$5:$G$1000),"0%")&amp;" · ","")&amp;IF((COUNTIF(H55:K55,"&gt;1")+COUNTIF(H55:K55,"&lt;0")+COUNTA(H55:K55)-COUNT(H55:K55))&gt;0,"Avance fuera de rango 0-100%"&amp;" · ","")&amp;IF(OR(AND(I55&lt;&gt;"",I55&lt;H55),AND(J55&lt;&gt;"",J55&lt;MAX(H55:I55)),AND(K55&lt;&gt;"",K55&lt;MAX(H55:J55))),"Avance semanal decreciente"&amp;" · ","")&amp;IF(AND(ISNUMBER(F55),F55&lt;FechaRef,N(L55)&lt;1),"Vencida"&amp;" · ","")&amp;IF(AND(EvidenciaObligatoria="Sí",N(L55)&gt;=1,O55=""),"Completada sin evidencia"&amp;" · ",""))-3)))</f>
        <v/>
      </c>
    </row>
    <row r="56">
      <c r="A56" s="49" t="n"/>
      <c r="B56" s="50">
        <f>IF((COUNTA($A56)+COUNTA($C56:$K56)+COUNTA($N56:$O56))&gt;0,"Asistente Técnico de Riesgo","")</f>
        <v/>
      </c>
      <c r="C56" s="51" t="n"/>
      <c r="D56" s="51" t="n"/>
      <c r="E56" s="52" t="n"/>
      <c r="F56" s="52" t="n"/>
      <c r="G56" s="53" t="n"/>
      <c r="H56" s="54" t="n"/>
      <c r="I56" s="54" t="n"/>
      <c r="J56" s="54" t="n"/>
      <c r="K56" s="54" t="n"/>
      <c r="L56" s="55">
        <f>IF(NOT((COUNTA($A56)+COUNTA($C56:$K56)+COUNTA($N56:$O56))&gt;0),"",IFERROR(LOOKUP(2,1/(H56:K56&lt;&gt;""),H56:K56),0))</f>
        <v/>
      </c>
      <c r="M56" s="56">
        <f>IF(L56="","",IF(L56&gt;=1,"Completado",IF(L56&gt;0,"En curso","Pendiente")))</f>
        <v/>
      </c>
      <c r="N56" s="52" t="n"/>
      <c r="O56" s="51" t="n"/>
      <c r="P56" s="57">
        <f>IF(NOT((COUNTA($A56)+COUNTA($C56:$K56)+COUNTA($N56:$O56))&gt;0),"",IF((IF(A56="","Falta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 OK","⚠ "&amp;LEFT(IF(A56="","Falta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",""),LEN(IF(A56="","Falta ID"&amp;" · ","")&amp;IF(AND(A56&lt;&gt;"",(COUNTIF('Cronograma R. Operacional'!$A$5:$A$1000,A56)+COUNTIF('Cronograma R. Legal y Normativo'!$A$5:$A$1000,A56)+COUNTIF('Cronograma R. Financiero'!$A$5:$A$1000,A56)+COUNTIF('Cronograma Asistente Técnico'!$A$5:$A$1000,A56))&gt;1),"ID duplicado"&amp;" · ","")&amp;IF(C56="","Macroactividad vacía"&amp;" · ","")&amp;IF(D56="","Sin responsable"&amp;" · ","")&amp;IF(E56="","Sin fecha de inicio"&amp;" · ","")&amp;IF(F56="","Sin fecha límite"&amp;" · ","")&amp;IF(OR(AND(E56&lt;&gt;"",NOT(ISNUMBER(E56))),AND(F56&lt;&gt;"",NOT(ISNUMBER(F56)))),"Fecha no válida"&amp;" · ","")&amp;IF(AND(ISNUMBER(E56),ISNUMBER(F56),E56&gt;F56),"Inicio posterior a fecha límite"&amp;" · ","")&amp;IF(G56="","Peso vacío"&amp;" · ","")&amp;IF(AND(G56&lt;&gt;"",OR(NOT(ISNUMBER(G56)),G56&lt;=0,G56&gt;1)),"Peso fuera de rango"&amp;" · ","")&amp;IF(ABS(SUM($G$5:$G$1000)-1)&gt;0.0001,"Pesos del puesto suman "&amp;TEXT(SUM($G$5:$G$1000),"0%")&amp;" · ","")&amp;IF((COUNTIF(H56:K56,"&gt;1")+COUNTIF(H56:K56,"&lt;0")+COUNTA(H56:K56)-COUNT(H56:K56))&gt;0,"Avance fuera de rango 0-100%"&amp;" · ","")&amp;IF(OR(AND(I56&lt;&gt;"",I56&lt;H56),AND(J56&lt;&gt;"",J56&lt;MAX(H56:I56)),AND(K56&lt;&gt;"",K56&lt;MAX(H56:J56))),"Avance semanal decreciente"&amp;" · ","")&amp;IF(AND(ISNUMBER(F56),F56&lt;FechaRef,N(L56)&lt;1),"Vencida"&amp;" · ","")&amp;IF(AND(EvidenciaObligatoria="Sí",N(L56)&gt;=1,O56=""),"Completada sin evidencia"&amp;" · ",""))-3)))</f>
        <v/>
      </c>
    </row>
    <row r="57">
      <c r="A57" s="49" t="n"/>
      <c r="B57" s="50">
        <f>IF((COUNTA($A57)+COUNTA($C57:$K57)+COUNTA($N57:$O57))&gt;0,"Asistente Técnico de Riesgo","")</f>
        <v/>
      </c>
      <c r="C57" s="51" t="n"/>
      <c r="D57" s="51" t="n"/>
      <c r="E57" s="52" t="n"/>
      <c r="F57" s="52" t="n"/>
      <c r="G57" s="53" t="n"/>
      <c r="H57" s="54" t="n"/>
      <c r="I57" s="54" t="n"/>
      <c r="J57" s="54" t="n"/>
      <c r="K57" s="54" t="n"/>
      <c r="L57" s="55">
        <f>IF(NOT((COUNTA($A57)+COUNTA($C57:$K57)+COUNTA($N57:$O57))&gt;0),"",IFERROR(LOOKUP(2,1/(H57:K57&lt;&gt;""),H57:K57),0))</f>
        <v/>
      </c>
      <c r="M57" s="56">
        <f>IF(L57="","",IF(L57&gt;=1,"Completado",IF(L57&gt;0,"En curso","Pendiente")))</f>
        <v/>
      </c>
      <c r="N57" s="52" t="n"/>
      <c r="O57" s="51" t="n"/>
      <c r="P57" s="57">
        <f>IF(NOT((COUNTA($A57)+COUNTA($C57:$K57)+COUNTA($N57:$O57))&gt;0),"",IF((IF(A57="","Falta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 OK","⚠ "&amp;LEFT(IF(A57="","Falta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",""),LEN(IF(A57="","Falta ID"&amp;" · ","")&amp;IF(AND(A57&lt;&gt;"",(COUNTIF('Cronograma R. Operacional'!$A$5:$A$1000,A57)+COUNTIF('Cronograma R. Legal y Normativo'!$A$5:$A$1000,A57)+COUNTIF('Cronograma R. Financiero'!$A$5:$A$1000,A57)+COUNTIF('Cronograma Asistente Técnico'!$A$5:$A$1000,A57))&gt;1),"ID duplicado"&amp;" · ","")&amp;IF(C57="","Macroactividad vacía"&amp;" · ","")&amp;IF(D57="","Sin responsable"&amp;" · ","")&amp;IF(E57="","Sin fecha de inicio"&amp;" · ","")&amp;IF(F57="","Sin fecha límite"&amp;" · ","")&amp;IF(OR(AND(E57&lt;&gt;"",NOT(ISNUMBER(E57))),AND(F57&lt;&gt;"",NOT(ISNUMBER(F57)))),"Fecha no válida"&amp;" · ","")&amp;IF(AND(ISNUMBER(E57),ISNUMBER(F57),E57&gt;F57),"Inicio posterior a fecha límite"&amp;" · ","")&amp;IF(G57="","Peso vacío"&amp;" · ","")&amp;IF(AND(G57&lt;&gt;"",OR(NOT(ISNUMBER(G57)),G57&lt;=0,G57&gt;1)),"Peso fuera de rango"&amp;" · ","")&amp;IF(ABS(SUM($G$5:$G$1000)-1)&gt;0.0001,"Pesos del puesto suman "&amp;TEXT(SUM($G$5:$G$1000),"0%")&amp;" · ","")&amp;IF((COUNTIF(H57:K57,"&gt;1")+COUNTIF(H57:K57,"&lt;0")+COUNTA(H57:K57)-COUNT(H57:K57))&gt;0,"Avance fuera de rango 0-100%"&amp;" · ","")&amp;IF(OR(AND(I57&lt;&gt;"",I57&lt;H57),AND(J57&lt;&gt;"",J57&lt;MAX(H57:I57)),AND(K57&lt;&gt;"",K57&lt;MAX(H57:J57))),"Avance semanal decreciente"&amp;" · ","")&amp;IF(AND(ISNUMBER(F57),F57&lt;FechaRef,N(L57)&lt;1),"Vencida"&amp;" · ","")&amp;IF(AND(EvidenciaObligatoria="Sí",N(L57)&gt;=1,O57=""),"Completada sin evidencia"&amp;" · ",""))-3)))</f>
        <v/>
      </c>
    </row>
    <row r="58">
      <c r="A58" s="49" t="n"/>
      <c r="B58" s="50">
        <f>IF((COUNTA($A58)+COUNTA($C58:$K58)+COUNTA($N58:$O58))&gt;0,"Asistente Técnico de Riesgo","")</f>
        <v/>
      </c>
      <c r="C58" s="51" t="n"/>
      <c r="D58" s="51" t="n"/>
      <c r="E58" s="52" t="n"/>
      <c r="F58" s="52" t="n"/>
      <c r="G58" s="53" t="n"/>
      <c r="H58" s="54" t="n"/>
      <c r="I58" s="54" t="n"/>
      <c r="J58" s="54" t="n"/>
      <c r="K58" s="54" t="n"/>
      <c r="L58" s="55">
        <f>IF(NOT((COUNTA($A58)+COUNTA($C58:$K58)+COUNTA($N58:$O58))&gt;0),"",IFERROR(LOOKUP(2,1/(H58:K58&lt;&gt;""),H58:K58),0))</f>
        <v/>
      </c>
      <c r="M58" s="56">
        <f>IF(L58="","",IF(L58&gt;=1,"Completado",IF(L58&gt;0,"En curso","Pendiente")))</f>
        <v/>
      </c>
      <c r="N58" s="52" t="n"/>
      <c r="O58" s="51" t="n"/>
      <c r="P58" s="57">
        <f>IF(NOT((COUNTA($A58)+COUNTA($C58:$K58)+COUNTA($N58:$O58))&gt;0),"",IF((IF(A58="","Falta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 OK","⚠ "&amp;LEFT(IF(A58="","Falta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",""),LEN(IF(A58="","Falta ID"&amp;" · ","")&amp;IF(AND(A58&lt;&gt;"",(COUNTIF('Cronograma R. Operacional'!$A$5:$A$1000,A58)+COUNTIF('Cronograma R. Legal y Normativo'!$A$5:$A$1000,A58)+COUNTIF('Cronograma R. Financiero'!$A$5:$A$1000,A58)+COUNTIF('Cronograma Asistente Técnico'!$A$5:$A$1000,A58))&gt;1),"ID duplicado"&amp;" · ","")&amp;IF(C58="","Macroactividad vacía"&amp;" · ","")&amp;IF(D58="","Sin responsable"&amp;" · ","")&amp;IF(E58="","Sin fecha de inicio"&amp;" · ","")&amp;IF(F58="","Sin fecha límite"&amp;" · ","")&amp;IF(OR(AND(E58&lt;&gt;"",NOT(ISNUMBER(E58))),AND(F58&lt;&gt;"",NOT(ISNUMBER(F58)))),"Fecha no válida"&amp;" · ","")&amp;IF(AND(ISNUMBER(E58),ISNUMBER(F58),E58&gt;F58),"Inicio posterior a fecha límite"&amp;" · ","")&amp;IF(G58="","Peso vacío"&amp;" · ","")&amp;IF(AND(G58&lt;&gt;"",OR(NOT(ISNUMBER(G58)),G58&lt;=0,G58&gt;1)),"Peso fuera de rango"&amp;" · ","")&amp;IF(ABS(SUM($G$5:$G$1000)-1)&gt;0.0001,"Pesos del puesto suman "&amp;TEXT(SUM($G$5:$G$1000),"0%")&amp;" · ","")&amp;IF((COUNTIF(H58:K58,"&gt;1")+COUNTIF(H58:K58,"&lt;0")+COUNTA(H58:K58)-COUNT(H58:K58))&gt;0,"Avance fuera de rango 0-100%"&amp;" · ","")&amp;IF(OR(AND(I58&lt;&gt;"",I58&lt;H58),AND(J58&lt;&gt;"",J58&lt;MAX(H58:I58)),AND(K58&lt;&gt;"",K58&lt;MAX(H58:J58))),"Avance semanal decreciente"&amp;" · ","")&amp;IF(AND(ISNUMBER(F58),F58&lt;FechaRef,N(L58)&lt;1),"Vencida"&amp;" · ","")&amp;IF(AND(EvidenciaObligatoria="Sí",N(L58)&gt;=1,O58=""),"Completada sin evidencia"&amp;" · ",""))-3)))</f>
        <v/>
      </c>
    </row>
    <row r="59">
      <c r="A59" s="49" t="n"/>
      <c r="B59" s="50">
        <f>IF((COUNTA($A59)+COUNTA($C59:$K59)+COUNTA($N59:$O59))&gt;0,"Asistente Técnico de Riesgo","")</f>
        <v/>
      </c>
      <c r="C59" s="51" t="n"/>
      <c r="D59" s="51" t="n"/>
      <c r="E59" s="52" t="n"/>
      <c r="F59" s="52" t="n"/>
      <c r="G59" s="53" t="n"/>
      <c r="H59" s="54" t="n"/>
      <c r="I59" s="54" t="n"/>
      <c r="J59" s="54" t="n"/>
      <c r="K59" s="54" t="n"/>
      <c r="L59" s="55">
        <f>IF(NOT((COUNTA($A59)+COUNTA($C59:$K59)+COUNTA($N59:$O59))&gt;0),"",IFERROR(LOOKUP(2,1/(H59:K59&lt;&gt;""),H59:K59),0))</f>
        <v/>
      </c>
      <c r="M59" s="56">
        <f>IF(L59="","",IF(L59&gt;=1,"Completado",IF(L59&gt;0,"En curso","Pendiente")))</f>
        <v/>
      </c>
      <c r="N59" s="52" t="n"/>
      <c r="O59" s="51" t="n"/>
      <c r="P59" s="57">
        <f>IF(NOT((COUNTA($A59)+COUNTA($C59:$K59)+COUNTA($N59:$O59))&gt;0),"",IF((IF(A59="","Falta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 OK","⚠ "&amp;LEFT(IF(A59="","Falta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",""),LEN(IF(A59="","Falta ID"&amp;" · ","")&amp;IF(AND(A59&lt;&gt;"",(COUNTIF('Cronograma R. Operacional'!$A$5:$A$1000,A59)+COUNTIF('Cronograma R. Legal y Normativo'!$A$5:$A$1000,A59)+COUNTIF('Cronograma R. Financiero'!$A$5:$A$1000,A59)+COUNTIF('Cronograma Asistente Técnico'!$A$5:$A$1000,A59))&gt;1),"ID duplicado"&amp;" · ","")&amp;IF(C59="","Macroactividad vacía"&amp;" · ","")&amp;IF(D59="","Sin responsable"&amp;" · ","")&amp;IF(E59="","Sin fecha de inicio"&amp;" · ","")&amp;IF(F59="","Sin fecha límite"&amp;" · ","")&amp;IF(OR(AND(E59&lt;&gt;"",NOT(ISNUMBER(E59))),AND(F59&lt;&gt;"",NOT(ISNUMBER(F59)))),"Fecha no válida"&amp;" · ","")&amp;IF(AND(ISNUMBER(E59),ISNUMBER(F59),E59&gt;F59),"Inicio posterior a fecha límite"&amp;" · ","")&amp;IF(G59="","Peso vacío"&amp;" · ","")&amp;IF(AND(G59&lt;&gt;"",OR(NOT(ISNUMBER(G59)),G59&lt;=0,G59&gt;1)),"Peso fuera de rango"&amp;" · ","")&amp;IF(ABS(SUM($G$5:$G$1000)-1)&gt;0.0001,"Pesos del puesto suman "&amp;TEXT(SUM($G$5:$G$1000),"0%")&amp;" · ","")&amp;IF((COUNTIF(H59:K59,"&gt;1")+COUNTIF(H59:K59,"&lt;0")+COUNTA(H59:K59)-COUNT(H59:K59))&gt;0,"Avance fuera de rango 0-100%"&amp;" · ","")&amp;IF(OR(AND(I59&lt;&gt;"",I59&lt;H59),AND(J59&lt;&gt;"",J59&lt;MAX(H59:I59)),AND(K59&lt;&gt;"",K59&lt;MAX(H59:J59))),"Avance semanal decreciente"&amp;" · ","")&amp;IF(AND(ISNUMBER(F59),F59&lt;FechaRef,N(L59)&lt;1),"Vencida"&amp;" · ","")&amp;IF(AND(EvidenciaObligatoria="Sí",N(L59)&gt;=1,O59=""),"Completada sin evidencia"&amp;" · ",""))-3)))</f>
        <v/>
      </c>
    </row>
    <row r="60">
      <c r="A60" s="49" t="n"/>
      <c r="B60" s="50">
        <f>IF((COUNTA($A60)+COUNTA($C60:$K60)+COUNTA($N60:$O60))&gt;0,"Asistente Técnico de Riesgo","")</f>
        <v/>
      </c>
      <c r="C60" s="51" t="n"/>
      <c r="D60" s="51" t="n"/>
      <c r="E60" s="52" t="n"/>
      <c r="F60" s="52" t="n"/>
      <c r="G60" s="53" t="n"/>
      <c r="H60" s="54" t="n"/>
      <c r="I60" s="54" t="n"/>
      <c r="J60" s="54" t="n"/>
      <c r="K60" s="54" t="n"/>
      <c r="L60" s="55">
        <f>IF(NOT((COUNTA($A60)+COUNTA($C60:$K60)+COUNTA($N60:$O60))&gt;0),"",IFERROR(LOOKUP(2,1/(H60:K60&lt;&gt;""),H60:K60),0))</f>
        <v/>
      </c>
      <c r="M60" s="56">
        <f>IF(L60="","",IF(L60&gt;=1,"Completado",IF(L60&gt;0,"En curso","Pendiente")))</f>
        <v/>
      </c>
      <c r="N60" s="52" t="n"/>
      <c r="O60" s="51" t="n"/>
      <c r="P60" s="57">
        <f>IF(NOT((COUNTA($A60)+COUNTA($C60:$K60)+COUNTA($N60:$O60))&gt;0),"",IF((IF(A60="","Falta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 OK","⚠ "&amp;LEFT(IF(A60="","Falta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",""),LEN(IF(A60="","Falta ID"&amp;" · ","")&amp;IF(AND(A60&lt;&gt;"",(COUNTIF('Cronograma R. Operacional'!$A$5:$A$1000,A60)+COUNTIF('Cronograma R. Legal y Normativo'!$A$5:$A$1000,A60)+COUNTIF('Cronograma R. Financiero'!$A$5:$A$1000,A60)+COUNTIF('Cronograma Asistente Técnico'!$A$5:$A$1000,A60))&gt;1),"ID duplicado"&amp;" · ","")&amp;IF(C60="","Macroactividad vacía"&amp;" · ","")&amp;IF(D60="","Sin responsable"&amp;" · ","")&amp;IF(E60="","Sin fecha de inicio"&amp;" · ","")&amp;IF(F60="","Sin fecha límite"&amp;" · ","")&amp;IF(OR(AND(E60&lt;&gt;"",NOT(ISNUMBER(E60))),AND(F60&lt;&gt;"",NOT(ISNUMBER(F60)))),"Fecha no válida"&amp;" · ","")&amp;IF(AND(ISNUMBER(E60),ISNUMBER(F60),E60&gt;F60),"Inicio posterior a fecha límite"&amp;" · ","")&amp;IF(G60="","Peso vacío"&amp;" · ","")&amp;IF(AND(G60&lt;&gt;"",OR(NOT(ISNUMBER(G60)),G60&lt;=0,G60&gt;1)),"Peso fuera de rango"&amp;" · ","")&amp;IF(ABS(SUM($G$5:$G$1000)-1)&gt;0.0001,"Pesos del puesto suman "&amp;TEXT(SUM($G$5:$G$1000),"0%")&amp;" · ","")&amp;IF((COUNTIF(H60:K60,"&gt;1")+COUNTIF(H60:K60,"&lt;0")+COUNTA(H60:K60)-COUNT(H60:K60))&gt;0,"Avance fuera de rango 0-100%"&amp;" · ","")&amp;IF(OR(AND(I60&lt;&gt;"",I60&lt;H60),AND(J60&lt;&gt;"",J60&lt;MAX(H60:I60)),AND(K60&lt;&gt;"",K60&lt;MAX(H60:J60))),"Avance semanal decreciente"&amp;" · ","")&amp;IF(AND(ISNUMBER(F60),F60&lt;FechaRef,N(L60)&lt;1),"Vencida"&amp;" · ","")&amp;IF(AND(EvidenciaObligatoria="Sí",N(L60)&gt;=1,O60=""),"Completada sin evidencia"&amp;" · ",""))-3)))</f>
        <v/>
      </c>
    </row>
    <row r="61">
      <c r="A61" s="49" t="n"/>
      <c r="B61" s="50">
        <f>IF((COUNTA($A61)+COUNTA($C61:$K61)+COUNTA($N61:$O61))&gt;0,"Asistente Técnico de Riesgo","")</f>
        <v/>
      </c>
      <c r="C61" s="51" t="n"/>
      <c r="D61" s="51" t="n"/>
      <c r="E61" s="52" t="n"/>
      <c r="F61" s="52" t="n"/>
      <c r="G61" s="53" t="n"/>
      <c r="H61" s="54" t="n"/>
      <c r="I61" s="54" t="n"/>
      <c r="J61" s="54" t="n"/>
      <c r="K61" s="54" t="n"/>
      <c r="L61" s="55">
        <f>IF(NOT((COUNTA($A61)+COUNTA($C61:$K61)+COUNTA($N61:$O61))&gt;0),"",IFERROR(LOOKUP(2,1/(H61:K61&lt;&gt;""),H61:K61),0))</f>
        <v/>
      </c>
      <c r="M61" s="56">
        <f>IF(L61="","",IF(L61&gt;=1,"Completado",IF(L61&gt;0,"En curso","Pendiente")))</f>
        <v/>
      </c>
      <c r="N61" s="52" t="n"/>
      <c r="O61" s="51" t="n"/>
      <c r="P61" s="57">
        <f>IF(NOT((COUNTA($A61)+COUNTA($C61:$K61)+COUNTA($N61:$O61))&gt;0),"",IF((IF(A61="","Falta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 OK","⚠ "&amp;LEFT(IF(A61="","Falta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",""),LEN(IF(A61="","Falta ID"&amp;" · ","")&amp;IF(AND(A61&lt;&gt;"",(COUNTIF('Cronograma R. Operacional'!$A$5:$A$1000,A61)+COUNTIF('Cronograma R. Legal y Normativo'!$A$5:$A$1000,A61)+COUNTIF('Cronograma R. Financiero'!$A$5:$A$1000,A61)+COUNTIF('Cronograma Asistente Técnico'!$A$5:$A$1000,A61))&gt;1),"ID duplicado"&amp;" · ","")&amp;IF(C61="","Macroactividad vacía"&amp;" · ","")&amp;IF(D61="","Sin responsable"&amp;" · ","")&amp;IF(E61="","Sin fecha de inicio"&amp;" · ","")&amp;IF(F61="","Sin fecha límite"&amp;" · ","")&amp;IF(OR(AND(E61&lt;&gt;"",NOT(ISNUMBER(E61))),AND(F61&lt;&gt;"",NOT(ISNUMBER(F61)))),"Fecha no válida"&amp;" · ","")&amp;IF(AND(ISNUMBER(E61),ISNUMBER(F61),E61&gt;F61),"Inicio posterior a fecha límite"&amp;" · ","")&amp;IF(G61="","Peso vacío"&amp;" · ","")&amp;IF(AND(G61&lt;&gt;"",OR(NOT(ISNUMBER(G61)),G61&lt;=0,G61&gt;1)),"Peso fuera de rango"&amp;" · ","")&amp;IF(ABS(SUM($G$5:$G$1000)-1)&gt;0.0001,"Pesos del puesto suman "&amp;TEXT(SUM($G$5:$G$1000),"0%")&amp;" · ","")&amp;IF((COUNTIF(H61:K61,"&gt;1")+COUNTIF(H61:K61,"&lt;0")+COUNTA(H61:K61)-COUNT(H61:K61))&gt;0,"Avance fuera de rango 0-100%"&amp;" · ","")&amp;IF(OR(AND(I61&lt;&gt;"",I61&lt;H61),AND(J61&lt;&gt;"",J61&lt;MAX(H61:I61)),AND(K61&lt;&gt;"",K61&lt;MAX(H61:J61))),"Avance semanal decreciente"&amp;" · ","")&amp;IF(AND(ISNUMBER(F61),F61&lt;FechaRef,N(L61)&lt;1),"Vencida"&amp;" · ","")&amp;IF(AND(EvidenciaObligatoria="Sí",N(L61)&gt;=1,O61=""),"Completada sin evidencia"&amp;" · ",""))-3)))</f>
        <v/>
      </c>
    </row>
    <row r="62">
      <c r="A62" s="49" t="n"/>
      <c r="B62" s="50">
        <f>IF((COUNTA($A62)+COUNTA($C62:$K62)+COUNTA($N62:$O62))&gt;0,"Asistente Técnico de Riesgo","")</f>
        <v/>
      </c>
      <c r="C62" s="51" t="n"/>
      <c r="D62" s="51" t="n"/>
      <c r="E62" s="52" t="n"/>
      <c r="F62" s="52" t="n"/>
      <c r="G62" s="53" t="n"/>
      <c r="H62" s="54" t="n"/>
      <c r="I62" s="54" t="n"/>
      <c r="J62" s="54" t="n"/>
      <c r="K62" s="54" t="n"/>
      <c r="L62" s="55">
        <f>IF(NOT((COUNTA($A62)+COUNTA($C62:$K62)+COUNTA($N62:$O62))&gt;0),"",IFERROR(LOOKUP(2,1/(H62:K62&lt;&gt;""),H62:K62),0))</f>
        <v/>
      </c>
      <c r="M62" s="56">
        <f>IF(L62="","",IF(L62&gt;=1,"Completado",IF(L62&gt;0,"En curso","Pendiente")))</f>
        <v/>
      </c>
      <c r="N62" s="52" t="n"/>
      <c r="O62" s="51" t="n"/>
      <c r="P62" s="57">
        <f>IF(NOT((COUNTA($A62)+COUNTA($C62:$K62)+COUNTA($N62:$O62))&gt;0),"",IF((IF(A62="","Falta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 OK","⚠ "&amp;LEFT(IF(A62="","Falta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",""),LEN(IF(A62="","Falta ID"&amp;" · ","")&amp;IF(AND(A62&lt;&gt;"",(COUNTIF('Cronograma R. Operacional'!$A$5:$A$1000,A62)+COUNTIF('Cronograma R. Legal y Normativo'!$A$5:$A$1000,A62)+COUNTIF('Cronograma R. Financiero'!$A$5:$A$1000,A62)+COUNTIF('Cronograma Asistente Técnico'!$A$5:$A$1000,A62))&gt;1),"ID duplicado"&amp;" · ","")&amp;IF(C62="","Macroactividad vacía"&amp;" · ","")&amp;IF(D62="","Sin responsable"&amp;" · ","")&amp;IF(E62="","Sin fecha de inicio"&amp;" · ","")&amp;IF(F62="","Sin fecha límite"&amp;" · ","")&amp;IF(OR(AND(E62&lt;&gt;"",NOT(ISNUMBER(E62))),AND(F62&lt;&gt;"",NOT(ISNUMBER(F62)))),"Fecha no válida"&amp;" · ","")&amp;IF(AND(ISNUMBER(E62),ISNUMBER(F62),E62&gt;F62),"Inicio posterior a fecha límite"&amp;" · ","")&amp;IF(G62="","Peso vacío"&amp;" · ","")&amp;IF(AND(G62&lt;&gt;"",OR(NOT(ISNUMBER(G62)),G62&lt;=0,G62&gt;1)),"Peso fuera de rango"&amp;" · ","")&amp;IF(ABS(SUM($G$5:$G$1000)-1)&gt;0.0001,"Pesos del puesto suman "&amp;TEXT(SUM($G$5:$G$1000),"0%")&amp;" · ","")&amp;IF((COUNTIF(H62:K62,"&gt;1")+COUNTIF(H62:K62,"&lt;0")+COUNTA(H62:K62)-COUNT(H62:K62))&gt;0,"Avance fuera de rango 0-100%"&amp;" · ","")&amp;IF(OR(AND(I62&lt;&gt;"",I62&lt;H62),AND(J62&lt;&gt;"",J62&lt;MAX(H62:I62)),AND(K62&lt;&gt;"",K62&lt;MAX(H62:J62))),"Avance semanal decreciente"&amp;" · ","")&amp;IF(AND(ISNUMBER(F62),F62&lt;FechaRef,N(L62)&lt;1),"Vencida"&amp;" · ","")&amp;IF(AND(EvidenciaObligatoria="Sí",N(L62)&gt;=1,O62=""),"Completada sin evidencia"&amp;" · ",""))-3)))</f>
        <v/>
      </c>
    </row>
    <row r="63">
      <c r="A63" s="49" t="n"/>
      <c r="B63" s="50">
        <f>IF((COUNTA($A63)+COUNTA($C63:$K63)+COUNTA($N63:$O63))&gt;0,"Asistente Técnico de Riesgo","")</f>
        <v/>
      </c>
      <c r="C63" s="51" t="n"/>
      <c r="D63" s="51" t="n"/>
      <c r="E63" s="52" t="n"/>
      <c r="F63" s="52" t="n"/>
      <c r="G63" s="53" t="n"/>
      <c r="H63" s="54" t="n"/>
      <c r="I63" s="54" t="n"/>
      <c r="J63" s="54" t="n"/>
      <c r="K63" s="54" t="n"/>
      <c r="L63" s="55">
        <f>IF(NOT((COUNTA($A63)+COUNTA($C63:$K63)+COUNTA($N63:$O63))&gt;0),"",IFERROR(LOOKUP(2,1/(H63:K63&lt;&gt;""),H63:K63),0))</f>
        <v/>
      </c>
      <c r="M63" s="56">
        <f>IF(L63="","",IF(L63&gt;=1,"Completado",IF(L63&gt;0,"En curso","Pendiente")))</f>
        <v/>
      </c>
      <c r="N63" s="52" t="n"/>
      <c r="O63" s="51" t="n"/>
      <c r="P63" s="57">
        <f>IF(NOT((COUNTA($A63)+COUNTA($C63:$K63)+COUNTA($N63:$O63))&gt;0),"",IF((IF(A63="","Falta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 OK","⚠ "&amp;LEFT(IF(A63="","Falta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",""),LEN(IF(A63="","Falta ID"&amp;" · ","")&amp;IF(AND(A63&lt;&gt;"",(COUNTIF('Cronograma R. Operacional'!$A$5:$A$1000,A63)+COUNTIF('Cronograma R. Legal y Normativo'!$A$5:$A$1000,A63)+COUNTIF('Cronograma R. Financiero'!$A$5:$A$1000,A63)+COUNTIF('Cronograma Asistente Técnico'!$A$5:$A$1000,A63))&gt;1),"ID duplicado"&amp;" · ","")&amp;IF(C63="","Macroactividad vacía"&amp;" · ","")&amp;IF(D63="","Sin responsable"&amp;" · ","")&amp;IF(E63="","Sin fecha de inicio"&amp;" · ","")&amp;IF(F63="","Sin fecha límite"&amp;" · ","")&amp;IF(OR(AND(E63&lt;&gt;"",NOT(ISNUMBER(E63))),AND(F63&lt;&gt;"",NOT(ISNUMBER(F63)))),"Fecha no válida"&amp;" · ","")&amp;IF(AND(ISNUMBER(E63),ISNUMBER(F63),E63&gt;F63),"Inicio posterior a fecha límite"&amp;" · ","")&amp;IF(G63="","Peso vacío"&amp;" · ","")&amp;IF(AND(G63&lt;&gt;"",OR(NOT(ISNUMBER(G63)),G63&lt;=0,G63&gt;1)),"Peso fuera de rango"&amp;" · ","")&amp;IF(ABS(SUM($G$5:$G$1000)-1)&gt;0.0001,"Pesos del puesto suman "&amp;TEXT(SUM($G$5:$G$1000),"0%")&amp;" · ","")&amp;IF((COUNTIF(H63:K63,"&gt;1")+COUNTIF(H63:K63,"&lt;0")+COUNTA(H63:K63)-COUNT(H63:K63))&gt;0,"Avance fuera de rango 0-100%"&amp;" · ","")&amp;IF(OR(AND(I63&lt;&gt;"",I63&lt;H63),AND(J63&lt;&gt;"",J63&lt;MAX(H63:I63)),AND(K63&lt;&gt;"",K63&lt;MAX(H63:J63))),"Avance semanal decreciente"&amp;" · ","")&amp;IF(AND(ISNUMBER(F63),F63&lt;FechaRef,N(L63)&lt;1),"Vencida"&amp;" · ","")&amp;IF(AND(EvidenciaObligatoria="Sí",N(L63)&gt;=1,O63=""),"Completada sin evidencia"&amp;" · ",""))-3)))</f>
        <v/>
      </c>
    </row>
    <row r="64">
      <c r="A64" s="49" t="n"/>
      <c r="B64" s="50">
        <f>IF((COUNTA($A64)+COUNTA($C64:$K64)+COUNTA($N64:$O64))&gt;0,"Asistente Técnico de Riesgo","")</f>
        <v/>
      </c>
      <c r="C64" s="51" t="n"/>
      <c r="D64" s="51" t="n"/>
      <c r="E64" s="52" t="n"/>
      <c r="F64" s="52" t="n"/>
      <c r="G64" s="53" t="n"/>
      <c r="H64" s="54" t="n"/>
      <c r="I64" s="54" t="n"/>
      <c r="J64" s="54" t="n"/>
      <c r="K64" s="54" t="n"/>
      <c r="L64" s="55">
        <f>IF(NOT((COUNTA($A64)+COUNTA($C64:$K64)+COUNTA($N64:$O64))&gt;0),"",IFERROR(LOOKUP(2,1/(H64:K64&lt;&gt;""),H64:K64),0))</f>
        <v/>
      </c>
      <c r="M64" s="56">
        <f>IF(L64="","",IF(L64&gt;=1,"Completado",IF(L64&gt;0,"En curso","Pendiente")))</f>
        <v/>
      </c>
      <c r="N64" s="52" t="n"/>
      <c r="O64" s="51" t="n"/>
      <c r="P64" s="57">
        <f>IF(NOT((COUNTA($A64)+COUNTA($C64:$K64)+COUNTA($N64:$O64))&gt;0),"",IF((IF(A64="","Falta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 OK","⚠ "&amp;LEFT(IF(A64="","Falta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",""),LEN(IF(A64="","Falta ID"&amp;" · ","")&amp;IF(AND(A64&lt;&gt;"",(COUNTIF('Cronograma R. Operacional'!$A$5:$A$1000,A64)+COUNTIF('Cronograma R. Legal y Normativo'!$A$5:$A$1000,A64)+COUNTIF('Cronograma R. Financiero'!$A$5:$A$1000,A64)+COUNTIF('Cronograma Asistente Técnico'!$A$5:$A$1000,A64))&gt;1),"ID duplicado"&amp;" · ","")&amp;IF(C64="","Macroactividad vacía"&amp;" · ","")&amp;IF(D64="","Sin responsable"&amp;" · ","")&amp;IF(E64="","Sin fecha de inicio"&amp;" · ","")&amp;IF(F64="","Sin fecha límite"&amp;" · ","")&amp;IF(OR(AND(E64&lt;&gt;"",NOT(ISNUMBER(E64))),AND(F64&lt;&gt;"",NOT(ISNUMBER(F64)))),"Fecha no válida"&amp;" · ","")&amp;IF(AND(ISNUMBER(E64),ISNUMBER(F64),E64&gt;F64),"Inicio posterior a fecha límite"&amp;" · ","")&amp;IF(G64="","Peso vacío"&amp;" · ","")&amp;IF(AND(G64&lt;&gt;"",OR(NOT(ISNUMBER(G64)),G64&lt;=0,G64&gt;1)),"Peso fuera de rango"&amp;" · ","")&amp;IF(ABS(SUM($G$5:$G$1000)-1)&gt;0.0001,"Pesos del puesto suman "&amp;TEXT(SUM($G$5:$G$1000),"0%")&amp;" · ","")&amp;IF((COUNTIF(H64:K64,"&gt;1")+COUNTIF(H64:K64,"&lt;0")+COUNTA(H64:K64)-COUNT(H64:K64))&gt;0,"Avance fuera de rango 0-100%"&amp;" · ","")&amp;IF(OR(AND(I64&lt;&gt;"",I64&lt;H64),AND(J64&lt;&gt;"",J64&lt;MAX(H64:I64)),AND(K64&lt;&gt;"",K64&lt;MAX(H64:J64))),"Avance semanal decreciente"&amp;" · ","")&amp;IF(AND(ISNUMBER(F64),F64&lt;FechaRef,N(L64)&lt;1),"Vencida"&amp;" · ","")&amp;IF(AND(EvidenciaObligatoria="Sí",N(L64)&gt;=1,O64=""),"Completada sin evidencia"&amp;" · ",""))-3)))</f>
        <v/>
      </c>
    </row>
    <row r="65">
      <c r="A65" s="49" t="n"/>
      <c r="B65" s="50">
        <f>IF((COUNTA($A65)+COUNTA($C65:$K65)+COUNTA($N65:$O65))&gt;0,"Asistente Técnico de Riesgo","")</f>
        <v/>
      </c>
      <c r="C65" s="51" t="n"/>
      <c r="D65" s="51" t="n"/>
      <c r="E65" s="52" t="n"/>
      <c r="F65" s="52" t="n"/>
      <c r="G65" s="53" t="n"/>
      <c r="H65" s="54" t="n"/>
      <c r="I65" s="54" t="n"/>
      <c r="J65" s="54" t="n"/>
      <c r="K65" s="54" t="n"/>
      <c r="L65" s="55">
        <f>IF(NOT((COUNTA($A65)+COUNTA($C65:$K65)+COUNTA($N65:$O65))&gt;0),"",IFERROR(LOOKUP(2,1/(H65:K65&lt;&gt;""),H65:K65),0))</f>
        <v/>
      </c>
      <c r="M65" s="56">
        <f>IF(L65="","",IF(L65&gt;=1,"Completado",IF(L65&gt;0,"En curso","Pendiente")))</f>
        <v/>
      </c>
      <c r="N65" s="52" t="n"/>
      <c r="O65" s="51" t="n"/>
      <c r="P65" s="57">
        <f>IF(NOT((COUNTA($A65)+COUNTA($C65:$K65)+COUNTA($N65:$O65))&gt;0),"",IF((IF(A65="","Falta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 OK","⚠ "&amp;LEFT(IF(A65="","Falta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",""),LEN(IF(A65="","Falta ID"&amp;" · ","")&amp;IF(AND(A65&lt;&gt;"",(COUNTIF('Cronograma R. Operacional'!$A$5:$A$1000,A65)+COUNTIF('Cronograma R. Legal y Normativo'!$A$5:$A$1000,A65)+COUNTIF('Cronograma R. Financiero'!$A$5:$A$1000,A65)+COUNTIF('Cronograma Asistente Técnico'!$A$5:$A$1000,A65))&gt;1),"ID duplicado"&amp;" · ","")&amp;IF(C65="","Macroactividad vacía"&amp;" · ","")&amp;IF(D65="","Sin responsable"&amp;" · ","")&amp;IF(E65="","Sin fecha de inicio"&amp;" · ","")&amp;IF(F65="","Sin fecha límite"&amp;" · ","")&amp;IF(OR(AND(E65&lt;&gt;"",NOT(ISNUMBER(E65))),AND(F65&lt;&gt;"",NOT(ISNUMBER(F65)))),"Fecha no válida"&amp;" · ","")&amp;IF(AND(ISNUMBER(E65),ISNUMBER(F65),E65&gt;F65),"Inicio posterior a fecha límite"&amp;" · ","")&amp;IF(G65="","Peso vacío"&amp;" · ","")&amp;IF(AND(G65&lt;&gt;"",OR(NOT(ISNUMBER(G65)),G65&lt;=0,G65&gt;1)),"Peso fuera de rango"&amp;" · ","")&amp;IF(ABS(SUM($G$5:$G$1000)-1)&gt;0.0001,"Pesos del puesto suman "&amp;TEXT(SUM($G$5:$G$1000),"0%")&amp;" · ","")&amp;IF((COUNTIF(H65:K65,"&gt;1")+COUNTIF(H65:K65,"&lt;0")+COUNTA(H65:K65)-COUNT(H65:K65))&gt;0,"Avance fuera de rango 0-100%"&amp;" · ","")&amp;IF(OR(AND(I65&lt;&gt;"",I65&lt;H65),AND(J65&lt;&gt;"",J65&lt;MAX(H65:I65)),AND(K65&lt;&gt;"",K65&lt;MAX(H65:J65))),"Avance semanal decreciente"&amp;" · ","")&amp;IF(AND(ISNUMBER(F65),F65&lt;FechaRef,N(L65)&lt;1),"Vencida"&amp;" · ","")&amp;IF(AND(EvidenciaObligatoria="Sí",N(L65)&gt;=1,O65=""),"Completada sin evidencia"&amp;" · ",""))-3)))</f>
        <v/>
      </c>
    </row>
    <row r="66">
      <c r="A66" s="49" t="n"/>
      <c r="B66" s="50">
        <f>IF((COUNTA($A66)+COUNTA($C66:$K66)+COUNTA($N66:$O66))&gt;0,"Asistente Técnico de Riesgo","")</f>
        <v/>
      </c>
      <c r="C66" s="51" t="n"/>
      <c r="D66" s="51" t="n"/>
      <c r="E66" s="52" t="n"/>
      <c r="F66" s="52" t="n"/>
      <c r="G66" s="53" t="n"/>
      <c r="H66" s="54" t="n"/>
      <c r="I66" s="54" t="n"/>
      <c r="J66" s="54" t="n"/>
      <c r="K66" s="54" t="n"/>
      <c r="L66" s="55">
        <f>IF(NOT((COUNTA($A66)+COUNTA($C66:$K66)+COUNTA($N66:$O66))&gt;0),"",IFERROR(LOOKUP(2,1/(H66:K66&lt;&gt;""),H66:K66),0))</f>
        <v/>
      </c>
      <c r="M66" s="56">
        <f>IF(L66="","",IF(L66&gt;=1,"Completado",IF(L66&gt;0,"En curso","Pendiente")))</f>
        <v/>
      </c>
      <c r="N66" s="52" t="n"/>
      <c r="O66" s="51" t="n"/>
      <c r="P66" s="57">
        <f>IF(NOT((COUNTA($A66)+COUNTA($C66:$K66)+COUNTA($N66:$O66))&gt;0),"",IF((IF(A66="","Falta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 OK","⚠ "&amp;LEFT(IF(A66="","Falta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",""),LEN(IF(A66="","Falta ID"&amp;" · ","")&amp;IF(AND(A66&lt;&gt;"",(COUNTIF('Cronograma R. Operacional'!$A$5:$A$1000,A66)+COUNTIF('Cronograma R. Legal y Normativo'!$A$5:$A$1000,A66)+COUNTIF('Cronograma R. Financiero'!$A$5:$A$1000,A66)+COUNTIF('Cronograma Asistente Técnico'!$A$5:$A$1000,A66))&gt;1),"ID duplicado"&amp;" · ","")&amp;IF(C66="","Macroactividad vacía"&amp;" · ","")&amp;IF(D66="","Sin responsable"&amp;" · ","")&amp;IF(E66="","Sin fecha de inicio"&amp;" · ","")&amp;IF(F66="","Sin fecha límite"&amp;" · ","")&amp;IF(OR(AND(E66&lt;&gt;"",NOT(ISNUMBER(E66))),AND(F66&lt;&gt;"",NOT(ISNUMBER(F66)))),"Fecha no válida"&amp;" · ","")&amp;IF(AND(ISNUMBER(E66),ISNUMBER(F66),E66&gt;F66),"Inicio posterior a fecha límite"&amp;" · ","")&amp;IF(G66="","Peso vacío"&amp;" · ","")&amp;IF(AND(G66&lt;&gt;"",OR(NOT(ISNUMBER(G66)),G66&lt;=0,G66&gt;1)),"Peso fuera de rango"&amp;" · ","")&amp;IF(ABS(SUM($G$5:$G$1000)-1)&gt;0.0001,"Pesos del puesto suman "&amp;TEXT(SUM($G$5:$G$1000),"0%")&amp;" · ","")&amp;IF((COUNTIF(H66:K66,"&gt;1")+COUNTIF(H66:K66,"&lt;0")+COUNTA(H66:K66)-COUNT(H66:K66))&gt;0,"Avance fuera de rango 0-100%"&amp;" · ","")&amp;IF(OR(AND(I66&lt;&gt;"",I66&lt;H66),AND(J66&lt;&gt;"",J66&lt;MAX(H66:I66)),AND(K66&lt;&gt;"",K66&lt;MAX(H66:J66))),"Avance semanal decreciente"&amp;" · ","")&amp;IF(AND(ISNUMBER(F66),F66&lt;FechaRef,N(L66)&lt;1),"Vencida"&amp;" · ","")&amp;IF(AND(EvidenciaObligatoria="Sí",N(L66)&gt;=1,O66=""),"Completada sin evidencia"&amp;" · ",""))-3)))</f>
        <v/>
      </c>
    </row>
    <row r="67">
      <c r="A67" s="49" t="n"/>
      <c r="B67" s="50">
        <f>IF((COUNTA($A67)+COUNTA($C67:$K67)+COUNTA($N67:$O67))&gt;0,"Asistente Técnico de Riesgo","")</f>
        <v/>
      </c>
      <c r="C67" s="51" t="n"/>
      <c r="D67" s="51" t="n"/>
      <c r="E67" s="52" t="n"/>
      <c r="F67" s="52" t="n"/>
      <c r="G67" s="53" t="n"/>
      <c r="H67" s="54" t="n"/>
      <c r="I67" s="54" t="n"/>
      <c r="J67" s="54" t="n"/>
      <c r="K67" s="54" t="n"/>
      <c r="L67" s="55">
        <f>IF(NOT((COUNTA($A67)+COUNTA($C67:$K67)+COUNTA($N67:$O67))&gt;0),"",IFERROR(LOOKUP(2,1/(H67:K67&lt;&gt;""),H67:K67),0))</f>
        <v/>
      </c>
      <c r="M67" s="56">
        <f>IF(L67="","",IF(L67&gt;=1,"Completado",IF(L67&gt;0,"En curso","Pendiente")))</f>
        <v/>
      </c>
      <c r="N67" s="52" t="n"/>
      <c r="O67" s="51" t="n"/>
      <c r="P67" s="57">
        <f>IF(NOT((COUNTA($A67)+COUNTA($C67:$K67)+COUNTA($N67:$O67))&gt;0),"",IF((IF(A67="","Falta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 OK","⚠ "&amp;LEFT(IF(A67="","Falta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",""),LEN(IF(A67="","Falta ID"&amp;" · ","")&amp;IF(AND(A67&lt;&gt;"",(COUNTIF('Cronograma R. Operacional'!$A$5:$A$1000,A67)+COUNTIF('Cronograma R. Legal y Normativo'!$A$5:$A$1000,A67)+COUNTIF('Cronograma R. Financiero'!$A$5:$A$1000,A67)+COUNTIF('Cronograma Asistente Técnico'!$A$5:$A$1000,A67))&gt;1),"ID duplicado"&amp;" · ","")&amp;IF(C67="","Macroactividad vacía"&amp;" · ","")&amp;IF(D67="","Sin responsable"&amp;" · ","")&amp;IF(E67="","Sin fecha de inicio"&amp;" · ","")&amp;IF(F67="","Sin fecha límite"&amp;" · ","")&amp;IF(OR(AND(E67&lt;&gt;"",NOT(ISNUMBER(E67))),AND(F67&lt;&gt;"",NOT(ISNUMBER(F67)))),"Fecha no válida"&amp;" · ","")&amp;IF(AND(ISNUMBER(E67),ISNUMBER(F67),E67&gt;F67),"Inicio posterior a fecha límite"&amp;" · ","")&amp;IF(G67="","Peso vacío"&amp;" · ","")&amp;IF(AND(G67&lt;&gt;"",OR(NOT(ISNUMBER(G67)),G67&lt;=0,G67&gt;1)),"Peso fuera de rango"&amp;" · ","")&amp;IF(ABS(SUM($G$5:$G$1000)-1)&gt;0.0001,"Pesos del puesto suman "&amp;TEXT(SUM($G$5:$G$1000),"0%")&amp;" · ","")&amp;IF((COUNTIF(H67:K67,"&gt;1")+COUNTIF(H67:K67,"&lt;0")+COUNTA(H67:K67)-COUNT(H67:K67))&gt;0,"Avance fuera de rango 0-100%"&amp;" · ","")&amp;IF(OR(AND(I67&lt;&gt;"",I67&lt;H67),AND(J67&lt;&gt;"",J67&lt;MAX(H67:I67)),AND(K67&lt;&gt;"",K67&lt;MAX(H67:J67))),"Avance semanal decreciente"&amp;" · ","")&amp;IF(AND(ISNUMBER(F67),F67&lt;FechaRef,N(L67)&lt;1),"Vencida"&amp;" · ","")&amp;IF(AND(EvidenciaObligatoria="Sí",N(L67)&gt;=1,O67=""),"Completada sin evidencia"&amp;" · ",""))-3)))</f>
        <v/>
      </c>
    </row>
    <row r="68">
      <c r="A68" s="49" t="n"/>
      <c r="B68" s="50">
        <f>IF((COUNTA($A68)+COUNTA($C68:$K68)+COUNTA($N68:$O68))&gt;0,"Asistente Técnico de Riesgo","")</f>
        <v/>
      </c>
      <c r="C68" s="51" t="n"/>
      <c r="D68" s="51" t="n"/>
      <c r="E68" s="52" t="n"/>
      <c r="F68" s="52" t="n"/>
      <c r="G68" s="53" t="n"/>
      <c r="H68" s="54" t="n"/>
      <c r="I68" s="54" t="n"/>
      <c r="J68" s="54" t="n"/>
      <c r="K68" s="54" t="n"/>
      <c r="L68" s="55">
        <f>IF(NOT((COUNTA($A68)+COUNTA($C68:$K68)+COUNTA($N68:$O68))&gt;0),"",IFERROR(LOOKUP(2,1/(H68:K68&lt;&gt;""),H68:K68),0))</f>
        <v/>
      </c>
      <c r="M68" s="56">
        <f>IF(L68="","",IF(L68&gt;=1,"Completado",IF(L68&gt;0,"En curso","Pendiente")))</f>
        <v/>
      </c>
      <c r="N68" s="52" t="n"/>
      <c r="O68" s="51" t="n"/>
      <c r="P68" s="57">
        <f>IF(NOT((COUNTA($A68)+COUNTA($C68:$K68)+COUNTA($N68:$O68))&gt;0),"",IF((IF(A68="","Falta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 OK","⚠ "&amp;LEFT(IF(A68="","Falta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",""),LEN(IF(A68="","Falta ID"&amp;" · ","")&amp;IF(AND(A68&lt;&gt;"",(COUNTIF('Cronograma R. Operacional'!$A$5:$A$1000,A68)+COUNTIF('Cronograma R. Legal y Normativo'!$A$5:$A$1000,A68)+COUNTIF('Cronograma R. Financiero'!$A$5:$A$1000,A68)+COUNTIF('Cronograma Asistente Técnico'!$A$5:$A$1000,A68))&gt;1),"ID duplicado"&amp;" · ","")&amp;IF(C68="","Macroactividad vacía"&amp;" · ","")&amp;IF(D68="","Sin responsable"&amp;" · ","")&amp;IF(E68="","Sin fecha de inicio"&amp;" · ","")&amp;IF(F68="","Sin fecha límite"&amp;" · ","")&amp;IF(OR(AND(E68&lt;&gt;"",NOT(ISNUMBER(E68))),AND(F68&lt;&gt;"",NOT(ISNUMBER(F68)))),"Fecha no válida"&amp;" · ","")&amp;IF(AND(ISNUMBER(E68),ISNUMBER(F68),E68&gt;F68),"Inicio posterior a fecha límite"&amp;" · ","")&amp;IF(G68="","Peso vacío"&amp;" · ","")&amp;IF(AND(G68&lt;&gt;"",OR(NOT(ISNUMBER(G68)),G68&lt;=0,G68&gt;1)),"Peso fuera de rango"&amp;" · ","")&amp;IF(ABS(SUM($G$5:$G$1000)-1)&gt;0.0001,"Pesos del puesto suman "&amp;TEXT(SUM($G$5:$G$1000),"0%")&amp;" · ","")&amp;IF((COUNTIF(H68:K68,"&gt;1")+COUNTIF(H68:K68,"&lt;0")+COUNTA(H68:K68)-COUNT(H68:K68))&gt;0,"Avance fuera de rango 0-100%"&amp;" · ","")&amp;IF(OR(AND(I68&lt;&gt;"",I68&lt;H68),AND(J68&lt;&gt;"",J68&lt;MAX(H68:I68)),AND(K68&lt;&gt;"",K68&lt;MAX(H68:J68))),"Avance semanal decreciente"&amp;" · ","")&amp;IF(AND(ISNUMBER(F68),F68&lt;FechaRef,N(L68)&lt;1),"Vencida"&amp;" · ","")&amp;IF(AND(EvidenciaObligatoria="Sí",N(L68)&gt;=1,O68=""),"Completada sin evidencia"&amp;" · ",""))-3)))</f>
        <v/>
      </c>
    </row>
    <row r="69">
      <c r="A69" s="49" t="n"/>
      <c r="B69" s="50">
        <f>IF((COUNTA($A69)+COUNTA($C69:$K69)+COUNTA($N69:$O69))&gt;0,"Asistente Técnico de Riesgo","")</f>
        <v/>
      </c>
      <c r="C69" s="51" t="n"/>
      <c r="D69" s="51" t="n"/>
      <c r="E69" s="52" t="n"/>
      <c r="F69" s="52" t="n"/>
      <c r="G69" s="53" t="n"/>
      <c r="H69" s="54" t="n"/>
      <c r="I69" s="54" t="n"/>
      <c r="J69" s="54" t="n"/>
      <c r="K69" s="54" t="n"/>
      <c r="L69" s="55">
        <f>IF(NOT((COUNTA($A69)+COUNTA($C69:$K69)+COUNTA($N69:$O69))&gt;0),"",IFERROR(LOOKUP(2,1/(H69:K69&lt;&gt;""),H69:K69),0))</f>
        <v/>
      </c>
      <c r="M69" s="56">
        <f>IF(L69="","",IF(L69&gt;=1,"Completado",IF(L69&gt;0,"En curso","Pendiente")))</f>
        <v/>
      </c>
      <c r="N69" s="52" t="n"/>
      <c r="O69" s="51" t="n"/>
      <c r="P69" s="57">
        <f>IF(NOT((COUNTA($A69)+COUNTA($C69:$K69)+COUNTA($N69:$O69))&gt;0),"",IF((IF(A69="","Falta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 OK","⚠ "&amp;LEFT(IF(A69="","Falta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",""),LEN(IF(A69="","Falta ID"&amp;" · ","")&amp;IF(AND(A69&lt;&gt;"",(COUNTIF('Cronograma R. Operacional'!$A$5:$A$1000,A69)+COUNTIF('Cronograma R. Legal y Normativo'!$A$5:$A$1000,A69)+COUNTIF('Cronograma R. Financiero'!$A$5:$A$1000,A69)+COUNTIF('Cronograma Asistente Técnico'!$A$5:$A$1000,A69))&gt;1),"ID duplicado"&amp;" · ","")&amp;IF(C69="","Macroactividad vacía"&amp;" · ","")&amp;IF(D69="","Sin responsable"&amp;" · ","")&amp;IF(E69="","Sin fecha de inicio"&amp;" · ","")&amp;IF(F69="","Sin fecha límite"&amp;" · ","")&amp;IF(OR(AND(E69&lt;&gt;"",NOT(ISNUMBER(E69))),AND(F69&lt;&gt;"",NOT(ISNUMBER(F69)))),"Fecha no válida"&amp;" · ","")&amp;IF(AND(ISNUMBER(E69),ISNUMBER(F69),E69&gt;F69),"Inicio posterior a fecha límite"&amp;" · ","")&amp;IF(G69="","Peso vacío"&amp;" · ","")&amp;IF(AND(G69&lt;&gt;"",OR(NOT(ISNUMBER(G69)),G69&lt;=0,G69&gt;1)),"Peso fuera de rango"&amp;" · ","")&amp;IF(ABS(SUM($G$5:$G$1000)-1)&gt;0.0001,"Pesos del puesto suman "&amp;TEXT(SUM($G$5:$G$1000),"0%")&amp;" · ","")&amp;IF((COUNTIF(H69:K69,"&gt;1")+COUNTIF(H69:K69,"&lt;0")+COUNTA(H69:K69)-COUNT(H69:K69))&gt;0,"Avance fuera de rango 0-100%"&amp;" · ","")&amp;IF(OR(AND(I69&lt;&gt;"",I69&lt;H69),AND(J69&lt;&gt;"",J69&lt;MAX(H69:I69)),AND(K69&lt;&gt;"",K69&lt;MAX(H69:J69))),"Avance semanal decreciente"&amp;" · ","")&amp;IF(AND(ISNUMBER(F69),F69&lt;FechaRef,N(L69)&lt;1),"Vencida"&amp;" · ","")&amp;IF(AND(EvidenciaObligatoria="Sí",N(L69)&gt;=1,O69=""),"Completada sin evidencia"&amp;" · ",""))-3)))</f>
        <v/>
      </c>
    </row>
    <row r="70">
      <c r="A70" s="49" t="n"/>
      <c r="B70" s="50">
        <f>IF((COUNTA($A70)+COUNTA($C70:$K70)+COUNTA($N70:$O70))&gt;0,"Asistente Técnico de Riesgo","")</f>
        <v/>
      </c>
      <c r="C70" s="51" t="n"/>
      <c r="D70" s="51" t="n"/>
      <c r="E70" s="52" t="n"/>
      <c r="F70" s="52" t="n"/>
      <c r="G70" s="53" t="n"/>
      <c r="H70" s="54" t="n"/>
      <c r="I70" s="54" t="n"/>
      <c r="J70" s="54" t="n"/>
      <c r="K70" s="54" t="n"/>
      <c r="L70" s="55">
        <f>IF(NOT((COUNTA($A70)+COUNTA($C70:$K70)+COUNTA($N70:$O70))&gt;0),"",IFERROR(LOOKUP(2,1/(H70:K70&lt;&gt;""),H70:K70),0))</f>
        <v/>
      </c>
      <c r="M70" s="56">
        <f>IF(L70="","",IF(L70&gt;=1,"Completado",IF(L70&gt;0,"En curso","Pendiente")))</f>
        <v/>
      </c>
      <c r="N70" s="52" t="n"/>
      <c r="O70" s="51" t="n"/>
      <c r="P70" s="57">
        <f>IF(NOT((COUNTA($A70)+COUNTA($C70:$K70)+COUNTA($N70:$O70))&gt;0),"",IF((IF(A70="","Falta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 OK","⚠ "&amp;LEFT(IF(A70="","Falta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",""),LEN(IF(A70="","Falta ID"&amp;" · ","")&amp;IF(AND(A70&lt;&gt;"",(COUNTIF('Cronograma R. Operacional'!$A$5:$A$1000,A70)+COUNTIF('Cronograma R. Legal y Normativo'!$A$5:$A$1000,A70)+COUNTIF('Cronograma R. Financiero'!$A$5:$A$1000,A70)+COUNTIF('Cronograma Asistente Técnico'!$A$5:$A$1000,A70))&gt;1),"ID duplicado"&amp;" · ","")&amp;IF(C70="","Macroactividad vacía"&amp;" · ","")&amp;IF(D70="","Sin responsable"&amp;" · ","")&amp;IF(E70="","Sin fecha de inicio"&amp;" · ","")&amp;IF(F70="","Sin fecha límite"&amp;" · ","")&amp;IF(OR(AND(E70&lt;&gt;"",NOT(ISNUMBER(E70))),AND(F70&lt;&gt;"",NOT(ISNUMBER(F70)))),"Fecha no válida"&amp;" · ","")&amp;IF(AND(ISNUMBER(E70),ISNUMBER(F70),E70&gt;F70),"Inicio posterior a fecha límite"&amp;" · ","")&amp;IF(G70="","Peso vacío"&amp;" · ","")&amp;IF(AND(G70&lt;&gt;"",OR(NOT(ISNUMBER(G70)),G70&lt;=0,G70&gt;1)),"Peso fuera de rango"&amp;" · ","")&amp;IF(ABS(SUM($G$5:$G$1000)-1)&gt;0.0001,"Pesos del puesto suman "&amp;TEXT(SUM($G$5:$G$1000),"0%")&amp;" · ","")&amp;IF((COUNTIF(H70:K70,"&gt;1")+COUNTIF(H70:K70,"&lt;0")+COUNTA(H70:K70)-COUNT(H70:K70))&gt;0,"Avance fuera de rango 0-100%"&amp;" · ","")&amp;IF(OR(AND(I70&lt;&gt;"",I70&lt;H70),AND(J70&lt;&gt;"",J70&lt;MAX(H70:I70)),AND(K70&lt;&gt;"",K70&lt;MAX(H70:J70))),"Avance semanal decreciente"&amp;" · ","")&amp;IF(AND(ISNUMBER(F70),F70&lt;FechaRef,N(L70)&lt;1),"Vencida"&amp;" · ","")&amp;IF(AND(EvidenciaObligatoria="Sí",N(L70)&gt;=1,O70=""),"Completada sin evidencia"&amp;" · ",""))-3)))</f>
        <v/>
      </c>
    </row>
    <row r="71">
      <c r="A71" s="49" t="n"/>
      <c r="B71" s="50">
        <f>IF((COUNTA($A71)+COUNTA($C71:$K71)+COUNTA($N71:$O71))&gt;0,"Asistente Técnico de Riesgo","")</f>
        <v/>
      </c>
      <c r="C71" s="51" t="n"/>
      <c r="D71" s="51" t="n"/>
      <c r="E71" s="52" t="n"/>
      <c r="F71" s="52" t="n"/>
      <c r="G71" s="53" t="n"/>
      <c r="H71" s="54" t="n"/>
      <c r="I71" s="54" t="n"/>
      <c r="J71" s="54" t="n"/>
      <c r="K71" s="54" t="n"/>
      <c r="L71" s="55">
        <f>IF(NOT((COUNTA($A71)+COUNTA($C71:$K71)+COUNTA($N71:$O71))&gt;0),"",IFERROR(LOOKUP(2,1/(H71:K71&lt;&gt;""),H71:K71),0))</f>
        <v/>
      </c>
      <c r="M71" s="56">
        <f>IF(L71="","",IF(L71&gt;=1,"Completado",IF(L71&gt;0,"En curso","Pendiente")))</f>
        <v/>
      </c>
      <c r="N71" s="52" t="n"/>
      <c r="O71" s="51" t="n"/>
      <c r="P71" s="57">
        <f>IF(NOT((COUNTA($A71)+COUNTA($C71:$K71)+COUNTA($N71:$O71))&gt;0),"",IF((IF(A71="","Falta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 OK","⚠ "&amp;LEFT(IF(A71="","Falta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",""),LEN(IF(A71="","Falta ID"&amp;" · ","")&amp;IF(AND(A71&lt;&gt;"",(COUNTIF('Cronograma R. Operacional'!$A$5:$A$1000,A71)+COUNTIF('Cronograma R. Legal y Normativo'!$A$5:$A$1000,A71)+COUNTIF('Cronograma R. Financiero'!$A$5:$A$1000,A71)+COUNTIF('Cronograma Asistente Técnico'!$A$5:$A$1000,A71))&gt;1),"ID duplicado"&amp;" · ","")&amp;IF(C71="","Macroactividad vacía"&amp;" · ","")&amp;IF(D71="","Sin responsable"&amp;" · ","")&amp;IF(E71="","Sin fecha de inicio"&amp;" · ","")&amp;IF(F71="","Sin fecha límite"&amp;" · ","")&amp;IF(OR(AND(E71&lt;&gt;"",NOT(ISNUMBER(E71))),AND(F71&lt;&gt;"",NOT(ISNUMBER(F71)))),"Fecha no válida"&amp;" · ","")&amp;IF(AND(ISNUMBER(E71),ISNUMBER(F71),E71&gt;F71),"Inicio posterior a fecha límite"&amp;" · ","")&amp;IF(G71="","Peso vacío"&amp;" · ","")&amp;IF(AND(G71&lt;&gt;"",OR(NOT(ISNUMBER(G71)),G71&lt;=0,G71&gt;1)),"Peso fuera de rango"&amp;" · ","")&amp;IF(ABS(SUM($G$5:$G$1000)-1)&gt;0.0001,"Pesos del puesto suman "&amp;TEXT(SUM($G$5:$G$1000),"0%")&amp;" · ","")&amp;IF((COUNTIF(H71:K71,"&gt;1")+COUNTIF(H71:K71,"&lt;0")+COUNTA(H71:K71)-COUNT(H71:K71))&gt;0,"Avance fuera de rango 0-100%"&amp;" · ","")&amp;IF(OR(AND(I71&lt;&gt;"",I71&lt;H71),AND(J71&lt;&gt;"",J71&lt;MAX(H71:I71)),AND(K71&lt;&gt;"",K71&lt;MAX(H71:J71))),"Avance semanal decreciente"&amp;" · ","")&amp;IF(AND(ISNUMBER(F71),F71&lt;FechaRef,N(L71)&lt;1),"Vencida"&amp;" · ","")&amp;IF(AND(EvidenciaObligatoria="Sí",N(L71)&gt;=1,O71=""),"Completada sin evidencia"&amp;" · ",""))-3)))</f>
        <v/>
      </c>
    </row>
    <row r="72">
      <c r="A72" s="49" t="n"/>
      <c r="B72" s="50">
        <f>IF((COUNTA($A72)+COUNTA($C72:$K72)+COUNTA($N72:$O72))&gt;0,"Asistente Técnico de Riesgo","")</f>
        <v/>
      </c>
      <c r="C72" s="51" t="n"/>
      <c r="D72" s="51" t="n"/>
      <c r="E72" s="52" t="n"/>
      <c r="F72" s="52" t="n"/>
      <c r="G72" s="53" t="n"/>
      <c r="H72" s="54" t="n"/>
      <c r="I72" s="54" t="n"/>
      <c r="J72" s="54" t="n"/>
      <c r="K72" s="54" t="n"/>
      <c r="L72" s="55">
        <f>IF(NOT((COUNTA($A72)+COUNTA($C72:$K72)+COUNTA($N72:$O72))&gt;0),"",IFERROR(LOOKUP(2,1/(H72:K72&lt;&gt;""),H72:K72),0))</f>
        <v/>
      </c>
      <c r="M72" s="56">
        <f>IF(L72="","",IF(L72&gt;=1,"Completado",IF(L72&gt;0,"En curso","Pendiente")))</f>
        <v/>
      </c>
      <c r="N72" s="52" t="n"/>
      <c r="O72" s="51" t="n"/>
      <c r="P72" s="57">
        <f>IF(NOT((COUNTA($A72)+COUNTA($C72:$K72)+COUNTA($N72:$O72))&gt;0),"",IF((IF(A72="","Falta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 OK","⚠ "&amp;LEFT(IF(A72="","Falta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",""),LEN(IF(A72="","Falta ID"&amp;" · ","")&amp;IF(AND(A72&lt;&gt;"",(COUNTIF('Cronograma R. Operacional'!$A$5:$A$1000,A72)+COUNTIF('Cronograma R. Legal y Normativo'!$A$5:$A$1000,A72)+COUNTIF('Cronograma R. Financiero'!$A$5:$A$1000,A72)+COUNTIF('Cronograma Asistente Técnico'!$A$5:$A$1000,A72))&gt;1),"ID duplicado"&amp;" · ","")&amp;IF(C72="","Macroactividad vacía"&amp;" · ","")&amp;IF(D72="","Sin responsable"&amp;" · ","")&amp;IF(E72="","Sin fecha de inicio"&amp;" · ","")&amp;IF(F72="","Sin fecha límite"&amp;" · ","")&amp;IF(OR(AND(E72&lt;&gt;"",NOT(ISNUMBER(E72))),AND(F72&lt;&gt;"",NOT(ISNUMBER(F72)))),"Fecha no válida"&amp;" · ","")&amp;IF(AND(ISNUMBER(E72),ISNUMBER(F72),E72&gt;F72),"Inicio posterior a fecha límite"&amp;" · ","")&amp;IF(G72="","Peso vacío"&amp;" · ","")&amp;IF(AND(G72&lt;&gt;"",OR(NOT(ISNUMBER(G72)),G72&lt;=0,G72&gt;1)),"Peso fuera de rango"&amp;" · ","")&amp;IF(ABS(SUM($G$5:$G$1000)-1)&gt;0.0001,"Pesos del puesto suman "&amp;TEXT(SUM($G$5:$G$1000),"0%")&amp;" · ","")&amp;IF((COUNTIF(H72:K72,"&gt;1")+COUNTIF(H72:K72,"&lt;0")+COUNTA(H72:K72)-COUNT(H72:K72))&gt;0,"Avance fuera de rango 0-100%"&amp;" · ","")&amp;IF(OR(AND(I72&lt;&gt;"",I72&lt;H72),AND(J72&lt;&gt;"",J72&lt;MAX(H72:I72)),AND(K72&lt;&gt;"",K72&lt;MAX(H72:J72))),"Avance semanal decreciente"&amp;" · ","")&amp;IF(AND(ISNUMBER(F72),F72&lt;FechaRef,N(L72)&lt;1),"Vencida"&amp;" · ","")&amp;IF(AND(EvidenciaObligatoria="Sí",N(L72)&gt;=1,O72=""),"Completada sin evidencia"&amp;" · ",""))-3)))</f>
        <v/>
      </c>
    </row>
    <row r="73">
      <c r="A73" s="49" t="n"/>
      <c r="B73" s="50">
        <f>IF((COUNTA($A73)+COUNTA($C73:$K73)+COUNTA($N73:$O73))&gt;0,"Asistente Técnico de Riesgo","")</f>
        <v/>
      </c>
      <c r="C73" s="51" t="n"/>
      <c r="D73" s="51" t="n"/>
      <c r="E73" s="52" t="n"/>
      <c r="F73" s="52" t="n"/>
      <c r="G73" s="53" t="n"/>
      <c r="H73" s="54" t="n"/>
      <c r="I73" s="54" t="n"/>
      <c r="J73" s="54" t="n"/>
      <c r="K73" s="54" t="n"/>
      <c r="L73" s="55">
        <f>IF(NOT((COUNTA($A73)+COUNTA($C73:$K73)+COUNTA($N73:$O73))&gt;0),"",IFERROR(LOOKUP(2,1/(H73:K73&lt;&gt;""),H73:K73),0))</f>
        <v/>
      </c>
      <c r="M73" s="56">
        <f>IF(L73="","",IF(L73&gt;=1,"Completado",IF(L73&gt;0,"En curso","Pendiente")))</f>
        <v/>
      </c>
      <c r="N73" s="52" t="n"/>
      <c r="O73" s="51" t="n"/>
      <c r="P73" s="57">
        <f>IF(NOT((COUNTA($A73)+COUNTA($C73:$K73)+COUNTA($N73:$O73))&gt;0),"",IF((IF(A73="","Falta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 OK","⚠ "&amp;LEFT(IF(A73="","Falta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",""),LEN(IF(A73="","Falta ID"&amp;" · ","")&amp;IF(AND(A73&lt;&gt;"",(COUNTIF('Cronograma R. Operacional'!$A$5:$A$1000,A73)+COUNTIF('Cronograma R. Legal y Normativo'!$A$5:$A$1000,A73)+COUNTIF('Cronograma R. Financiero'!$A$5:$A$1000,A73)+COUNTIF('Cronograma Asistente Técnico'!$A$5:$A$1000,A73))&gt;1),"ID duplicado"&amp;" · ","")&amp;IF(C73="","Macroactividad vacía"&amp;" · ","")&amp;IF(D73="","Sin responsable"&amp;" · ","")&amp;IF(E73="","Sin fecha de inicio"&amp;" · ","")&amp;IF(F73="","Sin fecha límite"&amp;" · ","")&amp;IF(OR(AND(E73&lt;&gt;"",NOT(ISNUMBER(E73))),AND(F73&lt;&gt;"",NOT(ISNUMBER(F73)))),"Fecha no válida"&amp;" · ","")&amp;IF(AND(ISNUMBER(E73),ISNUMBER(F73),E73&gt;F73),"Inicio posterior a fecha límite"&amp;" · ","")&amp;IF(G73="","Peso vacío"&amp;" · ","")&amp;IF(AND(G73&lt;&gt;"",OR(NOT(ISNUMBER(G73)),G73&lt;=0,G73&gt;1)),"Peso fuera de rango"&amp;" · ","")&amp;IF(ABS(SUM($G$5:$G$1000)-1)&gt;0.0001,"Pesos del puesto suman "&amp;TEXT(SUM($G$5:$G$1000),"0%")&amp;" · ","")&amp;IF((COUNTIF(H73:K73,"&gt;1")+COUNTIF(H73:K73,"&lt;0")+COUNTA(H73:K73)-COUNT(H73:K73))&gt;0,"Avance fuera de rango 0-100%"&amp;" · ","")&amp;IF(OR(AND(I73&lt;&gt;"",I73&lt;H73),AND(J73&lt;&gt;"",J73&lt;MAX(H73:I73)),AND(K73&lt;&gt;"",K73&lt;MAX(H73:J73))),"Avance semanal decreciente"&amp;" · ","")&amp;IF(AND(ISNUMBER(F73),F73&lt;FechaRef,N(L73)&lt;1),"Vencida"&amp;" · ","")&amp;IF(AND(EvidenciaObligatoria="Sí",N(L73)&gt;=1,O73=""),"Completada sin evidencia"&amp;" · ",""))-3)))</f>
        <v/>
      </c>
    </row>
    <row r="74">
      <c r="A74" s="49" t="n"/>
      <c r="B74" s="50">
        <f>IF((COUNTA($A74)+COUNTA($C74:$K74)+COUNTA($N74:$O74))&gt;0,"Asistente Técnico de Riesgo","")</f>
        <v/>
      </c>
      <c r="C74" s="51" t="n"/>
      <c r="D74" s="51" t="n"/>
      <c r="E74" s="52" t="n"/>
      <c r="F74" s="52" t="n"/>
      <c r="G74" s="53" t="n"/>
      <c r="H74" s="54" t="n"/>
      <c r="I74" s="54" t="n"/>
      <c r="J74" s="54" t="n"/>
      <c r="K74" s="54" t="n"/>
      <c r="L74" s="55">
        <f>IF(NOT((COUNTA($A74)+COUNTA($C74:$K74)+COUNTA($N74:$O74))&gt;0),"",IFERROR(LOOKUP(2,1/(H74:K74&lt;&gt;""),H74:K74),0))</f>
        <v/>
      </c>
      <c r="M74" s="56">
        <f>IF(L74="","",IF(L74&gt;=1,"Completado",IF(L74&gt;0,"En curso","Pendiente")))</f>
        <v/>
      </c>
      <c r="N74" s="52" t="n"/>
      <c r="O74" s="51" t="n"/>
      <c r="P74" s="57">
        <f>IF(NOT((COUNTA($A74)+COUNTA($C74:$K74)+COUNTA($N74:$O74))&gt;0),"",IF((IF(A74="","Falta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 OK","⚠ "&amp;LEFT(IF(A74="","Falta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",""),LEN(IF(A74="","Falta ID"&amp;" · ","")&amp;IF(AND(A74&lt;&gt;"",(COUNTIF('Cronograma R. Operacional'!$A$5:$A$1000,A74)+COUNTIF('Cronograma R. Legal y Normativo'!$A$5:$A$1000,A74)+COUNTIF('Cronograma R. Financiero'!$A$5:$A$1000,A74)+COUNTIF('Cronograma Asistente Técnico'!$A$5:$A$1000,A74))&gt;1),"ID duplicado"&amp;" · ","")&amp;IF(C74="","Macroactividad vacía"&amp;" · ","")&amp;IF(D74="","Sin responsable"&amp;" · ","")&amp;IF(E74="","Sin fecha de inicio"&amp;" · ","")&amp;IF(F74="","Sin fecha límite"&amp;" · ","")&amp;IF(OR(AND(E74&lt;&gt;"",NOT(ISNUMBER(E74))),AND(F74&lt;&gt;"",NOT(ISNUMBER(F74)))),"Fecha no válida"&amp;" · ","")&amp;IF(AND(ISNUMBER(E74),ISNUMBER(F74),E74&gt;F74),"Inicio posterior a fecha límite"&amp;" · ","")&amp;IF(G74="","Peso vacío"&amp;" · ","")&amp;IF(AND(G74&lt;&gt;"",OR(NOT(ISNUMBER(G74)),G74&lt;=0,G74&gt;1)),"Peso fuera de rango"&amp;" · ","")&amp;IF(ABS(SUM($G$5:$G$1000)-1)&gt;0.0001,"Pesos del puesto suman "&amp;TEXT(SUM($G$5:$G$1000),"0%")&amp;" · ","")&amp;IF((COUNTIF(H74:K74,"&gt;1")+COUNTIF(H74:K74,"&lt;0")+COUNTA(H74:K74)-COUNT(H74:K74))&gt;0,"Avance fuera de rango 0-100%"&amp;" · ","")&amp;IF(OR(AND(I74&lt;&gt;"",I74&lt;H74),AND(J74&lt;&gt;"",J74&lt;MAX(H74:I74)),AND(K74&lt;&gt;"",K74&lt;MAX(H74:J74))),"Avance semanal decreciente"&amp;" · ","")&amp;IF(AND(ISNUMBER(F74),F74&lt;FechaRef,N(L74)&lt;1),"Vencida"&amp;" · ","")&amp;IF(AND(EvidenciaObligatoria="Sí",N(L74)&gt;=1,O74=""),"Completada sin evidencia"&amp;" · ",""))-3)))</f>
        <v/>
      </c>
    </row>
    <row r="75">
      <c r="A75" s="49" t="n"/>
      <c r="B75" s="50">
        <f>IF((COUNTA($A75)+COUNTA($C75:$K75)+COUNTA($N75:$O75))&gt;0,"Asistente Técnico de Riesgo","")</f>
        <v/>
      </c>
      <c r="C75" s="51" t="n"/>
      <c r="D75" s="51" t="n"/>
      <c r="E75" s="52" t="n"/>
      <c r="F75" s="52" t="n"/>
      <c r="G75" s="53" t="n"/>
      <c r="H75" s="54" t="n"/>
      <c r="I75" s="54" t="n"/>
      <c r="J75" s="54" t="n"/>
      <c r="K75" s="54" t="n"/>
      <c r="L75" s="55">
        <f>IF(NOT((COUNTA($A75)+COUNTA($C75:$K75)+COUNTA($N75:$O75))&gt;0),"",IFERROR(LOOKUP(2,1/(H75:K75&lt;&gt;""),H75:K75),0))</f>
        <v/>
      </c>
      <c r="M75" s="56">
        <f>IF(L75="","",IF(L75&gt;=1,"Completado",IF(L75&gt;0,"En curso","Pendiente")))</f>
        <v/>
      </c>
      <c r="N75" s="52" t="n"/>
      <c r="O75" s="51" t="n"/>
      <c r="P75" s="57">
        <f>IF(NOT((COUNTA($A75)+COUNTA($C75:$K75)+COUNTA($N75:$O75))&gt;0),"",IF((IF(A75="","Falta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 OK","⚠ "&amp;LEFT(IF(A75="","Falta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",""),LEN(IF(A75="","Falta ID"&amp;" · ","")&amp;IF(AND(A75&lt;&gt;"",(COUNTIF('Cronograma R. Operacional'!$A$5:$A$1000,A75)+COUNTIF('Cronograma R. Legal y Normativo'!$A$5:$A$1000,A75)+COUNTIF('Cronograma R. Financiero'!$A$5:$A$1000,A75)+COUNTIF('Cronograma Asistente Técnico'!$A$5:$A$1000,A75))&gt;1),"ID duplicado"&amp;" · ","")&amp;IF(C75="","Macroactividad vacía"&amp;" · ","")&amp;IF(D75="","Sin responsable"&amp;" · ","")&amp;IF(E75="","Sin fecha de inicio"&amp;" · ","")&amp;IF(F75="","Sin fecha límite"&amp;" · ","")&amp;IF(OR(AND(E75&lt;&gt;"",NOT(ISNUMBER(E75))),AND(F75&lt;&gt;"",NOT(ISNUMBER(F75)))),"Fecha no válida"&amp;" · ","")&amp;IF(AND(ISNUMBER(E75),ISNUMBER(F75),E75&gt;F75),"Inicio posterior a fecha límite"&amp;" · ","")&amp;IF(G75="","Peso vacío"&amp;" · ","")&amp;IF(AND(G75&lt;&gt;"",OR(NOT(ISNUMBER(G75)),G75&lt;=0,G75&gt;1)),"Peso fuera de rango"&amp;" · ","")&amp;IF(ABS(SUM($G$5:$G$1000)-1)&gt;0.0001,"Pesos del puesto suman "&amp;TEXT(SUM($G$5:$G$1000),"0%")&amp;" · ","")&amp;IF((COUNTIF(H75:K75,"&gt;1")+COUNTIF(H75:K75,"&lt;0")+COUNTA(H75:K75)-COUNT(H75:K75))&gt;0,"Avance fuera de rango 0-100%"&amp;" · ","")&amp;IF(OR(AND(I75&lt;&gt;"",I75&lt;H75),AND(J75&lt;&gt;"",J75&lt;MAX(H75:I75)),AND(K75&lt;&gt;"",K75&lt;MAX(H75:J75))),"Avance semanal decreciente"&amp;" · ","")&amp;IF(AND(ISNUMBER(F75),F75&lt;FechaRef,N(L75)&lt;1),"Vencida"&amp;" · ","")&amp;IF(AND(EvidenciaObligatoria="Sí",N(L75)&gt;=1,O75=""),"Completada sin evidencia"&amp;" · ",""))-3)))</f>
        <v/>
      </c>
    </row>
    <row r="76">
      <c r="A76" s="49" t="n"/>
      <c r="B76" s="50">
        <f>IF((COUNTA($A76)+COUNTA($C76:$K76)+COUNTA($N76:$O76))&gt;0,"Asistente Técnico de Riesgo","")</f>
        <v/>
      </c>
      <c r="C76" s="51" t="n"/>
      <c r="D76" s="51" t="n"/>
      <c r="E76" s="52" t="n"/>
      <c r="F76" s="52" t="n"/>
      <c r="G76" s="53" t="n"/>
      <c r="H76" s="54" t="n"/>
      <c r="I76" s="54" t="n"/>
      <c r="J76" s="54" t="n"/>
      <c r="K76" s="54" t="n"/>
      <c r="L76" s="55">
        <f>IF(NOT((COUNTA($A76)+COUNTA($C76:$K76)+COUNTA($N76:$O76))&gt;0),"",IFERROR(LOOKUP(2,1/(H76:K76&lt;&gt;""),H76:K76),0))</f>
        <v/>
      </c>
      <c r="M76" s="56">
        <f>IF(L76="","",IF(L76&gt;=1,"Completado",IF(L76&gt;0,"En curso","Pendiente")))</f>
        <v/>
      </c>
      <c r="N76" s="52" t="n"/>
      <c r="O76" s="51" t="n"/>
      <c r="P76" s="57">
        <f>IF(NOT((COUNTA($A76)+COUNTA($C76:$K76)+COUNTA($N76:$O76))&gt;0),"",IF((IF(A76="","Falta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 OK","⚠ "&amp;LEFT(IF(A76="","Falta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",""),LEN(IF(A76="","Falta ID"&amp;" · ","")&amp;IF(AND(A76&lt;&gt;"",(COUNTIF('Cronograma R. Operacional'!$A$5:$A$1000,A76)+COUNTIF('Cronograma R. Legal y Normativo'!$A$5:$A$1000,A76)+COUNTIF('Cronograma R. Financiero'!$A$5:$A$1000,A76)+COUNTIF('Cronograma Asistente Técnico'!$A$5:$A$1000,A76))&gt;1),"ID duplicado"&amp;" · ","")&amp;IF(C76="","Macroactividad vacía"&amp;" · ","")&amp;IF(D76="","Sin responsable"&amp;" · ","")&amp;IF(E76="","Sin fecha de inicio"&amp;" · ","")&amp;IF(F76="","Sin fecha límite"&amp;" · ","")&amp;IF(OR(AND(E76&lt;&gt;"",NOT(ISNUMBER(E76))),AND(F76&lt;&gt;"",NOT(ISNUMBER(F76)))),"Fecha no válida"&amp;" · ","")&amp;IF(AND(ISNUMBER(E76),ISNUMBER(F76),E76&gt;F76),"Inicio posterior a fecha límite"&amp;" · ","")&amp;IF(G76="","Peso vacío"&amp;" · ","")&amp;IF(AND(G76&lt;&gt;"",OR(NOT(ISNUMBER(G76)),G76&lt;=0,G76&gt;1)),"Peso fuera de rango"&amp;" · ","")&amp;IF(ABS(SUM($G$5:$G$1000)-1)&gt;0.0001,"Pesos del puesto suman "&amp;TEXT(SUM($G$5:$G$1000),"0%")&amp;" · ","")&amp;IF((COUNTIF(H76:K76,"&gt;1")+COUNTIF(H76:K76,"&lt;0")+COUNTA(H76:K76)-COUNT(H76:K76))&gt;0,"Avance fuera de rango 0-100%"&amp;" · ","")&amp;IF(OR(AND(I76&lt;&gt;"",I76&lt;H76),AND(J76&lt;&gt;"",J76&lt;MAX(H76:I76)),AND(K76&lt;&gt;"",K76&lt;MAX(H76:J76))),"Avance semanal decreciente"&amp;" · ","")&amp;IF(AND(ISNUMBER(F76),F76&lt;FechaRef,N(L76)&lt;1),"Vencida"&amp;" · ","")&amp;IF(AND(EvidenciaObligatoria="Sí",N(L76)&gt;=1,O76=""),"Completada sin evidencia"&amp;" · ",""))-3)))</f>
        <v/>
      </c>
    </row>
    <row r="77">
      <c r="A77" s="49" t="n"/>
      <c r="B77" s="50">
        <f>IF((COUNTA($A77)+COUNTA($C77:$K77)+COUNTA($N77:$O77))&gt;0,"Asistente Técnico de Riesgo","")</f>
        <v/>
      </c>
      <c r="C77" s="51" t="n"/>
      <c r="D77" s="51" t="n"/>
      <c r="E77" s="52" t="n"/>
      <c r="F77" s="52" t="n"/>
      <c r="G77" s="53" t="n"/>
      <c r="H77" s="54" t="n"/>
      <c r="I77" s="54" t="n"/>
      <c r="J77" s="54" t="n"/>
      <c r="K77" s="54" t="n"/>
      <c r="L77" s="55">
        <f>IF(NOT((COUNTA($A77)+COUNTA($C77:$K77)+COUNTA($N77:$O77))&gt;0),"",IFERROR(LOOKUP(2,1/(H77:K77&lt;&gt;""),H77:K77),0))</f>
        <v/>
      </c>
      <c r="M77" s="56">
        <f>IF(L77="","",IF(L77&gt;=1,"Completado",IF(L77&gt;0,"En curso","Pendiente")))</f>
        <v/>
      </c>
      <c r="N77" s="52" t="n"/>
      <c r="O77" s="51" t="n"/>
      <c r="P77" s="57">
        <f>IF(NOT((COUNTA($A77)+COUNTA($C77:$K77)+COUNTA($N77:$O77))&gt;0),"",IF((IF(A77="","Falta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 OK","⚠ "&amp;LEFT(IF(A77="","Falta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",""),LEN(IF(A77="","Falta ID"&amp;" · ","")&amp;IF(AND(A77&lt;&gt;"",(COUNTIF('Cronograma R. Operacional'!$A$5:$A$1000,A77)+COUNTIF('Cronograma R. Legal y Normativo'!$A$5:$A$1000,A77)+COUNTIF('Cronograma R. Financiero'!$A$5:$A$1000,A77)+COUNTIF('Cronograma Asistente Técnico'!$A$5:$A$1000,A77))&gt;1),"ID duplicado"&amp;" · ","")&amp;IF(C77="","Macroactividad vacía"&amp;" · ","")&amp;IF(D77="","Sin responsable"&amp;" · ","")&amp;IF(E77="","Sin fecha de inicio"&amp;" · ","")&amp;IF(F77="","Sin fecha límite"&amp;" · ","")&amp;IF(OR(AND(E77&lt;&gt;"",NOT(ISNUMBER(E77))),AND(F77&lt;&gt;"",NOT(ISNUMBER(F77)))),"Fecha no válida"&amp;" · ","")&amp;IF(AND(ISNUMBER(E77),ISNUMBER(F77),E77&gt;F77),"Inicio posterior a fecha límite"&amp;" · ","")&amp;IF(G77="","Peso vacío"&amp;" · ","")&amp;IF(AND(G77&lt;&gt;"",OR(NOT(ISNUMBER(G77)),G77&lt;=0,G77&gt;1)),"Peso fuera de rango"&amp;" · ","")&amp;IF(ABS(SUM($G$5:$G$1000)-1)&gt;0.0001,"Pesos del puesto suman "&amp;TEXT(SUM($G$5:$G$1000),"0%")&amp;" · ","")&amp;IF((COUNTIF(H77:K77,"&gt;1")+COUNTIF(H77:K77,"&lt;0")+COUNTA(H77:K77)-COUNT(H77:K77))&gt;0,"Avance fuera de rango 0-100%"&amp;" · ","")&amp;IF(OR(AND(I77&lt;&gt;"",I77&lt;H77),AND(J77&lt;&gt;"",J77&lt;MAX(H77:I77)),AND(K77&lt;&gt;"",K77&lt;MAX(H77:J77))),"Avance semanal decreciente"&amp;" · ","")&amp;IF(AND(ISNUMBER(F77),F77&lt;FechaRef,N(L77)&lt;1),"Vencida"&amp;" · ","")&amp;IF(AND(EvidenciaObligatoria="Sí",N(L77)&gt;=1,O77=""),"Completada sin evidencia"&amp;" · ",""))-3)))</f>
        <v/>
      </c>
    </row>
    <row r="78">
      <c r="A78" s="49" t="n"/>
      <c r="B78" s="50">
        <f>IF((COUNTA($A78)+COUNTA($C78:$K78)+COUNTA($N78:$O78))&gt;0,"Asistente Técnico de Riesgo","")</f>
        <v/>
      </c>
      <c r="C78" s="51" t="n"/>
      <c r="D78" s="51" t="n"/>
      <c r="E78" s="52" t="n"/>
      <c r="F78" s="52" t="n"/>
      <c r="G78" s="53" t="n"/>
      <c r="H78" s="54" t="n"/>
      <c r="I78" s="54" t="n"/>
      <c r="J78" s="54" t="n"/>
      <c r="K78" s="54" t="n"/>
      <c r="L78" s="55">
        <f>IF(NOT((COUNTA($A78)+COUNTA($C78:$K78)+COUNTA($N78:$O78))&gt;0),"",IFERROR(LOOKUP(2,1/(H78:K78&lt;&gt;""),H78:K78),0))</f>
        <v/>
      </c>
      <c r="M78" s="56">
        <f>IF(L78="","",IF(L78&gt;=1,"Completado",IF(L78&gt;0,"En curso","Pendiente")))</f>
        <v/>
      </c>
      <c r="N78" s="52" t="n"/>
      <c r="O78" s="51" t="n"/>
      <c r="P78" s="57">
        <f>IF(NOT((COUNTA($A78)+COUNTA($C78:$K78)+COUNTA($N78:$O78))&gt;0),"",IF((IF(A78="","Falta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 OK","⚠ "&amp;LEFT(IF(A78="","Falta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",""),LEN(IF(A78="","Falta ID"&amp;" · ","")&amp;IF(AND(A78&lt;&gt;"",(COUNTIF('Cronograma R. Operacional'!$A$5:$A$1000,A78)+COUNTIF('Cronograma R. Legal y Normativo'!$A$5:$A$1000,A78)+COUNTIF('Cronograma R. Financiero'!$A$5:$A$1000,A78)+COUNTIF('Cronograma Asistente Técnico'!$A$5:$A$1000,A78))&gt;1),"ID duplicado"&amp;" · ","")&amp;IF(C78="","Macroactividad vacía"&amp;" · ","")&amp;IF(D78="","Sin responsable"&amp;" · ","")&amp;IF(E78="","Sin fecha de inicio"&amp;" · ","")&amp;IF(F78="","Sin fecha límite"&amp;" · ","")&amp;IF(OR(AND(E78&lt;&gt;"",NOT(ISNUMBER(E78))),AND(F78&lt;&gt;"",NOT(ISNUMBER(F78)))),"Fecha no válida"&amp;" · ","")&amp;IF(AND(ISNUMBER(E78),ISNUMBER(F78),E78&gt;F78),"Inicio posterior a fecha límite"&amp;" · ","")&amp;IF(G78="","Peso vacío"&amp;" · ","")&amp;IF(AND(G78&lt;&gt;"",OR(NOT(ISNUMBER(G78)),G78&lt;=0,G78&gt;1)),"Peso fuera de rango"&amp;" · ","")&amp;IF(ABS(SUM($G$5:$G$1000)-1)&gt;0.0001,"Pesos del puesto suman "&amp;TEXT(SUM($G$5:$G$1000),"0%")&amp;" · ","")&amp;IF((COUNTIF(H78:K78,"&gt;1")+COUNTIF(H78:K78,"&lt;0")+COUNTA(H78:K78)-COUNT(H78:K78))&gt;0,"Avance fuera de rango 0-100%"&amp;" · ","")&amp;IF(OR(AND(I78&lt;&gt;"",I78&lt;H78),AND(J78&lt;&gt;"",J78&lt;MAX(H78:I78)),AND(K78&lt;&gt;"",K78&lt;MAX(H78:J78))),"Avance semanal decreciente"&amp;" · ","")&amp;IF(AND(ISNUMBER(F78),F78&lt;FechaRef,N(L78)&lt;1),"Vencida"&amp;" · ","")&amp;IF(AND(EvidenciaObligatoria="Sí",N(L78)&gt;=1,O78=""),"Completada sin evidencia"&amp;" · ",""))-3)))</f>
        <v/>
      </c>
    </row>
    <row r="79">
      <c r="A79" s="49" t="n"/>
      <c r="B79" s="50">
        <f>IF((COUNTA($A79)+COUNTA($C79:$K79)+COUNTA($N79:$O79))&gt;0,"Asistente Técnico de Riesgo","")</f>
        <v/>
      </c>
      <c r="C79" s="51" t="n"/>
      <c r="D79" s="51" t="n"/>
      <c r="E79" s="52" t="n"/>
      <c r="F79" s="52" t="n"/>
      <c r="G79" s="53" t="n"/>
      <c r="H79" s="54" t="n"/>
      <c r="I79" s="54" t="n"/>
      <c r="J79" s="54" t="n"/>
      <c r="K79" s="54" t="n"/>
      <c r="L79" s="55">
        <f>IF(NOT((COUNTA($A79)+COUNTA($C79:$K79)+COUNTA($N79:$O79))&gt;0),"",IFERROR(LOOKUP(2,1/(H79:K79&lt;&gt;""),H79:K79),0))</f>
        <v/>
      </c>
      <c r="M79" s="56">
        <f>IF(L79="","",IF(L79&gt;=1,"Completado",IF(L79&gt;0,"En curso","Pendiente")))</f>
        <v/>
      </c>
      <c r="N79" s="52" t="n"/>
      <c r="O79" s="51" t="n"/>
      <c r="P79" s="57">
        <f>IF(NOT((COUNTA($A79)+COUNTA($C79:$K79)+COUNTA($N79:$O79))&gt;0),"",IF((IF(A79="","Falta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 OK","⚠ "&amp;LEFT(IF(A79="","Falta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",""),LEN(IF(A79="","Falta ID"&amp;" · ","")&amp;IF(AND(A79&lt;&gt;"",(COUNTIF('Cronograma R. Operacional'!$A$5:$A$1000,A79)+COUNTIF('Cronograma R. Legal y Normativo'!$A$5:$A$1000,A79)+COUNTIF('Cronograma R. Financiero'!$A$5:$A$1000,A79)+COUNTIF('Cronograma Asistente Técnico'!$A$5:$A$1000,A79))&gt;1),"ID duplicado"&amp;" · ","")&amp;IF(C79="","Macroactividad vacía"&amp;" · ","")&amp;IF(D79="","Sin responsable"&amp;" · ","")&amp;IF(E79="","Sin fecha de inicio"&amp;" · ","")&amp;IF(F79="","Sin fecha límite"&amp;" · ","")&amp;IF(OR(AND(E79&lt;&gt;"",NOT(ISNUMBER(E79))),AND(F79&lt;&gt;"",NOT(ISNUMBER(F79)))),"Fecha no válida"&amp;" · ","")&amp;IF(AND(ISNUMBER(E79),ISNUMBER(F79),E79&gt;F79),"Inicio posterior a fecha límite"&amp;" · ","")&amp;IF(G79="","Peso vacío"&amp;" · ","")&amp;IF(AND(G79&lt;&gt;"",OR(NOT(ISNUMBER(G79)),G79&lt;=0,G79&gt;1)),"Peso fuera de rango"&amp;" · ","")&amp;IF(ABS(SUM($G$5:$G$1000)-1)&gt;0.0001,"Pesos del puesto suman "&amp;TEXT(SUM($G$5:$G$1000),"0%")&amp;" · ","")&amp;IF((COUNTIF(H79:K79,"&gt;1")+COUNTIF(H79:K79,"&lt;0")+COUNTA(H79:K79)-COUNT(H79:K79))&gt;0,"Avance fuera de rango 0-100%"&amp;" · ","")&amp;IF(OR(AND(I79&lt;&gt;"",I79&lt;H79),AND(J79&lt;&gt;"",J79&lt;MAX(H79:I79)),AND(K79&lt;&gt;"",K79&lt;MAX(H79:J79))),"Avance semanal decreciente"&amp;" · ","")&amp;IF(AND(ISNUMBER(F79),F79&lt;FechaRef,N(L79)&lt;1),"Vencida"&amp;" · ","")&amp;IF(AND(EvidenciaObligatoria="Sí",N(L79)&gt;=1,O79=""),"Completada sin evidencia"&amp;" · ",""))-3)))</f>
        <v/>
      </c>
    </row>
    <row r="80">
      <c r="A80" s="49" t="n"/>
      <c r="B80" s="50">
        <f>IF((COUNTA($A80)+COUNTA($C80:$K80)+COUNTA($N80:$O80))&gt;0,"Asistente Técnico de Riesgo","")</f>
        <v/>
      </c>
      <c r="C80" s="51" t="n"/>
      <c r="D80" s="51" t="n"/>
      <c r="E80" s="52" t="n"/>
      <c r="F80" s="52" t="n"/>
      <c r="G80" s="53" t="n"/>
      <c r="H80" s="54" t="n"/>
      <c r="I80" s="54" t="n"/>
      <c r="J80" s="54" t="n"/>
      <c r="K80" s="54" t="n"/>
      <c r="L80" s="55">
        <f>IF(NOT((COUNTA($A80)+COUNTA($C80:$K80)+COUNTA($N80:$O80))&gt;0),"",IFERROR(LOOKUP(2,1/(H80:K80&lt;&gt;""),H80:K80),0))</f>
        <v/>
      </c>
      <c r="M80" s="56">
        <f>IF(L80="","",IF(L80&gt;=1,"Completado",IF(L80&gt;0,"En curso","Pendiente")))</f>
        <v/>
      </c>
      <c r="N80" s="52" t="n"/>
      <c r="O80" s="51" t="n"/>
      <c r="P80" s="57">
        <f>IF(NOT((COUNTA($A80)+COUNTA($C80:$K80)+COUNTA($N80:$O80))&gt;0),"",IF((IF(A80="","Falta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 OK","⚠ "&amp;LEFT(IF(A80="","Falta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",""),LEN(IF(A80="","Falta ID"&amp;" · ","")&amp;IF(AND(A80&lt;&gt;"",(COUNTIF('Cronograma R. Operacional'!$A$5:$A$1000,A80)+COUNTIF('Cronograma R. Legal y Normativo'!$A$5:$A$1000,A80)+COUNTIF('Cronograma R. Financiero'!$A$5:$A$1000,A80)+COUNTIF('Cronograma Asistente Técnico'!$A$5:$A$1000,A80))&gt;1),"ID duplicado"&amp;" · ","")&amp;IF(C80="","Macroactividad vacía"&amp;" · ","")&amp;IF(D80="","Sin responsable"&amp;" · ","")&amp;IF(E80="","Sin fecha de inicio"&amp;" · ","")&amp;IF(F80="","Sin fecha límite"&amp;" · ","")&amp;IF(OR(AND(E80&lt;&gt;"",NOT(ISNUMBER(E80))),AND(F80&lt;&gt;"",NOT(ISNUMBER(F80)))),"Fecha no válida"&amp;" · ","")&amp;IF(AND(ISNUMBER(E80),ISNUMBER(F80),E80&gt;F80),"Inicio posterior a fecha límite"&amp;" · ","")&amp;IF(G80="","Peso vacío"&amp;" · ","")&amp;IF(AND(G80&lt;&gt;"",OR(NOT(ISNUMBER(G80)),G80&lt;=0,G80&gt;1)),"Peso fuera de rango"&amp;" · ","")&amp;IF(ABS(SUM($G$5:$G$1000)-1)&gt;0.0001,"Pesos del puesto suman "&amp;TEXT(SUM($G$5:$G$1000),"0%")&amp;" · ","")&amp;IF((COUNTIF(H80:K80,"&gt;1")+COUNTIF(H80:K80,"&lt;0")+COUNTA(H80:K80)-COUNT(H80:K80))&gt;0,"Avance fuera de rango 0-100%"&amp;" · ","")&amp;IF(OR(AND(I80&lt;&gt;"",I80&lt;H80),AND(J80&lt;&gt;"",J80&lt;MAX(H80:I80)),AND(K80&lt;&gt;"",K80&lt;MAX(H80:J80))),"Avance semanal decreciente"&amp;" · ","")&amp;IF(AND(ISNUMBER(F80),F80&lt;FechaRef,N(L80)&lt;1),"Vencida"&amp;" · ","")&amp;IF(AND(EvidenciaObligatoria="Sí",N(L80)&gt;=1,O80=""),"Completada sin evidencia"&amp;" · ",""))-3)))</f>
        <v/>
      </c>
    </row>
    <row r="81">
      <c r="A81" s="49" t="n"/>
      <c r="B81" s="50">
        <f>IF((COUNTA($A81)+COUNTA($C81:$K81)+COUNTA($N81:$O81))&gt;0,"Asistente Técnico de Riesgo","")</f>
        <v/>
      </c>
      <c r="C81" s="51" t="n"/>
      <c r="D81" s="51" t="n"/>
      <c r="E81" s="52" t="n"/>
      <c r="F81" s="52" t="n"/>
      <c r="G81" s="53" t="n"/>
      <c r="H81" s="54" t="n"/>
      <c r="I81" s="54" t="n"/>
      <c r="J81" s="54" t="n"/>
      <c r="K81" s="54" t="n"/>
      <c r="L81" s="55">
        <f>IF(NOT((COUNTA($A81)+COUNTA($C81:$K81)+COUNTA($N81:$O81))&gt;0),"",IFERROR(LOOKUP(2,1/(H81:K81&lt;&gt;""),H81:K81),0))</f>
        <v/>
      </c>
      <c r="M81" s="56">
        <f>IF(L81="","",IF(L81&gt;=1,"Completado",IF(L81&gt;0,"En curso","Pendiente")))</f>
        <v/>
      </c>
      <c r="N81" s="52" t="n"/>
      <c r="O81" s="51" t="n"/>
      <c r="P81" s="57">
        <f>IF(NOT((COUNTA($A81)+COUNTA($C81:$K81)+COUNTA($N81:$O81))&gt;0),"",IF((IF(A81="","Falta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 OK","⚠ "&amp;LEFT(IF(A81="","Falta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",""),LEN(IF(A81="","Falta ID"&amp;" · ","")&amp;IF(AND(A81&lt;&gt;"",(COUNTIF('Cronograma R. Operacional'!$A$5:$A$1000,A81)+COUNTIF('Cronograma R. Legal y Normativo'!$A$5:$A$1000,A81)+COUNTIF('Cronograma R. Financiero'!$A$5:$A$1000,A81)+COUNTIF('Cronograma Asistente Técnico'!$A$5:$A$1000,A81))&gt;1),"ID duplicado"&amp;" · ","")&amp;IF(C81="","Macroactividad vacía"&amp;" · ","")&amp;IF(D81="","Sin responsable"&amp;" · ","")&amp;IF(E81="","Sin fecha de inicio"&amp;" · ","")&amp;IF(F81="","Sin fecha límite"&amp;" · ","")&amp;IF(OR(AND(E81&lt;&gt;"",NOT(ISNUMBER(E81))),AND(F81&lt;&gt;"",NOT(ISNUMBER(F81)))),"Fecha no válida"&amp;" · ","")&amp;IF(AND(ISNUMBER(E81),ISNUMBER(F81),E81&gt;F81),"Inicio posterior a fecha límite"&amp;" · ","")&amp;IF(G81="","Peso vacío"&amp;" · ","")&amp;IF(AND(G81&lt;&gt;"",OR(NOT(ISNUMBER(G81)),G81&lt;=0,G81&gt;1)),"Peso fuera de rango"&amp;" · ","")&amp;IF(ABS(SUM($G$5:$G$1000)-1)&gt;0.0001,"Pesos del puesto suman "&amp;TEXT(SUM($G$5:$G$1000),"0%")&amp;" · ","")&amp;IF((COUNTIF(H81:K81,"&gt;1")+COUNTIF(H81:K81,"&lt;0")+COUNTA(H81:K81)-COUNT(H81:K81))&gt;0,"Avance fuera de rango 0-100%"&amp;" · ","")&amp;IF(OR(AND(I81&lt;&gt;"",I81&lt;H81),AND(J81&lt;&gt;"",J81&lt;MAX(H81:I81)),AND(K81&lt;&gt;"",K81&lt;MAX(H81:J81))),"Avance semanal decreciente"&amp;" · ","")&amp;IF(AND(ISNUMBER(F81),F81&lt;FechaRef,N(L81)&lt;1),"Vencida"&amp;" · ","")&amp;IF(AND(EvidenciaObligatoria="Sí",N(L81)&gt;=1,O81=""),"Completada sin evidencia"&amp;" · ",""))-3)))</f>
        <v/>
      </c>
    </row>
    <row r="82">
      <c r="A82" s="49" t="n"/>
      <c r="B82" s="50">
        <f>IF((COUNTA($A82)+COUNTA($C82:$K82)+COUNTA($N82:$O82))&gt;0,"Asistente Técnico de Riesgo","")</f>
        <v/>
      </c>
      <c r="C82" s="51" t="n"/>
      <c r="D82" s="51" t="n"/>
      <c r="E82" s="52" t="n"/>
      <c r="F82" s="52" t="n"/>
      <c r="G82" s="53" t="n"/>
      <c r="H82" s="54" t="n"/>
      <c r="I82" s="54" t="n"/>
      <c r="J82" s="54" t="n"/>
      <c r="K82" s="54" t="n"/>
      <c r="L82" s="55">
        <f>IF(NOT((COUNTA($A82)+COUNTA($C82:$K82)+COUNTA($N82:$O82))&gt;0),"",IFERROR(LOOKUP(2,1/(H82:K82&lt;&gt;""),H82:K82),0))</f>
        <v/>
      </c>
      <c r="M82" s="56">
        <f>IF(L82="","",IF(L82&gt;=1,"Completado",IF(L82&gt;0,"En curso","Pendiente")))</f>
        <v/>
      </c>
      <c r="N82" s="52" t="n"/>
      <c r="O82" s="51" t="n"/>
      <c r="P82" s="57">
        <f>IF(NOT((COUNTA($A82)+COUNTA($C82:$K82)+COUNTA($N82:$O82))&gt;0),"",IF((IF(A82="","Falta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 OK","⚠ "&amp;LEFT(IF(A82="","Falta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",""),LEN(IF(A82="","Falta ID"&amp;" · ","")&amp;IF(AND(A82&lt;&gt;"",(COUNTIF('Cronograma R. Operacional'!$A$5:$A$1000,A82)+COUNTIF('Cronograma R. Legal y Normativo'!$A$5:$A$1000,A82)+COUNTIF('Cronograma R. Financiero'!$A$5:$A$1000,A82)+COUNTIF('Cronograma Asistente Técnico'!$A$5:$A$1000,A82))&gt;1),"ID duplicado"&amp;" · ","")&amp;IF(C82="","Macroactividad vacía"&amp;" · ","")&amp;IF(D82="","Sin responsable"&amp;" · ","")&amp;IF(E82="","Sin fecha de inicio"&amp;" · ","")&amp;IF(F82="","Sin fecha límite"&amp;" · ","")&amp;IF(OR(AND(E82&lt;&gt;"",NOT(ISNUMBER(E82))),AND(F82&lt;&gt;"",NOT(ISNUMBER(F82)))),"Fecha no válida"&amp;" · ","")&amp;IF(AND(ISNUMBER(E82),ISNUMBER(F82),E82&gt;F82),"Inicio posterior a fecha límite"&amp;" · ","")&amp;IF(G82="","Peso vacío"&amp;" · ","")&amp;IF(AND(G82&lt;&gt;"",OR(NOT(ISNUMBER(G82)),G82&lt;=0,G82&gt;1)),"Peso fuera de rango"&amp;" · ","")&amp;IF(ABS(SUM($G$5:$G$1000)-1)&gt;0.0001,"Pesos del puesto suman "&amp;TEXT(SUM($G$5:$G$1000),"0%")&amp;" · ","")&amp;IF((COUNTIF(H82:K82,"&gt;1")+COUNTIF(H82:K82,"&lt;0")+COUNTA(H82:K82)-COUNT(H82:K82))&gt;0,"Avance fuera de rango 0-100%"&amp;" · ","")&amp;IF(OR(AND(I82&lt;&gt;"",I82&lt;H82),AND(J82&lt;&gt;"",J82&lt;MAX(H82:I82)),AND(K82&lt;&gt;"",K82&lt;MAX(H82:J82))),"Avance semanal decreciente"&amp;" · ","")&amp;IF(AND(ISNUMBER(F82),F82&lt;FechaRef,N(L82)&lt;1),"Vencida"&amp;" · ","")&amp;IF(AND(EvidenciaObligatoria="Sí",N(L82)&gt;=1,O82=""),"Completada sin evidencia"&amp;" · ",""))-3)))</f>
        <v/>
      </c>
    </row>
    <row r="83">
      <c r="A83" s="49" t="n"/>
      <c r="B83" s="50">
        <f>IF((COUNTA($A83)+COUNTA($C83:$K83)+COUNTA($N83:$O83))&gt;0,"Asistente Técnico de Riesgo","")</f>
        <v/>
      </c>
      <c r="C83" s="51" t="n"/>
      <c r="D83" s="51" t="n"/>
      <c r="E83" s="52" t="n"/>
      <c r="F83" s="52" t="n"/>
      <c r="G83" s="53" t="n"/>
      <c r="H83" s="54" t="n"/>
      <c r="I83" s="54" t="n"/>
      <c r="J83" s="54" t="n"/>
      <c r="K83" s="54" t="n"/>
      <c r="L83" s="55">
        <f>IF(NOT((COUNTA($A83)+COUNTA($C83:$K83)+COUNTA($N83:$O83))&gt;0),"",IFERROR(LOOKUP(2,1/(H83:K83&lt;&gt;""),H83:K83),0))</f>
        <v/>
      </c>
      <c r="M83" s="56">
        <f>IF(L83="","",IF(L83&gt;=1,"Completado",IF(L83&gt;0,"En curso","Pendiente")))</f>
        <v/>
      </c>
      <c r="N83" s="52" t="n"/>
      <c r="O83" s="51" t="n"/>
      <c r="P83" s="57">
        <f>IF(NOT((COUNTA($A83)+COUNTA($C83:$K83)+COUNTA($N83:$O83))&gt;0),"",IF((IF(A83="","Falta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 OK","⚠ "&amp;LEFT(IF(A83="","Falta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",""),LEN(IF(A83="","Falta ID"&amp;" · ","")&amp;IF(AND(A83&lt;&gt;"",(COUNTIF('Cronograma R. Operacional'!$A$5:$A$1000,A83)+COUNTIF('Cronograma R. Legal y Normativo'!$A$5:$A$1000,A83)+COUNTIF('Cronograma R. Financiero'!$A$5:$A$1000,A83)+COUNTIF('Cronograma Asistente Técnico'!$A$5:$A$1000,A83))&gt;1),"ID duplicado"&amp;" · ","")&amp;IF(C83="","Macroactividad vacía"&amp;" · ","")&amp;IF(D83="","Sin responsable"&amp;" · ","")&amp;IF(E83="","Sin fecha de inicio"&amp;" · ","")&amp;IF(F83="","Sin fecha límite"&amp;" · ","")&amp;IF(OR(AND(E83&lt;&gt;"",NOT(ISNUMBER(E83))),AND(F83&lt;&gt;"",NOT(ISNUMBER(F83)))),"Fecha no válida"&amp;" · ","")&amp;IF(AND(ISNUMBER(E83),ISNUMBER(F83),E83&gt;F83),"Inicio posterior a fecha límite"&amp;" · ","")&amp;IF(G83="","Peso vacío"&amp;" · ","")&amp;IF(AND(G83&lt;&gt;"",OR(NOT(ISNUMBER(G83)),G83&lt;=0,G83&gt;1)),"Peso fuera de rango"&amp;" · ","")&amp;IF(ABS(SUM($G$5:$G$1000)-1)&gt;0.0001,"Pesos del puesto suman "&amp;TEXT(SUM($G$5:$G$1000),"0%")&amp;" · ","")&amp;IF((COUNTIF(H83:K83,"&gt;1")+COUNTIF(H83:K83,"&lt;0")+COUNTA(H83:K83)-COUNT(H83:K83))&gt;0,"Avance fuera de rango 0-100%"&amp;" · ","")&amp;IF(OR(AND(I83&lt;&gt;"",I83&lt;H83),AND(J83&lt;&gt;"",J83&lt;MAX(H83:I83)),AND(K83&lt;&gt;"",K83&lt;MAX(H83:J83))),"Avance semanal decreciente"&amp;" · ","")&amp;IF(AND(ISNUMBER(F83),F83&lt;FechaRef,N(L83)&lt;1),"Vencida"&amp;" · ","")&amp;IF(AND(EvidenciaObligatoria="Sí",N(L83)&gt;=1,O83=""),"Completada sin evidencia"&amp;" · ",""))-3)))</f>
        <v/>
      </c>
    </row>
    <row r="84">
      <c r="A84" s="49" t="n"/>
      <c r="B84" s="50">
        <f>IF((COUNTA($A84)+COUNTA($C84:$K84)+COUNTA($N84:$O84))&gt;0,"Asistente Técnico de Riesgo","")</f>
        <v/>
      </c>
      <c r="C84" s="51" t="n"/>
      <c r="D84" s="51" t="n"/>
      <c r="E84" s="52" t="n"/>
      <c r="F84" s="52" t="n"/>
      <c r="G84" s="53" t="n"/>
      <c r="H84" s="54" t="n"/>
      <c r="I84" s="54" t="n"/>
      <c r="J84" s="54" t="n"/>
      <c r="K84" s="54" t="n"/>
      <c r="L84" s="55">
        <f>IF(NOT((COUNTA($A84)+COUNTA($C84:$K84)+COUNTA($N84:$O84))&gt;0),"",IFERROR(LOOKUP(2,1/(H84:K84&lt;&gt;""),H84:K84),0))</f>
        <v/>
      </c>
      <c r="M84" s="56">
        <f>IF(L84="","",IF(L84&gt;=1,"Completado",IF(L84&gt;0,"En curso","Pendiente")))</f>
        <v/>
      </c>
      <c r="N84" s="52" t="n"/>
      <c r="O84" s="51" t="n"/>
      <c r="P84" s="57">
        <f>IF(NOT((COUNTA($A84)+COUNTA($C84:$K84)+COUNTA($N84:$O84))&gt;0),"",IF((IF(A84="","Falta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 OK","⚠ "&amp;LEFT(IF(A84="","Falta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",""),LEN(IF(A84="","Falta ID"&amp;" · ","")&amp;IF(AND(A84&lt;&gt;"",(COUNTIF('Cronograma R. Operacional'!$A$5:$A$1000,A84)+COUNTIF('Cronograma R. Legal y Normativo'!$A$5:$A$1000,A84)+COUNTIF('Cronograma R. Financiero'!$A$5:$A$1000,A84)+COUNTIF('Cronograma Asistente Técnico'!$A$5:$A$1000,A84))&gt;1),"ID duplicado"&amp;" · ","")&amp;IF(C84="","Macroactividad vacía"&amp;" · ","")&amp;IF(D84="","Sin responsable"&amp;" · ","")&amp;IF(E84="","Sin fecha de inicio"&amp;" · ","")&amp;IF(F84="","Sin fecha límite"&amp;" · ","")&amp;IF(OR(AND(E84&lt;&gt;"",NOT(ISNUMBER(E84))),AND(F84&lt;&gt;"",NOT(ISNUMBER(F84)))),"Fecha no válida"&amp;" · ","")&amp;IF(AND(ISNUMBER(E84),ISNUMBER(F84),E84&gt;F84),"Inicio posterior a fecha límite"&amp;" · ","")&amp;IF(G84="","Peso vacío"&amp;" · ","")&amp;IF(AND(G84&lt;&gt;"",OR(NOT(ISNUMBER(G84)),G84&lt;=0,G84&gt;1)),"Peso fuera de rango"&amp;" · ","")&amp;IF(ABS(SUM($G$5:$G$1000)-1)&gt;0.0001,"Pesos del puesto suman "&amp;TEXT(SUM($G$5:$G$1000),"0%")&amp;" · ","")&amp;IF((COUNTIF(H84:K84,"&gt;1")+COUNTIF(H84:K84,"&lt;0")+COUNTA(H84:K84)-COUNT(H84:K84))&gt;0,"Avance fuera de rango 0-100%"&amp;" · ","")&amp;IF(OR(AND(I84&lt;&gt;"",I84&lt;H84),AND(J84&lt;&gt;"",J84&lt;MAX(H84:I84)),AND(K84&lt;&gt;"",K84&lt;MAX(H84:J84))),"Avance semanal decreciente"&amp;" · ","")&amp;IF(AND(ISNUMBER(F84),F84&lt;FechaRef,N(L84)&lt;1),"Vencida"&amp;" · ","")&amp;IF(AND(EvidenciaObligatoria="Sí",N(L84)&gt;=1,O84=""),"Completada sin evidencia"&amp;" · ",""))-3)))</f>
        <v/>
      </c>
    </row>
    <row r="85">
      <c r="A85" s="49" t="n"/>
      <c r="B85" s="50">
        <f>IF((COUNTA($A85)+COUNTA($C85:$K85)+COUNTA($N85:$O85))&gt;0,"Asistente Técnico de Riesgo","")</f>
        <v/>
      </c>
      <c r="C85" s="51" t="n"/>
      <c r="D85" s="51" t="n"/>
      <c r="E85" s="52" t="n"/>
      <c r="F85" s="52" t="n"/>
      <c r="G85" s="53" t="n"/>
      <c r="H85" s="54" t="n"/>
      <c r="I85" s="54" t="n"/>
      <c r="J85" s="54" t="n"/>
      <c r="K85" s="54" t="n"/>
      <c r="L85" s="55">
        <f>IF(NOT((COUNTA($A85)+COUNTA($C85:$K85)+COUNTA($N85:$O85))&gt;0),"",IFERROR(LOOKUP(2,1/(H85:K85&lt;&gt;""),H85:K85),0))</f>
        <v/>
      </c>
      <c r="M85" s="56">
        <f>IF(L85="","",IF(L85&gt;=1,"Completado",IF(L85&gt;0,"En curso","Pendiente")))</f>
        <v/>
      </c>
      <c r="N85" s="52" t="n"/>
      <c r="O85" s="51" t="n"/>
      <c r="P85" s="57">
        <f>IF(NOT((COUNTA($A85)+COUNTA($C85:$K85)+COUNTA($N85:$O85))&gt;0),"",IF((IF(A85="","Falta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 OK","⚠ "&amp;LEFT(IF(A85="","Falta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",""),LEN(IF(A85="","Falta ID"&amp;" · ","")&amp;IF(AND(A85&lt;&gt;"",(COUNTIF('Cronograma R. Operacional'!$A$5:$A$1000,A85)+COUNTIF('Cronograma R. Legal y Normativo'!$A$5:$A$1000,A85)+COUNTIF('Cronograma R. Financiero'!$A$5:$A$1000,A85)+COUNTIF('Cronograma Asistente Técnico'!$A$5:$A$1000,A85))&gt;1),"ID duplicado"&amp;" · ","")&amp;IF(C85="","Macroactividad vacía"&amp;" · ","")&amp;IF(D85="","Sin responsable"&amp;" · ","")&amp;IF(E85="","Sin fecha de inicio"&amp;" · ","")&amp;IF(F85="","Sin fecha límite"&amp;" · ","")&amp;IF(OR(AND(E85&lt;&gt;"",NOT(ISNUMBER(E85))),AND(F85&lt;&gt;"",NOT(ISNUMBER(F85)))),"Fecha no válida"&amp;" · ","")&amp;IF(AND(ISNUMBER(E85),ISNUMBER(F85),E85&gt;F85),"Inicio posterior a fecha límite"&amp;" · ","")&amp;IF(G85="","Peso vacío"&amp;" · ","")&amp;IF(AND(G85&lt;&gt;"",OR(NOT(ISNUMBER(G85)),G85&lt;=0,G85&gt;1)),"Peso fuera de rango"&amp;" · ","")&amp;IF(ABS(SUM($G$5:$G$1000)-1)&gt;0.0001,"Pesos del puesto suman "&amp;TEXT(SUM($G$5:$G$1000),"0%")&amp;" · ","")&amp;IF((COUNTIF(H85:K85,"&gt;1")+COUNTIF(H85:K85,"&lt;0")+COUNTA(H85:K85)-COUNT(H85:K85))&gt;0,"Avance fuera de rango 0-100%"&amp;" · ","")&amp;IF(OR(AND(I85&lt;&gt;"",I85&lt;H85),AND(J85&lt;&gt;"",J85&lt;MAX(H85:I85)),AND(K85&lt;&gt;"",K85&lt;MAX(H85:J85))),"Avance semanal decreciente"&amp;" · ","")&amp;IF(AND(ISNUMBER(F85),F85&lt;FechaRef,N(L85)&lt;1),"Vencida"&amp;" · ","")&amp;IF(AND(EvidenciaObligatoria="Sí",N(L85)&gt;=1,O85=""),"Completada sin evidencia"&amp;" · ",""))-3)))</f>
        <v/>
      </c>
    </row>
    <row r="86">
      <c r="A86" s="49" t="n"/>
      <c r="B86" s="50">
        <f>IF((COUNTA($A86)+COUNTA($C86:$K86)+COUNTA($N86:$O86))&gt;0,"Asistente Técnico de Riesgo","")</f>
        <v/>
      </c>
      <c r="C86" s="51" t="n"/>
      <c r="D86" s="51" t="n"/>
      <c r="E86" s="52" t="n"/>
      <c r="F86" s="52" t="n"/>
      <c r="G86" s="53" t="n"/>
      <c r="H86" s="54" t="n"/>
      <c r="I86" s="54" t="n"/>
      <c r="J86" s="54" t="n"/>
      <c r="K86" s="54" t="n"/>
      <c r="L86" s="55">
        <f>IF(NOT((COUNTA($A86)+COUNTA($C86:$K86)+COUNTA($N86:$O86))&gt;0),"",IFERROR(LOOKUP(2,1/(H86:K86&lt;&gt;""),H86:K86),0))</f>
        <v/>
      </c>
      <c r="M86" s="56">
        <f>IF(L86="","",IF(L86&gt;=1,"Completado",IF(L86&gt;0,"En curso","Pendiente")))</f>
        <v/>
      </c>
      <c r="N86" s="52" t="n"/>
      <c r="O86" s="51" t="n"/>
      <c r="P86" s="57">
        <f>IF(NOT((COUNTA($A86)+COUNTA($C86:$K86)+COUNTA($N86:$O86))&gt;0),"",IF((IF(A86="","Falta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 OK","⚠ "&amp;LEFT(IF(A86="","Falta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",""),LEN(IF(A86="","Falta ID"&amp;" · ","")&amp;IF(AND(A86&lt;&gt;"",(COUNTIF('Cronograma R. Operacional'!$A$5:$A$1000,A86)+COUNTIF('Cronograma R. Legal y Normativo'!$A$5:$A$1000,A86)+COUNTIF('Cronograma R. Financiero'!$A$5:$A$1000,A86)+COUNTIF('Cronograma Asistente Técnico'!$A$5:$A$1000,A86))&gt;1),"ID duplicado"&amp;" · ","")&amp;IF(C86="","Macroactividad vacía"&amp;" · ","")&amp;IF(D86="","Sin responsable"&amp;" · ","")&amp;IF(E86="","Sin fecha de inicio"&amp;" · ","")&amp;IF(F86="","Sin fecha límite"&amp;" · ","")&amp;IF(OR(AND(E86&lt;&gt;"",NOT(ISNUMBER(E86))),AND(F86&lt;&gt;"",NOT(ISNUMBER(F86)))),"Fecha no válida"&amp;" · ","")&amp;IF(AND(ISNUMBER(E86),ISNUMBER(F86),E86&gt;F86),"Inicio posterior a fecha límite"&amp;" · ","")&amp;IF(G86="","Peso vacío"&amp;" · ","")&amp;IF(AND(G86&lt;&gt;"",OR(NOT(ISNUMBER(G86)),G86&lt;=0,G86&gt;1)),"Peso fuera de rango"&amp;" · ","")&amp;IF(ABS(SUM($G$5:$G$1000)-1)&gt;0.0001,"Pesos del puesto suman "&amp;TEXT(SUM($G$5:$G$1000),"0%")&amp;" · ","")&amp;IF((COUNTIF(H86:K86,"&gt;1")+COUNTIF(H86:K86,"&lt;0")+COUNTA(H86:K86)-COUNT(H86:K86))&gt;0,"Avance fuera de rango 0-100%"&amp;" · ","")&amp;IF(OR(AND(I86&lt;&gt;"",I86&lt;H86),AND(J86&lt;&gt;"",J86&lt;MAX(H86:I86)),AND(K86&lt;&gt;"",K86&lt;MAX(H86:J86))),"Avance semanal decreciente"&amp;" · ","")&amp;IF(AND(ISNUMBER(F86),F86&lt;FechaRef,N(L86)&lt;1),"Vencida"&amp;" · ","")&amp;IF(AND(EvidenciaObligatoria="Sí",N(L86)&gt;=1,O86=""),"Completada sin evidencia"&amp;" · ",""))-3)))</f>
        <v/>
      </c>
    </row>
    <row r="87">
      <c r="A87" s="49" t="n"/>
      <c r="B87" s="50">
        <f>IF((COUNTA($A87)+COUNTA($C87:$K87)+COUNTA($N87:$O87))&gt;0,"Asistente Técnico de Riesgo","")</f>
        <v/>
      </c>
      <c r="C87" s="51" t="n"/>
      <c r="D87" s="51" t="n"/>
      <c r="E87" s="52" t="n"/>
      <c r="F87" s="52" t="n"/>
      <c r="G87" s="53" t="n"/>
      <c r="H87" s="54" t="n"/>
      <c r="I87" s="54" t="n"/>
      <c r="J87" s="54" t="n"/>
      <c r="K87" s="54" t="n"/>
      <c r="L87" s="55">
        <f>IF(NOT((COUNTA($A87)+COUNTA($C87:$K87)+COUNTA($N87:$O87))&gt;0),"",IFERROR(LOOKUP(2,1/(H87:K87&lt;&gt;""),H87:K87),0))</f>
        <v/>
      </c>
      <c r="M87" s="56">
        <f>IF(L87="","",IF(L87&gt;=1,"Completado",IF(L87&gt;0,"En curso","Pendiente")))</f>
        <v/>
      </c>
      <c r="N87" s="52" t="n"/>
      <c r="O87" s="51" t="n"/>
      <c r="P87" s="57">
        <f>IF(NOT((COUNTA($A87)+COUNTA($C87:$K87)+COUNTA($N87:$O87))&gt;0),"",IF((IF(A87="","Falta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 OK","⚠ "&amp;LEFT(IF(A87="","Falta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",""),LEN(IF(A87="","Falta ID"&amp;" · ","")&amp;IF(AND(A87&lt;&gt;"",(COUNTIF('Cronograma R. Operacional'!$A$5:$A$1000,A87)+COUNTIF('Cronograma R. Legal y Normativo'!$A$5:$A$1000,A87)+COUNTIF('Cronograma R. Financiero'!$A$5:$A$1000,A87)+COUNTIF('Cronograma Asistente Técnico'!$A$5:$A$1000,A87))&gt;1),"ID duplicado"&amp;" · ","")&amp;IF(C87="","Macroactividad vacía"&amp;" · ","")&amp;IF(D87="","Sin responsable"&amp;" · ","")&amp;IF(E87="","Sin fecha de inicio"&amp;" · ","")&amp;IF(F87="","Sin fecha límite"&amp;" · ","")&amp;IF(OR(AND(E87&lt;&gt;"",NOT(ISNUMBER(E87))),AND(F87&lt;&gt;"",NOT(ISNUMBER(F87)))),"Fecha no válida"&amp;" · ","")&amp;IF(AND(ISNUMBER(E87),ISNUMBER(F87),E87&gt;F87),"Inicio posterior a fecha límite"&amp;" · ","")&amp;IF(G87="","Peso vacío"&amp;" · ","")&amp;IF(AND(G87&lt;&gt;"",OR(NOT(ISNUMBER(G87)),G87&lt;=0,G87&gt;1)),"Peso fuera de rango"&amp;" · ","")&amp;IF(ABS(SUM($G$5:$G$1000)-1)&gt;0.0001,"Pesos del puesto suman "&amp;TEXT(SUM($G$5:$G$1000),"0%")&amp;" · ","")&amp;IF((COUNTIF(H87:K87,"&gt;1")+COUNTIF(H87:K87,"&lt;0")+COUNTA(H87:K87)-COUNT(H87:K87))&gt;0,"Avance fuera de rango 0-100%"&amp;" · ","")&amp;IF(OR(AND(I87&lt;&gt;"",I87&lt;H87),AND(J87&lt;&gt;"",J87&lt;MAX(H87:I87)),AND(K87&lt;&gt;"",K87&lt;MAX(H87:J87))),"Avance semanal decreciente"&amp;" · ","")&amp;IF(AND(ISNUMBER(F87),F87&lt;FechaRef,N(L87)&lt;1),"Vencida"&amp;" · ","")&amp;IF(AND(EvidenciaObligatoria="Sí",N(L87)&gt;=1,O87=""),"Completada sin evidencia"&amp;" · ",""))-3)))</f>
        <v/>
      </c>
    </row>
    <row r="88">
      <c r="A88" s="49" t="n"/>
      <c r="B88" s="50">
        <f>IF((COUNTA($A88)+COUNTA($C88:$K88)+COUNTA($N88:$O88))&gt;0,"Asistente Técnico de Riesgo","")</f>
        <v/>
      </c>
      <c r="C88" s="51" t="n"/>
      <c r="D88" s="51" t="n"/>
      <c r="E88" s="52" t="n"/>
      <c r="F88" s="52" t="n"/>
      <c r="G88" s="53" t="n"/>
      <c r="H88" s="54" t="n"/>
      <c r="I88" s="54" t="n"/>
      <c r="J88" s="54" t="n"/>
      <c r="K88" s="54" t="n"/>
      <c r="L88" s="55">
        <f>IF(NOT((COUNTA($A88)+COUNTA($C88:$K88)+COUNTA($N88:$O88))&gt;0),"",IFERROR(LOOKUP(2,1/(H88:K88&lt;&gt;""),H88:K88),0))</f>
        <v/>
      </c>
      <c r="M88" s="56">
        <f>IF(L88="","",IF(L88&gt;=1,"Completado",IF(L88&gt;0,"En curso","Pendiente")))</f>
        <v/>
      </c>
      <c r="N88" s="52" t="n"/>
      <c r="O88" s="51" t="n"/>
      <c r="P88" s="57">
        <f>IF(NOT((COUNTA($A88)+COUNTA($C88:$K88)+COUNTA($N88:$O88))&gt;0),"",IF((IF(A88="","Falta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 OK","⚠ "&amp;LEFT(IF(A88="","Falta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",""),LEN(IF(A88="","Falta ID"&amp;" · ","")&amp;IF(AND(A88&lt;&gt;"",(COUNTIF('Cronograma R. Operacional'!$A$5:$A$1000,A88)+COUNTIF('Cronograma R. Legal y Normativo'!$A$5:$A$1000,A88)+COUNTIF('Cronograma R. Financiero'!$A$5:$A$1000,A88)+COUNTIF('Cronograma Asistente Técnico'!$A$5:$A$1000,A88))&gt;1),"ID duplicado"&amp;" · ","")&amp;IF(C88="","Macroactividad vacía"&amp;" · ","")&amp;IF(D88="","Sin responsable"&amp;" · ","")&amp;IF(E88="","Sin fecha de inicio"&amp;" · ","")&amp;IF(F88="","Sin fecha límite"&amp;" · ","")&amp;IF(OR(AND(E88&lt;&gt;"",NOT(ISNUMBER(E88))),AND(F88&lt;&gt;"",NOT(ISNUMBER(F88)))),"Fecha no válida"&amp;" · ","")&amp;IF(AND(ISNUMBER(E88),ISNUMBER(F88),E88&gt;F88),"Inicio posterior a fecha límite"&amp;" · ","")&amp;IF(G88="","Peso vacío"&amp;" · ","")&amp;IF(AND(G88&lt;&gt;"",OR(NOT(ISNUMBER(G88)),G88&lt;=0,G88&gt;1)),"Peso fuera de rango"&amp;" · ","")&amp;IF(ABS(SUM($G$5:$G$1000)-1)&gt;0.0001,"Pesos del puesto suman "&amp;TEXT(SUM($G$5:$G$1000),"0%")&amp;" · ","")&amp;IF((COUNTIF(H88:K88,"&gt;1")+COUNTIF(H88:K88,"&lt;0")+COUNTA(H88:K88)-COUNT(H88:K88))&gt;0,"Avance fuera de rango 0-100%"&amp;" · ","")&amp;IF(OR(AND(I88&lt;&gt;"",I88&lt;H88),AND(J88&lt;&gt;"",J88&lt;MAX(H88:I88)),AND(K88&lt;&gt;"",K88&lt;MAX(H88:J88))),"Avance semanal decreciente"&amp;" · ","")&amp;IF(AND(ISNUMBER(F88),F88&lt;FechaRef,N(L88)&lt;1),"Vencida"&amp;" · ","")&amp;IF(AND(EvidenciaObligatoria="Sí",N(L88)&gt;=1,O88=""),"Completada sin evidencia"&amp;" · ",""))-3)))</f>
        <v/>
      </c>
    </row>
    <row r="89">
      <c r="A89" s="49" t="n"/>
      <c r="B89" s="50">
        <f>IF((COUNTA($A89)+COUNTA($C89:$K89)+COUNTA($N89:$O89))&gt;0,"Asistente Técnico de Riesgo","")</f>
        <v/>
      </c>
      <c r="C89" s="51" t="n"/>
      <c r="D89" s="51" t="n"/>
      <c r="E89" s="52" t="n"/>
      <c r="F89" s="52" t="n"/>
      <c r="G89" s="53" t="n"/>
      <c r="H89" s="54" t="n"/>
      <c r="I89" s="54" t="n"/>
      <c r="J89" s="54" t="n"/>
      <c r="K89" s="54" t="n"/>
      <c r="L89" s="55">
        <f>IF(NOT((COUNTA($A89)+COUNTA($C89:$K89)+COUNTA($N89:$O89))&gt;0),"",IFERROR(LOOKUP(2,1/(H89:K89&lt;&gt;""),H89:K89),0))</f>
        <v/>
      </c>
      <c r="M89" s="56">
        <f>IF(L89="","",IF(L89&gt;=1,"Completado",IF(L89&gt;0,"En curso","Pendiente")))</f>
        <v/>
      </c>
      <c r="N89" s="52" t="n"/>
      <c r="O89" s="51" t="n"/>
      <c r="P89" s="57">
        <f>IF(NOT((COUNTA($A89)+COUNTA($C89:$K89)+COUNTA($N89:$O89))&gt;0),"",IF((IF(A89="","Falta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 OK","⚠ "&amp;LEFT(IF(A89="","Falta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",""),LEN(IF(A89="","Falta ID"&amp;" · ","")&amp;IF(AND(A89&lt;&gt;"",(COUNTIF('Cronograma R. Operacional'!$A$5:$A$1000,A89)+COUNTIF('Cronograma R. Legal y Normativo'!$A$5:$A$1000,A89)+COUNTIF('Cronograma R. Financiero'!$A$5:$A$1000,A89)+COUNTIF('Cronograma Asistente Técnico'!$A$5:$A$1000,A89))&gt;1),"ID duplicado"&amp;" · ","")&amp;IF(C89="","Macroactividad vacía"&amp;" · ","")&amp;IF(D89="","Sin responsable"&amp;" · ","")&amp;IF(E89="","Sin fecha de inicio"&amp;" · ","")&amp;IF(F89="","Sin fecha límite"&amp;" · ","")&amp;IF(OR(AND(E89&lt;&gt;"",NOT(ISNUMBER(E89))),AND(F89&lt;&gt;"",NOT(ISNUMBER(F89)))),"Fecha no válida"&amp;" · ","")&amp;IF(AND(ISNUMBER(E89),ISNUMBER(F89),E89&gt;F89),"Inicio posterior a fecha límite"&amp;" · ","")&amp;IF(G89="","Peso vacío"&amp;" · ","")&amp;IF(AND(G89&lt;&gt;"",OR(NOT(ISNUMBER(G89)),G89&lt;=0,G89&gt;1)),"Peso fuera de rango"&amp;" · ","")&amp;IF(ABS(SUM($G$5:$G$1000)-1)&gt;0.0001,"Pesos del puesto suman "&amp;TEXT(SUM($G$5:$G$1000),"0%")&amp;" · ","")&amp;IF((COUNTIF(H89:K89,"&gt;1")+COUNTIF(H89:K89,"&lt;0")+COUNTA(H89:K89)-COUNT(H89:K89))&gt;0,"Avance fuera de rango 0-100%"&amp;" · ","")&amp;IF(OR(AND(I89&lt;&gt;"",I89&lt;H89),AND(J89&lt;&gt;"",J89&lt;MAX(H89:I89)),AND(K89&lt;&gt;"",K89&lt;MAX(H89:J89))),"Avance semanal decreciente"&amp;" · ","")&amp;IF(AND(ISNUMBER(F89),F89&lt;FechaRef,N(L89)&lt;1),"Vencida"&amp;" · ","")&amp;IF(AND(EvidenciaObligatoria="Sí",N(L89)&gt;=1,O89=""),"Completada sin evidencia"&amp;" · ",""))-3)))</f>
        <v/>
      </c>
    </row>
    <row r="90">
      <c r="A90" s="49" t="n"/>
      <c r="B90" s="50">
        <f>IF((COUNTA($A90)+COUNTA($C90:$K90)+COUNTA($N90:$O90))&gt;0,"Asistente Técnico de Riesgo","")</f>
        <v/>
      </c>
      <c r="C90" s="51" t="n"/>
      <c r="D90" s="51" t="n"/>
      <c r="E90" s="52" t="n"/>
      <c r="F90" s="52" t="n"/>
      <c r="G90" s="53" t="n"/>
      <c r="H90" s="54" t="n"/>
      <c r="I90" s="54" t="n"/>
      <c r="J90" s="54" t="n"/>
      <c r="K90" s="54" t="n"/>
      <c r="L90" s="55">
        <f>IF(NOT((COUNTA($A90)+COUNTA($C90:$K90)+COUNTA($N90:$O90))&gt;0),"",IFERROR(LOOKUP(2,1/(H90:K90&lt;&gt;""),H90:K90),0))</f>
        <v/>
      </c>
      <c r="M90" s="56">
        <f>IF(L90="","",IF(L90&gt;=1,"Completado",IF(L90&gt;0,"En curso","Pendiente")))</f>
        <v/>
      </c>
      <c r="N90" s="52" t="n"/>
      <c r="O90" s="51" t="n"/>
      <c r="P90" s="57">
        <f>IF(NOT((COUNTA($A90)+COUNTA($C90:$K90)+COUNTA($N90:$O90))&gt;0),"",IF((IF(A90="","Falta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 OK","⚠ "&amp;LEFT(IF(A90="","Falta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",""),LEN(IF(A90="","Falta ID"&amp;" · ","")&amp;IF(AND(A90&lt;&gt;"",(COUNTIF('Cronograma R. Operacional'!$A$5:$A$1000,A90)+COUNTIF('Cronograma R. Legal y Normativo'!$A$5:$A$1000,A90)+COUNTIF('Cronograma R. Financiero'!$A$5:$A$1000,A90)+COUNTIF('Cronograma Asistente Técnico'!$A$5:$A$1000,A90))&gt;1),"ID duplicado"&amp;" · ","")&amp;IF(C90="","Macroactividad vacía"&amp;" · ","")&amp;IF(D90="","Sin responsable"&amp;" · ","")&amp;IF(E90="","Sin fecha de inicio"&amp;" · ","")&amp;IF(F90="","Sin fecha límite"&amp;" · ","")&amp;IF(OR(AND(E90&lt;&gt;"",NOT(ISNUMBER(E90))),AND(F90&lt;&gt;"",NOT(ISNUMBER(F90)))),"Fecha no válida"&amp;" · ","")&amp;IF(AND(ISNUMBER(E90),ISNUMBER(F90),E90&gt;F90),"Inicio posterior a fecha límite"&amp;" · ","")&amp;IF(G90="","Peso vacío"&amp;" · ","")&amp;IF(AND(G90&lt;&gt;"",OR(NOT(ISNUMBER(G90)),G90&lt;=0,G90&gt;1)),"Peso fuera de rango"&amp;" · ","")&amp;IF(ABS(SUM($G$5:$G$1000)-1)&gt;0.0001,"Pesos del puesto suman "&amp;TEXT(SUM($G$5:$G$1000),"0%")&amp;" · ","")&amp;IF((COUNTIF(H90:K90,"&gt;1")+COUNTIF(H90:K90,"&lt;0")+COUNTA(H90:K90)-COUNT(H90:K90))&gt;0,"Avance fuera de rango 0-100%"&amp;" · ","")&amp;IF(OR(AND(I90&lt;&gt;"",I90&lt;H90),AND(J90&lt;&gt;"",J90&lt;MAX(H90:I90)),AND(K90&lt;&gt;"",K90&lt;MAX(H90:J90))),"Avance semanal decreciente"&amp;" · ","")&amp;IF(AND(ISNUMBER(F90),F90&lt;FechaRef,N(L90)&lt;1),"Vencida"&amp;" · ","")&amp;IF(AND(EvidenciaObligatoria="Sí",N(L90)&gt;=1,O90=""),"Completada sin evidencia"&amp;" · ",""))-3)))</f>
        <v/>
      </c>
    </row>
    <row r="91">
      <c r="A91" s="49" t="n"/>
      <c r="B91" s="50">
        <f>IF((COUNTA($A91)+COUNTA($C91:$K91)+COUNTA($N91:$O91))&gt;0,"Asistente Técnico de Riesgo","")</f>
        <v/>
      </c>
      <c r="C91" s="51" t="n"/>
      <c r="D91" s="51" t="n"/>
      <c r="E91" s="52" t="n"/>
      <c r="F91" s="52" t="n"/>
      <c r="G91" s="53" t="n"/>
      <c r="H91" s="54" t="n"/>
      <c r="I91" s="54" t="n"/>
      <c r="J91" s="54" t="n"/>
      <c r="K91" s="54" t="n"/>
      <c r="L91" s="55">
        <f>IF(NOT((COUNTA($A91)+COUNTA($C91:$K91)+COUNTA($N91:$O91))&gt;0),"",IFERROR(LOOKUP(2,1/(H91:K91&lt;&gt;""),H91:K91),0))</f>
        <v/>
      </c>
      <c r="M91" s="56">
        <f>IF(L91="","",IF(L91&gt;=1,"Completado",IF(L91&gt;0,"En curso","Pendiente")))</f>
        <v/>
      </c>
      <c r="N91" s="52" t="n"/>
      <c r="O91" s="51" t="n"/>
      <c r="P91" s="57">
        <f>IF(NOT((COUNTA($A91)+COUNTA($C91:$K91)+COUNTA($N91:$O91))&gt;0),"",IF((IF(A91="","Falta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 OK","⚠ "&amp;LEFT(IF(A91="","Falta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",""),LEN(IF(A91="","Falta ID"&amp;" · ","")&amp;IF(AND(A91&lt;&gt;"",(COUNTIF('Cronograma R. Operacional'!$A$5:$A$1000,A91)+COUNTIF('Cronograma R. Legal y Normativo'!$A$5:$A$1000,A91)+COUNTIF('Cronograma R. Financiero'!$A$5:$A$1000,A91)+COUNTIF('Cronograma Asistente Técnico'!$A$5:$A$1000,A91))&gt;1),"ID duplicado"&amp;" · ","")&amp;IF(C91="","Macroactividad vacía"&amp;" · ","")&amp;IF(D91="","Sin responsable"&amp;" · ","")&amp;IF(E91="","Sin fecha de inicio"&amp;" · ","")&amp;IF(F91="","Sin fecha límite"&amp;" · ","")&amp;IF(OR(AND(E91&lt;&gt;"",NOT(ISNUMBER(E91))),AND(F91&lt;&gt;"",NOT(ISNUMBER(F91)))),"Fecha no válida"&amp;" · ","")&amp;IF(AND(ISNUMBER(E91),ISNUMBER(F91),E91&gt;F91),"Inicio posterior a fecha límite"&amp;" · ","")&amp;IF(G91="","Peso vacío"&amp;" · ","")&amp;IF(AND(G91&lt;&gt;"",OR(NOT(ISNUMBER(G91)),G91&lt;=0,G91&gt;1)),"Peso fuera de rango"&amp;" · ","")&amp;IF(ABS(SUM($G$5:$G$1000)-1)&gt;0.0001,"Pesos del puesto suman "&amp;TEXT(SUM($G$5:$G$1000),"0%")&amp;" · ","")&amp;IF((COUNTIF(H91:K91,"&gt;1")+COUNTIF(H91:K91,"&lt;0")+COUNTA(H91:K91)-COUNT(H91:K91))&gt;0,"Avance fuera de rango 0-100%"&amp;" · ","")&amp;IF(OR(AND(I91&lt;&gt;"",I91&lt;H91),AND(J91&lt;&gt;"",J91&lt;MAX(H91:I91)),AND(K91&lt;&gt;"",K91&lt;MAX(H91:J91))),"Avance semanal decreciente"&amp;" · ","")&amp;IF(AND(ISNUMBER(F91),F91&lt;FechaRef,N(L91)&lt;1),"Vencida"&amp;" · ","")&amp;IF(AND(EvidenciaObligatoria="Sí",N(L91)&gt;=1,O91=""),"Completada sin evidencia"&amp;" · ",""))-3)))</f>
        <v/>
      </c>
    </row>
    <row r="92">
      <c r="A92" s="49" t="n"/>
      <c r="B92" s="50">
        <f>IF((COUNTA($A92)+COUNTA($C92:$K92)+COUNTA($N92:$O92))&gt;0,"Asistente Técnico de Riesgo","")</f>
        <v/>
      </c>
      <c r="C92" s="51" t="n"/>
      <c r="D92" s="51" t="n"/>
      <c r="E92" s="52" t="n"/>
      <c r="F92" s="52" t="n"/>
      <c r="G92" s="53" t="n"/>
      <c r="H92" s="54" t="n"/>
      <c r="I92" s="54" t="n"/>
      <c r="J92" s="54" t="n"/>
      <c r="K92" s="54" t="n"/>
      <c r="L92" s="55">
        <f>IF(NOT((COUNTA($A92)+COUNTA($C92:$K92)+COUNTA($N92:$O92))&gt;0),"",IFERROR(LOOKUP(2,1/(H92:K92&lt;&gt;""),H92:K92),0))</f>
        <v/>
      </c>
      <c r="M92" s="56">
        <f>IF(L92="","",IF(L92&gt;=1,"Completado",IF(L92&gt;0,"En curso","Pendiente")))</f>
        <v/>
      </c>
      <c r="N92" s="52" t="n"/>
      <c r="O92" s="51" t="n"/>
      <c r="P92" s="57">
        <f>IF(NOT((COUNTA($A92)+COUNTA($C92:$K92)+COUNTA($N92:$O92))&gt;0),"",IF((IF(A92="","Falta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 OK","⚠ "&amp;LEFT(IF(A92="","Falta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",""),LEN(IF(A92="","Falta ID"&amp;" · ","")&amp;IF(AND(A92&lt;&gt;"",(COUNTIF('Cronograma R. Operacional'!$A$5:$A$1000,A92)+COUNTIF('Cronograma R. Legal y Normativo'!$A$5:$A$1000,A92)+COUNTIF('Cronograma R. Financiero'!$A$5:$A$1000,A92)+COUNTIF('Cronograma Asistente Técnico'!$A$5:$A$1000,A92))&gt;1),"ID duplicado"&amp;" · ","")&amp;IF(C92="","Macroactividad vacía"&amp;" · ","")&amp;IF(D92="","Sin responsable"&amp;" · ","")&amp;IF(E92="","Sin fecha de inicio"&amp;" · ","")&amp;IF(F92="","Sin fecha límite"&amp;" · ","")&amp;IF(OR(AND(E92&lt;&gt;"",NOT(ISNUMBER(E92))),AND(F92&lt;&gt;"",NOT(ISNUMBER(F92)))),"Fecha no válida"&amp;" · ","")&amp;IF(AND(ISNUMBER(E92),ISNUMBER(F92),E92&gt;F92),"Inicio posterior a fecha límite"&amp;" · ","")&amp;IF(G92="","Peso vacío"&amp;" · ","")&amp;IF(AND(G92&lt;&gt;"",OR(NOT(ISNUMBER(G92)),G92&lt;=0,G92&gt;1)),"Peso fuera de rango"&amp;" · ","")&amp;IF(ABS(SUM($G$5:$G$1000)-1)&gt;0.0001,"Pesos del puesto suman "&amp;TEXT(SUM($G$5:$G$1000),"0%")&amp;" · ","")&amp;IF((COUNTIF(H92:K92,"&gt;1")+COUNTIF(H92:K92,"&lt;0")+COUNTA(H92:K92)-COUNT(H92:K92))&gt;0,"Avance fuera de rango 0-100%"&amp;" · ","")&amp;IF(OR(AND(I92&lt;&gt;"",I92&lt;H92),AND(J92&lt;&gt;"",J92&lt;MAX(H92:I92)),AND(K92&lt;&gt;"",K92&lt;MAX(H92:J92))),"Avance semanal decreciente"&amp;" · ","")&amp;IF(AND(ISNUMBER(F92),F92&lt;FechaRef,N(L92)&lt;1),"Vencida"&amp;" · ","")&amp;IF(AND(EvidenciaObligatoria="Sí",N(L92)&gt;=1,O92=""),"Completada sin evidencia"&amp;" · ",""))-3)))</f>
        <v/>
      </c>
    </row>
    <row r="93">
      <c r="A93" s="49" t="n"/>
      <c r="B93" s="50">
        <f>IF((COUNTA($A93)+COUNTA($C93:$K93)+COUNTA($N93:$O93))&gt;0,"Asistente Técnico de Riesgo","")</f>
        <v/>
      </c>
      <c r="C93" s="51" t="n"/>
      <c r="D93" s="51" t="n"/>
      <c r="E93" s="52" t="n"/>
      <c r="F93" s="52" t="n"/>
      <c r="G93" s="53" t="n"/>
      <c r="H93" s="54" t="n"/>
      <c r="I93" s="54" t="n"/>
      <c r="J93" s="54" t="n"/>
      <c r="K93" s="54" t="n"/>
      <c r="L93" s="55">
        <f>IF(NOT((COUNTA($A93)+COUNTA($C93:$K93)+COUNTA($N93:$O93))&gt;0),"",IFERROR(LOOKUP(2,1/(H93:K93&lt;&gt;""),H93:K93),0))</f>
        <v/>
      </c>
      <c r="M93" s="56">
        <f>IF(L93="","",IF(L93&gt;=1,"Completado",IF(L93&gt;0,"En curso","Pendiente")))</f>
        <v/>
      </c>
      <c r="N93" s="52" t="n"/>
      <c r="O93" s="51" t="n"/>
      <c r="P93" s="57">
        <f>IF(NOT((COUNTA($A93)+COUNTA($C93:$K93)+COUNTA($N93:$O93))&gt;0),"",IF((IF(A93="","Falta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 OK","⚠ "&amp;LEFT(IF(A93="","Falta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",""),LEN(IF(A93="","Falta ID"&amp;" · ","")&amp;IF(AND(A93&lt;&gt;"",(COUNTIF('Cronograma R. Operacional'!$A$5:$A$1000,A93)+COUNTIF('Cronograma R. Legal y Normativo'!$A$5:$A$1000,A93)+COUNTIF('Cronograma R. Financiero'!$A$5:$A$1000,A93)+COUNTIF('Cronograma Asistente Técnico'!$A$5:$A$1000,A93))&gt;1),"ID duplicado"&amp;" · ","")&amp;IF(C93="","Macroactividad vacía"&amp;" · ","")&amp;IF(D93="","Sin responsable"&amp;" · ","")&amp;IF(E93="","Sin fecha de inicio"&amp;" · ","")&amp;IF(F93="","Sin fecha límite"&amp;" · ","")&amp;IF(OR(AND(E93&lt;&gt;"",NOT(ISNUMBER(E93))),AND(F93&lt;&gt;"",NOT(ISNUMBER(F93)))),"Fecha no válida"&amp;" · ","")&amp;IF(AND(ISNUMBER(E93),ISNUMBER(F93),E93&gt;F93),"Inicio posterior a fecha límite"&amp;" · ","")&amp;IF(G93="","Peso vacío"&amp;" · ","")&amp;IF(AND(G93&lt;&gt;"",OR(NOT(ISNUMBER(G93)),G93&lt;=0,G93&gt;1)),"Peso fuera de rango"&amp;" · ","")&amp;IF(ABS(SUM($G$5:$G$1000)-1)&gt;0.0001,"Pesos del puesto suman "&amp;TEXT(SUM($G$5:$G$1000),"0%")&amp;" · ","")&amp;IF((COUNTIF(H93:K93,"&gt;1")+COUNTIF(H93:K93,"&lt;0")+COUNTA(H93:K93)-COUNT(H93:K93))&gt;0,"Avance fuera de rango 0-100%"&amp;" · ","")&amp;IF(OR(AND(I93&lt;&gt;"",I93&lt;H93),AND(J93&lt;&gt;"",J93&lt;MAX(H93:I93)),AND(K93&lt;&gt;"",K93&lt;MAX(H93:J93))),"Avance semanal decreciente"&amp;" · ","")&amp;IF(AND(ISNUMBER(F93),F93&lt;FechaRef,N(L93)&lt;1),"Vencida"&amp;" · ","")&amp;IF(AND(EvidenciaObligatoria="Sí",N(L93)&gt;=1,O93=""),"Completada sin evidencia"&amp;" · ",""))-3)))</f>
        <v/>
      </c>
    </row>
    <row r="94">
      <c r="A94" s="49" t="n"/>
      <c r="B94" s="50">
        <f>IF((COUNTA($A94)+COUNTA($C94:$K94)+COUNTA($N94:$O94))&gt;0,"Asistente Técnico de Riesgo","")</f>
        <v/>
      </c>
      <c r="C94" s="51" t="n"/>
      <c r="D94" s="51" t="n"/>
      <c r="E94" s="52" t="n"/>
      <c r="F94" s="52" t="n"/>
      <c r="G94" s="53" t="n"/>
      <c r="H94" s="54" t="n"/>
      <c r="I94" s="54" t="n"/>
      <c r="J94" s="54" t="n"/>
      <c r="K94" s="54" t="n"/>
      <c r="L94" s="55">
        <f>IF(NOT((COUNTA($A94)+COUNTA($C94:$K94)+COUNTA($N94:$O94))&gt;0),"",IFERROR(LOOKUP(2,1/(H94:K94&lt;&gt;""),H94:K94),0))</f>
        <v/>
      </c>
      <c r="M94" s="56">
        <f>IF(L94="","",IF(L94&gt;=1,"Completado",IF(L94&gt;0,"En curso","Pendiente")))</f>
        <v/>
      </c>
      <c r="N94" s="52" t="n"/>
      <c r="O94" s="51" t="n"/>
      <c r="P94" s="57">
        <f>IF(NOT((COUNTA($A94)+COUNTA($C94:$K94)+COUNTA($N94:$O94))&gt;0),"",IF((IF(A94="","Falta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 OK","⚠ "&amp;LEFT(IF(A94="","Falta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",""),LEN(IF(A94="","Falta ID"&amp;" · ","")&amp;IF(AND(A94&lt;&gt;"",(COUNTIF('Cronograma R. Operacional'!$A$5:$A$1000,A94)+COUNTIF('Cronograma R. Legal y Normativo'!$A$5:$A$1000,A94)+COUNTIF('Cronograma R. Financiero'!$A$5:$A$1000,A94)+COUNTIF('Cronograma Asistente Técnico'!$A$5:$A$1000,A94))&gt;1),"ID duplicado"&amp;" · ","")&amp;IF(C94="","Macroactividad vacía"&amp;" · ","")&amp;IF(D94="","Sin responsable"&amp;" · ","")&amp;IF(E94="","Sin fecha de inicio"&amp;" · ","")&amp;IF(F94="","Sin fecha límite"&amp;" · ","")&amp;IF(OR(AND(E94&lt;&gt;"",NOT(ISNUMBER(E94))),AND(F94&lt;&gt;"",NOT(ISNUMBER(F94)))),"Fecha no válida"&amp;" · ","")&amp;IF(AND(ISNUMBER(E94),ISNUMBER(F94),E94&gt;F94),"Inicio posterior a fecha límite"&amp;" · ","")&amp;IF(G94="","Peso vacío"&amp;" · ","")&amp;IF(AND(G94&lt;&gt;"",OR(NOT(ISNUMBER(G94)),G94&lt;=0,G94&gt;1)),"Peso fuera de rango"&amp;" · ","")&amp;IF(ABS(SUM($G$5:$G$1000)-1)&gt;0.0001,"Pesos del puesto suman "&amp;TEXT(SUM($G$5:$G$1000),"0%")&amp;" · ","")&amp;IF((COUNTIF(H94:K94,"&gt;1")+COUNTIF(H94:K94,"&lt;0")+COUNTA(H94:K94)-COUNT(H94:K94))&gt;0,"Avance fuera de rango 0-100%"&amp;" · ","")&amp;IF(OR(AND(I94&lt;&gt;"",I94&lt;H94),AND(J94&lt;&gt;"",J94&lt;MAX(H94:I94)),AND(K94&lt;&gt;"",K94&lt;MAX(H94:J94))),"Avance semanal decreciente"&amp;" · ","")&amp;IF(AND(ISNUMBER(F94),F94&lt;FechaRef,N(L94)&lt;1),"Vencida"&amp;" · ","")&amp;IF(AND(EvidenciaObligatoria="Sí",N(L94)&gt;=1,O94=""),"Completada sin evidencia"&amp;" · ",""))-3)))</f>
        <v/>
      </c>
    </row>
    <row r="95">
      <c r="A95" s="49" t="n"/>
      <c r="B95" s="50">
        <f>IF((COUNTA($A95)+COUNTA($C95:$K95)+COUNTA($N95:$O95))&gt;0,"Asistente Técnico de Riesgo","")</f>
        <v/>
      </c>
      <c r="C95" s="51" t="n"/>
      <c r="D95" s="51" t="n"/>
      <c r="E95" s="52" t="n"/>
      <c r="F95" s="52" t="n"/>
      <c r="G95" s="53" t="n"/>
      <c r="H95" s="54" t="n"/>
      <c r="I95" s="54" t="n"/>
      <c r="J95" s="54" t="n"/>
      <c r="K95" s="54" t="n"/>
      <c r="L95" s="55">
        <f>IF(NOT((COUNTA($A95)+COUNTA($C95:$K95)+COUNTA($N95:$O95))&gt;0),"",IFERROR(LOOKUP(2,1/(H95:K95&lt;&gt;""),H95:K95),0))</f>
        <v/>
      </c>
      <c r="M95" s="56">
        <f>IF(L95="","",IF(L95&gt;=1,"Completado",IF(L95&gt;0,"En curso","Pendiente")))</f>
        <v/>
      </c>
      <c r="N95" s="52" t="n"/>
      <c r="O95" s="51" t="n"/>
      <c r="P95" s="57">
        <f>IF(NOT((COUNTA($A95)+COUNTA($C95:$K95)+COUNTA($N95:$O95))&gt;0),"",IF((IF(A95="","Falta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 OK","⚠ "&amp;LEFT(IF(A95="","Falta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",""),LEN(IF(A95="","Falta ID"&amp;" · ","")&amp;IF(AND(A95&lt;&gt;"",(COUNTIF('Cronograma R. Operacional'!$A$5:$A$1000,A95)+COUNTIF('Cronograma R. Legal y Normativo'!$A$5:$A$1000,A95)+COUNTIF('Cronograma R. Financiero'!$A$5:$A$1000,A95)+COUNTIF('Cronograma Asistente Técnico'!$A$5:$A$1000,A95))&gt;1),"ID duplicado"&amp;" · ","")&amp;IF(C95="","Macroactividad vacía"&amp;" · ","")&amp;IF(D95="","Sin responsable"&amp;" · ","")&amp;IF(E95="","Sin fecha de inicio"&amp;" · ","")&amp;IF(F95="","Sin fecha límite"&amp;" · ","")&amp;IF(OR(AND(E95&lt;&gt;"",NOT(ISNUMBER(E95))),AND(F95&lt;&gt;"",NOT(ISNUMBER(F95)))),"Fecha no válida"&amp;" · ","")&amp;IF(AND(ISNUMBER(E95),ISNUMBER(F95),E95&gt;F95),"Inicio posterior a fecha límite"&amp;" · ","")&amp;IF(G95="","Peso vacío"&amp;" · ","")&amp;IF(AND(G95&lt;&gt;"",OR(NOT(ISNUMBER(G95)),G95&lt;=0,G95&gt;1)),"Peso fuera de rango"&amp;" · ","")&amp;IF(ABS(SUM($G$5:$G$1000)-1)&gt;0.0001,"Pesos del puesto suman "&amp;TEXT(SUM($G$5:$G$1000),"0%")&amp;" · ","")&amp;IF((COUNTIF(H95:K95,"&gt;1")+COUNTIF(H95:K95,"&lt;0")+COUNTA(H95:K95)-COUNT(H95:K95))&gt;0,"Avance fuera de rango 0-100%"&amp;" · ","")&amp;IF(OR(AND(I95&lt;&gt;"",I95&lt;H95),AND(J95&lt;&gt;"",J95&lt;MAX(H95:I95)),AND(K95&lt;&gt;"",K95&lt;MAX(H95:J95))),"Avance semanal decreciente"&amp;" · ","")&amp;IF(AND(ISNUMBER(F95),F95&lt;FechaRef,N(L95)&lt;1),"Vencida"&amp;" · ","")&amp;IF(AND(EvidenciaObligatoria="Sí",N(L95)&gt;=1,O95=""),"Completada sin evidencia"&amp;" · ",""))-3)))</f>
        <v/>
      </c>
    </row>
    <row r="96">
      <c r="A96" s="49" t="n"/>
      <c r="B96" s="50">
        <f>IF((COUNTA($A96)+COUNTA($C96:$K96)+COUNTA($N96:$O96))&gt;0,"Asistente Técnico de Riesgo","")</f>
        <v/>
      </c>
      <c r="C96" s="51" t="n"/>
      <c r="D96" s="51" t="n"/>
      <c r="E96" s="52" t="n"/>
      <c r="F96" s="52" t="n"/>
      <c r="G96" s="53" t="n"/>
      <c r="H96" s="54" t="n"/>
      <c r="I96" s="54" t="n"/>
      <c r="J96" s="54" t="n"/>
      <c r="K96" s="54" t="n"/>
      <c r="L96" s="55">
        <f>IF(NOT((COUNTA($A96)+COUNTA($C96:$K96)+COUNTA($N96:$O96))&gt;0),"",IFERROR(LOOKUP(2,1/(H96:K96&lt;&gt;""),H96:K96),0))</f>
        <v/>
      </c>
      <c r="M96" s="56">
        <f>IF(L96="","",IF(L96&gt;=1,"Completado",IF(L96&gt;0,"En curso","Pendiente")))</f>
        <v/>
      </c>
      <c r="N96" s="52" t="n"/>
      <c r="O96" s="51" t="n"/>
      <c r="P96" s="57">
        <f>IF(NOT((COUNTA($A96)+COUNTA($C96:$K96)+COUNTA($N96:$O96))&gt;0),"",IF((IF(A96="","Falta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 OK","⚠ "&amp;LEFT(IF(A96="","Falta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",""),LEN(IF(A96="","Falta ID"&amp;" · ","")&amp;IF(AND(A96&lt;&gt;"",(COUNTIF('Cronograma R. Operacional'!$A$5:$A$1000,A96)+COUNTIF('Cronograma R. Legal y Normativo'!$A$5:$A$1000,A96)+COUNTIF('Cronograma R. Financiero'!$A$5:$A$1000,A96)+COUNTIF('Cronograma Asistente Técnico'!$A$5:$A$1000,A96))&gt;1),"ID duplicado"&amp;" · ","")&amp;IF(C96="","Macroactividad vacía"&amp;" · ","")&amp;IF(D96="","Sin responsable"&amp;" · ","")&amp;IF(E96="","Sin fecha de inicio"&amp;" · ","")&amp;IF(F96="","Sin fecha límite"&amp;" · ","")&amp;IF(OR(AND(E96&lt;&gt;"",NOT(ISNUMBER(E96))),AND(F96&lt;&gt;"",NOT(ISNUMBER(F96)))),"Fecha no válida"&amp;" · ","")&amp;IF(AND(ISNUMBER(E96),ISNUMBER(F96),E96&gt;F96),"Inicio posterior a fecha límite"&amp;" · ","")&amp;IF(G96="","Peso vacío"&amp;" · ","")&amp;IF(AND(G96&lt;&gt;"",OR(NOT(ISNUMBER(G96)),G96&lt;=0,G96&gt;1)),"Peso fuera de rango"&amp;" · ","")&amp;IF(ABS(SUM($G$5:$G$1000)-1)&gt;0.0001,"Pesos del puesto suman "&amp;TEXT(SUM($G$5:$G$1000),"0%")&amp;" · ","")&amp;IF((COUNTIF(H96:K96,"&gt;1")+COUNTIF(H96:K96,"&lt;0")+COUNTA(H96:K96)-COUNT(H96:K96))&gt;0,"Avance fuera de rango 0-100%"&amp;" · ","")&amp;IF(OR(AND(I96&lt;&gt;"",I96&lt;H96),AND(J96&lt;&gt;"",J96&lt;MAX(H96:I96)),AND(K96&lt;&gt;"",K96&lt;MAX(H96:J96))),"Avance semanal decreciente"&amp;" · ","")&amp;IF(AND(ISNUMBER(F96),F96&lt;FechaRef,N(L96)&lt;1),"Vencida"&amp;" · ","")&amp;IF(AND(EvidenciaObligatoria="Sí",N(L96)&gt;=1,O96=""),"Completada sin evidencia"&amp;" · ",""))-3)))</f>
        <v/>
      </c>
    </row>
    <row r="97">
      <c r="A97" s="49" t="n"/>
      <c r="B97" s="50">
        <f>IF((COUNTA($A97)+COUNTA($C97:$K97)+COUNTA($N97:$O97))&gt;0,"Asistente Técnico de Riesgo","")</f>
        <v/>
      </c>
      <c r="C97" s="51" t="n"/>
      <c r="D97" s="51" t="n"/>
      <c r="E97" s="52" t="n"/>
      <c r="F97" s="52" t="n"/>
      <c r="G97" s="53" t="n"/>
      <c r="H97" s="54" t="n"/>
      <c r="I97" s="54" t="n"/>
      <c r="J97" s="54" t="n"/>
      <c r="K97" s="54" t="n"/>
      <c r="L97" s="55">
        <f>IF(NOT((COUNTA($A97)+COUNTA($C97:$K97)+COUNTA($N97:$O97))&gt;0),"",IFERROR(LOOKUP(2,1/(H97:K97&lt;&gt;""),H97:K97),0))</f>
        <v/>
      </c>
      <c r="M97" s="56">
        <f>IF(L97="","",IF(L97&gt;=1,"Completado",IF(L97&gt;0,"En curso","Pendiente")))</f>
        <v/>
      </c>
      <c r="N97" s="52" t="n"/>
      <c r="O97" s="51" t="n"/>
      <c r="P97" s="57">
        <f>IF(NOT((COUNTA($A97)+COUNTA($C97:$K97)+COUNTA($N97:$O97))&gt;0),"",IF((IF(A97="","Falta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 OK","⚠ "&amp;LEFT(IF(A97="","Falta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",""),LEN(IF(A97="","Falta ID"&amp;" · ","")&amp;IF(AND(A97&lt;&gt;"",(COUNTIF('Cronograma R. Operacional'!$A$5:$A$1000,A97)+COUNTIF('Cronograma R. Legal y Normativo'!$A$5:$A$1000,A97)+COUNTIF('Cronograma R. Financiero'!$A$5:$A$1000,A97)+COUNTIF('Cronograma Asistente Técnico'!$A$5:$A$1000,A97))&gt;1),"ID duplicado"&amp;" · ","")&amp;IF(C97="","Macroactividad vacía"&amp;" · ","")&amp;IF(D97="","Sin responsable"&amp;" · ","")&amp;IF(E97="","Sin fecha de inicio"&amp;" · ","")&amp;IF(F97="","Sin fecha límite"&amp;" · ","")&amp;IF(OR(AND(E97&lt;&gt;"",NOT(ISNUMBER(E97))),AND(F97&lt;&gt;"",NOT(ISNUMBER(F97)))),"Fecha no válida"&amp;" · ","")&amp;IF(AND(ISNUMBER(E97),ISNUMBER(F97),E97&gt;F97),"Inicio posterior a fecha límite"&amp;" · ","")&amp;IF(G97="","Peso vacío"&amp;" · ","")&amp;IF(AND(G97&lt;&gt;"",OR(NOT(ISNUMBER(G97)),G97&lt;=0,G97&gt;1)),"Peso fuera de rango"&amp;" · ","")&amp;IF(ABS(SUM($G$5:$G$1000)-1)&gt;0.0001,"Pesos del puesto suman "&amp;TEXT(SUM($G$5:$G$1000),"0%")&amp;" · ","")&amp;IF((COUNTIF(H97:K97,"&gt;1")+COUNTIF(H97:K97,"&lt;0")+COUNTA(H97:K97)-COUNT(H97:K97))&gt;0,"Avance fuera de rango 0-100%"&amp;" · ","")&amp;IF(OR(AND(I97&lt;&gt;"",I97&lt;H97),AND(J97&lt;&gt;"",J97&lt;MAX(H97:I97)),AND(K97&lt;&gt;"",K97&lt;MAX(H97:J97))),"Avance semanal decreciente"&amp;" · ","")&amp;IF(AND(ISNUMBER(F97),F97&lt;FechaRef,N(L97)&lt;1),"Vencida"&amp;" · ","")&amp;IF(AND(EvidenciaObligatoria="Sí",N(L97)&gt;=1,O97=""),"Completada sin evidencia"&amp;" · ",""))-3)))</f>
        <v/>
      </c>
    </row>
    <row r="98">
      <c r="A98" s="49" t="n"/>
      <c r="B98" s="50">
        <f>IF((COUNTA($A98)+COUNTA($C98:$K98)+COUNTA($N98:$O98))&gt;0,"Asistente Técnico de Riesgo","")</f>
        <v/>
      </c>
      <c r="C98" s="51" t="n"/>
      <c r="D98" s="51" t="n"/>
      <c r="E98" s="52" t="n"/>
      <c r="F98" s="52" t="n"/>
      <c r="G98" s="53" t="n"/>
      <c r="H98" s="54" t="n"/>
      <c r="I98" s="54" t="n"/>
      <c r="J98" s="54" t="n"/>
      <c r="K98" s="54" t="n"/>
      <c r="L98" s="55">
        <f>IF(NOT((COUNTA($A98)+COUNTA($C98:$K98)+COUNTA($N98:$O98))&gt;0),"",IFERROR(LOOKUP(2,1/(H98:K98&lt;&gt;""),H98:K98),0))</f>
        <v/>
      </c>
      <c r="M98" s="56">
        <f>IF(L98="","",IF(L98&gt;=1,"Completado",IF(L98&gt;0,"En curso","Pendiente")))</f>
        <v/>
      </c>
      <c r="N98" s="52" t="n"/>
      <c r="O98" s="51" t="n"/>
      <c r="P98" s="57">
        <f>IF(NOT((COUNTA($A98)+COUNTA($C98:$K98)+COUNTA($N98:$O98))&gt;0),"",IF((IF(A98="","Falta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 OK","⚠ "&amp;LEFT(IF(A98="","Falta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",""),LEN(IF(A98="","Falta ID"&amp;" · ","")&amp;IF(AND(A98&lt;&gt;"",(COUNTIF('Cronograma R. Operacional'!$A$5:$A$1000,A98)+COUNTIF('Cronograma R. Legal y Normativo'!$A$5:$A$1000,A98)+COUNTIF('Cronograma R. Financiero'!$A$5:$A$1000,A98)+COUNTIF('Cronograma Asistente Técnico'!$A$5:$A$1000,A98))&gt;1),"ID duplicado"&amp;" · ","")&amp;IF(C98="","Macroactividad vacía"&amp;" · ","")&amp;IF(D98="","Sin responsable"&amp;" · ","")&amp;IF(E98="","Sin fecha de inicio"&amp;" · ","")&amp;IF(F98="","Sin fecha límite"&amp;" · ","")&amp;IF(OR(AND(E98&lt;&gt;"",NOT(ISNUMBER(E98))),AND(F98&lt;&gt;"",NOT(ISNUMBER(F98)))),"Fecha no válida"&amp;" · ","")&amp;IF(AND(ISNUMBER(E98),ISNUMBER(F98),E98&gt;F98),"Inicio posterior a fecha límite"&amp;" · ","")&amp;IF(G98="","Peso vacío"&amp;" · ","")&amp;IF(AND(G98&lt;&gt;"",OR(NOT(ISNUMBER(G98)),G98&lt;=0,G98&gt;1)),"Peso fuera de rango"&amp;" · ","")&amp;IF(ABS(SUM($G$5:$G$1000)-1)&gt;0.0001,"Pesos del puesto suman "&amp;TEXT(SUM($G$5:$G$1000),"0%")&amp;" · ","")&amp;IF((COUNTIF(H98:K98,"&gt;1")+COUNTIF(H98:K98,"&lt;0")+COUNTA(H98:K98)-COUNT(H98:K98))&gt;0,"Avance fuera de rango 0-100%"&amp;" · ","")&amp;IF(OR(AND(I98&lt;&gt;"",I98&lt;H98),AND(J98&lt;&gt;"",J98&lt;MAX(H98:I98)),AND(K98&lt;&gt;"",K98&lt;MAX(H98:J98))),"Avance semanal decreciente"&amp;" · ","")&amp;IF(AND(ISNUMBER(F98),F98&lt;FechaRef,N(L98)&lt;1),"Vencida"&amp;" · ","")&amp;IF(AND(EvidenciaObligatoria="Sí",N(L98)&gt;=1,O98=""),"Completada sin evidencia"&amp;" · ",""))-3)))</f>
        <v/>
      </c>
    </row>
    <row r="99">
      <c r="A99" s="49" t="n"/>
      <c r="B99" s="50">
        <f>IF((COUNTA($A99)+COUNTA($C99:$K99)+COUNTA($N99:$O99))&gt;0,"Asistente Técnico de Riesgo","")</f>
        <v/>
      </c>
      <c r="C99" s="51" t="n"/>
      <c r="D99" s="51" t="n"/>
      <c r="E99" s="52" t="n"/>
      <c r="F99" s="52" t="n"/>
      <c r="G99" s="53" t="n"/>
      <c r="H99" s="54" t="n"/>
      <c r="I99" s="54" t="n"/>
      <c r="J99" s="54" t="n"/>
      <c r="K99" s="54" t="n"/>
      <c r="L99" s="55">
        <f>IF(NOT((COUNTA($A99)+COUNTA($C99:$K99)+COUNTA($N99:$O99))&gt;0),"",IFERROR(LOOKUP(2,1/(H99:K99&lt;&gt;""),H99:K99),0))</f>
        <v/>
      </c>
      <c r="M99" s="56">
        <f>IF(L99="","",IF(L99&gt;=1,"Completado",IF(L99&gt;0,"En curso","Pendiente")))</f>
        <v/>
      </c>
      <c r="N99" s="52" t="n"/>
      <c r="O99" s="51" t="n"/>
      <c r="P99" s="57">
        <f>IF(NOT((COUNTA($A99)+COUNTA($C99:$K99)+COUNTA($N99:$O99))&gt;0),"",IF((IF(A99="","Falta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 OK","⚠ "&amp;LEFT(IF(A99="","Falta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",""),LEN(IF(A99="","Falta ID"&amp;" · ","")&amp;IF(AND(A99&lt;&gt;"",(COUNTIF('Cronograma R. Operacional'!$A$5:$A$1000,A99)+COUNTIF('Cronograma R. Legal y Normativo'!$A$5:$A$1000,A99)+COUNTIF('Cronograma R. Financiero'!$A$5:$A$1000,A99)+COUNTIF('Cronograma Asistente Técnico'!$A$5:$A$1000,A99))&gt;1),"ID duplicado"&amp;" · ","")&amp;IF(C99="","Macroactividad vacía"&amp;" · ","")&amp;IF(D99="","Sin responsable"&amp;" · ","")&amp;IF(E99="","Sin fecha de inicio"&amp;" · ","")&amp;IF(F99="","Sin fecha límite"&amp;" · ","")&amp;IF(OR(AND(E99&lt;&gt;"",NOT(ISNUMBER(E99))),AND(F99&lt;&gt;"",NOT(ISNUMBER(F99)))),"Fecha no válida"&amp;" · ","")&amp;IF(AND(ISNUMBER(E99),ISNUMBER(F99),E99&gt;F99),"Inicio posterior a fecha límite"&amp;" · ","")&amp;IF(G99="","Peso vacío"&amp;" · ","")&amp;IF(AND(G99&lt;&gt;"",OR(NOT(ISNUMBER(G99)),G99&lt;=0,G99&gt;1)),"Peso fuera de rango"&amp;" · ","")&amp;IF(ABS(SUM($G$5:$G$1000)-1)&gt;0.0001,"Pesos del puesto suman "&amp;TEXT(SUM($G$5:$G$1000),"0%")&amp;" · ","")&amp;IF((COUNTIF(H99:K99,"&gt;1")+COUNTIF(H99:K99,"&lt;0")+COUNTA(H99:K99)-COUNT(H99:K99))&gt;0,"Avance fuera de rango 0-100%"&amp;" · ","")&amp;IF(OR(AND(I99&lt;&gt;"",I99&lt;H99),AND(J99&lt;&gt;"",J99&lt;MAX(H99:I99)),AND(K99&lt;&gt;"",K99&lt;MAX(H99:J99))),"Avance semanal decreciente"&amp;" · ","")&amp;IF(AND(ISNUMBER(F99),F99&lt;FechaRef,N(L99)&lt;1),"Vencida"&amp;" · ","")&amp;IF(AND(EvidenciaObligatoria="Sí",N(L99)&gt;=1,O99=""),"Completada sin evidencia"&amp;" · ",""))-3)))</f>
        <v/>
      </c>
    </row>
    <row r="100">
      <c r="A100" s="49" t="n"/>
      <c r="B100" s="50">
        <f>IF((COUNTA($A100)+COUNTA($C100:$K100)+COUNTA($N100:$O100))&gt;0,"Asistente Técnico de Riesgo","")</f>
        <v/>
      </c>
      <c r="C100" s="51" t="n"/>
      <c r="D100" s="51" t="n"/>
      <c r="E100" s="52" t="n"/>
      <c r="F100" s="52" t="n"/>
      <c r="G100" s="53" t="n"/>
      <c r="H100" s="54" t="n"/>
      <c r="I100" s="54" t="n"/>
      <c r="J100" s="54" t="n"/>
      <c r="K100" s="54" t="n"/>
      <c r="L100" s="55">
        <f>IF(NOT((COUNTA($A100)+COUNTA($C100:$K100)+COUNTA($N100:$O100))&gt;0),"",IFERROR(LOOKUP(2,1/(H100:K100&lt;&gt;""),H100:K100),0))</f>
        <v/>
      </c>
      <c r="M100" s="56">
        <f>IF(L100="","",IF(L100&gt;=1,"Completado",IF(L100&gt;0,"En curso","Pendiente")))</f>
        <v/>
      </c>
      <c r="N100" s="52" t="n"/>
      <c r="O100" s="51" t="n"/>
      <c r="P100" s="57">
        <f>IF(NOT((COUNTA($A100)+COUNTA($C100:$K100)+COUNTA($N100:$O100))&gt;0),"",IF((IF(A100="","Falta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 OK","⚠ "&amp;LEFT(IF(A100="","Falta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",""),LEN(IF(A100="","Falta ID"&amp;" · ","")&amp;IF(AND(A100&lt;&gt;"",(COUNTIF('Cronograma R. Operacional'!$A$5:$A$1000,A100)+COUNTIF('Cronograma R. Legal y Normativo'!$A$5:$A$1000,A100)+COUNTIF('Cronograma R. Financiero'!$A$5:$A$1000,A100)+COUNTIF('Cronograma Asistente Técnico'!$A$5:$A$1000,A100))&gt;1),"ID duplicado"&amp;" · ","")&amp;IF(C100="","Macroactividad vacía"&amp;" · ","")&amp;IF(D100="","Sin responsable"&amp;" · ","")&amp;IF(E100="","Sin fecha de inicio"&amp;" · ","")&amp;IF(F100="","Sin fecha límite"&amp;" · ","")&amp;IF(OR(AND(E100&lt;&gt;"",NOT(ISNUMBER(E100))),AND(F100&lt;&gt;"",NOT(ISNUMBER(F100)))),"Fecha no válida"&amp;" · ","")&amp;IF(AND(ISNUMBER(E100),ISNUMBER(F100),E100&gt;F100),"Inicio posterior a fecha límite"&amp;" · ","")&amp;IF(G100="","Peso vacío"&amp;" · ","")&amp;IF(AND(G100&lt;&gt;"",OR(NOT(ISNUMBER(G100)),G100&lt;=0,G100&gt;1)),"Peso fuera de rango"&amp;" · ","")&amp;IF(ABS(SUM($G$5:$G$1000)-1)&gt;0.0001,"Pesos del puesto suman "&amp;TEXT(SUM($G$5:$G$1000),"0%")&amp;" · ","")&amp;IF((COUNTIF(H100:K100,"&gt;1")+COUNTIF(H100:K100,"&lt;0")+COUNTA(H100:K100)-COUNT(H100:K100))&gt;0,"Avance fuera de rango 0-100%"&amp;" · ","")&amp;IF(OR(AND(I100&lt;&gt;"",I100&lt;H100),AND(J100&lt;&gt;"",J100&lt;MAX(H100:I100)),AND(K100&lt;&gt;"",K100&lt;MAX(H100:J100))),"Avance semanal decreciente"&amp;" · ","")&amp;IF(AND(ISNUMBER(F100),F100&lt;FechaRef,N(L100)&lt;1),"Vencida"&amp;" · ","")&amp;IF(AND(EvidenciaObligatoria="Sí",N(L100)&gt;=1,O100=""),"Completada sin evidencia"&amp;" · ",""))-3)))</f>
        <v/>
      </c>
    </row>
    <row r="101">
      <c r="A101" s="49" t="n"/>
      <c r="B101" s="50">
        <f>IF((COUNTA($A101)+COUNTA($C101:$K101)+COUNTA($N101:$O101))&gt;0,"Asistente Técnico de Riesgo","")</f>
        <v/>
      </c>
      <c r="C101" s="51" t="n"/>
      <c r="D101" s="51" t="n"/>
      <c r="E101" s="52" t="n"/>
      <c r="F101" s="52" t="n"/>
      <c r="G101" s="53" t="n"/>
      <c r="H101" s="54" t="n"/>
      <c r="I101" s="54" t="n"/>
      <c r="J101" s="54" t="n"/>
      <c r="K101" s="54" t="n"/>
      <c r="L101" s="55">
        <f>IF(NOT((COUNTA($A101)+COUNTA($C101:$K101)+COUNTA($N101:$O101))&gt;0),"",IFERROR(LOOKUP(2,1/(H101:K101&lt;&gt;""),H101:K101),0))</f>
        <v/>
      </c>
      <c r="M101" s="56">
        <f>IF(L101="","",IF(L101&gt;=1,"Completado",IF(L101&gt;0,"En curso","Pendiente")))</f>
        <v/>
      </c>
      <c r="N101" s="52" t="n"/>
      <c r="O101" s="51" t="n"/>
      <c r="P101" s="57">
        <f>IF(NOT((COUNTA($A101)+COUNTA($C101:$K101)+COUNTA($N101:$O101))&gt;0),"",IF((IF(A101="","Falta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 OK","⚠ "&amp;LEFT(IF(A101="","Falta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",""),LEN(IF(A101="","Falta ID"&amp;" · ","")&amp;IF(AND(A101&lt;&gt;"",(COUNTIF('Cronograma R. Operacional'!$A$5:$A$1000,A101)+COUNTIF('Cronograma R. Legal y Normativo'!$A$5:$A$1000,A101)+COUNTIF('Cronograma R. Financiero'!$A$5:$A$1000,A101)+COUNTIF('Cronograma Asistente Técnico'!$A$5:$A$1000,A101))&gt;1),"ID duplicado"&amp;" · ","")&amp;IF(C101="","Macroactividad vacía"&amp;" · ","")&amp;IF(D101="","Sin responsable"&amp;" · ","")&amp;IF(E101="","Sin fecha de inicio"&amp;" · ","")&amp;IF(F101="","Sin fecha límite"&amp;" · ","")&amp;IF(OR(AND(E101&lt;&gt;"",NOT(ISNUMBER(E101))),AND(F101&lt;&gt;"",NOT(ISNUMBER(F101)))),"Fecha no válida"&amp;" · ","")&amp;IF(AND(ISNUMBER(E101),ISNUMBER(F101),E101&gt;F101),"Inicio posterior a fecha límite"&amp;" · ","")&amp;IF(G101="","Peso vacío"&amp;" · ","")&amp;IF(AND(G101&lt;&gt;"",OR(NOT(ISNUMBER(G101)),G101&lt;=0,G101&gt;1)),"Peso fuera de rango"&amp;" · ","")&amp;IF(ABS(SUM($G$5:$G$1000)-1)&gt;0.0001,"Pesos del puesto suman "&amp;TEXT(SUM($G$5:$G$1000),"0%")&amp;" · ","")&amp;IF((COUNTIF(H101:K101,"&gt;1")+COUNTIF(H101:K101,"&lt;0")+COUNTA(H101:K101)-COUNT(H101:K101))&gt;0,"Avance fuera de rango 0-100%"&amp;" · ","")&amp;IF(OR(AND(I101&lt;&gt;"",I101&lt;H101),AND(J101&lt;&gt;"",J101&lt;MAX(H101:I101)),AND(K101&lt;&gt;"",K101&lt;MAX(H101:J101))),"Avance semanal decreciente"&amp;" · ","")&amp;IF(AND(ISNUMBER(F101),F101&lt;FechaRef,N(L101)&lt;1),"Vencida"&amp;" · ","")&amp;IF(AND(EvidenciaObligatoria="Sí",N(L101)&gt;=1,O101=""),"Completada sin evidencia"&amp;" · ",""))-3)))</f>
        <v/>
      </c>
    </row>
    <row r="102">
      <c r="A102" s="49" t="n"/>
      <c r="B102" s="50">
        <f>IF((COUNTA($A102)+COUNTA($C102:$K102)+COUNTA($N102:$O102))&gt;0,"Asistente Técnico de Riesgo","")</f>
        <v/>
      </c>
      <c r="C102" s="51" t="n"/>
      <c r="D102" s="51" t="n"/>
      <c r="E102" s="52" t="n"/>
      <c r="F102" s="52" t="n"/>
      <c r="G102" s="53" t="n"/>
      <c r="H102" s="54" t="n"/>
      <c r="I102" s="54" t="n"/>
      <c r="J102" s="54" t="n"/>
      <c r="K102" s="54" t="n"/>
      <c r="L102" s="55">
        <f>IF(NOT((COUNTA($A102)+COUNTA($C102:$K102)+COUNTA($N102:$O102))&gt;0),"",IFERROR(LOOKUP(2,1/(H102:K102&lt;&gt;""),H102:K102),0))</f>
        <v/>
      </c>
      <c r="M102" s="56">
        <f>IF(L102="","",IF(L102&gt;=1,"Completado",IF(L102&gt;0,"En curso","Pendiente")))</f>
        <v/>
      </c>
      <c r="N102" s="52" t="n"/>
      <c r="O102" s="51" t="n"/>
      <c r="P102" s="57">
        <f>IF(NOT((COUNTA($A102)+COUNTA($C102:$K102)+COUNTA($N102:$O102))&gt;0),"",IF((IF(A102="","Falta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 OK","⚠ "&amp;LEFT(IF(A102="","Falta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",""),LEN(IF(A102="","Falta ID"&amp;" · ","")&amp;IF(AND(A102&lt;&gt;"",(COUNTIF('Cronograma R. Operacional'!$A$5:$A$1000,A102)+COUNTIF('Cronograma R. Legal y Normativo'!$A$5:$A$1000,A102)+COUNTIF('Cronograma R. Financiero'!$A$5:$A$1000,A102)+COUNTIF('Cronograma Asistente Técnico'!$A$5:$A$1000,A102))&gt;1),"ID duplicado"&amp;" · ","")&amp;IF(C102="","Macroactividad vacía"&amp;" · ","")&amp;IF(D102="","Sin responsable"&amp;" · ","")&amp;IF(E102="","Sin fecha de inicio"&amp;" · ","")&amp;IF(F102="","Sin fecha límite"&amp;" · ","")&amp;IF(OR(AND(E102&lt;&gt;"",NOT(ISNUMBER(E102))),AND(F102&lt;&gt;"",NOT(ISNUMBER(F102)))),"Fecha no válida"&amp;" · ","")&amp;IF(AND(ISNUMBER(E102),ISNUMBER(F102),E102&gt;F102),"Inicio posterior a fecha límite"&amp;" · ","")&amp;IF(G102="","Peso vacío"&amp;" · ","")&amp;IF(AND(G102&lt;&gt;"",OR(NOT(ISNUMBER(G102)),G102&lt;=0,G102&gt;1)),"Peso fuera de rango"&amp;" · ","")&amp;IF(ABS(SUM($G$5:$G$1000)-1)&gt;0.0001,"Pesos del puesto suman "&amp;TEXT(SUM($G$5:$G$1000),"0%")&amp;" · ","")&amp;IF((COUNTIF(H102:K102,"&gt;1")+COUNTIF(H102:K102,"&lt;0")+COUNTA(H102:K102)-COUNT(H102:K102))&gt;0,"Avance fuera de rango 0-100%"&amp;" · ","")&amp;IF(OR(AND(I102&lt;&gt;"",I102&lt;H102),AND(J102&lt;&gt;"",J102&lt;MAX(H102:I102)),AND(K102&lt;&gt;"",K102&lt;MAX(H102:J102))),"Avance semanal decreciente"&amp;" · ","")&amp;IF(AND(ISNUMBER(F102),F102&lt;FechaRef,N(L102)&lt;1),"Vencida"&amp;" · ","")&amp;IF(AND(EvidenciaObligatoria="Sí",N(L102)&gt;=1,O102=""),"Completada sin evidencia"&amp;" · ",""))-3)))</f>
        <v/>
      </c>
    </row>
    <row r="103">
      <c r="A103" s="49" t="n"/>
      <c r="B103" s="50">
        <f>IF((COUNTA($A103)+COUNTA($C103:$K103)+COUNTA($N103:$O103))&gt;0,"Asistente Técnico de Riesgo","")</f>
        <v/>
      </c>
      <c r="C103" s="51" t="n"/>
      <c r="D103" s="51" t="n"/>
      <c r="E103" s="52" t="n"/>
      <c r="F103" s="52" t="n"/>
      <c r="G103" s="53" t="n"/>
      <c r="H103" s="54" t="n"/>
      <c r="I103" s="54" t="n"/>
      <c r="J103" s="54" t="n"/>
      <c r="K103" s="54" t="n"/>
      <c r="L103" s="55">
        <f>IF(NOT((COUNTA($A103)+COUNTA($C103:$K103)+COUNTA($N103:$O103))&gt;0),"",IFERROR(LOOKUP(2,1/(H103:K103&lt;&gt;""),H103:K103),0))</f>
        <v/>
      </c>
      <c r="M103" s="56">
        <f>IF(L103="","",IF(L103&gt;=1,"Completado",IF(L103&gt;0,"En curso","Pendiente")))</f>
        <v/>
      </c>
      <c r="N103" s="52" t="n"/>
      <c r="O103" s="51" t="n"/>
      <c r="P103" s="57">
        <f>IF(NOT((COUNTA($A103)+COUNTA($C103:$K103)+COUNTA($N103:$O103))&gt;0),"",IF((IF(A103="","Falta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 OK","⚠ "&amp;LEFT(IF(A103="","Falta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",""),LEN(IF(A103="","Falta ID"&amp;" · ","")&amp;IF(AND(A103&lt;&gt;"",(COUNTIF('Cronograma R. Operacional'!$A$5:$A$1000,A103)+COUNTIF('Cronograma R. Legal y Normativo'!$A$5:$A$1000,A103)+COUNTIF('Cronograma R. Financiero'!$A$5:$A$1000,A103)+COUNTIF('Cronograma Asistente Técnico'!$A$5:$A$1000,A103))&gt;1),"ID duplicado"&amp;" · ","")&amp;IF(C103="","Macroactividad vacía"&amp;" · ","")&amp;IF(D103="","Sin responsable"&amp;" · ","")&amp;IF(E103="","Sin fecha de inicio"&amp;" · ","")&amp;IF(F103="","Sin fecha límite"&amp;" · ","")&amp;IF(OR(AND(E103&lt;&gt;"",NOT(ISNUMBER(E103))),AND(F103&lt;&gt;"",NOT(ISNUMBER(F103)))),"Fecha no válida"&amp;" · ","")&amp;IF(AND(ISNUMBER(E103),ISNUMBER(F103),E103&gt;F103),"Inicio posterior a fecha límite"&amp;" · ","")&amp;IF(G103="","Peso vacío"&amp;" · ","")&amp;IF(AND(G103&lt;&gt;"",OR(NOT(ISNUMBER(G103)),G103&lt;=0,G103&gt;1)),"Peso fuera de rango"&amp;" · ","")&amp;IF(ABS(SUM($G$5:$G$1000)-1)&gt;0.0001,"Pesos del puesto suman "&amp;TEXT(SUM($G$5:$G$1000),"0%")&amp;" · ","")&amp;IF((COUNTIF(H103:K103,"&gt;1")+COUNTIF(H103:K103,"&lt;0")+COUNTA(H103:K103)-COUNT(H103:K103))&gt;0,"Avance fuera de rango 0-100%"&amp;" · ","")&amp;IF(OR(AND(I103&lt;&gt;"",I103&lt;H103),AND(J103&lt;&gt;"",J103&lt;MAX(H103:I103)),AND(K103&lt;&gt;"",K103&lt;MAX(H103:J103))),"Avance semanal decreciente"&amp;" · ","")&amp;IF(AND(ISNUMBER(F103),F103&lt;FechaRef,N(L103)&lt;1),"Vencida"&amp;" · ","")&amp;IF(AND(EvidenciaObligatoria="Sí",N(L103)&gt;=1,O103=""),"Completada sin evidencia"&amp;" · ",""))-3)))</f>
        <v/>
      </c>
    </row>
    <row r="104">
      <c r="A104" s="49" t="n"/>
      <c r="B104" s="50">
        <f>IF((COUNTA($A104)+COUNTA($C104:$K104)+COUNTA($N104:$O104))&gt;0,"Asistente Técnico de Riesgo","")</f>
        <v/>
      </c>
      <c r="C104" s="51" t="n"/>
      <c r="D104" s="51" t="n"/>
      <c r="E104" s="52" t="n"/>
      <c r="F104" s="52" t="n"/>
      <c r="G104" s="53" t="n"/>
      <c r="H104" s="54" t="n"/>
      <c r="I104" s="54" t="n"/>
      <c r="J104" s="54" t="n"/>
      <c r="K104" s="54" t="n"/>
      <c r="L104" s="55">
        <f>IF(NOT((COUNTA($A104)+COUNTA($C104:$K104)+COUNTA($N104:$O104))&gt;0),"",IFERROR(LOOKUP(2,1/(H104:K104&lt;&gt;""),H104:K104),0))</f>
        <v/>
      </c>
      <c r="M104" s="56">
        <f>IF(L104="","",IF(L104&gt;=1,"Completado",IF(L104&gt;0,"En curso","Pendiente")))</f>
        <v/>
      </c>
      <c r="N104" s="52" t="n"/>
      <c r="O104" s="51" t="n"/>
      <c r="P104" s="57">
        <f>IF(NOT((COUNTA($A104)+COUNTA($C104:$K104)+COUNTA($N104:$O104))&gt;0),"",IF((IF(A104="","Falta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 OK","⚠ "&amp;LEFT(IF(A104="","Falta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",""),LEN(IF(A104="","Falta ID"&amp;" · ","")&amp;IF(AND(A104&lt;&gt;"",(COUNTIF('Cronograma R. Operacional'!$A$5:$A$1000,A104)+COUNTIF('Cronograma R. Legal y Normativo'!$A$5:$A$1000,A104)+COUNTIF('Cronograma R. Financiero'!$A$5:$A$1000,A104)+COUNTIF('Cronograma Asistente Técnico'!$A$5:$A$1000,A104))&gt;1),"ID duplicado"&amp;" · ","")&amp;IF(C104="","Macroactividad vacía"&amp;" · ","")&amp;IF(D104="","Sin responsable"&amp;" · ","")&amp;IF(E104="","Sin fecha de inicio"&amp;" · ","")&amp;IF(F104="","Sin fecha límite"&amp;" · ","")&amp;IF(OR(AND(E104&lt;&gt;"",NOT(ISNUMBER(E104))),AND(F104&lt;&gt;"",NOT(ISNUMBER(F104)))),"Fecha no válida"&amp;" · ","")&amp;IF(AND(ISNUMBER(E104),ISNUMBER(F104),E104&gt;F104),"Inicio posterior a fecha límite"&amp;" · ","")&amp;IF(G104="","Peso vacío"&amp;" · ","")&amp;IF(AND(G104&lt;&gt;"",OR(NOT(ISNUMBER(G104)),G104&lt;=0,G104&gt;1)),"Peso fuera de rango"&amp;" · ","")&amp;IF(ABS(SUM($G$5:$G$1000)-1)&gt;0.0001,"Pesos del puesto suman "&amp;TEXT(SUM($G$5:$G$1000),"0%")&amp;" · ","")&amp;IF((COUNTIF(H104:K104,"&gt;1")+COUNTIF(H104:K104,"&lt;0")+COUNTA(H104:K104)-COUNT(H104:K104))&gt;0,"Avance fuera de rango 0-100%"&amp;" · ","")&amp;IF(OR(AND(I104&lt;&gt;"",I104&lt;H104),AND(J104&lt;&gt;"",J104&lt;MAX(H104:I104)),AND(K104&lt;&gt;"",K104&lt;MAX(H104:J104))),"Avance semanal decreciente"&amp;" · ","")&amp;IF(AND(ISNUMBER(F104),F104&lt;FechaRef,N(L104)&lt;1),"Vencida"&amp;" · ","")&amp;IF(AND(EvidenciaObligatoria="Sí",N(L104)&gt;=1,O104=""),"Completada sin evidencia"&amp;" · ",""))-3)))</f>
        <v/>
      </c>
    </row>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conditionalFormatting sqref="E3">
    <cfRule type="expression" priority="1" dxfId="1">
      <formula>LEFT($E$3,1)="⚠"</formula>
    </cfRule>
    <cfRule type="expression" priority="2" dxfId="0">
      <formula>LEFT($E$3,1)="✔"</formula>
    </cfRule>
  </conditionalFormatting>
  <conditionalFormatting sqref="M5:M1000">
    <cfRule type="expression" priority="3" dxfId="0">
      <formula>$M5="Completado"</formula>
    </cfRule>
    <cfRule type="expression" priority="4" dxfId="4">
      <formula>$M5="En curso"</formula>
    </cfRule>
    <cfRule type="expression" priority="5" dxfId="5">
      <formula>$M5="Pendiente"</formula>
    </cfRule>
  </conditionalFormatting>
  <conditionalFormatting sqref="L5:L1000">
    <cfRule type="expression" priority="6" dxfId="0">
      <formula>AND(ISNUMBER($L5),$L5&gt;=1)</formula>
    </cfRule>
    <cfRule type="dataBar" priority="7">
      <dataBar showValue="1">
        <cfvo type="num" val="0"/>
        <cfvo type="num" val="1"/>
        <color rgb="005B9BD5"/>
      </dataBar>
    </cfRule>
  </conditionalFormatting>
  <conditionalFormatting sqref="F5:F1000">
    <cfRule type="expression" priority="8" dxfId="6" stopIfTrue="1">
      <formula>AND(ISNUMBER($F5),$F5&lt;FechaRef,N($L5)&lt;1)</formula>
    </cfRule>
    <cfRule type="expression" priority="9" dxfId="7">
      <formula>AND(ISNUMBER($F5),$F5&gt;=FechaRef,$F5-FechaRef&lt;=DiasAlerta,N($L5)&lt;1)</formula>
    </cfRule>
  </conditionalFormatting>
  <conditionalFormatting sqref="A5:A1000">
    <cfRule type="expression" priority="10" dxfId="6" stopIfTrue="1">
      <formula>AND($A5&lt;&gt;"",(COUNTIF('Cronograma R. Operacional'!$A$5:$A$1000,$A5)+COUNTIF('Cronograma R. Legal y Normativo'!$A$5:$A$1000,$A5)+COUNTIF('Cronograma R. Financiero'!$A$5:$A$1000,$A5)+COUNTIF('Cronograma Asistente Técnico'!$A$5:$A$1000,$A5))&gt;1)</formula>
    </cfRule>
    <cfRule type="expression" priority="11" dxfId="5">
      <formula>AND((COUNTA($A5)+COUNTA($C5:$K5)+COUNTA($N5:$O5))&gt;0,A5="")</formula>
    </cfRule>
  </conditionalFormatting>
  <conditionalFormatting sqref="C5:G1000">
    <cfRule type="expression" priority="12" dxfId="5">
      <formula>AND((COUNTA($A5)+COUNTA($C5:$K5)+COUNTA($N5:$O5))&gt;0,C5="")</formula>
    </cfRule>
  </conditionalFormatting>
  <conditionalFormatting sqref="E5:F1000">
    <cfRule type="expression" priority="13" dxfId="6">
      <formula>AND(ISNUMBER($E5),ISNUMBER($F5),$E5&gt;$F5)</formula>
    </cfRule>
  </conditionalFormatting>
  <conditionalFormatting sqref="G5:G1000">
    <cfRule type="expression" priority="14" dxfId="7">
      <formula>AND((COUNTA($A5)+COUNTA($C5:$K5)+COUNTA($N5:$O5))&gt;0,ABS(SUM($G$5:$G$1000)-1)&gt;0.0001)</formula>
    </cfRule>
  </conditionalFormatting>
  <conditionalFormatting sqref="H5:K1000">
    <cfRule type="expression" priority="15" dxfId="5" stopIfTrue="1">
      <formula>AND(H5&lt;&gt;"",OR(NOT(ISNUMBER(H5)),H5&gt;1,H5&lt;0))</formula>
    </cfRule>
  </conditionalFormatting>
  <conditionalFormatting sqref="I5:K1000">
    <cfRule type="expression" priority="16" dxfId="6">
      <formula>AND(I5&lt;&gt;"",I5&lt;MAX($H5:H5))</formula>
    </cfRule>
  </conditionalFormatting>
  <conditionalFormatting sqref="O5:O1000">
    <cfRule type="expression" priority="17" dxfId="5">
      <formula>AND(EvidenciaObligatoria="Sí",N($L5)&gt;=1,$O5="")</formula>
    </cfRule>
  </conditionalFormatting>
  <conditionalFormatting sqref="P5:P1000">
    <cfRule type="expression" priority="18" dxfId="5">
      <formula>LEFT($P5,1)="⚠"</formula>
    </cfRule>
    <cfRule type="expression" priority="19" dxfId="8">
      <formula>LEFT($P5,1)="✔"</formula>
    </cfRule>
  </conditionalFormatting>
  <dataValidations count="4">
    <dataValidation sqref="E5:E1000 F5:F1000 N5:N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Peso no válido" error="Ingrese un porcentaje entre 0% y 100% (por ejemplo 25%)." promptTitle="Peso de actividad" prompt="Peso relativo dentro del puesto. La suma de esta hoja debe ser 100%." type="decimal" operator="between">
      <formula1>0</formula1>
      <formula2>1</formula2>
    </dataValidation>
    <dataValidation sqref="H5:K1000" showDropDown="0" showInputMessage="1" showErrorMessage="1" allowBlank="1" errorTitle="Avance no válido" error="Ingrese un porcentaje entre 0% y 100%. Deje la celda vacía si la semana no se ha actualizado." promptTitle="Avance acumulado" prompt="% ACUMULADO al cierre de la semana (no el incremento)." type="decimal" operator="between">
      <formula1>0</formula1>
      <formula2>1</formula2>
    </dataValidation>
    <dataValidation sqref="M5:M1000" showDropDown="0" showInputMessage="1" showErrorMessage="1" allowBlank="1" promptTitle="Estado automático" prompt="Se calcula a partir del % de avance. No se edita manualmente." type="list">
      <formula1>ListaEstados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C55A11"/>
    <outlinePr summaryBelow="1" summaryRight="1"/>
    <pageSetUpPr fitToPage="1"/>
  </sheetPr>
  <dimension ref="A1:K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3" customWidth="1" min="3" max="3"/>
    <col width="24" customWidth="1" min="4" max="4"/>
    <col width="48" customWidth="1" min="5" max="5"/>
    <col width="52" customWidth="1" min="6" max="6"/>
    <col width="18" customWidth="1" min="7" max="7"/>
    <col width="13" customWidth="1" min="8" max="8"/>
    <col width="14" customWidth="1" min="9" max="9"/>
    <col width="30" customWidth="1" min="10" max="10"/>
    <col width="34" customWidth="1" min="11" max="11"/>
  </cols>
  <sheetData>
    <row r="1" ht="28" customHeight="1">
      <c r="A1" s="41" t="inlineStr">
        <is>
          <t>Línea de Tiempo – Hitos y entregables – Asistente Técnico de Riesgo</t>
        </is>
      </c>
      <c r="B1" s="41" t="n"/>
      <c r="C1" s="41" t="n"/>
      <c r="D1" s="41" t="n"/>
      <c r="E1" s="41" t="n"/>
      <c r="F1" s="41" t="n"/>
      <c r="G1" s="41" t="n"/>
      <c r="H1" s="41" t="n"/>
      <c r="I1" s="41" t="n"/>
      <c r="J1" s="41" t="n"/>
      <c r="K1" s="41" t="n"/>
    </row>
    <row r="2" ht="32" customHeight="1">
      <c r="A2" s="58" t="inlineStr">
        <is>
          <t>Hoja exclusiva de Asistente Técnico de Riesgo. PROPUESTA INICIAL EDITABLE, sujeta a validación del responsable del puesto; no constituye una obligación institucional aprobada. Puede modificar o agregar hitos (ID, semana, entregable, criterio). Semana 1: diagnóstico y planificación · Semana 2: desarrollo y documentación · Semana 3: validación, análisis y propuestas · Semana 4: cierre y presentación ejecutiva.</t>
        </is>
      </c>
      <c r="B2" s="58" t="n"/>
      <c r="C2" s="58" t="n"/>
      <c r="D2" s="58" t="n"/>
      <c r="E2" s="58" t="n"/>
      <c r="F2" s="58" t="n"/>
      <c r="G2" s="58" t="n"/>
      <c r="H2" s="58" t="n"/>
      <c r="I2" s="58" t="n"/>
      <c r="J2" s="58" t="n"/>
      <c r="K2" s="58" t="n"/>
    </row>
    <row r="3">
      <c r="A3" s="43" t="inlineStr">
        <is>
          <t>Entrada</t>
        </is>
      </c>
      <c r="B3" s="44" t="inlineStr">
        <is>
          <t>Cálculo</t>
        </is>
      </c>
      <c r="C3" s="59" t="inlineStr">
        <is>
          <t>Fecha objetivo propuesta = viernes de la semana según «Fecha de inicio del ciclo» (Configuración); puede escribir otra fecha encima.</t>
        </is>
      </c>
    </row>
    <row r="4" ht="34" customHeight="1">
      <c r="A4" s="48" t="inlineStr">
        <is>
          <t>ID Hito</t>
        </is>
      </c>
      <c r="B4" s="48" t="inlineStr">
        <is>
          <t>Semana</t>
        </is>
      </c>
      <c r="C4" s="48" t="inlineStr">
        <is>
          <t>Fecha objetivo</t>
        </is>
      </c>
      <c r="D4" s="6" t="inlineStr">
        <is>
          <t>Área / Puesto</t>
        </is>
      </c>
      <c r="E4" s="48" t="inlineStr">
        <is>
          <t>Entregable / Hito</t>
        </is>
      </c>
      <c r="F4" s="48" t="inlineStr">
        <is>
          <t>Criterio de aceptación</t>
        </is>
      </c>
      <c r="G4" s="48" t="inlineStr">
        <is>
          <t>Responsable</t>
        </is>
      </c>
      <c r="H4" s="48" t="inlineStr">
        <is>
          <t>Estado</t>
        </is>
      </c>
      <c r="I4" s="48" t="inlineStr">
        <is>
          <t>Fecha real de cumplimiento</t>
        </is>
      </c>
      <c r="J4" s="48" t="inlineStr">
        <is>
          <t>Evidencia / Enlace</t>
        </is>
      </c>
      <c r="K4" s="48" t="inlineStr">
        <is>
          <t>Observaciones</t>
        </is>
      </c>
    </row>
    <row r="5" ht="45" customHeight="1">
      <c r="A5" s="49" t="inlineStr">
        <is>
          <t>H-ATR-01</t>
        </is>
      </c>
      <c r="B5" s="49" t="inlineStr">
        <is>
          <t>Semana 1</t>
        </is>
      </c>
      <c r="C5" s="52">
        <f>IF(OR(InicioCiclo="",$B5=""),"",InicioCiclo+7*VALUE(RIGHT($B5,1))-3)</f>
        <v/>
      </c>
      <c r="D5" s="50">
        <f>IF((COUNTA($A5,$B5)+COUNTA($E5:$K5))&gt;0,"Asistente Técnico de Riesgo","")</f>
        <v/>
      </c>
      <c r="E5" s="51" t="inlineStr">
        <is>
          <t>Plan de trabajo consolidado del área y estructura del repositorio de evidencias</t>
        </is>
      </c>
      <c r="F5" s="51" t="inlineStr">
        <is>
          <t>Actividades de los cuatro puestos registradas en el cronograma con pesos que suman 100% y repositorio con carpeta por puesto.</t>
        </is>
      </c>
      <c r="G5" s="51" t="inlineStr">
        <is>
          <t>Por asignar</t>
        </is>
      </c>
      <c r="H5" s="49" t="inlineStr">
        <is>
          <t>Pendiente</t>
        </is>
      </c>
      <c r="I5" s="52" t="n"/>
      <c r="J5" s="51" t="n"/>
      <c r="K5" s="51" t="inlineStr">
        <is>
          <t>Propuesta inicial editable – sujeta a validación del responsable.</t>
        </is>
      </c>
    </row>
    <row r="6" ht="45" customHeight="1">
      <c r="A6" s="49" t="inlineStr">
        <is>
          <t>H-ATR-02</t>
        </is>
      </c>
      <c r="B6" s="49" t="inlineStr">
        <is>
          <t>Semana 2</t>
        </is>
      </c>
      <c r="C6" s="52">
        <f>IF(OR(InicioCiclo="",$B6=""),"",InicioCiclo+7*VALUE(RIGHT($B6,1))-3)</f>
        <v/>
      </c>
      <c r="D6" s="50">
        <f>IF((COUNTA($A6,$B6)+COUNTA($E6:$K6))&gt;0,"Asistente Técnico de Riesgo","")</f>
        <v/>
      </c>
      <c r="E6" s="51" t="inlineStr">
        <is>
          <t>Organización de bases de datos y documentación de soporte; primer reporte de seguimiento</t>
        </is>
      </c>
      <c r="F6" s="51" t="inlineStr">
        <is>
          <t>Evidencias de la Semana 1 y 2 enlazadas en el cronograma y reporte de avance semanal emitido.</t>
        </is>
      </c>
      <c r="G6" s="51" t="inlineStr">
        <is>
          <t>Por asignar</t>
        </is>
      </c>
      <c r="H6" s="49" t="inlineStr">
        <is>
          <t>Pendiente</t>
        </is>
      </c>
      <c r="I6" s="52" t="n"/>
      <c r="J6" s="51" t="n"/>
      <c r="K6" s="51" t="inlineStr">
        <is>
          <t>Propuesta inicial editable – sujeta a validación del responsable.</t>
        </is>
      </c>
    </row>
    <row r="7" ht="45" customHeight="1">
      <c r="A7" s="49" t="inlineStr">
        <is>
          <t>H-ATR-03</t>
        </is>
      </c>
      <c r="B7" s="49" t="inlineStr">
        <is>
          <t>Semana 3</t>
        </is>
      </c>
      <c r="C7" s="52">
        <f>IF(OR(InicioCiclo="",$B7=""),"",InicioCiclo+7*VALUE(RIGHT($B7,1))-3)</f>
        <v/>
      </c>
      <c r="D7" s="50">
        <f>IF((COUNTA($A7,$B7)+COUNTA($E7:$K7))&gt;0,"Asistente Técnico de Riesgo","")</f>
        <v/>
      </c>
      <c r="E7" s="51" t="inlineStr">
        <is>
          <t>Control de calidad de entregables y consolidación de la información de los tres puestos</t>
        </is>
      </c>
      <c r="F7" s="51" t="inlineStr">
        <is>
          <t>Lista de verificación de calidad aplicada a cada entregable; Dashboard sin alertas de datos pendientes de corrección.</t>
        </is>
      </c>
      <c r="G7" s="51" t="inlineStr">
        <is>
          <t>Por asignar</t>
        </is>
      </c>
      <c r="H7" s="49" t="inlineStr">
        <is>
          <t>Pendiente</t>
        </is>
      </c>
      <c r="I7" s="52" t="n"/>
      <c r="J7" s="51" t="n"/>
      <c r="K7" s="51" t="inlineStr">
        <is>
          <t>Propuesta inicial editable – sujeta a validación del responsable.</t>
        </is>
      </c>
    </row>
    <row r="8" ht="45" customHeight="1">
      <c r="A8" s="49" t="inlineStr">
        <is>
          <t>H-ATR-04</t>
        </is>
      </c>
      <c r="B8" s="49" t="inlineStr">
        <is>
          <t>Semana 4</t>
        </is>
      </c>
      <c r="C8" s="52">
        <f>IF(OR(InicioCiclo="",$B8=""),"",InicioCiclo+7*VALUE(RIGHT($B8,1))-3)</f>
        <v/>
      </c>
      <c r="D8" s="50">
        <f>IF((COUNTA($A8,$B8)+COUNTA($E8:$K8))&gt;0,"Asistente Técnico de Riesgo","")</f>
        <v/>
      </c>
      <c r="E8" s="51" t="inlineStr">
        <is>
          <t>Consolidación del informe final del área y soporte a la presentación ejecutiva</t>
        </is>
      </c>
      <c r="F8" s="51" t="inlineStr">
        <is>
          <t>Informe consolidado y anexos entregados; todos los hitos con evidencia enlazada y estado actualizado.</t>
        </is>
      </c>
      <c r="G8" s="51" t="inlineStr">
        <is>
          <t>Por asignar</t>
        </is>
      </c>
      <c r="H8" s="49" t="inlineStr">
        <is>
          <t>Pendiente</t>
        </is>
      </c>
      <c r="I8" s="52" t="n"/>
      <c r="J8" s="51" t="n"/>
      <c r="K8" s="51" t="inlineStr">
        <is>
          <t>Propuesta inicial editable – sujeta a validación del responsable.</t>
        </is>
      </c>
    </row>
    <row r="9">
      <c r="A9" s="49" t="n"/>
      <c r="B9" s="49" t="n"/>
      <c r="C9" s="52">
        <f>IF(OR(InicioCiclo="",$B9=""),"",InicioCiclo+7*VALUE(RIGHT($B9,1))-3)</f>
        <v/>
      </c>
      <c r="D9" s="50">
        <f>IF((COUNTA($A9,$B9)+COUNTA($E9:$K9))&gt;0,"Asistente Técnico de Riesgo","")</f>
        <v/>
      </c>
      <c r="E9" s="51" t="n"/>
      <c r="F9" s="51" t="n"/>
      <c r="G9" s="51" t="n"/>
      <c r="H9" s="49" t="n"/>
      <c r="I9" s="52" t="n"/>
      <c r="J9" s="51" t="n"/>
      <c r="K9" s="51" t="n"/>
    </row>
    <row r="10">
      <c r="A10" s="49" t="n"/>
      <c r="B10" s="49" t="n"/>
      <c r="C10" s="52">
        <f>IF(OR(InicioCiclo="",$B10=""),"",InicioCiclo+7*VALUE(RIGHT($B10,1))-3)</f>
        <v/>
      </c>
      <c r="D10" s="50">
        <f>IF((COUNTA($A10,$B10)+COUNTA($E10:$K10))&gt;0,"Asistente Técnico de Riesgo","")</f>
        <v/>
      </c>
      <c r="E10" s="51" t="n"/>
      <c r="F10" s="51" t="n"/>
      <c r="G10" s="51" t="n"/>
      <c r="H10" s="49" t="n"/>
      <c r="I10" s="52" t="n"/>
      <c r="J10" s="51" t="n"/>
      <c r="K10" s="51" t="n"/>
    </row>
    <row r="11">
      <c r="A11" s="49" t="n"/>
      <c r="B11" s="49" t="n"/>
      <c r="C11" s="52">
        <f>IF(OR(InicioCiclo="",$B11=""),"",InicioCiclo+7*VALUE(RIGHT($B11,1))-3)</f>
        <v/>
      </c>
      <c r="D11" s="50">
        <f>IF((COUNTA($A11,$B11)+COUNTA($E11:$K11))&gt;0,"Asistente Técnico de Riesgo","")</f>
        <v/>
      </c>
      <c r="E11" s="51" t="n"/>
      <c r="F11" s="51" t="n"/>
      <c r="G11" s="51" t="n"/>
      <c r="H11" s="49" t="n"/>
      <c r="I11" s="52" t="n"/>
      <c r="J11" s="51" t="n"/>
      <c r="K11" s="51" t="n"/>
    </row>
    <row r="12">
      <c r="A12" s="49" t="n"/>
      <c r="B12" s="49" t="n"/>
      <c r="C12" s="52">
        <f>IF(OR(InicioCiclo="",$B12=""),"",InicioCiclo+7*VALUE(RIGHT($B12,1))-3)</f>
        <v/>
      </c>
      <c r="D12" s="50">
        <f>IF((COUNTA($A12,$B12)+COUNTA($E12:$K12))&gt;0,"Asistente Técnico de Riesgo","")</f>
        <v/>
      </c>
      <c r="E12" s="51" t="n"/>
      <c r="F12" s="51" t="n"/>
      <c r="G12" s="51" t="n"/>
      <c r="H12" s="49" t="n"/>
      <c r="I12" s="52" t="n"/>
      <c r="J12" s="51" t="n"/>
      <c r="K12" s="51" t="n"/>
    </row>
    <row r="13">
      <c r="A13" s="49" t="n"/>
      <c r="B13" s="49" t="n"/>
      <c r="C13" s="52">
        <f>IF(OR(InicioCiclo="",$B13=""),"",InicioCiclo+7*VALUE(RIGHT($B13,1))-3)</f>
        <v/>
      </c>
      <c r="D13" s="50">
        <f>IF((COUNTA($A13,$B13)+COUNTA($E13:$K13))&gt;0,"Asistente Técnico de Riesgo","")</f>
        <v/>
      </c>
      <c r="E13" s="51" t="n"/>
      <c r="F13" s="51" t="n"/>
      <c r="G13" s="51" t="n"/>
      <c r="H13" s="49" t="n"/>
      <c r="I13" s="52" t="n"/>
      <c r="J13" s="51" t="n"/>
      <c r="K13" s="51" t="n"/>
    </row>
    <row r="14">
      <c r="A14" s="49" t="n"/>
      <c r="B14" s="49" t="n"/>
      <c r="C14" s="52">
        <f>IF(OR(InicioCiclo="",$B14=""),"",InicioCiclo+7*VALUE(RIGHT($B14,1))-3)</f>
        <v/>
      </c>
      <c r="D14" s="50">
        <f>IF((COUNTA($A14,$B14)+COUNTA($E14:$K14))&gt;0,"Asistente Técnico de Riesgo","")</f>
        <v/>
      </c>
      <c r="E14" s="51" t="n"/>
      <c r="F14" s="51" t="n"/>
      <c r="G14" s="51" t="n"/>
      <c r="H14" s="49" t="n"/>
      <c r="I14" s="52" t="n"/>
      <c r="J14" s="51" t="n"/>
      <c r="K14" s="51" t="n"/>
    </row>
    <row r="15">
      <c r="A15" s="49" t="n"/>
      <c r="B15" s="49" t="n"/>
      <c r="C15" s="52">
        <f>IF(OR(InicioCiclo="",$B15=""),"",InicioCiclo+7*VALUE(RIGHT($B15,1))-3)</f>
        <v/>
      </c>
      <c r="D15" s="50">
        <f>IF((COUNTA($A15,$B15)+COUNTA($E15:$K15))&gt;0,"Asistente Técnico de Riesgo","")</f>
        <v/>
      </c>
      <c r="E15" s="51" t="n"/>
      <c r="F15" s="51" t="n"/>
      <c r="G15" s="51" t="n"/>
      <c r="H15" s="49" t="n"/>
      <c r="I15" s="52" t="n"/>
      <c r="J15" s="51" t="n"/>
      <c r="K15" s="51" t="n"/>
    </row>
    <row r="16">
      <c r="A16" s="49" t="n"/>
      <c r="B16" s="49" t="n"/>
      <c r="C16" s="52">
        <f>IF(OR(InicioCiclo="",$B16=""),"",InicioCiclo+7*VALUE(RIGHT($B16,1))-3)</f>
        <v/>
      </c>
      <c r="D16" s="50">
        <f>IF((COUNTA($A16,$B16)+COUNTA($E16:$K16))&gt;0,"Asistente Técnico de Riesgo","")</f>
        <v/>
      </c>
      <c r="E16" s="51" t="n"/>
      <c r="F16" s="51" t="n"/>
      <c r="G16" s="51" t="n"/>
      <c r="H16" s="49" t="n"/>
      <c r="I16" s="52" t="n"/>
      <c r="J16" s="51" t="n"/>
      <c r="K16" s="51" t="n"/>
    </row>
    <row r="17">
      <c r="A17" s="49" t="n"/>
      <c r="B17" s="49" t="n"/>
      <c r="C17" s="52">
        <f>IF(OR(InicioCiclo="",$B17=""),"",InicioCiclo+7*VALUE(RIGHT($B17,1))-3)</f>
        <v/>
      </c>
      <c r="D17" s="50">
        <f>IF((COUNTA($A17,$B17)+COUNTA($E17:$K17))&gt;0,"Asistente Técnico de Riesgo","")</f>
        <v/>
      </c>
      <c r="E17" s="51" t="n"/>
      <c r="F17" s="51" t="n"/>
      <c r="G17" s="51" t="n"/>
      <c r="H17" s="49" t="n"/>
      <c r="I17" s="52" t="n"/>
      <c r="J17" s="51" t="n"/>
      <c r="K17" s="51" t="n"/>
    </row>
    <row r="18">
      <c r="A18" s="49" t="n"/>
      <c r="B18" s="49" t="n"/>
      <c r="C18" s="52">
        <f>IF(OR(InicioCiclo="",$B18=""),"",InicioCiclo+7*VALUE(RIGHT($B18,1))-3)</f>
        <v/>
      </c>
      <c r="D18" s="50">
        <f>IF((COUNTA($A18,$B18)+COUNTA($E18:$K18))&gt;0,"Asistente Técnico de Riesgo","")</f>
        <v/>
      </c>
      <c r="E18" s="51" t="n"/>
      <c r="F18" s="51" t="n"/>
      <c r="G18" s="51" t="n"/>
      <c r="H18" s="49" t="n"/>
      <c r="I18" s="52" t="n"/>
      <c r="J18" s="51" t="n"/>
      <c r="K18" s="51" t="n"/>
    </row>
    <row r="19">
      <c r="A19" s="49" t="n"/>
      <c r="B19" s="49" t="n"/>
      <c r="C19" s="52">
        <f>IF(OR(InicioCiclo="",$B19=""),"",InicioCiclo+7*VALUE(RIGHT($B19,1))-3)</f>
        <v/>
      </c>
      <c r="D19" s="50">
        <f>IF((COUNTA($A19,$B19)+COUNTA($E19:$K19))&gt;0,"Asistente Técnico de Riesgo","")</f>
        <v/>
      </c>
      <c r="E19" s="51" t="n"/>
      <c r="F19" s="51" t="n"/>
      <c r="G19" s="51" t="n"/>
      <c r="H19" s="49" t="n"/>
      <c r="I19" s="52" t="n"/>
      <c r="J19" s="51" t="n"/>
      <c r="K19" s="51" t="n"/>
    </row>
    <row r="20">
      <c r="A20" s="49" t="n"/>
      <c r="B20" s="49" t="n"/>
      <c r="C20" s="52">
        <f>IF(OR(InicioCiclo="",$B20=""),"",InicioCiclo+7*VALUE(RIGHT($B20,1))-3)</f>
        <v/>
      </c>
      <c r="D20" s="50">
        <f>IF((COUNTA($A20,$B20)+COUNTA($E20:$K20))&gt;0,"Asistente Técnico de Riesgo","")</f>
        <v/>
      </c>
      <c r="E20" s="51" t="n"/>
      <c r="F20" s="51" t="n"/>
      <c r="G20" s="51" t="n"/>
      <c r="H20" s="49" t="n"/>
      <c r="I20" s="52" t="n"/>
      <c r="J20" s="51" t="n"/>
      <c r="K20" s="51" t="n"/>
    </row>
    <row r="21">
      <c r="A21" s="49" t="n"/>
      <c r="B21" s="49" t="n"/>
      <c r="C21" s="52">
        <f>IF(OR(InicioCiclo="",$B21=""),"",InicioCiclo+7*VALUE(RIGHT($B21,1))-3)</f>
        <v/>
      </c>
      <c r="D21" s="50">
        <f>IF((COUNTA($A21,$B21)+COUNTA($E21:$K21))&gt;0,"Asistente Técnico de Riesgo","")</f>
        <v/>
      </c>
      <c r="E21" s="51" t="n"/>
      <c r="F21" s="51" t="n"/>
      <c r="G21" s="51" t="n"/>
      <c r="H21" s="49" t="n"/>
      <c r="I21" s="52" t="n"/>
      <c r="J21" s="51" t="n"/>
      <c r="K21" s="51" t="n"/>
    </row>
    <row r="22">
      <c r="A22" s="49" t="n"/>
      <c r="B22" s="49" t="n"/>
      <c r="C22" s="52">
        <f>IF(OR(InicioCiclo="",$B22=""),"",InicioCiclo+7*VALUE(RIGHT($B22,1))-3)</f>
        <v/>
      </c>
      <c r="D22" s="50">
        <f>IF((COUNTA($A22,$B22)+COUNTA($E22:$K22))&gt;0,"Asistente Técnico de Riesgo","")</f>
        <v/>
      </c>
      <c r="E22" s="51" t="n"/>
      <c r="F22" s="51" t="n"/>
      <c r="G22" s="51" t="n"/>
      <c r="H22" s="49" t="n"/>
      <c r="I22" s="52" t="n"/>
      <c r="J22" s="51" t="n"/>
      <c r="K22" s="51" t="n"/>
    </row>
    <row r="23">
      <c r="A23" s="49" t="n"/>
      <c r="B23" s="49" t="n"/>
      <c r="C23" s="52">
        <f>IF(OR(InicioCiclo="",$B23=""),"",InicioCiclo+7*VALUE(RIGHT($B23,1))-3)</f>
        <v/>
      </c>
      <c r="D23" s="50">
        <f>IF((COUNTA($A23,$B23)+COUNTA($E23:$K23))&gt;0,"Asistente Técnico de Riesgo","")</f>
        <v/>
      </c>
      <c r="E23" s="51" t="n"/>
      <c r="F23" s="51" t="n"/>
      <c r="G23" s="51" t="n"/>
      <c r="H23" s="49" t="n"/>
      <c r="I23" s="52" t="n"/>
      <c r="J23" s="51" t="n"/>
      <c r="K23" s="51" t="n"/>
    </row>
    <row r="24">
      <c r="A24" s="49" t="n"/>
      <c r="B24" s="49" t="n"/>
      <c r="C24" s="52">
        <f>IF(OR(InicioCiclo="",$B24=""),"",InicioCiclo+7*VALUE(RIGHT($B24,1))-3)</f>
        <v/>
      </c>
      <c r="D24" s="50">
        <f>IF((COUNTA($A24,$B24)+COUNTA($E24:$K24))&gt;0,"Asistente Técnico de Riesgo","")</f>
        <v/>
      </c>
      <c r="E24" s="51" t="n"/>
      <c r="F24" s="51" t="n"/>
      <c r="G24" s="51" t="n"/>
      <c r="H24" s="49" t="n"/>
      <c r="I24" s="52" t="n"/>
      <c r="J24" s="51" t="n"/>
      <c r="K24" s="51" t="n"/>
    </row>
  </sheetData>
  <sheetProtection selectLockedCells="0" selectUnlockedCells="0" sheet="1" objects="0" insertRows="1" insertHyperlinks="1" autoFilter="0" scenarios="0" formatColumns="0" deleteColumns="1" insertColumns="1" pivotTables="1" deleteRows="1" formatCells="1" formatRows="0" sort="0"/>
  <mergeCells count="2">
    <mergeCell ref="A2:K2"/>
    <mergeCell ref="A1:K1"/>
  </mergeCells>
  <conditionalFormatting sqref="H5:H500">
    <cfRule type="expression" priority="1" dxfId="0">
      <formula>$H5="Completado"</formula>
    </cfRule>
    <cfRule type="expression" priority="2" dxfId="4">
      <formula>$H5="En curso"</formula>
    </cfRule>
    <cfRule type="expression" priority="3" dxfId="5">
      <formula>$H5="Pendiente"</formula>
    </cfRule>
  </conditionalFormatting>
  <conditionalFormatting sqref="C5:C500">
    <cfRule type="expression" priority="4" dxfId="6" stopIfTrue="1">
      <formula>AND(ISNUMBER($C5),$C5&lt;FechaRef,$H5&lt;&gt;"Completado")</formula>
    </cfRule>
    <cfRule type="expression" priority="5" dxfId="7">
      <formula>AND(ISNUMBER($C5),$C5&gt;=FechaRef,$C5-FechaRef&lt;=DiasAlerta,$H5&lt;&gt;"Completado")</formula>
    </cfRule>
  </conditionalFormatting>
  <conditionalFormatting sqref="I5:I500">
    <cfRule type="expression" priority="6" dxfId="7">
      <formula>AND(ISNUMBER($I5),ISNUMBER($C5),$I5&gt;$C5)</formula>
    </cfRule>
  </conditionalFormatting>
  <conditionalFormatting sqref="J5:J500">
    <cfRule type="expression" priority="7" dxfId="5">
      <formula>AND($H5="Completado",$J5="")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0" showErrorMessage="1" allowBlank="1" error="Seleccione Pendiente, En curso o Completado." type="list">
      <formula1>ListaEstados</formula1>
    </dataValidation>
    <dataValidation sqref="C5:C500 I5:I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B1:B65"/>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41" t="inlineStr">
        <is>
          <t>Instrucciones de uso, colaboración y protección</t>
        </is>
      </c>
    </row>
    <row r="3" ht="20" customHeight="1">
      <c r="B3" s="60" t="inlineStr">
        <is>
          <t>1. Propósito</t>
        </is>
      </c>
    </row>
    <row r="4" ht="45" customHeight="1">
      <c r="B4" s="61" t="inlineStr">
        <is>
          <t>Administrar el ciclo de cuatro semanas de los puestos Riesgo Operacional, Riesgo Legal y Normativo, Riesgo Financiero y Asistente Técnico de Riesgo: macroactividades, responsables, fechas, pesos, avances semanales, estados, evidencias e hitos. Meta: 100% al cierre de la Semana 4.</t>
        </is>
      </c>
    </row>
    <row r="6" ht="20" customHeight="1">
      <c r="B6" s="60" t="inlineStr">
        <is>
          <t>2. Estructura del libro</t>
        </is>
      </c>
    </row>
    <row r="7" ht="30" customHeight="1">
      <c r="B7" s="61" t="inlineStr">
        <is>
          <t>• Dashboard - Consolidado: indicadores, avance por puesto, seguimiento semanal, control de calidad e hitos. Solo lectura (todo es fórmula).</t>
        </is>
      </c>
    </row>
    <row r="8" ht="45" customHeight="1">
      <c r="B8" s="61" t="inlineStr">
        <is>
          <t>• Una hoja «Cronograma …» por puesto (pestañas de color): Cronograma R. Operacional, Cronograma R. Legal y Normativo, Cronograma R. Financiero y Cronograma Asistente Técnico. Cada responsable llena SOLO la hoja de su puesto (tablas tblAct_RO, tblAct_RLN, tblAct_RF, tblAct_ATR). La columna Área / Puesto se completa sola.</t>
        </is>
      </c>
    </row>
    <row r="9" ht="60" customHeight="1">
      <c r="B9" s="61" t="inlineStr">
        <is>
          <t>• Una hoja «Hitos …» por puesto, junto a su cronograma (tablas tblHitos_RO, tblHitos_RLN, tblHitos_RF, tblHitos_ATR). Cada una trae 4 hitos de PROPUESTA INICIAL EDITABLE (uno por semana), sujetos a validación del responsable. El ID del hito (ej. H-RO-01), la semana, el entregable y el criterio se pueden cambiar libremente, y se pueden agregar más hitos en las filas vacías.</t>
        </is>
      </c>
    </row>
    <row r="10" ht="15" customHeight="1">
      <c r="B10" s="61" t="inlineStr">
        <is>
          <t>• En el Dashboard, el nombre de cada puesto es un enlace a su hoja.</t>
        </is>
      </c>
    </row>
    <row r="11" ht="30" customHeight="1">
      <c r="B11" s="61" t="inlineStr">
        <is>
          <t>• Configuración: semana actual, fecha de corte, fecha de inicio del ciclo, días de alerta, evidencia obligatoria, plan de referencia, listas desplegables y metodología.</t>
        </is>
      </c>
    </row>
    <row r="12" ht="30" customHeight="1">
      <c r="B12" s="61" t="inlineStr">
        <is>
          <t>• Calculos (oculta): cálculos intermedios por puesto. Para verla: clic derecho en una pestaña &gt; Mostrar. No editar.</t>
        </is>
      </c>
    </row>
    <row r="14" ht="20" customHeight="1">
      <c r="B14" s="60" t="inlineStr">
        <is>
          <t>3. Paso a paso</t>
        </is>
      </c>
    </row>
    <row r="15" ht="30" customHeight="1">
      <c r="B15" s="61" t="inlineStr">
        <is>
          <t>1) En Configuración, verifique la Fecha de inicio del ciclo (valor inicial editable) y seleccione la Semana actual (1 a 4).</t>
        </is>
      </c>
    </row>
    <row r="16" ht="45" customHeight="1">
      <c r="B16" s="61" t="inlineStr">
        <is>
          <t>2) En la hoja «Cronograma …» de su puesto registre cada macroactividad en una fila: ID único (ej. RO-01, RLN-01, RF-01, ATR-01), Macro Actividad, Responsable, Fecha de inicio, Fecha límite y Peso (%). El área se asigna automáticamente; el ID no debe repetirse en ninguna de las cuatro hojas.</t>
        </is>
      </c>
    </row>
    <row r="17" ht="45" customHeight="1">
      <c r="B17" s="61" t="inlineStr">
        <is>
          <t>3) Los pesos son relativos dentro del puesto y los de cada hoja deben sumar 100% (ej. 40% + 35% + 25%); la celda «Suma de pesos de la hoja» lo muestra arriba. Si aún no hay pesos aprobados, deje el campo vacío: el libro mostrará una alerta y no calculará el avance del puesto.</t>
        </is>
      </c>
    </row>
    <row r="18" ht="30" customHeight="1">
      <c r="B18" s="61" t="inlineStr">
        <is>
          <t>4) Al cierre de cada semana registre el avance ACUMULADO de la actividad en la columna de esa semana (ej. S1 20%, S2 45%, S3 75%, S4 100%). No registre incrementos. Deje vacías las semanas futuras.</t>
        </is>
      </c>
    </row>
    <row r="19" ht="45" customHeight="1">
      <c r="B19" s="61" t="inlineStr">
        <is>
          <t>5) Actualice «Última actualización» y registre la evidencia o enlace (SharePoint/OneDrive) en «Evidencia / Observaciones». Las incidencias excepcionales (bloqueo, cancelación, reprogramación) se anotan en Observaciones: no alteran el estado calculado.</t>
        </is>
      </c>
    </row>
    <row r="20" ht="30" customHeight="1">
      <c r="B20" s="61" t="inlineStr">
        <is>
          <t>6) Revise la columna «Validación de datos»: «✔ OK» o «⚠» con la lista de problemas. Use el filtro de la columna para ver solo las filas con «⚠».</t>
        </is>
      </c>
    </row>
    <row r="21" ht="30" customHeight="1">
      <c r="B21" s="61" t="inlineStr">
        <is>
          <t>7) Consulte el Dashboard. Si un puesto o el proyecto llega al 100% antes de la Semana 4 aparece «¡Enhorabuena, completado anticipadamente!».</t>
        </is>
      </c>
    </row>
    <row r="22" ht="15" customHeight="1">
      <c r="B22" s="61" t="inlineStr">
        <is>
          <t>8) Actualice el Estado, Fecha real y Evidencia de los hitos en la hoja «Hitos …» de su puesto.</t>
        </is>
      </c>
    </row>
    <row r="24" ht="20" customHeight="1">
      <c r="B24" s="60" t="inlineStr">
        <is>
          <t>4. Código de colores</t>
        </is>
      </c>
    </row>
    <row r="25" ht="30" customHeight="1">
      <c r="B25" s="61" t="inlineStr">
        <is>
          <t>• Amarillo pálido: celda de entrada (desbloqueada). • Gris: fórmula protegida. • Azul oscuro/medio: encabezados e indicadores.</t>
        </is>
      </c>
    </row>
    <row r="26" ht="45" customHeight="1">
      <c r="B26" s="61" t="inlineStr">
        <is>
          <t>• Verde: 100% / Completado. • Azul claro: En curso. • Rojo suave: Pendiente, dato faltante o alerta crítica. • Ámbar: próxima a vencer, pesos ≠ 100% o por debajo del plan. • Naranja: vencida, ID duplicado, fechas incoherentes o avance decreciente. • Verde oscuro con texto blanco: finalización anticipada.</t>
        </is>
      </c>
    </row>
    <row r="28" ht="20" customHeight="1">
      <c r="B28" s="60" t="inlineStr">
        <is>
          <t>5. Agregar filas</t>
        </is>
      </c>
    </row>
    <row r="29" ht="30" customHeight="1">
      <c r="B29" s="61" t="inlineStr">
        <is>
          <t>Cada hoja de cronograma trae 100 filas preformateadas y cada hoja de hitos 20 (fórmulas, validaciones y formato). Las filas vacías no se cuentan.</t>
        </is>
      </c>
    </row>
    <row r="30" ht="45" customHeight="1">
      <c r="B30" s="61" t="inlineStr">
        <is>
          <t>Para agregar más filas: Revisar &gt; Desproteger hoja; ubíquese en la última celda de la tabla y presione Tab (o escriba justo debajo de la tabla). Excel extiende automáticamente las fórmulas de las columnas calculadas (% de Avance Total Actual, Estado y Validación). Vuelva a proteger la hoja al terminar. El Dashboard lee hasta la fila 1000.</t>
        </is>
      </c>
    </row>
    <row r="31" ht="15" customHeight="1">
      <c r="B31" s="61" t="inlineStr">
        <is>
          <t>No elimine ni mueva las columnas de la tabla; no escriba sobre las columnas grises.</t>
        </is>
      </c>
    </row>
    <row r="33" ht="20" customHeight="1">
      <c r="B33" s="60" t="inlineStr">
        <is>
          <t>6. Compartir y trabajar en colaboración (Excel para la Web / OneDrive / SharePoint)</t>
        </is>
      </c>
    </row>
    <row r="34" ht="30" customHeight="1">
      <c r="B34" s="61" t="inlineStr">
        <is>
          <t>1) Guarde el archivo en una biblioteca de SharePoint o en OneDrive para el trabajo (idealmente el sitio del área de Riesgos).</t>
        </is>
      </c>
    </row>
    <row r="35" ht="30" customHeight="1">
      <c r="B35" s="61" t="inlineStr">
        <is>
          <t>2) Archivo &gt; Compartir &gt; Compartir con personas específicas y otorgue permiso de edición a los cuatro responsables; permiso de solo lectura a la jefatura que solo consulta el Dashboard.</t>
        </is>
      </c>
    </row>
    <row r="36" ht="30" customHeight="1">
      <c r="B36" s="61" t="inlineStr">
        <is>
          <t>3) Varias personas pueden editar al mismo tiempo (coautoría) en Excel para la Web o Microsoft 365. Use Autoguardado activado. Las fórmulas se recalculan automáticamente.</t>
        </is>
      </c>
    </row>
    <row r="37" ht="30" customHeight="1">
      <c r="B37" s="61" t="inlineStr">
        <is>
          <t>4) Use «Vistas de hoja» (Vista &gt; Vista de hoja &gt; Nueva) para que cada persona filtre su puesto sin alterar el filtro de los demás.</t>
        </is>
      </c>
    </row>
    <row r="38" ht="30" customHeight="1">
      <c r="B38" s="61" t="inlineStr">
        <is>
          <t>5) Historial de versiones (Archivo &gt; Información &gt; Historial de versiones) permite recuperar versiones anteriores y ver quién cambió qué. También puede usar Revisar &gt; Mostrar cambios.</t>
        </is>
      </c>
    </row>
    <row r="39" ht="30" customHeight="1">
      <c r="B39" s="61" t="inlineStr">
        <is>
          <t>6) Las evidencias deben almacenarse en la biblioteca de SharePoint y pegarse como enlace en la columna de evidencia.</t>
        </is>
      </c>
    </row>
    <row r="41" ht="20" customHeight="1">
      <c r="B41" s="60" t="inlineStr">
        <is>
          <t>7. Protección de fórmulas</t>
        </is>
      </c>
    </row>
    <row r="42" ht="30" customHeight="1">
      <c r="B42" s="61" t="inlineStr">
        <is>
          <t>Todas las hojas están protegidas SIN contraseña: las celdas con fórmulas están bloqueadas y las celdas de entrada (amarillas) desbloqueadas. Se permiten filtros, ordenar y ajustar anchos.</t>
        </is>
      </c>
    </row>
    <row r="43" ht="45" customHeight="1">
      <c r="B43" s="61" t="inlineStr">
        <is>
          <t>Para establecer una contraseña: Revisar &gt; Desproteger hoja, luego Revisar &gt; Proteger hoja, marque las opciones «Seleccionar celdas desbloqueadas», «Usar Autofiltro» y «Ordenar» y escriba la contraseña. Guárdela en un lugar seguro. Opcional: Revisar &gt; Proteger libro (estructura) para impedir mostrar/eliminar hojas.</t>
        </is>
      </c>
    </row>
    <row r="44" ht="75" customHeight="1">
      <c r="B44" s="61" t="inlineStr">
        <is>
          <t>Separar por hojas ordena el trabajo (cada quien llena su pestaña), pero dentro del mismo archivo compartido cualquier persona con permiso de edición puede abrir la hoja de otro puesto. Opción intermedia: proteger cada hoja de puesto con una contraseña distinta y entregar a cada responsable solo la suya (en ese caso desbloquee/bloquee celdas según necesidad; las celdas amarillas deben quedar desbloqueadas para su dueño, por lo que la contraseña protege las fórmulas, no los datos). Para separación real, use la opción de la sección 8.</t>
        </is>
      </c>
    </row>
    <row r="45" ht="45" customHeight="1">
      <c r="B45" s="61" t="inlineStr">
        <is>
          <t>LIMITACIÓN: la protección de hoja evita sobrescribir fórmulas, pero NO impide que un usuario con permiso de edición modifique los registros de otro puesto dentro de las celdas de entrada. Excel para la Web tampoco admite «Permitir que los usuarios editen rangos» con permisos por usuario. La trazabilidad se apoya en el historial de versiones.</t>
        </is>
      </c>
    </row>
    <row r="47" ht="20" customHeight="1">
      <c r="B47" s="60" t="inlineStr">
        <is>
          <t>8. Segregación real de permisos (si se requiere)</t>
        </is>
      </c>
    </row>
    <row r="48" ht="30" customHeight="1">
      <c r="B48" s="61" t="inlineStr">
        <is>
          <t>1) Cree cuatro archivos de captura (uno por puesto), cada uno con una copia de las hojas «Cronograma …» y «Hitos …» de ese puesto, cada uno en una carpeta de SharePoint con permisos solo para su responsable.</t>
        </is>
      </c>
    </row>
    <row r="49" ht="30" customHeight="1">
      <c r="B49" s="61" t="inlineStr">
        <is>
          <t>2) En este archivo consolidado: Datos &gt; Obtener datos &gt; Desde archivo &gt; Desde SharePoint (o Desde carpeta), seleccione la carpeta con los cuatro archivos y cree una consulta por tabla (tblAct_XX y tblHitos_XX).</t>
        </is>
      </c>
    </row>
    <row r="50" ht="45" customHeight="1">
      <c r="B50" s="61" t="inlineStr">
        <is>
          <t>3) Cargue cada consulta en la hoja «Cronograma …» del puesto correspondiente (con los mismos encabezados), o deje las hojas de este libro como copia de solo lectura actualizada por Power Query. Las columnas calculadas pueden recalcularse en la consulta o en la tabla.</t>
        </is>
      </c>
    </row>
    <row r="51" ht="45" customHeight="1">
      <c r="B51" s="61" t="inlineStr">
        <is>
          <t>4) Configure Datos &gt; Consultas y conexiones &gt; Propiedades &gt; «Actualizar al abrir el archivo». Nota: la actualización de Power Query desde orígenes de SharePoint se ejecuta en Excel de escritorio; en Excel para la Web el soporte depende del tipo de origen y del plan de Microsoft 365.</t>
        </is>
      </c>
    </row>
    <row r="52" ht="15" customHeight="1">
      <c r="B52" s="61" t="inlineStr">
        <is>
          <t>5) Solo el coordinador tiene permiso de edición del consolidado; los demás, lectura.</t>
        </is>
      </c>
    </row>
    <row r="54" ht="20" customHeight="1">
      <c r="B54" s="60" t="inlineStr">
        <is>
          <t>9. Compatibilidad técnica</t>
        </is>
      </c>
    </row>
    <row r="55" ht="15" customHeight="1">
      <c r="B55" s="61" t="inlineStr">
        <is>
          <t>Diseñado para Microsoft 365 en español (escritorio y Web). Archivo .xlsx sin macros ni complementos.</t>
        </is>
      </c>
    </row>
    <row r="56" ht="60" customHeight="1">
      <c r="B56" s="61" t="inlineStr">
        <is>
          <t>Las fórmulas se guardan internamente en inglés y Excel en español las muestra traducidas automáticamente: LOOKUP = BUSCAR, IFERROR = SI.ERROR, IF = SI, SUMPRODUCT = SUMAPRODUCTO, COUNTIFS = CONTAR.SI.CONJUNTO, SUMIFS = SUMAR.SI.CONJUNTO, ISNUMBER = ESNUMERO, SEARCH = HALLAR, TODAY = HOY. El separador de argumentos también se adapta (; en configuración regional española).</t>
        </is>
      </c>
    </row>
    <row r="57" ht="45" customHeight="1">
      <c r="B57" s="61" t="inlineStr">
        <is>
          <t>Fórmula del avance actual (fila 5, tal como se ve en Excel en español): =SI(NO((CONTARA($A5)+CONTARA($C5:$K5)+CONTARA($N5:$O5))&gt;0);"";SI.ERROR(BUSCAR(2;1/(H5:K5&lt;&gt;"");H5:K5);0)). La primera parte deja la celda vacía en filas sin datos.</t>
        </is>
      </c>
    </row>
    <row r="58" ht="15" customHeight="1">
      <c r="B58" s="61" t="inlineStr">
        <is>
          <t>Fórmula del estado: =SI(L5="";"";SI(L5&gt;=1;"Completado";SI(L5&gt;0;"En curso";"Pendiente"))).</t>
        </is>
      </c>
    </row>
    <row r="60" ht="20" customHeight="1">
      <c r="B60" s="60" t="inlineStr">
        <is>
          <t>10. Limitaciones conocidas</t>
        </is>
      </c>
    </row>
    <row r="61" ht="30" customHeight="1">
      <c r="B61" s="61" t="inlineStr">
        <is>
          <t>• El estado es automático (basado en el %); los estados excepcionales se documentan en Observaciones para no alterar el cálculo.</t>
        </is>
      </c>
    </row>
    <row r="62" ht="45" customHeight="1">
      <c r="B62" s="61" t="inlineStr">
        <is>
          <t>• La regla de finalización anticipada usa la semana en que el puesto alcanzó el 100% según los avances registrados, acotada por la Semana actual de Configuración. Si se registran avances en una columna de semana futura, el mensaje se basa en la Semana actual.</t>
        </is>
      </c>
    </row>
    <row r="63" ht="15" customHeight="1">
      <c r="B63" s="61" t="inlineStr">
        <is>
          <t>• Los rangos del Dashboard llegan hasta la fila 1000 de la tabla de actividades y hasta la fila 500 de hitos.</t>
        </is>
      </c>
    </row>
    <row r="64" ht="30" customHeight="1">
      <c r="B64" s="61" t="inlineStr">
        <is>
          <t>• Agregar filas a la tabla requiere desproteger temporalmente la hoja (restricción de Excel para tablas en hojas protegidas).</t>
        </is>
      </c>
    </row>
    <row r="65" ht="15" customHeight="1">
      <c r="B65" s="61" t="inlineStr">
        <is>
          <t>• Los hitos y fechas objetivo son propuestas iniciales; no son obligaciones institucionales aprobadas.</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1.xml><?xml version="1.0" encoding="utf-8"?>
<worksheet xmlns="http://schemas.openxmlformats.org/spreadsheetml/2006/main">
  <sheetPr>
    <outlinePr summaryBelow="1" summaryRight="1"/>
    <pageSetUpPr fitToPage="1"/>
  </sheetPr>
  <dimension ref="B1:D48"/>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41" t="inlineStr">
        <is>
          <t>Configuración y listas del libro</t>
        </is>
      </c>
      <c r="C1" s="41" t="n"/>
      <c r="D1" s="41" t="n"/>
    </row>
    <row r="2">
      <c r="B2" s="62" t="inlineStr">
        <is>
          <t>Celdas amarillas = parámetros editables. El resto se usa en listas desplegables y fórmulas; no cambie su posición.</t>
        </is>
      </c>
    </row>
    <row r="3">
      <c r="B3" s="6" t="inlineStr">
        <is>
          <t>Parámetro</t>
        </is>
      </c>
      <c r="C3" s="6" t="inlineStr">
        <is>
          <t>Valor</t>
        </is>
      </c>
      <c r="D3" s="6" t="inlineStr">
        <is>
          <t>Uso / nota</t>
        </is>
      </c>
    </row>
    <row r="4" ht="30" customHeight="1">
      <c r="B4" s="18" t="inlineStr">
        <is>
          <t>Semana actual del ciclo (1 a 4)</t>
        </is>
      </c>
      <c r="C4" s="63" t="n">
        <v>1</v>
      </c>
      <c r="D4" s="40" t="inlineStr">
        <is>
          <t>Controla los mensajes de finalización anticipada y qué semanas se muestran en el seguimiento semanal.</t>
        </is>
      </c>
    </row>
    <row r="5" ht="30" customHeight="1">
      <c r="B5" s="18" t="inlineStr">
        <is>
          <t>Fecha de referencia (corte)</t>
        </is>
      </c>
      <c r="C5" s="64">
        <f>TODAY()</f>
        <v/>
      </c>
      <c r="D5" s="40" t="inlineStr">
        <is>
          <t>Por defecto =HOY(). Puede reemplazarla por una fecha fija para emitir un reporte de corte. Determina actividades vencidas.</t>
        </is>
      </c>
    </row>
    <row r="6" ht="30" customHeight="1">
      <c r="B6" s="18" t="inlineStr">
        <is>
          <t>Fecha de inicio del ciclo (lunes de la Semana 1)</t>
        </is>
      </c>
      <c r="C6" s="64" t="n">
        <v>46307</v>
      </c>
      <c r="D6" s="40" t="inlineStr">
        <is>
          <t>VALOR INICIAL EDITABLE (supuesto). Calcula las fechas objetivo propuestas de los hitos (viernes de cada semana).</t>
        </is>
      </c>
    </row>
    <row r="7" ht="30" customHeight="1">
      <c r="B7" s="18" t="inlineStr">
        <is>
          <t>Días de anticipación para alerta «próxima a vencer»</t>
        </is>
      </c>
      <c r="C7" s="63" t="n">
        <v>3</v>
      </c>
      <c r="D7" s="40" t="inlineStr">
        <is>
          <t>Actividades no completadas cuya fecha límite cae dentro de este número de días se señalan en ámbar.</t>
        </is>
      </c>
    </row>
    <row r="8" ht="30" customHeight="1">
      <c r="B8" s="18" t="inlineStr">
        <is>
          <t>¿Evidencia obligatoria para actividades completadas?</t>
        </is>
      </c>
      <c r="C8" s="65" t="inlineStr">
        <is>
          <t>Sí</t>
        </is>
      </c>
      <c r="D8" s="40" t="inlineStr">
        <is>
          <t>Si es «Sí», una actividad al 100% sin texto en Evidencia / Observaciones genera alerta.</t>
        </is>
      </c>
    </row>
    <row r="9" ht="30" customHeight="1">
      <c r="B9" s="18" t="inlineStr">
        <is>
          <t>Meta final del proyecto</t>
        </is>
      </c>
      <c r="C9" s="66" t="n">
        <v>1</v>
      </c>
      <c r="D9" s="40" t="inlineStr">
        <is>
          <t>Meta de cumplimiento al cierre de la Semana 4.</t>
        </is>
      </c>
    </row>
    <row r="11">
      <c r="B11" s="67" t="inlineStr">
        <is>
          <t>Plan de referencia (avance esperado acumulado por semana) – supuesto editable</t>
        </is>
      </c>
      <c r="C11" s="67" t="n"/>
      <c r="D11" s="67" t="n"/>
    </row>
    <row r="12">
      <c r="B12" s="68" t="inlineStr">
        <is>
          <t>Semana 1</t>
        </is>
      </c>
      <c r="C12" s="69" t="n">
        <v>0.25</v>
      </c>
      <c r="D12" s="70" t="inlineStr">
        <is>
          <t>Referencia lineal solo para comparación visual; no afecta el cálculo del avance real.</t>
        </is>
      </c>
    </row>
    <row r="13">
      <c r="B13" s="68" t="inlineStr">
        <is>
          <t>Semana 2</t>
        </is>
      </c>
      <c r="C13" s="69" t="n">
        <v>0.5</v>
      </c>
      <c r="D13" s="70" t="inlineStr">
        <is>
          <t>Referencia lineal solo para comparación visual; no afecta el cálculo del avance real.</t>
        </is>
      </c>
    </row>
    <row r="14">
      <c r="B14" s="68" t="inlineStr">
        <is>
          <t>Semana 3</t>
        </is>
      </c>
      <c r="C14" s="69" t="n">
        <v>0.75</v>
      </c>
      <c r="D14" s="70" t="inlineStr">
        <is>
          <t>Referencia lineal solo para comparación visual; no afecta el cálculo del avance real.</t>
        </is>
      </c>
    </row>
    <row r="15">
      <c r="B15" s="68" t="inlineStr">
        <is>
          <t>Semana 4</t>
        </is>
      </c>
      <c r="C15" s="69" t="n">
        <v>1</v>
      </c>
      <c r="D15" s="70" t="inlineStr">
        <is>
          <t>Referencia lineal solo para comparación visual; no afecta el cálculo del avance real.</t>
        </is>
      </c>
    </row>
    <row r="17">
      <c r="B17" s="71" t="inlineStr">
        <is>
          <t>Listas desplegables (no editar sin actualizar las fórmulas)</t>
        </is>
      </c>
      <c r="C17" s="71" t="n"/>
      <c r="D17" s="71" t="n"/>
    </row>
    <row r="18">
      <c r="B18" s="72" t="inlineStr">
        <is>
          <t>Áreas / Puestos</t>
        </is>
      </c>
    </row>
    <row r="19">
      <c r="B19" s="73" t="inlineStr">
        <is>
          <t>Riesgo Operacional</t>
        </is>
      </c>
    </row>
    <row r="20">
      <c r="B20" s="73" t="inlineStr">
        <is>
          <t>Riesgo Legal y Normativo</t>
        </is>
      </c>
    </row>
    <row r="21">
      <c r="B21" s="73" t="inlineStr">
        <is>
          <t>Riesgo Financiero</t>
        </is>
      </c>
    </row>
    <row r="22">
      <c r="B22" s="73" t="inlineStr">
        <is>
          <t>Asistente Técnico de Riesgo</t>
        </is>
      </c>
    </row>
    <row r="24">
      <c r="B24" s="72" t="inlineStr">
        <is>
          <t>Estados</t>
        </is>
      </c>
    </row>
    <row r="25">
      <c r="B25" s="73" t="inlineStr">
        <is>
          <t>Pendiente</t>
        </is>
      </c>
    </row>
    <row r="26">
      <c r="B26" s="73" t="inlineStr">
        <is>
          <t>En curso</t>
        </is>
      </c>
    </row>
    <row r="27">
      <c r="B27" s="73" t="inlineStr">
        <is>
          <t>Completado</t>
        </is>
      </c>
    </row>
    <row r="29">
      <c r="B29" s="72" t="inlineStr">
        <is>
          <t>Semanas</t>
        </is>
      </c>
    </row>
    <row r="30">
      <c r="B30" s="73" t="inlineStr">
        <is>
          <t>Semana 1</t>
        </is>
      </c>
    </row>
    <row r="31">
      <c r="B31" s="73" t="inlineStr">
        <is>
          <t>Semana 2</t>
        </is>
      </c>
    </row>
    <row r="32">
      <c r="B32" s="73" t="inlineStr">
        <is>
          <t>Semana 3</t>
        </is>
      </c>
    </row>
    <row r="33">
      <c r="B33" s="73" t="inlineStr">
        <is>
          <t>Semana 4</t>
        </is>
      </c>
    </row>
    <row r="35">
      <c r="B35" s="72" t="inlineStr">
        <is>
          <t>Sí / No</t>
        </is>
      </c>
    </row>
    <row r="36">
      <c r="B36" s="73" t="inlineStr">
        <is>
          <t>Sí</t>
        </is>
      </c>
    </row>
    <row r="37">
      <c r="B37" s="73" t="inlineStr">
        <is>
          <t>No</t>
        </is>
      </c>
    </row>
    <row r="40">
      <c r="B40" s="71" t="inlineStr">
        <is>
          <t>Metodología de cálculo (documentación)</t>
        </is>
      </c>
      <c r="C40" s="71" t="n"/>
      <c r="D40" s="71" t="n"/>
    </row>
    <row r="41" ht="30" customHeight="1">
      <c r="B41" s="74" t="inlineStr">
        <is>
          <t>1. Avance de una actividad = último avance semanal acumulado registrado (Semana 4 → 1), ignorando semanas vacías. Los avances semanales NO se suman.</t>
        </is>
      </c>
      <c r="C41" s="74" t="n"/>
      <c r="D41" s="74" t="n"/>
    </row>
    <row r="42" ht="30" customHeight="1">
      <c r="B42" s="74" t="inlineStr">
        <is>
          <t>2. Estado automático: 0% = Pendiente; &gt;0% y &lt;100% = En curso; 100% = Completado.</t>
        </is>
      </c>
      <c r="C42" s="74" t="n"/>
      <c r="D42" s="74" t="n"/>
    </row>
    <row r="43" ht="30" customHeight="1">
      <c r="B43" s="74" t="inlineStr">
        <is>
          <t>3. Avance ponderado del puesto = Σ (peso de la actividad × avance actual). Solo es válido si el puesto tiene ≥1 actividad, ningún peso vacío o fuera de 0–100% y los pesos suman 100% (tolerancia ±0,01%).</t>
        </is>
      </c>
      <c r="C43" s="74" t="n"/>
      <c r="D43" s="74" t="n"/>
    </row>
    <row r="44" ht="30" customHeight="1">
      <c r="B44" s="74" t="inlineStr">
        <is>
          <t>4. Avance general del proyecto = promedio simple de los 4 puestos (cada puesto pesa 25%, sin importar cuántas actividades tenga). Si algún puesto no es válido, el Dashboard muestra «No definitivo» y un valor provisional rotulado como tal.</t>
        </is>
      </c>
      <c r="C44" s="74" t="n"/>
      <c r="D44" s="74" t="n"/>
    </row>
    <row r="45" ht="30" customHeight="1">
      <c r="B45" s="74" t="inlineStr">
        <is>
          <t>5. Avance semanal acumulado (Semana n) = Σ peso × último avance registrado hasta la Semana n. Incremento semanal = acumulado Semana n − acumulado Semana n−1.</t>
        </is>
      </c>
      <c r="C45" s="74" t="n"/>
      <c r="D45" s="74" t="n"/>
    </row>
    <row r="46" ht="30" customHeight="1">
      <c r="B46" s="74" t="inlineStr">
        <is>
          <t>6. «¡Enhorabuena, completado anticipadamente!»: el puesto (o el proyecto) es válido, llega al 100% y la semana en que lo alcanzó (la menor entre la primera semana con 100% registrada y la Semana actual) es anterior a la Semana 4. Si lo alcanza en la Semana 4: «Completado». Si no: «En ejecución».</t>
        </is>
      </c>
      <c r="C46" s="74" t="n"/>
      <c r="D46" s="74" t="n"/>
    </row>
    <row r="47" ht="30" customHeight="1">
      <c r="B47" s="74" t="inlineStr">
        <is>
          <t>7. Una semana se muestra en el seguimiento si es ≤ Semana actual o si ya tiene algún avance registrado.</t>
        </is>
      </c>
      <c r="C47" s="74" t="n"/>
      <c r="D47" s="74" t="n"/>
    </row>
    <row r="48" ht="30" customHeight="1">
      <c r="B48" s="74" t="inlineStr">
        <is>
          <t>8. Cada puesto tiene su propia hoja de cronograma y de hitos. El Dashboard consolida las cuatro hojas de cronograma (filas 5 a 1000) y las cuatro de hitos (filas 5 a 500).</t>
        </is>
      </c>
      <c r="C48" s="74" t="n"/>
      <c r="D48" s="74" t="n"/>
    </row>
  </sheetData>
  <sheetProtection selectLockedCells="0" selectUnlockedCells="0" sheet="1" objects="0" insertRows="1" insertHyperlinks="1" autoFilter="1" scenarios="0" formatColumns="0" deleteColumns="1" insertColumns="1" pivotTables="1" deleteRows="1" formatCells="1" formatRows="1" sort="1"/>
  <mergeCells count="12">
    <mergeCell ref="B11:D11"/>
    <mergeCell ref="B42:D42"/>
    <mergeCell ref="B45:D45"/>
    <mergeCell ref="B46:D46"/>
    <mergeCell ref="B41:D41"/>
    <mergeCell ref="B1:D1"/>
    <mergeCell ref="B17:D17"/>
    <mergeCell ref="B40:D40"/>
    <mergeCell ref="B44:D44"/>
    <mergeCell ref="B43:D43"/>
    <mergeCell ref="B47:D47"/>
    <mergeCell ref="B48:D48"/>
  </mergeCells>
  <dataValidations count="4">
    <dataValidation sqref="C4" showDropDown="0" showInputMessage="0" showErrorMessage="1" allowBlank="0" errorTitle="Semana no válida" error="Ingrese un número entero entre 1 y 4." type="whole" operator="between">
      <formula1>1</formula1>
      <formula2>4</formula2>
    </dataValidation>
    <dataValidation sqref="C5 C6" showDropDown="0" showInputMessage="0" showErrorMessage="1" allowBlank="0" error="Ingrese una fecha válida (dd/mm/aaaa)." type="date" operator="greaterThan">
      <formula1>36526</formula1>
    </dataValidation>
    <dataValidation sqref="C7" showDropDown="0" showInputMessage="0" showErrorMessage="1" allowBlank="0" error="Ingrese un número de días entre 0 y 30." type="whole" operator="between">
      <formula1>0</formula1>
      <formula2>30</formula2>
    </dataValidation>
    <dataValidation sqref="C8"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sheetPr>
  <dimension ref="A1:T13"/>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47" t="inlineStr">
        <is>
          <t>Hoja auxiliar OCULTA: cálculos intermedios por puesto (cada fila lee la hoja de cronograma de su puesto) que alimentan el Dashboard. No editar. Ver metodología en Configuración.</t>
        </is>
      </c>
    </row>
    <row r="3">
      <c r="A3" s="75" t="inlineStr">
        <is>
          <t>Puesto</t>
        </is>
      </c>
      <c r="B3" s="75" t="inlineStr">
        <is>
          <t>N° actividades</t>
        </is>
      </c>
      <c r="C3" s="75" t="inlineStr">
        <is>
          <t>Suma de pesos</t>
        </is>
      </c>
      <c r="D3" s="75" t="inlineStr">
        <is>
          <t>Pesos vacíos o inválidos</t>
        </is>
      </c>
      <c r="E3" s="75" t="inlineStr">
        <is>
          <t>Configuración válida</t>
        </is>
      </c>
      <c r="F3" s="75" t="inlineStr">
        <is>
          <t>Avance ponderado actual</t>
        </is>
      </c>
      <c r="G3" s="75" t="inlineStr">
        <is>
          <t>Acum. Semana 1</t>
        </is>
      </c>
      <c r="H3" s="75" t="inlineStr">
        <is>
          <t>Acum. Semana 2</t>
        </is>
      </c>
      <c r="I3" s="75" t="inlineStr">
        <is>
          <t>Acum. Semana 3</t>
        </is>
      </c>
      <c r="J3" s="75" t="inlineStr">
        <is>
          <t>Acum. Semana 4</t>
        </is>
      </c>
      <c r="K3" s="75" t="inlineStr">
        <is>
          <t>Primera semana con 100%</t>
        </is>
      </c>
      <c r="L3" s="75" t="inlineStr">
        <is>
          <t>Completado (100%)</t>
        </is>
      </c>
      <c r="M3" s="75" t="inlineStr">
        <is>
          <t>Completado anticipadamente</t>
        </is>
      </c>
      <c r="N3" s="75" t="inlineStr">
        <is>
          <t>Completadas</t>
        </is>
      </c>
      <c r="O3" s="75" t="inlineStr">
        <is>
          <t>En curso</t>
        </is>
      </c>
      <c r="P3" s="75" t="inlineStr">
        <is>
          <t>Pendientes</t>
        </is>
      </c>
      <c r="Q3" s="75" t="inlineStr">
        <is>
          <t>Vencidas</t>
        </is>
      </c>
      <c r="R3" s="75" t="inlineStr">
        <is>
          <t>Con alertas</t>
        </is>
      </c>
      <c r="S3" s="75" t="inlineStr">
        <is>
          <t>Próximas a vencer</t>
        </is>
      </c>
      <c r="T3" s="75" t="inlineStr">
        <is>
          <t>Hoja de cronograma</t>
        </is>
      </c>
    </row>
    <row r="4">
      <c r="A4">
        <f>INDEX(ListaPuestos,1)</f>
        <v/>
      </c>
      <c r="B4">
        <f>COUNTIF(rValid_RO,"?*")</f>
        <v/>
      </c>
      <c r="C4" s="76">
        <f>SUM(rPeso_RO)</f>
        <v/>
      </c>
      <c r="D4" s="76">
        <f>COUNTIFS(rValid_RO,"?*",rPeso_RO,"")+COUNTIF(rPeso_RO,"&lt;=0")+COUNTIF(rPeso_RO,"&gt;1")</f>
        <v/>
      </c>
      <c r="E4">
        <f>AND(B4&gt;0,D4=0,ABS(C4-1)&lt;=0.0001)</f>
        <v/>
      </c>
      <c r="F4" s="76">
        <f>IFERROR(SUMPRODUCT(rPeso_RO,rAvance_RO),0)</f>
        <v/>
      </c>
      <c r="G4" s="76">
        <f>IFERROR(SUMPRODUCT(rPeso_RO*rS1_RO),0)</f>
        <v/>
      </c>
      <c r="H4" s="76">
        <f>IFERROR(SUMPRODUCT(rPeso_RO*(rS2_RO+(rS2_RO="")*rS1_RO)),0)</f>
        <v/>
      </c>
      <c r="I4" s="76">
        <f>IFERROR(SUMPRODUCT(rPeso_RO*(rS3_RO+(rS3_RO="")*(rS2_RO+(rS2_RO="")*rS1_RO))),0)</f>
        <v/>
      </c>
      <c r="J4" s="76">
        <f>IFERROR(SUMPRODUCT(rPeso_RO*(rS4_RO+(rS4_RO="")*(rS3_RO+(rS3_RO="")*(rS2_RO+(rS2_RO="")*rS1_RO)))),0)</f>
        <v/>
      </c>
      <c r="K4">
        <f>IF(ROUND(G4,4)&gt;=1,1,IF(ROUND(H4,4)&gt;=1,2,IF(ROUND(I4,4)&gt;=1,3,IF(ROUND(J4,4)&gt;=1,4,""))))</f>
        <v/>
      </c>
      <c r="L4">
        <f>AND(E4,ROUND(F4,4)&gt;=1)</f>
        <v/>
      </c>
      <c r="M4">
        <f>AND(L4,MIN(IF(K4="",4,K4),SemanaActual)&lt;4)</f>
        <v/>
      </c>
      <c r="N4">
        <f>COUNTIF(rEstado_RO,"Completado")</f>
        <v/>
      </c>
      <c r="O4">
        <f>COUNTIF(rEstado_RO,"En curso")</f>
        <v/>
      </c>
      <c r="P4">
        <f>COUNTIF(rEstado_RO,"Pendiente")</f>
        <v/>
      </c>
      <c r="Q4">
        <f>SUMPRODUCT(--ISNUMBER(SEARCH("Vencida",rValid_RO)))</f>
        <v/>
      </c>
      <c r="R4">
        <f>SUMPRODUCT(--(LEFT(rValid_RO,1)="⚠"))</f>
        <v/>
      </c>
      <c r="S4">
        <f>COUNTIFS(rFLim_RO,"&gt;="&amp;FechaRef,rFLim_RO,"&lt;="&amp;(FechaRef+DiasAlerta),rAvance_RO,"&lt;1")</f>
        <v/>
      </c>
      <c r="T4" t="inlineStr">
        <is>
          <t>Cronograma R. Operacional</t>
        </is>
      </c>
    </row>
    <row r="5">
      <c r="A5">
        <f>INDEX(ListaPuestos,2)</f>
        <v/>
      </c>
      <c r="B5">
        <f>COUNTIF(rValid_RLN,"?*")</f>
        <v/>
      </c>
      <c r="C5" s="76">
        <f>SUM(rPeso_RLN)</f>
        <v/>
      </c>
      <c r="D5" s="76">
        <f>COUNTIFS(rValid_RLN,"?*",rPeso_RLN,"")+COUNTIF(rPeso_RLN,"&lt;=0")+COUNTIF(rPeso_RLN,"&gt;1")</f>
        <v/>
      </c>
      <c r="E5">
        <f>AND(B5&gt;0,D5=0,ABS(C5-1)&lt;=0.0001)</f>
        <v/>
      </c>
      <c r="F5" s="76">
        <f>IFERROR(SUMPRODUCT(rPeso_RLN,rAvance_RLN),0)</f>
        <v/>
      </c>
      <c r="G5" s="76">
        <f>IFERROR(SUMPRODUCT(rPeso_RLN*rS1_RLN),0)</f>
        <v/>
      </c>
      <c r="H5" s="76">
        <f>IFERROR(SUMPRODUCT(rPeso_RLN*(rS2_RLN+(rS2_RLN="")*rS1_RLN)),0)</f>
        <v/>
      </c>
      <c r="I5" s="76">
        <f>IFERROR(SUMPRODUCT(rPeso_RLN*(rS3_RLN+(rS3_RLN="")*(rS2_RLN+(rS2_RLN="")*rS1_RLN))),0)</f>
        <v/>
      </c>
      <c r="J5" s="76">
        <f>IFERROR(SUMPRODUCT(rPeso_RLN*(rS4_RLN+(rS4_RLN="")*(rS3_RLN+(rS3_RLN="")*(rS2_RLN+(rS2_RLN="")*rS1_RLN)))),0)</f>
        <v/>
      </c>
      <c r="K5">
        <f>IF(ROUND(G5,4)&gt;=1,1,IF(ROUND(H5,4)&gt;=1,2,IF(ROUND(I5,4)&gt;=1,3,IF(ROUND(J5,4)&gt;=1,4,""))))</f>
        <v/>
      </c>
      <c r="L5">
        <f>AND(E5,ROUND(F5,4)&gt;=1)</f>
        <v/>
      </c>
      <c r="M5">
        <f>AND(L5,MIN(IF(K5="",4,K5),SemanaActual)&lt;4)</f>
        <v/>
      </c>
      <c r="N5">
        <f>COUNTIF(rEstado_RLN,"Completado")</f>
        <v/>
      </c>
      <c r="O5">
        <f>COUNTIF(rEstado_RLN,"En curso")</f>
        <v/>
      </c>
      <c r="P5">
        <f>COUNTIF(rEstado_RLN,"Pendiente")</f>
        <v/>
      </c>
      <c r="Q5">
        <f>SUMPRODUCT(--ISNUMBER(SEARCH("Vencida",rValid_RLN)))</f>
        <v/>
      </c>
      <c r="R5">
        <f>SUMPRODUCT(--(LEFT(rValid_RLN,1)="⚠"))</f>
        <v/>
      </c>
      <c r="S5">
        <f>COUNTIFS(rFLim_RLN,"&gt;="&amp;FechaRef,rFLim_RLN,"&lt;="&amp;(FechaRef+DiasAlerta),rAvance_RLN,"&lt;1")</f>
        <v/>
      </c>
      <c r="T5" t="inlineStr">
        <is>
          <t>Cronograma R. Legal y Normativo</t>
        </is>
      </c>
    </row>
    <row r="6">
      <c r="A6">
        <f>INDEX(ListaPuestos,3)</f>
        <v/>
      </c>
      <c r="B6">
        <f>COUNTIF(rValid_RF,"?*")</f>
        <v/>
      </c>
      <c r="C6" s="76">
        <f>SUM(rPeso_RF)</f>
        <v/>
      </c>
      <c r="D6" s="76">
        <f>COUNTIFS(rValid_RF,"?*",rPeso_RF,"")+COUNTIF(rPeso_RF,"&lt;=0")+COUNTIF(rPeso_RF,"&gt;1")</f>
        <v/>
      </c>
      <c r="E6">
        <f>AND(B6&gt;0,D6=0,ABS(C6-1)&lt;=0.0001)</f>
        <v/>
      </c>
      <c r="F6" s="76">
        <f>IFERROR(SUMPRODUCT(rPeso_RF,rAvance_RF),0)</f>
        <v/>
      </c>
      <c r="G6" s="76">
        <f>IFERROR(SUMPRODUCT(rPeso_RF*rS1_RF),0)</f>
        <v/>
      </c>
      <c r="H6" s="76">
        <f>IFERROR(SUMPRODUCT(rPeso_RF*(rS2_RF+(rS2_RF="")*rS1_RF)),0)</f>
        <v/>
      </c>
      <c r="I6" s="76">
        <f>IFERROR(SUMPRODUCT(rPeso_RF*(rS3_RF+(rS3_RF="")*(rS2_RF+(rS2_RF="")*rS1_RF))),0)</f>
        <v/>
      </c>
      <c r="J6" s="76">
        <f>IFERROR(SUMPRODUCT(rPeso_RF*(rS4_RF+(rS4_RF="")*(rS3_RF+(rS3_RF="")*(rS2_RF+(rS2_RF="")*rS1_RF)))),0)</f>
        <v/>
      </c>
      <c r="K6">
        <f>IF(ROUND(G6,4)&gt;=1,1,IF(ROUND(H6,4)&gt;=1,2,IF(ROUND(I6,4)&gt;=1,3,IF(ROUND(J6,4)&gt;=1,4,""))))</f>
        <v/>
      </c>
      <c r="L6">
        <f>AND(E6,ROUND(F6,4)&gt;=1)</f>
        <v/>
      </c>
      <c r="M6">
        <f>AND(L6,MIN(IF(K6="",4,K6),SemanaActual)&lt;4)</f>
        <v/>
      </c>
      <c r="N6">
        <f>COUNTIF(rEstado_RF,"Completado")</f>
        <v/>
      </c>
      <c r="O6">
        <f>COUNTIF(rEstado_RF,"En curso")</f>
        <v/>
      </c>
      <c r="P6">
        <f>COUNTIF(rEstado_RF,"Pendiente")</f>
        <v/>
      </c>
      <c r="Q6">
        <f>SUMPRODUCT(--ISNUMBER(SEARCH("Vencida",rValid_RF)))</f>
        <v/>
      </c>
      <c r="R6">
        <f>SUMPRODUCT(--(LEFT(rValid_RF,1)="⚠"))</f>
        <v/>
      </c>
      <c r="S6">
        <f>COUNTIFS(rFLim_RF,"&gt;="&amp;FechaRef,rFLim_RF,"&lt;="&amp;(FechaRef+DiasAlerta),rAvance_RF,"&lt;1")</f>
        <v/>
      </c>
      <c r="T6" t="inlineStr">
        <is>
          <t>Cronograma R. Financiero</t>
        </is>
      </c>
    </row>
    <row r="7">
      <c r="A7">
        <f>INDEX(ListaPuestos,4)</f>
        <v/>
      </c>
      <c r="B7">
        <f>COUNTIF(rValid_ATR,"?*")</f>
        <v/>
      </c>
      <c r="C7" s="76">
        <f>SUM(rPeso_ATR)</f>
        <v/>
      </c>
      <c r="D7" s="76">
        <f>COUNTIFS(rValid_ATR,"?*",rPeso_ATR,"")+COUNTIF(rPeso_ATR,"&lt;=0")+COUNTIF(rPeso_ATR,"&gt;1")</f>
        <v/>
      </c>
      <c r="E7">
        <f>AND(B7&gt;0,D7=0,ABS(C7-1)&lt;=0.0001)</f>
        <v/>
      </c>
      <c r="F7" s="76">
        <f>IFERROR(SUMPRODUCT(rPeso_ATR,rAvance_ATR),0)</f>
        <v/>
      </c>
      <c r="G7" s="76">
        <f>IFERROR(SUMPRODUCT(rPeso_ATR*rS1_ATR),0)</f>
        <v/>
      </c>
      <c r="H7" s="76">
        <f>IFERROR(SUMPRODUCT(rPeso_ATR*(rS2_ATR+(rS2_ATR="")*rS1_ATR)),0)</f>
        <v/>
      </c>
      <c r="I7" s="76">
        <f>IFERROR(SUMPRODUCT(rPeso_ATR*(rS3_ATR+(rS3_ATR="")*(rS2_ATR+(rS2_ATR="")*rS1_ATR))),0)</f>
        <v/>
      </c>
      <c r="J7" s="76">
        <f>IFERROR(SUMPRODUCT(rPeso_ATR*(rS4_ATR+(rS4_ATR="")*(rS3_ATR+(rS3_ATR="")*(rS2_ATR+(rS2_ATR="")*rS1_ATR)))),0)</f>
        <v/>
      </c>
      <c r="K7">
        <f>IF(ROUND(G7,4)&gt;=1,1,IF(ROUND(H7,4)&gt;=1,2,IF(ROUND(I7,4)&gt;=1,3,IF(ROUND(J7,4)&gt;=1,4,""))))</f>
        <v/>
      </c>
      <c r="L7">
        <f>AND(E7,ROUND(F7,4)&gt;=1)</f>
        <v/>
      </c>
      <c r="M7">
        <f>AND(L7,MIN(IF(K7="",4,K7),SemanaActual)&lt;4)</f>
        <v/>
      </c>
      <c r="N7">
        <f>COUNTIF(rEstado_ATR,"Completado")</f>
        <v/>
      </c>
      <c r="O7">
        <f>COUNTIF(rEstado_ATR,"En curso")</f>
        <v/>
      </c>
      <c r="P7">
        <f>COUNTIF(rEstado_ATR,"Pendiente")</f>
        <v/>
      </c>
      <c r="Q7">
        <f>SUMPRODUCT(--ISNUMBER(SEARCH("Vencida",rValid_ATR)))</f>
        <v/>
      </c>
      <c r="R7">
        <f>SUMPRODUCT(--(LEFT(rValid_ATR,1)="⚠"))</f>
        <v/>
      </c>
      <c r="S7">
        <f>COUNTIFS(rFLim_ATR,"&gt;="&amp;FechaRef,rFLim_ATR,"&lt;="&amp;(FechaRef+DiasAlerta),rAvance_ATR,"&lt;1")</f>
        <v/>
      </c>
      <c r="T7" t="inlineStr">
        <is>
          <t>Cronograma Asistente Técnico</t>
        </is>
      </c>
    </row>
    <row r="8">
      <c r="A8" t="inlineStr">
        <is>
          <t>Proyecto (promedio de 4 puestos)</t>
        </is>
      </c>
      <c r="B8">
        <f>SUM(B4:B7)</f>
        <v/>
      </c>
      <c r="C8" s="77">
        <f>COUNTIF(E4:E7,TRUE)</f>
        <v/>
      </c>
      <c r="D8" s="76">
        <f>IF(C8&gt;0,SUMPRODUCT(F4:F7*(E4:E7=TRUE))/C8,"")</f>
        <v/>
      </c>
      <c r="E8">
        <f>AND(E4,E5,E6,E7)</f>
        <v/>
      </c>
      <c r="F8" s="76">
        <f>IF(E8,AVERAGE(F4:F7),"")</f>
        <v/>
      </c>
      <c r="G8" s="76">
        <f>IF($E$8,AVERAGE(G4:G7),"")</f>
        <v/>
      </c>
      <c r="H8" s="76">
        <f>IF($E$8,AVERAGE(H4:H7),"")</f>
        <v/>
      </c>
      <c r="I8" s="76">
        <f>IF($E$8,AVERAGE(I4:I7),"")</f>
        <v/>
      </c>
      <c r="J8" s="7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row>
    <row r="9">
      <c r="A9" s="59" t="inlineStr">
        <is>
          <t>Fila 8: C = n° puestos válidos; D = avance provisional (promedio solo de puestos válidos).</t>
        </is>
      </c>
    </row>
    <row r="10">
      <c r="A10" t="inlineStr">
        <is>
          <t>Semana visible en seguimiento</t>
        </is>
      </c>
      <c r="G10">
        <f>OR(1&lt;=SemanaActual,(COUNT(rS1_RO)+COUNT(rS1_RLN)+COUNT(rS1_RF)+COUNT(rS1_ATR))&gt;0)</f>
        <v/>
      </c>
      <c r="H10">
        <f>OR(2&lt;=SemanaActual,(COUNT(rS2_RO)+COUNT(rS2_RLN)+COUNT(rS2_RF)+COUNT(rS2_ATR))&gt;0)</f>
        <v/>
      </c>
      <c r="I10">
        <f>OR(3&lt;=SemanaActual,(COUNT(rS3_RO)+COUNT(rS3_RLN)+COUNT(rS3_RF)+COUNT(rS3_ATR))&gt;0)</f>
        <v/>
      </c>
      <c r="J10">
        <f>OR(4&lt;=SemanaActual,(COUNT(rS4_RO)+COUNT(rS4_RLN)+COUNT(rS4_RF)+COUNT(rS4_ATR))&gt;0)</f>
        <v/>
      </c>
    </row>
    <row r="11">
      <c r="A11" t="inlineStr">
        <is>
          <t>Total registros</t>
        </is>
      </c>
      <c r="B11">
        <f>B8</f>
        <v/>
      </c>
    </row>
    <row r="12">
      <c r="A12" t="inlineStr">
        <is>
          <t>Puestos al 100%</t>
        </is>
      </c>
      <c r="B12">
        <f>COUNTIF(L4:L7,TRUE)</f>
        <v/>
      </c>
    </row>
    <row r="13">
      <c r="A13" t="inlineStr">
        <is>
          <t>Próximas a vencer</t>
        </is>
      </c>
      <c r="B13">
        <f>S8</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2026-10-09T15:59:24Z</dcterms:created>
  <dcterms:modified xmlns:dcterms="http://purl.org/dc/terms/" xmlns:xsi="http://www.w3.org/2001/XMLSchema-instance" xsi:type="dcterms:W3CDTF">2026-10-09T15:59:25Z</dcterms:modified>
</cp:coreProperties>
</file>